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is.fujissaka\.dev\dashboard_fb\assets\sheets\"/>
    </mc:Choice>
  </mc:AlternateContent>
  <xr:revisionPtr revIDLastSave="0" documentId="13_ncr:1_{0F35B2E6-AB27-41FA-BC5E-D88403A1E433}" xr6:coauthVersionLast="47" xr6:coauthVersionMax="47" xr10:uidLastSave="{00000000-0000-0000-0000-000000000000}"/>
  <bookViews>
    <workbookView xWindow="-108" yWindow="-108" windowWidth="23256" windowHeight="12456" tabRatio="845" xr2:uid="{00000000-000D-0000-FFFF-FFFF00000000}"/>
  </bookViews>
  <sheets>
    <sheet name="DRE" sheetId="1" r:id="rId1"/>
    <sheet name="CMV_Manual" sheetId="2" r:id="rId2"/>
    <sheet name="Fiscal" sheetId="3" r:id="rId3"/>
    <sheet name="T_REAL" sheetId="4" state="hidden" r:id="rId4"/>
    <sheet name="Aut_Faturamento_Zig_Delivery" sheetId="5" state="hidden" r:id="rId5"/>
    <sheet name="Aut_BlueMe_Sem_Pedido" sheetId="6" r:id="rId6"/>
    <sheet name="Aut_BlueMe_Com_Pedido" sheetId="7" r:id="rId7"/>
    <sheet name="Aut_Faturamento_Zig" sheetId="8" r:id="rId8"/>
    <sheet name="Aut_Receitas_Extraord" sheetId="9" r:id="rId9"/>
    <sheet name="BD_Eventos_Novo" sheetId="10" r:id="rId10"/>
    <sheet name="Aut_Folha" sheetId="11" r:id="rId11"/>
    <sheet name="Aut_Descontos" sheetId="12" r:id="rId12"/>
    <sheet name="Aut_Promocoes_Utilizadas" sheetId="13" r:id="rId13"/>
    <sheet name="Aut_Endividamentos" sheetId="14" r:id="rId14"/>
    <sheet name="Aut_Contagem" sheetId="15" r:id="rId15"/>
    <sheet name="Aut_Precos_Insumos" sheetId="16" r:id="rId16"/>
    <sheet name="Aut_Valor_Estoque" sheetId="17" r:id="rId17"/>
    <sheet name="Aut_Precos_Consolidados_Mes" sheetId="18" r:id="rId18"/>
    <sheet name="Aut_Eventos_AeB" sheetId="19" r:id="rId19"/>
    <sheet name="Aut_Transferencias" sheetId="20" r:id="rId20"/>
    <sheet name="Aut_Consumo_Funcionarios" sheetId="21" r:id="rId21"/>
    <sheet name="Aut_Insumos_Producao" sheetId="22" r:id="rId22"/>
    <sheet name="Aut_Ajustes_Manuais" sheetId="23" r:id="rId23"/>
    <sheet name="Aut_Consumo_Cartao_Black" sheetId="24" r:id="rId24"/>
    <sheet name="T_ORCAMENTOS" sheetId="25" r:id="rId25"/>
    <sheet name="T_HEADCOUNT" sheetId="26" r:id="rId26"/>
  </sheets>
  <definedNames>
    <definedName name="DadosExternos_1" localSheetId="3" hidden="1">T_REAL!$A$1:$E$9634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1" i="1" l="1"/>
  <c r="L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R7" i="3"/>
  <c r="Q7" i="3"/>
  <c r="P7" i="3"/>
  <c r="S7" i="3" s="1"/>
  <c r="N7" i="3"/>
  <c r="M7" i="3"/>
  <c r="L7" i="3"/>
  <c r="O7" i="3" s="1"/>
  <c r="J7" i="3"/>
  <c r="I7" i="3"/>
  <c r="H7" i="3"/>
  <c r="K7" i="3" s="1"/>
  <c r="F7" i="3"/>
  <c r="E7" i="3"/>
  <c r="D7" i="3"/>
  <c r="G7" i="3" s="1"/>
  <c r="T7" i="3" s="1"/>
  <c r="Q3" i="3"/>
  <c r="M3" i="3"/>
  <c r="H3" i="3"/>
  <c r="I3" i="3" s="1"/>
  <c r="E3" i="3"/>
  <c r="C29" i="2"/>
  <c r="O28" i="2"/>
  <c r="N28" i="2"/>
  <c r="M28" i="2"/>
  <c r="L28" i="2"/>
  <c r="K28" i="2"/>
  <c r="J28" i="2"/>
  <c r="I28" i="2"/>
  <c r="H28" i="2"/>
  <c r="G28" i="2"/>
  <c r="F28" i="2"/>
  <c r="E28" i="2"/>
  <c r="D28" i="2"/>
  <c r="O27" i="2"/>
  <c r="N27" i="2"/>
  <c r="M27" i="2"/>
  <c r="L27" i="2"/>
  <c r="K27" i="2"/>
  <c r="J27" i="2"/>
  <c r="I27" i="2"/>
  <c r="H27" i="2"/>
  <c r="G27" i="2"/>
  <c r="F27" i="2"/>
  <c r="E27" i="2"/>
  <c r="D27" i="2"/>
  <c r="O26" i="2"/>
  <c r="N26" i="2"/>
  <c r="M26" i="2"/>
  <c r="L26" i="2"/>
  <c r="K26" i="2"/>
  <c r="J26" i="2"/>
  <c r="I26" i="2"/>
  <c r="H26" i="2"/>
  <c r="G26" i="2"/>
  <c r="F26" i="2"/>
  <c r="E26" i="2"/>
  <c r="D26" i="2"/>
  <c r="O25" i="2"/>
  <c r="O29" i="2" s="1"/>
  <c r="N25" i="2"/>
  <c r="N29" i="2" s="1"/>
  <c r="M25" i="2"/>
  <c r="M29" i="2" s="1"/>
  <c r="L25" i="2"/>
  <c r="L29" i="2" s="1"/>
  <c r="K25" i="2"/>
  <c r="K29" i="2" s="1"/>
  <c r="J25" i="2"/>
  <c r="J29" i="2" s="1"/>
  <c r="I25" i="2"/>
  <c r="I29" i="2" s="1"/>
  <c r="H25" i="2"/>
  <c r="H29" i="2" s="1"/>
  <c r="G25" i="2"/>
  <c r="G29" i="2" s="1"/>
  <c r="F25" i="2"/>
  <c r="F29" i="2" s="1"/>
  <c r="E25" i="2"/>
  <c r="E29" i="2" s="1"/>
  <c r="D25" i="2"/>
  <c r="D29" i="2" s="1"/>
  <c r="C23" i="2"/>
  <c r="C33" i="2" s="1"/>
  <c r="C22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N19" i="2"/>
  <c r="M19" i="2"/>
  <c r="L19" i="2"/>
  <c r="K19" i="2"/>
  <c r="J19" i="2"/>
  <c r="I19" i="2"/>
  <c r="H19" i="2"/>
  <c r="G19" i="2"/>
  <c r="F19" i="2"/>
  <c r="E19" i="2"/>
  <c r="D19" i="2"/>
  <c r="O18" i="2"/>
  <c r="N18" i="2"/>
  <c r="M18" i="2"/>
  <c r="L18" i="2"/>
  <c r="K18" i="2"/>
  <c r="J18" i="2"/>
  <c r="I18" i="2"/>
  <c r="H18" i="2"/>
  <c r="G18" i="2"/>
  <c r="F18" i="2"/>
  <c r="E18" i="2"/>
  <c r="D18" i="2"/>
  <c r="O17" i="2"/>
  <c r="N17" i="2"/>
  <c r="M17" i="2"/>
  <c r="L17" i="2"/>
  <c r="K17" i="2"/>
  <c r="J17" i="2"/>
  <c r="I17" i="2"/>
  <c r="H17" i="2"/>
  <c r="G17" i="2"/>
  <c r="F17" i="2"/>
  <c r="E17" i="2"/>
  <c r="D17" i="2"/>
  <c r="O15" i="2"/>
  <c r="N15" i="2"/>
  <c r="M15" i="2"/>
  <c r="L15" i="2"/>
  <c r="K15" i="2"/>
  <c r="J15" i="2"/>
  <c r="I15" i="2"/>
  <c r="H15" i="2"/>
  <c r="G15" i="2"/>
  <c r="F15" i="2"/>
  <c r="E15" i="2"/>
  <c r="D15" i="2"/>
  <c r="O14" i="2"/>
  <c r="N14" i="2"/>
  <c r="M14" i="2"/>
  <c r="L14" i="2"/>
  <c r="K14" i="2"/>
  <c r="J14" i="2"/>
  <c r="I14" i="2"/>
  <c r="H14" i="2"/>
  <c r="G14" i="2"/>
  <c r="F14" i="2"/>
  <c r="E14" i="2"/>
  <c r="D14" i="2"/>
  <c r="O13" i="2"/>
  <c r="N13" i="2"/>
  <c r="M13" i="2"/>
  <c r="L13" i="2"/>
  <c r="K13" i="2"/>
  <c r="J13" i="2"/>
  <c r="I13" i="2"/>
  <c r="H13" i="2"/>
  <c r="G13" i="2"/>
  <c r="F13" i="2"/>
  <c r="E13" i="2"/>
  <c r="D13" i="2"/>
  <c r="O12" i="2"/>
  <c r="N12" i="2"/>
  <c r="M12" i="2"/>
  <c r="L12" i="2"/>
  <c r="K12" i="2"/>
  <c r="J12" i="2"/>
  <c r="I12" i="2"/>
  <c r="H12" i="2"/>
  <c r="G12" i="2"/>
  <c r="F12" i="2"/>
  <c r="E12" i="2"/>
  <c r="D12" i="2"/>
  <c r="AC11" i="2"/>
  <c r="AB11" i="2"/>
  <c r="AA11" i="2"/>
  <c r="Z11" i="2"/>
  <c r="Y11" i="2"/>
  <c r="X11" i="2"/>
  <c r="W11" i="2"/>
  <c r="V11" i="2"/>
  <c r="U11" i="2"/>
  <c r="T11" i="2"/>
  <c r="S11" i="2"/>
  <c r="R11" i="2"/>
  <c r="O11" i="2"/>
  <c r="N11" i="2"/>
  <c r="M11" i="2"/>
  <c r="L11" i="2"/>
  <c r="K11" i="2"/>
  <c r="J11" i="2"/>
  <c r="I11" i="2"/>
  <c r="H11" i="2"/>
  <c r="G11" i="2"/>
  <c r="F11" i="2"/>
  <c r="E11" i="2"/>
  <c r="D11" i="2"/>
  <c r="AC10" i="2"/>
  <c r="AB10" i="2"/>
  <c r="AA10" i="2"/>
  <c r="Z10" i="2"/>
  <c r="Y10" i="2"/>
  <c r="X10" i="2"/>
  <c r="W10" i="2"/>
  <c r="V10" i="2"/>
  <c r="U10" i="2"/>
  <c r="T10" i="2"/>
  <c r="S10" i="2"/>
  <c r="R10" i="2"/>
  <c r="O10" i="2"/>
  <c r="N10" i="2"/>
  <c r="M10" i="2"/>
  <c r="L10" i="2"/>
  <c r="K10" i="2"/>
  <c r="J10" i="2"/>
  <c r="I10" i="2"/>
  <c r="H10" i="2"/>
  <c r="G10" i="2"/>
  <c r="F10" i="2"/>
  <c r="E10" i="2"/>
  <c r="D10" i="2"/>
  <c r="AC9" i="2"/>
  <c r="AB9" i="2"/>
  <c r="AA9" i="2"/>
  <c r="Z9" i="2"/>
  <c r="Y9" i="2"/>
  <c r="X9" i="2"/>
  <c r="W9" i="2"/>
  <c r="V9" i="2"/>
  <c r="U9" i="2"/>
  <c r="T9" i="2"/>
  <c r="S9" i="2"/>
  <c r="R9" i="2"/>
  <c r="O9" i="2"/>
  <c r="N9" i="2"/>
  <c r="M9" i="2"/>
  <c r="L9" i="2"/>
  <c r="K9" i="2"/>
  <c r="J9" i="2"/>
  <c r="I9" i="2"/>
  <c r="H9" i="2"/>
  <c r="G9" i="2"/>
  <c r="F9" i="2"/>
  <c r="E9" i="2"/>
  <c r="D9" i="2"/>
  <c r="AC8" i="2"/>
  <c r="AB8" i="2"/>
  <c r="AA8" i="2"/>
  <c r="Z8" i="2"/>
  <c r="Y8" i="2"/>
  <c r="X8" i="2"/>
  <c r="W8" i="2"/>
  <c r="V8" i="2"/>
  <c r="U8" i="2"/>
  <c r="T8" i="2"/>
  <c r="S8" i="2"/>
  <c r="R8" i="2"/>
  <c r="O8" i="2"/>
  <c r="N8" i="2"/>
  <c r="M8" i="2"/>
  <c r="L8" i="2"/>
  <c r="K8" i="2"/>
  <c r="J8" i="2"/>
  <c r="I8" i="2"/>
  <c r="H8" i="2"/>
  <c r="G8" i="2"/>
  <c r="F8" i="2"/>
  <c r="E8" i="2"/>
  <c r="D8" i="2"/>
  <c r="O7" i="2"/>
  <c r="N7" i="2"/>
  <c r="M7" i="2"/>
  <c r="L7" i="2"/>
  <c r="K7" i="2"/>
  <c r="J7" i="2"/>
  <c r="I7" i="2"/>
  <c r="H7" i="2"/>
  <c r="G7" i="2"/>
  <c r="F7" i="2"/>
  <c r="E7" i="2"/>
  <c r="D7" i="2"/>
  <c r="O6" i="2"/>
  <c r="O23" i="2" s="1"/>
  <c r="N6" i="2"/>
  <c r="N23" i="2" s="1"/>
  <c r="M6" i="2"/>
  <c r="M23" i="2" s="1"/>
  <c r="L6" i="2"/>
  <c r="L23" i="2" s="1"/>
  <c r="K6" i="2"/>
  <c r="K23" i="2" s="1"/>
  <c r="J6" i="2"/>
  <c r="J23" i="2" s="1"/>
  <c r="I6" i="2"/>
  <c r="I23" i="2" s="1"/>
  <c r="H6" i="2"/>
  <c r="H23" i="2" s="1"/>
  <c r="G6" i="2"/>
  <c r="G23" i="2" s="1"/>
  <c r="F6" i="2"/>
  <c r="F23" i="2" s="1"/>
  <c r="E6" i="2"/>
  <c r="E23" i="2" s="1"/>
  <c r="D6" i="2"/>
  <c r="D23" i="2" s="1"/>
  <c r="AC5" i="2"/>
  <c r="AB5" i="2"/>
  <c r="AA5" i="2"/>
  <c r="Z5" i="2"/>
  <c r="Y5" i="2"/>
  <c r="X5" i="2"/>
  <c r="W5" i="2"/>
  <c r="V5" i="2"/>
  <c r="U5" i="2"/>
  <c r="T5" i="2"/>
  <c r="S5" i="2"/>
  <c r="R5" i="2"/>
  <c r="O5" i="2"/>
  <c r="O22" i="2" s="1"/>
  <c r="N5" i="2"/>
  <c r="N22" i="2" s="1"/>
  <c r="M5" i="2"/>
  <c r="M22" i="2" s="1"/>
  <c r="L5" i="2"/>
  <c r="L22" i="2" s="1"/>
  <c r="K5" i="2"/>
  <c r="K22" i="2" s="1"/>
  <c r="J5" i="2"/>
  <c r="J22" i="2" s="1"/>
  <c r="I5" i="2"/>
  <c r="I22" i="2" s="1"/>
  <c r="H5" i="2"/>
  <c r="H22" i="2" s="1"/>
  <c r="G5" i="2"/>
  <c r="G22" i="2" s="1"/>
  <c r="F5" i="2"/>
  <c r="F22" i="2" s="1"/>
  <c r="E5" i="2"/>
  <c r="E22" i="2" s="1"/>
  <c r="D5" i="2"/>
  <c r="D22" i="2" s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H360" i="1"/>
  <c r="BG360" i="1"/>
  <c r="BE360" i="1"/>
  <c r="BD360" i="1"/>
  <c r="BB360" i="1"/>
  <c r="BA360" i="1"/>
  <c r="AY360" i="1"/>
  <c r="AX360" i="1"/>
  <c r="AV360" i="1"/>
  <c r="AU360" i="1"/>
  <c r="AQ360" i="1"/>
  <c r="AN360" i="1"/>
  <c r="AK360" i="1"/>
  <c r="BI360" i="1" s="1"/>
  <c r="AH360" i="1"/>
  <c r="AE360" i="1"/>
  <c r="AB360" i="1"/>
  <c r="BF360" i="1" s="1"/>
  <c r="Y360" i="1"/>
  <c r="V360" i="1"/>
  <c r="S360" i="1"/>
  <c r="BC360" i="1" s="1"/>
  <c r="P360" i="1"/>
  <c r="M360" i="1"/>
  <c r="J360" i="1"/>
  <c r="BH359" i="1"/>
  <c r="BG359" i="1"/>
  <c r="BE359" i="1"/>
  <c r="BD359" i="1"/>
  <c r="BB359" i="1"/>
  <c r="BA359" i="1"/>
  <c r="AY359" i="1"/>
  <c r="AX359" i="1"/>
  <c r="AV359" i="1"/>
  <c r="AU359" i="1"/>
  <c r="AQ359" i="1"/>
  <c r="AN359" i="1"/>
  <c r="AK359" i="1"/>
  <c r="BI359" i="1" s="1"/>
  <c r="AH359" i="1"/>
  <c r="AE359" i="1"/>
  <c r="AB359" i="1"/>
  <c r="BF359" i="1" s="1"/>
  <c r="Y359" i="1"/>
  <c r="V359" i="1"/>
  <c r="S359" i="1"/>
  <c r="BC359" i="1" s="1"/>
  <c r="P359" i="1"/>
  <c r="M359" i="1"/>
  <c r="J359" i="1"/>
  <c r="BH358" i="1"/>
  <c r="BG358" i="1"/>
  <c r="BE358" i="1"/>
  <c r="BD358" i="1"/>
  <c r="BB358" i="1"/>
  <c r="BA358" i="1"/>
  <c r="AY358" i="1"/>
  <c r="AX358" i="1"/>
  <c r="AV358" i="1"/>
  <c r="AU358" i="1"/>
  <c r="AQ358" i="1"/>
  <c r="AN358" i="1"/>
  <c r="AK358" i="1"/>
  <c r="BI358" i="1" s="1"/>
  <c r="AH358" i="1"/>
  <c r="AE358" i="1"/>
  <c r="AB358" i="1"/>
  <c r="BF358" i="1" s="1"/>
  <c r="Y358" i="1"/>
  <c r="V358" i="1"/>
  <c r="S358" i="1"/>
  <c r="BC358" i="1" s="1"/>
  <c r="P358" i="1"/>
  <c r="M358" i="1"/>
  <c r="J358" i="1"/>
  <c r="BH357" i="1"/>
  <c r="BG357" i="1"/>
  <c r="BE357" i="1"/>
  <c r="BD357" i="1"/>
  <c r="BB357" i="1"/>
  <c r="BA357" i="1"/>
  <c r="AY357" i="1"/>
  <c r="AX357" i="1"/>
  <c r="AV357" i="1"/>
  <c r="AU357" i="1"/>
  <c r="BH356" i="1"/>
  <c r="BG356" i="1"/>
  <c r="BE356" i="1"/>
  <c r="BD356" i="1"/>
  <c r="BB356" i="1"/>
  <c r="BA356" i="1"/>
  <c r="AY356" i="1"/>
  <c r="AX356" i="1"/>
  <c r="AV356" i="1"/>
  <c r="AU356" i="1"/>
  <c r="AQ356" i="1"/>
  <c r="AN356" i="1"/>
  <c r="AK356" i="1"/>
  <c r="BI356" i="1" s="1"/>
  <c r="AH356" i="1"/>
  <c r="AE356" i="1"/>
  <c r="AB356" i="1"/>
  <c r="BF356" i="1" s="1"/>
  <c r="Y356" i="1"/>
  <c r="V356" i="1"/>
  <c r="S356" i="1"/>
  <c r="BC356" i="1" s="1"/>
  <c r="P356" i="1"/>
  <c r="M356" i="1"/>
  <c r="J356" i="1"/>
  <c r="BH355" i="1"/>
  <c r="BG355" i="1"/>
  <c r="BE355" i="1"/>
  <c r="BD355" i="1"/>
  <c r="BB355" i="1"/>
  <c r="BA355" i="1"/>
  <c r="AY355" i="1"/>
  <c r="AX355" i="1"/>
  <c r="AV355" i="1"/>
  <c r="AU355" i="1"/>
  <c r="AQ355" i="1"/>
  <c r="AN355" i="1"/>
  <c r="AK355" i="1"/>
  <c r="BI355" i="1" s="1"/>
  <c r="AH355" i="1"/>
  <c r="AE355" i="1"/>
  <c r="AB355" i="1"/>
  <c r="BF355" i="1" s="1"/>
  <c r="Y355" i="1"/>
  <c r="V355" i="1"/>
  <c r="S355" i="1"/>
  <c r="BC355" i="1" s="1"/>
  <c r="P355" i="1"/>
  <c r="M355" i="1"/>
  <c r="J355" i="1"/>
  <c r="BH354" i="1"/>
  <c r="BG354" i="1"/>
  <c r="BE354" i="1"/>
  <c r="BD354" i="1"/>
  <c r="BB354" i="1"/>
  <c r="BA354" i="1"/>
  <c r="AY354" i="1"/>
  <c r="AX354" i="1"/>
  <c r="AV354" i="1"/>
  <c r="AU354" i="1"/>
  <c r="AQ354" i="1"/>
  <c r="AN354" i="1"/>
  <c r="AK354" i="1"/>
  <c r="BI354" i="1" s="1"/>
  <c r="AH354" i="1"/>
  <c r="AE354" i="1"/>
  <c r="AB354" i="1"/>
  <c r="BF354" i="1" s="1"/>
  <c r="Y354" i="1"/>
  <c r="V354" i="1"/>
  <c r="S354" i="1"/>
  <c r="BC354" i="1" s="1"/>
  <c r="P354" i="1"/>
  <c r="M354" i="1"/>
  <c r="J354" i="1"/>
  <c r="BH353" i="1"/>
  <c r="BH363" i="1" s="1"/>
  <c r="BG353" i="1"/>
  <c r="BG363" i="1" s="1"/>
  <c r="BE353" i="1"/>
  <c r="BE363" i="1" s="1"/>
  <c r="BD353" i="1"/>
  <c r="BD363" i="1" s="1"/>
  <c r="BB353" i="1"/>
  <c r="BB363" i="1" s="1"/>
  <c r="BA353" i="1"/>
  <c r="BA363" i="1" s="1"/>
  <c r="AY353" i="1"/>
  <c r="AY363" i="1" s="1"/>
  <c r="AX353" i="1"/>
  <c r="AX363" i="1" s="1"/>
  <c r="AV353" i="1"/>
  <c r="AV363" i="1" s="1"/>
  <c r="AU353" i="1"/>
  <c r="AU363" i="1" s="1"/>
  <c r="AP353" i="1"/>
  <c r="AP363" i="1" s="1"/>
  <c r="AM353" i="1"/>
  <c r="AM363" i="1" s="1"/>
  <c r="AJ353" i="1"/>
  <c r="AJ363" i="1" s="1"/>
  <c r="AG353" i="1"/>
  <c r="AG363" i="1" s="1"/>
  <c r="AD353" i="1"/>
  <c r="AD363" i="1" s="1"/>
  <c r="AA353" i="1"/>
  <c r="AA363" i="1" s="1"/>
  <c r="X353" i="1"/>
  <c r="X363" i="1" s="1"/>
  <c r="U353" i="1"/>
  <c r="U363" i="1" s="1"/>
  <c r="R353" i="1"/>
  <c r="R363" i="1" s="1"/>
  <c r="O353" i="1"/>
  <c r="O363" i="1" s="1"/>
  <c r="L353" i="1"/>
  <c r="L363" i="1" s="1"/>
  <c r="I353" i="1"/>
  <c r="I363" i="1" s="1"/>
  <c r="BH351" i="1"/>
  <c r="BG351" i="1"/>
  <c r="BE351" i="1"/>
  <c r="BD351" i="1"/>
  <c r="BB351" i="1"/>
  <c r="BA351" i="1"/>
  <c r="AY351" i="1"/>
  <c r="AX351" i="1"/>
  <c r="AV351" i="1"/>
  <c r="AU351" i="1"/>
  <c r="AQ351" i="1"/>
  <c r="AN351" i="1"/>
  <c r="AK351" i="1"/>
  <c r="BI351" i="1" s="1"/>
  <c r="AH351" i="1"/>
  <c r="AE351" i="1"/>
  <c r="AB351" i="1"/>
  <c r="BF351" i="1" s="1"/>
  <c r="Y351" i="1"/>
  <c r="V351" i="1"/>
  <c r="S351" i="1"/>
  <c r="BC351" i="1" s="1"/>
  <c r="P351" i="1"/>
  <c r="M351" i="1"/>
  <c r="J351" i="1"/>
  <c r="BH350" i="1"/>
  <c r="BG350" i="1"/>
  <c r="BE350" i="1"/>
  <c r="BD350" i="1"/>
  <c r="BB350" i="1"/>
  <c r="BA350" i="1"/>
  <c r="AY350" i="1"/>
  <c r="AX350" i="1"/>
  <c r="AV350" i="1"/>
  <c r="AU350" i="1"/>
  <c r="AS350" i="1"/>
  <c r="AR350" i="1"/>
  <c r="AQ350" i="1"/>
  <c r="AN350" i="1"/>
  <c r="AK350" i="1"/>
  <c r="BI350" i="1" s="1"/>
  <c r="AH350" i="1"/>
  <c r="AE350" i="1"/>
  <c r="AB350" i="1"/>
  <c r="BF350" i="1" s="1"/>
  <c r="Y350" i="1"/>
  <c r="V350" i="1"/>
  <c r="S350" i="1"/>
  <c r="BC350" i="1" s="1"/>
  <c r="P350" i="1"/>
  <c r="M350" i="1"/>
  <c r="J350" i="1"/>
  <c r="BH349" i="1"/>
  <c r="BG349" i="1"/>
  <c r="BE349" i="1"/>
  <c r="BD349" i="1"/>
  <c r="BB349" i="1"/>
  <c r="BA349" i="1"/>
  <c r="AY349" i="1"/>
  <c r="AX349" i="1"/>
  <c r="AV349" i="1"/>
  <c r="AU349" i="1"/>
  <c r="AS349" i="1"/>
  <c r="AR349" i="1"/>
  <c r="AQ349" i="1"/>
  <c r="AN349" i="1"/>
  <c r="AK349" i="1"/>
  <c r="BI349" i="1" s="1"/>
  <c r="AH349" i="1"/>
  <c r="AE349" i="1"/>
  <c r="AB349" i="1"/>
  <c r="BF349" i="1" s="1"/>
  <c r="Y349" i="1"/>
  <c r="V349" i="1"/>
  <c r="S349" i="1"/>
  <c r="BC349" i="1" s="1"/>
  <c r="P349" i="1"/>
  <c r="M349" i="1"/>
  <c r="J349" i="1"/>
  <c r="BH348" i="1"/>
  <c r="BG348" i="1"/>
  <c r="BE348" i="1"/>
  <c r="BD348" i="1"/>
  <c r="BB348" i="1"/>
  <c r="BA348" i="1"/>
  <c r="AY348" i="1"/>
  <c r="AX348" i="1"/>
  <c r="AV348" i="1"/>
  <c r="AU348" i="1"/>
  <c r="AS348" i="1"/>
  <c r="AR348" i="1"/>
  <c r="AQ348" i="1"/>
  <c r="AN348" i="1"/>
  <c r="AK348" i="1"/>
  <c r="BI348" i="1" s="1"/>
  <c r="AH348" i="1"/>
  <c r="AE348" i="1"/>
  <c r="AB348" i="1"/>
  <c r="BF348" i="1" s="1"/>
  <c r="Y348" i="1"/>
  <c r="V348" i="1"/>
  <c r="S348" i="1"/>
  <c r="BC348" i="1" s="1"/>
  <c r="P348" i="1"/>
  <c r="M348" i="1"/>
  <c r="J348" i="1"/>
  <c r="BH347" i="1"/>
  <c r="BG347" i="1"/>
  <c r="BE347" i="1"/>
  <c r="BD347" i="1"/>
  <c r="BB347" i="1"/>
  <c r="BA347" i="1"/>
  <c r="AY347" i="1"/>
  <c r="AX347" i="1"/>
  <c r="AV347" i="1"/>
  <c r="AU347" i="1"/>
  <c r="AS347" i="1"/>
  <c r="AR347" i="1"/>
  <c r="AQ347" i="1"/>
  <c r="AN347" i="1"/>
  <c r="AK347" i="1"/>
  <c r="BI347" i="1" s="1"/>
  <c r="AH347" i="1"/>
  <c r="AE347" i="1"/>
  <c r="AB347" i="1"/>
  <c r="BF347" i="1" s="1"/>
  <c r="Y347" i="1"/>
  <c r="V347" i="1"/>
  <c r="S347" i="1"/>
  <c r="BC347" i="1" s="1"/>
  <c r="P347" i="1"/>
  <c r="M347" i="1"/>
  <c r="J347" i="1"/>
  <c r="BH346" i="1"/>
  <c r="BG346" i="1"/>
  <c r="BE346" i="1"/>
  <c r="BD346" i="1"/>
  <c r="BB346" i="1"/>
  <c r="BA346" i="1"/>
  <c r="AY346" i="1"/>
  <c r="AX346" i="1"/>
  <c r="AV346" i="1"/>
  <c r="AU346" i="1"/>
  <c r="AS346" i="1"/>
  <c r="AR346" i="1"/>
  <c r="AQ346" i="1"/>
  <c r="AN346" i="1"/>
  <c r="AK346" i="1"/>
  <c r="BI346" i="1" s="1"/>
  <c r="AH346" i="1"/>
  <c r="AE346" i="1"/>
  <c r="AB346" i="1"/>
  <c r="BF346" i="1" s="1"/>
  <c r="Y346" i="1"/>
  <c r="V346" i="1"/>
  <c r="S346" i="1"/>
  <c r="BC346" i="1" s="1"/>
  <c r="P346" i="1"/>
  <c r="M346" i="1"/>
  <c r="J346" i="1"/>
  <c r="BH345" i="1"/>
  <c r="BG345" i="1"/>
  <c r="BE345" i="1"/>
  <c r="BD345" i="1"/>
  <c r="BB345" i="1"/>
  <c r="BA345" i="1"/>
  <c r="AY345" i="1"/>
  <c r="AX345" i="1"/>
  <c r="AV345" i="1"/>
  <c r="AU345" i="1"/>
  <c r="AS345" i="1"/>
  <c r="AR345" i="1"/>
  <c r="AQ345" i="1"/>
  <c r="AN345" i="1"/>
  <c r="AK345" i="1"/>
  <c r="BI345" i="1" s="1"/>
  <c r="AH345" i="1"/>
  <c r="AE345" i="1"/>
  <c r="AB345" i="1"/>
  <c r="BF345" i="1" s="1"/>
  <c r="Y345" i="1"/>
  <c r="V345" i="1"/>
  <c r="S345" i="1"/>
  <c r="BC345" i="1" s="1"/>
  <c r="P345" i="1"/>
  <c r="M345" i="1"/>
  <c r="J345" i="1"/>
  <c r="BH344" i="1"/>
  <c r="BG344" i="1"/>
  <c r="BE344" i="1"/>
  <c r="BD344" i="1"/>
  <c r="BB344" i="1"/>
  <c r="BA344" i="1"/>
  <c r="AY344" i="1"/>
  <c r="AX344" i="1"/>
  <c r="AV344" i="1"/>
  <c r="AU344" i="1"/>
  <c r="AS344" i="1"/>
  <c r="AR344" i="1"/>
  <c r="AQ344" i="1"/>
  <c r="AN344" i="1"/>
  <c r="AK344" i="1"/>
  <c r="BI344" i="1" s="1"/>
  <c r="AH344" i="1"/>
  <c r="AE344" i="1"/>
  <c r="AB344" i="1"/>
  <c r="BF344" i="1" s="1"/>
  <c r="Y344" i="1"/>
  <c r="V344" i="1"/>
  <c r="S344" i="1"/>
  <c r="BC344" i="1" s="1"/>
  <c r="P344" i="1"/>
  <c r="M344" i="1"/>
  <c r="J344" i="1"/>
  <c r="BH343" i="1"/>
  <c r="BG343" i="1"/>
  <c r="BE343" i="1"/>
  <c r="BD343" i="1"/>
  <c r="BB343" i="1"/>
  <c r="BA343" i="1"/>
  <c r="AY343" i="1"/>
  <c r="AX343" i="1"/>
  <c r="AV343" i="1"/>
  <c r="AU343" i="1"/>
  <c r="AS343" i="1"/>
  <c r="AR343" i="1"/>
  <c r="AQ343" i="1"/>
  <c r="AN343" i="1"/>
  <c r="AK343" i="1"/>
  <c r="BI343" i="1" s="1"/>
  <c r="AH343" i="1"/>
  <c r="AE343" i="1"/>
  <c r="AB343" i="1"/>
  <c r="BF343" i="1" s="1"/>
  <c r="Y343" i="1"/>
  <c r="V343" i="1"/>
  <c r="S343" i="1"/>
  <c r="BC343" i="1" s="1"/>
  <c r="P343" i="1"/>
  <c r="M343" i="1"/>
  <c r="J343" i="1"/>
  <c r="BH342" i="1"/>
  <c r="BG342" i="1"/>
  <c r="BE342" i="1"/>
  <c r="BD342" i="1"/>
  <c r="BB342" i="1"/>
  <c r="BA342" i="1"/>
  <c r="AY342" i="1"/>
  <c r="AX342" i="1"/>
  <c r="AV342" i="1"/>
  <c r="AU342" i="1"/>
  <c r="AS342" i="1"/>
  <c r="AR342" i="1"/>
  <c r="AQ342" i="1"/>
  <c r="AN342" i="1"/>
  <c r="AK342" i="1"/>
  <c r="BI342" i="1" s="1"/>
  <c r="AH342" i="1"/>
  <c r="AE342" i="1"/>
  <c r="AB342" i="1"/>
  <c r="BF342" i="1" s="1"/>
  <c r="Y342" i="1"/>
  <c r="V342" i="1"/>
  <c r="S342" i="1"/>
  <c r="BC342" i="1" s="1"/>
  <c r="P342" i="1"/>
  <c r="M342" i="1"/>
  <c r="J342" i="1"/>
  <c r="BH341" i="1"/>
  <c r="BG341" i="1"/>
  <c r="BE341" i="1"/>
  <c r="BD341" i="1"/>
  <c r="BB341" i="1"/>
  <c r="BA341" i="1"/>
  <c r="AY341" i="1"/>
  <c r="AX341" i="1"/>
  <c r="AV341" i="1"/>
  <c r="AU341" i="1"/>
  <c r="AS341" i="1"/>
  <c r="AR341" i="1"/>
  <c r="AQ341" i="1"/>
  <c r="AN341" i="1"/>
  <c r="AK341" i="1"/>
  <c r="BI341" i="1" s="1"/>
  <c r="AH341" i="1"/>
  <c r="AE341" i="1"/>
  <c r="AB341" i="1"/>
  <c r="BF341" i="1" s="1"/>
  <c r="Y341" i="1"/>
  <c r="V341" i="1"/>
  <c r="S341" i="1"/>
  <c r="BC341" i="1" s="1"/>
  <c r="P341" i="1"/>
  <c r="M341" i="1"/>
  <c r="J341" i="1"/>
  <c r="BH340" i="1"/>
  <c r="BG340" i="1"/>
  <c r="BE340" i="1"/>
  <c r="BD340" i="1"/>
  <c r="BB340" i="1"/>
  <c r="BA340" i="1"/>
  <c r="AY340" i="1"/>
  <c r="AX340" i="1"/>
  <c r="AV340" i="1"/>
  <c r="AU340" i="1"/>
  <c r="AS340" i="1"/>
  <c r="AR340" i="1"/>
  <c r="AQ340" i="1"/>
  <c r="AN340" i="1"/>
  <c r="AK340" i="1"/>
  <c r="BI340" i="1" s="1"/>
  <c r="AH340" i="1"/>
  <c r="AE340" i="1"/>
  <c r="AB340" i="1"/>
  <c r="BF340" i="1" s="1"/>
  <c r="Y340" i="1"/>
  <c r="V340" i="1"/>
  <c r="S340" i="1"/>
  <c r="BC340" i="1" s="1"/>
  <c r="P340" i="1"/>
  <c r="M340" i="1"/>
  <c r="J340" i="1"/>
  <c r="BH339" i="1"/>
  <c r="BG339" i="1"/>
  <c r="BE339" i="1"/>
  <c r="BD339" i="1"/>
  <c r="BB339" i="1"/>
  <c r="BA339" i="1"/>
  <c r="AY339" i="1"/>
  <c r="AX339" i="1"/>
  <c r="AV339" i="1"/>
  <c r="AU339" i="1"/>
  <c r="AS339" i="1"/>
  <c r="AR339" i="1"/>
  <c r="AQ339" i="1"/>
  <c r="AN339" i="1"/>
  <c r="AK339" i="1"/>
  <c r="BI339" i="1" s="1"/>
  <c r="AH339" i="1"/>
  <c r="AE339" i="1"/>
  <c r="AB339" i="1"/>
  <c r="BF339" i="1" s="1"/>
  <c r="Y339" i="1"/>
  <c r="V339" i="1"/>
  <c r="S339" i="1"/>
  <c r="BC339" i="1" s="1"/>
  <c r="P339" i="1"/>
  <c r="M339" i="1"/>
  <c r="J339" i="1"/>
  <c r="BH338" i="1"/>
  <c r="BG338" i="1"/>
  <c r="BE338" i="1"/>
  <c r="BD338" i="1"/>
  <c r="BB338" i="1"/>
  <c r="BA338" i="1"/>
  <c r="AY338" i="1"/>
  <c r="AX338" i="1"/>
  <c r="AV338" i="1"/>
  <c r="AU338" i="1"/>
  <c r="AS338" i="1"/>
  <c r="AR338" i="1"/>
  <c r="AQ338" i="1"/>
  <c r="AN338" i="1"/>
  <c r="AK338" i="1"/>
  <c r="BI338" i="1" s="1"/>
  <c r="AH338" i="1"/>
  <c r="AE338" i="1"/>
  <c r="AB338" i="1"/>
  <c r="BF338" i="1" s="1"/>
  <c r="Y338" i="1"/>
  <c r="V338" i="1"/>
  <c r="S338" i="1"/>
  <c r="BC338" i="1" s="1"/>
  <c r="P338" i="1"/>
  <c r="M338" i="1"/>
  <c r="J338" i="1"/>
  <c r="BH337" i="1"/>
  <c r="BG337" i="1"/>
  <c r="BE337" i="1"/>
  <c r="BD337" i="1"/>
  <c r="BB337" i="1"/>
  <c r="BA337" i="1"/>
  <c r="AY337" i="1"/>
  <c r="AX337" i="1"/>
  <c r="AV337" i="1"/>
  <c r="AU337" i="1"/>
  <c r="AS337" i="1"/>
  <c r="AR337" i="1"/>
  <c r="AQ337" i="1"/>
  <c r="AN337" i="1"/>
  <c r="AK337" i="1"/>
  <c r="BI337" i="1" s="1"/>
  <c r="AH337" i="1"/>
  <c r="AE337" i="1"/>
  <c r="AB337" i="1"/>
  <c r="BF337" i="1" s="1"/>
  <c r="Y337" i="1"/>
  <c r="V337" i="1"/>
  <c r="S337" i="1"/>
  <c r="BC337" i="1" s="1"/>
  <c r="P337" i="1"/>
  <c r="M337" i="1"/>
  <c r="J337" i="1"/>
  <c r="BH336" i="1"/>
  <c r="BG336" i="1"/>
  <c r="BE336" i="1"/>
  <c r="BD336" i="1"/>
  <c r="BB336" i="1"/>
  <c r="BA336" i="1"/>
  <c r="AY336" i="1"/>
  <c r="AX336" i="1"/>
  <c r="AV336" i="1"/>
  <c r="AU336" i="1"/>
  <c r="AS336" i="1"/>
  <c r="AR336" i="1"/>
  <c r="AQ336" i="1"/>
  <c r="AN336" i="1"/>
  <c r="AK336" i="1"/>
  <c r="BI336" i="1" s="1"/>
  <c r="AH336" i="1"/>
  <c r="AE336" i="1"/>
  <c r="AB336" i="1"/>
  <c r="BF336" i="1" s="1"/>
  <c r="Y336" i="1"/>
  <c r="V336" i="1"/>
  <c r="S336" i="1"/>
  <c r="BC336" i="1" s="1"/>
  <c r="P336" i="1"/>
  <c r="M336" i="1"/>
  <c r="J336" i="1"/>
  <c r="BH335" i="1"/>
  <c r="BG335" i="1"/>
  <c r="BE335" i="1"/>
  <c r="BD335" i="1"/>
  <c r="BB335" i="1"/>
  <c r="BA335" i="1"/>
  <c r="AY335" i="1"/>
  <c r="AX335" i="1"/>
  <c r="AV335" i="1"/>
  <c r="AU335" i="1"/>
  <c r="AS335" i="1"/>
  <c r="AR335" i="1"/>
  <c r="AQ335" i="1"/>
  <c r="AN335" i="1"/>
  <c r="AK335" i="1"/>
  <c r="BI335" i="1" s="1"/>
  <c r="AH335" i="1"/>
  <c r="AE335" i="1"/>
  <c r="AB335" i="1"/>
  <c r="BF335" i="1" s="1"/>
  <c r="Y335" i="1"/>
  <c r="V335" i="1"/>
  <c r="S335" i="1"/>
  <c r="BC335" i="1" s="1"/>
  <c r="P335" i="1"/>
  <c r="M335" i="1"/>
  <c r="J335" i="1"/>
  <c r="BH334" i="1"/>
  <c r="BG334" i="1"/>
  <c r="BE334" i="1"/>
  <c r="BD334" i="1"/>
  <c r="BB334" i="1"/>
  <c r="BA334" i="1"/>
  <c r="AY334" i="1"/>
  <c r="AX334" i="1"/>
  <c r="AV334" i="1"/>
  <c r="AU334" i="1"/>
  <c r="AQ334" i="1"/>
  <c r="AP334" i="1"/>
  <c r="AN334" i="1"/>
  <c r="AM334" i="1"/>
  <c r="AK334" i="1"/>
  <c r="AJ334" i="1"/>
  <c r="AH334" i="1"/>
  <c r="AG334" i="1"/>
  <c r="AE334" i="1"/>
  <c r="AD334" i="1"/>
  <c r="AB334" i="1"/>
  <c r="AA334" i="1"/>
  <c r="Y334" i="1"/>
  <c r="X334" i="1"/>
  <c r="V334" i="1"/>
  <c r="U334" i="1"/>
  <c r="S334" i="1"/>
  <c r="R334" i="1"/>
  <c r="P334" i="1"/>
  <c r="O334" i="1"/>
  <c r="M334" i="1"/>
  <c r="L334" i="1"/>
  <c r="J334" i="1"/>
  <c r="I334" i="1"/>
  <c r="BG329" i="1"/>
  <c r="BD329" i="1"/>
  <c r="BA329" i="1"/>
  <c r="AX329" i="1"/>
  <c r="AU329" i="1"/>
  <c r="AR329" i="1"/>
  <c r="AP329" i="1"/>
  <c r="AM329" i="1"/>
  <c r="AJ329" i="1"/>
  <c r="BH329" i="1" s="1"/>
  <c r="AG329" i="1"/>
  <c r="AD329" i="1"/>
  <c r="AA329" i="1"/>
  <c r="BE329" i="1" s="1"/>
  <c r="X329" i="1"/>
  <c r="U329" i="1"/>
  <c r="R329" i="1"/>
  <c r="BB329" i="1" s="1"/>
  <c r="O329" i="1"/>
  <c r="L329" i="1"/>
  <c r="I329" i="1"/>
  <c r="BG328" i="1"/>
  <c r="BD328" i="1"/>
  <c r="BA328" i="1"/>
  <c r="AX328" i="1"/>
  <c r="AU328" i="1"/>
  <c r="AR328" i="1"/>
  <c r="AP328" i="1"/>
  <c r="AM328" i="1"/>
  <c r="AJ328" i="1"/>
  <c r="BH328" i="1" s="1"/>
  <c r="AG328" i="1"/>
  <c r="AD328" i="1"/>
  <c r="AA328" i="1"/>
  <c r="BE328" i="1" s="1"/>
  <c r="X328" i="1"/>
  <c r="U328" i="1"/>
  <c r="S328" i="1"/>
  <c r="R328" i="1"/>
  <c r="BB328" i="1" s="1"/>
  <c r="O328" i="1"/>
  <c r="L328" i="1"/>
  <c r="I328" i="1"/>
  <c r="BG327" i="1"/>
  <c r="BD327" i="1"/>
  <c r="BA327" i="1"/>
  <c r="AX327" i="1"/>
  <c r="AU327" i="1"/>
  <c r="AR327" i="1"/>
  <c r="AP327" i="1"/>
  <c r="AM327" i="1"/>
  <c r="AJ327" i="1"/>
  <c r="BH327" i="1" s="1"/>
  <c r="AG327" i="1"/>
  <c r="AD327" i="1"/>
  <c r="AA327" i="1"/>
  <c r="BE327" i="1" s="1"/>
  <c r="X327" i="1"/>
  <c r="U327" i="1"/>
  <c r="R327" i="1"/>
  <c r="BB327" i="1" s="1"/>
  <c r="O327" i="1"/>
  <c r="L327" i="1"/>
  <c r="I327" i="1"/>
  <c r="BG326" i="1"/>
  <c r="BD326" i="1"/>
  <c r="BA326" i="1"/>
  <c r="AX326" i="1"/>
  <c r="AU326" i="1"/>
  <c r="AR326" i="1"/>
  <c r="AP326" i="1"/>
  <c r="AM326" i="1"/>
  <c r="AJ326" i="1"/>
  <c r="BH326" i="1" s="1"/>
  <c r="BH325" i="1" s="1"/>
  <c r="AG326" i="1"/>
  <c r="AD326" i="1"/>
  <c r="AA326" i="1"/>
  <c r="BE326" i="1" s="1"/>
  <c r="BE325" i="1" s="1"/>
  <c r="X326" i="1"/>
  <c r="U326" i="1"/>
  <c r="R326" i="1"/>
  <c r="BB326" i="1" s="1"/>
  <c r="BB325" i="1" s="1"/>
  <c r="O326" i="1"/>
  <c r="L326" i="1"/>
  <c r="L325" i="1" s="1"/>
  <c r="I326" i="1"/>
  <c r="BG325" i="1"/>
  <c r="BD325" i="1"/>
  <c r="BA325" i="1"/>
  <c r="AX325" i="1"/>
  <c r="AU325" i="1"/>
  <c r="AP325" i="1"/>
  <c r="AM325" i="1"/>
  <c r="AJ325" i="1"/>
  <c r="AG325" i="1"/>
  <c r="AD325" i="1"/>
  <c r="AA325" i="1"/>
  <c r="X325" i="1"/>
  <c r="U325" i="1"/>
  <c r="R325" i="1"/>
  <c r="O325" i="1"/>
  <c r="BG321" i="1"/>
  <c r="BD321" i="1"/>
  <c r="BA321" i="1"/>
  <c r="AX321" i="1"/>
  <c r="AU321" i="1"/>
  <c r="AQ321" i="1"/>
  <c r="AP321" i="1"/>
  <c r="AN321" i="1"/>
  <c r="AM321" i="1"/>
  <c r="AK321" i="1"/>
  <c r="AJ321" i="1"/>
  <c r="AH321" i="1"/>
  <c r="AG321" i="1"/>
  <c r="AE321" i="1"/>
  <c r="AD321" i="1"/>
  <c r="AB321" i="1"/>
  <c r="AA321" i="1"/>
  <c r="Y321" i="1"/>
  <c r="X321" i="1"/>
  <c r="V321" i="1"/>
  <c r="U321" i="1"/>
  <c r="S321" i="1"/>
  <c r="R321" i="1"/>
  <c r="P321" i="1"/>
  <c r="O321" i="1"/>
  <c r="M321" i="1"/>
  <c r="L321" i="1"/>
  <c r="J321" i="1"/>
  <c r="I321" i="1"/>
  <c r="BG320" i="1"/>
  <c r="BD320" i="1"/>
  <c r="BA320" i="1"/>
  <c r="AX320" i="1"/>
  <c r="AU320" i="1"/>
  <c r="AQ320" i="1"/>
  <c r="AP320" i="1"/>
  <c r="AN320" i="1"/>
  <c r="AM320" i="1"/>
  <c r="AK320" i="1"/>
  <c r="BI320" i="1" s="1"/>
  <c r="AJ320" i="1"/>
  <c r="BH320" i="1" s="1"/>
  <c r="AH320" i="1"/>
  <c r="AG320" i="1"/>
  <c r="AE320" i="1"/>
  <c r="AD320" i="1"/>
  <c r="AB320" i="1"/>
  <c r="BF320" i="1" s="1"/>
  <c r="AA320" i="1"/>
  <c r="BE320" i="1" s="1"/>
  <c r="Y320" i="1"/>
  <c r="X320" i="1"/>
  <c r="V320" i="1"/>
  <c r="U320" i="1"/>
  <c r="S320" i="1"/>
  <c r="BC320" i="1" s="1"/>
  <c r="R320" i="1"/>
  <c r="BB320" i="1" s="1"/>
  <c r="P320" i="1"/>
  <c r="O320" i="1"/>
  <c r="M320" i="1"/>
  <c r="L320" i="1"/>
  <c r="J320" i="1"/>
  <c r="I320" i="1"/>
  <c r="BH318" i="1"/>
  <c r="BG318" i="1"/>
  <c r="BE318" i="1"/>
  <c r="BD318" i="1"/>
  <c r="BB318" i="1"/>
  <c r="BA318" i="1"/>
  <c r="AY318" i="1"/>
  <c r="AX318" i="1"/>
  <c r="AV318" i="1"/>
  <c r="AU318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BG305" i="1"/>
  <c r="BD305" i="1"/>
  <c r="BA305" i="1"/>
  <c r="AX305" i="1"/>
  <c r="AU305" i="1"/>
  <c r="AP305" i="1"/>
  <c r="AM305" i="1"/>
  <c r="AJ305" i="1"/>
  <c r="BH305" i="1" s="1"/>
  <c r="AG305" i="1"/>
  <c r="AD305" i="1"/>
  <c r="AA305" i="1"/>
  <c r="BE305" i="1" s="1"/>
  <c r="X305" i="1"/>
  <c r="U305" i="1"/>
  <c r="R305" i="1"/>
  <c r="BB305" i="1" s="1"/>
  <c r="O305" i="1"/>
  <c r="L305" i="1"/>
  <c r="I305" i="1"/>
  <c r="BG304" i="1"/>
  <c r="BD304" i="1"/>
  <c r="BA304" i="1"/>
  <c r="AX304" i="1"/>
  <c r="AU304" i="1"/>
  <c r="AQ304" i="1"/>
  <c r="AP304" i="1"/>
  <c r="AN304" i="1"/>
  <c r="AM304" i="1"/>
  <c r="AK304" i="1"/>
  <c r="BI304" i="1" s="1"/>
  <c r="AJ304" i="1"/>
  <c r="BH304" i="1" s="1"/>
  <c r="AH304" i="1"/>
  <c r="AG304" i="1"/>
  <c r="AE304" i="1"/>
  <c r="AD304" i="1"/>
  <c r="AB304" i="1"/>
  <c r="BF304" i="1" s="1"/>
  <c r="AA304" i="1"/>
  <c r="BE304" i="1" s="1"/>
  <c r="Y304" i="1"/>
  <c r="X304" i="1"/>
  <c r="V304" i="1"/>
  <c r="U304" i="1"/>
  <c r="S304" i="1"/>
  <c r="BC304" i="1" s="1"/>
  <c r="R304" i="1"/>
  <c r="BB304" i="1" s="1"/>
  <c r="P304" i="1"/>
  <c r="O304" i="1"/>
  <c r="M304" i="1"/>
  <c r="L304" i="1"/>
  <c r="J304" i="1"/>
  <c r="I304" i="1"/>
  <c r="BG303" i="1"/>
  <c r="BD303" i="1"/>
  <c r="BA303" i="1"/>
  <c r="AX303" i="1"/>
  <c r="AU303" i="1"/>
  <c r="AQ303" i="1"/>
  <c r="AP303" i="1"/>
  <c r="AN303" i="1"/>
  <c r="AM303" i="1"/>
  <c r="AK303" i="1"/>
  <c r="BI303" i="1" s="1"/>
  <c r="AJ303" i="1"/>
  <c r="BH303" i="1" s="1"/>
  <c r="BH302" i="1" s="1"/>
  <c r="AH303" i="1"/>
  <c r="AG303" i="1"/>
  <c r="AE303" i="1"/>
  <c r="AD303" i="1"/>
  <c r="AB303" i="1"/>
  <c r="BF303" i="1" s="1"/>
  <c r="AA303" i="1"/>
  <c r="BE303" i="1" s="1"/>
  <c r="BE302" i="1" s="1"/>
  <c r="Y303" i="1"/>
  <c r="X303" i="1"/>
  <c r="V303" i="1"/>
  <c r="U303" i="1"/>
  <c r="S303" i="1"/>
  <c r="BC303" i="1" s="1"/>
  <c r="R303" i="1"/>
  <c r="BB303" i="1" s="1"/>
  <c r="BB302" i="1" s="1"/>
  <c r="P303" i="1"/>
  <c r="O303" i="1"/>
  <c r="M303" i="1"/>
  <c r="L303" i="1"/>
  <c r="J303" i="1"/>
  <c r="I303" i="1"/>
  <c r="BG302" i="1"/>
  <c r="BG306" i="1" s="1"/>
  <c r="BD302" i="1"/>
  <c r="BD306" i="1" s="1"/>
  <c r="BA302" i="1"/>
  <c r="BA306" i="1" s="1"/>
  <c r="AX302" i="1"/>
  <c r="AX306" i="1" s="1"/>
  <c r="AU302" i="1"/>
  <c r="AU306" i="1" s="1"/>
  <c r="AP302" i="1"/>
  <c r="AP306" i="1" s="1"/>
  <c r="AM302" i="1"/>
  <c r="AM306" i="1" s="1"/>
  <c r="AJ302" i="1"/>
  <c r="AJ306" i="1" s="1"/>
  <c r="AG302" i="1"/>
  <c r="AG306" i="1" s="1"/>
  <c r="AD302" i="1"/>
  <c r="AD306" i="1" s="1"/>
  <c r="AA302" i="1"/>
  <c r="AA306" i="1" s="1"/>
  <c r="X302" i="1"/>
  <c r="X306" i="1" s="1"/>
  <c r="U302" i="1"/>
  <c r="U306" i="1" s="1"/>
  <c r="R302" i="1"/>
  <c r="R306" i="1" s="1"/>
  <c r="O302" i="1"/>
  <c r="O306" i="1" s="1"/>
  <c r="L302" i="1"/>
  <c r="L306" i="1" s="1"/>
  <c r="I302" i="1"/>
  <c r="I306" i="1" s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BG298" i="1"/>
  <c r="BD298" i="1"/>
  <c r="BA298" i="1"/>
  <c r="AX298" i="1"/>
  <c r="AU298" i="1"/>
  <c r="AR298" i="1"/>
  <c r="AQ298" i="1"/>
  <c r="AP298" i="1"/>
  <c r="AN298" i="1"/>
  <c r="AM298" i="1"/>
  <c r="AK298" i="1"/>
  <c r="BI298" i="1" s="1"/>
  <c r="AJ298" i="1"/>
  <c r="BH298" i="1" s="1"/>
  <c r="AH298" i="1"/>
  <c r="AG298" i="1"/>
  <c r="AE298" i="1"/>
  <c r="AD298" i="1"/>
  <c r="AB298" i="1"/>
  <c r="BF298" i="1" s="1"/>
  <c r="AA298" i="1"/>
  <c r="BE298" i="1" s="1"/>
  <c r="Y298" i="1"/>
  <c r="X298" i="1"/>
  <c r="V298" i="1"/>
  <c r="U298" i="1"/>
  <c r="S298" i="1"/>
  <c r="BC298" i="1" s="1"/>
  <c r="R298" i="1"/>
  <c r="BB298" i="1" s="1"/>
  <c r="P298" i="1"/>
  <c r="O298" i="1"/>
  <c r="M298" i="1"/>
  <c r="L298" i="1"/>
  <c r="J298" i="1"/>
  <c r="I298" i="1"/>
  <c r="BG297" i="1"/>
  <c r="BD297" i="1"/>
  <c r="BA297" i="1"/>
  <c r="AX297" i="1"/>
  <c r="AU297" i="1"/>
  <c r="AR297" i="1"/>
  <c r="AQ297" i="1"/>
  <c r="AP297" i="1"/>
  <c r="AN297" i="1"/>
  <c r="AM297" i="1"/>
  <c r="AK297" i="1"/>
  <c r="BI297" i="1" s="1"/>
  <c r="AJ297" i="1"/>
  <c r="BH297" i="1" s="1"/>
  <c r="AH297" i="1"/>
  <c r="AG297" i="1"/>
  <c r="AE297" i="1"/>
  <c r="AD297" i="1"/>
  <c r="AB297" i="1"/>
  <c r="BF297" i="1" s="1"/>
  <c r="AA297" i="1"/>
  <c r="BE297" i="1" s="1"/>
  <c r="Y297" i="1"/>
  <c r="X297" i="1"/>
  <c r="V297" i="1"/>
  <c r="U297" i="1"/>
  <c r="S297" i="1"/>
  <c r="BC297" i="1" s="1"/>
  <c r="R297" i="1"/>
  <c r="BB297" i="1" s="1"/>
  <c r="P297" i="1"/>
  <c r="O297" i="1"/>
  <c r="M297" i="1"/>
  <c r="L297" i="1"/>
  <c r="J297" i="1"/>
  <c r="I297" i="1"/>
  <c r="BG296" i="1"/>
  <c r="BD296" i="1"/>
  <c r="BA296" i="1"/>
  <c r="AX296" i="1"/>
  <c r="AU296" i="1"/>
  <c r="AR296" i="1"/>
  <c r="AQ296" i="1"/>
  <c r="AP296" i="1"/>
  <c r="AN296" i="1"/>
  <c r="AM296" i="1"/>
  <c r="AK296" i="1"/>
  <c r="BI296" i="1" s="1"/>
  <c r="AJ296" i="1"/>
  <c r="BH296" i="1" s="1"/>
  <c r="AH296" i="1"/>
  <c r="AG296" i="1"/>
  <c r="AE296" i="1"/>
  <c r="AD296" i="1"/>
  <c r="AB296" i="1"/>
  <c r="BF296" i="1" s="1"/>
  <c r="AA296" i="1"/>
  <c r="BE296" i="1" s="1"/>
  <c r="Y296" i="1"/>
  <c r="X296" i="1"/>
  <c r="V296" i="1"/>
  <c r="U296" i="1"/>
  <c r="S296" i="1"/>
  <c r="BC296" i="1" s="1"/>
  <c r="R296" i="1"/>
  <c r="BB296" i="1" s="1"/>
  <c r="P296" i="1"/>
  <c r="O296" i="1"/>
  <c r="M296" i="1"/>
  <c r="L296" i="1"/>
  <c r="J296" i="1"/>
  <c r="I296" i="1"/>
  <c r="BG295" i="1"/>
  <c r="BD295" i="1"/>
  <c r="BA295" i="1"/>
  <c r="AX295" i="1"/>
  <c r="AU295" i="1"/>
  <c r="AR295" i="1"/>
  <c r="AQ295" i="1"/>
  <c r="AP295" i="1"/>
  <c r="AN295" i="1"/>
  <c r="AM295" i="1"/>
  <c r="AK295" i="1"/>
  <c r="BI295" i="1" s="1"/>
  <c r="BI294" i="1" s="1"/>
  <c r="AJ295" i="1"/>
  <c r="BH295" i="1" s="1"/>
  <c r="BH294" i="1" s="1"/>
  <c r="AH295" i="1"/>
  <c r="AG295" i="1"/>
  <c r="AE295" i="1"/>
  <c r="AD295" i="1"/>
  <c r="AB295" i="1"/>
  <c r="BF295" i="1" s="1"/>
  <c r="BF294" i="1" s="1"/>
  <c r="AA295" i="1"/>
  <c r="BE295" i="1" s="1"/>
  <c r="BE294" i="1" s="1"/>
  <c r="Y295" i="1"/>
  <c r="X295" i="1"/>
  <c r="V295" i="1"/>
  <c r="U295" i="1"/>
  <c r="S295" i="1"/>
  <c r="BC295" i="1" s="1"/>
  <c r="BC294" i="1" s="1"/>
  <c r="R295" i="1"/>
  <c r="BB295" i="1" s="1"/>
  <c r="BB294" i="1" s="1"/>
  <c r="P295" i="1"/>
  <c r="O295" i="1"/>
  <c r="M295" i="1"/>
  <c r="L295" i="1"/>
  <c r="J295" i="1"/>
  <c r="I295" i="1"/>
  <c r="BG294" i="1"/>
  <c r="BG300" i="1" s="1"/>
  <c r="BD294" i="1"/>
  <c r="BD300" i="1" s="1"/>
  <c r="BA294" i="1"/>
  <c r="BA300" i="1" s="1"/>
  <c r="AX294" i="1"/>
  <c r="AX300" i="1" s="1"/>
  <c r="AU294" i="1"/>
  <c r="AU300" i="1" s="1"/>
  <c r="AQ294" i="1"/>
  <c r="AQ300" i="1" s="1"/>
  <c r="AP294" i="1"/>
  <c r="AP300" i="1" s="1"/>
  <c r="AN294" i="1"/>
  <c r="AN300" i="1" s="1"/>
  <c r="AM294" i="1"/>
  <c r="AM300" i="1" s="1"/>
  <c r="AK294" i="1"/>
  <c r="AK300" i="1" s="1"/>
  <c r="AJ294" i="1"/>
  <c r="AJ300" i="1" s="1"/>
  <c r="AH294" i="1"/>
  <c r="AH300" i="1" s="1"/>
  <c r="AG294" i="1"/>
  <c r="AG300" i="1" s="1"/>
  <c r="AE294" i="1"/>
  <c r="AE300" i="1" s="1"/>
  <c r="AD294" i="1"/>
  <c r="AD300" i="1" s="1"/>
  <c r="AB294" i="1"/>
  <c r="AB300" i="1" s="1"/>
  <c r="AA294" i="1"/>
  <c r="AA300" i="1" s="1"/>
  <c r="Y294" i="1"/>
  <c r="Y300" i="1" s="1"/>
  <c r="X294" i="1"/>
  <c r="X300" i="1" s="1"/>
  <c r="V294" i="1"/>
  <c r="V300" i="1" s="1"/>
  <c r="U294" i="1"/>
  <c r="U300" i="1" s="1"/>
  <c r="S294" i="1"/>
  <c r="S300" i="1" s="1"/>
  <c r="R294" i="1"/>
  <c r="R300" i="1" s="1"/>
  <c r="P294" i="1"/>
  <c r="P300" i="1" s="1"/>
  <c r="O294" i="1"/>
  <c r="O300" i="1" s="1"/>
  <c r="M294" i="1"/>
  <c r="M300" i="1" s="1"/>
  <c r="L294" i="1"/>
  <c r="L300" i="1" s="1"/>
  <c r="J294" i="1"/>
  <c r="J300" i="1" s="1"/>
  <c r="I294" i="1"/>
  <c r="I300" i="1" s="1"/>
  <c r="AT291" i="1"/>
  <c r="AS291" i="1"/>
  <c r="AR291" i="1"/>
  <c r="AT290" i="1"/>
  <c r="AS290" i="1"/>
  <c r="AR290" i="1"/>
  <c r="AT289" i="1"/>
  <c r="AR289" i="1"/>
  <c r="AP289" i="1"/>
  <c r="AM289" i="1"/>
  <c r="AJ289" i="1"/>
  <c r="AG289" i="1"/>
  <c r="AD289" i="1"/>
  <c r="AA289" i="1"/>
  <c r="X289" i="1"/>
  <c r="U289" i="1"/>
  <c r="R289" i="1"/>
  <c r="O289" i="1"/>
  <c r="L289" i="1"/>
  <c r="I289" i="1"/>
  <c r="AS289" i="1" s="1"/>
  <c r="BG288" i="1"/>
  <c r="BD288" i="1"/>
  <c r="BA288" i="1"/>
  <c r="AX288" i="1"/>
  <c r="AU288" i="1"/>
  <c r="AR288" i="1"/>
  <c r="AQ288" i="1"/>
  <c r="AP288" i="1"/>
  <c r="AN288" i="1"/>
  <c r="AM288" i="1"/>
  <c r="AK288" i="1"/>
  <c r="BI288" i="1" s="1"/>
  <c r="AJ288" i="1"/>
  <c r="BH288" i="1" s="1"/>
  <c r="AH288" i="1"/>
  <c r="AG288" i="1"/>
  <c r="AE288" i="1"/>
  <c r="AD288" i="1"/>
  <c r="AB288" i="1"/>
  <c r="BF288" i="1" s="1"/>
  <c r="AA288" i="1"/>
  <c r="BE288" i="1" s="1"/>
  <c r="Y288" i="1"/>
  <c r="X288" i="1"/>
  <c r="V288" i="1"/>
  <c r="U288" i="1"/>
  <c r="S288" i="1"/>
  <c r="BC288" i="1" s="1"/>
  <c r="R288" i="1"/>
  <c r="BB288" i="1" s="1"/>
  <c r="P288" i="1"/>
  <c r="O288" i="1"/>
  <c r="M288" i="1"/>
  <c r="L288" i="1"/>
  <c r="J288" i="1"/>
  <c r="I288" i="1"/>
  <c r="BG287" i="1"/>
  <c r="BD287" i="1"/>
  <c r="BA287" i="1"/>
  <c r="AX287" i="1"/>
  <c r="AU287" i="1"/>
  <c r="AR287" i="1"/>
  <c r="AQ287" i="1"/>
  <c r="AP287" i="1"/>
  <c r="AN287" i="1"/>
  <c r="AM287" i="1"/>
  <c r="AK287" i="1"/>
  <c r="BI287" i="1" s="1"/>
  <c r="AJ287" i="1"/>
  <c r="BH287" i="1" s="1"/>
  <c r="AH287" i="1"/>
  <c r="AG287" i="1"/>
  <c r="AE287" i="1"/>
  <c r="AD287" i="1"/>
  <c r="AB287" i="1"/>
  <c r="BF287" i="1" s="1"/>
  <c r="AA287" i="1"/>
  <c r="BE287" i="1" s="1"/>
  <c r="Y287" i="1"/>
  <c r="X287" i="1"/>
  <c r="V287" i="1"/>
  <c r="U287" i="1"/>
  <c r="S287" i="1"/>
  <c r="BC287" i="1" s="1"/>
  <c r="R287" i="1"/>
  <c r="BB287" i="1" s="1"/>
  <c r="P287" i="1"/>
  <c r="O287" i="1"/>
  <c r="M287" i="1"/>
  <c r="L287" i="1"/>
  <c r="J287" i="1"/>
  <c r="I287" i="1"/>
  <c r="BG286" i="1"/>
  <c r="BD286" i="1"/>
  <c r="BA286" i="1"/>
  <c r="AX286" i="1"/>
  <c r="AU286" i="1"/>
  <c r="AR286" i="1"/>
  <c r="AQ286" i="1"/>
  <c r="AP286" i="1"/>
  <c r="AN286" i="1"/>
  <c r="AM286" i="1"/>
  <c r="AK286" i="1"/>
  <c r="BI286" i="1" s="1"/>
  <c r="AJ286" i="1"/>
  <c r="BH286" i="1" s="1"/>
  <c r="AH286" i="1"/>
  <c r="AG286" i="1"/>
  <c r="AE286" i="1"/>
  <c r="AD286" i="1"/>
  <c r="AB286" i="1"/>
  <c r="BF286" i="1" s="1"/>
  <c r="AA286" i="1"/>
  <c r="BE286" i="1" s="1"/>
  <c r="Y286" i="1"/>
  <c r="X286" i="1"/>
  <c r="V286" i="1"/>
  <c r="U286" i="1"/>
  <c r="S286" i="1"/>
  <c r="BC286" i="1" s="1"/>
  <c r="R286" i="1"/>
  <c r="BB286" i="1" s="1"/>
  <c r="P286" i="1"/>
  <c r="O286" i="1"/>
  <c r="M286" i="1"/>
  <c r="L286" i="1"/>
  <c r="J286" i="1"/>
  <c r="I286" i="1"/>
  <c r="BG285" i="1"/>
  <c r="BD285" i="1"/>
  <c r="BA285" i="1"/>
  <c r="AX285" i="1"/>
  <c r="AU285" i="1"/>
  <c r="AR285" i="1"/>
  <c r="AQ285" i="1"/>
  <c r="AP285" i="1"/>
  <c r="AN285" i="1"/>
  <c r="AM285" i="1"/>
  <c r="AK285" i="1"/>
  <c r="BI285" i="1" s="1"/>
  <c r="AJ285" i="1"/>
  <c r="BH285" i="1" s="1"/>
  <c r="AH285" i="1"/>
  <c r="AG285" i="1"/>
  <c r="AE285" i="1"/>
  <c r="AD285" i="1"/>
  <c r="AB285" i="1"/>
  <c r="BF285" i="1" s="1"/>
  <c r="AA285" i="1"/>
  <c r="BE285" i="1" s="1"/>
  <c r="Y285" i="1"/>
  <c r="X285" i="1"/>
  <c r="V285" i="1"/>
  <c r="U285" i="1"/>
  <c r="S285" i="1"/>
  <c r="BC285" i="1" s="1"/>
  <c r="R285" i="1"/>
  <c r="BB285" i="1" s="1"/>
  <c r="P285" i="1"/>
  <c r="O285" i="1"/>
  <c r="M285" i="1"/>
  <c r="L285" i="1"/>
  <c r="J285" i="1"/>
  <c r="I285" i="1"/>
  <c r="BG284" i="1"/>
  <c r="BD284" i="1"/>
  <c r="BA284" i="1"/>
  <c r="AX284" i="1"/>
  <c r="AU284" i="1"/>
  <c r="AR284" i="1"/>
  <c r="AQ284" i="1"/>
  <c r="AQ280" i="1" s="1"/>
  <c r="AQ292" i="1" s="1"/>
  <c r="AP284" i="1"/>
  <c r="AP280" i="1" s="1"/>
  <c r="AP292" i="1" s="1"/>
  <c r="AN284" i="1"/>
  <c r="AN280" i="1" s="1"/>
  <c r="AN292" i="1" s="1"/>
  <c r="AM284" i="1"/>
  <c r="AM280" i="1" s="1"/>
  <c r="AM292" i="1" s="1"/>
  <c r="AK284" i="1"/>
  <c r="AJ284" i="1"/>
  <c r="AH284" i="1"/>
  <c r="AH280" i="1" s="1"/>
  <c r="AH292" i="1" s="1"/>
  <c r="AG284" i="1"/>
  <c r="AG280" i="1" s="1"/>
  <c r="AG292" i="1" s="1"/>
  <c r="AE284" i="1"/>
  <c r="AE280" i="1" s="1"/>
  <c r="AE292" i="1" s="1"/>
  <c r="AD284" i="1"/>
  <c r="AD280" i="1" s="1"/>
  <c r="AD292" i="1" s="1"/>
  <c r="AB284" i="1"/>
  <c r="AA284" i="1"/>
  <c r="Y284" i="1"/>
  <c r="Y280" i="1" s="1"/>
  <c r="Y292" i="1" s="1"/>
  <c r="X284" i="1"/>
  <c r="X280" i="1" s="1"/>
  <c r="X292" i="1" s="1"/>
  <c r="V284" i="1"/>
  <c r="V280" i="1" s="1"/>
  <c r="V292" i="1" s="1"/>
  <c r="U284" i="1"/>
  <c r="U280" i="1" s="1"/>
  <c r="U292" i="1" s="1"/>
  <c r="S284" i="1"/>
  <c r="R284" i="1"/>
  <c r="P284" i="1"/>
  <c r="P280" i="1" s="1"/>
  <c r="P292" i="1" s="1"/>
  <c r="O284" i="1"/>
  <c r="O280" i="1" s="1"/>
  <c r="O292" i="1" s="1"/>
  <c r="M284" i="1"/>
  <c r="M280" i="1" s="1"/>
  <c r="M292" i="1" s="1"/>
  <c r="L284" i="1"/>
  <c r="L280" i="1" s="1"/>
  <c r="L292" i="1" s="1"/>
  <c r="J284" i="1"/>
  <c r="I284" i="1"/>
  <c r="BI283" i="1"/>
  <c r="BH283" i="1"/>
  <c r="BG283" i="1"/>
  <c r="BG280" i="1" s="1"/>
  <c r="BG292" i="1" s="1"/>
  <c r="BF283" i="1"/>
  <c r="BE283" i="1"/>
  <c r="BD283" i="1"/>
  <c r="BD280" i="1" s="1"/>
  <c r="BD292" i="1" s="1"/>
  <c r="BC283" i="1"/>
  <c r="BB283" i="1"/>
  <c r="BA283" i="1"/>
  <c r="BA280" i="1" s="1"/>
  <c r="BA292" i="1" s="1"/>
  <c r="AZ283" i="1"/>
  <c r="AY283" i="1"/>
  <c r="AX283" i="1"/>
  <c r="AX280" i="1" s="1"/>
  <c r="AX292" i="1" s="1"/>
  <c r="AW283" i="1"/>
  <c r="AV283" i="1"/>
  <c r="AU283" i="1"/>
  <c r="AU280" i="1" s="1"/>
  <c r="AU292" i="1" s="1"/>
  <c r="AQ283" i="1"/>
  <c r="AP283" i="1"/>
  <c r="AN283" i="1"/>
  <c r="AM283" i="1"/>
  <c r="AK283" i="1"/>
  <c r="AJ283" i="1"/>
  <c r="AH283" i="1"/>
  <c r="AG283" i="1"/>
  <c r="AE283" i="1"/>
  <c r="AD283" i="1"/>
  <c r="AB283" i="1"/>
  <c r="AA283" i="1"/>
  <c r="Y283" i="1"/>
  <c r="X283" i="1"/>
  <c r="V283" i="1"/>
  <c r="U283" i="1"/>
  <c r="S283" i="1"/>
  <c r="R283" i="1"/>
  <c r="P283" i="1"/>
  <c r="O283" i="1"/>
  <c r="M283" i="1"/>
  <c r="L283" i="1"/>
  <c r="J283" i="1"/>
  <c r="I283" i="1"/>
  <c r="AS283" i="1" s="1"/>
  <c r="BG282" i="1"/>
  <c r="BD282" i="1"/>
  <c r="BA282" i="1"/>
  <c r="AX282" i="1"/>
  <c r="AU282" i="1"/>
  <c r="AR282" i="1"/>
  <c r="AQ282" i="1"/>
  <c r="AP282" i="1"/>
  <c r="AN282" i="1"/>
  <c r="AM282" i="1"/>
  <c r="AK282" i="1"/>
  <c r="BI282" i="1" s="1"/>
  <c r="AJ282" i="1"/>
  <c r="BH282" i="1" s="1"/>
  <c r="AH282" i="1"/>
  <c r="AG282" i="1"/>
  <c r="AE282" i="1"/>
  <c r="AD282" i="1"/>
  <c r="AB282" i="1"/>
  <c r="BF282" i="1" s="1"/>
  <c r="AA282" i="1"/>
  <c r="BE282" i="1" s="1"/>
  <c r="Y282" i="1"/>
  <c r="X282" i="1"/>
  <c r="V282" i="1"/>
  <c r="U282" i="1"/>
  <c r="S282" i="1"/>
  <c r="BC282" i="1" s="1"/>
  <c r="R282" i="1"/>
  <c r="BB282" i="1" s="1"/>
  <c r="P282" i="1"/>
  <c r="O282" i="1"/>
  <c r="M282" i="1"/>
  <c r="L282" i="1"/>
  <c r="J282" i="1"/>
  <c r="I282" i="1"/>
  <c r="BG281" i="1"/>
  <c r="BD281" i="1"/>
  <c r="BA281" i="1"/>
  <c r="AX281" i="1"/>
  <c r="AU281" i="1"/>
  <c r="AR281" i="1"/>
  <c r="AQ281" i="1"/>
  <c r="AP281" i="1"/>
  <c r="AN281" i="1"/>
  <c r="AM281" i="1"/>
  <c r="AK281" i="1"/>
  <c r="BI281" i="1" s="1"/>
  <c r="AJ281" i="1"/>
  <c r="BH281" i="1" s="1"/>
  <c r="AH281" i="1"/>
  <c r="AG281" i="1"/>
  <c r="AE281" i="1"/>
  <c r="AD281" i="1"/>
  <c r="AB281" i="1"/>
  <c r="BF281" i="1" s="1"/>
  <c r="AA281" i="1"/>
  <c r="BE281" i="1" s="1"/>
  <c r="Y281" i="1"/>
  <c r="X281" i="1"/>
  <c r="V281" i="1"/>
  <c r="U281" i="1"/>
  <c r="S281" i="1"/>
  <c r="BC281" i="1" s="1"/>
  <c r="R281" i="1"/>
  <c r="BB281" i="1" s="1"/>
  <c r="P281" i="1"/>
  <c r="O281" i="1"/>
  <c r="M281" i="1"/>
  <c r="L281" i="1"/>
  <c r="J281" i="1"/>
  <c r="I281" i="1"/>
  <c r="BG277" i="1"/>
  <c r="BD277" i="1"/>
  <c r="BA277" i="1"/>
  <c r="AX277" i="1"/>
  <c r="AU277" i="1"/>
  <c r="AR277" i="1"/>
  <c r="AQ277" i="1"/>
  <c r="AP277" i="1"/>
  <c r="AN277" i="1"/>
  <c r="AM277" i="1"/>
  <c r="AK277" i="1"/>
  <c r="BI277" i="1" s="1"/>
  <c r="AJ277" i="1"/>
  <c r="BH277" i="1" s="1"/>
  <c r="AH277" i="1"/>
  <c r="AG277" i="1"/>
  <c r="AE277" i="1"/>
  <c r="AD277" i="1"/>
  <c r="AB277" i="1"/>
  <c r="BF277" i="1" s="1"/>
  <c r="AA277" i="1"/>
  <c r="BE277" i="1" s="1"/>
  <c r="Y277" i="1"/>
  <c r="X277" i="1"/>
  <c r="V277" i="1"/>
  <c r="U277" i="1"/>
  <c r="S277" i="1"/>
  <c r="BC277" i="1" s="1"/>
  <c r="R277" i="1"/>
  <c r="BB277" i="1" s="1"/>
  <c r="P277" i="1"/>
  <c r="O277" i="1"/>
  <c r="M277" i="1"/>
  <c r="L277" i="1"/>
  <c r="J277" i="1"/>
  <c r="I277" i="1"/>
  <c r="BG276" i="1"/>
  <c r="BD276" i="1"/>
  <c r="BA276" i="1"/>
  <c r="AX276" i="1"/>
  <c r="AU276" i="1"/>
  <c r="AR276" i="1"/>
  <c r="AQ276" i="1"/>
  <c r="AP276" i="1"/>
  <c r="AN276" i="1"/>
  <c r="AM276" i="1"/>
  <c r="AK276" i="1"/>
  <c r="BI276" i="1" s="1"/>
  <c r="AJ276" i="1"/>
  <c r="BH276" i="1" s="1"/>
  <c r="AH276" i="1"/>
  <c r="AG276" i="1"/>
  <c r="AE276" i="1"/>
  <c r="AD276" i="1"/>
  <c r="AB276" i="1"/>
  <c r="BF276" i="1" s="1"/>
  <c r="AA276" i="1"/>
  <c r="BE276" i="1" s="1"/>
  <c r="Y276" i="1"/>
  <c r="X276" i="1"/>
  <c r="V276" i="1"/>
  <c r="U276" i="1"/>
  <c r="S276" i="1"/>
  <c r="BC276" i="1" s="1"/>
  <c r="R276" i="1"/>
  <c r="BB276" i="1" s="1"/>
  <c r="P276" i="1"/>
  <c r="O276" i="1"/>
  <c r="M276" i="1"/>
  <c r="L276" i="1"/>
  <c r="J276" i="1"/>
  <c r="I276" i="1"/>
  <c r="BG275" i="1"/>
  <c r="BD275" i="1"/>
  <c r="BA275" i="1"/>
  <c r="AX275" i="1"/>
  <c r="AU275" i="1"/>
  <c r="AR275" i="1"/>
  <c r="AQ275" i="1"/>
  <c r="AP275" i="1"/>
  <c r="AN275" i="1"/>
  <c r="AM275" i="1"/>
  <c r="AK275" i="1"/>
  <c r="BI275" i="1" s="1"/>
  <c r="AJ275" i="1"/>
  <c r="BH275" i="1" s="1"/>
  <c r="AH275" i="1"/>
  <c r="AG275" i="1"/>
  <c r="AE275" i="1"/>
  <c r="AD275" i="1"/>
  <c r="AB275" i="1"/>
  <c r="BF275" i="1" s="1"/>
  <c r="AA275" i="1"/>
  <c r="BE275" i="1" s="1"/>
  <c r="Y275" i="1"/>
  <c r="X275" i="1"/>
  <c r="V275" i="1"/>
  <c r="U275" i="1"/>
  <c r="S275" i="1"/>
  <c r="BC275" i="1" s="1"/>
  <c r="R275" i="1"/>
  <c r="BB275" i="1" s="1"/>
  <c r="P275" i="1"/>
  <c r="O275" i="1"/>
  <c r="M275" i="1"/>
  <c r="L275" i="1"/>
  <c r="J275" i="1"/>
  <c r="I275" i="1"/>
  <c r="BG274" i="1"/>
  <c r="BD274" i="1"/>
  <c r="BA274" i="1"/>
  <c r="AX274" i="1"/>
  <c r="AU274" i="1"/>
  <c r="AR274" i="1"/>
  <c r="AQ274" i="1"/>
  <c r="AP274" i="1"/>
  <c r="AN274" i="1"/>
  <c r="AM274" i="1"/>
  <c r="AK274" i="1"/>
  <c r="BI274" i="1" s="1"/>
  <c r="AJ274" i="1"/>
  <c r="BH274" i="1" s="1"/>
  <c r="AH274" i="1"/>
  <c r="AG274" i="1"/>
  <c r="AE274" i="1"/>
  <c r="AD274" i="1"/>
  <c r="AB274" i="1"/>
  <c r="BF274" i="1" s="1"/>
  <c r="AA274" i="1"/>
  <c r="BE274" i="1" s="1"/>
  <c r="Y274" i="1"/>
  <c r="X274" i="1"/>
  <c r="V274" i="1"/>
  <c r="U274" i="1"/>
  <c r="S274" i="1"/>
  <c r="BC274" i="1" s="1"/>
  <c r="R274" i="1"/>
  <c r="BB274" i="1" s="1"/>
  <c r="P274" i="1"/>
  <c r="O274" i="1"/>
  <c r="M274" i="1"/>
  <c r="L274" i="1"/>
  <c r="J274" i="1"/>
  <c r="I274" i="1"/>
  <c r="BG273" i="1"/>
  <c r="BD273" i="1"/>
  <c r="BA273" i="1"/>
  <c r="AX273" i="1"/>
  <c r="AU273" i="1"/>
  <c r="AR273" i="1"/>
  <c r="AQ273" i="1"/>
  <c r="AP273" i="1"/>
  <c r="AN273" i="1"/>
  <c r="AM273" i="1"/>
  <c r="AK273" i="1"/>
  <c r="BI273" i="1" s="1"/>
  <c r="AJ273" i="1"/>
  <c r="BH273" i="1" s="1"/>
  <c r="AH273" i="1"/>
  <c r="AG273" i="1"/>
  <c r="AE273" i="1"/>
  <c r="AD273" i="1"/>
  <c r="AB273" i="1"/>
  <c r="BF273" i="1" s="1"/>
  <c r="AA273" i="1"/>
  <c r="BE273" i="1" s="1"/>
  <c r="Y273" i="1"/>
  <c r="X273" i="1"/>
  <c r="V273" i="1"/>
  <c r="U273" i="1"/>
  <c r="S273" i="1"/>
  <c r="BC273" i="1" s="1"/>
  <c r="R273" i="1"/>
  <c r="BB273" i="1" s="1"/>
  <c r="P273" i="1"/>
  <c r="O273" i="1"/>
  <c r="M273" i="1"/>
  <c r="L273" i="1"/>
  <c r="J273" i="1"/>
  <c r="I273" i="1"/>
  <c r="BG272" i="1"/>
  <c r="BD272" i="1"/>
  <c r="BA272" i="1"/>
  <c r="AX272" i="1"/>
  <c r="AU272" i="1"/>
  <c r="AR272" i="1"/>
  <c r="AQ272" i="1"/>
  <c r="AP272" i="1"/>
  <c r="AN272" i="1"/>
  <c r="AM272" i="1"/>
  <c r="AK272" i="1"/>
  <c r="BI272" i="1" s="1"/>
  <c r="AJ272" i="1"/>
  <c r="BH272" i="1" s="1"/>
  <c r="AH272" i="1"/>
  <c r="AG272" i="1"/>
  <c r="AE272" i="1"/>
  <c r="AD272" i="1"/>
  <c r="AB272" i="1"/>
  <c r="BF272" i="1" s="1"/>
  <c r="AA272" i="1"/>
  <c r="BE272" i="1" s="1"/>
  <c r="Y272" i="1"/>
  <c r="X272" i="1"/>
  <c r="V272" i="1"/>
  <c r="U272" i="1"/>
  <c r="S272" i="1"/>
  <c r="BC272" i="1" s="1"/>
  <c r="R272" i="1"/>
  <c r="BB272" i="1" s="1"/>
  <c r="P272" i="1"/>
  <c r="O272" i="1"/>
  <c r="M272" i="1"/>
  <c r="L272" i="1"/>
  <c r="J272" i="1"/>
  <c r="I272" i="1"/>
  <c r="BG271" i="1"/>
  <c r="BD271" i="1"/>
  <c r="BA271" i="1"/>
  <c r="AX271" i="1"/>
  <c r="AU271" i="1"/>
  <c r="AR271" i="1"/>
  <c r="AQ271" i="1"/>
  <c r="AP271" i="1"/>
  <c r="AN271" i="1"/>
  <c r="AM271" i="1"/>
  <c r="AK271" i="1"/>
  <c r="BI271" i="1" s="1"/>
  <c r="AJ271" i="1"/>
  <c r="BH271" i="1" s="1"/>
  <c r="AH271" i="1"/>
  <c r="AG271" i="1"/>
  <c r="AE271" i="1"/>
  <c r="AD271" i="1"/>
  <c r="AB271" i="1"/>
  <c r="BF271" i="1" s="1"/>
  <c r="AA271" i="1"/>
  <c r="BE271" i="1" s="1"/>
  <c r="Y271" i="1"/>
  <c r="X271" i="1"/>
  <c r="V271" i="1"/>
  <c r="U271" i="1"/>
  <c r="S271" i="1"/>
  <c r="BC271" i="1" s="1"/>
  <c r="R271" i="1"/>
  <c r="BB271" i="1" s="1"/>
  <c r="P271" i="1"/>
  <c r="O271" i="1"/>
  <c r="M271" i="1"/>
  <c r="L271" i="1"/>
  <c r="J271" i="1"/>
  <c r="I271" i="1"/>
  <c r="BG270" i="1"/>
  <c r="BD270" i="1"/>
  <c r="BA270" i="1"/>
  <c r="AX270" i="1"/>
  <c r="AU270" i="1"/>
  <c r="AR270" i="1"/>
  <c r="AQ270" i="1"/>
  <c r="AP270" i="1"/>
  <c r="AN270" i="1"/>
  <c r="AM270" i="1"/>
  <c r="AK270" i="1"/>
  <c r="BI270" i="1" s="1"/>
  <c r="AJ270" i="1"/>
  <c r="BH270" i="1" s="1"/>
  <c r="AH270" i="1"/>
  <c r="AG270" i="1"/>
  <c r="AE270" i="1"/>
  <c r="AD270" i="1"/>
  <c r="AB270" i="1"/>
  <c r="BF270" i="1" s="1"/>
  <c r="AA270" i="1"/>
  <c r="BE270" i="1" s="1"/>
  <c r="Y270" i="1"/>
  <c r="X270" i="1"/>
  <c r="V270" i="1"/>
  <c r="U270" i="1"/>
  <c r="S270" i="1"/>
  <c r="BC270" i="1" s="1"/>
  <c r="R270" i="1"/>
  <c r="BB270" i="1" s="1"/>
  <c r="P270" i="1"/>
  <c r="O270" i="1"/>
  <c r="M270" i="1"/>
  <c r="L270" i="1"/>
  <c r="J270" i="1"/>
  <c r="I270" i="1"/>
  <c r="BG269" i="1"/>
  <c r="BD269" i="1"/>
  <c r="BA269" i="1"/>
  <c r="AX269" i="1"/>
  <c r="AU269" i="1"/>
  <c r="AR269" i="1"/>
  <c r="AQ269" i="1"/>
  <c r="AP269" i="1"/>
  <c r="AN269" i="1"/>
  <c r="AM269" i="1"/>
  <c r="AK269" i="1"/>
  <c r="BI269" i="1" s="1"/>
  <c r="AJ269" i="1"/>
  <c r="BH269" i="1" s="1"/>
  <c r="AH269" i="1"/>
  <c r="AG269" i="1"/>
  <c r="AE269" i="1"/>
  <c r="AD269" i="1"/>
  <c r="AB269" i="1"/>
  <c r="BF269" i="1" s="1"/>
  <c r="AA269" i="1"/>
  <c r="BE269" i="1" s="1"/>
  <c r="Y269" i="1"/>
  <c r="X269" i="1"/>
  <c r="V269" i="1"/>
  <c r="U269" i="1"/>
  <c r="S269" i="1"/>
  <c r="BC269" i="1" s="1"/>
  <c r="R269" i="1"/>
  <c r="BB269" i="1" s="1"/>
  <c r="P269" i="1"/>
  <c r="O269" i="1"/>
  <c r="M269" i="1"/>
  <c r="L269" i="1"/>
  <c r="J269" i="1"/>
  <c r="I269" i="1"/>
  <c r="BG268" i="1"/>
  <c r="BD268" i="1"/>
  <c r="BA268" i="1"/>
  <c r="AX268" i="1"/>
  <c r="AU268" i="1"/>
  <c r="AR268" i="1"/>
  <c r="AQ268" i="1"/>
  <c r="AP268" i="1"/>
  <c r="AN268" i="1"/>
  <c r="AM268" i="1"/>
  <c r="AK268" i="1"/>
  <c r="BI268" i="1" s="1"/>
  <c r="AJ268" i="1"/>
  <c r="BH268" i="1" s="1"/>
  <c r="AH268" i="1"/>
  <c r="AG268" i="1"/>
  <c r="AE268" i="1"/>
  <c r="AD268" i="1"/>
  <c r="AB268" i="1"/>
  <c r="BF268" i="1" s="1"/>
  <c r="AA268" i="1"/>
  <c r="BE268" i="1" s="1"/>
  <c r="Y268" i="1"/>
  <c r="X268" i="1"/>
  <c r="V268" i="1"/>
  <c r="U268" i="1"/>
  <c r="S268" i="1"/>
  <c r="BC268" i="1" s="1"/>
  <c r="R268" i="1"/>
  <c r="BB268" i="1" s="1"/>
  <c r="P268" i="1"/>
  <c r="O268" i="1"/>
  <c r="M268" i="1"/>
  <c r="L268" i="1"/>
  <c r="J268" i="1"/>
  <c r="I268" i="1"/>
  <c r="BG267" i="1"/>
  <c r="BD267" i="1"/>
  <c r="BA267" i="1"/>
  <c r="AX267" i="1"/>
  <c r="AU267" i="1"/>
  <c r="AR267" i="1"/>
  <c r="AQ267" i="1"/>
  <c r="AP267" i="1"/>
  <c r="AN267" i="1"/>
  <c r="AM267" i="1"/>
  <c r="AK267" i="1"/>
  <c r="BI267" i="1" s="1"/>
  <c r="BI266" i="1" s="1"/>
  <c r="AJ267" i="1"/>
  <c r="BH267" i="1" s="1"/>
  <c r="BH266" i="1" s="1"/>
  <c r="AH267" i="1"/>
  <c r="AG267" i="1"/>
  <c r="AE267" i="1"/>
  <c r="AD267" i="1"/>
  <c r="AB267" i="1"/>
  <c r="BF267" i="1" s="1"/>
  <c r="BF266" i="1" s="1"/>
  <c r="AA267" i="1"/>
  <c r="BE267" i="1" s="1"/>
  <c r="BE266" i="1" s="1"/>
  <c r="Y267" i="1"/>
  <c r="X267" i="1"/>
  <c r="V267" i="1"/>
  <c r="U267" i="1"/>
  <c r="S267" i="1"/>
  <c r="BC267" i="1" s="1"/>
  <c r="BC266" i="1" s="1"/>
  <c r="R267" i="1"/>
  <c r="BB267" i="1" s="1"/>
  <c r="BB266" i="1" s="1"/>
  <c r="P267" i="1"/>
  <c r="O267" i="1"/>
  <c r="M267" i="1"/>
  <c r="L267" i="1"/>
  <c r="J267" i="1"/>
  <c r="I267" i="1"/>
  <c r="BG266" i="1"/>
  <c r="BG278" i="1" s="1"/>
  <c r="BD266" i="1"/>
  <c r="BD278" i="1" s="1"/>
  <c r="BA266" i="1"/>
  <c r="BA278" i="1" s="1"/>
  <c r="AX266" i="1"/>
  <c r="AX278" i="1" s="1"/>
  <c r="AU266" i="1"/>
  <c r="AU278" i="1" s="1"/>
  <c r="AQ266" i="1"/>
  <c r="AQ278" i="1" s="1"/>
  <c r="AP266" i="1"/>
  <c r="AP278" i="1" s="1"/>
  <c r="AN266" i="1"/>
  <c r="AN278" i="1" s="1"/>
  <c r="AM266" i="1"/>
  <c r="AM278" i="1" s="1"/>
  <c r="AK266" i="1"/>
  <c r="AK278" i="1" s="1"/>
  <c r="AJ266" i="1"/>
  <c r="AJ278" i="1" s="1"/>
  <c r="AH266" i="1"/>
  <c r="AH278" i="1" s="1"/>
  <c r="AG266" i="1"/>
  <c r="AG278" i="1" s="1"/>
  <c r="AE266" i="1"/>
  <c r="AE278" i="1" s="1"/>
  <c r="AD266" i="1"/>
  <c r="AD278" i="1" s="1"/>
  <c r="AB266" i="1"/>
  <c r="AB278" i="1" s="1"/>
  <c r="AA266" i="1"/>
  <c r="AA278" i="1" s="1"/>
  <c r="Y266" i="1"/>
  <c r="Y278" i="1" s="1"/>
  <c r="X266" i="1"/>
  <c r="X278" i="1" s="1"/>
  <c r="V266" i="1"/>
  <c r="V278" i="1" s="1"/>
  <c r="U266" i="1"/>
  <c r="U278" i="1" s="1"/>
  <c r="S266" i="1"/>
  <c r="S278" i="1" s="1"/>
  <c r="R266" i="1"/>
  <c r="R278" i="1" s="1"/>
  <c r="P266" i="1"/>
  <c r="P278" i="1" s="1"/>
  <c r="O266" i="1"/>
  <c r="O278" i="1" s="1"/>
  <c r="M266" i="1"/>
  <c r="M278" i="1" s="1"/>
  <c r="L266" i="1"/>
  <c r="L278" i="1" s="1"/>
  <c r="J266" i="1"/>
  <c r="J278" i="1" s="1"/>
  <c r="BG263" i="1"/>
  <c r="BD263" i="1"/>
  <c r="BA263" i="1"/>
  <c r="AX263" i="1"/>
  <c r="AU263" i="1"/>
  <c r="AR263" i="1"/>
  <c r="AQ263" i="1"/>
  <c r="AP263" i="1"/>
  <c r="AN263" i="1"/>
  <c r="AM263" i="1"/>
  <c r="AK263" i="1"/>
  <c r="BI263" i="1" s="1"/>
  <c r="AJ263" i="1"/>
  <c r="BH263" i="1" s="1"/>
  <c r="AH263" i="1"/>
  <c r="AG263" i="1"/>
  <c r="AE263" i="1"/>
  <c r="AD263" i="1"/>
  <c r="AB263" i="1"/>
  <c r="BF263" i="1" s="1"/>
  <c r="AA263" i="1"/>
  <c r="BE263" i="1" s="1"/>
  <c r="Y263" i="1"/>
  <c r="X263" i="1"/>
  <c r="V263" i="1"/>
  <c r="U263" i="1"/>
  <c r="S263" i="1"/>
  <c r="BC263" i="1" s="1"/>
  <c r="R263" i="1"/>
  <c r="BB263" i="1" s="1"/>
  <c r="P263" i="1"/>
  <c r="O263" i="1"/>
  <c r="M263" i="1"/>
  <c r="L263" i="1"/>
  <c r="J263" i="1"/>
  <c r="I263" i="1"/>
  <c r="BG262" i="1"/>
  <c r="BD262" i="1"/>
  <c r="BA262" i="1"/>
  <c r="AX262" i="1"/>
  <c r="AU262" i="1"/>
  <c r="AR262" i="1"/>
  <c r="AQ262" i="1"/>
  <c r="AP262" i="1"/>
  <c r="AN262" i="1"/>
  <c r="AM262" i="1"/>
  <c r="AK262" i="1"/>
  <c r="BI262" i="1" s="1"/>
  <c r="AJ262" i="1"/>
  <c r="BH262" i="1" s="1"/>
  <c r="AH262" i="1"/>
  <c r="AG262" i="1"/>
  <c r="AE262" i="1"/>
  <c r="AD262" i="1"/>
  <c r="AB262" i="1"/>
  <c r="BF262" i="1" s="1"/>
  <c r="AA262" i="1"/>
  <c r="BE262" i="1" s="1"/>
  <c r="Y262" i="1"/>
  <c r="X262" i="1"/>
  <c r="V262" i="1"/>
  <c r="U262" i="1"/>
  <c r="S262" i="1"/>
  <c r="BC262" i="1" s="1"/>
  <c r="R262" i="1"/>
  <c r="BB262" i="1" s="1"/>
  <c r="P262" i="1"/>
  <c r="O262" i="1"/>
  <c r="M262" i="1"/>
  <c r="L262" i="1"/>
  <c r="J262" i="1"/>
  <c r="I262" i="1"/>
  <c r="BG261" i="1"/>
  <c r="BD261" i="1"/>
  <c r="BA261" i="1"/>
  <c r="AX261" i="1"/>
  <c r="AU261" i="1"/>
  <c r="AR261" i="1"/>
  <c r="AQ261" i="1"/>
  <c r="AP261" i="1"/>
  <c r="AN261" i="1"/>
  <c r="AM261" i="1"/>
  <c r="AK261" i="1"/>
  <c r="BI261" i="1" s="1"/>
  <c r="AJ261" i="1"/>
  <c r="BH261" i="1" s="1"/>
  <c r="AH261" i="1"/>
  <c r="AG261" i="1"/>
  <c r="AE261" i="1"/>
  <c r="AD261" i="1"/>
  <c r="AB261" i="1"/>
  <c r="BF261" i="1" s="1"/>
  <c r="AA261" i="1"/>
  <c r="BE261" i="1" s="1"/>
  <c r="Y261" i="1"/>
  <c r="X261" i="1"/>
  <c r="V261" i="1"/>
  <c r="U261" i="1"/>
  <c r="S261" i="1"/>
  <c r="BC261" i="1" s="1"/>
  <c r="R261" i="1"/>
  <c r="BB261" i="1" s="1"/>
  <c r="P261" i="1"/>
  <c r="O261" i="1"/>
  <c r="M261" i="1"/>
  <c r="L261" i="1"/>
  <c r="J261" i="1"/>
  <c r="I261" i="1"/>
  <c r="BG260" i="1"/>
  <c r="BD260" i="1"/>
  <c r="BA260" i="1"/>
  <c r="AX260" i="1"/>
  <c r="AU260" i="1"/>
  <c r="AR260" i="1"/>
  <c r="AQ260" i="1"/>
  <c r="AP260" i="1"/>
  <c r="AN260" i="1"/>
  <c r="AM260" i="1"/>
  <c r="AK260" i="1"/>
  <c r="BI260" i="1" s="1"/>
  <c r="AJ260" i="1"/>
  <c r="BH260" i="1" s="1"/>
  <c r="AH260" i="1"/>
  <c r="AG260" i="1"/>
  <c r="AE260" i="1"/>
  <c r="AD260" i="1"/>
  <c r="AB260" i="1"/>
  <c r="BF260" i="1" s="1"/>
  <c r="AA260" i="1"/>
  <c r="BE260" i="1" s="1"/>
  <c r="Y260" i="1"/>
  <c r="X260" i="1"/>
  <c r="V260" i="1"/>
  <c r="U260" i="1"/>
  <c r="S260" i="1"/>
  <c r="BC260" i="1" s="1"/>
  <c r="R260" i="1"/>
  <c r="BB260" i="1" s="1"/>
  <c r="P260" i="1"/>
  <c r="O260" i="1"/>
  <c r="M260" i="1"/>
  <c r="L260" i="1"/>
  <c r="J260" i="1"/>
  <c r="I260" i="1"/>
  <c r="BG259" i="1"/>
  <c r="BD259" i="1"/>
  <c r="BA259" i="1"/>
  <c r="AX259" i="1"/>
  <c r="AU259" i="1"/>
  <c r="AR259" i="1"/>
  <c r="AQ259" i="1"/>
  <c r="AP259" i="1"/>
  <c r="AN259" i="1"/>
  <c r="AM259" i="1"/>
  <c r="AK259" i="1"/>
  <c r="BI259" i="1" s="1"/>
  <c r="AJ259" i="1"/>
  <c r="BH259" i="1" s="1"/>
  <c r="AH259" i="1"/>
  <c r="AG259" i="1"/>
  <c r="AE259" i="1"/>
  <c r="AD259" i="1"/>
  <c r="AB259" i="1"/>
  <c r="BF259" i="1" s="1"/>
  <c r="AA259" i="1"/>
  <c r="BE259" i="1" s="1"/>
  <c r="Y259" i="1"/>
  <c r="X259" i="1"/>
  <c r="V259" i="1"/>
  <c r="U259" i="1"/>
  <c r="S259" i="1"/>
  <c r="BC259" i="1" s="1"/>
  <c r="R259" i="1"/>
  <c r="BB259" i="1" s="1"/>
  <c r="P259" i="1"/>
  <c r="P255" i="1" s="1"/>
  <c r="P264" i="1" s="1"/>
  <c r="O259" i="1"/>
  <c r="M259" i="1"/>
  <c r="L259" i="1"/>
  <c r="J259" i="1"/>
  <c r="I259" i="1"/>
  <c r="BG258" i="1"/>
  <c r="BD258" i="1"/>
  <c r="BA258" i="1"/>
  <c r="AX258" i="1"/>
  <c r="AU258" i="1"/>
  <c r="AR258" i="1"/>
  <c r="AQ258" i="1"/>
  <c r="AP258" i="1"/>
  <c r="AN258" i="1"/>
  <c r="AM258" i="1"/>
  <c r="AK258" i="1"/>
  <c r="BI258" i="1" s="1"/>
  <c r="AJ258" i="1"/>
  <c r="BH258" i="1" s="1"/>
  <c r="AH258" i="1"/>
  <c r="AG258" i="1"/>
  <c r="AE258" i="1"/>
  <c r="AD258" i="1"/>
  <c r="AB258" i="1"/>
  <c r="BF258" i="1" s="1"/>
  <c r="AA258" i="1"/>
  <c r="BE258" i="1" s="1"/>
  <c r="Y258" i="1"/>
  <c r="X258" i="1"/>
  <c r="V258" i="1"/>
  <c r="U258" i="1"/>
  <c r="S258" i="1"/>
  <c r="BC258" i="1" s="1"/>
  <c r="R258" i="1"/>
  <c r="BB258" i="1" s="1"/>
  <c r="P258" i="1"/>
  <c r="O258" i="1"/>
  <c r="M258" i="1"/>
  <c r="L258" i="1"/>
  <c r="J258" i="1"/>
  <c r="I258" i="1"/>
  <c r="BG257" i="1"/>
  <c r="BD257" i="1"/>
  <c r="BA257" i="1"/>
  <c r="AX257" i="1"/>
  <c r="AU257" i="1"/>
  <c r="AR257" i="1"/>
  <c r="AQ257" i="1"/>
  <c r="AP257" i="1"/>
  <c r="AN257" i="1"/>
  <c r="AM257" i="1"/>
  <c r="AK257" i="1"/>
  <c r="BI257" i="1" s="1"/>
  <c r="AJ257" i="1"/>
  <c r="BH257" i="1" s="1"/>
  <c r="AH257" i="1"/>
  <c r="AG257" i="1"/>
  <c r="AE257" i="1"/>
  <c r="AD257" i="1"/>
  <c r="AB257" i="1"/>
  <c r="BF257" i="1" s="1"/>
  <c r="AA257" i="1"/>
  <c r="BE257" i="1" s="1"/>
  <c r="Y257" i="1"/>
  <c r="X257" i="1"/>
  <c r="V257" i="1"/>
  <c r="U257" i="1"/>
  <c r="S257" i="1"/>
  <c r="BC257" i="1" s="1"/>
  <c r="R257" i="1"/>
  <c r="BB257" i="1" s="1"/>
  <c r="P257" i="1"/>
  <c r="O257" i="1"/>
  <c r="M257" i="1"/>
  <c r="L257" i="1"/>
  <c r="J257" i="1"/>
  <c r="I257" i="1"/>
  <c r="BG256" i="1"/>
  <c r="BD256" i="1"/>
  <c r="BA256" i="1"/>
  <c r="AX256" i="1"/>
  <c r="AU256" i="1"/>
  <c r="AR256" i="1"/>
  <c r="AQ256" i="1"/>
  <c r="AP256" i="1"/>
  <c r="AN256" i="1"/>
  <c r="AM256" i="1"/>
  <c r="AK256" i="1"/>
  <c r="BI256" i="1" s="1"/>
  <c r="BI255" i="1" s="1"/>
  <c r="AJ256" i="1"/>
  <c r="BH256" i="1" s="1"/>
  <c r="BH255" i="1" s="1"/>
  <c r="AH256" i="1"/>
  <c r="AG256" i="1"/>
  <c r="AE256" i="1"/>
  <c r="AD256" i="1"/>
  <c r="AB256" i="1"/>
  <c r="BF256" i="1" s="1"/>
  <c r="BF255" i="1" s="1"/>
  <c r="AA256" i="1"/>
  <c r="BE256" i="1" s="1"/>
  <c r="BE255" i="1" s="1"/>
  <c r="Y256" i="1"/>
  <c r="X256" i="1"/>
  <c r="V256" i="1"/>
  <c r="U256" i="1"/>
  <c r="S256" i="1"/>
  <c r="R256" i="1"/>
  <c r="BB256" i="1" s="1"/>
  <c r="BB255" i="1" s="1"/>
  <c r="P256" i="1"/>
  <c r="O256" i="1"/>
  <c r="M256" i="1"/>
  <c r="L256" i="1"/>
  <c r="J256" i="1"/>
  <c r="I256" i="1"/>
  <c r="BG255" i="1"/>
  <c r="BG264" i="1" s="1"/>
  <c r="BD255" i="1"/>
  <c r="BD264" i="1" s="1"/>
  <c r="BA255" i="1"/>
  <c r="BA264" i="1" s="1"/>
  <c r="AX255" i="1"/>
  <c r="AX264" i="1" s="1"/>
  <c r="AU255" i="1"/>
  <c r="AU264" i="1" s="1"/>
  <c r="AQ255" i="1"/>
  <c r="AQ264" i="1" s="1"/>
  <c r="AP255" i="1"/>
  <c r="AP264" i="1" s="1"/>
  <c r="AN255" i="1"/>
  <c r="AN264" i="1" s="1"/>
  <c r="AM255" i="1"/>
  <c r="AM264" i="1" s="1"/>
  <c r="AK255" i="1"/>
  <c r="AK264" i="1" s="1"/>
  <c r="AJ255" i="1"/>
  <c r="AJ264" i="1" s="1"/>
  <c r="AH255" i="1"/>
  <c r="AH264" i="1" s="1"/>
  <c r="AG255" i="1"/>
  <c r="AG264" i="1" s="1"/>
  <c r="AE255" i="1"/>
  <c r="AE264" i="1" s="1"/>
  <c r="AD255" i="1"/>
  <c r="AD264" i="1" s="1"/>
  <c r="AB255" i="1"/>
  <c r="AB264" i="1" s="1"/>
  <c r="AA255" i="1"/>
  <c r="AA264" i="1" s="1"/>
  <c r="Y255" i="1"/>
  <c r="Y264" i="1" s="1"/>
  <c r="X255" i="1"/>
  <c r="X264" i="1" s="1"/>
  <c r="V255" i="1"/>
  <c r="V264" i="1" s="1"/>
  <c r="U255" i="1"/>
  <c r="U264" i="1" s="1"/>
  <c r="R255" i="1"/>
  <c r="R264" i="1" s="1"/>
  <c r="O255" i="1"/>
  <c r="O264" i="1" s="1"/>
  <c r="M255" i="1"/>
  <c r="M264" i="1" s="1"/>
  <c r="L255" i="1"/>
  <c r="L264" i="1" s="1"/>
  <c r="J255" i="1"/>
  <c r="J264" i="1" s="1"/>
  <c r="BG253" i="1"/>
  <c r="BD253" i="1"/>
  <c r="BA253" i="1"/>
  <c r="AX253" i="1"/>
  <c r="BG250" i="1"/>
  <c r="BD250" i="1"/>
  <c r="BA250" i="1"/>
  <c r="AX250" i="1"/>
  <c r="AU250" i="1"/>
  <c r="AQ250" i="1"/>
  <c r="AP250" i="1"/>
  <c r="AN250" i="1"/>
  <c r="AM250" i="1"/>
  <c r="AK250" i="1"/>
  <c r="BI250" i="1" s="1"/>
  <c r="AJ250" i="1"/>
  <c r="BH250" i="1" s="1"/>
  <c r="AH250" i="1"/>
  <c r="AG250" i="1"/>
  <c r="AE250" i="1"/>
  <c r="AD250" i="1"/>
  <c r="AB250" i="1"/>
  <c r="BF250" i="1" s="1"/>
  <c r="AA250" i="1"/>
  <c r="BE250" i="1" s="1"/>
  <c r="Y250" i="1"/>
  <c r="X250" i="1"/>
  <c r="V250" i="1"/>
  <c r="U250" i="1"/>
  <c r="S250" i="1"/>
  <c r="BC250" i="1" s="1"/>
  <c r="R250" i="1"/>
  <c r="BB250" i="1" s="1"/>
  <c r="P250" i="1"/>
  <c r="O250" i="1"/>
  <c r="M250" i="1"/>
  <c r="L250" i="1"/>
  <c r="J250" i="1"/>
  <c r="I250" i="1"/>
  <c r="BG249" i="1"/>
  <c r="BD249" i="1"/>
  <c r="BA249" i="1"/>
  <c r="AX249" i="1"/>
  <c r="AU249" i="1"/>
  <c r="AQ249" i="1"/>
  <c r="AP249" i="1"/>
  <c r="AN249" i="1"/>
  <c r="AM249" i="1"/>
  <c r="AK249" i="1"/>
  <c r="BI249" i="1" s="1"/>
  <c r="AJ249" i="1"/>
  <c r="BH249" i="1" s="1"/>
  <c r="AH249" i="1"/>
  <c r="AG249" i="1"/>
  <c r="AE249" i="1"/>
  <c r="AD249" i="1"/>
  <c r="AB249" i="1"/>
  <c r="BF249" i="1" s="1"/>
  <c r="AA249" i="1"/>
  <c r="BE249" i="1" s="1"/>
  <c r="Y249" i="1"/>
  <c r="X249" i="1"/>
  <c r="V249" i="1"/>
  <c r="U249" i="1"/>
  <c r="S249" i="1"/>
  <c r="BC249" i="1" s="1"/>
  <c r="R249" i="1"/>
  <c r="BB249" i="1" s="1"/>
  <c r="P249" i="1"/>
  <c r="O249" i="1"/>
  <c r="M249" i="1"/>
  <c r="L249" i="1"/>
  <c r="J249" i="1"/>
  <c r="I249" i="1"/>
  <c r="BG248" i="1"/>
  <c r="BD248" i="1"/>
  <c r="BA248" i="1"/>
  <c r="AX248" i="1"/>
  <c r="AU248" i="1"/>
  <c r="AQ248" i="1"/>
  <c r="AP248" i="1"/>
  <c r="AN248" i="1"/>
  <c r="AM248" i="1"/>
  <c r="AK248" i="1"/>
  <c r="BI248" i="1" s="1"/>
  <c r="AJ248" i="1"/>
  <c r="BH248" i="1" s="1"/>
  <c r="AH248" i="1"/>
  <c r="AG248" i="1"/>
  <c r="AE248" i="1"/>
  <c r="AD248" i="1"/>
  <c r="AB248" i="1"/>
  <c r="BF248" i="1" s="1"/>
  <c r="AA248" i="1"/>
  <c r="BE248" i="1" s="1"/>
  <c r="Y248" i="1"/>
  <c r="X248" i="1"/>
  <c r="V248" i="1"/>
  <c r="U248" i="1"/>
  <c r="S248" i="1"/>
  <c r="BC248" i="1" s="1"/>
  <c r="R248" i="1"/>
  <c r="BB248" i="1" s="1"/>
  <c r="P248" i="1"/>
  <c r="O248" i="1"/>
  <c r="M248" i="1"/>
  <c r="L248" i="1"/>
  <c r="J248" i="1"/>
  <c r="I248" i="1"/>
  <c r="BG247" i="1"/>
  <c r="BD247" i="1"/>
  <c r="BA247" i="1"/>
  <c r="AX247" i="1"/>
  <c r="AU247" i="1"/>
  <c r="AQ247" i="1"/>
  <c r="AP247" i="1"/>
  <c r="AN247" i="1"/>
  <c r="AM247" i="1"/>
  <c r="AK247" i="1"/>
  <c r="BI247" i="1" s="1"/>
  <c r="AJ247" i="1"/>
  <c r="BH247" i="1" s="1"/>
  <c r="AH247" i="1"/>
  <c r="AG247" i="1"/>
  <c r="AE247" i="1"/>
  <c r="AD247" i="1"/>
  <c r="AB247" i="1"/>
  <c r="BF247" i="1" s="1"/>
  <c r="AA247" i="1"/>
  <c r="BE247" i="1" s="1"/>
  <c r="Y247" i="1"/>
  <c r="X247" i="1"/>
  <c r="V247" i="1"/>
  <c r="U247" i="1"/>
  <c r="S247" i="1"/>
  <c r="BC247" i="1" s="1"/>
  <c r="R247" i="1"/>
  <c r="BB247" i="1" s="1"/>
  <c r="P247" i="1"/>
  <c r="O247" i="1"/>
  <c r="M247" i="1"/>
  <c r="L247" i="1"/>
  <c r="J247" i="1"/>
  <c r="I247" i="1"/>
  <c r="BG246" i="1"/>
  <c r="BD246" i="1"/>
  <c r="BA246" i="1"/>
  <c r="AX246" i="1"/>
  <c r="AU246" i="1"/>
  <c r="AQ246" i="1"/>
  <c r="AP246" i="1"/>
  <c r="AN246" i="1"/>
  <c r="AM246" i="1"/>
  <c r="AK246" i="1"/>
  <c r="BI246" i="1" s="1"/>
  <c r="AJ246" i="1"/>
  <c r="BH246" i="1" s="1"/>
  <c r="AH246" i="1"/>
  <c r="AG246" i="1"/>
  <c r="AE246" i="1"/>
  <c r="AD246" i="1"/>
  <c r="AB246" i="1"/>
  <c r="BF246" i="1" s="1"/>
  <c r="AA246" i="1"/>
  <c r="BE246" i="1" s="1"/>
  <c r="Y246" i="1"/>
  <c r="X246" i="1"/>
  <c r="V246" i="1"/>
  <c r="U246" i="1"/>
  <c r="S246" i="1"/>
  <c r="BC246" i="1" s="1"/>
  <c r="R246" i="1"/>
  <c r="BB246" i="1" s="1"/>
  <c r="P246" i="1"/>
  <c r="O246" i="1"/>
  <c r="M246" i="1"/>
  <c r="L246" i="1"/>
  <c r="J246" i="1"/>
  <c r="I246" i="1"/>
  <c r="BG245" i="1"/>
  <c r="BD245" i="1"/>
  <c r="BA245" i="1"/>
  <c r="AX245" i="1"/>
  <c r="AU245" i="1"/>
  <c r="AQ245" i="1"/>
  <c r="AP245" i="1"/>
  <c r="AN245" i="1"/>
  <c r="AM245" i="1"/>
  <c r="AK245" i="1"/>
  <c r="BI245" i="1" s="1"/>
  <c r="AJ245" i="1"/>
  <c r="BH245" i="1" s="1"/>
  <c r="AH245" i="1"/>
  <c r="AG245" i="1"/>
  <c r="AE245" i="1"/>
  <c r="AD245" i="1"/>
  <c r="AB245" i="1"/>
  <c r="BF245" i="1" s="1"/>
  <c r="AA245" i="1"/>
  <c r="BE245" i="1" s="1"/>
  <c r="Y245" i="1"/>
  <c r="X245" i="1"/>
  <c r="V245" i="1"/>
  <c r="U245" i="1"/>
  <c r="S245" i="1"/>
  <c r="BC245" i="1" s="1"/>
  <c r="R245" i="1"/>
  <c r="BB245" i="1" s="1"/>
  <c r="P245" i="1"/>
  <c r="O245" i="1"/>
  <c r="M245" i="1"/>
  <c r="L245" i="1"/>
  <c r="J245" i="1"/>
  <c r="I245" i="1"/>
  <c r="BG244" i="1"/>
  <c r="BD244" i="1"/>
  <c r="BA244" i="1"/>
  <c r="AX244" i="1"/>
  <c r="AU244" i="1"/>
  <c r="AQ244" i="1"/>
  <c r="AP244" i="1"/>
  <c r="AN244" i="1"/>
  <c r="AM244" i="1"/>
  <c r="AK244" i="1"/>
  <c r="BI244" i="1" s="1"/>
  <c r="BI243" i="1" s="1"/>
  <c r="AJ244" i="1"/>
  <c r="BH244" i="1" s="1"/>
  <c r="BH243" i="1" s="1"/>
  <c r="AH244" i="1"/>
  <c r="AG244" i="1"/>
  <c r="AE244" i="1"/>
  <c r="AD244" i="1"/>
  <c r="AB244" i="1"/>
  <c r="BF244" i="1" s="1"/>
  <c r="BF243" i="1" s="1"/>
  <c r="AA244" i="1"/>
  <c r="BE244" i="1" s="1"/>
  <c r="BE243" i="1" s="1"/>
  <c r="Y244" i="1"/>
  <c r="X244" i="1"/>
  <c r="V244" i="1"/>
  <c r="U244" i="1"/>
  <c r="S244" i="1"/>
  <c r="BC244" i="1" s="1"/>
  <c r="BC243" i="1" s="1"/>
  <c r="R244" i="1"/>
  <c r="BB244" i="1" s="1"/>
  <c r="P244" i="1"/>
  <c r="O244" i="1"/>
  <c r="M244" i="1"/>
  <c r="L244" i="1"/>
  <c r="J244" i="1"/>
  <c r="I244" i="1"/>
  <c r="BG243" i="1"/>
  <c r="BD243" i="1"/>
  <c r="BA243" i="1"/>
  <c r="AX243" i="1"/>
  <c r="AU243" i="1"/>
  <c r="AU253" i="1" s="1"/>
  <c r="AQ243" i="1"/>
  <c r="AQ253" i="1" s="1"/>
  <c r="AP243" i="1"/>
  <c r="AP253" i="1" s="1"/>
  <c r="AN243" i="1"/>
  <c r="AN253" i="1" s="1"/>
  <c r="AM243" i="1"/>
  <c r="AM253" i="1" s="1"/>
  <c r="AK243" i="1"/>
  <c r="AK253" i="1" s="1"/>
  <c r="AJ243" i="1"/>
  <c r="AJ253" i="1" s="1"/>
  <c r="AH243" i="1"/>
  <c r="AH253" i="1" s="1"/>
  <c r="AG243" i="1"/>
  <c r="AG253" i="1" s="1"/>
  <c r="AE243" i="1"/>
  <c r="AE253" i="1" s="1"/>
  <c r="AD243" i="1"/>
  <c r="AD253" i="1" s="1"/>
  <c r="AB243" i="1"/>
  <c r="AB253" i="1" s="1"/>
  <c r="AA243" i="1"/>
  <c r="AA253" i="1" s="1"/>
  <c r="Y243" i="1"/>
  <c r="Y253" i="1" s="1"/>
  <c r="X243" i="1"/>
  <c r="X253" i="1" s="1"/>
  <c r="V243" i="1"/>
  <c r="V253" i="1" s="1"/>
  <c r="U243" i="1"/>
  <c r="U253" i="1" s="1"/>
  <c r="S243" i="1"/>
  <c r="S253" i="1" s="1"/>
  <c r="R243" i="1"/>
  <c r="R253" i="1" s="1"/>
  <c r="P243" i="1"/>
  <c r="P253" i="1" s="1"/>
  <c r="O243" i="1"/>
  <c r="O253" i="1" s="1"/>
  <c r="M243" i="1"/>
  <c r="M253" i="1" s="1"/>
  <c r="L243" i="1"/>
  <c r="L253" i="1" s="1"/>
  <c r="J243" i="1"/>
  <c r="J253" i="1" s="1"/>
  <c r="I243" i="1"/>
  <c r="I253" i="1" s="1"/>
  <c r="BG240" i="1"/>
  <c r="BD240" i="1"/>
  <c r="BA240" i="1"/>
  <c r="AX240" i="1"/>
  <c r="AU240" i="1"/>
  <c r="AQ240" i="1"/>
  <c r="AP240" i="1"/>
  <c r="AN240" i="1"/>
  <c r="AM240" i="1"/>
  <c r="AK240" i="1"/>
  <c r="BI240" i="1" s="1"/>
  <c r="AJ240" i="1"/>
  <c r="BH240" i="1" s="1"/>
  <c r="AH240" i="1"/>
  <c r="AG240" i="1"/>
  <c r="AE240" i="1"/>
  <c r="AD240" i="1"/>
  <c r="AB240" i="1"/>
  <c r="BF240" i="1" s="1"/>
  <c r="AA240" i="1"/>
  <c r="BE240" i="1" s="1"/>
  <c r="Y240" i="1"/>
  <c r="X240" i="1"/>
  <c r="V240" i="1"/>
  <c r="U240" i="1"/>
  <c r="S240" i="1"/>
  <c r="BC240" i="1" s="1"/>
  <c r="R240" i="1"/>
  <c r="BB240" i="1" s="1"/>
  <c r="P240" i="1"/>
  <c r="O240" i="1"/>
  <c r="M240" i="1"/>
  <c r="L240" i="1"/>
  <c r="J240" i="1"/>
  <c r="I240" i="1"/>
  <c r="BG239" i="1"/>
  <c r="BD239" i="1"/>
  <c r="BA239" i="1"/>
  <c r="AX239" i="1"/>
  <c r="AU239" i="1"/>
  <c r="AQ239" i="1"/>
  <c r="AP239" i="1"/>
  <c r="AN239" i="1"/>
  <c r="AM239" i="1"/>
  <c r="AK239" i="1"/>
  <c r="BI239" i="1" s="1"/>
  <c r="AJ239" i="1"/>
  <c r="BH239" i="1" s="1"/>
  <c r="AH239" i="1"/>
  <c r="AG239" i="1"/>
  <c r="AE239" i="1"/>
  <c r="AD239" i="1"/>
  <c r="AB239" i="1"/>
  <c r="BF239" i="1" s="1"/>
  <c r="AA239" i="1"/>
  <c r="BE239" i="1" s="1"/>
  <c r="Y239" i="1"/>
  <c r="X239" i="1"/>
  <c r="V239" i="1"/>
  <c r="U239" i="1"/>
  <c r="S239" i="1"/>
  <c r="BC239" i="1" s="1"/>
  <c r="R239" i="1"/>
  <c r="BB239" i="1" s="1"/>
  <c r="P239" i="1"/>
  <c r="O239" i="1"/>
  <c r="M239" i="1"/>
  <c r="L239" i="1"/>
  <c r="J239" i="1"/>
  <c r="I239" i="1"/>
  <c r="BG238" i="1"/>
  <c r="BD238" i="1"/>
  <c r="BA238" i="1"/>
  <c r="AX238" i="1"/>
  <c r="AU238" i="1"/>
  <c r="AQ238" i="1"/>
  <c r="AP238" i="1"/>
  <c r="AN238" i="1"/>
  <c r="AM238" i="1"/>
  <c r="AK238" i="1"/>
  <c r="BI238" i="1" s="1"/>
  <c r="AJ238" i="1"/>
  <c r="BH238" i="1" s="1"/>
  <c r="AH238" i="1"/>
  <c r="AG238" i="1"/>
  <c r="AE238" i="1"/>
  <c r="AD238" i="1"/>
  <c r="AB238" i="1"/>
  <c r="BF238" i="1" s="1"/>
  <c r="AA238" i="1"/>
  <c r="BE238" i="1" s="1"/>
  <c r="Y238" i="1"/>
  <c r="X238" i="1"/>
  <c r="V238" i="1"/>
  <c r="U238" i="1"/>
  <c r="S238" i="1"/>
  <c r="BC238" i="1" s="1"/>
  <c r="R238" i="1"/>
  <c r="BB238" i="1" s="1"/>
  <c r="P238" i="1"/>
  <c r="O238" i="1"/>
  <c r="M238" i="1"/>
  <c r="L238" i="1"/>
  <c r="J238" i="1"/>
  <c r="I238" i="1"/>
  <c r="BG237" i="1"/>
  <c r="BD237" i="1"/>
  <c r="BA237" i="1"/>
  <c r="AX237" i="1"/>
  <c r="AU237" i="1"/>
  <c r="AR237" i="1"/>
  <c r="AQ237" i="1"/>
  <c r="AP237" i="1"/>
  <c r="AN237" i="1"/>
  <c r="AM237" i="1"/>
  <c r="AK237" i="1"/>
  <c r="BI237" i="1" s="1"/>
  <c r="AJ237" i="1"/>
  <c r="BH237" i="1" s="1"/>
  <c r="AH237" i="1"/>
  <c r="AG237" i="1"/>
  <c r="AE237" i="1"/>
  <c r="AD237" i="1"/>
  <c r="AB237" i="1"/>
  <c r="BF237" i="1" s="1"/>
  <c r="AA237" i="1"/>
  <c r="BE237" i="1" s="1"/>
  <c r="Y237" i="1"/>
  <c r="X237" i="1"/>
  <c r="V237" i="1"/>
  <c r="U237" i="1"/>
  <c r="S237" i="1"/>
  <c r="BC237" i="1" s="1"/>
  <c r="R237" i="1"/>
  <c r="BB237" i="1" s="1"/>
  <c r="P237" i="1"/>
  <c r="O237" i="1"/>
  <c r="M237" i="1"/>
  <c r="L237" i="1"/>
  <c r="J237" i="1"/>
  <c r="I237" i="1"/>
  <c r="BG236" i="1"/>
  <c r="BD236" i="1"/>
  <c r="BA236" i="1"/>
  <c r="AX236" i="1"/>
  <c r="AU236" i="1"/>
  <c r="AR236" i="1"/>
  <c r="AQ236" i="1"/>
  <c r="AP236" i="1"/>
  <c r="AN236" i="1"/>
  <c r="AM236" i="1"/>
  <c r="AK236" i="1"/>
  <c r="BI236" i="1" s="1"/>
  <c r="AJ236" i="1"/>
  <c r="BH236" i="1" s="1"/>
  <c r="AH236" i="1"/>
  <c r="AG236" i="1"/>
  <c r="AE236" i="1"/>
  <c r="AD236" i="1"/>
  <c r="AB236" i="1"/>
  <c r="BF236" i="1" s="1"/>
  <c r="AA236" i="1"/>
  <c r="BE236" i="1" s="1"/>
  <c r="Y236" i="1"/>
  <c r="X236" i="1"/>
  <c r="V236" i="1"/>
  <c r="U236" i="1"/>
  <c r="S236" i="1"/>
  <c r="BC236" i="1" s="1"/>
  <c r="R236" i="1"/>
  <c r="BB236" i="1" s="1"/>
  <c r="P236" i="1"/>
  <c r="O236" i="1"/>
  <c r="M236" i="1"/>
  <c r="L236" i="1"/>
  <c r="J236" i="1"/>
  <c r="I236" i="1"/>
  <c r="BG235" i="1"/>
  <c r="BD235" i="1"/>
  <c r="BA235" i="1"/>
  <c r="AX235" i="1"/>
  <c r="AU235" i="1"/>
  <c r="AR235" i="1"/>
  <c r="AQ235" i="1"/>
  <c r="AP235" i="1"/>
  <c r="AN235" i="1"/>
  <c r="AM235" i="1"/>
  <c r="AK235" i="1"/>
  <c r="BI235" i="1" s="1"/>
  <c r="AJ235" i="1"/>
  <c r="BH235" i="1" s="1"/>
  <c r="AH235" i="1"/>
  <c r="AG235" i="1"/>
  <c r="AE235" i="1"/>
  <c r="AD235" i="1"/>
  <c r="AB235" i="1"/>
  <c r="BF235" i="1" s="1"/>
  <c r="AA235" i="1"/>
  <c r="BE235" i="1" s="1"/>
  <c r="Y235" i="1"/>
  <c r="X235" i="1"/>
  <c r="V235" i="1"/>
  <c r="U235" i="1"/>
  <c r="S235" i="1"/>
  <c r="BC235" i="1" s="1"/>
  <c r="R235" i="1"/>
  <c r="BB235" i="1" s="1"/>
  <c r="P235" i="1"/>
  <c r="O235" i="1"/>
  <c r="M235" i="1"/>
  <c r="L235" i="1"/>
  <c r="J235" i="1"/>
  <c r="I235" i="1"/>
  <c r="BG234" i="1"/>
  <c r="BD234" i="1"/>
  <c r="BA234" i="1"/>
  <c r="AX234" i="1"/>
  <c r="AU234" i="1"/>
  <c r="AR234" i="1"/>
  <c r="AQ234" i="1"/>
  <c r="AP234" i="1"/>
  <c r="AN234" i="1"/>
  <c r="AM234" i="1"/>
  <c r="AK234" i="1"/>
  <c r="BI234" i="1" s="1"/>
  <c r="AJ234" i="1"/>
  <c r="BH234" i="1" s="1"/>
  <c r="AH234" i="1"/>
  <c r="AG234" i="1"/>
  <c r="AE234" i="1"/>
  <c r="AD234" i="1"/>
  <c r="AB234" i="1"/>
  <c r="BF234" i="1" s="1"/>
  <c r="AA234" i="1"/>
  <c r="BE234" i="1" s="1"/>
  <c r="Y234" i="1"/>
  <c r="X234" i="1"/>
  <c r="V234" i="1"/>
  <c r="U234" i="1"/>
  <c r="S234" i="1"/>
  <c r="BC234" i="1" s="1"/>
  <c r="R234" i="1"/>
  <c r="BB234" i="1" s="1"/>
  <c r="P234" i="1"/>
  <c r="O234" i="1"/>
  <c r="M234" i="1"/>
  <c r="L234" i="1"/>
  <c r="J234" i="1"/>
  <c r="I234" i="1"/>
  <c r="BG233" i="1"/>
  <c r="BD233" i="1"/>
  <c r="BA233" i="1"/>
  <c r="AX233" i="1"/>
  <c r="AU233" i="1"/>
  <c r="AR233" i="1"/>
  <c r="AQ233" i="1"/>
  <c r="AP233" i="1"/>
  <c r="AN233" i="1"/>
  <c r="AM233" i="1"/>
  <c r="AK233" i="1"/>
  <c r="BI233" i="1" s="1"/>
  <c r="AJ233" i="1"/>
  <c r="BH233" i="1" s="1"/>
  <c r="AH233" i="1"/>
  <c r="AG233" i="1"/>
  <c r="AE233" i="1"/>
  <c r="AD233" i="1"/>
  <c r="AB233" i="1"/>
  <c r="BF233" i="1" s="1"/>
  <c r="AA233" i="1"/>
  <c r="BE233" i="1" s="1"/>
  <c r="Y233" i="1"/>
  <c r="X233" i="1"/>
  <c r="V233" i="1"/>
  <c r="U233" i="1"/>
  <c r="S233" i="1"/>
  <c r="BC233" i="1" s="1"/>
  <c r="R233" i="1"/>
  <c r="BB233" i="1" s="1"/>
  <c r="P233" i="1"/>
  <c r="O233" i="1"/>
  <c r="M233" i="1"/>
  <c r="L233" i="1"/>
  <c r="J233" i="1"/>
  <c r="I233" i="1"/>
  <c r="BG232" i="1"/>
  <c r="BD232" i="1"/>
  <c r="BA232" i="1"/>
  <c r="AX232" i="1"/>
  <c r="AU232" i="1"/>
  <c r="AR232" i="1"/>
  <c r="AQ232" i="1"/>
  <c r="AP232" i="1"/>
  <c r="AN232" i="1"/>
  <c r="AM232" i="1"/>
  <c r="AK232" i="1"/>
  <c r="BI232" i="1" s="1"/>
  <c r="AJ232" i="1"/>
  <c r="BH232" i="1" s="1"/>
  <c r="AH232" i="1"/>
  <c r="AG232" i="1"/>
  <c r="AG226" i="1" s="1"/>
  <c r="AG241" i="1" s="1"/>
  <c r="AE232" i="1"/>
  <c r="AD232" i="1"/>
  <c r="AB232" i="1"/>
  <c r="BF232" i="1" s="1"/>
  <c r="AA232" i="1"/>
  <c r="BE232" i="1" s="1"/>
  <c r="Y232" i="1"/>
  <c r="X232" i="1"/>
  <c r="V232" i="1"/>
  <c r="U232" i="1"/>
  <c r="S232" i="1"/>
  <c r="BC232" i="1" s="1"/>
  <c r="R232" i="1"/>
  <c r="BB232" i="1" s="1"/>
  <c r="P232" i="1"/>
  <c r="O232" i="1"/>
  <c r="M232" i="1"/>
  <c r="L232" i="1"/>
  <c r="J232" i="1"/>
  <c r="I232" i="1"/>
  <c r="BG231" i="1"/>
  <c r="BD231" i="1"/>
  <c r="BA231" i="1"/>
  <c r="AX231" i="1"/>
  <c r="AU231" i="1"/>
  <c r="AR231" i="1"/>
  <c r="AQ231" i="1"/>
  <c r="AP231" i="1"/>
  <c r="AN231" i="1"/>
  <c r="AM231" i="1"/>
  <c r="AK231" i="1"/>
  <c r="BI231" i="1" s="1"/>
  <c r="AJ231" i="1"/>
  <c r="BH231" i="1" s="1"/>
  <c r="AH231" i="1"/>
  <c r="AG231" i="1"/>
  <c r="AE231" i="1"/>
  <c r="AD231" i="1"/>
  <c r="AB231" i="1"/>
  <c r="BF231" i="1" s="1"/>
  <c r="AA231" i="1"/>
  <c r="BE231" i="1" s="1"/>
  <c r="Y231" i="1"/>
  <c r="X231" i="1"/>
  <c r="V231" i="1"/>
  <c r="U231" i="1"/>
  <c r="S231" i="1"/>
  <c r="BC231" i="1" s="1"/>
  <c r="R231" i="1"/>
  <c r="BB231" i="1" s="1"/>
  <c r="P231" i="1"/>
  <c r="O231" i="1"/>
  <c r="M231" i="1"/>
  <c r="L231" i="1"/>
  <c r="J231" i="1"/>
  <c r="I231" i="1"/>
  <c r="BG230" i="1"/>
  <c r="BD230" i="1"/>
  <c r="BA230" i="1"/>
  <c r="AX230" i="1"/>
  <c r="AU230" i="1"/>
  <c r="AR230" i="1"/>
  <c r="AQ230" i="1"/>
  <c r="AP230" i="1"/>
  <c r="AN230" i="1"/>
  <c r="AM230" i="1"/>
  <c r="AK230" i="1"/>
  <c r="BI230" i="1" s="1"/>
  <c r="AJ230" i="1"/>
  <c r="BH230" i="1" s="1"/>
  <c r="AH230" i="1"/>
  <c r="AG230" i="1"/>
  <c r="AE230" i="1"/>
  <c r="AD230" i="1"/>
  <c r="AB230" i="1"/>
  <c r="BF230" i="1" s="1"/>
  <c r="AA230" i="1"/>
  <c r="BE230" i="1" s="1"/>
  <c r="Y230" i="1"/>
  <c r="X230" i="1"/>
  <c r="V230" i="1"/>
  <c r="U230" i="1"/>
  <c r="S230" i="1"/>
  <c r="BC230" i="1" s="1"/>
  <c r="R230" i="1"/>
  <c r="BB230" i="1" s="1"/>
  <c r="P230" i="1"/>
  <c r="O230" i="1"/>
  <c r="M230" i="1"/>
  <c r="L230" i="1"/>
  <c r="J230" i="1"/>
  <c r="I230" i="1"/>
  <c r="BG229" i="1"/>
  <c r="BD229" i="1"/>
  <c r="BA229" i="1"/>
  <c r="AX229" i="1"/>
  <c r="AU229" i="1"/>
  <c r="AR229" i="1"/>
  <c r="AQ229" i="1"/>
  <c r="AP229" i="1"/>
  <c r="AN229" i="1"/>
  <c r="AM229" i="1"/>
  <c r="AK229" i="1"/>
  <c r="BI229" i="1" s="1"/>
  <c r="AJ229" i="1"/>
  <c r="BH229" i="1" s="1"/>
  <c r="AH229" i="1"/>
  <c r="AG229" i="1"/>
  <c r="AE229" i="1"/>
  <c r="AD229" i="1"/>
  <c r="AB229" i="1"/>
  <c r="BF229" i="1" s="1"/>
  <c r="AA229" i="1"/>
  <c r="BE229" i="1" s="1"/>
  <c r="Y229" i="1"/>
  <c r="X229" i="1"/>
  <c r="V229" i="1"/>
  <c r="U229" i="1"/>
  <c r="S229" i="1"/>
  <c r="BC229" i="1" s="1"/>
  <c r="R229" i="1"/>
  <c r="BB229" i="1" s="1"/>
  <c r="P229" i="1"/>
  <c r="O229" i="1"/>
  <c r="M229" i="1"/>
  <c r="L229" i="1"/>
  <c r="J229" i="1"/>
  <c r="I229" i="1"/>
  <c r="BG228" i="1"/>
  <c r="BD228" i="1"/>
  <c r="BA228" i="1"/>
  <c r="AX228" i="1"/>
  <c r="AU228" i="1"/>
  <c r="AR228" i="1"/>
  <c r="AQ228" i="1"/>
  <c r="AP228" i="1"/>
  <c r="AN228" i="1"/>
  <c r="AM228" i="1"/>
  <c r="AK228" i="1"/>
  <c r="BI228" i="1" s="1"/>
  <c r="AJ228" i="1"/>
  <c r="BH228" i="1" s="1"/>
  <c r="AH228" i="1"/>
  <c r="AG228" i="1"/>
  <c r="AE228" i="1"/>
  <c r="AD228" i="1"/>
  <c r="AB228" i="1"/>
  <c r="BF228" i="1" s="1"/>
  <c r="AA228" i="1"/>
  <c r="BE228" i="1" s="1"/>
  <c r="Y228" i="1"/>
  <c r="X228" i="1"/>
  <c r="V228" i="1"/>
  <c r="U228" i="1"/>
  <c r="S228" i="1"/>
  <c r="BC228" i="1" s="1"/>
  <c r="R228" i="1"/>
  <c r="BB228" i="1" s="1"/>
  <c r="P228" i="1"/>
  <c r="O228" i="1"/>
  <c r="M228" i="1"/>
  <c r="L228" i="1"/>
  <c r="J228" i="1"/>
  <c r="I228" i="1"/>
  <c r="BG227" i="1"/>
  <c r="BD227" i="1"/>
  <c r="BA227" i="1"/>
  <c r="AX227" i="1"/>
  <c r="AU227" i="1"/>
  <c r="AR227" i="1"/>
  <c r="AQ227" i="1"/>
  <c r="AP227" i="1"/>
  <c r="AN227" i="1"/>
  <c r="AM227" i="1"/>
  <c r="AK227" i="1"/>
  <c r="BI227" i="1" s="1"/>
  <c r="AJ227" i="1"/>
  <c r="BH227" i="1" s="1"/>
  <c r="AH227" i="1"/>
  <c r="AG227" i="1"/>
  <c r="AE227" i="1"/>
  <c r="AD227" i="1"/>
  <c r="AB227" i="1"/>
  <c r="BF227" i="1" s="1"/>
  <c r="AA227" i="1"/>
  <c r="BE227" i="1" s="1"/>
  <c r="Y227" i="1"/>
  <c r="X227" i="1"/>
  <c r="V227" i="1"/>
  <c r="U227" i="1"/>
  <c r="S227" i="1"/>
  <c r="BC227" i="1" s="1"/>
  <c r="R227" i="1"/>
  <c r="BB227" i="1" s="1"/>
  <c r="P227" i="1"/>
  <c r="O227" i="1"/>
  <c r="M227" i="1"/>
  <c r="L227" i="1"/>
  <c r="J227" i="1"/>
  <c r="I227" i="1"/>
  <c r="BG226" i="1"/>
  <c r="BG241" i="1" s="1"/>
  <c r="BD226" i="1"/>
  <c r="BD241" i="1" s="1"/>
  <c r="BA226" i="1"/>
  <c r="BA241" i="1" s="1"/>
  <c r="AX226" i="1"/>
  <c r="AX241" i="1" s="1"/>
  <c r="AU226" i="1"/>
  <c r="AU241" i="1" s="1"/>
  <c r="AQ226" i="1"/>
  <c r="AQ241" i="1" s="1"/>
  <c r="AP226" i="1"/>
  <c r="AP241" i="1" s="1"/>
  <c r="AN226" i="1"/>
  <c r="AN241" i="1" s="1"/>
  <c r="AM226" i="1"/>
  <c r="AM241" i="1" s="1"/>
  <c r="AK226" i="1"/>
  <c r="AK241" i="1" s="1"/>
  <c r="AJ226" i="1"/>
  <c r="AJ241" i="1" s="1"/>
  <c r="AH226" i="1"/>
  <c r="AH241" i="1" s="1"/>
  <c r="AE226" i="1"/>
  <c r="AE241" i="1" s="1"/>
  <c r="AD226" i="1"/>
  <c r="AD241" i="1" s="1"/>
  <c r="AB226" i="1"/>
  <c r="AB241" i="1" s="1"/>
  <c r="AA226" i="1"/>
  <c r="AA241" i="1" s="1"/>
  <c r="Y226" i="1"/>
  <c r="Y241" i="1" s="1"/>
  <c r="X226" i="1"/>
  <c r="X241" i="1" s="1"/>
  <c r="V226" i="1"/>
  <c r="V241" i="1" s="1"/>
  <c r="U226" i="1"/>
  <c r="U241" i="1" s="1"/>
  <c r="S226" i="1"/>
  <c r="S241" i="1" s="1"/>
  <c r="R226" i="1"/>
  <c r="R241" i="1" s="1"/>
  <c r="P226" i="1"/>
  <c r="P241" i="1" s="1"/>
  <c r="O226" i="1"/>
  <c r="O241" i="1" s="1"/>
  <c r="M226" i="1"/>
  <c r="M241" i="1" s="1"/>
  <c r="L226" i="1"/>
  <c r="L241" i="1" s="1"/>
  <c r="J226" i="1"/>
  <c r="J241" i="1" s="1"/>
  <c r="BG223" i="1"/>
  <c r="BD223" i="1"/>
  <c r="BA223" i="1"/>
  <c r="AX223" i="1"/>
  <c r="AU223" i="1"/>
  <c r="AR223" i="1"/>
  <c r="AQ223" i="1"/>
  <c r="AP223" i="1"/>
  <c r="AN223" i="1"/>
  <c r="AM223" i="1"/>
  <c r="AK223" i="1"/>
  <c r="BI223" i="1" s="1"/>
  <c r="AJ223" i="1"/>
  <c r="BH223" i="1" s="1"/>
  <c r="AH223" i="1"/>
  <c r="AG223" i="1"/>
  <c r="AE223" i="1"/>
  <c r="AD223" i="1"/>
  <c r="AB223" i="1"/>
  <c r="BF223" i="1" s="1"/>
  <c r="AA223" i="1"/>
  <c r="BE223" i="1" s="1"/>
  <c r="Y223" i="1"/>
  <c r="X223" i="1"/>
  <c r="V223" i="1"/>
  <c r="U223" i="1"/>
  <c r="S223" i="1"/>
  <c r="BC223" i="1" s="1"/>
  <c r="R223" i="1"/>
  <c r="BB223" i="1" s="1"/>
  <c r="P223" i="1"/>
  <c r="O223" i="1"/>
  <c r="M223" i="1"/>
  <c r="L223" i="1"/>
  <c r="J223" i="1"/>
  <c r="I223" i="1"/>
  <c r="BI222" i="1"/>
  <c r="BH222" i="1"/>
  <c r="BG222" i="1"/>
  <c r="BF222" i="1"/>
  <c r="BE222" i="1"/>
  <c r="BD222" i="1"/>
  <c r="BA222" i="1"/>
  <c r="AX222" i="1"/>
  <c r="AU222" i="1"/>
  <c r="AR222" i="1"/>
  <c r="AQ222" i="1"/>
  <c r="AP222" i="1"/>
  <c r="AN222" i="1"/>
  <c r="AM222" i="1"/>
  <c r="AK222" i="1"/>
  <c r="AJ222" i="1"/>
  <c r="AH222" i="1"/>
  <c r="AG222" i="1"/>
  <c r="AE222" i="1"/>
  <c r="AD222" i="1"/>
  <c r="AB222" i="1"/>
  <c r="AA222" i="1"/>
  <c r="Y222" i="1"/>
  <c r="X222" i="1"/>
  <c r="V222" i="1"/>
  <c r="U222" i="1"/>
  <c r="S222" i="1"/>
  <c r="BC222" i="1" s="1"/>
  <c r="R222" i="1"/>
  <c r="BB222" i="1" s="1"/>
  <c r="P222" i="1"/>
  <c r="O222" i="1"/>
  <c r="M222" i="1"/>
  <c r="L222" i="1"/>
  <c r="J222" i="1"/>
  <c r="I222" i="1"/>
  <c r="BG221" i="1"/>
  <c r="BD221" i="1"/>
  <c r="BA221" i="1"/>
  <c r="AX221" i="1"/>
  <c r="AU221" i="1"/>
  <c r="AR221" i="1"/>
  <c r="AQ221" i="1"/>
  <c r="AP221" i="1"/>
  <c r="AN221" i="1"/>
  <c r="AM221" i="1"/>
  <c r="AK221" i="1"/>
  <c r="BI221" i="1" s="1"/>
  <c r="AJ221" i="1"/>
  <c r="BH221" i="1" s="1"/>
  <c r="AH221" i="1"/>
  <c r="AG221" i="1"/>
  <c r="AE221" i="1"/>
  <c r="AD221" i="1"/>
  <c r="AB221" i="1"/>
  <c r="BF221" i="1" s="1"/>
  <c r="AA221" i="1"/>
  <c r="BE221" i="1" s="1"/>
  <c r="Y221" i="1"/>
  <c r="X221" i="1"/>
  <c r="V221" i="1"/>
  <c r="U221" i="1"/>
  <c r="S221" i="1"/>
  <c r="BC221" i="1" s="1"/>
  <c r="R221" i="1"/>
  <c r="BB221" i="1" s="1"/>
  <c r="P221" i="1"/>
  <c r="O221" i="1"/>
  <c r="M221" i="1"/>
  <c r="L221" i="1"/>
  <c r="J221" i="1"/>
  <c r="I221" i="1"/>
  <c r="BG220" i="1"/>
  <c r="BD220" i="1"/>
  <c r="BA220" i="1"/>
  <c r="AX220" i="1"/>
  <c r="AU220" i="1"/>
  <c r="AR220" i="1"/>
  <c r="AQ220" i="1"/>
  <c r="AP220" i="1"/>
  <c r="AN220" i="1"/>
  <c r="AM220" i="1"/>
  <c r="AK220" i="1"/>
  <c r="BI220" i="1" s="1"/>
  <c r="AJ220" i="1"/>
  <c r="BH220" i="1" s="1"/>
  <c r="AH220" i="1"/>
  <c r="AG220" i="1"/>
  <c r="AE220" i="1"/>
  <c r="AD220" i="1"/>
  <c r="AB220" i="1"/>
  <c r="BF220" i="1" s="1"/>
  <c r="AA220" i="1"/>
  <c r="BE220" i="1" s="1"/>
  <c r="Y220" i="1"/>
  <c r="X220" i="1"/>
  <c r="V220" i="1"/>
  <c r="U220" i="1"/>
  <c r="S220" i="1"/>
  <c r="BC220" i="1" s="1"/>
  <c r="R220" i="1"/>
  <c r="BB220" i="1" s="1"/>
  <c r="P220" i="1"/>
  <c r="O220" i="1"/>
  <c r="M220" i="1"/>
  <c r="L220" i="1"/>
  <c r="J220" i="1"/>
  <c r="I220" i="1"/>
  <c r="BG219" i="1"/>
  <c r="BD219" i="1"/>
  <c r="BA219" i="1"/>
  <c r="AX219" i="1"/>
  <c r="AU219" i="1"/>
  <c r="AR219" i="1"/>
  <c r="AQ219" i="1"/>
  <c r="AP219" i="1"/>
  <c r="AN219" i="1"/>
  <c r="AM219" i="1"/>
  <c r="AK219" i="1"/>
  <c r="BI219" i="1" s="1"/>
  <c r="AJ219" i="1"/>
  <c r="BH219" i="1" s="1"/>
  <c r="AH219" i="1"/>
  <c r="AG219" i="1"/>
  <c r="AE219" i="1"/>
  <c r="AD219" i="1"/>
  <c r="AB219" i="1"/>
  <c r="BF219" i="1" s="1"/>
  <c r="AA219" i="1"/>
  <c r="BE219" i="1" s="1"/>
  <c r="Y219" i="1"/>
  <c r="X219" i="1"/>
  <c r="V219" i="1"/>
  <c r="U219" i="1"/>
  <c r="S219" i="1"/>
  <c r="BC219" i="1" s="1"/>
  <c r="R219" i="1"/>
  <c r="BB219" i="1" s="1"/>
  <c r="P219" i="1"/>
  <c r="O219" i="1"/>
  <c r="M219" i="1"/>
  <c r="L219" i="1"/>
  <c r="J219" i="1"/>
  <c r="I219" i="1"/>
  <c r="BG218" i="1"/>
  <c r="BD218" i="1"/>
  <c r="BA218" i="1"/>
  <c r="AX218" i="1"/>
  <c r="AU218" i="1"/>
  <c r="AR218" i="1"/>
  <c r="AQ218" i="1"/>
  <c r="AP218" i="1"/>
  <c r="AN218" i="1"/>
  <c r="AM218" i="1"/>
  <c r="AK218" i="1"/>
  <c r="BI218" i="1" s="1"/>
  <c r="AJ218" i="1"/>
  <c r="BH218" i="1" s="1"/>
  <c r="AH218" i="1"/>
  <c r="AG218" i="1"/>
  <c r="AE218" i="1"/>
  <c r="AD218" i="1"/>
  <c r="AB218" i="1"/>
  <c r="BF218" i="1" s="1"/>
  <c r="AA218" i="1"/>
  <c r="BE218" i="1" s="1"/>
  <c r="Y218" i="1"/>
  <c r="X218" i="1"/>
  <c r="V218" i="1"/>
  <c r="U218" i="1"/>
  <c r="S218" i="1"/>
  <c r="BC218" i="1" s="1"/>
  <c r="R218" i="1"/>
  <c r="BB218" i="1" s="1"/>
  <c r="P218" i="1"/>
  <c r="O218" i="1"/>
  <c r="M218" i="1"/>
  <c r="L218" i="1"/>
  <c r="J218" i="1"/>
  <c r="I218" i="1"/>
  <c r="BG217" i="1"/>
  <c r="BD217" i="1"/>
  <c r="BA217" i="1"/>
  <c r="AX217" i="1"/>
  <c r="AU217" i="1"/>
  <c r="AR217" i="1"/>
  <c r="AR216" i="1" s="1"/>
  <c r="AQ217" i="1"/>
  <c r="AP217" i="1"/>
  <c r="AN217" i="1"/>
  <c r="AM217" i="1"/>
  <c r="AK217" i="1"/>
  <c r="BI217" i="1" s="1"/>
  <c r="BI216" i="1" s="1"/>
  <c r="AJ217" i="1"/>
  <c r="BH217" i="1" s="1"/>
  <c r="BH216" i="1" s="1"/>
  <c r="AH217" i="1"/>
  <c r="AG217" i="1"/>
  <c r="AE217" i="1"/>
  <c r="AD217" i="1"/>
  <c r="AB217" i="1"/>
  <c r="BF217" i="1" s="1"/>
  <c r="BF216" i="1" s="1"/>
  <c r="AA217" i="1"/>
  <c r="BE217" i="1" s="1"/>
  <c r="BE216" i="1" s="1"/>
  <c r="Y217" i="1"/>
  <c r="X217" i="1"/>
  <c r="V217" i="1"/>
  <c r="U217" i="1"/>
  <c r="S217" i="1"/>
  <c r="BC217" i="1" s="1"/>
  <c r="BC216" i="1" s="1"/>
  <c r="R217" i="1"/>
  <c r="BB217" i="1" s="1"/>
  <c r="BB216" i="1" s="1"/>
  <c r="P217" i="1"/>
  <c r="O217" i="1"/>
  <c r="M217" i="1"/>
  <c r="L217" i="1"/>
  <c r="J217" i="1"/>
  <c r="I217" i="1"/>
  <c r="BG216" i="1"/>
  <c r="BG224" i="1" s="1"/>
  <c r="BD216" i="1"/>
  <c r="BD224" i="1" s="1"/>
  <c r="BA216" i="1"/>
  <c r="BA224" i="1" s="1"/>
  <c r="AX216" i="1"/>
  <c r="AX224" i="1" s="1"/>
  <c r="AU216" i="1"/>
  <c r="AU224" i="1" s="1"/>
  <c r="AQ216" i="1"/>
  <c r="AP216" i="1"/>
  <c r="AP224" i="1" s="1"/>
  <c r="AN216" i="1"/>
  <c r="AM216" i="1"/>
  <c r="AM224" i="1" s="1"/>
  <c r="AK216" i="1"/>
  <c r="AJ216" i="1"/>
  <c r="AJ224" i="1" s="1"/>
  <c r="AH216" i="1"/>
  <c r="AG216" i="1"/>
  <c r="AG224" i="1" s="1"/>
  <c r="AE216" i="1"/>
  <c r="AD216" i="1"/>
  <c r="AD224" i="1" s="1"/>
  <c r="AB216" i="1"/>
  <c r="AA216" i="1"/>
  <c r="AA224" i="1" s="1"/>
  <c r="Y216" i="1"/>
  <c r="X216" i="1"/>
  <c r="X224" i="1" s="1"/>
  <c r="V216" i="1"/>
  <c r="U216" i="1"/>
  <c r="U224" i="1" s="1"/>
  <c r="S216" i="1"/>
  <c r="R216" i="1"/>
  <c r="R224" i="1" s="1"/>
  <c r="P216" i="1"/>
  <c r="O216" i="1"/>
  <c r="O224" i="1" s="1"/>
  <c r="M216" i="1"/>
  <c r="L216" i="1"/>
  <c r="L224" i="1" s="1"/>
  <c r="J216" i="1"/>
  <c r="BG212" i="1"/>
  <c r="BD212" i="1"/>
  <c r="BA212" i="1"/>
  <c r="AX212" i="1"/>
  <c r="AU212" i="1"/>
  <c r="AR212" i="1"/>
  <c r="AQ212" i="1"/>
  <c r="AP212" i="1"/>
  <c r="AN212" i="1"/>
  <c r="AM212" i="1"/>
  <c r="AK212" i="1"/>
  <c r="BI212" i="1" s="1"/>
  <c r="AJ212" i="1"/>
  <c r="BH212" i="1" s="1"/>
  <c r="AH212" i="1"/>
  <c r="AG212" i="1"/>
  <c r="AE212" i="1"/>
  <c r="AD212" i="1"/>
  <c r="AB212" i="1"/>
  <c r="BF212" i="1" s="1"/>
  <c r="AA212" i="1"/>
  <c r="BE212" i="1" s="1"/>
  <c r="Y212" i="1"/>
  <c r="X212" i="1"/>
  <c r="V212" i="1"/>
  <c r="U212" i="1"/>
  <c r="S212" i="1"/>
  <c r="BC212" i="1" s="1"/>
  <c r="R212" i="1"/>
  <c r="BB212" i="1" s="1"/>
  <c r="P212" i="1"/>
  <c r="O212" i="1"/>
  <c r="M212" i="1"/>
  <c r="L212" i="1"/>
  <c r="J212" i="1"/>
  <c r="I212" i="1"/>
  <c r="BG211" i="1"/>
  <c r="BD211" i="1"/>
  <c r="BA211" i="1"/>
  <c r="AX211" i="1"/>
  <c r="AU211" i="1"/>
  <c r="AR211" i="1"/>
  <c r="AQ211" i="1"/>
  <c r="AP211" i="1"/>
  <c r="AN211" i="1"/>
  <c r="AM211" i="1"/>
  <c r="AK211" i="1"/>
  <c r="BI211" i="1" s="1"/>
  <c r="AJ211" i="1"/>
  <c r="BH211" i="1" s="1"/>
  <c r="AH211" i="1"/>
  <c r="AG211" i="1"/>
  <c r="AE211" i="1"/>
  <c r="AD211" i="1"/>
  <c r="AB211" i="1"/>
  <c r="BF211" i="1" s="1"/>
  <c r="AA211" i="1"/>
  <c r="BE211" i="1" s="1"/>
  <c r="Y211" i="1"/>
  <c r="X211" i="1"/>
  <c r="V211" i="1"/>
  <c r="U211" i="1"/>
  <c r="S211" i="1"/>
  <c r="BC211" i="1" s="1"/>
  <c r="R211" i="1"/>
  <c r="BB211" i="1" s="1"/>
  <c r="P211" i="1"/>
  <c r="O211" i="1"/>
  <c r="M211" i="1"/>
  <c r="L211" i="1"/>
  <c r="J211" i="1"/>
  <c r="I211" i="1"/>
  <c r="BG210" i="1"/>
  <c r="BD210" i="1"/>
  <c r="BA210" i="1"/>
  <c r="AX210" i="1"/>
  <c r="AU210" i="1"/>
  <c r="AR210" i="1"/>
  <c r="AQ210" i="1"/>
  <c r="AP210" i="1"/>
  <c r="AN210" i="1"/>
  <c r="AM210" i="1"/>
  <c r="AK210" i="1"/>
  <c r="BI210" i="1" s="1"/>
  <c r="AJ210" i="1"/>
  <c r="BH210" i="1" s="1"/>
  <c r="AH210" i="1"/>
  <c r="AG210" i="1"/>
  <c r="AE210" i="1"/>
  <c r="AD210" i="1"/>
  <c r="AB210" i="1"/>
  <c r="BF210" i="1" s="1"/>
  <c r="AA210" i="1"/>
  <c r="BE210" i="1" s="1"/>
  <c r="Y210" i="1"/>
  <c r="X210" i="1"/>
  <c r="V210" i="1"/>
  <c r="U210" i="1"/>
  <c r="S210" i="1"/>
  <c r="BC210" i="1" s="1"/>
  <c r="R210" i="1"/>
  <c r="BB210" i="1" s="1"/>
  <c r="P210" i="1"/>
  <c r="O210" i="1"/>
  <c r="M210" i="1"/>
  <c r="L210" i="1"/>
  <c r="J210" i="1"/>
  <c r="I210" i="1"/>
  <c r="BG209" i="1"/>
  <c r="BD209" i="1"/>
  <c r="BA209" i="1"/>
  <c r="AX209" i="1"/>
  <c r="AU209" i="1"/>
  <c r="AR209" i="1"/>
  <c r="AQ209" i="1"/>
  <c r="AP209" i="1"/>
  <c r="AN209" i="1"/>
  <c r="AM209" i="1"/>
  <c r="AK209" i="1"/>
  <c r="BI209" i="1" s="1"/>
  <c r="AJ209" i="1"/>
  <c r="BH209" i="1" s="1"/>
  <c r="AH209" i="1"/>
  <c r="AG209" i="1"/>
  <c r="AE209" i="1"/>
  <c r="AD209" i="1"/>
  <c r="AB209" i="1"/>
  <c r="BF209" i="1" s="1"/>
  <c r="AA209" i="1"/>
  <c r="BE209" i="1" s="1"/>
  <c r="Y209" i="1"/>
  <c r="X209" i="1"/>
  <c r="V209" i="1"/>
  <c r="U209" i="1"/>
  <c r="S209" i="1"/>
  <c r="BC209" i="1" s="1"/>
  <c r="R209" i="1"/>
  <c r="BB209" i="1" s="1"/>
  <c r="P209" i="1"/>
  <c r="O209" i="1"/>
  <c r="M209" i="1"/>
  <c r="L209" i="1"/>
  <c r="J209" i="1"/>
  <c r="I209" i="1"/>
  <c r="BG208" i="1"/>
  <c r="BD208" i="1"/>
  <c r="BA208" i="1"/>
  <c r="AX208" i="1"/>
  <c r="AU208" i="1"/>
  <c r="AR208" i="1"/>
  <c r="AQ208" i="1"/>
  <c r="AP208" i="1"/>
  <c r="AN208" i="1"/>
  <c r="AM208" i="1"/>
  <c r="AK208" i="1"/>
  <c r="BI208" i="1" s="1"/>
  <c r="AJ208" i="1"/>
  <c r="BH208" i="1" s="1"/>
  <c r="AH208" i="1"/>
  <c r="AG208" i="1"/>
  <c r="AE208" i="1"/>
  <c r="AD208" i="1"/>
  <c r="AB208" i="1"/>
  <c r="BF208" i="1" s="1"/>
  <c r="AA208" i="1"/>
  <c r="BE208" i="1" s="1"/>
  <c r="Y208" i="1"/>
  <c r="X208" i="1"/>
  <c r="V208" i="1"/>
  <c r="U208" i="1"/>
  <c r="S208" i="1"/>
  <c r="BC208" i="1" s="1"/>
  <c r="R208" i="1"/>
  <c r="BB208" i="1" s="1"/>
  <c r="P208" i="1"/>
  <c r="O208" i="1"/>
  <c r="M208" i="1"/>
  <c r="L208" i="1"/>
  <c r="J208" i="1"/>
  <c r="I208" i="1"/>
  <c r="BG207" i="1"/>
  <c r="BD207" i="1"/>
  <c r="BA207" i="1"/>
  <c r="AX207" i="1"/>
  <c r="AU207" i="1"/>
  <c r="AR207" i="1"/>
  <c r="AQ207" i="1"/>
  <c r="AP207" i="1"/>
  <c r="AN207" i="1"/>
  <c r="AM207" i="1"/>
  <c r="AK207" i="1"/>
  <c r="BI207" i="1" s="1"/>
  <c r="AJ207" i="1"/>
  <c r="BH207" i="1" s="1"/>
  <c r="AH207" i="1"/>
  <c r="AG207" i="1"/>
  <c r="AE207" i="1"/>
  <c r="AD207" i="1"/>
  <c r="AB207" i="1"/>
  <c r="BF207" i="1" s="1"/>
  <c r="AA207" i="1"/>
  <c r="BE207" i="1" s="1"/>
  <c r="Y207" i="1"/>
  <c r="X207" i="1"/>
  <c r="V207" i="1"/>
  <c r="U207" i="1"/>
  <c r="S207" i="1"/>
  <c r="BC207" i="1" s="1"/>
  <c r="R207" i="1"/>
  <c r="BB207" i="1" s="1"/>
  <c r="P207" i="1"/>
  <c r="O207" i="1"/>
  <c r="M207" i="1"/>
  <c r="L207" i="1"/>
  <c r="J207" i="1"/>
  <c r="I207" i="1"/>
  <c r="BG206" i="1"/>
  <c r="BD206" i="1"/>
  <c r="BA206" i="1"/>
  <c r="AX206" i="1"/>
  <c r="AU206" i="1"/>
  <c r="AR206" i="1"/>
  <c r="AQ206" i="1"/>
  <c r="AP206" i="1"/>
  <c r="AN206" i="1"/>
  <c r="AM206" i="1"/>
  <c r="AK206" i="1"/>
  <c r="BI206" i="1" s="1"/>
  <c r="AJ206" i="1"/>
  <c r="BH206" i="1" s="1"/>
  <c r="AH206" i="1"/>
  <c r="AG206" i="1"/>
  <c r="AG205" i="1" s="1"/>
  <c r="AE206" i="1"/>
  <c r="AD206" i="1"/>
  <c r="AB206" i="1"/>
  <c r="BF206" i="1" s="1"/>
  <c r="AA206" i="1"/>
  <c r="BE206" i="1" s="1"/>
  <c r="Y206" i="1"/>
  <c r="X206" i="1"/>
  <c r="V206" i="1"/>
  <c r="U206" i="1"/>
  <c r="S206" i="1"/>
  <c r="BC206" i="1" s="1"/>
  <c r="R206" i="1"/>
  <c r="BB206" i="1" s="1"/>
  <c r="P206" i="1"/>
  <c r="O206" i="1"/>
  <c r="M206" i="1"/>
  <c r="L206" i="1"/>
  <c r="J206" i="1"/>
  <c r="I206" i="1"/>
  <c r="BG205" i="1"/>
  <c r="BD205" i="1"/>
  <c r="BA205" i="1"/>
  <c r="AX205" i="1"/>
  <c r="AU205" i="1"/>
  <c r="AR205" i="1"/>
  <c r="AQ205" i="1"/>
  <c r="AP205" i="1"/>
  <c r="AN205" i="1"/>
  <c r="AM205" i="1"/>
  <c r="AK205" i="1"/>
  <c r="AJ205" i="1"/>
  <c r="AH205" i="1"/>
  <c r="AE205" i="1"/>
  <c r="AD205" i="1"/>
  <c r="AB205" i="1"/>
  <c r="AA205" i="1"/>
  <c r="Y205" i="1"/>
  <c r="X205" i="1"/>
  <c r="V205" i="1"/>
  <c r="U205" i="1"/>
  <c r="S205" i="1"/>
  <c r="R205" i="1"/>
  <c r="P205" i="1"/>
  <c r="O205" i="1"/>
  <c r="M205" i="1"/>
  <c r="L205" i="1"/>
  <c r="I205" i="1"/>
  <c r="AS205" i="1" s="1"/>
  <c r="BG204" i="1"/>
  <c r="BD204" i="1"/>
  <c r="BA204" i="1"/>
  <c r="AX204" i="1"/>
  <c r="AU204" i="1"/>
  <c r="AR204" i="1"/>
  <c r="AQ204" i="1"/>
  <c r="AP204" i="1"/>
  <c r="AN204" i="1"/>
  <c r="AM204" i="1"/>
  <c r="AK204" i="1"/>
  <c r="BI204" i="1" s="1"/>
  <c r="AJ204" i="1"/>
  <c r="BH204" i="1" s="1"/>
  <c r="AH204" i="1"/>
  <c r="AG204" i="1"/>
  <c r="AE204" i="1"/>
  <c r="AD204" i="1"/>
  <c r="AB204" i="1"/>
  <c r="BF204" i="1" s="1"/>
  <c r="AA204" i="1"/>
  <c r="BE204" i="1" s="1"/>
  <c r="Y204" i="1"/>
  <c r="X204" i="1"/>
  <c r="V204" i="1"/>
  <c r="U204" i="1"/>
  <c r="S204" i="1"/>
  <c r="BC204" i="1" s="1"/>
  <c r="R204" i="1"/>
  <c r="BB204" i="1" s="1"/>
  <c r="P204" i="1"/>
  <c r="O204" i="1"/>
  <c r="M204" i="1"/>
  <c r="L204" i="1"/>
  <c r="J204" i="1"/>
  <c r="I204" i="1"/>
  <c r="BG203" i="1"/>
  <c r="BD203" i="1"/>
  <c r="BA203" i="1"/>
  <c r="AX203" i="1"/>
  <c r="AU203" i="1"/>
  <c r="AR203" i="1"/>
  <c r="AQ203" i="1"/>
  <c r="AP203" i="1"/>
  <c r="AN203" i="1"/>
  <c r="AM203" i="1"/>
  <c r="AK203" i="1"/>
  <c r="BI203" i="1" s="1"/>
  <c r="AJ203" i="1"/>
  <c r="BH203" i="1" s="1"/>
  <c r="AH203" i="1"/>
  <c r="AG203" i="1"/>
  <c r="AE203" i="1"/>
  <c r="AD203" i="1"/>
  <c r="AB203" i="1"/>
  <c r="BF203" i="1" s="1"/>
  <c r="AA203" i="1"/>
  <c r="BE203" i="1" s="1"/>
  <c r="Y203" i="1"/>
  <c r="X203" i="1"/>
  <c r="V203" i="1"/>
  <c r="U203" i="1"/>
  <c r="S203" i="1"/>
  <c r="BC203" i="1" s="1"/>
  <c r="R203" i="1"/>
  <c r="BB203" i="1" s="1"/>
  <c r="P203" i="1"/>
  <c r="O203" i="1"/>
  <c r="M203" i="1"/>
  <c r="L203" i="1"/>
  <c r="J203" i="1"/>
  <c r="I203" i="1"/>
  <c r="BG202" i="1"/>
  <c r="BD202" i="1"/>
  <c r="BA202" i="1"/>
  <c r="AX202" i="1"/>
  <c r="AU202" i="1"/>
  <c r="AR202" i="1"/>
  <c r="AQ202" i="1"/>
  <c r="AP202" i="1"/>
  <c r="AN202" i="1"/>
  <c r="AM202" i="1"/>
  <c r="AK202" i="1"/>
  <c r="BI202" i="1" s="1"/>
  <c r="AJ202" i="1"/>
  <c r="BH202" i="1" s="1"/>
  <c r="AH202" i="1"/>
  <c r="AG202" i="1"/>
  <c r="AE202" i="1"/>
  <c r="AD202" i="1"/>
  <c r="AB202" i="1"/>
  <c r="BF202" i="1" s="1"/>
  <c r="AA202" i="1"/>
  <c r="BE202" i="1" s="1"/>
  <c r="Y202" i="1"/>
  <c r="X202" i="1"/>
  <c r="V202" i="1"/>
  <c r="U202" i="1"/>
  <c r="S202" i="1"/>
  <c r="BC202" i="1" s="1"/>
  <c r="R202" i="1"/>
  <c r="BB202" i="1" s="1"/>
  <c r="P202" i="1"/>
  <c r="O202" i="1"/>
  <c r="M202" i="1"/>
  <c r="L202" i="1"/>
  <c r="J202" i="1"/>
  <c r="I202" i="1"/>
  <c r="BG201" i="1"/>
  <c r="BD201" i="1"/>
  <c r="BA201" i="1"/>
  <c r="AX201" i="1"/>
  <c r="AU201" i="1"/>
  <c r="AR201" i="1"/>
  <c r="AQ201" i="1"/>
  <c r="AP201" i="1"/>
  <c r="AN201" i="1"/>
  <c r="AM201" i="1"/>
  <c r="AK201" i="1"/>
  <c r="BI201" i="1" s="1"/>
  <c r="AJ201" i="1"/>
  <c r="BH201" i="1" s="1"/>
  <c r="AH201" i="1"/>
  <c r="AG201" i="1"/>
  <c r="AE201" i="1"/>
  <c r="AD201" i="1"/>
  <c r="AB201" i="1"/>
  <c r="BF201" i="1" s="1"/>
  <c r="AA201" i="1"/>
  <c r="BE201" i="1" s="1"/>
  <c r="Y201" i="1"/>
  <c r="X201" i="1"/>
  <c r="V201" i="1"/>
  <c r="U201" i="1"/>
  <c r="S201" i="1"/>
  <c r="BC201" i="1" s="1"/>
  <c r="R201" i="1"/>
  <c r="BB201" i="1" s="1"/>
  <c r="P201" i="1"/>
  <c r="O201" i="1"/>
  <c r="M201" i="1"/>
  <c r="L201" i="1"/>
  <c r="J201" i="1"/>
  <c r="I201" i="1"/>
  <c r="BG200" i="1"/>
  <c r="BD200" i="1"/>
  <c r="BA200" i="1"/>
  <c r="AX200" i="1"/>
  <c r="AU200" i="1"/>
  <c r="AR200" i="1"/>
  <c r="AQ200" i="1"/>
  <c r="AP200" i="1"/>
  <c r="AN200" i="1"/>
  <c r="AM200" i="1"/>
  <c r="AK200" i="1"/>
  <c r="BI200" i="1" s="1"/>
  <c r="BI199" i="1" s="1"/>
  <c r="AJ200" i="1"/>
  <c r="BH200" i="1" s="1"/>
  <c r="BH199" i="1" s="1"/>
  <c r="AH200" i="1"/>
  <c r="AG200" i="1"/>
  <c r="AE200" i="1"/>
  <c r="AD200" i="1"/>
  <c r="AB200" i="1"/>
  <c r="BF200" i="1" s="1"/>
  <c r="BF199" i="1" s="1"/>
  <c r="AA200" i="1"/>
  <c r="BE200" i="1" s="1"/>
  <c r="BE199" i="1" s="1"/>
  <c r="Y200" i="1"/>
  <c r="X200" i="1"/>
  <c r="V200" i="1"/>
  <c r="U200" i="1"/>
  <c r="S200" i="1"/>
  <c r="BC200" i="1" s="1"/>
  <c r="BC199" i="1" s="1"/>
  <c r="R200" i="1"/>
  <c r="BB200" i="1" s="1"/>
  <c r="BB199" i="1" s="1"/>
  <c r="P200" i="1"/>
  <c r="O200" i="1"/>
  <c r="M200" i="1"/>
  <c r="L200" i="1"/>
  <c r="J200" i="1"/>
  <c r="I200" i="1"/>
  <c r="BG199" i="1"/>
  <c r="BD199" i="1"/>
  <c r="BA199" i="1"/>
  <c r="AX199" i="1"/>
  <c r="AU199" i="1"/>
  <c r="AR199" i="1"/>
  <c r="AQ199" i="1"/>
  <c r="AP199" i="1"/>
  <c r="AN199" i="1"/>
  <c r="AM199" i="1"/>
  <c r="AK199" i="1"/>
  <c r="AJ199" i="1"/>
  <c r="AH199" i="1"/>
  <c r="AG199" i="1"/>
  <c r="AE199" i="1"/>
  <c r="AD199" i="1"/>
  <c r="AB199" i="1"/>
  <c r="AA199" i="1"/>
  <c r="Y199" i="1"/>
  <c r="X199" i="1"/>
  <c r="V199" i="1"/>
  <c r="U199" i="1"/>
  <c r="S199" i="1"/>
  <c r="R199" i="1"/>
  <c r="P199" i="1"/>
  <c r="O199" i="1"/>
  <c r="M199" i="1"/>
  <c r="L199" i="1"/>
  <c r="BG198" i="1"/>
  <c r="BD198" i="1"/>
  <c r="BA198" i="1"/>
  <c r="AX198" i="1"/>
  <c r="AU198" i="1"/>
  <c r="AR198" i="1"/>
  <c r="AQ198" i="1"/>
  <c r="AP198" i="1"/>
  <c r="AN198" i="1"/>
  <c r="AM198" i="1"/>
  <c r="AK198" i="1"/>
  <c r="BI198" i="1" s="1"/>
  <c r="AJ198" i="1"/>
  <c r="BH198" i="1" s="1"/>
  <c r="AH198" i="1"/>
  <c r="AG198" i="1"/>
  <c r="AE198" i="1"/>
  <c r="AD198" i="1"/>
  <c r="AB198" i="1"/>
  <c r="BF198" i="1" s="1"/>
  <c r="AA198" i="1"/>
  <c r="BE198" i="1" s="1"/>
  <c r="Y198" i="1"/>
  <c r="X198" i="1"/>
  <c r="V198" i="1"/>
  <c r="U198" i="1"/>
  <c r="S198" i="1"/>
  <c r="R198" i="1"/>
  <c r="BB198" i="1" s="1"/>
  <c r="P198" i="1"/>
  <c r="O198" i="1"/>
  <c r="M198" i="1"/>
  <c r="L198" i="1"/>
  <c r="J198" i="1"/>
  <c r="I198" i="1"/>
  <c r="BG197" i="1"/>
  <c r="BD197" i="1"/>
  <c r="BA197" i="1"/>
  <c r="AX197" i="1"/>
  <c r="AU197" i="1"/>
  <c r="AR197" i="1"/>
  <c r="AQ197" i="1"/>
  <c r="AP197" i="1"/>
  <c r="AN197" i="1"/>
  <c r="AM197" i="1"/>
  <c r="AK197" i="1"/>
  <c r="BI197" i="1" s="1"/>
  <c r="AJ197" i="1"/>
  <c r="BH197" i="1" s="1"/>
  <c r="AH197" i="1"/>
  <c r="AG197" i="1"/>
  <c r="AE197" i="1"/>
  <c r="AD197" i="1"/>
  <c r="AB197" i="1"/>
  <c r="BF197" i="1" s="1"/>
  <c r="AA197" i="1"/>
  <c r="BE197" i="1" s="1"/>
  <c r="Y197" i="1"/>
  <c r="X197" i="1"/>
  <c r="V197" i="1"/>
  <c r="U197" i="1"/>
  <c r="S197" i="1"/>
  <c r="BC197" i="1" s="1"/>
  <c r="R197" i="1"/>
  <c r="BB197" i="1" s="1"/>
  <c r="P197" i="1"/>
  <c r="O197" i="1"/>
  <c r="M197" i="1"/>
  <c r="L197" i="1"/>
  <c r="J197" i="1"/>
  <c r="I197" i="1"/>
  <c r="BG196" i="1"/>
  <c r="BD196" i="1"/>
  <c r="BA196" i="1"/>
  <c r="AX196" i="1"/>
  <c r="AU196" i="1"/>
  <c r="AR196" i="1"/>
  <c r="AQ196" i="1"/>
  <c r="AP196" i="1"/>
  <c r="AN196" i="1"/>
  <c r="AM196" i="1"/>
  <c r="AK196" i="1"/>
  <c r="BI196" i="1" s="1"/>
  <c r="AJ196" i="1"/>
  <c r="BH196" i="1" s="1"/>
  <c r="AH196" i="1"/>
  <c r="AG196" i="1"/>
  <c r="AE196" i="1"/>
  <c r="AD196" i="1"/>
  <c r="AB196" i="1"/>
  <c r="BF196" i="1" s="1"/>
  <c r="AA196" i="1"/>
  <c r="BE196" i="1" s="1"/>
  <c r="Y196" i="1"/>
  <c r="X196" i="1"/>
  <c r="V196" i="1"/>
  <c r="U196" i="1"/>
  <c r="S196" i="1"/>
  <c r="BC196" i="1" s="1"/>
  <c r="R196" i="1"/>
  <c r="BB196" i="1" s="1"/>
  <c r="P196" i="1"/>
  <c r="O196" i="1"/>
  <c r="M196" i="1"/>
  <c r="L196" i="1"/>
  <c r="J196" i="1"/>
  <c r="I196" i="1"/>
  <c r="BG195" i="1"/>
  <c r="BD195" i="1"/>
  <c r="BA195" i="1"/>
  <c r="AX195" i="1"/>
  <c r="AU195" i="1"/>
  <c r="AR195" i="1"/>
  <c r="AP195" i="1"/>
  <c r="AP182" i="1" s="1"/>
  <c r="AM195" i="1"/>
  <c r="AM182" i="1" s="1"/>
  <c r="AJ195" i="1"/>
  <c r="AG195" i="1"/>
  <c r="AG182" i="1" s="1"/>
  <c r="AD195" i="1"/>
  <c r="AD182" i="1" s="1"/>
  <c r="AA195" i="1"/>
  <c r="X195" i="1"/>
  <c r="X182" i="1" s="1"/>
  <c r="U195" i="1"/>
  <c r="U182" i="1" s="1"/>
  <c r="R195" i="1"/>
  <c r="O195" i="1"/>
  <c r="O182" i="1" s="1"/>
  <c r="L195" i="1"/>
  <c r="L182" i="1" s="1"/>
  <c r="I195" i="1"/>
  <c r="BI194" i="1"/>
  <c r="BH194" i="1"/>
  <c r="BG194" i="1"/>
  <c r="BF194" i="1"/>
  <c r="BE194" i="1"/>
  <c r="BD194" i="1"/>
  <c r="BA194" i="1"/>
  <c r="AX194" i="1"/>
  <c r="AU194" i="1"/>
  <c r="AQ194" i="1"/>
  <c r="AQ357" i="1" s="1"/>
  <c r="AQ353" i="1" s="1"/>
  <c r="AQ363" i="1" s="1"/>
  <c r="AP194" i="1"/>
  <c r="AN194" i="1"/>
  <c r="AN357" i="1" s="1"/>
  <c r="AN353" i="1" s="1"/>
  <c r="AN363" i="1" s="1"/>
  <c r="AM194" i="1"/>
  <c r="AK194" i="1"/>
  <c r="AK357" i="1" s="1"/>
  <c r="AJ194" i="1"/>
  <c r="AH194" i="1"/>
  <c r="AH357" i="1" s="1"/>
  <c r="AH353" i="1" s="1"/>
  <c r="AH363" i="1" s="1"/>
  <c r="AG194" i="1"/>
  <c r="AE194" i="1"/>
  <c r="AE357" i="1" s="1"/>
  <c r="AE353" i="1" s="1"/>
  <c r="AE363" i="1" s="1"/>
  <c r="AD194" i="1"/>
  <c r="AB194" i="1"/>
  <c r="AB357" i="1" s="1"/>
  <c r="AA194" i="1"/>
  <c r="Y194" i="1"/>
  <c r="Y357" i="1" s="1"/>
  <c r="Y353" i="1" s="1"/>
  <c r="Y363" i="1" s="1"/>
  <c r="X194" i="1"/>
  <c r="V194" i="1"/>
  <c r="V357" i="1" s="1"/>
  <c r="V353" i="1" s="1"/>
  <c r="V363" i="1" s="1"/>
  <c r="U194" i="1"/>
  <c r="S194" i="1"/>
  <c r="R194" i="1"/>
  <c r="BB194" i="1" s="1"/>
  <c r="P194" i="1"/>
  <c r="P357" i="1" s="1"/>
  <c r="P353" i="1" s="1"/>
  <c r="P363" i="1" s="1"/>
  <c r="O194" i="1"/>
  <c r="M194" i="1"/>
  <c r="M357" i="1" s="1"/>
  <c r="M353" i="1" s="1"/>
  <c r="M363" i="1" s="1"/>
  <c r="L194" i="1"/>
  <c r="J194" i="1"/>
  <c r="I194" i="1"/>
  <c r="BG193" i="1"/>
  <c r="BD193" i="1"/>
  <c r="BA193" i="1"/>
  <c r="AX193" i="1"/>
  <c r="AU193" i="1"/>
  <c r="AQ193" i="1"/>
  <c r="AP193" i="1"/>
  <c r="AN193" i="1"/>
  <c r="AM193" i="1"/>
  <c r="AK193" i="1"/>
  <c r="BI193" i="1" s="1"/>
  <c r="AJ193" i="1"/>
  <c r="BH193" i="1" s="1"/>
  <c r="AH193" i="1"/>
  <c r="AG193" i="1"/>
  <c r="AE193" i="1"/>
  <c r="AD193" i="1"/>
  <c r="AB193" i="1"/>
  <c r="BF193" i="1" s="1"/>
  <c r="AA193" i="1"/>
  <c r="BE193" i="1" s="1"/>
  <c r="Y193" i="1"/>
  <c r="X193" i="1"/>
  <c r="V193" i="1"/>
  <c r="U193" i="1"/>
  <c r="S193" i="1"/>
  <c r="BC193" i="1" s="1"/>
  <c r="R193" i="1"/>
  <c r="BB193" i="1" s="1"/>
  <c r="P193" i="1"/>
  <c r="O193" i="1"/>
  <c r="M193" i="1"/>
  <c r="L193" i="1"/>
  <c r="J193" i="1"/>
  <c r="I193" i="1"/>
  <c r="BG192" i="1"/>
  <c r="BD192" i="1"/>
  <c r="BA192" i="1"/>
  <c r="AX192" i="1"/>
  <c r="AU192" i="1"/>
  <c r="AQ192" i="1"/>
  <c r="AP192" i="1"/>
  <c r="AN192" i="1"/>
  <c r="AM192" i="1"/>
  <c r="AK192" i="1"/>
  <c r="BI192" i="1" s="1"/>
  <c r="AJ192" i="1"/>
  <c r="BH192" i="1" s="1"/>
  <c r="AH192" i="1"/>
  <c r="AG192" i="1"/>
  <c r="AE192" i="1"/>
  <c r="AD192" i="1"/>
  <c r="AB192" i="1"/>
  <c r="BF192" i="1" s="1"/>
  <c r="AA192" i="1"/>
  <c r="BE192" i="1" s="1"/>
  <c r="Y192" i="1"/>
  <c r="X192" i="1"/>
  <c r="V192" i="1"/>
  <c r="U192" i="1"/>
  <c r="S192" i="1"/>
  <c r="BC192" i="1" s="1"/>
  <c r="R192" i="1"/>
  <c r="BB192" i="1" s="1"/>
  <c r="P192" i="1"/>
  <c r="O192" i="1"/>
  <c r="M192" i="1"/>
  <c r="L192" i="1"/>
  <c r="J192" i="1"/>
  <c r="I192" i="1"/>
  <c r="BG191" i="1"/>
  <c r="BD191" i="1"/>
  <c r="BA191" i="1"/>
  <c r="AX191" i="1"/>
  <c r="AU191" i="1"/>
  <c r="AP191" i="1"/>
  <c r="AM191" i="1"/>
  <c r="AJ191" i="1"/>
  <c r="BH191" i="1" s="1"/>
  <c r="AG191" i="1"/>
  <c r="AD191" i="1"/>
  <c r="AA191" i="1"/>
  <c r="BE191" i="1" s="1"/>
  <c r="X191" i="1"/>
  <c r="U191" i="1"/>
  <c r="R191" i="1"/>
  <c r="BB191" i="1" s="1"/>
  <c r="O191" i="1"/>
  <c r="L191" i="1"/>
  <c r="I191" i="1"/>
  <c r="BG190" i="1"/>
  <c r="BD190" i="1"/>
  <c r="BA190" i="1"/>
  <c r="AX190" i="1"/>
  <c r="AU190" i="1"/>
  <c r="AP190" i="1"/>
  <c r="AM190" i="1"/>
  <c r="AJ190" i="1"/>
  <c r="BH190" i="1" s="1"/>
  <c r="AG190" i="1"/>
  <c r="AD190" i="1"/>
  <c r="AA190" i="1"/>
  <c r="BE190" i="1" s="1"/>
  <c r="X190" i="1"/>
  <c r="U190" i="1"/>
  <c r="R190" i="1"/>
  <c r="BB190" i="1" s="1"/>
  <c r="O190" i="1"/>
  <c r="L190" i="1"/>
  <c r="I190" i="1"/>
  <c r="BG189" i="1"/>
  <c r="BD189" i="1"/>
  <c r="BA189" i="1"/>
  <c r="AX189" i="1"/>
  <c r="AU189" i="1"/>
  <c r="AQ189" i="1"/>
  <c r="AP189" i="1"/>
  <c r="AN189" i="1"/>
  <c r="AM189" i="1"/>
  <c r="AK189" i="1"/>
  <c r="BI189" i="1" s="1"/>
  <c r="AJ189" i="1"/>
  <c r="BH189" i="1" s="1"/>
  <c r="AH189" i="1"/>
  <c r="AG189" i="1"/>
  <c r="AE189" i="1"/>
  <c r="AD189" i="1"/>
  <c r="AB189" i="1"/>
  <c r="BF189" i="1" s="1"/>
  <c r="AA189" i="1"/>
  <c r="BE189" i="1" s="1"/>
  <c r="Y189" i="1"/>
  <c r="X189" i="1"/>
  <c r="V189" i="1"/>
  <c r="U189" i="1"/>
  <c r="S189" i="1"/>
  <c r="BC189" i="1" s="1"/>
  <c r="R189" i="1"/>
  <c r="BB189" i="1" s="1"/>
  <c r="P189" i="1"/>
  <c r="O189" i="1"/>
  <c r="M189" i="1"/>
  <c r="L189" i="1"/>
  <c r="J189" i="1"/>
  <c r="I189" i="1"/>
  <c r="BG188" i="1"/>
  <c r="BD188" i="1"/>
  <c r="BA188" i="1"/>
  <c r="AX188" i="1"/>
  <c r="AU188" i="1"/>
  <c r="AR188" i="1"/>
  <c r="AP188" i="1"/>
  <c r="AM188" i="1"/>
  <c r="AJ188" i="1"/>
  <c r="BH188" i="1" s="1"/>
  <c r="AG188" i="1"/>
  <c r="AD188" i="1"/>
  <c r="AA188" i="1"/>
  <c r="BE188" i="1" s="1"/>
  <c r="X188" i="1"/>
  <c r="U188" i="1"/>
  <c r="R188" i="1"/>
  <c r="BB188" i="1" s="1"/>
  <c r="O188" i="1"/>
  <c r="L188" i="1"/>
  <c r="I188" i="1"/>
  <c r="BG187" i="1"/>
  <c r="BD187" i="1"/>
  <c r="BA187" i="1"/>
  <c r="AX187" i="1"/>
  <c r="AU187" i="1"/>
  <c r="AR187" i="1"/>
  <c r="AP187" i="1"/>
  <c r="AM187" i="1"/>
  <c r="AJ187" i="1"/>
  <c r="BH187" i="1" s="1"/>
  <c r="AG187" i="1"/>
  <c r="AD187" i="1"/>
  <c r="AA187" i="1"/>
  <c r="BE187" i="1" s="1"/>
  <c r="X187" i="1"/>
  <c r="U187" i="1"/>
  <c r="R187" i="1"/>
  <c r="BB187" i="1" s="1"/>
  <c r="O187" i="1"/>
  <c r="L187" i="1"/>
  <c r="I187" i="1"/>
  <c r="BG186" i="1"/>
  <c r="BD186" i="1"/>
  <c r="BA186" i="1"/>
  <c r="AX186" i="1"/>
  <c r="AU186" i="1"/>
  <c r="AR186" i="1"/>
  <c r="AP186" i="1"/>
  <c r="AM186" i="1"/>
  <c r="AJ186" i="1"/>
  <c r="BH186" i="1" s="1"/>
  <c r="AG186" i="1"/>
  <c r="AD186" i="1"/>
  <c r="AA186" i="1"/>
  <c r="BE186" i="1" s="1"/>
  <c r="X186" i="1"/>
  <c r="U186" i="1"/>
  <c r="R186" i="1"/>
  <c r="BB186" i="1" s="1"/>
  <c r="O186" i="1"/>
  <c r="L186" i="1"/>
  <c r="I186" i="1"/>
  <c r="BG185" i="1"/>
  <c r="BD185" i="1"/>
  <c r="BA185" i="1"/>
  <c r="AX185" i="1"/>
  <c r="AU185" i="1"/>
  <c r="AR185" i="1"/>
  <c r="AP185" i="1"/>
  <c r="AM185" i="1"/>
  <c r="AJ185" i="1"/>
  <c r="BH185" i="1" s="1"/>
  <c r="AG185" i="1"/>
  <c r="AD185" i="1"/>
  <c r="AA185" i="1"/>
  <c r="BE185" i="1" s="1"/>
  <c r="X185" i="1"/>
  <c r="U185" i="1"/>
  <c r="R185" i="1"/>
  <c r="BB185" i="1" s="1"/>
  <c r="O185" i="1"/>
  <c r="L185" i="1"/>
  <c r="I185" i="1"/>
  <c r="BG184" i="1"/>
  <c r="BD184" i="1"/>
  <c r="BA184" i="1"/>
  <c r="AX184" i="1"/>
  <c r="AU184" i="1"/>
  <c r="AR184" i="1"/>
  <c r="AP184" i="1"/>
  <c r="AM184" i="1"/>
  <c r="AJ184" i="1"/>
  <c r="BH184" i="1" s="1"/>
  <c r="AG184" i="1"/>
  <c r="AD184" i="1"/>
  <c r="AA184" i="1"/>
  <c r="BE184" i="1" s="1"/>
  <c r="X184" i="1"/>
  <c r="U184" i="1"/>
  <c r="R184" i="1"/>
  <c r="BB184" i="1" s="1"/>
  <c r="O184" i="1"/>
  <c r="L184" i="1"/>
  <c r="I184" i="1"/>
  <c r="BG183" i="1"/>
  <c r="BD183" i="1"/>
  <c r="BA183" i="1"/>
  <c r="AX183" i="1"/>
  <c r="AU183" i="1"/>
  <c r="AR183" i="1"/>
  <c r="AP183" i="1"/>
  <c r="AM183" i="1"/>
  <c r="AJ183" i="1"/>
  <c r="BH183" i="1" s="1"/>
  <c r="AG183" i="1"/>
  <c r="AD183" i="1"/>
  <c r="AA183" i="1"/>
  <c r="BE183" i="1" s="1"/>
  <c r="X183" i="1"/>
  <c r="U183" i="1"/>
  <c r="R183" i="1"/>
  <c r="BB183" i="1" s="1"/>
  <c r="O183" i="1"/>
  <c r="L183" i="1"/>
  <c r="I183" i="1"/>
  <c r="AR182" i="1"/>
  <c r="BH181" i="1"/>
  <c r="BG181" i="1"/>
  <c r="BE181" i="1"/>
  <c r="BD181" i="1"/>
  <c r="BB181" i="1"/>
  <c r="BA181" i="1"/>
  <c r="AY181" i="1"/>
  <c r="AX181" i="1"/>
  <c r="AV181" i="1"/>
  <c r="AU181" i="1"/>
  <c r="AS181" i="1"/>
  <c r="AR181" i="1"/>
  <c r="BG180" i="1"/>
  <c r="BD180" i="1"/>
  <c r="BA180" i="1"/>
  <c r="AX180" i="1"/>
  <c r="AU180" i="1"/>
  <c r="AR180" i="1"/>
  <c r="AQ180" i="1"/>
  <c r="AQ181" i="1" s="1"/>
  <c r="AP180" i="1"/>
  <c r="AN180" i="1"/>
  <c r="AN181" i="1" s="1"/>
  <c r="AM180" i="1"/>
  <c r="AK180" i="1"/>
  <c r="AJ180" i="1"/>
  <c r="BH180" i="1" s="1"/>
  <c r="BH179" i="1" s="1"/>
  <c r="AH180" i="1"/>
  <c r="AH181" i="1" s="1"/>
  <c r="AG180" i="1"/>
  <c r="AE180" i="1"/>
  <c r="AE181" i="1" s="1"/>
  <c r="AD180" i="1"/>
  <c r="AB180" i="1"/>
  <c r="AA180" i="1"/>
  <c r="BE180" i="1" s="1"/>
  <c r="BE179" i="1" s="1"/>
  <c r="Y180" i="1"/>
  <c r="Y181" i="1" s="1"/>
  <c r="X180" i="1"/>
  <c r="V180" i="1"/>
  <c r="V181" i="1" s="1"/>
  <c r="U180" i="1"/>
  <c r="S180" i="1"/>
  <c r="R180" i="1"/>
  <c r="BB180" i="1" s="1"/>
  <c r="BB179" i="1" s="1"/>
  <c r="P180" i="1"/>
  <c r="O180" i="1"/>
  <c r="M180" i="1"/>
  <c r="L180" i="1"/>
  <c r="J180" i="1"/>
  <c r="J179" i="1" s="1"/>
  <c r="I180" i="1"/>
  <c r="BG179" i="1"/>
  <c r="BD179" i="1"/>
  <c r="BA179" i="1"/>
  <c r="AX179" i="1"/>
  <c r="AU179" i="1"/>
  <c r="AR179" i="1"/>
  <c r="AQ179" i="1"/>
  <c r="AP179" i="1"/>
  <c r="AN179" i="1"/>
  <c r="AM179" i="1"/>
  <c r="AK179" i="1"/>
  <c r="AJ179" i="1"/>
  <c r="AH179" i="1"/>
  <c r="AG179" i="1"/>
  <c r="AE179" i="1"/>
  <c r="AD179" i="1"/>
  <c r="AB179" i="1"/>
  <c r="AA179" i="1"/>
  <c r="Y179" i="1"/>
  <c r="X179" i="1"/>
  <c r="V179" i="1"/>
  <c r="U179" i="1"/>
  <c r="S179" i="1"/>
  <c r="R179" i="1"/>
  <c r="O179" i="1"/>
  <c r="L179" i="1"/>
  <c r="I179" i="1"/>
  <c r="AS179" i="1" s="1"/>
  <c r="AT178" i="1"/>
  <c r="AS178" i="1"/>
  <c r="AR178" i="1"/>
  <c r="AR177" i="1"/>
  <c r="AQ177" i="1"/>
  <c r="AP177" i="1"/>
  <c r="AN177" i="1"/>
  <c r="AM177" i="1"/>
  <c r="AK177" i="1"/>
  <c r="AJ177" i="1"/>
  <c r="AH177" i="1"/>
  <c r="AG177" i="1"/>
  <c r="AE177" i="1"/>
  <c r="AD177" i="1"/>
  <c r="AB177" i="1"/>
  <c r="AA177" i="1"/>
  <c r="Y177" i="1"/>
  <c r="X177" i="1"/>
  <c r="V177" i="1"/>
  <c r="U177" i="1"/>
  <c r="S177" i="1"/>
  <c r="R177" i="1"/>
  <c r="P177" i="1"/>
  <c r="O177" i="1"/>
  <c r="M177" i="1"/>
  <c r="L177" i="1"/>
  <c r="J177" i="1"/>
  <c r="AT177" i="1" s="1"/>
  <c r="I177" i="1"/>
  <c r="AS177" i="1" s="1"/>
  <c r="AR176" i="1"/>
  <c r="AQ176" i="1"/>
  <c r="AP176" i="1"/>
  <c r="AN176" i="1"/>
  <c r="AM176" i="1"/>
  <c r="AK176" i="1"/>
  <c r="AJ176" i="1"/>
  <c r="AH176" i="1"/>
  <c r="AG176" i="1"/>
  <c r="AE176" i="1"/>
  <c r="AD176" i="1"/>
  <c r="AB176" i="1"/>
  <c r="AA176" i="1"/>
  <c r="Y176" i="1"/>
  <c r="X176" i="1"/>
  <c r="V176" i="1"/>
  <c r="U176" i="1"/>
  <c r="S176" i="1"/>
  <c r="R176" i="1"/>
  <c r="P176" i="1"/>
  <c r="O176" i="1"/>
  <c r="M176" i="1"/>
  <c r="L176" i="1"/>
  <c r="J176" i="1"/>
  <c r="I176" i="1"/>
  <c r="AS176" i="1" s="1"/>
  <c r="AR175" i="1"/>
  <c r="AQ175" i="1"/>
  <c r="AP175" i="1"/>
  <c r="AN175" i="1"/>
  <c r="AM175" i="1"/>
  <c r="AK175" i="1"/>
  <c r="AJ175" i="1"/>
  <c r="AH175" i="1"/>
  <c r="AG175" i="1"/>
  <c r="AE175" i="1"/>
  <c r="AD175" i="1"/>
  <c r="AB175" i="1"/>
  <c r="AA175" i="1"/>
  <c r="Y175" i="1"/>
  <c r="X175" i="1"/>
  <c r="V175" i="1"/>
  <c r="U175" i="1"/>
  <c r="S175" i="1"/>
  <c r="R175" i="1"/>
  <c r="P175" i="1"/>
  <c r="O175" i="1"/>
  <c r="M175" i="1"/>
  <c r="L175" i="1"/>
  <c r="J175" i="1"/>
  <c r="I175" i="1"/>
  <c r="AS175" i="1" s="1"/>
  <c r="AR174" i="1"/>
  <c r="AQ174" i="1"/>
  <c r="AP174" i="1"/>
  <c r="AN174" i="1"/>
  <c r="AM174" i="1"/>
  <c r="AK174" i="1"/>
  <c r="AJ174" i="1"/>
  <c r="AH174" i="1"/>
  <c r="AG174" i="1"/>
  <c r="AE174" i="1"/>
  <c r="AD174" i="1"/>
  <c r="AB174" i="1"/>
  <c r="AA174" i="1"/>
  <c r="Y174" i="1"/>
  <c r="X174" i="1"/>
  <c r="V174" i="1"/>
  <c r="U174" i="1"/>
  <c r="S174" i="1"/>
  <c r="R174" i="1"/>
  <c r="P174" i="1"/>
  <c r="O174" i="1"/>
  <c r="M174" i="1"/>
  <c r="L174" i="1"/>
  <c r="J174" i="1"/>
  <c r="AT174" i="1" s="1"/>
  <c r="I174" i="1"/>
  <c r="AS174" i="1" s="1"/>
  <c r="AR173" i="1"/>
  <c r="AQ173" i="1"/>
  <c r="AP173" i="1"/>
  <c r="AN173" i="1"/>
  <c r="AM173" i="1"/>
  <c r="AK173" i="1"/>
  <c r="AJ173" i="1"/>
  <c r="AH173" i="1"/>
  <c r="AG173" i="1"/>
  <c r="AE173" i="1"/>
  <c r="AD173" i="1"/>
  <c r="AB173" i="1"/>
  <c r="AA173" i="1"/>
  <c r="Y173" i="1"/>
  <c r="X173" i="1"/>
  <c r="V173" i="1"/>
  <c r="U173" i="1"/>
  <c r="S173" i="1"/>
  <c r="R173" i="1"/>
  <c r="P173" i="1"/>
  <c r="O173" i="1"/>
  <c r="M173" i="1"/>
  <c r="L173" i="1"/>
  <c r="J173" i="1"/>
  <c r="AT173" i="1" s="1"/>
  <c r="I173" i="1"/>
  <c r="AS173" i="1" s="1"/>
  <c r="AR172" i="1"/>
  <c r="AQ172" i="1"/>
  <c r="AP172" i="1"/>
  <c r="AN172" i="1"/>
  <c r="AM172" i="1"/>
  <c r="AK172" i="1"/>
  <c r="AJ172" i="1"/>
  <c r="AH172" i="1"/>
  <c r="AG172" i="1"/>
  <c r="AE172" i="1"/>
  <c r="AD172" i="1"/>
  <c r="AB172" i="1"/>
  <c r="AA172" i="1"/>
  <c r="Y172" i="1"/>
  <c r="X172" i="1"/>
  <c r="V172" i="1"/>
  <c r="U172" i="1"/>
  <c r="S172" i="1"/>
  <c r="R172" i="1"/>
  <c r="P172" i="1"/>
  <c r="O172" i="1"/>
  <c r="M172" i="1"/>
  <c r="L172" i="1"/>
  <c r="J172" i="1"/>
  <c r="AT172" i="1" s="1"/>
  <c r="I172" i="1"/>
  <c r="AS172" i="1" s="1"/>
  <c r="AR171" i="1"/>
  <c r="AQ171" i="1"/>
  <c r="AP171" i="1"/>
  <c r="AN171" i="1"/>
  <c r="AM171" i="1"/>
  <c r="AK171" i="1"/>
  <c r="AJ171" i="1"/>
  <c r="AH171" i="1"/>
  <c r="AG171" i="1"/>
  <c r="AE171" i="1"/>
  <c r="AD171" i="1"/>
  <c r="AB171" i="1"/>
  <c r="AA171" i="1"/>
  <c r="Y171" i="1"/>
  <c r="X171" i="1"/>
  <c r="V171" i="1"/>
  <c r="U171" i="1"/>
  <c r="S171" i="1"/>
  <c r="R171" i="1"/>
  <c r="P171" i="1"/>
  <c r="O171" i="1"/>
  <c r="M171" i="1"/>
  <c r="L171" i="1"/>
  <c r="J171" i="1"/>
  <c r="I171" i="1"/>
  <c r="AS171" i="1" s="1"/>
  <c r="AR170" i="1"/>
  <c r="AQ170" i="1"/>
  <c r="AP170" i="1"/>
  <c r="AN170" i="1"/>
  <c r="AM170" i="1"/>
  <c r="AK170" i="1"/>
  <c r="AJ170" i="1"/>
  <c r="AH170" i="1"/>
  <c r="AG170" i="1"/>
  <c r="AE170" i="1"/>
  <c r="AD170" i="1"/>
  <c r="AB170" i="1"/>
  <c r="AA170" i="1"/>
  <c r="Y170" i="1"/>
  <c r="X170" i="1"/>
  <c r="V170" i="1"/>
  <c r="U170" i="1"/>
  <c r="S170" i="1"/>
  <c r="R170" i="1"/>
  <c r="P170" i="1"/>
  <c r="O170" i="1"/>
  <c r="M170" i="1"/>
  <c r="L170" i="1"/>
  <c r="J170" i="1"/>
  <c r="AT170" i="1" s="1"/>
  <c r="I170" i="1"/>
  <c r="AS170" i="1" s="1"/>
  <c r="AR169" i="1"/>
  <c r="AQ169" i="1"/>
  <c r="AP169" i="1"/>
  <c r="AN169" i="1"/>
  <c r="AM169" i="1"/>
  <c r="AK169" i="1"/>
  <c r="AJ169" i="1"/>
  <c r="AH169" i="1"/>
  <c r="AG169" i="1"/>
  <c r="AE169" i="1"/>
  <c r="AD169" i="1"/>
  <c r="AB169" i="1"/>
  <c r="AA169" i="1"/>
  <c r="Y169" i="1"/>
  <c r="X169" i="1"/>
  <c r="V169" i="1"/>
  <c r="U169" i="1"/>
  <c r="S169" i="1"/>
  <c r="R169" i="1"/>
  <c r="P169" i="1"/>
  <c r="O169" i="1"/>
  <c r="M169" i="1"/>
  <c r="L169" i="1"/>
  <c r="J169" i="1"/>
  <c r="AT169" i="1" s="1"/>
  <c r="I169" i="1"/>
  <c r="AS169" i="1" s="1"/>
  <c r="AR168" i="1"/>
  <c r="AQ168" i="1"/>
  <c r="AP168" i="1"/>
  <c r="AN168" i="1"/>
  <c r="AM168" i="1"/>
  <c r="AK168" i="1"/>
  <c r="AJ168" i="1"/>
  <c r="AH168" i="1"/>
  <c r="AG168" i="1"/>
  <c r="AE168" i="1"/>
  <c r="AD168" i="1"/>
  <c r="AB168" i="1"/>
  <c r="AA168" i="1"/>
  <c r="Y168" i="1"/>
  <c r="X168" i="1"/>
  <c r="V168" i="1"/>
  <c r="U168" i="1"/>
  <c r="S168" i="1"/>
  <c r="R168" i="1"/>
  <c r="P168" i="1"/>
  <c r="O168" i="1"/>
  <c r="M168" i="1"/>
  <c r="L168" i="1"/>
  <c r="J168" i="1"/>
  <c r="AT168" i="1" s="1"/>
  <c r="I168" i="1"/>
  <c r="AS168" i="1" s="1"/>
  <c r="AR167" i="1"/>
  <c r="AQ167" i="1"/>
  <c r="AP167" i="1"/>
  <c r="AN167" i="1"/>
  <c r="AM167" i="1"/>
  <c r="AK167" i="1"/>
  <c r="AJ167" i="1"/>
  <c r="AH167" i="1"/>
  <c r="AG167" i="1"/>
  <c r="AE167" i="1"/>
  <c r="AD167" i="1"/>
  <c r="AB167" i="1"/>
  <c r="AA167" i="1"/>
  <c r="Y167" i="1"/>
  <c r="X167" i="1"/>
  <c r="V167" i="1"/>
  <c r="U167" i="1"/>
  <c r="S167" i="1"/>
  <c r="R167" i="1"/>
  <c r="P167" i="1"/>
  <c r="O167" i="1"/>
  <c r="M167" i="1"/>
  <c r="L167" i="1"/>
  <c r="J167" i="1"/>
  <c r="AT167" i="1" s="1"/>
  <c r="I167" i="1"/>
  <c r="AS167" i="1" s="1"/>
  <c r="AR166" i="1"/>
  <c r="AQ166" i="1"/>
  <c r="AP166" i="1"/>
  <c r="AN166" i="1"/>
  <c r="AM166" i="1"/>
  <c r="AK166" i="1"/>
  <c r="AJ166" i="1"/>
  <c r="AH166" i="1"/>
  <c r="AG166" i="1"/>
  <c r="AE166" i="1"/>
  <c r="AD166" i="1"/>
  <c r="AB166" i="1"/>
  <c r="AA166" i="1"/>
  <c r="Y166" i="1"/>
  <c r="X166" i="1"/>
  <c r="V166" i="1"/>
  <c r="U166" i="1"/>
  <c r="S166" i="1"/>
  <c r="R166" i="1"/>
  <c r="P166" i="1"/>
  <c r="O166" i="1"/>
  <c r="M166" i="1"/>
  <c r="L166" i="1"/>
  <c r="J166" i="1"/>
  <c r="AT166" i="1" s="1"/>
  <c r="I166" i="1"/>
  <c r="AS166" i="1" s="1"/>
  <c r="AR165" i="1"/>
  <c r="AQ165" i="1"/>
  <c r="AP165" i="1"/>
  <c r="AN165" i="1"/>
  <c r="AM165" i="1"/>
  <c r="AK165" i="1"/>
  <c r="AJ165" i="1"/>
  <c r="AH165" i="1"/>
  <c r="AG165" i="1"/>
  <c r="AE165" i="1"/>
  <c r="AD165" i="1"/>
  <c r="AB165" i="1"/>
  <c r="AA165" i="1"/>
  <c r="Y165" i="1"/>
  <c r="X165" i="1"/>
  <c r="V165" i="1"/>
  <c r="U165" i="1"/>
  <c r="S165" i="1"/>
  <c r="R165" i="1"/>
  <c r="P165" i="1"/>
  <c r="O165" i="1"/>
  <c r="M165" i="1"/>
  <c r="L165" i="1"/>
  <c r="J165" i="1"/>
  <c r="I165" i="1"/>
  <c r="AS165" i="1" s="1"/>
  <c r="AR164" i="1"/>
  <c r="AQ164" i="1"/>
  <c r="AP164" i="1"/>
  <c r="AN164" i="1"/>
  <c r="AM164" i="1"/>
  <c r="AK164" i="1"/>
  <c r="AJ164" i="1"/>
  <c r="AH164" i="1"/>
  <c r="AG164" i="1"/>
  <c r="AE164" i="1"/>
  <c r="AD164" i="1"/>
  <c r="AB164" i="1"/>
  <c r="AA164" i="1"/>
  <c r="Y164" i="1"/>
  <c r="X164" i="1"/>
  <c r="V164" i="1"/>
  <c r="U164" i="1"/>
  <c r="S164" i="1"/>
  <c r="R164" i="1"/>
  <c r="P164" i="1"/>
  <c r="O164" i="1"/>
  <c r="M164" i="1"/>
  <c r="L164" i="1"/>
  <c r="J164" i="1"/>
  <c r="AT164" i="1" s="1"/>
  <c r="I164" i="1"/>
  <c r="AS164" i="1" s="1"/>
  <c r="AR163" i="1"/>
  <c r="AQ163" i="1"/>
  <c r="AP163" i="1"/>
  <c r="AN163" i="1"/>
  <c r="AM163" i="1"/>
  <c r="AK163" i="1"/>
  <c r="AJ163" i="1"/>
  <c r="AH163" i="1"/>
  <c r="AG163" i="1"/>
  <c r="AE163" i="1"/>
  <c r="AD163" i="1"/>
  <c r="AB163" i="1"/>
  <c r="AA163" i="1"/>
  <c r="Y163" i="1"/>
  <c r="X163" i="1"/>
  <c r="V163" i="1"/>
  <c r="U163" i="1"/>
  <c r="S163" i="1"/>
  <c r="R163" i="1"/>
  <c r="P163" i="1"/>
  <c r="O163" i="1"/>
  <c r="M163" i="1"/>
  <c r="L163" i="1"/>
  <c r="J163" i="1"/>
  <c r="AT163" i="1" s="1"/>
  <c r="I163" i="1"/>
  <c r="AS163" i="1" s="1"/>
  <c r="AR162" i="1"/>
  <c r="AQ162" i="1"/>
  <c r="AP162" i="1"/>
  <c r="AN162" i="1"/>
  <c r="AM162" i="1"/>
  <c r="AK162" i="1"/>
  <c r="AJ162" i="1"/>
  <c r="AH162" i="1"/>
  <c r="AG162" i="1"/>
  <c r="AE162" i="1"/>
  <c r="AD162" i="1"/>
  <c r="AB162" i="1"/>
  <c r="AA162" i="1"/>
  <c r="Y162" i="1"/>
  <c r="X162" i="1"/>
  <c r="V162" i="1"/>
  <c r="U162" i="1"/>
  <c r="S162" i="1"/>
  <c r="R162" i="1"/>
  <c r="P162" i="1"/>
  <c r="O162" i="1"/>
  <c r="M162" i="1"/>
  <c r="L162" i="1"/>
  <c r="J162" i="1"/>
  <c r="I162" i="1"/>
  <c r="AS162" i="1" s="1"/>
  <c r="AR161" i="1"/>
  <c r="AQ161" i="1"/>
  <c r="AP161" i="1"/>
  <c r="AN161" i="1"/>
  <c r="AM161" i="1"/>
  <c r="AK161" i="1"/>
  <c r="AJ161" i="1"/>
  <c r="AH161" i="1"/>
  <c r="AG161" i="1"/>
  <c r="AE161" i="1"/>
  <c r="AD161" i="1"/>
  <c r="AB161" i="1"/>
  <c r="AA161" i="1"/>
  <c r="Y161" i="1"/>
  <c r="X161" i="1"/>
  <c r="V161" i="1"/>
  <c r="U161" i="1"/>
  <c r="S161" i="1"/>
  <c r="R161" i="1"/>
  <c r="P161" i="1"/>
  <c r="O161" i="1"/>
  <c r="M161" i="1"/>
  <c r="L161" i="1"/>
  <c r="J161" i="1"/>
  <c r="I161" i="1"/>
  <c r="AS161" i="1" s="1"/>
  <c r="AR160" i="1"/>
  <c r="AQ160" i="1"/>
  <c r="AP160" i="1"/>
  <c r="AN160" i="1"/>
  <c r="AM160" i="1"/>
  <c r="AK160" i="1"/>
  <c r="AJ160" i="1"/>
  <c r="AH160" i="1"/>
  <c r="AG160" i="1"/>
  <c r="AE160" i="1"/>
  <c r="AD160" i="1"/>
  <c r="AB160" i="1"/>
  <c r="AA160" i="1"/>
  <c r="AS160" i="1" s="1"/>
  <c r="Y160" i="1"/>
  <c r="X160" i="1"/>
  <c r="V160" i="1"/>
  <c r="U160" i="1"/>
  <c r="S160" i="1"/>
  <c r="R160" i="1"/>
  <c r="P160" i="1"/>
  <c r="O160" i="1"/>
  <c r="M160" i="1"/>
  <c r="L160" i="1"/>
  <c r="J160" i="1"/>
  <c r="I160" i="1"/>
  <c r="AR159" i="1"/>
  <c r="AQ159" i="1"/>
  <c r="AP159" i="1"/>
  <c r="AN159" i="1"/>
  <c r="AM159" i="1"/>
  <c r="AK159" i="1"/>
  <c r="AJ159" i="1"/>
  <c r="AH159" i="1"/>
  <c r="AG159" i="1"/>
  <c r="AE159" i="1"/>
  <c r="AD159" i="1"/>
  <c r="AB159" i="1"/>
  <c r="AA159" i="1"/>
  <c r="Y159" i="1"/>
  <c r="X159" i="1"/>
  <c r="V159" i="1"/>
  <c r="U159" i="1"/>
  <c r="S159" i="1"/>
  <c r="R159" i="1"/>
  <c r="P159" i="1"/>
  <c r="O159" i="1"/>
  <c r="M159" i="1"/>
  <c r="L159" i="1"/>
  <c r="J159" i="1"/>
  <c r="I159" i="1"/>
  <c r="AS159" i="1" s="1"/>
  <c r="AR158" i="1"/>
  <c r="AQ158" i="1"/>
  <c r="AP158" i="1"/>
  <c r="AN158" i="1"/>
  <c r="AM158" i="1"/>
  <c r="AK158" i="1"/>
  <c r="AJ158" i="1"/>
  <c r="AH158" i="1"/>
  <c r="AG158" i="1"/>
  <c r="AE158" i="1"/>
  <c r="AD158" i="1"/>
  <c r="AB158" i="1"/>
  <c r="AA158" i="1"/>
  <c r="Y158" i="1"/>
  <c r="X158" i="1"/>
  <c r="V158" i="1"/>
  <c r="U158" i="1"/>
  <c r="S158" i="1"/>
  <c r="R158" i="1"/>
  <c r="P158" i="1"/>
  <c r="O158" i="1"/>
  <c r="M158" i="1"/>
  <c r="L158" i="1"/>
  <c r="J158" i="1"/>
  <c r="AT158" i="1" s="1"/>
  <c r="I158" i="1"/>
  <c r="AS158" i="1" s="1"/>
  <c r="AR157" i="1"/>
  <c r="AQ157" i="1"/>
  <c r="AP157" i="1"/>
  <c r="AN157" i="1"/>
  <c r="AM157" i="1"/>
  <c r="AK157" i="1"/>
  <c r="AJ157" i="1"/>
  <c r="AH157" i="1"/>
  <c r="AG157" i="1"/>
  <c r="AE157" i="1"/>
  <c r="AD157" i="1"/>
  <c r="AB157" i="1"/>
  <c r="AA157" i="1"/>
  <c r="Y157" i="1"/>
  <c r="X157" i="1"/>
  <c r="V157" i="1"/>
  <c r="U157" i="1"/>
  <c r="S157" i="1"/>
  <c r="R157" i="1"/>
  <c r="P157" i="1"/>
  <c r="O157" i="1"/>
  <c r="M157" i="1"/>
  <c r="L157" i="1"/>
  <c r="J157" i="1"/>
  <c r="AT157" i="1" s="1"/>
  <c r="I157" i="1"/>
  <c r="AS157" i="1" s="1"/>
  <c r="AR156" i="1"/>
  <c r="AQ156" i="1"/>
  <c r="AP156" i="1"/>
  <c r="AN156" i="1"/>
  <c r="AM156" i="1"/>
  <c r="AK156" i="1"/>
  <c r="AJ156" i="1"/>
  <c r="AH156" i="1"/>
  <c r="AG156" i="1"/>
  <c r="AE156" i="1"/>
  <c r="AD156" i="1"/>
  <c r="AB156" i="1"/>
  <c r="AA156" i="1"/>
  <c r="Y156" i="1"/>
  <c r="X156" i="1"/>
  <c r="V156" i="1"/>
  <c r="U156" i="1"/>
  <c r="S156" i="1"/>
  <c r="R156" i="1"/>
  <c r="P156" i="1"/>
  <c r="O156" i="1"/>
  <c r="M156" i="1"/>
  <c r="L156" i="1"/>
  <c r="J156" i="1"/>
  <c r="AT156" i="1" s="1"/>
  <c r="I156" i="1"/>
  <c r="AS156" i="1" s="1"/>
  <c r="AR155" i="1"/>
  <c r="AQ155" i="1"/>
  <c r="AP155" i="1"/>
  <c r="AN155" i="1"/>
  <c r="AM155" i="1"/>
  <c r="AK155" i="1"/>
  <c r="AJ155" i="1"/>
  <c r="AH155" i="1"/>
  <c r="AG155" i="1"/>
  <c r="AE155" i="1"/>
  <c r="AD155" i="1"/>
  <c r="AB155" i="1"/>
  <c r="AA155" i="1"/>
  <c r="Y155" i="1"/>
  <c r="X155" i="1"/>
  <c r="V155" i="1"/>
  <c r="U155" i="1"/>
  <c r="S155" i="1"/>
  <c r="R155" i="1"/>
  <c r="P155" i="1"/>
  <c r="O155" i="1"/>
  <c r="M155" i="1"/>
  <c r="L155" i="1"/>
  <c r="J155" i="1"/>
  <c r="AT155" i="1" s="1"/>
  <c r="I155" i="1"/>
  <c r="AS155" i="1" s="1"/>
  <c r="AR154" i="1"/>
  <c r="AQ154" i="1"/>
  <c r="AP154" i="1"/>
  <c r="AN154" i="1"/>
  <c r="AM154" i="1"/>
  <c r="AK154" i="1"/>
  <c r="AJ154" i="1"/>
  <c r="AH154" i="1"/>
  <c r="AG154" i="1"/>
  <c r="AE154" i="1"/>
  <c r="AD154" i="1"/>
  <c r="AB154" i="1"/>
  <c r="AA154" i="1"/>
  <c r="Y154" i="1"/>
  <c r="X154" i="1"/>
  <c r="V154" i="1"/>
  <c r="U154" i="1"/>
  <c r="S154" i="1"/>
  <c r="R154" i="1"/>
  <c r="P154" i="1"/>
  <c r="O154" i="1"/>
  <c r="M154" i="1"/>
  <c r="L154" i="1"/>
  <c r="J154" i="1"/>
  <c r="AT154" i="1" s="1"/>
  <c r="I154" i="1"/>
  <c r="AS154" i="1" s="1"/>
  <c r="AR153" i="1"/>
  <c r="AQ153" i="1"/>
  <c r="AP153" i="1"/>
  <c r="AN153" i="1"/>
  <c r="AM153" i="1"/>
  <c r="AK153" i="1"/>
  <c r="AJ153" i="1"/>
  <c r="AH153" i="1"/>
  <c r="AG153" i="1"/>
  <c r="AE153" i="1"/>
  <c r="AD153" i="1"/>
  <c r="AB153" i="1"/>
  <c r="AA153" i="1"/>
  <c r="Y153" i="1"/>
  <c r="X153" i="1"/>
  <c r="V153" i="1"/>
  <c r="U153" i="1"/>
  <c r="S153" i="1"/>
  <c r="R153" i="1"/>
  <c r="P153" i="1"/>
  <c r="O153" i="1"/>
  <c r="M153" i="1"/>
  <c r="L153" i="1"/>
  <c r="J153" i="1"/>
  <c r="AT153" i="1" s="1"/>
  <c r="I153" i="1"/>
  <c r="AS153" i="1" s="1"/>
  <c r="AR152" i="1"/>
  <c r="AQ152" i="1"/>
  <c r="AP152" i="1"/>
  <c r="AN152" i="1"/>
  <c r="AM152" i="1"/>
  <c r="AK152" i="1"/>
  <c r="AJ152" i="1"/>
  <c r="AH152" i="1"/>
  <c r="AG152" i="1"/>
  <c r="AE152" i="1"/>
  <c r="AD152" i="1"/>
  <c r="AB152" i="1"/>
  <c r="AA152" i="1"/>
  <c r="Y152" i="1"/>
  <c r="X152" i="1"/>
  <c r="V152" i="1"/>
  <c r="U152" i="1"/>
  <c r="S152" i="1"/>
  <c r="R152" i="1"/>
  <c r="P152" i="1"/>
  <c r="O152" i="1"/>
  <c r="M152" i="1"/>
  <c r="L152" i="1"/>
  <c r="J152" i="1"/>
  <c r="AT152" i="1" s="1"/>
  <c r="I152" i="1"/>
  <c r="AS152" i="1" s="1"/>
  <c r="AR151" i="1"/>
  <c r="AQ151" i="1"/>
  <c r="AP151" i="1"/>
  <c r="AN151" i="1"/>
  <c r="AM151" i="1"/>
  <c r="AK151" i="1"/>
  <c r="AJ151" i="1"/>
  <c r="AH151" i="1"/>
  <c r="AG151" i="1"/>
  <c r="AE151" i="1"/>
  <c r="AD151" i="1"/>
  <c r="AB151" i="1"/>
  <c r="AA151" i="1"/>
  <c r="Y151" i="1"/>
  <c r="X151" i="1"/>
  <c r="V151" i="1"/>
  <c r="U151" i="1"/>
  <c r="S151" i="1"/>
  <c r="R151" i="1"/>
  <c r="P151" i="1"/>
  <c r="O151" i="1"/>
  <c r="M151" i="1"/>
  <c r="L151" i="1"/>
  <c r="J151" i="1"/>
  <c r="I151" i="1"/>
  <c r="AS151" i="1" s="1"/>
  <c r="AR150" i="1"/>
  <c r="AQ150" i="1"/>
  <c r="AP150" i="1"/>
  <c r="AN150" i="1"/>
  <c r="AM150" i="1"/>
  <c r="AK150" i="1"/>
  <c r="AJ150" i="1"/>
  <c r="AH150" i="1"/>
  <c r="AG150" i="1"/>
  <c r="AE150" i="1"/>
  <c r="AD150" i="1"/>
  <c r="AB150" i="1"/>
  <c r="AA150" i="1"/>
  <c r="Y150" i="1"/>
  <c r="X150" i="1"/>
  <c r="V150" i="1"/>
  <c r="U150" i="1"/>
  <c r="S150" i="1"/>
  <c r="R150" i="1"/>
  <c r="P150" i="1"/>
  <c r="O150" i="1"/>
  <c r="M150" i="1"/>
  <c r="L150" i="1"/>
  <c r="J150" i="1"/>
  <c r="I150" i="1"/>
  <c r="AS150" i="1" s="1"/>
  <c r="AR149" i="1"/>
  <c r="AQ149" i="1"/>
  <c r="AP149" i="1"/>
  <c r="AN149" i="1"/>
  <c r="AM149" i="1"/>
  <c r="AK149" i="1"/>
  <c r="AJ149" i="1"/>
  <c r="AH149" i="1"/>
  <c r="AG149" i="1"/>
  <c r="AE149" i="1"/>
  <c r="AD149" i="1"/>
  <c r="AB149" i="1"/>
  <c r="AA149" i="1"/>
  <c r="Y149" i="1"/>
  <c r="X149" i="1"/>
  <c r="V149" i="1"/>
  <c r="U149" i="1"/>
  <c r="S149" i="1"/>
  <c r="R149" i="1"/>
  <c r="P149" i="1"/>
  <c r="O149" i="1"/>
  <c r="M149" i="1"/>
  <c r="L149" i="1"/>
  <c r="J149" i="1"/>
  <c r="AT149" i="1" s="1"/>
  <c r="I149" i="1"/>
  <c r="AS149" i="1" s="1"/>
  <c r="AR148" i="1"/>
  <c r="AQ148" i="1"/>
  <c r="AP148" i="1"/>
  <c r="AN148" i="1"/>
  <c r="AM148" i="1"/>
  <c r="AK148" i="1"/>
  <c r="AJ148" i="1"/>
  <c r="AH148" i="1"/>
  <c r="AG148" i="1"/>
  <c r="AE148" i="1"/>
  <c r="AD148" i="1"/>
  <c r="AB148" i="1"/>
  <c r="AA148" i="1"/>
  <c r="Y148" i="1"/>
  <c r="X148" i="1"/>
  <c r="V148" i="1"/>
  <c r="U148" i="1"/>
  <c r="S148" i="1"/>
  <c r="R148" i="1"/>
  <c r="P148" i="1"/>
  <c r="O148" i="1"/>
  <c r="M148" i="1"/>
  <c r="L148" i="1"/>
  <c r="J148" i="1"/>
  <c r="AT148" i="1" s="1"/>
  <c r="I148" i="1"/>
  <c r="AS148" i="1" s="1"/>
  <c r="AR147" i="1"/>
  <c r="AQ147" i="1"/>
  <c r="AP147" i="1"/>
  <c r="AN147" i="1"/>
  <c r="AM147" i="1"/>
  <c r="AK147" i="1"/>
  <c r="AJ147" i="1"/>
  <c r="AH147" i="1"/>
  <c r="AG147" i="1"/>
  <c r="AE147" i="1"/>
  <c r="AD147" i="1"/>
  <c r="AB147" i="1"/>
  <c r="AA147" i="1"/>
  <c r="Y147" i="1"/>
  <c r="X147" i="1"/>
  <c r="V147" i="1"/>
  <c r="U147" i="1"/>
  <c r="S147" i="1"/>
  <c r="R147" i="1"/>
  <c r="P147" i="1"/>
  <c r="O147" i="1"/>
  <c r="M147" i="1"/>
  <c r="L147" i="1"/>
  <c r="J147" i="1"/>
  <c r="AT147" i="1" s="1"/>
  <c r="I147" i="1"/>
  <c r="AS147" i="1" s="1"/>
  <c r="AR146" i="1"/>
  <c r="AQ146" i="1"/>
  <c r="AP146" i="1"/>
  <c r="AN146" i="1"/>
  <c r="AM146" i="1"/>
  <c r="AK146" i="1"/>
  <c r="AJ146" i="1"/>
  <c r="AH146" i="1"/>
  <c r="AG146" i="1"/>
  <c r="AE146" i="1"/>
  <c r="AD146" i="1"/>
  <c r="AB146" i="1"/>
  <c r="AA146" i="1"/>
  <c r="Y146" i="1"/>
  <c r="X146" i="1"/>
  <c r="V146" i="1"/>
  <c r="U146" i="1"/>
  <c r="S146" i="1"/>
  <c r="R146" i="1"/>
  <c r="P146" i="1"/>
  <c r="O146" i="1"/>
  <c r="M146" i="1"/>
  <c r="L146" i="1"/>
  <c r="J146" i="1"/>
  <c r="AT146" i="1" s="1"/>
  <c r="I146" i="1"/>
  <c r="AS146" i="1" s="1"/>
  <c r="AR145" i="1"/>
  <c r="AQ145" i="1"/>
  <c r="AP145" i="1"/>
  <c r="AN145" i="1"/>
  <c r="AM145" i="1"/>
  <c r="AK145" i="1"/>
  <c r="AJ145" i="1"/>
  <c r="AH145" i="1"/>
  <c r="AG145" i="1"/>
  <c r="AE145" i="1"/>
  <c r="AD145" i="1"/>
  <c r="AB145" i="1"/>
  <c r="AA145" i="1"/>
  <c r="Y145" i="1"/>
  <c r="X145" i="1"/>
  <c r="V145" i="1"/>
  <c r="U145" i="1"/>
  <c r="S145" i="1"/>
  <c r="R145" i="1"/>
  <c r="P145" i="1"/>
  <c r="O145" i="1"/>
  <c r="M145" i="1"/>
  <c r="L145" i="1"/>
  <c r="J145" i="1"/>
  <c r="AT145" i="1" s="1"/>
  <c r="I145" i="1"/>
  <c r="AS145" i="1" s="1"/>
  <c r="AR144" i="1"/>
  <c r="AQ144" i="1"/>
  <c r="AP144" i="1"/>
  <c r="AN144" i="1"/>
  <c r="AM144" i="1"/>
  <c r="AK144" i="1"/>
  <c r="AJ144" i="1"/>
  <c r="AH144" i="1"/>
  <c r="AG144" i="1"/>
  <c r="AE144" i="1"/>
  <c r="AD144" i="1"/>
  <c r="AB144" i="1"/>
  <c r="AA144" i="1"/>
  <c r="Y144" i="1"/>
  <c r="X144" i="1"/>
  <c r="V144" i="1"/>
  <c r="U144" i="1"/>
  <c r="S144" i="1"/>
  <c r="R144" i="1"/>
  <c r="P144" i="1"/>
  <c r="O144" i="1"/>
  <c r="M144" i="1"/>
  <c r="L144" i="1"/>
  <c r="J144" i="1"/>
  <c r="AT144" i="1" s="1"/>
  <c r="I144" i="1"/>
  <c r="AS144" i="1" s="1"/>
  <c r="AR143" i="1"/>
  <c r="AQ143" i="1"/>
  <c r="AP143" i="1"/>
  <c r="AN143" i="1"/>
  <c r="AM143" i="1"/>
  <c r="AK143" i="1"/>
  <c r="AJ143" i="1"/>
  <c r="AH143" i="1"/>
  <c r="AG143" i="1"/>
  <c r="AE143" i="1"/>
  <c r="AD143" i="1"/>
  <c r="AB143" i="1"/>
  <c r="AA143" i="1"/>
  <c r="Y143" i="1"/>
  <c r="X143" i="1"/>
  <c r="V143" i="1"/>
  <c r="U143" i="1"/>
  <c r="S143" i="1"/>
  <c r="R143" i="1"/>
  <c r="P143" i="1"/>
  <c r="O143" i="1"/>
  <c r="M143" i="1"/>
  <c r="L143" i="1"/>
  <c r="J143" i="1"/>
  <c r="AT143" i="1" s="1"/>
  <c r="I143" i="1"/>
  <c r="AS143" i="1" s="1"/>
  <c r="AR142" i="1"/>
  <c r="AQ142" i="1"/>
  <c r="AP142" i="1"/>
  <c r="AN142" i="1"/>
  <c r="AM142" i="1"/>
  <c r="AK142" i="1"/>
  <c r="AJ142" i="1"/>
  <c r="AH142" i="1"/>
  <c r="AG142" i="1"/>
  <c r="AE142" i="1"/>
  <c r="AD142" i="1"/>
  <c r="AB142" i="1"/>
  <c r="AA142" i="1"/>
  <c r="Y142" i="1"/>
  <c r="X142" i="1"/>
  <c r="V142" i="1"/>
  <c r="U142" i="1"/>
  <c r="S142" i="1"/>
  <c r="R142" i="1"/>
  <c r="P142" i="1"/>
  <c r="O142" i="1"/>
  <c r="M142" i="1"/>
  <c r="L142" i="1"/>
  <c r="J142" i="1"/>
  <c r="AT142" i="1" s="1"/>
  <c r="I142" i="1"/>
  <c r="AS142" i="1" s="1"/>
  <c r="AR141" i="1"/>
  <c r="AQ141" i="1"/>
  <c r="AP141" i="1"/>
  <c r="AN141" i="1"/>
  <c r="AM141" i="1"/>
  <c r="AK141" i="1"/>
  <c r="AJ141" i="1"/>
  <c r="AH141" i="1"/>
  <c r="AG141" i="1"/>
  <c r="AE141" i="1"/>
  <c r="AD141" i="1"/>
  <c r="AB141" i="1"/>
  <c r="AA141" i="1"/>
  <c r="Y141" i="1"/>
  <c r="X141" i="1"/>
  <c r="V141" i="1"/>
  <c r="U141" i="1"/>
  <c r="S141" i="1"/>
  <c r="R141" i="1"/>
  <c r="P141" i="1"/>
  <c r="O141" i="1"/>
  <c r="M141" i="1"/>
  <c r="L141" i="1"/>
  <c r="J141" i="1"/>
  <c r="AT141" i="1" s="1"/>
  <c r="I141" i="1"/>
  <c r="AS141" i="1" s="1"/>
  <c r="AR140" i="1"/>
  <c r="AQ140" i="1"/>
  <c r="AP140" i="1"/>
  <c r="AN140" i="1"/>
  <c r="AM140" i="1"/>
  <c r="AK140" i="1"/>
  <c r="AJ140" i="1"/>
  <c r="AH140" i="1"/>
  <c r="AG140" i="1"/>
  <c r="AE140" i="1"/>
  <c r="AD140" i="1"/>
  <c r="AB140" i="1"/>
  <c r="AA140" i="1"/>
  <c r="Y140" i="1"/>
  <c r="X140" i="1"/>
  <c r="V140" i="1"/>
  <c r="U140" i="1"/>
  <c r="S140" i="1"/>
  <c r="R140" i="1"/>
  <c r="P140" i="1"/>
  <c r="O140" i="1"/>
  <c r="M140" i="1"/>
  <c r="L140" i="1"/>
  <c r="J140" i="1"/>
  <c r="AT140" i="1" s="1"/>
  <c r="I140" i="1"/>
  <c r="AS140" i="1" s="1"/>
  <c r="AR139" i="1"/>
  <c r="AQ139" i="1"/>
  <c r="AP139" i="1"/>
  <c r="AN139" i="1"/>
  <c r="AM139" i="1"/>
  <c r="AK139" i="1"/>
  <c r="AJ139" i="1"/>
  <c r="AH139" i="1"/>
  <c r="AG139" i="1"/>
  <c r="AE139" i="1"/>
  <c r="AD139" i="1"/>
  <c r="AB139" i="1"/>
  <c r="AA139" i="1"/>
  <c r="Y139" i="1"/>
  <c r="X139" i="1"/>
  <c r="V139" i="1"/>
  <c r="U139" i="1"/>
  <c r="S139" i="1"/>
  <c r="R139" i="1"/>
  <c r="P139" i="1"/>
  <c r="O139" i="1"/>
  <c r="M139" i="1"/>
  <c r="L139" i="1"/>
  <c r="J139" i="1"/>
  <c r="I139" i="1"/>
  <c r="AS139" i="1" s="1"/>
  <c r="AR138" i="1"/>
  <c r="AQ138" i="1"/>
  <c r="AP138" i="1"/>
  <c r="AN138" i="1"/>
  <c r="AM138" i="1"/>
  <c r="AK138" i="1"/>
  <c r="AJ138" i="1"/>
  <c r="AH138" i="1"/>
  <c r="AG138" i="1"/>
  <c r="AE138" i="1"/>
  <c r="AD138" i="1"/>
  <c r="AB138" i="1"/>
  <c r="AA138" i="1"/>
  <c r="Y138" i="1"/>
  <c r="X138" i="1"/>
  <c r="V138" i="1"/>
  <c r="U138" i="1"/>
  <c r="S138" i="1"/>
  <c r="R138" i="1"/>
  <c r="P138" i="1"/>
  <c r="O138" i="1"/>
  <c r="M138" i="1"/>
  <c r="L138" i="1"/>
  <c r="J138" i="1"/>
  <c r="I138" i="1"/>
  <c r="AS138" i="1" s="1"/>
  <c r="AR137" i="1"/>
  <c r="AQ137" i="1"/>
  <c r="AP137" i="1"/>
  <c r="AN137" i="1"/>
  <c r="AM137" i="1"/>
  <c r="AK137" i="1"/>
  <c r="AJ137" i="1"/>
  <c r="AH137" i="1"/>
  <c r="AG137" i="1"/>
  <c r="AE137" i="1"/>
  <c r="AD137" i="1"/>
  <c r="AB137" i="1"/>
  <c r="AA137" i="1"/>
  <c r="Y137" i="1"/>
  <c r="X137" i="1"/>
  <c r="V137" i="1"/>
  <c r="U137" i="1"/>
  <c r="S137" i="1"/>
  <c r="R137" i="1"/>
  <c r="P137" i="1"/>
  <c r="O137" i="1"/>
  <c r="M137" i="1"/>
  <c r="L137" i="1"/>
  <c r="J137" i="1"/>
  <c r="I137" i="1"/>
  <c r="AS137" i="1" s="1"/>
  <c r="AR136" i="1"/>
  <c r="AQ136" i="1"/>
  <c r="AP136" i="1"/>
  <c r="AN136" i="1"/>
  <c r="AM136" i="1"/>
  <c r="AK136" i="1"/>
  <c r="AJ136" i="1"/>
  <c r="AH136" i="1"/>
  <c r="AG136" i="1"/>
  <c r="AE136" i="1"/>
  <c r="AD136" i="1"/>
  <c r="AB136" i="1"/>
  <c r="AA136" i="1"/>
  <c r="Y136" i="1"/>
  <c r="X136" i="1"/>
  <c r="V136" i="1"/>
  <c r="U136" i="1"/>
  <c r="S136" i="1"/>
  <c r="R136" i="1"/>
  <c r="P136" i="1"/>
  <c r="O136" i="1"/>
  <c r="M136" i="1"/>
  <c r="L136" i="1"/>
  <c r="J136" i="1"/>
  <c r="I136" i="1"/>
  <c r="AS136" i="1" s="1"/>
  <c r="AR135" i="1"/>
  <c r="AQ135" i="1"/>
  <c r="AP135" i="1"/>
  <c r="AN135" i="1"/>
  <c r="AM135" i="1"/>
  <c r="AK135" i="1"/>
  <c r="AJ135" i="1"/>
  <c r="AH135" i="1"/>
  <c r="AG135" i="1"/>
  <c r="AE135" i="1"/>
  <c r="AD135" i="1"/>
  <c r="AB135" i="1"/>
  <c r="AA135" i="1"/>
  <c r="Y135" i="1"/>
  <c r="X135" i="1"/>
  <c r="V135" i="1"/>
  <c r="U135" i="1"/>
  <c r="S135" i="1"/>
  <c r="R135" i="1"/>
  <c r="P135" i="1"/>
  <c r="O135" i="1"/>
  <c r="M135" i="1"/>
  <c r="L135" i="1"/>
  <c r="J135" i="1"/>
  <c r="I135" i="1"/>
  <c r="AS135" i="1" s="1"/>
  <c r="AR134" i="1"/>
  <c r="AQ134" i="1"/>
  <c r="AP134" i="1"/>
  <c r="AN134" i="1"/>
  <c r="AM134" i="1"/>
  <c r="AK134" i="1"/>
  <c r="AJ134" i="1"/>
  <c r="AH134" i="1"/>
  <c r="AG134" i="1"/>
  <c r="AE134" i="1"/>
  <c r="AD134" i="1"/>
  <c r="AB134" i="1"/>
  <c r="AA134" i="1"/>
  <c r="Y134" i="1"/>
  <c r="X134" i="1"/>
  <c r="V134" i="1"/>
  <c r="U134" i="1"/>
  <c r="S134" i="1"/>
  <c r="R134" i="1"/>
  <c r="P134" i="1"/>
  <c r="O134" i="1"/>
  <c r="M134" i="1"/>
  <c r="L134" i="1"/>
  <c r="J134" i="1"/>
  <c r="AT134" i="1" s="1"/>
  <c r="I134" i="1"/>
  <c r="AS134" i="1" s="1"/>
  <c r="AR133" i="1"/>
  <c r="AQ133" i="1"/>
  <c r="AP133" i="1"/>
  <c r="AN133" i="1"/>
  <c r="AM133" i="1"/>
  <c r="AK133" i="1"/>
  <c r="AJ133" i="1"/>
  <c r="AH133" i="1"/>
  <c r="AG133" i="1"/>
  <c r="AE133" i="1"/>
  <c r="AD133" i="1"/>
  <c r="AB133" i="1"/>
  <c r="AA133" i="1"/>
  <c r="Y133" i="1"/>
  <c r="X133" i="1"/>
  <c r="V133" i="1"/>
  <c r="U133" i="1"/>
  <c r="S133" i="1"/>
  <c r="R133" i="1"/>
  <c r="P133" i="1"/>
  <c r="O133" i="1"/>
  <c r="M133" i="1"/>
  <c r="L133" i="1"/>
  <c r="J133" i="1"/>
  <c r="AT133" i="1" s="1"/>
  <c r="I133" i="1"/>
  <c r="AS133" i="1" s="1"/>
  <c r="AR132" i="1"/>
  <c r="AQ132" i="1"/>
  <c r="AP132" i="1"/>
  <c r="AN132" i="1"/>
  <c r="AM132" i="1"/>
  <c r="AK132" i="1"/>
  <c r="AJ132" i="1"/>
  <c r="AH132" i="1"/>
  <c r="AG132" i="1"/>
  <c r="AE132" i="1"/>
  <c r="AD132" i="1"/>
  <c r="AB132" i="1"/>
  <c r="AA132" i="1"/>
  <c r="Y132" i="1"/>
  <c r="X132" i="1"/>
  <c r="V132" i="1"/>
  <c r="U132" i="1"/>
  <c r="S132" i="1"/>
  <c r="R132" i="1"/>
  <c r="P132" i="1"/>
  <c r="O132" i="1"/>
  <c r="M132" i="1"/>
  <c r="L132" i="1"/>
  <c r="J132" i="1"/>
  <c r="AT132" i="1" s="1"/>
  <c r="I132" i="1"/>
  <c r="AS132" i="1" s="1"/>
  <c r="AR131" i="1"/>
  <c r="AQ131" i="1"/>
  <c r="AP131" i="1"/>
  <c r="AN131" i="1"/>
  <c r="AM131" i="1"/>
  <c r="AK131" i="1"/>
  <c r="AJ131" i="1"/>
  <c r="AH131" i="1"/>
  <c r="AG131" i="1"/>
  <c r="AE131" i="1"/>
  <c r="AD131" i="1"/>
  <c r="AB131" i="1"/>
  <c r="AA131" i="1"/>
  <c r="Y131" i="1"/>
  <c r="X131" i="1"/>
  <c r="V131" i="1"/>
  <c r="U131" i="1"/>
  <c r="S131" i="1"/>
  <c r="R131" i="1"/>
  <c r="P131" i="1"/>
  <c r="O131" i="1"/>
  <c r="M131" i="1"/>
  <c r="L131" i="1"/>
  <c r="J131" i="1"/>
  <c r="AT131" i="1" s="1"/>
  <c r="I131" i="1"/>
  <c r="AS131" i="1" s="1"/>
  <c r="AR130" i="1"/>
  <c r="AQ130" i="1"/>
  <c r="AP130" i="1"/>
  <c r="AN130" i="1"/>
  <c r="AM130" i="1"/>
  <c r="AK130" i="1"/>
  <c r="AJ130" i="1"/>
  <c r="AH130" i="1"/>
  <c r="AG130" i="1"/>
  <c r="AE130" i="1"/>
  <c r="AD130" i="1"/>
  <c r="AB130" i="1"/>
  <c r="AA130" i="1"/>
  <c r="Y130" i="1"/>
  <c r="X130" i="1"/>
  <c r="V130" i="1"/>
  <c r="U130" i="1"/>
  <c r="S130" i="1"/>
  <c r="R130" i="1"/>
  <c r="P130" i="1"/>
  <c r="O130" i="1"/>
  <c r="M130" i="1"/>
  <c r="L130" i="1"/>
  <c r="J130" i="1"/>
  <c r="AT130" i="1" s="1"/>
  <c r="I130" i="1"/>
  <c r="AS130" i="1" s="1"/>
  <c r="AR129" i="1"/>
  <c r="AQ129" i="1"/>
  <c r="AP129" i="1"/>
  <c r="AN129" i="1"/>
  <c r="AM129" i="1"/>
  <c r="AK129" i="1"/>
  <c r="AJ129" i="1"/>
  <c r="AH129" i="1"/>
  <c r="AG129" i="1"/>
  <c r="AE129" i="1"/>
  <c r="AD129" i="1"/>
  <c r="AB129" i="1"/>
  <c r="AA129" i="1"/>
  <c r="Y129" i="1"/>
  <c r="X129" i="1"/>
  <c r="V129" i="1"/>
  <c r="U129" i="1"/>
  <c r="S129" i="1"/>
  <c r="R129" i="1"/>
  <c r="P129" i="1"/>
  <c r="O129" i="1"/>
  <c r="M129" i="1"/>
  <c r="L129" i="1"/>
  <c r="J129" i="1"/>
  <c r="AT129" i="1" s="1"/>
  <c r="I129" i="1"/>
  <c r="AS129" i="1" s="1"/>
  <c r="AR128" i="1"/>
  <c r="AQ128" i="1"/>
  <c r="AP128" i="1"/>
  <c r="AN128" i="1"/>
  <c r="AM128" i="1"/>
  <c r="AK128" i="1"/>
  <c r="AJ128" i="1"/>
  <c r="AH128" i="1"/>
  <c r="AG128" i="1"/>
  <c r="AE128" i="1"/>
  <c r="AD128" i="1"/>
  <c r="AB128" i="1"/>
  <c r="AA128" i="1"/>
  <c r="Y128" i="1"/>
  <c r="X128" i="1"/>
  <c r="V128" i="1"/>
  <c r="U128" i="1"/>
  <c r="S128" i="1"/>
  <c r="R128" i="1"/>
  <c r="P128" i="1"/>
  <c r="O128" i="1"/>
  <c r="M128" i="1"/>
  <c r="L128" i="1"/>
  <c r="J128" i="1"/>
  <c r="AT128" i="1" s="1"/>
  <c r="I128" i="1"/>
  <c r="AS128" i="1" s="1"/>
  <c r="AR127" i="1"/>
  <c r="AQ127" i="1"/>
  <c r="AP127" i="1"/>
  <c r="AN127" i="1"/>
  <c r="AM127" i="1"/>
  <c r="AK127" i="1"/>
  <c r="AJ127" i="1"/>
  <c r="AH127" i="1"/>
  <c r="AG127" i="1"/>
  <c r="AE127" i="1"/>
  <c r="AD127" i="1"/>
  <c r="AB127" i="1"/>
  <c r="AA127" i="1"/>
  <c r="Y127" i="1"/>
  <c r="X127" i="1"/>
  <c r="V127" i="1"/>
  <c r="U127" i="1"/>
  <c r="S127" i="1"/>
  <c r="R127" i="1"/>
  <c r="P127" i="1"/>
  <c r="O127" i="1"/>
  <c r="M127" i="1"/>
  <c r="L127" i="1"/>
  <c r="J127" i="1"/>
  <c r="AT127" i="1" s="1"/>
  <c r="I127" i="1"/>
  <c r="AS127" i="1" s="1"/>
  <c r="AR126" i="1"/>
  <c r="AQ126" i="1"/>
  <c r="AP126" i="1"/>
  <c r="AN126" i="1"/>
  <c r="AM126" i="1"/>
  <c r="AK126" i="1"/>
  <c r="AJ126" i="1"/>
  <c r="AH126" i="1"/>
  <c r="AG126" i="1"/>
  <c r="AE126" i="1"/>
  <c r="AD126" i="1"/>
  <c r="AB126" i="1"/>
  <c r="AA126" i="1"/>
  <c r="Y126" i="1"/>
  <c r="X126" i="1"/>
  <c r="V126" i="1"/>
  <c r="U126" i="1"/>
  <c r="S126" i="1"/>
  <c r="R126" i="1"/>
  <c r="P126" i="1"/>
  <c r="O126" i="1"/>
  <c r="M126" i="1"/>
  <c r="L126" i="1"/>
  <c r="J126" i="1"/>
  <c r="AT126" i="1" s="1"/>
  <c r="I126" i="1"/>
  <c r="AS126" i="1" s="1"/>
  <c r="AR125" i="1"/>
  <c r="AQ125" i="1"/>
  <c r="AP125" i="1"/>
  <c r="AN125" i="1"/>
  <c r="AM125" i="1"/>
  <c r="AK125" i="1"/>
  <c r="AJ125" i="1"/>
  <c r="AH125" i="1"/>
  <c r="AG125" i="1"/>
  <c r="AE125" i="1"/>
  <c r="AD125" i="1"/>
  <c r="AB125" i="1"/>
  <c r="AA125" i="1"/>
  <c r="Y125" i="1"/>
  <c r="X125" i="1"/>
  <c r="V125" i="1"/>
  <c r="U125" i="1"/>
  <c r="S125" i="1"/>
  <c r="R125" i="1"/>
  <c r="P125" i="1"/>
  <c r="O125" i="1"/>
  <c r="M125" i="1"/>
  <c r="L125" i="1"/>
  <c r="J125" i="1"/>
  <c r="AT125" i="1" s="1"/>
  <c r="I125" i="1"/>
  <c r="AS125" i="1" s="1"/>
  <c r="AR124" i="1"/>
  <c r="AQ124" i="1"/>
  <c r="AP124" i="1"/>
  <c r="AN124" i="1"/>
  <c r="AM124" i="1"/>
  <c r="AK124" i="1"/>
  <c r="AJ124" i="1"/>
  <c r="AH124" i="1"/>
  <c r="AG124" i="1"/>
  <c r="AE124" i="1"/>
  <c r="AD124" i="1"/>
  <c r="AB124" i="1"/>
  <c r="AA124" i="1"/>
  <c r="Y124" i="1"/>
  <c r="X124" i="1"/>
  <c r="V124" i="1"/>
  <c r="U124" i="1"/>
  <c r="S124" i="1"/>
  <c r="R124" i="1"/>
  <c r="P124" i="1"/>
  <c r="O124" i="1"/>
  <c r="M124" i="1"/>
  <c r="L124" i="1"/>
  <c r="J124" i="1"/>
  <c r="AT124" i="1" s="1"/>
  <c r="I124" i="1"/>
  <c r="AS124" i="1" s="1"/>
  <c r="AR123" i="1"/>
  <c r="AQ123" i="1"/>
  <c r="AP123" i="1"/>
  <c r="AN123" i="1"/>
  <c r="AM123" i="1"/>
  <c r="AK123" i="1"/>
  <c r="AJ123" i="1"/>
  <c r="AH123" i="1"/>
  <c r="AG123" i="1"/>
  <c r="AE123" i="1"/>
  <c r="AD123" i="1"/>
  <c r="AB123" i="1"/>
  <c r="AA123" i="1"/>
  <c r="Y123" i="1"/>
  <c r="X123" i="1"/>
  <c r="V123" i="1"/>
  <c r="U123" i="1"/>
  <c r="S123" i="1"/>
  <c r="R123" i="1"/>
  <c r="P123" i="1"/>
  <c r="O123" i="1"/>
  <c r="M123" i="1"/>
  <c r="L123" i="1"/>
  <c r="J123" i="1"/>
  <c r="AT123" i="1" s="1"/>
  <c r="I123" i="1"/>
  <c r="AS123" i="1" s="1"/>
  <c r="AR122" i="1"/>
  <c r="AQ122" i="1"/>
  <c r="AP122" i="1"/>
  <c r="AN122" i="1"/>
  <c r="AM122" i="1"/>
  <c r="AK122" i="1"/>
  <c r="AJ122" i="1"/>
  <c r="AH122" i="1"/>
  <c r="AG122" i="1"/>
  <c r="AE122" i="1"/>
  <c r="AD122" i="1"/>
  <c r="AB122" i="1"/>
  <c r="AA122" i="1"/>
  <c r="Y122" i="1"/>
  <c r="X122" i="1"/>
  <c r="V122" i="1"/>
  <c r="U122" i="1"/>
  <c r="S122" i="1"/>
  <c r="R122" i="1"/>
  <c r="P122" i="1"/>
  <c r="O122" i="1"/>
  <c r="M122" i="1"/>
  <c r="L122" i="1"/>
  <c r="J122" i="1"/>
  <c r="AT122" i="1" s="1"/>
  <c r="I122" i="1"/>
  <c r="AS122" i="1" s="1"/>
  <c r="AR121" i="1"/>
  <c r="AQ121" i="1"/>
  <c r="AP121" i="1"/>
  <c r="AN121" i="1"/>
  <c r="AM121" i="1"/>
  <c r="AK121" i="1"/>
  <c r="AJ121" i="1"/>
  <c r="AH121" i="1"/>
  <c r="AG121" i="1"/>
  <c r="AE121" i="1"/>
  <c r="AD121" i="1"/>
  <c r="AB121" i="1"/>
  <c r="AA121" i="1"/>
  <c r="Y121" i="1"/>
  <c r="X121" i="1"/>
  <c r="V121" i="1"/>
  <c r="U121" i="1"/>
  <c r="S121" i="1"/>
  <c r="R121" i="1"/>
  <c r="P121" i="1"/>
  <c r="O121" i="1"/>
  <c r="M121" i="1"/>
  <c r="L121" i="1"/>
  <c r="J121" i="1"/>
  <c r="AT121" i="1" s="1"/>
  <c r="I121" i="1"/>
  <c r="AS121" i="1" s="1"/>
  <c r="BG120" i="1"/>
  <c r="BD120" i="1"/>
  <c r="BA120" i="1"/>
  <c r="AX120" i="1"/>
  <c r="AU120" i="1"/>
  <c r="AR120" i="1"/>
  <c r="AQ120" i="1"/>
  <c r="AP120" i="1"/>
  <c r="AN120" i="1"/>
  <c r="AM120" i="1"/>
  <c r="AK120" i="1"/>
  <c r="AJ120" i="1"/>
  <c r="BH120" i="1" s="1"/>
  <c r="AH120" i="1"/>
  <c r="AG120" i="1"/>
  <c r="AE120" i="1"/>
  <c r="AD120" i="1"/>
  <c r="AD106" i="1" s="1"/>
  <c r="AB120" i="1"/>
  <c r="AA120" i="1"/>
  <c r="Y120" i="1"/>
  <c r="X120" i="1"/>
  <c r="X106" i="1" s="1"/>
  <c r="V120" i="1"/>
  <c r="U120" i="1"/>
  <c r="U106" i="1" s="1"/>
  <c r="S120" i="1"/>
  <c r="R120" i="1"/>
  <c r="P120" i="1"/>
  <c r="O120" i="1"/>
  <c r="O106" i="1" s="1"/>
  <c r="M120" i="1"/>
  <c r="L120" i="1"/>
  <c r="L106" i="1" s="1"/>
  <c r="J120" i="1"/>
  <c r="I120" i="1"/>
  <c r="BG119" i="1"/>
  <c r="BG107" i="1" s="1"/>
  <c r="BD119" i="1"/>
  <c r="BD107" i="1" s="1"/>
  <c r="BC119" i="1"/>
  <c r="BB119" i="1"/>
  <c r="BA119" i="1"/>
  <c r="BA107" i="1" s="1"/>
  <c r="AZ119" i="1"/>
  <c r="AY119" i="1"/>
  <c r="AX119" i="1"/>
  <c r="AX107" i="1" s="1"/>
  <c r="AU119" i="1"/>
  <c r="AU107" i="1" s="1"/>
  <c r="AS119" i="1"/>
  <c r="AR119" i="1"/>
  <c r="AQ119" i="1"/>
  <c r="AQ107" i="1" s="1"/>
  <c r="AP119" i="1"/>
  <c r="AP107" i="1" s="1"/>
  <c r="AP106" i="1" s="1"/>
  <c r="AN119" i="1"/>
  <c r="AN107" i="1" s="1"/>
  <c r="AM119" i="1"/>
  <c r="AM107" i="1" s="1"/>
  <c r="AM106" i="1" s="1"/>
  <c r="AK119" i="1"/>
  <c r="AJ119" i="1"/>
  <c r="AH119" i="1"/>
  <c r="AH107" i="1" s="1"/>
  <c r="AG119" i="1"/>
  <c r="AE119" i="1"/>
  <c r="AD119" i="1"/>
  <c r="AB119" i="1"/>
  <c r="AA119" i="1"/>
  <c r="Y119" i="1"/>
  <c r="X119" i="1"/>
  <c r="V119" i="1"/>
  <c r="U119" i="1"/>
  <c r="S119" i="1"/>
  <c r="R119" i="1"/>
  <c r="P119" i="1"/>
  <c r="O119" i="1"/>
  <c r="M119" i="1"/>
  <c r="L119" i="1"/>
  <c r="J119" i="1"/>
  <c r="I119" i="1"/>
  <c r="BG118" i="1"/>
  <c r="BD118" i="1"/>
  <c r="BA118" i="1"/>
  <c r="AX118" i="1"/>
  <c r="AU118" i="1"/>
  <c r="AQ118" i="1"/>
  <c r="AP118" i="1"/>
  <c r="AN118" i="1"/>
  <c r="AM118" i="1"/>
  <c r="AK118" i="1"/>
  <c r="BI118" i="1" s="1"/>
  <c r="AJ118" i="1"/>
  <c r="BH118" i="1" s="1"/>
  <c r="AH118" i="1"/>
  <c r="AG118" i="1"/>
  <c r="AE118" i="1"/>
  <c r="AD118" i="1"/>
  <c r="AB118" i="1"/>
  <c r="BF118" i="1" s="1"/>
  <c r="AA118" i="1"/>
  <c r="BE118" i="1" s="1"/>
  <c r="Y118" i="1"/>
  <c r="X118" i="1"/>
  <c r="V118" i="1"/>
  <c r="U118" i="1"/>
  <c r="S118" i="1"/>
  <c r="BC118" i="1" s="1"/>
  <c r="R118" i="1"/>
  <c r="BB118" i="1" s="1"/>
  <c r="P118" i="1"/>
  <c r="O118" i="1"/>
  <c r="M118" i="1"/>
  <c r="L118" i="1"/>
  <c r="J118" i="1"/>
  <c r="I118" i="1"/>
  <c r="BG117" i="1"/>
  <c r="BD117" i="1"/>
  <c r="BA117" i="1"/>
  <c r="AX117" i="1"/>
  <c r="AU117" i="1"/>
  <c r="AQ117" i="1"/>
  <c r="AP117" i="1"/>
  <c r="AN117" i="1"/>
  <c r="AM117" i="1"/>
  <c r="AK117" i="1"/>
  <c r="BI117" i="1" s="1"/>
  <c r="AJ117" i="1"/>
  <c r="BH117" i="1" s="1"/>
  <c r="AH117" i="1"/>
  <c r="AG117" i="1"/>
  <c r="AE117" i="1"/>
  <c r="AD117" i="1"/>
  <c r="AB117" i="1"/>
  <c r="BF117" i="1" s="1"/>
  <c r="AA117" i="1"/>
  <c r="BE117" i="1" s="1"/>
  <c r="Y117" i="1"/>
  <c r="X117" i="1"/>
  <c r="V117" i="1"/>
  <c r="U117" i="1"/>
  <c r="S117" i="1"/>
  <c r="BC117" i="1" s="1"/>
  <c r="R117" i="1"/>
  <c r="BB117" i="1" s="1"/>
  <c r="P117" i="1"/>
  <c r="O117" i="1"/>
  <c r="M117" i="1"/>
  <c r="L117" i="1"/>
  <c r="J117" i="1"/>
  <c r="I117" i="1"/>
  <c r="BG116" i="1"/>
  <c r="BD116" i="1"/>
  <c r="BA116" i="1"/>
  <c r="AX116" i="1"/>
  <c r="AU116" i="1"/>
  <c r="AQ116" i="1"/>
  <c r="AP116" i="1"/>
  <c r="AN116" i="1"/>
  <c r="AM116" i="1"/>
  <c r="AK116" i="1"/>
  <c r="BI116" i="1" s="1"/>
  <c r="AJ116" i="1"/>
  <c r="BH116" i="1" s="1"/>
  <c r="AH116" i="1"/>
  <c r="AG116" i="1"/>
  <c r="AE116" i="1"/>
  <c r="AD116" i="1"/>
  <c r="AB116" i="1"/>
  <c r="BF116" i="1" s="1"/>
  <c r="AA116" i="1"/>
  <c r="BE116" i="1" s="1"/>
  <c r="Y116" i="1"/>
  <c r="X116" i="1"/>
  <c r="V116" i="1"/>
  <c r="U116" i="1"/>
  <c r="S116" i="1"/>
  <c r="BC116" i="1" s="1"/>
  <c r="R116" i="1"/>
  <c r="BB116" i="1" s="1"/>
  <c r="P116" i="1"/>
  <c r="O116" i="1"/>
  <c r="M116" i="1"/>
  <c r="L116" i="1"/>
  <c r="J116" i="1"/>
  <c r="I116" i="1"/>
  <c r="BG115" i="1"/>
  <c r="BD115" i="1"/>
  <c r="BA115" i="1"/>
  <c r="AX115" i="1"/>
  <c r="AU115" i="1"/>
  <c r="AQ115" i="1"/>
  <c r="AP115" i="1"/>
  <c r="AN115" i="1"/>
  <c r="AM115" i="1"/>
  <c r="AK115" i="1"/>
  <c r="BI115" i="1" s="1"/>
  <c r="AJ115" i="1"/>
  <c r="BH115" i="1" s="1"/>
  <c r="AH115" i="1"/>
  <c r="AG115" i="1"/>
  <c r="AE115" i="1"/>
  <c r="AD115" i="1"/>
  <c r="AB115" i="1"/>
  <c r="BF115" i="1" s="1"/>
  <c r="AA115" i="1"/>
  <c r="BE115" i="1" s="1"/>
  <c r="Y115" i="1"/>
  <c r="X115" i="1"/>
  <c r="V115" i="1"/>
  <c r="U115" i="1"/>
  <c r="S115" i="1"/>
  <c r="BC115" i="1" s="1"/>
  <c r="R115" i="1"/>
  <c r="BB115" i="1" s="1"/>
  <c r="P115" i="1"/>
  <c r="O115" i="1"/>
  <c r="M115" i="1"/>
  <c r="L115" i="1"/>
  <c r="J115" i="1"/>
  <c r="I115" i="1"/>
  <c r="BG114" i="1"/>
  <c r="BD114" i="1"/>
  <c r="BA114" i="1"/>
  <c r="AX114" i="1"/>
  <c r="AU114" i="1"/>
  <c r="AQ114" i="1"/>
  <c r="AP114" i="1"/>
  <c r="AN114" i="1"/>
  <c r="AM114" i="1"/>
  <c r="AK114" i="1"/>
  <c r="BI114" i="1" s="1"/>
  <c r="AJ114" i="1"/>
  <c r="BH114" i="1" s="1"/>
  <c r="AH114" i="1"/>
  <c r="AG114" i="1"/>
  <c r="AE114" i="1"/>
  <c r="AD114" i="1"/>
  <c r="AB114" i="1"/>
  <c r="BF114" i="1" s="1"/>
  <c r="AA114" i="1"/>
  <c r="BE114" i="1" s="1"/>
  <c r="Y114" i="1"/>
  <c r="X114" i="1"/>
  <c r="V114" i="1"/>
  <c r="U114" i="1"/>
  <c r="S114" i="1"/>
  <c r="BC114" i="1" s="1"/>
  <c r="R114" i="1"/>
  <c r="BB114" i="1" s="1"/>
  <c r="P114" i="1"/>
  <c r="O114" i="1"/>
  <c r="M114" i="1"/>
  <c r="L114" i="1"/>
  <c r="J114" i="1"/>
  <c r="I114" i="1"/>
  <c r="BG113" i="1"/>
  <c r="BD113" i="1"/>
  <c r="BA113" i="1"/>
  <c r="AX113" i="1"/>
  <c r="AU113" i="1"/>
  <c r="AQ113" i="1"/>
  <c r="AP113" i="1"/>
  <c r="AN113" i="1"/>
  <c r="AM113" i="1"/>
  <c r="AK113" i="1"/>
  <c r="BI113" i="1" s="1"/>
  <c r="AJ113" i="1"/>
  <c r="BH113" i="1" s="1"/>
  <c r="AH113" i="1"/>
  <c r="AG113" i="1"/>
  <c r="AE113" i="1"/>
  <c r="AD113" i="1"/>
  <c r="AB113" i="1"/>
  <c r="BF113" i="1" s="1"/>
  <c r="AA113" i="1"/>
  <c r="BE113" i="1" s="1"/>
  <c r="Y113" i="1"/>
  <c r="X113" i="1"/>
  <c r="V113" i="1"/>
  <c r="U113" i="1"/>
  <c r="S113" i="1"/>
  <c r="BC113" i="1" s="1"/>
  <c r="R113" i="1"/>
  <c r="BB113" i="1" s="1"/>
  <c r="P113" i="1"/>
  <c r="O113" i="1"/>
  <c r="M113" i="1"/>
  <c r="L113" i="1"/>
  <c r="J113" i="1"/>
  <c r="I113" i="1"/>
  <c r="BG112" i="1"/>
  <c r="BD112" i="1"/>
  <c r="BA112" i="1"/>
  <c r="AX112" i="1"/>
  <c r="AU112" i="1"/>
  <c r="AQ112" i="1"/>
  <c r="AP112" i="1"/>
  <c r="AN112" i="1"/>
  <c r="AM112" i="1"/>
  <c r="AK112" i="1"/>
  <c r="BI112" i="1" s="1"/>
  <c r="AJ112" i="1"/>
  <c r="BH112" i="1" s="1"/>
  <c r="AH112" i="1"/>
  <c r="AG112" i="1"/>
  <c r="AE112" i="1"/>
  <c r="AD112" i="1"/>
  <c r="AB112" i="1"/>
  <c r="BF112" i="1" s="1"/>
  <c r="AA112" i="1"/>
  <c r="BE112" i="1" s="1"/>
  <c r="Y112" i="1"/>
  <c r="X112" i="1"/>
  <c r="V112" i="1"/>
  <c r="U112" i="1"/>
  <c r="S112" i="1"/>
  <c r="BC112" i="1" s="1"/>
  <c r="R112" i="1"/>
  <c r="BB112" i="1" s="1"/>
  <c r="P112" i="1"/>
  <c r="O112" i="1"/>
  <c r="M112" i="1"/>
  <c r="L112" i="1"/>
  <c r="J112" i="1"/>
  <c r="I112" i="1"/>
  <c r="BG111" i="1"/>
  <c r="BD111" i="1"/>
  <c r="BA111" i="1"/>
  <c r="AX111" i="1"/>
  <c r="AU111" i="1"/>
  <c r="AQ111" i="1"/>
  <c r="AP111" i="1"/>
  <c r="AN111" i="1"/>
  <c r="AM111" i="1"/>
  <c r="AK111" i="1"/>
  <c r="BI111" i="1" s="1"/>
  <c r="AJ111" i="1"/>
  <c r="BH111" i="1" s="1"/>
  <c r="AH111" i="1"/>
  <c r="AG111" i="1"/>
  <c r="AE111" i="1"/>
  <c r="AD111" i="1"/>
  <c r="AB111" i="1"/>
  <c r="BF111" i="1" s="1"/>
  <c r="AA111" i="1"/>
  <c r="BE111" i="1" s="1"/>
  <c r="Y111" i="1"/>
  <c r="X111" i="1"/>
  <c r="V111" i="1"/>
  <c r="U111" i="1"/>
  <c r="S111" i="1"/>
  <c r="BC111" i="1" s="1"/>
  <c r="R111" i="1"/>
  <c r="BB111" i="1" s="1"/>
  <c r="P111" i="1"/>
  <c r="O111" i="1"/>
  <c r="M111" i="1"/>
  <c r="L111" i="1"/>
  <c r="J111" i="1"/>
  <c r="I111" i="1"/>
  <c r="BG110" i="1"/>
  <c r="BD110" i="1"/>
  <c r="BA110" i="1"/>
  <c r="AX110" i="1"/>
  <c r="AU110" i="1"/>
  <c r="AR110" i="1"/>
  <c r="AQ110" i="1"/>
  <c r="AP110" i="1"/>
  <c r="AN110" i="1"/>
  <c r="AM110" i="1"/>
  <c r="AK110" i="1"/>
  <c r="BI110" i="1" s="1"/>
  <c r="AJ110" i="1"/>
  <c r="BH110" i="1" s="1"/>
  <c r="AH110" i="1"/>
  <c r="AG110" i="1"/>
  <c r="AE110" i="1"/>
  <c r="AD110" i="1"/>
  <c r="AB110" i="1"/>
  <c r="BF110" i="1" s="1"/>
  <c r="AA110" i="1"/>
  <c r="BE110" i="1" s="1"/>
  <c r="Y110" i="1"/>
  <c r="X110" i="1"/>
  <c r="V110" i="1"/>
  <c r="U110" i="1"/>
  <c r="S110" i="1"/>
  <c r="BC110" i="1" s="1"/>
  <c r="R110" i="1"/>
  <c r="BB110" i="1" s="1"/>
  <c r="P110" i="1"/>
  <c r="O110" i="1"/>
  <c r="M110" i="1"/>
  <c r="L110" i="1"/>
  <c r="J110" i="1"/>
  <c r="I110" i="1"/>
  <c r="BG109" i="1"/>
  <c r="BD109" i="1"/>
  <c r="BA109" i="1"/>
  <c r="AX109" i="1"/>
  <c r="AU109" i="1"/>
  <c r="AR109" i="1"/>
  <c r="AQ109" i="1"/>
  <c r="AP109" i="1"/>
  <c r="AN109" i="1"/>
  <c r="AM109" i="1"/>
  <c r="AK109" i="1"/>
  <c r="BI109" i="1" s="1"/>
  <c r="AJ109" i="1"/>
  <c r="BH109" i="1" s="1"/>
  <c r="AH109" i="1"/>
  <c r="AG109" i="1"/>
  <c r="AE109" i="1"/>
  <c r="AD109" i="1"/>
  <c r="AB109" i="1"/>
  <c r="BF109" i="1" s="1"/>
  <c r="AA109" i="1"/>
  <c r="BE109" i="1" s="1"/>
  <c r="Y109" i="1"/>
  <c r="X109" i="1"/>
  <c r="V109" i="1"/>
  <c r="U109" i="1"/>
  <c r="S109" i="1"/>
  <c r="BC109" i="1" s="1"/>
  <c r="R109" i="1"/>
  <c r="BB109" i="1" s="1"/>
  <c r="P109" i="1"/>
  <c r="O109" i="1"/>
  <c r="M109" i="1"/>
  <c r="L109" i="1"/>
  <c r="J109" i="1"/>
  <c r="I109" i="1"/>
  <c r="BG108" i="1"/>
  <c r="BD108" i="1"/>
  <c r="BA108" i="1"/>
  <c r="AX108" i="1"/>
  <c r="AU108" i="1"/>
  <c r="AR108" i="1"/>
  <c r="AQ108" i="1"/>
  <c r="AP108" i="1"/>
  <c r="AN108" i="1"/>
  <c r="AM108" i="1"/>
  <c r="AK108" i="1"/>
  <c r="BI108" i="1" s="1"/>
  <c r="AJ108" i="1"/>
  <c r="BH108" i="1" s="1"/>
  <c r="AH108" i="1"/>
  <c r="AG108" i="1"/>
  <c r="AE108" i="1"/>
  <c r="AD108" i="1"/>
  <c r="AB108" i="1"/>
  <c r="BF108" i="1" s="1"/>
  <c r="AA108" i="1"/>
  <c r="BE108" i="1" s="1"/>
  <c r="Y108" i="1"/>
  <c r="X108" i="1"/>
  <c r="V108" i="1"/>
  <c r="U108" i="1"/>
  <c r="S108" i="1"/>
  <c r="BC108" i="1" s="1"/>
  <c r="BC107" i="1" s="1"/>
  <c r="R108" i="1"/>
  <c r="BB108" i="1" s="1"/>
  <c r="BB107" i="1" s="1"/>
  <c r="P108" i="1"/>
  <c r="O108" i="1"/>
  <c r="M108" i="1"/>
  <c r="L108" i="1"/>
  <c r="J108" i="1"/>
  <c r="I108" i="1"/>
  <c r="AR107" i="1"/>
  <c r="AD107" i="1"/>
  <c r="AB107" i="1"/>
  <c r="AA107" i="1"/>
  <c r="Y107" i="1"/>
  <c r="X107" i="1"/>
  <c r="V107" i="1"/>
  <c r="U107" i="1"/>
  <c r="S107" i="1"/>
  <c r="R107" i="1"/>
  <c r="P107" i="1"/>
  <c r="O107" i="1"/>
  <c r="M107" i="1"/>
  <c r="L107" i="1"/>
  <c r="J107" i="1"/>
  <c r="I107" i="1"/>
  <c r="AS107" i="1" s="1"/>
  <c r="BG98" i="1"/>
  <c r="BD98" i="1"/>
  <c r="BA98" i="1"/>
  <c r="AX98" i="1"/>
  <c r="AU98" i="1"/>
  <c r="AR98" i="1"/>
  <c r="AQ98" i="1"/>
  <c r="AP98" i="1"/>
  <c r="AN98" i="1"/>
  <c r="AM98" i="1"/>
  <c r="AK98" i="1"/>
  <c r="BI98" i="1" s="1"/>
  <c r="AJ98" i="1"/>
  <c r="BH98" i="1" s="1"/>
  <c r="AH98" i="1"/>
  <c r="AG98" i="1"/>
  <c r="AE98" i="1"/>
  <c r="AD98" i="1"/>
  <c r="AB98" i="1"/>
  <c r="BF98" i="1" s="1"/>
  <c r="AA98" i="1"/>
  <c r="BE98" i="1" s="1"/>
  <c r="Y98" i="1"/>
  <c r="X98" i="1"/>
  <c r="V98" i="1"/>
  <c r="U98" i="1"/>
  <c r="S98" i="1"/>
  <c r="BC98" i="1" s="1"/>
  <c r="R98" i="1"/>
  <c r="BB98" i="1" s="1"/>
  <c r="P98" i="1"/>
  <c r="O98" i="1"/>
  <c r="M98" i="1"/>
  <c r="L98" i="1"/>
  <c r="J98" i="1"/>
  <c r="I98" i="1"/>
  <c r="BG97" i="1"/>
  <c r="BD97" i="1"/>
  <c r="BA97" i="1"/>
  <c r="AX97" i="1"/>
  <c r="AU97" i="1"/>
  <c r="AR97" i="1"/>
  <c r="AQ97" i="1"/>
  <c r="AP97" i="1"/>
  <c r="AN97" i="1"/>
  <c r="AM97" i="1"/>
  <c r="AK97" i="1"/>
  <c r="BI97" i="1" s="1"/>
  <c r="AJ97" i="1"/>
  <c r="BH97" i="1" s="1"/>
  <c r="AH97" i="1"/>
  <c r="AG97" i="1"/>
  <c r="AE97" i="1"/>
  <c r="AD97" i="1"/>
  <c r="AB97" i="1"/>
  <c r="BF97" i="1" s="1"/>
  <c r="AA97" i="1"/>
  <c r="BE97" i="1" s="1"/>
  <c r="Y97" i="1"/>
  <c r="X97" i="1"/>
  <c r="V97" i="1"/>
  <c r="U97" i="1"/>
  <c r="S97" i="1"/>
  <c r="BC97" i="1" s="1"/>
  <c r="R97" i="1"/>
  <c r="BB97" i="1" s="1"/>
  <c r="P97" i="1"/>
  <c r="O97" i="1"/>
  <c r="M97" i="1"/>
  <c r="L97" i="1"/>
  <c r="J97" i="1"/>
  <c r="I97" i="1"/>
  <c r="BG96" i="1"/>
  <c r="BD96" i="1"/>
  <c r="BA96" i="1"/>
  <c r="AX96" i="1"/>
  <c r="AU96" i="1"/>
  <c r="AR96" i="1"/>
  <c r="AQ96" i="1"/>
  <c r="AQ100" i="1" s="1"/>
  <c r="AP96" i="1"/>
  <c r="AN96" i="1"/>
  <c r="AN100" i="1" s="1"/>
  <c r="AM96" i="1"/>
  <c r="AK96" i="1"/>
  <c r="AJ96" i="1"/>
  <c r="BH96" i="1" s="1"/>
  <c r="AH96" i="1"/>
  <c r="AH100" i="1" s="1"/>
  <c r="AG96" i="1"/>
  <c r="AE96" i="1"/>
  <c r="AE100" i="1" s="1"/>
  <c r="AD96" i="1"/>
  <c r="AB96" i="1"/>
  <c r="AA96" i="1"/>
  <c r="BE96" i="1" s="1"/>
  <c r="Y96" i="1"/>
  <c r="Y100" i="1" s="1"/>
  <c r="X96" i="1"/>
  <c r="V96" i="1"/>
  <c r="V100" i="1" s="1"/>
  <c r="U96" i="1"/>
  <c r="S96" i="1"/>
  <c r="R96" i="1"/>
  <c r="BB96" i="1" s="1"/>
  <c r="P96" i="1"/>
  <c r="P100" i="1" s="1"/>
  <c r="O96" i="1"/>
  <c r="M96" i="1"/>
  <c r="M100" i="1" s="1"/>
  <c r="L96" i="1"/>
  <c r="J96" i="1"/>
  <c r="I96" i="1"/>
  <c r="BG95" i="1"/>
  <c r="BD95" i="1"/>
  <c r="BA95" i="1"/>
  <c r="AX95" i="1"/>
  <c r="AU95" i="1"/>
  <c r="AR95" i="1"/>
  <c r="AQ95" i="1"/>
  <c r="AP95" i="1"/>
  <c r="AN95" i="1"/>
  <c r="AM95" i="1"/>
  <c r="AK95" i="1"/>
  <c r="BI95" i="1" s="1"/>
  <c r="AJ95" i="1"/>
  <c r="BH95" i="1" s="1"/>
  <c r="BH94" i="1" s="1"/>
  <c r="AH95" i="1"/>
  <c r="AG95" i="1"/>
  <c r="AE95" i="1"/>
  <c r="AD95" i="1"/>
  <c r="AB95" i="1"/>
  <c r="BF95" i="1" s="1"/>
  <c r="AA95" i="1"/>
  <c r="BE95" i="1" s="1"/>
  <c r="BE94" i="1" s="1"/>
  <c r="Y95" i="1"/>
  <c r="X95" i="1"/>
  <c r="V95" i="1"/>
  <c r="U95" i="1"/>
  <c r="S95" i="1"/>
  <c r="BC95" i="1" s="1"/>
  <c r="R95" i="1"/>
  <c r="BB95" i="1" s="1"/>
  <c r="BB94" i="1" s="1"/>
  <c r="P95" i="1"/>
  <c r="O95" i="1"/>
  <c r="M95" i="1"/>
  <c r="L95" i="1"/>
  <c r="J95" i="1"/>
  <c r="I95" i="1"/>
  <c r="BG94" i="1"/>
  <c r="BD94" i="1"/>
  <c r="BA94" i="1"/>
  <c r="AX94" i="1"/>
  <c r="AU94" i="1"/>
  <c r="AQ94" i="1"/>
  <c r="AP94" i="1"/>
  <c r="AN94" i="1"/>
  <c r="AM94" i="1"/>
  <c r="AK94" i="1"/>
  <c r="AJ94" i="1"/>
  <c r="AH94" i="1"/>
  <c r="AG94" i="1"/>
  <c r="AE94" i="1"/>
  <c r="AD94" i="1"/>
  <c r="AB94" i="1"/>
  <c r="AA94" i="1"/>
  <c r="Y94" i="1"/>
  <c r="X94" i="1"/>
  <c r="V94" i="1"/>
  <c r="U94" i="1"/>
  <c r="S94" i="1"/>
  <c r="R94" i="1"/>
  <c r="P94" i="1"/>
  <c r="O94" i="1"/>
  <c r="M94" i="1"/>
  <c r="L94" i="1"/>
  <c r="J94" i="1"/>
  <c r="I94" i="1"/>
  <c r="BH90" i="1"/>
  <c r="BG90" i="1"/>
  <c r="BE90" i="1"/>
  <c r="BD90" i="1"/>
  <c r="BB90" i="1"/>
  <c r="BA90" i="1"/>
  <c r="AY90" i="1"/>
  <c r="AX90" i="1"/>
  <c r="AV90" i="1"/>
  <c r="AU90" i="1"/>
  <c r="AS90" i="1"/>
  <c r="AR90" i="1"/>
  <c r="AQ90" i="1"/>
  <c r="AN90" i="1"/>
  <c r="AK90" i="1"/>
  <c r="BI90" i="1" s="1"/>
  <c r="AH90" i="1"/>
  <c r="AE90" i="1"/>
  <c r="AB90" i="1"/>
  <c r="BF90" i="1" s="1"/>
  <c r="Y90" i="1"/>
  <c r="V90" i="1"/>
  <c r="S90" i="1"/>
  <c r="BC90" i="1" s="1"/>
  <c r="P90" i="1"/>
  <c r="M90" i="1"/>
  <c r="J90" i="1"/>
  <c r="BG89" i="1"/>
  <c r="BD89" i="1"/>
  <c r="BA89" i="1"/>
  <c r="AX89" i="1"/>
  <c r="AU89" i="1"/>
  <c r="AR89" i="1"/>
  <c r="AR88" i="1" s="1"/>
  <c r="AQ89" i="1"/>
  <c r="AP89" i="1"/>
  <c r="AN89" i="1"/>
  <c r="AM89" i="1"/>
  <c r="AK89" i="1"/>
  <c r="BI89" i="1" s="1"/>
  <c r="BI88" i="1" s="1"/>
  <c r="AJ89" i="1"/>
  <c r="BH89" i="1" s="1"/>
  <c r="BH88" i="1" s="1"/>
  <c r="AH89" i="1"/>
  <c r="AG89" i="1"/>
  <c r="AE89" i="1"/>
  <c r="AD89" i="1"/>
  <c r="AB89" i="1"/>
  <c r="BF89" i="1" s="1"/>
  <c r="BF88" i="1" s="1"/>
  <c r="AA89" i="1"/>
  <c r="BE89" i="1" s="1"/>
  <c r="BE88" i="1" s="1"/>
  <c r="Y89" i="1"/>
  <c r="X89" i="1"/>
  <c r="V89" i="1"/>
  <c r="U89" i="1"/>
  <c r="S89" i="1"/>
  <c r="BC89" i="1" s="1"/>
  <c r="BC88" i="1" s="1"/>
  <c r="R89" i="1"/>
  <c r="BB89" i="1" s="1"/>
  <c r="BB88" i="1" s="1"/>
  <c r="P89" i="1"/>
  <c r="O89" i="1"/>
  <c r="M89" i="1"/>
  <c r="L89" i="1"/>
  <c r="J89" i="1"/>
  <c r="I89" i="1"/>
  <c r="BG88" i="1"/>
  <c r="BG91" i="1" s="1"/>
  <c r="BD88" i="1"/>
  <c r="BD91" i="1" s="1"/>
  <c r="BA88" i="1"/>
  <c r="BA91" i="1" s="1"/>
  <c r="AX88" i="1"/>
  <c r="AX91" i="1" s="1"/>
  <c r="AU88" i="1"/>
  <c r="AU91" i="1" s="1"/>
  <c r="AQ88" i="1"/>
  <c r="AQ91" i="1" s="1"/>
  <c r="AP88" i="1"/>
  <c r="AP91" i="1" s="1"/>
  <c r="AN88" i="1"/>
  <c r="AN91" i="1" s="1"/>
  <c r="AM88" i="1"/>
  <c r="AM91" i="1" s="1"/>
  <c r="AK88" i="1"/>
  <c r="AK91" i="1" s="1"/>
  <c r="AJ88" i="1"/>
  <c r="AJ91" i="1" s="1"/>
  <c r="AH88" i="1"/>
  <c r="AH91" i="1" s="1"/>
  <c r="AG88" i="1"/>
  <c r="AG91" i="1" s="1"/>
  <c r="AE88" i="1"/>
  <c r="AE91" i="1" s="1"/>
  <c r="AD88" i="1"/>
  <c r="AD91" i="1" s="1"/>
  <c r="AB88" i="1"/>
  <c r="AB91" i="1" s="1"/>
  <c r="AA88" i="1"/>
  <c r="AA91" i="1" s="1"/>
  <c r="Y88" i="1"/>
  <c r="Y91" i="1" s="1"/>
  <c r="X88" i="1"/>
  <c r="X91" i="1" s="1"/>
  <c r="V88" i="1"/>
  <c r="V91" i="1" s="1"/>
  <c r="U88" i="1"/>
  <c r="U91" i="1" s="1"/>
  <c r="S88" i="1"/>
  <c r="S91" i="1" s="1"/>
  <c r="R88" i="1"/>
  <c r="R91" i="1" s="1"/>
  <c r="P88" i="1"/>
  <c r="P91" i="1" s="1"/>
  <c r="O88" i="1"/>
  <c r="O91" i="1" s="1"/>
  <c r="M88" i="1"/>
  <c r="M91" i="1" s="1"/>
  <c r="L88" i="1"/>
  <c r="L91" i="1" s="1"/>
  <c r="J88" i="1"/>
  <c r="J91" i="1" s="1"/>
  <c r="I88" i="1"/>
  <c r="I91" i="1" s="1"/>
  <c r="BG84" i="1"/>
  <c r="BD84" i="1"/>
  <c r="BA84" i="1"/>
  <c r="AX84" i="1"/>
  <c r="AU84" i="1"/>
  <c r="AQ84" i="1"/>
  <c r="AP84" i="1"/>
  <c r="AN84" i="1"/>
  <c r="AM84" i="1"/>
  <c r="AK84" i="1"/>
  <c r="BI84" i="1" s="1"/>
  <c r="AJ84" i="1"/>
  <c r="BH84" i="1" s="1"/>
  <c r="AH84" i="1"/>
  <c r="AG84" i="1"/>
  <c r="AE84" i="1"/>
  <c r="AD84" i="1"/>
  <c r="AB84" i="1"/>
  <c r="BF84" i="1" s="1"/>
  <c r="AA84" i="1"/>
  <c r="BE84" i="1" s="1"/>
  <c r="Y84" i="1"/>
  <c r="X84" i="1"/>
  <c r="V84" i="1"/>
  <c r="U84" i="1"/>
  <c r="S84" i="1"/>
  <c r="BC84" i="1" s="1"/>
  <c r="R84" i="1"/>
  <c r="BB84" i="1" s="1"/>
  <c r="P84" i="1"/>
  <c r="O84" i="1"/>
  <c r="M84" i="1"/>
  <c r="L84" i="1"/>
  <c r="J84" i="1"/>
  <c r="I84" i="1"/>
  <c r="BG83" i="1"/>
  <c r="BD83" i="1"/>
  <c r="BA83" i="1"/>
  <c r="AX83" i="1"/>
  <c r="AU83" i="1"/>
  <c r="AR83" i="1"/>
  <c r="AQ83" i="1"/>
  <c r="AP83" i="1"/>
  <c r="AN83" i="1"/>
  <c r="AM83" i="1"/>
  <c r="AK83" i="1"/>
  <c r="BI83" i="1" s="1"/>
  <c r="BI82" i="1" s="1"/>
  <c r="AJ83" i="1"/>
  <c r="BH83" i="1" s="1"/>
  <c r="BH82" i="1" s="1"/>
  <c r="AH83" i="1"/>
  <c r="AG83" i="1"/>
  <c r="AE83" i="1"/>
  <c r="AD83" i="1"/>
  <c r="AB83" i="1"/>
  <c r="BF83" i="1" s="1"/>
  <c r="BF82" i="1" s="1"/>
  <c r="AA83" i="1"/>
  <c r="BE83" i="1" s="1"/>
  <c r="BE82" i="1" s="1"/>
  <c r="Y83" i="1"/>
  <c r="X83" i="1"/>
  <c r="V83" i="1"/>
  <c r="U83" i="1"/>
  <c r="S83" i="1"/>
  <c r="BC83" i="1" s="1"/>
  <c r="BC82" i="1" s="1"/>
  <c r="R83" i="1"/>
  <c r="BB83" i="1" s="1"/>
  <c r="BB82" i="1" s="1"/>
  <c r="P83" i="1"/>
  <c r="O83" i="1"/>
  <c r="M83" i="1"/>
  <c r="L83" i="1"/>
  <c r="J83" i="1"/>
  <c r="I83" i="1"/>
  <c r="BG82" i="1"/>
  <c r="BD82" i="1"/>
  <c r="BA82" i="1"/>
  <c r="AX82" i="1"/>
  <c r="AU82" i="1"/>
  <c r="AR82" i="1"/>
  <c r="AQ82" i="1"/>
  <c r="AP82" i="1"/>
  <c r="AN82" i="1"/>
  <c r="AM82" i="1"/>
  <c r="AK82" i="1"/>
  <c r="AJ82" i="1"/>
  <c r="AH82" i="1"/>
  <c r="AG82" i="1"/>
  <c r="AE82" i="1"/>
  <c r="AD82" i="1"/>
  <c r="AB82" i="1"/>
  <c r="AA82" i="1"/>
  <c r="Y82" i="1"/>
  <c r="X82" i="1"/>
  <c r="V82" i="1"/>
  <c r="U82" i="1"/>
  <c r="S82" i="1"/>
  <c r="R82" i="1"/>
  <c r="P82" i="1"/>
  <c r="O82" i="1"/>
  <c r="M82" i="1"/>
  <c r="L82" i="1"/>
  <c r="J82" i="1"/>
  <c r="AT82" i="1" s="1"/>
  <c r="I82" i="1"/>
  <c r="AS82" i="1" s="1"/>
  <c r="BG81" i="1"/>
  <c r="BD81" i="1"/>
  <c r="BA81" i="1"/>
  <c r="AX81" i="1"/>
  <c r="AU81" i="1"/>
  <c r="AR81" i="1"/>
  <c r="AQ81" i="1"/>
  <c r="AP81" i="1"/>
  <c r="AN81" i="1"/>
  <c r="AM81" i="1"/>
  <c r="AK81" i="1"/>
  <c r="BI81" i="1" s="1"/>
  <c r="AJ81" i="1"/>
  <c r="BH81" i="1" s="1"/>
  <c r="AH81" i="1"/>
  <c r="AG81" i="1"/>
  <c r="AE81" i="1"/>
  <c r="AD81" i="1"/>
  <c r="AB81" i="1"/>
  <c r="BF81" i="1" s="1"/>
  <c r="AA81" i="1"/>
  <c r="BE81" i="1" s="1"/>
  <c r="Y81" i="1"/>
  <c r="X81" i="1"/>
  <c r="V81" i="1"/>
  <c r="U81" i="1"/>
  <c r="S81" i="1"/>
  <c r="BC81" i="1" s="1"/>
  <c r="R81" i="1"/>
  <c r="BB81" i="1" s="1"/>
  <c r="P81" i="1"/>
  <c r="O81" i="1"/>
  <c r="M81" i="1"/>
  <c r="L81" i="1"/>
  <c r="J81" i="1"/>
  <c r="I81" i="1"/>
  <c r="BG80" i="1"/>
  <c r="BD80" i="1"/>
  <c r="BA80" i="1"/>
  <c r="AX80" i="1"/>
  <c r="AU80" i="1"/>
  <c r="AR80" i="1"/>
  <c r="AQ80" i="1"/>
  <c r="AP80" i="1"/>
  <c r="AN80" i="1"/>
  <c r="AM80" i="1"/>
  <c r="AK80" i="1"/>
  <c r="BI80" i="1" s="1"/>
  <c r="AJ80" i="1"/>
  <c r="BH80" i="1" s="1"/>
  <c r="AH80" i="1"/>
  <c r="AG80" i="1"/>
  <c r="AE80" i="1"/>
  <c r="AD80" i="1"/>
  <c r="AB80" i="1"/>
  <c r="BF80" i="1" s="1"/>
  <c r="AA80" i="1"/>
  <c r="BE80" i="1" s="1"/>
  <c r="Y80" i="1"/>
  <c r="X80" i="1"/>
  <c r="V80" i="1"/>
  <c r="U80" i="1"/>
  <c r="S80" i="1"/>
  <c r="BC80" i="1" s="1"/>
  <c r="R80" i="1"/>
  <c r="BB80" i="1" s="1"/>
  <c r="P80" i="1"/>
  <c r="O80" i="1"/>
  <c r="M80" i="1"/>
  <c r="L80" i="1"/>
  <c r="J80" i="1"/>
  <c r="I80" i="1"/>
  <c r="BG79" i="1"/>
  <c r="BD79" i="1"/>
  <c r="BA79" i="1"/>
  <c r="AX79" i="1"/>
  <c r="AU79" i="1"/>
  <c r="AR79" i="1"/>
  <c r="AQ79" i="1"/>
  <c r="AP79" i="1"/>
  <c r="AN79" i="1"/>
  <c r="AM79" i="1"/>
  <c r="AK79" i="1"/>
  <c r="BI79" i="1" s="1"/>
  <c r="AJ79" i="1"/>
  <c r="BH79" i="1" s="1"/>
  <c r="AH79" i="1"/>
  <c r="AG79" i="1"/>
  <c r="AE79" i="1"/>
  <c r="AD79" i="1"/>
  <c r="AB79" i="1"/>
  <c r="BF79" i="1" s="1"/>
  <c r="AA79" i="1"/>
  <c r="BE79" i="1" s="1"/>
  <c r="Y79" i="1"/>
  <c r="X79" i="1"/>
  <c r="V79" i="1"/>
  <c r="U79" i="1"/>
  <c r="S79" i="1"/>
  <c r="BC79" i="1" s="1"/>
  <c r="R79" i="1"/>
  <c r="BB79" i="1" s="1"/>
  <c r="P79" i="1"/>
  <c r="O79" i="1"/>
  <c r="M79" i="1"/>
  <c r="L79" i="1"/>
  <c r="J79" i="1"/>
  <c r="I79" i="1"/>
  <c r="BG78" i="1"/>
  <c r="BD78" i="1"/>
  <c r="BA78" i="1"/>
  <c r="AX78" i="1"/>
  <c r="AU78" i="1"/>
  <c r="AR78" i="1"/>
  <c r="AQ78" i="1"/>
  <c r="AP78" i="1"/>
  <c r="AN78" i="1"/>
  <c r="AM78" i="1"/>
  <c r="AK78" i="1"/>
  <c r="BI78" i="1" s="1"/>
  <c r="BI77" i="1" s="1"/>
  <c r="AJ78" i="1"/>
  <c r="BH78" i="1" s="1"/>
  <c r="BH77" i="1" s="1"/>
  <c r="AH78" i="1"/>
  <c r="AG78" i="1"/>
  <c r="AE78" i="1"/>
  <c r="AD78" i="1"/>
  <c r="AB78" i="1"/>
  <c r="BF78" i="1" s="1"/>
  <c r="BF77" i="1" s="1"/>
  <c r="AA78" i="1"/>
  <c r="BE78" i="1" s="1"/>
  <c r="BE77" i="1" s="1"/>
  <c r="Y78" i="1"/>
  <c r="X78" i="1"/>
  <c r="V78" i="1"/>
  <c r="U78" i="1"/>
  <c r="S78" i="1"/>
  <c r="BC78" i="1" s="1"/>
  <c r="BC77" i="1" s="1"/>
  <c r="R78" i="1"/>
  <c r="BB78" i="1" s="1"/>
  <c r="P78" i="1"/>
  <c r="O78" i="1"/>
  <c r="M78" i="1"/>
  <c r="L78" i="1"/>
  <c r="J78" i="1"/>
  <c r="I78" i="1"/>
  <c r="BG77" i="1"/>
  <c r="BD77" i="1"/>
  <c r="BA77" i="1"/>
  <c r="AX77" i="1"/>
  <c r="AU77" i="1"/>
  <c r="AR77" i="1"/>
  <c r="AQ77" i="1"/>
  <c r="AP77" i="1"/>
  <c r="AN77" i="1"/>
  <c r="AM77" i="1"/>
  <c r="AK77" i="1"/>
  <c r="AJ77" i="1"/>
  <c r="AH77" i="1"/>
  <c r="AG77" i="1"/>
  <c r="AE77" i="1"/>
  <c r="AD77" i="1"/>
  <c r="AB77" i="1"/>
  <c r="AA77" i="1"/>
  <c r="Y77" i="1"/>
  <c r="X77" i="1"/>
  <c r="V77" i="1"/>
  <c r="U77" i="1"/>
  <c r="S77" i="1"/>
  <c r="R77" i="1"/>
  <c r="P77" i="1"/>
  <c r="O77" i="1"/>
  <c r="M77" i="1"/>
  <c r="L77" i="1"/>
  <c r="J77" i="1"/>
  <c r="AT77" i="1" s="1"/>
  <c r="I77" i="1"/>
  <c r="AS77" i="1" s="1"/>
  <c r="BG76" i="1"/>
  <c r="BD76" i="1"/>
  <c r="BA76" i="1"/>
  <c r="AX76" i="1"/>
  <c r="AU76" i="1"/>
  <c r="AR76" i="1"/>
  <c r="AQ76" i="1"/>
  <c r="AP76" i="1"/>
  <c r="AN76" i="1"/>
  <c r="AM76" i="1"/>
  <c r="AK76" i="1"/>
  <c r="BI76" i="1" s="1"/>
  <c r="AJ76" i="1"/>
  <c r="BH76" i="1" s="1"/>
  <c r="AH76" i="1"/>
  <c r="AG76" i="1"/>
  <c r="AE76" i="1"/>
  <c r="AD76" i="1"/>
  <c r="AB76" i="1"/>
  <c r="BF76" i="1" s="1"/>
  <c r="AA76" i="1"/>
  <c r="BE76" i="1" s="1"/>
  <c r="Y76" i="1"/>
  <c r="X76" i="1"/>
  <c r="V76" i="1"/>
  <c r="U76" i="1"/>
  <c r="S76" i="1"/>
  <c r="BC76" i="1" s="1"/>
  <c r="R76" i="1"/>
  <c r="BB76" i="1" s="1"/>
  <c r="P76" i="1"/>
  <c r="O76" i="1"/>
  <c r="M76" i="1"/>
  <c r="L76" i="1"/>
  <c r="J76" i="1"/>
  <c r="I76" i="1"/>
  <c r="BG75" i="1"/>
  <c r="BD75" i="1"/>
  <c r="BA75" i="1"/>
  <c r="AX75" i="1"/>
  <c r="AU75" i="1"/>
  <c r="AR75" i="1"/>
  <c r="AQ75" i="1"/>
  <c r="AP75" i="1"/>
  <c r="AN75" i="1"/>
  <c r="AM75" i="1"/>
  <c r="AK75" i="1"/>
  <c r="BI75" i="1" s="1"/>
  <c r="AJ75" i="1"/>
  <c r="BH75" i="1" s="1"/>
  <c r="AH75" i="1"/>
  <c r="AG75" i="1"/>
  <c r="AE75" i="1"/>
  <c r="AD75" i="1"/>
  <c r="AB75" i="1"/>
  <c r="BF75" i="1" s="1"/>
  <c r="AA75" i="1"/>
  <c r="BE75" i="1" s="1"/>
  <c r="Y75" i="1"/>
  <c r="X75" i="1"/>
  <c r="V75" i="1"/>
  <c r="U75" i="1"/>
  <c r="S75" i="1"/>
  <c r="BC75" i="1" s="1"/>
  <c r="R75" i="1"/>
  <c r="BB75" i="1" s="1"/>
  <c r="P75" i="1"/>
  <c r="O75" i="1"/>
  <c r="M75" i="1"/>
  <c r="L75" i="1"/>
  <c r="J75" i="1"/>
  <c r="I75" i="1"/>
  <c r="BG74" i="1"/>
  <c r="BD74" i="1"/>
  <c r="BA74" i="1"/>
  <c r="AX74" i="1"/>
  <c r="AU74" i="1"/>
  <c r="AR74" i="1"/>
  <c r="AQ74" i="1"/>
  <c r="AP74" i="1"/>
  <c r="AN74" i="1"/>
  <c r="AM74" i="1"/>
  <c r="AK74" i="1"/>
  <c r="BI74" i="1" s="1"/>
  <c r="BI73" i="1" s="1"/>
  <c r="AJ74" i="1"/>
  <c r="BH74" i="1" s="1"/>
  <c r="BH73" i="1" s="1"/>
  <c r="AH74" i="1"/>
  <c r="AG74" i="1"/>
  <c r="AE74" i="1"/>
  <c r="AD74" i="1"/>
  <c r="AB74" i="1"/>
  <c r="BF74" i="1" s="1"/>
  <c r="BF73" i="1" s="1"/>
  <c r="AA74" i="1"/>
  <c r="BE74" i="1" s="1"/>
  <c r="BE73" i="1" s="1"/>
  <c r="Y74" i="1"/>
  <c r="X74" i="1"/>
  <c r="V74" i="1"/>
  <c r="U74" i="1"/>
  <c r="S74" i="1"/>
  <c r="BC74" i="1" s="1"/>
  <c r="BC73" i="1" s="1"/>
  <c r="R74" i="1"/>
  <c r="BB74" i="1" s="1"/>
  <c r="BB73" i="1" s="1"/>
  <c r="P74" i="1"/>
  <c r="O74" i="1"/>
  <c r="M74" i="1"/>
  <c r="L74" i="1"/>
  <c r="J74" i="1"/>
  <c r="I74" i="1"/>
  <c r="BG73" i="1"/>
  <c r="BD73" i="1"/>
  <c r="BA73" i="1"/>
  <c r="AX73" i="1"/>
  <c r="AU73" i="1"/>
  <c r="AR73" i="1"/>
  <c r="AQ73" i="1"/>
  <c r="AP73" i="1"/>
  <c r="AN73" i="1"/>
  <c r="AM73" i="1"/>
  <c r="AK73" i="1"/>
  <c r="AJ73" i="1"/>
  <c r="AH73" i="1"/>
  <c r="AG73" i="1"/>
  <c r="AE73" i="1"/>
  <c r="AD73" i="1"/>
  <c r="AB73" i="1"/>
  <c r="AA73" i="1"/>
  <c r="Y73" i="1"/>
  <c r="X73" i="1"/>
  <c r="V73" i="1"/>
  <c r="U73" i="1"/>
  <c r="S73" i="1"/>
  <c r="R73" i="1"/>
  <c r="P73" i="1"/>
  <c r="O73" i="1"/>
  <c r="M73" i="1"/>
  <c r="L73" i="1"/>
  <c r="J73" i="1"/>
  <c r="AT73" i="1" s="1"/>
  <c r="I73" i="1"/>
  <c r="AS73" i="1" s="1"/>
  <c r="AR72" i="1"/>
  <c r="AQ72" i="1"/>
  <c r="AP72" i="1"/>
  <c r="AN72" i="1"/>
  <c r="AM72" i="1"/>
  <c r="AK72" i="1"/>
  <c r="AJ72" i="1"/>
  <c r="AH72" i="1"/>
  <c r="AG72" i="1"/>
  <c r="AE72" i="1"/>
  <c r="AD72" i="1"/>
  <c r="AB72" i="1"/>
  <c r="AA72" i="1"/>
  <c r="Y72" i="1"/>
  <c r="X72" i="1"/>
  <c r="V72" i="1"/>
  <c r="U72" i="1"/>
  <c r="S72" i="1"/>
  <c r="R72" i="1"/>
  <c r="P72" i="1"/>
  <c r="O72" i="1"/>
  <c r="M72" i="1"/>
  <c r="L72" i="1"/>
  <c r="J72" i="1"/>
  <c r="AT72" i="1" s="1"/>
  <c r="I72" i="1"/>
  <c r="AS72" i="1" s="1"/>
  <c r="AR71" i="1"/>
  <c r="AQ71" i="1"/>
  <c r="AP71" i="1"/>
  <c r="AN71" i="1"/>
  <c r="AM71" i="1"/>
  <c r="AK71" i="1"/>
  <c r="AJ71" i="1"/>
  <c r="AH71" i="1"/>
  <c r="AG71" i="1"/>
  <c r="AE71" i="1"/>
  <c r="AD71" i="1"/>
  <c r="AB71" i="1"/>
  <c r="AA71" i="1"/>
  <c r="Y71" i="1"/>
  <c r="X71" i="1"/>
  <c r="V71" i="1"/>
  <c r="U71" i="1"/>
  <c r="S71" i="1"/>
  <c r="R71" i="1"/>
  <c r="P71" i="1"/>
  <c r="O71" i="1"/>
  <c r="M71" i="1"/>
  <c r="L71" i="1"/>
  <c r="J71" i="1"/>
  <c r="AT71" i="1" s="1"/>
  <c r="I71" i="1"/>
  <c r="AS71" i="1" s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R70" i="1"/>
  <c r="AQ70" i="1"/>
  <c r="AP70" i="1"/>
  <c r="AN70" i="1"/>
  <c r="AM70" i="1"/>
  <c r="AK70" i="1"/>
  <c r="AJ70" i="1"/>
  <c r="AH70" i="1"/>
  <c r="AG70" i="1"/>
  <c r="AE70" i="1"/>
  <c r="AD70" i="1"/>
  <c r="AB70" i="1"/>
  <c r="AA70" i="1"/>
  <c r="Y70" i="1"/>
  <c r="X70" i="1"/>
  <c r="V70" i="1"/>
  <c r="U70" i="1"/>
  <c r="S70" i="1"/>
  <c r="R70" i="1"/>
  <c r="P70" i="1"/>
  <c r="O70" i="1"/>
  <c r="M70" i="1"/>
  <c r="L70" i="1"/>
  <c r="J70" i="1"/>
  <c r="AT70" i="1" s="1"/>
  <c r="I70" i="1"/>
  <c r="AS70" i="1" s="1"/>
  <c r="BG69" i="1"/>
  <c r="BD69" i="1"/>
  <c r="BA69" i="1"/>
  <c r="AX69" i="1"/>
  <c r="AU69" i="1"/>
  <c r="AR69" i="1"/>
  <c r="AQ69" i="1"/>
  <c r="AP69" i="1"/>
  <c r="AN69" i="1"/>
  <c r="AM69" i="1"/>
  <c r="AK69" i="1"/>
  <c r="BI69" i="1" s="1"/>
  <c r="AJ69" i="1"/>
  <c r="BH69" i="1" s="1"/>
  <c r="AH69" i="1"/>
  <c r="AG69" i="1"/>
  <c r="AE69" i="1"/>
  <c r="AD69" i="1"/>
  <c r="AB69" i="1"/>
  <c r="BF69" i="1" s="1"/>
  <c r="AA69" i="1"/>
  <c r="BE69" i="1" s="1"/>
  <c r="Y69" i="1"/>
  <c r="X69" i="1"/>
  <c r="V69" i="1"/>
  <c r="U69" i="1"/>
  <c r="S69" i="1"/>
  <c r="BC69" i="1" s="1"/>
  <c r="R69" i="1"/>
  <c r="BB69" i="1" s="1"/>
  <c r="P69" i="1"/>
  <c r="O69" i="1"/>
  <c r="M69" i="1"/>
  <c r="L69" i="1"/>
  <c r="J69" i="1"/>
  <c r="I69" i="1"/>
  <c r="BG68" i="1"/>
  <c r="BD68" i="1"/>
  <c r="BA68" i="1"/>
  <c r="AX68" i="1"/>
  <c r="AU68" i="1"/>
  <c r="AR68" i="1"/>
  <c r="AQ68" i="1"/>
  <c r="AP68" i="1"/>
  <c r="AN68" i="1"/>
  <c r="AM68" i="1"/>
  <c r="AK68" i="1"/>
  <c r="BI68" i="1" s="1"/>
  <c r="AJ68" i="1"/>
  <c r="BH68" i="1" s="1"/>
  <c r="AH68" i="1"/>
  <c r="AG68" i="1"/>
  <c r="AE68" i="1"/>
  <c r="AD68" i="1"/>
  <c r="AB68" i="1"/>
  <c r="BF68" i="1" s="1"/>
  <c r="AA68" i="1"/>
  <c r="BE68" i="1" s="1"/>
  <c r="Y68" i="1"/>
  <c r="X68" i="1"/>
  <c r="V68" i="1"/>
  <c r="U68" i="1"/>
  <c r="S68" i="1"/>
  <c r="BC68" i="1" s="1"/>
  <c r="R68" i="1"/>
  <c r="BB68" i="1" s="1"/>
  <c r="P68" i="1"/>
  <c r="O68" i="1"/>
  <c r="M68" i="1"/>
  <c r="L68" i="1"/>
  <c r="J68" i="1"/>
  <c r="I68" i="1"/>
  <c r="BG67" i="1"/>
  <c r="BD67" i="1"/>
  <c r="BA67" i="1"/>
  <c r="AX67" i="1"/>
  <c r="AU67" i="1"/>
  <c r="AR67" i="1"/>
  <c r="AQ67" i="1"/>
  <c r="AP67" i="1"/>
  <c r="AN67" i="1"/>
  <c r="AM67" i="1"/>
  <c r="AK67" i="1"/>
  <c r="BI67" i="1" s="1"/>
  <c r="AJ67" i="1"/>
  <c r="BH67" i="1" s="1"/>
  <c r="AH67" i="1"/>
  <c r="AG67" i="1"/>
  <c r="AE67" i="1"/>
  <c r="AD67" i="1"/>
  <c r="AB67" i="1"/>
  <c r="BF67" i="1" s="1"/>
  <c r="AA67" i="1"/>
  <c r="BE67" i="1" s="1"/>
  <c r="Y67" i="1"/>
  <c r="X67" i="1"/>
  <c r="V67" i="1"/>
  <c r="U67" i="1"/>
  <c r="S67" i="1"/>
  <c r="BC67" i="1" s="1"/>
  <c r="R67" i="1"/>
  <c r="BB67" i="1" s="1"/>
  <c r="P67" i="1"/>
  <c r="O67" i="1"/>
  <c r="M67" i="1"/>
  <c r="L67" i="1"/>
  <c r="J67" i="1"/>
  <c r="I67" i="1"/>
  <c r="BG66" i="1"/>
  <c r="BD66" i="1"/>
  <c r="BA66" i="1"/>
  <c r="AX66" i="1"/>
  <c r="AU66" i="1"/>
  <c r="AR66" i="1"/>
  <c r="AQ66" i="1"/>
  <c r="AP66" i="1"/>
  <c r="AN66" i="1"/>
  <c r="AM66" i="1"/>
  <c r="AK66" i="1"/>
  <c r="BI66" i="1" s="1"/>
  <c r="BI65" i="1" s="1"/>
  <c r="AJ66" i="1"/>
  <c r="BH66" i="1" s="1"/>
  <c r="BH65" i="1" s="1"/>
  <c r="AH66" i="1"/>
  <c r="AG66" i="1"/>
  <c r="AE66" i="1"/>
  <c r="AD66" i="1"/>
  <c r="AB66" i="1"/>
  <c r="BF66" i="1" s="1"/>
  <c r="BF65" i="1" s="1"/>
  <c r="AA66" i="1"/>
  <c r="BE66" i="1" s="1"/>
  <c r="BE65" i="1" s="1"/>
  <c r="Y66" i="1"/>
  <c r="X66" i="1"/>
  <c r="V66" i="1"/>
  <c r="U66" i="1"/>
  <c r="S66" i="1"/>
  <c r="BC66" i="1" s="1"/>
  <c r="BC65" i="1" s="1"/>
  <c r="R66" i="1"/>
  <c r="BB66" i="1" s="1"/>
  <c r="BB65" i="1" s="1"/>
  <c r="P66" i="1"/>
  <c r="O66" i="1"/>
  <c r="M66" i="1"/>
  <c r="L66" i="1"/>
  <c r="J66" i="1"/>
  <c r="I66" i="1"/>
  <c r="BG65" i="1"/>
  <c r="BD65" i="1"/>
  <c r="BA65" i="1"/>
  <c r="AX65" i="1"/>
  <c r="AU65" i="1"/>
  <c r="AR65" i="1"/>
  <c r="AQ65" i="1"/>
  <c r="AP65" i="1"/>
  <c r="AN65" i="1"/>
  <c r="AM65" i="1"/>
  <c r="AK65" i="1"/>
  <c r="AJ65" i="1"/>
  <c r="AH65" i="1"/>
  <c r="AG65" i="1"/>
  <c r="AE65" i="1"/>
  <c r="AD65" i="1"/>
  <c r="AB65" i="1"/>
  <c r="AA65" i="1"/>
  <c r="Y65" i="1"/>
  <c r="X65" i="1"/>
  <c r="V65" i="1"/>
  <c r="U65" i="1"/>
  <c r="S65" i="1"/>
  <c r="R65" i="1"/>
  <c r="P65" i="1"/>
  <c r="O65" i="1"/>
  <c r="M65" i="1"/>
  <c r="L65" i="1"/>
  <c r="J65" i="1"/>
  <c r="AT65" i="1" s="1"/>
  <c r="I65" i="1"/>
  <c r="AS65" i="1" s="1"/>
  <c r="BG64" i="1"/>
  <c r="BD64" i="1"/>
  <c r="BA64" i="1"/>
  <c r="AX64" i="1"/>
  <c r="AU64" i="1"/>
  <c r="AR64" i="1"/>
  <c r="AQ64" i="1"/>
  <c r="AP64" i="1"/>
  <c r="AN64" i="1"/>
  <c r="AM64" i="1"/>
  <c r="AK64" i="1"/>
  <c r="BI64" i="1" s="1"/>
  <c r="AJ64" i="1"/>
  <c r="BH64" i="1" s="1"/>
  <c r="AH64" i="1"/>
  <c r="AG64" i="1"/>
  <c r="AE64" i="1"/>
  <c r="AD64" i="1"/>
  <c r="AB64" i="1"/>
  <c r="BF64" i="1" s="1"/>
  <c r="AA64" i="1"/>
  <c r="BE64" i="1" s="1"/>
  <c r="Y64" i="1"/>
  <c r="X64" i="1"/>
  <c r="V64" i="1"/>
  <c r="U64" i="1"/>
  <c r="S64" i="1"/>
  <c r="BC64" i="1" s="1"/>
  <c r="R64" i="1"/>
  <c r="BB64" i="1" s="1"/>
  <c r="P64" i="1"/>
  <c r="O64" i="1"/>
  <c r="M64" i="1"/>
  <c r="L64" i="1"/>
  <c r="J64" i="1"/>
  <c r="I64" i="1"/>
  <c r="BG63" i="1"/>
  <c r="BD63" i="1"/>
  <c r="BA63" i="1"/>
  <c r="AX63" i="1"/>
  <c r="AU63" i="1"/>
  <c r="AR63" i="1"/>
  <c r="AQ63" i="1"/>
  <c r="AP63" i="1"/>
  <c r="AN63" i="1"/>
  <c r="AM63" i="1"/>
  <c r="AK63" i="1"/>
  <c r="BI63" i="1" s="1"/>
  <c r="AJ63" i="1"/>
  <c r="BH63" i="1" s="1"/>
  <c r="AH63" i="1"/>
  <c r="AG63" i="1"/>
  <c r="AE63" i="1"/>
  <c r="AD63" i="1"/>
  <c r="AB63" i="1"/>
  <c r="BF63" i="1" s="1"/>
  <c r="AA63" i="1"/>
  <c r="BE63" i="1" s="1"/>
  <c r="Y63" i="1"/>
  <c r="X63" i="1"/>
  <c r="V63" i="1"/>
  <c r="U63" i="1"/>
  <c r="S63" i="1"/>
  <c r="BC63" i="1" s="1"/>
  <c r="R63" i="1"/>
  <c r="BB63" i="1" s="1"/>
  <c r="P63" i="1"/>
  <c r="O63" i="1"/>
  <c r="M63" i="1"/>
  <c r="L63" i="1"/>
  <c r="J63" i="1"/>
  <c r="I63" i="1"/>
  <c r="BG62" i="1"/>
  <c r="BD62" i="1"/>
  <c r="BA62" i="1"/>
  <c r="AX62" i="1"/>
  <c r="AU62" i="1"/>
  <c r="AR62" i="1"/>
  <c r="AQ62" i="1"/>
  <c r="AP62" i="1"/>
  <c r="AN62" i="1"/>
  <c r="AM62" i="1"/>
  <c r="AK62" i="1"/>
  <c r="BI62" i="1" s="1"/>
  <c r="AJ62" i="1"/>
  <c r="BH62" i="1" s="1"/>
  <c r="AH62" i="1"/>
  <c r="AG62" i="1"/>
  <c r="AE62" i="1"/>
  <c r="AD62" i="1"/>
  <c r="AB62" i="1"/>
  <c r="BF62" i="1" s="1"/>
  <c r="AA62" i="1"/>
  <c r="BE62" i="1" s="1"/>
  <c r="Y62" i="1"/>
  <c r="X62" i="1"/>
  <c r="V62" i="1"/>
  <c r="U62" i="1"/>
  <c r="S62" i="1"/>
  <c r="BC62" i="1" s="1"/>
  <c r="R62" i="1"/>
  <c r="BB62" i="1" s="1"/>
  <c r="P62" i="1"/>
  <c r="O62" i="1"/>
  <c r="M62" i="1"/>
  <c r="L62" i="1"/>
  <c r="J62" i="1"/>
  <c r="I62" i="1"/>
  <c r="BG61" i="1"/>
  <c r="BD61" i="1"/>
  <c r="BA61" i="1"/>
  <c r="AX61" i="1"/>
  <c r="AU61" i="1"/>
  <c r="AR61" i="1"/>
  <c r="AQ61" i="1"/>
  <c r="AP61" i="1"/>
  <c r="AN61" i="1"/>
  <c r="AM61" i="1"/>
  <c r="AK61" i="1"/>
  <c r="BI61" i="1" s="1"/>
  <c r="BI60" i="1" s="1"/>
  <c r="AJ61" i="1"/>
  <c r="BH61" i="1" s="1"/>
  <c r="BH60" i="1" s="1"/>
  <c r="AH61" i="1"/>
  <c r="AG61" i="1"/>
  <c r="AE61" i="1"/>
  <c r="AD61" i="1"/>
  <c r="AB61" i="1"/>
  <c r="BF61" i="1" s="1"/>
  <c r="BF60" i="1" s="1"/>
  <c r="AA61" i="1"/>
  <c r="BE61" i="1" s="1"/>
  <c r="BE60" i="1" s="1"/>
  <c r="Y61" i="1"/>
  <c r="X61" i="1"/>
  <c r="V61" i="1"/>
  <c r="U61" i="1"/>
  <c r="S61" i="1"/>
  <c r="BC61" i="1" s="1"/>
  <c r="BC60" i="1" s="1"/>
  <c r="R61" i="1"/>
  <c r="BB61" i="1" s="1"/>
  <c r="BB60" i="1" s="1"/>
  <c r="P61" i="1"/>
  <c r="O61" i="1"/>
  <c r="M61" i="1"/>
  <c r="L61" i="1"/>
  <c r="J61" i="1"/>
  <c r="I61" i="1"/>
  <c r="BG60" i="1"/>
  <c r="BD60" i="1"/>
  <c r="BA60" i="1"/>
  <c r="AX60" i="1"/>
  <c r="AU60" i="1"/>
  <c r="AR60" i="1"/>
  <c r="AQ60" i="1"/>
  <c r="AP60" i="1"/>
  <c r="AN60" i="1"/>
  <c r="AM60" i="1"/>
  <c r="AK60" i="1"/>
  <c r="AJ60" i="1"/>
  <c r="AH60" i="1"/>
  <c r="AG60" i="1"/>
  <c r="AE60" i="1"/>
  <c r="AD60" i="1"/>
  <c r="AB60" i="1"/>
  <c r="AA60" i="1"/>
  <c r="Y60" i="1"/>
  <c r="X60" i="1"/>
  <c r="V60" i="1"/>
  <c r="U60" i="1"/>
  <c r="S60" i="1"/>
  <c r="R60" i="1"/>
  <c r="P60" i="1"/>
  <c r="O60" i="1"/>
  <c r="M60" i="1"/>
  <c r="L60" i="1"/>
  <c r="J60" i="1"/>
  <c r="AT60" i="1" s="1"/>
  <c r="I60" i="1"/>
  <c r="AS60" i="1" s="1"/>
  <c r="BG59" i="1"/>
  <c r="BD59" i="1"/>
  <c r="BA59" i="1"/>
  <c r="AX59" i="1"/>
  <c r="AU59" i="1"/>
  <c r="AR59" i="1"/>
  <c r="AQ59" i="1"/>
  <c r="AP59" i="1"/>
  <c r="AN59" i="1"/>
  <c r="AM59" i="1"/>
  <c r="AK59" i="1"/>
  <c r="BI59" i="1" s="1"/>
  <c r="AJ59" i="1"/>
  <c r="BH59" i="1" s="1"/>
  <c r="AH59" i="1"/>
  <c r="AG59" i="1"/>
  <c r="AE59" i="1"/>
  <c r="AD59" i="1"/>
  <c r="AB59" i="1"/>
  <c r="BF59" i="1" s="1"/>
  <c r="AA59" i="1"/>
  <c r="BE59" i="1" s="1"/>
  <c r="Y59" i="1"/>
  <c r="X59" i="1"/>
  <c r="V59" i="1"/>
  <c r="U59" i="1"/>
  <c r="S59" i="1"/>
  <c r="BC59" i="1" s="1"/>
  <c r="R59" i="1"/>
  <c r="BB59" i="1" s="1"/>
  <c r="P59" i="1"/>
  <c r="O59" i="1"/>
  <c r="M59" i="1"/>
  <c r="L59" i="1"/>
  <c r="J59" i="1"/>
  <c r="I59" i="1"/>
  <c r="BG58" i="1"/>
  <c r="BD58" i="1"/>
  <c r="BA58" i="1"/>
  <c r="AX58" i="1"/>
  <c r="AX57" i="1" s="1"/>
  <c r="AX56" i="1" s="1"/>
  <c r="AU58" i="1"/>
  <c r="AU57" i="1" s="1"/>
  <c r="AU56" i="1" s="1"/>
  <c r="AR58" i="1"/>
  <c r="AQ58" i="1"/>
  <c r="AQ57" i="1" s="1"/>
  <c r="AQ56" i="1" s="1"/>
  <c r="AP58" i="1"/>
  <c r="AP57" i="1" s="1"/>
  <c r="AP56" i="1" s="1"/>
  <c r="AN58" i="1"/>
  <c r="AN57" i="1" s="1"/>
  <c r="AN56" i="1" s="1"/>
  <c r="AM58" i="1"/>
  <c r="AM57" i="1" s="1"/>
  <c r="AM56" i="1" s="1"/>
  <c r="AK58" i="1"/>
  <c r="AJ58" i="1"/>
  <c r="AH58" i="1"/>
  <c r="AH57" i="1" s="1"/>
  <c r="AH56" i="1" s="1"/>
  <c r="AG58" i="1"/>
  <c r="AG57" i="1" s="1"/>
  <c r="AG56" i="1" s="1"/>
  <c r="AE58" i="1"/>
  <c r="AE57" i="1" s="1"/>
  <c r="AE56" i="1" s="1"/>
  <c r="AD58" i="1"/>
  <c r="AD57" i="1" s="1"/>
  <c r="AD56" i="1" s="1"/>
  <c r="AB58" i="1"/>
  <c r="AA58" i="1"/>
  <c r="Y58" i="1"/>
  <c r="Y57" i="1" s="1"/>
  <c r="Y56" i="1" s="1"/>
  <c r="X58" i="1"/>
  <c r="X57" i="1" s="1"/>
  <c r="X56" i="1" s="1"/>
  <c r="V58" i="1"/>
  <c r="V57" i="1" s="1"/>
  <c r="V56" i="1" s="1"/>
  <c r="U58" i="1"/>
  <c r="U57" i="1" s="1"/>
  <c r="U56" i="1" s="1"/>
  <c r="S58" i="1"/>
  <c r="R58" i="1"/>
  <c r="P58" i="1"/>
  <c r="P57" i="1" s="1"/>
  <c r="P56" i="1" s="1"/>
  <c r="O58" i="1"/>
  <c r="O57" i="1" s="1"/>
  <c r="O56" i="1" s="1"/>
  <c r="M58" i="1"/>
  <c r="M57" i="1" s="1"/>
  <c r="M56" i="1" s="1"/>
  <c r="L58" i="1"/>
  <c r="L57" i="1" s="1"/>
  <c r="L56" i="1" s="1"/>
  <c r="J58" i="1"/>
  <c r="I58" i="1"/>
  <c r="BG57" i="1"/>
  <c r="BG56" i="1" s="1"/>
  <c r="BD57" i="1"/>
  <c r="BD56" i="1" s="1"/>
  <c r="BA57" i="1"/>
  <c r="BA56" i="1" s="1"/>
  <c r="BG52" i="1"/>
  <c r="BD52" i="1"/>
  <c r="BA52" i="1"/>
  <c r="AX52" i="1"/>
  <c r="AU52" i="1"/>
  <c r="AQ52" i="1"/>
  <c r="AP52" i="1"/>
  <c r="AN52" i="1"/>
  <c r="AM52" i="1"/>
  <c r="AK52" i="1"/>
  <c r="BI52" i="1" s="1"/>
  <c r="AJ52" i="1"/>
  <c r="BH52" i="1" s="1"/>
  <c r="AH52" i="1"/>
  <c r="AG52" i="1"/>
  <c r="AE52" i="1"/>
  <c r="AD52" i="1"/>
  <c r="AB52" i="1"/>
  <c r="BF52" i="1" s="1"/>
  <c r="AA52" i="1"/>
  <c r="BE52" i="1" s="1"/>
  <c r="Y52" i="1"/>
  <c r="X52" i="1"/>
  <c r="V52" i="1"/>
  <c r="U52" i="1"/>
  <c r="S52" i="1"/>
  <c r="BC52" i="1" s="1"/>
  <c r="R52" i="1"/>
  <c r="BB52" i="1" s="1"/>
  <c r="P52" i="1"/>
  <c r="O52" i="1"/>
  <c r="M52" i="1"/>
  <c r="L52" i="1"/>
  <c r="J52" i="1"/>
  <c r="I52" i="1"/>
  <c r="BG51" i="1"/>
  <c r="BD51" i="1"/>
  <c r="BA51" i="1"/>
  <c r="AX51" i="1"/>
  <c r="AU51" i="1"/>
  <c r="AQ51" i="1"/>
  <c r="AP51" i="1"/>
  <c r="AN51" i="1"/>
  <c r="AM51" i="1"/>
  <c r="AK51" i="1"/>
  <c r="BI51" i="1" s="1"/>
  <c r="AJ51" i="1"/>
  <c r="BH51" i="1" s="1"/>
  <c r="AH51" i="1"/>
  <c r="AG51" i="1"/>
  <c r="AE51" i="1"/>
  <c r="AD51" i="1"/>
  <c r="AB51" i="1"/>
  <c r="BF51" i="1" s="1"/>
  <c r="AA51" i="1"/>
  <c r="BE51" i="1" s="1"/>
  <c r="Y51" i="1"/>
  <c r="X51" i="1"/>
  <c r="V51" i="1"/>
  <c r="U51" i="1"/>
  <c r="S51" i="1"/>
  <c r="BC51" i="1" s="1"/>
  <c r="R51" i="1"/>
  <c r="BB51" i="1" s="1"/>
  <c r="P51" i="1"/>
  <c r="O51" i="1"/>
  <c r="M51" i="1"/>
  <c r="L51" i="1"/>
  <c r="J51" i="1"/>
  <c r="I51" i="1"/>
  <c r="BG50" i="1"/>
  <c r="BD50" i="1"/>
  <c r="BA50" i="1"/>
  <c r="AX50" i="1"/>
  <c r="AU50" i="1"/>
  <c r="AQ50" i="1"/>
  <c r="AP50" i="1"/>
  <c r="AN50" i="1"/>
  <c r="AM50" i="1"/>
  <c r="AK50" i="1"/>
  <c r="BI50" i="1" s="1"/>
  <c r="BI49" i="1" s="1"/>
  <c r="AJ50" i="1"/>
  <c r="BH50" i="1" s="1"/>
  <c r="BH49" i="1" s="1"/>
  <c r="AH50" i="1"/>
  <c r="AG50" i="1"/>
  <c r="AE50" i="1"/>
  <c r="AD50" i="1"/>
  <c r="AB50" i="1"/>
  <c r="BF50" i="1" s="1"/>
  <c r="BF49" i="1" s="1"/>
  <c r="AA50" i="1"/>
  <c r="BE50" i="1" s="1"/>
  <c r="BE49" i="1" s="1"/>
  <c r="Y50" i="1"/>
  <c r="X50" i="1"/>
  <c r="V50" i="1"/>
  <c r="U50" i="1"/>
  <c r="S50" i="1"/>
  <c r="BC50" i="1" s="1"/>
  <c r="BC49" i="1" s="1"/>
  <c r="R50" i="1"/>
  <c r="BB50" i="1" s="1"/>
  <c r="BB49" i="1" s="1"/>
  <c r="P50" i="1"/>
  <c r="O50" i="1"/>
  <c r="M50" i="1"/>
  <c r="L50" i="1"/>
  <c r="J50" i="1"/>
  <c r="I50" i="1"/>
  <c r="BG49" i="1"/>
  <c r="BD49" i="1"/>
  <c r="BA49" i="1"/>
  <c r="AX49" i="1"/>
  <c r="AU49" i="1"/>
  <c r="AQ49" i="1"/>
  <c r="AP49" i="1"/>
  <c r="AN49" i="1"/>
  <c r="AM49" i="1"/>
  <c r="AK49" i="1"/>
  <c r="AJ49" i="1"/>
  <c r="AH49" i="1"/>
  <c r="AG49" i="1"/>
  <c r="AE49" i="1"/>
  <c r="AD49" i="1"/>
  <c r="AB49" i="1"/>
  <c r="AA49" i="1"/>
  <c r="Y49" i="1"/>
  <c r="X49" i="1"/>
  <c r="V49" i="1"/>
  <c r="U49" i="1"/>
  <c r="S49" i="1"/>
  <c r="R49" i="1"/>
  <c r="P49" i="1"/>
  <c r="O49" i="1"/>
  <c r="M49" i="1"/>
  <c r="L49" i="1"/>
  <c r="J49" i="1"/>
  <c r="I49" i="1"/>
  <c r="AS49" i="1" s="1"/>
  <c r="BG48" i="1"/>
  <c r="BD48" i="1"/>
  <c r="BA48" i="1"/>
  <c r="AX48" i="1"/>
  <c r="AU48" i="1"/>
  <c r="AQ48" i="1"/>
  <c r="AP48" i="1"/>
  <c r="AN48" i="1"/>
  <c r="AM48" i="1"/>
  <c r="AK48" i="1"/>
  <c r="BI48" i="1" s="1"/>
  <c r="AJ48" i="1"/>
  <c r="BH48" i="1" s="1"/>
  <c r="AH48" i="1"/>
  <c r="AG48" i="1"/>
  <c r="AE48" i="1"/>
  <c r="AD48" i="1"/>
  <c r="AB48" i="1"/>
  <c r="BF48" i="1" s="1"/>
  <c r="AA48" i="1"/>
  <c r="BE48" i="1" s="1"/>
  <c r="Y48" i="1"/>
  <c r="X48" i="1"/>
  <c r="V48" i="1"/>
  <c r="U48" i="1"/>
  <c r="S48" i="1"/>
  <c r="BC48" i="1" s="1"/>
  <c r="R48" i="1"/>
  <c r="BB48" i="1" s="1"/>
  <c r="P48" i="1"/>
  <c r="O48" i="1"/>
  <c r="M48" i="1"/>
  <c r="L48" i="1"/>
  <c r="J48" i="1"/>
  <c r="I48" i="1"/>
  <c r="BG47" i="1"/>
  <c r="BD47" i="1"/>
  <c r="BA47" i="1"/>
  <c r="AX47" i="1"/>
  <c r="AU47" i="1"/>
  <c r="AQ47" i="1"/>
  <c r="AP47" i="1"/>
  <c r="AN47" i="1"/>
  <c r="AM47" i="1"/>
  <c r="AK47" i="1"/>
  <c r="BI47" i="1" s="1"/>
  <c r="AJ47" i="1"/>
  <c r="BH47" i="1" s="1"/>
  <c r="AH47" i="1"/>
  <c r="AG47" i="1"/>
  <c r="AE47" i="1"/>
  <c r="AD47" i="1"/>
  <c r="AB47" i="1"/>
  <c r="BF47" i="1" s="1"/>
  <c r="AA47" i="1"/>
  <c r="BE47" i="1" s="1"/>
  <c r="Y47" i="1"/>
  <c r="X47" i="1"/>
  <c r="V47" i="1"/>
  <c r="U47" i="1"/>
  <c r="S47" i="1"/>
  <c r="BC47" i="1" s="1"/>
  <c r="R47" i="1"/>
  <c r="BB47" i="1" s="1"/>
  <c r="P47" i="1"/>
  <c r="O47" i="1"/>
  <c r="M47" i="1"/>
  <c r="L47" i="1"/>
  <c r="J47" i="1"/>
  <c r="I47" i="1"/>
  <c r="BH46" i="1"/>
  <c r="BG46" i="1"/>
  <c r="BE46" i="1"/>
  <c r="BD46" i="1"/>
  <c r="BB46" i="1"/>
  <c r="BA46" i="1"/>
  <c r="AY46" i="1"/>
  <c r="AX46" i="1"/>
  <c r="AV46" i="1"/>
  <c r="AU46" i="1"/>
  <c r="AQ46" i="1"/>
  <c r="AN46" i="1"/>
  <c r="AK46" i="1"/>
  <c r="BI46" i="1" s="1"/>
  <c r="AH46" i="1"/>
  <c r="AE46" i="1"/>
  <c r="AB46" i="1"/>
  <c r="BF46" i="1" s="1"/>
  <c r="Y46" i="1"/>
  <c r="V46" i="1"/>
  <c r="S46" i="1"/>
  <c r="BC46" i="1" s="1"/>
  <c r="P46" i="1"/>
  <c r="M46" i="1"/>
  <c r="J46" i="1"/>
  <c r="BG45" i="1"/>
  <c r="BD45" i="1"/>
  <c r="BA45" i="1"/>
  <c r="AX45" i="1"/>
  <c r="AU45" i="1"/>
  <c r="AQ45" i="1"/>
  <c r="AP45" i="1"/>
  <c r="AN45" i="1"/>
  <c r="AM45" i="1"/>
  <c r="AK45" i="1"/>
  <c r="BI45" i="1" s="1"/>
  <c r="AJ45" i="1"/>
  <c r="BH45" i="1" s="1"/>
  <c r="AH45" i="1"/>
  <c r="AG45" i="1"/>
  <c r="AE45" i="1"/>
  <c r="AD45" i="1"/>
  <c r="AB45" i="1"/>
  <c r="BF45" i="1" s="1"/>
  <c r="AA45" i="1"/>
  <c r="BE45" i="1" s="1"/>
  <c r="Y45" i="1"/>
  <c r="X45" i="1"/>
  <c r="V45" i="1"/>
  <c r="U45" i="1"/>
  <c r="S45" i="1"/>
  <c r="BC45" i="1" s="1"/>
  <c r="R45" i="1"/>
  <c r="BB45" i="1" s="1"/>
  <c r="P45" i="1"/>
  <c r="O45" i="1"/>
  <c r="M45" i="1"/>
  <c r="L45" i="1"/>
  <c r="J45" i="1"/>
  <c r="I45" i="1"/>
  <c r="BG44" i="1"/>
  <c r="BD44" i="1"/>
  <c r="BA44" i="1"/>
  <c r="AX44" i="1"/>
  <c r="AU44" i="1"/>
  <c r="AQ44" i="1"/>
  <c r="AP44" i="1"/>
  <c r="AN44" i="1"/>
  <c r="AM44" i="1"/>
  <c r="AK44" i="1"/>
  <c r="BI44" i="1" s="1"/>
  <c r="BI43" i="1" s="1"/>
  <c r="BI42" i="1" s="1"/>
  <c r="AJ44" i="1"/>
  <c r="BH44" i="1" s="1"/>
  <c r="BH43" i="1" s="1"/>
  <c r="BH42" i="1" s="1"/>
  <c r="AH44" i="1"/>
  <c r="AG44" i="1"/>
  <c r="AE44" i="1"/>
  <c r="AD44" i="1"/>
  <c r="AB44" i="1"/>
  <c r="BF44" i="1" s="1"/>
  <c r="BF43" i="1" s="1"/>
  <c r="BF42" i="1" s="1"/>
  <c r="AA44" i="1"/>
  <c r="BE44" i="1" s="1"/>
  <c r="BE43" i="1" s="1"/>
  <c r="BE42" i="1" s="1"/>
  <c r="Y44" i="1"/>
  <c r="X44" i="1"/>
  <c r="V44" i="1"/>
  <c r="U44" i="1"/>
  <c r="S44" i="1"/>
  <c r="BC44" i="1" s="1"/>
  <c r="BC43" i="1" s="1"/>
  <c r="BC42" i="1" s="1"/>
  <c r="R44" i="1"/>
  <c r="BB44" i="1" s="1"/>
  <c r="BB43" i="1" s="1"/>
  <c r="BB42" i="1" s="1"/>
  <c r="P44" i="1"/>
  <c r="O44" i="1"/>
  <c r="M44" i="1"/>
  <c r="L44" i="1"/>
  <c r="J44" i="1"/>
  <c r="I44" i="1"/>
  <c r="BG43" i="1"/>
  <c r="BD43" i="1"/>
  <c r="BA43" i="1"/>
  <c r="AX43" i="1"/>
  <c r="AU43" i="1"/>
  <c r="AQ43" i="1"/>
  <c r="AP43" i="1"/>
  <c r="AN43" i="1"/>
  <c r="AM43" i="1"/>
  <c r="AK43" i="1"/>
  <c r="AJ43" i="1"/>
  <c r="AH43" i="1"/>
  <c r="AG43" i="1"/>
  <c r="AE43" i="1"/>
  <c r="AD43" i="1"/>
  <c r="AB43" i="1"/>
  <c r="AA43" i="1"/>
  <c r="Y43" i="1"/>
  <c r="X43" i="1"/>
  <c r="V43" i="1"/>
  <c r="U43" i="1"/>
  <c r="S43" i="1"/>
  <c r="R43" i="1"/>
  <c r="P43" i="1"/>
  <c r="O43" i="1"/>
  <c r="M43" i="1"/>
  <c r="L43" i="1"/>
  <c r="J43" i="1"/>
  <c r="I43" i="1"/>
  <c r="AS43" i="1" s="1"/>
  <c r="AS42" i="1" s="1"/>
  <c r="BG42" i="1"/>
  <c r="BD42" i="1"/>
  <c r="BA42" i="1"/>
  <c r="AX42" i="1"/>
  <c r="AU42" i="1"/>
  <c r="AQ42" i="1"/>
  <c r="AP42" i="1"/>
  <c r="AN42" i="1"/>
  <c r="AM42" i="1"/>
  <c r="AK42" i="1"/>
  <c r="AJ42" i="1"/>
  <c r="AH42" i="1"/>
  <c r="AG42" i="1"/>
  <c r="AE42" i="1"/>
  <c r="AD42" i="1"/>
  <c r="AB42" i="1"/>
  <c r="AA42" i="1"/>
  <c r="Y42" i="1"/>
  <c r="X42" i="1"/>
  <c r="V42" i="1"/>
  <c r="U42" i="1"/>
  <c r="S42" i="1"/>
  <c r="R42" i="1"/>
  <c r="P42" i="1"/>
  <c r="O42" i="1"/>
  <c r="M42" i="1"/>
  <c r="L42" i="1"/>
  <c r="J42" i="1"/>
  <c r="I42" i="1"/>
  <c r="BI38" i="1"/>
  <c r="BG38" i="1"/>
  <c r="BF38" i="1"/>
  <c r="BD38" i="1"/>
  <c r="BC38" i="1"/>
  <c r="BA38" i="1"/>
  <c r="AZ38" i="1"/>
  <c r="AX38" i="1"/>
  <c r="AW38" i="1"/>
  <c r="AU38" i="1"/>
  <c r="AP38" i="1"/>
  <c r="AM38" i="1"/>
  <c r="AJ38" i="1"/>
  <c r="BH38" i="1" s="1"/>
  <c r="AG38" i="1"/>
  <c r="AD38" i="1"/>
  <c r="AA38" i="1"/>
  <c r="BE38" i="1" s="1"/>
  <c r="X38" i="1"/>
  <c r="U38" i="1"/>
  <c r="R38" i="1"/>
  <c r="BB38" i="1" s="1"/>
  <c r="O38" i="1"/>
  <c r="L38" i="1"/>
  <c r="I38" i="1"/>
  <c r="BG37" i="1"/>
  <c r="BD37" i="1"/>
  <c r="BA37" i="1"/>
  <c r="AX37" i="1"/>
  <c r="AU37" i="1"/>
  <c r="AQ37" i="1"/>
  <c r="AP37" i="1"/>
  <c r="AN37" i="1"/>
  <c r="AM37" i="1"/>
  <c r="AK37" i="1"/>
  <c r="BI37" i="1" s="1"/>
  <c r="AJ37" i="1"/>
  <c r="BH37" i="1" s="1"/>
  <c r="AH37" i="1"/>
  <c r="AG37" i="1"/>
  <c r="AE37" i="1"/>
  <c r="AD37" i="1"/>
  <c r="AB37" i="1"/>
  <c r="BF37" i="1" s="1"/>
  <c r="AA37" i="1"/>
  <c r="BE37" i="1" s="1"/>
  <c r="Y37" i="1"/>
  <c r="X37" i="1"/>
  <c r="V37" i="1"/>
  <c r="U37" i="1"/>
  <c r="S37" i="1"/>
  <c r="BC37" i="1" s="1"/>
  <c r="R37" i="1"/>
  <c r="BB37" i="1" s="1"/>
  <c r="P37" i="1"/>
  <c r="O37" i="1"/>
  <c r="M37" i="1"/>
  <c r="L37" i="1"/>
  <c r="J37" i="1"/>
  <c r="I37" i="1"/>
  <c r="BG36" i="1"/>
  <c r="BD36" i="1"/>
  <c r="BA36" i="1"/>
  <c r="AX36" i="1"/>
  <c r="AU36" i="1"/>
  <c r="AP36" i="1"/>
  <c r="AM36" i="1"/>
  <c r="AJ36" i="1"/>
  <c r="BH36" i="1" s="1"/>
  <c r="AG36" i="1"/>
  <c r="AD36" i="1"/>
  <c r="AA36" i="1"/>
  <c r="BE36" i="1" s="1"/>
  <c r="X36" i="1"/>
  <c r="U36" i="1"/>
  <c r="R36" i="1"/>
  <c r="BB36" i="1" s="1"/>
  <c r="O36" i="1"/>
  <c r="L36" i="1"/>
  <c r="I36" i="1"/>
  <c r="BG35" i="1"/>
  <c r="BD35" i="1"/>
  <c r="BA35" i="1"/>
  <c r="AX35" i="1"/>
  <c r="AU35" i="1"/>
  <c r="AP35" i="1"/>
  <c r="AM35" i="1"/>
  <c r="AJ35" i="1"/>
  <c r="BH35" i="1" s="1"/>
  <c r="BH34" i="1" s="1"/>
  <c r="AG35" i="1"/>
  <c r="AD35" i="1"/>
  <c r="AA35" i="1"/>
  <c r="BE35" i="1" s="1"/>
  <c r="BE34" i="1" s="1"/>
  <c r="X35" i="1"/>
  <c r="U35" i="1"/>
  <c r="R35" i="1"/>
  <c r="BB35" i="1" s="1"/>
  <c r="BB34" i="1" s="1"/>
  <c r="O35" i="1"/>
  <c r="L35" i="1"/>
  <c r="I35" i="1"/>
  <c r="BG34" i="1"/>
  <c r="BD34" i="1"/>
  <c r="BA34" i="1"/>
  <c r="AX34" i="1"/>
  <c r="AU34" i="1"/>
  <c r="AP34" i="1"/>
  <c r="AM34" i="1"/>
  <c r="AJ34" i="1"/>
  <c r="AG34" i="1"/>
  <c r="AD34" i="1"/>
  <c r="AA34" i="1"/>
  <c r="X34" i="1"/>
  <c r="U34" i="1"/>
  <c r="R34" i="1"/>
  <c r="O34" i="1"/>
  <c r="L34" i="1"/>
  <c r="I34" i="1"/>
  <c r="BG30" i="1"/>
  <c r="BD30" i="1"/>
  <c r="BA30" i="1"/>
  <c r="AX30" i="1"/>
  <c r="AU30" i="1"/>
  <c r="AP30" i="1"/>
  <c r="AM30" i="1"/>
  <c r="AJ30" i="1"/>
  <c r="BH30" i="1" s="1"/>
  <c r="AG30" i="1"/>
  <c r="AD30" i="1"/>
  <c r="AA30" i="1"/>
  <c r="BE30" i="1" s="1"/>
  <c r="X30" i="1"/>
  <c r="U30" i="1"/>
  <c r="R30" i="1"/>
  <c r="BB30" i="1" s="1"/>
  <c r="O30" i="1"/>
  <c r="L30" i="1"/>
  <c r="I30" i="1"/>
  <c r="BG29" i="1"/>
  <c r="BD29" i="1"/>
  <c r="BA29" i="1"/>
  <c r="AX29" i="1"/>
  <c r="AU29" i="1"/>
  <c r="AP29" i="1"/>
  <c r="AM29" i="1"/>
  <c r="AJ29" i="1"/>
  <c r="BH29" i="1" s="1"/>
  <c r="AG29" i="1"/>
  <c r="AD29" i="1"/>
  <c r="AA29" i="1"/>
  <c r="BE29" i="1" s="1"/>
  <c r="X29" i="1"/>
  <c r="U29" i="1"/>
  <c r="R29" i="1"/>
  <c r="BB29" i="1" s="1"/>
  <c r="O29" i="1"/>
  <c r="L29" i="1"/>
  <c r="I29" i="1"/>
  <c r="BG28" i="1"/>
  <c r="BD28" i="1"/>
  <c r="BA28" i="1"/>
  <c r="AX28" i="1"/>
  <c r="AU28" i="1"/>
  <c r="AR28" i="1"/>
  <c r="AP28" i="1"/>
  <c r="AM28" i="1"/>
  <c r="AJ28" i="1"/>
  <c r="BH28" i="1" s="1"/>
  <c r="BH27" i="1" s="1"/>
  <c r="AG28" i="1"/>
  <c r="AD28" i="1"/>
  <c r="AA28" i="1"/>
  <c r="BE28" i="1" s="1"/>
  <c r="BE27" i="1" s="1"/>
  <c r="X28" i="1"/>
  <c r="U28" i="1"/>
  <c r="R28" i="1"/>
  <c r="BB28" i="1" s="1"/>
  <c r="BB27" i="1" s="1"/>
  <c r="O28" i="1"/>
  <c r="L28" i="1"/>
  <c r="I28" i="1"/>
  <c r="BG27" i="1"/>
  <c r="BG32" i="1" s="1"/>
  <c r="BD27" i="1"/>
  <c r="BD32" i="1" s="1"/>
  <c r="BA27" i="1"/>
  <c r="BA32" i="1" s="1"/>
  <c r="AX27" i="1"/>
  <c r="AX32" i="1" s="1"/>
  <c r="AU27" i="1"/>
  <c r="AU32" i="1" s="1"/>
  <c r="AP27" i="1"/>
  <c r="AP32" i="1" s="1"/>
  <c r="AM27" i="1"/>
  <c r="AM32" i="1" s="1"/>
  <c r="AJ27" i="1"/>
  <c r="AJ32" i="1" s="1"/>
  <c r="AG27" i="1"/>
  <c r="AG32" i="1" s="1"/>
  <c r="AD27" i="1"/>
  <c r="AD32" i="1" s="1"/>
  <c r="AA27" i="1"/>
  <c r="AA32" i="1" s="1"/>
  <c r="X27" i="1"/>
  <c r="X32" i="1" s="1"/>
  <c r="U27" i="1"/>
  <c r="U32" i="1" s="1"/>
  <c r="R27" i="1"/>
  <c r="R32" i="1" s="1"/>
  <c r="O27" i="1"/>
  <c r="O32" i="1" s="1"/>
  <c r="L27" i="1"/>
  <c r="L32" i="1" s="1"/>
  <c r="I27" i="1"/>
  <c r="I32" i="1" s="1"/>
  <c r="BG25" i="1"/>
  <c r="BD25" i="1"/>
  <c r="BA25" i="1"/>
  <c r="AX25" i="1"/>
  <c r="AU25" i="1"/>
  <c r="AQ25" i="1"/>
  <c r="AP25" i="1"/>
  <c r="AN25" i="1"/>
  <c r="AM25" i="1"/>
  <c r="AK25" i="1"/>
  <c r="AJ25" i="1"/>
  <c r="AH25" i="1"/>
  <c r="AG25" i="1"/>
  <c r="AE25" i="1"/>
  <c r="AD25" i="1"/>
  <c r="AB25" i="1"/>
  <c r="AA25" i="1"/>
  <c r="BG24" i="1"/>
  <c r="BD24" i="1"/>
  <c r="BA24" i="1"/>
  <c r="AX24" i="1"/>
  <c r="AU24" i="1"/>
  <c r="AQ24" i="1"/>
  <c r="AP24" i="1"/>
  <c r="AN24" i="1"/>
  <c r="AM24" i="1"/>
  <c r="AK24" i="1"/>
  <c r="BI24" i="1" s="1"/>
  <c r="AJ24" i="1"/>
  <c r="BH24" i="1" s="1"/>
  <c r="AH24" i="1"/>
  <c r="AG24" i="1"/>
  <c r="AE24" i="1"/>
  <c r="AD24" i="1"/>
  <c r="AB24" i="1"/>
  <c r="BF24" i="1" s="1"/>
  <c r="AA24" i="1"/>
  <c r="BE24" i="1" s="1"/>
  <c r="Y24" i="1"/>
  <c r="X24" i="1"/>
  <c r="V24" i="1"/>
  <c r="U24" i="1"/>
  <c r="S24" i="1"/>
  <c r="BC24" i="1" s="1"/>
  <c r="R24" i="1"/>
  <c r="BB24" i="1" s="1"/>
  <c r="P24" i="1"/>
  <c r="O24" i="1"/>
  <c r="M24" i="1"/>
  <c r="L24" i="1"/>
  <c r="J24" i="1"/>
  <c r="I24" i="1"/>
  <c r="BG23" i="1"/>
  <c r="BD23" i="1"/>
  <c r="BA23" i="1"/>
  <c r="AX23" i="1"/>
  <c r="AU23" i="1"/>
  <c r="AQ23" i="1"/>
  <c r="AP23" i="1"/>
  <c r="AN23" i="1"/>
  <c r="AM23" i="1"/>
  <c r="AK23" i="1"/>
  <c r="BI23" i="1" s="1"/>
  <c r="AJ23" i="1"/>
  <c r="BH23" i="1" s="1"/>
  <c r="AH23" i="1"/>
  <c r="AG23" i="1"/>
  <c r="AE23" i="1"/>
  <c r="AD23" i="1"/>
  <c r="AB23" i="1"/>
  <c r="BF23" i="1" s="1"/>
  <c r="AA23" i="1"/>
  <c r="BE23" i="1" s="1"/>
  <c r="Y23" i="1"/>
  <c r="X23" i="1"/>
  <c r="V23" i="1"/>
  <c r="U23" i="1"/>
  <c r="S23" i="1"/>
  <c r="BC23" i="1" s="1"/>
  <c r="R23" i="1"/>
  <c r="BB23" i="1" s="1"/>
  <c r="P23" i="1"/>
  <c r="O23" i="1"/>
  <c r="M23" i="1"/>
  <c r="L23" i="1"/>
  <c r="J23" i="1"/>
  <c r="I23" i="1"/>
  <c r="BG22" i="1"/>
  <c r="BD22" i="1"/>
  <c r="BA22" i="1"/>
  <c r="AX22" i="1"/>
  <c r="AU22" i="1"/>
  <c r="AQ22" i="1"/>
  <c r="AP22" i="1"/>
  <c r="AN22" i="1"/>
  <c r="AM22" i="1"/>
  <c r="AK22" i="1"/>
  <c r="BI22" i="1" s="1"/>
  <c r="BI21" i="1" s="1"/>
  <c r="AJ22" i="1"/>
  <c r="BH22" i="1" s="1"/>
  <c r="BH21" i="1" s="1"/>
  <c r="AH22" i="1"/>
  <c r="AG22" i="1"/>
  <c r="AE22" i="1"/>
  <c r="AD22" i="1"/>
  <c r="AB22" i="1"/>
  <c r="BF22" i="1" s="1"/>
  <c r="BF21" i="1" s="1"/>
  <c r="AA22" i="1"/>
  <c r="BE22" i="1" s="1"/>
  <c r="BE21" i="1" s="1"/>
  <c r="Y22" i="1"/>
  <c r="X22" i="1"/>
  <c r="V22" i="1"/>
  <c r="U22" i="1"/>
  <c r="S22" i="1"/>
  <c r="BC22" i="1" s="1"/>
  <c r="BC21" i="1" s="1"/>
  <c r="R22" i="1"/>
  <c r="BB22" i="1" s="1"/>
  <c r="BB21" i="1" s="1"/>
  <c r="P22" i="1"/>
  <c r="O22" i="1"/>
  <c r="M22" i="1"/>
  <c r="L22" i="1"/>
  <c r="J22" i="1"/>
  <c r="I22" i="1"/>
  <c r="BG21" i="1"/>
  <c r="BD21" i="1"/>
  <c r="BA21" i="1"/>
  <c r="AX21" i="1"/>
  <c r="AU21" i="1"/>
  <c r="AQ21" i="1"/>
  <c r="AP21" i="1"/>
  <c r="AN21" i="1"/>
  <c r="AM21" i="1"/>
  <c r="AK21" i="1"/>
  <c r="AJ21" i="1"/>
  <c r="AH21" i="1"/>
  <c r="AG21" i="1"/>
  <c r="AE21" i="1"/>
  <c r="AD21" i="1"/>
  <c r="AB21" i="1"/>
  <c r="AA21" i="1"/>
  <c r="Y21" i="1"/>
  <c r="Y25" i="1" s="1"/>
  <c r="X21" i="1"/>
  <c r="X25" i="1" s="1"/>
  <c r="V21" i="1"/>
  <c r="V25" i="1" s="1"/>
  <c r="U21" i="1"/>
  <c r="U25" i="1" s="1"/>
  <c r="S21" i="1"/>
  <c r="S25" i="1" s="1"/>
  <c r="R21" i="1"/>
  <c r="R25" i="1" s="1"/>
  <c r="P21" i="1"/>
  <c r="P25" i="1" s="1"/>
  <c r="O21" i="1"/>
  <c r="O25" i="1" s="1"/>
  <c r="M21" i="1"/>
  <c r="M25" i="1" s="1"/>
  <c r="L21" i="1"/>
  <c r="L25" i="1" s="1"/>
  <c r="J21" i="1"/>
  <c r="J25" i="1" s="1"/>
  <c r="I21" i="1"/>
  <c r="I25" i="1" s="1"/>
  <c r="BG19" i="1"/>
  <c r="BD19" i="1"/>
  <c r="BA19" i="1"/>
  <c r="AX19" i="1"/>
  <c r="AU19" i="1"/>
  <c r="AQ19" i="1"/>
  <c r="R16" i="3" s="1"/>
  <c r="AP19" i="1"/>
  <c r="AN19" i="1"/>
  <c r="Q16" i="3" s="1"/>
  <c r="AM19" i="1"/>
  <c r="AK19" i="1"/>
  <c r="AJ19" i="1"/>
  <c r="BH19" i="1" s="1"/>
  <c r="AH19" i="1"/>
  <c r="N16" i="3" s="1"/>
  <c r="AG19" i="1"/>
  <c r="AE19" i="1"/>
  <c r="M16" i="3" s="1"/>
  <c r="AD19" i="1"/>
  <c r="AB19" i="1"/>
  <c r="AA19" i="1"/>
  <c r="BE19" i="1" s="1"/>
  <c r="Y19" i="1"/>
  <c r="J16" i="3" s="1"/>
  <c r="X19" i="1"/>
  <c r="V19" i="1"/>
  <c r="I16" i="3" s="1"/>
  <c r="U19" i="1"/>
  <c r="S19" i="1"/>
  <c r="R19" i="1"/>
  <c r="BB19" i="1" s="1"/>
  <c r="P19" i="1"/>
  <c r="F16" i="3" s="1"/>
  <c r="O19" i="1"/>
  <c r="M19" i="1"/>
  <c r="E16" i="3" s="1"/>
  <c r="L19" i="1"/>
  <c r="J19" i="1"/>
  <c r="I19" i="1"/>
  <c r="BG18" i="1"/>
  <c r="BD18" i="1"/>
  <c r="BA18" i="1"/>
  <c r="AX18" i="1"/>
  <c r="AU18" i="1"/>
  <c r="AQ18" i="1"/>
  <c r="R15" i="3" s="1"/>
  <c r="AP18" i="1"/>
  <c r="AN18" i="1"/>
  <c r="Q15" i="3" s="1"/>
  <c r="AM18" i="1"/>
  <c r="AK18" i="1"/>
  <c r="AJ18" i="1"/>
  <c r="BH18" i="1" s="1"/>
  <c r="AH18" i="1"/>
  <c r="N15" i="3" s="1"/>
  <c r="AG18" i="1"/>
  <c r="AE18" i="1"/>
  <c r="M15" i="3" s="1"/>
  <c r="AD18" i="1"/>
  <c r="AB18" i="1"/>
  <c r="AA18" i="1"/>
  <c r="BE18" i="1" s="1"/>
  <c r="Y18" i="1"/>
  <c r="J15" i="3" s="1"/>
  <c r="X18" i="1"/>
  <c r="V18" i="1"/>
  <c r="I15" i="3" s="1"/>
  <c r="U18" i="1"/>
  <c r="S18" i="1"/>
  <c r="R18" i="1"/>
  <c r="BB18" i="1" s="1"/>
  <c r="P18" i="1"/>
  <c r="F15" i="3" s="1"/>
  <c r="O18" i="1"/>
  <c r="M18" i="1"/>
  <c r="E15" i="3" s="1"/>
  <c r="L18" i="1"/>
  <c r="J18" i="1"/>
  <c r="I18" i="1"/>
  <c r="BI17" i="1"/>
  <c r="BG17" i="1"/>
  <c r="BF17" i="1"/>
  <c r="BD17" i="1"/>
  <c r="BC17" i="1"/>
  <c r="BA17" i="1"/>
  <c r="AZ17" i="1"/>
  <c r="AX17" i="1"/>
  <c r="AW17" i="1"/>
  <c r="AU17" i="1"/>
  <c r="AP17" i="1"/>
  <c r="AM17" i="1"/>
  <c r="AJ17" i="1"/>
  <c r="BH17" i="1" s="1"/>
  <c r="AG17" i="1"/>
  <c r="AD17" i="1"/>
  <c r="AA17" i="1"/>
  <c r="BE17" i="1" s="1"/>
  <c r="X17" i="1"/>
  <c r="U17" i="1"/>
  <c r="R17" i="1"/>
  <c r="BB17" i="1" s="1"/>
  <c r="O17" i="1"/>
  <c r="L17" i="1"/>
  <c r="I17" i="1"/>
  <c r="BG16" i="1"/>
  <c r="BD16" i="1"/>
  <c r="BA16" i="1"/>
  <c r="AX16" i="1"/>
  <c r="AU16" i="1"/>
  <c r="AQ16" i="1"/>
  <c r="R6" i="3" s="1"/>
  <c r="AP16" i="1"/>
  <c r="AN16" i="1"/>
  <c r="Q6" i="3" s="1"/>
  <c r="AM16" i="1"/>
  <c r="AK16" i="1"/>
  <c r="AJ16" i="1"/>
  <c r="BH16" i="1" s="1"/>
  <c r="AH16" i="1"/>
  <c r="N6" i="3" s="1"/>
  <c r="AG16" i="1"/>
  <c r="AE16" i="1"/>
  <c r="M6" i="3" s="1"/>
  <c r="AD16" i="1"/>
  <c r="AB16" i="1"/>
  <c r="AA16" i="1"/>
  <c r="BE16" i="1" s="1"/>
  <c r="Y16" i="1"/>
  <c r="J6" i="3" s="1"/>
  <c r="X16" i="1"/>
  <c r="V16" i="1"/>
  <c r="I6" i="3" s="1"/>
  <c r="U16" i="1"/>
  <c r="S16" i="1"/>
  <c r="R16" i="1"/>
  <c r="BB16" i="1" s="1"/>
  <c r="P16" i="1"/>
  <c r="F6" i="3" s="1"/>
  <c r="O16" i="1"/>
  <c r="M16" i="1"/>
  <c r="E6" i="3" s="1"/>
  <c r="L16" i="1"/>
  <c r="J16" i="1"/>
  <c r="I16" i="1"/>
  <c r="BG15" i="1"/>
  <c r="BD15" i="1"/>
  <c r="BA15" i="1"/>
  <c r="AX15" i="1"/>
  <c r="AU15" i="1"/>
  <c r="AQ15" i="1"/>
  <c r="R5" i="3" s="1"/>
  <c r="AP15" i="1"/>
  <c r="AN15" i="1"/>
  <c r="Q5" i="3" s="1"/>
  <c r="AM15" i="1"/>
  <c r="AK15" i="1"/>
  <c r="AJ15" i="1"/>
  <c r="BH15" i="1" s="1"/>
  <c r="AH15" i="1"/>
  <c r="N5" i="3" s="1"/>
  <c r="AG15" i="1"/>
  <c r="AE15" i="1"/>
  <c r="M5" i="3" s="1"/>
  <c r="AD15" i="1"/>
  <c r="AB15" i="1"/>
  <c r="AA15" i="1"/>
  <c r="BE15" i="1" s="1"/>
  <c r="Y15" i="1"/>
  <c r="J5" i="3" s="1"/>
  <c r="X15" i="1"/>
  <c r="V15" i="1"/>
  <c r="I5" i="3" s="1"/>
  <c r="U15" i="1"/>
  <c r="S15" i="1"/>
  <c r="R15" i="1"/>
  <c r="BB15" i="1" s="1"/>
  <c r="P15" i="1"/>
  <c r="F5" i="3" s="1"/>
  <c r="O15" i="1"/>
  <c r="M15" i="1"/>
  <c r="E5" i="3" s="1"/>
  <c r="L15" i="1"/>
  <c r="J15" i="1"/>
  <c r="I15" i="1"/>
  <c r="BG14" i="1"/>
  <c r="BG20" i="1" s="1"/>
  <c r="BD14" i="1"/>
  <c r="BD20" i="1" s="1"/>
  <c r="BA14" i="1"/>
  <c r="BA20" i="1" s="1"/>
  <c r="AX14" i="1"/>
  <c r="AX20" i="1" s="1"/>
  <c r="AU14" i="1"/>
  <c r="AU20" i="1" s="1"/>
  <c r="AQ14" i="1"/>
  <c r="AP14" i="1"/>
  <c r="AP20" i="1" s="1"/>
  <c r="AN14" i="1"/>
  <c r="AM14" i="1"/>
  <c r="AM20" i="1" s="1"/>
  <c r="AK14" i="1"/>
  <c r="AJ14" i="1"/>
  <c r="AH14" i="1"/>
  <c r="AG14" i="1"/>
  <c r="AG20" i="1" s="1"/>
  <c r="AE14" i="1"/>
  <c r="AD14" i="1"/>
  <c r="AD20" i="1" s="1"/>
  <c r="AB14" i="1"/>
  <c r="AA14" i="1"/>
  <c r="Y14" i="1"/>
  <c r="X14" i="1"/>
  <c r="X20" i="1" s="1"/>
  <c r="V14" i="1"/>
  <c r="U14" i="1"/>
  <c r="U20" i="1" s="1"/>
  <c r="S14" i="1"/>
  <c r="R14" i="1"/>
  <c r="P14" i="1"/>
  <c r="O14" i="1"/>
  <c r="O20" i="1" s="1"/>
  <c r="M14" i="1"/>
  <c r="L14" i="1"/>
  <c r="L20" i="1" s="1"/>
  <c r="J14" i="1"/>
  <c r="I14" i="1"/>
  <c r="BG13" i="1"/>
  <c r="BD13" i="1"/>
  <c r="BA13" i="1"/>
  <c r="AX13" i="1"/>
  <c r="AU13" i="1"/>
  <c r="AQ13" i="1"/>
  <c r="R11" i="3" s="1"/>
  <c r="AP13" i="1"/>
  <c r="AN13" i="1"/>
  <c r="Q11" i="3" s="1"/>
  <c r="AM13" i="1"/>
  <c r="AK13" i="1"/>
  <c r="AJ13" i="1"/>
  <c r="BH13" i="1" s="1"/>
  <c r="AH13" i="1"/>
  <c r="N11" i="3" s="1"/>
  <c r="AG13" i="1"/>
  <c r="AE13" i="1"/>
  <c r="M11" i="3" s="1"/>
  <c r="AD13" i="1"/>
  <c r="AB13" i="1"/>
  <c r="AA13" i="1"/>
  <c r="BE13" i="1" s="1"/>
  <c r="Y13" i="1"/>
  <c r="J11" i="3" s="1"/>
  <c r="X13" i="1"/>
  <c r="V13" i="1"/>
  <c r="I11" i="3" s="1"/>
  <c r="U13" i="1"/>
  <c r="S13" i="1"/>
  <c r="R13" i="1"/>
  <c r="BB13" i="1" s="1"/>
  <c r="P13" i="1"/>
  <c r="F11" i="3" s="1"/>
  <c r="O13" i="1"/>
  <c r="M13" i="1"/>
  <c r="E11" i="3" s="1"/>
  <c r="L13" i="1"/>
  <c r="J13" i="1"/>
  <c r="I13" i="1"/>
  <c r="BG12" i="1"/>
  <c r="BD12" i="1"/>
  <c r="BA12" i="1"/>
  <c r="AX12" i="1"/>
  <c r="AU12" i="1"/>
  <c r="AQ12" i="1"/>
  <c r="R8" i="3" s="1"/>
  <c r="AP12" i="1"/>
  <c r="AN12" i="1"/>
  <c r="Q8" i="3" s="1"/>
  <c r="AM12" i="1"/>
  <c r="AK12" i="1"/>
  <c r="AJ12" i="1"/>
  <c r="BH12" i="1" s="1"/>
  <c r="AH12" i="1"/>
  <c r="N8" i="3" s="1"/>
  <c r="AG12" i="1"/>
  <c r="AE12" i="1"/>
  <c r="M8" i="3" s="1"/>
  <c r="AD12" i="1"/>
  <c r="AB12" i="1"/>
  <c r="AA12" i="1"/>
  <c r="BE12" i="1" s="1"/>
  <c r="Y12" i="1"/>
  <c r="J8" i="3" s="1"/>
  <c r="X12" i="1"/>
  <c r="V12" i="1"/>
  <c r="I8" i="3" s="1"/>
  <c r="U12" i="1"/>
  <c r="S12" i="1"/>
  <c r="R12" i="1"/>
  <c r="BB12" i="1" s="1"/>
  <c r="P12" i="1"/>
  <c r="F8" i="3" s="1"/>
  <c r="O12" i="1"/>
  <c r="M12" i="1"/>
  <c r="E8" i="3" s="1"/>
  <c r="L12" i="1"/>
  <c r="J12" i="1"/>
  <c r="I12" i="1"/>
  <c r="BG11" i="1"/>
  <c r="BD11" i="1"/>
  <c r="BA11" i="1"/>
  <c r="AX11" i="1"/>
  <c r="AU11" i="1"/>
  <c r="AQ11" i="1"/>
  <c r="R14" i="3" s="1"/>
  <c r="AP11" i="1"/>
  <c r="AN11" i="1"/>
  <c r="Q14" i="3" s="1"/>
  <c r="AM11" i="1"/>
  <c r="AK11" i="1"/>
  <c r="AJ11" i="1"/>
  <c r="BH11" i="1" s="1"/>
  <c r="AH11" i="1"/>
  <c r="N14" i="3" s="1"/>
  <c r="AG11" i="1"/>
  <c r="AE11" i="1"/>
  <c r="M14" i="3" s="1"/>
  <c r="AD11" i="1"/>
  <c r="AB11" i="1"/>
  <c r="AA11" i="1"/>
  <c r="BE11" i="1" s="1"/>
  <c r="Y11" i="1"/>
  <c r="J14" i="3" s="1"/>
  <c r="X11" i="1"/>
  <c r="V11" i="1"/>
  <c r="I14" i="3" s="1"/>
  <c r="U11" i="1"/>
  <c r="S11" i="1"/>
  <c r="R11" i="1"/>
  <c r="BB11" i="1" s="1"/>
  <c r="P11" i="1"/>
  <c r="F14" i="3" s="1"/>
  <c r="O11" i="1"/>
  <c r="M11" i="1"/>
  <c r="E14" i="3" s="1"/>
  <c r="L11" i="1"/>
  <c r="J11" i="1"/>
  <c r="I11" i="1"/>
  <c r="BG10" i="1"/>
  <c r="BD10" i="1"/>
  <c r="BA10" i="1"/>
  <c r="AX10" i="1"/>
  <c r="AU10" i="1"/>
  <c r="AQ10" i="1"/>
  <c r="R13" i="3" s="1"/>
  <c r="AP10" i="1"/>
  <c r="AN10" i="1"/>
  <c r="Q13" i="3" s="1"/>
  <c r="AM10" i="1"/>
  <c r="AK10" i="1"/>
  <c r="AJ10" i="1"/>
  <c r="BH10" i="1" s="1"/>
  <c r="AH10" i="1"/>
  <c r="N13" i="3" s="1"/>
  <c r="AG10" i="1"/>
  <c r="AE10" i="1"/>
  <c r="M13" i="3" s="1"/>
  <c r="AD10" i="1"/>
  <c r="AB10" i="1"/>
  <c r="AA10" i="1"/>
  <c r="BE10" i="1" s="1"/>
  <c r="Y10" i="1"/>
  <c r="J13" i="3" s="1"/>
  <c r="X10" i="1"/>
  <c r="V10" i="1"/>
  <c r="I13" i="3" s="1"/>
  <c r="U10" i="1"/>
  <c r="S10" i="1"/>
  <c r="R10" i="1"/>
  <c r="BB10" i="1" s="1"/>
  <c r="P10" i="1"/>
  <c r="F13" i="3" s="1"/>
  <c r="O10" i="1"/>
  <c r="M10" i="1"/>
  <c r="E13" i="3" s="1"/>
  <c r="L10" i="1"/>
  <c r="J10" i="1"/>
  <c r="I10" i="1"/>
  <c r="BG9" i="1"/>
  <c r="BD9" i="1"/>
  <c r="BA9" i="1"/>
  <c r="AX9" i="1"/>
  <c r="AU9" i="1"/>
  <c r="AQ9" i="1"/>
  <c r="R12" i="3" s="1"/>
  <c r="AP9" i="1"/>
  <c r="AN9" i="1"/>
  <c r="Q12" i="3" s="1"/>
  <c r="AM9" i="1"/>
  <c r="AK9" i="1"/>
  <c r="AJ9" i="1"/>
  <c r="BH9" i="1" s="1"/>
  <c r="AH9" i="1"/>
  <c r="N12" i="3" s="1"/>
  <c r="AG9" i="1"/>
  <c r="AE9" i="1"/>
  <c r="M12" i="3" s="1"/>
  <c r="AD9" i="1"/>
  <c r="AB9" i="1"/>
  <c r="AA9" i="1"/>
  <c r="BE9" i="1" s="1"/>
  <c r="Y9" i="1"/>
  <c r="J12" i="3" s="1"/>
  <c r="X9" i="1"/>
  <c r="V9" i="1"/>
  <c r="I12" i="3" s="1"/>
  <c r="U9" i="1"/>
  <c r="S9" i="1"/>
  <c r="R9" i="1"/>
  <c r="BB9" i="1" s="1"/>
  <c r="P9" i="1"/>
  <c r="F12" i="3" s="1"/>
  <c r="O9" i="1"/>
  <c r="M9" i="1"/>
  <c r="E12" i="3" s="1"/>
  <c r="L9" i="1"/>
  <c r="J9" i="1"/>
  <c r="I9" i="1"/>
  <c r="BG8" i="1"/>
  <c r="BD8" i="1"/>
  <c r="BA8" i="1"/>
  <c r="AX8" i="1"/>
  <c r="AU8" i="1"/>
  <c r="AQ8" i="1"/>
  <c r="AQ305" i="1" s="1"/>
  <c r="AQ302" i="1" s="1"/>
  <c r="AQ306" i="1" s="1"/>
  <c r="AP8" i="1"/>
  <c r="AN8" i="1"/>
  <c r="AN305" i="1" s="1"/>
  <c r="AN302" i="1" s="1"/>
  <c r="AN306" i="1" s="1"/>
  <c r="AM8" i="1"/>
  <c r="AK8" i="1"/>
  <c r="AK305" i="1" s="1"/>
  <c r="AJ8" i="1"/>
  <c r="AH8" i="1"/>
  <c r="AH305" i="1" s="1"/>
  <c r="AH302" i="1" s="1"/>
  <c r="AH306" i="1" s="1"/>
  <c r="AG8" i="1"/>
  <c r="AE8" i="1"/>
  <c r="AE305" i="1" s="1"/>
  <c r="AE302" i="1" s="1"/>
  <c r="AE306" i="1" s="1"/>
  <c r="AD8" i="1"/>
  <c r="AB8" i="1"/>
  <c r="AB305" i="1" s="1"/>
  <c r="AA8" i="1"/>
  <c r="Y8" i="1"/>
  <c r="Y305" i="1" s="1"/>
  <c r="Y302" i="1" s="1"/>
  <c r="Y306" i="1" s="1"/>
  <c r="X8" i="1"/>
  <c r="V8" i="1"/>
  <c r="V305" i="1" s="1"/>
  <c r="V302" i="1" s="1"/>
  <c r="V306" i="1" s="1"/>
  <c r="U8" i="1"/>
  <c r="S8" i="1"/>
  <c r="S305" i="1" s="1"/>
  <c r="R8" i="1"/>
  <c r="P8" i="1"/>
  <c r="P305" i="1" s="1"/>
  <c r="P302" i="1" s="1"/>
  <c r="P306" i="1" s="1"/>
  <c r="O8" i="1"/>
  <c r="M8" i="1"/>
  <c r="M305" i="1" s="1"/>
  <c r="M302" i="1" s="1"/>
  <c r="M306" i="1" s="1"/>
  <c r="L8" i="1"/>
  <c r="J8" i="1"/>
  <c r="J305" i="1" s="1"/>
  <c r="I8" i="1"/>
  <c r="AQ5" i="1"/>
  <c r="AN5" i="1"/>
  <c r="AK5" i="1"/>
  <c r="AH5" i="1"/>
  <c r="AE5" i="1"/>
  <c r="AB5" i="1"/>
  <c r="Y5" i="1"/>
  <c r="V5" i="1"/>
  <c r="S5" i="1"/>
  <c r="P5" i="1"/>
  <c r="M5" i="1"/>
  <c r="J5" i="1"/>
  <c r="AQ3" i="1"/>
  <c r="AO3" i="1"/>
  <c r="AN3" i="1"/>
  <c r="AL3" i="1"/>
  <c r="AK3" i="1"/>
  <c r="AI3" i="1"/>
  <c r="AH3" i="1"/>
  <c r="AF3" i="1"/>
  <c r="AE3" i="1"/>
  <c r="AC3" i="1"/>
  <c r="AB3" i="1"/>
  <c r="Z3" i="1"/>
  <c r="Y3" i="1"/>
  <c r="W3" i="1"/>
  <c r="V3" i="1"/>
  <c r="T3" i="1"/>
  <c r="S3" i="1"/>
  <c r="Q3" i="1"/>
  <c r="P3" i="1"/>
  <c r="N3" i="1"/>
  <c r="M3" i="1"/>
  <c r="K3" i="1"/>
  <c r="J3" i="1"/>
  <c r="H3" i="1"/>
  <c r="AR325" i="1" l="1"/>
  <c r="AR94" i="1"/>
  <c r="AR294" i="1"/>
  <c r="AR266" i="1"/>
  <c r="BA182" i="1"/>
  <c r="BA106" i="1" s="1"/>
  <c r="AX182" i="1"/>
  <c r="AX106" i="1" s="1"/>
  <c r="AU182" i="1"/>
  <c r="AU106" i="1" s="1"/>
  <c r="BG182" i="1"/>
  <c r="BG106" i="1" s="1"/>
  <c r="BD182" i="1"/>
  <c r="BD106" i="1" s="1"/>
  <c r="AR255" i="1"/>
  <c r="BC198" i="1"/>
  <c r="P181" i="1"/>
  <c r="P179" i="1"/>
  <c r="M181" i="1"/>
  <c r="M179" i="1"/>
  <c r="AT179" i="1" s="1"/>
  <c r="AT165" i="1"/>
  <c r="AT161" i="1"/>
  <c r="AT160" i="1"/>
  <c r="AT150" i="1"/>
  <c r="AT138" i="1"/>
  <c r="AT135" i="1"/>
  <c r="AT176" i="1"/>
  <c r="AT159" i="1"/>
  <c r="AT137" i="1"/>
  <c r="AT175" i="1"/>
  <c r="AT171" i="1"/>
  <c r="AT162" i="1"/>
  <c r="AT151" i="1"/>
  <c r="AT139" i="1"/>
  <c r="AT136" i="1"/>
  <c r="AR106" i="1"/>
  <c r="C24" i="2"/>
  <c r="C32" i="2"/>
  <c r="O33" i="2"/>
  <c r="AQ36" i="1"/>
  <c r="N33" i="2"/>
  <c r="AN36" i="1"/>
  <c r="M33" i="2"/>
  <c r="AK36" i="1"/>
  <c r="BI36" i="1" s="1"/>
  <c r="L33" i="2"/>
  <c r="AH36" i="1"/>
  <c r="K33" i="2"/>
  <c r="AE36" i="1"/>
  <c r="J33" i="2"/>
  <c r="AB36" i="1"/>
  <c r="BF36" i="1" s="1"/>
  <c r="I33" i="2"/>
  <c r="Y36" i="1"/>
  <c r="H33" i="2"/>
  <c r="V36" i="1"/>
  <c r="G33" i="2"/>
  <c r="S36" i="1"/>
  <c r="BC36" i="1" s="1"/>
  <c r="F33" i="2"/>
  <c r="P36" i="1"/>
  <c r="E33" i="2"/>
  <c r="M36" i="1"/>
  <c r="D33" i="2"/>
  <c r="J36" i="1"/>
  <c r="O24" i="2"/>
  <c r="O32" i="2"/>
  <c r="AQ35" i="1"/>
  <c r="AQ34" i="1" s="1"/>
  <c r="N24" i="2"/>
  <c r="N32" i="2"/>
  <c r="AN35" i="1"/>
  <c r="AN34" i="1" s="1"/>
  <c r="M24" i="2"/>
  <c r="M32" i="2"/>
  <c r="AK35" i="1"/>
  <c r="L24" i="2"/>
  <c r="L32" i="2"/>
  <c r="AH35" i="1"/>
  <c r="AH34" i="1" s="1"/>
  <c r="K24" i="2"/>
  <c r="K32" i="2"/>
  <c r="AE35" i="1"/>
  <c r="AE34" i="1" s="1"/>
  <c r="J24" i="2"/>
  <c r="J32" i="2"/>
  <c r="AB35" i="1"/>
  <c r="I24" i="2"/>
  <c r="I32" i="2"/>
  <c r="Y35" i="1"/>
  <c r="Y34" i="1" s="1"/>
  <c r="H24" i="2"/>
  <c r="H32" i="2"/>
  <c r="V35" i="1"/>
  <c r="V34" i="1" s="1"/>
  <c r="G24" i="2"/>
  <c r="G32" i="2"/>
  <c r="S35" i="1"/>
  <c r="F24" i="2"/>
  <c r="F32" i="2"/>
  <c r="P35" i="1"/>
  <c r="P34" i="1" s="1"/>
  <c r="E24" i="2"/>
  <c r="E32" i="2"/>
  <c r="M35" i="1"/>
  <c r="M34" i="1" s="1"/>
  <c r="D24" i="2"/>
  <c r="D32" i="2"/>
  <c r="J35" i="1"/>
  <c r="AZ360" i="1"/>
  <c r="AW360" i="1"/>
  <c r="AZ359" i="1"/>
  <c r="AW359" i="1"/>
  <c r="AZ358" i="1"/>
  <c r="AW358" i="1"/>
  <c r="AW356" i="1"/>
  <c r="AZ356" i="1"/>
  <c r="AW355" i="1"/>
  <c r="AZ355" i="1"/>
  <c r="AZ354" i="1"/>
  <c r="AW354" i="1"/>
  <c r="AW351" i="1"/>
  <c r="AZ351" i="1"/>
  <c r="AZ350" i="1"/>
  <c r="AW350" i="1"/>
  <c r="AT350" i="1"/>
  <c r="AZ349" i="1"/>
  <c r="AW349" i="1"/>
  <c r="AT349" i="1"/>
  <c r="AT348" i="1"/>
  <c r="AW348" i="1"/>
  <c r="AZ348" i="1"/>
  <c r="AT347" i="1"/>
  <c r="AW347" i="1"/>
  <c r="AZ347" i="1"/>
  <c r="AZ346" i="1"/>
  <c r="AW346" i="1"/>
  <c r="AT346" i="1"/>
  <c r="AZ345" i="1"/>
  <c r="AW345" i="1"/>
  <c r="AT345" i="1"/>
  <c r="AT344" i="1"/>
  <c r="AW344" i="1"/>
  <c r="AZ344" i="1"/>
  <c r="AW343" i="1"/>
  <c r="AZ343" i="1"/>
  <c r="AT343" i="1"/>
  <c r="AT342" i="1"/>
  <c r="AZ342" i="1"/>
  <c r="AW342" i="1"/>
  <c r="AZ341" i="1"/>
  <c r="AW341" i="1"/>
  <c r="AT341" i="1"/>
  <c r="AW340" i="1"/>
  <c r="AT340" i="1"/>
  <c r="AZ340" i="1"/>
  <c r="AZ339" i="1"/>
  <c r="AW339" i="1"/>
  <c r="AT339" i="1"/>
  <c r="AT338" i="1"/>
  <c r="AW338" i="1"/>
  <c r="AZ338" i="1"/>
  <c r="AZ337" i="1"/>
  <c r="AT337" i="1"/>
  <c r="AW337" i="1"/>
  <c r="AZ336" i="1"/>
  <c r="AT336" i="1"/>
  <c r="AW336" i="1"/>
  <c r="AT335" i="1"/>
  <c r="AW335" i="1"/>
  <c r="AW334" i="1" s="1"/>
  <c r="AZ335" i="1"/>
  <c r="AZ334" i="1" s="1"/>
  <c r="AY329" i="1"/>
  <c r="AV329" i="1"/>
  <c r="AS329" i="1"/>
  <c r="AS328" i="1"/>
  <c r="AY328" i="1"/>
  <c r="AV328" i="1"/>
  <c r="AS327" i="1"/>
  <c r="AV327" i="1"/>
  <c r="AY327" i="1"/>
  <c r="AV326" i="1"/>
  <c r="AV325" i="1" s="1"/>
  <c r="AY326" i="1"/>
  <c r="AY325" i="1" s="1"/>
  <c r="AS326" i="1"/>
  <c r="I325" i="1"/>
  <c r="BI321" i="1"/>
  <c r="BH321" i="1"/>
  <c r="BF321" i="1"/>
  <c r="BE321" i="1"/>
  <c r="BC321" i="1"/>
  <c r="BB321" i="1"/>
  <c r="AW321" i="1"/>
  <c r="AZ321" i="1"/>
  <c r="AY321" i="1"/>
  <c r="AV321" i="1"/>
  <c r="AS321" i="1"/>
  <c r="AZ320" i="1"/>
  <c r="AW320" i="1"/>
  <c r="AY320" i="1"/>
  <c r="AV320" i="1"/>
  <c r="AS320" i="1"/>
  <c r="AY305" i="1"/>
  <c r="AS305" i="1"/>
  <c r="AV305" i="1"/>
  <c r="AZ304" i="1"/>
  <c r="AW304" i="1"/>
  <c r="AY304" i="1"/>
  <c r="AS304" i="1"/>
  <c r="AV304" i="1"/>
  <c r="AW303" i="1"/>
  <c r="AZ303" i="1"/>
  <c r="AS303" i="1"/>
  <c r="AV303" i="1"/>
  <c r="AV302" i="1" s="1"/>
  <c r="AY303" i="1"/>
  <c r="AY302" i="1" s="1"/>
  <c r="AT298" i="1"/>
  <c r="AZ298" i="1"/>
  <c r="AW298" i="1"/>
  <c r="AV298" i="1"/>
  <c r="AS298" i="1"/>
  <c r="AY298" i="1"/>
  <c r="AZ297" i="1"/>
  <c r="AW297" i="1"/>
  <c r="AT297" i="1"/>
  <c r="AV297" i="1"/>
  <c r="AS297" i="1"/>
  <c r="AY297" i="1"/>
  <c r="AT296" i="1"/>
  <c r="AW296" i="1"/>
  <c r="AZ296" i="1"/>
  <c r="AS296" i="1"/>
  <c r="AY296" i="1"/>
  <c r="AV296" i="1"/>
  <c r="AT295" i="1"/>
  <c r="AW295" i="1"/>
  <c r="AW294" i="1" s="1"/>
  <c r="AZ295" i="1"/>
  <c r="AZ294" i="1" s="1"/>
  <c r="AS295" i="1"/>
  <c r="AS294" i="1" s="1"/>
  <c r="AV295" i="1"/>
  <c r="AV294" i="1" s="1"/>
  <c r="AY295" i="1"/>
  <c r="AY294" i="1" s="1"/>
  <c r="AT288" i="1"/>
  <c r="AZ288" i="1"/>
  <c r="AW288" i="1"/>
  <c r="AY288" i="1"/>
  <c r="AS288" i="1"/>
  <c r="AV288" i="1"/>
  <c r="AZ287" i="1"/>
  <c r="AT287" i="1"/>
  <c r="AW287" i="1"/>
  <c r="AV287" i="1"/>
  <c r="AY287" i="1"/>
  <c r="AS287" i="1"/>
  <c r="AW286" i="1"/>
  <c r="AT286" i="1"/>
  <c r="AZ286" i="1"/>
  <c r="AV286" i="1"/>
  <c r="AY286" i="1"/>
  <c r="AS286" i="1"/>
  <c r="AW285" i="1"/>
  <c r="AZ285" i="1"/>
  <c r="AT285" i="1"/>
  <c r="AY285" i="1"/>
  <c r="AV285" i="1"/>
  <c r="AS285" i="1"/>
  <c r="AK280" i="1"/>
  <c r="AK292" i="1" s="1"/>
  <c r="BI284" i="1"/>
  <c r="BI280" i="1" s="1"/>
  <c r="AJ280" i="1"/>
  <c r="AJ292" i="1" s="1"/>
  <c r="BH284" i="1"/>
  <c r="BH280" i="1" s="1"/>
  <c r="AB280" i="1"/>
  <c r="AB292" i="1" s="1"/>
  <c r="BF284" i="1"/>
  <c r="BF280" i="1" s="1"/>
  <c r="AA280" i="1"/>
  <c r="AA292" i="1" s="1"/>
  <c r="BE284" i="1"/>
  <c r="BE280" i="1" s="1"/>
  <c r="S280" i="1"/>
  <c r="S292" i="1" s="1"/>
  <c r="BC284" i="1"/>
  <c r="BC280" i="1" s="1"/>
  <c r="R280" i="1"/>
  <c r="R292" i="1" s="1"/>
  <c r="BB284" i="1"/>
  <c r="BB280" i="1" s="1"/>
  <c r="AT284" i="1"/>
  <c r="AW284" i="1"/>
  <c r="J280" i="1"/>
  <c r="J292" i="1" s="1"/>
  <c r="AZ284" i="1"/>
  <c r="I280" i="1"/>
  <c r="I292" i="1" s="1"/>
  <c r="AS284" i="1"/>
  <c r="AV284" i="1"/>
  <c r="AY284" i="1"/>
  <c r="AZ282" i="1"/>
  <c r="AW282" i="1"/>
  <c r="AT282" i="1"/>
  <c r="AS282" i="1"/>
  <c r="AV282" i="1"/>
  <c r="AY282" i="1"/>
  <c r="AZ281" i="1"/>
  <c r="AZ280" i="1" s="1"/>
  <c r="AW281" i="1"/>
  <c r="AW280" i="1" s="1"/>
  <c r="AT281" i="1"/>
  <c r="AY281" i="1"/>
  <c r="AY280" i="1" s="1"/>
  <c r="AS281" i="1"/>
  <c r="AS280" i="1" s="1"/>
  <c r="AV281" i="1"/>
  <c r="AV280" i="1" s="1"/>
  <c r="AT277" i="1"/>
  <c r="AZ277" i="1"/>
  <c r="AW277" i="1"/>
  <c r="AS277" i="1"/>
  <c r="AY277" i="1"/>
  <c r="AV277" i="1"/>
  <c r="AT276" i="1"/>
  <c r="AZ276" i="1"/>
  <c r="AW276" i="1"/>
  <c r="AS276" i="1"/>
  <c r="AY276" i="1"/>
  <c r="AV276" i="1"/>
  <c r="AW275" i="1"/>
  <c r="AT275" i="1"/>
  <c r="AZ275" i="1"/>
  <c r="AV275" i="1"/>
  <c r="AS275" i="1"/>
  <c r="AY275" i="1"/>
  <c r="AZ274" i="1"/>
  <c r="AT274" i="1"/>
  <c r="AW274" i="1"/>
  <c r="AS274" i="1"/>
  <c r="AV274" i="1"/>
  <c r="AY274" i="1"/>
  <c r="AT273" i="1"/>
  <c r="AW273" i="1"/>
  <c r="AZ273" i="1"/>
  <c r="AY273" i="1"/>
  <c r="AS273" i="1"/>
  <c r="AV273" i="1"/>
  <c r="AZ272" i="1"/>
  <c r="AT272" i="1"/>
  <c r="AW272" i="1"/>
  <c r="AS272" i="1"/>
  <c r="AV272" i="1"/>
  <c r="AY272" i="1"/>
  <c r="AZ271" i="1"/>
  <c r="AW271" i="1"/>
  <c r="AT271" i="1"/>
  <c r="AY271" i="1"/>
  <c r="AV271" i="1"/>
  <c r="AS271" i="1"/>
  <c r="AW270" i="1"/>
  <c r="AT270" i="1"/>
  <c r="AZ270" i="1"/>
  <c r="AV270" i="1"/>
  <c r="AY270" i="1"/>
  <c r="AS270" i="1"/>
  <c r="AW269" i="1"/>
  <c r="AZ269" i="1"/>
  <c r="AT269" i="1"/>
  <c r="AV269" i="1"/>
  <c r="AY269" i="1"/>
  <c r="AS269" i="1"/>
  <c r="AW268" i="1"/>
  <c r="AT268" i="1"/>
  <c r="AZ268" i="1"/>
  <c r="AY268" i="1"/>
  <c r="AV268" i="1"/>
  <c r="AS268" i="1"/>
  <c r="AZ267" i="1"/>
  <c r="AW267" i="1"/>
  <c r="AT267" i="1"/>
  <c r="I266" i="1"/>
  <c r="I278" i="1" s="1"/>
  <c r="AY267" i="1"/>
  <c r="AV267" i="1"/>
  <c r="AS267" i="1"/>
  <c r="AZ263" i="1"/>
  <c r="AT263" i="1"/>
  <c r="AW263" i="1"/>
  <c r="AS263" i="1"/>
  <c r="AV263" i="1"/>
  <c r="AY263" i="1"/>
  <c r="AZ262" i="1"/>
  <c r="AW262" i="1"/>
  <c r="AT262" i="1"/>
  <c r="AY262" i="1"/>
  <c r="AS262" i="1"/>
  <c r="AV262" i="1"/>
  <c r="AW261" i="1"/>
  <c r="AZ261" i="1"/>
  <c r="AT261" i="1"/>
  <c r="AS261" i="1"/>
  <c r="AY261" i="1"/>
  <c r="AV261" i="1"/>
  <c r="AT260" i="1"/>
  <c r="AW260" i="1"/>
  <c r="AZ260" i="1"/>
  <c r="AS260" i="1"/>
  <c r="AV260" i="1"/>
  <c r="AY260" i="1"/>
  <c r="AZ259" i="1"/>
  <c r="AT259" i="1"/>
  <c r="AW259" i="1"/>
  <c r="AS259" i="1"/>
  <c r="AY259" i="1"/>
  <c r="AV259" i="1"/>
  <c r="AZ258" i="1"/>
  <c r="AT258" i="1"/>
  <c r="AW258" i="1"/>
  <c r="AV258" i="1"/>
  <c r="AS258" i="1"/>
  <c r="AY258" i="1"/>
  <c r="AT257" i="1"/>
  <c r="AW257" i="1"/>
  <c r="AZ257" i="1"/>
  <c r="AY257" i="1"/>
  <c r="AV257" i="1"/>
  <c r="AS257" i="1"/>
  <c r="BC256" i="1"/>
  <c r="BC255" i="1" s="1"/>
  <c r="S255" i="1"/>
  <c r="S264" i="1" s="1"/>
  <c r="AT256" i="1"/>
  <c r="AZ256" i="1"/>
  <c r="AZ255" i="1" s="1"/>
  <c r="AW256" i="1"/>
  <c r="AW255" i="1" s="1"/>
  <c r="AV256" i="1"/>
  <c r="AV255" i="1" s="1"/>
  <c r="AS256" i="1"/>
  <c r="AS255" i="1" s="1"/>
  <c r="I255" i="1"/>
  <c r="I264" i="1" s="1"/>
  <c r="AY256" i="1"/>
  <c r="AY255" i="1" s="1"/>
  <c r="AW250" i="1"/>
  <c r="AZ250" i="1"/>
  <c r="AV250" i="1"/>
  <c r="AS250" i="1"/>
  <c r="AY250" i="1"/>
  <c r="AW249" i="1"/>
  <c r="AZ249" i="1"/>
  <c r="AS249" i="1"/>
  <c r="AV249" i="1"/>
  <c r="AY249" i="1"/>
  <c r="AW248" i="1"/>
  <c r="AZ248" i="1"/>
  <c r="AY248" i="1"/>
  <c r="AV248" i="1"/>
  <c r="AS248" i="1"/>
  <c r="AW247" i="1"/>
  <c r="AZ247" i="1"/>
  <c r="AS247" i="1"/>
  <c r="AV247" i="1"/>
  <c r="AY247" i="1"/>
  <c r="AZ246" i="1"/>
  <c r="AW246" i="1"/>
  <c r="AY246" i="1"/>
  <c r="AV246" i="1"/>
  <c r="AS246" i="1"/>
  <c r="AW245" i="1"/>
  <c r="AZ245" i="1"/>
  <c r="AS245" i="1"/>
  <c r="AY245" i="1"/>
  <c r="AV245" i="1"/>
  <c r="AZ244" i="1"/>
  <c r="AZ243" i="1" s="1"/>
  <c r="AW244" i="1"/>
  <c r="AW243" i="1" s="1"/>
  <c r="AV244" i="1"/>
  <c r="AV243" i="1" s="1"/>
  <c r="AS244" i="1"/>
  <c r="AY244" i="1"/>
  <c r="AY243" i="1" s="1"/>
  <c r="AZ240" i="1"/>
  <c r="AW240" i="1"/>
  <c r="AY240" i="1"/>
  <c r="AV240" i="1"/>
  <c r="AS240" i="1"/>
  <c r="AZ239" i="1"/>
  <c r="AW239" i="1"/>
  <c r="AS239" i="1"/>
  <c r="AV239" i="1"/>
  <c r="AY239" i="1"/>
  <c r="AW238" i="1"/>
  <c r="AZ238" i="1"/>
  <c r="AV238" i="1"/>
  <c r="AS238" i="1"/>
  <c r="AY238" i="1"/>
  <c r="AZ237" i="1"/>
  <c r="AW237" i="1"/>
  <c r="AT237" i="1"/>
  <c r="AY237" i="1"/>
  <c r="AV237" i="1"/>
  <c r="AS237" i="1"/>
  <c r="AW236" i="1"/>
  <c r="AZ236" i="1"/>
  <c r="AT236" i="1"/>
  <c r="AY236" i="1"/>
  <c r="AS236" i="1"/>
  <c r="AV236" i="1"/>
  <c r="AT235" i="1"/>
  <c r="AW235" i="1"/>
  <c r="AZ235" i="1"/>
  <c r="AS235" i="1"/>
  <c r="AY235" i="1"/>
  <c r="AV235" i="1"/>
  <c r="AT234" i="1"/>
  <c r="AW234" i="1"/>
  <c r="AZ234" i="1"/>
  <c r="AS234" i="1"/>
  <c r="AV234" i="1"/>
  <c r="AY234" i="1"/>
  <c r="AZ233" i="1"/>
  <c r="AT233" i="1"/>
  <c r="AW233" i="1"/>
  <c r="AV233" i="1"/>
  <c r="AY233" i="1"/>
  <c r="AS233" i="1"/>
  <c r="AT232" i="1"/>
  <c r="AW232" i="1"/>
  <c r="AZ232" i="1"/>
  <c r="AV232" i="1"/>
  <c r="AS232" i="1"/>
  <c r="AY232" i="1"/>
  <c r="AZ231" i="1"/>
  <c r="AT231" i="1"/>
  <c r="AW231" i="1"/>
  <c r="AV231" i="1"/>
  <c r="AY231" i="1"/>
  <c r="AS231" i="1"/>
  <c r="AW230" i="1"/>
  <c r="AT230" i="1"/>
  <c r="AZ230" i="1"/>
  <c r="AV230" i="1"/>
  <c r="AS230" i="1"/>
  <c r="AY230" i="1"/>
  <c r="AT229" i="1"/>
  <c r="AW229" i="1"/>
  <c r="AZ229" i="1"/>
  <c r="AS229" i="1"/>
  <c r="AV229" i="1"/>
  <c r="AY229" i="1"/>
  <c r="AW228" i="1"/>
  <c r="AZ228" i="1"/>
  <c r="AT228" i="1"/>
  <c r="AV228" i="1"/>
  <c r="AY228" i="1"/>
  <c r="AS228" i="1"/>
  <c r="AZ227" i="1"/>
  <c r="AW227" i="1"/>
  <c r="AT227" i="1"/>
  <c r="I226" i="1"/>
  <c r="I241" i="1" s="1"/>
  <c r="AY227" i="1"/>
  <c r="AV227" i="1"/>
  <c r="AS227" i="1"/>
  <c r="AW223" i="1"/>
  <c r="AT223" i="1"/>
  <c r="AZ223" i="1"/>
  <c r="AS223" i="1"/>
  <c r="AV223" i="1"/>
  <c r="AY223" i="1"/>
  <c r="AT222" i="1"/>
  <c r="AW222" i="1"/>
  <c r="AZ222" i="1"/>
  <c r="AV222" i="1"/>
  <c r="AY222" i="1"/>
  <c r="AS222" i="1"/>
  <c r="AZ221" i="1"/>
  <c r="AW221" i="1"/>
  <c r="AT221" i="1"/>
  <c r="AY221" i="1"/>
  <c r="AV221" i="1"/>
  <c r="AS221" i="1"/>
  <c r="AT220" i="1"/>
  <c r="AW220" i="1"/>
  <c r="AZ220" i="1"/>
  <c r="AS220" i="1"/>
  <c r="AY220" i="1"/>
  <c r="AV220" i="1"/>
  <c r="AZ219" i="1"/>
  <c r="AW219" i="1"/>
  <c r="AT219" i="1"/>
  <c r="AV219" i="1"/>
  <c r="AY219" i="1"/>
  <c r="AS219" i="1"/>
  <c r="AT218" i="1"/>
  <c r="AZ218" i="1"/>
  <c r="AW218" i="1"/>
  <c r="AY218" i="1"/>
  <c r="AV218" i="1"/>
  <c r="AS218" i="1"/>
  <c r="AZ217" i="1"/>
  <c r="AZ216" i="1" s="1"/>
  <c r="AT217" i="1"/>
  <c r="AT216" i="1" s="1"/>
  <c r="AW217" i="1"/>
  <c r="AW216" i="1" s="1"/>
  <c r="I216" i="1"/>
  <c r="I224" i="1" s="1"/>
  <c r="AV217" i="1"/>
  <c r="AV216" i="1" s="1"/>
  <c r="AY217" i="1"/>
  <c r="AY216" i="1" s="1"/>
  <c r="AS217" i="1"/>
  <c r="AQ224" i="1"/>
  <c r="AQ318" i="1"/>
  <c r="AN224" i="1"/>
  <c r="AN318" i="1"/>
  <c r="AK318" i="1"/>
  <c r="AK224" i="1"/>
  <c r="AH224" i="1"/>
  <c r="AH318" i="1"/>
  <c r="AE224" i="1"/>
  <c r="AE318" i="1"/>
  <c r="AB224" i="1"/>
  <c r="AB318" i="1"/>
  <c r="Y318" i="1"/>
  <c r="Y224" i="1"/>
  <c r="V318" i="1"/>
  <c r="V224" i="1"/>
  <c r="S318" i="1"/>
  <c r="S224" i="1"/>
  <c r="P318" i="1"/>
  <c r="P224" i="1"/>
  <c r="M318" i="1"/>
  <c r="M224" i="1"/>
  <c r="J318" i="1"/>
  <c r="J224" i="1"/>
  <c r="AZ212" i="1"/>
  <c r="AT212" i="1"/>
  <c r="AW212" i="1"/>
  <c r="AS212" i="1"/>
  <c r="AY212" i="1"/>
  <c r="AV212" i="1"/>
  <c r="AT211" i="1"/>
  <c r="AZ211" i="1"/>
  <c r="AW211" i="1"/>
  <c r="AS211" i="1"/>
  <c r="AY211" i="1"/>
  <c r="AV211" i="1"/>
  <c r="AZ210" i="1"/>
  <c r="AW210" i="1"/>
  <c r="AT210" i="1"/>
  <c r="AS210" i="1"/>
  <c r="AY210" i="1"/>
  <c r="AV210" i="1"/>
  <c r="AT209" i="1"/>
  <c r="AZ209" i="1"/>
  <c r="AW209" i="1"/>
  <c r="AS209" i="1"/>
  <c r="AV209" i="1"/>
  <c r="AY209" i="1"/>
  <c r="AZ208" i="1"/>
  <c r="AT208" i="1"/>
  <c r="AW208" i="1"/>
  <c r="AV208" i="1"/>
  <c r="AY208" i="1"/>
  <c r="AS208" i="1"/>
  <c r="AT207" i="1"/>
  <c r="AW207" i="1"/>
  <c r="AZ207" i="1"/>
  <c r="AV207" i="1"/>
  <c r="AY207" i="1"/>
  <c r="AS207" i="1"/>
  <c r="J205" i="1"/>
  <c r="AT205" i="1" s="1"/>
  <c r="AT206" i="1"/>
  <c r="AZ206" i="1"/>
  <c r="AZ205" i="1" s="1"/>
  <c r="AW206" i="1"/>
  <c r="AW205" i="1" s="1"/>
  <c r="AY206" i="1"/>
  <c r="AY205" i="1" s="1"/>
  <c r="AV206" i="1"/>
  <c r="AV205" i="1" s="1"/>
  <c r="AS206" i="1"/>
  <c r="AZ204" i="1"/>
  <c r="AT204" i="1"/>
  <c r="AW204" i="1"/>
  <c r="AY204" i="1"/>
  <c r="AS204" i="1"/>
  <c r="AV204" i="1"/>
  <c r="AW203" i="1"/>
  <c r="AZ203" i="1"/>
  <c r="AT203" i="1"/>
  <c r="AS203" i="1"/>
  <c r="AY203" i="1"/>
  <c r="AV203" i="1"/>
  <c r="AT202" i="1"/>
  <c r="AZ202" i="1"/>
  <c r="AW202" i="1"/>
  <c r="AV202" i="1"/>
  <c r="AY202" i="1"/>
  <c r="AS202" i="1"/>
  <c r="AT201" i="1"/>
  <c r="AZ201" i="1"/>
  <c r="AW201" i="1"/>
  <c r="AV201" i="1"/>
  <c r="AS201" i="1"/>
  <c r="AY201" i="1"/>
  <c r="J199" i="1"/>
  <c r="AT199" i="1" s="1"/>
  <c r="AZ200" i="1"/>
  <c r="AW200" i="1"/>
  <c r="AT200" i="1"/>
  <c r="AY200" i="1"/>
  <c r="AV200" i="1"/>
  <c r="AS200" i="1"/>
  <c r="I199" i="1"/>
  <c r="AS199" i="1" s="1"/>
  <c r="AZ198" i="1"/>
  <c r="AW198" i="1"/>
  <c r="AT198" i="1"/>
  <c r="AS198" i="1"/>
  <c r="AV198" i="1"/>
  <c r="AY198" i="1"/>
  <c r="AW197" i="1"/>
  <c r="AZ197" i="1"/>
  <c r="AT197" i="1"/>
  <c r="AV197" i="1"/>
  <c r="AS197" i="1"/>
  <c r="AY197" i="1"/>
  <c r="AW196" i="1"/>
  <c r="AT196" i="1"/>
  <c r="AZ196" i="1"/>
  <c r="AV196" i="1"/>
  <c r="AS196" i="1"/>
  <c r="AY196" i="1"/>
  <c r="BH195" i="1"/>
  <c r="BH182" i="1" s="1"/>
  <c r="AJ182" i="1"/>
  <c r="AA182" i="1"/>
  <c r="AA106" i="1" s="1"/>
  <c r="BE195" i="1"/>
  <c r="BE182" i="1" s="1"/>
  <c r="R182" i="1"/>
  <c r="BB195" i="1"/>
  <c r="BB182" i="1" s="1"/>
  <c r="AY195" i="1"/>
  <c r="I182" i="1"/>
  <c r="AS182" i="1" s="1"/>
  <c r="AS195" i="1"/>
  <c r="AV195" i="1"/>
  <c r="BI357" i="1"/>
  <c r="BI353" i="1" s="1"/>
  <c r="AK353" i="1"/>
  <c r="AK363" i="1" s="1"/>
  <c r="BF357" i="1"/>
  <c r="BF353" i="1" s="1"/>
  <c r="AB353" i="1"/>
  <c r="AB363" i="1" s="1"/>
  <c r="BC194" i="1"/>
  <c r="S357" i="1"/>
  <c r="J357" i="1"/>
  <c r="AZ194" i="1"/>
  <c r="AW194" i="1"/>
  <c r="AY194" i="1"/>
  <c r="AV194" i="1"/>
  <c r="AS194" i="1"/>
  <c r="AZ193" i="1"/>
  <c r="AW193" i="1"/>
  <c r="AY193" i="1"/>
  <c r="AV193" i="1"/>
  <c r="AS193" i="1"/>
  <c r="AZ192" i="1"/>
  <c r="AW192" i="1"/>
  <c r="AV192" i="1"/>
  <c r="AY192" i="1"/>
  <c r="AS192" i="1"/>
  <c r="AS191" i="1"/>
  <c r="AY191" i="1"/>
  <c r="AV191" i="1"/>
  <c r="AS190" i="1"/>
  <c r="AY190" i="1"/>
  <c r="AV190" i="1"/>
  <c r="AW189" i="1"/>
  <c r="AZ189" i="1"/>
  <c r="AY189" i="1"/>
  <c r="AV189" i="1"/>
  <c r="AS189" i="1"/>
  <c r="AY188" i="1"/>
  <c r="AV188" i="1"/>
  <c r="AS188" i="1"/>
  <c r="AV187" i="1"/>
  <c r="AY187" i="1"/>
  <c r="AS187" i="1"/>
  <c r="AS186" i="1"/>
  <c r="AV186" i="1"/>
  <c r="AY186" i="1"/>
  <c r="AS185" i="1"/>
  <c r="AV185" i="1"/>
  <c r="AY185" i="1"/>
  <c r="AY184" i="1"/>
  <c r="AS184" i="1"/>
  <c r="AV184" i="1"/>
  <c r="AV183" i="1"/>
  <c r="AV182" i="1" s="1"/>
  <c r="AS183" i="1"/>
  <c r="AY183" i="1"/>
  <c r="AY182" i="1" s="1"/>
  <c r="BI180" i="1"/>
  <c r="BI179" i="1" s="1"/>
  <c r="AK181" i="1"/>
  <c r="BI181" i="1" s="1"/>
  <c r="BF181" i="1"/>
  <c r="BF180" i="1"/>
  <c r="BF179" i="1" s="1"/>
  <c r="BC180" i="1"/>
  <c r="BC179" i="1" s="1"/>
  <c r="S181" i="1"/>
  <c r="BC181" i="1" s="1"/>
  <c r="J181" i="1"/>
  <c r="AZ180" i="1"/>
  <c r="AZ179" i="1" s="1"/>
  <c r="AW180" i="1"/>
  <c r="AW179" i="1" s="1"/>
  <c r="AT180" i="1"/>
  <c r="AS180" i="1"/>
  <c r="AY180" i="1"/>
  <c r="AY179" i="1" s="1"/>
  <c r="AV180" i="1"/>
  <c r="AV179" i="1" s="1"/>
  <c r="C70" i="3"/>
  <c r="AQ195" i="1"/>
  <c r="AQ183" i="1"/>
  <c r="AQ186" i="1"/>
  <c r="AQ187" i="1"/>
  <c r="AQ191" i="1" s="1"/>
  <c r="AN195" i="1"/>
  <c r="AN186" i="1"/>
  <c r="AN187" i="1"/>
  <c r="AN191" i="1" s="1"/>
  <c r="AN183" i="1"/>
  <c r="C69" i="3"/>
  <c r="AK187" i="1"/>
  <c r="AK195" i="1"/>
  <c r="BI120" i="1"/>
  <c r="AK186" i="1"/>
  <c r="C68" i="3"/>
  <c r="C67" i="3"/>
  <c r="AH195" i="1"/>
  <c r="AH183" i="1" s="1"/>
  <c r="AH186" i="1"/>
  <c r="AH187" i="1"/>
  <c r="AH191" i="1" s="1"/>
  <c r="C66" i="3"/>
  <c r="AE187" i="1"/>
  <c r="AE191" i="1" s="1"/>
  <c r="AE186" i="1"/>
  <c r="AE195" i="1"/>
  <c r="AE183" i="1" s="1"/>
  <c r="AD213" i="1"/>
  <c r="AD214" i="1"/>
  <c r="AD308" i="1"/>
  <c r="BF120" i="1"/>
  <c r="AB187" i="1"/>
  <c r="C65" i="3"/>
  <c r="AB195" i="1"/>
  <c r="AB183" i="1" s="1"/>
  <c r="AB186" i="1"/>
  <c r="BE120" i="1"/>
  <c r="Y195" i="1"/>
  <c r="Y187" i="1"/>
  <c r="Y191" i="1" s="1"/>
  <c r="C64" i="3"/>
  <c r="Y183" i="1"/>
  <c r="Y186" i="1"/>
  <c r="X213" i="1"/>
  <c r="X214" i="1"/>
  <c r="X308" i="1"/>
  <c r="V186" i="1"/>
  <c r="C63" i="3"/>
  <c r="V187" i="1"/>
  <c r="V191" i="1" s="1"/>
  <c r="V195" i="1"/>
  <c r="V183" i="1"/>
  <c r="U308" i="1"/>
  <c r="U214" i="1"/>
  <c r="U213" i="1"/>
  <c r="S186" i="1"/>
  <c r="C62" i="3"/>
  <c r="BC120" i="1"/>
  <c r="S195" i="1"/>
  <c r="BC195" i="1" s="1"/>
  <c r="S187" i="1"/>
  <c r="S183" i="1"/>
  <c r="BB120" i="1"/>
  <c r="R106" i="1"/>
  <c r="P195" i="1"/>
  <c r="P183" i="1"/>
  <c r="P187" i="1"/>
  <c r="P191" i="1" s="1"/>
  <c r="P186" i="1"/>
  <c r="C61" i="3"/>
  <c r="O214" i="1"/>
  <c r="O308" i="1"/>
  <c r="O213" i="1"/>
  <c r="C60" i="3"/>
  <c r="M186" i="1"/>
  <c r="M187" i="1"/>
  <c r="M191" i="1" s="1"/>
  <c r="M195" i="1"/>
  <c r="M183" i="1" s="1"/>
  <c r="L213" i="1"/>
  <c r="L308" i="1"/>
  <c r="L214" i="1"/>
  <c r="C59" i="3"/>
  <c r="AT120" i="1"/>
  <c r="J195" i="1"/>
  <c r="AW120" i="1"/>
  <c r="J185" i="1"/>
  <c r="V185" i="1"/>
  <c r="S185" i="1"/>
  <c r="P185" i="1"/>
  <c r="M185" i="1"/>
  <c r="AQ184" i="1"/>
  <c r="Y185" i="1"/>
  <c r="AB185" i="1"/>
  <c r="AN184" i="1"/>
  <c r="AH185" i="1"/>
  <c r="AK184" i="1"/>
  <c r="BI184" i="1" s="1"/>
  <c r="AK185" i="1"/>
  <c r="AN185" i="1"/>
  <c r="AQ185" i="1"/>
  <c r="J186" i="1"/>
  <c r="AH184" i="1"/>
  <c r="AE184" i="1"/>
  <c r="AZ120" i="1"/>
  <c r="J187" i="1"/>
  <c r="AB184" i="1"/>
  <c r="AS120" i="1"/>
  <c r="AV120" i="1"/>
  <c r="I106" i="1"/>
  <c r="AY120" i="1"/>
  <c r="AP213" i="1"/>
  <c r="AP214" i="1"/>
  <c r="AP308" i="1"/>
  <c r="AM213" i="1"/>
  <c r="AM214" i="1"/>
  <c r="AM308" i="1"/>
  <c r="AK107" i="1"/>
  <c r="BI119" i="1"/>
  <c r="BI107" i="1" s="1"/>
  <c r="AJ107" i="1"/>
  <c r="AJ106" i="1" s="1"/>
  <c r="BH119" i="1"/>
  <c r="BH107" i="1" s="1"/>
  <c r="BH106" i="1" s="1"/>
  <c r="AV119" i="1"/>
  <c r="BE119" i="1"/>
  <c r="BE107" i="1" s="1"/>
  <c r="BE106" i="1" s="1"/>
  <c r="AG107" i="1"/>
  <c r="AG106" i="1" s="1"/>
  <c r="AW119" i="1"/>
  <c r="AT119" i="1"/>
  <c r="BF119" i="1"/>
  <c r="BF107" i="1" s="1"/>
  <c r="AE107" i="1"/>
  <c r="AW118" i="1"/>
  <c r="AZ118" i="1"/>
  <c r="AY118" i="1"/>
  <c r="AS118" i="1"/>
  <c r="AV118" i="1"/>
  <c r="AZ117" i="1"/>
  <c r="AW117" i="1"/>
  <c r="AY117" i="1"/>
  <c r="AV117" i="1"/>
  <c r="AS117" i="1"/>
  <c r="AZ116" i="1"/>
  <c r="AW116" i="1"/>
  <c r="AY116" i="1"/>
  <c r="AV116" i="1"/>
  <c r="AS116" i="1"/>
  <c r="AZ115" i="1"/>
  <c r="AW115" i="1"/>
  <c r="AY115" i="1"/>
  <c r="AV115" i="1"/>
  <c r="AS115" i="1"/>
  <c r="AZ114" i="1"/>
  <c r="AW114" i="1"/>
  <c r="AY114" i="1"/>
  <c r="AV114" i="1"/>
  <c r="AS114" i="1"/>
  <c r="AZ113" i="1"/>
  <c r="AW113" i="1"/>
  <c r="AY113" i="1"/>
  <c r="AV113" i="1"/>
  <c r="AS113" i="1"/>
  <c r="AZ112" i="1"/>
  <c r="AW112" i="1"/>
  <c r="AY112" i="1"/>
  <c r="AV112" i="1"/>
  <c r="AS112" i="1"/>
  <c r="AZ111" i="1"/>
  <c r="AW111" i="1"/>
  <c r="AY111" i="1"/>
  <c r="AV111" i="1"/>
  <c r="AS111" i="1"/>
  <c r="AZ110" i="1"/>
  <c r="AW110" i="1"/>
  <c r="AT110" i="1"/>
  <c r="AY110" i="1"/>
  <c r="AV110" i="1"/>
  <c r="AS110" i="1"/>
  <c r="AW109" i="1"/>
  <c r="AZ109" i="1"/>
  <c r="AT109" i="1"/>
  <c r="AY109" i="1"/>
  <c r="AV109" i="1"/>
  <c r="AS109" i="1"/>
  <c r="AW108" i="1"/>
  <c r="AZ108" i="1"/>
  <c r="AT108" i="1"/>
  <c r="AY108" i="1"/>
  <c r="AV108" i="1"/>
  <c r="AS108" i="1"/>
  <c r="AW98" i="1"/>
  <c r="AZ98" i="1"/>
  <c r="AT98" i="1"/>
  <c r="AY98" i="1"/>
  <c r="AS98" i="1"/>
  <c r="AV98" i="1"/>
  <c r="AZ97" i="1"/>
  <c r="AW97" i="1"/>
  <c r="AT97" i="1"/>
  <c r="AS97" i="1"/>
  <c r="AV97" i="1"/>
  <c r="AY97" i="1"/>
  <c r="BI96" i="1"/>
  <c r="BI94" i="1" s="1"/>
  <c r="AK100" i="1"/>
  <c r="BF96" i="1"/>
  <c r="BF94" i="1" s="1"/>
  <c r="AB100" i="1"/>
  <c r="BC96" i="1"/>
  <c r="BC94" i="1" s="1"/>
  <c r="S100" i="1"/>
  <c r="AZ96" i="1"/>
  <c r="J100" i="1"/>
  <c r="AT96" i="1"/>
  <c r="AW96" i="1"/>
  <c r="AS96" i="1"/>
  <c r="AV96" i="1"/>
  <c r="AY96" i="1"/>
  <c r="AT95" i="1"/>
  <c r="AT94" i="1" s="1"/>
  <c r="AW95" i="1"/>
  <c r="AW94" i="1" s="1"/>
  <c r="AZ95" i="1"/>
  <c r="AZ94" i="1" s="1"/>
  <c r="AV95" i="1"/>
  <c r="AV94" i="1" s="1"/>
  <c r="AS95" i="1"/>
  <c r="AY95" i="1"/>
  <c r="AY94" i="1" s="1"/>
  <c r="BG102" i="1"/>
  <c r="BG103" i="1" s="1"/>
  <c r="BG99" i="1"/>
  <c r="BD99" i="1"/>
  <c r="BD102" i="1"/>
  <c r="BD103" i="1" s="1"/>
  <c r="BA99" i="1"/>
  <c r="BA102" i="1"/>
  <c r="BA103" i="1" s="1"/>
  <c r="AX99" i="1"/>
  <c r="AX102" i="1"/>
  <c r="AX103" i="1" s="1"/>
  <c r="AU99" i="1"/>
  <c r="AU102" i="1"/>
  <c r="AU103" i="1" s="1"/>
  <c r="AQ99" i="1"/>
  <c r="AP99" i="1"/>
  <c r="AP102" i="1"/>
  <c r="AP103" i="1" s="1"/>
  <c r="AN99" i="1"/>
  <c r="AM102" i="1"/>
  <c r="AM103" i="1" s="1"/>
  <c r="AM99" i="1"/>
  <c r="AK99" i="1"/>
  <c r="AJ99" i="1"/>
  <c r="AH99" i="1"/>
  <c r="AG102" i="1"/>
  <c r="AG103" i="1" s="1"/>
  <c r="AG99" i="1"/>
  <c r="AE99" i="1"/>
  <c r="AD102" i="1"/>
  <c r="AD103" i="1" s="1"/>
  <c r="AD99" i="1"/>
  <c r="AB99" i="1"/>
  <c r="AA99" i="1"/>
  <c r="Y99" i="1"/>
  <c r="X102" i="1"/>
  <c r="X103" i="1" s="1"/>
  <c r="X99" i="1"/>
  <c r="V99" i="1"/>
  <c r="U99" i="1"/>
  <c r="U102" i="1"/>
  <c r="U103" i="1" s="1"/>
  <c r="S99" i="1"/>
  <c r="R102" i="1"/>
  <c r="R103" i="1" s="1"/>
  <c r="R99" i="1"/>
  <c r="P99" i="1"/>
  <c r="O99" i="1"/>
  <c r="O102" i="1"/>
  <c r="O103" i="1" s="1"/>
  <c r="M99" i="1"/>
  <c r="L102" i="1"/>
  <c r="L103" i="1" s="1"/>
  <c r="L99" i="1"/>
  <c r="J99" i="1"/>
  <c r="I99" i="1"/>
  <c r="AT90" i="1"/>
  <c r="AW90" i="1"/>
  <c r="AZ90" i="1"/>
  <c r="AW89" i="1"/>
  <c r="AW88" i="1" s="1"/>
  <c r="AT89" i="1"/>
  <c r="AZ89" i="1"/>
  <c r="AZ88" i="1" s="1"/>
  <c r="AY89" i="1"/>
  <c r="AY88" i="1" s="1"/>
  <c r="AV89" i="1"/>
  <c r="AV88" i="1" s="1"/>
  <c r="AS89" i="1"/>
  <c r="AS88" i="1" s="1"/>
  <c r="AZ84" i="1"/>
  <c r="AW84" i="1"/>
  <c r="AY84" i="1"/>
  <c r="AV84" i="1"/>
  <c r="AS84" i="1"/>
  <c r="AW83" i="1"/>
  <c r="AW82" i="1" s="1"/>
  <c r="AT83" i="1"/>
  <c r="AZ83" i="1"/>
  <c r="AZ82" i="1" s="1"/>
  <c r="AV83" i="1"/>
  <c r="AV82" i="1" s="1"/>
  <c r="AS83" i="1"/>
  <c r="AY83" i="1"/>
  <c r="AY82" i="1" s="1"/>
  <c r="AZ81" i="1"/>
  <c r="AW81" i="1"/>
  <c r="AT81" i="1"/>
  <c r="AY81" i="1"/>
  <c r="AV81" i="1"/>
  <c r="AS81" i="1"/>
  <c r="AZ80" i="1"/>
  <c r="AW80" i="1"/>
  <c r="AT80" i="1"/>
  <c r="AY80" i="1"/>
  <c r="AS80" i="1"/>
  <c r="AV80" i="1"/>
  <c r="AW79" i="1"/>
  <c r="AT79" i="1"/>
  <c r="AZ79" i="1"/>
  <c r="AV79" i="1"/>
  <c r="AY79" i="1"/>
  <c r="AS79" i="1"/>
  <c r="AW78" i="1"/>
  <c r="AW77" i="1" s="1"/>
  <c r="AZ78" i="1"/>
  <c r="AZ77" i="1" s="1"/>
  <c r="AT78" i="1"/>
  <c r="AY78" i="1"/>
  <c r="AY77" i="1" s="1"/>
  <c r="AV78" i="1"/>
  <c r="AV77" i="1" s="1"/>
  <c r="AS78" i="1"/>
  <c r="AW76" i="1"/>
  <c r="AT76" i="1"/>
  <c r="AZ76" i="1"/>
  <c r="AY76" i="1"/>
  <c r="AS76" i="1"/>
  <c r="AV76" i="1"/>
  <c r="AZ75" i="1"/>
  <c r="AW75" i="1"/>
  <c r="AT75" i="1"/>
  <c r="AS75" i="1"/>
  <c r="AV75" i="1"/>
  <c r="AY75" i="1"/>
  <c r="AZ74" i="1"/>
  <c r="AZ73" i="1" s="1"/>
  <c r="AT74" i="1"/>
  <c r="AW74" i="1"/>
  <c r="AW73" i="1" s="1"/>
  <c r="AS74" i="1"/>
  <c r="AV74" i="1"/>
  <c r="AV73" i="1" s="1"/>
  <c r="AY74" i="1"/>
  <c r="AY73" i="1" s="1"/>
  <c r="AZ69" i="1"/>
  <c r="AW69" i="1"/>
  <c r="AT69" i="1"/>
  <c r="AY69" i="1"/>
  <c r="AS69" i="1"/>
  <c r="AV69" i="1"/>
  <c r="AT68" i="1"/>
  <c r="AZ68" i="1"/>
  <c r="AW68" i="1"/>
  <c r="AS68" i="1"/>
  <c r="AV68" i="1"/>
  <c r="AY68" i="1"/>
  <c r="AZ67" i="1"/>
  <c r="AW67" i="1"/>
  <c r="AT67" i="1"/>
  <c r="AS67" i="1"/>
  <c r="AY67" i="1"/>
  <c r="AV67" i="1"/>
  <c r="AT66" i="1"/>
  <c r="AW66" i="1"/>
  <c r="AW65" i="1" s="1"/>
  <c r="AZ66" i="1"/>
  <c r="AZ65" i="1" s="1"/>
  <c r="AS66" i="1"/>
  <c r="AY66" i="1"/>
  <c r="AY65" i="1" s="1"/>
  <c r="AV66" i="1"/>
  <c r="AV65" i="1" s="1"/>
  <c r="AT64" i="1"/>
  <c r="AZ64" i="1"/>
  <c r="AW64" i="1"/>
  <c r="AY64" i="1"/>
  <c r="AV64" i="1"/>
  <c r="AS64" i="1"/>
  <c r="AT63" i="1"/>
  <c r="AZ63" i="1"/>
  <c r="AW63" i="1"/>
  <c r="AS63" i="1"/>
  <c r="AY63" i="1"/>
  <c r="AV63" i="1"/>
  <c r="AW62" i="1"/>
  <c r="AT62" i="1"/>
  <c r="AZ62" i="1"/>
  <c r="AY62" i="1"/>
  <c r="AV62" i="1"/>
  <c r="AS62" i="1"/>
  <c r="AT61" i="1"/>
  <c r="AW61" i="1"/>
  <c r="AW60" i="1" s="1"/>
  <c r="AZ61" i="1"/>
  <c r="AZ60" i="1" s="1"/>
  <c r="AS61" i="1"/>
  <c r="AV61" i="1"/>
  <c r="AV60" i="1" s="1"/>
  <c r="AY61" i="1"/>
  <c r="AY60" i="1" s="1"/>
  <c r="AT59" i="1"/>
  <c r="AZ59" i="1"/>
  <c r="AW59" i="1"/>
  <c r="AY59" i="1"/>
  <c r="AV59" i="1"/>
  <c r="AS59" i="1"/>
  <c r="AX85" i="1"/>
  <c r="AX86" i="1"/>
  <c r="AU85" i="1"/>
  <c r="AU86" i="1"/>
  <c r="AQ85" i="1"/>
  <c r="AQ86" i="1"/>
  <c r="AP85" i="1"/>
  <c r="AP86" i="1"/>
  <c r="AN85" i="1"/>
  <c r="AN86" i="1"/>
  <c r="AM85" i="1"/>
  <c r="AM86" i="1"/>
  <c r="BI58" i="1"/>
  <c r="BI57" i="1" s="1"/>
  <c r="BI56" i="1" s="1"/>
  <c r="AK57" i="1"/>
  <c r="AK56" i="1" s="1"/>
  <c r="BH58" i="1"/>
  <c r="BH57" i="1" s="1"/>
  <c r="BH56" i="1" s="1"/>
  <c r="AJ57" i="1"/>
  <c r="AJ56" i="1" s="1"/>
  <c r="AJ102" i="1" s="1"/>
  <c r="AJ103" i="1" s="1"/>
  <c r="AH85" i="1"/>
  <c r="AH86" i="1"/>
  <c r="AG85" i="1"/>
  <c r="AG86" i="1"/>
  <c r="AE85" i="1"/>
  <c r="AE86" i="1"/>
  <c r="AD85" i="1"/>
  <c r="AD86" i="1"/>
  <c r="BF58" i="1"/>
  <c r="BF57" i="1" s="1"/>
  <c r="BF56" i="1" s="1"/>
  <c r="AB57" i="1"/>
  <c r="BE58" i="1"/>
  <c r="BE57" i="1" s="1"/>
  <c r="BE56" i="1" s="1"/>
  <c r="AA57" i="1"/>
  <c r="AA56" i="1" s="1"/>
  <c r="AA102" i="1" s="1"/>
  <c r="AA103" i="1" s="1"/>
  <c r="Y85" i="1"/>
  <c r="Y86" i="1"/>
  <c r="X85" i="1"/>
  <c r="X86" i="1"/>
  <c r="V85" i="1"/>
  <c r="V86" i="1"/>
  <c r="U85" i="1"/>
  <c r="U86" i="1"/>
  <c r="BC58" i="1"/>
  <c r="BC57" i="1" s="1"/>
  <c r="BC56" i="1" s="1"/>
  <c r="S57" i="1"/>
  <c r="S56" i="1" s="1"/>
  <c r="R57" i="1"/>
  <c r="R56" i="1" s="1"/>
  <c r="BB58" i="1"/>
  <c r="BB57" i="1" s="1"/>
  <c r="P85" i="1"/>
  <c r="P86" i="1"/>
  <c r="O85" i="1"/>
  <c r="O86" i="1"/>
  <c r="M85" i="1"/>
  <c r="M86" i="1"/>
  <c r="L85" i="1"/>
  <c r="L86" i="1"/>
  <c r="AT58" i="1"/>
  <c r="J57" i="1"/>
  <c r="J56" i="1" s="1"/>
  <c r="AZ58" i="1"/>
  <c r="AW58" i="1"/>
  <c r="I57" i="1"/>
  <c r="AV58" i="1"/>
  <c r="AS58" i="1"/>
  <c r="AY58" i="1"/>
  <c r="BG85" i="1"/>
  <c r="BG86" i="1"/>
  <c r="BD85" i="1"/>
  <c r="BD86" i="1"/>
  <c r="BA85" i="1"/>
  <c r="BA86" i="1"/>
  <c r="AZ52" i="1"/>
  <c r="AW52" i="1"/>
  <c r="AY52" i="1"/>
  <c r="AS52" i="1"/>
  <c r="AV52" i="1"/>
  <c r="AW51" i="1"/>
  <c r="AZ51" i="1"/>
  <c r="AS51" i="1"/>
  <c r="AV51" i="1"/>
  <c r="AY51" i="1"/>
  <c r="AZ50" i="1"/>
  <c r="AZ49" i="1" s="1"/>
  <c r="AW50" i="1"/>
  <c r="AW49" i="1" s="1"/>
  <c r="AY50" i="1"/>
  <c r="AY49" i="1" s="1"/>
  <c r="AS50" i="1"/>
  <c r="AV50" i="1"/>
  <c r="AV49" i="1" s="1"/>
  <c r="AZ48" i="1"/>
  <c r="AW48" i="1"/>
  <c r="AV48" i="1"/>
  <c r="AS48" i="1"/>
  <c r="AY48" i="1"/>
  <c r="AW47" i="1"/>
  <c r="AZ47" i="1"/>
  <c r="AS47" i="1"/>
  <c r="AV47" i="1"/>
  <c r="AY47" i="1"/>
  <c r="AZ46" i="1"/>
  <c r="AW46" i="1"/>
  <c r="AZ45" i="1"/>
  <c r="AW45" i="1"/>
  <c r="AY45" i="1"/>
  <c r="AV45" i="1"/>
  <c r="AS45" i="1"/>
  <c r="BI53" i="1"/>
  <c r="BH53" i="1"/>
  <c r="BF53" i="1"/>
  <c r="BE53" i="1"/>
  <c r="BC53" i="1"/>
  <c r="BB53" i="1"/>
  <c r="AZ44" i="1"/>
  <c r="AZ43" i="1" s="1"/>
  <c r="AZ42" i="1" s="1"/>
  <c r="AW44" i="1"/>
  <c r="AW43" i="1" s="1"/>
  <c r="AW42" i="1" s="1"/>
  <c r="AY44" i="1"/>
  <c r="AY43" i="1" s="1"/>
  <c r="AY42" i="1" s="1"/>
  <c r="AV44" i="1"/>
  <c r="AV43" i="1" s="1"/>
  <c r="AV42" i="1" s="1"/>
  <c r="AS44" i="1"/>
  <c r="BG54" i="1"/>
  <c r="BG53" i="1"/>
  <c r="BD54" i="1"/>
  <c r="BD53" i="1"/>
  <c r="BA54" i="1"/>
  <c r="BA53" i="1"/>
  <c r="AX54" i="1"/>
  <c r="AX53" i="1"/>
  <c r="AU54" i="1"/>
  <c r="AU53" i="1"/>
  <c r="AQ54" i="1"/>
  <c r="AQ53" i="1"/>
  <c r="AP54" i="1"/>
  <c r="AP53" i="1"/>
  <c r="AN54" i="1"/>
  <c r="AN53" i="1"/>
  <c r="AM53" i="1"/>
  <c r="AM54" i="1"/>
  <c r="AK53" i="1"/>
  <c r="AK54" i="1"/>
  <c r="AJ53" i="1"/>
  <c r="AJ54" i="1"/>
  <c r="AH53" i="1"/>
  <c r="AH54" i="1"/>
  <c r="AG53" i="1"/>
  <c r="AG54" i="1"/>
  <c r="AE53" i="1"/>
  <c r="AE54" i="1"/>
  <c r="AD53" i="1"/>
  <c r="AD54" i="1"/>
  <c r="AB54" i="1"/>
  <c r="AB53" i="1"/>
  <c r="AA53" i="1"/>
  <c r="AA54" i="1"/>
  <c r="Y53" i="1"/>
  <c r="Y54" i="1"/>
  <c r="X54" i="1"/>
  <c r="X53" i="1"/>
  <c r="V54" i="1"/>
  <c r="V53" i="1"/>
  <c r="U53" i="1"/>
  <c r="U54" i="1"/>
  <c r="S53" i="1"/>
  <c r="S54" i="1"/>
  <c r="R54" i="1"/>
  <c r="R53" i="1"/>
  <c r="P54" i="1"/>
  <c r="P53" i="1"/>
  <c r="O54" i="1"/>
  <c r="O53" i="1"/>
  <c r="M54" i="1"/>
  <c r="M53" i="1"/>
  <c r="L54" i="1"/>
  <c r="L53" i="1"/>
  <c r="J53" i="1"/>
  <c r="J54" i="1"/>
  <c r="I53" i="1"/>
  <c r="I54" i="1"/>
  <c r="AS38" i="1"/>
  <c r="AV38" i="1"/>
  <c r="AY38" i="1"/>
  <c r="AZ37" i="1"/>
  <c r="AW37" i="1"/>
  <c r="AY37" i="1"/>
  <c r="AV37" i="1"/>
  <c r="AS37" i="1"/>
  <c r="AS36" i="1"/>
  <c r="AY36" i="1"/>
  <c r="AV36" i="1"/>
  <c r="BH39" i="1"/>
  <c r="BE39" i="1"/>
  <c r="BB39" i="1"/>
  <c r="AS35" i="1"/>
  <c r="AV35" i="1"/>
  <c r="AV34" i="1" s="1"/>
  <c r="AY35" i="1"/>
  <c r="AY34" i="1" s="1"/>
  <c r="BG40" i="1"/>
  <c r="BG39" i="1"/>
  <c r="BD39" i="1"/>
  <c r="BD40" i="1"/>
  <c r="BA40" i="1"/>
  <c r="BA39" i="1"/>
  <c r="AX40" i="1"/>
  <c r="AX39" i="1"/>
  <c r="AU39" i="1"/>
  <c r="AU40" i="1"/>
  <c r="AP39" i="1"/>
  <c r="AP40" i="1"/>
  <c r="AM39" i="1"/>
  <c r="AM40" i="1"/>
  <c r="AJ39" i="1"/>
  <c r="AJ40" i="1"/>
  <c r="AG39" i="1"/>
  <c r="AG40" i="1"/>
  <c r="AD39" i="1"/>
  <c r="AD40" i="1"/>
  <c r="AA39" i="1"/>
  <c r="AA40" i="1"/>
  <c r="X40" i="1"/>
  <c r="X39" i="1"/>
  <c r="U39" i="1"/>
  <c r="U40" i="1"/>
  <c r="R39" i="1"/>
  <c r="R40" i="1"/>
  <c r="O39" i="1"/>
  <c r="O40" i="1"/>
  <c r="L39" i="1"/>
  <c r="L40" i="1"/>
  <c r="I39" i="1"/>
  <c r="I40" i="1"/>
  <c r="AS30" i="1"/>
  <c r="AV30" i="1"/>
  <c r="AY30" i="1"/>
  <c r="AS29" i="1"/>
  <c r="AV29" i="1"/>
  <c r="AY29" i="1"/>
  <c r="AS28" i="1"/>
  <c r="AV28" i="1"/>
  <c r="AV27" i="1" s="1"/>
  <c r="AY28" i="1"/>
  <c r="AY27" i="1" s="1"/>
  <c r="AZ24" i="1"/>
  <c r="AW24" i="1"/>
  <c r="AY24" i="1"/>
  <c r="AV24" i="1"/>
  <c r="AS24" i="1"/>
  <c r="AZ23" i="1"/>
  <c r="AW23" i="1"/>
  <c r="AY23" i="1"/>
  <c r="AV23" i="1"/>
  <c r="AS23" i="1"/>
  <c r="AW22" i="1"/>
  <c r="AW21" i="1" s="1"/>
  <c r="AZ22" i="1"/>
  <c r="AZ21" i="1" s="1"/>
  <c r="AY22" i="1"/>
  <c r="AY21" i="1" s="1"/>
  <c r="AV22" i="1"/>
  <c r="AV21" i="1" s="1"/>
  <c r="AS22" i="1"/>
  <c r="R27" i="3"/>
  <c r="R33" i="3"/>
  <c r="Q27" i="3"/>
  <c r="Q33" i="3"/>
  <c r="P16" i="3"/>
  <c r="BI19" i="1"/>
  <c r="N27" i="3"/>
  <c r="N33" i="3"/>
  <c r="M27" i="3"/>
  <c r="M33" i="3"/>
  <c r="BF19" i="1"/>
  <c r="L16" i="3"/>
  <c r="J27" i="3"/>
  <c r="J33" i="3"/>
  <c r="I27" i="3"/>
  <c r="I33" i="3"/>
  <c r="H16" i="3"/>
  <c r="BC19" i="1"/>
  <c r="F27" i="3"/>
  <c r="F33" i="3"/>
  <c r="E27" i="3"/>
  <c r="E33" i="3"/>
  <c r="AW19" i="1"/>
  <c r="AZ19" i="1"/>
  <c r="D16" i="3"/>
  <c r="AV19" i="1"/>
  <c r="AS19" i="1"/>
  <c r="AY19" i="1"/>
  <c r="P15" i="3"/>
  <c r="S15" i="3" s="1"/>
  <c r="BI18" i="1"/>
  <c r="L15" i="3"/>
  <c r="O15" i="3" s="1"/>
  <c r="BF18" i="1"/>
  <c r="BC18" i="1"/>
  <c r="H15" i="3"/>
  <c r="K15" i="3" s="1"/>
  <c r="AZ18" i="1"/>
  <c r="AW18" i="1"/>
  <c r="D15" i="3"/>
  <c r="G15" i="3" s="1"/>
  <c r="T15" i="3" s="1"/>
  <c r="AY18" i="1"/>
  <c r="AV18" i="1"/>
  <c r="AS18" i="1"/>
  <c r="AY17" i="1"/>
  <c r="AV17" i="1"/>
  <c r="AS17" i="1"/>
  <c r="BI16" i="1"/>
  <c r="P6" i="3"/>
  <c r="S6" i="3" s="1"/>
  <c r="BF16" i="1"/>
  <c r="L6" i="3"/>
  <c r="O6" i="3" s="1"/>
  <c r="BC16" i="1"/>
  <c r="H6" i="3"/>
  <c r="K6" i="3" s="1"/>
  <c r="AW16" i="1"/>
  <c r="D6" i="3"/>
  <c r="G6" i="3" s="1"/>
  <c r="T6" i="3" s="1"/>
  <c r="AZ16" i="1"/>
  <c r="AV16" i="1"/>
  <c r="AS16" i="1"/>
  <c r="AY16" i="1"/>
  <c r="BI15" i="1"/>
  <c r="P5" i="3"/>
  <c r="BF15" i="1"/>
  <c r="L5" i="3"/>
  <c r="BC15" i="1"/>
  <c r="H5" i="3"/>
  <c r="D5" i="3"/>
  <c r="AW15" i="1"/>
  <c r="AZ15" i="1"/>
  <c r="AY15" i="1"/>
  <c r="AV15" i="1"/>
  <c r="AS15" i="1"/>
  <c r="R10" i="3"/>
  <c r="R9" i="3" s="1"/>
  <c r="AC6" i="2"/>
  <c r="AQ20" i="1"/>
  <c r="Q10" i="3"/>
  <c r="Q9" i="3" s="1"/>
  <c r="AN20" i="1"/>
  <c r="AB6" i="2"/>
  <c r="P10" i="3"/>
  <c r="S10" i="3" s="1"/>
  <c r="AA6" i="2"/>
  <c r="AK20" i="1"/>
  <c r="BI14" i="1"/>
  <c r="BI20" i="1" s="1"/>
  <c r="AJ20" i="1"/>
  <c r="BH14" i="1"/>
  <c r="N10" i="3"/>
  <c r="N9" i="3" s="1"/>
  <c r="Z6" i="2"/>
  <c r="AH20" i="1"/>
  <c r="Y6" i="2"/>
  <c r="M10" i="3"/>
  <c r="M9" i="3" s="1"/>
  <c r="AE20" i="1"/>
  <c r="L10" i="3"/>
  <c r="O10" i="3" s="1"/>
  <c r="AB20" i="1"/>
  <c r="X6" i="2"/>
  <c r="BF14" i="1"/>
  <c r="BF20" i="1" s="1"/>
  <c r="AA20" i="1"/>
  <c r="BE14" i="1"/>
  <c r="Y20" i="1"/>
  <c r="W6" i="2"/>
  <c r="J10" i="3"/>
  <c r="J9" i="3" s="1"/>
  <c r="V20" i="1"/>
  <c r="V6" i="2"/>
  <c r="I10" i="3"/>
  <c r="I9" i="3" s="1"/>
  <c r="S20" i="1"/>
  <c r="U6" i="2"/>
  <c r="BC14" i="1"/>
  <c r="BC20" i="1" s="1"/>
  <c r="H10" i="3"/>
  <c r="K10" i="3" s="1"/>
  <c r="R20" i="1"/>
  <c r="BB14" i="1"/>
  <c r="T6" i="2"/>
  <c r="P20" i="1"/>
  <c r="F10" i="3"/>
  <c r="F9" i="3" s="1"/>
  <c r="M20" i="1"/>
  <c r="E10" i="3"/>
  <c r="E9" i="3" s="1"/>
  <c r="S6" i="2"/>
  <c r="J20" i="1"/>
  <c r="AW14" i="1"/>
  <c r="AW20" i="1" s="1"/>
  <c r="R6" i="2"/>
  <c r="D10" i="3"/>
  <c r="G10" i="3" s="1"/>
  <c r="T10" i="3" s="1"/>
  <c r="AZ14" i="1"/>
  <c r="AZ20" i="1" s="1"/>
  <c r="AV14" i="1"/>
  <c r="AV20" i="1" s="1"/>
  <c r="I20" i="1"/>
  <c r="AY14" i="1"/>
  <c r="AS14" i="1"/>
  <c r="P11" i="3"/>
  <c r="BI13" i="1"/>
  <c r="BF13" i="1"/>
  <c r="L11" i="3"/>
  <c r="BC13" i="1"/>
  <c r="H11" i="3"/>
  <c r="AZ13" i="1"/>
  <c r="D11" i="3"/>
  <c r="AW13" i="1"/>
  <c r="AY13" i="1"/>
  <c r="AS13" i="1"/>
  <c r="AV13" i="1"/>
  <c r="BI12" i="1"/>
  <c r="P8" i="3"/>
  <c r="S8" i="3" s="1"/>
  <c r="L8" i="3"/>
  <c r="O8" i="3" s="1"/>
  <c r="BF12" i="1"/>
  <c r="H8" i="3"/>
  <c r="K8" i="3" s="1"/>
  <c r="BC12" i="1"/>
  <c r="AZ12" i="1"/>
  <c r="AW12" i="1"/>
  <c r="D8" i="3"/>
  <c r="G8" i="3" s="1"/>
  <c r="T8" i="3" s="1"/>
  <c r="AY12" i="1"/>
  <c r="AV12" i="1"/>
  <c r="AS12" i="1"/>
  <c r="BI11" i="1"/>
  <c r="P14" i="3"/>
  <c r="S14" i="3" s="1"/>
  <c r="BF11" i="1"/>
  <c r="L14" i="3"/>
  <c r="O14" i="3" s="1"/>
  <c r="BC11" i="1"/>
  <c r="H14" i="3"/>
  <c r="K14" i="3" s="1"/>
  <c r="AZ11" i="1"/>
  <c r="AW11" i="1"/>
  <c r="D14" i="3"/>
  <c r="G14" i="3" s="1"/>
  <c r="T14" i="3" s="1"/>
  <c r="AY11" i="1"/>
  <c r="AV11" i="1"/>
  <c r="AS11" i="1"/>
  <c r="AS53" i="1" s="1"/>
  <c r="BI10" i="1"/>
  <c r="P13" i="3"/>
  <c r="S13" i="3" s="1"/>
  <c r="BF10" i="1"/>
  <c r="L13" i="3"/>
  <c r="O13" i="3" s="1"/>
  <c r="BC10" i="1"/>
  <c r="H13" i="3"/>
  <c r="K13" i="3" s="1"/>
  <c r="D13" i="3"/>
  <c r="G13" i="3" s="1"/>
  <c r="T13" i="3" s="1"/>
  <c r="AZ10" i="1"/>
  <c r="AW10" i="1"/>
  <c r="AY10" i="1"/>
  <c r="AS10" i="1"/>
  <c r="AV10" i="1"/>
  <c r="P12" i="3"/>
  <c r="S12" i="3" s="1"/>
  <c r="BI9" i="1"/>
  <c r="BF9" i="1"/>
  <c r="L12" i="3"/>
  <c r="O12" i="3" s="1"/>
  <c r="BC9" i="1"/>
  <c r="H12" i="3"/>
  <c r="K12" i="3" s="1"/>
  <c r="AW9" i="1"/>
  <c r="AZ9" i="1"/>
  <c r="D12" i="3"/>
  <c r="G12" i="3" s="1"/>
  <c r="T12" i="3" s="1"/>
  <c r="AV9" i="1"/>
  <c r="AS9" i="1"/>
  <c r="AY9" i="1"/>
  <c r="BI305" i="1"/>
  <c r="BI302" i="1" s="1"/>
  <c r="AK302" i="1"/>
  <c r="AK306" i="1" s="1"/>
  <c r="BF305" i="1"/>
  <c r="BF302" i="1" s="1"/>
  <c r="AB302" i="1"/>
  <c r="AB306" i="1" s="1"/>
  <c r="BC305" i="1"/>
  <c r="BC302" i="1" s="1"/>
  <c r="S302" i="1"/>
  <c r="S306" i="1" s="1"/>
  <c r="AW305" i="1"/>
  <c r="AZ305" i="1"/>
  <c r="J302" i="1"/>
  <c r="J306" i="1" s="1"/>
  <c r="AS318" i="1"/>
  <c r="AR318" i="1"/>
  <c r="AT314" i="1"/>
  <c r="AR314" i="1"/>
  <c r="AT305" i="1"/>
  <c r="AR305" i="1"/>
  <c r="AT24" i="1"/>
  <c r="AR24" i="1"/>
  <c r="AT23" i="1"/>
  <c r="AR15" i="1"/>
  <c r="AT14" i="1"/>
  <c r="AT189" i="1"/>
  <c r="AR14" i="1"/>
  <c r="AT15" i="1"/>
  <c r="AR190" i="1"/>
  <c r="AR191" i="1"/>
  <c r="AR192" i="1"/>
  <c r="AT192" i="1"/>
  <c r="AR193" i="1"/>
  <c r="AT193" i="1"/>
  <c r="AS358" i="1"/>
  <c r="AT13" i="1"/>
  <c r="AR194" i="1"/>
  <c r="AR13" i="1"/>
  <c r="AR16" i="1"/>
  <c r="AT194" i="1"/>
  <c r="AT16" i="1"/>
  <c r="AR57" i="1"/>
  <c r="AR56" i="1" s="1"/>
  <c r="AR84" i="1"/>
  <c r="AT84" i="1"/>
  <c r="AR238" i="1"/>
  <c r="AT238" i="1"/>
  <c r="AR239" i="1"/>
  <c r="AT12" i="1"/>
  <c r="AT239" i="1"/>
  <c r="AR12" i="1"/>
  <c r="AT240" i="1"/>
  <c r="AR17" i="1"/>
  <c r="AR244" i="1"/>
  <c r="AT11" i="1"/>
  <c r="AR11" i="1"/>
  <c r="AR247" i="1"/>
  <c r="AT10" i="1"/>
  <c r="AR10" i="1"/>
  <c r="AR240" i="1"/>
  <c r="AS361" i="1"/>
  <c r="AR361" i="1"/>
  <c r="AT360" i="1"/>
  <c r="AS360" i="1"/>
  <c r="AR360" i="1"/>
  <c r="AT359" i="1"/>
  <c r="AT9" i="1"/>
  <c r="AS359" i="1"/>
  <c r="AR9" i="1"/>
  <c r="AT17" i="1"/>
  <c r="AT244" i="1"/>
  <c r="AR245" i="1"/>
  <c r="AT245" i="1"/>
  <c r="AR246" i="1"/>
  <c r="AT246" i="1"/>
  <c r="AR18" i="1"/>
  <c r="AT18" i="1"/>
  <c r="AT247" i="1"/>
  <c r="AR248" i="1"/>
  <c r="AT248" i="1"/>
  <c r="AR249" i="1"/>
  <c r="AT249" i="1"/>
  <c r="AR250" i="1"/>
  <c r="AT250" i="1"/>
  <c r="AR251" i="1"/>
  <c r="AS251" i="1"/>
  <c r="AT251" i="1"/>
  <c r="AR19" i="1"/>
  <c r="AR252" i="1"/>
  <c r="AT19" i="1"/>
  <c r="AS252" i="1"/>
  <c r="AT252" i="1"/>
  <c r="AT111" i="1"/>
  <c r="AR111" i="1"/>
  <c r="AR112" i="1"/>
  <c r="AT112" i="1"/>
  <c r="AR113" i="1"/>
  <c r="AT113" i="1"/>
  <c r="AR114" i="1"/>
  <c r="AT114" i="1"/>
  <c r="AS314" i="1"/>
  <c r="AR20" i="1"/>
  <c r="AT20" i="1"/>
  <c r="AR359" i="1"/>
  <c r="AT358" i="1"/>
  <c r="AR358" i="1"/>
  <c r="AT357" i="1"/>
  <c r="AS357" i="1"/>
  <c r="AT50" i="1"/>
  <c r="AR357" i="1"/>
  <c r="AR50" i="1"/>
  <c r="AT49" i="1"/>
  <c r="AT356" i="1"/>
  <c r="AR49" i="1"/>
  <c r="AS356" i="1"/>
  <c r="AR356" i="1"/>
  <c r="AT355" i="1"/>
  <c r="AS355" i="1"/>
  <c r="AR355" i="1"/>
  <c r="AT354" i="1"/>
  <c r="AS354" i="1"/>
  <c r="AS353" i="1" s="1"/>
  <c r="AR354" i="1"/>
  <c r="AR353" i="1" s="1"/>
  <c r="AT351" i="1"/>
  <c r="AS351" i="1"/>
  <c r="AS334" i="1" s="1"/>
  <c r="AR351" i="1"/>
  <c r="AR334" i="1" s="1"/>
  <c r="AR51" i="1"/>
  <c r="AT51" i="1"/>
  <c r="AT361" i="1"/>
  <c r="AR52" i="1"/>
  <c r="AT321" i="1"/>
  <c r="AR321" i="1"/>
  <c r="AT320" i="1"/>
  <c r="AR320" i="1"/>
  <c r="AR304" i="1"/>
  <c r="AR115" i="1"/>
  <c r="AR22" i="1"/>
  <c r="AT115" i="1"/>
  <c r="AT22" i="1"/>
  <c r="AT21" i="1" s="1"/>
  <c r="AR283" i="1"/>
  <c r="AR280" i="1" s="1"/>
  <c r="AR189" i="1"/>
  <c r="AR29" i="1"/>
  <c r="AR30" i="1"/>
  <c r="AR35" i="1"/>
  <c r="AT35" i="1"/>
  <c r="AR36" i="1"/>
  <c r="AT36" i="1"/>
  <c r="AR37" i="1"/>
  <c r="AT37" i="1"/>
  <c r="AR38" i="1"/>
  <c r="AT38" i="1"/>
  <c r="AR43" i="1"/>
  <c r="AR42" i="1" s="1"/>
  <c r="AT43" i="1"/>
  <c r="AT42" i="1" s="1"/>
  <c r="AR44" i="1"/>
  <c r="AT44" i="1"/>
  <c r="AR45" i="1"/>
  <c r="AT45" i="1"/>
  <c r="AR46" i="1"/>
  <c r="AS46" i="1"/>
  <c r="AT46" i="1"/>
  <c r="AR47" i="1"/>
  <c r="AT47" i="1"/>
  <c r="AT283" i="1"/>
  <c r="AR116" i="1"/>
  <c r="AT116" i="1"/>
  <c r="AR117" i="1"/>
  <c r="AT48" i="1"/>
  <c r="AT117" i="1"/>
  <c r="AR48" i="1"/>
  <c r="AR118" i="1"/>
  <c r="AT118" i="1"/>
  <c r="AR303" i="1"/>
  <c r="AR302" i="1" s="1"/>
  <c r="AT303" i="1"/>
  <c r="AR23" i="1"/>
  <c r="AT304" i="1"/>
  <c r="AT52" i="1"/>
  <c r="BI334" i="1"/>
  <c r="BF334" i="1"/>
  <c r="BC334" i="1"/>
  <c r="BB243" i="1"/>
  <c r="BI226" i="1"/>
  <c r="BH226" i="1"/>
  <c r="BF226" i="1"/>
  <c r="BE226" i="1"/>
  <c r="BC226" i="1"/>
  <c r="BB226" i="1"/>
  <c r="BI205" i="1"/>
  <c r="BH205" i="1"/>
  <c r="BF205" i="1"/>
  <c r="BE205" i="1"/>
  <c r="BC205" i="1"/>
  <c r="BB205" i="1"/>
  <c r="BB77" i="1"/>
  <c r="R4" i="3"/>
  <c r="Q4" i="3"/>
  <c r="N4" i="3"/>
  <c r="M4" i="3"/>
  <c r="J4" i="3"/>
  <c r="I4" i="3"/>
  <c r="F4" i="3"/>
  <c r="E4" i="3"/>
  <c r="AS34" i="1" l="1"/>
  <c r="AS39" i="1" s="1"/>
  <c r="AT353" i="1"/>
  <c r="AT255" i="1"/>
  <c r="AS27" i="1"/>
  <c r="AT88" i="1"/>
  <c r="BA213" i="1"/>
  <c r="BA308" i="1"/>
  <c r="BA214" i="1"/>
  <c r="AX213" i="1"/>
  <c r="AX308" i="1"/>
  <c r="AX214" i="1"/>
  <c r="AU308" i="1"/>
  <c r="AU213" i="1"/>
  <c r="AU214" i="1"/>
  <c r="BG213" i="1"/>
  <c r="BG214" i="1"/>
  <c r="BG308" i="1"/>
  <c r="BD214" i="1"/>
  <c r="BD308" i="1"/>
  <c r="BD213" i="1"/>
  <c r="AT334" i="1"/>
  <c r="AT363" i="1" s="1"/>
  <c r="AT294" i="1"/>
  <c r="AS21" i="1"/>
  <c r="AS325" i="1"/>
  <c r="AS302" i="1"/>
  <c r="AS216" i="1"/>
  <c r="AS106" i="1"/>
  <c r="AS94" i="1"/>
  <c r="C30" i="2"/>
  <c r="C34" i="2"/>
  <c r="AW36" i="1"/>
  <c r="AZ36" i="1"/>
  <c r="O30" i="2"/>
  <c r="O34" i="2"/>
  <c r="AQ39" i="1"/>
  <c r="N30" i="2"/>
  <c r="N34" i="2"/>
  <c r="AN39" i="1"/>
  <c r="M30" i="2"/>
  <c r="M34" i="2"/>
  <c r="BI35" i="1"/>
  <c r="BI34" i="1" s="1"/>
  <c r="AK34" i="1"/>
  <c r="L30" i="2"/>
  <c r="L34" i="2"/>
  <c r="AH39" i="1"/>
  <c r="K30" i="2"/>
  <c r="K34" i="2"/>
  <c r="AE39" i="1"/>
  <c r="J30" i="2"/>
  <c r="J34" i="2"/>
  <c r="BF35" i="1"/>
  <c r="BF34" i="1" s="1"/>
  <c r="AB34" i="1"/>
  <c r="I30" i="2"/>
  <c r="I34" i="2"/>
  <c r="Y39" i="1"/>
  <c r="H30" i="2"/>
  <c r="H34" i="2"/>
  <c r="V39" i="1"/>
  <c r="G30" i="2"/>
  <c r="G34" i="2"/>
  <c r="BC35" i="1"/>
  <c r="BC34" i="1" s="1"/>
  <c r="S34" i="1"/>
  <c r="F30" i="2"/>
  <c r="F34" i="2"/>
  <c r="P39" i="1"/>
  <c r="E30" i="2"/>
  <c r="E34" i="2"/>
  <c r="M39" i="1"/>
  <c r="D30" i="2"/>
  <c r="D34" i="2"/>
  <c r="AW35" i="1"/>
  <c r="AW34" i="1" s="1"/>
  <c r="AZ35" i="1"/>
  <c r="AZ34" i="1" s="1"/>
  <c r="J34" i="1"/>
  <c r="AW318" i="1"/>
  <c r="AZ318" i="1"/>
  <c r="BC357" i="1"/>
  <c r="BC353" i="1" s="1"/>
  <c r="BC363" i="1" s="1"/>
  <c r="S353" i="1"/>
  <c r="S363" i="1" s="1"/>
  <c r="AW357" i="1"/>
  <c r="AW353" i="1" s="1"/>
  <c r="AW363" i="1" s="1"/>
  <c r="AZ357" i="1"/>
  <c r="AZ353" i="1" s="1"/>
  <c r="AZ363" i="1" s="1"/>
  <c r="J353" i="1"/>
  <c r="J363" i="1" s="1"/>
  <c r="AT181" i="1"/>
  <c r="AW181" i="1"/>
  <c r="AZ181" i="1"/>
  <c r="AQ188" i="1"/>
  <c r="AQ190" i="1"/>
  <c r="AN188" i="1"/>
  <c r="AN190" i="1"/>
  <c r="BI187" i="1"/>
  <c r="AK191" i="1"/>
  <c r="BI191" i="1" s="1"/>
  <c r="BI186" i="1"/>
  <c r="AK188" i="1"/>
  <c r="BI188" i="1" s="1"/>
  <c r="AK190" i="1"/>
  <c r="AH188" i="1"/>
  <c r="AH190" i="1"/>
  <c r="AE188" i="1"/>
  <c r="AE190" i="1"/>
  <c r="AD309" i="1"/>
  <c r="AD311" i="1"/>
  <c r="BF187" i="1"/>
  <c r="AB191" i="1"/>
  <c r="BF191" i="1" s="1"/>
  <c r="BF183" i="1"/>
  <c r="BF186" i="1"/>
  <c r="AB188" i="1"/>
  <c r="AB190" i="1"/>
  <c r="AA213" i="1"/>
  <c r="AA308" i="1"/>
  <c r="AA214" i="1"/>
  <c r="Y188" i="1"/>
  <c r="Y190" i="1"/>
  <c r="X309" i="1"/>
  <c r="X311" i="1"/>
  <c r="V188" i="1"/>
  <c r="V190" i="1"/>
  <c r="U309" i="1"/>
  <c r="U311" i="1"/>
  <c r="BC186" i="1"/>
  <c r="S188" i="1"/>
  <c r="S190" i="1"/>
  <c r="BC187" i="1"/>
  <c r="S191" i="1"/>
  <c r="BC191" i="1" s="1"/>
  <c r="BC183" i="1"/>
  <c r="R213" i="1"/>
  <c r="R214" i="1"/>
  <c r="R308" i="1"/>
  <c r="P188" i="1"/>
  <c r="P190" i="1"/>
  <c r="O309" i="1"/>
  <c r="O311" i="1"/>
  <c r="M188" i="1"/>
  <c r="M190" i="1"/>
  <c r="L309" i="1"/>
  <c r="L311" i="1"/>
  <c r="C71" i="3"/>
  <c r="C47" i="3"/>
  <c r="C48" i="3"/>
  <c r="C49" i="3"/>
  <c r="D61" i="3" s="1"/>
  <c r="H61" i="3" s="1"/>
  <c r="J61" i="3" s="1"/>
  <c r="K61" i="3" s="1"/>
  <c r="M61" i="3" s="1"/>
  <c r="P326" i="1" s="1"/>
  <c r="C50" i="3"/>
  <c r="D62" i="3" s="1"/>
  <c r="H62" i="3" s="1"/>
  <c r="J62" i="3" s="1"/>
  <c r="K62" i="3" s="1"/>
  <c r="M62" i="3" s="1"/>
  <c r="S326" i="1" s="1"/>
  <c r="C51" i="3"/>
  <c r="C52" i="3"/>
  <c r="C53" i="3"/>
  <c r="C54" i="3"/>
  <c r="C55" i="3"/>
  <c r="C56" i="3"/>
  <c r="C57" i="3"/>
  <c r="D69" i="3" s="1"/>
  <c r="H69" i="3" s="1"/>
  <c r="J69" i="3" s="1"/>
  <c r="K69" i="3" s="1"/>
  <c r="M69" i="3" s="1"/>
  <c r="AN326" i="1" s="1"/>
  <c r="C58" i="3"/>
  <c r="D70" i="3" s="1"/>
  <c r="H70" i="3" s="1"/>
  <c r="J70" i="3" s="1"/>
  <c r="K70" i="3" s="1"/>
  <c r="M70" i="3" s="1"/>
  <c r="AQ326" i="1" s="1"/>
  <c r="AT195" i="1"/>
  <c r="AZ195" i="1"/>
  <c r="AW195" i="1"/>
  <c r="AT185" i="1"/>
  <c r="AW185" i="1"/>
  <c r="AZ185" i="1"/>
  <c r="AT186" i="1"/>
  <c r="AW186" i="1"/>
  <c r="AZ186" i="1"/>
  <c r="J188" i="1"/>
  <c r="J190" i="1"/>
  <c r="AT187" i="1"/>
  <c r="AW187" i="1"/>
  <c r="AZ187" i="1"/>
  <c r="J191" i="1"/>
  <c r="I308" i="1"/>
  <c r="I213" i="1"/>
  <c r="I214" i="1"/>
  <c r="BA309" i="1"/>
  <c r="BA311" i="1"/>
  <c r="AP309" i="1"/>
  <c r="AP311" i="1"/>
  <c r="AM309" i="1"/>
  <c r="AM311" i="1"/>
  <c r="AJ214" i="1"/>
  <c r="AJ308" i="1"/>
  <c r="AJ213" i="1"/>
  <c r="AG214" i="1"/>
  <c r="AG308" i="1"/>
  <c r="AG213" i="1"/>
  <c r="AT107" i="1"/>
  <c r="AW99" i="1"/>
  <c r="BI85" i="1"/>
  <c r="AK85" i="1"/>
  <c r="AK86" i="1"/>
  <c r="BH85" i="1"/>
  <c r="BH86" i="1"/>
  <c r="AJ85" i="1"/>
  <c r="AJ86" i="1"/>
  <c r="BF85" i="1"/>
  <c r="BE85" i="1"/>
  <c r="BE86" i="1"/>
  <c r="AA85" i="1"/>
  <c r="AA86" i="1"/>
  <c r="BC85" i="1"/>
  <c r="S85" i="1"/>
  <c r="S86" i="1"/>
  <c r="R85" i="1"/>
  <c r="R86" i="1"/>
  <c r="J85" i="1"/>
  <c r="J86" i="1"/>
  <c r="AS57" i="1"/>
  <c r="AS56" i="1" s="1"/>
  <c r="I56" i="1"/>
  <c r="AZ53" i="1"/>
  <c r="AZ54" i="1"/>
  <c r="AW53" i="1"/>
  <c r="AW54" i="1"/>
  <c r="AY53" i="1"/>
  <c r="AY54" i="1"/>
  <c r="AV53" i="1"/>
  <c r="AV54" i="1"/>
  <c r="AV39" i="1"/>
  <c r="AY39" i="1"/>
  <c r="S16" i="3"/>
  <c r="P27" i="3"/>
  <c r="P33" i="3"/>
  <c r="O16" i="3"/>
  <c r="L27" i="3"/>
  <c r="L33" i="3"/>
  <c r="K16" i="3"/>
  <c r="H27" i="3"/>
  <c r="H33" i="3"/>
  <c r="G16" i="3"/>
  <c r="D27" i="3"/>
  <c r="D33" i="3"/>
  <c r="S5" i="3"/>
  <c r="S4" i="3" s="1"/>
  <c r="P4" i="3"/>
  <c r="O5" i="3"/>
  <c r="O4" i="3" s="1"/>
  <c r="L4" i="3"/>
  <c r="K5" i="3"/>
  <c r="K4" i="3" s="1"/>
  <c r="H4" i="3"/>
  <c r="G5" i="3"/>
  <c r="D4" i="3"/>
  <c r="AC12" i="2"/>
  <c r="AC14" i="2"/>
  <c r="AB12" i="2"/>
  <c r="AB14" i="2"/>
  <c r="AA12" i="2"/>
  <c r="AA14" i="2"/>
  <c r="BH8" i="1"/>
  <c r="BH20" i="1"/>
  <c r="Z12" i="2"/>
  <c r="Z14" i="2"/>
  <c r="Y12" i="2"/>
  <c r="Y14" i="2"/>
  <c r="X12" i="2"/>
  <c r="X14" i="2"/>
  <c r="BE8" i="1"/>
  <c r="BE20" i="1"/>
  <c r="W12" i="2"/>
  <c r="W14" i="2"/>
  <c r="V12" i="2"/>
  <c r="V14" i="2"/>
  <c r="U12" i="2"/>
  <c r="U14" i="2"/>
  <c r="BB8" i="1"/>
  <c r="BB20" i="1"/>
  <c r="T12" i="2"/>
  <c r="T14" i="2"/>
  <c r="S12" i="2"/>
  <c r="S14" i="2"/>
  <c r="R12" i="2"/>
  <c r="R14" i="2"/>
  <c r="S11" i="3"/>
  <c r="S9" i="3" s="1"/>
  <c r="P9" i="3"/>
  <c r="O11" i="3"/>
  <c r="O9" i="3" s="1"/>
  <c r="L9" i="3"/>
  <c r="K11" i="3"/>
  <c r="K9" i="3" s="1"/>
  <c r="H9" i="3"/>
  <c r="G11" i="3"/>
  <c r="D9" i="3"/>
  <c r="AR85" i="1"/>
  <c r="AR53" i="1"/>
  <c r="AT53" i="1"/>
  <c r="R31" i="3"/>
  <c r="R25" i="3"/>
  <c r="R20" i="3"/>
  <c r="R17" i="3"/>
  <c r="Q31" i="3"/>
  <c r="Q25" i="3"/>
  <c r="Q20" i="3"/>
  <c r="Q17" i="3"/>
  <c r="N31" i="3"/>
  <c r="N25" i="3"/>
  <c r="N20" i="3"/>
  <c r="N17" i="3"/>
  <c r="M31" i="3"/>
  <c r="M34" i="3" s="1"/>
  <c r="AE329" i="1" s="1"/>
  <c r="M25" i="3"/>
  <c r="M29" i="3" s="1"/>
  <c r="AE327" i="1" s="1"/>
  <c r="M20" i="3"/>
  <c r="M17" i="3"/>
  <c r="J31" i="3"/>
  <c r="J34" i="3" s="1"/>
  <c r="Y329" i="1" s="1"/>
  <c r="J25" i="3"/>
  <c r="J29" i="3" s="1"/>
  <c r="Y327" i="1" s="1"/>
  <c r="J20" i="3"/>
  <c r="J17" i="3"/>
  <c r="I31" i="3"/>
  <c r="I34" i="3" s="1"/>
  <c r="V329" i="1" s="1"/>
  <c r="I25" i="3"/>
  <c r="I29" i="3" s="1"/>
  <c r="V327" i="1" s="1"/>
  <c r="I20" i="3"/>
  <c r="I17" i="3"/>
  <c r="F31" i="3"/>
  <c r="F34" i="3" s="1"/>
  <c r="P329" i="1" s="1"/>
  <c r="F25" i="3"/>
  <c r="F29" i="3" s="1"/>
  <c r="P327" i="1" s="1"/>
  <c r="F20" i="3"/>
  <c r="F17" i="3"/>
  <c r="E31" i="3"/>
  <c r="E34" i="3" s="1"/>
  <c r="M329" i="1" s="1"/>
  <c r="E25" i="3"/>
  <c r="E29" i="3" s="1"/>
  <c r="M327" i="1" s="1"/>
  <c r="E20" i="3"/>
  <c r="E17" i="3"/>
  <c r="AW302" i="1"/>
  <c r="AZ302" i="1"/>
  <c r="AT280" i="1"/>
  <c r="AS243" i="1"/>
  <c r="BF184" i="1"/>
  <c r="AZ266" i="1"/>
  <c r="AW266" i="1"/>
  <c r="AT266" i="1"/>
  <c r="AY266" i="1"/>
  <c r="AV266" i="1"/>
  <c r="AS266" i="1"/>
  <c r="BC318" i="1"/>
  <c r="AZ226" i="1"/>
  <c r="AW226" i="1"/>
  <c r="AT226" i="1"/>
  <c r="AY226" i="1"/>
  <c r="AV226" i="1"/>
  <c r="AS226" i="1"/>
  <c r="AZ199" i="1"/>
  <c r="AW199" i="1"/>
  <c r="AY199" i="1"/>
  <c r="AV199" i="1"/>
  <c r="BI363" i="1"/>
  <c r="BF363" i="1"/>
  <c r="BF195" i="1"/>
  <c r="BB106" i="1"/>
  <c r="BC185" i="1"/>
  <c r="BI185" i="1"/>
  <c r="AW107" i="1"/>
  <c r="AZ107" i="1"/>
  <c r="AY107" i="1"/>
  <c r="AY106" i="1" s="1"/>
  <c r="AV107" i="1"/>
  <c r="AV106" i="1" s="1"/>
  <c r="AT100" i="1"/>
  <c r="BB56" i="1"/>
  <c r="AZ57" i="1"/>
  <c r="AZ56" i="1" s="1"/>
  <c r="AW57" i="1"/>
  <c r="AW56" i="1" s="1"/>
  <c r="AV57" i="1"/>
  <c r="AV56" i="1" s="1"/>
  <c r="AY57" i="1"/>
  <c r="AY56" i="1" s="1"/>
  <c r="AS363" i="1"/>
  <c r="AR21" i="1"/>
  <c r="AR27" i="1"/>
  <c r="AR34" i="1"/>
  <c r="AS20" i="1"/>
  <c r="AY20" i="1"/>
  <c r="BI8" i="1"/>
  <c r="BI86" i="1" s="1"/>
  <c r="BF8" i="1"/>
  <c r="BF86" i="1" s="1"/>
  <c r="BC8" i="1"/>
  <c r="BC86" i="1" s="1"/>
  <c r="AW8" i="1"/>
  <c r="AZ8" i="1"/>
  <c r="AZ99" i="1" s="1"/>
  <c r="AV8" i="1"/>
  <c r="AS8" i="1"/>
  <c r="AY8" i="1"/>
  <c r="AR226" i="1"/>
  <c r="AR243" i="1"/>
  <c r="AR308" i="1" s="1"/>
  <c r="AR363" i="1"/>
  <c r="AT34" i="1"/>
  <c r="AT302" i="1"/>
  <c r="AT8" i="1"/>
  <c r="AR8" i="1"/>
  <c r="AT243" i="1"/>
  <c r="AT253" i="1" s="1"/>
  <c r="BI318" i="1"/>
  <c r="BF318" i="1"/>
  <c r="AT318" i="1"/>
  <c r="BI195" i="1"/>
  <c r="AK183" i="1"/>
  <c r="Y184" i="1"/>
  <c r="AE185" i="1"/>
  <c r="S184" i="1"/>
  <c r="P184" i="1"/>
  <c r="M184" i="1"/>
  <c r="J184" i="1"/>
  <c r="J183" i="1"/>
  <c r="V184" i="1"/>
  <c r="BH214" i="1"/>
  <c r="BH308" i="1"/>
  <c r="BH213" i="1"/>
  <c r="BE308" i="1"/>
  <c r="BE213" i="1"/>
  <c r="BE214" i="1"/>
  <c r="AB56" i="1"/>
  <c r="AT57" i="1"/>
  <c r="AT56" i="1" s="1"/>
  <c r="R23" i="3"/>
  <c r="R26" i="3"/>
  <c r="R32" i="3"/>
  <c r="R21" i="3"/>
  <c r="R22" i="3"/>
  <c r="Q23" i="3"/>
  <c r="Q26" i="3"/>
  <c r="Q32" i="3"/>
  <c r="Q21" i="3"/>
  <c r="Q22" i="3"/>
  <c r="N23" i="3"/>
  <c r="N26" i="3"/>
  <c r="N32" i="3"/>
  <c r="M21" i="3"/>
  <c r="M23" i="3"/>
  <c r="M22" i="3" s="1"/>
  <c r="M26" i="3"/>
  <c r="M32" i="3"/>
  <c r="J23" i="3"/>
  <c r="J26" i="3"/>
  <c r="J32" i="3"/>
  <c r="I23" i="3"/>
  <c r="I26" i="3"/>
  <c r="I32" i="3"/>
  <c r="I21" i="3"/>
  <c r="I22" i="3"/>
  <c r="F23" i="3"/>
  <c r="F32" i="3"/>
  <c r="F21" i="3"/>
  <c r="F22" i="3"/>
  <c r="F26" i="3"/>
  <c r="E23" i="3"/>
  <c r="E26" i="3"/>
  <c r="E32" i="3"/>
  <c r="AQ182" i="1" l="1"/>
  <c r="AQ106" i="1" s="1"/>
  <c r="AN182" i="1"/>
  <c r="AN106" i="1" s="1"/>
  <c r="BF190" i="1"/>
  <c r="AX311" i="1"/>
  <c r="AX309" i="1"/>
  <c r="AU309" i="1"/>
  <c r="AU311" i="1"/>
  <c r="BG311" i="1"/>
  <c r="BG309" i="1"/>
  <c r="BD311" i="1"/>
  <c r="BD309" i="1"/>
  <c r="AS308" i="1"/>
  <c r="AS309" i="1" s="1"/>
  <c r="AS214" i="1"/>
  <c r="AS213" i="1"/>
  <c r="AT54" i="1"/>
  <c r="AT99" i="1"/>
  <c r="BI39" i="1"/>
  <c r="AK39" i="1"/>
  <c r="BF39" i="1"/>
  <c r="AB39" i="1"/>
  <c r="BC39" i="1"/>
  <c r="S39" i="1"/>
  <c r="AW39" i="1"/>
  <c r="AZ39" i="1"/>
  <c r="J39" i="1"/>
  <c r="AD312" i="1"/>
  <c r="AD316" i="1"/>
  <c r="AD323" i="1" s="1"/>
  <c r="AD331" i="1" s="1"/>
  <c r="AA309" i="1"/>
  <c r="AA311" i="1"/>
  <c r="X312" i="1"/>
  <c r="X316" i="1"/>
  <c r="X323" i="1" s="1"/>
  <c r="X331" i="1" s="1"/>
  <c r="U312" i="1"/>
  <c r="U316" i="1"/>
  <c r="U323" i="1" s="1"/>
  <c r="U331" i="1" s="1"/>
  <c r="R309" i="1"/>
  <c r="R311" i="1"/>
  <c r="O312" i="1"/>
  <c r="O316" i="1"/>
  <c r="O323" i="1" s="1"/>
  <c r="O331" i="1" s="1"/>
  <c r="L312" i="1"/>
  <c r="L316" i="1"/>
  <c r="L323" i="1" s="1"/>
  <c r="L331" i="1" s="1"/>
  <c r="BC326" i="1"/>
  <c r="AT188" i="1"/>
  <c r="AW188" i="1"/>
  <c r="AZ188" i="1"/>
  <c r="AT190" i="1"/>
  <c r="AW190" i="1"/>
  <c r="AZ190" i="1"/>
  <c r="AT191" i="1"/>
  <c r="AW191" i="1"/>
  <c r="AZ191" i="1"/>
  <c r="I309" i="1"/>
  <c r="I311" i="1"/>
  <c r="BA316" i="1"/>
  <c r="BA323" i="1" s="1"/>
  <c r="BA331" i="1" s="1"/>
  <c r="BA312" i="1"/>
  <c r="AP312" i="1"/>
  <c r="AP316" i="1"/>
  <c r="AP323" i="1" s="1"/>
  <c r="AP331" i="1" s="1"/>
  <c r="AM312" i="1"/>
  <c r="AM316" i="1"/>
  <c r="AM323" i="1" s="1"/>
  <c r="AM331" i="1" s="1"/>
  <c r="AJ309" i="1"/>
  <c r="AJ311" i="1"/>
  <c r="AG309" i="1"/>
  <c r="AG311" i="1"/>
  <c r="AS85" i="1"/>
  <c r="AS86" i="1"/>
  <c r="I102" i="1"/>
  <c r="I103" i="1" s="1"/>
  <c r="I85" i="1"/>
  <c r="I86" i="1"/>
  <c r="S27" i="3"/>
  <c r="S33" i="3"/>
  <c r="O27" i="3"/>
  <c r="O33" i="3"/>
  <c r="K27" i="3"/>
  <c r="K33" i="3"/>
  <c r="T16" i="3"/>
  <c r="G27" i="3"/>
  <c r="T27" i="3" s="1"/>
  <c r="G33" i="3"/>
  <c r="T33" i="3" s="1"/>
  <c r="S17" i="3"/>
  <c r="S20" i="3"/>
  <c r="S36" i="3" s="1"/>
  <c r="S25" i="3"/>
  <c r="S31" i="3"/>
  <c r="P17" i="3"/>
  <c r="P20" i="3"/>
  <c r="P25" i="3"/>
  <c r="P31" i="3"/>
  <c r="O17" i="3"/>
  <c r="O20" i="3"/>
  <c r="O36" i="3" s="1"/>
  <c r="O25" i="3"/>
  <c r="O28" i="3" s="1"/>
  <c r="O31" i="3"/>
  <c r="O34" i="3" s="1"/>
  <c r="L17" i="3"/>
  <c r="L20" i="3"/>
  <c r="L25" i="3"/>
  <c r="L29" i="3" s="1"/>
  <c r="AB327" i="1" s="1"/>
  <c r="L31" i="3"/>
  <c r="L34" i="3" s="1"/>
  <c r="AB329" i="1" s="1"/>
  <c r="BF329" i="1" s="1"/>
  <c r="K17" i="3"/>
  <c r="K20" i="3"/>
  <c r="K36" i="3" s="1"/>
  <c r="K25" i="3"/>
  <c r="K28" i="3" s="1"/>
  <c r="K31" i="3"/>
  <c r="K34" i="3" s="1"/>
  <c r="H17" i="3"/>
  <c r="H20" i="3"/>
  <c r="H25" i="3"/>
  <c r="H29" i="3" s="1"/>
  <c r="S327" i="1" s="1"/>
  <c r="H31" i="3"/>
  <c r="H34" i="3" s="1"/>
  <c r="S329" i="1" s="1"/>
  <c r="BC329" i="1" s="1"/>
  <c r="T5" i="3"/>
  <c r="G4" i="3"/>
  <c r="D17" i="3"/>
  <c r="D20" i="3"/>
  <c r="D25" i="3"/>
  <c r="D29" i="3" s="1"/>
  <c r="J327" i="1" s="1"/>
  <c r="D31" i="3"/>
  <c r="D34" i="3" s="1"/>
  <c r="J329" i="1" s="1"/>
  <c r="BH32" i="1"/>
  <c r="BH241" i="1"/>
  <c r="BH54" i="1"/>
  <c r="BH99" i="1"/>
  <c r="BH292" i="1"/>
  <c r="BH25" i="1"/>
  <c r="BH91" i="1"/>
  <c r="BH224" i="1"/>
  <c r="BH264" i="1"/>
  <c r="BH300" i="1"/>
  <c r="BH306" i="1"/>
  <c r="BH253" i="1"/>
  <c r="BH278" i="1"/>
  <c r="BE32" i="1"/>
  <c r="BE241" i="1"/>
  <c r="BE54" i="1"/>
  <c r="BE99" i="1"/>
  <c r="BE292" i="1"/>
  <c r="BE25" i="1"/>
  <c r="BE91" i="1"/>
  <c r="BE224" i="1"/>
  <c r="BE264" i="1"/>
  <c r="BE253" i="1"/>
  <c r="BE278" i="1"/>
  <c r="BE300" i="1"/>
  <c r="BE306" i="1"/>
  <c r="BB241" i="1"/>
  <c r="BB253" i="1"/>
  <c r="BB32" i="1"/>
  <c r="BB40" i="1" s="1"/>
  <c r="BB54" i="1"/>
  <c r="BB99" i="1"/>
  <c r="BB292" i="1"/>
  <c r="BB25" i="1"/>
  <c r="BB91" i="1"/>
  <c r="BB224" i="1"/>
  <c r="BB264" i="1"/>
  <c r="BB300" i="1"/>
  <c r="BB306" i="1"/>
  <c r="BB278" i="1"/>
  <c r="S23" i="3"/>
  <c r="S26" i="3"/>
  <c r="S32" i="3"/>
  <c r="P23" i="3"/>
  <c r="P26" i="3"/>
  <c r="P32" i="3"/>
  <c r="O23" i="3"/>
  <c r="O26" i="3"/>
  <c r="O32" i="3"/>
  <c r="L23" i="3"/>
  <c r="L26" i="3"/>
  <c r="L32" i="3"/>
  <c r="K23" i="3"/>
  <c r="K26" i="3"/>
  <c r="K32" i="3"/>
  <c r="H23" i="3"/>
  <c r="H26" i="3"/>
  <c r="H32" i="3"/>
  <c r="T11" i="3"/>
  <c r="G9" i="3"/>
  <c r="D23" i="3"/>
  <c r="D26" i="3"/>
  <c r="D32" i="3"/>
  <c r="AR309" i="1"/>
  <c r="R36" i="3"/>
  <c r="AQ30" i="1"/>
  <c r="Q36" i="3"/>
  <c r="AN30" i="1"/>
  <c r="N36" i="3"/>
  <c r="AH30" i="1"/>
  <c r="M36" i="3"/>
  <c r="AE30" i="1"/>
  <c r="J36" i="3"/>
  <c r="Y30" i="1"/>
  <c r="I36" i="3"/>
  <c r="V30" i="1"/>
  <c r="F36" i="3"/>
  <c r="P30" i="1"/>
  <c r="E36" i="3"/>
  <c r="M30" i="1"/>
  <c r="BB308" i="1"/>
  <c r="BB214" i="1"/>
  <c r="BB213" i="1"/>
  <c r="AY213" i="1"/>
  <c r="AY308" i="1"/>
  <c r="AY214" i="1"/>
  <c r="AV213" i="1"/>
  <c r="AV308" i="1"/>
  <c r="AV214" i="1"/>
  <c r="BB86" i="1"/>
  <c r="BB85" i="1"/>
  <c r="BB102" i="1"/>
  <c r="BB103" i="1" s="1"/>
  <c r="AZ86" i="1"/>
  <c r="AZ85" i="1"/>
  <c r="AW86" i="1"/>
  <c r="AW85" i="1"/>
  <c r="AV86" i="1"/>
  <c r="AV85" i="1"/>
  <c r="AY86" i="1"/>
  <c r="AY85" i="1"/>
  <c r="AR39" i="1"/>
  <c r="BI292" i="1"/>
  <c r="BI3" i="1"/>
  <c r="BG3" i="1"/>
  <c r="BI300" i="1"/>
  <c r="BI278" i="1"/>
  <c r="BI253" i="1"/>
  <c r="BI264" i="1"/>
  <c r="BI224" i="1"/>
  <c r="BI91" i="1"/>
  <c r="BI25" i="1"/>
  <c r="BI54" i="1"/>
  <c r="BI99" i="1"/>
  <c r="BI241" i="1"/>
  <c r="BI306" i="1"/>
  <c r="BF292" i="1"/>
  <c r="BF3" i="1"/>
  <c r="BD3" i="1"/>
  <c r="BF278" i="1"/>
  <c r="BF253" i="1"/>
  <c r="BF300" i="1"/>
  <c r="BF264" i="1"/>
  <c r="BF224" i="1"/>
  <c r="BF91" i="1"/>
  <c r="BF25" i="1"/>
  <c r="BF54" i="1"/>
  <c r="BF99" i="1"/>
  <c r="BF241" i="1"/>
  <c r="BF306" i="1"/>
  <c r="BC264" i="1"/>
  <c r="BC292" i="1"/>
  <c r="BC3" i="1"/>
  <c r="BA3" i="1"/>
  <c r="BC253" i="1"/>
  <c r="BC300" i="1"/>
  <c r="BC224" i="1"/>
  <c r="BC91" i="1"/>
  <c r="BC25" i="1"/>
  <c r="BC278" i="1"/>
  <c r="BC54" i="1"/>
  <c r="BC99" i="1"/>
  <c r="BC241" i="1"/>
  <c r="BC306" i="1"/>
  <c r="AW25" i="1"/>
  <c r="AW91" i="1"/>
  <c r="AW224" i="1"/>
  <c r="AW264" i="1"/>
  <c r="AW253" i="1"/>
  <c r="AW292" i="1"/>
  <c r="AW300" i="1"/>
  <c r="AW3" i="1"/>
  <c r="AU3" i="1"/>
  <c r="AZ25" i="1"/>
  <c r="AZ91" i="1"/>
  <c r="AZ224" i="1"/>
  <c r="AZ264" i="1"/>
  <c r="AZ253" i="1"/>
  <c r="AZ292" i="1"/>
  <c r="AZ300" i="1"/>
  <c r="AZ3" i="1"/>
  <c r="AX3" i="1"/>
  <c r="AV25" i="1"/>
  <c r="AV91" i="1"/>
  <c r="AV224" i="1"/>
  <c r="AV264" i="1"/>
  <c r="AV253" i="1"/>
  <c r="AV292" i="1"/>
  <c r="AV300" i="1"/>
  <c r="AV306" i="1"/>
  <c r="AS25" i="1"/>
  <c r="AS91" i="1"/>
  <c r="AS224" i="1"/>
  <c r="AS264" i="1"/>
  <c r="AS292" i="1"/>
  <c r="AS300" i="1"/>
  <c r="AS54" i="1"/>
  <c r="AY25" i="1"/>
  <c r="AY91" i="1"/>
  <c r="AY224" i="1"/>
  <c r="AY264" i="1"/>
  <c r="AY253" i="1"/>
  <c r="AY292" i="1"/>
  <c r="AY300" i="1"/>
  <c r="AY306" i="1"/>
  <c r="AT39" i="1"/>
  <c r="AT306" i="1"/>
  <c r="AT25" i="1"/>
  <c r="AT91" i="1"/>
  <c r="AT224" i="1"/>
  <c r="AT264" i="1"/>
  <c r="AT300" i="1"/>
  <c r="AT3" i="1"/>
  <c r="AR3" i="1"/>
  <c r="AR278" i="1"/>
  <c r="AR300" i="1"/>
  <c r="AR264" i="1"/>
  <c r="AR224" i="1"/>
  <c r="AR91" i="1"/>
  <c r="AR99" i="1"/>
  <c r="AR214" i="1"/>
  <c r="AR213" i="1"/>
  <c r="AR292" i="1"/>
  <c r="AK182" i="1"/>
  <c r="AK106" i="1" s="1"/>
  <c r="BI183" i="1"/>
  <c r="AE182" i="1"/>
  <c r="AE106" i="1" s="1"/>
  <c r="BF185" i="1"/>
  <c r="AZ184" i="1"/>
  <c r="AW184" i="1"/>
  <c r="AT184" i="1"/>
  <c r="J182" i="1"/>
  <c r="AZ183" i="1"/>
  <c r="AW183" i="1"/>
  <c r="AT183" i="1"/>
  <c r="BH309" i="1"/>
  <c r="BE309" i="1"/>
  <c r="AB86" i="1"/>
  <c r="AB85" i="1"/>
  <c r="AT86" i="1"/>
  <c r="AT85" i="1"/>
  <c r="AQ29" i="1"/>
  <c r="R37" i="3"/>
  <c r="AQ28" i="1"/>
  <c r="AQ27" i="1" s="1"/>
  <c r="AQ32" i="1" s="1"/>
  <c r="R38" i="3"/>
  <c r="AN29" i="1"/>
  <c r="Q37" i="3"/>
  <c r="AN28" i="1"/>
  <c r="AN27" i="1" s="1"/>
  <c r="AN32" i="1" s="1"/>
  <c r="Q38" i="3"/>
  <c r="AH29" i="1"/>
  <c r="N37" i="3"/>
  <c r="AE28" i="1"/>
  <c r="AE27" i="1" s="1"/>
  <c r="AE32" i="1" s="1"/>
  <c r="M38" i="3"/>
  <c r="AE29" i="1"/>
  <c r="M37" i="3"/>
  <c r="Y29" i="1"/>
  <c r="J37" i="3"/>
  <c r="V29" i="1"/>
  <c r="I37" i="3"/>
  <c r="V28" i="1"/>
  <c r="V27" i="1" s="1"/>
  <c r="V32" i="1" s="1"/>
  <c r="I38" i="3"/>
  <c r="P29" i="1"/>
  <c r="F37" i="3"/>
  <c r="P28" i="1"/>
  <c r="F38" i="3"/>
  <c r="M29" i="1"/>
  <c r="E37" i="3"/>
  <c r="D63" i="3"/>
  <c r="H63" i="3" s="1"/>
  <c r="J63" i="3" s="1"/>
  <c r="K63" i="3" s="1"/>
  <c r="M63" i="3" s="1"/>
  <c r="V326" i="1" s="1"/>
  <c r="V325" i="1" s="1"/>
  <c r="D64" i="3"/>
  <c r="H64" i="3" s="1"/>
  <c r="J64" i="3" s="1"/>
  <c r="K64" i="3" s="1"/>
  <c r="M64" i="3" s="1"/>
  <c r="Y326" i="1" s="1"/>
  <c r="D65" i="3"/>
  <c r="H65" i="3" s="1"/>
  <c r="J65" i="3" s="1"/>
  <c r="K65" i="3" s="1"/>
  <c r="M65" i="3" s="1"/>
  <c r="AB326" i="1" s="1"/>
  <c r="D66" i="3"/>
  <c r="H66" i="3" s="1"/>
  <c r="J66" i="3" s="1"/>
  <c r="K66" i="3" s="1"/>
  <c r="M66" i="3" s="1"/>
  <c r="AE326" i="1" s="1"/>
  <c r="AE325" i="1" s="1"/>
  <c r="D67" i="3"/>
  <c r="H67" i="3" s="1"/>
  <c r="J67" i="3" s="1"/>
  <c r="K67" i="3" s="1"/>
  <c r="M67" i="3" s="1"/>
  <c r="AH326" i="1" s="1"/>
  <c r="D68" i="3"/>
  <c r="H68" i="3" s="1"/>
  <c r="J68" i="3" s="1"/>
  <c r="K68" i="3" s="1"/>
  <c r="M68" i="3" s="1"/>
  <c r="AK326" i="1" s="1"/>
  <c r="R34" i="3"/>
  <c r="AQ329" i="1" s="1"/>
  <c r="R29" i="3"/>
  <c r="AQ327" i="1" s="1"/>
  <c r="Q34" i="3"/>
  <c r="AN329" i="1" s="1"/>
  <c r="Q29" i="3"/>
  <c r="AN327" i="1" s="1"/>
  <c r="AN325" i="1" s="1"/>
  <c r="N34" i="3"/>
  <c r="AH329" i="1" s="1"/>
  <c r="N29" i="3"/>
  <c r="AH327" i="1" s="1"/>
  <c r="AZ278" i="1"/>
  <c r="AT278" i="1"/>
  <c r="AS278" i="1"/>
  <c r="AZ241" i="1"/>
  <c r="AT241" i="1"/>
  <c r="AS241" i="1"/>
  <c r="AR25" i="1"/>
  <c r="AR32" i="1"/>
  <c r="M182" i="1"/>
  <c r="M106" i="1" s="1"/>
  <c r="BC190" i="1"/>
  <c r="AS253" i="1"/>
  <c r="AY278" i="1"/>
  <c r="AW241" i="1"/>
  <c r="AY241" i="1"/>
  <c r="AR241" i="1"/>
  <c r="BI190" i="1"/>
  <c r="D59" i="3"/>
  <c r="H59" i="3" s="1"/>
  <c r="J59" i="3" s="1"/>
  <c r="K59" i="3" s="1"/>
  <c r="AW306" i="1"/>
  <c r="AZ306" i="1"/>
  <c r="AT292" i="1"/>
  <c r="AW278" i="1"/>
  <c r="AV278" i="1"/>
  <c r="AV241" i="1"/>
  <c r="AR253" i="1"/>
  <c r="AH182" i="1"/>
  <c r="AH106" i="1" s="1"/>
  <c r="D60" i="3"/>
  <c r="H60" i="3" s="1"/>
  <c r="J60" i="3" s="1"/>
  <c r="K60" i="3" s="1"/>
  <c r="M60" i="3" s="1"/>
  <c r="M326" i="1" s="1"/>
  <c r="M325" i="1" s="1"/>
  <c r="Y182" i="1"/>
  <c r="Y106" i="1" s="1"/>
  <c r="BC184" i="1"/>
  <c r="P182" i="1"/>
  <c r="P106" i="1" s="1"/>
  <c r="V182" i="1"/>
  <c r="V106" i="1" s="1"/>
  <c r="BF188" i="1"/>
  <c r="AB182" i="1"/>
  <c r="AB106" i="1" s="1"/>
  <c r="BC188" i="1"/>
  <c r="S182" i="1"/>
  <c r="S106" i="1" s="1"/>
  <c r="AV99" i="1"/>
  <c r="AV32" i="1"/>
  <c r="AS306" i="1"/>
  <c r="AS99" i="1"/>
  <c r="AS32" i="1"/>
  <c r="AY99" i="1"/>
  <c r="AY32" i="1"/>
  <c r="AR86" i="1"/>
  <c r="AR54" i="1"/>
  <c r="AR306" i="1"/>
  <c r="N21" i="3"/>
  <c r="N22" i="3"/>
  <c r="J21" i="3"/>
  <c r="J22" i="3"/>
  <c r="E21" i="3"/>
  <c r="E22" i="3"/>
  <c r="BI182" i="1" l="1"/>
  <c r="BI106" i="1" s="1"/>
  <c r="AZ182" i="1"/>
  <c r="AZ106" i="1" s="1"/>
  <c r="AW182" i="1"/>
  <c r="AW106" i="1" s="1"/>
  <c r="BF182" i="1"/>
  <c r="BF106" i="1" s="1"/>
  <c r="BC182" i="1"/>
  <c r="BC106" i="1" s="1"/>
  <c r="AQ213" i="1"/>
  <c r="AQ308" i="1"/>
  <c r="AQ309" i="1" s="1"/>
  <c r="AQ214" i="1"/>
  <c r="AN308" i="1"/>
  <c r="AN309" i="1" s="1"/>
  <c r="AN213" i="1"/>
  <c r="AN214" i="1"/>
  <c r="AX316" i="1"/>
  <c r="AX323" i="1" s="1"/>
  <c r="AX331" i="1" s="1"/>
  <c r="AX312" i="1"/>
  <c r="AU316" i="1"/>
  <c r="AU323" i="1" s="1"/>
  <c r="AU331" i="1" s="1"/>
  <c r="AU312" i="1"/>
  <c r="BG316" i="1"/>
  <c r="BG323" i="1" s="1"/>
  <c r="BG331" i="1" s="1"/>
  <c r="BG312" i="1"/>
  <c r="BD316" i="1"/>
  <c r="BD323" i="1" s="1"/>
  <c r="BD331" i="1" s="1"/>
  <c r="BD312" i="1"/>
  <c r="AR40" i="1"/>
  <c r="AR102" i="1"/>
  <c r="AD365" i="1"/>
  <c r="AD332" i="1"/>
  <c r="AA312" i="1"/>
  <c r="AA316" i="1"/>
  <c r="AA323" i="1" s="1"/>
  <c r="AA331" i="1" s="1"/>
  <c r="X365" i="1"/>
  <c r="X332" i="1"/>
  <c r="U365" i="1"/>
  <c r="U332" i="1"/>
  <c r="R312" i="1"/>
  <c r="R316" i="1"/>
  <c r="R323" i="1" s="1"/>
  <c r="R331" i="1" s="1"/>
  <c r="O365" i="1"/>
  <c r="O332" i="1"/>
  <c r="L365" i="1"/>
  <c r="L332" i="1"/>
  <c r="I312" i="1"/>
  <c r="I316" i="1"/>
  <c r="I323" i="1" s="1"/>
  <c r="I331" i="1" s="1"/>
  <c r="BA365" i="1"/>
  <c r="BA332" i="1"/>
  <c r="AP365" i="1"/>
  <c r="AP332" i="1"/>
  <c r="AM365" i="1"/>
  <c r="AM332" i="1"/>
  <c r="AJ312" i="1"/>
  <c r="AJ316" i="1"/>
  <c r="AJ323" i="1" s="1"/>
  <c r="AJ331" i="1" s="1"/>
  <c r="AG312" i="1"/>
  <c r="AG316" i="1"/>
  <c r="AG323" i="1" s="1"/>
  <c r="AG331" i="1" s="1"/>
  <c r="P36" i="3"/>
  <c r="AK30" i="1"/>
  <c r="BI30" i="1" s="1"/>
  <c r="O29" i="3"/>
  <c r="O39" i="3" s="1"/>
  <c r="AH328" i="1"/>
  <c r="BF328" i="1" s="1"/>
  <c r="L36" i="3"/>
  <c r="AB30" i="1"/>
  <c r="BF30" i="1" s="1"/>
  <c r="K29" i="3"/>
  <c r="K39" i="3" s="1"/>
  <c r="Y328" i="1"/>
  <c r="H36" i="3"/>
  <c r="S30" i="1"/>
  <c r="BC30" i="1" s="1"/>
  <c r="T4" i="3"/>
  <c r="G17" i="3"/>
  <c r="T17" i="3" s="1"/>
  <c r="G20" i="3"/>
  <c r="G25" i="3"/>
  <c r="G31" i="3"/>
  <c r="D36" i="3"/>
  <c r="J30" i="1"/>
  <c r="AT327" i="1"/>
  <c r="AZ327" i="1"/>
  <c r="AT329" i="1"/>
  <c r="AZ329" i="1"/>
  <c r="BH102" i="1"/>
  <c r="BH40" i="1"/>
  <c r="BE102" i="1"/>
  <c r="BE40" i="1"/>
  <c r="P37" i="3"/>
  <c r="AK29" i="1"/>
  <c r="BI29" i="1" s="1"/>
  <c r="L37" i="3"/>
  <c r="AB29" i="1"/>
  <c r="BF29" i="1" s="1"/>
  <c r="H37" i="3"/>
  <c r="S29" i="1"/>
  <c r="BC29" i="1" s="1"/>
  <c r="T9" i="3"/>
  <c r="G23" i="3"/>
  <c r="G26" i="3"/>
  <c r="T26" i="3" s="1"/>
  <c r="G32" i="3"/>
  <c r="T32" i="3" s="1"/>
  <c r="D37" i="3"/>
  <c r="J29" i="1"/>
  <c r="BB311" i="1"/>
  <c r="BB309" i="1"/>
  <c r="AY309" i="1"/>
  <c r="AV309" i="1"/>
  <c r="AK213" i="1"/>
  <c r="AK214" i="1"/>
  <c r="AK308" i="1"/>
  <c r="AE214" i="1"/>
  <c r="AE213" i="1"/>
  <c r="AE308" i="1"/>
  <c r="J106" i="1"/>
  <c r="AT182" i="1"/>
  <c r="AT106" i="1" s="1"/>
  <c r="AQ40" i="1"/>
  <c r="AQ102" i="1"/>
  <c r="AN40" i="1"/>
  <c r="AN102" i="1"/>
  <c r="AE40" i="1"/>
  <c r="AE102" i="1"/>
  <c r="AE103" i="1" s="1"/>
  <c r="V40" i="1"/>
  <c r="V102" i="1"/>
  <c r="V103" i="1" s="1"/>
  <c r="BF326" i="1"/>
  <c r="AB325" i="1"/>
  <c r="BI326" i="1"/>
  <c r="M213" i="1"/>
  <c r="M214" i="1"/>
  <c r="M308" i="1"/>
  <c r="K71" i="3"/>
  <c r="M59" i="3"/>
  <c r="AH213" i="1"/>
  <c r="AH214" i="1"/>
  <c r="AH308" i="1"/>
  <c r="M330" i="1"/>
  <c r="Y214" i="1"/>
  <c r="Y308" i="1"/>
  <c r="Y213" i="1"/>
  <c r="P308" i="1"/>
  <c r="P213" i="1"/>
  <c r="P214" i="1"/>
  <c r="V213" i="1"/>
  <c r="V308" i="1"/>
  <c r="V214" i="1"/>
  <c r="AB213" i="1"/>
  <c r="AB214" i="1"/>
  <c r="AB308" i="1"/>
  <c r="S214" i="1"/>
  <c r="S213" i="1"/>
  <c r="S308" i="1"/>
  <c r="AV102" i="1"/>
  <c r="AV40" i="1"/>
  <c r="AS102" i="1"/>
  <c r="AS40" i="1"/>
  <c r="AY102" i="1"/>
  <c r="AY40" i="1"/>
  <c r="N38" i="3"/>
  <c r="AH28" i="1"/>
  <c r="AH27" i="1" s="1"/>
  <c r="AH32" i="1" s="1"/>
  <c r="J38" i="3"/>
  <c r="Y28" i="1"/>
  <c r="Y27" i="1" s="1"/>
  <c r="Y32" i="1" s="1"/>
  <c r="E38" i="3"/>
  <c r="M28" i="1"/>
  <c r="M27" i="1" s="1"/>
  <c r="BF327" i="1"/>
  <c r="S28" i="3"/>
  <c r="S34" i="3"/>
  <c r="P29" i="3"/>
  <c r="AK327" i="1" s="1"/>
  <c r="P34" i="3"/>
  <c r="AK329" i="1" s="1"/>
  <c r="P27" i="1"/>
  <c r="AH325" i="1"/>
  <c r="BC327" i="1"/>
  <c r="S325" i="1"/>
  <c r="S37" i="3"/>
  <c r="S21" i="3"/>
  <c r="S22" i="3"/>
  <c r="P21" i="3"/>
  <c r="P22" i="3"/>
  <c r="O37" i="3"/>
  <c r="O21" i="3"/>
  <c r="O22" i="3"/>
  <c r="L21" i="3"/>
  <c r="L22" i="3"/>
  <c r="K37" i="3"/>
  <c r="K21" i="3"/>
  <c r="K38" i="3" s="1"/>
  <c r="K22" i="3"/>
  <c r="H21" i="3"/>
  <c r="H22" i="3"/>
  <c r="D21" i="3"/>
  <c r="D22" i="3"/>
  <c r="BI308" i="1" l="1"/>
  <c r="BI309" i="1" s="1"/>
  <c r="BI213" i="1"/>
  <c r="AZ213" i="1"/>
  <c r="AZ214" i="1"/>
  <c r="AZ308" i="1"/>
  <c r="AZ309" i="1" s="1"/>
  <c r="AW213" i="1"/>
  <c r="AW308" i="1"/>
  <c r="AW309" i="1" s="1"/>
  <c r="AW214" i="1"/>
  <c r="BF213" i="1"/>
  <c r="BF214" i="1"/>
  <c r="BF308" i="1"/>
  <c r="BF309" i="1" s="1"/>
  <c r="BC213" i="1"/>
  <c r="BC308" i="1"/>
  <c r="BC309" i="1" s="1"/>
  <c r="BC214" i="1"/>
  <c r="AX365" i="1"/>
  <c r="AX332" i="1"/>
  <c r="AU365" i="1"/>
  <c r="AU332" i="1"/>
  <c r="BG365" i="1"/>
  <c r="BG332" i="1"/>
  <c r="BD365" i="1"/>
  <c r="BD332" i="1"/>
  <c r="AR311" i="1"/>
  <c r="AR103" i="1"/>
  <c r="AA365" i="1"/>
  <c r="AA332" i="1"/>
  <c r="R365" i="1"/>
  <c r="R332" i="1"/>
  <c r="I332" i="1"/>
  <c r="I365" i="1"/>
  <c r="AJ365" i="1"/>
  <c r="AJ332" i="1"/>
  <c r="AG365" i="1"/>
  <c r="AG332" i="1"/>
  <c r="Y325" i="1"/>
  <c r="BC328" i="1"/>
  <c r="BC325" i="1" s="1"/>
  <c r="T20" i="3"/>
  <c r="G36" i="3"/>
  <c r="T36" i="3" s="1"/>
  <c r="T25" i="3"/>
  <c r="G28" i="3"/>
  <c r="T31" i="3"/>
  <c r="T34" i="3" s="1"/>
  <c r="G34" i="3"/>
  <c r="AT30" i="1"/>
  <c r="AW30" i="1"/>
  <c r="AZ30" i="1"/>
  <c r="BH311" i="1"/>
  <c r="BH103" i="1"/>
  <c r="BE311" i="1"/>
  <c r="BE103" i="1"/>
  <c r="T23" i="3"/>
  <c r="G37" i="3"/>
  <c r="T37" i="3" s="1"/>
  <c r="AT29" i="1"/>
  <c r="AW29" i="1"/>
  <c r="AZ29" i="1"/>
  <c r="BB316" i="1"/>
  <c r="BB323" i="1" s="1"/>
  <c r="BB331" i="1" s="1"/>
  <c r="BB312" i="1"/>
  <c r="AK309" i="1"/>
  <c r="AE309" i="1"/>
  <c r="AE311" i="1"/>
  <c r="J213" i="1"/>
  <c r="J308" i="1"/>
  <c r="J214" i="1"/>
  <c r="AT308" i="1"/>
  <c r="AT213" i="1"/>
  <c r="AT214" i="1"/>
  <c r="M309" i="1"/>
  <c r="M71" i="3"/>
  <c r="M72" i="3" s="1"/>
  <c r="J326" i="1"/>
  <c r="AH309" i="1"/>
  <c r="AH311" i="1"/>
  <c r="Y309" i="1"/>
  <c r="P309" i="1"/>
  <c r="V309" i="1"/>
  <c r="V311" i="1"/>
  <c r="AB309" i="1"/>
  <c r="S309" i="1"/>
  <c r="AS311" i="1"/>
  <c r="AS103" i="1"/>
  <c r="AH40" i="1"/>
  <c r="AH102" i="1"/>
  <c r="AH103" i="1" s="1"/>
  <c r="Y40" i="1"/>
  <c r="Y102" i="1"/>
  <c r="M31" i="1"/>
  <c r="M32" i="1"/>
  <c r="AQ328" i="1"/>
  <c r="S29" i="3"/>
  <c r="S39" i="3" s="1"/>
  <c r="P32" i="1"/>
  <c r="P31" i="1"/>
  <c r="AK28" i="1"/>
  <c r="P38" i="3"/>
  <c r="AB28" i="1"/>
  <c r="L38" i="3"/>
  <c r="S28" i="1"/>
  <c r="H38" i="3"/>
  <c r="J28" i="1"/>
  <c r="D38" i="3"/>
  <c r="BF325" i="1"/>
  <c r="S38" i="3"/>
  <c r="O38" i="3"/>
  <c r="G21" i="3"/>
  <c r="G22" i="3"/>
  <c r="T22" i="3" s="1"/>
  <c r="AQ103" i="1"/>
  <c r="AQ311" i="1"/>
  <c r="AN103" i="1"/>
  <c r="AN311" i="1"/>
  <c r="AV103" i="1"/>
  <c r="AV311" i="1"/>
  <c r="AY103" i="1"/>
  <c r="AY311" i="1"/>
  <c r="BI327" i="1"/>
  <c r="AW327" i="1"/>
  <c r="AK325" i="1"/>
  <c r="BI329" i="1"/>
  <c r="AW329" i="1"/>
  <c r="AR312" i="1" l="1"/>
  <c r="AR316" i="1"/>
  <c r="AR323" i="1" s="1"/>
  <c r="AR331" i="1" s="1"/>
  <c r="T28" i="3"/>
  <c r="G29" i="3"/>
  <c r="P328" i="1"/>
  <c r="BH312" i="1"/>
  <c r="BH316" i="1"/>
  <c r="BH323" i="1" s="1"/>
  <c r="BH331" i="1" s="1"/>
  <c r="BE312" i="1"/>
  <c r="BE316" i="1"/>
  <c r="BE323" i="1" s="1"/>
  <c r="BE331" i="1" s="1"/>
  <c r="BB365" i="1"/>
  <c r="BB332" i="1"/>
  <c r="AE312" i="1"/>
  <c r="AE316" i="1"/>
  <c r="AE323" i="1" s="1"/>
  <c r="AE331" i="1" s="1"/>
  <c r="J309" i="1"/>
  <c r="AT309" i="1"/>
  <c r="AT326" i="1"/>
  <c r="AW326" i="1"/>
  <c r="AZ326" i="1"/>
  <c r="J325" i="1"/>
  <c r="AH312" i="1"/>
  <c r="AH316" i="1"/>
  <c r="AH323" i="1" s="1"/>
  <c r="AH331" i="1" s="1"/>
  <c r="V312" i="1"/>
  <c r="V316" i="1"/>
  <c r="V323" i="1" s="1"/>
  <c r="V331" i="1" s="1"/>
  <c r="AS312" i="1"/>
  <c r="AS316" i="1"/>
  <c r="AS323" i="1" s="1"/>
  <c r="AS331" i="1" s="1"/>
  <c r="M40" i="1"/>
  <c r="M102" i="1"/>
  <c r="AQ325" i="1"/>
  <c r="BI328" i="1"/>
  <c r="BI325" i="1" s="1"/>
  <c r="P40" i="1"/>
  <c r="P102" i="1"/>
  <c r="BI28" i="1"/>
  <c r="BI27" i="1" s="1"/>
  <c r="BI32" i="1" s="1"/>
  <c r="AK27" i="1"/>
  <c r="AK32" i="1" s="1"/>
  <c r="BF28" i="1"/>
  <c r="BF27" i="1" s="1"/>
  <c r="BF32" i="1" s="1"/>
  <c r="AB27" i="1"/>
  <c r="AB32" i="1" s="1"/>
  <c r="BC28" i="1"/>
  <c r="BC27" i="1" s="1"/>
  <c r="BC32" i="1" s="1"/>
  <c r="S27" i="1"/>
  <c r="S32" i="1" s="1"/>
  <c r="AT28" i="1"/>
  <c r="AT27" i="1" s="1"/>
  <c r="AT32" i="1" s="1"/>
  <c r="AW28" i="1"/>
  <c r="AW27" i="1" s="1"/>
  <c r="AW32" i="1" s="1"/>
  <c r="AZ28" i="1"/>
  <c r="AZ27" i="1" s="1"/>
  <c r="AZ32" i="1" s="1"/>
  <c r="J27" i="1"/>
  <c r="G38" i="3"/>
  <c r="T38" i="3" s="1"/>
  <c r="T21" i="3"/>
  <c r="AQ316" i="1"/>
  <c r="AQ323" i="1" s="1"/>
  <c r="AQ312" i="1"/>
  <c r="AN316" i="1"/>
  <c r="AN323" i="1" s="1"/>
  <c r="AN331" i="1" s="1"/>
  <c r="AN312" i="1"/>
  <c r="AV312" i="1"/>
  <c r="AV316" i="1"/>
  <c r="AV323" i="1" s="1"/>
  <c r="AV331" i="1" s="1"/>
  <c r="AY312" i="1"/>
  <c r="AY316" i="1"/>
  <c r="AY323" i="1" s="1"/>
  <c r="AY331" i="1" s="1"/>
  <c r="Y103" i="1"/>
  <c r="Y311" i="1"/>
  <c r="AR365" i="1" l="1"/>
  <c r="AR332" i="1"/>
  <c r="AQ331" i="1"/>
  <c r="T29" i="3"/>
  <c r="G39" i="3"/>
  <c r="T39" i="3" s="1"/>
  <c r="P325" i="1"/>
  <c r="AW328" i="1"/>
  <c r="AW325" i="1" s="1"/>
  <c r="AZ328" i="1"/>
  <c r="AZ325" i="1" s="1"/>
  <c r="AT328" i="1"/>
  <c r="AT325" i="1" s="1"/>
  <c r="BH365" i="1"/>
  <c r="BH332" i="1"/>
  <c r="BE365" i="1"/>
  <c r="BE332" i="1"/>
  <c r="AE332" i="1"/>
  <c r="AE365" i="1"/>
  <c r="J330" i="1"/>
  <c r="AH365" i="1"/>
  <c r="AH332" i="1"/>
  <c r="V332" i="1"/>
  <c r="V365" i="1"/>
  <c r="AS365" i="1"/>
  <c r="AS332" i="1"/>
  <c r="M311" i="1"/>
  <c r="M103" i="1"/>
  <c r="AQ332" i="1"/>
  <c r="AQ365" i="1"/>
  <c r="P311" i="1"/>
  <c r="P103" i="1"/>
  <c r="BI40" i="1"/>
  <c r="BI102" i="1"/>
  <c r="AK40" i="1"/>
  <c r="AK102" i="1"/>
  <c r="BF40" i="1"/>
  <c r="BF102" i="1"/>
  <c r="AB102" i="1"/>
  <c r="AB40" i="1"/>
  <c r="BC40" i="1"/>
  <c r="BC102" i="1"/>
  <c r="S40" i="1"/>
  <c r="S102" i="1"/>
  <c r="AT40" i="1"/>
  <c r="AT102" i="1"/>
  <c r="AW40" i="1"/>
  <c r="AW102" i="1"/>
  <c r="AZ40" i="1"/>
  <c r="AZ102" i="1"/>
  <c r="J31" i="1"/>
  <c r="J32" i="1"/>
  <c r="AN332" i="1"/>
  <c r="AN365" i="1"/>
  <c r="AV365" i="1"/>
  <c r="AV332" i="1"/>
  <c r="AY332" i="1"/>
  <c r="AY365" i="1"/>
  <c r="Y316" i="1"/>
  <c r="Y323" i="1" s="1"/>
  <c r="Y331" i="1" s="1"/>
  <c r="Y312" i="1"/>
  <c r="P330" i="1" l="1"/>
  <c r="M316" i="1"/>
  <c r="M323" i="1" s="1"/>
  <c r="M331" i="1" s="1"/>
  <c r="M312" i="1"/>
  <c r="P316" i="1"/>
  <c r="P323" i="1" s="1"/>
  <c r="P331" i="1" s="1"/>
  <c r="P312" i="1"/>
  <c r="BI311" i="1"/>
  <c r="BI103" i="1"/>
  <c r="AK311" i="1"/>
  <c r="AK103" i="1"/>
  <c r="BF311" i="1"/>
  <c r="BF103" i="1"/>
  <c r="AB311" i="1"/>
  <c r="AB103" i="1"/>
  <c r="BC311" i="1"/>
  <c r="BC103" i="1"/>
  <c r="S311" i="1"/>
  <c r="S103" i="1"/>
  <c r="AT311" i="1"/>
  <c r="AT103" i="1"/>
  <c r="AW311" i="1"/>
  <c r="AW103" i="1"/>
  <c r="AZ311" i="1"/>
  <c r="AZ103" i="1"/>
  <c r="J40" i="1"/>
  <c r="J102" i="1"/>
  <c r="Y365" i="1"/>
  <c r="Y332" i="1"/>
  <c r="P365" i="1" l="1"/>
  <c r="P332" i="1"/>
  <c r="M332" i="1"/>
  <c r="M365" i="1"/>
  <c r="BI312" i="1"/>
  <c r="BI316" i="1"/>
  <c r="BI323" i="1" s="1"/>
  <c r="BI331" i="1" s="1"/>
  <c r="AK316" i="1"/>
  <c r="AK323" i="1" s="1"/>
  <c r="AK331" i="1" s="1"/>
  <c r="AK312" i="1"/>
  <c r="BF312" i="1"/>
  <c r="BF316" i="1"/>
  <c r="BF323" i="1" s="1"/>
  <c r="BF331" i="1" s="1"/>
  <c r="AB316" i="1"/>
  <c r="AB323" i="1" s="1"/>
  <c r="AB331" i="1" s="1"/>
  <c r="AB312" i="1"/>
  <c r="BC312" i="1"/>
  <c r="BC316" i="1"/>
  <c r="BC323" i="1" s="1"/>
  <c r="BC331" i="1" s="1"/>
  <c r="S316" i="1"/>
  <c r="S323" i="1" s="1"/>
  <c r="S331" i="1" s="1"/>
  <c r="S312" i="1"/>
  <c r="AT312" i="1"/>
  <c r="AT316" i="1"/>
  <c r="AT323" i="1" s="1"/>
  <c r="AT331" i="1" s="1"/>
  <c r="AW312" i="1"/>
  <c r="AW316" i="1"/>
  <c r="AW323" i="1" s="1"/>
  <c r="AW331" i="1" s="1"/>
  <c r="AZ312" i="1"/>
  <c r="AZ316" i="1"/>
  <c r="AZ323" i="1" s="1"/>
  <c r="AZ331" i="1" s="1"/>
  <c r="J311" i="1"/>
  <c r="J103" i="1"/>
  <c r="BI365" i="1" l="1"/>
  <c r="BI332" i="1"/>
  <c r="AK365" i="1"/>
  <c r="AK332" i="1"/>
  <c r="BF365" i="1"/>
  <c r="BF332" i="1"/>
  <c r="AB332" i="1"/>
  <c r="AB365" i="1"/>
  <c r="BC365" i="1"/>
  <c r="BC332" i="1"/>
  <c r="S365" i="1"/>
  <c r="S332" i="1"/>
  <c r="AT332" i="1"/>
  <c r="AT365" i="1"/>
  <c r="AW365" i="1"/>
  <c r="AW332" i="1"/>
  <c r="AZ332" i="1"/>
  <c r="AZ365" i="1"/>
  <c r="J316" i="1"/>
  <c r="J323" i="1" s="1"/>
  <c r="J331" i="1" s="1"/>
  <c r="J312" i="1"/>
  <c r="J332" i="1" l="1"/>
  <c r="J3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A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D30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</commentList>
</comments>
</file>

<file path=xl/sharedStrings.xml><?xml version="1.0" encoding="utf-8"?>
<sst xmlns="http://schemas.openxmlformats.org/spreadsheetml/2006/main" count="68857" uniqueCount="2846">
  <si>
    <t>BAR BRAHMA PAULISTA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</si>
  <si>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</si>
  <si>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</si>
  <si>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</si>
  <si>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</si>
  <si>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</si>
  <si>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</si>
  <si>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</si>
  <si>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</si>
  <si>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</si>
  <si>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</si>
  <si>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</si>
  <si>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</si>
  <si>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</si>
  <si>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</si>
  <si>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</si>
  <si>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</si>
  <si>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</si>
  <si>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</si>
  <si>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</si>
  <si>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</si>
  <si>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</si>
  <si>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</si>
  <si>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</si>
  <si>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</si>
  <si>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</si>
  <si>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</si>
  <si>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</t>
  </si>
  <si>
    <t>Comissão sobre venda dos fornecedores homologados</t>
  </si>
  <si>
    <t>Delivery</t>
  </si>
  <si>
    <t>Preencher base de Delivery</t>
  </si>
  <si>
    <t>Outras Receitas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</si>
  <si>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</si>
  <si>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</si>
  <si>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</si>
  <si>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</si>
  <si>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</si>
  <si>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</si>
  <si>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</si>
  <si>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</si>
  <si>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</si>
  <si>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</si>
  <si>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</si>
  <si>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</si>
  <si>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</si>
  <si>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</si>
  <si>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</si>
  <si>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</si>
  <si>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</si>
  <si>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</si>
  <si>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</si>
  <si>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</si>
  <si>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</si>
  <si>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</si>
  <si>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</si>
  <si>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</si>
  <si>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</si>
  <si>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</si>
  <si>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</si>
  <si>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</si>
  <si>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</si>
  <si>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</si>
  <si>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</si>
  <si>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</si>
  <si>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</si>
  <si>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</si>
  <si>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</si>
  <si>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</si>
  <si>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</si>
  <si>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</si>
  <si>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</si>
  <si>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</si>
  <si>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</si>
  <si>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</si>
  <si>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</si>
  <si>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</si>
  <si>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</si>
  <si>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</si>
  <si>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</si>
  <si>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</si>
  <si>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</si>
  <si>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</si>
  <si>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</si>
  <si>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</si>
  <si>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</si>
  <si>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</si>
  <si>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</si>
  <si>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</si>
  <si>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</si>
  <si>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</si>
  <si>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</si>
  <si>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</si>
  <si>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</si>
  <si>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</si>
  <si>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</si>
  <si>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</si>
  <si>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</si>
  <si>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</si>
  <si>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</si>
  <si>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</si>
  <si>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</si>
  <si>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</si>
  <si>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</si>
  <si>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</si>
  <si>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</si>
  <si>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</si>
  <si>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</si>
  <si>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Repasses Locação de Espaço</t>
  </si>
  <si>
    <t>Repasse Gazit - Locação Aroo</t>
  </si>
  <si>
    <t>Repasse Gazit - Locação Anexo Abaru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</si>
  <si>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</si>
  <si>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</si>
  <si>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</si>
  <si>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</si>
  <si>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</si>
  <si>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</si>
  <si>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</si>
  <si>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</si>
  <si>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</si>
  <si>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</si>
  <si>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</si>
  <si>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</si>
  <si>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</si>
  <si>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</si>
  <si>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</si>
  <si>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>MARGEM BRUTA DE CONTRIBUIÇÃO</t>
  </si>
  <si>
    <t>% sobre Receita</t>
  </si>
  <si>
    <t>PESSOAL</t>
  </si>
  <si>
    <t>PJ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</si>
  <si>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</si>
  <si>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</si>
  <si>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</si>
  <si>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</si>
  <si>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</si>
  <si>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</si>
  <si>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</si>
  <si>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</si>
  <si>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</si>
  <si>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</si>
  <si>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</si>
  <si>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</si>
  <si>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</si>
  <si>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</si>
  <si>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</si>
  <si>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</si>
  <si>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</si>
  <si>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</si>
  <si>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</si>
  <si>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</si>
  <si>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</si>
  <si>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</si>
  <si>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</si>
  <si>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</si>
  <si>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</si>
  <si>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</si>
  <si>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</si>
  <si>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</si>
  <si>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</si>
  <si>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</si>
  <si>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</si>
  <si>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</si>
  <si>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</si>
  <si>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</si>
  <si>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</si>
  <si>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</si>
  <si>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</si>
  <si>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</si>
  <si>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</si>
  <si>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</si>
  <si>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</si>
  <si>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</si>
  <si>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</si>
  <si>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</si>
  <si>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</si>
  <si>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</si>
  <si>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</si>
  <si>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</si>
  <si>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</si>
  <si>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</si>
  <si>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</si>
  <si>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</si>
  <si>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</si>
  <si>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</si>
  <si>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</si>
  <si>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</si>
  <si>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</si>
  <si>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</si>
  <si>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</si>
  <si>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</si>
  <si>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</si>
  <si>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</si>
  <si>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</si>
  <si>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</si>
  <si>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</si>
  <si>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</si>
  <si>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</si>
  <si>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</si>
  <si>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</si>
  <si>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</si>
  <si>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</si>
  <si>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</si>
  <si>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</si>
  <si>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</si>
  <si>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</si>
  <si>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</si>
  <si>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</si>
  <si>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</si>
  <si>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</si>
  <si>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</si>
  <si>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</si>
  <si>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</si>
  <si>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</si>
  <si>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</si>
  <si>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</si>
  <si>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</si>
  <si>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</si>
  <si>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</si>
  <si>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</si>
  <si>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</si>
  <si>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</si>
  <si>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</si>
  <si>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</si>
  <si>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</si>
  <si>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</si>
  <si>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</si>
  <si>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</si>
  <si>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</si>
  <si>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</si>
  <si>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</si>
  <si>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</si>
  <si>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</si>
  <si>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</si>
  <si>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5 horas - 60%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</si>
  <si>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</si>
  <si>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</si>
  <si>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</si>
  <si>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</si>
  <si>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</si>
  <si>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</si>
  <si>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</si>
  <si>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</si>
  <si>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</si>
  <si>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</si>
  <si>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</si>
  <si>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</si>
  <si>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</si>
  <si>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</si>
  <si>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</si>
  <si>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</si>
  <si>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</si>
  <si>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</si>
  <si>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</si>
  <si>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</si>
  <si>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</si>
  <si>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</si>
  <si>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</si>
  <si>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</si>
  <si>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</si>
  <si>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</si>
  <si>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</si>
  <si>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</si>
  <si>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</si>
  <si>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</si>
  <si>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</si>
  <si>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</si>
  <si>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</si>
  <si>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</si>
  <si>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</si>
  <si>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</si>
  <si>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</si>
  <si>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</si>
  <si>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</si>
  <si>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</si>
  <si>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</si>
  <si>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</si>
  <si>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</si>
  <si>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</si>
  <si>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</si>
  <si>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</si>
  <si>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</si>
  <si>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</si>
  <si>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</si>
  <si>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</si>
  <si>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</si>
  <si>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</si>
  <si>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</si>
  <si>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</si>
  <si>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</si>
  <si>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</si>
  <si>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</si>
  <si>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</si>
  <si>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</si>
  <si>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</si>
  <si>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</si>
  <si>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</si>
  <si>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</si>
  <si>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</si>
  <si>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</si>
  <si>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</si>
  <si>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</si>
  <si>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</si>
  <si>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</si>
  <si>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</si>
  <si>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</si>
  <si>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</si>
  <si>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</si>
  <si>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</si>
  <si>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</si>
  <si>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</si>
  <si>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</si>
  <si>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</si>
  <si>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</si>
  <si>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</si>
  <si>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</si>
  <si>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</si>
  <si>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</si>
  <si>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</si>
  <si>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</si>
  <si>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</si>
  <si>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</si>
  <si>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</si>
  <si>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</si>
  <si>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</si>
  <si>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</si>
  <si>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</si>
  <si>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</si>
  <si>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</si>
  <si>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</si>
  <si>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</si>
  <si>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</si>
  <si>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</si>
  <si>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</si>
  <si>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</si>
  <si>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</si>
  <si>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</si>
  <si>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</si>
  <si>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</si>
  <si>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</si>
  <si>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</si>
  <si>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</si>
  <si>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</si>
  <si>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</si>
  <si>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</si>
  <si>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</si>
  <si>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</si>
  <si>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</si>
  <si>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</si>
  <si>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</si>
  <si>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</si>
  <si>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</si>
  <si>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</si>
  <si>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</si>
  <si>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</si>
  <si>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</si>
  <si>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</si>
  <si>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</si>
  <si>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</si>
  <si>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</si>
  <si>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</si>
  <si>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</si>
  <si>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</si>
  <si>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</si>
  <si>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</si>
  <si>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</si>
  <si>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</si>
  <si>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</si>
  <si>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</si>
  <si>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</si>
  <si>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</si>
  <si>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</si>
  <si>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</si>
  <si>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</si>
  <si>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</si>
  <si>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</si>
  <si>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</si>
  <si>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</si>
  <si>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</si>
  <si>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</si>
  <si>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</si>
  <si>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</si>
  <si>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</si>
  <si>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</si>
  <si>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</si>
  <si>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</si>
  <si>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</si>
  <si>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</si>
  <si>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</si>
  <si>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</si>
  <si>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</si>
  <si>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</si>
  <si>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</si>
  <si>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</si>
  <si>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</si>
  <si>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</si>
  <si>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</si>
  <si>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</si>
  <si>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</si>
  <si>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</si>
  <si>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</si>
  <si>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</si>
  <si>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</si>
  <si>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</si>
  <si>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</si>
  <si>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</si>
  <si>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</si>
  <si>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</si>
  <si>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</si>
  <si>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</si>
  <si>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</si>
  <si>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</si>
  <si>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</si>
  <si>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</si>
  <si>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</si>
  <si>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</si>
  <si>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</si>
  <si>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</si>
  <si>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</si>
  <si>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</si>
  <si>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</si>
  <si>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</si>
  <si>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</si>
  <si>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</si>
  <si>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</si>
  <si>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</si>
  <si>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</si>
  <si>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</si>
  <si>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</si>
  <si>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</si>
  <si>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</si>
  <si>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</si>
  <si>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</si>
  <si>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</si>
  <si>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</si>
  <si>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</si>
  <si>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</si>
  <si>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</si>
  <si>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</si>
  <si>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</si>
  <si>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</si>
  <si>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</si>
  <si>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</si>
  <si>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</si>
  <si>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</si>
  <si>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</si>
  <si>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</si>
  <si>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</si>
  <si>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</si>
  <si>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</si>
  <si>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</si>
  <si>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</si>
  <si>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</si>
  <si>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</si>
  <si>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</si>
  <si>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</si>
  <si>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</si>
  <si>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</si>
  <si>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</si>
  <si>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</si>
  <si>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</si>
  <si>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</si>
  <si>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</si>
  <si>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</si>
  <si>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</si>
  <si>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</si>
  <si>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</si>
  <si>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</si>
  <si>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</si>
  <si>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</si>
  <si>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</si>
  <si>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(+) Estoque inicial Alimento</t>
  </si>
  <si>
    <t xml:space="preserve">ZigPay </t>
  </si>
  <si>
    <t>(+) Estoque inicial Bebida</t>
  </si>
  <si>
    <t xml:space="preserve">Eventos </t>
  </si>
  <si>
    <t>(+) Estoque inicial Produção Cozinha</t>
  </si>
  <si>
    <t xml:space="preserve">Reveillon </t>
  </si>
  <si>
    <t>(+) Estoque inicial Produção Bar</t>
  </si>
  <si>
    <t>Comanda Aberta/Couvert</t>
  </si>
  <si>
    <t>(+) Compra de Alimento</t>
  </si>
  <si>
    <t>Descontos</t>
  </si>
  <si>
    <t>(+) Compra de Bebida</t>
  </si>
  <si>
    <t>Promoções Utilizadas</t>
  </si>
  <si>
    <t>(+)Entradas transferência Alimento</t>
  </si>
  <si>
    <t>(+)Entradas transferência Bebidas</t>
  </si>
  <si>
    <t>A&amp;B Final para calculo do CMV na DRE</t>
  </si>
  <si>
    <t>(-) Saídas transferencia Alimento</t>
  </si>
  <si>
    <t>(-) Saídas transferencia Bebidas</t>
  </si>
  <si>
    <t>EVENTOS CMV</t>
  </si>
  <si>
    <t>(-) Consumo Funcionário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</si>
  <si>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</si>
  <si>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</si>
  <si>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</si>
  <si>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</si>
  <si>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</si>
  <si>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</si>
  <si>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</si>
  <si>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</si>
  <si>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</si>
  <si>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</si>
  <si>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</si>
  <si>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</si>
  <si>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</si>
  <si>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</si>
  <si>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</si>
  <si>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</si>
  <si>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Descrição</t>
  </si>
  <si>
    <t>1º TRI</t>
  </si>
  <si>
    <t>2º TRI</t>
  </si>
  <si>
    <t>3º TRI</t>
  </si>
  <si>
    <t>4º TRI</t>
  </si>
  <si>
    <t>Total</t>
  </si>
  <si>
    <t>Receita Serviços</t>
  </si>
  <si>
    <t>Receita Comércio</t>
  </si>
  <si>
    <t>Serviço (Gorjeta)</t>
  </si>
  <si>
    <t>Outras Receitas Não operacional</t>
  </si>
  <si>
    <t>Total receitas</t>
  </si>
  <si>
    <t>PIS</t>
  </si>
  <si>
    <t>COFINS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</si>
  <si>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</si>
  <si>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</si>
  <si>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</si>
  <si>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</si>
  <si>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</si>
  <si>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</si>
  <si>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</si>
  <si>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</si>
  <si>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</si>
  <si>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</si>
  <si>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</si>
  <si>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</si>
  <si>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</si>
  <si>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Simulação de 2025 no Simples Nacional</t>
  </si>
  <si>
    <t>Valor - R$</t>
  </si>
  <si>
    <t>Acumulado 12 meses</t>
  </si>
  <si>
    <t>Faixa</t>
  </si>
  <si>
    <t>Resultado</t>
  </si>
  <si>
    <t>Dedução</t>
  </si>
  <si>
    <t>Valor recolhimento DAS</t>
  </si>
  <si>
    <t>Valor recolhimento ICMS</t>
  </si>
  <si>
    <t>Custo total - R$</t>
  </si>
  <si>
    <t>Obs</t>
  </si>
  <si>
    <t>5ª</t>
  </si>
  <si>
    <t>Alíquota efetiva</t>
  </si>
  <si>
    <t>1ª</t>
  </si>
  <si>
    <t>2ª</t>
  </si>
  <si>
    <t>3ª</t>
  </si>
  <si>
    <t>4ª</t>
  </si>
  <si>
    <t>6ª</t>
  </si>
  <si>
    <t>Casa</t>
  </si>
  <si>
    <t>Mês</t>
  </si>
  <si>
    <t>Categoria/Linha</t>
  </si>
  <si>
    <t>Valor</t>
  </si>
  <si>
    <t>Mes_Texto</t>
  </si>
  <si>
    <t>Orfeu</t>
  </si>
  <si>
    <t>2024-01-01</t>
  </si>
  <si>
    <t>1/2024</t>
  </si>
  <si>
    <t>-  Comissões e Gorjeta</t>
  </si>
  <si>
    <t>- Squad</t>
  </si>
  <si>
    <t>- Gerente</t>
  </si>
  <si>
    <t>- Subgerente</t>
  </si>
  <si>
    <t>- Coordenador</t>
  </si>
  <si>
    <t>- Administrativa</t>
  </si>
  <si>
    <t>- Chefe de Cozinha</t>
  </si>
  <si>
    <t>- Chefe de Bar</t>
  </si>
  <si>
    <t>- Sub Chefe de Cozinha</t>
  </si>
  <si>
    <t>- Sub Chefe De Bar</t>
  </si>
  <si>
    <t>- Maitre</t>
  </si>
  <si>
    <t>- Chefe de Fila</t>
  </si>
  <si>
    <t>- Hostess</t>
  </si>
  <si>
    <t>-  Maitre</t>
  </si>
  <si>
    <t>-  Garçon III</t>
  </si>
  <si>
    <t>-  Garçon II</t>
  </si>
  <si>
    <t>-  Garçon I</t>
  </si>
  <si>
    <t>-  Passador de Chopp</t>
  </si>
  <si>
    <t>-  Cumin</t>
  </si>
  <si>
    <t>-  Sub Chefe de Bar</t>
  </si>
  <si>
    <t>-  Bartender III</t>
  </si>
  <si>
    <t>-  Bartender II</t>
  </si>
  <si>
    <t>-  Bartender I</t>
  </si>
  <si>
    <t>-  Bar Back</t>
  </si>
  <si>
    <t>-  Barista III</t>
  </si>
  <si>
    <t>-  Barista II</t>
  </si>
  <si>
    <t>-  Barista I</t>
  </si>
  <si>
    <t>-  Chopeiro III</t>
  </si>
  <si>
    <t>-  Chopeiro II</t>
  </si>
  <si>
    <t>-  Chopeiro I</t>
  </si>
  <si>
    <t>-  Sub Chefe de Cozinha</t>
  </si>
  <si>
    <t>-  Cozinheiro Líder</t>
  </si>
  <si>
    <t>-  Cozinheiro III</t>
  </si>
  <si>
    <t>-  Cozinheiro II</t>
  </si>
  <si>
    <t>-  Cozinheiro I</t>
  </si>
  <si>
    <t>-  Ajud cozinha</t>
  </si>
  <si>
    <t>-  Saladeiro</t>
  </si>
  <si>
    <t>-  Pia</t>
  </si>
  <si>
    <t>-  Sub Chefe de Confeitaria</t>
  </si>
  <si>
    <t>-  Confeiteiro III</t>
  </si>
  <si>
    <t>-  Confeiteiro II</t>
  </si>
  <si>
    <t>-  Confeiteiro I</t>
  </si>
  <si>
    <t>-  Copeiro</t>
  </si>
  <si>
    <t>-  Pizzaiolo</t>
  </si>
  <si>
    <t>-  Ajudante de Pizzaiolo</t>
  </si>
  <si>
    <t>-  Boqueta</t>
  </si>
  <si>
    <t>-  Churrasqueiro I</t>
  </si>
  <si>
    <t>-  Churrasqueiro II</t>
  </si>
  <si>
    <t>-  Churrasqueiro III</t>
  </si>
  <si>
    <t>-  Ajud Limpeza</t>
  </si>
  <si>
    <t>-  Estoquista III</t>
  </si>
  <si>
    <t>-  Estoquista II</t>
  </si>
  <si>
    <t>-  Estoquista I</t>
  </si>
  <si>
    <t>-  Chefe de Manutenção</t>
  </si>
  <si>
    <t>-  Aux. Manutenção III</t>
  </si>
  <si>
    <t>-  Aux. Manutenção II</t>
  </si>
  <si>
    <t>-  Aux. Manutenção I</t>
  </si>
  <si>
    <t>-  Chefe da Portaria</t>
  </si>
  <si>
    <t>-  Porteiro III</t>
  </si>
  <si>
    <t>-  Porteiro II</t>
  </si>
  <si>
    <t>-  Porteiro I</t>
  </si>
  <si>
    <t>-  Hostess III</t>
  </si>
  <si>
    <t>-  Hostess II</t>
  </si>
  <si>
    <t>-  Hostess I</t>
  </si>
  <si>
    <t>-  Chefe de Bilheteria</t>
  </si>
  <si>
    <t>-  Bilheteiro III</t>
  </si>
  <si>
    <t>-  Bilheteiro II</t>
  </si>
  <si>
    <t>-  Bilheteiro I</t>
  </si>
  <si>
    <t>-  Caixa</t>
  </si>
  <si>
    <t>-  Operador de Delivery</t>
  </si>
  <si>
    <t>-  Gorjeta (Retenção Estaff) (+)</t>
  </si>
  <si>
    <t>-  FGTS</t>
  </si>
  <si>
    <t>-  INSS Patronal</t>
  </si>
  <si>
    <t>-  INSS Segurados</t>
  </si>
  <si>
    <t>-  13º Salário</t>
  </si>
  <si>
    <t>-  Férias</t>
  </si>
  <si>
    <t>-  FGTS sobre 13º Salários</t>
  </si>
  <si>
    <t>-  FGTS sobre Férias</t>
  </si>
  <si>
    <t>-  INSS sobre 13º Salários</t>
  </si>
  <si>
    <t>-  INSS sobre Férias</t>
  </si>
  <si>
    <t>-  Rescisão</t>
  </si>
  <si>
    <t>-  Multa Rescisória</t>
  </si>
  <si>
    <t>-  Ações trabalhistas</t>
  </si>
  <si>
    <t>-  Adicional Noturno</t>
  </si>
  <si>
    <t>-  Hora Extra</t>
  </si>
  <si>
    <t>-  Remuneração Variável</t>
  </si>
  <si>
    <t>-  Premiação</t>
  </si>
  <si>
    <t>-  Vale-transporte</t>
  </si>
  <si>
    <t>-  Assist. Médica</t>
  </si>
  <si>
    <t>-  Assist. Odontologica</t>
  </si>
  <si>
    <t>-  Seguro de Vida</t>
  </si>
  <si>
    <t>-  Ajuda de Custo</t>
  </si>
  <si>
    <t>-  Uniformes Manutenção e Reposição</t>
  </si>
  <si>
    <t>-  Exames Periódicos</t>
  </si>
  <si>
    <t>-  Diversos - Vale Combustível</t>
  </si>
  <si>
    <t>-  Gratificações</t>
  </si>
  <si>
    <t>-  Cursos e Treinamentos</t>
  </si>
  <si>
    <t>-  Alimentação Funcionário</t>
  </si>
  <si>
    <t>-  Pro Labore</t>
  </si>
  <si>
    <t>Investimento - Construção - Obra</t>
  </si>
  <si>
    <t>Saldo Operacional</t>
  </si>
  <si>
    <t>2024-02-01</t>
  </si>
  <si>
    <t>2/2024</t>
  </si>
  <si>
    <t>2024-03-01</t>
  </si>
  <si>
    <t>3/2024</t>
  </si>
  <si>
    <t>2024-04-01</t>
  </si>
  <si>
    <t>4/2024</t>
  </si>
  <si>
    <t>2024-05-01</t>
  </si>
  <si>
    <t>5/2024</t>
  </si>
  <si>
    <t>2024-06-01</t>
  </si>
  <si>
    <t>6/2024</t>
  </si>
  <si>
    <t>2024-07-01</t>
  </si>
  <si>
    <t>7/2024</t>
  </si>
  <si>
    <t>2024-08-01</t>
  </si>
  <si>
    <t>8/2024</t>
  </si>
  <si>
    <t>2024-09-01</t>
  </si>
  <si>
    <t>9/2024</t>
  </si>
  <si>
    <t>2024-10-01</t>
  </si>
  <si>
    <t>10/2024</t>
  </si>
  <si>
    <t>2024-11-01</t>
  </si>
  <si>
    <t>11/2024</t>
  </si>
  <si>
    <t>2024-12-01</t>
  </si>
  <si>
    <t>12/2024</t>
  </si>
  <si>
    <t>ANO/2024</t>
  </si>
  <si>
    <t>2025-01-01</t>
  </si>
  <si>
    <t>1/2025</t>
  </si>
  <si>
    <t>2025-02-01</t>
  </si>
  <si>
    <t>2/2025</t>
  </si>
  <si>
    <t>2025-03-01</t>
  </si>
  <si>
    <t>3/2025</t>
  </si>
  <si>
    <t>2025-04-01</t>
  </si>
  <si>
    <t>4/2025</t>
  </si>
  <si>
    <t>2025-05-01</t>
  </si>
  <si>
    <t>5/2025</t>
  </si>
  <si>
    <t>2025-06-01</t>
  </si>
  <si>
    <t>6/2025</t>
  </si>
  <si>
    <t>2025-07-01</t>
  </si>
  <si>
    <t>7/2025</t>
  </si>
  <si>
    <t>2025-08-01</t>
  </si>
  <si>
    <t>8/2025</t>
  </si>
  <si>
    <t>2025-09-01</t>
  </si>
  <si>
    <t>9/2025</t>
  </si>
  <si>
    <t>2025-10-01</t>
  </si>
  <si>
    <t>10/2025</t>
  </si>
  <si>
    <t>2025-11-01</t>
  </si>
  <si>
    <t>11/2025</t>
  </si>
  <si>
    <t>2025-12-01</t>
  </si>
  <si>
    <t>ANO/2025</t>
  </si>
  <si>
    <t>2026-01-01</t>
  </si>
  <si>
    <t>1/2026</t>
  </si>
  <si>
    <t>2026-02-01</t>
  </si>
  <si>
    <t>2/2026</t>
  </si>
  <si>
    <t>2026-03-01</t>
  </si>
  <si>
    <t>3/2026</t>
  </si>
  <si>
    <t>2026-04-01</t>
  </si>
  <si>
    <t>4/2026</t>
  </si>
  <si>
    <t>ID_Loja</t>
  </si>
  <si>
    <t>Loja</t>
  </si>
  <si>
    <t>Data_Evento</t>
  </si>
  <si>
    <t>Categoria</t>
  </si>
  <si>
    <t>Soma_Valor_Transacao_Bruto</t>
  </si>
  <si>
    <t>Soma_Desconto</t>
  </si>
  <si>
    <t>Soma_Valor_Transacao_Liquido</t>
  </si>
  <si>
    <t>tdr_ID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</si>
  <si>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</si>
  <si>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</si>
  <si>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</si>
  <si>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</si>
  <si>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</si>
  <si>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</si>
  <si>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</si>
  <si>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</si>
  <si>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</si>
  <si>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</si>
  <si>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</si>
  <si>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</si>
  <si>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</si>
  <si>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</si>
  <si>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BIT_CANCELADA</t>
  </si>
  <si>
    <t>Bar Brahma - Paulista</t>
  </si>
  <si>
    <t>ASSOCIAÇÃO NÓBREGA DE EDUCAÇÃO E ASSISTÊNCIA SOCIAL - ANEAS - JESUITAS BRASIL</t>
  </si>
  <si>
    <t>0000</t>
  </si>
  <si>
    <t>ALUGUEL MENSAL</t>
  </si>
  <si>
    <t>Real</t>
  </si>
  <si>
    <t>06/2030</t>
  </si>
  <si>
    <t>992304585</t>
  </si>
  <si>
    <t>05/2030</t>
  </si>
  <si>
    <t>Provisionado</t>
  </si>
  <si>
    <t>04/2030</t>
  </si>
  <si>
    <t>03/2030</t>
  </si>
  <si>
    <t>02/2030</t>
  </si>
  <si>
    <t>01/2030</t>
  </si>
  <si>
    <t>12/2029</t>
  </si>
  <si>
    <t>11/2029</t>
  </si>
  <si>
    <t>10/2029</t>
  </si>
  <si>
    <t>09/2029</t>
  </si>
  <si>
    <t>08/2029</t>
  </si>
  <si>
    <t>07/2029</t>
  </si>
  <si>
    <t>06/2029</t>
  </si>
  <si>
    <t>05/2029</t>
  </si>
  <si>
    <t>04/2029</t>
  </si>
  <si>
    <t>03/2029</t>
  </si>
  <si>
    <t>02/2029</t>
  </si>
  <si>
    <t>01/2029</t>
  </si>
  <si>
    <t>12/2028</t>
  </si>
  <si>
    <t>11/2028</t>
  </si>
  <si>
    <t>10/2028</t>
  </si>
  <si>
    <t>09/2028</t>
  </si>
  <si>
    <t>08/2028</t>
  </si>
  <si>
    <t>07/2028</t>
  </si>
  <si>
    <t>06/2028</t>
  </si>
  <si>
    <t>05/2028</t>
  </si>
  <si>
    <t>04/2028</t>
  </si>
  <si>
    <t>03/2028</t>
  </si>
  <si>
    <t>02/2028</t>
  </si>
  <si>
    <t>01/2028</t>
  </si>
  <si>
    <t>12/2027</t>
  </si>
  <si>
    <t>11/2027</t>
  </si>
  <si>
    <t>10/2027</t>
  </si>
  <si>
    <t>09/2027</t>
  </si>
  <si>
    <t>PROVISAO</t>
  </si>
  <si>
    <t>Mão de Obra - Encargos e Provisões</t>
  </si>
  <si>
    <t xml:space="preserve">INSS Segurados </t>
  </si>
  <si>
    <t>08/2027</t>
  </si>
  <si>
    <t>FGTS MENSAL</t>
  </si>
  <si>
    <t>IRRF</t>
  </si>
  <si>
    <t>IRRF - MDO CLT - Salário</t>
  </si>
  <si>
    <t>07/2027</t>
  </si>
  <si>
    <t>VALE TRANSPORTE</t>
  </si>
  <si>
    <t>Mão de Obra - Benefícios</t>
  </si>
  <si>
    <t>VT COMPLEMENTAR SPTRANS</t>
  </si>
  <si>
    <t xml:space="preserve">OSCAR ABIDAO SOARES </t>
  </si>
  <si>
    <t>Mão de Obra - Salários</t>
  </si>
  <si>
    <t>MDO CLT - Salário</t>
  </si>
  <si>
    <t xml:space="preserve">06/2026 - Pensão Alimentícia 
</t>
  </si>
  <si>
    <t>06/2027</t>
  </si>
  <si>
    <t>PJ 67812551000120</t>
  </si>
  <si>
    <t>Mão de Obra - PJ</t>
  </si>
  <si>
    <t>MDO PJ Fixo</t>
  </si>
  <si>
    <t>ADM| PJ</t>
  </si>
  <si>
    <t>SALARIOS CLT</t>
  </si>
  <si>
    <t xml:space="preserve">05/2026 - Brahma Pauista 
</t>
  </si>
  <si>
    <t>CONTRIBUICAO SINDICAL ASSISTENCIAL</t>
  </si>
  <si>
    <t xml:space="preserve">Contribuição Sindical Assistencial   </t>
  </si>
  <si>
    <t>05/2027</t>
  </si>
  <si>
    <t xml:space="preserve">VALE TRANSPORTE - SPTRANS
</t>
  </si>
  <si>
    <t>PORTO SEGURO CIA DE SEGUROS GERAIS</t>
  </si>
  <si>
    <t xml:space="preserve">SEGURO DE VIDA </t>
  </si>
  <si>
    <t xml:space="preserve">VALE TRANSPORTE - TOP </t>
  </si>
  <si>
    <t>66915681000126</t>
  </si>
  <si>
    <t>SALARIO PJ - COORDENAÇÃO - 1ª PARCELA</t>
  </si>
  <si>
    <t>BRH SAUDE OCUPACIONAL LTDA</t>
  </si>
  <si>
    <t>BRH MED - BBP</t>
  </si>
  <si>
    <t>PJ 60406478000148</t>
  </si>
  <si>
    <t>COORDENAÇÃO - 1ª PARCELA</t>
  </si>
  <si>
    <t>COORDENAÇÃO - 2ª PARCELA</t>
  </si>
  <si>
    <t>SALÁRIO PJ - 2ª PARCELA - COORDENADOR</t>
  </si>
  <si>
    <t>PJ 67034697000192</t>
  </si>
  <si>
    <t xml:space="preserve">COORDENAÇÃO - 1ª PARCELA </t>
  </si>
  <si>
    <t>EBM ADVOGADOS - MATECKI SOCIEDADE INDIVIDUAL DE ADVOCACIA</t>
  </si>
  <si>
    <t>04/2027</t>
  </si>
  <si>
    <t>PJ 39869202000100</t>
  </si>
  <si>
    <t>SALÁRIO PJ - SUBCHEFE DE COZINHA</t>
  </si>
  <si>
    <t>PJ 62913361000186</t>
  </si>
  <si>
    <t>SALÁRIO PJ - CHEFE DE COZINHA</t>
  </si>
  <si>
    <t>03/2027</t>
  </si>
  <si>
    <t>PJ 26502601000196</t>
  </si>
  <si>
    <t xml:space="preserve">SALÁRIO PJ </t>
  </si>
  <si>
    <t>LIDER DE SQUAD</t>
  </si>
  <si>
    <t xml:space="preserve">KAMINO INSTITUICAO DE PAGAMENTO LTDA </t>
  </si>
  <si>
    <t>Despesas Financeiras</t>
  </si>
  <si>
    <t>Tarifas Bancárias</t>
  </si>
  <si>
    <t>PJ 55214822000167</t>
  </si>
  <si>
    <t>SALARIO PJ - CHEFE DE BAR - 2ª PARCELA</t>
  </si>
  <si>
    <t>SALARIO PJ - CHEFE DE BAR - 1ª PARCELA</t>
  </si>
  <si>
    <t>ELETROPAULO METROPOLITANA ELETRICIDADE DE SAO PAULO SA</t>
  </si>
  <si>
    <t>02/2027</t>
  </si>
  <si>
    <t xml:space="preserve">DUO COMUNICA LTDA </t>
  </si>
  <si>
    <t>Investimento - CAPEX</t>
  </si>
  <si>
    <t>01/2027</t>
  </si>
  <si>
    <t>Impostos sobre Venda</t>
  </si>
  <si>
    <t xml:space="preserve">CSRF </t>
  </si>
  <si>
    <t>Imposto de Renda</t>
  </si>
  <si>
    <t>FDB HOLDING SUPERIOR LTDA</t>
  </si>
  <si>
    <t xml:space="preserve"> Claudio Katayama - Seguro</t>
  </si>
  <si>
    <t>GET IN TECNOLOGIA S.A.</t>
  </si>
  <si>
    <t>SISTEMA DE RESERVAS</t>
  </si>
  <si>
    <t>VERO SA</t>
  </si>
  <si>
    <t>Indústria e Comércio de Chopeiras Ribeirão Preto Ltda</t>
  </si>
  <si>
    <t>203457</t>
  </si>
  <si>
    <t xml:space="preserve">Parcelado em 10x
o	R$ 33.550,00 - 20/04/26
o	R$ 4.159,12 - 20/05/26
o	R$ 4.159,12 - 20/06/26
o	R$ 4.159,12 - 20/07/26
o	R$ 4.159,12 - 20/08/26
o	R$ 4.159,12 - 20/09/26
o	R$ 4.159,12 - 20/10/26
o	R$ 4.159,12 - 20/11/26
o	R$ 4.159,12 - 20/12/26
o	R$ 4.159,12 - 20/01/27
</t>
  </si>
  <si>
    <t>PJ 55937060000127</t>
  </si>
  <si>
    <t>SALÁRIO PJ - 1ª PARCELA</t>
  </si>
  <si>
    <t>SUB GERENTE</t>
  </si>
  <si>
    <t>PJ 32518871000198</t>
  </si>
  <si>
    <t>SALÁRIO PJ</t>
  </si>
  <si>
    <t>GERENTE</t>
  </si>
  <si>
    <t>SALÁRIO PJ - 2ª PARCELA</t>
  </si>
  <si>
    <t>MANUEL SERRA</t>
  </si>
  <si>
    <t>MAITRE</t>
  </si>
  <si>
    <t>JULIO CESAR BERNARDO</t>
  </si>
  <si>
    <t>Adiantamento salarial 07/2026</t>
  </si>
  <si>
    <t>TECNOARTE NEGOCIOS LTDA</t>
  </si>
  <si>
    <t>07</t>
  </si>
  <si>
    <t>FORRO ACÚSTICO - Parcelado em 4x
13/05/2026 - R$89.755,20
 11/06/2026 - R$44.877,60
 11/07/2026 - R$44.877,60
11/08/2026 - R$44.877,60</t>
  </si>
  <si>
    <t>Pago</t>
  </si>
  <si>
    <t>1187044</t>
  </si>
  <si>
    <t>INSS Segurados 06/2026</t>
  </si>
  <si>
    <t>Processamento</t>
  </si>
  <si>
    <t>6378</t>
  </si>
  <si>
    <t xml:space="preserve">MATRIX IMPRESSAO DIGITAL LTDA </t>
  </si>
  <si>
    <t>2312</t>
  </si>
  <si>
    <t>Letreiro, retroiluminado, Caixa Luminosa e instalação</t>
  </si>
  <si>
    <t>CARTORIO</t>
  </si>
  <si>
    <t>3845794142</t>
  </si>
  <si>
    <t>Custas Cartórios / Protestos</t>
  </si>
  <si>
    <t>TARIFA</t>
  </si>
  <si>
    <t>60.367.069 JOSE RAFAEL PRATES DA SILVA</t>
  </si>
  <si>
    <t>1</t>
  </si>
  <si>
    <t>Remanejo de rack de térreo</t>
  </si>
  <si>
    <t>TELEFONICA BRASIL S/A</t>
  </si>
  <si>
    <t>0453417513</t>
  </si>
  <si>
    <t>Rateamento de 127 - Bar Brahma - Paulista (1.7214%)</t>
  </si>
  <si>
    <t>Fabrica de Lojas om De Expositores Eirelli EPP</t>
  </si>
  <si>
    <t>4568089</t>
  </si>
  <si>
    <t>Mão de Obra - Extra</t>
  </si>
  <si>
    <t xml:space="preserve">PIX   27.865.233/0001-03  FABRICA DE LOJA   </t>
  </si>
  <si>
    <t>80444</t>
  </si>
  <si>
    <t>BB VIDROS E ESQUADRIAS LTDA</t>
  </si>
  <si>
    <t>98</t>
  </si>
  <si>
    <t xml:space="preserve"> ADITIVOS 2 CAIXILHOS ACÚSTICOS
29/05/2026 - R$4.800,00
29/06/2026 - R$2.400,00
29/07/2026 - R$2.400,00</t>
  </si>
  <si>
    <t>FRANKLIN FRANCHINI FINAMORE</t>
  </si>
  <si>
    <t>39</t>
  </si>
  <si>
    <t xml:space="preserve">Franklin Ribeiro da Silva 
CPF 412.442.728-09 
SANTANDER 
AG: 0277
CC: 01034238-5
PIX: 412.442.728-09
</t>
  </si>
  <si>
    <t>RD STATION</t>
  </si>
  <si>
    <t>321595</t>
  </si>
  <si>
    <t>Rateamento de 127 - Bar Brahma - Paulista (8.33%)</t>
  </si>
  <si>
    <t>JP COMERCIO DE EXPOSITORES EIRELI</t>
  </si>
  <si>
    <t>74535072026</t>
  </si>
  <si>
    <t>ZENITE ARTES GRAFICAS LTDA ME</t>
  </si>
  <si>
    <t>1236</t>
  </si>
  <si>
    <t>VISITA TECNICA LIMPEZA DE VIDROS E APLICAÇÃO DE PLICULA
Banco: 077 Agência: 001
Conta: 34240038-0
PIX: CNPJ
07.642.307/0001-35</t>
  </si>
  <si>
    <t>321699</t>
  </si>
  <si>
    <t>CERAMICA ATLAS LTDA</t>
  </si>
  <si>
    <t>327051</t>
  </si>
  <si>
    <t xml:space="preserve"> PASTILHA ATLAS EXTRA 3 parcelas
02/06/2026 - R$3.954,40
30/06/2026 - R$3.878,76
28/07/2026 - R$3.879,91</t>
  </si>
  <si>
    <t>ZEON REGRIGERAÇÃO LTDA</t>
  </si>
  <si>
    <t>87774</t>
  </si>
  <si>
    <t>Manutenção</t>
  </si>
  <si>
    <t>Material ar condicionado 3 parcelas
28/05/2026 - 17.155,87
25/06/2026 - R$17.155,86
23/07/2026 - R$17.155,86</t>
  </si>
  <si>
    <t>VINICIUS FIDELIS GOMES</t>
  </si>
  <si>
    <t>9</t>
  </si>
  <si>
    <t>Pix Celular 11981176460
Colocação e instalação de assoalhos, revestimentos de parede</t>
  </si>
  <si>
    <t>DMAZ MATERIAIS PARA CONSTRUÇÃO LTDA</t>
  </si>
  <si>
    <t>2541</t>
  </si>
  <si>
    <t xml:space="preserve">2542 </t>
  </si>
  <si>
    <t>Referente a material usado na instalação de moveis e coifas.</t>
  </si>
  <si>
    <t>MARIO PEDRO FELICIANO - HORTIFRUTI</t>
  </si>
  <si>
    <t>482630</t>
  </si>
  <si>
    <t>Custo Mercadoria Vendida</t>
  </si>
  <si>
    <t>Insumos - Alimentos</t>
  </si>
  <si>
    <t>TRANSVIT TRANSPORTES E REMOÇÕES INDUSTRIAIS LTDA</t>
  </si>
  <si>
    <t>970</t>
  </si>
  <si>
    <t>PRESTAÇÃO DE SERVIÇO.
PIX : Transvit@transvit.com.br</t>
  </si>
  <si>
    <t>62.581.576/0001-47</t>
  </si>
  <si>
    <t xml:space="preserve">BANCO ITAÚ S/A
AGÊNCIA: 5275
CONTA CORRENTE: 29070-7
CPF: 219.798.528-04
TITULAR: PAULO CESAR MEDEIROS EYZANO
</t>
  </si>
  <si>
    <t>COMPANHIA DE GAS DE SAO PAULO</t>
  </si>
  <si>
    <t>147066381</t>
  </si>
  <si>
    <t>PREFEITURA DE SÃO PAULO</t>
  </si>
  <si>
    <t>572446072026</t>
  </si>
  <si>
    <t>Licença de funcionamento</t>
  </si>
  <si>
    <t>Instalação de fechadura Facial - estoque</t>
  </si>
  <si>
    <t>Colocado no Banco</t>
  </si>
  <si>
    <t xml:space="preserve">FONTEFER </t>
  </si>
  <si>
    <t>29</t>
  </si>
  <si>
    <t>DESCRIÇÃO: Porta do Estoque</t>
  </si>
  <si>
    <t>ELLOHUB PRINT MKT ONLINE E OFFLINE LTDA</t>
  </si>
  <si>
    <t>423</t>
  </si>
  <si>
    <t xml:space="preserve">PAGAMENTO PIX l.alves@ellohub.com Nu BANK </t>
  </si>
  <si>
    <t>ESTAFF SOLUCOES TECNOLOGICAS DE AGENCIAMENTO LTDA</t>
  </si>
  <si>
    <t>850679444</t>
  </si>
  <si>
    <t>PEDRO LUIZ DE PAIVA LIMA</t>
  </si>
  <si>
    <t>55430489000123</t>
  </si>
  <si>
    <t>COMPRA DE MATERIAL , CANTONEIRA,PU TORNEIRA E ADPTADOR DE GAS. PAGO NO MEU CARTAO DEVIDO AO CARTAO PET TER SIDO BLOQUEADO</t>
  </si>
  <si>
    <t>HDMA TVS SERVICOS LTDA</t>
  </si>
  <si>
    <t xml:space="preserve"> Instalação de TVs na Varanda - valor negociado do orçamento final: R$ 12.000,00</t>
  </si>
  <si>
    <t>LOS AMIGOS MOLDURAS LTDA - ME</t>
  </si>
  <si>
    <t>4307</t>
  </si>
  <si>
    <t xml:space="preserve">DESCRIÇÃO: Molduras
Dados bancario:
Banco Itau 
Agencia 0709
C.C 56118-7
Chave pix 01126961000100 </t>
  </si>
  <si>
    <t>136149294</t>
  </si>
  <si>
    <t>RS Musical Eireli EPP</t>
  </si>
  <si>
    <t>11362</t>
  </si>
  <si>
    <t xml:space="preserve">DESCRIÇÂO : Cavaco para decoração 
DADOS BANCARÍOS
Banco Itaú
Agência: 6754
CC: 99236-7
PIX: 03.641.583/0001-28
</t>
  </si>
  <si>
    <t>NIX ELEVADORES LTDA</t>
  </si>
  <si>
    <t>155</t>
  </si>
  <si>
    <t>Descrição: Restauração de quadros de comando
DADOS BANCARIOS :
PIX :  58.897.696/0001-80
BANCO DO BRASIL
AG: 3266-2
CONTA CORRENTE 
42518-4</t>
  </si>
  <si>
    <t>4306</t>
  </si>
  <si>
    <t>ADRIANO ROBERTO DA SILVA</t>
  </si>
  <si>
    <t>DARLAN RIBEIRO ROCHA</t>
  </si>
  <si>
    <t>Vale transporte Admitidos</t>
  </si>
  <si>
    <t>MYSAEL BARBOSA RAMOS</t>
  </si>
  <si>
    <t>JACK DE SIQUEIRA REZENDE</t>
  </si>
  <si>
    <t>JESSICA XAVIER FERRAZ</t>
  </si>
  <si>
    <t>JOSEANA LIMA AMORIM</t>
  </si>
  <si>
    <t>00579859</t>
  </si>
  <si>
    <t xml:space="preserve">COMPRA DE VASO PLANTAS </t>
  </si>
  <si>
    <t>MARIA LUCIA DE AZEVEDO SOUSA</t>
  </si>
  <si>
    <t>ANA BEATRIZ GAMA MARTINS</t>
  </si>
  <si>
    <t>Ar Natural Exaustores LTDA – EPP</t>
  </si>
  <si>
    <t>850</t>
  </si>
  <si>
    <t xml:space="preserve"> Contratação de equipamentos e mão de obra para exaustão - 7/7</t>
  </si>
  <si>
    <t>RAFAEL AUGUSTO FARIA SILVA</t>
  </si>
  <si>
    <t>28080 072026</t>
  </si>
  <si>
    <t>DIFERENÇA VALE TRANSPORTE</t>
  </si>
  <si>
    <t>KARINA COUTINHO LEITE</t>
  </si>
  <si>
    <t xml:space="preserve">TOPEMA COZ PROF IND E COM LTDA </t>
  </si>
  <si>
    <t>1030652072026</t>
  </si>
  <si>
    <t>Aguardando boleto prorrogado</t>
  </si>
  <si>
    <t>PENIEL DUVLYNE FIDELJA MANDANGUI</t>
  </si>
  <si>
    <t>RENAN THADEU SOARES DOS SANTOS</t>
  </si>
  <si>
    <t>HILDEVALDO ALVES PEREIRA</t>
  </si>
  <si>
    <t>WANDELIA ALVES BOTARO</t>
  </si>
  <si>
    <t>JOSE CARLOS FELIX JUNIOR</t>
  </si>
  <si>
    <t>5827</t>
  </si>
  <si>
    <t>296731787</t>
  </si>
  <si>
    <t>VT COMPLEMENTO SP TRANS</t>
  </si>
  <si>
    <t>12649770</t>
  </si>
  <si>
    <t>JOSIANE RODRIGUES BELEM</t>
  </si>
  <si>
    <t>CARLOS EDUARDO DE CASTRO</t>
  </si>
  <si>
    <t>GRASIELA ALCANTARA DA GAMA</t>
  </si>
  <si>
    <t>296730988</t>
  </si>
  <si>
    <t>WAGNER VENANCIO DE SOUSA</t>
  </si>
  <si>
    <t>INGRID RODRIGUES RIBEIRO</t>
  </si>
  <si>
    <t>BEATRIZ ROCHA APELIAN DE OLIVEIRA</t>
  </si>
  <si>
    <t>ANA CAROLINA MARQUES LEMOS</t>
  </si>
  <si>
    <t>EROTILDES DAYANE DE FRANÇA LIRA</t>
  </si>
  <si>
    <t>PABLO PEREIRA DOS SANTOS</t>
  </si>
  <si>
    <t>55312 072026</t>
  </si>
  <si>
    <t>vale transporte 07/2026</t>
  </si>
  <si>
    <t>58864 072026</t>
  </si>
  <si>
    <t>Ingrid Querole Santos dos Santos</t>
  </si>
  <si>
    <t>41600 072026</t>
  </si>
  <si>
    <t>Paula Gabriela de Araujo</t>
  </si>
  <si>
    <t>55640 072026</t>
  </si>
  <si>
    <t>Vale transporte 07/2026</t>
  </si>
  <si>
    <t>TATIANA BARROSO DE MORAIS BERNI</t>
  </si>
  <si>
    <t>83768 072026</t>
  </si>
  <si>
    <t>ROBERVALDO DA SILVA AZEVEDO</t>
  </si>
  <si>
    <t>WALLPAPER CONCEPT COMERCIO E SERVIÇO DE DECORAÇÃO LTDA</t>
  </si>
  <si>
    <t>2424</t>
  </si>
  <si>
    <t>DESCRIÇÃO : MURAL PERSONALIZADO BASE</t>
  </si>
  <si>
    <t>DAIANA CRISTINA DA SILVA VARGES</t>
  </si>
  <si>
    <t>MAIKI SOUZA CHAVES</t>
  </si>
  <si>
    <t>ANDRE RODRIGUES BORGES</t>
  </si>
  <si>
    <t>ALEXANDRE VERONESE</t>
  </si>
  <si>
    <t>4</t>
  </si>
  <si>
    <t>Observação : Pintura de duas telas de tinta acrílica para decoração</t>
  </si>
  <si>
    <t>MACHINE SEGURANCA PATRIMONIAL LTDA</t>
  </si>
  <si>
    <t>349</t>
  </si>
  <si>
    <t>Referencia : de 16 - 05 ao 31- 05 - 2026</t>
  </si>
  <si>
    <t>371</t>
  </si>
  <si>
    <t>Referencia : de 1 - 05  ao  15 -05 - 2026.</t>
  </si>
  <si>
    <t>278</t>
  </si>
  <si>
    <t>Referencia: 01/04/2026á
15/04/2026</t>
  </si>
  <si>
    <t>250</t>
  </si>
  <si>
    <t>Referencia : De 16 - 03 - 2026 ao 31 - 03 - 2026.</t>
  </si>
  <si>
    <t>INGRID QUEROLE SANTOS DOS SANTOS</t>
  </si>
  <si>
    <t>80570 062026</t>
  </si>
  <si>
    <t>ELIZABETE VITORIA PONTES AMARAL</t>
  </si>
  <si>
    <t>35745 072026</t>
  </si>
  <si>
    <t>07/2026 - Rescisão término de contrato em 03/07/2026</t>
  </si>
  <si>
    <t>RONALDO CARLOS DOURADO</t>
  </si>
  <si>
    <t>FELIPE HENRIQUE CALDEIRA</t>
  </si>
  <si>
    <t>VERA LUCIA FARIAS DE OLIVEIRA NETA</t>
  </si>
  <si>
    <t>RENAN SANTOS</t>
  </si>
  <si>
    <t>49220 072026</t>
  </si>
  <si>
    <t>VALE TRANSPORTE ADMISSÃO 07/2026</t>
  </si>
  <si>
    <t>JADILSON ARAUJO DOS SANTOS</t>
  </si>
  <si>
    <t>GIOVANNA VARGAS BELLI MULER</t>
  </si>
  <si>
    <t>30784 072026</t>
  </si>
  <si>
    <t>Júlio Cesar de Paula</t>
  </si>
  <si>
    <t>51</t>
  </si>
  <si>
    <t xml:space="preserve">SERVIÇO PRESTADO
 conta do Itaú:
CPF: 46065696897
Agência: 0844
Conta: 44878-7
 Pix: 46065696897
PEDIDO ALTERADO - 2 VEZES </t>
  </si>
  <si>
    <t>DIEGO DA SILVA CORREA</t>
  </si>
  <si>
    <t>1116943 062026</t>
  </si>
  <si>
    <t>MAYSA CRISTINA FRANCA DOS SANTOS</t>
  </si>
  <si>
    <t>GUILHERME SOLAR DUARTE</t>
  </si>
  <si>
    <t>PJ 67033739000170</t>
  </si>
  <si>
    <t>7</t>
  </si>
  <si>
    <t>Distrato PJ - ADM</t>
  </si>
  <si>
    <t>47090 072026</t>
  </si>
  <si>
    <t>167</t>
  </si>
  <si>
    <t>Referencia:   mês de Fevereiro de 1- 2 ao 15 - 02.</t>
  </si>
  <si>
    <t>1658 072026</t>
  </si>
  <si>
    <t>CAIQUE APARECIDO DOS SANTOS</t>
  </si>
  <si>
    <t>REGIANE SILVA SANTOS</t>
  </si>
  <si>
    <t>277437 072026</t>
  </si>
  <si>
    <t xml:space="preserve">ANTECIPAÇÃO TÉRMINO DE CONTRATO </t>
  </si>
  <si>
    <t>18314 072026</t>
  </si>
  <si>
    <t>Multa FGTS</t>
  </si>
  <si>
    <t>EDUARDO MACIEL SENTO DE MARQUES</t>
  </si>
  <si>
    <t>REC 55312 072026</t>
  </si>
  <si>
    <t>VT EDUARDO - COMP. 07/2026</t>
  </si>
  <si>
    <t>77000 072026</t>
  </si>
  <si>
    <t>VT MAYSA - Não recebeu no cartão</t>
  </si>
  <si>
    <t>RAVENA DE OLIVEIRA MARTINS</t>
  </si>
  <si>
    <t>ROSANGELA CONCEIÇÃO NASCIMENTO</t>
  </si>
  <si>
    <t>GUSTAVO SOARES PEDROSA</t>
  </si>
  <si>
    <t>IGOR FILIPE TELLO DA FONSECA</t>
  </si>
  <si>
    <t>JONATHAN NICASTRO FERREIRA</t>
  </si>
  <si>
    <t>FRANKLIN RIBEIRO DA SILVA</t>
  </si>
  <si>
    <t>.</t>
  </si>
  <si>
    <t>Despesas com Transporte / Hospedagem</t>
  </si>
  <si>
    <t xml:space="preserve">Retirada de equipamento - Brahma Paulista </t>
  </si>
  <si>
    <t>PAULA GARBIELA DE ARAUJO</t>
  </si>
  <si>
    <t>ANDRE NYCOLAS GONÇALVES DA SILVA</t>
  </si>
  <si>
    <t>Vale transporte admissional</t>
  </si>
  <si>
    <t>ANTÔNIA DANDARA DE ALBUQUERQUE</t>
  </si>
  <si>
    <t>BRUNO PINHEIRO RUAS</t>
  </si>
  <si>
    <t>CHARLES OLIVEIRA DE ARAUJO</t>
  </si>
  <si>
    <t>FRANCISCO MARCOS DA SILVA</t>
  </si>
  <si>
    <t>MARCOS ANDRÉ BEZERRA</t>
  </si>
  <si>
    <t>THIAGO DE OLIVEIRA</t>
  </si>
  <si>
    <t>OSCAR ABIDÃO SOARES</t>
  </si>
  <si>
    <t>JOHN AYO OSAGIE</t>
  </si>
  <si>
    <t>MARIA APARECIDA SOUZA</t>
  </si>
  <si>
    <t>RICARDO ALVES DOS SANTOS</t>
  </si>
  <si>
    <t>CELIO ROBERTO DE SENA</t>
  </si>
  <si>
    <t>VANESSA FERREIRA QUINTILHANO DOS SANTOS</t>
  </si>
  <si>
    <t>HELIO QUIRINO DE SOUSA</t>
  </si>
  <si>
    <t>FERNANDO HIDEKI SILVA ANDO</t>
  </si>
  <si>
    <t>ADRIANA DOS SANTOS LADISLAU</t>
  </si>
  <si>
    <t>REGIANE DA SILVA</t>
  </si>
  <si>
    <t>FLAVIO DE LIMA TAVARES</t>
  </si>
  <si>
    <t>MAURÍCIO CAMPOS DO NASCIMENTO</t>
  </si>
  <si>
    <t>FERNANDA AMARO RODRIGUES</t>
  </si>
  <si>
    <t>WILLIAM RAMOS LEANDRO</t>
  </si>
  <si>
    <t>JUNHO2026</t>
  </si>
  <si>
    <t>PROV</t>
  </si>
  <si>
    <t>Gorjeta</t>
  </si>
  <si>
    <t>GORJETA 06/2026</t>
  </si>
  <si>
    <t>14</t>
  </si>
  <si>
    <t>TAXA DE FISCALIZAÇÃO DE ESTABELECIMENTOS</t>
  </si>
  <si>
    <t>TFE 06/2026</t>
  </si>
  <si>
    <t>64931</t>
  </si>
  <si>
    <t>Demanda kW : 30.000</t>
  </si>
  <si>
    <t>TFE 2026</t>
  </si>
  <si>
    <t>PJ 51365405000164</t>
  </si>
  <si>
    <t>CHEFE DE COZINHA</t>
  </si>
  <si>
    <t>992290114</t>
  </si>
  <si>
    <t>INSS TERCEIROS</t>
  </si>
  <si>
    <t>79</t>
  </si>
  <si>
    <t>ESPELHOS
PARCELADO EM 3X
01/05/2026 - R$19.000,00
01/06/2026 - R$9.500,00 
01/07/2026 - R$9.500,00</t>
  </si>
  <si>
    <t xml:space="preserve">ABRASEL SAO PAULO </t>
  </si>
  <si>
    <t>194621</t>
  </si>
  <si>
    <t>PIVA ART &amp; DESIGN DE PLANEJADOS LTDA</t>
  </si>
  <si>
    <t>92</t>
  </si>
  <si>
    <t>DIVINIL SERVICOS E DIVISORIAS LTDA</t>
  </si>
  <si>
    <t>131</t>
  </si>
  <si>
    <t>Divisórias Banheiros
PARCELADO EM 2X
08/05/2026 - R$34.000,00
15/07/2026 - R$34.000,00
Boleto com vencimento dia 3/07/2026.</t>
  </si>
  <si>
    <t>712</t>
  </si>
  <si>
    <t>260623002</t>
  </si>
  <si>
    <t>Prateleira em prefil</t>
  </si>
  <si>
    <t>DNLLOG MEDRAZ LOGISTICA E SOLUCOES CORPORATIVAS LTDA</t>
  </si>
  <si>
    <t>668</t>
  </si>
  <si>
    <t>LENOVO TECNOLOGIA BRASIL LTDA</t>
  </si>
  <si>
    <t>Notebook para ADM</t>
  </si>
  <si>
    <t>RD GESTAO E SISTEMAS S.A.</t>
  </si>
  <si>
    <t>4090253</t>
  </si>
  <si>
    <t>Rateamento de 127 - Bar Brahma - Paulista (8.34%)</t>
  </si>
  <si>
    <t>Rateamento de 127 - Bar Brahma - Paulista (1.8445%)</t>
  </si>
  <si>
    <t>AURORA ALVORADA ESTACIONAMENTO E LANCHONETE LTDA</t>
  </si>
  <si>
    <t>40244</t>
  </si>
  <si>
    <t xml:space="preserve">CAFÉ TREINAMENTO BRAHMA PAULISTA </t>
  </si>
  <si>
    <t>CASA MIMOSA HIDRAULICA E ACABAMENTOS LTDA</t>
  </si>
  <si>
    <t>3663345</t>
  </si>
  <si>
    <t>Pedido de Válvulas e Flexíveis</t>
  </si>
  <si>
    <t>40243</t>
  </si>
  <si>
    <t>CAFÉ TREINAMENTO BRAHMA PAULISTA SEGUNDO DIA</t>
  </si>
  <si>
    <t>CEM ENGENHARIA DA MANUTENCAO LTDA</t>
  </si>
  <si>
    <t>4466</t>
  </si>
  <si>
    <t>Serviços prestados</t>
  </si>
  <si>
    <t>94</t>
  </si>
  <si>
    <t>ADITIVOS 2 CAIXILHOS ACÚSTICOS
29/05/2026 - R$4.800,00
29/06/2026 - R$2.400,00
29/07/2026 - R$2.400,00</t>
  </si>
  <si>
    <t>LAR - CONSTRUCOES E INCORPORACOES LTDA</t>
  </si>
  <si>
    <t>2438</t>
  </si>
  <si>
    <t xml:space="preserve"> DIFERENÇA DO ID 238216</t>
  </si>
  <si>
    <t>79101</t>
  </si>
  <si>
    <t>2100062026</t>
  </si>
  <si>
    <t>16</t>
  </si>
  <si>
    <t xml:space="preserve"> FORRO ACÚSTICO - Parcelado em 4x
13/05/2026 - R$89.755,20
 11/06/2026 - R$44.877,60
 11/07/2026 - R$44.877,60
11/08/2026 - R$44.877,60</t>
  </si>
  <si>
    <t>previsão</t>
  </si>
  <si>
    <t>Manutenção Montacarga - 2 parcelas
14/05/2026 - R$2.400,00
06/06/2026 - R$2.400,00</t>
  </si>
  <si>
    <t>279102</t>
  </si>
  <si>
    <t>UP AUTOMACAO INDUSTRIAL LTDA</t>
  </si>
  <si>
    <t>874</t>
  </si>
  <si>
    <t>TIPO DE MATERIAL: SISTEMA DE PRESSURIZACAO</t>
  </si>
  <si>
    <t>tarifa</t>
  </si>
  <si>
    <t>LALAMOVE TECNOLOGIA (BRASIL) LTDA</t>
  </si>
  <si>
    <t>30867052026</t>
  </si>
  <si>
    <t>Rateio Lalamove - competência 05/2026</t>
  </si>
  <si>
    <t>ARTHUR PAULO FIGUEIREDO TEMPESTA</t>
  </si>
  <si>
    <t>17</t>
  </si>
  <si>
    <t>FRETE 1ª PARTE DA ENTREGA DAS CERAMICAS</t>
  </si>
  <si>
    <t>18</t>
  </si>
  <si>
    <t>FRETE 2ª PARTE DA ENTREGA DAS CERAMICAS</t>
  </si>
  <si>
    <t>992276005</t>
  </si>
  <si>
    <t>DOMINGOS ILUMINACAO LTDA ME</t>
  </si>
  <si>
    <t>551</t>
  </si>
  <si>
    <t>LUMINARIAS - ARÉA EXTERNA</t>
  </si>
  <si>
    <t>TUZINI COZINHAS PROFISSIONAIS EIRELI</t>
  </si>
  <si>
    <t>7525</t>
  </si>
  <si>
    <t xml:space="preserve">COMPRA DA FRITADEIRA INDUSTRIAL A GÁS </t>
  </si>
  <si>
    <t>136149293</t>
  </si>
  <si>
    <t>INTERNET</t>
  </si>
  <si>
    <t>4062026</t>
  </si>
  <si>
    <t>MERCADO PAGO.COM REPRESENTACOES LTDA</t>
  </si>
  <si>
    <t>202366062026</t>
  </si>
  <si>
    <t xml:space="preserve">   ID DE PEDIDO 3783793 - Produto é Fone Tipo D Compatível Intelbras Rpd7101 7001 Rpd8</t>
  </si>
  <si>
    <t>GAIA CENOGRAFIA LTDA</t>
  </si>
  <si>
    <t xml:space="preserve">Contratação de Material e Serviço para instalação de Marcenaria, Cenografia e Serralheria 
</t>
  </si>
  <si>
    <t>MILI PRODUCOES LTDA</t>
  </si>
  <si>
    <t>Instalação de projetor laser + tela automática - Brahma Paulista</t>
  </si>
  <si>
    <t xml:space="preserve">BELLA PAULISTA </t>
  </si>
  <si>
    <t>14285</t>
  </si>
  <si>
    <t xml:space="preserve"> CAFÉ DA MANHÃ E CAFÉ DA TARDE DO TREINAMENTO DO DIA 25/05/2026</t>
  </si>
  <si>
    <t>MATHEUS STENIO SENA SILVA 39652121843</t>
  </si>
  <si>
    <t>26</t>
  </si>
  <si>
    <t>FREELA DESIGNER GRAFICO</t>
  </si>
  <si>
    <t>Designer - Pleno</t>
  </si>
  <si>
    <t>REFRIGERACAO JARDIM CRUZEIRO LTDA</t>
  </si>
  <si>
    <t>19750062026</t>
  </si>
  <si>
    <t>Palco Principal 
Base para Expositor de Vidros 
Parcelado em 2x
03/06 - 19.750
26/06 - 19.750</t>
  </si>
  <si>
    <t>88</t>
  </si>
  <si>
    <t>Aditivos Caixilhos Acústicos - Parcelado em 3x
1 - 6.250, 2 - 3.125, 3 - 3.125</t>
  </si>
  <si>
    <t>478302 052026</t>
  </si>
  <si>
    <t xml:space="preserve"> FGTS MENSAL 05/2026</t>
  </si>
  <si>
    <t>451953 052026</t>
  </si>
  <si>
    <t xml:space="preserve"> INSS Segurados - 05/2026</t>
  </si>
  <si>
    <t>294286274</t>
  </si>
  <si>
    <t>Problemas na emissão do Bilhete Unico (Regiane) - COMP. 06/2026</t>
  </si>
  <si>
    <t>REC 27500 062026</t>
  </si>
  <si>
    <t>Funcionária com problema na emissão do cartão mogi - comp. 06/2026</t>
  </si>
  <si>
    <t>293651037</t>
  </si>
  <si>
    <t>COLABORADOR ESTAVA SEM BILHETE UNICO - COMP. 06/2026</t>
  </si>
  <si>
    <t>FABRICIO DE MORAES CAVALCANTE</t>
  </si>
  <si>
    <t>19320 062026</t>
  </si>
  <si>
    <t>FUNCIONÁRIO COM PROBLEMA NO BILHETE UNICO - COMP. 06/2026 
Valor depositado 7 dias</t>
  </si>
  <si>
    <t>CONCIERGE IA SOLUCOES LTDA</t>
  </si>
  <si>
    <t>372</t>
  </si>
  <si>
    <t>23</t>
  </si>
  <si>
    <t>10</t>
  </si>
  <si>
    <t xml:space="preserve"> SALÁRIO PJ </t>
  </si>
  <si>
    <t>3.766</t>
  </si>
  <si>
    <t>Contratação de equipamentos e mão de obra para exaustão - 6/7
NF com valor de 3 parcelas - 15/04, 15/05 e 15/06</t>
  </si>
  <si>
    <t>142089 062026</t>
  </si>
  <si>
    <t xml:space="preserve">Pedido Demissão em 15/06/2026 </t>
  </si>
  <si>
    <t xml:space="preserve">DAIANA CRISTINA DA SILVA VARGES </t>
  </si>
  <si>
    <t>REC 15120 062026</t>
  </si>
  <si>
    <t>VT NOVO ADMITIDO - COMP.  06/2026</t>
  </si>
  <si>
    <t>3</t>
  </si>
  <si>
    <t>ELIZABETE VITÓRIA PONTES AMARAL</t>
  </si>
  <si>
    <t xml:space="preserve">PABLO PEREIRA DOS SANTOS </t>
  </si>
  <si>
    <t>REC 20552 062026</t>
  </si>
  <si>
    <t>VT NOVO ADMITIDO - COMP. 06/2026</t>
  </si>
  <si>
    <t xml:space="preserve">ISABELLA GIOVANNA DE CASTRO </t>
  </si>
  <si>
    <t>0000 062026</t>
  </si>
  <si>
    <t>06/2026 - Justa Causa Abandono de Emprego 19/06/2026</t>
  </si>
  <si>
    <t>201418 062026</t>
  </si>
  <si>
    <t>5067</t>
  </si>
  <si>
    <t>964357 062026</t>
  </si>
  <si>
    <t>MARIO LEONARDO FELIX DA SILVA</t>
  </si>
  <si>
    <t>06/2026 - Rescisão Justa Causa Abandono de Emprego 19/06/2026 - rescisão zerada</t>
  </si>
  <si>
    <t>48776 072026</t>
  </si>
  <si>
    <t>Vale transporte - Admissão 06/2026</t>
  </si>
  <si>
    <t>09</t>
  </si>
  <si>
    <t>COMISSÃO DE GORJETA FIXA - COMP. 05/2026</t>
  </si>
  <si>
    <t>ELIANE FERREIRA BIZERRA</t>
  </si>
  <si>
    <t>3827 062026</t>
  </si>
  <si>
    <t xml:space="preserve">Pedido Demissão em 17/06/2026 </t>
  </si>
  <si>
    <t>PANDA COMUNICACAO E ESTRATEGIA LTDA</t>
  </si>
  <si>
    <t>244</t>
  </si>
  <si>
    <t>DATA DE EMISSÃO 22-05-2026.</t>
  </si>
  <si>
    <t>143</t>
  </si>
  <si>
    <t>6882889922</t>
  </si>
  <si>
    <t>135120 062026</t>
  </si>
  <si>
    <t xml:space="preserve">VT COMP 06/2026 - COLABORADORES QUE ESTAVAM SEM BILHETE ÚNICO </t>
  </si>
  <si>
    <t>SALÁRIO PJ - ADM</t>
  </si>
  <si>
    <t>VT - COLABORADOR COM PROBLEMA NO BILHETE TOP - COMP. 06/2026 - 7 DIAS</t>
  </si>
  <si>
    <t>P0002074275</t>
  </si>
  <si>
    <t>45024 062026</t>
  </si>
  <si>
    <t xml:space="preserve">FERNANDO HIDEKI SILVA ANDO </t>
  </si>
  <si>
    <t>38160 062026</t>
  </si>
  <si>
    <t>VT NOVO ADMITIDO - COMP 06/2026</t>
  </si>
  <si>
    <t xml:space="preserve">VANESSA FERREIRA QUINTILHANO DOS SANTOS </t>
  </si>
  <si>
    <t>4269</t>
  </si>
  <si>
    <t xml:space="preserve">DESCRIÇÂO: Acrílico </t>
  </si>
  <si>
    <t>43148 062026</t>
  </si>
  <si>
    <t>49220 062026</t>
  </si>
  <si>
    <t>5244000 062026</t>
  </si>
  <si>
    <t>VT NOVO ADMITIDO COMP. 06/2026</t>
  </si>
  <si>
    <t>52900 062026</t>
  </si>
  <si>
    <t>52440 062026</t>
  </si>
  <si>
    <t xml:space="preserve">VT NOVO ADMITIDO COMP. 06/2026
</t>
  </si>
  <si>
    <t>65</t>
  </si>
  <si>
    <t>11538</t>
  </si>
  <si>
    <t>11539</t>
  </si>
  <si>
    <t>CIA DE SANEAMENTO BASICO DO ESTADO DE SAO PAULO SABESP</t>
  </si>
  <si>
    <t xml:space="preserve"> SOR202651600262</t>
  </si>
  <si>
    <t>6</t>
  </si>
  <si>
    <t>JEFHERSON BENEDITO RAMOS</t>
  </si>
  <si>
    <t>3254</t>
  </si>
  <si>
    <t xml:space="preserve"> Descrição: Cabos para Infraestrutura 
Dados Bancários
Pix: 11994435793
Jefherson Benedito Ramos 
Banco  Bradesco 
Ag : 0478
c/c 0621136-4
CNPJ : 42.202.349/0001-56</t>
  </si>
  <si>
    <t>VT NOVO ADMITIDO - COMP. 06.2026</t>
  </si>
  <si>
    <t>136149292</t>
  </si>
  <si>
    <t>INTERNET PAULISTA</t>
  </si>
  <si>
    <t>000058304</t>
  </si>
  <si>
    <t>696</t>
  </si>
  <si>
    <t>MAIO2026</t>
  </si>
  <si>
    <t xml:space="preserve"> IMPOSTO TERCEIROS - Obra</t>
  </si>
  <si>
    <t>513945052026</t>
  </si>
  <si>
    <t>radio p/comunicação - 3729524</t>
  </si>
  <si>
    <t>172178052026</t>
  </si>
  <si>
    <t>fones p comunicação - 3729482</t>
  </si>
  <si>
    <t>178052026</t>
  </si>
  <si>
    <t xml:space="preserve"> Ferro e tabua de passar - 3724653</t>
  </si>
  <si>
    <t xml:space="preserve"> IMPOSTO TERCEIROS - IRRF SOBRE NFs Obra - NF 9679 LAR - CONSTRUCOES</t>
  </si>
  <si>
    <t>IMPOSTO TERCEIROS - INSS NFs Obra BB Paulista</t>
  </si>
  <si>
    <t>78098</t>
  </si>
  <si>
    <t xml:space="preserve">SISTEMA DE RESERVAS </t>
  </si>
  <si>
    <t>TRIFA</t>
  </si>
  <si>
    <t>84</t>
  </si>
  <si>
    <t>CAS RESTAURANTE E BAR LTDA</t>
  </si>
  <si>
    <t>655</t>
  </si>
  <si>
    <t>REFERENTE A REFEIÇÃO DOS COLABORADORES DE TREINAMENTO DA PAULISTA 25/05/2026</t>
  </si>
  <si>
    <t>ELIZABETH BISPO 17087401807</t>
  </si>
  <si>
    <t>2762</t>
  </si>
  <si>
    <t xml:space="preserve"> Agua para o treinamento da operação</t>
  </si>
  <si>
    <t>992266416</t>
  </si>
  <si>
    <t xml:space="preserve">SEGURO DO IMÓVEL </t>
  </si>
  <si>
    <t>37606</t>
  </si>
  <si>
    <t xml:space="preserve"> MÃO DE OBRA EXTRA DE 18 A 24/05/2026 - LIMPEZA DE OBRA</t>
  </si>
  <si>
    <t>RUBENS OLIVEIRA DA SILVA - ME</t>
  </si>
  <si>
    <t>136</t>
  </si>
  <si>
    <t>SÓCIO SANDUICHE</t>
  </si>
  <si>
    <t xml:space="preserve">  - Diretoria</t>
  </si>
  <si>
    <t>TATIANA APARECIDA FERREIRA FIGUEREDO</t>
  </si>
  <si>
    <t>280</t>
  </si>
  <si>
    <t>FRETE EQUIPAMENTO COZINHA</t>
  </si>
  <si>
    <t>TJ CRIACAO E DESENVOLVIMENTO LTDA</t>
  </si>
  <si>
    <t>Uniforme 
1ª parcela</t>
  </si>
  <si>
    <t>24</t>
  </si>
  <si>
    <t>Uniforme
2ª parcela</t>
  </si>
  <si>
    <t>Frete transporte de equipamentos</t>
  </si>
  <si>
    <t>4553229052026</t>
  </si>
  <si>
    <t xml:space="preserve"> Louças e Metais</t>
  </si>
  <si>
    <t xml:space="preserve">Tarifa PIX </t>
  </si>
  <si>
    <t>TOP MASTER SERVICOS DE INSTALACOES, REFORMAS, CONSERTOS E LOCACAO DE EQUIPAMENTOS</t>
  </si>
  <si>
    <t>5590</t>
  </si>
  <si>
    <t>INSTALAÇÃO EQUIPAMENTOS TOPEMA</t>
  </si>
  <si>
    <t>EXTINMANY SOLUCOES ANTI INCENDIO LTDA</t>
  </si>
  <si>
    <t>1482</t>
  </si>
  <si>
    <t>EXTINTORES E SINALIZAÇÃO</t>
  </si>
  <si>
    <t xml:space="preserve"> Tarifa PIX </t>
  </si>
  <si>
    <t>COLD CENTER BALCOES BALANÇAS E MIUDEZAS LTDA</t>
  </si>
  <si>
    <t>115204</t>
  </si>
  <si>
    <t>CILINDRO MANUAL</t>
  </si>
  <si>
    <t>TRAMONTINA SUDESTE S.A</t>
  </si>
  <si>
    <t>2.472.786</t>
  </si>
  <si>
    <t>Mix Grill Oval</t>
  </si>
  <si>
    <t>METALLO PRIME FORNOS LTDA</t>
  </si>
  <si>
    <t xml:space="preserve"> Forno 
Parcelado em 2x
18/05 - 50% e 25/05 - 50%</t>
  </si>
  <si>
    <t>4316</t>
  </si>
  <si>
    <t>83</t>
  </si>
  <si>
    <t>Simbas Projetos Sonoros</t>
  </si>
  <si>
    <t>9000052026</t>
  </si>
  <si>
    <t>Serviços de Som</t>
  </si>
  <si>
    <t>PANELA DE FERRO COM LTDA</t>
  </si>
  <si>
    <t>Louças e Fogão</t>
  </si>
  <si>
    <t>Schipper Consultoria Internacional Comercio Importacao e Exportacao LTDA</t>
  </si>
  <si>
    <t>4177140052026</t>
  </si>
  <si>
    <t xml:space="preserve"> Louças</t>
  </si>
  <si>
    <t>MARMORARIA PEDRAS DE MINAS LTDA</t>
  </si>
  <si>
    <t>05</t>
  </si>
  <si>
    <t>TABOADA ELETRICA E AUTOMACAO LTDA</t>
  </si>
  <si>
    <t>104</t>
  </si>
  <si>
    <t>DIMERIZAÇÃO</t>
  </si>
  <si>
    <t>4008934</t>
  </si>
  <si>
    <t xml:space="preserve"> Rateamento de 127 - Bar Brahma Paulista (8.34%)</t>
  </si>
  <si>
    <t>4009179</t>
  </si>
  <si>
    <t>Rateamento de 127 - Bar Brahma Paulista (1.2048%)</t>
  </si>
  <si>
    <t>03</t>
  </si>
  <si>
    <t>Parcela em 2x 
14/05 - 9.000
07/06 - 16.530</t>
  </si>
  <si>
    <t>12</t>
  </si>
  <si>
    <t>127</t>
  </si>
  <si>
    <t xml:space="preserve"> Manutenção Montacarga - 2 parcelas
14/05/2026 - R$2.400,00
06/06/2026 - R$2.400,00</t>
  </si>
  <si>
    <t xml:space="preserve"> Material ar condicionado 3 parcelas
28/05/2026 - 17.155,87
25/06/2026 - R$17.155,86
23/07/2026 - R$17.155,86</t>
  </si>
  <si>
    <t xml:space="preserve"> Tarifa envio PIX </t>
  </si>
  <si>
    <t>992261476</t>
  </si>
  <si>
    <t xml:space="preserve">  ALUGUEL MENSAL</t>
  </si>
  <si>
    <t>JFMF SEGURANÇA CONTRA INCENDIO LTDA</t>
  </si>
  <si>
    <t>224</t>
  </si>
  <si>
    <t xml:space="preserve"> TREINAMENTO BRIGADA DE INCENDIO BRAHMA PAULISTA</t>
  </si>
  <si>
    <t>MN ART DECOR COMERCIO E SERVICOS LTDA</t>
  </si>
  <si>
    <t>39 e 41</t>
  </si>
  <si>
    <t>Fornecimento e Instalação de Cortinas e Carpetes - 3 parcelas
18/05/2026 - R$14.546,00
30/05/2026 - R$14.546,00
30/06/2026 - R$14.546,00</t>
  </si>
  <si>
    <t xml:space="preserve"> Tarifa TED</t>
  </si>
  <si>
    <t>COZIBEC INDUSTRIA E COMERCIO DE EQUIPAMENTOS EIRELI</t>
  </si>
  <si>
    <t>22230052026</t>
  </si>
  <si>
    <t xml:space="preserve">Ralos </t>
  </si>
  <si>
    <t xml:space="preserve"> IMPERIAL COMERCIO E MANUTENCAO DE MAQUINAS LTDA</t>
  </si>
  <si>
    <t>2181</t>
  </si>
  <si>
    <t>Portas ABS - 2 parcelas
08/05 - 8.924
25/06 - 8.924</t>
  </si>
  <si>
    <t>14700052026</t>
  </si>
  <si>
    <t xml:space="preserve"> Portas de alumínio  - 3 parcelas
21/05/2026 - R$7.350,00
21/06/2026 - R$3.675,00
21/07/2026 - R$3.675,00</t>
  </si>
  <si>
    <t>INSTALL &amp; GILTH COMUNICACAO VISUAL COMERCIO E SERVICOS ELETRICOS E HIDRAULICOS LTDA</t>
  </si>
  <si>
    <t>1012</t>
  </si>
  <si>
    <t xml:space="preserve">Decoração São João x Ipiranga </t>
  </si>
  <si>
    <t>81</t>
  </si>
  <si>
    <t>Aditivos Caixilhos Acústicos - Parcelado em 3x
1 - 6.250, 
2 - 3.125
3 - 3.125</t>
  </si>
  <si>
    <t>Ar condicionado - 2 parcelas
06/04 - 38.400
20/05 - 89.600</t>
  </si>
  <si>
    <t>REC 13132 052026</t>
  </si>
  <si>
    <t xml:space="preserve">VALE TRANSPORTE NOVO ADMITIDO REF.  A 7 DIAS TRABALHADOS - 05/2026 </t>
  </si>
  <si>
    <t xml:space="preserve">CARLOS EDUARDO DE CASTRO </t>
  </si>
  <si>
    <t>REC  7560 052026</t>
  </si>
  <si>
    <t>VT NOVO ADMITIDO COMP. 05/2026</t>
  </si>
  <si>
    <t>REC 7420 052026</t>
  </si>
  <si>
    <t>REC 7560 052026</t>
  </si>
  <si>
    <t>2</t>
  </si>
  <si>
    <t>SALÁRIO PJ - COORDENAÇÃO</t>
  </si>
  <si>
    <t>192532 052026</t>
  </si>
  <si>
    <t xml:space="preserve"> VT NOVOS ADMITIDOS COMP. 05/2026</t>
  </si>
  <si>
    <t>REC13132 052026</t>
  </si>
  <si>
    <t xml:space="preserve">008363158 </t>
  </si>
  <si>
    <t>0008363148 0008363148</t>
  </si>
  <si>
    <t>64</t>
  </si>
  <si>
    <t>2100052026</t>
  </si>
  <si>
    <t>Contratação de equipamentos e mão de obra para exaustão - 5/7
NF com valor de 3 parcelas - 15/04, 15/05 e 15/06</t>
  </si>
  <si>
    <t>21</t>
  </si>
  <si>
    <t>SALÁRIO PJ - SUBCHEFE DE COZINHA - 1ª PARCELA</t>
  </si>
  <si>
    <t>SALÁRIO - SUBCHEFE DE COZINHA - 2ª PARCELA</t>
  </si>
  <si>
    <t>REC 11880 052026</t>
  </si>
  <si>
    <t xml:space="preserve">VT NOVO ADMITIDO COMP. 05/2026 </t>
  </si>
  <si>
    <t>GORJETA FIXA - COMP. 05/2026</t>
  </si>
  <si>
    <t>63</t>
  </si>
  <si>
    <t xml:space="preserve">GORJETA FIXA </t>
  </si>
  <si>
    <t>REC 150000 052026</t>
  </si>
  <si>
    <t>REC 22512 052026</t>
  </si>
  <si>
    <t>VT NOVO ADMITIDO  - COMP. 05/2026</t>
  </si>
  <si>
    <t>VT NOVO ADMITIDO -  COMP. 05/2026</t>
  </si>
  <si>
    <t xml:space="preserve">VT NOVO ADMITIDO - COMP. 05/2026 </t>
  </si>
  <si>
    <t xml:space="preserve">VT NOVO ADMITIDO - COMP. 05/2026 
</t>
  </si>
  <si>
    <t>EROTILDES DAYANE DE FRANCA LIRA</t>
  </si>
  <si>
    <t xml:space="preserve">VT NOVO ADMITIDO COMP. 05/2026
</t>
  </si>
  <si>
    <t>REC 11660 052026</t>
  </si>
  <si>
    <t xml:space="preserve">VERA LUCIA FARIAS DE OLIVEIRA NETA </t>
  </si>
  <si>
    <t>22512 052026</t>
  </si>
  <si>
    <t xml:space="preserve">VT NOVO ADMITIDO - COMP. 05/2026 - PROBLEMA NO CARTAO BILHETE UNICO </t>
  </si>
  <si>
    <t>20636 052026</t>
  </si>
  <si>
    <t>REC 41420 052026</t>
  </si>
  <si>
    <t>REC 33768 052026</t>
  </si>
  <si>
    <t>VT DO MÊS COMPLETO - PROBLEMAS COM BILHETE UNICO - COMP. 05/2026</t>
  </si>
  <si>
    <t>9720 052026</t>
  </si>
  <si>
    <t>VT NOVO ADMITIDO - COMP. 05/2026</t>
  </si>
  <si>
    <t>MAURICIO CAMPOS DO NASCIMENTO</t>
  </si>
  <si>
    <t>REC 16520 052026</t>
  </si>
  <si>
    <t xml:space="preserve">VT NOVO ADMITIDO 22/05 - COMP. 05/2026
</t>
  </si>
  <si>
    <t>22140 052026</t>
  </si>
  <si>
    <t>REC 9720 052026</t>
  </si>
  <si>
    <t>GORJETA VARIAVEL COMP. 05/2026</t>
  </si>
  <si>
    <t>PJ 62351517000182</t>
  </si>
  <si>
    <t>GORJETA COMPLEMENTAR 04/2026</t>
  </si>
  <si>
    <t>13</t>
  </si>
  <si>
    <t>GORJETA COMPLEMENTAR COMP. 04/2026</t>
  </si>
  <si>
    <t xml:space="preserve">SALÁRIO PJ - COORDENAÇÃO </t>
  </si>
  <si>
    <t>REC 13986 052026</t>
  </si>
  <si>
    <t xml:space="preserve">VALE TRANSPORTE NOVO ADMITIDO REF.  A 7 DIAS TRABALHADOS - 05/2026 
</t>
  </si>
  <si>
    <t>53792 052026</t>
  </si>
  <si>
    <t xml:space="preserve"> VT COMP. 05/2026</t>
  </si>
  <si>
    <t>15</t>
  </si>
  <si>
    <t>680</t>
  </si>
  <si>
    <t>Vencimento original 12/05 - competência 04/2026</t>
  </si>
  <si>
    <t>REC 14490 052026</t>
  </si>
  <si>
    <t>VERA LUCIA OLIVEIRA NETA</t>
  </si>
  <si>
    <t>VALE TRANSPORTE NOVO ADMITIDO - REF A 7 DIAS - 05/2026</t>
  </si>
  <si>
    <t>GORJETA FIXA</t>
  </si>
  <si>
    <t>66</t>
  </si>
  <si>
    <t>ABRIL2026</t>
  </si>
  <si>
    <t>NF 16615/ 16624 1A FORMIGA COLETA</t>
  </si>
  <si>
    <t>Disco na Vila</t>
  </si>
  <si>
    <t xml:space="preserve">DISCOS PARA DECORAÇÃO </t>
  </si>
  <si>
    <t>IMPOSTO TERCEIROS - CSRF OBRA - NF 9566 LAR - CONSTRUCOES / NF 2086 - 2087 NEY COSTANTINI</t>
  </si>
  <si>
    <t xml:space="preserve"> Tarifas PIX</t>
  </si>
  <si>
    <t>PETROLEO MUSIC LTDA</t>
  </si>
  <si>
    <t>195042026</t>
  </si>
  <si>
    <t>DISCOS PARA DECORAÇÃO</t>
  </si>
  <si>
    <t>544</t>
  </si>
  <si>
    <t>Aquisição de Luminárias Decorativas</t>
  </si>
  <si>
    <t>STARLINK BRAZIL SERVICOS DE INTERNET LTDA</t>
  </si>
  <si>
    <t>Compra de antena da Starlink - Brahma Paulista
Chave PIX:
00020101021226870014br.gov.bcb.pix2565qrcode.dlocal.com/qr/25021356/v1/8772e9240c324a70a184f53eaab5ed705204000053039865802BR5925STARLINK BRAZIL SERVICOS 6009Sao Paulo62070503***80910014br.gov.bcb.pix2569qrcode.dlocal.com/qr/25021356/v1/rec/7c9b1a0b81bc4ab0b12e8783392a4e8e6304CFC9</t>
  </si>
  <si>
    <t>BATS ELEVADORES LTDA</t>
  </si>
  <si>
    <t>MONTA CARGA - 6 PARCELAS
13/05/2026 - R$20.666,66(TRANSFERÊNCIA)
 20/05/2026 - R$20.666,66(BOLETO)
20/06/2026 - R$20.666,66(BOLETO)
20/07/2026 - R$20.666,66(BOLETO)
20/08/2026 - R$20.666,66(BOLETO)
20/09/2026 - R$20.666,70(BOLETO)</t>
  </si>
  <si>
    <t xml:space="preserve"> Tarifa PIX</t>
  </si>
  <si>
    <t>AMSFER COML DE SUCATAS LTDA</t>
  </si>
  <si>
    <t>225</t>
  </si>
  <si>
    <t>BARRIS PARA DECORAÇÃO - numero do pedido na vmarket 3580047</t>
  </si>
  <si>
    <t xml:space="preserve">IMPOSTO TERCEIROS - INSS NFs Obra BB Paulista - NF 4073 CEM ENGENHARIA / NF 67 GSM ROMA / NF 16615 e 16624 1A FORMIGA COLETA / NF 455 JNS ELETRICA E HIDRAULICA </t>
  </si>
  <si>
    <t>95</t>
  </si>
  <si>
    <t>RENATA CRISTINA PERES ME</t>
  </si>
  <si>
    <t>2328</t>
  </si>
  <si>
    <t>Ladrilho Hidráulico
PARCELADO EM 2X
20/05/2026 -  R$11.992,10
17/06/2026 - R$9.692,10</t>
  </si>
  <si>
    <t>Divisórias Banheiros
PARCELADO EM 2X
08/05/2026 - R$34.000,00
15/07/2026 - R$34.000,00</t>
  </si>
  <si>
    <t>J C M NITEROI REFRIGERACAO LTDA</t>
  </si>
  <si>
    <t>PEDIDO 25227</t>
  </si>
  <si>
    <t xml:space="preserve"> Parcelado em 3x
1 parcela - 24/04 - JA FOI PAGA, ESTOU RELANÇANDO CORRETAMENTE.
2 parcela - 27/04
3 parcela - 11/05</t>
  </si>
  <si>
    <t>Hca Services Ltda</t>
  </si>
  <si>
    <t>PEDIDO 25324</t>
  </si>
  <si>
    <t>PARCELADO EM 2X
1ª parcela 27/04 
2ª parcela 11/05</t>
  </si>
  <si>
    <t>BANCO DO BRASIL SA</t>
  </si>
  <si>
    <t xml:space="preserve"> Tarifa Pacote de Serviços </t>
  </si>
  <si>
    <t xml:space="preserve"> Tarifa Pix </t>
  </si>
  <si>
    <t>MELTING E.S.FURUKAWA</t>
  </si>
  <si>
    <t>1842</t>
  </si>
  <si>
    <t>FRETE COIFA</t>
  </si>
  <si>
    <t>MAR2026</t>
  </si>
  <si>
    <t xml:space="preserve"> IMPOSTO TERCEIROS - NFs Obra - NF 9567 LAR - CONSTRUCOES / NF 2653 VIRTUAL MARKET SERVICOS</t>
  </si>
  <si>
    <t xml:space="preserve"> Tarifa envio PIX</t>
  </si>
  <si>
    <t>3731611042026</t>
  </si>
  <si>
    <t xml:space="preserve"> Contratação de Bancadas para Salão e Banheiros no Bar Brahma Paulista
Parcelado em 2x - 1 Parc - R$ 10.000,00 (30/04/26) / 2 Parc - R$ 27.316,11 (30/05/26)</t>
  </si>
  <si>
    <t>FABRICA DE ILUMINAÇÃO CATIVA LTDA</t>
  </si>
  <si>
    <t>1064</t>
  </si>
  <si>
    <t>Luminárias
2 parcelas - 1 - 16/04/2026
                    2 - 19/05/2026</t>
  </si>
  <si>
    <t>DECORATO PISOS E ACABAMENTO EM MADEIRA LTDA</t>
  </si>
  <si>
    <t>21/57</t>
  </si>
  <si>
    <t xml:space="preserve"> Assoalhos de madeira
R$ 28.070,00 - 27/04/2026
R$ 28.112,44 - 27/04/2026
R$ 42.137,69 - 11/05/2026 
R$ 42.137,70 - 25/05/2026</t>
  </si>
  <si>
    <t>CONTRIN COMERCIO E INSTALACAO DE EQUIPAMENTOS DE PREVENCAO</t>
  </si>
  <si>
    <t>1569</t>
  </si>
  <si>
    <t xml:space="preserve">SISTEMA SAPONIFICANTE - </t>
  </si>
  <si>
    <t>2100042026</t>
  </si>
  <si>
    <t>Pintura de duas telas de tinta acrílica para decoração</t>
  </si>
  <si>
    <t>SP Coberturas e Toldos Ltda</t>
  </si>
  <si>
    <t>107</t>
  </si>
  <si>
    <t xml:space="preserve">TOLDO
 O valor total contratado é de R$ 102.500,00 sendo dividido em 5 vezes da seguinte forma:
o	R$ 20.500,00 - 30/04/26
o	R$ 20.500,00 - 30/05/26
o	R$ 20.500,00 - 30/06/26
o	R$ 20.500,00 - 30/07/26
o	R$ 20.500,00 - 30/08/26
</t>
  </si>
  <si>
    <t xml:space="preserve"> Tarifa Pacote de Serviços</t>
  </si>
  <si>
    <t>992240887</t>
  </si>
  <si>
    <t xml:space="preserve">  Tarifa PIX</t>
  </si>
  <si>
    <t xml:space="preserve">Chopeira - prcelado em 10x
o	R$ 33.550,00 - 20/04/26
o	R$ 4.555,27 - 20/05/26
o	R$ 4.555,27 - 20/06/26
o	R$ 4.555,27 - 20/07/26
o	R$ 4.555,27 - 20/08/26
o	R$ 4.555,27 - 20/09/26
o	R$ 4.555,27 - 20/10/26
o	R$ 4.555,27 - 20/11/26
o	R$ 4.555,27 - 20/12/26
o	R$ 4.555,26 - 20/01/27
</t>
  </si>
  <si>
    <t>1532</t>
  </si>
  <si>
    <t>SISTEMA SAPONIFICANTE</t>
  </si>
  <si>
    <t>EDMILSON LOPES TRANSPORTE E LOGISTICA LTDA</t>
  </si>
  <si>
    <t>3546</t>
  </si>
  <si>
    <t>FRETE REVESTIMENTO PAREDE SUBSOLO</t>
  </si>
  <si>
    <t>4539042026</t>
  </si>
  <si>
    <t>Rateamento de 127 - Bar Brahma Paulista (7.69%)</t>
  </si>
  <si>
    <t>1076042026</t>
  </si>
  <si>
    <t>78</t>
  </si>
  <si>
    <t>Aditivos Caixilhos Acústicos - Parcelado em 3x
1 - 6.250, 2 - 3.125,  3 - 3.125</t>
  </si>
  <si>
    <t>4073</t>
  </si>
  <si>
    <t xml:space="preserve"> Ar condicionado - 2 parcelas
06/04 - 38.400
20/05 - 89.600</t>
  </si>
  <si>
    <t>GORILLAZ CARDAPIO E EMBALAGENS PERSONALIZADOS LTDA</t>
  </si>
  <si>
    <t>6.425</t>
  </si>
  <si>
    <t xml:space="preserve">Cardápios </t>
  </si>
  <si>
    <t>Easycert Assessoria &amp; Consultoria Empresarial Ltda</t>
  </si>
  <si>
    <t>219042026</t>
  </si>
  <si>
    <t xml:space="preserve">Certificado que usaremos para pessoas </t>
  </si>
  <si>
    <t>REC 193333 042026</t>
  </si>
  <si>
    <t xml:space="preserve">MARMORARIA PEDRAS MGM COMERCIO DE MARMORES E GRANITOS LTDA </t>
  </si>
  <si>
    <t>Parcelado em 2x 
1ª parcela - R$15421,86 - 02/04
2ª parcela - R$15421,86 - 16/04</t>
  </si>
  <si>
    <t>519518438979</t>
  </si>
  <si>
    <t>700042026</t>
  </si>
  <si>
    <t>Contratação de equipamentos e mão de obra para exaustão - 4/7
NF com valor de 3 parcelas - 15/04, 15/05 e 15/06</t>
  </si>
  <si>
    <t>FLORESTA LOGISTICA LTDA</t>
  </si>
  <si>
    <t>2050</t>
  </si>
  <si>
    <t xml:space="preserve">  Frete da entrega dos revestimentos</t>
  </si>
  <si>
    <t>IND E COM DELLABRUNA LTDA</t>
  </si>
  <si>
    <t>25097</t>
  </si>
  <si>
    <t>Booths 
12 parcelas: 
23/04/2026 - R$9250/ 23/05/2026 - R$9250/ 23/06/2026 - R$9250/ 23/07/2026 - R$9250/ 23/08/2026 - R$9250/ 23/09/2026 - R$9250/ 23/10/2026 - R$9250/ 23/11/2026 - R$9250/ 23/12/2026 - R$9250/ 23/01/2027 - R$9250/ 23/02/2027 - R$9250/ 23/03/2027 - R$9250</t>
  </si>
  <si>
    <t>MACRO SERVICOS CONTABEIS E EMPRESARIAS</t>
  </si>
  <si>
    <t>4329</t>
  </si>
  <si>
    <t>DESPESAS.LEGALIZACOES - AJUSTES DE ENDEREÇO CNPJ NOVA ERA</t>
  </si>
  <si>
    <t>4197</t>
  </si>
  <si>
    <t>GERENCIAMENTO MARÇO</t>
  </si>
  <si>
    <t>0324744</t>
  </si>
  <si>
    <t>Revestimento 
3 parcelas:
21/04/2026 - R$18.342,32
19/05/2026 - R$17.991,44
16/06/2026 - R$17.996,85</t>
  </si>
  <si>
    <t>62</t>
  </si>
  <si>
    <t xml:space="preserve">SALARIO PJ - CHEFE DE BAR </t>
  </si>
  <si>
    <t>PJ 49075544000101</t>
  </si>
  <si>
    <t xml:space="preserve">DISTRATO - CHEFE DE COZINHA </t>
  </si>
  <si>
    <t>IMPOSTO TERCEIROS -  ISS 03/2026 - NF 2441 D E D LOCAÇÕES DE MAQUINAS / NF 16399 1A FORMIGA COLETA</t>
  </si>
  <si>
    <t>0015/26</t>
  </si>
  <si>
    <t>Contratação de Material e Serviço para instalação de Marcenaria, Cenografia e Serralheria.
3ª parcela</t>
  </si>
  <si>
    <t>IMPOSTO TERCEIROS - INSS NFs Obra BB Paulista - NF 16399 1A FORMIGA COLETA / NF 66 GSM ROMA ESTRUTURAS</t>
  </si>
  <si>
    <t xml:space="preserve"> IMPOSTO TERCEIROS -  IRRF SOBRE NFs Obra </t>
  </si>
  <si>
    <t>124500062026</t>
  </si>
  <si>
    <t xml:space="preserve"> Contratação de Material e Serviço para instalação de Marcenaria, Cenografia e Serralheria
4ª parcela - O VALOR DE R$ 60.000,00 JÁ FOI PAGO EM OUTRO ID.</t>
  </si>
  <si>
    <t>R PRATES TECHNOLOGY</t>
  </si>
  <si>
    <t>28</t>
  </si>
  <si>
    <t xml:space="preserve"> Instalação de infraestrutura de rede/internet e camera</t>
  </si>
  <si>
    <t>Instalação de infraestrutura de rede/internet e camera</t>
  </si>
  <si>
    <t>31</t>
  </si>
  <si>
    <t>03531</t>
  </si>
  <si>
    <t>Frete da entrega dos pisos</t>
  </si>
  <si>
    <t>STUDIO ARTE COMERCIO DE CERAMICA LTDA</t>
  </si>
  <si>
    <t>641</t>
  </si>
  <si>
    <t xml:space="preserve"> PISO - 3 parcelas</t>
  </si>
  <si>
    <t>4023</t>
  </si>
  <si>
    <t>V&amp;CO Gestão e Representação Comercial</t>
  </si>
  <si>
    <t>1923815032026</t>
  </si>
  <si>
    <t>Revestimento Cerâmico para Banheiros 1º Subsolo</t>
  </si>
  <si>
    <t>NEY COSTANTINI ENGENHARIA DE PROJETOS LTDA</t>
  </si>
  <si>
    <t>2086/2087</t>
  </si>
  <si>
    <t>2 parcelas - Projetos estruturais</t>
  </si>
  <si>
    <t>132636</t>
  </si>
  <si>
    <t>132031</t>
  </si>
  <si>
    <t>541492032026</t>
  </si>
  <si>
    <t xml:space="preserve">2 notebooks - Gerencia e ADM </t>
  </si>
  <si>
    <t>UBIQUITI BRAZIL COMERCIO DE ELETRONICOS LTDA</t>
  </si>
  <si>
    <t>2351940032026</t>
  </si>
  <si>
    <t>Equipamentos de infra de rede</t>
  </si>
  <si>
    <t>10000032026</t>
  </si>
  <si>
    <t xml:space="preserve"> Equipamentos de infraestrutura de rede e outros (celular, impressoras, etc...)</t>
  </si>
  <si>
    <t>243</t>
  </si>
  <si>
    <t>Serviços de planejamento estratégico e criativo para Bar Brahma Paulista</t>
  </si>
  <si>
    <t>HJS Criação e Comércio de Móveis Ltda</t>
  </si>
  <si>
    <t>9366</t>
  </si>
  <si>
    <t>Cadeiras</t>
  </si>
  <si>
    <t>3738</t>
  </si>
  <si>
    <t xml:space="preserve"> Contratação de equipamentos e mão de obra para exaustão - 3/7</t>
  </si>
  <si>
    <t>GORJETA VARIÁVEL - COMP. 03/2026</t>
  </si>
  <si>
    <t>75</t>
  </si>
  <si>
    <t>1ª parcela de 3</t>
  </si>
  <si>
    <t>77</t>
  </si>
  <si>
    <t>2ª parcela de 3</t>
  </si>
  <si>
    <t>80</t>
  </si>
  <si>
    <t>3ª parcela de 3
Instalação de esquadrias de aluminio e vidros</t>
  </si>
  <si>
    <t>2320</t>
  </si>
  <si>
    <t>ABERTURA FILIAL TUTUM BAR - CLTZAÇÃO FUNCIONARIOS</t>
  </si>
  <si>
    <t>24841</t>
  </si>
  <si>
    <t>Mesas - 12 parcelas</t>
  </si>
  <si>
    <t>FOUR COPIAS LTDA</t>
  </si>
  <si>
    <t>COMISSÃO VARIÁVEL - COMP. 03/2026</t>
  </si>
  <si>
    <t>0007852532</t>
  </si>
  <si>
    <t>52901367096</t>
  </si>
  <si>
    <t>FEV2026</t>
  </si>
  <si>
    <t xml:space="preserve"> IMPOSTO TERCEIROS - IMPOSTO TERCEIROS - ISS NFs Obra BB Paulista</t>
  </si>
  <si>
    <t xml:space="preserve"> IMPOSTO TERCEIROS - IRRF SOBRE NFs Obra - NF 9566, 9567 LAR - CONSTRUCOES</t>
  </si>
  <si>
    <t>VIRTUAL MARKET SERVICOS ELETRONICOS LTDA</t>
  </si>
  <si>
    <t>2653</t>
  </si>
  <si>
    <t>4330</t>
  </si>
  <si>
    <t>ABERTURA FILIAL TUTUM - OPERAÇÃO BB PAULISTA - CNPJ CLTização Brigada e PJs</t>
  </si>
  <si>
    <t>1635</t>
  </si>
  <si>
    <t>2ª remessa de plotagem do projeto.</t>
  </si>
  <si>
    <t>202</t>
  </si>
  <si>
    <t xml:space="preserve">competência mês 02/2026 - 2ª quinzena do mês, vencimento 07/03/2026.
</t>
  </si>
  <si>
    <t>15029</t>
  </si>
  <si>
    <t xml:space="preserve"> Chave PIX é no CNPJ - 13.597.230/0001-21.
Contratação de Produtos para Exaustão e Coifa para Obra Bar Brahma Paulista</t>
  </si>
  <si>
    <t>992201481</t>
  </si>
  <si>
    <t>2322</t>
  </si>
  <si>
    <t xml:space="preserve">Contrato: SLE044/26
ALTERAÇÃO (Complemento) endereço - NOVA ERA BAR E RESTAURANTE LTDA / inclusão de complemento de endereço, será necessária a elaboração de alteração contratual deliberando essa atualização, bem como a regularização e atualização dos cadastros fiscais correspondentes, incluindo CNPJ, CCM e demais registros aplicáveis. </t>
  </si>
  <si>
    <t xml:space="preserve">competência mês 02/2026 - 1ª quinzena do mês, vencimento 23/02/2026.
</t>
  </si>
  <si>
    <t>85101022026</t>
  </si>
  <si>
    <t>3737</t>
  </si>
  <si>
    <t xml:space="preserve">  Contratação de equipamentos e mão de obra para exaustão - 2/7</t>
  </si>
  <si>
    <t>2100022026</t>
  </si>
  <si>
    <t>400022026</t>
  </si>
  <si>
    <t xml:space="preserve"> Mensalidade </t>
  </si>
  <si>
    <t>ENGECOLD CAMARAS FRIGORIFICAS E INSTALACOES DE MAQUINAS LTDA</t>
  </si>
  <si>
    <t>59</t>
  </si>
  <si>
    <t>Contratação de Camara Fria e Congelada</t>
  </si>
  <si>
    <t>1576</t>
  </si>
  <si>
    <t>GORJETA VARIAVEL COMP. 02/2026</t>
  </si>
  <si>
    <t>89828</t>
  </si>
  <si>
    <t>89831</t>
  </si>
  <si>
    <t>Contratação de Material e Serviço para instalação de Marcenaria, Cenografia e Serralheria</t>
  </si>
  <si>
    <t xml:space="preserve">  Contratação de Material e Serviço para instalação de Marcenaria, Cenografia e Serralheria </t>
  </si>
  <si>
    <t>89832</t>
  </si>
  <si>
    <t>20</t>
  </si>
  <si>
    <t>Gorjeta referente ao período de 20/01/2026 a 19/02/2026</t>
  </si>
  <si>
    <t>JAN2026</t>
  </si>
  <si>
    <t xml:space="preserve"> 01 CP PATRONAL - RETENÇÃO LEI 9.711/98
PA:01/2026 Vencimento:20/02/2026
CNPJ Prestador:40.358.994/0001-37 - NF 437, 438 JNS ELETRICA E HIDRAULICA</t>
  </si>
  <si>
    <t>07 RET DE CONTRIBUICOES PAGT PJ A PJ DE DIR PRIV
PA:01/2026 Vencimento:20/02/2026</t>
  </si>
  <si>
    <t>2112</t>
  </si>
  <si>
    <t xml:space="preserve"> Carta-Proposta: Nº SLE274-25 - Ref.: Processo de Constituição de nova Sociedade de 22/08/2025</t>
  </si>
  <si>
    <t xml:space="preserve">competência mês 01/2026 - 2ª quinzena do mês, vencimento 05/02/2026
</t>
  </si>
  <si>
    <t>3704</t>
  </si>
  <si>
    <t>Referente a prestação de serviço de Dezembro</t>
  </si>
  <si>
    <t>BOL 992180737</t>
  </si>
  <si>
    <t xml:space="preserve">  ALUGUEL MENSAL - PRO RATA  PERIODO DE 09/01/2026 A 31/01/2026</t>
  </si>
  <si>
    <t>2100012026</t>
  </si>
  <si>
    <t>3869</t>
  </si>
  <si>
    <t xml:space="preserve">  2ª parcela de Elaboração de projeto complementares</t>
  </si>
  <si>
    <t>3736</t>
  </si>
  <si>
    <t xml:space="preserve">   Contratação de equipamentos e mão de obra para exaustão - 1/7</t>
  </si>
  <si>
    <t>3864</t>
  </si>
  <si>
    <t>Referente a prestação de serviço de Janeiro</t>
  </si>
  <si>
    <t>0007282814</t>
  </si>
  <si>
    <t>Mensalidade</t>
  </si>
  <si>
    <t>61</t>
  </si>
  <si>
    <t xml:space="preserve"> Contratação de Camara Fria e Congelada</t>
  </si>
  <si>
    <t>GORJETA VARIAVEL 01/2026</t>
  </si>
  <si>
    <t>57</t>
  </si>
  <si>
    <t xml:space="preserve">  Contratação de Camara Fria e Congelada </t>
  </si>
  <si>
    <t>30026</t>
  </si>
  <si>
    <t>competência 1/2026</t>
  </si>
  <si>
    <t xml:space="preserve">competência mês 01/2026 - 1ª quinzena do mês, vencimento 20/01/2026.
</t>
  </si>
  <si>
    <t>DEZ2025</t>
  </si>
  <si>
    <t>IMPOSTO TERCEIROS -  REF. A NF 2061 E 2062 NEY COSTANTINI ENGENHARIA</t>
  </si>
  <si>
    <t>IMPOSTO TERCEIROS - REF. A NF 2061 E 2062 NEY COSTANTINI ENGENHARIA</t>
  </si>
  <si>
    <t xml:space="preserve">Contratação de serviço de Construção:: Civil, Elétrica, Hidráulica, Pintura, Porta, Serralheria Mezanino - 5/8
Desconto do imposto a ser recolhido pela Fabrica - </t>
  </si>
  <si>
    <t>291.595,98</t>
  </si>
  <si>
    <t xml:space="preserve"> Contratação de serviço de Construção:: Civil, Elétrica, Hidráulica, Pintura, Porta, Serralheria Mezanino - 4/8</t>
  </si>
  <si>
    <t>29159598052026</t>
  </si>
  <si>
    <t>Contratação de serviço de Construção:: Civil, Elétrica, Hidráulica, Pintura, Porta, Serralheria Mezanino - 6/8</t>
  </si>
  <si>
    <t>24307980052026</t>
  </si>
  <si>
    <t>Contratação de serviço de Construção:: Civil, Elétrica, Hidráulica, Pintura, Porta, Serralheria Mezanino - 7/8</t>
  </si>
  <si>
    <t xml:space="preserve"> Contratação de serviço de Construção:: Civil, Elétrica, Hidráulica, Pintura, Porta, Serralheria Mezanino - 8/8</t>
  </si>
  <si>
    <t>3/8</t>
  </si>
  <si>
    <t>Contratação de serviço de Construção:: Civil, Elétrica, Hidráulica, Pintura, Porta, Serralheria Mezanino - 2/8</t>
  </si>
  <si>
    <t>Contratação de serviço de Construção:: Civil, Elétrica, Hidráulica, Pintura, Porta, Serralheria Mezanino - 1/08</t>
  </si>
  <si>
    <t>1328007112025</t>
  </si>
  <si>
    <t>3439</t>
  </si>
  <si>
    <t xml:space="preserve">1ª medição de projetos complementares </t>
  </si>
  <si>
    <t>3213</t>
  </si>
  <si>
    <t xml:space="preserve">  1ª medição de agenciamento de obra referente a agosto de 2025</t>
  </si>
  <si>
    <t xml:space="preserve"> competência mês 12/2025 - 2ª quinzena do mês, vencimento 05/01/2026.
Motivo do atraso: Machine não estava mandando as faturas. </t>
  </si>
  <si>
    <t>22894</t>
  </si>
  <si>
    <t>2064</t>
  </si>
  <si>
    <t>Projeto Estrutural - Estrutura Mezanino - 2 de 2</t>
  </si>
  <si>
    <t>Projeto Estrutural - Estrutura Mezanino - 1 de 2</t>
  </si>
  <si>
    <t>Projeto Estrutural - Reforço Viga Invertida</t>
  </si>
  <si>
    <t>MCL ASSESSORIA EMPRESARIAL E REGULARIZAÇÕES</t>
  </si>
  <si>
    <t>468</t>
  </si>
  <si>
    <t xml:space="preserve"> Prestação de Serviço para obtenção de Alvará de Construção de Obra e de Funcionamento.Parcela 3/4</t>
  </si>
  <si>
    <t>ALUGUEL MENSAL (CARENCIA 6/6 MESES PARA REFORMA)</t>
  </si>
  <si>
    <t>14687</t>
  </si>
  <si>
    <t xml:space="preserve"> competência mês 12/2025 - 1ª quinzena do mês, vencimento 19/12/2025.
Motivo do atraso: Machine não estava mandando as faturas. </t>
  </si>
  <si>
    <t>400122025</t>
  </si>
  <si>
    <t>Mensalidade - Brahma Paulista</t>
  </si>
  <si>
    <t>GORJETA VARIÁVEL COMP. 12/2025</t>
  </si>
  <si>
    <t>200000 122025</t>
  </si>
  <si>
    <t>2100112025</t>
  </si>
  <si>
    <t xml:space="preserve">Honorários </t>
  </si>
  <si>
    <t>430128865</t>
  </si>
  <si>
    <t>Prestação de Serviço para obtenção de Alvará de Construção de Obra e de Funcionamento do Bar Brahma Paulista</t>
  </si>
  <si>
    <t>20000122025</t>
  </si>
  <si>
    <t xml:space="preserve"> Prestação de Serviço para obtenção de Alvará de Construção de Obra e de Funcionamento.Parcela 1/4.</t>
  </si>
  <si>
    <t>449</t>
  </si>
  <si>
    <t xml:space="preserve"> Prestação de Serviço para obtenção de Alvará de Construção de Obra e de Funcionamento.Parcela 2/4</t>
  </si>
  <si>
    <t>20000032026</t>
  </si>
  <si>
    <t xml:space="preserve"> Prestação de Serviço para obtenção de Alvará de Construção de Obra e de Funcionamento.Parcela 4/4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</si>
  <si>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</si>
  <si>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</si>
  <si>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</si>
  <si>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</si>
  <si>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</si>
  <si>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</si>
  <si>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</si>
  <si>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</si>
  <si>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EASY ICE SOLUTION LTDA-ME LOCAÇÃO</t>
  </si>
  <si>
    <t>357</t>
  </si>
  <si>
    <t>DISTRIBUIDORA CÂNTAROS DO BRASIL EIRELI</t>
  </si>
  <si>
    <t>2625</t>
  </si>
  <si>
    <t>EAU - DISTRIBUIDORA DE AGUA MINERAL LTDA</t>
  </si>
  <si>
    <t>314548</t>
  </si>
  <si>
    <t>J.K. COMERCIO DE GENEROS ALIMENICIOS LTDA</t>
  </si>
  <si>
    <t>2271</t>
  </si>
  <si>
    <t>MARCOS SILVA DO NASCIMENTO</t>
  </si>
  <si>
    <t>1124</t>
  </si>
  <si>
    <t>DEOLINDA DOS SANTOS FREITAS</t>
  </si>
  <si>
    <t>2789</t>
  </si>
  <si>
    <t>2786</t>
  </si>
  <si>
    <t>ANDREIA SANTOS FREITAS DUARTE</t>
  </si>
  <si>
    <t>2772</t>
  </si>
  <si>
    <t>LATEM COMERCIO DE MATERIAIS PARA CONSTRUCAO LTDA</t>
  </si>
  <si>
    <t>89849</t>
  </si>
  <si>
    <t>482391</t>
  </si>
  <si>
    <t>B.B DISTRIBUIDORA DE CARNES LTDA</t>
  </si>
  <si>
    <t>425824</t>
  </si>
  <si>
    <t>WPP COMERCIO DE CARNES LTDA</t>
  </si>
  <si>
    <t>PAPELNAP COMERCIO DE ARTIGOSDESCARTAVEIS LTDA</t>
  </si>
  <si>
    <t>1672</t>
  </si>
  <si>
    <t>2827</t>
  </si>
  <si>
    <t>DISTRIBUIDORA E IMPORTADORA IRMAOS AVELINO S.A</t>
  </si>
  <si>
    <t>495580</t>
  </si>
  <si>
    <t>82553</t>
  </si>
  <si>
    <t>137446</t>
  </si>
  <si>
    <t>8396</t>
  </si>
  <si>
    <t>314527</t>
  </si>
  <si>
    <t>481995</t>
  </si>
  <si>
    <t>FG7 COMERCIO E DISTRIBUICAO DE BEBIDAS LTDA</t>
  </si>
  <si>
    <t>819538</t>
  </si>
  <si>
    <t>EMPORIO M&amp;L COMERCIO DE ALIM E BEBIDAS LTDA</t>
  </si>
  <si>
    <t>523365</t>
  </si>
  <si>
    <t>2726</t>
  </si>
  <si>
    <t>AMBEV S. A. - CDD SAO PAULO</t>
  </si>
  <si>
    <t>36212</t>
  </si>
  <si>
    <t xml:space="preserve">BGC COMERCIO DE UTENSILIOS </t>
  </si>
  <si>
    <t>2491</t>
  </si>
  <si>
    <t>483140</t>
  </si>
  <si>
    <t>483259</t>
  </si>
  <si>
    <t>PSSS LTDA</t>
  </si>
  <si>
    <t>437</t>
  </si>
  <si>
    <t>433</t>
  </si>
  <si>
    <t>REBAL COMERCIAL LTDA</t>
  </si>
  <si>
    <t>304695</t>
  </si>
  <si>
    <t xml:space="preserve">MS FRANGOS LTDA </t>
  </si>
  <si>
    <t>7233</t>
  </si>
  <si>
    <t>426279</t>
  </si>
  <si>
    <t>CECILIA TSUYACO ARAKI SILVA LTDA</t>
  </si>
  <si>
    <t>395341</t>
  </si>
  <si>
    <t>496233</t>
  </si>
  <si>
    <t xml:space="preserve">FORTE ALIMENTOS COM. IMPORTAÇÃO LTDA </t>
  </si>
  <si>
    <t>384026</t>
  </si>
  <si>
    <t>384090</t>
  </si>
  <si>
    <t>523133</t>
  </si>
  <si>
    <t>MAR DIRETO POC COMERCIO DE PEIXES LTDA</t>
  </si>
  <si>
    <t>128619</t>
  </si>
  <si>
    <t>MONTE ALTO ALIMENTOS LTDA</t>
  </si>
  <si>
    <t>183011</t>
  </si>
  <si>
    <t>482995</t>
  </si>
  <si>
    <t>DO CHEF DISTRIBUIDORA DE ALIMENTOS LTDA</t>
  </si>
  <si>
    <t>3066</t>
  </si>
  <si>
    <t>395447</t>
  </si>
  <si>
    <t>DTK COMERCIO DE ALIMENTOS LTDA</t>
  </si>
  <si>
    <t>89696</t>
  </si>
  <si>
    <t xml:space="preserve">LATICINIOS CATUPIRY LTDA </t>
  </si>
  <si>
    <t>1957474</t>
  </si>
  <si>
    <t>ATACADISTA KINGFOOD PRODUTOS ALIMENTICIO</t>
  </si>
  <si>
    <t>295706</t>
  </si>
  <si>
    <t xml:space="preserve">NOVA MIX </t>
  </si>
  <si>
    <t>2670752</t>
  </si>
  <si>
    <t>1137</t>
  </si>
  <si>
    <t>2794</t>
  </si>
  <si>
    <t>BRF S.A.</t>
  </si>
  <si>
    <t>17348912</t>
  </si>
  <si>
    <t>80539</t>
  </si>
  <si>
    <t>80554</t>
  </si>
  <si>
    <t>80559</t>
  </si>
  <si>
    <t>1136</t>
  </si>
  <si>
    <t>VERDE DISTRIBUIDORA DE SORVETES</t>
  </si>
  <si>
    <t>310077</t>
  </si>
  <si>
    <t>LATICINIOS PIRAMIDE LTDA</t>
  </si>
  <si>
    <t>86767</t>
  </si>
  <si>
    <t>FUNGO DE QUINTAL COMÉRCIO DE ALIMENTOS - ME</t>
  </si>
  <si>
    <t>146804</t>
  </si>
  <si>
    <t>385</t>
  </si>
  <si>
    <t>345</t>
  </si>
  <si>
    <t>482906</t>
  </si>
  <si>
    <t>AROUMAR DISTRIBUIDORA DE PRODUTOS ALIMENTICIOS LTDA</t>
  </si>
  <si>
    <t>1072327</t>
  </si>
  <si>
    <t>89977</t>
  </si>
  <si>
    <t>89978</t>
  </si>
  <si>
    <t>2831</t>
  </si>
  <si>
    <t>89459</t>
  </si>
  <si>
    <t>3033</t>
  </si>
  <si>
    <t>482885</t>
  </si>
  <si>
    <t>PDO ALIMENTOS E COMERCIO LTDA</t>
  </si>
  <si>
    <t>52202</t>
  </si>
  <si>
    <t>266889</t>
  </si>
  <si>
    <t>304452</t>
  </si>
  <si>
    <t xml:space="preserve">CASA DO CAPACHO COMERCIAL EIRELLI EPP </t>
  </si>
  <si>
    <t>33524</t>
  </si>
  <si>
    <t>2669101</t>
  </si>
  <si>
    <t>1703</t>
  </si>
  <si>
    <t>ATELIE GASTRONOMICO E UTENSILIOS LTDA</t>
  </si>
  <si>
    <t>584</t>
  </si>
  <si>
    <t>ZAHIL IMPORTADORA LTDA</t>
  </si>
  <si>
    <t>273288</t>
  </si>
  <si>
    <t>383451</t>
  </si>
  <si>
    <t>380854</t>
  </si>
  <si>
    <t>2995</t>
  </si>
  <si>
    <t>262884</t>
  </si>
  <si>
    <t>522704</t>
  </si>
  <si>
    <t>522744</t>
  </si>
  <si>
    <t>426070</t>
  </si>
  <si>
    <t>395226</t>
  </si>
  <si>
    <t>89113</t>
  </si>
  <si>
    <t>89114</t>
  </si>
  <si>
    <t>482640</t>
  </si>
  <si>
    <t>MULTIFRANGOS COMERCIO DE ALIMENTOS LTDA</t>
  </si>
  <si>
    <t>973012</t>
  </si>
  <si>
    <t>520669</t>
  </si>
  <si>
    <t>520660</t>
  </si>
  <si>
    <t>520858</t>
  </si>
  <si>
    <t>520499</t>
  </si>
  <si>
    <t>520420</t>
  </si>
  <si>
    <t>520415</t>
  </si>
  <si>
    <t>521499</t>
  </si>
  <si>
    <t>86761</t>
  </si>
  <si>
    <t>1587</t>
  </si>
  <si>
    <t>273129</t>
  </si>
  <si>
    <t>246569</t>
  </si>
  <si>
    <t>DISTRIBUIDORA DPRO LTDA</t>
  </si>
  <si>
    <t>400495</t>
  </si>
  <si>
    <t>425152</t>
  </si>
  <si>
    <t>88096</t>
  </si>
  <si>
    <t>30.365.122 HIDEKI HENRIQUE KAWAMOTO</t>
  </si>
  <si>
    <t>1992</t>
  </si>
  <si>
    <t>80316</t>
  </si>
  <si>
    <t>ALLIMENTARI COMERCIO DE PRODUTOS ALIMENTICIOS E SERVICOS LTDA</t>
  </si>
  <si>
    <t>43247</t>
  </si>
  <si>
    <t>KING COMERCIO E IMPORTACAO DE BEBIDAS LTDA</t>
  </si>
  <si>
    <t>128590</t>
  </si>
  <si>
    <t>2624</t>
  </si>
  <si>
    <t>FRONT BEBIDAS LTDA</t>
  </si>
  <si>
    <t>810026</t>
  </si>
  <si>
    <t>381605</t>
  </si>
  <si>
    <t>DISTRIBUIDORA ARENA VIP COMERCIO DE BEBIDAS LTDA</t>
  </si>
  <si>
    <t>13708</t>
  </si>
  <si>
    <t>394694</t>
  </si>
  <si>
    <t>2130</t>
  </si>
  <si>
    <t>FRIGORIFICO M.B. LTDA</t>
  </si>
  <si>
    <t>82642</t>
  </si>
  <si>
    <t>88198</t>
  </si>
  <si>
    <t>292968</t>
  </si>
  <si>
    <t>DISTRIBUIDORA E IMPORTADORA IRMAOS AVELINO LTDA</t>
  </si>
  <si>
    <t>490012</t>
  </si>
  <si>
    <t>2722</t>
  </si>
  <si>
    <t>1068336</t>
  </si>
  <si>
    <t>PLASTICOS SEGANTINI EIRELI</t>
  </si>
  <si>
    <t>59386</t>
  </si>
  <si>
    <t>394895</t>
  </si>
  <si>
    <t>AD ZUPA COMERCIAL LTDA</t>
  </si>
  <si>
    <t>4340</t>
  </si>
  <si>
    <t>182707</t>
  </si>
  <si>
    <t>400869</t>
  </si>
  <si>
    <t>CEPEL COMERCIO DE PAPEIS E EMBALAGENS LTDA</t>
  </si>
  <si>
    <t>267267</t>
  </si>
  <si>
    <t>CRYSTALMIX COMERCIO E MANUTENCAO DE EQUI</t>
  </si>
  <si>
    <t>17620</t>
  </si>
  <si>
    <t>128090</t>
  </si>
  <si>
    <t>BETEL SOLUCOES EM HIGIENIZACAO LTDA </t>
  </si>
  <si>
    <t>1242</t>
  </si>
  <si>
    <t>348</t>
  </si>
  <si>
    <t>356</t>
  </si>
  <si>
    <t>394822</t>
  </si>
  <si>
    <t>394873</t>
  </si>
  <si>
    <t>481945</t>
  </si>
  <si>
    <t>80322</t>
  </si>
  <si>
    <t>1069087</t>
  </si>
  <si>
    <t>521797</t>
  </si>
  <si>
    <t>7102</t>
  </si>
  <si>
    <t>399328</t>
  </si>
  <si>
    <t>1949105</t>
  </si>
  <si>
    <t>182515</t>
  </si>
  <si>
    <t>86381</t>
  </si>
  <si>
    <t>182395</t>
  </si>
  <si>
    <t xml:space="preserve">C TRADE COMERCIO LTDA </t>
  </si>
  <si>
    <t>80629</t>
  </si>
  <si>
    <t>399056</t>
  </si>
  <si>
    <t>LEITESOL INDUSTRIA E COMERCIO</t>
  </si>
  <si>
    <t>752933</t>
  </si>
  <si>
    <t>40210</t>
  </si>
  <si>
    <t>1103</t>
  </si>
  <si>
    <t>GILBERTO FERREIRA SILVA JUNIOR</t>
  </si>
  <si>
    <t>87</t>
  </si>
  <si>
    <t>127544</t>
  </si>
  <si>
    <t>182305</t>
  </si>
  <si>
    <t>NOVA COMERCIAL PESCADOS LTDA</t>
  </si>
  <si>
    <t>34590</t>
  </si>
  <si>
    <t>RCS COMERCIAL DE ALIMENTOS LTDA</t>
  </si>
  <si>
    <t>11901</t>
  </si>
  <si>
    <t>817081</t>
  </si>
  <si>
    <t>LEROY MERLIN COMPANHIA BRASILEIRA DE BRICOLAGEM</t>
  </si>
  <si>
    <t>687609</t>
  </si>
  <si>
    <t>1230</t>
  </si>
  <si>
    <t>227516</t>
  </si>
  <si>
    <t>302689</t>
  </si>
  <si>
    <t>397918</t>
  </si>
  <si>
    <t>4292</t>
  </si>
  <si>
    <t>2476554</t>
  </si>
  <si>
    <t>2479473</t>
  </si>
  <si>
    <t>DISLAR CENTRAL DE PRODUTOS PARA O LAR LTDA. - FILIAL</t>
  </si>
  <si>
    <t>12021</t>
  </si>
  <si>
    <t>DECOMARTIN IND. COM DE VID E CRIST</t>
  </si>
  <si>
    <t>31841</t>
  </si>
  <si>
    <t>476</t>
  </si>
  <si>
    <t>12090</t>
  </si>
  <si>
    <t>FNS COMERCIO E IMPORTAÇÃO LTDA</t>
  </si>
  <si>
    <t>392483</t>
  </si>
  <si>
    <t>7/2026</t>
  </si>
  <si>
    <t>Bebidas</t>
  </si>
  <si>
    <t>Alimentos</t>
  </si>
  <si>
    <t>Couvert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</si>
  <si>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</si>
  <si>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</si>
  <si>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</si>
  <si>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</si>
  <si>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</si>
  <si>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</si>
  <si>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</si>
  <si>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</si>
  <si>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</si>
  <si>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</si>
  <si>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</si>
  <si>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</si>
  <si>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</si>
  <si>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</si>
  <si>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</si>
  <si>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</si>
  <si>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</si>
  <si>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</si>
  <si>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</si>
  <si>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</si>
  <si>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</si>
  <si>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</si>
  <si>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</si>
  <si>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</si>
  <si>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</si>
  <si>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</si>
  <si>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</si>
  <si>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</si>
  <si>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</si>
  <si>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</si>
  <si>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</si>
  <si>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</si>
  <si>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</si>
  <si>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</si>
  <si>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</si>
  <si>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</si>
  <si>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</si>
  <si>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</si>
  <si>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</si>
  <si>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</si>
  <si>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</si>
  <si>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</si>
  <si>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PRO_2607001_Illyjkia</t>
  </si>
  <si>
    <t>Nathalia Santos</t>
  </si>
  <si>
    <t>Pacote Exclusivo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</si>
  <si>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</si>
  <si>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</si>
  <si>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</si>
  <si>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</si>
  <si>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</si>
  <si>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</si>
  <si>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</si>
  <si>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</si>
  <si>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</si>
  <si>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</si>
  <si>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</si>
  <si>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</si>
  <si>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45.821.431/0004-08</t>
  </si>
  <si>
    <t>275.971.888-38</t>
  </si>
  <si>
    <t>1 - Mensal</t>
  </si>
  <si>
    <t>519.150.328-73</t>
  </si>
  <si>
    <t>418.284.748-27</t>
  </si>
  <si>
    <t>382.219.238-42</t>
  </si>
  <si>
    <t>425.790.708-85</t>
  </si>
  <si>
    <t>466.857.948-36</t>
  </si>
  <si>
    <t>045.005.428-41</t>
  </si>
  <si>
    <t>706.253.944-96</t>
  </si>
  <si>
    <t>355.518.358-39</t>
  </si>
  <si>
    <t>407.876.548-33</t>
  </si>
  <si>
    <t>378.928.558-74</t>
  </si>
  <si>
    <t>119.042.104-65</t>
  </si>
  <si>
    <t>5 - Rescisão</t>
  </si>
  <si>
    <t>454.207.258-43</t>
  </si>
  <si>
    <t>348.051.758-77</t>
  </si>
  <si>
    <t>344.362.958-00</t>
  </si>
  <si>
    <t>418.583.938-33</t>
  </si>
  <si>
    <t>443.096.228-60</t>
  </si>
  <si>
    <t>407.752.388-56</t>
  </si>
  <si>
    <t>070.381.719-17</t>
  </si>
  <si>
    <t>479.831.648-23</t>
  </si>
  <si>
    <t>523.303.988-59</t>
  </si>
  <si>
    <t>439.489.978-88</t>
  </si>
  <si>
    <t>424.439.568-73</t>
  </si>
  <si>
    <t>435.777.408-09</t>
  </si>
  <si>
    <t>158.646.508-20</t>
  </si>
  <si>
    <t>419.300.868-14</t>
  </si>
  <si>
    <t>385.174.238-95</t>
  </si>
  <si>
    <t>402.232.208-09</t>
  </si>
  <si>
    <t>473.165.898-50</t>
  </si>
  <si>
    <t>179.024.058-17</t>
  </si>
  <si>
    <t>333.625.118-48</t>
  </si>
  <si>
    <t>295.805.518-39</t>
  </si>
  <si>
    <t>451.862.728-84</t>
  </si>
  <si>
    <t>478.744.278-31</t>
  </si>
  <si>
    <t>409.405.968-73</t>
  </si>
  <si>
    <t>565.678.068-69</t>
  </si>
  <si>
    <t>462.724.688-90</t>
  </si>
  <si>
    <t>054.410.878-70</t>
  </si>
  <si>
    <t>484.577.788-62</t>
  </si>
  <si>
    <t>376.548.088-60</t>
  </si>
  <si>
    <t>360.187.588-81</t>
  </si>
  <si>
    <t>357.944.068-36</t>
  </si>
  <si>
    <t>365.805.808-01</t>
  </si>
  <si>
    <t>286.622.598-80</t>
  </si>
  <si>
    <t>051.797.435-59</t>
  </si>
  <si>
    <t>020.339.283-30</t>
  </si>
  <si>
    <t>187.380.207-26</t>
  </si>
  <si>
    <t>456.394.238-38</t>
  </si>
  <si>
    <t>309.111.978-50</t>
  </si>
  <si>
    <t>309.350.868-11</t>
  </si>
  <si>
    <t>Unidade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</si>
  <si>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</si>
  <si>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</si>
  <si>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</si>
  <si>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</si>
  <si>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</si>
  <si>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</si>
  <si>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</si>
  <si>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</si>
  <si>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Produto</t>
  </si>
  <si>
    <t>Promoção</t>
  </si>
  <si>
    <t>Categoria Produto</t>
  </si>
  <si>
    <t>Quantidade de usos</t>
  </si>
  <si>
    <t>Desconto total</t>
  </si>
  <si>
    <t>A&amp;B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</si>
  <si>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</si>
  <si>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</si>
  <si>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</si>
  <si>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</si>
  <si>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</si>
  <si>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</si>
  <si>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</si>
  <si>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</si>
  <si>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</si>
  <si>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</si>
  <si>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</si>
  <si>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</si>
  <si>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ID_Contagem</t>
  </si>
  <si>
    <t>Data_Contagem</t>
  </si>
  <si>
    <t>ID_Insumo</t>
  </si>
  <si>
    <t>Insumo</t>
  </si>
  <si>
    <t>Quantidade</t>
  </si>
  <si>
    <t>Unidade_Medida</t>
  </si>
  <si>
    <t>ID_Insumo_Nivel_5</t>
  </si>
  <si>
    <t>Nome_Insumo_Nivel_5</t>
  </si>
  <si>
    <t>Nome_Incumo_Nivel_1</t>
  </si>
  <si>
    <t>Valor_Cotado</t>
  </si>
  <si>
    <t>Valor_Unidade_Medida</t>
  </si>
  <si>
    <t xml:space="preserve">GELO RETANGULO 50X65MM EASYICE C/16 UN </t>
  </si>
  <si>
    <t>BEBIDAS</t>
  </si>
  <si>
    <t>PC</t>
  </si>
  <si>
    <t>BONIFICAÇÃO</t>
  </si>
  <si>
    <t>CACHACA DIAMANTE OURO ENGENHO CANTAREIRA 750ML</t>
  </si>
  <si>
    <t>GR</t>
  </si>
  <si>
    <t>CACHACA DOCE VIDA ENGENHO CANTAREIRA 500ML</t>
  </si>
  <si>
    <t>CACHACA ORIGINAL PRATA ENGENHO CANTAREIRA 750ML</t>
  </si>
  <si>
    <t>CACHACA ORIGINAL OURO ENGENHO CANTAREIRA 750ML</t>
  </si>
  <si>
    <t>AGUA MINERAL SEM GAS LINDOIA PREMIUM  310ML C/12</t>
  </si>
  <si>
    <t xml:space="preserve">BONIFICAÇÃO </t>
  </si>
  <si>
    <t>AGUA MINERAL COM GAS LINDOIA PREMIUM  310ML C/12</t>
  </si>
  <si>
    <t>PIMENTA SIRIA KG</t>
  </si>
  <si>
    <t>ALIMENTOS</t>
  </si>
  <si>
    <t>KG</t>
  </si>
  <si>
    <t>PE SUINO SALGADO KG</t>
  </si>
  <si>
    <t>RABO SUINO SALGADO INTEIRO KG</t>
  </si>
  <si>
    <t>SACO CRISTAL 18X25 0,20 (PACOTE C/5KG)</t>
  </si>
  <si>
    <t>DESCARTAVEIS/HIGIENE E LIMPEZA</t>
  </si>
  <si>
    <t xml:space="preserve">SACO CRISTAL 30X40 0,20 (PACOTE C/5KG) </t>
  </si>
  <si>
    <t>EMULSIFICANTE MARVI 850G UN</t>
  </si>
  <si>
    <t>Un</t>
  </si>
  <si>
    <t xml:space="preserve">MANGUEIRA 25M BABYFLEX </t>
  </si>
  <si>
    <t>UTENSILIOS</t>
  </si>
  <si>
    <t>UN</t>
  </si>
  <si>
    <t>PIMENTA CHOCOLATE KG</t>
  </si>
  <si>
    <t>PIMENTA MALAGUETA VERMELHA KG</t>
  </si>
  <si>
    <t>BERINJELA KG</t>
  </si>
  <si>
    <t>FRALDINHA RED FRIBOI KG</t>
  </si>
  <si>
    <t>RABO BOVINO CORTADO KG</t>
  </si>
  <si>
    <t>GUARDANAPO RETANGULAR FOLHA DUPLA BRANCO C/ LOGO 40X40 C/1200UN</t>
  </si>
  <si>
    <t>CX</t>
  </si>
  <si>
    <t>SACO CRISTAL 40X60 0,20 C/5KG</t>
  </si>
  <si>
    <t>AMENDOA LAMINADA KG</t>
  </si>
  <si>
    <t>PE DE FRANGO KG</t>
  </si>
  <si>
    <t>PRATO OVAL SOBREMESA 25X19CM H2CM MOOVE IRIS WHUITE BONNA</t>
  </si>
  <si>
    <t>NF 137446AVISTA COMPETENCIA 23/06/2026</t>
  </si>
  <si>
    <t xml:space="preserve">CARRETILHA CORTA MASSA DE PASTEL ORIGINAL UN </t>
  </si>
  <si>
    <t>NF 8396AVISTA COMPETENCIA 15/05/2026</t>
  </si>
  <si>
    <t>AGUA MINERAL LINDOIA PREMIUM COPO 200ML C/48</t>
  </si>
  <si>
    <t>ABACAXI PEROLA KG</t>
  </si>
  <si>
    <t>MANGA PALMER KG</t>
  </si>
  <si>
    <t>ABACATE KG</t>
  </si>
  <si>
    <t>BATATA BOLINHA KG</t>
  </si>
  <si>
    <t>LICOR COINTREAU 700ML</t>
  </si>
  <si>
    <t>ESPUMANTE CHANDON BRUT ROSE 750ML</t>
  </si>
  <si>
    <t>ESPUMANTE CHANDON RESERVE BRUT 750ML</t>
  </si>
  <si>
    <t>CHAMPAGNE MOET &amp; CHANDON BRUT IMPERIAL 750ML</t>
  </si>
  <si>
    <t>ESPUMANTE MOET CHANDON IMPERIAL ROSE 750ML</t>
  </si>
  <si>
    <t>RUM HAVANA CLUB 3 ANOS 750ML</t>
  </si>
  <si>
    <t>AMIDO DE MILHO MAIZENA 1KG UN</t>
  </si>
  <si>
    <t xml:space="preserve">29/06/2026 competência </t>
  </si>
  <si>
    <t>BOBINA TERMICA DE PDV PALHA 80X30 C/30UN</t>
  </si>
  <si>
    <t>SACO DE LIXO 100L BL PRETO GROSSO 95X120 4K UN</t>
  </si>
  <si>
    <t>PACOTE</t>
  </si>
  <si>
    <t>SACO CRISTAL 20X30 (PACOTE C/5KG)</t>
  </si>
  <si>
    <t>BOBINA DE PAPEL FILME PVC 40CMX400M UN</t>
  </si>
  <si>
    <t>SACO DE LIXO 40L PRETO C/100</t>
  </si>
  <si>
    <t>SACO CRISTAL 60X80 0,20 (PACOTE C/5KG)</t>
  </si>
  <si>
    <t>CHOPP BRAHMA CLARO 50L</t>
  </si>
  <si>
    <t>BARRIL</t>
  </si>
  <si>
    <t>ESTRADO DE BORRACHA EXTENSIVEL 30X30CM PRETO UN</t>
  </si>
  <si>
    <t>RALADOR INOX 4 FACES 22,5CM UN</t>
  </si>
  <si>
    <t>ESTRADO PLASTICO BRANCO 25X50 CM UN</t>
  </si>
  <si>
    <t>FACA CARNE INOX PREMIUM 10 POL TRAMONTINA UN</t>
  </si>
  <si>
    <t>CONCHA MOLHO VIEL UN</t>
  </si>
  <si>
    <t>ESTRADO PLASTICO 50X50 UN</t>
  </si>
  <si>
    <t>COQUETELEIRA ACO INOX BAR</t>
  </si>
  <si>
    <t>PALLET ESTRADO PLASTICO C/10 PECAS 2,5X25X50 PRETO 1,25M</t>
  </si>
  <si>
    <t>COQUETELEIRA 2 PECAS 540ML / 900ML UN</t>
  </si>
  <si>
    <t>TAPETE ESCORREDOR DE SILICONE</t>
  </si>
  <si>
    <t>PENEIRA DE PLASTICO 19CM PLASUTIL UN</t>
  </si>
  <si>
    <t>UNIDADE</t>
  </si>
  <si>
    <t>PA DE GELO INOX 24CM UN</t>
  </si>
  <si>
    <t>DESCASCADOR DE LEGUMES EM INOX TRAMONTINA UN</t>
  </si>
  <si>
    <t>SOCADOR MACERADOR DENTADO PRETO UN</t>
  </si>
  <si>
    <t>LIXEIRA BRANCA 30L COM PEDAL </t>
  </si>
  <si>
    <t>PENEIRA INOX 24CM UN</t>
  </si>
  <si>
    <t>JARRA DE VIDRO 1,6L</t>
  </si>
  <si>
    <t>COADOR ACO INOX TELA CONICA C/CABO</t>
  </si>
  <si>
    <t>DOSADOR INOX 50X25 ML 2 MEDIDAS COM MARCACAO INTERNA</t>
  </si>
  <si>
    <t>BANDEJA ANTI DERRAPANTE 557 40CM UN</t>
  </si>
  <si>
    <t>CAIXA DE HORTIFRUTI BRANCA 20KG</t>
  </si>
  <si>
    <t xml:space="preserve">CESTO PLASTICO RETANGULAR COM PEDAL ARO INTERNO BRANCO 50L - JSN - PR50F </t>
  </si>
  <si>
    <t>BANDEJAO OVAL C/ 63CM</t>
  </si>
  <si>
    <t>CAIXA PLASTICA COM TAMPA 4,6L UN</t>
  </si>
  <si>
    <t xml:space="preserve">PENEIRA FINA INOX 8CM </t>
  </si>
  <si>
    <t xml:space="preserve">BATATA BARRACA GRAUDA </t>
  </si>
  <si>
    <t>LIMAO TAHITI KG</t>
  </si>
  <si>
    <t>PAPEL MANTEIGA PERSONALIZADO BRAHMA PAULISTA C/600 UN</t>
  </si>
  <si>
    <t>DESPESAS OPERACIONAIS</t>
  </si>
  <si>
    <t>AGUA SANITARIA LARILIMP 5L UN</t>
  </si>
  <si>
    <t>GALAO</t>
  </si>
  <si>
    <t>LUVA NITR M SEM TALCO C/100</t>
  </si>
  <si>
    <t>SACO PLASTICO BOBINA PICOTADA ROLL 20X30 KG</t>
  </si>
  <si>
    <t>PAPEL TOLHA INTER FOLHA ISAPEL COM 2000 FOLHAS</t>
  </si>
  <si>
    <t>LUVA EMBORRACHADA M AMARELA UN</t>
  </si>
  <si>
    <t>LUVA LATEX SEM TALCO M C/100UN</t>
  </si>
  <si>
    <t>ESPETO DE BAMBU APERITIVO NÓ 9CM C/50 UN</t>
  </si>
  <si>
    <t>SACO PLASTICO BOBINA PICOTADA ROLL 40X60 KG</t>
  </si>
  <si>
    <t>SACO PLASTICO BOBINA PICOTADA ROLL 30X40 KG</t>
  </si>
  <si>
    <t>CAIXA PLASTICA BRANCA COM TAMPA 36L UN</t>
  </si>
  <si>
    <t>MONOBLOCO 180L</t>
  </si>
  <si>
    <t>COSTELA MINGA COM OSSO KG</t>
  </si>
  <si>
    <t>FILE MIGNON BOVINO MEDALHAO 220 A 260GR RESFRIDO KG</t>
  </si>
  <si>
    <t>SALSA KG</t>
  </si>
  <si>
    <t>PIMENTA JALAPENO KG</t>
  </si>
  <si>
    <t>BANANA DA TERRA KG</t>
  </si>
  <si>
    <t>COENTRO KG</t>
  </si>
  <si>
    <t>ALHO PORO KG</t>
  </si>
  <si>
    <t>ALECRIM KG</t>
  </si>
  <si>
    <t>RABANETE KG</t>
  </si>
  <si>
    <t>CEBOLINHA KG</t>
  </si>
  <si>
    <t>MANJERONA KG</t>
  </si>
  <si>
    <t>FEIJAO VERMELHO KG</t>
  </si>
  <si>
    <t>QUEIJO MUSSARELA FIOR CEREJA YEMA 330G</t>
  </si>
  <si>
    <t>Pc</t>
  </si>
  <si>
    <t>LINGUICA TOSCANA AURORA KG</t>
  </si>
  <si>
    <t>FEIJAO FRADINHO CAMIL C/2KG</t>
  </si>
  <si>
    <t>MACARRAO RIGATONI BARILLA 500G</t>
  </si>
  <si>
    <t>PIMENTA DO REINO GRAO BRANCO KG</t>
  </si>
  <si>
    <t>ATUM FILE KG</t>
  </si>
  <si>
    <t>BLEND DE CARNE MOIDA 50% PEITO 50% FRALDINHA KG</t>
  </si>
  <si>
    <t>ALHO ROXO KG</t>
  </si>
  <si>
    <t>PIMENTA BIQUINHO KG</t>
  </si>
  <si>
    <t>CEBOLA BRANCA KG</t>
  </si>
  <si>
    <t>MANJERICAO KG</t>
  </si>
  <si>
    <t>CEBOLA ROXA KG</t>
  </si>
  <si>
    <t>CENOURA KG</t>
  </si>
  <si>
    <t>ALHO TRITURADO FRITO</t>
  </si>
  <si>
    <t>AZEITONA PRETA AZAPA S/ CAROCO DI SALERNO C/1,8KG</t>
  </si>
  <si>
    <t>Bd</t>
  </si>
  <si>
    <t>QUEIJO MUSSARELA CATUPIRY BARRA PROF PIZZA KG</t>
  </si>
  <si>
    <t>MACARRAO ESPAGUETE C/ OVOS RENATA N8 500GR</t>
  </si>
  <si>
    <t>LEITE CONDENSADO MOCA C/2,6KG</t>
  </si>
  <si>
    <t>CREME DE LEITE FRESCO QUATA C/1,01LT</t>
  </si>
  <si>
    <t>BISTECA SUINA KG</t>
  </si>
  <si>
    <t>FIGADO DE FRANGO KG</t>
  </si>
  <si>
    <t>CORACAO DE FRANGO KG</t>
  </si>
  <si>
    <t>FUMACA LIQUIDA GONZALO 150ML</t>
  </si>
  <si>
    <t>FR</t>
  </si>
  <si>
    <t>CEBOLA EM PO KG</t>
  </si>
  <si>
    <t>PICANHA BASSI KG</t>
  </si>
  <si>
    <t xml:space="preserve">MIOLO DE ACEM KG </t>
  </si>
  <si>
    <t>FILE DE FRANGO KG</t>
  </si>
  <si>
    <t>MUSCULO TRASEIRO KG</t>
  </si>
  <si>
    <t>ACEM KG</t>
  </si>
  <si>
    <t>COXA E SOBRECOXA COM OSSO E COM PELE KG</t>
  </si>
  <si>
    <t>COPA LOMBO SUINO KG</t>
  </si>
  <si>
    <t>SORVETE DE BAUNILHA C/5L – ROCHINHA</t>
  </si>
  <si>
    <t>BD</t>
  </si>
  <si>
    <t>CARNE SECA COXÃO DURO DI CALLANI KG</t>
  </si>
  <si>
    <t>COGUMELO SHIITAKE GRANEL KG</t>
  </si>
  <si>
    <t>COGUMELO SHIMEJI BRANCO GRANEL KG</t>
  </si>
  <si>
    <t>COGUMELO PARIS GRANEL KG</t>
  </si>
  <si>
    <t>COPO DESCARTAVEL KEROCOPO 200ML C/25X100</t>
  </si>
  <si>
    <t>SANITIZANTE EM PO P/ ALIMENTOS PROKITC 1KG UN</t>
  </si>
  <si>
    <t>BORRIFADOR PULVERIZADOR SPRAY PLASTICO 500ML UN</t>
  </si>
  <si>
    <t>SACO CONFEITEIRO G HMVM 47X26CM C/50 UN</t>
  </si>
  <si>
    <t xml:space="preserve">CABO PARA  VASSOURA DE ALUMINIO </t>
  </si>
  <si>
    <t>GAS DE MACARICO REFIL UN</t>
  </si>
  <si>
    <t>GELO / GAS / CARVAO / VELAS</t>
  </si>
  <si>
    <t>DESINCRUSTANTE 5L UN</t>
  </si>
  <si>
    <t>POTE REDONDO 250ML COM TAMPA CRISTAL C/24 UN PRAFESTA</t>
  </si>
  <si>
    <t>MARMITEX D2 1000ML COM TAMPA THEMOPRAT C/100</t>
  </si>
  <si>
    <t>SABONETE LIQUIDO PARA DISPENSER INOVE BANHEIRO PCD UN</t>
  </si>
  <si>
    <t>VASSOURA DE PELO SINTETICO COM CABO UN</t>
  </si>
  <si>
    <t>BOBINA PICOTADA 40X60 C/500 UN</t>
  </si>
  <si>
    <t>COPO DESCARTAVEL ULTRACOPOS 330ML C/2000UN</t>
  </si>
  <si>
    <t>SACO KRAFT LISO G 34X24X14 C/100UN</t>
  </si>
  <si>
    <t>CANUDO BIODEGRADAVEL MEXEDOR C/2000 UN</t>
  </si>
  <si>
    <t>SACOLA ALTA DENSIDADE BRANCA 45X60CM</t>
  </si>
  <si>
    <t xml:space="preserve">GALÃO BOMBONA 10L QUADRADO COM TAMPA LACRE E ALÇA </t>
  </si>
  <si>
    <t>TELA MICTORIO LIMAO PREMISSE UN</t>
  </si>
  <si>
    <t>MASCARA TNT TRIPLA BRANCA C/50</t>
  </si>
  <si>
    <t>LIMPA ALUMINIO LARILIMP 5L</t>
  </si>
  <si>
    <t>SACO ALVEJADO BRANCO 45X65 UN</t>
  </si>
  <si>
    <t>PAPEL HIGIENICO ROLAO NOBRE 300M C/8</t>
  </si>
  <si>
    <t>ESPONJA FIBRACO TININDO 3M C/5 UN</t>
  </si>
  <si>
    <t>BOM AR CITRUS REFIL 250ML UN</t>
  </si>
  <si>
    <t>PAPEL TOALHA BOBINA NOBREPAPPER 9X250X8 UN</t>
  </si>
  <si>
    <t>FIO DENTAL HALITO PURO 200M</t>
  </si>
  <si>
    <t>DESINFETANTE LAVANDA LARILIMP 5L UN</t>
  </si>
  <si>
    <t xml:space="preserve">ESPONJA DUPLA FACE TININDO 3M C/10 UN </t>
  </si>
  <si>
    <t>OLEO DE PEROBA 200ML UN</t>
  </si>
  <si>
    <t>LUVA DE LATEX AMARELA MULTIUSO SLIM COM FORRO</t>
  </si>
  <si>
    <t>LIMPA VIDRO EVALAR 5L</t>
  </si>
  <si>
    <t>LUVA LATEX G SEM TALCO C/100UN</t>
  </si>
  <si>
    <t>ENXAGUANTE BUCAL SABOR MENTA HALITO PURO 1L</t>
  </si>
  <si>
    <t>PANO MULTIUSO 28X240 C/600PANOS UM</t>
  </si>
  <si>
    <t>PALITO PARA PETISCO 9CM C/500UN</t>
  </si>
  <si>
    <t>PAPEL ALUMINIO ROLO  45X65M UN</t>
  </si>
  <si>
    <t>ADESIVO LACRE PARA DELIVERY ROLO C/500</t>
  </si>
  <si>
    <t>PAPEL HIGIENICO INTER FOLHA ISAPEL 8.000 FOLHAS 10X20,5CM UN</t>
  </si>
  <si>
    <t>SABONETE LIQUIDO ERVA DOCE DEOLINE 5L UM</t>
  </si>
  <si>
    <t>PALITO DE DENTE BAMBU 2,0 X 65MM CX C/500</t>
  </si>
  <si>
    <t>BATATA DOCE ROXA KG</t>
  </si>
  <si>
    <t>ARROZ BRANCO TIPO 1 CAMIL C/5KG</t>
  </si>
  <si>
    <t>FEIJAO PRETO CAMIL C/2KG</t>
  </si>
  <si>
    <t>FEIJAO CARIOCA KICALDO 1KG</t>
  </si>
  <si>
    <t>SAL REFINADO LEBRE C/1KG</t>
  </si>
  <si>
    <t>SAL GROSSO LEBRE C/1KG</t>
  </si>
  <si>
    <t>FARINHA DE TRIGO TP1 ANACONDA 1KG</t>
  </si>
  <si>
    <t>GORDURA VEGETAL FRY SAUDE 14,5KG</t>
  </si>
  <si>
    <t>MEL FLORISMEL SILVESTRE C/1KG</t>
  </si>
  <si>
    <t>PT</t>
  </si>
  <si>
    <t>MOSTARDA AMARELA HEMMER C/200G</t>
  </si>
  <si>
    <t>CATCHUP HEMMER TRADICIONAL 320G</t>
  </si>
  <si>
    <t>FERMENTO QUIMICO ROYAL 250G</t>
  </si>
  <si>
    <t>GRAO DE BICO CAMIL C/2KG</t>
  </si>
  <si>
    <t>TOMILHO KG</t>
  </si>
  <si>
    <t>PIMENTAO AMARELO KG</t>
  </si>
  <si>
    <t>SALVIA KG</t>
  </si>
  <si>
    <t>ESTRAGAO KG</t>
  </si>
  <si>
    <t>PIMENTAO VERDE KG</t>
  </si>
  <si>
    <t>MANDIOCA A VACUO KG</t>
  </si>
  <si>
    <t>PIMENTA DEDO DE MOCA KG</t>
  </si>
  <si>
    <t>PIMENTAO VERMELHO KG</t>
  </si>
  <si>
    <t>MANDIOQUINHA KG</t>
  </si>
  <si>
    <t xml:space="preserve">PAO CIABATTA ENTRE 18 E 20 CM </t>
  </si>
  <si>
    <t>CHOPP BRAHMA BLACK 30L</t>
  </si>
  <si>
    <t>CANECA CERVEJA TABERNA 600ML C/ 12UN</t>
  </si>
  <si>
    <t>N/A</t>
  </si>
  <si>
    <t>COADOR ACO INOX P/COQUETEL</t>
  </si>
  <si>
    <t xml:space="preserve">BISNAGA FLEXIVEL PROFISSIONAL DE 800ML UN </t>
  </si>
  <si>
    <t>TACA CERVEJA FLORIPA 300 ML</t>
  </si>
  <si>
    <t>JARRA GRADUADA 1L UN</t>
  </si>
  <si>
    <t>BALDE DE GELO INOX 80L</t>
  </si>
  <si>
    <t>SUQUEIRA VIDRO 5L</t>
  </si>
  <si>
    <t xml:space="preserve">TAPETE PERSONALIZADO DE VINIL </t>
  </si>
  <si>
    <t>Pode pagar com este boleto foi enviado pelo fornecedor Casa Capacho.
competência 16/06/2026</t>
  </si>
  <si>
    <t>COPO CHOPP BLACK 430ML UN</t>
  </si>
  <si>
    <t>VINHO TINTO TRUMPETER MALBEC SYRAH 750ML</t>
  </si>
  <si>
    <t>VINHO BRANCO RUTINI LA RURAL DESTINO CHARDONNAY MENDOZA ARGENTINA 750ML</t>
  </si>
  <si>
    <t>VINHO TINTO CALABUIG TEMPRANILLO 750ML</t>
  </si>
  <si>
    <t>VINHO TINTO RUTINI ANTOLOGIA XXXVIII 750ML</t>
  </si>
  <si>
    <t>VINHO TINTO LES FRUITS SAUVAGES PINOT NOIR 750ML</t>
  </si>
  <si>
    <t>VINHO BRANCO UGGIANO BIANCO DI FIRENZE TOSCANA IGT</t>
  </si>
  <si>
    <t xml:space="preserve">VINHO TINTO CASA FERREIRINHA ESTEVA DOURO SUPERIOR PORTUGAL </t>
  </si>
  <si>
    <t xml:space="preserve">VINHO ROSE RUTINI WINES TRUMPETER ROSADO DE MALBEC 750ML ARGENTINA </t>
  </si>
  <si>
    <t>RUTINI CABERNET MALBEC 375ML</t>
  </si>
  <si>
    <t>VINHO BRANCO CHÂTEAU DE MEYRE SAUVIGNON BLANC BORDEAUX FRANÇA</t>
  </si>
  <si>
    <t>VINHO TINTO LES ARGONAUTES 750ML</t>
  </si>
  <si>
    <t>VINHO BRANCO QUINTA DE AZEVEDO ALVARINHO VINHO VERDE PORTUGAL 750ML</t>
  </si>
  <si>
    <t>Vinho Branco Italiano Pinot Grigio Igt Terre Siciliane 750ml</t>
  </si>
  <si>
    <t>VINHO TINTO ALBA DE DOMUS 750ML</t>
  </si>
  <si>
    <t xml:space="preserve">VINHO TINTO RUTINI WINES COLECCIÓN CABERNET FRANC /MALBEC- MENDOZA ARGENTINA </t>
  </si>
  <si>
    <t>VINHO TINTO CHÂTEAU HAUT-BERNAT PUISSEGUIN ST. EMILION FRANÇA 750ML</t>
  </si>
  <si>
    <t>FINCA SAN MARTIN CRIANZA 1,5L</t>
  </si>
  <si>
    <t>RUTINI TRUMPETER SAUVIGNON BLANC 375ML</t>
  </si>
  <si>
    <t>ESPUMANTE PERELADA CAVA STARS TOUCH ROSE 750ML</t>
  </si>
  <si>
    <t>JEAN-MARC BROCARD CHABLIS 750ML</t>
  </si>
  <si>
    <t>VINHO BRANCO CHÂTEAU  LOS BOLDOS TRADITION S. BLANC - CACHAPOAL CHILE 750ML</t>
  </si>
  <si>
    <t>VINHO TINTO LOS BOLDOS TRADITION RESERVA MEZCLA CABERNET SAUVIGNON E SYRAH  CACHAPOAL CHILE 750ML</t>
  </si>
  <si>
    <t>VINHO TINTO SOSSEGO ALENTEJANO 375ML</t>
  </si>
  <si>
    <t>VINHO BRANCO ABBOTTS &amp; DELAUNAY LES FRUITS SAUVAGES CHARDONNAY - LANGUEDOC FRANÇA 750ML</t>
  </si>
  <si>
    <t>VINHO TINTO LA RIOJA ALTA S.A - VIÑA ALBERDI RESERVA RIOJA. - ESPANHA  750ML</t>
  </si>
  <si>
    <t>UGGIANO SANGIOVESE 750ML</t>
  </si>
  <si>
    <t>ESPUMANTE  DON ABEL MOSCATEL</t>
  </si>
  <si>
    <t>VINHO TINTO DESTINO MALBEC LA RURAL ARGENTO 750ML</t>
  </si>
  <si>
    <t>VINHO ROSE ARRAEZ CALABUIG ROSÉ MONASTRELL - VALENCIA ESPANHA  750ML</t>
  </si>
  <si>
    <t>LINGUICA PAIO KG</t>
  </si>
  <si>
    <t>LINGUICA CALABRESA KG</t>
  </si>
  <si>
    <t>MARGARINA COM SAL QUALY 500G UN</t>
  </si>
  <si>
    <t>Competência correta 25/02026</t>
  </si>
  <si>
    <t>CHOCOLATE EM PO NESTLE 50% 1,01KG</t>
  </si>
  <si>
    <t>FRUTAS VERMELHAS CONGELADA KG</t>
  </si>
  <si>
    <t>GUARANA ANTARCTICA LATA 350ML C/12 PC</t>
  </si>
  <si>
    <t>COENTRO EM GRAO KG</t>
  </si>
  <si>
    <t>PIMENTA BRANCA EM GRÃO KG</t>
  </si>
  <si>
    <t>ACETO BALSAMICO LA PASTINA 500ML</t>
  </si>
  <si>
    <t>ESSENCIA DE BAUNILHA CEPERA 1L</t>
  </si>
  <si>
    <t>LT</t>
  </si>
  <si>
    <t>ALCAPARRA MEDIA DI SALERNO C/2KG</t>
  </si>
  <si>
    <t>CHORIZO BB GRILL KG</t>
  </si>
  <si>
    <t>RUCULA KG</t>
  </si>
  <si>
    <t>BATATA DOCE ROSADA KG</t>
  </si>
  <si>
    <t>ESPINAFRE KG</t>
  </si>
  <si>
    <t>BROCOLIS COMUM KG</t>
  </si>
  <si>
    <t>AZEITONA PRETA S/ CAROCO YGUARA 2KG</t>
  </si>
  <si>
    <t>MILHO VERDE QUERO C/170G</t>
  </si>
  <si>
    <t>AZEITONA VERDE FATIADA YGUARA C/2KG</t>
  </si>
  <si>
    <t>CASTANHA DO PARA A VACUO KG</t>
  </si>
  <si>
    <t>Kg</t>
  </si>
  <si>
    <t>MOSTARDA AM HEMMER 3,6KG</t>
  </si>
  <si>
    <t>MANJERICAO BASILICO KG</t>
  </si>
  <si>
    <t>FRANGO A PASSARINHO KG</t>
  </si>
  <si>
    <t>BACON MANTA KG</t>
  </si>
  <si>
    <t xml:space="preserve">DESCRIÇÃO: BACON MANTA </t>
  </si>
  <si>
    <t>CARDAMOMO EM GRÃO KG</t>
  </si>
  <si>
    <t>DESCRIÇÃO: CANELA EM PAU</t>
  </si>
  <si>
    <t>CANELA EM PAU KG</t>
  </si>
  <si>
    <t>LICOR DIEGO ZAMORA 43 700ML</t>
  </si>
  <si>
    <t>DESCRIÇÃO: LICOR DIEGO ZAMORA</t>
  </si>
  <si>
    <t>APERITIVO ANGOSTURA 473ML</t>
  </si>
  <si>
    <t>VINHO TINTO ALMADEN CABERNET SAUVIGNON 750ML</t>
  </si>
  <si>
    <t>Gr</t>
  </si>
  <si>
    <t>DESCRIÇÃO: VINHO TINTO ALMADEN CABERNET</t>
  </si>
  <si>
    <t>QUEIJO PRATO TRES MARIAS KG</t>
  </si>
  <si>
    <t>SUCO CONCENTRADO DE CAJU MAGUARY 500ML UN</t>
  </si>
  <si>
    <t>PRESUNTO CRU FATIADO ESPANHOL RAR C/80G</t>
  </si>
  <si>
    <t>OREGANO KG</t>
  </si>
  <si>
    <t>GRAO DE BICO KG</t>
  </si>
  <si>
    <t>OLEO DE CANOLA LIZA C/900ML</t>
  </si>
  <si>
    <t>COCO RALADO DESIDRATADO SEM ACUCAR KG</t>
  </si>
  <si>
    <t>GROSELHA MILANI 900ML</t>
  </si>
  <si>
    <t>QUEIJO GORGONZOLA VIGOR KG</t>
  </si>
  <si>
    <t>SAL SACHE CISNE 1000X0,001G</t>
  </si>
  <si>
    <t>MANTEIGA SEM SAL SCALA 5 KG</t>
  </si>
  <si>
    <t>DESCRIÇÃO: MANTEIGA SEM SAL SCALA</t>
  </si>
  <si>
    <t>MOLHO DE PIMENTA TABASCO RED C/60ML</t>
  </si>
  <si>
    <t>DESCRIÇÃO: ACUCAR REFINADO UNIAO</t>
  </si>
  <si>
    <t>ACUCAR REFINADO UNIAO 1KG UN</t>
  </si>
  <si>
    <t>XAROPE DE MACA VERDE MONIN 700ML</t>
  </si>
  <si>
    <t xml:space="preserve">DESCRIÇÃO: XAROPE DE MACA VERDE </t>
  </si>
  <si>
    <t>WHISKY CHIVAS REGAL 18 ANOS 750ML</t>
  </si>
  <si>
    <t>TEQUILA JOSE CUERVO PRATA 750ML</t>
  </si>
  <si>
    <t>VERMOUTH MARTINI EXTRA DRY 750ML</t>
  </si>
  <si>
    <t>RUM HAVANA CLUB 7 ANOS 700ML</t>
  </si>
  <si>
    <t>SAQUE AZUMA KIRIN DOURADO 740ML</t>
  </si>
  <si>
    <t>CONHAQUE DOMECQ 1L</t>
  </si>
  <si>
    <t xml:space="preserve">CONHAQUE  HENNESSY  VSOP 750 ML </t>
  </si>
  <si>
    <t>XAROPE DE CRANBERRY MONIN 700ML</t>
  </si>
  <si>
    <t>XAROPE DE LIMAO SICILIANO GLASCO MONIN 700ML</t>
  </si>
  <si>
    <t>WHISKY GENTLEMAN JACK SILVER 1L</t>
  </si>
  <si>
    <t>WHISKY CHIVAS ROYAL SALUTE 21 ANOS 700ML</t>
  </si>
  <si>
    <t>VERMOUTH CINZANO ROSSO ARGENTINO 1L</t>
  </si>
  <si>
    <t>VODKA ABSOLUT 1L</t>
  </si>
  <si>
    <t>XAROPE DE CEREJA MONIN 700ML</t>
  </si>
  <si>
    <t>TEQUILA JOSE CUERVO OURO 750ML</t>
  </si>
  <si>
    <t>LICOR STOCK CURACAU TRIPLE SEC 720ML</t>
  </si>
  <si>
    <t>MOSTARDA FRANCESA DIJON BEAUFOR 1KG</t>
  </si>
  <si>
    <t>DESCRIÇÃO : MOLHO INGLES CEPERA</t>
  </si>
  <si>
    <t>LEITE DE COCO SOCOCO C/1L UN</t>
  </si>
  <si>
    <t>LEITE INTEGRAL ITALAC C/12</t>
  </si>
  <si>
    <t>KETCHUP HEMMER 3,8KG</t>
  </si>
  <si>
    <t>AZEITE EXTRAVIRGEM LA RIOJA 5L</t>
  </si>
  <si>
    <t>MOLHO INGLES CEPERA C/1L</t>
  </si>
  <si>
    <t>AZEITE EXTRA VIRGEM GALLO 250ML UN</t>
  </si>
  <si>
    <t>FARINHA PANKO ROMARIZ C/1KG</t>
  </si>
  <si>
    <t>GUARDANAPO QUADRADO FOLHA DUPLA COM LOGO 24X22 C/5000 UM</t>
  </si>
  <si>
    <t>DESCRIÇÃO: GUARDANAPO QUADRADO</t>
  </si>
  <si>
    <t>DESCRIÇÃO : ESPUMANTE PERELADA CAVA STARS</t>
  </si>
  <si>
    <t>BUDWEISER LN 330ML C/24</t>
  </si>
  <si>
    <t>DESCRIÇÃO: STELLA ARTOIS LONG NECK 330ML</t>
  </si>
  <si>
    <t>H2OH LIMAO 500ML C/12</t>
  </si>
  <si>
    <t>STELLA ARTOIS LONG NECK 330ML C/24</t>
  </si>
  <si>
    <t>CERVEJA BECKS LONG NECK 330ML C/24</t>
  </si>
  <si>
    <t>STELLA ARTOIS SEM GLUTEN LONG NECK 330ML C/24</t>
  </si>
  <si>
    <t>CORONA EXTRA LONG NECK 330ML C/24</t>
  </si>
  <si>
    <t>CERVEJA CORONA ZERO SUNBREW LONG NECK 330ML C/24</t>
  </si>
  <si>
    <t xml:space="preserve">CALCADO PROFISSIONAL TIPO CROCS PAR ANTIDERRAPANTE N 36 </t>
  </si>
  <si>
    <t>DESCRIÇÃO: CALCADO PROFISSIONAL TIPO CROC</t>
  </si>
  <si>
    <t>CALCADO PROFISSIONAL TIPO CROCS PAR ANTIDERRAPANTE N 41</t>
  </si>
  <si>
    <t xml:space="preserve">CALCADO PROFISSIONAL TIPO CROCS PAR ANTIDERRAPANTE N 38 </t>
  </si>
  <si>
    <t>CALCADO PROFISSIONAL TIPO CROCS PAR ANTIDERRAPANTE N42</t>
  </si>
  <si>
    <t>CALCADO PROFISSIONAL TIPO CROCS PAR ANTIDERRAPANTE N39</t>
  </si>
  <si>
    <t xml:space="preserve">CALCADO PROFISSIONAL TIPO CROCS PAR ANTIDERRAPANTE N 37 </t>
  </si>
  <si>
    <t xml:space="preserve">CALCADO PROFISSIONAL TIPO CROCS PAR ANTIDERRAPANTE N 35 </t>
  </si>
  <si>
    <t>CALCADO PROFISSIONAL TIPO CROCS PAR ANTIDERRAPANTE N 43</t>
  </si>
  <si>
    <t>FILE MIGNON BOVINO MEDALHAO 200 A 240GR KG</t>
  </si>
  <si>
    <t>DESCRIÇÃO: FILE MIGNON BOVINO MEDALHAO</t>
  </si>
  <si>
    <t xml:space="preserve">MILHO EM CONSERVA C/170G QUERO UN </t>
  </si>
  <si>
    <t>DESCRIÇÃO: MILHO EM CONSERVA QUERO</t>
  </si>
  <si>
    <t>COUSCOUS MARROQUINO DIVELLA C/500G</t>
  </si>
  <si>
    <t>QUINOA VERMELHA EM GRAO KG</t>
  </si>
  <si>
    <t>MASSA DE PASTEL HIDEKI C/2,5 KG</t>
  </si>
  <si>
    <t xml:space="preserve">DESCRIÇÃO: MASSA DE PASTEL HIDEKI </t>
  </si>
  <si>
    <t>DESCRIÇÃO: MOCOTO</t>
  </si>
  <si>
    <t>PATINHO MOIDO KG</t>
  </si>
  <si>
    <t>MOCOTO KG</t>
  </si>
  <si>
    <t>ACIDO CITRICO KG</t>
  </si>
  <si>
    <t>DESCRIÇÃO : ACIDO CITRICO</t>
  </si>
  <si>
    <t>ACIDO MALICO KG</t>
  </si>
  <si>
    <t>GIN TANQUERAY 750ML</t>
  </si>
  <si>
    <t xml:space="preserve">DESCRIÇÃO : WHISKY JOHNNIE WALKER GREEN </t>
  </si>
  <si>
    <t>WHISKY JOHNNIE WALKER GREEN LABEL 750ML</t>
  </si>
  <si>
    <t>WHISKY JOHNNIE WALKER RED LABEL 1L</t>
  </si>
  <si>
    <t>VODKA CIROC NATURAL 750ML</t>
  </si>
  <si>
    <t>WHISKY JOHNNIE WALKER BLUE LABEL 750ML</t>
  </si>
  <si>
    <t>WHISKY BUCHANANS DELUXE 12 ANOS 750ML</t>
  </si>
  <si>
    <t>TEQUILA DON JULIO BLANCO 750ML</t>
  </si>
  <si>
    <t>WHISKY JOHNNIE WALKER BLACK LABEL 1L</t>
  </si>
  <si>
    <t>VODKA KETEL ONE 1L</t>
  </si>
  <si>
    <t>WHISKY OLD PARR 12 ANOS 1L</t>
  </si>
  <si>
    <t>GIN TANQUERAY TEN 750ML</t>
  </si>
  <si>
    <t>DESCRIÇÃO: CACHACA ORIGINAL</t>
  </si>
  <si>
    <t>WHISKY JOHNNIE WALKER GOLD LABEL RESERVE 750ML</t>
  </si>
  <si>
    <t>DESCRIÇÃO: WHISKY JOHNNIE WALKER DOUBLE</t>
  </si>
  <si>
    <t>GIN GORDONS 750ML</t>
  </si>
  <si>
    <t>WHISKY JOHNNIE WALKER DOUBLE BLACK LABEL 1L</t>
  </si>
  <si>
    <t>WHISKY JOHNNIE WALKER BLONDE 700ML</t>
  </si>
  <si>
    <t>CONHAQUE HENNESSY VERY SPECIAL 750 ML</t>
  </si>
  <si>
    <t>RUM ZACAPA 23 ANOS 750ML</t>
  </si>
  <si>
    <t>VODKA SMIRNOFF RED 998ML</t>
  </si>
  <si>
    <t>CUPIM KG</t>
  </si>
  <si>
    <t>DESCRIÇÃO: CUPIM KG</t>
  </si>
  <si>
    <t>SOBRECOXA DESSOSSADA KG</t>
  </si>
  <si>
    <t>APERITIVO FERNET BRANCA FRATELLI 750ML</t>
  </si>
  <si>
    <t>DESCRIÇÃO: APERITIVO CAMPARI</t>
  </si>
  <si>
    <t>APERITIVO CAMPARI 998ML</t>
  </si>
  <si>
    <t>WHISKY CHIVAS REGAL 12 ANOS 1L</t>
  </si>
  <si>
    <t>APERITIVO JAGERMEISTER 700ML</t>
  </si>
  <si>
    <t>ESPUMANTE SALTON BRUT 750ML</t>
  </si>
  <si>
    <t>VERMOUTH CARPANO BIANCO 1L</t>
  </si>
  <si>
    <t>RUM BACARDI SUPERIOR CARTA BLANCA 980ML</t>
  </si>
  <si>
    <t>VERMOUTH CARPANO CLASSICO ROSSO ITALIANO 1L</t>
  </si>
  <si>
    <t>VERMOUTH CARPANO PUNT E MES 1L</t>
  </si>
  <si>
    <t>APERITIVO APEROL 750ML</t>
  </si>
  <si>
    <t>ALFACE AMERICANA KG</t>
  </si>
  <si>
    <t>DESCRIÇÃO: CEBOLA ROXA</t>
  </si>
  <si>
    <t>ABOBRINHA ITALIANA GRAUDA KG</t>
  </si>
  <si>
    <t>TOMATE MOLHO ITALIANO KG</t>
  </si>
  <si>
    <t>TOMATE SALADA ITALIANO KG</t>
  </si>
  <si>
    <t>BATATA ASTERIX GRAUDA NOIVA KG</t>
  </si>
  <si>
    <t>LOURO FRESCO KG</t>
  </si>
  <si>
    <t>SALSAO KG</t>
  </si>
  <si>
    <t>OVO CAIPIRA UN</t>
  </si>
  <si>
    <t>APERITIVO PISCO CAPEL 40 RESERVADO 700ML</t>
  </si>
  <si>
    <t>DESCRIÇÃO: APERITIVO PISCO CAPEL</t>
  </si>
  <si>
    <t>LINGUICA TOSCANA FINA COM ERVAS KG</t>
  </si>
  <si>
    <t>DESCRIÇÃO : LINGUICA TOSCANA FINA COM ERVA</t>
  </si>
  <si>
    <t>CAFE PILAO ALMOFADA 500G</t>
  </si>
  <si>
    <t xml:space="preserve">DESCRIÇÃO : CAFE PILAO ALMOFADA </t>
  </si>
  <si>
    <t>LEMON PEPPER KG</t>
  </si>
  <si>
    <t>DESCRIÇÃO: SUCO DE TOMATE RAIOLA</t>
  </si>
  <si>
    <t>ALHO FRITO KG</t>
  </si>
  <si>
    <t>COCO EM FITA KG</t>
  </si>
  <si>
    <t>SUCO DE TOMATE RAIOLA 1L</t>
  </si>
  <si>
    <t>DOCE DE LEITE LA SERENISSIMA C/400G</t>
  </si>
  <si>
    <t>FARINHA DE SEMOLINA DO TRIGO RENATA C/1KG</t>
  </si>
  <si>
    <t>DESCRIÇÃO : MAIONESE HELLMANNS</t>
  </si>
  <si>
    <t>PRESUNTO COZIDO KG</t>
  </si>
  <si>
    <t>MAIONESE HELLMANNS C/3KG</t>
  </si>
  <si>
    <t>ATUM EM PEDACOS EM OLEO GOMES DA COSTA C/500G</t>
  </si>
  <si>
    <t>MOLHO SHOYO TRADICIONAL SAKURA C/1,010L UN</t>
  </si>
  <si>
    <t xml:space="preserve">PEPINO ZILSE 300G </t>
  </si>
  <si>
    <t>DESCRIÇÃO: GEMA DE OVO PASTEURIZADA</t>
  </si>
  <si>
    <t>RAPADURA KG</t>
  </si>
  <si>
    <t>FARINHA DE POLENTA POLENTINA C/500G</t>
  </si>
  <si>
    <t>AZEITONA PORTUGUESA C/2KG</t>
  </si>
  <si>
    <t>GEMA DE OVO PASTEURIZADA NETTO C/1KG UN</t>
  </si>
  <si>
    <t>TEMPERO PAELLERO CARMENCITA C/20G</t>
  </si>
  <si>
    <t>COGUMELO FATIADO YGUARA BALDE C/2KG</t>
  </si>
  <si>
    <t>OLEO DE SOJA LIZA C/900ML</t>
  </si>
  <si>
    <t>DESCRIÇÃO: ARROZ BRANCO TIPO</t>
  </si>
  <si>
    <t>EMBALAGEM PLÁSTICA PARA DELIVERY R-021 490ML C/250UN</t>
  </si>
  <si>
    <t xml:space="preserve">DESCRIÇÃO: EMBALAGEM COM TAMPA </t>
  </si>
  <si>
    <t>EMBALAGEM COM TAMPA R021 DE 490 ML C/250</t>
  </si>
  <si>
    <t>EMBALAGEM COM TAMPA R61 BRANCA DE 1500 ML C/250</t>
  </si>
  <si>
    <t>MANJERIQUINHO KG</t>
  </si>
  <si>
    <t>LIMAO SICILIANO KG</t>
  </si>
  <si>
    <t>BANANA NANICA KG</t>
  </si>
  <si>
    <t>PIMENTA DE CHEIRO VERDE KG</t>
  </si>
  <si>
    <t>PEPINO JAPONES KG</t>
  </si>
  <si>
    <t>ALFACE ROMANA KG</t>
  </si>
  <si>
    <t>GENGIBRE KG</t>
  </si>
  <si>
    <t>TOMATE CEREJA KG</t>
  </si>
  <si>
    <t>BOLACHA DE CHOPP PERSONALIZADA COM 2000 UN</t>
  </si>
  <si>
    <t>DESCRIÇÃO: BOLACHA DE CHOPP PERSONALIZADA</t>
  </si>
  <si>
    <t xml:space="preserve">BIFE BATIDO BOMBOM DE ALCATRA NELORE 150G KG </t>
  </si>
  <si>
    <t>DESCRIÇÃO: BIFE BATIDO BOMBOM DE ALCATRA</t>
  </si>
  <si>
    <t>CINTA LOMBAR TAM G</t>
  </si>
  <si>
    <t>DESCRIÇÃO : CINTA LOMBAR</t>
  </si>
  <si>
    <t>CINTA LOMBAR TAM M</t>
  </si>
  <si>
    <t>JAPONA TERMICA UN</t>
  </si>
  <si>
    <t>DISPENSER PAPEL TOALHA BOBINA AUTO CORTE TOALHEIRO UN</t>
  </si>
  <si>
    <t>DESCRIÇÃO: DISPENSER SABONETE</t>
  </si>
  <si>
    <t>DISPENSER SABONETE LIQUIDO</t>
  </si>
  <si>
    <t>GAS COLIMIX 8.0M³ UN</t>
  </si>
  <si>
    <t>DESCRIÇÃO : GAS COLIMIX 8.0M³ UN</t>
  </si>
  <si>
    <t>GAS COLIMIX 2.6M³ UN</t>
  </si>
  <si>
    <t>ATUM SEM PELE FRESCO KG</t>
  </si>
  <si>
    <t xml:space="preserve">DESCRIÇÃO: ATUM SEM PELE FRESCO
</t>
  </si>
  <si>
    <t>ETIQUETA ROLO BOPP 60X40MM C/1000UN</t>
  </si>
  <si>
    <t>DESCRIÇÃO: ETIQUETA ROLO BOPP 60X40MM</t>
  </si>
  <si>
    <t>ELASTICO AMARELO C/120 UN</t>
  </si>
  <si>
    <t>DESCRIÇÃO : ESPETO PARA COMANDA</t>
  </si>
  <si>
    <t>ARQUIVO MORTO PAPELAO RECICLADO 350MM X 135MM X 240MM UN</t>
  </si>
  <si>
    <t>ESPETO PARA COMANDA EM INOX 15 CM</t>
  </si>
  <si>
    <t>CLIPS 0.4 C/50UN</t>
  </si>
  <si>
    <t>CLIPS 0/8 C/25</t>
  </si>
  <si>
    <t>Cx</t>
  </si>
  <si>
    <t>FITA ADESIVA TRANSPARENTE 12MMX40M 1 UN DUREX</t>
  </si>
  <si>
    <t>PORTA FOLHETO A4 EM ACRILICO DE PAREDE</t>
  </si>
  <si>
    <t>PASTA L TRANSPARENTE 100UN</t>
  </si>
  <si>
    <t>REGUA 30CM UN</t>
  </si>
  <si>
    <t>CANETA ESFEROGRAFICA BIC ESCRITA MEDIA CRISTAL DURA MAIS AZUL C/50 UN</t>
  </si>
  <si>
    <t>CANETA ESFEROGRAFICA PRETA 1.MM C/50 UN</t>
  </si>
  <si>
    <t>EXTRATOR DE CLIPS UN</t>
  </si>
  <si>
    <t>PILHA ALCALINA PEQUENA AA C/8</t>
  </si>
  <si>
    <t>FITA ADESIVA TRANSPARENTE 40X45</t>
  </si>
  <si>
    <t>CLIPS 6/0 C/25UN</t>
  </si>
  <si>
    <t>SUPORTE APLICADOR PARA FITA UN</t>
  </si>
  <si>
    <t>ENVELOPE DE SEGURANCA PARA DINHEIRO SANGRIA 13X16 5 C/300</t>
  </si>
  <si>
    <t xml:space="preserve">ESTILETE LARGO EM PLASTICO LAMINA 18MM AMARELO </t>
  </si>
  <si>
    <t>GRAMPEADOR UN</t>
  </si>
  <si>
    <t>PILHA ALCALINA PEQUENA AAA C/4</t>
  </si>
  <si>
    <t>GRAMPOS SIMPLES 26/6 C/5000</t>
  </si>
  <si>
    <t>MARCADOR DE TEXTO AMARELO C/3UN</t>
  </si>
  <si>
    <t>PAPEL SULFITE BRANCO A4 C/500UN</t>
  </si>
  <si>
    <t>SUPORTE DE DUREX PARA MESA UN</t>
  </si>
  <si>
    <t>TESOURAS PEQUENA</t>
  </si>
  <si>
    <t>DESCRIÇÃO : COPO DESCARTAVEL</t>
  </si>
  <si>
    <t>COPO DESCARTAVEL TRANSPARENTE 400ML C/1000UN</t>
  </si>
  <si>
    <t>LARANJA BAHIA KG</t>
  </si>
  <si>
    <t>DESCRIÇÃO : LARANJA PERA - ALECRIN</t>
  </si>
  <si>
    <t>CURCUMA KG</t>
  </si>
  <si>
    <t>CAPIM SANTO KG</t>
  </si>
  <si>
    <t>LARANJA PERA KG</t>
  </si>
  <si>
    <t>TEMPERO BAIANO KG</t>
  </si>
  <si>
    <t>ROMA KG</t>
  </si>
  <si>
    <t>DESCRIÇÃO: ROMA - MELANCIA - LIMA DA PERSIA</t>
  </si>
  <si>
    <t>MELANCIA KG</t>
  </si>
  <si>
    <t>VAGEM HOLANDESA KG</t>
  </si>
  <si>
    <t>LIMA DA PERSIA KG</t>
  </si>
  <si>
    <t>MORANGO CONGELADO KG</t>
  </si>
  <si>
    <t>DESCRIÇÃO: MORANGO CONGELADO - HORTELA HIDROPONICA</t>
  </si>
  <si>
    <t>HORTELA HIDROPONICA KG</t>
  </si>
  <si>
    <t>UVA VITORIA KG</t>
  </si>
  <si>
    <t>DESCRIÇÃO : FILE DE FRANGO</t>
  </si>
  <si>
    <t>OLEO DE ALGODAO SAUDE C/14,5KG</t>
  </si>
  <si>
    <t>BALDE</t>
  </si>
  <si>
    <t>DESCRIÇÃO : OLEO DE ALGODAO</t>
  </si>
  <si>
    <t>PAPRICA DOCE PCT/500G UN</t>
  </si>
  <si>
    <t xml:space="preserve">DESCRIÇÃO: PAPRICA DOCE  - PAPRICA DEFUMADA </t>
  </si>
  <si>
    <t>PAPRICA DEFUMADA PCT 500G UN</t>
  </si>
  <si>
    <t>COSTELA JANELA INTEIRA MARCONDES KG</t>
  </si>
  <si>
    <t>DESCRIÇÃO : OSSO BOVINO SERRADO</t>
  </si>
  <si>
    <t>OSSO BOVINO SERRADO RODELA KG</t>
  </si>
  <si>
    <t>DETERGENTE NEUTRO LIMPOL 5L</t>
  </si>
  <si>
    <t>DESCRIÇÃO: DETERGENTE NEUTRO LIMPOL 5L</t>
  </si>
  <si>
    <t>DESCRIÇÃO : REQUEIJAO CATUPIRY - CREAM CHEESE CATUPIRY</t>
  </si>
  <si>
    <t>REQUEIJAO CATUPIRY BISNAGA C/1,5KG</t>
  </si>
  <si>
    <t>CREAM CHEESE CATUPIRY 1,2KG</t>
  </si>
  <si>
    <t>HAMBURGUER BOVINO BLEND C/ 180G 50% PEITO 50% FRALDINHA KG</t>
  </si>
  <si>
    <t>DESCRIÇÃO :HAMBURGUER BOVINO BLEND</t>
  </si>
  <si>
    <t>DECRIÇÃO : PASTRAMI DEFUMADO, COSTELA SUINA SALGADA</t>
  </si>
  <si>
    <t>BACALHAU LASCAS PORTO KG</t>
  </si>
  <si>
    <t>PASTRAMI DEFUMADO KG</t>
  </si>
  <si>
    <t>BACALHAU LOMBO GADUS MORHUA KG</t>
  </si>
  <si>
    <t>COSTELA SUINA SALGADA SERRADA EM 2 PARTES KG</t>
  </si>
  <si>
    <t>DESCRIÇÃO : BLEND DE CARNE MOIDA</t>
  </si>
  <si>
    <t>FARINHA DE PIZZERIA TP00 CAPUTO 25KG UN</t>
  </si>
  <si>
    <t>DESCRIÇÃO: FARINHA DE PIZZERIA</t>
  </si>
  <si>
    <t>DESCRIÇÃO: CALCADO PROFISSIONAL</t>
  </si>
  <si>
    <t>QUEIJO PARMESAO CAPA PRETA KG</t>
  </si>
  <si>
    <t>DESCRIÇÃO: QUEIJO PARMESAO</t>
  </si>
  <si>
    <t xml:space="preserve">DESCRIÇÃO : SORVETE ROCHINHA </t>
  </si>
  <si>
    <t>PRIME RIB SUINO KG</t>
  </si>
  <si>
    <t>DESCRIÇÃO: PERNIL SUINO - PANCETA</t>
  </si>
  <si>
    <t>PANCETA SUINA KG</t>
  </si>
  <si>
    <t>PERNIL SUINO COM OSSO KG</t>
  </si>
  <si>
    <t>ORELHA SUINA SALGADA KG</t>
  </si>
  <si>
    <t>SECANTE PARA MAQUINA DE LAVAR 20L</t>
  </si>
  <si>
    <t>BB</t>
  </si>
  <si>
    <t>DESCRIÇÃO : SECANTE PARA MAQUINA DE LAVAR - DETERGENTE PARA MAQUINA</t>
  </si>
  <si>
    <t>DETERGENTE PARA MAQUINA DE LAVAR 20L</t>
  </si>
  <si>
    <t>FILE DE DOURADO PORCIONADO 200G KG</t>
  </si>
  <si>
    <t xml:space="preserve"> DESCRIÇÃO - FILE DE DOURADO</t>
  </si>
  <si>
    <t xml:space="preserve">CARPACCIO DE LARGATO KG </t>
  </si>
  <si>
    <t>DESCRIÇÃO : CARPACCIO</t>
  </si>
  <si>
    <t>CAMARAO CINZA EVISCERADO 30X45 KG</t>
  </si>
  <si>
    <t>DESCRIÇÃO : CAMARÃO - FILET</t>
  </si>
  <si>
    <t>FILE DE ABADEJO 800/1200 KG</t>
  </si>
  <si>
    <t>Farinha Copioba – 1Kg</t>
  </si>
  <si>
    <t>DESCRIÇÃO : FARINHA</t>
  </si>
  <si>
    <t>AGUA DE COCO KERO COCO 330ML</t>
  </si>
  <si>
    <t xml:space="preserve">Remessa Bonificação </t>
  </si>
  <si>
    <t>IND E COM DE CHOPEIRAS RIBEIRAO PRETO</t>
  </si>
  <si>
    <t>2063337</t>
  </si>
  <si>
    <t>KIT INSTALACAO TRAVE 5T CONG PRE GLICOL ENG RAPIDO</t>
  </si>
  <si>
    <t>CONJUNTO REGULADOR 5S PARA NITROGENIO ENG RAPIDO</t>
  </si>
  <si>
    <t>VALVULA EXTRATORA KEG GAS P INOX TIPO S ENG RAPIDO</t>
  </si>
  <si>
    <t>PROPILENO GLICOL INIBIDO EMBALAGEM 20KG</t>
  </si>
  <si>
    <t>TUBO POLIETILENO ER</t>
  </si>
  <si>
    <t>PRE RESFR PG100 TROPO MAX / 22 GLIC/E001</t>
  </si>
  <si>
    <t>BOCAL RETOLAVAGEM</t>
  </si>
  <si>
    <t>PRE RESFR PG100 TROPO MAX / 22 BG/E001</t>
  </si>
  <si>
    <t>TORRE ESPECIAL ACABADA DE BANDEJA</t>
  </si>
  <si>
    <t>GUARDANAPO QUADRADO FOLHA DUPLA BRANCO E BORDA CALANDRA 24X22 C/5000 UN</t>
  </si>
  <si>
    <t>TIGELA e FORNO</t>
  </si>
  <si>
    <t>TIGELA INOX 2L 24CM</t>
  </si>
  <si>
    <t>FORNO MICROONDAS 32L S/ GRILL C/10 NIVEIS</t>
  </si>
  <si>
    <t>FORMA FUNDO FALSO PARA SOBREMESA 9,8X2,5 PARA PETY GATEAU  ( a menor )</t>
  </si>
  <si>
    <t>GERMAN BOWL 30CM  UN</t>
  </si>
  <si>
    <t>MOEDOR DE PIMENTA PROFISSIONAL TAMANHO MEDIO UN</t>
  </si>
  <si>
    <t>Cutelos CUTELO BRANCO 7" MASTER LINE MUNDIAL 7850-7</t>
  </si>
  <si>
    <t>FORMA FUNDO FALSO PARA SOBREMESA 9,8X2,5 PARA CHESSCAKE</t>
  </si>
  <si>
    <t>CUBA ACO INOX 2/1 40MM S/ALCA</t>
  </si>
  <si>
    <t>CAIXA FREEZER EMPILHAVEL 6,5L UN</t>
  </si>
  <si>
    <t>CAÇAROLA 40CM  VIGOR SUPER   - CAPACIDADE 23L</t>
  </si>
  <si>
    <t>CAÇAROLA 60CM  VIGOR SUPER   - CAPACIDADE 73L</t>
  </si>
  <si>
    <t>PINCA CULINARIA - LE GALO</t>
  </si>
  <si>
    <t xml:space="preserve">TRAVESSA DE INOX 41CM </t>
  </si>
  <si>
    <t xml:space="preserve">CUBA INOX GN 1/9 -10CM UN </t>
  </si>
  <si>
    <t>CAIXA FREEZER 4,5L</t>
  </si>
  <si>
    <t>CESTA RETANGULAR INOX 10x9x6 KEHOME</t>
  </si>
  <si>
    <t>ESPATULA INOX CABO BRANCO RETA 12CM UN</t>
  </si>
  <si>
    <t>LUVA DE MALHA DE ACO ANTI CORTE UN</t>
  </si>
  <si>
    <t>CUBA 1/4-10</t>
  </si>
  <si>
    <t>CAÇAROLA 32CM  VIGOR SUPER   - CAPACIDADE 12L</t>
  </si>
  <si>
    <t xml:space="preserve">CUBA GN 1/3-10CM ACO INOX UN </t>
  </si>
  <si>
    <t>CUBA 1/6-10</t>
  </si>
  <si>
    <t>CAÇAROLA 70CM  VIGOR SUPER   - CAPACIDADE 126L</t>
  </si>
  <si>
    <t>LUVA TERMICA GRAFATEX 35CM ATE 500°C</t>
  </si>
  <si>
    <t>CAIXA PLASTICA EMPILHAVEL 15 LITROS BRANCA UN</t>
  </si>
  <si>
    <t>CALDERAO VIGOR SUPER  50CM - CAPACIDADE 95L</t>
  </si>
  <si>
    <t>Rolos de massa 20cm</t>
  </si>
  <si>
    <t>ESPATULA SILICONE 28CM BRINOX 2253/351</t>
  </si>
  <si>
    <t>CALCADO PROFISSIONAL BOTINA  N 42</t>
  </si>
  <si>
    <t>BOLACHA DE CHOPP PERSONALIZADA COM 10000 UN</t>
  </si>
  <si>
    <t xml:space="preserve"> BOLACHA DE CHOPP</t>
  </si>
  <si>
    <t xml:space="preserve">FACA CHURRASCO PACIFIC TRAMONTINA </t>
  </si>
  <si>
    <t>COOKTOP DE INDUÇAO 1 BOCA PRETO UN</t>
  </si>
  <si>
    <t>COLHER DE CAFE MODENA BRINOX UN</t>
  </si>
  <si>
    <t>COLHER DE MESA TRAMONTINA PACIFIC UN</t>
  </si>
  <si>
    <t>GARFO SOBREMESA TRAMONTINA PACIFIC UN</t>
  </si>
  <si>
    <t>COLHER DE MESA MODENA BRINOX UN</t>
  </si>
  <si>
    <t xml:space="preserve">GARFO MESA PACIFIC TRAMONTINA - UN </t>
  </si>
  <si>
    <t xml:space="preserve">FACA  DE SOBREMESA TRAMONTINA  PACIFIC UN </t>
  </si>
  <si>
    <t>COLHER DE SOBREMESA TRAMONTINA PACIFIC UN</t>
  </si>
  <si>
    <t>GARFO PARA TORTA TRAMONTINA HAVANA UN</t>
  </si>
  <si>
    <t>PAO DE MIGA INTEGRAL 1,5 KG LE PAIN - UN</t>
  </si>
  <si>
    <t xml:space="preserve">FRIGIDEIRA TRAMONTINA GRANO 26CM EM INOX COM CORPO TRIPO E REVESTIMENTO INTERNO ANTIADERENTE </t>
  </si>
  <si>
    <t xml:space="preserve">FRIGIDEIRA TRAMONTINA REVESTIDA STARFLON 25CM 1,3L </t>
  </si>
  <si>
    <t>FRIGIDEIRA TRAMONTINA GRANO EM AÇO INOX COM CORPO TRIPLO 26CM UN</t>
  </si>
  <si>
    <t>TABUA DE CHURRASCO TRAMONTINA 28X19</t>
  </si>
  <si>
    <t>PA PARA PIZZA DE FERRO PARA FORNEAR</t>
  </si>
  <si>
    <t>FRIGIDEIRA TRAMONTINA ANTIADERENTE 32CM</t>
  </si>
  <si>
    <t>MOEDOR DE SAL / PIMENTA TRAMONTINA EM ACO INOX  E ACRILICO COM MOINHO EM CERAMICO UN</t>
  </si>
  <si>
    <t xml:space="preserve">FACA DE FILETE TRAMONTINA </t>
  </si>
  <si>
    <t>FRIGIDEIRA ALUM 28CM P/SALTERA PROC</t>
  </si>
  <si>
    <t xml:space="preserve">PEGADORES DE CHURRASCO </t>
  </si>
  <si>
    <t>135532</t>
  </si>
  <si>
    <t>PRATO FUNDO 23CM PORCELANA UN</t>
  </si>
  <si>
    <t>PRATO FUNDO PORCELANA 25CM SCHIPPER UN</t>
  </si>
  <si>
    <t>PRATO OVAL PORCELANA 31X24CM H3CM MOOVE BONNA MOV31OV SCHIPPER UN</t>
  </si>
  <si>
    <t>PRATO SOBREMESA 19CM H2CM GOURMET IRIS WHITE BONNA</t>
  </si>
  <si>
    <t>TACA MARTINI WINDSOR 250ML 6UN</t>
  </si>
  <si>
    <t>COPO DOSE AMERICANO 45ML UN</t>
  </si>
  <si>
    <t>TACA IMPERATRIZ AGUA 425ML</t>
  </si>
  <si>
    <t>COPO AMERICANO 315ML NEGRONI</t>
  </si>
  <si>
    <t>COPO AMERICANO 190ML</t>
  </si>
  <si>
    <t>COPO LONG DRINK AMERICANO 450ML</t>
  </si>
  <si>
    <t>TAÇA COQUETEL WINDSOR NADIR 335 ML</t>
  </si>
  <si>
    <t xml:space="preserve">COPO CALDERETA 350ML </t>
  </si>
  <si>
    <t>TACA GIN TONICA 600ML UN</t>
  </si>
  <si>
    <t>TACA DE VINHO BORDEAUX GASTRO 580 ML</t>
  </si>
  <si>
    <t>TACA CHAMPAGNE GASTRO 220 ML</t>
  </si>
  <si>
    <t>COPO DE CONHAQUE 330ML UN</t>
  </si>
  <si>
    <t>TACA AGUA BARONE 490ML UN</t>
  </si>
  <si>
    <t>TACA DE VINHO BRANCO GASTRO CRISTAL 350ML</t>
  </si>
  <si>
    <t xml:space="preserve">CANECA AMERICANA NADIR 270ML </t>
  </si>
  <si>
    <t xml:space="preserve"> CANECA AMERICANA</t>
  </si>
  <si>
    <t>BOWL FIBRA HARV FNS CR-32B 1250ML C/300 UN</t>
  </si>
  <si>
    <t xml:space="preserve"> BANDEIJAS E UTENSILIOS</t>
  </si>
  <si>
    <t>TAMPA PP P/ CR-750B ; 1000B ; 1400B  C/300 UN</t>
  </si>
  <si>
    <t>TAMPA PP BANDEJA 2 COMP. 900ML C/300UN</t>
  </si>
  <si>
    <t>TAMPA PET BOWL SALAD 750ML C/300UN</t>
  </si>
  <si>
    <t>BOWL KRAFT SALAD 750ML C/300UN</t>
  </si>
  <si>
    <t>KRAFT BOWL REFORCADO FNS 1000ML C/300 UN</t>
  </si>
  <si>
    <t>TAMPA PET P/ CR-32B C/300 UN</t>
  </si>
  <si>
    <t>BANDEJA FIBRA RETANGULAR FNS CR-750B 750ML C/ 300 UN</t>
  </si>
  <si>
    <t>POTE PARA MOLHO KRAFT  90ML C/2000UN</t>
  </si>
  <si>
    <t>TAMPA PET PARA POTE DE MOLHO 90ML C/2000UN</t>
  </si>
  <si>
    <t>BANDEJA FIBRA COMPART. 900ML C/300UN</t>
  </si>
  <si>
    <t>BANDEJA FIBRA RETANGULAR FNS CR-1000b 1000ML C/ 300 UN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</si>
  <si>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</si>
  <si>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</si>
  <si>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</si>
  <si>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</si>
  <si>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</si>
  <si>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</si>
  <si>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</si>
  <si>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</si>
  <si>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</si>
  <si>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</si>
  <si>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</si>
  <si>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</si>
  <si>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</si>
  <si>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</si>
  <si>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</si>
  <si>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</si>
  <si>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</si>
  <si>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</si>
  <si>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Riviera Bar</t>
  </si>
  <si>
    <t>CERVEJA ORIGINAL ONE WAY 600ML C/12</t>
  </si>
  <si>
    <t>CERVEJA ORIGINAL ONDE WAY</t>
  </si>
  <si>
    <t>COMPRA CNPJ RIVIERA ( NF:141254)</t>
  </si>
  <si>
    <t>COMPRA CNPJ ORFEU( NF:139242 )</t>
  </si>
  <si>
    <t>Bar Brahma - Centro</t>
  </si>
  <si>
    <t>CRACHA METAL BAR BRAHMA C/ FRCHO SILICONE</t>
  </si>
  <si>
    <t>COMPRA CNPJ BRAHMA  (NF:11022)</t>
  </si>
  <si>
    <t>AGUA MINERAL  LINDOIA PREMIUM COPO 200ML</t>
  </si>
  <si>
    <t xml:space="preserve">Falta de produto </t>
  </si>
  <si>
    <t>COMPRA CNPJ BRAHMA  (NF:10981)</t>
  </si>
  <si>
    <t>CERVEJA ORIGINAL ONE WAY 600ML</t>
  </si>
  <si>
    <t xml:space="preserve">ABASTECIMENTO  Bar Brahma paulista </t>
  </si>
  <si>
    <t>ID_Consumo_Funcionarios</t>
  </si>
  <si>
    <t>Data_Baixa</t>
  </si>
  <si>
    <t>Motivo</t>
  </si>
  <si>
    <t>Observacoes</t>
  </si>
  <si>
    <t>ID_Contagem_Producao</t>
  </si>
  <si>
    <t>Nome_Item_Produzido</t>
  </si>
  <si>
    <t>Nivel_1</t>
  </si>
  <si>
    <t>ID_Casa</t>
  </si>
  <si>
    <t>Ano</t>
  </si>
  <si>
    <t>Classificacao_Contabil_1</t>
  </si>
  <si>
    <t>Classificacao_Contabil_2</t>
  </si>
  <si>
    <t>Valor Ajuste</t>
  </si>
  <si>
    <t>Descrição Ajuste</t>
  </si>
  <si>
    <t>ID 243405, 240374, 240326, 240317, 237164 Ajuste para considerar como investimento. Compra COM PEDIDO.</t>
  </si>
  <si>
    <t>6/2026</t>
  </si>
  <si>
    <t>ID 243405   240374   240326	240317	 237164  237163  235609 235598 235597 235584 Ajuste para considerar como investimento. Compra COM PEDIDO.</t>
  </si>
  <si>
    <t>5/2026</t>
  </si>
  <si>
    <t>ID 243405   240374   240326 240317  237164  237163  235609 235598 235597 235584 Ajuste para considerar como investimento. Compra COM PEDIDO.</t>
  </si>
  <si>
    <t>CARTAO FB</t>
  </si>
  <si>
    <t>NOME</t>
  </si>
  <si>
    <t>CENTRO DE CUSTO</t>
  </si>
  <si>
    <t>DUVAL MORITZ DOS SANTOS JUNIOR</t>
  </si>
  <si>
    <t>BBC/BBG/BBP</t>
  </si>
  <si>
    <t>BRUNO BATTISTEL</t>
  </si>
  <si>
    <t>BBP</t>
  </si>
  <si>
    <t>GUILHERME RODRIGUES SILVA</t>
  </si>
  <si>
    <t>RENÊ DE OLIVEIRA</t>
  </si>
  <si>
    <t>RODRIGO EVANGELISTA</t>
  </si>
  <si>
    <t>WAGNER DA SILVA FRANÇA</t>
  </si>
  <si>
    <t>Classif. Cont. 1</t>
  </si>
  <si>
    <t>Classif. Cont. 2</t>
  </si>
  <si>
    <t>Versão Plano Cont.</t>
  </si>
  <si>
    <t>Válido</t>
  </si>
  <si>
    <t>01/01/2026</t>
  </si>
  <si>
    <t>Fabrica de Bares (2025)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</si>
  <si>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</si>
  <si>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</si>
  <si>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</si>
  <si>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</si>
  <si>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</si>
  <si>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</si>
  <si>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</si>
  <si>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8/2026</t>
  </si>
  <si>
    <t>01/09/2026</t>
  </si>
  <si>
    <t>9/2026</t>
  </si>
  <si>
    <t>01/10/2026</t>
  </si>
  <si>
    <t>01/11/2026</t>
  </si>
  <si>
    <t>01/12/2026</t>
  </si>
  <si>
    <t>Insumos - Bebidas</t>
  </si>
  <si>
    <t>Insumos - Embalagens</t>
  </si>
  <si>
    <t>Insumos - Eventos A&amp;B</t>
  </si>
  <si>
    <t>Custos Artístico Geral</t>
  </si>
  <si>
    <t>Custos de Eventos</t>
  </si>
  <si>
    <t>Deduções sobre Venda</t>
  </si>
  <si>
    <t>Faturamento Bruto</t>
  </si>
  <si>
    <t>Mão de Obra - Pro Labores</t>
  </si>
  <si>
    <t>Brindes e Confraternizações - Marketing</t>
  </si>
  <si>
    <t>Patrocínio</t>
  </si>
  <si>
    <t>Custas Cartório / Operação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</si>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</sst>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_-* #,##0.0_-;\-* #,##0.0_-;_-* &quot;-&quot;?_-;_-@_-"/>
    <numFmt numFmtId="173" formatCode="yyyy\-mm\-dd"/>
    <numFmt numFmtId="174" formatCode="yyyy\-mm\-dd\ h:mm:ss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b/>
      <sz val="10"/>
      <color theme="1" tint="0.34998626667073579"/>
      <name val="Verdana"/>
      <family val="2"/>
    </font>
    <font>
      <sz val="10"/>
      <color theme="1" tint="0.34998626667073579"/>
      <name val="Verdana"/>
      <family val="2"/>
    </font>
    <font>
      <b/>
      <sz val="11"/>
      <color theme="1" tint="0.34998626667073579"/>
      <name val="Calibri"/>
      <family val="2"/>
      <scheme val="minor"/>
    </font>
    <font>
      <b/>
      <sz val="10"/>
      <color theme="2"/>
      <name val="Verdana"/>
      <family val="2"/>
    </font>
    <font>
      <sz val="11"/>
      <color rgb="FFFF0000"/>
      <name val="Calibri"/>
      <family val="2"/>
      <scheme val="minor"/>
    </font>
    <font>
      <b/>
      <sz val="10"/>
      <color theme="2" tint="-0.499984740745262"/>
      <name val="Verdana"/>
      <family val="2"/>
    </font>
    <font>
      <sz val="10"/>
      <color theme="2" tint="-0.499984740745262"/>
      <name val="Verdana"/>
      <family val="2"/>
    </font>
    <font>
      <b/>
      <sz val="11"/>
      <color theme="2" tint="-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0"/>
      <name val="Verdana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</borders>
  <cellStyleXfs count="8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494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165" fontId="9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4" fillId="8" borderId="9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4" fillId="2" borderId="0" xfId="3" applyFont="1" applyFill="1" applyAlignment="1">
      <alignment vertical="center"/>
    </xf>
    <xf numFmtId="166" fontId="14" fillId="8" borderId="10" xfId="1" applyNumberFormat="1" applyFont="1" applyFill="1" applyBorder="1" applyAlignment="1">
      <alignment vertical="center"/>
    </xf>
    <xf numFmtId="166" fontId="14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165" fontId="14" fillId="2" borderId="0" xfId="3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6" fillId="9" borderId="9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6" fillId="9" borderId="10" xfId="1" applyNumberFormat="1" applyFont="1" applyFill="1" applyBorder="1" applyAlignment="1">
      <alignment vertical="center"/>
    </xf>
    <xf numFmtId="166" fontId="16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7" fillId="8" borderId="10" xfId="3" applyNumberFormat="1" applyFont="1" applyFill="1" applyBorder="1" applyAlignment="1">
      <alignment vertical="center" wrapText="1"/>
    </xf>
    <xf numFmtId="165" fontId="17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4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/>
    </xf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/>
    </xf>
    <xf numFmtId="166" fontId="17" fillId="2" borderId="0" xfId="1" applyNumberFormat="1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6" fillId="9" borderId="14" xfId="1" applyNumberFormat="1" applyFont="1" applyFill="1" applyBorder="1" applyAlignment="1">
      <alignment vertical="center"/>
    </xf>
    <xf numFmtId="166" fontId="16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9" fontId="5" fillId="2" borderId="0" xfId="3" applyFont="1" applyFill="1" applyAlignment="1">
      <alignment vertical="center"/>
    </xf>
    <xf numFmtId="0" fontId="16" fillId="8" borderId="9" xfId="0" applyFont="1" applyFill="1" applyBorder="1" applyAlignment="1">
      <alignment vertical="center" wrapText="1"/>
    </xf>
    <xf numFmtId="166" fontId="16" fillId="8" borderId="10" xfId="1" applyNumberFormat="1" applyFont="1" applyFill="1" applyBorder="1" applyAlignment="1">
      <alignment vertical="center"/>
    </xf>
    <xf numFmtId="166" fontId="16" fillId="8" borderId="13" xfId="1" applyNumberFormat="1" applyFont="1" applyFill="1" applyBorder="1" applyAlignment="1">
      <alignment vertical="center"/>
    </xf>
    <xf numFmtId="166" fontId="16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4" fillId="8" borderId="10" xfId="1" applyNumberFormat="1" applyFont="1" applyFill="1" applyBorder="1" applyAlignment="1" applyProtection="1">
      <alignment vertical="center"/>
      <protection locked="0"/>
    </xf>
    <xf numFmtId="166" fontId="14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9" fontId="6" fillId="8" borderId="10" xfId="3" applyFont="1" applyFill="1" applyBorder="1" applyAlignment="1">
      <alignment vertical="center"/>
    </xf>
    <xf numFmtId="166" fontId="5" fillId="2" borderId="0" xfId="0" applyNumberFormat="1" applyFont="1" applyFill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14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44" fontId="6" fillId="8" borderId="10" xfId="2" applyFont="1" applyFill="1" applyBorder="1" applyAlignment="1">
      <alignment vertical="center"/>
    </xf>
    <xf numFmtId="44" fontId="14" fillId="2" borderId="0" xfId="2" applyFont="1" applyFill="1" applyAlignment="1">
      <alignment vertical="center"/>
    </xf>
    <xf numFmtId="43" fontId="20" fillId="2" borderId="0" xfId="1" applyFont="1" applyFill="1" applyAlignment="1">
      <alignment vertical="center"/>
    </xf>
    <xf numFmtId="44" fontId="21" fillId="2" borderId="0" xfId="2" applyFont="1" applyFill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4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4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4" fillId="8" borderId="10" xfId="3" applyNumberFormat="1" applyFont="1" applyFill="1" applyBorder="1" applyAlignment="1">
      <alignment vertical="center"/>
    </xf>
    <xf numFmtId="166" fontId="17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 wrapText="1"/>
    </xf>
    <xf numFmtId="0" fontId="17" fillId="2" borderId="18" xfId="0" applyFont="1" applyFill="1" applyBorder="1" applyAlignment="1">
      <alignment vertical="center"/>
    </xf>
    <xf numFmtId="166" fontId="17" fillId="2" borderId="18" xfId="1" applyNumberFormat="1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5" fontId="5" fillId="2" borderId="18" xfId="3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 wrapText="1"/>
    </xf>
    <xf numFmtId="10" fontId="17" fillId="8" borderId="10" xfId="3" applyNumberFormat="1" applyFont="1" applyFill="1" applyBorder="1" applyAlignment="1">
      <alignment vertical="center"/>
    </xf>
    <xf numFmtId="0" fontId="17" fillId="0" borderId="0" xfId="0" applyFont="1" applyAlignment="1" applyProtection="1">
      <alignment vertical="center" wrapText="1"/>
      <protection locked="0"/>
    </xf>
    <xf numFmtId="10" fontId="17" fillId="0" borderId="0" xfId="0" applyNumberFormat="1" applyFont="1" applyAlignment="1" applyProtection="1">
      <alignment vertical="center"/>
      <protection locked="0"/>
    </xf>
    <xf numFmtId="166" fontId="16" fillId="0" borderId="10" xfId="1" applyNumberFormat="1" applyFont="1" applyBorder="1" applyAlignment="1" applyProtection="1">
      <alignment vertical="center"/>
      <protection locked="0"/>
    </xf>
    <xf numFmtId="166" fontId="16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4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4" fillId="8" borderId="0" xfId="1" applyNumberFormat="1" applyFont="1" applyFill="1" applyAlignment="1">
      <alignment vertical="center"/>
    </xf>
    <xf numFmtId="166" fontId="14" fillId="8" borderId="2" xfId="1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4" fillId="12" borderId="10" xfId="1" applyNumberFormat="1" applyFont="1" applyFill="1" applyBorder="1" applyAlignment="1">
      <alignment vertical="center"/>
    </xf>
    <xf numFmtId="166" fontId="14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0" fillId="13" borderId="25" xfId="1" applyNumberFormat="1" applyFont="1" applyFill="1" applyBorder="1" applyAlignment="1">
      <alignment vertical="center" wrapText="1"/>
    </xf>
    <xf numFmtId="166" fontId="10" fillId="13" borderId="25" xfId="1" applyNumberFormat="1" applyFont="1" applyFill="1" applyBorder="1" applyAlignment="1">
      <alignment vertical="center"/>
    </xf>
    <xf numFmtId="0" fontId="10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/>
    </xf>
    <xf numFmtId="0" fontId="11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4" fillId="8" borderId="14" xfId="1" applyNumberFormat="1" applyFont="1" applyFill="1" applyBorder="1" applyAlignment="1">
      <alignment vertical="center"/>
    </xf>
    <xf numFmtId="166" fontId="14" fillId="8" borderId="15" xfId="1" applyNumberFormat="1" applyFont="1" applyFill="1" applyBorder="1" applyAlignment="1">
      <alignment vertical="center"/>
    </xf>
    <xf numFmtId="10" fontId="22" fillId="8" borderId="10" xfId="3" applyNumberFormat="1" applyFont="1" applyFill="1" applyBorder="1" applyAlignment="1">
      <alignment vertical="center"/>
    </xf>
    <xf numFmtId="10" fontId="22" fillId="8" borderId="12" xfId="3" applyNumberFormat="1" applyFont="1" applyFill="1" applyBorder="1" applyAlignment="1">
      <alignment vertical="center"/>
    </xf>
    <xf numFmtId="0" fontId="11" fillId="14" borderId="1" xfId="0" applyFont="1" applyFill="1" applyBorder="1" applyAlignment="1">
      <alignment vertical="center" wrapText="1"/>
    </xf>
    <xf numFmtId="0" fontId="11" fillId="14" borderId="0" xfId="0" applyFont="1" applyFill="1" applyAlignment="1">
      <alignment vertical="center" wrapText="1"/>
    </xf>
    <xf numFmtId="0" fontId="11" fillId="14" borderId="2" xfId="0" applyFont="1" applyFill="1" applyBorder="1" applyAlignment="1">
      <alignment vertical="center" wrapText="1"/>
    </xf>
    <xf numFmtId="10" fontId="14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7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4" fillId="8" borderId="10" xfId="3" applyNumberFormat="1" applyFont="1" applyFill="1" applyBorder="1" applyAlignment="1">
      <alignment horizontal="center" vertical="center"/>
    </xf>
    <xf numFmtId="10" fontId="14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7" fillId="15" borderId="32" xfId="1" applyNumberFormat="1" applyFont="1" applyFill="1" applyBorder="1" applyAlignment="1">
      <alignment horizontal="center" vertical="center"/>
    </xf>
    <xf numFmtId="166" fontId="14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4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4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4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7" fillId="2" borderId="0" xfId="3" applyFont="1" applyFill="1" applyAlignment="1">
      <alignment vertical="center"/>
    </xf>
    <xf numFmtId="166" fontId="14" fillId="16" borderId="10" xfId="1" applyNumberFormat="1" applyFont="1" applyFill="1" applyBorder="1" applyAlignment="1">
      <alignment vertical="center"/>
    </xf>
    <xf numFmtId="166" fontId="14" fillId="16" borderId="12" xfId="1" applyNumberFormat="1" applyFont="1" applyFill="1" applyBorder="1" applyAlignment="1">
      <alignment vertical="center"/>
    </xf>
    <xf numFmtId="166" fontId="22" fillId="8" borderId="10" xfId="1" applyNumberFormat="1" applyFont="1" applyFill="1" applyBorder="1" applyAlignment="1">
      <alignment vertical="center"/>
    </xf>
    <xf numFmtId="166" fontId="22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166" fontId="10" fillId="2" borderId="0" xfId="1" applyNumberFormat="1" applyFont="1" applyFill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1" fillId="14" borderId="10" xfId="1" applyNumberFormat="1" applyFont="1" applyFill="1" applyBorder="1" applyAlignment="1">
      <alignment vertical="center"/>
    </xf>
    <xf numFmtId="166" fontId="11" fillId="14" borderId="12" xfId="1" applyNumberFormat="1" applyFont="1" applyFill="1" applyBorder="1" applyAlignment="1">
      <alignment vertical="center"/>
    </xf>
    <xf numFmtId="166" fontId="14" fillId="0" borderId="10" xfId="1" applyNumberFormat="1" applyFont="1" applyBorder="1" applyAlignment="1">
      <alignment horizontal="center" vertical="center"/>
    </xf>
    <xf numFmtId="166" fontId="14" fillId="0" borderId="12" xfId="1" applyNumberFormat="1" applyFont="1" applyBorder="1" applyAlignment="1">
      <alignment horizontal="center" vertical="center"/>
    </xf>
    <xf numFmtId="169" fontId="14" fillId="0" borderId="10" xfId="2" applyNumberFormat="1" applyFont="1" applyBorder="1" applyAlignment="1" applyProtection="1">
      <alignment horizontal="center" vertical="center"/>
      <protection locked="0"/>
    </xf>
    <xf numFmtId="169" fontId="14" fillId="0" borderId="12" xfId="2" applyNumberFormat="1" applyFont="1" applyBorder="1" applyAlignment="1" applyProtection="1">
      <alignment horizontal="center" vertical="center"/>
      <protection locked="0"/>
    </xf>
    <xf numFmtId="10" fontId="14" fillId="0" borderId="10" xfId="3" applyNumberFormat="1" applyFont="1" applyBorder="1" applyAlignment="1" applyProtection="1">
      <alignment horizontal="center" vertical="center"/>
      <protection locked="0"/>
    </xf>
    <xf numFmtId="10" fontId="14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0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/>
    </xf>
    <xf numFmtId="166" fontId="14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4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6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6" fillId="9" borderId="44" xfId="1" applyNumberFormat="1" applyFont="1" applyFill="1" applyBorder="1" applyAlignment="1">
      <alignment vertical="center"/>
    </xf>
    <xf numFmtId="166" fontId="16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4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6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6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4" fillId="8" borderId="1" xfId="1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166" fontId="14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4" fillId="8" borderId="44" xfId="1" applyNumberFormat="1" applyFont="1" applyFill="1" applyBorder="1" applyAlignment="1">
      <alignment vertical="center"/>
    </xf>
    <xf numFmtId="10" fontId="22" fillId="8" borderId="9" xfId="3" applyNumberFormat="1" applyFont="1" applyFill="1" applyBorder="1" applyAlignment="1">
      <alignment vertical="center"/>
    </xf>
    <xf numFmtId="10" fontId="14" fillId="8" borderId="9" xfId="3" applyNumberFormat="1" applyFont="1" applyFill="1" applyBorder="1" applyAlignment="1">
      <alignment vertical="center"/>
    </xf>
    <xf numFmtId="10" fontId="14" fillId="8" borderId="9" xfId="3" applyNumberFormat="1" applyFont="1" applyFill="1" applyBorder="1" applyAlignment="1">
      <alignment horizontal="center" vertical="center"/>
    </xf>
    <xf numFmtId="166" fontId="14" fillId="2" borderId="1" xfId="1" applyNumberFormat="1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166" fontId="14" fillId="2" borderId="1" xfId="0" applyNumberFormat="1" applyFont="1" applyFill="1" applyBorder="1" applyAlignment="1">
      <alignment vertical="center"/>
    </xf>
    <xf numFmtId="166" fontId="14" fillId="16" borderId="9" xfId="1" applyNumberFormat="1" applyFont="1" applyFill="1" applyBorder="1" applyAlignment="1">
      <alignment vertical="center"/>
    </xf>
    <xf numFmtId="166" fontId="22" fillId="8" borderId="9" xfId="1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66" fontId="11" fillId="14" borderId="9" xfId="1" applyNumberFormat="1" applyFont="1" applyFill="1" applyBorder="1" applyAlignment="1">
      <alignment vertical="center"/>
    </xf>
    <xf numFmtId="166" fontId="14" fillId="0" borderId="9" xfId="1" applyNumberFormat="1" applyFont="1" applyBorder="1" applyAlignment="1">
      <alignment horizontal="center" vertical="center"/>
    </xf>
    <xf numFmtId="169" fontId="14" fillId="0" borderId="9" xfId="2" applyNumberFormat="1" applyFont="1" applyBorder="1" applyAlignment="1" applyProtection="1">
      <alignment horizontal="center" vertical="center"/>
      <protection locked="0"/>
    </xf>
    <xf numFmtId="10" fontId="14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4" fillId="8" borderId="17" xfId="3" applyFont="1" applyFill="1" applyBorder="1" applyAlignment="1">
      <alignment horizontal="center" vertical="center"/>
    </xf>
    <xf numFmtId="9" fontId="14" fillId="8" borderId="19" xfId="3" applyFont="1" applyFill="1" applyBorder="1" applyAlignment="1">
      <alignment horizontal="center" vertical="center"/>
    </xf>
    <xf numFmtId="9" fontId="14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0" fontId="24" fillId="0" borderId="0" xfId="0" applyFont="1"/>
    <xf numFmtId="0" fontId="2" fillId="19" borderId="46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0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164" fontId="0" fillId="0" borderId="0" xfId="1" applyNumberFormat="1" applyFont="1"/>
    <xf numFmtId="43" fontId="0" fillId="20" borderId="0" xfId="1" applyFont="1" applyFill="1"/>
    <xf numFmtId="43" fontId="0" fillId="0" borderId="0" xfId="1" applyFont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0" borderId="18" xfId="1" applyFont="1" applyFill="1" applyBorder="1"/>
    <xf numFmtId="43" fontId="3" fillId="0" borderId="43" xfId="1" applyFont="1" applyBorder="1"/>
    <xf numFmtId="0" fontId="0" fillId="0" borderId="47" xfId="0" applyBorder="1"/>
    <xf numFmtId="10" fontId="0" fillId="0" borderId="48" xfId="3" applyNumberFormat="1" applyFont="1" applyBorder="1"/>
    <xf numFmtId="43" fontId="0" fillId="0" borderId="48" xfId="1" applyFont="1" applyBorder="1"/>
    <xf numFmtId="43" fontId="0" fillId="20" borderId="48" xfId="1" applyFont="1" applyFill="1" applyBorder="1"/>
    <xf numFmtId="43" fontId="0" fillId="0" borderId="49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0" borderId="18" xfId="1" applyFont="1" applyFill="1" applyBorder="1"/>
    <xf numFmtId="43" fontId="0" fillId="0" borderId="43" xfId="1" applyFont="1" applyBorder="1"/>
    <xf numFmtId="43" fontId="3" fillId="0" borderId="48" xfId="1" applyFont="1" applyBorder="1"/>
    <xf numFmtId="10" fontId="3" fillId="0" borderId="18" xfId="3" applyNumberFormat="1" applyFont="1" applyBorder="1"/>
    <xf numFmtId="0" fontId="3" fillId="21" borderId="47" xfId="0" applyFont="1" applyFill="1" applyBorder="1"/>
    <xf numFmtId="0" fontId="3" fillId="21" borderId="48" xfId="0" applyFont="1" applyFill="1" applyBorder="1"/>
    <xf numFmtId="43" fontId="3" fillId="21" borderId="48" xfId="1" applyFont="1" applyFill="1" applyBorder="1"/>
    <xf numFmtId="43" fontId="3" fillId="21" borderId="49" xfId="1" applyFont="1" applyFill="1" applyBorder="1"/>
    <xf numFmtId="0" fontId="3" fillId="21" borderId="1" xfId="0" applyFont="1" applyFill="1" applyBorder="1"/>
    <xf numFmtId="0" fontId="3" fillId="21" borderId="0" xfId="0" applyFont="1" applyFill="1"/>
    <xf numFmtId="43" fontId="3" fillId="21" borderId="0" xfId="1" applyFont="1" applyFill="1"/>
    <xf numFmtId="43" fontId="3" fillId="21" borderId="2" xfId="1" applyFont="1" applyFill="1" applyBorder="1"/>
    <xf numFmtId="0" fontId="3" fillId="21" borderId="42" xfId="0" applyFont="1" applyFill="1" applyBorder="1"/>
    <xf numFmtId="0" fontId="3" fillId="21" borderId="18" xfId="0" applyFont="1" applyFill="1" applyBorder="1"/>
    <xf numFmtId="43" fontId="3" fillId="22" borderId="18" xfId="1" applyFont="1" applyFill="1" applyBorder="1"/>
    <xf numFmtId="43" fontId="3" fillId="21" borderId="18" xfId="1" applyFont="1" applyFill="1" applyBorder="1"/>
    <xf numFmtId="43" fontId="3" fillId="21" borderId="43" xfId="1" applyFont="1" applyFill="1" applyBorder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64" fontId="2" fillId="19" borderId="0" xfId="1" applyNumberFormat="1" applyFont="1" applyFill="1" applyAlignment="1">
      <alignment horizontal="center" vertical="center"/>
    </xf>
    <xf numFmtId="43" fontId="2" fillId="19" borderId="0" xfId="1" applyFont="1" applyFill="1" applyAlignment="1">
      <alignment horizontal="center" vertical="center"/>
    </xf>
    <xf numFmtId="17" fontId="0" fillId="21" borderId="0" xfId="0" applyNumberFormat="1" applyFill="1" applyAlignment="1">
      <alignment horizontal="left"/>
    </xf>
    <xf numFmtId="164" fontId="0" fillId="21" borderId="0" xfId="1" applyNumberFormat="1" applyFont="1" applyFill="1"/>
    <xf numFmtId="0" fontId="0" fillId="21" borderId="0" xfId="0" applyFill="1"/>
    <xf numFmtId="17" fontId="0" fillId="0" borderId="0" xfId="0" applyNumberFormat="1" applyAlignment="1">
      <alignment horizontal="left"/>
    </xf>
    <xf numFmtId="164" fontId="0" fillId="23" borderId="0" xfId="1" applyNumberFormat="1" applyFont="1" applyFill="1"/>
    <xf numFmtId="164" fontId="0" fillId="0" borderId="0" xfId="0" applyNumberFormat="1"/>
    <xf numFmtId="0" fontId="0" fillId="23" borderId="0" xfId="0" applyFill="1" applyAlignment="1">
      <alignment horizontal="center" vertical="center"/>
    </xf>
    <xf numFmtId="10" fontId="0" fillId="2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3" borderId="0" xfId="1" applyNumberFormat="1" applyFont="1" applyFill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43" fontId="0" fillId="24" borderId="0" xfId="1" applyFont="1" applyFill="1" applyAlignment="1">
      <alignment horizontal="center" vertical="center"/>
    </xf>
    <xf numFmtId="43" fontId="3" fillId="0" borderId="0" xfId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0" fontId="3" fillId="17" borderId="0" xfId="3" applyNumberFormat="1" applyFont="1" applyFill="1" applyAlignment="1">
      <alignment horizontal="right" vertical="center"/>
    </xf>
    <xf numFmtId="44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/>
    </xf>
    <xf numFmtId="4" fontId="0" fillId="0" borderId="0" xfId="0" applyNumberFormat="1"/>
    <xf numFmtId="43" fontId="25" fillId="0" borderId="0" xfId="1" applyFont="1"/>
    <xf numFmtId="0" fontId="3" fillId="10" borderId="0" xfId="0" applyFont="1" applyFill="1" applyAlignment="1">
      <alignment horizontal="center" vertical="center"/>
    </xf>
    <xf numFmtId="0" fontId="26" fillId="25" borderId="52" xfId="0" applyFont="1" applyFill="1" applyBorder="1" applyAlignment="1">
      <alignment horizontal="center" vertical="center"/>
    </xf>
    <xf numFmtId="49" fontId="3" fillId="25" borderId="53" xfId="0" applyNumberFormat="1" applyFont="1" applyFill="1" applyBorder="1" applyAlignment="1">
      <alignment horizontal="center" vertical="center" wrapText="1"/>
    </xf>
    <xf numFmtId="49" fontId="3" fillId="25" borderId="54" xfId="0" applyNumberFormat="1" applyFont="1" applyFill="1" applyBorder="1" applyAlignment="1">
      <alignment horizontal="center" vertical="center" wrapText="1"/>
    </xf>
    <xf numFmtId="0" fontId="3" fillId="25" borderId="55" xfId="0" applyFont="1" applyFill="1" applyBorder="1" applyAlignment="1">
      <alignment horizontal="center" vertical="center"/>
    </xf>
    <xf numFmtId="170" fontId="3" fillId="25" borderId="0" xfId="0" applyNumberFormat="1" applyFont="1" applyFill="1" applyAlignment="1">
      <alignment horizontal="center" vertical="center"/>
    </xf>
    <xf numFmtId="170" fontId="3" fillId="25" borderId="38" xfId="0" applyNumberFormat="1" applyFont="1" applyFill="1" applyBorder="1" applyAlignment="1">
      <alignment horizontal="center" vertical="center"/>
    </xf>
    <xf numFmtId="43" fontId="25" fillId="0" borderId="0" xfId="1" applyFont="1" applyAlignment="1">
      <alignment horizontal="center"/>
    </xf>
    <xf numFmtId="0" fontId="3" fillId="10" borderId="56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55" xfId="0" applyBorder="1" applyAlignment="1">
      <alignment vertical="center"/>
    </xf>
    <xf numFmtId="44" fontId="3" fillId="26" borderId="57" xfId="2" applyFont="1" applyFill="1" applyBorder="1" applyAlignment="1">
      <alignment horizontal="center" vertical="center"/>
    </xf>
    <xf numFmtId="44" fontId="3" fillId="26" borderId="58" xfId="2" applyFont="1" applyFill="1" applyBorder="1" applyAlignment="1">
      <alignment horizontal="center" vertical="center"/>
    </xf>
    <xf numFmtId="17" fontId="0" fillId="10" borderId="0" xfId="0" applyNumberFormat="1" applyFill="1"/>
    <xf numFmtId="44" fontId="27" fillId="26" borderId="57" xfId="2" applyFont="1" applyFill="1" applyBorder="1" applyAlignment="1">
      <alignment horizontal="center" vertical="center"/>
    </xf>
    <xf numFmtId="44" fontId="27" fillId="26" borderId="58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28" fillId="0" borderId="0" xfId="1" applyFont="1"/>
    <xf numFmtId="44" fontId="19" fillId="0" borderId="0" xfId="2" applyFont="1"/>
    <xf numFmtId="43" fontId="19" fillId="0" borderId="0" xfId="1" applyFont="1"/>
    <xf numFmtId="44" fontId="3" fillId="23" borderId="57" xfId="2" applyFont="1" applyFill="1" applyBorder="1" applyAlignment="1">
      <alignment horizontal="center" vertical="center"/>
    </xf>
    <xf numFmtId="44" fontId="3" fillId="23" borderId="58" xfId="2" applyFont="1" applyFill="1" applyBorder="1" applyAlignment="1">
      <alignment horizontal="center" vertical="center"/>
    </xf>
    <xf numFmtId="44" fontId="3" fillId="24" borderId="57" xfId="2" applyFont="1" applyFill="1" applyBorder="1" applyAlignment="1">
      <alignment horizontal="center" vertical="center"/>
    </xf>
    <xf numFmtId="171" fontId="3" fillId="24" borderId="57" xfId="1" applyNumberFormat="1" applyFont="1" applyFill="1" applyBorder="1" applyAlignment="1">
      <alignment horizontal="center" vertical="center"/>
    </xf>
    <xf numFmtId="171" fontId="3" fillId="24" borderId="58" xfId="1" applyNumberFormat="1" applyFont="1" applyFill="1" applyBorder="1" applyAlignment="1">
      <alignment horizontal="center" vertical="center"/>
    </xf>
    <xf numFmtId="0" fontId="0" fillId="10" borderId="59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60" xfId="0" applyNumberFormat="1" applyFont="1" applyFill="1" applyBorder="1" applyAlignment="1">
      <alignment horizontal="center" vertical="center"/>
    </xf>
    <xf numFmtId="0" fontId="3" fillId="27" borderId="55" xfId="0" applyFont="1" applyFill="1" applyBorder="1" applyAlignment="1">
      <alignment vertical="center"/>
    </xf>
    <xf numFmtId="171" fontId="27" fillId="27" borderId="0" xfId="4" applyNumberFormat="1" applyFont="1" applyFill="1" applyAlignment="1">
      <alignment horizontal="center" vertical="center"/>
    </xf>
    <xf numFmtId="171" fontId="27" fillId="27" borderId="38" xfId="4" applyNumberFormat="1" applyFont="1" applyFill="1" applyBorder="1" applyAlignment="1">
      <alignment horizontal="center" vertical="center"/>
    </xf>
    <xf numFmtId="171" fontId="0" fillId="0" borderId="0" xfId="1" applyNumberFormat="1" applyFont="1"/>
    <xf numFmtId="0" fontId="3" fillId="27" borderId="59" xfId="0" applyFont="1" applyFill="1" applyBorder="1" applyAlignment="1">
      <alignment vertical="center"/>
    </xf>
    <xf numFmtId="171" fontId="27" fillId="27" borderId="22" xfId="4" applyNumberFormat="1" applyFont="1" applyFill="1" applyBorder="1" applyAlignment="1">
      <alignment horizontal="center" vertical="center"/>
    </xf>
    <xf numFmtId="171" fontId="27" fillId="27" borderId="60" xfId="4" applyNumberFormat="1" applyFont="1" applyFill="1" applyBorder="1" applyAlignment="1">
      <alignment horizontal="center" vertical="center"/>
    </xf>
    <xf numFmtId="0" fontId="0" fillId="0" borderId="55" xfId="0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19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171" fontId="0" fillId="0" borderId="38" xfId="0" applyNumberFormat="1" applyBorder="1" applyAlignment="1">
      <alignment horizontal="center" vertical="center"/>
    </xf>
    <xf numFmtId="0" fontId="29" fillId="0" borderId="55" xfId="0" applyFont="1" applyBorder="1" applyAlignment="1">
      <alignment horizontal="left" vertical="center"/>
    </xf>
    <xf numFmtId="171" fontId="29" fillId="0" borderId="0" xfId="0" applyNumberFormat="1" applyFont="1" applyAlignment="1">
      <alignment horizontal="center" vertical="center"/>
    </xf>
    <xf numFmtId="171" fontId="29" fillId="0" borderId="38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left" vertical="center"/>
    </xf>
    <xf numFmtId="10" fontId="3" fillId="0" borderId="0" xfId="5" applyNumberFormat="1" applyFont="1" applyAlignment="1">
      <alignment horizontal="center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0" fontId="3" fillId="27" borderId="22" xfId="5" applyNumberFormat="1" applyFont="1" applyFill="1" applyBorder="1" applyAlignment="1">
      <alignment horizontal="center" vertical="center"/>
    </xf>
    <xf numFmtId="10" fontId="3" fillId="27" borderId="60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44" fontId="0" fillId="24" borderId="0" xfId="2" applyFont="1" applyFill="1"/>
    <xf numFmtId="172" fontId="5" fillId="2" borderId="2" xfId="0" applyNumberFormat="1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 wrapText="1"/>
    </xf>
    <xf numFmtId="14" fontId="30" fillId="2" borderId="0" xfId="0" applyNumberFormat="1" applyFont="1" applyFill="1" applyAlignment="1">
      <alignment horizontal="center" vertical="center"/>
    </xf>
    <xf numFmtId="14" fontId="31" fillId="2" borderId="0" xfId="0" applyNumberFormat="1" applyFont="1" applyFill="1" applyAlignment="1">
      <alignment horizontal="center" vertical="center" wrapText="1"/>
    </xf>
    <xf numFmtId="14" fontId="31" fillId="2" borderId="0" xfId="0" applyNumberFormat="1" applyFont="1" applyFill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/>
    </xf>
    <xf numFmtId="14" fontId="30" fillId="2" borderId="2" xfId="0" applyNumberFormat="1" applyFont="1" applyFill="1" applyBorder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166" fontId="10" fillId="2" borderId="0" xfId="3" applyNumberFormat="1" applyFont="1" applyFill="1" applyAlignment="1">
      <alignment vertical="center"/>
    </xf>
    <xf numFmtId="0" fontId="33" fillId="2" borderId="0" xfId="0" applyFont="1" applyFill="1" applyAlignment="1">
      <alignment horizontal="center" vertical="center"/>
    </xf>
    <xf numFmtId="44" fontId="34" fillId="0" borderId="0" xfId="2" applyFont="1"/>
    <xf numFmtId="44" fontId="29" fillId="0" borderId="0" xfId="2" applyFont="1" applyAlignment="1">
      <alignment horizontal="center" vertical="center"/>
    </xf>
    <xf numFmtId="166" fontId="30" fillId="2" borderId="2" xfId="0" applyNumberFormat="1" applyFont="1" applyFill="1" applyBorder="1" applyAlignment="1">
      <alignment horizontal="center" vertical="center"/>
    </xf>
    <xf numFmtId="10" fontId="35" fillId="2" borderId="1" xfId="3" applyNumberFormat="1" applyFont="1" applyFill="1" applyBorder="1" applyAlignment="1">
      <alignment horizontal="center" vertical="center" wrapText="1"/>
    </xf>
    <xf numFmtId="10" fontId="35" fillId="2" borderId="0" xfId="3" applyNumberFormat="1" applyFont="1" applyFill="1" applyAlignment="1">
      <alignment vertical="center"/>
    </xf>
    <xf numFmtId="10" fontId="36" fillId="2" borderId="0" xfId="3" applyNumberFormat="1" applyFont="1" applyFill="1" applyAlignment="1">
      <alignment vertical="center" wrapText="1"/>
    </xf>
    <xf numFmtId="10" fontId="36" fillId="2" borderId="0" xfId="3" applyNumberFormat="1" applyFont="1" applyFill="1" applyAlignment="1">
      <alignment vertical="center"/>
    </xf>
    <xf numFmtId="10" fontId="36" fillId="2" borderId="0" xfId="3" applyNumberFormat="1" applyFont="1" applyFill="1" applyAlignment="1">
      <alignment horizontal="center" vertical="center"/>
    </xf>
    <xf numFmtId="10" fontId="35" fillId="2" borderId="0" xfId="3" applyNumberFormat="1" applyFont="1" applyFill="1" applyAlignment="1">
      <alignment horizontal="center" vertical="center"/>
    </xf>
    <xf numFmtId="10" fontId="35" fillId="2" borderId="1" xfId="3" applyNumberFormat="1" applyFont="1" applyFill="1" applyBorder="1" applyAlignment="1">
      <alignment horizontal="center" vertical="center"/>
    </xf>
    <xf numFmtId="10" fontId="35" fillId="2" borderId="2" xfId="3" applyNumberFormat="1" applyFont="1" applyFill="1" applyBorder="1" applyAlignment="1">
      <alignment horizontal="center" vertical="center"/>
    </xf>
    <xf numFmtId="10" fontId="37" fillId="3" borderId="0" xfId="3" applyNumberFormat="1" applyFont="1" applyFill="1" applyAlignment="1">
      <alignment vertical="center"/>
    </xf>
    <xf numFmtId="172" fontId="5" fillId="2" borderId="1" xfId="0" applyNumberFormat="1" applyFont="1" applyFill="1" applyBorder="1" applyAlignment="1">
      <alignment horizontal="center" vertical="center"/>
    </xf>
    <xf numFmtId="14" fontId="35" fillId="2" borderId="1" xfId="0" applyNumberFormat="1" applyFont="1" applyFill="1" applyBorder="1" applyAlignment="1">
      <alignment horizontal="center" vertical="center"/>
    </xf>
    <xf numFmtId="14" fontId="35" fillId="2" borderId="0" xfId="0" applyNumberFormat="1" applyFont="1" applyFill="1" applyAlignment="1">
      <alignment horizontal="center" vertical="center"/>
    </xf>
    <xf numFmtId="14" fontId="35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0" fontId="38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14" fontId="39" fillId="3" borderId="0" xfId="0" applyNumberFormat="1" applyFont="1" applyFill="1" applyAlignment="1">
      <alignment horizontal="left" vertical="center"/>
    </xf>
    <xf numFmtId="10" fontId="40" fillId="3" borderId="0" xfId="3" applyNumberFormat="1" applyFont="1" applyFill="1" applyAlignment="1">
      <alignment horizontal="left" vertical="center"/>
    </xf>
    <xf numFmtId="0" fontId="40" fillId="3" borderId="0" xfId="0" applyFont="1" applyFill="1" applyAlignment="1">
      <alignment horizontal="left" vertical="center"/>
    </xf>
    <xf numFmtId="167" fontId="39" fillId="3" borderId="0" xfId="1" applyNumberFormat="1" applyFont="1" applyFill="1" applyAlignment="1">
      <alignment horizontal="left" vertical="center"/>
    </xf>
    <xf numFmtId="165" fontId="39" fillId="3" borderId="0" xfId="3" applyNumberFormat="1" applyFont="1" applyFill="1" applyAlignment="1">
      <alignment horizontal="left" vertical="center"/>
    </xf>
    <xf numFmtId="10" fontId="39" fillId="3" borderId="0" xfId="3" applyNumberFormat="1" applyFont="1" applyFill="1" applyAlignment="1">
      <alignment horizontal="left" vertical="center"/>
    </xf>
    <xf numFmtId="4" fontId="7" fillId="2" borderId="0" xfId="3" applyNumberFormat="1" applyFont="1" applyFill="1" applyAlignment="1">
      <alignment vertical="center"/>
    </xf>
    <xf numFmtId="4" fontId="7" fillId="2" borderId="2" xfId="3" applyNumberFormat="1" applyFont="1" applyFill="1" applyBorder="1" applyAlignment="1">
      <alignment vertical="center"/>
    </xf>
    <xf numFmtId="172" fontId="7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wrapText="1"/>
    </xf>
    <xf numFmtId="1" fontId="13" fillId="6" borderId="43" xfId="0" applyNumberFormat="1" applyFont="1" applyFill="1" applyBorder="1" applyAlignment="1">
      <alignment horizontal="center"/>
    </xf>
    <xf numFmtId="173" fontId="0" fillId="0" borderId="0" xfId="0" applyNumberFormat="1"/>
    <xf numFmtId="174" fontId="0" fillId="0" borderId="0" xfId="0" applyNumberFormat="1"/>
    <xf numFmtId="1" fontId="13" fillId="6" borderId="42" xfId="0" applyNumberFormat="1" applyFont="1" applyFill="1" applyBorder="1" applyAlignment="1">
      <alignment horizontal="center"/>
    </xf>
    <xf numFmtId="1" fontId="13" fillId="6" borderId="18" xfId="0" applyNumberFormat="1" applyFont="1" applyFill="1" applyBorder="1" applyAlignment="1">
      <alignment horizontal="center"/>
    </xf>
    <xf numFmtId="0" fontId="41" fillId="4" borderId="1" xfId="0" applyFont="1" applyFill="1" applyBorder="1" applyAlignment="1">
      <alignment vertical="center" wrapText="1"/>
    </xf>
    <xf numFmtId="10" fontId="0" fillId="10" borderId="0" xfId="3" applyNumberFormat="1" applyFont="1" applyFill="1" applyAlignment="1">
      <alignment horizontal="center" vertical="center"/>
    </xf>
    <xf numFmtId="10" fontId="0" fillId="10" borderId="0" xfId="5" applyNumberFormat="1" applyFont="1" applyFill="1" applyAlignment="1">
      <alignment horizontal="center" vertical="center"/>
    </xf>
    <xf numFmtId="43" fontId="27" fillId="0" borderId="0" xfId="1" applyFont="1"/>
    <xf numFmtId="164" fontId="27" fillId="0" borderId="0" xfId="1" applyNumberFormat="1" applyFont="1"/>
    <xf numFmtId="0" fontId="11" fillId="5" borderId="62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17" fontId="13" fillId="6" borderId="61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3" fillId="19" borderId="0" xfId="0" applyFont="1" applyFill="1" applyAlignment="1">
      <alignment horizontal="center" vertical="center"/>
    </xf>
    <xf numFmtId="0" fontId="24" fillId="0" borderId="0" xfId="0" applyFont="1"/>
    <xf numFmtId="0" fontId="25" fillId="0" borderId="63" xfId="0" applyFont="1" applyBorder="1" applyAlignment="1">
      <alignment horizontal="center" vertical="center"/>
    </xf>
    <xf numFmtId="0" fontId="0" fillId="0" borderId="50" xfId="0" applyBorder="1"/>
    <xf numFmtId="0" fontId="0" fillId="0" borderId="51" xfId="0" applyBorder="1"/>
  </cellXfs>
  <cellStyles count="8">
    <cellStyle name="Moeda" xfId="2" builtinId="4"/>
    <cellStyle name="Normal" xfId="0" builtinId="0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500744</xdr:colOff>
      <xdr:row>75</xdr:row>
      <xdr:rowOff>32658</xdr:rowOff>
    </xdr:from>
    <xdr:to>
      <xdr:col>11</xdr:col>
      <xdr:colOff>910915</xdr:colOff>
      <xdr:row>96</xdr:row>
      <xdr:rowOff>58726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1" y="14162315"/>
          <a:ext cx="6831654" cy="390083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BQ590"/>
  <sheetViews>
    <sheetView tabSelected="1" zoomScale="91" zoomScaleNormal="91" workbookViewId="0">
      <pane xSplit="1" ySplit="8" topLeftCell="AG320" activePane="bottomRight" state="frozen"/>
      <selection pane="topRight" activeCell="B1" sqref="B1"/>
      <selection pane="bottomLeft" activeCell="A8" sqref="A8"/>
      <selection pane="bottomRight" activeCell="AP321" sqref="AP321"/>
    </sheetView>
  </sheetViews>
  <sheetFormatPr defaultColWidth="9.109375" defaultRowHeight="14.4" outlineLevelRow="2" x14ac:dyDescent="0.3"/>
  <cols>
    <col min="1" max="1" width="43.88671875" style="225" customWidth="1"/>
    <col min="2" max="2" width="3.109375" style="2" customWidth="1"/>
    <col min="3" max="3" width="35.6640625" style="3" hidden="1" customWidth="1"/>
    <col min="4" max="4" width="56" style="4" hidden="1" customWidth="1"/>
    <col min="5" max="5" width="21.33203125" style="4" hidden="1" customWidth="1"/>
    <col min="6" max="6" width="3.88671875" style="2" hidden="1" customWidth="1" collapsed="1"/>
    <col min="7" max="7" width="4" style="2" hidden="1" customWidth="1"/>
    <col min="8" max="9" width="14.44140625" style="2" bestFit="1" customWidth="1"/>
    <col min="10" max="10" width="13.77734375" style="2" bestFit="1" customWidth="1"/>
    <col min="11" max="12" width="14.44140625" style="2" bestFit="1" customWidth="1"/>
    <col min="13" max="13" width="13.77734375" style="2" bestFit="1" customWidth="1"/>
    <col min="14" max="14" width="14.44140625" style="2" bestFit="1" customWidth="1"/>
    <col min="15" max="15" width="13.77734375" style="2" bestFit="1" customWidth="1"/>
    <col min="16" max="16" width="15.44140625" style="2" customWidth="1"/>
    <col min="17" max="17" width="14.44140625" style="2" bestFit="1" customWidth="1"/>
    <col min="18" max="18" width="13.77734375" style="2" bestFit="1" customWidth="1"/>
    <col min="19" max="19" width="17.21875" style="2" customWidth="1"/>
    <col min="20" max="20" width="14.44140625" style="2" bestFit="1" customWidth="1"/>
    <col min="21" max="22" width="13.77734375" style="2" bestFit="1" customWidth="1"/>
    <col min="23" max="23" width="14.44140625" style="2" customWidth="1"/>
    <col min="24" max="24" width="13.77734375" style="2" customWidth="1"/>
    <col min="25" max="25" width="14.33203125" style="2" customWidth="1"/>
    <col min="26" max="26" width="14.44140625" style="2" customWidth="1"/>
    <col min="27" max="27" width="13.77734375" style="2" customWidth="1"/>
    <col min="28" max="28" width="11.77734375" style="2" customWidth="1"/>
    <col min="29" max="29" width="14.44140625" style="2" customWidth="1"/>
    <col min="30" max="30" width="13.77734375" style="2" customWidth="1"/>
    <col min="31" max="31" width="9.77734375" style="2" customWidth="1"/>
    <col min="32" max="32" width="14.44140625" style="2" customWidth="1"/>
    <col min="33" max="33" width="13.77734375" style="2" customWidth="1"/>
    <col min="34" max="34" width="13.109375" style="2" customWidth="1"/>
    <col min="35" max="35" width="14.44140625" style="2" customWidth="1"/>
    <col min="36" max="36" width="13.77734375" style="2" customWidth="1"/>
    <col min="37" max="37" width="12.88671875" style="2" customWidth="1"/>
    <col min="38" max="38" width="14.44140625" style="2" customWidth="1"/>
    <col min="39" max="39" width="13.77734375" style="2" customWidth="1"/>
    <col min="40" max="40" width="9.77734375" style="2" customWidth="1"/>
    <col min="41" max="41" width="14.44140625" style="2" customWidth="1"/>
    <col min="42" max="42" width="13.77734375" style="2" customWidth="1"/>
    <col min="43" max="43" width="9.77734375" style="2" customWidth="1"/>
    <col min="44" max="46" width="14.77734375" style="2" bestFit="1" customWidth="1"/>
    <col min="47" max="48" width="15.109375" style="2" customWidth="1"/>
    <col min="49" max="50" width="14.77734375" style="2" customWidth="1"/>
    <col min="51" max="51" width="16.5546875" style="2" customWidth="1"/>
    <col min="52" max="53" width="14.77734375" style="2" customWidth="1"/>
    <col min="54" max="54" width="16.5546875" style="2" customWidth="1"/>
    <col min="55" max="56" width="14.77734375" style="2" customWidth="1"/>
    <col min="57" max="57" width="16.5546875" style="2" customWidth="1"/>
    <col min="58" max="58" width="9.77734375" style="2" customWidth="1"/>
    <col min="59" max="59" width="14.77734375" style="2" customWidth="1"/>
    <col min="60" max="60" width="16.5546875" style="2" customWidth="1"/>
    <col min="61" max="61" width="9.77734375" style="2" customWidth="1"/>
    <col min="62" max="62" width="15.44140625" style="451" customWidth="1"/>
    <col min="63" max="66" width="15.44140625" style="9" customWidth="1"/>
    <col min="67" max="67" width="9.109375" style="9" customWidth="1"/>
    <col min="68" max="71" width="15.44140625" style="9" customWidth="1"/>
    <col min="72" max="72" width="10.109375" style="9" customWidth="1"/>
    <col min="73" max="74" width="15.44140625" style="9" customWidth="1"/>
    <col min="75" max="75" width="11.44140625" style="9" customWidth="1"/>
    <col min="76" max="76" width="9.6640625" style="9" customWidth="1"/>
    <col min="77" max="77" width="15.44140625" style="9" customWidth="1"/>
    <col min="78" max="78" width="9.109375" style="9" customWidth="1"/>
    <col min="79" max="80" width="15.44140625" style="9" customWidth="1"/>
    <col min="81" max="81" width="9.6640625" style="9" customWidth="1"/>
    <col min="82" max="82" width="10.109375" style="9" customWidth="1"/>
    <col min="83" max="83" width="15.44140625" style="9" customWidth="1"/>
    <col min="84" max="84" width="9.109375" style="9" customWidth="1"/>
    <col min="85" max="85" width="16.109375" style="9" customWidth="1"/>
    <col min="86" max="86" width="15.44140625" style="9" customWidth="1"/>
    <col min="87" max="87" width="9.109375" style="9" customWidth="1"/>
    <col min="88" max="88" width="9.6640625" style="9" customWidth="1"/>
    <col min="89" max="89" width="15.44140625" style="9" customWidth="1"/>
    <col min="90" max="90" width="12.6640625" style="9" customWidth="1"/>
    <col min="91" max="91" width="11.44140625" style="9" customWidth="1"/>
    <col min="92" max="92" width="9.33203125" style="9" customWidth="1"/>
    <col min="93" max="93" width="11.44140625" style="9" customWidth="1"/>
    <col min="94" max="94" width="14.109375" style="9" customWidth="1"/>
    <col min="95" max="97" width="12.6640625" style="9" customWidth="1"/>
    <col min="98" max="99" width="11.44140625" style="9" customWidth="1"/>
    <col min="100" max="100" width="9.109375" style="9" customWidth="1"/>
    <col min="101" max="101" width="8.33203125" style="9" customWidth="1"/>
    <col min="102" max="102" width="9.6640625" style="9" customWidth="1"/>
    <col min="103" max="103" width="11.44140625" style="9" customWidth="1"/>
    <col min="104" max="105" width="12.6640625" style="9" customWidth="1"/>
    <col min="106" max="106" width="11.44140625" style="9" customWidth="1"/>
    <col min="107" max="107" width="9.6640625" style="9" customWidth="1"/>
    <col min="108" max="109" width="11.44140625" style="9" customWidth="1"/>
    <col min="110" max="110" width="12.6640625" style="9" customWidth="1"/>
    <col min="111" max="112" width="11.44140625" style="9" customWidth="1"/>
    <col min="113" max="115" width="10" style="9" customWidth="1"/>
    <col min="116" max="116" width="9" style="9" customWidth="1"/>
    <col min="117" max="117" width="9.44140625" style="9" customWidth="1"/>
    <col min="118" max="124" width="15.44140625" style="9" customWidth="1"/>
    <col min="125" max="125" width="10.33203125" style="9" customWidth="1"/>
    <col min="126" max="129" width="15.44140625" style="9" customWidth="1"/>
    <col min="130" max="130" width="10.109375" style="9" customWidth="1"/>
    <col min="131" max="131" width="10.33203125" style="9" customWidth="1"/>
    <col min="132" max="132" width="15.44140625" style="9" customWidth="1"/>
    <col min="133" max="133" width="12.6640625" style="9" customWidth="1"/>
    <col min="134" max="134" width="15.44140625" style="9" customWidth="1"/>
    <col min="135" max="135" width="12.6640625" style="9" customWidth="1"/>
    <col min="136" max="136" width="11.44140625" style="9" customWidth="1"/>
    <col min="137" max="138" width="9.6640625" style="9" customWidth="1"/>
    <col min="139" max="139" width="10.109375" style="9" customWidth="1"/>
    <col min="140" max="140" width="12.6640625" style="9" customWidth="1"/>
    <col min="141" max="141" width="11.44140625" style="9" customWidth="1"/>
    <col min="142" max="142" width="10.33203125" style="9" customWidth="1"/>
    <col min="143" max="143" width="12.6640625" style="9" customWidth="1"/>
    <col min="144" max="144" width="9.109375" style="9" customWidth="1"/>
    <col min="145" max="145" width="15.44140625" style="9" customWidth="1"/>
    <col min="146" max="146" width="9.109375" style="9" customWidth="1"/>
    <col min="147" max="148" width="14" style="9" customWidth="1"/>
    <col min="149" max="149" width="10" style="9" customWidth="1"/>
    <col min="150" max="150" width="11.44140625" style="9" customWidth="1"/>
    <col min="151" max="151" width="9.6640625" style="9" customWidth="1"/>
    <col min="152" max="152" width="9" style="9" customWidth="1"/>
    <col min="153" max="153" width="15.44140625" style="9" customWidth="1"/>
    <col min="154" max="154" width="9.109375" style="9" customWidth="1"/>
    <col min="155" max="155" width="14.33203125" style="9" customWidth="1"/>
    <col min="156" max="159" width="12.6640625" style="9" customWidth="1"/>
    <col min="160" max="160" width="11.44140625" style="9" customWidth="1"/>
    <col min="161" max="161" width="9.6640625" style="9" customWidth="1"/>
    <col min="162" max="162" width="12.6640625" style="9" customWidth="1"/>
    <col min="163" max="164" width="9.6640625" style="9" customWidth="1"/>
    <col min="165" max="166" width="11.44140625" style="9" customWidth="1"/>
    <col min="167" max="167" width="10" style="9" customWidth="1"/>
    <col min="168" max="168" width="9.6640625" style="9" customWidth="1"/>
    <col min="169" max="169" width="9.33203125" style="9" customWidth="1"/>
    <col min="170" max="171" width="2.44140625" style="9" customWidth="1"/>
    <col min="172" max="172" width="15.33203125" style="9" customWidth="1"/>
    <col min="173" max="173" width="9.109375" style="9" customWidth="1"/>
    <col min="174" max="174" width="11.44140625" style="9" customWidth="1"/>
    <col min="175" max="176" width="9.6640625" style="9" customWidth="1"/>
    <col min="177" max="177" width="11.44140625" style="9" customWidth="1"/>
    <col min="178" max="178" width="9.6640625" style="9" customWidth="1"/>
    <col min="179" max="179" width="15.44140625" style="9" customWidth="1"/>
    <col min="180" max="180" width="9.109375" style="9" customWidth="1"/>
    <col min="181" max="181" width="15.44140625" style="9" customWidth="1"/>
    <col min="182" max="182" width="11.44140625" style="9" customWidth="1"/>
    <col min="183" max="183" width="15.44140625" style="9" customWidth="1"/>
    <col min="184" max="184" width="6.33203125" style="9" customWidth="1"/>
    <col min="185" max="185" width="15.44140625" style="9" customWidth="1"/>
    <col min="186" max="186" width="9.109375" style="9" customWidth="1"/>
    <col min="187" max="187" width="15.44140625" style="9" customWidth="1"/>
    <col min="188" max="188" width="10.33203125" style="9" customWidth="1"/>
    <col min="189" max="189" width="9.6640625" style="9" customWidth="1"/>
    <col min="190" max="190" width="9.33203125" style="9" customWidth="1"/>
    <col min="191" max="191" width="9.6640625" style="9" customWidth="1"/>
    <col min="192" max="192" width="15.44140625" style="9" customWidth="1"/>
    <col min="193" max="193" width="10.33203125" style="9" customWidth="1"/>
    <col min="194" max="194" width="6.33203125" style="9" customWidth="1"/>
    <col min="195" max="195" width="15.44140625" style="9" customWidth="1"/>
    <col min="196" max="196" width="9.109375" style="9" customWidth="1"/>
    <col min="197" max="197" width="15.44140625" style="9" customWidth="1"/>
    <col min="198" max="198" width="11.44140625" style="9" customWidth="1"/>
    <col min="199" max="199" width="10.33203125" style="9" customWidth="1"/>
    <col min="200" max="200" width="11.44140625" style="9" customWidth="1"/>
    <col min="201" max="201" width="15.44140625" style="9" customWidth="1"/>
    <col min="202" max="202" width="6.33203125" style="9" customWidth="1"/>
    <col min="203" max="203" width="15.44140625" style="9" customWidth="1"/>
    <col min="204" max="204" width="9.109375" style="9" customWidth="1"/>
    <col min="205" max="206" width="11.44140625" style="9" customWidth="1"/>
    <col min="207" max="207" width="9.6640625" style="9" customWidth="1"/>
    <col min="208" max="208" width="15.44140625" style="9" customWidth="1"/>
    <col min="209" max="209" width="9.109375" style="9" customWidth="1"/>
    <col min="210" max="211" width="15.44140625" style="9" customWidth="1"/>
    <col min="212" max="212" width="9.109375" style="9" customWidth="1"/>
    <col min="213" max="213" width="15.44140625" style="9" customWidth="1"/>
    <col min="214" max="214" width="9.109375" style="9" customWidth="1"/>
    <col min="215" max="215" width="15.44140625" style="9" customWidth="1"/>
    <col min="216" max="216" width="10.33203125" style="9" customWidth="1"/>
    <col min="217" max="217" width="9.6640625" style="9" customWidth="1"/>
    <col min="218" max="219" width="15.44140625" style="9" customWidth="1"/>
    <col min="220" max="220" width="9.109375" style="9" customWidth="1"/>
    <col min="221" max="222" width="15.44140625" style="9" customWidth="1"/>
    <col min="223" max="223" width="9.109375" style="9" customWidth="1"/>
    <col min="224" max="225" width="15.44140625" style="9" customWidth="1"/>
    <col min="226" max="226" width="9.109375" style="9" customWidth="1"/>
    <col min="227" max="227" width="9.33203125" style="9" customWidth="1"/>
    <col min="228" max="228" width="9.109375" style="9" customWidth="1"/>
    <col min="229" max="229" width="14.109375" style="9" customWidth="1"/>
    <col min="230" max="230" width="9.109375" style="9" customWidth="1"/>
    <col min="231" max="231" width="9.33203125" style="9" customWidth="1"/>
    <col min="232" max="232" width="9.109375" style="9" customWidth="1"/>
    <col min="233" max="233" width="14.109375" style="9" customWidth="1"/>
    <col min="234" max="234" width="9.109375" style="9" customWidth="1"/>
    <col min="235" max="235" width="12.6640625" style="9" customWidth="1"/>
    <col min="236" max="236" width="9.33203125" style="9" customWidth="1"/>
    <col min="237" max="239" width="12.6640625" style="9" customWidth="1"/>
    <col min="240" max="249" width="9.109375" style="9" customWidth="1"/>
    <col min="250" max="16384" width="9.109375" style="9"/>
  </cols>
  <sheetData>
    <row r="1" spans="1:69" s="7" customFormat="1" ht="26.7" hidden="1" customHeight="1" x14ac:dyDescent="0.3">
      <c r="A1" s="1"/>
      <c r="B1" s="2"/>
      <c r="C1" s="3"/>
      <c r="D1" s="4"/>
      <c r="E1" s="4"/>
      <c r="F1" s="2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450"/>
    </row>
    <row r="2" spans="1:69" s="7" customFormat="1" ht="26.7" hidden="1" customHeight="1" x14ac:dyDescent="0.3">
      <c r="A2" s="1"/>
      <c r="B2" s="2"/>
      <c r="C2" s="3"/>
      <c r="D2" s="4"/>
      <c r="E2" s="4"/>
      <c r="F2" s="2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450"/>
    </row>
    <row r="3" spans="1:69" ht="28.2" customHeight="1" thickBot="1" x14ac:dyDescent="0.35">
      <c r="A3" s="469" t="s">
        <v>0</v>
      </c>
      <c r="H3" s="8">
        <f>IFERROR(J8/H8,0)</f>
        <v>0</v>
      </c>
      <c r="I3" s="8"/>
      <c r="J3" s="8">
        <f>IFERROR(J8/I8,0)</f>
        <v>0</v>
      </c>
      <c r="K3" s="8">
        <f>IFERROR(M8/K8,0)</f>
        <v>0</v>
      </c>
      <c r="L3" s="8"/>
      <c r="M3" s="8">
        <f>IFERROR(M8/L8,0)</f>
        <v>0</v>
      </c>
      <c r="N3" s="8">
        <f>IFERROR(P8/N8,0)</f>
        <v>0</v>
      </c>
      <c r="O3" s="8"/>
      <c r="P3" s="8">
        <f>IFERROR(P8/O8,0)</f>
        <v>0</v>
      </c>
      <c r="Q3" s="8">
        <f>IFERROR(S8/Q8,0)</f>
        <v>0</v>
      </c>
      <c r="R3" s="8"/>
      <c r="S3" s="8">
        <f>IFERROR(S8/R8,0)</f>
        <v>0</v>
      </c>
      <c r="T3" s="8">
        <f>IFERROR(V8/T8,0)</f>
        <v>0</v>
      </c>
      <c r="U3" s="8"/>
      <c r="V3" s="8">
        <f>IFERROR(V8/U8,0)</f>
        <v>0</v>
      </c>
      <c r="W3" s="8">
        <f>IFERROR(Y8/W8,0)</f>
        <v>0</v>
      </c>
      <c r="X3" s="8"/>
      <c r="Y3" s="8">
        <f>IFERROR(Y8/X8,0)</f>
        <v>0</v>
      </c>
      <c r="Z3" s="8">
        <f>IFERROR(AB8/Z8,0)</f>
        <v>0</v>
      </c>
      <c r="AA3" s="8"/>
      <c r="AB3" s="8">
        <f>IFERROR(AB8/AA8,0)</f>
        <v>0</v>
      </c>
      <c r="AC3" s="8">
        <f>IFERROR(AE8/AC8,0)</f>
        <v>0</v>
      </c>
      <c r="AD3" s="8"/>
      <c r="AE3" s="8">
        <f>IFERROR(AE8/AD8,0)</f>
        <v>0</v>
      </c>
      <c r="AF3" s="8">
        <f>IFERROR(AH8/AF8,0)</f>
        <v>0</v>
      </c>
      <c r="AG3" s="8"/>
      <c r="AH3" s="8">
        <f>IFERROR(AH8/AG8,0)</f>
        <v>0</v>
      </c>
      <c r="AI3" s="8">
        <f>IFERROR(AK8/AI8,0)</f>
        <v>0</v>
      </c>
      <c r="AJ3" s="8"/>
      <c r="AK3" s="8">
        <f>IFERROR(AK8/AJ8,0)</f>
        <v>0</v>
      </c>
      <c r="AL3" s="8">
        <f>IFERROR(AN8/AL8,0)</f>
        <v>0</v>
      </c>
      <c r="AM3" s="8"/>
      <c r="AN3" s="8">
        <f>IFERROR(AN8/AM8,0)</f>
        <v>0</v>
      </c>
      <c r="AO3" s="8">
        <f>IFERROR(AQ8/AO8,0)</f>
        <v>0</v>
      </c>
      <c r="AP3" s="8"/>
      <c r="AQ3" s="8">
        <f>IFERROR(AQ8/AP8,0)</f>
        <v>0</v>
      </c>
      <c r="AR3" s="8">
        <f ca="1">IFERROR(AT8/AR8,0)</f>
        <v>0</v>
      </c>
      <c r="AS3" s="8"/>
      <c r="AT3" s="8">
        <f ca="1">IFERROR(AT8/AS8,0)</f>
        <v>7.1124714258739882E-2</v>
      </c>
      <c r="AU3" s="8">
        <f>IFERROR(AW8/AU8,0)</f>
        <v>0</v>
      </c>
      <c r="AV3" s="8"/>
      <c r="AW3" s="8">
        <f>IFERROR(AW8/AV8,0)</f>
        <v>1.4003695175207479E-2</v>
      </c>
      <c r="AX3" s="8">
        <f>IFERROR(AZ8/AX8,0)</f>
        <v>0</v>
      </c>
      <c r="AY3" s="8"/>
      <c r="AZ3" s="8">
        <f>IFERROR(AZ8/AY8,0)</f>
        <v>0</v>
      </c>
      <c r="BA3" s="8">
        <f>IFERROR(BC8/BA8,0)</f>
        <v>0</v>
      </c>
      <c r="BB3" s="8"/>
      <c r="BC3" s="8">
        <f>IFERROR(BC8/BB8,0)</f>
        <v>0</v>
      </c>
      <c r="BD3" s="8">
        <f>IFERROR(BF8/BD8,0)</f>
        <v>0</v>
      </c>
      <c r="BE3" s="8"/>
      <c r="BF3" s="8">
        <f>IFERROR(BF8/BE8,0)</f>
        <v>3.6125353754027874E-2</v>
      </c>
      <c r="BG3" s="8">
        <f>IFERROR(BI8/BG8,0)</f>
        <v>0</v>
      </c>
      <c r="BH3" s="8"/>
      <c r="BI3" s="8">
        <f>IFERROR(BI8/BH8,0)</f>
        <v>0</v>
      </c>
    </row>
    <row r="4" spans="1:69" s="13" customFormat="1" ht="18.600000000000001" customHeight="1" thickBot="1" x14ac:dyDescent="0.4">
      <c r="A4" s="10"/>
      <c r="B4" s="5"/>
      <c r="C4" s="11"/>
      <c r="D4" s="12"/>
      <c r="E4" s="12"/>
      <c r="F4" s="5"/>
      <c r="G4" s="5"/>
      <c r="H4" s="479">
        <v>46023</v>
      </c>
      <c r="I4" s="480"/>
      <c r="J4" s="481"/>
      <c r="K4" s="479">
        <v>46054</v>
      </c>
      <c r="L4" s="480"/>
      <c r="M4" s="481"/>
      <c r="N4" s="479">
        <v>46082</v>
      </c>
      <c r="O4" s="480"/>
      <c r="P4" s="481"/>
      <c r="Q4" s="479">
        <v>46113</v>
      </c>
      <c r="R4" s="480"/>
      <c r="S4" s="481"/>
      <c r="T4" s="479">
        <v>46143</v>
      </c>
      <c r="U4" s="480"/>
      <c r="V4" s="481"/>
      <c r="W4" s="479">
        <v>46174</v>
      </c>
      <c r="X4" s="480"/>
      <c r="Y4" s="481"/>
      <c r="Z4" s="479">
        <v>46204</v>
      </c>
      <c r="AA4" s="480"/>
      <c r="AB4" s="481"/>
      <c r="AC4" s="479">
        <v>46235</v>
      </c>
      <c r="AD4" s="480"/>
      <c r="AE4" s="481"/>
      <c r="AF4" s="479">
        <v>46266</v>
      </c>
      <c r="AG4" s="480"/>
      <c r="AH4" s="481"/>
      <c r="AI4" s="479">
        <v>46296</v>
      </c>
      <c r="AJ4" s="480"/>
      <c r="AK4" s="481"/>
      <c r="AL4" s="479">
        <v>46327</v>
      </c>
      <c r="AM4" s="480"/>
      <c r="AN4" s="481"/>
      <c r="AO4" s="479">
        <v>46357</v>
      </c>
      <c r="AP4" s="480"/>
      <c r="AQ4" s="481"/>
      <c r="AR4" s="474" t="s">
        <v>1</v>
      </c>
      <c r="AS4" s="475"/>
      <c r="AT4" s="476"/>
      <c r="AU4" s="474" t="s">
        <v>2</v>
      </c>
      <c r="AV4" s="475"/>
      <c r="AW4" s="476"/>
      <c r="AX4" s="474" t="s">
        <v>3</v>
      </c>
      <c r="AY4" s="475"/>
      <c r="AZ4" s="476"/>
      <c r="BA4" s="474" t="s">
        <v>4</v>
      </c>
      <c r="BB4" s="475"/>
      <c r="BC4" s="476"/>
      <c r="BD4" s="474" t="s">
        <v>5</v>
      </c>
      <c r="BE4" s="475"/>
      <c r="BF4" s="476"/>
      <c r="BG4" s="474" t="s">
        <v>6</v>
      </c>
      <c r="BH4" s="475"/>
      <c r="BI4" s="476"/>
      <c r="BJ4" s="451"/>
    </row>
    <row r="5" spans="1:69" s="13" customFormat="1" ht="18.600000000000001" hidden="1" customHeight="1" thickBot="1" x14ac:dyDescent="0.4">
      <c r="A5" s="88"/>
      <c r="B5" s="5"/>
      <c r="C5" s="11"/>
      <c r="D5" s="12"/>
      <c r="E5" s="12"/>
      <c r="F5" s="5"/>
      <c r="G5" s="5"/>
      <c r="H5" s="467">
        <v>1</v>
      </c>
      <c r="I5" s="468">
        <v>1</v>
      </c>
      <c r="J5" s="464">
        <f>MONTH(H4)</f>
        <v>1</v>
      </c>
      <c r="K5" s="467">
        <v>2</v>
      </c>
      <c r="L5" s="468">
        <v>2</v>
      </c>
      <c r="M5" s="464">
        <f>MONTH(K4)</f>
        <v>2</v>
      </c>
      <c r="N5" s="467">
        <v>3</v>
      </c>
      <c r="O5" s="468">
        <v>3</v>
      </c>
      <c r="P5" s="464">
        <f>MONTH(N4)</f>
        <v>3</v>
      </c>
      <c r="Q5" s="467">
        <v>4</v>
      </c>
      <c r="R5" s="468">
        <v>4</v>
      </c>
      <c r="S5" s="464">
        <f>MONTH(Q4)</f>
        <v>4</v>
      </c>
      <c r="T5" s="467">
        <v>5</v>
      </c>
      <c r="U5" s="468">
        <v>5</v>
      </c>
      <c r="V5" s="464">
        <f>MONTH(T4)</f>
        <v>5</v>
      </c>
      <c r="W5" s="467">
        <v>6</v>
      </c>
      <c r="X5" s="468">
        <v>6</v>
      </c>
      <c r="Y5" s="464">
        <f>MONTH(W4)</f>
        <v>6</v>
      </c>
      <c r="Z5" s="467">
        <v>7</v>
      </c>
      <c r="AA5" s="468">
        <v>7</v>
      </c>
      <c r="AB5" s="464">
        <f>MONTH(Z4)</f>
        <v>7</v>
      </c>
      <c r="AC5" s="467">
        <v>8</v>
      </c>
      <c r="AD5" s="468">
        <v>8</v>
      </c>
      <c r="AE5" s="464">
        <f>MONTH(AC4)</f>
        <v>8</v>
      </c>
      <c r="AF5" s="467">
        <v>9</v>
      </c>
      <c r="AG5" s="468">
        <v>9</v>
      </c>
      <c r="AH5" s="464">
        <f>MONTH(AF4)</f>
        <v>9</v>
      </c>
      <c r="AI5" s="467">
        <v>10</v>
      </c>
      <c r="AJ5" s="468">
        <v>10</v>
      </c>
      <c r="AK5" s="464">
        <f>MONTH(AI4)</f>
        <v>10</v>
      </c>
      <c r="AL5" s="467">
        <v>11</v>
      </c>
      <c r="AM5" s="468">
        <v>11</v>
      </c>
      <c r="AN5" s="464">
        <f>MONTH(AL4)</f>
        <v>11</v>
      </c>
      <c r="AO5" s="467">
        <v>12</v>
      </c>
      <c r="AP5" s="468">
        <v>12</v>
      </c>
      <c r="AQ5" s="464">
        <f>MONTH(AO4)</f>
        <v>12</v>
      </c>
      <c r="AR5" s="463"/>
      <c r="AS5" s="463"/>
      <c r="AT5" s="463"/>
      <c r="AU5" s="463"/>
      <c r="AV5" s="463"/>
      <c r="AW5" s="463"/>
      <c r="AX5" s="463"/>
      <c r="AY5" s="463"/>
      <c r="AZ5" s="463"/>
      <c r="BA5" s="463"/>
      <c r="BB5" s="463"/>
      <c r="BC5" s="463"/>
      <c r="BD5" s="463"/>
      <c r="BE5" s="463"/>
      <c r="BF5" s="463"/>
      <c r="BG5" s="463"/>
      <c r="BH5" s="463"/>
      <c r="BI5" s="463"/>
      <c r="BJ5" s="451"/>
    </row>
    <row r="6" spans="1:69" ht="18.600000000000001" customHeight="1" thickBot="1" x14ac:dyDescent="0.35">
      <c r="A6" s="14"/>
      <c r="E6" s="15"/>
      <c r="F6" s="16"/>
      <c r="H6" s="234" t="s">
        <v>7</v>
      </c>
      <c r="I6" s="227" t="s">
        <v>8</v>
      </c>
      <c r="J6" s="235" t="s">
        <v>9</v>
      </c>
      <c r="K6" s="234" t="s">
        <v>7</v>
      </c>
      <c r="L6" s="227" t="s">
        <v>8</v>
      </c>
      <c r="M6" s="235" t="s">
        <v>9</v>
      </c>
      <c r="N6" s="234" t="s">
        <v>7</v>
      </c>
      <c r="O6" s="227" t="s">
        <v>8</v>
      </c>
      <c r="P6" s="235" t="s">
        <v>9</v>
      </c>
      <c r="Q6" s="234" t="s">
        <v>7</v>
      </c>
      <c r="R6" s="227" t="s">
        <v>8</v>
      </c>
      <c r="S6" s="235" t="s">
        <v>9</v>
      </c>
      <c r="T6" s="234" t="s">
        <v>7</v>
      </c>
      <c r="U6" s="227" t="s">
        <v>8</v>
      </c>
      <c r="V6" s="235" t="s">
        <v>9</v>
      </c>
      <c r="W6" s="234" t="s">
        <v>7</v>
      </c>
      <c r="X6" s="227" t="s">
        <v>8</v>
      </c>
      <c r="Y6" s="235" t="s">
        <v>9</v>
      </c>
      <c r="Z6" s="234" t="s">
        <v>7</v>
      </c>
      <c r="AA6" s="227" t="s">
        <v>8</v>
      </c>
      <c r="AB6" s="235" t="s">
        <v>9</v>
      </c>
      <c r="AC6" s="234" t="s">
        <v>7</v>
      </c>
      <c r="AD6" s="227" t="s">
        <v>8</v>
      </c>
      <c r="AE6" s="235" t="s">
        <v>9</v>
      </c>
      <c r="AF6" s="234" t="s">
        <v>7</v>
      </c>
      <c r="AG6" s="227" t="s">
        <v>8</v>
      </c>
      <c r="AH6" s="235" t="s">
        <v>9</v>
      </c>
      <c r="AI6" s="234" t="s">
        <v>7</v>
      </c>
      <c r="AJ6" s="227" t="s">
        <v>8</v>
      </c>
      <c r="AK6" s="235" t="s">
        <v>9</v>
      </c>
      <c r="AL6" s="234" t="s">
        <v>7</v>
      </c>
      <c r="AM6" s="227" t="s">
        <v>8</v>
      </c>
      <c r="AN6" s="235" t="s">
        <v>9</v>
      </c>
      <c r="AO6" s="234" t="s">
        <v>7</v>
      </c>
      <c r="AP6" s="227" t="s">
        <v>8</v>
      </c>
      <c r="AQ6" s="235" t="s">
        <v>9</v>
      </c>
      <c r="AR6" s="234">
        <v>2025</v>
      </c>
      <c r="AS6" s="227" t="s">
        <v>8</v>
      </c>
      <c r="AT6" s="235" t="s">
        <v>10</v>
      </c>
      <c r="AU6" s="234">
        <v>2025</v>
      </c>
      <c r="AV6" s="227" t="s">
        <v>8</v>
      </c>
      <c r="AW6" s="235" t="s">
        <v>10</v>
      </c>
      <c r="AX6" s="234" t="s">
        <v>7</v>
      </c>
      <c r="AY6" s="227" t="s">
        <v>8</v>
      </c>
      <c r="AZ6" s="235" t="s">
        <v>9</v>
      </c>
      <c r="BA6" s="234" t="s">
        <v>7</v>
      </c>
      <c r="BB6" s="227" t="s">
        <v>8</v>
      </c>
      <c r="BC6" s="235" t="s">
        <v>9</v>
      </c>
      <c r="BD6" s="234" t="s">
        <v>7</v>
      </c>
      <c r="BE6" s="227" t="s">
        <v>8</v>
      </c>
      <c r="BF6" s="235" t="s">
        <v>9</v>
      </c>
      <c r="BG6" s="234" t="s">
        <v>7</v>
      </c>
      <c r="BH6" s="227" t="s">
        <v>8</v>
      </c>
      <c r="BI6" s="235" t="s">
        <v>9</v>
      </c>
    </row>
    <row r="7" spans="1:69" s="430" customFormat="1" ht="18" hidden="1" customHeight="1" x14ac:dyDescent="0.3">
      <c r="A7" s="424"/>
      <c r="B7" s="425"/>
      <c r="C7" s="426"/>
      <c r="D7" s="427"/>
      <c r="E7" s="427"/>
      <c r="F7" s="425"/>
      <c r="G7" s="425"/>
      <c r="H7" s="428">
        <v>45658</v>
      </c>
      <c r="I7" s="425">
        <v>46023</v>
      </c>
      <c r="J7" s="429"/>
      <c r="K7" s="428">
        <v>45689</v>
      </c>
      <c r="L7" s="425">
        <v>46054</v>
      </c>
      <c r="M7" s="435"/>
      <c r="N7" s="428">
        <v>45717</v>
      </c>
      <c r="O7" s="425"/>
      <c r="P7" s="429"/>
      <c r="Q7" s="428">
        <v>45748</v>
      </c>
      <c r="R7" s="425"/>
      <c r="S7" s="429"/>
      <c r="T7" s="428">
        <v>45778</v>
      </c>
      <c r="U7" s="425"/>
      <c r="V7" s="429"/>
      <c r="W7" s="428">
        <v>45809</v>
      </c>
      <c r="X7" s="425"/>
      <c r="Y7" s="429"/>
      <c r="Z7" s="428">
        <v>45839</v>
      </c>
      <c r="AA7" s="425"/>
      <c r="AB7" s="429"/>
      <c r="AC7" s="428">
        <v>45870</v>
      </c>
      <c r="AD7" s="425"/>
      <c r="AE7" s="429"/>
      <c r="AF7" s="428">
        <v>45901</v>
      </c>
      <c r="AG7" s="425"/>
      <c r="AH7" s="429"/>
      <c r="AI7" s="428">
        <v>45931</v>
      </c>
      <c r="AJ7" s="425"/>
      <c r="AK7" s="429"/>
      <c r="AL7" s="428">
        <v>45962</v>
      </c>
      <c r="AM7" s="425"/>
      <c r="AN7" s="429"/>
      <c r="AO7" s="428">
        <v>45992</v>
      </c>
      <c r="AP7" s="425"/>
      <c r="AQ7" s="429"/>
      <c r="AR7" s="446"/>
      <c r="AS7" s="447"/>
      <c r="AT7" s="448"/>
      <c r="AU7" s="428"/>
      <c r="AV7" s="425"/>
      <c r="AW7" s="429"/>
      <c r="AX7" s="428"/>
      <c r="AY7" s="425"/>
      <c r="AZ7" s="429"/>
      <c r="BA7" s="428"/>
      <c r="BB7" s="425"/>
      <c r="BC7" s="429"/>
      <c r="BD7" s="428"/>
      <c r="BE7" s="425"/>
      <c r="BF7" s="429"/>
      <c r="BG7" s="428"/>
      <c r="BH7" s="425"/>
      <c r="BI7" s="429"/>
      <c r="BJ7" s="452"/>
    </row>
    <row r="8" spans="1:69" ht="16.95" customHeight="1" x14ac:dyDescent="0.3">
      <c r="A8" s="18" t="s">
        <v>11</v>
      </c>
      <c r="C8" s="477" t="s">
        <v>12</v>
      </c>
      <c r="D8" s="478"/>
      <c r="E8" s="478"/>
      <c r="F8" s="432"/>
      <c r="G8" s="432"/>
      <c r="H8" s="236"/>
      <c r="I8" s="19">
        <f>SUM(I9:I19)</f>
        <v>0</v>
      </c>
      <c r="J8" s="20">
        <f>SUM(J9:J19)+SUMIFS(Aut_Ajustes_Manuais!$G:$G,Aut_Ajustes_Manuais!$I:$I,DRE!H$4,Aut_Ajustes_Manuais!$F:$F,"FATURAMENTO BRUTO")</f>
        <v>0</v>
      </c>
      <c r="K8" s="236"/>
      <c r="L8" s="19">
        <f>SUM(L9:L19)</f>
        <v>0</v>
      </c>
      <c r="M8" s="20">
        <f>SUM(M9:M19)+SUMIFS(Aut_Ajustes_Manuais!$G:$G,Aut_Ajustes_Manuais!$I:$I,DRE!K$4,Aut_Ajustes_Manuais!$F:$F,"FATURAMENTO BRUTO")</f>
        <v>0</v>
      </c>
      <c r="N8" s="236"/>
      <c r="O8" s="19">
        <f>SUM(O9:O19)</f>
        <v>0</v>
      </c>
      <c r="P8" s="20">
        <f>SUM(P9:P19)+SUMIFS(Aut_Ajustes_Manuais!$G:$G,Aut_Ajustes_Manuais!$I:$I,DRE!N$4,Aut_Ajustes_Manuais!$F:$F,"FATURAMENTO BRUTO")</f>
        <v>0</v>
      </c>
      <c r="Q8" s="236"/>
      <c r="R8" s="19">
        <f>SUM(R9:R19)</f>
        <v>0</v>
      </c>
      <c r="S8" s="20">
        <f>SUM(S9:S19)+SUMIFS(Aut_Ajustes_Manuais!$G:$G,Aut_Ajustes_Manuais!$I:$I,DRE!Q$4,Aut_Ajustes_Manuais!$F:$F,"FATURAMENTO BRUTO")</f>
        <v>0</v>
      </c>
      <c r="T8" s="236"/>
      <c r="U8" s="19">
        <f>SUM(U9:U19)</f>
        <v>0</v>
      </c>
      <c r="V8" s="20">
        <f>SUM(V9:V19)+SUMIFS(Aut_Ajustes_Manuais!$G:$G,Aut_Ajustes_Manuais!$I:$I,DRE!T$4,Aut_Ajustes_Manuais!$F:$F,"FATURAMENTO BRUTO")</f>
        <v>0</v>
      </c>
      <c r="W8" s="236"/>
      <c r="X8" s="19">
        <f>SUM(X9:X19)</f>
        <v>0</v>
      </c>
      <c r="Y8" s="20">
        <f>SUM(Y9:Y19)+SUMIFS(Aut_Ajustes_Manuais!$G:$G,Aut_Ajustes_Manuais!$I:$I,DRE!W$4,Aut_Ajustes_Manuais!$F:$F,"FATURAMENTO BRUTO")</f>
        <v>0</v>
      </c>
      <c r="Z8" s="236"/>
      <c r="AA8" s="19">
        <f>SUM(AA9:AA19)</f>
        <v>0</v>
      </c>
      <c r="AB8" s="20">
        <f>SUM(AB9:AB19)+SUMIFS(Aut_Ajustes_Manuais!$G:$G,Aut_Ajustes_Manuais!$I:$I,DRE!Z$4,Aut_Ajustes_Manuais!$F:$F,"FATURAMENTO BRUTO")</f>
        <v>340656.42000000004</v>
      </c>
      <c r="AC8" s="236"/>
      <c r="AD8" s="19">
        <f>SUM(AD9:AD19)</f>
        <v>4789564.6899999995</v>
      </c>
      <c r="AE8" s="20">
        <f>SUM(AE9:AE19)+SUMIFS(Aut_Ajustes_Manuais!$G:$G,Aut_Ajustes_Manuais!$I:$I,DRE!AC$4,Aut_Ajustes_Manuais!$F:$F,"FATURAMENTO BRUTO")</f>
        <v>0</v>
      </c>
      <c r="AF8" s="236"/>
      <c r="AG8" s="19">
        <f>SUM(AG9:AG19)</f>
        <v>4640278.47</v>
      </c>
      <c r="AH8" s="20">
        <f>SUM(AH9:AH19)+SUMIFS(Aut_Ajustes_Manuais!$G:$G,Aut_Ajustes_Manuais!$I:$I,DRE!AF$4,Aut_Ajustes_Manuais!$F:$F,"FATURAMENTO BRUTO")</f>
        <v>0</v>
      </c>
      <c r="AI8" s="236"/>
      <c r="AJ8" s="19">
        <f>SUM(AJ9:AJ19)</f>
        <v>5093050.1499999994</v>
      </c>
      <c r="AK8" s="20">
        <f>SUM(AK9:AK19)+SUMIFS(Aut_Ajustes_Manuais!$G:$G,Aut_Ajustes_Manuais!$I:$I,DRE!AI$4,Aut_Ajustes_Manuais!$F:$F,"FATURAMENTO BRUTO")</f>
        <v>0</v>
      </c>
      <c r="AL8" s="236"/>
      <c r="AM8" s="19">
        <f>SUM(AM9:AM19)</f>
        <v>4691760.8900000006</v>
      </c>
      <c r="AN8" s="20">
        <f>SUM(AN9:AN19)+SUMIFS(Aut_Ajustes_Manuais!$G:$G,Aut_Ajustes_Manuais!$I:$I,DRE!AL$4,Aut_Ajustes_Manuais!$F:$F,"FATURAMENTO BRUTO")</f>
        <v>0</v>
      </c>
      <c r="AO8" s="236"/>
      <c r="AP8" s="19">
        <f>SUM(AP9:AP19)</f>
        <v>5111526.55</v>
      </c>
      <c r="AQ8" s="20">
        <f>SUM(AQ9:AQ19)+SUMIFS(Aut_Ajustes_Manuais!$G:$G,Aut_Ajustes_Manuais!$I:$I,DRE!AO$4,Aut_Ajustes_Manuais!$F:$F,"FATURAMENTO BRUTO")</f>
        <v>0</v>
      </c>
      <c r="AR8" s="236">
        <f t="shared" ref="AR8:BI8" ca="1" si="0">SUM(AR9:AR19)</f>
        <v>0</v>
      </c>
      <c r="AS8" s="19">
        <f t="shared" ca="1" si="0"/>
        <v>4789564.6899999995</v>
      </c>
      <c r="AT8" s="20">
        <f t="shared" ca="1" si="0"/>
        <v>340656.42000000004</v>
      </c>
      <c r="AU8" s="236">
        <f t="shared" si="0"/>
        <v>0</v>
      </c>
      <c r="AV8" s="19">
        <f t="shared" si="0"/>
        <v>24326180.75</v>
      </c>
      <c r="AW8" s="20">
        <f t="shared" si="0"/>
        <v>340656.42000000004</v>
      </c>
      <c r="AX8" s="236">
        <f t="shared" si="0"/>
        <v>0</v>
      </c>
      <c r="AY8" s="19">
        <f t="shared" si="0"/>
        <v>0</v>
      </c>
      <c r="AZ8" s="20">
        <f t="shared" si="0"/>
        <v>0</v>
      </c>
      <c r="BA8" s="236">
        <f t="shared" si="0"/>
        <v>0</v>
      </c>
      <c r="BB8" s="19">
        <f t="shared" si="0"/>
        <v>0</v>
      </c>
      <c r="BC8" s="20">
        <f t="shared" si="0"/>
        <v>0</v>
      </c>
      <c r="BD8" s="236">
        <f t="shared" si="0"/>
        <v>0</v>
      </c>
      <c r="BE8" s="19">
        <f t="shared" si="0"/>
        <v>9429843.1600000001</v>
      </c>
      <c r="BF8" s="20">
        <f t="shared" si="0"/>
        <v>340656.42000000004</v>
      </c>
      <c r="BG8" s="236">
        <f t="shared" si="0"/>
        <v>0</v>
      </c>
      <c r="BH8" s="19">
        <f t="shared" si="0"/>
        <v>14896337.589999998</v>
      </c>
      <c r="BI8" s="20">
        <f t="shared" si="0"/>
        <v>0</v>
      </c>
    </row>
    <row r="9" spans="1:69" s="28" customFormat="1" hidden="1" outlineLevel="1" x14ac:dyDescent="0.3">
      <c r="A9" s="21" t="s">
        <v>13</v>
      </c>
      <c r="B9" s="22"/>
      <c r="C9" s="23" t="s">
        <v>14</v>
      </c>
      <c r="D9" s="23" t="s">
        <v>15</v>
      </c>
      <c r="E9" s="24"/>
      <c r="F9" s="431"/>
      <c r="G9" s="431"/>
      <c r="H9" s="237"/>
      <c r="I9" s="26">
        <f>SUMIFS(T_ORCAMENTOS!$E:$E,T_ORCAMENTOS!$C:$C,"Alimentação",T_ORCAMENTOS!$H:$H,"1/2026")</f>
        <v>0</v>
      </c>
      <c r="J9" s="27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0</v>
      </c>
      <c r="K9" s="237"/>
      <c r="L9" s="26">
        <f>SUMIFS(T_ORCAMENTOS!$E:$E,T_ORCAMENTOS!$C:$C,"Alimentação",T_ORCAMENTOS!$H:$H,"2/2026")</f>
        <v>0</v>
      </c>
      <c r="M9" s="27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0</v>
      </c>
      <c r="N9" s="237"/>
      <c r="O9" s="26">
        <f>SUMIFS(T_ORCAMENTOS!$E:$E,T_ORCAMENTOS!$C:$C,"Alimentação",T_ORCAMENTOS!$H:$H,"3/2026")</f>
        <v>0</v>
      </c>
      <c r="P9" s="27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0</v>
      </c>
      <c r="Q9" s="237"/>
      <c r="R9" s="26">
        <f>SUMIFS(T_ORCAMENTOS!$E:$E,T_ORCAMENTOS!$C:$C,"Alimentação",T_ORCAMENTOS!$H:$H,"4/2026")</f>
        <v>0</v>
      </c>
      <c r="S9" s="27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0</v>
      </c>
      <c r="T9" s="237"/>
      <c r="U9" s="26">
        <f>SUMIFS(T_ORCAMENTOS!$E:$E,T_ORCAMENTOS!$C:$C,"Alimentação",T_ORCAMENTOS!$H:$H,"5/2026")</f>
        <v>0</v>
      </c>
      <c r="V9" s="27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0</v>
      </c>
      <c r="W9" s="237"/>
      <c r="X9" s="26">
        <f>SUMIFS(T_ORCAMENTOS!$E:$E,T_ORCAMENTOS!$C:$C,"Alimentação",T_ORCAMENTOS!$H:$H,"6/2026")</f>
        <v>0</v>
      </c>
      <c r="Y9" s="27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0</v>
      </c>
      <c r="Z9" s="237"/>
      <c r="AA9" s="26">
        <f>SUMIFS(T_ORCAMENTOS!$E:$E,T_ORCAMENTOS!$C:$C,"Alimentação",T_ORCAMENTOS!$H:$H,"7/2026")</f>
        <v>0</v>
      </c>
      <c r="AB9" s="27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120768</v>
      </c>
      <c r="AC9" s="237"/>
      <c r="AD9" s="26">
        <f>SUMIFS(T_ORCAMENTOS!$E:$E,T_ORCAMENTOS!$C:$C,"Alimentação",T_ORCAMENTOS!$H:$H,"8/2026")</f>
        <v>1936227.56</v>
      </c>
      <c r="AE9" s="27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0</v>
      </c>
      <c r="AF9" s="237"/>
      <c r="AG9" s="26">
        <f>SUMIFS(T_ORCAMENTOS!$E:$E,T_ORCAMENTOS!$C:$C,"Alimentação",T_ORCAMENTOS!$H:$H,"9/2026")</f>
        <v>1845573.64</v>
      </c>
      <c r="AH9" s="27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0</v>
      </c>
      <c r="AI9" s="237"/>
      <c r="AJ9" s="26">
        <f>SUMIFS(T_ORCAMENTOS!$E:$E,T_ORCAMENTOS!$C:$C,"Alimentação",T_ORCAMENTOS!$H:$H,"10/2026")</f>
        <v>1996644.28</v>
      </c>
      <c r="AK9" s="27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37"/>
      <c r="AM9" s="26">
        <f>SUMIFS(T_ORCAMENTOS!$E:$E,T_ORCAMENTOS!$C:$C,"Alimentação",T_ORCAMENTOS!$H:$H,"11/2026")</f>
        <v>1821943.2</v>
      </c>
      <c r="AN9" s="27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37"/>
      <c r="AP9" s="26">
        <f>SUMIFS(T_ORCAMENTOS!$E:$E,T_ORCAMENTOS!$C:$C,"Alimentação",T_ORCAMENTOS!$H:$H,"12/2026")</f>
        <v>1819937.96</v>
      </c>
      <c r="AQ9" s="27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37">
        <f t="shared" ref="AR9:AR20" ca="1" si="1">SUMIFS($H9:$AO9,$H$5:$AO$5,"&lt;"&amp;MONTH(TODAY()),$H$6:$AO$6,"REAL 25")</f>
        <v>0</v>
      </c>
      <c r="AS9" s="26">
        <f t="shared" ref="AS9:AS20" ca="1" si="2">SUMIFS($I9:$AP9,$I$5:$AP$5,"&lt;"&amp;MONTH(TODAY()),$I$6:$AP$6,"ORÇADO ")</f>
        <v>1936227.56</v>
      </c>
      <c r="AT9" s="27">
        <f t="shared" ref="AT9:AT20" ca="1" si="3">SUMIFS($J9:$AQ9,$J$5:$AQ$5,"&lt;"&amp;MONTH(TODAY()),$J$6:$AQ$6,"REAL 26")</f>
        <v>120768</v>
      </c>
      <c r="AU9" s="237">
        <f t="shared" ref="AU9:AU19" si="4">SUM(H9,K9,N9,Q9,T9,W9,Z9,AC9,AF9,AI9,AL9,AO9)</f>
        <v>0</v>
      </c>
      <c r="AV9" s="26">
        <f t="shared" ref="AV9:AV19" si="5">SUM(I9,L9,O9,R9,U9,X9,AA9,AD9,AG9,AJ9,AM9,AP9)</f>
        <v>9420326.6400000006</v>
      </c>
      <c r="AW9" s="27">
        <f t="shared" ref="AW9:AW19" si="6">SUM(J9,M9,P9,S9,V9,Y9,AB9,AE9,AH9,AK9,AN9,AQ9)</f>
        <v>120768</v>
      </c>
      <c r="AX9" s="237">
        <f t="shared" ref="AX9:AX19" si="7">SUM(H9,K9,N9)</f>
        <v>0</v>
      </c>
      <c r="AY9" s="26">
        <f t="shared" ref="AY9:AY19" si="8">SUM(I9,L9,O9)</f>
        <v>0</v>
      </c>
      <c r="AZ9" s="27">
        <f t="shared" ref="AZ9:AZ19" si="9">SUM(J9,M9,P9)</f>
        <v>0</v>
      </c>
      <c r="BA9" s="237">
        <f t="shared" ref="BA9:BA19" si="10">SUM(Q9,T9,W9)</f>
        <v>0</v>
      </c>
      <c r="BB9" s="26">
        <f t="shared" ref="BB9:BB19" si="11">SUM(R9,U9,X9)</f>
        <v>0</v>
      </c>
      <c r="BC9" s="27">
        <f t="shared" ref="BC9:BC19" si="12">SUM(S9,V9,Y9)</f>
        <v>0</v>
      </c>
      <c r="BD9" s="237">
        <f t="shared" ref="BD9:BD19" si="13">SUM(Z9,AC9,AF9)</f>
        <v>0</v>
      </c>
      <c r="BE9" s="26">
        <f t="shared" ref="BE9:BE19" si="14">SUM(AA9,AD9,AG9)</f>
        <v>3781801.2</v>
      </c>
      <c r="BF9" s="27">
        <f t="shared" ref="BF9:BF19" si="15">SUM(AB9,AE9,AH9)</f>
        <v>120768</v>
      </c>
      <c r="BG9" s="237">
        <f t="shared" ref="BG9:BG19" si="16">SUM(AI9,AL9,AO9)</f>
        <v>0</v>
      </c>
      <c r="BH9" s="26">
        <f t="shared" ref="BH9:BH19" si="17">SUM(AJ9,AM9,AP9)</f>
        <v>5638525.4399999995</v>
      </c>
      <c r="BI9" s="27">
        <f t="shared" ref="BI9:BI19" si="18">SUM(AK9,AN9,AQ9)</f>
        <v>0</v>
      </c>
      <c r="BJ9" s="453"/>
      <c r="BK9" s="29"/>
      <c r="BL9" s="29"/>
      <c r="BM9" s="29"/>
      <c r="BN9" s="29"/>
      <c r="BO9" s="29"/>
      <c r="BP9" s="29"/>
      <c r="BQ9" s="29"/>
    </row>
    <row r="10" spans="1:69" s="28" customFormat="1" hidden="1" outlineLevel="1" x14ac:dyDescent="0.3">
      <c r="A10" s="21" t="s">
        <v>16</v>
      </c>
      <c r="B10" s="22"/>
      <c r="C10" s="23" t="s">
        <v>14</v>
      </c>
      <c r="D10" s="23" t="s">
        <v>15</v>
      </c>
      <c r="E10" s="24"/>
      <c r="F10" s="431"/>
      <c r="G10" s="431"/>
      <c r="H10" s="237"/>
      <c r="I10" s="26">
        <f>SUMIFS(T_ORCAMENTOS!$E:$E,T_ORCAMENTOS!$C:$C,"Bebida",T_ORCAMENTOS!$H:$H,"1/2026")</f>
        <v>0</v>
      </c>
      <c r="J10" s="27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0</v>
      </c>
      <c r="K10" s="237"/>
      <c r="L10" s="26">
        <f>SUMIFS(T_ORCAMENTOS!$E:$E,T_ORCAMENTOS!$C:$C,"Bebida",T_ORCAMENTOS!$H:$H,"2/2026")</f>
        <v>0</v>
      </c>
      <c r="M10" s="27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0</v>
      </c>
      <c r="N10" s="237"/>
      <c r="O10" s="26">
        <f>SUMIFS(T_ORCAMENTOS!$E:$E,T_ORCAMENTOS!$C:$C,"Bebida",T_ORCAMENTOS!$H:$H,"3/2026")</f>
        <v>0</v>
      </c>
      <c r="P10" s="27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0</v>
      </c>
      <c r="Q10" s="237"/>
      <c r="R10" s="26">
        <f>SUMIFS(T_ORCAMENTOS!$E:$E,T_ORCAMENTOS!$C:$C,"Bebida",T_ORCAMENTOS!$H:$H,"4/2026")</f>
        <v>0</v>
      </c>
      <c r="S10" s="27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0</v>
      </c>
      <c r="T10" s="237"/>
      <c r="U10" s="26">
        <f>SUMIFS(T_ORCAMENTOS!$E:$E,T_ORCAMENTOS!$C:$C,"Bebida",T_ORCAMENTOS!$H:$H,"5/2026")</f>
        <v>0</v>
      </c>
      <c r="V10" s="27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0</v>
      </c>
      <c r="W10" s="237"/>
      <c r="X10" s="26">
        <f>SUMIFS(T_ORCAMENTOS!$E:$E,T_ORCAMENTOS!$C:$C,"Bebida",T_ORCAMENTOS!$H:$H,"6/2026")</f>
        <v>0</v>
      </c>
      <c r="Y10" s="27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0</v>
      </c>
      <c r="Z10" s="237"/>
      <c r="AA10" s="26">
        <f>SUMIFS(T_ORCAMENTOS!$E:$E,T_ORCAMENTOS!$C:$C,"Bebida",T_ORCAMENTOS!$H:$H,"7/2026")</f>
        <v>0</v>
      </c>
      <c r="AB10" s="27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137627.70000000001</v>
      </c>
      <c r="AC10" s="237"/>
      <c r="AD10" s="26">
        <f>SUMIFS(T_ORCAMENTOS!$E:$E,T_ORCAMENTOS!$C:$C,"Bebida",T_ORCAMENTOS!$H:$H,"8/2026")</f>
        <v>1483067.92</v>
      </c>
      <c r="AE10" s="27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0</v>
      </c>
      <c r="AF10" s="237"/>
      <c r="AG10" s="26">
        <f>SUMIFS(T_ORCAMENTOS!$E:$E,T_ORCAMENTOS!$C:$C,"Bebida",T_ORCAMENTOS!$H:$H,"9/2026")</f>
        <v>1413630.87</v>
      </c>
      <c r="AH10" s="27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0</v>
      </c>
      <c r="AI10" s="237"/>
      <c r="AJ10" s="26">
        <f>SUMIFS(T_ORCAMENTOS!$E:$E,T_ORCAMENTOS!$C:$C,"Bebida",T_ORCAMENTOS!$H:$H,"10/2026")</f>
        <v>1529344.56</v>
      </c>
      <c r="AK10" s="27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37"/>
      <c r="AM10" s="26">
        <f>SUMIFS(T_ORCAMENTOS!$E:$E,T_ORCAMENTOS!$C:$C,"Bebida",T_ORCAMENTOS!$H:$H,"11/2026")</f>
        <v>1395530.96</v>
      </c>
      <c r="AN10" s="27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37"/>
      <c r="AP10" s="26">
        <f>SUMIFS(T_ORCAMENTOS!$E:$E,T_ORCAMENTOS!$C:$C,"Bebida",T_ORCAMENTOS!$H:$H,"12/2026")</f>
        <v>1393995.03</v>
      </c>
      <c r="AQ10" s="27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37">
        <f t="shared" ca="1" si="1"/>
        <v>0</v>
      </c>
      <c r="AS10" s="26">
        <f t="shared" ca="1" si="2"/>
        <v>1483067.92</v>
      </c>
      <c r="AT10" s="27">
        <f t="shared" ca="1" si="3"/>
        <v>137627.70000000001</v>
      </c>
      <c r="AU10" s="237">
        <f t="shared" si="4"/>
        <v>0</v>
      </c>
      <c r="AV10" s="26">
        <f t="shared" si="5"/>
        <v>7215569.3399999999</v>
      </c>
      <c r="AW10" s="27">
        <f t="shared" si="6"/>
        <v>137627.70000000001</v>
      </c>
      <c r="AX10" s="237">
        <f t="shared" si="7"/>
        <v>0</v>
      </c>
      <c r="AY10" s="26">
        <f t="shared" si="8"/>
        <v>0</v>
      </c>
      <c r="AZ10" s="27">
        <f t="shared" si="9"/>
        <v>0</v>
      </c>
      <c r="BA10" s="237">
        <f t="shared" si="10"/>
        <v>0</v>
      </c>
      <c r="BB10" s="26">
        <f t="shared" si="11"/>
        <v>0</v>
      </c>
      <c r="BC10" s="27">
        <f t="shared" si="12"/>
        <v>0</v>
      </c>
      <c r="BD10" s="237">
        <f t="shared" si="13"/>
        <v>0</v>
      </c>
      <c r="BE10" s="26">
        <f t="shared" si="14"/>
        <v>2896698.79</v>
      </c>
      <c r="BF10" s="27">
        <f t="shared" si="15"/>
        <v>137627.70000000001</v>
      </c>
      <c r="BG10" s="237">
        <f t="shared" si="16"/>
        <v>0</v>
      </c>
      <c r="BH10" s="26">
        <f t="shared" si="17"/>
        <v>4318870.55</v>
      </c>
      <c r="BI10" s="27">
        <f t="shared" si="18"/>
        <v>0</v>
      </c>
      <c r="BJ10" s="453"/>
      <c r="BK10" s="29"/>
      <c r="BL10" s="29"/>
      <c r="BM10" s="29"/>
      <c r="BN10" s="29"/>
      <c r="BO10" s="29"/>
      <c r="BP10" s="29"/>
      <c r="BQ10" s="29"/>
    </row>
    <row r="11" spans="1:69" s="28" customFormat="1" hidden="1" outlineLevel="1" x14ac:dyDescent="0.3">
      <c r="A11" s="21" t="s">
        <v>17</v>
      </c>
      <c r="B11" s="22"/>
      <c r="C11" s="23" t="s">
        <v>14</v>
      </c>
      <c r="D11" s="23" t="s">
        <v>15</v>
      </c>
      <c r="E11" s="24"/>
      <c r="F11" s="431"/>
      <c r="G11" s="431"/>
      <c r="H11" s="237"/>
      <c r="I11" s="26">
        <f>SUMIFS(T_ORCAMENTOS!$E:$E,T_ORCAMENTOS!$C:$C,"Artístico (couvert/shows)",T_ORCAMENTOS!$H:$H,"1/2026")</f>
        <v>0</v>
      </c>
      <c r="J11" s="27">
        <f>SUMIFS(Aut_Faturamento_Zig!$F:$F,Aut_Faturamento_Zig!$E:$E,"Couvert",Aut_Faturamento_Zig!$D:$D,DRE!H$4)+SUMIFS(Aut_Ajustes_Manuais!$G:$G,Aut_Ajustes_Manuais!$I:$I,DRE!H$4,Aut_Ajustes_Manuais!$F:$F,"Artístico (couvert/shows)")</f>
        <v>0</v>
      </c>
      <c r="K11" s="237"/>
      <c r="L11" s="26">
        <f>SUMIFS(T_ORCAMENTOS!$E:$E,T_ORCAMENTOS!$C:$C,"Artístico (couvert/shows)",T_ORCAMENTOS!$H:$H,"2/2026")</f>
        <v>0</v>
      </c>
      <c r="M11" s="27">
        <f>SUMIFS(Aut_Faturamento_Zig!$F:$F,Aut_Faturamento_Zig!$E:$E,"Couvert",Aut_Faturamento_Zig!$D:$D,DRE!K$4)+SUMIFS(Aut_Ajustes_Manuais!$G:$G,Aut_Ajustes_Manuais!$I:$I,DRE!K$4,Aut_Ajustes_Manuais!$F:$F,"Artístico (couvert/shows)")</f>
        <v>0</v>
      </c>
      <c r="N11" s="237"/>
      <c r="O11" s="26">
        <f>SUMIFS(T_ORCAMENTOS!$E:$E,T_ORCAMENTOS!$C:$C,"Artístico (couvert/shows)",T_ORCAMENTOS!$H:$H,"3/2026")</f>
        <v>0</v>
      </c>
      <c r="P11" s="27">
        <f>SUMIFS(Aut_Faturamento_Zig!$F:$F,Aut_Faturamento_Zig!$E:$E,"Couvert",Aut_Faturamento_Zig!$D:$D,DRE!N$4)+SUMIFS(Aut_Ajustes_Manuais!$G:$G,Aut_Ajustes_Manuais!$I:$I,DRE!N$4,Aut_Ajustes_Manuais!$F:$F,"Artístico (couvert/shows)")</f>
        <v>0</v>
      </c>
      <c r="Q11" s="237"/>
      <c r="R11" s="26">
        <f>SUMIFS(T_ORCAMENTOS!$E:$E,T_ORCAMENTOS!$C:$C,"Artístico (couvert/shows)",T_ORCAMENTOS!$H:$H,"4/2026")</f>
        <v>0</v>
      </c>
      <c r="S11" s="27">
        <f>SUMIFS(Aut_Faturamento_Zig!$F:$F,Aut_Faturamento_Zig!$E:$E,"Couvert",Aut_Faturamento_Zig!$D:$D,DRE!Q$4)+SUMIFS(Aut_Ajustes_Manuais!$G:$G,Aut_Ajustes_Manuais!$I:$I,DRE!Q$4,Aut_Ajustes_Manuais!$F:$F,"Artístico (couvert/shows)")</f>
        <v>0</v>
      </c>
      <c r="T11" s="237"/>
      <c r="U11" s="26">
        <f>SUMIFS(T_ORCAMENTOS!$E:$E,T_ORCAMENTOS!$C:$C,"Artístico (couvert/shows)",T_ORCAMENTOS!$H:$H,"5/2026")</f>
        <v>0</v>
      </c>
      <c r="V11" s="27">
        <f>SUMIFS(Aut_Faturamento_Zig!$F:$F,Aut_Faturamento_Zig!$E:$E,"Couvert",Aut_Faturamento_Zig!$D:$D,DRE!T$4)+SUMIFS(Aut_Ajustes_Manuais!$G:$G,Aut_Ajustes_Manuais!$I:$I,DRE!T$4,Aut_Ajustes_Manuais!$F:$F,"Artístico (couvert/shows)")</f>
        <v>0</v>
      </c>
      <c r="W11" s="237"/>
      <c r="X11" s="26">
        <f>SUMIFS(T_ORCAMENTOS!$E:$E,T_ORCAMENTOS!$C:$C,"Artístico (couvert/shows)",T_ORCAMENTOS!$H:$H,"6/2026")</f>
        <v>0</v>
      </c>
      <c r="Y11" s="27">
        <f>SUMIFS(Aut_Faturamento_Zig!$F:$F,Aut_Faturamento_Zig!$E:$E,"Couvert",Aut_Faturamento_Zig!$D:$D,DRE!W$4)+SUMIFS(Aut_Ajustes_Manuais!$G:$G,Aut_Ajustes_Manuais!$I:$I,DRE!W$4,Aut_Ajustes_Manuais!$F:$F,"Artístico (couvert/shows)")</f>
        <v>0</v>
      </c>
      <c r="Z11" s="237"/>
      <c r="AA11" s="26">
        <f>SUMIFS(T_ORCAMENTOS!$E:$E,T_ORCAMENTOS!$C:$C,"Artístico (couvert/shows)",T_ORCAMENTOS!$H:$H,"7/2026")</f>
        <v>0</v>
      </c>
      <c r="AB11" s="27">
        <f>SUMIFS(Aut_Faturamento_Zig!$F:$F,Aut_Faturamento_Zig!$E:$E,"Couvert",Aut_Faturamento_Zig!$D:$D,DRE!Z$4)+SUMIFS(Aut_Ajustes_Manuais!$G:$G,Aut_Ajustes_Manuais!$I:$I,DRE!Z$4,Aut_Ajustes_Manuais!$F:$F,"Artístico (couvert/shows)")</f>
        <v>12520</v>
      </c>
      <c r="AC11" s="237"/>
      <c r="AD11" s="26">
        <f>SUMIFS(T_ORCAMENTOS!$E:$E,T_ORCAMENTOS!$C:$C,"Artístico (couvert/shows)",T_ORCAMENTOS!$H:$H,"8/2026")</f>
        <v>862555.9</v>
      </c>
      <c r="AE11" s="27">
        <f>SUMIFS(Aut_Faturamento_Zig!$F:$F,Aut_Faturamento_Zig!$E:$E,"Couvert",Aut_Faturamento_Zig!$D:$D,DRE!AC$4)+SUMIFS(Aut_Ajustes_Manuais!$G:$G,Aut_Ajustes_Manuais!$I:$I,DRE!AC$4,Aut_Ajustes_Manuais!$F:$F,"Artístico (couvert/shows)")</f>
        <v>0</v>
      </c>
      <c r="AF11" s="237"/>
      <c r="AG11" s="26">
        <f>SUMIFS(T_ORCAMENTOS!$E:$E,T_ORCAMENTOS!$C:$C,"Artístico (couvert/shows)",T_ORCAMENTOS!$H:$H,"9/2026")</f>
        <v>817648.72</v>
      </c>
      <c r="AH11" s="27">
        <f>SUMIFS(Aut_Faturamento_Zig!$F:$F,Aut_Faturamento_Zig!$E:$E,"Couvert",Aut_Faturamento_Zig!$D:$D,DRE!AF$4)+SUMIFS(Aut_Ajustes_Manuais!$G:$G,Aut_Ajustes_Manuais!$I:$I,DRE!AF$4,Aut_Ajustes_Manuais!$F:$F,"Artístico (couvert/shows)")</f>
        <v>0</v>
      </c>
      <c r="AI11" s="237"/>
      <c r="AJ11" s="26">
        <f>SUMIFS(T_ORCAMENTOS!$E:$E,T_ORCAMENTOS!$C:$C,"Artístico (couvert/shows)",T_ORCAMENTOS!$H:$H,"10/2026")</f>
        <v>896493.38</v>
      </c>
      <c r="AK11" s="27">
        <f>SUMIFS(Aut_Faturamento_Zig!$F:$F,Aut_Faturamento_Zig!$E:$E,"Couvert",Aut_Faturamento_Zig!$D:$D,DRE!AI$4)+SUMIFS(Aut_Ajustes_Manuais!$G:$G,Aut_Ajustes_Manuais!$I:$I,DRE!AI$4,Aut_Ajustes_Manuais!$F:$F,"Artístico (couvert/shows)")</f>
        <v>0</v>
      </c>
      <c r="AL11" s="237"/>
      <c r="AM11" s="26">
        <f>SUMIFS(T_ORCAMENTOS!$E:$E,T_ORCAMENTOS!$C:$C,"Artístico (couvert/shows)",T_ORCAMENTOS!$H:$H,"11/2026")</f>
        <v>810889.24</v>
      </c>
      <c r="AN11" s="27">
        <f>SUMIFS(Aut_Faturamento_Zig!$F:$F,Aut_Faturamento_Zig!$E:$E,"Couvert",Aut_Faturamento_Zig!$D:$D,DRE!AL$4)+SUMIFS(Aut_Ajustes_Manuais!$G:$G,Aut_Ajustes_Manuais!$I:$I,DRE!AL$4,Aut_Ajustes_Manuais!$F:$F,"Artístico (couvert/shows)")</f>
        <v>0</v>
      </c>
      <c r="AO11" s="237"/>
      <c r="AP11" s="26">
        <f>SUMIFS(T_ORCAMENTOS!$E:$E,T_ORCAMENTOS!$C:$C,"Artístico (couvert/shows)",T_ORCAMENTOS!$H:$H,"12/2026")</f>
        <v>797122.72</v>
      </c>
      <c r="AQ11" s="27">
        <f>SUMIFS(Aut_Faturamento_Zig!$F:$F,Aut_Faturamento_Zig!$E:$E,"Couvert",Aut_Faturamento_Zig!$D:$D,DRE!AO$4)+SUMIFS(Aut_Ajustes_Manuais!$G:$G,Aut_Ajustes_Manuais!$I:$I,DRE!AO$4,Aut_Ajustes_Manuais!$F:$F,"Artístico (couvert/shows)")</f>
        <v>0</v>
      </c>
      <c r="AR11" s="237">
        <f t="shared" ca="1" si="1"/>
        <v>0</v>
      </c>
      <c r="AS11" s="26">
        <f t="shared" ca="1" si="2"/>
        <v>862555.9</v>
      </c>
      <c r="AT11" s="27">
        <f t="shared" ca="1" si="3"/>
        <v>12520</v>
      </c>
      <c r="AU11" s="237">
        <f t="shared" si="4"/>
        <v>0</v>
      </c>
      <c r="AV11" s="26">
        <f t="shared" si="5"/>
        <v>4184709.96</v>
      </c>
      <c r="AW11" s="27">
        <f t="shared" si="6"/>
        <v>12520</v>
      </c>
      <c r="AX11" s="237">
        <f t="shared" si="7"/>
        <v>0</v>
      </c>
      <c r="AY11" s="26">
        <f t="shared" si="8"/>
        <v>0</v>
      </c>
      <c r="AZ11" s="27">
        <f t="shared" si="9"/>
        <v>0</v>
      </c>
      <c r="BA11" s="237">
        <f t="shared" si="10"/>
        <v>0</v>
      </c>
      <c r="BB11" s="26">
        <f t="shared" si="11"/>
        <v>0</v>
      </c>
      <c r="BC11" s="27">
        <f t="shared" si="12"/>
        <v>0</v>
      </c>
      <c r="BD11" s="237">
        <f t="shared" si="13"/>
        <v>0</v>
      </c>
      <c r="BE11" s="26">
        <f t="shared" si="14"/>
        <v>1680204.62</v>
      </c>
      <c r="BF11" s="27">
        <f t="shared" si="15"/>
        <v>12520</v>
      </c>
      <c r="BG11" s="237">
        <f t="shared" si="16"/>
        <v>0</v>
      </c>
      <c r="BH11" s="26">
        <f t="shared" si="17"/>
        <v>2504505.34</v>
      </c>
      <c r="BI11" s="27">
        <f t="shared" si="18"/>
        <v>0</v>
      </c>
      <c r="BJ11" s="453"/>
      <c r="BK11" s="29"/>
      <c r="BL11" s="29"/>
      <c r="BM11" s="29"/>
      <c r="BN11" s="29"/>
      <c r="BO11" s="29"/>
      <c r="BP11" s="29"/>
      <c r="BQ11" s="29"/>
    </row>
    <row r="12" spans="1:69" s="28" customFormat="1" hidden="1" outlineLevel="1" x14ac:dyDescent="0.3">
      <c r="A12" s="21" t="s">
        <v>18</v>
      </c>
      <c r="B12" s="22"/>
      <c r="C12" s="23" t="s">
        <v>14</v>
      </c>
      <c r="D12" s="23" t="s">
        <v>19</v>
      </c>
      <c r="E12" s="24"/>
      <c r="F12" s="431"/>
      <c r="G12" s="431"/>
      <c r="H12" s="237"/>
      <c r="I12" s="26">
        <f>SUMIFS(T_ORCAMENTOS!$E:$E,T_ORCAMENTOS!$C:$C,"Gifts",T_ORCAMENTOS!$H:$H,"1/2026")</f>
        <v>0</v>
      </c>
      <c r="J12" s="27">
        <f>SUMIFS(Aut_Faturamento_Zig!$F:$F,Aut_Faturamento_Zig!$E:$E,"Gifts",Aut_Faturamento_Zig!$D:$D,DRE!H$4)+SUMIFS(Aut_Ajustes_Manuais!$G:$G,Aut_Ajustes_Manuais!$I:$I,DRE!H$4,Aut_Ajustes_Manuais!$F:$F,"Gifts")</f>
        <v>0</v>
      </c>
      <c r="K12" s="237"/>
      <c r="L12" s="26">
        <f>SUMIFS(T_ORCAMENTOS!$E:$E,T_ORCAMENTOS!$C:$C,"Gifts",T_ORCAMENTOS!$H:$H,"2/2026")</f>
        <v>0</v>
      </c>
      <c r="M12" s="27">
        <f>SUMIFS(Aut_Faturamento_Zig!$F:$F,Aut_Faturamento_Zig!$E:$E,"Gifts",Aut_Faturamento_Zig!$D:$D,DRE!K$4)+SUMIFS(Aut_Ajustes_Manuais!$G:$G,Aut_Ajustes_Manuais!$I:$I,DRE!K$4,Aut_Ajustes_Manuais!$F:$F,"Gifts")</f>
        <v>0</v>
      </c>
      <c r="N12" s="237"/>
      <c r="O12" s="26">
        <f>SUMIFS(T_ORCAMENTOS!$E:$E,T_ORCAMENTOS!$C:$C,"Gifts",T_ORCAMENTOS!$H:$H,"3/2026")</f>
        <v>0</v>
      </c>
      <c r="P12" s="27">
        <f>SUMIFS(Aut_Faturamento_Zig!$F:$F,Aut_Faturamento_Zig!$E:$E,"Gifts",Aut_Faturamento_Zig!$D:$D,DRE!N$4)+SUMIFS(Aut_Ajustes_Manuais!$G:$G,Aut_Ajustes_Manuais!$I:$I,DRE!N$4,Aut_Ajustes_Manuais!$F:$F,"Gifts")</f>
        <v>0</v>
      </c>
      <c r="Q12" s="237"/>
      <c r="R12" s="26">
        <f>SUMIFS(T_ORCAMENTOS!$E:$E,T_ORCAMENTOS!$C:$C,"Gifts",T_ORCAMENTOS!$H:$H,"4/2026")</f>
        <v>0</v>
      </c>
      <c r="S12" s="27">
        <f>SUMIFS(Aut_Faturamento_Zig!$F:$F,Aut_Faturamento_Zig!$E:$E,"Gifts",Aut_Faturamento_Zig!$D:$D,DRE!Q$4)+SUMIFS(Aut_Ajustes_Manuais!$G:$G,Aut_Ajustes_Manuais!$I:$I,DRE!Q$4,Aut_Ajustes_Manuais!$F:$F,"Gifts")</f>
        <v>0</v>
      </c>
      <c r="T12" s="237"/>
      <c r="U12" s="26">
        <f>SUMIFS(T_ORCAMENTOS!$E:$E,T_ORCAMENTOS!$C:$C,"Gifts",T_ORCAMENTOS!$H:$H,"5/2026")</f>
        <v>0</v>
      </c>
      <c r="V12" s="27">
        <f>SUMIFS(Aut_Faturamento_Zig!$F:$F,Aut_Faturamento_Zig!$E:$E,"Gifts",Aut_Faturamento_Zig!$D:$D,DRE!T$4)+SUMIFS(Aut_Ajustes_Manuais!$G:$G,Aut_Ajustes_Manuais!$I:$I,DRE!T$4,Aut_Ajustes_Manuais!$F:$F,"Gifts")</f>
        <v>0</v>
      </c>
      <c r="W12" s="237"/>
      <c r="X12" s="26">
        <f>SUMIFS(T_ORCAMENTOS!$E:$E,T_ORCAMENTOS!$C:$C,"Gifts",T_ORCAMENTOS!$H:$H,"6/2026")</f>
        <v>0</v>
      </c>
      <c r="Y12" s="27">
        <f>SUMIFS(Aut_Faturamento_Zig!$F:$F,Aut_Faturamento_Zig!$E:$E,"Gifts",Aut_Faturamento_Zig!$D:$D,DRE!W$4)+SUMIFS(Aut_Ajustes_Manuais!$G:$G,Aut_Ajustes_Manuais!$I:$I,DRE!W$4,Aut_Ajustes_Manuais!$F:$F,"Gifts")</f>
        <v>0</v>
      </c>
      <c r="Z12" s="237"/>
      <c r="AA12" s="26">
        <f>SUMIFS(T_ORCAMENTOS!$E:$E,T_ORCAMENTOS!$C:$C,"Gifts",T_ORCAMENTOS!$H:$H,"7/2026")</f>
        <v>0</v>
      </c>
      <c r="AB12" s="27">
        <f>SUMIFS(Aut_Faturamento_Zig!$F:$F,Aut_Faturamento_Zig!$E:$E,"Gifts",Aut_Faturamento_Zig!$D:$D,DRE!Z$4)+SUMIFS(Aut_Ajustes_Manuais!$G:$G,Aut_Ajustes_Manuais!$I:$I,DRE!Z$4,Aut_Ajustes_Manuais!$F:$F,"Gifts")</f>
        <v>0</v>
      </c>
      <c r="AC12" s="237"/>
      <c r="AD12" s="26">
        <f>SUMIFS(T_ORCAMENTOS!$E:$E,T_ORCAMENTOS!$C:$C,"Gifts",T_ORCAMENTOS!$H:$H,"8/2026")</f>
        <v>20000</v>
      </c>
      <c r="AE12" s="27">
        <f>SUMIFS(Aut_Faturamento_Zig!$F:$F,Aut_Faturamento_Zig!$E:$E,"Gifts",Aut_Faturamento_Zig!$D:$D,DRE!AC$4)+SUMIFS(Aut_Ajustes_Manuais!$G:$G,Aut_Ajustes_Manuais!$I:$I,DRE!AC$4,Aut_Ajustes_Manuais!$F:$F,"Gifts")</f>
        <v>0</v>
      </c>
      <c r="AF12" s="237"/>
      <c r="AG12" s="26">
        <f>SUMIFS(T_ORCAMENTOS!$E:$E,T_ORCAMENTOS!$C:$C,"Gifts",T_ORCAMENTOS!$H:$H,"9/2026")</f>
        <v>20000</v>
      </c>
      <c r="AH12" s="27">
        <f>SUMIFS(Aut_Faturamento_Zig!$F:$F,Aut_Faturamento_Zig!$E:$E,"Gifts",Aut_Faturamento_Zig!$D:$D,DRE!AF$4)+SUMIFS(Aut_Ajustes_Manuais!$G:$G,Aut_Ajustes_Manuais!$I:$I,DRE!AF$4,Aut_Ajustes_Manuais!$F:$F,"Gifts")</f>
        <v>0</v>
      </c>
      <c r="AI12" s="237"/>
      <c r="AJ12" s="26">
        <f>SUMIFS(T_ORCAMENTOS!$E:$E,T_ORCAMENTOS!$C:$C,"Gifts",T_ORCAMENTOS!$H:$H,"10/2026")</f>
        <v>20000</v>
      </c>
      <c r="AK12" s="27">
        <f>SUMIFS(Aut_Faturamento_Zig!$F:$F,Aut_Faturamento_Zig!$E:$E,"Gifts",Aut_Faturamento_Zig!$D:$D,DRE!AI$4)+SUMIFS(Aut_Ajustes_Manuais!$G:$G,Aut_Ajustes_Manuais!$I:$I,DRE!AI$4,Aut_Ajustes_Manuais!$F:$F,"Gifts")</f>
        <v>0</v>
      </c>
      <c r="AL12" s="237"/>
      <c r="AM12" s="26">
        <f>SUMIFS(T_ORCAMENTOS!$E:$E,T_ORCAMENTOS!$C:$C,"Gifts",T_ORCAMENTOS!$H:$H,"11/2026")</f>
        <v>20000</v>
      </c>
      <c r="AN12" s="27">
        <f>SUMIFS(Aut_Faturamento_Zig!$F:$F,Aut_Faturamento_Zig!$E:$E,"Gifts",Aut_Faturamento_Zig!$D:$D,DRE!AL$4)+SUMIFS(Aut_Ajustes_Manuais!$G:$G,Aut_Ajustes_Manuais!$I:$I,DRE!AL$4,Aut_Ajustes_Manuais!$F:$F,"Gifts")</f>
        <v>0</v>
      </c>
      <c r="AO12" s="237"/>
      <c r="AP12" s="26">
        <f>SUMIFS(T_ORCAMENTOS!$E:$E,T_ORCAMENTOS!$C:$C,"Gifts",T_ORCAMENTOS!$H:$H,"12/2026")</f>
        <v>20000</v>
      </c>
      <c r="AQ12" s="27">
        <f>SUMIFS(Aut_Faturamento_Zig!$F:$F,Aut_Faturamento_Zig!$E:$E,"Gifts",Aut_Faturamento_Zig!$D:$D,DRE!AO$4)+SUMIFS(Aut_Ajustes_Manuais!$G:$G,Aut_Ajustes_Manuais!$I:$I,DRE!AO$4,Aut_Ajustes_Manuais!$F:$F,"Gifts")</f>
        <v>0</v>
      </c>
      <c r="AR12" s="237">
        <f t="shared" ca="1" si="1"/>
        <v>0</v>
      </c>
      <c r="AS12" s="26">
        <f t="shared" ca="1" si="2"/>
        <v>20000</v>
      </c>
      <c r="AT12" s="27">
        <f t="shared" ca="1" si="3"/>
        <v>0</v>
      </c>
      <c r="AU12" s="237">
        <f t="shared" si="4"/>
        <v>0</v>
      </c>
      <c r="AV12" s="26">
        <f t="shared" si="5"/>
        <v>100000</v>
      </c>
      <c r="AW12" s="27">
        <f t="shared" si="6"/>
        <v>0</v>
      </c>
      <c r="AX12" s="237">
        <f t="shared" si="7"/>
        <v>0</v>
      </c>
      <c r="AY12" s="26">
        <f t="shared" si="8"/>
        <v>0</v>
      </c>
      <c r="AZ12" s="27">
        <f t="shared" si="9"/>
        <v>0</v>
      </c>
      <c r="BA12" s="237">
        <f t="shared" si="10"/>
        <v>0</v>
      </c>
      <c r="BB12" s="26">
        <f t="shared" si="11"/>
        <v>0</v>
      </c>
      <c r="BC12" s="27">
        <f t="shared" si="12"/>
        <v>0</v>
      </c>
      <c r="BD12" s="237">
        <f t="shared" si="13"/>
        <v>0</v>
      </c>
      <c r="BE12" s="26">
        <f t="shared" si="14"/>
        <v>40000</v>
      </c>
      <c r="BF12" s="27">
        <f t="shared" si="15"/>
        <v>0</v>
      </c>
      <c r="BG12" s="237">
        <f t="shared" si="16"/>
        <v>0</v>
      </c>
      <c r="BH12" s="26">
        <f t="shared" si="17"/>
        <v>60000</v>
      </c>
      <c r="BI12" s="27">
        <f t="shared" si="18"/>
        <v>0</v>
      </c>
      <c r="BJ12" s="454"/>
    </row>
    <row r="13" spans="1:69" s="28" customFormat="1" hidden="1" outlineLevel="1" x14ac:dyDescent="0.3">
      <c r="A13" s="21" t="s">
        <v>20</v>
      </c>
      <c r="B13" s="22"/>
      <c r="C13" s="23" t="s">
        <v>14</v>
      </c>
      <c r="D13" s="23" t="s">
        <v>21</v>
      </c>
      <c r="E13" s="24" t="s">
        <v>22</v>
      </c>
      <c r="F13" s="431"/>
      <c r="G13" s="431"/>
      <c r="H13" s="237"/>
      <c r="I13" s="26">
        <f>SUMIFS(T_ORCAMENTOS!$E:$E,T_ORCAMENTOS!$C:$C,"Serviço",T_ORCAMENTOS!$H:$H,"1/2026")</f>
        <v>0</v>
      </c>
      <c r="J13" s="27">
        <f>SUMIFS(Aut_Faturamento_Zig!$F:$F,Aut_Faturamento_Zig!$E:$E,"Serviço",Aut_Faturamento_Zig!$D:$D,DRE!H$4)+SUMIFS(Aut_Ajustes_Manuais!$G:$G,Aut_Ajustes_Manuais!$I:$I,DRE!H$4,Aut_Ajustes_Manuais!$F:$F,"Serviço")</f>
        <v>0</v>
      </c>
      <c r="K13" s="237"/>
      <c r="L13" s="26">
        <f>SUMIFS(T_ORCAMENTOS!$E:$E,T_ORCAMENTOS!$C:$C,"Serviço",T_ORCAMENTOS!$H:$H,"2/2026")</f>
        <v>0</v>
      </c>
      <c r="M13" s="27">
        <f>SUMIFS(Aut_Faturamento_Zig!$F:$F,Aut_Faturamento_Zig!$E:$E,"Serviço",Aut_Faturamento_Zig!$D:$D,DRE!K$4)+SUMIFS(Aut_Ajustes_Manuais!$G:$G,Aut_Ajustes_Manuais!$I:$I,DRE!K$4,Aut_Ajustes_Manuais!$F:$F,"Serviço")</f>
        <v>0</v>
      </c>
      <c r="N13" s="237"/>
      <c r="O13" s="26">
        <f>SUMIFS(T_ORCAMENTOS!$E:$E,T_ORCAMENTOS!$C:$C,"Serviço",T_ORCAMENTOS!$H:$H,"3/2026")</f>
        <v>0</v>
      </c>
      <c r="P13" s="27">
        <f>SUMIFS(Aut_Faturamento_Zig!$F:$F,Aut_Faturamento_Zig!$E:$E,"Serviço",Aut_Faturamento_Zig!$D:$D,DRE!N$4)+SUMIFS(Aut_Ajustes_Manuais!$G:$G,Aut_Ajustes_Manuais!$I:$I,DRE!N$4,Aut_Ajustes_Manuais!$F:$F,"Serviço")</f>
        <v>0</v>
      </c>
      <c r="Q13" s="237"/>
      <c r="R13" s="26">
        <f>SUMIFS(T_ORCAMENTOS!$E:$E,T_ORCAMENTOS!$C:$C,"Serviço",T_ORCAMENTOS!$H:$H,"4/2026")</f>
        <v>0</v>
      </c>
      <c r="S13" s="27">
        <f>SUMIFS(Aut_Faturamento_Zig!$F:$F,Aut_Faturamento_Zig!$E:$E,"Serviço",Aut_Faturamento_Zig!$D:$D,DRE!Q$4)+SUMIFS(Aut_Ajustes_Manuais!$G:$G,Aut_Ajustes_Manuais!$I:$I,DRE!Q$4,Aut_Ajustes_Manuais!$F:$F,"Serviço")</f>
        <v>0</v>
      </c>
      <c r="T13" s="237"/>
      <c r="U13" s="26">
        <f>SUMIFS(T_ORCAMENTOS!$E:$E,T_ORCAMENTOS!$C:$C,"Serviço",T_ORCAMENTOS!$H:$H,"5/2026")</f>
        <v>0</v>
      </c>
      <c r="V13" s="27">
        <f>SUMIFS(Aut_Faturamento_Zig!$F:$F,Aut_Faturamento_Zig!$E:$E,"Serviço",Aut_Faturamento_Zig!$D:$D,DRE!T$4)+SUMIFS(Aut_Ajustes_Manuais!$G:$G,Aut_Ajustes_Manuais!$I:$I,DRE!T$4,Aut_Ajustes_Manuais!$F:$F,"Serviço")</f>
        <v>0</v>
      </c>
      <c r="W13" s="237"/>
      <c r="X13" s="26">
        <f>SUMIFS(T_ORCAMENTOS!$E:$E,T_ORCAMENTOS!$C:$C,"Serviço",T_ORCAMENTOS!$H:$H,"6/2026")</f>
        <v>0</v>
      </c>
      <c r="Y13" s="27">
        <f>SUMIFS(Aut_Faturamento_Zig!$F:$F,Aut_Faturamento_Zig!$E:$E,"Serviço",Aut_Faturamento_Zig!$D:$D,DRE!W$4)+SUMIFS(Aut_Ajustes_Manuais!$G:$G,Aut_Ajustes_Manuais!$I:$I,DRE!W$4,Aut_Ajustes_Manuais!$F:$F,"Serviço")</f>
        <v>0</v>
      </c>
      <c r="Z13" s="237"/>
      <c r="AA13" s="26">
        <f>SUMIFS(T_ORCAMENTOS!$E:$E,T_ORCAMENTOS!$C:$C,"Serviço",T_ORCAMENTOS!$H:$H,"7/2026")</f>
        <v>0</v>
      </c>
      <c r="AB13" s="27">
        <f>SUMIFS(Aut_Faturamento_Zig!$F:$F,Aut_Faturamento_Zig!$E:$E,"Serviço",Aut_Faturamento_Zig!$D:$D,DRE!Z$4)+SUMIFS(Aut_Ajustes_Manuais!$G:$G,Aut_Ajustes_Manuais!$I:$I,DRE!Z$4,Aut_Ajustes_Manuais!$F:$F,"Serviço")</f>
        <v>29390.720000000001</v>
      </c>
      <c r="AC13" s="237"/>
      <c r="AD13" s="26">
        <f>SUMIFS(T_ORCAMENTOS!$E:$E,T_ORCAMENTOS!$C:$C,"Serviço",T_ORCAMENTOS!$H:$H,"8/2026")</f>
        <v>411963.31</v>
      </c>
      <c r="AE13" s="27">
        <f>SUMIFS(Aut_Faturamento_Zig!$F:$F,Aut_Faturamento_Zig!$E:$E,"Serviço",Aut_Faturamento_Zig!$D:$D,DRE!AC$4)+SUMIFS(Aut_Ajustes_Manuais!$G:$G,Aut_Ajustes_Manuais!$I:$I,DRE!AC$4,Aut_Ajustes_Manuais!$F:$F,"Serviço")</f>
        <v>0</v>
      </c>
      <c r="AF13" s="237"/>
      <c r="AG13" s="26">
        <f>SUMIFS(T_ORCAMENTOS!$E:$E,T_ORCAMENTOS!$C:$C,"Serviço",T_ORCAMENTOS!$H:$H,"9/2026")</f>
        <v>392675.24</v>
      </c>
      <c r="AH13" s="27">
        <f>SUMIFS(Aut_Faturamento_Zig!$F:$F,Aut_Faturamento_Zig!$E:$E,"Serviço",Aut_Faturamento_Zig!$D:$D,DRE!AF$4)+SUMIFS(Aut_Ajustes_Manuais!$G:$G,Aut_Ajustes_Manuais!$I:$I,DRE!AF$4,Aut_Ajustes_Manuais!$F:$F,"Serviço")</f>
        <v>0</v>
      </c>
      <c r="AI13" s="237"/>
      <c r="AJ13" s="26">
        <f>SUMIFS(T_ORCAMENTOS!$E:$E,T_ORCAMENTOS!$C:$C,"Serviço",T_ORCAMENTOS!$H:$H,"10/2026")</f>
        <v>424817.93</v>
      </c>
      <c r="AK13" s="27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37"/>
      <c r="AM13" s="26">
        <f>SUMIFS(T_ORCAMENTOS!$E:$E,T_ORCAMENTOS!$C:$C,"Serviço",T_ORCAMENTOS!$H:$H,"11/2026")</f>
        <v>387647.49</v>
      </c>
      <c r="AN13" s="27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37"/>
      <c r="AP13" s="26">
        <f>SUMIFS(T_ORCAMENTOS!$E:$E,T_ORCAMENTOS!$C:$C,"Serviço",T_ORCAMENTOS!$H:$H,"12/2026")</f>
        <v>387220.84</v>
      </c>
      <c r="AQ13" s="27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37">
        <f t="shared" ca="1" si="1"/>
        <v>0</v>
      </c>
      <c r="AS13" s="26">
        <f t="shared" ca="1" si="2"/>
        <v>411963.31</v>
      </c>
      <c r="AT13" s="27">
        <f t="shared" ca="1" si="3"/>
        <v>29390.720000000001</v>
      </c>
      <c r="AU13" s="237">
        <f t="shared" si="4"/>
        <v>0</v>
      </c>
      <c r="AV13" s="26">
        <f t="shared" si="5"/>
        <v>2004324.81</v>
      </c>
      <c r="AW13" s="27">
        <f t="shared" si="6"/>
        <v>29390.720000000001</v>
      </c>
      <c r="AX13" s="237">
        <f t="shared" si="7"/>
        <v>0</v>
      </c>
      <c r="AY13" s="26">
        <f t="shared" si="8"/>
        <v>0</v>
      </c>
      <c r="AZ13" s="27">
        <f t="shared" si="9"/>
        <v>0</v>
      </c>
      <c r="BA13" s="237">
        <f t="shared" si="10"/>
        <v>0</v>
      </c>
      <c r="BB13" s="26">
        <f t="shared" si="11"/>
        <v>0</v>
      </c>
      <c r="BC13" s="27">
        <f t="shared" si="12"/>
        <v>0</v>
      </c>
      <c r="BD13" s="237">
        <f t="shared" si="13"/>
        <v>0</v>
      </c>
      <c r="BE13" s="26">
        <f t="shared" si="14"/>
        <v>804638.55</v>
      </c>
      <c r="BF13" s="27">
        <f t="shared" si="15"/>
        <v>29390.720000000001</v>
      </c>
      <c r="BG13" s="237">
        <f t="shared" si="16"/>
        <v>0</v>
      </c>
      <c r="BH13" s="26">
        <f t="shared" si="17"/>
        <v>1199686.26</v>
      </c>
      <c r="BI13" s="27">
        <f t="shared" si="18"/>
        <v>0</v>
      </c>
      <c r="BJ13" s="454"/>
    </row>
    <row r="14" spans="1:69" s="28" customFormat="1" hidden="1" outlineLevel="1" x14ac:dyDescent="0.3">
      <c r="A14" s="21" t="s">
        <v>23</v>
      </c>
      <c r="B14" s="22"/>
      <c r="C14" s="23" t="s">
        <v>14</v>
      </c>
      <c r="D14" s="23" t="s">
        <v>24</v>
      </c>
      <c r="E14" s="24"/>
      <c r="F14" s="431"/>
      <c r="G14" s="431"/>
      <c r="H14" s="237"/>
      <c r="I14" s="26">
        <f>SUMIFS(T_ORCAMENTOS!$E:$E,T_ORCAMENTOS!$C:$C,"Eventos A&amp;B",T_ORCAMENTOS!$H:$H,"1/2026")</f>
        <v>0</v>
      </c>
      <c r="J14" s="27">
        <f>SUMIFS(BD_Eventos_Novo!$J:$J,BD_Eventos_Novo!$AB:$AB,DRE!H$4)+SUMIFS(BD_Eventos_Novo!$K:$K,BD_Eventos_Novo!$AB:$AB,DRE!H$4)+SUMIFS(Aut_Ajustes_Manuais!$G:$G,Aut_Ajustes_Manuais!$I:$I,DRE!H$4,Aut_Ajustes_Manuais!$F:$F,"Eventos A&amp;B")</f>
        <v>0</v>
      </c>
      <c r="K14" s="237"/>
      <c r="L14" s="26">
        <f>SUMIFS(T_ORCAMENTOS!$E:$E,T_ORCAMENTOS!$C:$C,"Eventos A&amp;B",T_ORCAMENTOS!$H:$H,"2/2026")</f>
        <v>0</v>
      </c>
      <c r="M14" s="27">
        <f>SUMIFS(BD_Eventos_Novo!$J:$J,BD_Eventos_Novo!$AB:$AB,DRE!K$4)+SUMIFS(BD_Eventos_Novo!$K:$K,BD_Eventos_Novo!$AB:$AB,DRE!K$4)+SUMIFS(Aut_Ajustes_Manuais!$G:$G,Aut_Ajustes_Manuais!$I:$I,DRE!K$4,Aut_Ajustes_Manuais!$F:$F,"Eventos A&amp;B")</f>
        <v>0</v>
      </c>
      <c r="N14" s="237"/>
      <c r="O14" s="26">
        <f>SUMIFS(T_ORCAMENTOS!$E:$E,T_ORCAMENTOS!$C:$C,"Eventos A&amp;B",T_ORCAMENTOS!$H:$H,"3/2026")</f>
        <v>0</v>
      </c>
      <c r="P14" s="27">
        <f>SUMIFS(BD_Eventos_Novo!$J:$J,BD_Eventos_Novo!$AB:$AB,DRE!N$4)+SUMIFS(BD_Eventos_Novo!$K:$K,BD_Eventos_Novo!$AB:$AB,DRE!N$4)+SUMIFS(Aut_Ajustes_Manuais!$G:$G,Aut_Ajustes_Manuais!$I:$I,DRE!N$4,Aut_Ajustes_Manuais!$F:$F,"Eventos A&amp;B")</f>
        <v>0</v>
      </c>
      <c r="Q14" s="237"/>
      <c r="R14" s="26">
        <f>SUMIFS(T_ORCAMENTOS!$E:$E,T_ORCAMENTOS!$C:$C,"Eventos A&amp;B",T_ORCAMENTOS!$H:$H,"4/2026")</f>
        <v>0</v>
      </c>
      <c r="S14" s="27">
        <f>SUMIFS(BD_Eventos_Novo!$J:$J,BD_Eventos_Novo!$AB:$AB,DRE!Q$4)+SUMIFS(BD_Eventos_Novo!$K:$K,BD_Eventos_Novo!$AB:$AB,DRE!Q$4)+SUMIFS(Aut_Ajustes_Manuais!$G:$G,Aut_Ajustes_Manuais!$I:$I,DRE!Q$4,Aut_Ajustes_Manuais!$F:$F,"Eventos A&amp;B")</f>
        <v>0</v>
      </c>
      <c r="T14" s="237"/>
      <c r="U14" s="26">
        <f>SUMIFS(T_ORCAMENTOS!$E:$E,T_ORCAMENTOS!$C:$C,"Eventos A&amp;B",T_ORCAMENTOS!$H:$H,"5/2026")</f>
        <v>0</v>
      </c>
      <c r="V14" s="27">
        <f>SUMIFS(BD_Eventos_Novo!$J:$J,BD_Eventos_Novo!$AB:$AB,DRE!T$4)+SUMIFS(BD_Eventos_Novo!$K:$K,BD_Eventos_Novo!$AB:$AB,DRE!T$4)+SUMIFS(Aut_Ajustes_Manuais!$G:$G,Aut_Ajustes_Manuais!$I:$I,DRE!T$4,Aut_Ajustes_Manuais!$F:$F,"Eventos A&amp;B")</f>
        <v>0</v>
      </c>
      <c r="W14" s="237"/>
      <c r="X14" s="26">
        <f>SUMIFS(T_ORCAMENTOS!$E:$E,T_ORCAMENTOS!$C:$C,"Eventos A&amp;B",T_ORCAMENTOS!$H:$H,"6/2026")</f>
        <v>0</v>
      </c>
      <c r="Y14" s="27">
        <f>SUMIFS(BD_Eventos_Novo!$J:$J,BD_Eventos_Novo!$AB:$AB,DRE!W$4)+SUMIFS(BD_Eventos_Novo!$K:$K,BD_Eventos_Novo!$AB:$AB,DRE!W$4)+SUMIFS(Aut_Ajustes_Manuais!$G:$G,Aut_Ajustes_Manuais!$I:$I,DRE!W$4,Aut_Ajustes_Manuais!$F:$F,"Eventos A&amp;B")</f>
        <v>0</v>
      </c>
      <c r="Z14" s="237"/>
      <c r="AA14" s="26">
        <f>SUMIFS(T_ORCAMENTOS!$E:$E,T_ORCAMENTOS!$C:$C,"Eventos A&amp;B",T_ORCAMENTOS!$H:$H,"7/2026")</f>
        <v>0</v>
      </c>
      <c r="AB14" s="27">
        <f>SUMIFS(BD_Eventos_Novo!$J:$J,BD_Eventos_Novo!$AB:$AB,DRE!Z$4)+SUMIFS(BD_Eventos_Novo!$K:$K,BD_Eventos_Novo!$AB:$AB,DRE!Z$4)+SUMIFS(Aut_Ajustes_Manuais!$G:$G,Aut_Ajustes_Manuais!$I:$I,DRE!Z$4,Aut_Ajustes_Manuais!$F:$F,"Eventos A&amp;B")</f>
        <v>26850</v>
      </c>
      <c r="AC14" s="237"/>
      <c r="AD14" s="26">
        <f>SUMIFS(T_ORCAMENTOS!$E:$E,T_ORCAMENTOS!$C:$C,"Eventos A&amp;B",T_ORCAMENTOS!$H:$H,"8/2026")</f>
        <v>48750</v>
      </c>
      <c r="AE14" s="27">
        <f>SUMIFS(BD_Eventos_Novo!$J:$J,BD_Eventos_Novo!$AB:$AB,DRE!AC$4)+SUMIFS(BD_Eventos_Novo!$K:$K,BD_Eventos_Novo!$AB:$AB,DRE!AC$4)+SUMIFS(Aut_Ajustes_Manuais!$G:$G,Aut_Ajustes_Manuais!$I:$I,DRE!AC$4,Aut_Ajustes_Manuais!$F:$F,"Eventos A&amp;B")</f>
        <v>0</v>
      </c>
      <c r="AF14" s="237"/>
      <c r="AG14" s="26">
        <f>SUMIFS(T_ORCAMENTOS!$E:$E,T_ORCAMENTOS!$C:$C,"Eventos A&amp;B",T_ORCAMENTOS!$H:$H,"9/2026")</f>
        <v>97500</v>
      </c>
      <c r="AH14" s="27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37"/>
      <c r="AJ14" s="26">
        <f>SUMIFS(T_ORCAMENTOS!$E:$E,T_ORCAMENTOS!$C:$C,"Eventos A&amp;B",T_ORCAMENTOS!$H:$H,"10/2026")</f>
        <v>146250</v>
      </c>
      <c r="AK14" s="27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37"/>
      <c r="AM14" s="26">
        <f>SUMIFS(T_ORCAMENTOS!$E:$E,T_ORCAMENTOS!$C:$C,"Eventos A&amp;B",T_ORCAMENTOS!$H:$H,"11/2026")</f>
        <v>165750</v>
      </c>
      <c r="AN14" s="27">
        <f>SUMIFS(BD_Eventos_Novo!$J:$J,BD_Eventos_Novo!$AB:$AB,DRE!AL$4)+SUMIFS(BD_Eventos_Novo!$K:$K,BD_Eventos_Novo!$AB:$AB,DRE!AL$4)+SUMIFS(Aut_Ajustes_Manuais!$G:$G,Aut_Ajustes_Manuais!$I:$I,DRE!AL$4,Aut_Ajustes_Manuais!$F:$F,"Eventos A&amp;B")</f>
        <v>0</v>
      </c>
      <c r="AO14" s="237"/>
      <c r="AP14" s="26">
        <f>SUMIFS(T_ORCAMENTOS!$E:$E,T_ORCAMENTOS!$C:$C,"Eventos A&amp;B",T_ORCAMENTOS!$H:$H,"12/2026")</f>
        <v>450125</v>
      </c>
      <c r="AQ14" s="27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37">
        <f t="shared" ca="1" si="1"/>
        <v>0</v>
      </c>
      <c r="AS14" s="26">
        <f t="shared" ca="1" si="2"/>
        <v>48750</v>
      </c>
      <c r="AT14" s="27">
        <f t="shared" ca="1" si="3"/>
        <v>26850</v>
      </c>
      <c r="AU14" s="237">
        <f t="shared" si="4"/>
        <v>0</v>
      </c>
      <c r="AV14" s="26">
        <f t="shared" si="5"/>
        <v>908375</v>
      </c>
      <c r="AW14" s="27">
        <f t="shared" si="6"/>
        <v>26850</v>
      </c>
      <c r="AX14" s="237">
        <f t="shared" si="7"/>
        <v>0</v>
      </c>
      <c r="AY14" s="26">
        <f t="shared" si="8"/>
        <v>0</v>
      </c>
      <c r="AZ14" s="27">
        <f t="shared" si="9"/>
        <v>0</v>
      </c>
      <c r="BA14" s="237">
        <f t="shared" si="10"/>
        <v>0</v>
      </c>
      <c r="BB14" s="26">
        <f t="shared" si="11"/>
        <v>0</v>
      </c>
      <c r="BC14" s="27">
        <f t="shared" si="12"/>
        <v>0</v>
      </c>
      <c r="BD14" s="237">
        <f t="shared" si="13"/>
        <v>0</v>
      </c>
      <c r="BE14" s="26">
        <f t="shared" si="14"/>
        <v>146250</v>
      </c>
      <c r="BF14" s="27">
        <f t="shared" si="15"/>
        <v>26850</v>
      </c>
      <c r="BG14" s="237">
        <f t="shared" si="16"/>
        <v>0</v>
      </c>
      <c r="BH14" s="26">
        <f t="shared" si="17"/>
        <v>762125</v>
      </c>
      <c r="BI14" s="27">
        <f t="shared" si="18"/>
        <v>0</v>
      </c>
      <c r="BJ14" s="454"/>
    </row>
    <row r="15" spans="1:69" s="28" customFormat="1" hidden="1" outlineLevel="1" x14ac:dyDescent="0.3">
      <c r="A15" s="21" t="s">
        <v>25</v>
      </c>
      <c r="B15" s="22"/>
      <c r="C15" s="23" t="s">
        <v>14</v>
      </c>
      <c r="D15" s="23" t="s">
        <v>24</v>
      </c>
      <c r="E15" s="24"/>
      <c r="F15" s="431"/>
      <c r="G15" s="431"/>
      <c r="H15" s="237"/>
      <c r="I15" s="26">
        <f>SUMIFS(T_ORCAMENTOS!$E:$E,T_ORCAMENTOS!$C:$C,"Eventos Couvert",T_ORCAMENTOS!$H:$H,"1/2026")</f>
        <v>0</v>
      </c>
      <c r="J15" s="27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0</v>
      </c>
      <c r="K15" s="237"/>
      <c r="L15" s="26">
        <f>SUMIFS(T_ORCAMENTOS!$E:$E,T_ORCAMENTOS!$C:$C,"Eventos Couvert",T_ORCAMENTOS!$H:$H,"2/2026")</f>
        <v>0</v>
      </c>
      <c r="M15" s="27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0</v>
      </c>
      <c r="N15" s="237"/>
      <c r="O15" s="26">
        <f>SUMIFS(T_ORCAMENTOS!$E:$E,T_ORCAMENTOS!$C:$C,"Eventos Couvert",T_ORCAMENTOS!$H:$H,"3/2026")</f>
        <v>0</v>
      </c>
      <c r="P15" s="27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0</v>
      </c>
      <c r="Q15" s="237"/>
      <c r="R15" s="26">
        <f>SUMIFS(T_ORCAMENTOS!$E:$E,T_ORCAMENTOS!$C:$C,"Eventos Couvert",T_ORCAMENTOS!$H:$H,"4/2026")</f>
        <v>0</v>
      </c>
      <c r="S15" s="27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37"/>
      <c r="U15" s="26">
        <f>SUMIFS(T_ORCAMENTOS!$E:$E,T_ORCAMENTOS!$C:$C,"Eventos Couvert",T_ORCAMENTOS!$H:$H,"5/2026")</f>
        <v>0</v>
      </c>
      <c r="V15" s="27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37"/>
      <c r="X15" s="26">
        <f>SUMIFS(T_ORCAMENTOS!$E:$E,T_ORCAMENTOS!$C:$C,"Eventos Couvert",T_ORCAMENTOS!$H:$H,"6/2026")</f>
        <v>0</v>
      </c>
      <c r="Y15" s="27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37"/>
      <c r="AA15" s="26">
        <f>SUMIFS(T_ORCAMENTOS!$E:$E,T_ORCAMENTOS!$C:$C,"Eventos Couvert",T_ORCAMENTOS!$H:$H,"7/2026")</f>
        <v>0</v>
      </c>
      <c r="AB15" s="27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13500</v>
      </c>
      <c r="AC15" s="237"/>
      <c r="AD15" s="26">
        <f>SUMIFS(T_ORCAMENTOS!$E:$E,T_ORCAMENTOS!$C:$C,"Eventos Couvert",T_ORCAMENTOS!$H:$H,"8/2026")</f>
        <v>11250</v>
      </c>
      <c r="AE15" s="27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37"/>
      <c r="AG15" s="26">
        <f>SUMIFS(T_ORCAMENTOS!$E:$E,T_ORCAMENTOS!$C:$C,"Eventos Couvert",T_ORCAMENTOS!$H:$H,"9/2026")</f>
        <v>22500</v>
      </c>
      <c r="AH15" s="27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37"/>
      <c r="AJ15" s="26">
        <f>SUMIFS(T_ORCAMENTOS!$E:$E,T_ORCAMENTOS!$C:$C,"Eventos Couvert",T_ORCAMENTOS!$H:$H,"10/2026")</f>
        <v>33750</v>
      </c>
      <c r="AK15" s="27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37"/>
      <c r="AM15" s="26">
        <f>SUMIFS(T_ORCAMENTOS!$E:$E,T_ORCAMENTOS!$C:$C,"Eventos Couvert",T_ORCAMENTOS!$H:$H,"11/2026")</f>
        <v>38250</v>
      </c>
      <c r="AN15" s="27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37"/>
      <c r="AP15" s="26">
        <f>SUMIFS(T_ORCAMENTOS!$E:$E,T_ORCAMENTOS!$C:$C,"Eventos Couvert",T_ORCAMENTOS!$H:$H,"12/2026")</f>
        <v>103875</v>
      </c>
      <c r="AQ15" s="27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37">
        <f t="shared" ca="1" si="1"/>
        <v>0</v>
      </c>
      <c r="AS15" s="26">
        <f t="shared" ca="1" si="2"/>
        <v>11250</v>
      </c>
      <c r="AT15" s="27">
        <f t="shared" ca="1" si="3"/>
        <v>13500</v>
      </c>
      <c r="AU15" s="237">
        <f t="shared" si="4"/>
        <v>0</v>
      </c>
      <c r="AV15" s="26">
        <f t="shared" si="5"/>
        <v>209625</v>
      </c>
      <c r="AW15" s="27">
        <f t="shared" si="6"/>
        <v>13500</v>
      </c>
      <c r="AX15" s="237">
        <f t="shared" si="7"/>
        <v>0</v>
      </c>
      <c r="AY15" s="26">
        <f t="shared" si="8"/>
        <v>0</v>
      </c>
      <c r="AZ15" s="27">
        <f t="shared" si="9"/>
        <v>0</v>
      </c>
      <c r="BA15" s="237">
        <f t="shared" si="10"/>
        <v>0</v>
      </c>
      <c r="BB15" s="26">
        <f t="shared" si="11"/>
        <v>0</v>
      </c>
      <c r="BC15" s="27">
        <f t="shared" si="12"/>
        <v>0</v>
      </c>
      <c r="BD15" s="237">
        <f t="shared" si="13"/>
        <v>0</v>
      </c>
      <c r="BE15" s="26">
        <f t="shared" si="14"/>
        <v>33750</v>
      </c>
      <c r="BF15" s="27">
        <f t="shared" si="15"/>
        <v>13500</v>
      </c>
      <c r="BG15" s="237">
        <f t="shared" si="16"/>
        <v>0</v>
      </c>
      <c r="BH15" s="26">
        <f t="shared" si="17"/>
        <v>175875</v>
      </c>
      <c r="BI15" s="27">
        <f t="shared" si="18"/>
        <v>0</v>
      </c>
      <c r="BJ15" s="454"/>
    </row>
    <row r="16" spans="1:69" s="28" customFormat="1" hidden="1" outlineLevel="1" x14ac:dyDescent="0.3">
      <c r="A16" s="21" t="s">
        <v>26</v>
      </c>
      <c r="B16" s="22"/>
      <c r="C16" s="23" t="s">
        <v>14</v>
      </c>
      <c r="D16" s="23" t="s">
        <v>24</v>
      </c>
      <c r="E16" s="24"/>
      <c r="F16" s="431"/>
      <c r="G16" s="431"/>
      <c r="H16" s="237"/>
      <c r="I16" s="26">
        <f>SUMIFS(T_ORCAMENTOS!$E:$E,T_ORCAMENTOS!$C:$C,"Eventos Locações",T_ORCAMENTOS!$H:$H,"1/2026")</f>
        <v>0</v>
      </c>
      <c r="J16" s="27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0</v>
      </c>
      <c r="K16" s="237"/>
      <c r="L16" s="26">
        <f>SUMIFS(T_ORCAMENTOS!$E:$E,T_ORCAMENTOS!$C:$C,"Eventos Locações",T_ORCAMENTOS!$H:$H,"2/2026")</f>
        <v>0</v>
      </c>
      <c r="M16" s="27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0</v>
      </c>
      <c r="N16" s="237"/>
      <c r="O16" s="26">
        <f>SUMIFS(T_ORCAMENTOS!$E:$E,T_ORCAMENTOS!$C:$C,"Eventos Locações",T_ORCAMENTOS!$H:$H,"3/2026")</f>
        <v>0</v>
      </c>
      <c r="P16" s="27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0</v>
      </c>
      <c r="Q16" s="237"/>
      <c r="R16" s="26">
        <f>SUMIFS(T_ORCAMENTOS!$E:$E,T_ORCAMENTOS!$C:$C,"Eventos Locações",T_ORCAMENTOS!$H:$H,"4/2026")</f>
        <v>0</v>
      </c>
      <c r="S16" s="27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0</v>
      </c>
      <c r="T16" s="237"/>
      <c r="U16" s="26">
        <f>SUMIFS(T_ORCAMENTOS!$E:$E,T_ORCAMENTOS!$C:$C,"Eventos Locações",T_ORCAMENTOS!$H:$H,"5/2026")</f>
        <v>0</v>
      </c>
      <c r="V16" s="27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0</v>
      </c>
      <c r="W16" s="237"/>
      <c r="X16" s="26">
        <f>SUMIFS(T_ORCAMENTOS!$E:$E,T_ORCAMENTOS!$C:$C,"Eventos Locações",T_ORCAMENTOS!$H:$H,"6/2026")</f>
        <v>0</v>
      </c>
      <c r="Y16" s="27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0</v>
      </c>
      <c r="Z16" s="237"/>
      <c r="AA16" s="26">
        <f>SUMIFS(T_ORCAMENTOS!$E:$E,T_ORCAMENTOS!$C:$C,"Eventos Locações",T_ORCAMENTOS!$H:$H,"7/2026")</f>
        <v>0</v>
      </c>
      <c r="AB16" s="27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0</v>
      </c>
      <c r="AC16" s="237"/>
      <c r="AD16" s="26">
        <f>SUMIFS(T_ORCAMENTOS!$E:$E,T_ORCAMENTOS!$C:$C,"Eventos Locações",T_ORCAMENTOS!$H:$H,"8/2026")</f>
        <v>15000</v>
      </c>
      <c r="AE16" s="27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0</v>
      </c>
      <c r="AF16" s="237"/>
      <c r="AG16" s="26">
        <f>SUMIFS(T_ORCAMENTOS!$E:$E,T_ORCAMENTOS!$C:$C,"Eventos Locações",T_ORCAMENTOS!$H:$H,"9/2026")</f>
        <v>30000</v>
      </c>
      <c r="AH16" s="27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37"/>
      <c r="AJ16" s="26">
        <f>SUMIFS(T_ORCAMENTOS!$E:$E,T_ORCAMENTOS!$C:$C,"Eventos Locações",T_ORCAMENTOS!$H:$H,"10/2026")</f>
        <v>45000</v>
      </c>
      <c r="AK16" s="27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37"/>
      <c r="AM16" s="26">
        <f>SUMIFS(T_ORCAMENTOS!$E:$E,T_ORCAMENTOS!$C:$C,"Eventos Locações",T_ORCAMENTOS!$H:$H,"11/2026")</f>
        <v>51000</v>
      </c>
      <c r="AN16" s="27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0</v>
      </c>
      <c r="AO16" s="237"/>
      <c r="AP16" s="26">
        <f>SUMIFS(T_ORCAMENTOS!$E:$E,T_ORCAMENTOS!$C:$C,"Eventos Locações",T_ORCAMENTOS!$H:$H,"12/2026")</f>
        <v>138500</v>
      </c>
      <c r="AQ16" s="27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37">
        <f t="shared" ca="1" si="1"/>
        <v>0</v>
      </c>
      <c r="AS16" s="26">
        <f t="shared" ca="1" si="2"/>
        <v>15000</v>
      </c>
      <c r="AT16" s="27">
        <f t="shared" ca="1" si="3"/>
        <v>0</v>
      </c>
      <c r="AU16" s="237">
        <f t="shared" si="4"/>
        <v>0</v>
      </c>
      <c r="AV16" s="26">
        <f t="shared" si="5"/>
        <v>279500</v>
      </c>
      <c r="AW16" s="27">
        <f t="shared" si="6"/>
        <v>0</v>
      </c>
      <c r="AX16" s="237">
        <f t="shared" si="7"/>
        <v>0</v>
      </c>
      <c r="AY16" s="26">
        <f t="shared" si="8"/>
        <v>0</v>
      </c>
      <c r="AZ16" s="27">
        <f t="shared" si="9"/>
        <v>0</v>
      </c>
      <c r="BA16" s="237">
        <f t="shared" si="10"/>
        <v>0</v>
      </c>
      <c r="BB16" s="26">
        <f t="shared" si="11"/>
        <v>0</v>
      </c>
      <c r="BC16" s="27">
        <f t="shared" si="12"/>
        <v>0</v>
      </c>
      <c r="BD16" s="237">
        <f t="shared" si="13"/>
        <v>0</v>
      </c>
      <c r="BE16" s="26">
        <f t="shared" si="14"/>
        <v>45000</v>
      </c>
      <c r="BF16" s="27">
        <f t="shared" si="15"/>
        <v>0</v>
      </c>
      <c r="BG16" s="237">
        <f t="shared" si="16"/>
        <v>0</v>
      </c>
      <c r="BH16" s="26">
        <f t="shared" si="17"/>
        <v>234500</v>
      </c>
      <c r="BI16" s="27">
        <f t="shared" si="18"/>
        <v>0</v>
      </c>
      <c r="BJ16" s="454"/>
    </row>
    <row r="17" spans="1:66" s="28" customFormat="1" hidden="1" outlineLevel="1" x14ac:dyDescent="0.3">
      <c r="A17" s="21" t="s">
        <v>27</v>
      </c>
      <c r="B17" s="22"/>
      <c r="C17" s="23" t="s">
        <v>14</v>
      </c>
      <c r="D17" s="30" t="s">
        <v>28</v>
      </c>
      <c r="E17" s="31"/>
      <c r="F17" s="431"/>
      <c r="G17" s="431"/>
      <c r="H17" s="237"/>
      <c r="I17" s="26">
        <f>SUMIFS(T_ORCAMENTOS!$E:$E,T_ORCAMENTOS!$C:$C,"Eventos Rebate Fornecedores",T_ORCAMENTOS!$H:$H,"1/2026")</f>
        <v>0</v>
      </c>
      <c r="J17" s="27">
        <v>0</v>
      </c>
      <c r="K17" s="237"/>
      <c r="L17" s="26">
        <f>SUMIFS(T_ORCAMENTOS!$E:$E,T_ORCAMENTOS!$C:$C,"Eventos Rebate Fornecedores",T_ORCAMENTOS!$H:$H,"2/2026")</f>
        <v>0</v>
      </c>
      <c r="M17" s="27">
        <v>0</v>
      </c>
      <c r="N17" s="237"/>
      <c r="O17" s="26">
        <f>SUMIFS(T_ORCAMENTOS!$E:$E,T_ORCAMENTOS!$C:$C,"Eventos Rebate Fornecedores",T_ORCAMENTOS!$H:$H,"3/2026")</f>
        <v>0</v>
      </c>
      <c r="P17" s="27">
        <v>0</v>
      </c>
      <c r="Q17" s="237"/>
      <c r="R17" s="26">
        <f>SUMIFS(T_ORCAMENTOS!$E:$E,T_ORCAMENTOS!$C:$C,"Eventos Rebate Fornecedores",T_ORCAMENTOS!$H:$H,"4/2026")</f>
        <v>0</v>
      </c>
      <c r="S17" s="27">
        <v>0</v>
      </c>
      <c r="T17" s="237"/>
      <c r="U17" s="26">
        <f>SUMIFS(T_ORCAMENTOS!$E:$E,T_ORCAMENTOS!$C:$C,"Eventos Rebate Fornecedores",T_ORCAMENTOS!$H:$H,"5/2026")</f>
        <v>0</v>
      </c>
      <c r="V17" s="27">
        <v>0</v>
      </c>
      <c r="W17" s="237"/>
      <c r="X17" s="26">
        <f>SUMIFS(T_ORCAMENTOS!$E:$E,T_ORCAMENTOS!$C:$C,"Eventos Rebate Fornecedores",T_ORCAMENTOS!$H:$H,"6/2026")</f>
        <v>0</v>
      </c>
      <c r="Y17" s="27">
        <v>0</v>
      </c>
      <c r="Z17" s="237"/>
      <c r="AA17" s="26">
        <f>SUMIFS(T_ORCAMENTOS!$E:$E,T_ORCAMENTOS!$C:$C,"Eventos Rebate Fornecedores",T_ORCAMENTOS!$H:$H,"7/2026")</f>
        <v>0</v>
      </c>
      <c r="AB17" s="27">
        <v>0</v>
      </c>
      <c r="AC17" s="237"/>
      <c r="AD17" s="26">
        <f>SUMIFS(T_ORCAMENTOS!$E:$E,T_ORCAMENTOS!$C:$C,"Eventos Rebate Fornecedores",T_ORCAMENTOS!$H:$H,"8/2026")</f>
        <v>0</v>
      </c>
      <c r="AE17" s="27">
        <v>0</v>
      </c>
      <c r="AF17" s="237"/>
      <c r="AG17" s="26">
        <f>SUMIFS(T_ORCAMENTOS!$E:$E,T_ORCAMENTOS!$C:$C,"Eventos Rebate Fornecedores",T_ORCAMENTOS!$H:$H,"9/2026")</f>
        <v>0</v>
      </c>
      <c r="AH17" s="27">
        <v>0</v>
      </c>
      <c r="AI17" s="237"/>
      <c r="AJ17" s="26">
        <f>SUMIFS(T_ORCAMENTOS!$E:$E,T_ORCAMENTOS!$C:$C,"Eventos Rebate Fornecedores",T_ORCAMENTOS!$H:$H,"10/2026")</f>
        <v>0</v>
      </c>
      <c r="AK17" s="27">
        <v>0</v>
      </c>
      <c r="AL17" s="237"/>
      <c r="AM17" s="26">
        <f>SUMIFS(T_ORCAMENTOS!$E:$E,T_ORCAMENTOS!$C:$C,"Eventos Rebate Fornecedores",T_ORCAMENTOS!$H:$H,"11/2026")</f>
        <v>0</v>
      </c>
      <c r="AN17" s="27">
        <v>0</v>
      </c>
      <c r="AO17" s="237"/>
      <c r="AP17" s="26">
        <f>SUMIFS(T_ORCAMENTOS!$E:$E,T_ORCAMENTOS!$C:$C,"Eventos Rebate Fornecedores",T_ORCAMENTOS!$H:$H,"12/2026")</f>
        <v>0</v>
      </c>
      <c r="AQ17" s="27">
        <v>0</v>
      </c>
      <c r="AR17" s="237">
        <f t="shared" ca="1" si="1"/>
        <v>0</v>
      </c>
      <c r="AS17" s="26">
        <f t="shared" ca="1" si="2"/>
        <v>0</v>
      </c>
      <c r="AT17" s="27">
        <f t="shared" ca="1" si="3"/>
        <v>0</v>
      </c>
      <c r="AU17" s="237">
        <f t="shared" si="4"/>
        <v>0</v>
      </c>
      <c r="AV17" s="26">
        <f t="shared" si="5"/>
        <v>0</v>
      </c>
      <c r="AW17" s="27">
        <f t="shared" si="6"/>
        <v>0</v>
      </c>
      <c r="AX17" s="237">
        <f t="shared" si="7"/>
        <v>0</v>
      </c>
      <c r="AY17" s="26">
        <f t="shared" si="8"/>
        <v>0</v>
      </c>
      <c r="AZ17" s="27">
        <f t="shared" si="9"/>
        <v>0</v>
      </c>
      <c r="BA17" s="237">
        <f t="shared" si="10"/>
        <v>0</v>
      </c>
      <c r="BB17" s="26">
        <f t="shared" si="11"/>
        <v>0</v>
      </c>
      <c r="BC17" s="27">
        <f t="shared" si="12"/>
        <v>0</v>
      </c>
      <c r="BD17" s="237">
        <f t="shared" si="13"/>
        <v>0</v>
      </c>
      <c r="BE17" s="26">
        <f t="shared" si="14"/>
        <v>0</v>
      </c>
      <c r="BF17" s="27">
        <f t="shared" si="15"/>
        <v>0</v>
      </c>
      <c r="BG17" s="237">
        <f t="shared" si="16"/>
        <v>0</v>
      </c>
      <c r="BH17" s="26">
        <f t="shared" si="17"/>
        <v>0</v>
      </c>
      <c r="BI17" s="27">
        <f t="shared" si="18"/>
        <v>0</v>
      </c>
      <c r="BJ17" s="454"/>
    </row>
    <row r="18" spans="1:66" s="28" customFormat="1" hidden="1" outlineLevel="1" x14ac:dyDescent="0.3">
      <c r="A18" s="21" t="s">
        <v>29</v>
      </c>
      <c r="B18" s="22"/>
      <c r="C18" s="23" t="s">
        <v>14</v>
      </c>
      <c r="D18" s="23" t="s">
        <v>30</v>
      </c>
      <c r="E18" s="24"/>
      <c r="F18" s="431"/>
      <c r="G18" s="431"/>
      <c r="H18" s="237"/>
      <c r="I18" s="26">
        <f>SUMIFS(T_ORCAMENTOS!$E:$E,T_ORCAMENTOS!$C:$C,"Delivery",T_ORCAMENTOS!$H:$H,"1/2026")</f>
        <v>0</v>
      </c>
      <c r="J18" s="27">
        <f>SUMIFS(Aut_Faturamento_Zig_Delivery!$F:$F,Aut_Faturamento_Zig_Delivery!$D:$D,DRE!H$4)+SUMIFS(Aut_Ajustes_Manuais!$G:$G,Aut_Ajustes_Manuais!$I:$I,DRE!H$4,Aut_Ajustes_Manuais!$F:$F,"Delivery")</f>
        <v>0</v>
      </c>
      <c r="K18" s="237"/>
      <c r="L18" s="26">
        <f>SUMIFS(T_ORCAMENTOS!$E:$E,T_ORCAMENTOS!$C:$C,"Delivery",T_ORCAMENTOS!$H:$H,"2/2026")</f>
        <v>0</v>
      </c>
      <c r="M18" s="27">
        <f>SUMIFS(Aut_Faturamento_Zig_Delivery!$F:$F,Aut_Faturamento_Zig_Delivery!$D:$D,DRE!K$4)+SUMIFS(Aut_Ajustes_Manuais!$G:$G,Aut_Ajustes_Manuais!$I:$I,DRE!K$4,Aut_Ajustes_Manuais!$F:$F,"Delivery")</f>
        <v>0</v>
      </c>
      <c r="N18" s="237"/>
      <c r="O18" s="26">
        <f>SUMIFS(T_ORCAMENTOS!$E:$E,T_ORCAMENTOS!$C:$C,"Delivery",T_ORCAMENTOS!$H:$H,"3/2026")</f>
        <v>0</v>
      </c>
      <c r="P18" s="27">
        <f>SUMIFS(Aut_Faturamento_Zig_Delivery!$F:$F,Aut_Faturamento_Zig_Delivery!$D:$D,DRE!N$4)+SUMIFS(Aut_Ajustes_Manuais!$G:$G,Aut_Ajustes_Manuais!$I:$I,DRE!N$4,Aut_Ajustes_Manuais!$F:$F,"Delivery")</f>
        <v>0</v>
      </c>
      <c r="Q18" s="237"/>
      <c r="R18" s="26">
        <f>SUMIFS(T_ORCAMENTOS!$E:$E,T_ORCAMENTOS!$C:$C,"Delivery",T_ORCAMENTOS!$H:$H,"4/2026")</f>
        <v>0</v>
      </c>
      <c r="S18" s="27">
        <f>SUMIFS(Aut_Faturamento_Zig_Delivery!$F:$F,Aut_Faturamento_Zig_Delivery!$D:$D,DRE!Q$4)+SUMIFS(Aut_Ajustes_Manuais!$G:$G,Aut_Ajustes_Manuais!$I:$I,DRE!Q$4,Aut_Ajustes_Manuais!$F:$F,"Delivery")</f>
        <v>0</v>
      </c>
      <c r="T18" s="237"/>
      <c r="U18" s="26">
        <f>SUMIFS(T_ORCAMENTOS!$E:$E,T_ORCAMENTOS!$C:$C,"Delivery",T_ORCAMENTOS!$H:$H,"5/2026")</f>
        <v>0</v>
      </c>
      <c r="V18" s="27">
        <f>SUMIFS(Aut_Faturamento_Zig_Delivery!$F:$F,Aut_Faturamento_Zig_Delivery!$D:$D,DRE!T$4)+SUMIFS(Aut_Ajustes_Manuais!$G:$G,Aut_Ajustes_Manuais!$I:$I,DRE!T$4,Aut_Ajustes_Manuais!$F:$F,"Delivery")</f>
        <v>0</v>
      </c>
      <c r="W18" s="237"/>
      <c r="X18" s="26">
        <f>SUMIFS(T_ORCAMENTOS!$E:$E,T_ORCAMENTOS!$C:$C,"Delivery",T_ORCAMENTOS!$H:$H,"6/2026")</f>
        <v>0</v>
      </c>
      <c r="Y18" s="27">
        <f>SUMIFS(Aut_Faturamento_Zig_Delivery!$F:$F,Aut_Faturamento_Zig_Delivery!$D:$D,DRE!W$4)+SUMIFS(Aut_Ajustes_Manuais!$G:$G,Aut_Ajustes_Manuais!$I:$I,DRE!W$4,Aut_Ajustes_Manuais!$F:$F,"Delivery")</f>
        <v>0</v>
      </c>
      <c r="Z18" s="237"/>
      <c r="AA18" s="26">
        <f>SUMIFS(T_ORCAMENTOS!$E:$E,T_ORCAMENTOS!$C:$C,"Delivery",T_ORCAMENTOS!$H:$H,"7/2026")</f>
        <v>0</v>
      </c>
      <c r="AB18" s="27">
        <f>SUMIFS(Aut_Faturamento_Zig_Delivery!$F:$F,Aut_Faturamento_Zig_Delivery!$D:$D,DRE!Z$4)+SUMIFS(Aut_Ajustes_Manuais!$G:$G,Aut_Ajustes_Manuais!$I:$I,DRE!Z$4,Aut_Ajustes_Manuais!$F:$F,"Delivery")</f>
        <v>0</v>
      </c>
      <c r="AC18" s="237"/>
      <c r="AD18" s="26">
        <f>SUMIFS(T_ORCAMENTOS!$E:$E,T_ORCAMENTOS!$C:$C,"Delivery",T_ORCAMENTOS!$H:$H,"8/2026")</f>
        <v>0</v>
      </c>
      <c r="AE18" s="27">
        <f>SUMIFS(Aut_Faturamento_Zig_Delivery!$F:$F,Aut_Faturamento_Zig_Delivery!$D:$D,DRE!AC$4)+SUMIFS(Aut_Ajustes_Manuais!$G:$G,Aut_Ajustes_Manuais!$I:$I,DRE!AC$4,Aut_Ajustes_Manuais!$F:$F,"Delivery")</f>
        <v>0</v>
      </c>
      <c r="AF18" s="237"/>
      <c r="AG18" s="26">
        <f>SUMIFS(T_ORCAMENTOS!$E:$E,T_ORCAMENTOS!$C:$C,"Delivery",T_ORCAMENTOS!$H:$H,"9/2026")</f>
        <v>0</v>
      </c>
      <c r="AH18" s="27">
        <f>SUMIFS(Aut_Faturamento_Zig_Delivery!$F:$F,Aut_Faturamento_Zig_Delivery!$D:$D,DRE!AF$4)+SUMIFS(Aut_Ajustes_Manuais!$G:$G,Aut_Ajustes_Manuais!$I:$I,DRE!AF$4,Aut_Ajustes_Manuais!$F:$F,"Delivery")</f>
        <v>0</v>
      </c>
      <c r="AI18" s="237"/>
      <c r="AJ18" s="26">
        <f>SUMIFS(T_ORCAMENTOS!$E:$E,T_ORCAMENTOS!$C:$C,"Delivery",T_ORCAMENTOS!$H:$H,"10/2026")</f>
        <v>0</v>
      </c>
      <c r="AK18" s="27">
        <f>SUMIFS(Aut_Faturamento_Zig_Delivery!$F:$F,Aut_Faturamento_Zig_Delivery!$D:$D,DRE!AI$4)+SUMIFS(Aut_Ajustes_Manuais!$G:$G,Aut_Ajustes_Manuais!$I:$I,DRE!AI$4,Aut_Ajustes_Manuais!$F:$F,"Delivery")</f>
        <v>0</v>
      </c>
      <c r="AL18" s="237"/>
      <c r="AM18" s="26">
        <f>SUMIFS(T_ORCAMENTOS!$E:$E,T_ORCAMENTOS!$C:$C,"Delivery",T_ORCAMENTOS!$H:$H,"11/2026")</f>
        <v>0</v>
      </c>
      <c r="AN18" s="27">
        <f>SUMIFS(Aut_Faturamento_Zig_Delivery!$F:$F,Aut_Faturamento_Zig_Delivery!$D:$D,DRE!AL$4)+SUMIFS(Aut_Ajustes_Manuais!$G:$G,Aut_Ajustes_Manuais!$I:$I,DRE!AL$4,Aut_Ajustes_Manuais!$F:$F,"Delivery")</f>
        <v>0</v>
      </c>
      <c r="AO18" s="237"/>
      <c r="AP18" s="26">
        <f>SUMIFS(T_ORCAMENTOS!$E:$E,T_ORCAMENTOS!$C:$C,"Delivery",T_ORCAMENTOS!$H:$H,"12/2026")</f>
        <v>0</v>
      </c>
      <c r="AQ18" s="27">
        <f>SUMIFS(Aut_Faturamento_Zig_Delivery!$F:$F,Aut_Faturamento_Zig_Delivery!$D:$D,DRE!AO$4)+SUMIFS(Aut_Ajustes_Manuais!$G:$G,Aut_Ajustes_Manuais!$I:$I,DRE!AO$4,Aut_Ajustes_Manuais!$F:$F,"Delivery")</f>
        <v>0</v>
      </c>
      <c r="AR18" s="237">
        <f t="shared" ca="1" si="1"/>
        <v>0</v>
      </c>
      <c r="AS18" s="26">
        <f t="shared" ca="1" si="2"/>
        <v>0</v>
      </c>
      <c r="AT18" s="27">
        <f t="shared" ca="1" si="3"/>
        <v>0</v>
      </c>
      <c r="AU18" s="237">
        <f t="shared" si="4"/>
        <v>0</v>
      </c>
      <c r="AV18" s="26">
        <f t="shared" si="5"/>
        <v>0</v>
      </c>
      <c r="AW18" s="27">
        <f t="shared" si="6"/>
        <v>0</v>
      </c>
      <c r="AX18" s="237">
        <f t="shared" si="7"/>
        <v>0</v>
      </c>
      <c r="AY18" s="26">
        <f t="shared" si="8"/>
        <v>0</v>
      </c>
      <c r="AZ18" s="27">
        <f t="shared" si="9"/>
        <v>0</v>
      </c>
      <c r="BA18" s="237">
        <f t="shared" si="10"/>
        <v>0</v>
      </c>
      <c r="BB18" s="26">
        <f t="shared" si="11"/>
        <v>0</v>
      </c>
      <c r="BC18" s="27">
        <f t="shared" si="12"/>
        <v>0</v>
      </c>
      <c r="BD18" s="237">
        <f t="shared" si="13"/>
        <v>0</v>
      </c>
      <c r="BE18" s="26">
        <f t="shared" si="14"/>
        <v>0</v>
      </c>
      <c r="BF18" s="27">
        <f t="shared" si="15"/>
        <v>0</v>
      </c>
      <c r="BG18" s="237">
        <f t="shared" si="16"/>
        <v>0</v>
      </c>
      <c r="BH18" s="26">
        <f t="shared" si="17"/>
        <v>0</v>
      </c>
      <c r="BI18" s="27">
        <f t="shared" si="18"/>
        <v>0</v>
      </c>
      <c r="BJ18" s="454"/>
    </row>
    <row r="19" spans="1:66" s="28" customFormat="1" hidden="1" outlineLevel="1" x14ac:dyDescent="0.3">
      <c r="A19" s="21" t="s">
        <v>31</v>
      </c>
      <c r="B19" s="22"/>
      <c r="C19" s="23" t="s">
        <v>14</v>
      </c>
      <c r="D19" s="23" t="s">
        <v>32</v>
      </c>
      <c r="E19" s="24"/>
      <c r="F19" s="431"/>
      <c r="G19" s="431"/>
      <c r="H19" s="237"/>
      <c r="I19" s="26">
        <f>SUMIFS(T_ORCAMENTOS!$E:$E,T_ORCAMENTOS!$C:$C,"Outras Receitas",T_ORCAMENTOS!$H:$H,"1/2026")</f>
        <v>0</v>
      </c>
      <c r="J19" s="27">
        <f>SUMIFS(Aut_Receitas_Extraord!$L:$L,Aut_Receitas_Extraord!$U:$U,DRE!H4,Aut_Receitas_Extraord!$D:$D,"Coleta de Óleo")+SUMIFS(Aut_Ajustes_Manuais!$G:$G,Aut_Ajustes_Manuais!$I:$I,DRE!H$4,Aut_Ajustes_Manuais!$F:$F,"Outras Receitas")</f>
        <v>0</v>
      </c>
      <c r="K19" s="237"/>
      <c r="L19" s="26">
        <f>SUMIFS(T_ORCAMENTOS!$E:$E,T_ORCAMENTOS!$C:$C,"Outras Receitas",T_ORCAMENTOS!$H:$H,"2/2026")</f>
        <v>0</v>
      </c>
      <c r="M19" s="27">
        <f>SUMIFS(Aut_Receitas_Extraord!$L:$L,Aut_Receitas_Extraord!$U:$U,DRE!K4,Aut_Receitas_Extraord!$D:$D,"Coleta de Óleo")+SUMIFS(Aut_Ajustes_Manuais!$G:$G,Aut_Ajustes_Manuais!$I:$I,DRE!K$4,Aut_Ajustes_Manuais!$F:$F,"Outras Receitas")</f>
        <v>0</v>
      </c>
      <c r="N19" s="237"/>
      <c r="O19" s="26">
        <f>SUMIFS(T_ORCAMENTOS!$E:$E,T_ORCAMENTOS!$C:$C,"Outras Receitas",T_ORCAMENTOS!$H:$H,"3/2026")</f>
        <v>0</v>
      </c>
      <c r="P19" s="27">
        <f>SUMIFS(Aut_Receitas_Extraord!$L:$L,Aut_Receitas_Extraord!$U:$U,DRE!N4,Aut_Receitas_Extraord!$D:$D,"Coleta de Óleo")+SUMIFS(Aut_Ajustes_Manuais!$G:$G,Aut_Ajustes_Manuais!$I:$I,DRE!N$4,Aut_Ajustes_Manuais!$F:$F,"Outras Receitas")</f>
        <v>0</v>
      </c>
      <c r="Q19" s="237"/>
      <c r="R19" s="26">
        <f>SUMIFS(T_ORCAMENTOS!$E:$E,T_ORCAMENTOS!$C:$C,"Outras Receitas",T_ORCAMENTOS!$H:$H,"4/2026")</f>
        <v>0</v>
      </c>
      <c r="S19" s="27">
        <f>SUMIFS(Aut_Receitas_Extraord!$L:$L,Aut_Receitas_Extraord!$U:$U,DRE!Q4,Aut_Receitas_Extraord!$D:$D,"Coleta de Óleo")+SUMIFS(Aut_Ajustes_Manuais!$G:$G,Aut_Ajustes_Manuais!$I:$I,DRE!Q$4,Aut_Ajustes_Manuais!$F:$F,"Outras Receitas")</f>
        <v>0</v>
      </c>
      <c r="T19" s="237"/>
      <c r="U19" s="26">
        <f>SUMIFS(T_ORCAMENTOS!$E:$E,T_ORCAMENTOS!$C:$C,"Outras Receitas",T_ORCAMENTOS!$H:$H,"5/2026")</f>
        <v>0</v>
      </c>
      <c r="V19" s="27">
        <f>SUMIFS(Aut_Receitas_Extraord!$L:$L,Aut_Receitas_Extraord!$U:$U,DRE!T4,Aut_Receitas_Extraord!$D:$D,"Coleta de Óleo")+SUMIFS(Aut_Ajustes_Manuais!$G:$G,Aut_Ajustes_Manuais!$I:$I,DRE!T$4,Aut_Ajustes_Manuais!$F:$F,"Outras Receitas")</f>
        <v>0</v>
      </c>
      <c r="W19" s="237"/>
      <c r="X19" s="26">
        <f>SUMIFS(T_ORCAMENTOS!$E:$E,T_ORCAMENTOS!$C:$C,"Outras Receitas",T_ORCAMENTOS!$H:$H,"6/2026")</f>
        <v>0</v>
      </c>
      <c r="Y19" s="27">
        <f>SUMIFS(Aut_Receitas_Extraord!$L:$L,Aut_Receitas_Extraord!$U:$U,DRE!W4,Aut_Receitas_Extraord!$D:$D,"Coleta de Óleo")+SUMIFS(Aut_Ajustes_Manuais!$G:$G,Aut_Ajustes_Manuais!$I:$I,DRE!W$4,Aut_Ajustes_Manuais!$F:$F,"Outras Receitas")</f>
        <v>0</v>
      </c>
      <c r="Z19" s="237"/>
      <c r="AA19" s="26">
        <f>SUMIFS(T_ORCAMENTOS!$E:$E,T_ORCAMENTOS!$C:$C,"Outras Receitas",T_ORCAMENTOS!$H:$H,"7/2026")</f>
        <v>0</v>
      </c>
      <c r="AB19" s="27">
        <f>SUMIFS(Aut_Receitas_Extraord!$L:$L,Aut_Receitas_Extraord!$U:$U,DRE!Z4,Aut_Receitas_Extraord!$D:$D,"Coleta de Óleo")+SUMIFS(Aut_Ajustes_Manuais!$G:$G,Aut_Ajustes_Manuais!$I:$I,DRE!Z$4,Aut_Ajustes_Manuais!$F:$F,"Outras Receitas")</f>
        <v>0</v>
      </c>
      <c r="AC19" s="237"/>
      <c r="AD19" s="26">
        <f>SUMIFS(T_ORCAMENTOS!$E:$E,T_ORCAMENTOS!$C:$C,"Outras Receitas",T_ORCAMENTOS!$H:$H,"8/2026")</f>
        <v>750</v>
      </c>
      <c r="AE19" s="27">
        <f>SUMIFS(Aut_Receitas_Extraord!$L:$L,Aut_Receitas_Extraord!$U:$U,DRE!AC4,Aut_Receitas_Extraord!$D:$D,"Coleta de Óleo")+SUMIFS(Aut_Ajustes_Manuais!$G:$G,Aut_Ajustes_Manuais!$I:$I,DRE!AC$4,Aut_Ajustes_Manuais!$F:$F,"Outras Receitas")</f>
        <v>0</v>
      </c>
      <c r="AF19" s="237"/>
      <c r="AG19" s="26">
        <f>SUMIFS(T_ORCAMENTOS!$E:$E,T_ORCAMENTOS!$C:$C,"Outras Receitas",T_ORCAMENTOS!$H:$H,"9/2026")</f>
        <v>750</v>
      </c>
      <c r="AH19" s="27">
        <f>SUMIFS(Aut_Receitas_Extraord!$L:$L,Aut_Receitas_Extraord!$U:$U,DRE!AF4,Aut_Receitas_Extraord!$D:$D,"Coleta de Óleo")+SUMIFS(Aut_Ajustes_Manuais!$G:$G,Aut_Ajustes_Manuais!$I:$I,DRE!AF$4,Aut_Ajustes_Manuais!$F:$F,"Outras Receitas")</f>
        <v>0</v>
      </c>
      <c r="AI19" s="237"/>
      <c r="AJ19" s="26">
        <f>SUMIFS(T_ORCAMENTOS!$E:$E,T_ORCAMENTOS!$C:$C,"Outras Receitas",T_ORCAMENTOS!$H:$H,"10/2026")</f>
        <v>750</v>
      </c>
      <c r="AK19" s="27">
        <f>SUMIFS(Aut_Receitas_Extraord!$L:$L,Aut_Receitas_Extraord!$U:$U,DRE!AI4,Aut_Receitas_Extraord!$D:$D,"Coleta de Óleo")+SUMIFS(Aut_Ajustes_Manuais!$G:$G,Aut_Ajustes_Manuais!$I:$I,DRE!AI$4,Aut_Ajustes_Manuais!$F:$F,"Outras Receitas")</f>
        <v>0</v>
      </c>
      <c r="AL19" s="237"/>
      <c r="AM19" s="26">
        <f>SUMIFS(T_ORCAMENTOS!$E:$E,T_ORCAMENTOS!$C:$C,"Outras Receitas",T_ORCAMENTOS!$H:$H,"11/2026")</f>
        <v>750</v>
      </c>
      <c r="AN19" s="27">
        <f>SUMIFS(Aut_Receitas_Extraord!$L:$L,Aut_Receitas_Extraord!$U:$U,DRE!AL4,Aut_Receitas_Extraord!$D:$D,"Coleta de Óleo")+SUMIFS(Aut_Ajustes_Manuais!$G:$G,Aut_Ajustes_Manuais!$I:$I,DRE!AL$4,Aut_Ajustes_Manuais!$F:$F,"Outras Receitas")</f>
        <v>0</v>
      </c>
      <c r="AO19" s="237"/>
      <c r="AP19" s="26">
        <f>SUMIFS(T_ORCAMENTOS!$E:$E,T_ORCAMENTOS!$C:$C,"Outras Receitas",T_ORCAMENTOS!$H:$H,"12/2026")</f>
        <v>750</v>
      </c>
      <c r="AQ19" s="27">
        <f>SUMIFS(Aut_Receitas_Extraord!$L:$L,Aut_Receitas_Extraord!$U:$U,DRE!AO4,Aut_Receitas_Extraord!$D:$D,"Coleta de Óleo")+SUMIFS(Aut_Ajustes_Manuais!$G:$G,Aut_Ajustes_Manuais!$I:$I,DRE!AO$4,Aut_Ajustes_Manuais!$F:$F,"Outras Receitas")</f>
        <v>0</v>
      </c>
      <c r="AR19" s="237">
        <f t="shared" ca="1" si="1"/>
        <v>0</v>
      </c>
      <c r="AS19" s="26">
        <f t="shared" ca="1" si="2"/>
        <v>750</v>
      </c>
      <c r="AT19" s="27">
        <f t="shared" ca="1" si="3"/>
        <v>0</v>
      </c>
      <c r="AU19" s="237">
        <f t="shared" si="4"/>
        <v>0</v>
      </c>
      <c r="AV19" s="26">
        <f t="shared" si="5"/>
        <v>3750</v>
      </c>
      <c r="AW19" s="27">
        <f t="shared" si="6"/>
        <v>0</v>
      </c>
      <c r="AX19" s="237">
        <f t="shared" si="7"/>
        <v>0</v>
      </c>
      <c r="AY19" s="26">
        <f t="shared" si="8"/>
        <v>0</v>
      </c>
      <c r="AZ19" s="27">
        <f t="shared" si="9"/>
        <v>0</v>
      </c>
      <c r="BA19" s="237">
        <f t="shared" si="10"/>
        <v>0</v>
      </c>
      <c r="BB19" s="26">
        <f t="shared" si="11"/>
        <v>0</v>
      </c>
      <c r="BC19" s="27">
        <f t="shared" si="12"/>
        <v>0</v>
      </c>
      <c r="BD19" s="237">
        <f t="shared" si="13"/>
        <v>0</v>
      </c>
      <c r="BE19" s="26">
        <f t="shared" si="14"/>
        <v>1500</v>
      </c>
      <c r="BF19" s="27">
        <f t="shared" si="15"/>
        <v>0</v>
      </c>
      <c r="BG19" s="237">
        <f t="shared" si="16"/>
        <v>0</v>
      </c>
      <c r="BH19" s="26">
        <f t="shared" si="17"/>
        <v>2250</v>
      </c>
      <c r="BI19" s="27">
        <f t="shared" si="18"/>
        <v>0</v>
      </c>
      <c r="BJ19" s="454"/>
    </row>
    <row r="20" spans="1:66" s="36" customFormat="1" ht="20.399999999999999" customHeight="1" collapsed="1" x14ac:dyDescent="0.3">
      <c r="A20" s="33" t="s">
        <v>33</v>
      </c>
      <c r="B20" s="5"/>
      <c r="C20" s="11"/>
      <c r="D20" s="12"/>
      <c r="E20" s="34"/>
      <c r="F20" s="431"/>
      <c r="G20" s="431"/>
      <c r="H20" s="238">
        <v>0</v>
      </c>
      <c r="I20" s="35">
        <f>SUM(I14:I17)</f>
        <v>0</v>
      </c>
      <c r="J20" s="239">
        <f>SUM(J14:J17)+SUMIFS(Aut_Ajustes_Manuais!$G:$G,Aut_Ajustes_Manuais!$I:$I,DRE!H$4,Aut_Ajustes_Manuais!$F:$F,"Eventos")</f>
        <v>0</v>
      </c>
      <c r="K20" s="238"/>
      <c r="L20" s="35">
        <f>SUM(L14:L17)</f>
        <v>0</v>
      </c>
      <c r="M20" s="239">
        <f>SUM(M14:M17)+SUMIFS(Aut_Ajustes_Manuais!$G:$G,Aut_Ajustes_Manuais!$I:$I,DRE!K$4,Aut_Ajustes_Manuais!$F:$F,"Eventos")</f>
        <v>0</v>
      </c>
      <c r="N20" s="238"/>
      <c r="O20" s="35">
        <f>SUM(O14:O17)</f>
        <v>0</v>
      </c>
      <c r="P20" s="239">
        <f>SUM(P14:P17)+SUMIFS(Aut_Ajustes_Manuais!$G:$G,Aut_Ajustes_Manuais!$I:$I,DRE!N$4,Aut_Ajustes_Manuais!$F:$F,"Eventos")</f>
        <v>0</v>
      </c>
      <c r="Q20" s="238"/>
      <c r="R20" s="35">
        <f>SUM(R14:R17)</f>
        <v>0</v>
      </c>
      <c r="S20" s="239">
        <f>SUM(S14:S17)+SUMIFS(Aut_Ajustes_Manuais!$G:$G,Aut_Ajustes_Manuais!$I:$I,DRE!Q$4,Aut_Ajustes_Manuais!$F:$F,"Eventos")</f>
        <v>0</v>
      </c>
      <c r="T20" s="238"/>
      <c r="U20" s="35">
        <f>SUM(U14:U17)</f>
        <v>0</v>
      </c>
      <c r="V20" s="239">
        <f>SUM(V14:V17)+SUMIFS(Aut_Ajustes_Manuais!$G:$G,Aut_Ajustes_Manuais!$I:$I,DRE!T$4,Aut_Ajustes_Manuais!$F:$F,"Eventos")</f>
        <v>0</v>
      </c>
      <c r="W20" s="238"/>
      <c r="X20" s="35">
        <f>SUM(X14:X17)</f>
        <v>0</v>
      </c>
      <c r="Y20" s="239">
        <f>SUM(Y14:Y17)+SUMIFS(Aut_Ajustes_Manuais!$G:$G,Aut_Ajustes_Manuais!$I:$I,DRE!W$4,Aut_Ajustes_Manuais!$F:$F,"Eventos")</f>
        <v>0</v>
      </c>
      <c r="Z20" s="238"/>
      <c r="AA20" s="35">
        <f>SUM(AA14:AA17)</f>
        <v>0</v>
      </c>
      <c r="AB20" s="239">
        <f>SUM(AB14:AB17)+SUMIFS(Aut_Ajustes_Manuais!$G:$G,Aut_Ajustes_Manuais!$I:$I,DRE!Z$4,Aut_Ajustes_Manuais!$F:$F,"Eventos")</f>
        <v>40350</v>
      </c>
      <c r="AC20" s="238"/>
      <c r="AD20" s="35">
        <f>SUM(AD14:AD17)</f>
        <v>75000</v>
      </c>
      <c r="AE20" s="239">
        <f>SUM(AE14:AE17)+SUMIFS(Aut_Ajustes_Manuais!$G:$G,Aut_Ajustes_Manuais!$I:$I,DRE!AC$4,Aut_Ajustes_Manuais!$F:$F,"Eventos")</f>
        <v>0</v>
      </c>
      <c r="AF20" s="238"/>
      <c r="AG20" s="35">
        <f>SUM(AG14:AG17)</f>
        <v>150000</v>
      </c>
      <c r="AH20" s="239">
        <f>SUM(AH14:AH17)+SUMIFS(Aut_Ajustes_Manuais!$G:$G,Aut_Ajustes_Manuais!$I:$I,DRE!AF$4,Aut_Ajustes_Manuais!$F:$F,"Eventos")</f>
        <v>0</v>
      </c>
      <c r="AI20" s="238"/>
      <c r="AJ20" s="35">
        <f>SUM(AJ14:AJ17)</f>
        <v>225000</v>
      </c>
      <c r="AK20" s="239">
        <f>SUM(AK14:AK17)+SUMIFS(Aut_Ajustes_Manuais!$G:$G,Aut_Ajustes_Manuais!$I:$I,DRE!AI$4,Aut_Ajustes_Manuais!$F:$F,"Eventos")</f>
        <v>0</v>
      </c>
      <c r="AL20" s="238"/>
      <c r="AM20" s="35">
        <f>SUM(AM14:AM17)</f>
        <v>255000</v>
      </c>
      <c r="AN20" s="239">
        <f>SUM(AN14:AN17)+SUMIFS(Aut_Ajustes_Manuais!$G:$G,Aut_Ajustes_Manuais!$I:$I,DRE!AL$4,Aut_Ajustes_Manuais!$F:$F,"Eventos")</f>
        <v>0</v>
      </c>
      <c r="AO20" s="238"/>
      <c r="AP20" s="35">
        <f>SUM(AP14:AP17)</f>
        <v>692500</v>
      </c>
      <c r="AQ20" s="239">
        <f>SUM(AQ14:AQ17)+SUMIFS(Aut_Ajustes_Manuais!$G:$G,Aut_Ajustes_Manuais!$I:$I,DRE!AO$4,Aut_Ajustes_Manuais!$F:$F,"Eventos")</f>
        <v>0</v>
      </c>
      <c r="AR20" s="35">
        <f t="shared" ca="1" si="1"/>
        <v>0</v>
      </c>
      <c r="AS20" s="35">
        <f t="shared" ca="1" si="2"/>
        <v>75000</v>
      </c>
      <c r="AT20" s="239">
        <f t="shared" ca="1" si="3"/>
        <v>40350</v>
      </c>
      <c r="AU20" s="238">
        <f t="shared" ref="AU20:BI20" si="19">SUM(AU14:AU17)</f>
        <v>0</v>
      </c>
      <c r="AV20" s="35">
        <f t="shared" si="19"/>
        <v>1397500</v>
      </c>
      <c r="AW20" s="239">
        <f t="shared" si="19"/>
        <v>40350</v>
      </c>
      <c r="AX20" s="238">
        <f t="shared" si="19"/>
        <v>0</v>
      </c>
      <c r="AY20" s="35">
        <f t="shared" si="19"/>
        <v>0</v>
      </c>
      <c r="AZ20" s="239">
        <f t="shared" si="19"/>
        <v>0</v>
      </c>
      <c r="BA20" s="238">
        <f t="shared" si="19"/>
        <v>0</v>
      </c>
      <c r="BB20" s="35">
        <f t="shared" si="19"/>
        <v>0</v>
      </c>
      <c r="BC20" s="239">
        <f t="shared" si="19"/>
        <v>0</v>
      </c>
      <c r="BD20" s="238">
        <f t="shared" si="19"/>
        <v>0</v>
      </c>
      <c r="BE20" s="35">
        <f t="shared" si="19"/>
        <v>225000</v>
      </c>
      <c r="BF20" s="239">
        <f t="shared" si="19"/>
        <v>40350</v>
      </c>
      <c r="BG20" s="238">
        <f t="shared" si="19"/>
        <v>0</v>
      </c>
      <c r="BH20" s="35">
        <f t="shared" si="19"/>
        <v>1172500</v>
      </c>
      <c r="BI20" s="239">
        <f t="shared" si="19"/>
        <v>0</v>
      </c>
      <c r="BJ20" s="450"/>
    </row>
    <row r="21" spans="1:66" x14ac:dyDescent="0.3">
      <c r="A21" s="37" t="s">
        <v>34</v>
      </c>
      <c r="C21" s="38" t="s">
        <v>35</v>
      </c>
      <c r="D21" s="38" t="s">
        <v>36</v>
      </c>
      <c r="E21" s="38" t="s">
        <v>37</v>
      </c>
      <c r="F21" s="39"/>
      <c r="H21" s="240"/>
      <c r="I21" s="40">
        <f>SUM(I22:I24)</f>
        <v>0</v>
      </c>
      <c r="J21" s="41">
        <f>SUM(J22:J24)+SUMIFS(Aut_Ajustes_Manuais!$G:$G,Aut_Ajustes_Manuais!$I:$I,DRE!H$4,Aut_Ajustes_Manuais!$F:$F,"(-) Desconto sobre Venda")</f>
        <v>0</v>
      </c>
      <c r="K21" s="240"/>
      <c r="L21" s="40">
        <f>SUM(L22:L24)</f>
        <v>0</v>
      </c>
      <c r="M21" s="41">
        <f>SUM(M22:M24)+SUMIFS(Aut_Ajustes_Manuais!$G:$G,Aut_Ajustes_Manuais!$I:$I,DRE!K$4,Aut_Ajustes_Manuais!$F:$F,"(-) Desconto sobre Venda")</f>
        <v>0</v>
      </c>
      <c r="N21" s="240"/>
      <c r="O21" s="40">
        <f>SUM(O22:O24)</f>
        <v>0</v>
      </c>
      <c r="P21" s="41">
        <f>SUM(P22:P24)+SUMIFS(Aut_Ajustes_Manuais!$G:$G,Aut_Ajustes_Manuais!$I:$I,DRE!N$4,Aut_Ajustes_Manuais!$F:$F,"(-) Desconto sobre Venda")</f>
        <v>0</v>
      </c>
      <c r="Q21" s="240"/>
      <c r="R21" s="40">
        <f>SUM(R22:R24)</f>
        <v>0</v>
      </c>
      <c r="S21" s="41">
        <f>SUM(S22:S24)+SUMIFS(Aut_Ajustes_Manuais!$G:$G,Aut_Ajustes_Manuais!$I:$I,DRE!Q$4,Aut_Ajustes_Manuais!$F:$F,"(-) Desconto sobre Venda")</f>
        <v>0</v>
      </c>
      <c r="T21" s="240"/>
      <c r="U21" s="40">
        <f>SUM(U22:U24)</f>
        <v>0</v>
      </c>
      <c r="V21" s="41">
        <f>SUM(V22:V24)+SUMIFS(Aut_Ajustes_Manuais!$G:$G,Aut_Ajustes_Manuais!$I:$I,DRE!T$4,Aut_Ajustes_Manuais!$F:$F,"(-) Desconto sobre Venda")</f>
        <v>0</v>
      </c>
      <c r="W21" s="240"/>
      <c r="X21" s="40">
        <f>SUM(X22:X24)</f>
        <v>0</v>
      </c>
      <c r="Y21" s="41">
        <f>SUM(Y22:Y24)+SUMIFS(Aut_Ajustes_Manuais!$G:$G,Aut_Ajustes_Manuais!$I:$I,DRE!W$4,Aut_Ajustes_Manuais!$F:$F,"(-) Desconto sobre Venda")</f>
        <v>0</v>
      </c>
      <c r="Z21" s="240"/>
      <c r="AA21" s="40">
        <f>SUM(AA22:AA24)</f>
        <v>0</v>
      </c>
      <c r="AB21" s="41">
        <f>SUM(AB22:AB24)+SUMIFS(Aut_Ajustes_Manuais!$G:$G,Aut_Ajustes_Manuais!$I:$I,DRE!Z$4,Aut_Ajustes_Manuais!$F:$F,"(-) Desconto sobre Venda")</f>
        <v>0</v>
      </c>
      <c r="AC21" s="240"/>
      <c r="AD21" s="40">
        <f>SUM(AD22:AD24)</f>
        <v>-125534.28</v>
      </c>
      <c r="AE21" s="41">
        <f>SUM(AE22:AE24)+SUMIFS(Aut_Ajustes_Manuais!$G:$G,Aut_Ajustes_Manuais!$I:$I,DRE!AC$4,Aut_Ajustes_Manuais!$F:$F,"(-) Desconto sobre Venda")</f>
        <v>0</v>
      </c>
      <c r="AF21" s="240"/>
      <c r="AG21" s="40">
        <f>SUM(AG22:AG24)</f>
        <v>-119690.95999999999</v>
      </c>
      <c r="AH21" s="41">
        <f>SUM(AH22:AH24)+SUMIFS(Aut_Ajustes_Manuais!$G:$G,Aut_Ajustes_Manuais!$I:$I,DRE!AF$4,Aut_Ajustes_Manuais!$F:$F,"(-) Desconto sobre Venda")</f>
        <v>0</v>
      </c>
      <c r="AI21" s="240"/>
      <c r="AJ21" s="40">
        <f>SUM(AJ22:AJ24)</f>
        <v>-129428.59999999999</v>
      </c>
      <c r="AK21" s="41">
        <f>SUM(AK22:AK24)+SUMIFS(Aut_Ajustes_Manuais!$G:$G,Aut_Ajustes_Manuais!$I:$I,DRE!AI$4,Aut_Ajustes_Manuais!$F:$F,"(-) Desconto sobre Venda")</f>
        <v>0</v>
      </c>
      <c r="AL21" s="240"/>
      <c r="AM21" s="40">
        <f>SUM(AM22:AM24)</f>
        <v>-118167.81000000001</v>
      </c>
      <c r="AN21" s="41">
        <f>SUM(AN22:AN24)+SUMIFS(Aut_Ajustes_Manuais!$G:$G,Aut_Ajustes_Manuais!$I:$I,DRE!AL$4,Aut_Ajustes_Manuais!$F:$F,"(-) Desconto sobre Venda")</f>
        <v>0</v>
      </c>
      <c r="AO21" s="240"/>
      <c r="AP21" s="40">
        <f>SUM(AP22:AP24)</f>
        <v>-118038.56</v>
      </c>
      <c r="AQ21" s="41">
        <f>SUM(AQ22:AQ24)+SUMIFS(Aut_Ajustes_Manuais!$G:$G,Aut_Ajustes_Manuais!$I:$I,DRE!AO$4,Aut_Ajustes_Manuais!$F:$F,"(-) Desconto sobre Venda")</f>
        <v>0</v>
      </c>
      <c r="AR21" s="240">
        <f t="shared" ref="AR21:BI21" ca="1" si="20">SUM(AR22:AR24)</f>
        <v>0</v>
      </c>
      <c r="AS21" s="40">
        <f t="shared" ca="1" si="20"/>
        <v>-125534.28</v>
      </c>
      <c r="AT21" s="41">
        <f t="shared" ca="1" si="20"/>
        <v>0</v>
      </c>
      <c r="AU21" s="240">
        <f t="shared" si="20"/>
        <v>0</v>
      </c>
      <c r="AV21" s="40">
        <f t="shared" si="20"/>
        <v>-610860.21000000008</v>
      </c>
      <c r="AW21" s="41">
        <f t="shared" si="20"/>
        <v>0</v>
      </c>
      <c r="AX21" s="240">
        <f t="shared" si="20"/>
        <v>0</v>
      </c>
      <c r="AY21" s="40">
        <f t="shared" si="20"/>
        <v>0</v>
      </c>
      <c r="AZ21" s="41">
        <f t="shared" si="20"/>
        <v>0</v>
      </c>
      <c r="BA21" s="240">
        <f t="shared" si="20"/>
        <v>0</v>
      </c>
      <c r="BB21" s="40">
        <f t="shared" si="20"/>
        <v>0</v>
      </c>
      <c r="BC21" s="41">
        <f t="shared" si="20"/>
        <v>0</v>
      </c>
      <c r="BD21" s="240">
        <f t="shared" si="20"/>
        <v>0</v>
      </c>
      <c r="BE21" s="40">
        <f t="shared" si="20"/>
        <v>-245225.24</v>
      </c>
      <c r="BF21" s="41">
        <f t="shared" si="20"/>
        <v>0</v>
      </c>
      <c r="BG21" s="240">
        <f t="shared" si="20"/>
        <v>0</v>
      </c>
      <c r="BH21" s="40">
        <f t="shared" si="20"/>
        <v>-365634.97000000003</v>
      </c>
      <c r="BI21" s="41">
        <f t="shared" si="20"/>
        <v>0</v>
      </c>
      <c r="BJ21" s="455"/>
      <c r="BK21" s="42"/>
      <c r="BL21" s="42"/>
      <c r="BM21" s="42"/>
      <c r="BN21" s="42"/>
    </row>
    <row r="22" spans="1:66" s="28" customFormat="1" hidden="1" outlineLevel="1" x14ac:dyDescent="0.3">
      <c r="A22" s="21" t="s">
        <v>38</v>
      </c>
      <c r="B22" s="22"/>
      <c r="C22" s="23" t="s">
        <v>14</v>
      </c>
      <c r="D22" s="24" t="s">
        <v>39</v>
      </c>
      <c r="E22" s="43">
        <v>2.5000000000000001E-2</v>
      </c>
      <c r="F22" s="25"/>
      <c r="G22" s="32"/>
      <c r="H22" s="237"/>
      <c r="I22" s="26">
        <f>-SUMIFS(T_ORCAMENTOS!$E:$E,T_ORCAMENTOS!$C:$C,"Descontos - Operação",T_ORCAMENTOS!$H:$H,"1/2026")</f>
        <v>0</v>
      </c>
      <c r="J22" s="27">
        <f>-SUMIFS(Aut_Descontos!$F:$F,Aut_Descontos!$L:$L,DRE!H$4,Aut_Descontos!$K:$K,DRE!$A22)+SUMIFS(Aut_Ajustes_Manuais!$G:$G,Aut_Ajustes_Manuais!$I:$I,DRE!H$4,Aut_Ajustes_Manuais!$F:$F,"Descontos - Operação")</f>
        <v>0</v>
      </c>
      <c r="K22" s="237"/>
      <c r="L22" s="26">
        <f>-SUMIFS(T_ORCAMENTOS!$E:$E,T_ORCAMENTOS!$C:$C,"Descontos - Operação",T_ORCAMENTOS!$H:$H,"2/2026")</f>
        <v>0</v>
      </c>
      <c r="M22" s="27">
        <f>-SUMIFS(Aut_Descontos!$F:$F,Aut_Descontos!$L:$L,DRE!K$4,Aut_Descontos!$K:$K,DRE!$A22)+SUMIFS(Aut_Ajustes_Manuais!$G:$G,Aut_Ajustes_Manuais!$I:$I,DRE!K$4,Aut_Ajustes_Manuais!$F:$F,"Descontos - Operação")</f>
        <v>0</v>
      </c>
      <c r="N22" s="237"/>
      <c r="O22" s="26">
        <f>-SUMIFS(T_ORCAMENTOS!$E:$E,T_ORCAMENTOS!$C:$C,"Descontos - Operação",T_ORCAMENTOS!$H:$H,"3/2026")</f>
        <v>0</v>
      </c>
      <c r="P22" s="27">
        <f>-SUMIFS(Aut_Descontos!$F:$F,Aut_Descontos!$L:$L,DRE!N$4,Aut_Descontos!$K:$K,DRE!$A22)+SUMIFS(Aut_Ajustes_Manuais!$G:$G,Aut_Ajustes_Manuais!$I:$I,DRE!N$4,Aut_Ajustes_Manuais!$F:$F,"Descontos - Operação")</f>
        <v>0</v>
      </c>
      <c r="Q22" s="237"/>
      <c r="R22" s="26">
        <f>-SUMIFS(T_ORCAMENTOS!$E:$E,T_ORCAMENTOS!$C:$C,"Descontos - Operação",T_ORCAMENTOS!$H:$H,"4/2026")</f>
        <v>0</v>
      </c>
      <c r="S22" s="27">
        <f>-SUMIFS(Aut_Descontos!$F:$F,Aut_Descontos!$L:$L,DRE!Q$4,Aut_Descontos!$K:$K,DRE!$A22)+SUMIFS(Aut_Ajustes_Manuais!$G:$G,Aut_Ajustes_Manuais!$I:$I,DRE!Q$4,Aut_Ajustes_Manuais!$F:$F,"Descontos - Operação")</f>
        <v>0</v>
      </c>
      <c r="T22" s="237"/>
      <c r="U22" s="26">
        <f>-SUMIFS(T_ORCAMENTOS!$E:$E,T_ORCAMENTOS!$C:$C,"Descontos - Operação",T_ORCAMENTOS!$H:$H,"5/2026")</f>
        <v>0</v>
      </c>
      <c r="V22" s="27">
        <f>-SUMIFS(Aut_Descontos!$F:$F,Aut_Descontos!$L:$L,DRE!T$4,Aut_Descontos!$K:$K,DRE!$A22)+SUMIFS(Aut_Ajustes_Manuais!$G:$G,Aut_Ajustes_Manuais!$I:$I,DRE!T$4,Aut_Ajustes_Manuais!$F:$F,"Descontos - Operação")</f>
        <v>0</v>
      </c>
      <c r="W22" s="237"/>
      <c r="X22" s="26">
        <f>-SUMIFS(T_ORCAMENTOS!$E:$E,T_ORCAMENTOS!$C:$C,"Descontos - Operação",T_ORCAMENTOS!$H:$H,"6/2026")</f>
        <v>0</v>
      </c>
      <c r="Y22" s="27">
        <f>-SUMIFS(Aut_Descontos!$F:$F,Aut_Descontos!$L:$L,DRE!W$4,Aut_Descontos!$K:$K,DRE!$A22)+SUMIFS(Aut_Ajustes_Manuais!$G:$G,Aut_Ajustes_Manuais!$I:$I,DRE!W$4,Aut_Ajustes_Manuais!$F:$F,"Descontos - Operação")</f>
        <v>0</v>
      </c>
      <c r="Z22" s="237"/>
      <c r="AA22" s="26">
        <f>-SUMIFS(T_ORCAMENTOS!$E:$E,T_ORCAMENTOS!$C:$C,"Descontos - Operação",T_ORCAMENTOS!$H:$H,"7/2026")</f>
        <v>0</v>
      </c>
      <c r="AB22" s="27">
        <f>-SUMIFS(Aut_Descontos!$F:$F,Aut_Descontos!$L:$L,DRE!Z$4,Aut_Descontos!$K:$K,DRE!$A22)+SUMIFS(Aut_Ajustes_Manuais!$G:$G,Aut_Ajustes_Manuais!$I:$I,DRE!Z$4,Aut_Ajustes_Manuais!$F:$F,"Descontos - Operação")</f>
        <v>0</v>
      </c>
      <c r="AC22" s="237"/>
      <c r="AD22" s="26">
        <f>-SUMIFS(T_ORCAMENTOS!$E:$E,T_ORCAMENTOS!$C:$C,"Descontos - Operação",T_ORCAMENTOS!$H:$H,"8/2026")</f>
        <v>-72225.2</v>
      </c>
      <c r="AE22" s="27">
        <f>-SUMIFS(Aut_Descontos!$F:$F,Aut_Descontos!$L:$L,DRE!AC$4,Aut_Descontos!$K:$K,DRE!$A22)+SUMIFS(Aut_Ajustes_Manuais!$G:$G,Aut_Ajustes_Manuais!$I:$I,DRE!AC$4,Aut_Ajustes_Manuais!$F:$F,"Descontos - Operação")</f>
        <v>0</v>
      </c>
      <c r="AF22" s="237"/>
      <c r="AG22" s="26">
        <f>-SUMIFS(T_ORCAMENTOS!$E:$E,T_ORCAMENTOS!$C:$C,"Descontos - Operação",T_ORCAMENTOS!$H:$H,"9/2026")</f>
        <v>-68863.289999999994</v>
      </c>
      <c r="AH22" s="27">
        <f>-SUMIFS(Aut_Descontos!$F:$F,Aut_Descontos!$L:$L,DRE!AF$4,Aut_Descontos!$K:$K,DRE!$A22)+SUMIFS(Aut_Ajustes_Manuais!$G:$G,Aut_Ajustes_Manuais!$I:$I,DRE!AF$4,Aut_Ajustes_Manuais!$F:$F,"Descontos - Operação")</f>
        <v>0</v>
      </c>
      <c r="AI22" s="237"/>
      <c r="AJ22" s="26">
        <f>-SUMIFS(T_ORCAMENTOS!$E:$E,T_ORCAMENTOS!$C:$C,"Descontos - Operação",T_ORCAMENTOS!$H:$H,"10/2026")</f>
        <v>-74465.77</v>
      </c>
      <c r="AK22" s="27">
        <f>-SUMIFS(Aut_Descontos!$F:$F,Aut_Descontos!$L:$L,DRE!AI$4,Aut_Descontos!$K:$K,DRE!$A22)+SUMIFS(Aut_Ajustes_Manuais!$G:$G,Aut_Ajustes_Manuais!$I:$I,DRE!AI$4,Aut_Ajustes_Manuais!$F:$F,"Descontos - Operação")</f>
        <v>0</v>
      </c>
      <c r="AL22" s="237"/>
      <c r="AM22" s="26">
        <f>-SUMIFS(T_ORCAMENTOS!$E:$E,T_ORCAMENTOS!$C:$C,"Descontos - Operação",T_ORCAMENTOS!$H:$H,"11/2026")</f>
        <v>-67986.960000000006</v>
      </c>
      <c r="AN22" s="27">
        <f>-SUMIFS(Aut_Descontos!$F:$F,Aut_Descontos!$L:$L,DRE!AL$4,Aut_Descontos!$K:$K,DRE!$A22)+SUMIFS(Aut_Ajustes_Manuais!$G:$G,Aut_Ajustes_Manuais!$I:$I,DRE!AL$4,Aut_Ajustes_Manuais!$F:$F,"Descontos - Operação")</f>
        <v>0</v>
      </c>
      <c r="AO22" s="237"/>
      <c r="AP22" s="26">
        <f>-SUMIFS(T_ORCAMENTOS!$E:$E,T_ORCAMENTOS!$C:$C,"Descontos - Operação",T_ORCAMENTOS!$H:$H,"12/2026")</f>
        <v>-67912.59</v>
      </c>
      <c r="AQ22" s="27">
        <f>-SUMIFS(Aut_Descontos!$F:$F,Aut_Descontos!$L:$L,DRE!AO$4,Aut_Descontos!$K:$K,DRE!$A22)+SUMIFS(Aut_Ajustes_Manuais!$G:$G,Aut_Ajustes_Manuais!$I:$I,DRE!AO$4,Aut_Ajustes_Manuais!$F:$F,"Descontos - Operação")</f>
        <v>0</v>
      </c>
      <c r="AR22" s="237">
        <f ca="1">SUMIFS($H22:$AO22,$H$5:$AO$5,"&lt;"&amp;MONTH(TODAY()),$H$6:$AO$6,"REAL 25")</f>
        <v>0</v>
      </c>
      <c r="AS22" s="26">
        <f ca="1">SUMIFS($I22:$AP22,$I$5:$AP$5,"&lt;"&amp;MONTH(TODAY()),$I$6:$AP$6,"ORÇADO ")</f>
        <v>-72225.2</v>
      </c>
      <c r="AT22" s="27">
        <f ca="1">SUMIFS($J22:$AQ22,$J$5:$AQ$5,"&lt;"&amp;MONTH(TODAY()),$J$6:$AQ$6,"REAL 26")</f>
        <v>0</v>
      </c>
      <c r="AU22" s="237">
        <f t="shared" ref="AU22:AW24" si="21">SUM(H22,K22,N22,Q22,T22,W22,Z22,AC22,AF22,AI22,AL22,AO22)</f>
        <v>0</v>
      </c>
      <c r="AV22" s="26">
        <f t="shared" si="21"/>
        <v>-351453.81000000006</v>
      </c>
      <c r="AW22" s="27">
        <f t="shared" si="21"/>
        <v>0</v>
      </c>
      <c r="AX22" s="237">
        <f t="shared" ref="AX22:AZ24" si="22">SUM(H22,K22,N22)</f>
        <v>0</v>
      </c>
      <c r="AY22" s="26">
        <f t="shared" si="22"/>
        <v>0</v>
      </c>
      <c r="AZ22" s="27">
        <f t="shared" si="22"/>
        <v>0</v>
      </c>
      <c r="BA22" s="237">
        <f t="shared" ref="BA22:BC24" si="23">SUM(Q22,T22,W22)</f>
        <v>0</v>
      </c>
      <c r="BB22" s="26">
        <f t="shared" si="23"/>
        <v>0</v>
      </c>
      <c r="BC22" s="27">
        <f t="shared" si="23"/>
        <v>0</v>
      </c>
      <c r="BD22" s="237">
        <f t="shared" ref="BD22:BF24" si="24">SUM(Z22,AC22,AF22)</f>
        <v>0</v>
      </c>
      <c r="BE22" s="26">
        <f t="shared" si="24"/>
        <v>-141088.49</v>
      </c>
      <c r="BF22" s="27">
        <f t="shared" si="24"/>
        <v>0</v>
      </c>
      <c r="BG22" s="237">
        <f t="shared" ref="BG22:BI24" si="25">SUM(AI22,AL22,AO22)</f>
        <v>0</v>
      </c>
      <c r="BH22" s="26">
        <f t="shared" si="25"/>
        <v>-210365.32</v>
      </c>
      <c r="BI22" s="27">
        <f t="shared" si="25"/>
        <v>0</v>
      </c>
      <c r="BJ22" s="454"/>
    </row>
    <row r="23" spans="1:66" s="28" customFormat="1" hidden="1" outlineLevel="1" x14ac:dyDescent="0.3">
      <c r="A23" s="21" t="s">
        <v>40</v>
      </c>
      <c r="B23" s="22"/>
      <c r="C23" s="23" t="s">
        <v>14</v>
      </c>
      <c r="D23" s="24" t="s">
        <v>41</v>
      </c>
      <c r="E23" s="43">
        <v>1.9800000000000002E-2</v>
      </c>
      <c r="F23" s="25"/>
      <c r="G23" s="32"/>
      <c r="H23" s="237"/>
      <c r="I23" s="26">
        <f>-SUMIFS(T_ORCAMENTOS!$E:$E,T_ORCAMENTOS!$C:$C,"Desconto - Alimentação Escritório",T_ORCAMENTOS!$H:$H,"1/2026")</f>
        <v>0</v>
      </c>
      <c r="J23" s="27">
        <f>-SUMIFS(Aut_Descontos!$F:$F,Aut_Descontos!$L:$L,DRE!H$4,Aut_Descontos!$K:$K,DRE!$A23)+SUMIFS(Aut_Ajustes_Manuais!$G:$G,Aut_Ajustes_Manuais!$I:$I,DRE!H$4,Aut_Ajustes_Manuais!$F:$F,"Desconto - Alimentação Escritório")</f>
        <v>0</v>
      </c>
      <c r="K23" s="237"/>
      <c r="L23" s="26">
        <f>-SUMIFS(T_ORCAMENTOS!$E:$E,T_ORCAMENTOS!$C:$C,"Desconto - Alimentação Escritório",T_ORCAMENTOS!$H:$H,"2/2026")</f>
        <v>0</v>
      </c>
      <c r="M23" s="27">
        <f>-SUMIFS(Aut_Descontos!$F:$F,Aut_Descontos!$L:$L,DRE!K$4,Aut_Descontos!$K:$K,DRE!$A23)+SUMIFS(Aut_Ajustes_Manuais!$G:$G,Aut_Ajustes_Manuais!$I:$I,DRE!K$4,Aut_Ajustes_Manuais!$F:$F,"Desconto - Alimentação Escritório")</f>
        <v>0</v>
      </c>
      <c r="N23" s="237"/>
      <c r="O23" s="26">
        <f>-SUMIFS(T_ORCAMENTOS!$E:$E,T_ORCAMENTOS!$C:$C,"Desconto - Alimentação Escritório",T_ORCAMENTOS!$H:$H,"3/2026")</f>
        <v>0</v>
      </c>
      <c r="P23" s="27">
        <f>-SUMIFS(Aut_Descontos!$F:$F,Aut_Descontos!$L:$L,DRE!N$4,Aut_Descontos!$K:$K,DRE!$A23)+SUMIFS(Aut_Ajustes_Manuais!$G:$G,Aut_Ajustes_Manuais!$I:$I,DRE!N$4,Aut_Ajustes_Manuais!$F:$F,"Desconto - Alimentação Escritório")</f>
        <v>0</v>
      </c>
      <c r="Q23" s="237"/>
      <c r="R23" s="26">
        <f>-SUMIFS(T_ORCAMENTOS!$E:$E,T_ORCAMENTOS!$C:$C,"Desconto - Alimentação Escritório",T_ORCAMENTOS!$H:$H,"4/2026")</f>
        <v>0</v>
      </c>
      <c r="S23" s="27">
        <f>-SUMIFS(Aut_Descontos!$F:$F,Aut_Descontos!$L:$L,DRE!Q$4,Aut_Descontos!$K:$K,DRE!$A23)+SUMIFS(Aut_Ajustes_Manuais!$G:$G,Aut_Ajustes_Manuais!$I:$I,DRE!Q$4,Aut_Ajustes_Manuais!$F:$F,"Desconto - Alimentação Escritório")</f>
        <v>0</v>
      </c>
      <c r="T23" s="237"/>
      <c r="U23" s="26">
        <f>-SUMIFS(T_ORCAMENTOS!$E:$E,T_ORCAMENTOS!$C:$C,"Desconto - Alimentação Escritório",T_ORCAMENTOS!$H:$H,"5/2026")</f>
        <v>0</v>
      </c>
      <c r="V23" s="27">
        <f>-SUMIFS(Aut_Descontos!$F:$F,Aut_Descontos!$L:$L,DRE!T$4,Aut_Descontos!$K:$K,DRE!$A23)+SUMIFS(Aut_Ajustes_Manuais!$G:$G,Aut_Ajustes_Manuais!$I:$I,DRE!T$4,Aut_Ajustes_Manuais!$F:$F,"Desconto - Alimentação Escritório")</f>
        <v>0</v>
      </c>
      <c r="W23" s="237"/>
      <c r="X23" s="26">
        <f>-SUMIFS(T_ORCAMENTOS!$E:$E,T_ORCAMENTOS!$C:$C,"Desconto - Alimentação Escritório",T_ORCAMENTOS!$H:$H,"6/2026")</f>
        <v>0</v>
      </c>
      <c r="Y23" s="27">
        <f>-SUMIFS(Aut_Descontos!$F:$F,Aut_Descontos!$L:$L,DRE!W$4,Aut_Descontos!$K:$K,DRE!$A23)+SUMIFS(Aut_Ajustes_Manuais!$G:$G,Aut_Ajustes_Manuais!$I:$I,DRE!W$4,Aut_Ajustes_Manuais!$F:$F,"Desconto - Alimentação Escritório")</f>
        <v>0</v>
      </c>
      <c r="Z23" s="237"/>
      <c r="AA23" s="26">
        <f>-SUMIFS(T_ORCAMENTOS!$E:$E,T_ORCAMENTOS!$C:$C,"Desconto - Alimentação Escritório",T_ORCAMENTOS!$H:$H,"7/2026")</f>
        <v>0</v>
      </c>
      <c r="AB23" s="27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37"/>
      <c r="AD23" s="26">
        <f>-SUMIFS(T_ORCAMENTOS!$E:$E,T_ORCAMENTOS!$C:$C,"Desconto - Alimentação Escritório",T_ORCAMENTOS!$H:$H,"8/2026")</f>
        <v>-46430.49</v>
      </c>
      <c r="AE23" s="27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37"/>
      <c r="AG23" s="26">
        <f>-SUMIFS(T_ORCAMENTOS!$E:$E,T_ORCAMENTOS!$C:$C,"Desconto - Alimentação Escritório",T_ORCAMENTOS!$H:$H,"9/2026")</f>
        <v>-44269.26</v>
      </c>
      <c r="AH23" s="27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37"/>
      <c r="AJ23" s="26">
        <f>-SUMIFS(T_ORCAMENTOS!$E:$E,T_ORCAMENTOS!$C:$C,"Desconto - Alimentação Escritório",T_ORCAMENTOS!$H:$H,"10/2026")</f>
        <v>-47870.85</v>
      </c>
      <c r="AK23" s="27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37"/>
      <c r="AM23" s="26">
        <f>-SUMIFS(T_ORCAMENTOS!$E:$E,T_ORCAMENTOS!$C:$C,"Desconto - Alimentação Escritório",T_ORCAMENTOS!$H:$H,"11/2026")</f>
        <v>-43705.9</v>
      </c>
      <c r="AN23" s="27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37"/>
      <c r="AP23" s="26">
        <f>-SUMIFS(T_ORCAMENTOS!$E:$E,T_ORCAMENTOS!$C:$C,"Desconto - Alimentação Escritório",T_ORCAMENTOS!$H:$H,"12/2026")</f>
        <v>-43658.1</v>
      </c>
      <c r="AQ23" s="27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37">
        <f ca="1">SUMIFS($H23:$AO23,$H$5:$AO$5,"&lt;"&amp;MONTH(TODAY()),$H$6:$AO$6,"REAL 25")</f>
        <v>0</v>
      </c>
      <c r="AS23" s="26">
        <f ca="1">SUMIFS($I23:$AP23,$I$5:$AP$5,"&lt;"&amp;MONTH(TODAY()),$I$6:$AP$6,"ORÇADO ")</f>
        <v>-46430.49</v>
      </c>
      <c r="AT23" s="27">
        <f ca="1">SUMIFS($J23:$AQ23,$J$5:$AQ$5,"&lt;"&amp;MONTH(TODAY()),$J$6:$AQ$6,"REAL 26")</f>
        <v>0</v>
      </c>
      <c r="AU23" s="237">
        <f t="shared" si="21"/>
        <v>0</v>
      </c>
      <c r="AV23" s="26">
        <f t="shared" si="21"/>
        <v>-225934.6</v>
      </c>
      <c r="AW23" s="27">
        <f t="shared" si="21"/>
        <v>0</v>
      </c>
      <c r="AX23" s="237">
        <f t="shared" si="22"/>
        <v>0</v>
      </c>
      <c r="AY23" s="26">
        <f t="shared" si="22"/>
        <v>0</v>
      </c>
      <c r="AZ23" s="27">
        <f t="shared" si="22"/>
        <v>0</v>
      </c>
      <c r="BA23" s="237">
        <f t="shared" si="23"/>
        <v>0</v>
      </c>
      <c r="BB23" s="26">
        <f t="shared" si="23"/>
        <v>0</v>
      </c>
      <c r="BC23" s="27">
        <f t="shared" si="23"/>
        <v>0</v>
      </c>
      <c r="BD23" s="237">
        <f t="shared" si="24"/>
        <v>0</v>
      </c>
      <c r="BE23" s="26">
        <f t="shared" si="24"/>
        <v>-90699.75</v>
      </c>
      <c r="BF23" s="27">
        <f t="shared" si="24"/>
        <v>0</v>
      </c>
      <c r="BG23" s="237">
        <f t="shared" si="25"/>
        <v>0</v>
      </c>
      <c r="BH23" s="26">
        <f t="shared" si="25"/>
        <v>-135234.85</v>
      </c>
      <c r="BI23" s="27">
        <f t="shared" si="25"/>
        <v>0</v>
      </c>
      <c r="BJ23" s="454"/>
    </row>
    <row r="24" spans="1:66" s="28" customFormat="1" hidden="1" outlineLevel="1" x14ac:dyDescent="0.3">
      <c r="A24" s="21" t="s">
        <v>42</v>
      </c>
      <c r="B24" s="22"/>
      <c r="C24" s="23" t="s">
        <v>14</v>
      </c>
      <c r="D24" s="24" t="s">
        <v>43</v>
      </c>
      <c r="E24" s="43">
        <v>2.5000000000000001E-3</v>
      </c>
      <c r="F24" s="25"/>
      <c r="G24" s="32"/>
      <c r="H24" s="237"/>
      <c r="I24" s="26">
        <f>-SUMIFS(T_ORCAMENTOS!$E:$E,T_ORCAMENTOS!$C:$C,"Descontos - Marketing",T_ORCAMENTOS!$H:$H,"1/2026")</f>
        <v>0</v>
      </c>
      <c r="J24" s="27">
        <f>-SUMIFS(Aut_Descontos!$F:$F,Aut_Descontos!$L:$L,DRE!H$4,Aut_Descontos!$K:$K,DRE!$A24)+SUMIFS(Aut_Ajustes_Manuais!$G:$G,Aut_Ajustes_Manuais!$I:$I,DRE!H$4,Aut_Ajustes_Manuais!$F:$F,"Descontos - Marketing")</f>
        <v>0</v>
      </c>
      <c r="K24" s="237"/>
      <c r="L24" s="26">
        <f>-SUMIFS(T_ORCAMENTOS!$E:$E,T_ORCAMENTOS!$C:$C,"Descontos - Marketing",T_ORCAMENTOS!$H:$H,"2/2026")</f>
        <v>0</v>
      </c>
      <c r="M24" s="27">
        <f>-SUMIFS(Aut_Descontos!$F:$F,Aut_Descontos!$L:$L,DRE!K$4,Aut_Descontos!$K:$K,DRE!$A24)+SUMIFS(Aut_Ajustes_Manuais!$G:$G,Aut_Ajustes_Manuais!$I:$I,DRE!K$4,Aut_Ajustes_Manuais!$F:$F,"Descontos - Marketing")</f>
        <v>0</v>
      </c>
      <c r="N24" s="237"/>
      <c r="O24" s="26">
        <f>-SUMIFS(T_ORCAMENTOS!$E:$E,T_ORCAMENTOS!$C:$C,"Descontos - Marketing",T_ORCAMENTOS!$H:$H,"3/2026")</f>
        <v>0</v>
      </c>
      <c r="P24" s="27">
        <f>-SUMIFS(Aut_Descontos!$F:$F,Aut_Descontos!$L:$L,DRE!N$4,Aut_Descontos!$K:$K,DRE!$A24)+SUMIFS(Aut_Ajustes_Manuais!$G:$G,Aut_Ajustes_Manuais!$I:$I,DRE!N$4,Aut_Ajustes_Manuais!$F:$F,"Descontos - Marketing")</f>
        <v>0</v>
      </c>
      <c r="Q24" s="237"/>
      <c r="R24" s="26">
        <f>-SUMIFS(T_ORCAMENTOS!$E:$E,T_ORCAMENTOS!$C:$C,"Descontos - Marketing",T_ORCAMENTOS!$H:$H,"4/2026")</f>
        <v>0</v>
      </c>
      <c r="S24" s="27">
        <f>-SUMIFS(Aut_Descontos!$F:$F,Aut_Descontos!$L:$L,DRE!Q$4,Aut_Descontos!$K:$K,DRE!$A24)+SUMIFS(Aut_Ajustes_Manuais!$G:$G,Aut_Ajustes_Manuais!$I:$I,DRE!Q$4,Aut_Ajustes_Manuais!$F:$F,"Descontos - Marketing")</f>
        <v>0</v>
      </c>
      <c r="T24" s="237"/>
      <c r="U24" s="26">
        <f>-SUMIFS(T_ORCAMENTOS!$E:$E,T_ORCAMENTOS!$C:$C,"Descontos - Marketing",T_ORCAMENTOS!$H:$H,"5/2026")</f>
        <v>0</v>
      </c>
      <c r="V24" s="27">
        <f>-SUMIFS(Aut_Descontos!$F:$F,Aut_Descontos!$L:$L,DRE!T$4,Aut_Descontos!$K:$K,DRE!$A24)+SUMIFS(Aut_Ajustes_Manuais!$G:$G,Aut_Ajustes_Manuais!$I:$I,DRE!T$4,Aut_Ajustes_Manuais!$F:$F,"Descontos - Marketing")</f>
        <v>0</v>
      </c>
      <c r="W24" s="237"/>
      <c r="X24" s="26">
        <f>-SUMIFS(T_ORCAMENTOS!$E:$E,T_ORCAMENTOS!$C:$C,"Descontos - Marketing",T_ORCAMENTOS!$H:$H,"6/2026")</f>
        <v>0</v>
      </c>
      <c r="Y24" s="27">
        <f>-SUMIFS(Aut_Descontos!$F:$F,Aut_Descontos!$L:$L,DRE!W$4,Aut_Descontos!$K:$K,DRE!$A24)+SUMIFS(Aut_Ajustes_Manuais!$G:$G,Aut_Ajustes_Manuais!$I:$I,DRE!W$4,Aut_Ajustes_Manuais!$F:$F,"Descontos - Marketing")</f>
        <v>0</v>
      </c>
      <c r="Z24" s="237"/>
      <c r="AA24" s="26">
        <f>-SUMIFS(T_ORCAMENTOS!$E:$E,T_ORCAMENTOS!$C:$C,"Descontos - Marketing",T_ORCAMENTOS!$H:$H,"7/2026")</f>
        <v>0</v>
      </c>
      <c r="AB24" s="27">
        <f>-SUMIFS(Aut_Descontos!$F:$F,Aut_Descontos!$L:$L,DRE!Z$4,Aut_Descontos!$K:$K,DRE!$A24)+SUMIFS(Aut_Ajustes_Manuais!$G:$G,Aut_Ajustes_Manuais!$I:$I,DRE!Z$4,Aut_Ajustes_Manuais!$F:$F,"Descontos - Marketing")</f>
        <v>0</v>
      </c>
      <c r="AC24" s="237"/>
      <c r="AD24" s="26">
        <f>-SUMIFS(T_ORCAMENTOS!$E:$E,T_ORCAMENTOS!$C:$C,"Descontos - Marketing",T_ORCAMENTOS!$H:$H,"8/2026")</f>
        <v>-6878.59</v>
      </c>
      <c r="AE24" s="27">
        <f>-SUMIFS(Aut_Descontos!$F:$F,Aut_Descontos!$L:$L,DRE!AC$4,Aut_Descontos!$K:$K,DRE!$A24)+SUMIFS(Aut_Ajustes_Manuais!$G:$G,Aut_Ajustes_Manuais!$I:$I,DRE!AC$4,Aut_Ajustes_Manuais!$F:$F,"Descontos - Marketing")</f>
        <v>0</v>
      </c>
      <c r="AF24" s="237"/>
      <c r="AG24" s="26">
        <f>-SUMIFS(T_ORCAMENTOS!$E:$E,T_ORCAMENTOS!$C:$C,"Descontos - Marketing",T_ORCAMENTOS!$H:$H,"9/2026")</f>
        <v>-6558.41</v>
      </c>
      <c r="AH24" s="27">
        <f>-SUMIFS(Aut_Descontos!$F:$F,Aut_Descontos!$L:$L,DRE!AF$4,Aut_Descontos!$K:$K,DRE!$A24)+SUMIFS(Aut_Ajustes_Manuais!$G:$G,Aut_Ajustes_Manuais!$I:$I,DRE!AF$4,Aut_Ajustes_Manuais!$F:$F,"Descontos - Marketing")</f>
        <v>0</v>
      </c>
      <c r="AI24" s="237"/>
      <c r="AJ24" s="26">
        <f>-SUMIFS(T_ORCAMENTOS!$E:$E,T_ORCAMENTOS!$C:$C,"Descontos - Marketing",T_ORCAMENTOS!$H:$H,"10/2026")</f>
        <v>-7091.98</v>
      </c>
      <c r="AK24" s="27">
        <f>-SUMIFS(Aut_Descontos!$F:$F,Aut_Descontos!$L:$L,DRE!AI$4,Aut_Descontos!$K:$K,DRE!$A24)+SUMIFS(Aut_Ajustes_Manuais!$G:$G,Aut_Ajustes_Manuais!$I:$I,DRE!AI$4,Aut_Ajustes_Manuais!$F:$F,"Descontos - Marketing")</f>
        <v>0</v>
      </c>
      <c r="AL24" s="237"/>
      <c r="AM24" s="26">
        <f>-SUMIFS(T_ORCAMENTOS!$E:$E,T_ORCAMENTOS!$C:$C,"Descontos - Marketing",T_ORCAMENTOS!$H:$H,"11/2026")</f>
        <v>-6474.95</v>
      </c>
      <c r="AN24" s="27">
        <f>-SUMIFS(Aut_Descontos!$F:$F,Aut_Descontos!$L:$L,DRE!AL$4,Aut_Descontos!$K:$K,DRE!$A24)+SUMIFS(Aut_Ajustes_Manuais!$G:$G,Aut_Ajustes_Manuais!$I:$I,DRE!AL$4,Aut_Ajustes_Manuais!$F:$F,"Descontos - Marketing")</f>
        <v>0</v>
      </c>
      <c r="AO24" s="237"/>
      <c r="AP24" s="26">
        <f>-SUMIFS(T_ORCAMENTOS!$E:$E,T_ORCAMENTOS!$C:$C,"Descontos - Marketing",T_ORCAMENTOS!$H:$H,"12/2026")</f>
        <v>-6467.87</v>
      </c>
      <c r="AQ24" s="27">
        <f>-SUMIFS(Aut_Descontos!$F:$F,Aut_Descontos!$L:$L,DRE!AO$4,Aut_Descontos!$K:$K,DRE!$A24)+SUMIFS(Aut_Ajustes_Manuais!$G:$G,Aut_Ajustes_Manuais!$I:$I,DRE!AO$4,Aut_Ajustes_Manuais!$F:$F,"Descontos - Marketing")</f>
        <v>0</v>
      </c>
      <c r="AR24" s="237">
        <f ca="1">SUMIFS($H24:$AO24,$H$5:$AO$5,"&lt;"&amp;MONTH(TODAY()),$H$6:$AO$6,"REAL 25")</f>
        <v>0</v>
      </c>
      <c r="AS24" s="26">
        <f ca="1">SUMIFS($I24:$AP24,$I$5:$AP$5,"&lt;"&amp;MONTH(TODAY()),$I$6:$AP$6,"ORÇADO ")</f>
        <v>-6878.59</v>
      </c>
      <c r="AT24" s="27">
        <f ca="1">SUMIFS($J24:$AQ24,$J$5:$AQ$5,"&lt;"&amp;MONTH(TODAY()),$J$6:$AQ$6,"REAL 26")</f>
        <v>0</v>
      </c>
      <c r="AU24" s="237">
        <f t="shared" si="21"/>
        <v>0</v>
      </c>
      <c r="AV24" s="26">
        <f t="shared" si="21"/>
        <v>-33471.800000000003</v>
      </c>
      <c r="AW24" s="27">
        <f t="shared" si="21"/>
        <v>0</v>
      </c>
      <c r="AX24" s="237">
        <f t="shared" si="22"/>
        <v>0</v>
      </c>
      <c r="AY24" s="26">
        <f t="shared" si="22"/>
        <v>0</v>
      </c>
      <c r="AZ24" s="27">
        <f t="shared" si="22"/>
        <v>0</v>
      </c>
      <c r="BA24" s="237">
        <f t="shared" si="23"/>
        <v>0</v>
      </c>
      <c r="BB24" s="26">
        <f t="shared" si="23"/>
        <v>0</v>
      </c>
      <c r="BC24" s="27">
        <f t="shared" si="23"/>
        <v>0</v>
      </c>
      <c r="BD24" s="237">
        <f t="shared" si="24"/>
        <v>0</v>
      </c>
      <c r="BE24" s="26">
        <f t="shared" si="24"/>
        <v>-13437</v>
      </c>
      <c r="BF24" s="27">
        <f t="shared" si="24"/>
        <v>0</v>
      </c>
      <c r="BG24" s="237">
        <f t="shared" si="25"/>
        <v>0</v>
      </c>
      <c r="BH24" s="26">
        <f t="shared" si="25"/>
        <v>-20034.8</v>
      </c>
      <c r="BI24" s="27">
        <f t="shared" si="25"/>
        <v>0</v>
      </c>
      <c r="BJ24" s="454"/>
    </row>
    <row r="25" spans="1:66" s="50" customFormat="1" hidden="1" outlineLevel="1" x14ac:dyDescent="0.3">
      <c r="A25" s="44" t="s">
        <v>44</v>
      </c>
      <c r="B25" s="45"/>
      <c r="C25" s="46"/>
      <c r="D25" s="47"/>
      <c r="E25" s="47"/>
      <c r="F25" s="45"/>
      <c r="G25" s="45"/>
      <c r="H25" s="241"/>
      <c r="I25" s="48">
        <f>IFERROR(I21/I8,0)</f>
        <v>0</v>
      </c>
      <c r="J25" s="49">
        <f>IFERROR(J21/J8,0)+SUMIFS(Aut_Ajustes_Manuais!$G:$G,Aut_Ajustes_Manuais!$I:$I,DRE!H$4,Aut_Ajustes_Manuais!$F:$F,"% sobre Receita Bruta")</f>
        <v>0</v>
      </c>
      <c r="K25" s="241"/>
      <c r="L25" s="48">
        <f>IFERROR(L21/L8,0)</f>
        <v>0</v>
      </c>
      <c r="M25" s="49">
        <f>IFERROR(M21/M8,0)+SUMIFS(Aut_Ajustes_Manuais!$G:$G,Aut_Ajustes_Manuais!$I:$I,DRE!K$4,Aut_Ajustes_Manuais!$F:$F,"% sobre Receita Bruta")</f>
        <v>0</v>
      </c>
      <c r="N25" s="241"/>
      <c r="O25" s="48">
        <f>IFERROR(O21/O8,0)</f>
        <v>0</v>
      </c>
      <c r="P25" s="49">
        <f>IFERROR(P21/P8,0)+SUMIFS(Aut_Ajustes_Manuais!$G:$G,Aut_Ajustes_Manuais!$I:$I,DRE!N$4,Aut_Ajustes_Manuais!$F:$F,"% sobre Receita Bruta")</f>
        <v>0</v>
      </c>
      <c r="Q25" s="241"/>
      <c r="R25" s="48">
        <f>IFERROR(R21/R8,0)</f>
        <v>0</v>
      </c>
      <c r="S25" s="49">
        <f>IFERROR(S21/S8,0)+SUMIFS(Aut_Ajustes_Manuais!$G:$G,Aut_Ajustes_Manuais!$I:$I,DRE!Q$4,Aut_Ajustes_Manuais!$F:$F,"% sobre Receita Bruta")</f>
        <v>0</v>
      </c>
      <c r="T25" s="241"/>
      <c r="U25" s="48">
        <f>IFERROR(U21/U8,0)</f>
        <v>0</v>
      </c>
      <c r="V25" s="49">
        <f>IFERROR(V21/V8,0)+SUMIFS(Aut_Ajustes_Manuais!$G:$G,Aut_Ajustes_Manuais!$I:$I,DRE!T$4,Aut_Ajustes_Manuais!$F:$F,"% sobre Receita Bruta")</f>
        <v>0</v>
      </c>
      <c r="W25" s="241"/>
      <c r="X25" s="48">
        <f>IFERROR(X21/X8,0)</f>
        <v>0</v>
      </c>
      <c r="Y25" s="49">
        <f>IFERROR(Y21/Y8,0)+SUMIFS(Aut_Ajustes_Manuais!$G:$G,Aut_Ajustes_Manuais!$I:$I,DRE!W$4,Aut_Ajustes_Manuais!$F:$F,"% sobre Receita Bruta")</f>
        <v>0</v>
      </c>
      <c r="Z25" s="241"/>
      <c r="AA25" s="48">
        <f>IFERROR(AA21/AA8,0)</f>
        <v>0</v>
      </c>
      <c r="AB25" s="49">
        <f>IFERROR(AB21/AB8,0)+SUMIFS(Aut_Ajustes_Manuais!$G:$G,Aut_Ajustes_Manuais!$I:$I,DRE!Z$4,Aut_Ajustes_Manuais!$F:$F,"% sobre Receita Bruta")</f>
        <v>0</v>
      </c>
      <c r="AC25" s="241"/>
      <c r="AD25" s="48">
        <f>IFERROR(AD21/AD8,0)</f>
        <v>-2.6209956045086847E-2</v>
      </c>
      <c r="AE25" s="49">
        <f>IFERROR(AE21/AE8,0)+SUMIFS(Aut_Ajustes_Manuais!$G:$G,Aut_Ajustes_Manuais!$I:$I,DRE!AC$4,Aut_Ajustes_Manuais!$F:$F,"% sobre Receita Bruta")</f>
        <v>0</v>
      </c>
      <c r="AF25" s="241"/>
      <c r="AG25" s="48">
        <f>IFERROR(AG21/AG8,0)</f>
        <v>-2.5793917493059419E-2</v>
      </c>
      <c r="AH25" s="49">
        <f>IFERROR(AH21/AH8,0)+SUMIFS(Aut_Ajustes_Manuais!$G:$G,Aut_Ajustes_Manuais!$I:$I,DRE!AF$4,Aut_Ajustes_Manuais!$F:$F,"% sobre Receita Bruta")</f>
        <v>0</v>
      </c>
      <c r="AI25" s="241"/>
      <c r="AJ25" s="48">
        <f>IFERROR(AJ21/AJ8,0)</f>
        <v>-2.5412787266585232E-2</v>
      </c>
      <c r="AK25" s="49">
        <f>IFERROR(AK21/AK8,0)+SUMIFS(Aut_Ajustes_Manuais!$G:$G,Aut_Ajustes_Manuais!$I:$I,DRE!AI$4,Aut_Ajustes_Manuais!$F:$F,"% sobre Receita Bruta")</f>
        <v>0</v>
      </c>
      <c r="AL25" s="241"/>
      <c r="AM25" s="48">
        <f>IFERROR(AM21/AM8,0)</f>
        <v>-2.518623876418391E-2</v>
      </c>
      <c r="AN25" s="49">
        <f>IFERROR(AN21/AN8,0)+SUMIFS(Aut_Ajustes_Manuais!$G:$G,Aut_Ajustes_Manuais!$I:$I,DRE!AL$4,Aut_Ajustes_Manuais!$F:$F,"% sobre Receita Bruta")</f>
        <v>0</v>
      </c>
      <c r="AO25" s="241"/>
      <c r="AP25" s="48">
        <f>IFERROR(AP21/AP8,0)</f>
        <v>-2.3092623865956445E-2</v>
      </c>
      <c r="AQ25" s="49">
        <f>IFERROR(AQ21/AQ8,0)+SUMIFS(Aut_Ajustes_Manuais!$G:$G,Aut_Ajustes_Manuais!$I:$I,DRE!AO$4,Aut_Ajustes_Manuais!$F:$F,"% sobre Receita Bruta")</f>
        <v>0</v>
      </c>
      <c r="AR25" s="241">
        <f t="shared" ref="AR25:BI25" ca="1" si="26">IFERROR(AR21/AR8,0)</f>
        <v>0</v>
      </c>
      <c r="AS25" s="48">
        <f t="shared" ca="1" si="26"/>
        <v>-2.6209956045086847E-2</v>
      </c>
      <c r="AT25" s="49">
        <f t="shared" ca="1" si="26"/>
        <v>0</v>
      </c>
      <c r="AU25" s="241">
        <f t="shared" si="26"/>
        <v>0</v>
      </c>
      <c r="AV25" s="48">
        <f t="shared" si="26"/>
        <v>-2.5111225484913003E-2</v>
      </c>
      <c r="AW25" s="49">
        <f t="shared" si="26"/>
        <v>0</v>
      </c>
      <c r="AX25" s="241">
        <f t="shared" si="26"/>
        <v>0</v>
      </c>
      <c r="AY25" s="48">
        <f t="shared" si="26"/>
        <v>0</v>
      </c>
      <c r="AZ25" s="49">
        <f t="shared" si="26"/>
        <v>0</v>
      </c>
      <c r="BA25" s="241">
        <f t="shared" si="26"/>
        <v>0</v>
      </c>
      <c r="BB25" s="48">
        <f t="shared" si="26"/>
        <v>0</v>
      </c>
      <c r="BC25" s="49">
        <f t="shared" si="26"/>
        <v>0</v>
      </c>
      <c r="BD25" s="241">
        <f t="shared" si="26"/>
        <v>0</v>
      </c>
      <c r="BE25" s="48">
        <f t="shared" si="26"/>
        <v>-2.6005229974577857E-2</v>
      </c>
      <c r="BF25" s="49">
        <f t="shared" si="26"/>
        <v>0</v>
      </c>
      <c r="BG25" s="241">
        <f t="shared" si="26"/>
        <v>0</v>
      </c>
      <c r="BH25" s="48">
        <f t="shared" si="26"/>
        <v>-2.4545292948076915E-2</v>
      </c>
      <c r="BI25" s="49">
        <f t="shared" si="26"/>
        <v>0</v>
      </c>
      <c r="BJ25" s="456"/>
    </row>
    <row r="26" spans="1:66" collapsed="1" x14ac:dyDescent="0.3">
      <c r="A26" s="17"/>
      <c r="E26" s="15"/>
      <c r="F26" s="16"/>
      <c r="H26" s="242"/>
      <c r="I26" s="51"/>
      <c r="J26" s="52"/>
      <c r="K26" s="242"/>
      <c r="L26" s="51"/>
      <c r="M26" s="52"/>
      <c r="N26" s="242"/>
      <c r="O26" s="51"/>
      <c r="P26" s="52"/>
      <c r="Q26" s="242"/>
      <c r="R26" s="51"/>
      <c r="S26" s="52"/>
      <c r="T26" s="242"/>
      <c r="U26" s="51"/>
      <c r="V26" s="52"/>
      <c r="W26" s="242"/>
      <c r="X26" s="51"/>
      <c r="Y26" s="52"/>
      <c r="Z26" s="242"/>
      <c r="AA26" s="51"/>
      <c r="AB26" s="52"/>
      <c r="AC26" s="242"/>
      <c r="AD26" s="51"/>
      <c r="AE26" s="52"/>
      <c r="AF26" s="242"/>
      <c r="AG26" s="51"/>
      <c r="AH26" s="52"/>
      <c r="AI26" s="242"/>
      <c r="AJ26" s="51"/>
      <c r="AK26" s="52"/>
      <c r="AL26" s="242"/>
      <c r="AM26" s="51"/>
      <c r="AN26" s="52"/>
      <c r="AO26" s="242"/>
      <c r="AP26" s="51"/>
      <c r="AQ26" s="52"/>
      <c r="AR26" s="242"/>
      <c r="AS26" s="51"/>
      <c r="AT26" s="52"/>
      <c r="AU26" s="242"/>
      <c r="AV26" s="51"/>
      <c r="AW26" s="52"/>
      <c r="AX26" s="242"/>
      <c r="AY26" s="51"/>
      <c r="AZ26" s="52"/>
      <c r="BA26" s="242"/>
      <c r="BB26" s="51"/>
      <c r="BC26" s="52"/>
      <c r="BD26" s="242"/>
      <c r="BE26" s="51"/>
      <c r="BF26" s="52"/>
      <c r="BG26" s="242"/>
      <c r="BH26" s="51"/>
      <c r="BI26" s="52"/>
    </row>
    <row r="27" spans="1:66" x14ac:dyDescent="0.3">
      <c r="A27" s="37" t="s">
        <v>45</v>
      </c>
      <c r="C27" s="38" t="s">
        <v>35</v>
      </c>
      <c r="D27" s="38" t="s">
        <v>36</v>
      </c>
      <c r="E27" s="38" t="s">
        <v>37</v>
      </c>
      <c r="F27" s="39"/>
      <c r="H27" s="240"/>
      <c r="I27" s="40">
        <f>SUM(I28:I30)</f>
        <v>0</v>
      </c>
      <c r="J27" s="41">
        <f>SUM(J28:J30)+SUMIFS(Aut_Ajustes_Manuais!$G:$G,Aut_Ajustes_Manuais!$I:$I,DRE!H$4,Aut_Ajustes_Manuais!$F:$F,"(-) Impostos sobre Venda")</f>
        <v>0</v>
      </c>
      <c r="K27" s="240"/>
      <c r="L27" s="40">
        <f>SUM(L28:L30)</f>
        <v>0</v>
      </c>
      <c r="M27" s="41">
        <f>SUM(M28:M30)+SUMIFS(Aut_Ajustes_Manuais!$G:$G,Aut_Ajustes_Manuais!$I:$I,DRE!K$4,Aut_Ajustes_Manuais!$F:$F,"(-) Impostos sobre Venda")</f>
        <v>0</v>
      </c>
      <c r="N27" s="240"/>
      <c r="O27" s="40">
        <f>SUM(O28:O30)</f>
        <v>0</v>
      </c>
      <c r="P27" s="41">
        <f>SUM(P28:P30)+SUMIFS(Aut_Ajustes_Manuais!$G:$G,Aut_Ajustes_Manuais!$I:$I,DRE!N$4,Aut_Ajustes_Manuais!$F:$F,"(-) Impostos sobre Venda")</f>
        <v>0</v>
      </c>
      <c r="Q27" s="240"/>
      <c r="R27" s="40">
        <f>SUM(R28:R30)</f>
        <v>0</v>
      </c>
      <c r="S27" s="41">
        <f>SUM(S28:S30)+SUMIFS(Aut_Ajustes_Manuais!$G:$G,Aut_Ajustes_Manuais!$I:$I,DRE!Q$4,Aut_Ajustes_Manuais!$F:$F,"(-) Impostos sobre Venda")</f>
        <v>0</v>
      </c>
      <c r="T27" s="240"/>
      <c r="U27" s="40">
        <f>SUM(U28:U30)</f>
        <v>0</v>
      </c>
      <c r="V27" s="41">
        <f>SUM(V28:V30)+SUMIFS(Aut_Ajustes_Manuais!$G:$G,Aut_Ajustes_Manuais!$I:$I,DRE!T$4,Aut_Ajustes_Manuais!$F:$F,"(-) Impostos sobre Venda")</f>
        <v>0</v>
      </c>
      <c r="W27" s="240"/>
      <c r="X27" s="40">
        <f>SUM(X28:X30)</f>
        <v>0</v>
      </c>
      <c r="Y27" s="41">
        <f>SUM(Y28:Y30)+SUMIFS(Aut_Ajustes_Manuais!$G:$G,Aut_Ajustes_Manuais!$I:$I,DRE!W$4,Aut_Ajustes_Manuais!$F:$F,"(-) Impostos sobre Venda")</f>
        <v>0</v>
      </c>
      <c r="Z27" s="240"/>
      <c r="AA27" s="40">
        <f>SUM(AA28:AA30)</f>
        <v>0</v>
      </c>
      <c r="AB27" s="41">
        <f>SUM(AB28:AB30)+SUMIFS(Aut_Ajustes_Manuais!$G:$G,Aut_Ajustes_Manuais!$I:$I,DRE!Z$4,Aut_Ajustes_Manuais!$F:$F,"(-) Impostos sobre Venda")</f>
        <v>-23512.088128000003</v>
      </c>
      <c r="AC27" s="240"/>
      <c r="AD27" s="40">
        <f>SUM(AD28:AD30)</f>
        <v>-328968.94999999995</v>
      </c>
      <c r="AE27" s="41">
        <f>SUM(AE28:AE30)+SUMIFS(Aut_Ajustes_Manuais!$G:$G,Aut_Ajustes_Manuais!$I:$I,DRE!AC$4,Aut_Ajustes_Manuais!$F:$F,"(-) Impostos sobre Venda")</f>
        <v>0</v>
      </c>
      <c r="AF27" s="240"/>
      <c r="AG27" s="40">
        <f>SUM(AG28:AG30)</f>
        <v>-319514.71999999997</v>
      </c>
      <c r="AH27" s="41">
        <f>SUM(AH28:AH30)+SUMIFS(Aut_Ajustes_Manuais!$G:$G,Aut_Ajustes_Manuais!$I:$I,DRE!AF$4,Aut_Ajustes_Manuais!$F:$F,"(-) Impostos sobre Venda")</f>
        <v>0</v>
      </c>
      <c r="AI27" s="240"/>
      <c r="AJ27" s="40">
        <f>SUM(AJ28:AJ30)</f>
        <v>-351379.54000000004</v>
      </c>
      <c r="AK27" s="41">
        <f>SUM(AK28:AK30)+SUMIFS(Aut_Ajustes_Manuais!$G:$G,Aut_Ajustes_Manuais!$I:$I,DRE!AI$4,Aut_Ajustes_Manuais!$F:$F,"(-) Impostos sobre Venda")</f>
        <v>0</v>
      </c>
      <c r="AL27" s="240"/>
      <c r="AM27" s="40">
        <f>SUM(AM28:AM30)</f>
        <v>-324176.40000000002</v>
      </c>
      <c r="AN27" s="41">
        <f>SUM(AN28:AN30)+SUMIFS(Aut_Ajustes_Manuais!$G:$G,Aut_Ajustes_Manuais!$I:$I,DRE!AL$4,Aut_Ajustes_Manuais!$F:$F,"(-) Impostos sobre Venda")</f>
        <v>0</v>
      </c>
      <c r="AO27" s="240"/>
      <c r="AP27" s="40">
        <f>SUM(AP28:AP30)</f>
        <v>-357462.44</v>
      </c>
      <c r="AQ27" s="41">
        <f>SUM(AQ28:AQ30)+SUMIFS(Aut_Ajustes_Manuais!$G:$G,Aut_Ajustes_Manuais!$I:$I,DRE!AO$4,Aut_Ajustes_Manuais!$F:$F,"(-) Impostos sobre Venda")</f>
        <v>0</v>
      </c>
      <c r="AR27" s="240">
        <f t="shared" ref="AR27:BI27" ca="1" si="27">SUM(AR28:AR30)</f>
        <v>0</v>
      </c>
      <c r="AS27" s="40">
        <f t="shared" ca="1" si="27"/>
        <v>-328968.94999999995</v>
      </c>
      <c r="AT27" s="41">
        <f t="shared" ca="1" si="27"/>
        <v>-23512.088128000003</v>
      </c>
      <c r="AU27" s="240">
        <f t="shared" si="27"/>
        <v>0</v>
      </c>
      <c r="AV27" s="40">
        <f t="shared" si="27"/>
        <v>-1681502.0499999998</v>
      </c>
      <c r="AW27" s="41">
        <f t="shared" si="27"/>
        <v>-23512.088128000003</v>
      </c>
      <c r="AX27" s="240">
        <f t="shared" si="27"/>
        <v>0</v>
      </c>
      <c r="AY27" s="40">
        <f t="shared" si="27"/>
        <v>0</v>
      </c>
      <c r="AZ27" s="41">
        <f t="shared" si="27"/>
        <v>0</v>
      </c>
      <c r="BA27" s="240">
        <f t="shared" si="27"/>
        <v>0</v>
      </c>
      <c r="BB27" s="40">
        <f t="shared" si="27"/>
        <v>0</v>
      </c>
      <c r="BC27" s="41">
        <f t="shared" si="27"/>
        <v>0</v>
      </c>
      <c r="BD27" s="240">
        <f t="shared" si="27"/>
        <v>0</v>
      </c>
      <c r="BE27" s="40">
        <f t="shared" si="27"/>
        <v>-648483.66999999993</v>
      </c>
      <c r="BF27" s="41">
        <f t="shared" si="27"/>
        <v>-23512.088128000003</v>
      </c>
      <c r="BG27" s="240">
        <f t="shared" si="27"/>
        <v>0</v>
      </c>
      <c r="BH27" s="40">
        <f t="shared" si="27"/>
        <v>-1033018.38</v>
      </c>
      <c r="BI27" s="41">
        <f t="shared" si="27"/>
        <v>0</v>
      </c>
    </row>
    <row r="28" spans="1:66" s="28" customFormat="1" hidden="1" outlineLevel="1" x14ac:dyDescent="0.3">
      <c r="A28" s="21" t="s">
        <v>46</v>
      </c>
      <c r="B28" s="22"/>
      <c r="C28" s="23" t="s">
        <v>47</v>
      </c>
      <c r="D28" s="24"/>
      <c r="E28" s="53">
        <v>3.6499999999999998E-2</v>
      </c>
      <c r="F28" s="54"/>
      <c r="G28" s="22"/>
      <c r="H28" s="237"/>
      <c r="I28" s="26">
        <f>-SUMIFS(T_ORCAMENTOS!$E:$E,T_ORCAMENTOS!$C:$C,"PIS / COFINS",T_ORCAMENTOS!$H:$H,"1/2026")</f>
        <v>0</v>
      </c>
      <c r="J28" s="27">
        <f>-Fiscal!D21-Fiscal!D22+SUMIFS(Aut_Ajustes_Manuais!$G:$G,Aut_Ajustes_Manuais!$I:$I,DRE!H$4,Aut_Ajustes_Manuais!$F:$F,"PIS / COFINS")</f>
        <v>0</v>
      </c>
      <c r="K28" s="237"/>
      <c r="L28" s="26">
        <f>-SUMIFS(T_ORCAMENTOS!$E:$E,T_ORCAMENTOS!$C:$C,"PIS / COFINS",T_ORCAMENTOS!$H:$H,"2/2026")</f>
        <v>0</v>
      </c>
      <c r="M28" s="27">
        <f>-Fiscal!E21-Fiscal!E22+SUMIFS(Aut_Ajustes_Manuais!$G:$G,Aut_Ajustes_Manuais!$I:$I,DRE!K$4,Aut_Ajustes_Manuais!$F:$F,"PIS / COFINS")</f>
        <v>0</v>
      </c>
      <c r="N28" s="237"/>
      <c r="O28" s="26">
        <f>-SUMIFS(T_ORCAMENTOS!$E:$E,T_ORCAMENTOS!$C:$C,"PIS / COFINS",T_ORCAMENTOS!$H:$H,"3/2026")</f>
        <v>0</v>
      </c>
      <c r="P28" s="27">
        <f>-Fiscal!F21-Fiscal!F22+SUMIFS(Aut_Ajustes_Manuais!$G:$G,Aut_Ajustes_Manuais!$I:$I,DRE!N$4,Aut_Ajustes_Manuais!$F:$F,"PIS / COFINS")</f>
        <v>0</v>
      </c>
      <c r="Q28" s="237"/>
      <c r="R28" s="26">
        <f>-SUMIFS(T_ORCAMENTOS!$E:$E,T_ORCAMENTOS!$C:$C,"PIS / COFINS",T_ORCAMENTOS!$H:$H,"4/2026")</f>
        <v>0</v>
      </c>
      <c r="S28" s="27">
        <f>-Fiscal!H21-Fiscal!H22+SUMIFS(Aut_Ajustes_Manuais!$G:$G,Aut_Ajustes_Manuais!$I:$I,DRE!Q$4,Aut_Ajustes_Manuais!$F:$F,"PIS / COFINS")</f>
        <v>0</v>
      </c>
      <c r="T28" s="237"/>
      <c r="U28" s="26">
        <f>-SUMIFS(T_ORCAMENTOS!$E:$E,T_ORCAMENTOS!$C:$C,"PIS / COFINS",T_ORCAMENTOS!$H:$H,"5/2026")</f>
        <v>0</v>
      </c>
      <c r="V28" s="27">
        <f>-Fiscal!I21-Fiscal!I22+SUMIFS(Aut_Ajustes_Manuais!$G:$G,Aut_Ajustes_Manuais!$I:$I,DRE!T$4,Aut_Ajustes_Manuais!$F:$F,"PIS / COFINS")</f>
        <v>0</v>
      </c>
      <c r="W28" s="237"/>
      <c r="X28" s="26">
        <f>-SUMIFS(T_ORCAMENTOS!$E:$E,T_ORCAMENTOS!$C:$C,"PIS / COFINS",T_ORCAMENTOS!$H:$H,"6/2026")</f>
        <v>0</v>
      </c>
      <c r="Y28" s="27">
        <f>-Fiscal!J21-Fiscal!J22+SUMIFS(Aut_Ajustes_Manuais!$G:$G,Aut_Ajustes_Manuais!$I:$I,DRE!W$4,Aut_Ajustes_Manuais!$F:$F,"PIS / COFINS")</f>
        <v>0</v>
      </c>
      <c r="Z28" s="237"/>
      <c r="AA28" s="26">
        <f>-SUMIFS(T_ORCAMENTOS!$E:$E,T_ORCAMENTOS!$C:$C,"PIS / COFINS",T_ORCAMENTOS!$H:$H,"7/2026")</f>
        <v>0</v>
      </c>
      <c r="AB28" s="27">
        <f>-Fiscal!L21-Fiscal!L22+SUMIFS(Aut_Ajustes_Manuais!$G:$G,Aut_Ajustes_Manuais!$I:$I,DRE!Z$4,Aut_Ajustes_Manuais!$F:$F,"PIS / COFINS")</f>
        <v>-10926.460128000002</v>
      </c>
      <c r="AC28" s="237"/>
      <c r="AD28" s="26">
        <f>-SUMIFS(T_ORCAMENTOS!$E:$E,T_ORCAMENTOS!$C:$C,"PIS / COFINS",T_ORCAMENTOS!$H:$H,"8/2026")</f>
        <v>-153432.4</v>
      </c>
      <c r="AE28" s="27">
        <f>-Fiscal!M21-Fiscal!M22+SUMIFS(Aut_Ajustes_Manuais!$G:$G,Aut_Ajustes_Manuais!$I:$I,DRE!AC$4,Aut_Ajustes_Manuais!$F:$F,"PIS / COFINS")</f>
        <v>0</v>
      </c>
      <c r="AF28" s="237"/>
      <c r="AG28" s="26">
        <f>-SUMIFS(T_ORCAMENTOS!$E:$E,T_ORCAMENTOS!$C:$C,"PIS / COFINS",T_ORCAMENTOS!$H:$H,"9/2026")</f>
        <v>-148915.59</v>
      </c>
      <c r="AH28" s="27">
        <f>-Fiscal!N21-Fiscal!N22+SUMIFS(Aut_Ajustes_Manuais!$G:$G,Aut_Ajustes_Manuais!$I:$I,DRE!AF$4,Aut_Ajustes_Manuais!$F:$F,"PIS / COFINS")</f>
        <v>0</v>
      </c>
      <c r="AI28" s="237"/>
      <c r="AJ28" s="26">
        <f>-SUMIFS(T_ORCAMENTOS!$E:$E,T_ORCAMENTOS!$C:$C,"PIS / COFINS",T_ORCAMENTOS!$H:$H,"10/2026")</f>
        <v>-163692.75</v>
      </c>
      <c r="AK28" s="27">
        <f>-Fiscal!P21-Fiscal!P22+SUMIFS(Aut_Ajustes_Manuais!$G:$G,Aut_Ajustes_Manuais!$I:$I,DRE!AI$4,Aut_Ajustes_Manuais!$F:$F,"PIS / COFINS")</f>
        <v>0</v>
      </c>
      <c r="AL28" s="237"/>
      <c r="AM28" s="26">
        <f>-SUMIFS(T_ORCAMENTOS!$E:$E,T_ORCAMENTOS!$C:$C,"PIS / COFINS",T_ORCAMENTOS!$H:$H,"11/2026")</f>
        <v>-150949.35999999999</v>
      </c>
      <c r="AN28" s="27">
        <f>-Fiscal!Q21-Fiscal!Q22+SUMIFS(Aut_Ajustes_Manuais!$G:$G,Aut_Ajustes_Manuais!$I:$I,DRE!AL$4,Aut_Ajustes_Manuais!$F:$F,"PIS / COFINS")</f>
        <v>0</v>
      </c>
      <c r="AO28" s="237"/>
      <c r="AP28" s="26">
        <f>-SUMIFS(T_ORCAMENTOS!$E:$E,T_ORCAMENTOS!$C:$C,"PIS / COFINS",T_ORCAMENTOS!$H:$H,"12/2026")</f>
        <v>-165896.46</v>
      </c>
      <c r="AQ28" s="27">
        <f>-Fiscal!R21-Fiscal!R22+SUMIFS(Aut_Ajustes_Manuais!$G:$G,Aut_Ajustes_Manuais!$I:$I,DRE!AO$4,Aut_Ajustes_Manuais!$F:$F,"PIS / COFINS")</f>
        <v>0</v>
      </c>
      <c r="AR28" s="237">
        <f ca="1">SUMIFS($H28:$AO28,$H$5:$AO$5,"&lt;"&amp;MONTH(TODAY()),$H$6:$AO$6,"REAL 25")</f>
        <v>0</v>
      </c>
      <c r="AS28" s="26">
        <f ca="1">SUMIFS($I28:$AP28,$I$5:$AP$5,"&lt;"&amp;MONTH(TODAY()),$I$6:$AP$6,"ORÇADO ")</f>
        <v>-153432.4</v>
      </c>
      <c r="AT28" s="27">
        <f ca="1">SUMIFS($J28:$AQ28,$J$5:$AQ$5,"&lt;"&amp;MONTH(TODAY()),$J$6:$AQ$6,"REAL 26")</f>
        <v>-10926.460128000002</v>
      </c>
      <c r="AU28" s="237">
        <f t="shared" ref="AU28:AW30" si="28">SUM(H28,K28,N28,Q28,T28,W28,Z28,AC28,AF28,AI28,AL28,AO28)</f>
        <v>0</v>
      </c>
      <c r="AV28" s="26">
        <f t="shared" si="28"/>
        <v>-782886.55999999994</v>
      </c>
      <c r="AW28" s="27">
        <f t="shared" si="28"/>
        <v>-10926.460128000002</v>
      </c>
      <c r="AX28" s="237">
        <f t="shared" ref="AX28:AZ30" si="29">SUM(H28,K28,N28)</f>
        <v>0</v>
      </c>
      <c r="AY28" s="26">
        <f t="shared" si="29"/>
        <v>0</v>
      </c>
      <c r="AZ28" s="27">
        <f t="shared" si="29"/>
        <v>0</v>
      </c>
      <c r="BA28" s="237">
        <f t="shared" ref="BA28:BC30" si="30">SUM(Q28,T28,W28)</f>
        <v>0</v>
      </c>
      <c r="BB28" s="26">
        <f t="shared" si="30"/>
        <v>0</v>
      </c>
      <c r="BC28" s="27">
        <f t="shared" si="30"/>
        <v>0</v>
      </c>
      <c r="BD28" s="237">
        <f t="shared" ref="BD28:BF30" si="31">SUM(Z28,AC28,AF28)</f>
        <v>0</v>
      </c>
      <c r="BE28" s="26">
        <f t="shared" si="31"/>
        <v>-302347.99</v>
      </c>
      <c r="BF28" s="27">
        <f t="shared" si="31"/>
        <v>-10926.460128000002</v>
      </c>
      <c r="BG28" s="237">
        <f t="shared" ref="BG28:BI30" si="32">SUM(AI28,AL28,AO28)</f>
        <v>0</v>
      </c>
      <c r="BH28" s="26">
        <f t="shared" si="32"/>
        <v>-480538.56999999995</v>
      </c>
      <c r="BI28" s="27">
        <f t="shared" si="32"/>
        <v>0</v>
      </c>
      <c r="BJ28" s="454"/>
    </row>
    <row r="29" spans="1:66" s="28" customFormat="1" hidden="1" outlineLevel="1" x14ac:dyDescent="0.3">
      <c r="A29" s="21" t="s">
        <v>48</v>
      </c>
      <c r="B29" s="22"/>
      <c r="C29" s="23" t="s">
        <v>47</v>
      </c>
      <c r="D29" s="24"/>
      <c r="E29" s="53">
        <v>0.04</v>
      </c>
      <c r="F29" s="54"/>
      <c r="G29" s="22"/>
      <c r="H29" s="237"/>
      <c r="I29" s="26">
        <f>-SUMIFS(T_ORCAMENTOS!$E:$E,T_ORCAMENTOS!$C:$C,"ICMS",T_ORCAMENTOS!$H:$H,"1/2026")</f>
        <v>0</v>
      </c>
      <c r="J29" s="27">
        <f>-Fiscal!D23+SUMIFS(Aut_Ajustes_Manuais!$G:$G,Aut_Ajustes_Manuais!$I:$I,DRE!H$4,Aut_Ajustes_Manuais!$F:$F,"ICMS")</f>
        <v>0</v>
      </c>
      <c r="K29" s="237"/>
      <c r="L29" s="26">
        <f>-SUMIFS(T_ORCAMENTOS!$E:$E,T_ORCAMENTOS!$C:$C,"ICMS",T_ORCAMENTOS!$H:$H,"2/2026")</f>
        <v>0</v>
      </c>
      <c r="M29" s="27">
        <f>-Fiscal!E23+SUMIFS(Aut_Ajustes_Manuais!$G:$G,Aut_Ajustes_Manuais!$I:$I,DRE!K$4,Aut_Ajustes_Manuais!$F:$F,"ICMS")</f>
        <v>0</v>
      </c>
      <c r="N29" s="237"/>
      <c r="O29" s="26">
        <f>-SUMIFS(T_ORCAMENTOS!$E:$E,T_ORCAMENTOS!$C:$C,"ICMS",T_ORCAMENTOS!$H:$H,"3/2026")</f>
        <v>0</v>
      </c>
      <c r="P29" s="27">
        <f>-Fiscal!F23+SUMIFS(Aut_Ajustes_Manuais!$G:$G,Aut_Ajustes_Manuais!$I:$I,DRE!N$4,Aut_Ajustes_Manuais!$F:$F,"ICMS")</f>
        <v>0</v>
      </c>
      <c r="Q29" s="237"/>
      <c r="R29" s="26">
        <f>-SUMIFS(T_ORCAMENTOS!$E:$E,T_ORCAMENTOS!$C:$C,"ICMS",T_ORCAMENTOS!$H:$H,"4/2026")</f>
        <v>0</v>
      </c>
      <c r="S29" s="27">
        <f>-Fiscal!H23+SUMIFS(Aut_Ajustes_Manuais!$G:$G,Aut_Ajustes_Manuais!$I:$I,DRE!Q$4,Aut_Ajustes_Manuais!$F:$F,"ICMS")</f>
        <v>0</v>
      </c>
      <c r="T29" s="237"/>
      <c r="U29" s="26">
        <f>-SUMIFS(T_ORCAMENTOS!$E:$E,T_ORCAMENTOS!$C:$C,"ICMS",T_ORCAMENTOS!$H:$H,"5/2026")</f>
        <v>0</v>
      </c>
      <c r="V29" s="27">
        <f>-Fiscal!I23+SUMIFS(Aut_Ajustes_Manuais!$G:$G,Aut_Ajustes_Manuais!$I:$I,DRE!T$4,Aut_Ajustes_Manuais!$F:$F,"ICMS")</f>
        <v>0</v>
      </c>
      <c r="W29" s="237"/>
      <c r="X29" s="26">
        <f>-SUMIFS(T_ORCAMENTOS!$E:$E,T_ORCAMENTOS!$C:$C,"ICMS",T_ORCAMENTOS!$H:$H,"6/2026")</f>
        <v>0</v>
      </c>
      <c r="Y29" s="27">
        <f>-Fiscal!J23+SUMIFS(Aut_Ajustes_Manuais!$G:$G,Aut_Ajustes_Manuais!$I:$I,DRE!W$4,Aut_Ajustes_Manuais!$F:$F,"ICMS")</f>
        <v>0</v>
      </c>
      <c r="Z29" s="237"/>
      <c r="AA29" s="26">
        <f>-SUMIFS(T_ORCAMENTOS!$E:$E,T_ORCAMENTOS!$C:$C,"ICMS",T_ORCAMENTOS!$H:$H,"7/2026")</f>
        <v>0</v>
      </c>
      <c r="AB29" s="27">
        <f>-Fiscal!L23+SUMIFS(Aut_Ajustes_Manuais!$G:$G,Aut_Ajustes_Manuais!$I:$I,DRE!Z$4,Aut_Ajustes_Manuais!$F:$F,"ICMS")</f>
        <v>-11910.628000000002</v>
      </c>
      <c r="AC29" s="237"/>
      <c r="AD29" s="26">
        <f>-SUMIFS(T_ORCAMENTOS!$E:$E,T_ORCAMENTOS!$C:$C,"ICMS",T_ORCAMENTOS!$H:$H,"8/2026")</f>
        <v>-173224.05</v>
      </c>
      <c r="AE29" s="27">
        <f>-Fiscal!M23+SUMIFS(Aut_Ajustes_Manuais!$G:$G,Aut_Ajustes_Manuais!$I:$I,DRE!AC$4,Aut_Ajustes_Manuais!$F:$F,"ICMS")</f>
        <v>0</v>
      </c>
      <c r="AF29" s="237"/>
      <c r="AG29" s="26">
        <f>-SUMIFS(T_ORCAMENTOS!$E:$E,T_ORCAMENTOS!$C:$C,"ICMS",T_ORCAMENTOS!$H:$H,"9/2026")</f>
        <v>-166974.13</v>
      </c>
      <c r="AH29" s="27">
        <f>-Fiscal!N23+SUMIFS(Aut_Ajustes_Manuais!$G:$G,Aut_Ajustes_Manuais!$I:$I,DRE!AF$4,Aut_Ajustes_Manuais!$F:$F,"ICMS")</f>
        <v>0</v>
      </c>
      <c r="AI29" s="237"/>
      <c r="AJ29" s="26">
        <f>-SUMIFS(T_ORCAMENTOS!$E:$E,T_ORCAMENTOS!$C:$C,"ICMS",T_ORCAMENTOS!$H:$H,"10/2026")</f>
        <v>-182749.29</v>
      </c>
      <c r="AK29" s="27">
        <f>-Fiscal!P23+SUMIFS(Aut_Ajustes_Manuais!$G:$G,Aut_Ajustes_Manuais!$I:$I,DRE!AI$4,Aut_Ajustes_Manuais!$F:$F,"ICMS")</f>
        <v>0</v>
      </c>
      <c r="AL29" s="237"/>
      <c r="AM29" s="26">
        <f>-SUMIFS(T_ORCAMENTOS!$E:$E,T_ORCAMENTOS!$C:$C,"ICMS",T_ORCAMENTOS!$H:$H,"11/2026")</f>
        <v>-167764.54</v>
      </c>
      <c r="AN29" s="27">
        <f>-Fiscal!Q23+SUMIFS(Aut_Ajustes_Manuais!$G:$G,Aut_Ajustes_Manuais!$I:$I,DRE!AL$4,Aut_Ajustes_Manuais!$F:$F,"ICMS")</f>
        <v>0</v>
      </c>
      <c r="AO29" s="237"/>
      <c r="AP29" s="26">
        <f>-SUMIFS(T_ORCAMENTOS!$E:$E,T_ORCAMENTOS!$C:$C,"ICMS",T_ORCAMENTOS!$H:$H,"12/2026")</f>
        <v>-178447.23</v>
      </c>
      <c r="AQ29" s="27">
        <f>-Fiscal!R23+SUMIFS(Aut_Ajustes_Manuais!$G:$G,Aut_Ajustes_Manuais!$I:$I,DRE!AO$4,Aut_Ajustes_Manuais!$F:$F,"ICMS")</f>
        <v>0</v>
      </c>
      <c r="AR29" s="237">
        <f ca="1">SUMIFS($H29:$AO29,$H$5:$AO$5,"&lt;"&amp;MONTH(TODAY()),$H$6:$AO$6,"REAL 25")</f>
        <v>0</v>
      </c>
      <c r="AS29" s="26">
        <f ca="1">SUMIFS($I29:$AP29,$I$5:$AP$5,"&lt;"&amp;MONTH(TODAY()),$I$6:$AP$6,"ORÇADO ")</f>
        <v>-173224.05</v>
      </c>
      <c r="AT29" s="27">
        <f ca="1">SUMIFS($J29:$AQ29,$J$5:$AQ$5,"&lt;"&amp;MONTH(TODAY()),$J$6:$AQ$6,"REAL 26")</f>
        <v>-11910.628000000002</v>
      </c>
      <c r="AU29" s="237">
        <f t="shared" si="28"/>
        <v>0</v>
      </c>
      <c r="AV29" s="26">
        <f t="shared" si="28"/>
        <v>-869159.24</v>
      </c>
      <c r="AW29" s="27">
        <f t="shared" si="28"/>
        <v>-11910.628000000002</v>
      </c>
      <c r="AX29" s="237">
        <f t="shared" si="29"/>
        <v>0</v>
      </c>
      <c r="AY29" s="26">
        <f t="shared" si="29"/>
        <v>0</v>
      </c>
      <c r="AZ29" s="27">
        <f t="shared" si="29"/>
        <v>0</v>
      </c>
      <c r="BA29" s="237">
        <f t="shared" si="30"/>
        <v>0</v>
      </c>
      <c r="BB29" s="26">
        <f t="shared" si="30"/>
        <v>0</v>
      </c>
      <c r="BC29" s="27">
        <f t="shared" si="30"/>
        <v>0</v>
      </c>
      <c r="BD29" s="237">
        <f t="shared" si="31"/>
        <v>0</v>
      </c>
      <c r="BE29" s="26">
        <f t="shared" si="31"/>
        <v>-340198.18</v>
      </c>
      <c r="BF29" s="27">
        <f t="shared" si="31"/>
        <v>-11910.628000000002</v>
      </c>
      <c r="BG29" s="237">
        <f t="shared" si="32"/>
        <v>0</v>
      </c>
      <c r="BH29" s="26">
        <f t="shared" si="32"/>
        <v>-528961.06000000006</v>
      </c>
      <c r="BI29" s="27">
        <f t="shared" si="32"/>
        <v>0</v>
      </c>
      <c r="BJ29" s="454"/>
    </row>
    <row r="30" spans="1:66" s="28" customFormat="1" hidden="1" outlineLevel="1" x14ac:dyDescent="0.3">
      <c r="A30" s="21" t="s">
        <v>49</v>
      </c>
      <c r="B30" s="22"/>
      <c r="C30" s="23" t="s">
        <v>47</v>
      </c>
      <c r="D30" s="53"/>
      <c r="E30" s="53">
        <v>0.05</v>
      </c>
      <c r="F30" s="54"/>
      <c r="G30" s="22"/>
      <c r="H30" s="237"/>
      <c r="I30" s="26">
        <f>-SUMIFS(T_ORCAMENTOS!$E:$E,T_ORCAMENTOS!$C:$C,"ISS",T_ORCAMENTOS!$H:$H,"1/2026")</f>
        <v>0</v>
      </c>
      <c r="J30" s="27">
        <f>-Fiscal!D20+SUMIFS(Aut_Ajustes_Manuais!$G:$G,Aut_Ajustes_Manuais!$I:$I,DRE!H$4,Aut_Ajustes_Manuais!$F:$F,"ISS")</f>
        <v>0</v>
      </c>
      <c r="K30" s="237"/>
      <c r="L30" s="26">
        <f>-SUMIFS(T_ORCAMENTOS!$E:$E,T_ORCAMENTOS!$C:$C,"ISS",T_ORCAMENTOS!$H:$H,"2/2026")</f>
        <v>0</v>
      </c>
      <c r="M30" s="27">
        <f>-Fiscal!E20+SUMIFS(Aut_Ajustes_Manuais!$G:$G,Aut_Ajustes_Manuais!$I:$I,DRE!K$4,Aut_Ajustes_Manuais!$F:$F,"ISS")</f>
        <v>0</v>
      </c>
      <c r="N30" s="237"/>
      <c r="O30" s="26">
        <f>-SUMIFS(T_ORCAMENTOS!$E:$E,T_ORCAMENTOS!$C:$C,"ISS",T_ORCAMENTOS!$H:$H,"3/2026")</f>
        <v>0</v>
      </c>
      <c r="P30" s="27">
        <f>-Fiscal!F20+SUMIFS(Aut_Ajustes_Manuais!$G:$G,Aut_Ajustes_Manuais!$I:$I,DRE!N$4,Aut_Ajustes_Manuais!$F:$F,"ISS")</f>
        <v>0</v>
      </c>
      <c r="Q30" s="237"/>
      <c r="R30" s="26">
        <f>-SUMIFS(T_ORCAMENTOS!$E:$E,T_ORCAMENTOS!$C:$C,"ISS",T_ORCAMENTOS!$H:$H,"4/2026")</f>
        <v>0</v>
      </c>
      <c r="S30" s="27">
        <f>-Fiscal!H20+SUMIFS(Aut_Ajustes_Manuais!$G:$G,Aut_Ajustes_Manuais!$I:$I,DRE!Q$4,Aut_Ajustes_Manuais!$F:$F,"ISS")</f>
        <v>0</v>
      </c>
      <c r="T30" s="237"/>
      <c r="U30" s="26">
        <f>-SUMIFS(T_ORCAMENTOS!$E:$E,T_ORCAMENTOS!$C:$C,"ISS",T_ORCAMENTOS!$H:$H,"5/2026")</f>
        <v>0</v>
      </c>
      <c r="V30" s="27">
        <f>-Fiscal!I20+SUMIFS(Aut_Ajustes_Manuais!$G:$G,Aut_Ajustes_Manuais!$I:$I,DRE!T$4,Aut_Ajustes_Manuais!$F:$F,"ISS")</f>
        <v>0</v>
      </c>
      <c r="W30" s="237"/>
      <c r="X30" s="26">
        <f>-SUMIFS(T_ORCAMENTOS!$E:$E,T_ORCAMENTOS!$C:$C,"ISS",T_ORCAMENTOS!$H:$H,"6/2026")</f>
        <v>0</v>
      </c>
      <c r="Y30" s="27">
        <f>-Fiscal!J20+SUMIFS(Aut_Ajustes_Manuais!$G:$G,Aut_Ajustes_Manuais!$I:$I,DRE!W$4,Aut_Ajustes_Manuais!$F:$F,"ISS")</f>
        <v>0</v>
      </c>
      <c r="Z30" s="237"/>
      <c r="AA30" s="26">
        <f>-SUMIFS(T_ORCAMENTOS!$E:$E,T_ORCAMENTOS!$C:$C,"ISS",T_ORCAMENTOS!$H:$H,"7/2026")</f>
        <v>0</v>
      </c>
      <c r="AB30" s="27">
        <f>-Fiscal!L20+SUMIFS(Aut_Ajustes_Manuais!$G:$G,Aut_Ajustes_Manuais!$I:$I,DRE!Z$4,Aut_Ajustes_Manuais!$F:$F,"ISS")</f>
        <v>-675</v>
      </c>
      <c r="AC30" s="237"/>
      <c r="AD30" s="26">
        <f>-SUMIFS(T_ORCAMENTOS!$E:$E,T_ORCAMENTOS!$C:$C,"ISS",T_ORCAMENTOS!$H:$H,"8/2026")</f>
        <v>-2312.5</v>
      </c>
      <c r="AE30" s="27">
        <f>-Fiscal!M20+SUMIFS(Aut_Ajustes_Manuais!$G:$G,Aut_Ajustes_Manuais!$I:$I,DRE!AC$4,Aut_Ajustes_Manuais!$F:$F,"ISS")</f>
        <v>0</v>
      </c>
      <c r="AF30" s="237"/>
      <c r="AG30" s="26">
        <f>-SUMIFS(T_ORCAMENTOS!$E:$E,T_ORCAMENTOS!$C:$C,"ISS",T_ORCAMENTOS!$H:$H,"9/2026")</f>
        <v>-3625</v>
      </c>
      <c r="AH30" s="27">
        <f>-Fiscal!N20+SUMIFS(Aut_Ajustes_Manuais!$G:$G,Aut_Ajustes_Manuais!$I:$I,DRE!AF$4,Aut_Ajustes_Manuais!$F:$F,"ISS")</f>
        <v>0</v>
      </c>
      <c r="AI30" s="237"/>
      <c r="AJ30" s="26">
        <f>-SUMIFS(T_ORCAMENTOS!$E:$E,T_ORCAMENTOS!$C:$C,"ISS",T_ORCAMENTOS!$H:$H,"10/2026")</f>
        <v>-4937.5</v>
      </c>
      <c r="AK30" s="27">
        <f>-Fiscal!P20+SUMIFS(Aut_Ajustes_Manuais!$G:$G,Aut_Ajustes_Manuais!$I:$I,DRE!AI$4,Aut_Ajustes_Manuais!$F:$F,"ISS")</f>
        <v>0</v>
      </c>
      <c r="AL30" s="237"/>
      <c r="AM30" s="26">
        <f>-SUMIFS(T_ORCAMENTOS!$E:$E,T_ORCAMENTOS!$C:$C,"ISS",T_ORCAMENTOS!$H:$H,"11/2026")</f>
        <v>-5462.5</v>
      </c>
      <c r="AN30" s="27">
        <f>-Fiscal!Q20+SUMIFS(Aut_Ajustes_Manuais!$G:$G,Aut_Ajustes_Manuais!$I:$I,DRE!AL$4,Aut_Ajustes_Manuais!$F:$F,"ISS")</f>
        <v>0</v>
      </c>
      <c r="AO30" s="237"/>
      <c r="AP30" s="26">
        <f>-SUMIFS(T_ORCAMENTOS!$E:$E,T_ORCAMENTOS!$C:$C,"ISS",T_ORCAMENTOS!$H:$H,"12/2026")</f>
        <v>-13118.75</v>
      </c>
      <c r="AQ30" s="27">
        <f>-Fiscal!R20+SUMIFS(Aut_Ajustes_Manuais!$G:$G,Aut_Ajustes_Manuais!$I:$I,DRE!AO$4,Aut_Ajustes_Manuais!$F:$F,"ISS")</f>
        <v>0</v>
      </c>
      <c r="AR30" s="237">
        <f ca="1">SUMIFS($H30:$AO30,$H$5:$AO$5,"&lt;"&amp;MONTH(TODAY()),$H$6:$AO$6,"REAL 25")</f>
        <v>0</v>
      </c>
      <c r="AS30" s="26">
        <f ca="1">SUMIFS($I30:$AP30,$I$5:$AP$5,"&lt;"&amp;MONTH(TODAY()),$I$6:$AP$6,"ORÇADO ")</f>
        <v>-2312.5</v>
      </c>
      <c r="AT30" s="27">
        <f ca="1">SUMIFS($J30:$AQ30,$J$5:$AQ$5,"&lt;"&amp;MONTH(TODAY()),$J$6:$AQ$6,"REAL 26")</f>
        <v>-675</v>
      </c>
      <c r="AU30" s="237">
        <f t="shared" si="28"/>
        <v>0</v>
      </c>
      <c r="AV30" s="26">
        <f t="shared" si="28"/>
        <v>-29456.25</v>
      </c>
      <c r="AW30" s="27">
        <f t="shared" si="28"/>
        <v>-675</v>
      </c>
      <c r="AX30" s="237">
        <f t="shared" si="29"/>
        <v>0</v>
      </c>
      <c r="AY30" s="26">
        <f t="shared" si="29"/>
        <v>0</v>
      </c>
      <c r="AZ30" s="27">
        <f t="shared" si="29"/>
        <v>0</v>
      </c>
      <c r="BA30" s="237">
        <f t="shared" si="30"/>
        <v>0</v>
      </c>
      <c r="BB30" s="26">
        <f t="shared" si="30"/>
        <v>0</v>
      </c>
      <c r="BC30" s="27">
        <f t="shared" si="30"/>
        <v>0</v>
      </c>
      <c r="BD30" s="237">
        <f t="shared" si="31"/>
        <v>0</v>
      </c>
      <c r="BE30" s="26">
        <f t="shared" si="31"/>
        <v>-5937.5</v>
      </c>
      <c r="BF30" s="27">
        <f t="shared" si="31"/>
        <v>-675</v>
      </c>
      <c r="BG30" s="237">
        <f t="shared" si="32"/>
        <v>0</v>
      </c>
      <c r="BH30" s="26">
        <f t="shared" si="32"/>
        <v>-23518.75</v>
      </c>
      <c r="BI30" s="27">
        <f t="shared" si="32"/>
        <v>0</v>
      </c>
      <c r="BJ30" s="454"/>
    </row>
    <row r="31" spans="1:66" s="444" customFormat="1" collapsed="1" x14ac:dyDescent="0.3">
      <c r="A31" s="436"/>
      <c r="B31" s="437"/>
      <c r="C31" s="438"/>
      <c r="D31" s="439"/>
      <c r="E31" s="440"/>
      <c r="F31" s="441"/>
      <c r="G31" s="437"/>
      <c r="H31" s="442"/>
      <c r="I31" s="441"/>
      <c r="J31" s="443" t="e">
        <f>J27/J8</f>
        <v>#DIV/0!</v>
      </c>
      <c r="K31" s="442"/>
      <c r="L31" s="441"/>
      <c r="M31" s="443" t="e">
        <f>M27/M8</f>
        <v>#DIV/0!</v>
      </c>
      <c r="N31" s="442"/>
      <c r="O31" s="441"/>
      <c r="P31" s="443" t="e">
        <f>P27/P8</f>
        <v>#DIV/0!</v>
      </c>
      <c r="Q31" s="442"/>
      <c r="R31" s="441"/>
      <c r="S31" s="443"/>
      <c r="T31" s="442"/>
      <c r="U31" s="441"/>
      <c r="V31" s="443"/>
      <c r="W31" s="442"/>
      <c r="X31" s="441"/>
      <c r="Y31" s="443"/>
      <c r="Z31" s="442"/>
      <c r="AA31" s="441"/>
      <c r="AB31" s="443"/>
      <c r="AC31" s="442"/>
      <c r="AD31" s="441"/>
      <c r="AE31" s="443"/>
      <c r="AF31" s="442"/>
      <c r="AG31" s="441"/>
      <c r="AH31" s="443"/>
      <c r="AI31" s="442"/>
      <c r="AJ31" s="441"/>
      <c r="AK31" s="443"/>
      <c r="AL31" s="442"/>
      <c r="AM31" s="441"/>
      <c r="AN31" s="443"/>
      <c r="AO31" s="442"/>
      <c r="AP31" s="441"/>
      <c r="AQ31" s="443"/>
      <c r="AR31" s="243"/>
      <c r="AS31" s="16"/>
      <c r="AT31" s="55"/>
      <c r="AU31" s="442"/>
      <c r="AV31" s="441"/>
      <c r="AW31" s="443"/>
      <c r="AX31" s="442"/>
      <c r="AY31" s="441"/>
      <c r="AZ31" s="443"/>
      <c r="BA31" s="442"/>
      <c r="BB31" s="441"/>
      <c r="BC31" s="443"/>
      <c r="BD31" s="442"/>
      <c r="BE31" s="441"/>
      <c r="BF31" s="443"/>
      <c r="BG31" s="442"/>
      <c r="BH31" s="441"/>
      <c r="BI31" s="443"/>
      <c r="BJ31" s="457"/>
    </row>
    <row r="32" spans="1:66" x14ac:dyDescent="0.3">
      <c r="A32" s="56" t="s">
        <v>50</v>
      </c>
      <c r="B32" s="57"/>
      <c r="C32" s="58"/>
      <c r="D32" s="59"/>
      <c r="E32" s="60"/>
      <c r="F32" s="61"/>
      <c r="G32" s="57"/>
      <c r="H32" s="244">
        <v>999539.66056383064</v>
      </c>
      <c r="I32" s="62">
        <f>SUM(I27,I21,I8)</f>
        <v>0</v>
      </c>
      <c r="J32" s="63">
        <f>SUM(J27,J21,J8)+SUMIFS(Aut_Ajustes_Manuais!$G:$G,Aut_Ajustes_Manuais!$I:$I,DRE!H$4,Aut_Ajustes_Manuais!$F:$F,"RECEITA LÍQUIDA")</f>
        <v>0</v>
      </c>
      <c r="K32" s="244">
        <v>1081289.2344054549</v>
      </c>
      <c r="L32" s="62">
        <f>SUM(L27,L21,L8)</f>
        <v>0</v>
      </c>
      <c r="M32" s="63">
        <f>SUM(M27,M21,M8)+SUMIFS(Aut_Ajustes_Manuais!$G:$G,Aut_Ajustes_Manuais!$I:$I,DRE!K$4,Aut_Ajustes_Manuais!$F:$F,"RECEITA LÍQUIDA")</f>
        <v>0</v>
      </c>
      <c r="N32" s="244">
        <v>1408179.825397904</v>
      </c>
      <c r="O32" s="62">
        <f>SUM(O27,O21,O8)</f>
        <v>0</v>
      </c>
      <c r="P32" s="63">
        <f>SUM(P27,P21,P8)+SUMIFS(Aut_Ajustes_Manuais!$G:$G,Aut_Ajustes_Manuais!$I:$I,DRE!N$4,Aut_Ajustes_Manuais!$F:$F,"RECEITA LÍQUIDA")</f>
        <v>0</v>
      </c>
      <c r="Q32" s="244">
        <v>1253526.437536974</v>
      </c>
      <c r="R32" s="62">
        <f>SUM(R27,R21,R8)</f>
        <v>0</v>
      </c>
      <c r="S32" s="63">
        <f>SUM(S27,S21,S8)+SUMIFS(Aut_Ajustes_Manuais!$G:$G,Aut_Ajustes_Manuais!$I:$I,DRE!Q$4,Aut_Ajustes_Manuais!$F:$F,"RECEITA LÍQUIDA")</f>
        <v>0</v>
      </c>
      <c r="T32" s="244">
        <v>1350286.2456298759</v>
      </c>
      <c r="U32" s="62">
        <f>SUM(U27,U21,U8)</f>
        <v>0</v>
      </c>
      <c r="V32" s="63">
        <f>SUM(V27,V21,V8)+SUMIFS(Aut_Ajustes_Manuais!$G:$G,Aut_Ajustes_Manuais!$I:$I,DRE!T$4,Aut_Ajustes_Manuais!$F:$F,"RECEITA LÍQUIDA")</f>
        <v>0</v>
      </c>
      <c r="W32" s="244">
        <v>1374166.130075295</v>
      </c>
      <c r="X32" s="62">
        <f>SUM(X27,X21,X8)</f>
        <v>0</v>
      </c>
      <c r="Y32" s="63">
        <f>SUM(Y27,Y21,Y8)+SUMIFS(Aut_Ajustes_Manuais!$G:$G,Aut_Ajustes_Manuais!$I:$I,DRE!W$4,Aut_Ajustes_Manuais!$F:$F,"RECEITA LÍQUIDA")</f>
        <v>0</v>
      </c>
      <c r="Z32" s="244">
        <v>1311850.3323770401</v>
      </c>
      <c r="AA32" s="62">
        <f>SUM(AA27,AA21,AA8)</f>
        <v>0</v>
      </c>
      <c r="AB32" s="63">
        <f>SUM(AB27,AB21,AB8)+SUMIFS(Aut_Ajustes_Manuais!$G:$G,Aut_Ajustes_Manuais!$I:$I,DRE!Z$4,Aut_Ajustes_Manuais!$F:$F,"RECEITA LÍQUIDA")</f>
        <v>317144.33187200001</v>
      </c>
      <c r="AC32" s="244">
        <v>1537451.6142149691</v>
      </c>
      <c r="AD32" s="62">
        <f>SUM(AD27,AD21,AD8)</f>
        <v>4335061.459999999</v>
      </c>
      <c r="AE32" s="63">
        <f>SUM(AE27,AE21,AE8)+SUMIFS(Aut_Ajustes_Manuais!$G:$G,Aut_Ajustes_Manuais!$I:$I,DRE!AC$4,Aut_Ajustes_Manuais!$F:$F,"RECEITA LÍQUIDA")</f>
        <v>0</v>
      </c>
      <c r="AF32" s="244">
        <v>1386509.133392883</v>
      </c>
      <c r="AG32" s="62">
        <f>SUM(AG27,AG21,AG8)</f>
        <v>4201072.79</v>
      </c>
      <c r="AH32" s="63">
        <f>SUM(AH27,AH21,AH8)+SUMIFS(Aut_Ajustes_Manuais!$G:$G,Aut_Ajustes_Manuais!$I:$I,DRE!AF$4,Aut_Ajustes_Manuais!$F:$F,"RECEITA LÍQUIDA")</f>
        <v>0</v>
      </c>
      <c r="AI32" s="244">
        <v>1277890.5149863169</v>
      </c>
      <c r="AJ32" s="62">
        <f>SUM(AJ27,AJ21,AJ8)</f>
        <v>4612242.01</v>
      </c>
      <c r="AK32" s="63">
        <f>SUM(AK27,AK21,AK8)+SUMIFS(Aut_Ajustes_Manuais!$G:$G,Aut_Ajustes_Manuais!$I:$I,DRE!AI$4,Aut_Ajustes_Manuais!$F:$F,"RECEITA LÍQUIDA")</f>
        <v>0</v>
      </c>
      <c r="AL32" s="244">
        <v>1635507.383135102</v>
      </c>
      <c r="AM32" s="62">
        <f>SUM(AM27,AM21,AM8)</f>
        <v>4249416.6800000006</v>
      </c>
      <c r="AN32" s="63">
        <f>SUM(AN27,AN21,AN8)+SUMIFS(Aut_Ajustes_Manuais!$G:$G,Aut_Ajustes_Manuais!$I:$I,DRE!AL$4,Aut_Ajustes_Manuais!$F:$F,"RECEITA LÍQUIDA")</f>
        <v>0</v>
      </c>
      <c r="AO32" s="244">
        <v>1597437.6436137559</v>
      </c>
      <c r="AP32" s="62">
        <f>SUM(AP27,AP21,AP8)</f>
        <v>4636025.55</v>
      </c>
      <c r="AQ32" s="63">
        <f>SUM(AQ27,AQ21,AQ8)+SUMIFS(Aut_Ajustes_Manuais!$G:$G,Aut_Ajustes_Manuais!$I:$I,DRE!AO$4,Aut_Ajustes_Manuais!$F:$F,"RECEITA LÍQUIDA")</f>
        <v>0</v>
      </c>
      <c r="AR32" s="244">
        <f t="shared" ref="AR32:BI32" ca="1" si="33">SUM(AR27,AR21,AR8)</f>
        <v>0</v>
      </c>
      <c r="AS32" s="62">
        <f t="shared" ca="1" si="33"/>
        <v>4335061.459999999</v>
      </c>
      <c r="AT32" s="63">
        <f t="shared" ca="1" si="33"/>
        <v>317144.33187200001</v>
      </c>
      <c r="AU32" s="244">
        <f t="shared" si="33"/>
        <v>0</v>
      </c>
      <c r="AV32" s="62">
        <f t="shared" si="33"/>
        <v>22033818.490000002</v>
      </c>
      <c r="AW32" s="63">
        <f t="shared" si="33"/>
        <v>317144.33187200001</v>
      </c>
      <c r="AX32" s="244">
        <f t="shared" si="33"/>
        <v>0</v>
      </c>
      <c r="AY32" s="62">
        <f t="shared" si="33"/>
        <v>0</v>
      </c>
      <c r="AZ32" s="63">
        <f t="shared" si="33"/>
        <v>0</v>
      </c>
      <c r="BA32" s="244">
        <f t="shared" si="33"/>
        <v>0</v>
      </c>
      <c r="BB32" s="62">
        <f t="shared" si="33"/>
        <v>0</v>
      </c>
      <c r="BC32" s="63">
        <f t="shared" si="33"/>
        <v>0</v>
      </c>
      <c r="BD32" s="244">
        <f t="shared" si="33"/>
        <v>0</v>
      </c>
      <c r="BE32" s="62">
        <f t="shared" si="33"/>
        <v>8536134.25</v>
      </c>
      <c r="BF32" s="63">
        <f t="shared" si="33"/>
        <v>317144.33187200001</v>
      </c>
      <c r="BG32" s="244">
        <f t="shared" si="33"/>
        <v>0</v>
      </c>
      <c r="BH32" s="62">
        <f t="shared" si="33"/>
        <v>13497684.239999998</v>
      </c>
      <c r="BI32" s="63">
        <f t="shared" si="33"/>
        <v>0</v>
      </c>
    </row>
    <row r="33" spans="1:62" x14ac:dyDescent="0.3">
      <c r="A33" s="17"/>
      <c r="E33" s="15"/>
      <c r="F33" s="16"/>
      <c r="H33" s="245"/>
      <c r="I33" s="64"/>
      <c r="J33" s="246"/>
      <c r="K33" s="245"/>
      <c r="L33" s="64"/>
      <c r="M33" s="239"/>
      <c r="N33" s="245"/>
      <c r="O33" s="64"/>
      <c r="P33" s="239"/>
      <c r="Q33" s="245"/>
      <c r="R33" s="64"/>
      <c r="S33" s="246"/>
      <c r="T33" s="245"/>
      <c r="U33" s="64"/>
      <c r="V33" s="246"/>
      <c r="W33" s="245"/>
      <c r="X33" s="64"/>
      <c r="Y33" s="246"/>
      <c r="Z33" s="245"/>
      <c r="AA33" s="64"/>
      <c r="AB33" s="246"/>
      <c r="AC33" s="245"/>
      <c r="AD33" s="64"/>
      <c r="AE33" s="246"/>
      <c r="AF33" s="245"/>
      <c r="AG33" s="64"/>
      <c r="AH33" s="246"/>
      <c r="AI33" s="245"/>
      <c r="AJ33" s="64"/>
      <c r="AK33" s="246"/>
      <c r="AL33" s="245"/>
      <c r="AM33" s="64"/>
      <c r="AN33" s="246"/>
      <c r="AO33" s="245"/>
      <c r="AP33" s="64"/>
      <c r="AQ33" s="246"/>
      <c r="AR33" s="245"/>
      <c r="AS33" s="64"/>
      <c r="AT33" s="246"/>
      <c r="AU33" s="245"/>
      <c r="AV33" s="64"/>
      <c r="AW33" s="246"/>
      <c r="AX33" s="245"/>
      <c r="AY33" s="64"/>
      <c r="AZ33" s="246"/>
      <c r="BA33" s="245"/>
      <c r="BB33" s="64"/>
      <c r="BC33" s="246"/>
      <c r="BD33" s="245"/>
      <c r="BE33" s="64"/>
      <c r="BF33" s="246"/>
      <c r="BG33" s="245"/>
      <c r="BH33" s="64"/>
      <c r="BI33" s="246"/>
    </row>
    <row r="34" spans="1:62" x14ac:dyDescent="0.3">
      <c r="A34" s="37" t="s">
        <v>51</v>
      </c>
      <c r="C34" s="38" t="s">
        <v>35</v>
      </c>
      <c r="D34" s="38" t="s">
        <v>36</v>
      </c>
      <c r="E34" s="38" t="s">
        <v>37</v>
      </c>
      <c r="F34" s="487"/>
      <c r="G34" s="488"/>
      <c r="H34" s="247"/>
      <c r="I34" s="65">
        <f>SUM(I35:I38)</f>
        <v>0</v>
      </c>
      <c r="J34" s="66">
        <f>SUM(J35:J38)+SUMIFS(Aut_Ajustes_Manuais!$G:$G,Aut_Ajustes_Manuais!$I:$I,DRE!H$4,Aut_Ajustes_Manuais!$F:$F,"(-) Custo Mercadoria Vendida")</f>
        <v>0</v>
      </c>
      <c r="K34" s="247"/>
      <c r="L34" s="65">
        <f>SUM(L35:L38)</f>
        <v>0</v>
      </c>
      <c r="M34" s="66">
        <f>SUM(M35:M38)+SUMIFS(Aut_Ajustes_Manuais!$G:$G,Aut_Ajustes_Manuais!$I:$I,DRE!K$4,Aut_Ajustes_Manuais!$F:$F,"(-) Custo Mercadoria Vendida")</f>
        <v>0</v>
      </c>
      <c r="N34" s="247"/>
      <c r="O34" s="65">
        <f>SUM(O35:O38)</f>
        <v>0</v>
      </c>
      <c r="P34" s="66">
        <f>SUM(P35:P38)+SUMIFS(Aut_Ajustes_Manuais!$G:$G,Aut_Ajustes_Manuais!$I:$I,DRE!N$4,Aut_Ajustes_Manuais!$F:$F,"(-) Custo Mercadoria Vendida")</f>
        <v>0</v>
      </c>
      <c r="Q34" s="247"/>
      <c r="R34" s="65">
        <f>SUM(R35:R38)</f>
        <v>0</v>
      </c>
      <c r="S34" s="66">
        <f>SUM(S35:S38)+SUMIFS(Aut_Ajustes_Manuais!$G:$G,Aut_Ajustes_Manuais!$I:$I,DRE!Q$4,Aut_Ajustes_Manuais!$F:$F,"(-) Custo Mercadoria Vendida")</f>
        <v>-2834.92</v>
      </c>
      <c r="T34" s="247"/>
      <c r="U34" s="65">
        <f>SUM(U35:U38)</f>
        <v>0</v>
      </c>
      <c r="V34" s="66">
        <f>SUM(V35:V38)+SUMIFS(Aut_Ajustes_Manuais!$G:$G,Aut_Ajustes_Manuais!$I:$I,DRE!T$4,Aut_Ajustes_Manuais!$F:$F,"(-) Custo Mercadoria Vendida")</f>
        <v>-1279.0900000000001</v>
      </c>
      <c r="W34" s="247"/>
      <c r="X34" s="65">
        <f>SUM(X35:X38)</f>
        <v>0</v>
      </c>
      <c r="Y34" s="66">
        <f>SUM(Y35:Y38)+SUMIFS(Aut_Ajustes_Manuais!$G:$G,Aut_Ajustes_Manuais!$I:$I,DRE!W$4,Aut_Ajustes_Manuais!$F:$F,"(-) Custo Mercadoria Vendida")</f>
        <v>-103238.05000000002</v>
      </c>
      <c r="Z34" s="247"/>
      <c r="AA34" s="65">
        <f>SUM(AA35:AA38)</f>
        <v>0</v>
      </c>
      <c r="AB34" s="66">
        <f>SUM(AB35:AB38)+SUMIFS(Aut_Ajustes_Manuais!$G:$G,Aut_Ajustes_Manuais!$I:$I,DRE!Z$4,Aut_Ajustes_Manuais!$F:$F,"(-) Custo Mercadoria Vendida")</f>
        <v>-267871.23999999993</v>
      </c>
      <c r="AC34" s="247"/>
      <c r="AD34" s="65">
        <f>SUM(AD35:AD38)</f>
        <v>-976411.74</v>
      </c>
      <c r="AE34" s="66">
        <f>SUM(AE35:AE38)+SUMIFS(Aut_Ajustes_Manuais!$G:$G,Aut_Ajustes_Manuais!$I:$I,DRE!AC$4,Aut_Ajustes_Manuais!$F:$F,"(-) Custo Mercadoria Vendida")</f>
        <v>0</v>
      </c>
      <c r="AF34" s="247"/>
      <c r="AG34" s="65">
        <f>SUM(AG35:AG38)</f>
        <v>-879784.57</v>
      </c>
      <c r="AH34" s="66">
        <f>SUM(AH35:AH38)+SUMIFS(Aut_Ajustes_Manuais!$G:$G,Aut_Ajustes_Manuais!$I:$I,DRE!AF$4,Aut_Ajustes_Manuais!$F:$F,"(-) Custo Mercadoria Vendida")</f>
        <v>0</v>
      </c>
      <c r="AI34" s="247"/>
      <c r="AJ34" s="65">
        <f>SUM(AJ35:AJ38)</f>
        <v>-964030.64</v>
      </c>
      <c r="AK34" s="66">
        <f>SUM(AK35:AK38)+SUMIFS(Aut_Ajustes_Manuais!$G:$G,Aut_Ajustes_Manuais!$I:$I,DRE!AI$4,Aut_Ajustes_Manuais!$F:$F,"(-) Custo Mercadoria Vendida")</f>
        <v>0</v>
      </c>
      <c r="AL34" s="247"/>
      <c r="AM34" s="65">
        <f>SUM(AM35:AM38)</f>
        <v>-889369.46</v>
      </c>
      <c r="AN34" s="66">
        <f>SUM(AN35:AN38)+SUMIFS(Aut_Ajustes_Manuais!$G:$G,Aut_Ajustes_Manuais!$I:$I,DRE!AL$4,Aut_Ajustes_Manuais!$F:$F,"(-) Custo Mercadoria Vendida")</f>
        <v>0</v>
      </c>
      <c r="AO34" s="247"/>
      <c r="AP34" s="65">
        <f>SUM(AP35:AP38)</f>
        <v>-951057.22</v>
      </c>
      <c r="AQ34" s="66">
        <f>SUM(AQ35:AQ38)+SUMIFS(Aut_Ajustes_Manuais!$G:$G,Aut_Ajustes_Manuais!$I:$I,DRE!AO$4,Aut_Ajustes_Manuais!$F:$F,"(-) Custo Mercadoria Vendida")</f>
        <v>0</v>
      </c>
      <c r="AR34" s="247">
        <f t="shared" ref="AR34:BI34" ca="1" si="34">SUM(AR35:AR38)</f>
        <v>0</v>
      </c>
      <c r="AS34" s="65">
        <f t="shared" ca="1" si="34"/>
        <v>-976411.74</v>
      </c>
      <c r="AT34" s="66">
        <f t="shared" ca="1" si="34"/>
        <v>-375223.29999999993</v>
      </c>
      <c r="AU34" s="247">
        <f t="shared" si="34"/>
        <v>0</v>
      </c>
      <c r="AV34" s="65">
        <f t="shared" si="34"/>
        <v>-4660653.629999999</v>
      </c>
      <c r="AW34" s="66">
        <f t="shared" si="34"/>
        <v>-375223.29999999993</v>
      </c>
      <c r="AX34" s="247">
        <f t="shared" si="34"/>
        <v>0</v>
      </c>
      <c r="AY34" s="65">
        <f t="shared" si="34"/>
        <v>0</v>
      </c>
      <c r="AZ34" s="66">
        <f t="shared" si="34"/>
        <v>0</v>
      </c>
      <c r="BA34" s="247">
        <f t="shared" si="34"/>
        <v>0</v>
      </c>
      <c r="BB34" s="65">
        <f t="shared" si="34"/>
        <v>0</v>
      </c>
      <c r="BC34" s="66">
        <f t="shared" si="34"/>
        <v>-107352.06</v>
      </c>
      <c r="BD34" s="247">
        <f t="shared" si="34"/>
        <v>0</v>
      </c>
      <c r="BE34" s="65">
        <f t="shared" si="34"/>
        <v>-1856196.3099999998</v>
      </c>
      <c r="BF34" s="66">
        <f t="shared" si="34"/>
        <v>-267871.23999999993</v>
      </c>
      <c r="BG34" s="247">
        <f t="shared" si="34"/>
        <v>0</v>
      </c>
      <c r="BH34" s="65">
        <f t="shared" si="34"/>
        <v>-2804457.3200000003</v>
      </c>
      <c r="BI34" s="66">
        <f t="shared" si="34"/>
        <v>0</v>
      </c>
    </row>
    <row r="35" spans="1:62" s="28" customFormat="1" hidden="1" outlineLevel="1" x14ac:dyDescent="0.3">
      <c r="A35" s="21" t="s">
        <v>52</v>
      </c>
      <c r="B35" s="2"/>
      <c r="C35" s="23" t="s">
        <v>14</v>
      </c>
      <c r="D35" s="67"/>
      <c r="E35" s="68">
        <v>0.33</v>
      </c>
      <c r="F35" s="482"/>
      <c r="G35" s="483"/>
      <c r="H35" s="237"/>
      <c r="I35" s="26">
        <f>-SUMIFS(T_ORCAMENTOS!$E:$E,T_ORCAMENTOS!$C:$C,"Insumos - Alimentos",T_ORCAMENTOS!$H:$H,"1/2026")</f>
        <v>0</v>
      </c>
      <c r="J35" s="27">
        <f>-CMV_Manual!D22+SUMIFS(Aut_Ajustes_Manuais!$G:$G,Aut_Ajustes_Manuais!$I:$I,DRE!H$4,Aut_Ajustes_Manuais!$F:$F,"Insumos - Alimentos")</f>
        <v>0</v>
      </c>
      <c r="K35" s="237"/>
      <c r="L35" s="26">
        <f>-SUMIFS(T_ORCAMENTOS!$E:$E,T_ORCAMENTOS!$C:$C,"Insumos - Alimentos",T_ORCAMENTOS!$H:$H,"2/2026")</f>
        <v>0</v>
      </c>
      <c r="M35" s="27">
        <f>-CMV_Manual!E22+SUMIFS(Aut_Ajustes_Manuais!$G:$G,Aut_Ajustes_Manuais!$I:$I,DRE!K$4,Aut_Ajustes_Manuais!$F:$F,"Insumos - Alimentos")</f>
        <v>0</v>
      </c>
      <c r="N35" s="237"/>
      <c r="O35" s="26">
        <f>-SUMIFS(T_ORCAMENTOS!$E:$E,T_ORCAMENTOS!$C:$C,"Insumos - Alimentos",T_ORCAMENTOS!$H:$H,"3/2026")</f>
        <v>0</v>
      </c>
      <c r="P35" s="27">
        <f>-CMV_Manual!F22+SUMIFS(Aut_Ajustes_Manuais!$G:$G,Aut_Ajustes_Manuais!$I:$I,DRE!N$4,Aut_Ajustes_Manuais!$F:$F,"Insumos - Alimentos")</f>
        <v>0</v>
      </c>
      <c r="Q35" s="237"/>
      <c r="R35" s="26">
        <f>-SUMIFS(T_ORCAMENTOS!$E:$E,T_ORCAMENTOS!$C:$C,"Insumos - Alimentos",T_ORCAMENTOS!$H:$H,"4/2026")</f>
        <v>0</v>
      </c>
      <c r="S35" s="26">
        <f>-CMV_Manual!G22+SUMIFS(Aut_Ajustes_Manuais!$G:$G,Aut_Ajustes_Manuais!$I:$I,DRE!Q$4,Aut_Ajustes_Manuais!$F:$F,"Insumos - Alimentos")</f>
        <v>0</v>
      </c>
      <c r="T35" s="237"/>
      <c r="U35" s="26">
        <f>-SUMIFS(T_ORCAMENTOS!$E:$E,T_ORCAMENTOS!$C:$C,"Insumos - Alimentos",T_ORCAMENTOS!$H:$H,"5/2026")</f>
        <v>0</v>
      </c>
      <c r="V35" s="27">
        <f>-CMV_Manual!H22+SUMIFS(Aut_Ajustes_Manuais!$G:$G,Aut_Ajustes_Manuais!$I:$I,DRE!T$4,Aut_Ajustes_Manuais!$F:$F,"Insumos - Alimentos")</f>
        <v>-957.09</v>
      </c>
      <c r="W35" s="237"/>
      <c r="X35" s="26">
        <f>-SUMIFS(T_ORCAMENTOS!$E:$E,T_ORCAMENTOS!$C:$C,"Insumos - Alimentos",T_ORCAMENTOS!$H:$H,"6/2026")</f>
        <v>0</v>
      </c>
      <c r="Y35" s="27">
        <f>-CMV_Manual!I22+SUMIFS(Aut_Ajustes_Manuais!$G:$G,Aut_Ajustes_Manuais!$I:$I,DRE!W$4,Aut_Ajustes_Manuais!$F:$F,"Insumos - Alimentos")</f>
        <v>-60914.37</v>
      </c>
      <c r="Z35" s="237"/>
      <c r="AA35" s="26">
        <f>-SUMIFS(T_ORCAMENTOS!$E:$E,T_ORCAMENTOS!$C:$C,"Insumos - Alimentos",T_ORCAMENTOS!$H:$H,"7/2026")</f>
        <v>0</v>
      </c>
      <c r="AB35" s="27">
        <f>-CMV_Manual!J22+SUMIFS(Aut_Ajustes_Manuais!$G:$G,Aut_Ajustes_Manuais!$I:$I,DRE!Z$4,Aut_Ajustes_Manuais!$F:$F,"Insumos - Alimentos")</f>
        <v>-145024.05999999994</v>
      </c>
      <c r="AC35" s="237"/>
      <c r="AD35" s="26">
        <f>-SUMIFS(T_ORCAMENTOS!$E:$E,T_ORCAMENTOS!$C:$C,"Insumos - Alimentos",T_ORCAMENTOS!$H:$H,"8/2026")</f>
        <v>-664967.48</v>
      </c>
      <c r="AE35" s="27">
        <f>-CMV_Manual!K22+SUMIFS(Aut_Ajustes_Manuais!$G:$G,Aut_Ajustes_Manuais!$I:$I,DRE!AC$4,Aut_Ajustes_Manuais!$F:$F,"Insumos - Alimentos")</f>
        <v>0</v>
      </c>
      <c r="AF35" s="237"/>
      <c r="AG35" s="26">
        <f>-SUMIFS(T_ORCAMENTOS!$E:$E,T_ORCAMENTOS!$C:$C,"Insumos - Alimentos",T_ORCAMENTOS!$H:$H,"9/2026")</f>
        <v>-582922.09</v>
      </c>
      <c r="AH35" s="27">
        <f>-CMV_Manual!L22+SUMIFS(Aut_Ajustes_Manuais!$G:$G,Aut_Ajustes_Manuais!$I:$I,DRE!AF$4,Aut_Ajustes_Manuais!$F:$F,"Insumos - Alimentos")</f>
        <v>0</v>
      </c>
      <c r="AI35" s="237"/>
      <c r="AJ35" s="26">
        <f>-SUMIFS(T_ORCAMENTOS!$E:$E,T_ORCAMENTOS!$C:$C,"Insumos - Alimentos",T_ORCAMENTOS!$H:$H,"10/2026")</f>
        <v>-642868.28</v>
      </c>
      <c r="AK35" s="27">
        <f>-CMV_Manual!M22+SUMIFS(Aut_Ajustes_Manuais!$G:$G,Aut_Ajustes_Manuais!$I:$I,DRE!AI$4,Aut_Ajustes_Manuais!$F:$F,"Insumos - Alimentos")</f>
        <v>0</v>
      </c>
      <c r="AL35" s="237"/>
      <c r="AM35" s="26">
        <f>-SUMIFS(T_ORCAMENTOS!$E:$E,T_ORCAMENTOS!$C:$C,"Insumos - Alimentos",T_ORCAMENTOS!$H:$H,"11/2026")</f>
        <v>-596307.96</v>
      </c>
      <c r="AN35" s="27">
        <f>-CMV_Manual!N22+SUMIFS(Aut_Ajustes_Manuais!$G:$G,Aut_Ajustes_Manuais!$I:$I,DRE!AL$4,Aut_Ajustes_Manuais!$F:$F,"Insumos - Alimentos")</f>
        <v>0</v>
      </c>
      <c r="AO35" s="237"/>
      <c r="AP35" s="26">
        <f>-SUMIFS(T_ORCAMENTOS!$E:$E,T_ORCAMENTOS!$C:$C,"Insumos - Alimentos",T_ORCAMENTOS!$H:$H,"12/2026")</f>
        <v>-658318.26</v>
      </c>
      <c r="AQ35" s="27">
        <f>-CMV_Manual!O22+SUMIFS(Aut_Ajustes_Manuais!$G:$G,Aut_Ajustes_Manuais!$I:$I,DRE!AO$4,Aut_Ajustes_Manuais!$F:$F,"Insumos - Alimentos")</f>
        <v>0</v>
      </c>
      <c r="AR35" s="237">
        <f ca="1">SUMIFS($H35:$AO35,$H$5:$AO$5,"&lt;"&amp;MONTH(TODAY()),$H$6:$AO$6,"REAL 25")</f>
        <v>0</v>
      </c>
      <c r="AS35" s="26">
        <f ca="1">SUMIFS($I35:$AP35,$I$5:$AP$5,"&lt;"&amp;MONTH(TODAY()),$I$6:$AP$6,"ORÇADO ")</f>
        <v>-664967.48</v>
      </c>
      <c r="AT35" s="27">
        <f ca="1">SUMIFS($J35:$AQ35,$J$5:$AQ$5,"&lt;"&amp;MONTH(TODAY()),$J$6:$AQ$6,"REAL 26")</f>
        <v>-206895.51999999993</v>
      </c>
      <c r="AU35" s="237">
        <f t="shared" ref="AU35:AW38" si="35">SUM(H35,K35,N35,Q35,T35,W35,Z35,AC35,AF35,AI35,AL35,AO35)</f>
        <v>0</v>
      </c>
      <c r="AV35" s="26">
        <f t="shared" si="35"/>
        <v>-3145384.0699999994</v>
      </c>
      <c r="AW35" s="27">
        <f t="shared" si="35"/>
        <v>-206895.51999999993</v>
      </c>
      <c r="AX35" s="237">
        <f t="shared" ref="AX35:AZ38" si="36">SUM(H35,K35,N35)</f>
        <v>0</v>
      </c>
      <c r="AY35" s="26">
        <f t="shared" si="36"/>
        <v>0</v>
      </c>
      <c r="AZ35" s="27">
        <f t="shared" si="36"/>
        <v>0</v>
      </c>
      <c r="BA35" s="237">
        <f t="shared" ref="BA35:BC38" si="37">SUM(Q35,T35,W35)</f>
        <v>0</v>
      </c>
      <c r="BB35" s="26">
        <f t="shared" si="37"/>
        <v>0</v>
      </c>
      <c r="BC35" s="27">
        <f t="shared" si="37"/>
        <v>-61871.46</v>
      </c>
      <c r="BD35" s="237">
        <f t="shared" ref="BD35:BF38" si="38">SUM(Z35,AC35,AF35)</f>
        <v>0</v>
      </c>
      <c r="BE35" s="26">
        <f t="shared" si="38"/>
        <v>-1247889.5699999998</v>
      </c>
      <c r="BF35" s="27">
        <f t="shared" si="38"/>
        <v>-145024.05999999994</v>
      </c>
      <c r="BG35" s="237">
        <f t="shared" ref="BG35:BI38" si="39">SUM(AI35,AL35,AO35)</f>
        <v>0</v>
      </c>
      <c r="BH35" s="26">
        <f t="shared" si="39"/>
        <v>-1897494.5</v>
      </c>
      <c r="BI35" s="27">
        <f t="shared" si="39"/>
        <v>0</v>
      </c>
      <c r="BJ35" s="454"/>
    </row>
    <row r="36" spans="1:62" s="28" customFormat="1" hidden="1" outlineLevel="1" x14ac:dyDescent="0.3">
      <c r="A36" s="21" t="s">
        <v>53</v>
      </c>
      <c r="B36" s="2"/>
      <c r="C36" s="23" t="s">
        <v>14</v>
      </c>
      <c r="D36" s="67"/>
      <c r="E36" s="68">
        <v>0.18</v>
      </c>
      <c r="F36" s="482"/>
      <c r="G36" s="483"/>
      <c r="H36" s="237"/>
      <c r="I36" s="26">
        <f>-SUMIFS(T_ORCAMENTOS!$E:$E,T_ORCAMENTOS!$C:$C,"Insumos - Bebidas",T_ORCAMENTOS!$H:$H,"1/2026")</f>
        <v>0</v>
      </c>
      <c r="J36" s="27">
        <f>-CMV_Manual!D23+SUMIFS(Aut_Ajustes_Manuais!$G:$G,Aut_Ajustes_Manuais!$I:$I,DRE!H$4,Aut_Ajustes_Manuais!$F:$F,"Insumos - Bebidas")</f>
        <v>0</v>
      </c>
      <c r="K36" s="237"/>
      <c r="L36" s="26">
        <f>-SUMIFS(T_ORCAMENTOS!$E:$E,T_ORCAMENTOS!$C:$C,"Insumos - Bebidas",T_ORCAMENTOS!$H:$H,"2/2026")</f>
        <v>0</v>
      </c>
      <c r="M36" s="27">
        <f>-CMV_Manual!E23+SUMIFS(Aut_Ajustes_Manuais!$G:$G,Aut_Ajustes_Manuais!$I:$I,DRE!K$4,Aut_Ajustes_Manuais!$F:$F,"Insumos - Bebidas")</f>
        <v>0</v>
      </c>
      <c r="N36" s="237"/>
      <c r="O36" s="26">
        <f>-SUMIFS(T_ORCAMENTOS!$E:$E,T_ORCAMENTOS!$C:$C,"Insumos - Bebidas",T_ORCAMENTOS!$H:$H,"3/2026")</f>
        <v>0</v>
      </c>
      <c r="P36" s="27">
        <f>-CMV_Manual!F23+SUMIFS(Aut_Ajustes_Manuais!$G:$G,Aut_Ajustes_Manuais!$I:$I,DRE!N$4,Aut_Ajustes_Manuais!$F:$F,"Insumos - Bebidas")</f>
        <v>0</v>
      </c>
      <c r="Q36" s="237"/>
      <c r="R36" s="26">
        <f>-SUMIFS(T_ORCAMENTOS!$E:$E,T_ORCAMENTOS!$C:$C,"Insumos - Bebidas",T_ORCAMENTOS!$H:$H,"4/2026")</f>
        <v>0</v>
      </c>
      <c r="S36" s="26">
        <f>-CMV_Manual!G23+SUMIFS(Aut_Ajustes_Manuais!$G:$G,Aut_Ajustes_Manuais!$I:$I,DRE!Q$4,Aut_Ajustes_Manuais!$F:$F,"Insumos - Bebidas")</f>
        <v>-2834.92</v>
      </c>
      <c r="T36" s="237"/>
      <c r="U36" s="26">
        <f>-SUMIFS(T_ORCAMENTOS!$E:$E,T_ORCAMENTOS!$C:$C,"Insumos - Bebidas",T_ORCAMENTOS!$H:$H,"5/2026")</f>
        <v>0</v>
      </c>
      <c r="V36" s="27">
        <f>-CMV_Manual!H23+SUMIFS(Aut_Ajustes_Manuais!$G:$G,Aut_Ajustes_Manuais!$I:$I,DRE!T$4,Aut_Ajustes_Manuais!$F:$F,"Insumos - Bebidas")</f>
        <v>-322</v>
      </c>
      <c r="W36" s="237"/>
      <c r="X36" s="26">
        <f>-SUMIFS(T_ORCAMENTOS!$E:$E,T_ORCAMENTOS!$C:$C,"Insumos - Bebidas",T_ORCAMENTOS!$H:$H,"6/2026")</f>
        <v>0</v>
      </c>
      <c r="Y36" s="27">
        <f>-CMV_Manual!I23+SUMIFS(Aut_Ajustes_Manuais!$G:$G,Aut_Ajustes_Manuais!$I:$I,DRE!W$4,Aut_Ajustes_Manuais!$F:$F,"Insumos - Bebidas")</f>
        <v>-42323.680000000008</v>
      </c>
      <c r="Z36" s="237"/>
      <c r="AA36" s="26">
        <f>-SUMIFS(T_ORCAMENTOS!$E:$E,T_ORCAMENTOS!$C:$C,"Insumos - Bebidas",T_ORCAMENTOS!$H:$H,"7/2026")</f>
        <v>0</v>
      </c>
      <c r="AB36" s="27">
        <f>-CMV_Manual!J23+SUMIFS(Aut_Ajustes_Manuais!$G:$G,Aut_Ajustes_Manuais!$I:$I,DRE!Z$4,Aut_Ajustes_Manuais!$F:$F,"Insumos - Bebidas")</f>
        <v>-122847.18000000001</v>
      </c>
      <c r="AC36" s="237"/>
      <c r="AD36" s="26">
        <f>-SUMIFS(T_ORCAMENTOS!$E:$E,T_ORCAMENTOS!$C:$C,"Insumos - Bebidas",T_ORCAMENTOS!$H:$H,"8/2026")</f>
        <v>-311444.26</v>
      </c>
      <c r="AE36" s="27">
        <f>-CMV_Manual!K23+SUMIFS(Aut_Ajustes_Manuais!$G:$G,Aut_Ajustes_Manuais!$I:$I,DRE!AC$4,Aut_Ajustes_Manuais!$F:$F,"Insumos - Bebidas")</f>
        <v>0</v>
      </c>
      <c r="AF36" s="237"/>
      <c r="AG36" s="26">
        <f>-SUMIFS(T_ORCAMENTOS!$E:$E,T_ORCAMENTOS!$C:$C,"Insumos - Bebidas",T_ORCAMENTOS!$H:$H,"9/2026")</f>
        <v>-296862.48</v>
      </c>
      <c r="AH36" s="27">
        <f>-CMV_Manual!L23+SUMIFS(Aut_Ajustes_Manuais!$G:$G,Aut_Ajustes_Manuais!$I:$I,DRE!AF$4,Aut_Ajustes_Manuais!$F:$F,"Insumos - Bebidas")</f>
        <v>0</v>
      </c>
      <c r="AI36" s="237"/>
      <c r="AJ36" s="26">
        <f>-SUMIFS(T_ORCAMENTOS!$E:$E,T_ORCAMENTOS!$C:$C,"Insumos - Bebidas",T_ORCAMENTOS!$H:$H,"10/2026")</f>
        <v>-321162.36</v>
      </c>
      <c r="AK36" s="27">
        <f>-CMV_Manual!M23+SUMIFS(Aut_Ajustes_Manuais!$G:$G,Aut_Ajustes_Manuais!$I:$I,DRE!AI$4,Aut_Ajustes_Manuais!$F:$F,"Insumos - Bebidas")</f>
        <v>0</v>
      </c>
      <c r="AL36" s="237"/>
      <c r="AM36" s="26">
        <f>-SUMIFS(T_ORCAMENTOS!$E:$E,T_ORCAMENTOS!$C:$C,"Insumos - Bebidas",T_ORCAMENTOS!$H:$H,"11/2026")</f>
        <v>-293061.5</v>
      </c>
      <c r="AN36" s="27">
        <f>-CMV_Manual!N23+SUMIFS(Aut_Ajustes_Manuais!$G:$G,Aut_Ajustes_Manuais!$I:$I,DRE!AL$4,Aut_Ajustes_Manuais!$F:$F,"Insumos - Bebidas")</f>
        <v>0</v>
      </c>
      <c r="AO36" s="237"/>
      <c r="AP36" s="26">
        <f>-SUMIFS(T_ORCAMENTOS!$E:$E,T_ORCAMENTOS!$C:$C,"Insumos - Bebidas",T_ORCAMENTOS!$H:$H,"12/2026")</f>
        <v>-292738.96000000002</v>
      </c>
      <c r="AQ36" s="27">
        <f>-CMV_Manual!O23+SUMIFS(Aut_Ajustes_Manuais!$G:$G,Aut_Ajustes_Manuais!$I:$I,DRE!AO$4,Aut_Ajustes_Manuais!$F:$F,"Insumos - Bebidas")</f>
        <v>0</v>
      </c>
      <c r="AR36" s="237">
        <f ca="1">SUMIFS($H36:$AO36,$H$5:$AO$5,"&lt;"&amp;MONTH(TODAY()),$H$6:$AO$6,"REAL 25")</f>
        <v>0</v>
      </c>
      <c r="AS36" s="26">
        <f ca="1">SUMIFS($I36:$AP36,$I$5:$AP$5,"&lt;"&amp;MONTH(TODAY()),$I$6:$AP$6,"ORÇADO ")</f>
        <v>-311444.26</v>
      </c>
      <c r="AT36" s="27">
        <f ca="1">SUMIFS($J36:$AQ36,$J$5:$AQ$5,"&lt;"&amp;MONTH(TODAY()),$J$6:$AQ$6,"REAL 26")</f>
        <v>-168327.78000000003</v>
      </c>
      <c r="AU36" s="237">
        <f t="shared" si="35"/>
        <v>0</v>
      </c>
      <c r="AV36" s="26">
        <f t="shared" si="35"/>
        <v>-1515269.56</v>
      </c>
      <c r="AW36" s="27">
        <f t="shared" si="35"/>
        <v>-168327.78000000003</v>
      </c>
      <c r="AX36" s="237">
        <f t="shared" si="36"/>
        <v>0</v>
      </c>
      <c r="AY36" s="26">
        <f t="shared" si="36"/>
        <v>0</v>
      </c>
      <c r="AZ36" s="27">
        <f t="shared" si="36"/>
        <v>0</v>
      </c>
      <c r="BA36" s="237">
        <f t="shared" si="37"/>
        <v>0</v>
      </c>
      <c r="BB36" s="26">
        <f t="shared" si="37"/>
        <v>0</v>
      </c>
      <c r="BC36" s="27">
        <f t="shared" si="37"/>
        <v>-45480.600000000006</v>
      </c>
      <c r="BD36" s="237">
        <f t="shared" si="38"/>
        <v>0</v>
      </c>
      <c r="BE36" s="26">
        <f t="shared" si="38"/>
        <v>-608306.74</v>
      </c>
      <c r="BF36" s="27">
        <f t="shared" si="38"/>
        <v>-122847.18000000001</v>
      </c>
      <c r="BG36" s="237">
        <f t="shared" si="39"/>
        <v>0</v>
      </c>
      <c r="BH36" s="26">
        <f t="shared" si="39"/>
        <v>-906962.82000000007</v>
      </c>
      <c r="BI36" s="27">
        <f t="shared" si="39"/>
        <v>0</v>
      </c>
      <c r="BJ36" s="454"/>
    </row>
    <row r="37" spans="1:62" s="28" customFormat="1" hidden="1" outlineLevel="1" x14ac:dyDescent="0.3">
      <c r="A37" s="21" t="s">
        <v>54</v>
      </c>
      <c r="B37" s="2"/>
      <c r="C37" s="23" t="s">
        <v>14</v>
      </c>
      <c r="D37" s="67"/>
      <c r="E37" s="68"/>
      <c r="F37" s="482"/>
      <c r="G37" s="483"/>
      <c r="H37" s="237"/>
      <c r="I37" s="26">
        <f>-SUMIFS(T_ORCAMENTOS!$E:$E,T_ORCAMENTOS!$C:$C,"Insumos - Embalagens",T_ORCAMENTOS!$H:$H,"1/2026")</f>
        <v>0</v>
      </c>
      <c r="J37" s="27">
        <f>SUMIFS(Aut_BlueMe_Sem_Pedido!$J:$J,Aut_BlueMe_Sem_Pedido!$Q:$Q,DRE!H$4,Aut_BlueMe_Sem_Pedido!$H:$H,DRE!$A37)+SUMIFS(Aut_Ajustes_Manuais!$G:$G,Aut_Ajustes_Manuais!$I:$I,DRE!H$4,Aut_Ajustes_Manuais!$F:$F,"Insumos - Embalagens")</f>
        <v>0</v>
      </c>
      <c r="K37" s="237"/>
      <c r="L37" s="26">
        <f>-SUMIFS(T_ORCAMENTOS!$E:$E,T_ORCAMENTOS!$C:$C,"Insumos - Embalagens",T_ORCAMENTOS!$H:$H,"2/2026")</f>
        <v>0</v>
      </c>
      <c r="M37" s="27">
        <f>SUMIFS(Aut_BlueMe_Sem_Pedido!$J:$J,Aut_BlueMe_Sem_Pedido!$Q:$Q,DRE!K$4,Aut_BlueMe_Sem_Pedido!$H:$H,DRE!$A37)+SUMIFS(Aut_Ajustes_Manuais!$G:$G,Aut_Ajustes_Manuais!$I:$I,DRE!K$4,Aut_Ajustes_Manuais!$F:$F,"Insumos - Embalagens")</f>
        <v>0</v>
      </c>
      <c r="N37" s="237"/>
      <c r="O37" s="26">
        <f>-SUMIFS(T_ORCAMENTOS!$E:$E,T_ORCAMENTOS!$C:$C,"Insumos - Embalagens",T_ORCAMENTOS!$H:$H,"3/2026")</f>
        <v>0</v>
      </c>
      <c r="P37" s="27">
        <f>SUMIFS(Aut_BlueMe_Sem_Pedido!$J:$J,Aut_BlueMe_Sem_Pedido!$Q:$Q,DRE!N$4,Aut_BlueMe_Sem_Pedido!$H:$H,DRE!$A37)+SUMIFS(Aut_Ajustes_Manuais!$G:$G,Aut_Ajustes_Manuais!$I:$I,DRE!N$4,Aut_Ajustes_Manuais!$F:$F,"Insumos - Embalagens")</f>
        <v>0</v>
      </c>
      <c r="Q37" s="237"/>
      <c r="R37" s="26">
        <f>-SUMIFS(T_ORCAMENTOS!$E:$E,T_ORCAMENTOS!$C:$C,"Insumos - Embalagens",T_ORCAMENTOS!$H:$H,"4/2026")</f>
        <v>0</v>
      </c>
      <c r="S37" s="27">
        <f>SUMIFS(Aut_BlueMe_Sem_Pedido!$J:$J,Aut_BlueMe_Sem_Pedido!$Q:$Q,DRE!Q$4,Aut_BlueMe_Sem_Pedido!$H:$H,DRE!$A37)+SUMIFS(Aut_Ajustes_Manuais!$G:$G,Aut_Ajustes_Manuais!$I:$I,DRE!Q$4,Aut_Ajustes_Manuais!$F:$F,"Insumos - Embalagens")</f>
        <v>0</v>
      </c>
      <c r="T37" s="237"/>
      <c r="U37" s="26">
        <f>-SUMIFS(T_ORCAMENTOS!$E:$E,T_ORCAMENTOS!$C:$C,"Insumos - Embalagens",T_ORCAMENTOS!$H:$H,"5/2026")</f>
        <v>0</v>
      </c>
      <c r="V37" s="27">
        <f>SUMIFS(Aut_Ajustes_Manuais!$G:$G,Aut_Ajustes_Manuais!$I:$I,DRE!T$4,Aut_Ajustes_Manuais!$F:$F,"Insumos - Embalagens")</f>
        <v>0</v>
      </c>
      <c r="W37" s="237"/>
      <c r="X37" s="26">
        <f>-SUMIFS(T_ORCAMENTOS!$E:$E,T_ORCAMENTOS!$C:$C,"Insumos - Embalagens",T_ORCAMENTOS!$H:$H,"6/2026")</f>
        <v>0</v>
      </c>
      <c r="Y37" s="27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37"/>
      <c r="AA37" s="26">
        <f>-SUMIFS(T_ORCAMENTOS!$E:$E,T_ORCAMENTOS!$C:$C,"Insumos - Embalagens",T_ORCAMENTOS!$H:$H,"7/2026")</f>
        <v>0</v>
      </c>
      <c r="AB37" s="27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37"/>
      <c r="AD37" s="26">
        <f>-SUMIFS(T_ORCAMENTOS!$E:$E,T_ORCAMENTOS!$C:$C,"Insumos - Embalagens",T_ORCAMENTOS!$H:$H,"8/2026")</f>
        <v>0</v>
      </c>
      <c r="AE37" s="27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37"/>
      <c r="AG37" s="26">
        <f>-SUMIFS(T_ORCAMENTOS!$E:$E,T_ORCAMENTOS!$C:$C,"Insumos - Embalagens",T_ORCAMENTOS!$H:$H,"9/2026")</f>
        <v>0</v>
      </c>
      <c r="AH37" s="27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37"/>
      <c r="AJ37" s="26">
        <f>-SUMIFS(T_ORCAMENTOS!$E:$E,T_ORCAMENTOS!$C:$C,"Insumos - Embalagens",T_ORCAMENTOS!$H:$H,"10/2026")</f>
        <v>0</v>
      </c>
      <c r="AK37" s="27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37"/>
      <c r="AM37" s="26">
        <f>-SUMIFS(T_ORCAMENTOS!$E:$E,T_ORCAMENTOS!$C:$C,"Insumos - Embalagens",T_ORCAMENTOS!$H:$H,"11/2026")</f>
        <v>0</v>
      </c>
      <c r="AN37" s="27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37"/>
      <c r="AP37" s="26">
        <f>-SUMIFS(T_ORCAMENTOS!$E:$E,T_ORCAMENTOS!$C:$C,"Insumos - Embalagens",T_ORCAMENTOS!$H:$H,"12/2026")</f>
        <v>0</v>
      </c>
      <c r="AQ37" s="27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37">
        <f ca="1">SUMIFS($H37:$AO37,$H$5:$AO$5,"&lt;"&amp;MONTH(TODAY()),$H$6:$AO$6,"REAL 25")</f>
        <v>0</v>
      </c>
      <c r="AS37" s="26">
        <f ca="1">SUMIFS($I37:$AP37,$I$5:$AP$5,"&lt;"&amp;MONTH(TODAY()),$I$6:$AP$6,"ORÇADO ")</f>
        <v>0</v>
      </c>
      <c r="AT37" s="27">
        <f ca="1">SUMIFS($J37:$AQ37,$J$5:$AQ$5,"&lt;"&amp;MONTH(TODAY()),$J$6:$AQ$6,"REAL 26")</f>
        <v>0</v>
      </c>
      <c r="AU37" s="237">
        <f t="shared" si="35"/>
        <v>0</v>
      </c>
      <c r="AV37" s="26">
        <f t="shared" si="35"/>
        <v>0</v>
      </c>
      <c r="AW37" s="27">
        <f t="shared" si="35"/>
        <v>0</v>
      </c>
      <c r="AX37" s="237">
        <f t="shared" si="36"/>
        <v>0</v>
      </c>
      <c r="AY37" s="26">
        <f t="shared" si="36"/>
        <v>0</v>
      </c>
      <c r="AZ37" s="27">
        <f t="shared" si="36"/>
        <v>0</v>
      </c>
      <c r="BA37" s="237">
        <f t="shared" si="37"/>
        <v>0</v>
      </c>
      <c r="BB37" s="26">
        <f t="shared" si="37"/>
        <v>0</v>
      </c>
      <c r="BC37" s="27">
        <f t="shared" si="37"/>
        <v>0</v>
      </c>
      <c r="BD37" s="237">
        <f t="shared" si="38"/>
        <v>0</v>
      </c>
      <c r="BE37" s="26">
        <f t="shared" si="38"/>
        <v>0</v>
      </c>
      <c r="BF37" s="27">
        <f t="shared" si="38"/>
        <v>0</v>
      </c>
      <c r="BG37" s="237">
        <f t="shared" si="39"/>
        <v>0</v>
      </c>
      <c r="BH37" s="26">
        <f t="shared" si="39"/>
        <v>0</v>
      </c>
      <c r="BI37" s="27">
        <f t="shared" si="39"/>
        <v>0</v>
      </c>
      <c r="BJ37" s="454"/>
    </row>
    <row r="38" spans="1:62" s="28" customFormat="1" hidden="1" outlineLevel="1" x14ac:dyDescent="0.3">
      <c r="A38" s="21" t="s">
        <v>23</v>
      </c>
      <c r="B38" s="2"/>
      <c r="C38" s="23" t="s">
        <v>14</v>
      </c>
      <c r="D38" s="67"/>
      <c r="E38" s="68"/>
      <c r="F38" s="482"/>
      <c r="G38" s="483"/>
      <c r="H38" s="237"/>
      <c r="I38" s="26">
        <f>-SUMIFS(T_ORCAMENTOS!$E:$E,T_ORCAMENTOS!$C:$C,"Insumos - Eventos A&amp;B",T_ORCAMENTOS!$H:$H,"1/2026")</f>
        <v>0</v>
      </c>
      <c r="J38" s="27"/>
      <c r="K38" s="237"/>
      <c r="L38" s="26">
        <f>-SUMIFS(T_ORCAMENTOS!$E:$E,T_ORCAMENTOS!$C:$C,"Insumos - Eventos A&amp;B",T_ORCAMENTOS!$H:$H,"2/2026")</f>
        <v>0</v>
      </c>
      <c r="M38" s="27"/>
      <c r="N38" s="237"/>
      <c r="O38" s="26">
        <f>-SUMIFS(T_ORCAMENTOS!$E:$E,T_ORCAMENTOS!$C:$C,"Insumos - Eventos A&amp;B",T_ORCAMENTOS!$H:$H,"3/2026")</f>
        <v>0</v>
      </c>
      <c r="P38" s="27"/>
      <c r="Q38" s="237"/>
      <c r="R38" s="26">
        <f>-SUMIFS(T_ORCAMENTOS!$E:$E,T_ORCAMENTOS!$C:$C,"Insumos - Eventos A&amp;B",T_ORCAMENTOS!$H:$H,"4/2026")</f>
        <v>0</v>
      </c>
      <c r="S38" s="27"/>
      <c r="T38" s="237"/>
      <c r="U38" s="26">
        <f>-SUMIFS(T_ORCAMENTOS!$E:$E,T_ORCAMENTOS!$C:$C,"Insumos - Eventos A&amp;B",T_ORCAMENTOS!$H:$H,"5/2026")</f>
        <v>0</v>
      </c>
      <c r="V38" s="27"/>
      <c r="W38" s="237"/>
      <c r="X38" s="26">
        <f>-SUMIFS(T_ORCAMENTOS!$E:$E,T_ORCAMENTOS!$C:$C,"Insumos - Eventos A&amp;B",T_ORCAMENTOS!$H:$H,"6/2026")</f>
        <v>0</v>
      </c>
      <c r="Y38" s="27"/>
      <c r="Z38" s="237"/>
      <c r="AA38" s="26">
        <f>-SUMIFS(T_ORCAMENTOS!$E:$E,T_ORCAMENTOS!$C:$C,"Insumos - Eventos A&amp;B",T_ORCAMENTOS!$H:$H,"7/2026")</f>
        <v>0</v>
      </c>
      <c r="AB38" s="27"/>
      <c r="AC38" s="237"/>
      <c r="AD38" s="26">
        <f>-SUMIFS(T_ORCAMENTOS!$E:$E,T_ORCAMENTOS!$C:$C,"Insumos - Eventos A&amp;B",T_ORCAMENTOS!$H:$H,"8/2026")</f>
        <v>0</v>
      </c>
      <c r="AE38" s="27"/>
      <c r="AF38" s="237"/>
      <c r="AG38" s="26">
        <f>-SUMIFS(T_ORCAMENTOS!$E:$E,T_ORCAMENTOS!$C:$C,"Insumos - Eventos A&amp;B",T_ORCAMENTOS!$H:$H,"9/2026")</f>
        <v>0</v>
      </c>
      <c r="AH38" s="27"/>
      <c r="AI38" s="237"/>
      <c r="AJ38" s="26">
        <f>-SUMIFS(T_ORCAMENTOS!$E:$E,T_ORCAMENTOS!$C:$C,"Insumos - Eventos A&amp;B",T_ORCAMENTOS!$H:$H,"10/2026")</f>
        <v>0</v>
      </c>
      <c r="AK38" s="27"/>
      <c r="AL38" s="237"/>
      <c r="AM38" s="26">
        <f>-SUMIFS(T_ORCAMENTOS!$E:$E,T_ORCAMENTOS!$C:$C,"Insumos - Eventos A&amp;B",T_ORCAMENTOS!$H:$H,"11/2026")</f>
        <v>0</v>
      </c>
      <c r="AN38" s="27"/>
      <c r="AO38" s="237"/>
      <c r="AP38" s="26">
        <f>-SUMIFS(T_ORCAMENTOS!$E:$E,T_ORCAMENTOS!$C:$C,"Insumos - Eventos A&amp;B",T_ORCAMENTOS!$H:$H,"12/2026")</f>
        <v>0</v>
      </c>
      <c r="AQ38" s="27"/>
      <c r="AR38" s="237">
        <f ca="1">SUMIFS($H38:$AO38,$H$5:$AO$5,"&lt;"&amp;MONTH(TODAY()),$H$6:$AO$6,"REAL 25")</f>
        <v>0</v>
      </c>
      <c r="AS38" s="26">
        <f ca="1">SUMIFS($I38:$AP38,$I$5:$AP$5,"&lt;"&amp;MONTH(TODAY()),$I$6:$AP$6,"ORÇADO ")</f>
        <v>0</v>
      </c>
      <c r="AT38" s="27">
        <f ca="1">SUMIFS($J38:$AQ38,$J$5:$AQ$5,"&lt;"&amp;MONTH(TODAY()),$J$6:$AQ$6,"REAL 26")</f>
        <v>0</v>
      </c>
      <c r="AU38" s="237">
        <f t="shared" si="35"/>
        <v>0</v>
      </c>
      <c r="AV38" s="26">
        <f t="shared" si="35"/>
        <v>0</v>
      </c>
      <c r="AW38" s="27">
        <f t="shared" si="35"/>
        <v>0</v>
      </c>
      <c r="AX38" s="237">
        <f t="shared" si="36"/>
        <v>0</v>
      </c>
      <c r="AY38" s="26">
        <f t="shared" si="36"/>
        <v>0</v>
      </c>
      <c r="AZ38" s="27">
        <f t="shared" si="36"/>
        <v>0</v>
      </c>
      <c r="BA38" s="237">
        <f t="shared" si="37"/>
        <v>0</v>
      </c>
      <c r="BB38" s="26">
        <f t="shared" si="37"/>
        <v>0</v>
      </c>
      <c r="BC38" s="27">
        <f t="shared" si="37"/>
        <v>0</v>
      </c>
      <c r="BD38" s="237">
        <f t="shared" si="38"/>
        <v>0</v>
      </c>
      <c r="BE38" s="26">
        <f t="shared" si="38"/>
        <v>0</v>
      </c>
      <c r="BF38" s="27">
        <f t="shared" si="38"/>
        <v>0</v>
      </c>
      <c r="BG38" s="237">
        <f t="shared" si="39"/>
        <v>0</v>
      </c>
      <c r="BH38" s="26">
        <f t="shared" si="39"/>
        <v>0</v>
      </c>
      <c r="BI38" s="27">
        <f t="shared" si="39"/>
        <v>0</v>
      </c>
      <c r="BJ38" s="454"/>
    </row>
    <row r="39" spans="1:62" collapsed="1" x14ac:dyDescent="0.3">
      <c r="A39" s="69" t="s">
        <v>44</v>
      </c>
      <c r="C39" s="23"/>
      <c r="D39" s="24"/>
      <c r="E39" s="24"/>
      <c r="F39" s="39"/>
      <c r="G39" s="70"/>
      <c r="H39" s="241"/>
      <c r="I39" s="48">
        <f>IFERROR(I34/(I9+I10+I14+I18),0)</f>
        <v>0</v>
      </c>
      <c r="J39" s="49">
        <f>IFERROR(J34/(J9+J10+J14+J18),0)+SUMIFS(Aut_Ajustes_Manuais!$G:$G,Aut_Ajustes_Manuais!$I:$I,DRE!H$4,Aut_Ajustes_Manuais!$F:$F,"% sobre Receita Bruta")</f>
        <v>0</v>
      </c>
      <c r="K39" s="241"/>
      <c r="L39" s="48">
        <f>IFERROR(L34/(L9+L10+L14+L18),0)</f>
        <v>0</v>
      </c>
      <c r="M39" s="49">
        <f>IFERROR(M34/(M9+M10+M14+M18),0)+SUMIFS(Aut_Ajustes_Manuais!$G:$G,Aut_Ajustes_Manuais!$I:$I,DRE!K$4,Aut_Ajustes_Manuais!$F:$F,"% sobre Receita Bruta")</f>
        <v>0</v>
      </c>
      <c r="N39" s="241"/>
      <c r="O39" s="48">
        <f>IFERROR(O34/(O9+O10+O14+O18),0)</f>
        <v>0</v>
      </c>
      <c r="P39" s="49">
        <f>IFERROR(P34/(P9+P10+P14+P18),0)+SUMIFS(Aut_Ajustes_Manuais!$G:$G,Aut_Ajustes_Manuais!$I:$I,DRE!N$4,Aut_Ajustes_Manuais!$F:$F,"% sobre Receita Bruta")</f>
        <v>0</v>
      </c>
      <c r="Q39" s="241"/>
      <c r="R39" s="48">
        <f>IFERROR(R34/(R9+R10+R14+R18),0)</f>
        <v>0</v>
      </c>
      <c r="S39" s="49">
        <f>IFERROR(S34/(S9+S10+S14+S18),0)+SUMIFS(Aut_Ajustes_Manuais!$G:$G,Aut_Ajustes_Manuais!$I:$I,DRE!Q$4,Aut_Ajustes_Manuais!$F:$F,"% sobre Receita Bruta")</f>
        <v>0</v>
      </c>
      <c r="T39" s="241"/>
      <c r="U39" s="48">
        <f>IFERROR(U34/(U9+U10+U14+U18),0)</f>
        <v>0</v>
      </c>
      <c r="V39" s="49">
        <f>IFERROR(V34/(V9+V10+V14+V18),0)+SUMIFS(Aut_Ajustes_Manuais!$G:$G,Aut_Ajustes_Manuais!$I:$I,DRE!T$4,Aut_Ajustes_Manuais!$F:$F,"% sobre Receita Bruta")</f>
        <v>0</v>
      </c>
      <c r="W39" s="241"/>
      <c r="X39" s="48">
        <f>IFERROR(X34/(X9+X10+X14+X18),0)</f>
        <v>0</v>
      </c>
      <c r="Y39" s="49">
        <f>IFERROR(Y34/(Y9+Y10+Y14+Y18),0)+SUMIFS(Aut_Ajustes_Manuais!$G:$G,Aut_Ajustes_Manuais!$I:$I,DRE!W$4,Aut_Ajustes_Manuais!$F:$F,"% sobre Receita Bruta")</f>
        <v>0</v>
      </c>
      <c r="Z39" s="241"/>
      <c r="AA39" s="48">
        <f>IFERROR(AA34/(AA9+AA10+AA14+AA18),0)</f>
        <v>0</v>
      </c>
      <c r="AB39" s="49">
        <f>IFERROR(AB34/(AB9+AB10+AB14+AB18),0)+SUMIFS(Aut_Ajustes_Manuais!$G:$G,Aut_Ajustes_Manuais!$I:$I,DRE!Z$4,Aut_Ajustes_Manuais!$F:$F,"% sobre Receita Bruta")</f>
        <v>-0.93908949372418205</v>
      </c>
      <c r="AC39" s="241"/>
      <c r="AD39" s="48">
        <f>IFERROR(AD34/(AD9+AD10+AD14+AD18),0)</f>
        <v>-0.28154525239963119</v>
      </c>
      <c r="AE39" s="49">
        <f>IFERROR(AE34/(AE9+AE10+AE14+AE18),0)+SUMIFS(Aut_Ajustes_Manuais!$G:$G,Aut_Ajustes_Manuais!$I:$I,DRE!AC$4,Aut_Ajustes_Manuais!$F:$F,"% sobre Receita Bruta")</f>
        <v>0</v>
      </c>
      <c r="AF39" s="241"/>
      <c r="AG39" s="48">
        <f>IFERROR(AG34/(AG9+AG10+AG14+AG18),0)</f>
        <v>-0.26209771142470922</v>
      </c>
      <c r="AH39" s="49">
        <f>IFERROR(AH34/(AH9+AH10+AH14+AH18),0)+SUMIFS(Aut_Ajustes_Manuais!$G:$G,Aut_Ajustes_Manuais!$I:$I,DRE!AF$4,Aut_Ajustes_Manuais!$F:$F,"% sobre Receita Bruta")</f>
        <v>0</v>
      </c>
      <c r="AI39" s="241"/>
      <c r="AJ39" s="48">
        <f>IFERROR(AJ34/(AJ9+AJ10+AJ14+AJ18),0)</f>
        <v>-0.26251850220069023</v>
      </c>
      <c r="AK39" s="49">
        <f>IFERROR(AK34/(AK9+AK10+AK14+AK18),0)+SUMIFS(Aut_Ajustes_Manuais!$G:$G,Aut_Ajustes_Manuais!$I:$I,DRE!AI$4,Aut_Ajustes_Manuais!$F:$F,"% sobre Receita Bruta")</f>
        <v>0</v>
      </c>
      <c r="AL39" s="241"/>
      <c r="AM39" s="48">
        <f>IFERROR(AM34/(AM9+AM10+AM14+AM18),0)</f>
        <v>-0.26287630317702626</v>
      </c>
      <c r="AN39" s="49">
        <f>IFERROR(AN34/(AN9+AN10+AN14+AN18),0)+SUMIFS(Aut_Ajustes_Manuais!$G:$G,Aut_Ajustes_Manuais!$I:$I,DRE!AL$4,Aut_Ajustes_Manuais!$F:$F,"% sobre Receita Bruta")</f>
        <v>0</v>
      </c>
      <c r="AO39" s="241"/>
      <c r="AP39" s="48">
        <f>IFERROR(AP34/(AP9+AP10+AP14+AP18),0)</f>
        <v>-0.25956391045000898</v>
      </c>
      <c r="AQ39" s="49">
        <f>IFERROR(AQ34/(AQ9+AQ10+AQ14+AQ18),0)+SUMIFS(Aut_Ajustes_Manuais!$G:$G,Aut_Ajustes_Manuais!$I:$I,DRE!AO$4,Aut_Ajustes_Manuais!$F:$F,"% sobre Receita Bruta")</f>
        <v>0</v>
      </c>
      <c r="AR39" s="241">
        <f t="shared" ref="AR39:BI39" ca="1" si="40">IFERROR(AR34/(AR9+AR10+AR14+AR18),0)</f>
        <v>0</v>
      </c>
      <c r="AS39" s="48">
        <f t="shared" ca="1" si="40"/>
        <v>-0.28154525239963119</v>
      </c>
      <c r="AT39" s="49">
        <f t="shared" ca="1" si="40"/>
        <v>-1.3154389356263738</v>
      </c>
      <c r="AU39" s="241">
        <f t="shared" si="40"/>
        <v>0</v>
      </c>
      <c r="AV39" s="48">
        <f t="shared" si="40"/>
        <v>-0.26565102849317701</v>
      </c>
      <c r="AW39" s="49">
        <f t="shared" si="40"/>
        <v>-1.3154389356263738</v>
      </c>
      <c r="AX39" s="241">
        <f t="shared" si="40"/>
        <v>0</v>
      </c>
      <c r="AY39" s="48">
        <f t="shared" si="40"/>
        <v>0</v>
      </c>
      <c r="AZ39" s="49">
        <f t="shared" si="40"/>
        <v>0</v>
      </c>
      <c r="BA39" s="241">
        <f t="shared" si="40"/>
        <v>0</v>
      </c>
      <c r="BB39" s="48">
        <f t="shared" si="40"/>
        <v>0</v>
      </c>
      <c r="BC39" s="49">
        <f t="shared" si="40"/>
        <v>0</v>
      </c>
      <c r="BD39" s="241">
        <f t="shared" si="40"/>
        <v>0</v>
      </c>
      <c r="BE39" s="48">
        <f t="shared" si="40"/>
        <v>-0.27198011835155883</v>
      </c>
      <c r="BF39" s="49">
        <f t="shared" si="40"/>
        <v>-0.93908949372418205</v>
      </c>
      <c r="BG39" s="241">
        <f t="shared" si="40"/>
        <v>0</v>
      </c>
      <c r="BH39" s="48">
        <f t="shared" si="40"/>
        <v>-0.26162151486211144</v>
      </c>
      <c r="BI39" s="49">
        <f t="shared" si="40"/>
        <v>0</v>
      </c>
    </row>
    <row r="40" spans="1:62" x14ac:dyDescent="0.3">
      <c r="A40" s="69" t="s">
        <v>55</v>
      </c>
      <c r="C40" s="23"/>
      <c r="D40" s="24"/>
      <c r="E40" s="24"/>
      <c r="F40" s="39"/>
      <c r="G40" s="70"/>
      <c r="H40" s="241"/>
      <c r="I40" s="48">
        <f>IFERROR(I34/I32,0)</f>
        <v>0</v>
      </c>
      <c r="J40" s="49">
        <f>IFERROR(J34/J32,0)+SUMIFS(Aut_Ajustes_Manuais!$G:$G,Aut_Ajustes_Manuais!$I:$I,DRE!H$4,Aut_Ajustes_Manuais!$F:$F,"% sobre Receita Líquida")</f>
        <v>0</v>
      </c>
      <c r="K40" s="241"/>
      <c r="L40" s="48">
        <f>IFERROR(L34/L32,0)</f>
        <v>0</v>
      </c>
      <c r="M40" s="49">
        <f>IFERROR(M34/M32,0)+SUMIFS(Aut_Ajustes_Manuais!$G:$G,Aut_Ajustes_Manuais!$I:$I,DRE!K$4,Aut_Ajustes_Manuais!$F:$F,"% sobre Receita Líquida")</f>
        <v>0</v>
      </c>
      <c r="N40" s="241"/>
      <c r="O40" s="48">
        <f>IFERROR(O34/O32,0)</f>
        <v>0</v>
      </c>
      <c r="P40" s="49">
        <f>IFERROR(P34/P32,0)+SUMIFS(Aut_Ajustes_Manuais!$G:$G,Aut_Ajustes_Manuais!$I:$I,DRE!N$4,Aut_Ajustes_Manuais!$F:$F,"% sobre Receita Líquida")</f>
        <v>0</v>
      </c>
      <c r="Q40" s="241"/>
      <c r="R40" s="48">
        <f>IFERROR(R34/R32,0)</f>
        <v>0</v>
      </c>
      <c r="S40" s="49">
        <f>IFERROR(S34/S32,0)+SUMIFS(Aut_Ajustes_Manuais!$G:$G,Aut_Ajustes_Manuais!$I:$I,DRE!Q$4,Aut_Ajustes_Manuais!$F:$F,"% sobre Receita Líquida")</f>
        <v>0</v>
      </c>
      <c r="T40" s="241"/>
      <c r="U40" s="48">
        <f>IFERROR(U34/U32,0)</f>
        <v>0</v>
      </c>
      <c r="V40" s="49">
        <f>IFERROR(V34/V32,0)+SUMIFS(Aut_Ajustes_Manuais!$G:$G,Aut_Ajustes_Manuais!$I:$I,DRE!T$4,Aut_Ajustes_Manuais!$F:$F,"% sobre Receita Líquida")</f>
        <v>0</v>
      </c>
      <c r="W40" s="241"/>
      <c r="X40" s="48">
        <f>IFERROR(X34/X32,0)</f>
        <v>0</v>
      </c>
      <c r="Y40" s="49">
        <f>IFERROR(Y34/Y32,0)+SUMIFS(Aut_Ajustes_Manuais!$G:$G,Aut_Ajustes_Manuais!$I:$I,DRE!W$4,Aut_Ajustes_Manuais!$F:$F,"% sobre Receita Líquida")</f>
        <v>0</v>
      </c>
      <c r="Z40" s="241"/>
      <c r="AA40" s="48">
        <f>IFERROR(AA34/AA32,0)</f>
        <v>0</v>
      </c>
      <c r="AB40" s="49">
        <f>IFERROR(AB34/AB32,0)+SUMIFS(Aut_Ajustes_Manuais!$G:$G,Aut_Ajustes_Manuais!$I:$I,DRE!Z$4,Aut_Ajustes_Manuais!$F:$F,"% sobre Receita Líquida")</f>
        <v>-0.84463511745218012</v>
      </c>
      <c r="AC40" s="241"/>
      <c r="AD40" s="48">
        <f>IFERROR(AD34/AD32,0)</f>
        <v>-0.22523596239855853</v>
      </c>
      <c r="AE40" s="49">
        <f>IFERROR(AE34/AE32,0)+SUMIFS(Aut_Ajustes_Manuais!$G:$G,Aut_Ajustes_Manuais!$I:$I,DRE!AC$4,Aut_Ajustes_Manuais!$F:$F,"% sobre Receita Líquida")</f>
        <v>0</v>
      </c>
      <c r="AF40" s="241"/>
      <c r="AG40" s="48">
        <f>IFERROR(AG34/AG32,0)</f>
        <v>-0.20941902556275394</v>
      </c>
      <c r="AH40" s="49">
        <f>IFERROR(AH34/AH32,0)+SUMIFS(Aut_Ajustes_Manuais!$G:$G,Aut_Ajustes_Manuais!$I:$I,DRE!AF$4,Aut_Ajustes_Manuais!$F:$F,"% sobre Receita Líquida")</f>
        <v>0</v>
      </c>
      <c r="AI40" s="241"/>
      <c r="AJ40" s="48">
        <f>IFERROR(AJ34/AJ32,0)</f>
        <v>-0.20901562361858805</v>
      </c>
      <c r="AK40" s="49">
        <f>IFERROR(AK34/AK32,0)+SUMIFS(Aut_Ajustes_Manuais!$G:$G,Aut_Ajustes_Manuais!$I:$I,DRE!AI$4,Aut_Ajustes_Manuais!$F:$F,"% sobre Receita Líquida")</f>
        <v>0</v>
      </c>
      <c r="AL40" s="241"/>
      <c r="AM40" s="48">
        <f>IFERROR(AM34/AM32,0)</f>
        <v>-0.20929212806685737</v>
      </c>
      <c r="AN40" s="49">
        <f>IFERROR(AN34/AN32,0)+SUMIFS(Aut_Ajustes_Manuais!$G:$G,Aut_Ajustes_Manuais!$I:$I,DRE!AL$4,Aut_Ajustes_Manuais!$F:$F,"% sobre Receita Líquida")</f>
        <v>0</v>
      </c>
      <c r="AO40" s="241"/>
      <c r="AP40" s="48">
        <f>IFERROR(AP34/AP32,0)</f>
        <v>-0.20514494791772664</v>
      </c>
      <c r="AQ40" s="49">
        <f>IFERROR(AQ34/AQ32,0)+SUMIFS(Aut_Ajustes_Manuais!$G:$G,Aut_Ajustes_Manuais!$I:$I,DRE!AO$4,Aut_Ajustes_Manuais!$F:$F,"% sobre Receita Líquida")</f>
        <v>0</v>
      </c>
      <c r="AR40" s="241">
        <f t="shared" ref="AR40:BI40" ca="1" si="41">IFERROR(AR34/AR32,0)</f>
        <v>0</v>
      </c>
      <c r="AS40" s="48">
        <f t="shared" ca="1" si="41"/>
        <v>-0.22523596239855853</v>
      </c>
      <c r="AT40" s="49">
        <f t="shared" ca="1" si="41"/>
        <v>-1.1831310299168163</v>
      </c>
      <c r="AU40" s="241">
        <f t="shared" si="41"/>
        <v>0</v>
      </c>
      <c r="AV40" s="48">
        <f t="shared" si="41"/>
        <v>-0.21152273865354868</v>
      </c>
      <c r="AW40" s="49">
        <f t="shared" si="41"/>
        <v>-1.1831310299168163</v>
      </c>
      <c r="AX40" s="241">
        <f t="shared" si="41"/>
        <v>0</v>
      </c>
      <c r="AY40" s="48">
        <f t="shared" si="41"/>
        <v>0</v>
      </c>
      <c r="AZ40" s="49">
        <f t="shared" si="41"/>
        <v>0</v>
      </c>
      <c r="BA40" s="241">
        <f t="shared" si="41"/>
        <v>0</v>
      </c>
      <c r="BB40" s="48">
        <f t="shared" si="41"/>
        <v>0</v>
      </c>
      <c r="BC40" s="49">
        <f t="shared" si="41"/>
        <v>0</v>
      </c>
      <c r="BD40" s="241">
        <f t="shared" si="41"/>
        <v>0</v>
      </c>
      <c r="BE40" s="48">
        <f t="shared" si="41"/>
        <v>-0.21745163040283719</v>
      </c>
      <c r="BF40" s="49">
        <f t="shared" si="41"/>
        <v>-0.84463511745218012</v>
      </c>
      <c r="BG40" s="241">
        <f t="shared" si="41"/>
        <v>0</v>
      </c>
      <c r="BH40" s="48">
        <f t="shared" si="41"/>
        <v>-0.20777322021573685</v>
      </c>
      <c r="BI40" s="49">
        <f t="shared" si="41"/>
        <v>0</v>
      </c>
    </row>
    <row r="41" spans="1:62" x14ac:dyDescent="0.3">
      <c r="A41" s="17"/>
      <c r="E41" s="15"/>
      <c r="F41" s="16"/>
      <c r="H41" s="243"/>
      <c r="I41" s="16"/>
      <c r="J41" s="55"/>
      <c r="K41" s="243"/>
      <c r="L41" s="16"/>
      <c r="M41" s="83"/>
      <c r="N41" s="445"/>
      <c r="O41" s="16"/>
      <c r="P41" s="83"/>
      <c r="Q41" s="243"/>
      <c r="R41" s="16"/>
      <c r="S41" s="55"/>
      <c r="T41" s="243"/>
      <c r="U41" s="16"/>
      <c r="V41" s="55"/>
      <c r="W41" s="243"/>
      <c r="X41" s="16"/>
      <c r="Y41" s="55"/>
      <c r="Z41" s="243"/>
      <c r="AA41" s="16"/>
      <c r="AB41" s="55"/>
      <c r="AC41" s="243"/>
      <c r="AD41" s="16"/>
      <c r="AE41" s="55"/>
      <c r="AF41" s="243"/>
      <c r="AG41" s="16"/>
      <c r="AH41" s="55"/>
      <c r="AI41" s="243"/>
      <c r="AJ41" s="16"/>
      <c r="AK41" s="55"/>
      <c r="AL41" s="243"/>
      <c r="AM41" s="16"/>
      <c r="AN41" s="55"/>
      <c r="AO41" s="243"/>
      <c r="AP41" s="16"/>
      <c r="AQ41" s="55"/>
      <c r="AR41" s="243"/>
      <c r="AS41" s="16"/>
      <c r="AT41" s="55"/>
      <c r="AU41" s="243"/>
      <c r="AV41" s="16"/>
      <c r="AW41" s="55"/>
      <c r="AX41" s="243"/>
      <c r="AY41" s="16"/>
      <c r="AZ41" s="55"/>
      <c r="BA41" s="243"/>
      <c r="BB41" s="16"/>
      <c r="BC41" s="55"/>
      <c r="BD41" s="243"/>
      <c r="BE41" s="16"/>
      <c r="BF41" s="55"/>
      <c r="BG41" s="243"/>
      <c r="BH41" s="16"/>
      <c r="BI41" s="55"/>
    </row>
    <row r="42" spans="1:62" x14ac:dyDescent="0.3">
      <c r="A42" s="37" t="s">
        <v>56</v>
      </c>
      <c r="C42" s="38" t="s">
        <v>35</v>
      </c>
      <c r="D42" s="38" t="s">
        <v>36</v>
      </c>
      <c r="E42" s="38" t="s">
        <v>37</v>
      </c>
      <c r="F42" s="39"/>
      <c r="H42" s="247">
        <v>0</v>
      </c>
      <c r="I42" s="65">
        <f>SUM(I43,I49)</f>
        <v>0</v>
      </c>
      <c r="J42" s="66">
        <f>SUM(J43,J49)+SUMIFS(Aut_Ajustes_Manuais!$G:$G,Aut_Ajustes_Manuais!$I:$I,DRE!H$4,Aut_Ajustes_Manuais!$F:$F,"(-) Custos Artístico Geral")</f>
        <v>0</v>
      </c>
      <c r="K42" s="247">
        <v>0</v>
      </c>
      <c r="L42" s="65">
        <f>SUM(L43,L49)</f>
        <v>0</v>
      </c>
      <c r="M42" s="66">
        <f>SUM(M43,M49)+SUMIFS(Aut_Ajustes_Manuais!$G:$G,Aut_Ajustes_Manuais!$I:$I,DRE!K$4,Aut_Ajustes_Manuais!$F:$F,"(-) Custos Artístico Geral")</f>
        <v>0</v>
      </c>
      <c r="N42" s="247"/>
      <c r="O42" s="65">
        <f>SUM(O43,O49)</f>
        <v>0</v>
      </c>
      <c r="P42" s="66">
        <f>SUM(P43,P49)+SUMIFS(Aut_Ajustes_Manuais!$G:$G,Aut_Ajustes_Manuais!$I:$I,DRE!N$4,Aut_Ajustes_Manuais!$F:$F,"(-) Custos Artístico Geral")</f>
        <v>0</v>
      </c>
      <c r="Q42" s="247"/>
      <c r="R42" s="65">
        <f>SUM(R43,R49)</f>
        <v>0</v>
      </c>
      <c r="S42" s="66">
        <f>SUM(S43,S49)+SUMIFS(Aut_Ajustes_Manuais!$G:$G,Aut_Ajustes_Manuais!$I:$I,DRE!Q$4,Aut_Ajustes_Manuais!$F:$F,"(-) Custos Artístico Geral")</f>
        <v>0</v>
      </c>
      <c r="T42" s="247"/>
      <c r="U42" s="65">
        <f>SUM(U43,U49)</f>
        <v>0</v>
      </c>
      <c r="V42" s="66">
        <f>SUM(V43,V49)+SUMIFS(Aut_Ajustes_Manuais!$G:$G,Aut_Ajustes_Manuais!$I:$I,DRE!T$4,Aut_Ajustes_Manuais!$F:$F,"(-) Custos Artístico Geral")</f>
        <v>0</v>
      </c>
      <c r="W42" s="247"/>
      <c r="X42" s="65">
        <f>SUM(X43,X49)</f>
        <v>0</v>
      </c>
      <c r="Y42" s="66">
        <f>SUM(Y43,Y49)+SUMIFS(Aut_Ajustes_Manuais!$G:$G,Aut_Ajustes_Manuais!$I:$I,DRE!W$4,Aut_Ajustes_Manuais!$F:$F,"(-) Custos Artístico Geral")</f>
        <v>0</v>
      </c>
      <c r="Z42" s="247"/>
      <c r="AA42" s="65">
        <f>SUM(AA43,AA49)</f>
        <v>0</v>
      </c>
      <c r="AB42" s="66">
        <f>SUM(AB43,AB49)+SUMIFS(Aut_Ajustes_Manuais!$G:$G,Aut_Ajustes_Manuais!$I:$I,DRE!Z$4,Aut_Ajustes_Manuais!$F:$F,"(-) Custos Artístico Geral")</f>
        <v>0</v>
      </c>
      <c r="AC42" s="247"/>
      <c r="AD42" s="65">
        <f>SUM(AD43,AD49)</f>
        <v>-762578.47</v>
      </c>
      <c r="AE42" s="66">
        <f>SUM(AE43,AE49)+SUMIFS(Aut_Ajustes_Manuais!$G:$G,Aut_Ajustes_Manuais!$I:$I,DRE!AC$4,Aut_Ajustes_Manuais!$F:$F,"(-) Custos Artístico Geral")</f>
        <v>0</v>
      </c>
      <c r="AF42" s="247"/>
      <c r="AG42" s="65">
        <f>SUM(AG43,AG49)</f>
        <v>-759794.22</v>
      </c>
      <c r="AH42" s="66">
        <f>SUM(AH43,AH49)+SUMIFS(Aut_Ajustes_Manuais!$G:$G,Aut_Ajustes_Manuais!$I:$I,DRE!AF$4,Aut_Ajustes_Manuais!$F:$F,"(-) Custos Artístico Geral")</f>
        <v>0</v>
      </c>
      <c r="AI42" s="247"/>
      <c r="AJ42" s="65">
        <f>SUM(AJ43,AJ49)</f>
        <v>-764682.59</v>
      </c>
      <c r="AK42" s="66">
        <f>SUM(AK43,AK49)+SUMIFS(Aut_Ajustes_Manuais!$G:$G,Aut_Ajustes_Manuais!$I:$I,DRE!AI$4,Aut_Ajustes_Manuais!$F:$F,"(-) Custos Artístico Geral")</f>
        <v>0</v>
      </c>
      <c r="AL42" s="247"/>
      <c r="AM42" s="65">
        <f>SUM(AM43,AM49)</f>
        <v>-759375.13</v>
      </c>
      <c r="AN42" s="66">
        <f>SUM(AN43,AN49)+SUMIFS(Aut_Ajustes_Manuais!$G:$G,Aut_Ajustes_Manuais!$I:$I,DRE!AL$4,Aut_Ajustes_Manuais!$F:$F,"(-) Custos Artístico Geral")</f>
        <v>0</v>
      </c>
      <c r="AO42" s="247"/>
      <c r="AP42" s="65">
        <f>SUM(AP43,AP49)</f>
        <v>-758521.61</v>
      </c>
      <c r="AQ42" s="66">
        <f>SUM(AQ43,AQ49)+SUMIFS(Aut_Ajustes_Manuais!$G:$G,Aut_Ajustes_Manuais!$I:$I,DRE!AO$4,Aut_Ajustes_Manuais!$F:$F,"(-) Custos Artístico Geral")</f>
        <v>0</v>
      </c>
      <c r="AR42" s="247">
        <f t="shared" ref="AR42:BI42" ca="1" si="42">SUM(AR43,AR49)</f>
        <v>0</v>
      </c>
      <c r="AS42" s="65">
        <f t="shared" ca="1" si="42"/>
        <v>-762578.47</v>
      </c>
      <c r="AT42" s="66">
        <f t="shared" ca="1" si="42"/>
        <v>0</v>
      </c>
      <c r="AU42" s="247">
        <f t="shared" si="42"/>
        <v>0</v>
      </c>
      <c r="AV42" s="65">
        <f t="shared" si="42"/>
        <v>-3804952.02</v>
      </c>
      <c r="AW42" s="66">
        <f t="shared" si="42"/>
        <v>0</v>
      </c>
      <c r="AX42" s="247">
        <f t="shared" si="42"/>
        <v>0</v>
      </c>
      <c r="AY42" s="65">
        <f t="shared" si="42"/>
        <v>0</v>
      </c>
      <c r="AZ42" s="66">
        <f t="shared" si="42"/>
        <v>0</v>
      </c>
      <c r="BA42" s="247">
        <f t="shared" si="42"/>
        <v>0</v>
      </c>
      <c r="BB42" s="65">
        <f t="shared" si="42"/>
        <v>0</v>
      </c>
      <c r="BC42" s="66">
        <f t="shared" si="42"/>
        <v>0</v>
      </c>
      <c r="BD42" s="247">
        <f t="shared" si="42"/>
        <v>0</v>
      </c>
      <c r="BE42" s="65">
        <f t="shared" si="42"/>
        <v>-1522372.69</v>
      </c>
      <c r="BF42" s="66">
        <f t="shared" si="42"/>
        <v>0</v>
      </c>
      <c r="BG42" s="247">
        <f t="shared" si="42"/>
        <v>0</v>
      </c>
      <c r="BH42" s="65">
        <f t="shared" si="42"/>
        <v>-2282579.33</v>
      </c>
      <c r="BI42" s="66">
        <f t="shared" si="42"/>
        <v>0</v>
      </c>
    </row>
    <row r="43" spans="1:62" ht="18" hidden="1" customHeight="1" outlineLevel="1" x14ac:dyDescent="0.3">
      <c r="A43" s="71" t="s">
        <v>57</v>
      </c>
      <c r="C43" s="23"/>
      <c r="D43" s="67"/>
      <c r="E43" s="67"/>
      <c r="F43" s="39"/>
      <c r="H43" s="248">
        <v>0</v>
      </c>
      <c r="I43" s="72">
        <f>SUM(I44:I48)</f>
        <v>0</v>
      </c>
      <c r="J43" s="74">
        <f>SUM(J44:J48)+SUMIFS(Aut_Ajustes_Manuais!$G:$G,Aut_Ajustes_Manuais!$I:$I,DRE!H$4,Aut_Ajustes_Manuais!$F:$F,"Custos Artístico")</f>
        <v>0</v>
      </c>
      <c r="K43" s="248">
        <v>0</v>
      </c>
      <c r="L43" s="72">
        <f>SUM(L44:L48)</f>
        <v>0</v>
      </c>
      <c r="M43" s="74">
        <f>SUM(M44:M48)+SUMIFS(Aut_Ajustes_Manuais!$G:$G,Aut_Ajustes_Manuais!$I:$I,DRE!K$4,Aut_Ajustes_Manuais!$F:$F,"Custos Artístico")</f>
        <v>0</v>
      </c>
      <c r="N43" s="248"/>
      <c r="O43" s="72">
        <f>SUM(O44:O48)</f>
        <v>0</v>
      </c>
      <c r="P43" s="74">
        <f>SUM(P44:P48)+SUMIFS(Aut_Ajustes_Manuais!$G:$G,Aut_Ajustes_Manuais!$I:$I,DRE!N$4,Aut_Ajustes_Manuais!$F:$F,"Custos Artístico")</f>
        <v>0</v>
      </c>
      <c r="Q43" s="248">
        <v>0</v>
      </c>
      <c r="R43" s="72">
        <f>SUM(R44:R48)</f>
        <v>0</v>
      </c>
      <c r="S43" s="74">
        <f>SUM(S44:S48)+SUMIFS(Aut_Ajustes_Manuais!$G:$G,Aut_Ajustes_Manuais!$I:$I,DRE!Q$4,Aut_Ajustes_Manuais!$F:$F,"Custos Artístico")</f>
        <v>0</v>
      </c>
      <c r="T43" s="248">
        <v>0</v>
      </c>
      <c r="U43" s="72">
        <f>SUM(U44:U48)</f>
        <v>0</v>
      </c>
      <c r="V43" s="74">
        <f>SUM(V44:V48)+SUMIFS(Aut_Ajustes_Manuais!$G:$G,Aut_Ajustes_Manuais!$I:$I,DRE!T$4,Aut_Ajustes_Manuais!$F:$F,"Custos Artístico")</f>
        <v>0</v>
      </c>
      <c r="W43" s="248">
        <v>0</v>
      </c>
      <c r="X43" s="72">
        <f>SUM(X44:X48)</f>
        <v>0</v>
      </c>
      <c r="Y43" s="74">
        <f>SUM(Y44:Y48)+SUMIFS(Aut_Ajustes_Manuais!$G:$G,Aut_Ajustes_Manuais!$I:$I,DRE!W$4,Aut_Ajustes_Manuais!$F:$F,"Custos Artístico")</f>
        <v>0</v>
      </c>
      <c r="Z43" s="248">
        <v>0</v>
      </c>
      <c r="AA43" s="72">
        <f>SUM(AA44:AA48)</f>
        <v>0</v>
      </c>
      <c r="AB43" s="74">
        <f>SUM(AB44:AB48)+SUMIFS(Aut_Ajustes_Manuais!$G:$G,Aut_Ajustes_Manuais!$I:$I,DRE!Z$4,Aut_Ajustes_Manuais!$F:$F,"Custos Artístico")</f>
        <v>0</v>
      </c>
      <c r="AC43" s="248">
        <v>0</v>
      </c>
      <c r="AD43" s="72">
        <f>SUM(AD44:AD48)</f>
        <v>-738078.47</v>
      </c>
      <c r="AE43" s="74">
        <f>SUM(AE44:AE48)+SUMIFS(Aut_Ajustes_Manuais!$G:$G,Aut_Ajustes_Manuais!$I:$I,DRE!AC$4,Aut_Ajustes_Manuais!$F:$F,"Custos Artístico")</f>
        <v>0</v>
      </c>
      <c r="AF43" s="248">
        <v>0</v>
      </c>
      <c r="AG43" s="72">
        <f>SUM(AG44:AG48)</f>
        <v>-735294.22</v>
      </c>
      <c r="AH43" s="74">
        <f>SUM(AH44:AH48)+SUMIFS(Aut_Ajustes_Manuais!$G:$G,Aut_Ajustes_Manuais!$I:$I,DRE!AF$4,Aut_Ajustes_Manuais!$F:$F,"Custos Artístico")</f>
        <v>0</v>
      </c>
      <c r="AI43" s="248">
        <v>0</v>
      </c>
      <c r="AJ43" s="72">
        <f>SUM(AJ44:AJ48)</f>
        <v>-740182.59</v>
      </c>
      <c r="AK43" s="74">
        <f>SUM(AK44:AK48)+SUMIFS(Aut_Ajustes_Manuais!$G:$G,Aut_Ajustes_Manuais!$I:$I,DRE!AI$4,Aut_Ajustes_Manuais!$F:$F,"Custos Artístico")</f>
        <v>0</v>
      </c>
      <c r="AL43" s="248">
        <v>0</v>
      </c>
      <c r="AM43" s="72">
        <f>SUM(AM44:AM48)</f>
        <v>-734875.13</v>
      </c>
      <c r="AN43" s="74">
        <f>SUM(AN44:AN48)+SUMIFS(Aut_Ajustes_Manuais!$G:$G,Aut_Ajustes_Manuais!$I:$I,DRE!AL$4,Aut_Ajustes_Manuais!$F:$F,"Custos Artístico")</f>
        <v>0</v>
      </c>
      <c r="AO43" s="248">
        <v>0</v>
      </c>
      <c r="AP43" s="72">
        <f>SUM(AP44:AP48)</f>
        <v>-734021.61</v>
      </c>
      <c r="AQ43" s="74">
        <f>SUM(AQ44:AQ48)+SUMIFS(Aut_Ajustes_Manuais!$G:$G,Aut_Ajustes_Manuais!$I:$I,DRE!AO$4,Aut_Ajustes_Manuais!$F:$F,"Custos Artístico")</f>
        <v>0</v>
      </c>
      <c r="AR43" s="248">
        <f t="shared" ref="AR43:AR52" ca="1" si="43">SUMIFS($H43:$AO43,$H$5:$AO$5,"&lt;"&amp;MONTH(TODAY()),$H$6:$AO$6,"REAL 25")</f>
        <v>0</v>
      </c>
      <c r="AS43" s="72">
        <f t="shared" ref="AS43:AS52" ca="1" si="44">SUMIFS($I43:$AP43,$I$5:$AP$5,"&lt;"&amp;MONTH(TODAY()),$I$6:$AP$6,"ORÇADO ")</f>
        <v>-738078.47</v>
      </c>
      <c r="AT43" s="74">
        <f t="shared" ref="AT43:AT52" ca="1" si="45">SUMIFS($J43:$AQ43,$J$5:$AQ$5,"&lt;"&amp;MONTH(TODAY()),$J$6:$AQ$6,"REAL 26")</f>
        <v>0</v>
      </c>
      <c r="AU43" s="248">
        <f t="shared" ref="AU43:BI43" si="46">SUM(AU44:AU48)</f>
        <v>0</v>
      </c>
      <c r="AV43" s="72">
        <f t="shared" si="46"/>
        <v>-3682452.02</v>
      </c>
      <c r="AW43" s="74">
        <f t="shared" si="46"/>
        <v>0</v>
      </c>
      <c r="AX43" s="248">
        <f t="shared" si="46"/>
        <v>0</v>
      </c>
      <c r="AY43" s="72">
        <f t="shared" si="46"/>
        <v>0</v>
      </c>
      <c r="AZ43" s="74">
        <f t="shared" si="46"/>
        <v>0</v>
      </c>
      <c r="BA43" s="248">
        <f t="shared" si="46"/>
        <v>0</v>
      </c>
      <c r="BB43" s="72">
        <f t="shared" si="46"/>
        <v>0</v>
      </c>
      <c r="BC43" s="74">
        <f t="shared" si="46"/>
        <v>0</v>
      </c>
      <c r="BD43" s="248">
        <f t="shared" si="46"/>
        <v>0</v>
      </c>
      <c r="BE43" s="72">
        <f t="shared" si="46"/>
        <v>-1473372.69</v>
      </c>
      <c r="BF43" s="74">
        <f t="shared" si="46"/>
        <v>0</v>
      </c>
      <c r="BG43" s="248">
        <f t="shared" si="46"/>
        <v>0</v>
      </c>
      <c r="BH43" s="72">
        <f t="shared" si="46"/>
        <v>-2209079.33</v>
      </c>
      <c r="BI43" s="74">
        <f t="shared" si="46"/>
        <v>0</v>
      </c>
    </row>
    <row r="44" spans="1:62" s="28" customFormat="1" hidden="1" outlineLevel="1" x14ac:dyDescent="0.3">
      <c r="A44" s="21" t="s">
        <v>58</v>
      </c>
      <c r="B44" s="2"/>
      <c r="C44" s="23" t="s">
        <v>14</v>
      </c>
      <c r="D44" s="67"/>
      <c r="E44" s="75">
        <v>6.7000000000000002E-3</v>
      </c>
      <c r="F44" s="39"/>
      <c r="G44" s="22"/>
      <c r="H44" s="237">
        <v>0</v>
      </c>
      <c r="I44" s="26">
        <f>-SUMIFS(T_ORCAMENTOS!$E:$E,T_ORCAMENTOS!$C:$C,"Cachê de Músicos e Artistas",T_ORCAMENTOS!$H:$H,"1/2026")</f>
        <v>0</v>
      </c>
      <c r="J44" s="27">
        <f>SUMIFS(Aut_BlueMe_Sem_Pedido!$J:$J,Aut_BlueMe_Sem_Pedido!$Q:$Q,DRE!H$4,Aut_BlueMe_Sem_Pedido!$H:$H,DRE!$A44)+SUMIFS(Aut_Ajustes_Manuais!$G:$G,Aut_Ajustes_Manuais!$I:$I,DRE!H$4,Aut_Ajustes_Manuais!$F:$F,"Cachê de Músicos e Artistas")</f>
        <v>0</v>
      </c>
      <c r="K44" s="237">
        <v>0</v>
      </c>
      <c r="L44" s="26">
        <f>-SUMIFS(T_ORCAMENTOS!$E:$E,T_ORCAMENTOS!$C:$C,"Cachê de Músicos e Artistas",T_ORCAMENTOS!$H:$H,"2/2026")</f>
        <v>0</v>
      </c>
      <c r="M44" s="27">
        <f>SUMIFS(Aut_BlueMe_Sem_Pedido!$J:$J,Aut_BlueMe_Sem_Pedido!$Q:$Q,DRE!K$4,Aut_BlueMe_Sem_Pedido!$H:$H,DRE!$A44)+SUMIFS(Aut_Ajustes_Manuais!$G:$G,Aut_Ajustes_Manuais!$I:$I,DRE!K$4,Aut_Ajustes_Manuais!$F:$F,"Cachê de Músicos e Artistas")</f>
        <v>0</v>
      </c>
      <c r="N44" s="237"/>
      <c r="O44" s="26">
        <f>-SUMIFS(T_ORCAMENTOS!$E:$E,T_ORCAMENTOS!$C:$C,"Cachê de Músicos e Artistas",T_ORCAMENTOS!$H:$H,"3/2026")</f>
        <v>0</v>
      </c>
      <c r="P44" s="27">
        <f>SUMIFS(Aut_BlueMe_Sem_Pedido!$J:$J,Aut_BlueMe_Sem_Pedido!$Q:$Q,DRE!N$4,Aut_BlueMe_Sem_Pedido!$H:$H,DRE!$A44)+SUMIFS(Aut_Ajustes_Manuais!$G:$G,Aut_Ajustes_Manuais!$I:$I,DRE!N$4,Aut_Ajustes_Manuais!$F:$F,"Cachê de Músicos e Artistas")</f>
        <v>0</v>
      </c>
      <c r="Q44" s="237">
        <v>0</v>
      </c>
      <c r="R44" s="26">
        <f>-SUMIFS(T_ORCAMENTOS!$E:$E,T_ORCAMENTOS!$C:$C,"Cachê de Músicos e Artistas",T_ORCAMENTOS!$H:$H,"4/2026")</f>
        <v>0</v>
      </c>
      <c r="S44" s="27">
        <f>SUMIFS(Aut_BlueMe_Sem_Pedido!$J:$J,Aut_BlueMe_Sem_Pedido!$Q:$Q,DRE!Q$4,Aut_BlueMe_Sem_Pedido!$H:$H,DRE!$A44)+SUMIFS(Aut_Ajustes_Manuais!$G:$G,Aut_Ajustes_Manuais!$I:$I,DRE!Q$4,Aut_Ajustes_Manuais!$F:$F,"Cachê de Músicos e Artistas")</f>
        <v>0</v>
      </c>
      <c r="T44" s="237">
        <v>0</v>
      </c>
      <c r="U44" s="26">
        <f>-SUMIFS(T_ORCAMENTOS!$E:$E,T_ORCAMENTOS!$C:$C,"Cachê de Músicos e Artistas",T_ORCAMENTOS!$H:$H,"5/2026")</f>
        <v>0</v>
      </c>
      <c r="V44" s="27">
        <f>SUMIFS(Aut_BlueMe_Sem_Pedido!$J:$J,Aut_BlueMe_Sem_Pedido!$Q:$Q,DRE!T$4,Aut_BlueMe_Sem_Pedido!$H:$H,DRE!$A44)+SUMIFS(Aut_Ajustes_Manuais!$G:$G,Aut_Ajustes_Manuais!$I:$I,DRE!T$4,Aut_Ajustes_Manuais!$F:$F,"Cachê de Músicos e Artistas")</f>
        <v>0</v>
      </c>
      <c r="W44" s="237">
        <v>0</v>
      </c>
      <c r="X44" s="26">
        <f>-SUMIFS(T_ORCAMENTOS!$E:$E,T_ORCAMENTOS!$C:$C,"Cachê de Músicos e Artistas",T_ORCAMENTOS!$H:$H,"6/2026")</f>
        <v>0</v>
      </c>
      <c r="Y44" s="27">
        <f>SUMIFS(Aut_BlueMe_Sem_Pedido!$J:$J,Aut_BlueMe_Sem_Pedido!$Q:$Q,DRE!W$4,Aut_BlueMe_Sem_Pedido!$H:$H,DRE!$A44)+SUMIFS(Aut_Ajustes_Manuais!$G:$G,Aut_Ajustes_Manuais!$I:$I,DRE!W$4,Aut_Ajustes_Manuais!$F:$F,"Cachê de Músicos e Artistas")</f>
        <v>0</v>
      </c>
      <c r="Z44" s="237">
        <v>0</v>
      </c>
      <c r="AA44" s="26">
        <f>-SUMIFS(T_ORCAMENTOS!$E:$E,T_ORCAMENTOS!$C:$C,"Cachê de Músicos e Artistas",T_ORCAMENTOS!$H:$H,"7/2026")</f>
        <v>0</v>
      </c>
      <c r="AB44" s="27">
        <f>SUMIFS(Aut_BlueMe_Sem_Pedido!$J:$J,Aut_BlueMe_Sem_Pedido!$Q:$Q,DRE!Z$4,Aut_BlueMe_Sem_Pedido!$H:$H,DRE!$A44)+SUMIFS(Aut_Ajustes_Manuais!$G:$G,Aut_Ajustes_Manuais!$I:$I,DRE!Z$4,Aut_Ajustes_Manuais!$F:$F,"Cachê de Músicos e Artistas")</f>
        <v>0</v>
      </c>
      <c r="AC44" s="237">
        <v>0</v>
      </c>
      <c r="AD44" s="26">
        <f>-SUMIFS(T_ORCAMENTOS!$E:$E,T_ORCAMENTOS!$C:$C,"Cachê de Músicos e Artistas",T_ORCAMENTOS!$H:$H,"8/2026")</f>
        <v>-684600</v>
      </c>
      <c r="AE44" s="27">
        <f>SUMIFS(Aut_BlueMe_Sem_Pedido!$J:$J,Aut_BlueMe_Sem_Pedido!$Q:$Q,DRE!AC$4,Aut_BlueMe_Sem_Pedido!$H:$H,DRE!$A44)+SUMIFS(Aut_Ajustes_Manuais!$G:$G,Aut_Ajustes_Manuais!$I:$I,DRE!AC$4,Aut_Ajustes_Manuais!$F:$F,"Cachê de Músicos e Artistas")</f>
        <v>0</v>
      </c>
      <c r="AF44" s="237">
        <v>0</v>
      </c>
      <c r="AG44" s="26">
        <f>-SUMIFS(T_ORCAMENTOS!$E:$E,T_ORCAMENTOS!$C:$C,"Cachê de Músicos e Artistas",T_ORCAMENTOS!$H:$H,"9/2026")</f>
        <v>-684600</v>
      </c>
      <c r="AH44" s="27">
        <f>SUMIFS(Aut_BlueMe_Sem_Pedido!$J:$J,Aut_BlueMe_Sem_Pedido!$Q:$Q,DRE!AF$4,Aut_BlueMe_Sem_Pedido!$H:$H,DRE!$A44)+SUMIFS(Aut_Ajustes_Manuais!$G:$G,Aut_Ajustes_Manuais!$I:$I,DRE!AF$4,Aut_Ajustes_Manuais!$F:$F,"Cachê de Músicos e Artistas")</f>
        <v>0</v>
      </c>
      <c r="AI44" s="237">
        <v>0</v>
      </c>
      <c r="AJ44" s="26">
        <f>-SUMIFS(T_ORCAMENTOS!$E:$E,T_ORCAMENTOS!$C:$C,"Cachê de Músicos e Artistas",T_ORCAMENTOS!$H:$H,"10/2026")</f>
        <v>-684600</v>
      </c>
      <c r="AK44" s="27">
        <f>SUMIFS(Aut_BlueMe_Sem_Pedido!$J:$J,Aut_BlueMe_Sem_Pedido!$Q:$Q,DRE!AI$4,Aut_BlueMe_Sem_Pedido!$H:$H,DRE!$A44)+SUMIFS(Aut_Ajustes_Manuais!$G:$G,Aut_Ajustes_Manuais!$I:$I,DRE!AI$4,Aut_Ajustes_Manuais!$F:$F,"Cachê de Músicos e Artistas")</f>
        <v>0</v>
      </c>
      <c r="AL44" s="237">
        <v>0</v>
      </c>
      <c r="AM44" s="26">
        <f>-SUMIFS(T_ORCAMENTOS!$E:$E,T_ORCAMENTOS!$C:$C,"Cachê de Músicos e Artistas",T_ORCAMENTOS!$H:$H,"11/2026")</f>
        <v>-684600</v>
      </c>
      <c r="AN44" s="27">
        <f>SUMIFS(Aut_BlueMe_Sem_Pedido!$J:$J,Aut_BlueMe_Sem_Pedido!$Q:$Q,DRE!AL$4,Aut_BlueMe_Sem_Pedido!$H:$H,DRE!$A44)+SUMIFS(Aut_Ajustes_Manuais!$G:$G,Aut_Ajustes_Manuais!$I:$I,DRE!AL$4,Aut_Ajustes_Manuais!$F:$F,"Cachê de Músicos e Artistas")</f>
        <v>0</v>
      </c>
      <c r="AO44" s="237">
        <v>0</v>
      </c>
      <c r="AP44" s="26">
        <f>-SUMIFS(T_ORCAMENTOS!$E:$E,T_ORCAMENTOS!$C:$C,"Cachê de Músicos e Artistas",T_ORCAMENTOS!$H:$H,"12/2026")</f>
        <v>-684600</v>
      </c>
      <c r="AQ44" s="27">
        <f>SUMIFS(Aut_BlueMe_Sem_Pedido!$J:$J,Aut_BlueMe_Sem_Pedido!$Q:$Q,DRE!AO$4,Aut_BlueMe_Sem_Pedido!$H:$H,DRE!$A44)+SUMIFS(Aut_Ajustes_Manuais!$G:$G,Aut_Ajustes_Manuais!$I:$I,DRE!AO$4,Aut_Ajustes_Manuais!$F:$F,"Cachê de Músicos e Artistas")</f>
        <v>0</v>
      </c>
      <c r="AR44" s="237">
        <f t="shared" ca="1" si="43"/>
        <v>0</v>
      </c>
      <c r="AS44" s="26">
        <f t="shared" ca="1" si="44"/>
        <v>-684600</v>
      </c>
      <c r="AT44" s="27">
        <f t="shared" ca="1" si="45"/>
        <v>0</v>
      </c>
      <c r="AU44" s="237">
        <f t="shared" ref="AU44:AW48" si="47">SUM(H44,K44,N44,Q44,T44,W44,Z44,AC44,AF44,AI44,AL44,AO44)</f>
        <v>0</v>
      </c>
      <c r="AV44" s="26">
        <f t="shared" si="47"/>
        <v>-3423000</v>
      </c>
      <c r="AW44" s="27">
        <f t="shared" si="47"/>
        <v>0</v>
      </c>
      <c r="AX44" s="237">
        <f t="shared" ref="AX44:AZ48" si="48">SUM(H44,K44,N44)</f>
        <v>0</v>
      </c>
      <c r="AY44" s="26">
        <f t="shared" si="48"/>
        <v>0</v>
      </c>
      <c r="AZ44" s="27">
        <f t="shared" si="48"/>
        <v>0</v>
      </c>
      <c r="BA44" s="237">
        <f t="shared" ref="BA44:BC48" si="49">SUM(Q44,T44,W44)</f>
        <v>0</v>
      </c>
      <c r="BB44" s="26">
        <f t="shared" si="49"/>
        <v>0</v>
      </c>
      <c r="BC44" s="27">
        <f t="shared" si="49"/>
        <v>0</v>
      </c>
      <c r="BD44" s="237">
        <f t="shared" ref="BD44:BF48" si="50">SUM(Z44,AC44,AF44)</f>
        <v>0</v>
      </c>
      <c r="BE44" s="26">
        <f t="shared" si="50"/>
        <v>-1369200</v>
      </c>
      <c r="BF44" s="27">
        <f t="shared" si="50"/>
        <v>0</v>
      </c>
      <c r="BG44" s="237">
        <f t="shared" ref="BG44:BI48" si="51">SUM(AI44,AL44,AO44)</f>
        <v>0</v>
      </c>
      <c r="BH44" s="26">
        <f t="shared" si="51"/>
        <v>-2053800</v>
      </c>
      <c r="BI44" s="27">
        <f t="shared" si="51"/>
        <v>0</v>
      </c>
      <c r="BJ44" s="454"/>
    </row>
    <row r="45" spans="1:62" s="28" customFormat="1" hidden="1" outlineLevel="1" x14ac:dyDescent="0.3">
      <c r="A45" s="21" t="s">
        <v>59</v>
      </c>
      <c r="B45" s="2"/>
      <c r="C45" s="23" t="s">
        <v>60</v>
      </c>
      <c r="D45" s="67"/>
      <c r="E45" s="75">
        <v>6.7000000000000002E-3</v>
      </c>
      <c r="F45" s="39"/>
      <c r="G45" s="22"/>
      <c r="H45" s="237">
        <v>0</v>
      </c>
      <c r="I45" s="26">
        <f>-SUMIFS(T_ORCAMENTOS!$E:$E,T_ORCAMENTOS!$C:$C,"Alimentação e Transporte",T_ORCAMENTOS!$H:$H,"1/2026")</f>
        <v>0</v>
      </c>
      <c r="J45" s="27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0</v>
      </c>
      <c r="K45" s="237">
        <v>0</v>
      </c>
      <c r="L45" s="26">
        <f>-SUMIFS(T_ORCAMENTOS!$E:$E,T_ORCAMENTOS!$C:$C,"Alimentação e Transporte",T_ORCAMENTOS!$H:$H,"2/2026")</f>
        <v>0</v>
      </c>
      <c r="M45" s="27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0</v>
      </c>
      <c r="N45" s="237">
        <v>0</v>
      </c>
      <c r="O45" s="26">
        <f>-SUMIFS(T_ORCAMENTOS!$E:$E,T_ORCAMENTOS!$C:$C,"Alimentação e Transporte",T_ORCAMENTOS!$H:$H,"3/2026")</f>
        <v>0</v>
      </c>
      <c r="P45" s="27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0</v>
      </c>
      <c r="Q45" s="237">
        <v>0</v>
      </c>
      <c r="R45" s="26">
        <f>-SUMIFS(T_ORCAMENTOS!$E:$E,T_ORCAMENTOS!$C:$C,"Alimentação e Transporte",T_ORCAMENTOS!$H:$H,"4/2026")</f>
        <v>0</v>
      </c>
      <c r="S45" s="27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0</v>
      </c>
      <c r="T45" s="237">
        <v>0</v>
      </c>
      <c r="U45" s="26">
        <f>-SUMIFS(T_ORCAMENTOS!$E:$E,T_ORCAMENTOS!$C:$C,"Alimentação e Transporte",T_ORCAMENTOS!$H:$H,"5/2026")</f>
        <v>0</v>
      </c>
      <c r="V45" s="27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0</v>
      </c>
      <c r="W45" s="237">
        <v>0</v>
      </c>
      <c r="X45" s="26">
        <f>-SUMIFS(T_ORCAMENTOS!$E:$E,T_ORCAMENTOS!$C:$C,"Alimentação e Transporte",T_ORCAMENTOS!$H:$H,"6/2026")</f>
        <v>0</v>
      </c>
      <c r="Y45" s="27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0</v>
      </c>
      <c r="Z45" s="237">
        <v>0</v>
      </c>
      <c r="AA45" s="26">
        <f>-SUMIFS(T_ORCAMENTOS!$E:$E,T_ORCAMENTOS!$C:$C,"Alimentação e Transporte",T_ORCAMENTOS!$H:$H,"7/2026")</f>
        <v>0</v>
      </c>
      <c r="AB45" s="27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37">
        <v>0</v>
      </c>
      <c r="AD45" s="26">
        <f>-SUMIFS(T_ORCAMENTOS!$E:$E,T_ORCAMENTOS!$C:$C,"Alimentação e Transporte",T_ORCAMENTOS!$H:$H,"8/2026")</f>
        <v>-53478.47</v>
      </c>
      <c r="AE45" s="27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37">
        <v>0</v>
      </c>
      <c r="AG45" s="26">
        <f>-SUMIFS(T_ORCAMENTOS!$E:$E,T_ORCAMENTOS!$C:$C,"Alimentação e Transporte",T_ORCAMENTOS!$H:$H,"9/2026")</f>
        <v>-50694.22</v>
      </c>
      <c r="AH45" s="27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37">
        <v>0</v>
      </c>
      <c r="AJ45" s="26">
        <f>-SUMIFS(T_ORCAMENTOS!$E:$E,T_ORCAMENTOS!$C:$C,"Alimentação e Transporte",T_ORCAMENTOS!$H:$H,"10/2026")</f>
        <v>-55582.59</v>
      </c>
      <c r="AK45" s="27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37">
        <v>0</v>
      </c>
      <c r="AM45" s="26">
        <f>-SUMIFS(T_ORCAMENTOS!$E:$E,T_ORCAMENTOS!$C:$C,"Alimentação e Transporte",T_ORCAMENTOS!$H:$H,"11/2026")</f>
        <v>-50275.13</v>
      </c>
      <c r="AN45" s="27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37">
        <v>0</v>
      </c>
      <c r="AP45" s="26">
        <f>-SUMIFS(T_ORCAMENTOS!$E:$E,T_ORCAMENTOS!$C:$C,"Alimentação e Transporte",T_ORCAMENTOS!$H:$H,"12/2026")</f>
        <v>-49421.61</v>
      </c>
      <c r="AQ45" s="27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37">
        <f t="shared" ca="1" si="43"/>
        <v>0</v>
      </c>
      <c r="AS45" s="26">
        <f t="shared" ca="1" si="44"/>
        <v>-53478.47</v>
      </c>
      <c r="AT45" s="27">
        <f t="shared" ca="1" si="45"/>
        <v>0</v>
      </c>
      <c r="AU45" s="237">
        <f t="shared" si="47"/>
        <v>0</v>
      </c>
      <c r="AV45" s="26">
        <f t="shared" si="47"/>
        <v>-259452.02000000002</v>
      </c>
      <c r="AW45" s="27">
        <f t="shared" si="47"/>
        <v>0</v>
      </c>
      <c r="AX45" s="237">
        <f t="shared" si="48"/>
        <v>0</v>
      </c>
      <c r="AY45" s="26">
        <f t="shared" si="48"/>
        <v>0</v>
      </c>
      <c r="AZ45" s="27">
        <f t="shared" si="48"/>
        <v>0</v>
      </c>
      <c r="BA45" s="237">
        <f t="shared" si="49"/>
        <v>0</v>
      </c>
      <c r="BB45" s="26">
        <f t="shared" si="49"/>
        <v>0</v>
      </c>
      <c r="BC45" s="27">
        <f t="shared" si="49"/>
        <v>0</v>
      </c>
      <c r="BD45" s="237">
        <f t="shared" si="50"/>
        <v>0</v>
      </c>
      <c r="BE45" s="26">
        <f t="shared" si="50"/>
        <v>-104172.69</v>
      </c>
      <c r="BF45" s="27">
        <f t="shared" si="50"/>
        <v>0</v>
      </c>
      <c r="BG45" s="237">
        <f t="shared" si="51"/>
        <v>0</v>
      </c>
      <c r="BH45" s="26">
        <f t="shared" si="51"/>
        <v>-155279.33000000002</v>
      </c>
      <c r="BI45" s="27">
        <f t="shared" si="51"/>
        <v>0</v>
      </c>
      <c r="BJ45" s="454"/>
    </row>
    <row r="46" spans="1:62" s="28" customFormat="1" hidden="1" outlineLevel="1" x14ac:dyDescent="0.3">
      <c r="A46" s="21" t="s">
        <v>61</v>
      </c>
      <c r="B46" s="2"/>
      <c r="C46" s="23" t="s">
        <v>60</v>
      </c>
      <c r="D46" s="67"/>
      <c r="E46" s="67"/>
      <c r="F46" s="39"/>
      <c r="G46" s="22"/>
      <c r="H46" s="237">
        <v>0</v>
      </c>
      <c r="I46" s="26">
        <v>0</v>
      </c>
      <c r="J46" s="27">
        <f>SUMIFS(Aut_BlueMe_Sem_Pedido!$J:$J,Aut_BlueMe_Sem_Pedido!$Q:$Q,DRE!H$4,Aut_BlueMe_Sem_Pedido!$H:$H,DRE!$A46)+SUMIFS(Aut_Ajustes_Manuais!$G:$G,Aut_Ajustes_Manuais!$I:$I,DRE!H$4,Aut_Ajustes_Manuais!$F:$F,"Viagens e Estadias")</f>
        <v>0</v>
      </c>
      <c r="K46" s="237">
        <v>0</v>
      </c>
      <c r="L46" s="26">
        <v>0</v>
      </c>
      <c r="M46" s="27">
        <f>SUMIFS(Aut_BlueMe_Sem_Pedido!$J:$J,Aut_BlueMe_Sem_Pedido!$Q:$Q,DRE!K$4,Aut_BlueMe_Sem_Pedido!$H:$H,DRE!$A46)+SUMIFS(Aut_Ajustes_Manuais!$G:$G,Aut_Ajustes_Manuais!$I:$I,DRE!K$4,Aut_Ajustes_Manuais!$F:$F,"Viagens e Estadias")</f>
        <v>0</v>
      </c>
      <c r="N46" s="237">
        <v>0</v>
      </c>
      <c r="O46" s="26">
        <v>0</v>
      </c>
      <c r="P46" s="27">
        <f>SUMIFS(Aut_BlueMe_Sem_Pedido!$J:$J,Aut_BlueMe_Sem_Pedido!$Q:$Q,DRE!N$4,Aut_BlueMe_Sem_Pedido!$H:$H,DRE!$A46)+SUMIFS(Aut_Ajustes_Manuais!$G:$G,Aut_Ajustes_Manuais!$I:$I,DRE!N$4,Aut_Ajustes_Manuais!$F:$F,"Viagens e Estadias")</f>
        <v>0</v>
      </c>
      <c r="Q46" s="237">
        <v>0</v>
      </c>
      <c r="R46" s="26">
        <v>0</v>
      </c>
      <c r="S46" s="27">
        <f>SUMIFS(Aut_BlueMe_Sem_Pedido!$J:$J,Aut_BlueMe_Sem_Pedido!$Q:$Q,DRE!Q$4,Aut_BlueMe_Sem_Pedido!$H:$H,DRE!$A46)+SUMIFS(Aut_Ajustes_Manuais!$G:$G,Aut_Ajustes_Manuais!$I:$I,DRE!Q$4,Aut_Ajustes_Manuais!$F:$F,"Viagens e Estadias")</f>
        <v>0</v>
      </c>
      <c r="T46" s="237">
        <v>0</v>
      </c>
      <c r="U46" s="26">
        <v>0</v>
      </c>
      <c r="V46" s="27">
        <f>SUMIFS(Aut_BlueMe_Sem_Pedido!$J:$J,Aut_BlueMe_Sem_Pedido!$Q:$Q,DRE!T$4,Aut_BlueMe_Sem_Pedido!$H:$H,DRE!$A46)+SUMIFS(Aut_Ajustes_Manuais!$G:$G,Aut_Ajustes_Manuais!$I:$I,DRE!T$4,Aut_Ajustes_Manuais!$F:$F,"Viagens e Estadias")</f>
        <v>0</v>
      </c>
      <c r="W46" s="237">
        <v>0</v>
      </c>
      <c r="X46" s="26">
        <v>0</v>
      </c>
      <c r="Y46" s="27">
        <f>SUMIFS(Aut_BlueMe_Sem_Pedido!$J:$J,Aut_BlueMe_Sem_Pedido!$Q:$Q,DRE!W$4,Aut_BlueMe_Sem_Pedido!$H:$H,DRE!$A46)+SUMIFS(Aut_Ajustes_Manuais!$G:$G,Aut_Ajustes_Manuais!$I:$I,DRE!W$4,Aut_Ajustes_Manuais!$F:$F,"Viagens e Estadias")</f>
        <v>0</v>
      </c>
      <c r="Z46" s="237">
        <v>0</v>
      </c>
      <c r="AA46" s="26">
        <v>0</v>
      </c>
      <c r="AB46" s="27">
        <f>SUMIFS(Aut_BlueMe_Sem_Pedido!$J:$J,Aut_BlueMe_Sem_Pedido!$Q:$Q,DRE!Z$4,Aut_BlueMe_Sem_Pedido!$H:$H,DRE!$A46)+SUMIFS(Aut_Ajustes_Manuais!$G:$G,Aut_Ajustes_Manuais!$I:$I,DRE!Z$4,Aut_Ajustes_Manuais!$F:$F,"Viagens e Estadias")</f>
        <v>0</v>
      </c>
      <c r="AC46" s="237">
        <v>0</v>
      </c>
      <c r="AD46" s="26">
        <v>0</v>
      </c>
      <c r="AE46" s="27">
        <f>SUMIFS(Aut_BlueMe_Sem_Pedido!$J:$J,Aut_BlueMe_Sem_Pedido!$Q:$Q,DRE!AC$4,Aut_BlueMe_Sem_Pedido!$H:$H,DRE!$A46)+SUMIFS(Aut_Ajustes_Manuais!$G:$G,Aut_Ajustes_Manuais!$I:$I,DRE!AC$4,Aut_Ajustes_Manuais!$F:$F,"Viagens e Estadias")</f>
        <v>0</v>
      </c>
      <c r="AF46" s="237">
        <v>0</v>
      </c>
      <c r="AG46" s="26">
        <v>0</v>
      </c>
      <c r="AH46" s="27">
        <f>SUMIFS(Aut_BlueMe_Sem_Pedido!$J:$J,Aut_BlueMe_Sem_Pedido!$Q:$Q,DRE!AF$4,Aut_BlueMe_Sem_Pedido!$H:$H,DRE!$A46)+SUMIFS(Aut_Ajustes_Manuais!$G:$G,Aut_Ajustes_Manuais!$I:$I,DRE!AF$4,Aut_Ajustes_Manuais!$F:$F,"Viagens e Estadias")</f>
        <v>0</v>
      </c>
      <c r="AI46" s="237">
        <v>0</v>
      </c>
      <c r="AJ46" s="26">
        <v>0</v>
      </c>
      <c r="AK46" s="27">
        <f>SUMIFS(Aut_BlueMe_Sem_Pedido!$J:$J,Aut_BlueMe_Sem_Pedido!$Q:$Q,DRE!AI$4,Aut_BlueMe_Sem_Pedido!$H:$H,DRE!$A46)+SUMIFS(Aut_Ajustes_Manuais!$G:$G,Aut_Ajustes_Manuais!$I:$I,DRE!AI$4,Aut_Ajustes_Manuais!$F:$F,"Viagens e Estadias")</f>
        <v>0</v>
      </c>
      <c r="AL46" s="237">
        <v>0</v>
      </c>
      <c r="AM46" s="26">
        <v>0</v>
      </c>
      <c r="AN46" s="27">
        <f>SUMIFS(Aut_BlueMe_Sem_Pedido!$J:$J,Aut_BlueMe_Sem_Pedido!$Q:$Q,DRE!AL$4,Aut_BlueMe_Sem_Pedido!$H:$H,DRE!$A46)+SUMIFS(Aut_Ajustes_Manuais!$G:$G,Aut_Ajustes_Manuais!$I:$I,DRE!AL$4,Aut_Ajustes_Manuais!$F:$F,"Viagens e Estadias")</f>
        <v>0</v>
      </c>
      <c r="AO46" s="237">
        <v>0</v>
      </c>
      <c r="AP46" s="26">
        <v>0</v>
      </c>
      <c r="AQ46" s="27">
        <f>SUMIFS(Aut_BlueMe_Sem_Pedido!$J:$J,Aut_BlueMe_Sem_Pedido!$Q:$Q,DRE!AO$4,Aut_BlueMe_Sem_Pedido!$H:$H,DRE!$A46)+SUMIFS(Aut_Ajustes_Manuais!$G:$G,Aut_Ajustes_Manuais!$I:$I,DRE!AO$4,Aut_Ajustes_Manuais!$F:$F,"Viagens e Estadias")</f>
        <v>0</v>
      </c>
      <c r="AR46" s="237">
        <f t="shared" ca="1" si="43"/>
        <v>0</v>
      </c>
      <c r="AS46" s="26">
        <f t="shared" ca="1" si="44"/>
        <v>0</v>
      </c>
      <c r="AT46" s="27">
        <f t="shared" ca="1" si="45"/>
        <v>0</v>
      </c>
      <c r="AU46" s="237">
        <f t="shared" si="47"/>
        <v>0</v>
      </c>
      <c r="AV46" s="26">
        <f t="shared" si="47"/>
        <v>0</v>
      </c>
      <c r="AW46" s="27">
        <f t="shared" si="47"/>
        <v>0</v>
      </c>
      <c r="AX46" s="237">
        <f t="shared" si="48"/>
        <v>0</v>
      </c>
      <c r="AY46" s="26">
        <f t="shared" si="48"/>
        <v>0</v>
      </c>
      <c r="AZ46" s="27">
        <f t="shared" si="48"/>
        <v>0</v>
      </c>
      <c r="BA46" s="237">
        <f t="shared" si="49"/>
        <v>0</v>
      </c>
      <c r="BB46" s="26">
        <f t="shared" si="49"/>
        <v>0</v>
      </c>
      <c r="BC46" s="27">
        <f t="shared" si="49"/>
        <v>0</v>
      </c>
      <c r="BD46" s="237">
        <f t="shared" si="50"/>
        <v>0</v>
      </c>
      <c r="BE46" s="26">
        <f t="shared" si="50"/>
        <v>0</v>
      </c>
      <c r="BF46" s="27">
        <f t="shared" si="50"/>
        <v>0</v>
      </c>
      <c r="BG46" s="237">
        <f t="shared" si="51"/>
        <v>0</v>
      </c>
      <c r="BH46" s="26">
        <f t="shared" si="51"/>
        <v>0</v>
      </c>
      <c r="BI46" s="27">
        <f t="shared" si="51"/>
        <v>0</v>
      </c>
      <c r="BJ46" s="454"/>
    </row>
    <row r="47" spans="1:62" s="28" customFormat="1" hidden="1" outlineLevel="1" x14ac:dyDescent="0.3">
      <c r="A47" s="21" t="s">
        <v>62</v>
      </c>
      <c r="B47" s="2"/>
      <c r="C47" s="23" t="s">
        <v>63</v>
      </c>
      <c r="D47" s="24"/>
      <c r="E47" s="24"/>
      <c r="F47" s="39"/>
      <c r="G47" s="22"/>
      <c r="H47" s="237">
        <v>0</v>
      </c>
      <c r="I47" s="26">
        <f>-SUMIFS(T_ORCAMENTOS!$E:$E,T_ORCAMENTOS!$C:$C,"Taxas e Licenças - Artístico",T_ORCAMENTOS!$H:$H,"1/2026")</f>
        <v>0</v>
      </c>
      <c r="J47" s="27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37">
        <v>0</v>
      </c>
      <c r="L47" s="26">
        <f>-SUMIFS(T_ORCAMENTOS!$E:$E,T_ORCAMENTOS!$C:$C,"Taxas e Licenças - Artístico",T_ORCAMENTOS!$H:$H,"2/2026")</f>
        <v>0</v>
      </c>
      <c r="M47" s="27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37">
        <v>0</v>
      </c>
      <c r="O47" s="26">
        <f>-SUMIFS(T_ORCAMENTOS!$E:$E,T_ORCAMENTOS!$C:$C,"Taxas e Licenças - Artístico",T_ORCAMENTOS!$H:$H,"3/2026")</f>
        <v>0</v>
      </c>
      <c r="P47" s="27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37">
        <v>0</v>
      </c>
      <c r="R47" s="26">
        <f>-SUMIFS(T_ORCAMENTOS!$E:$E,T_ORCAMENTOS!$C:$C,"Taxas e Licenças - Artístico",T_ORCAMENTOS!$H:$H,"4/2026")</f>
        <v>0</v>
      </c>
      <c r="S47" s="27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37">
        <v>0</v>
      </c>
      <c r="U47" s="26">
        <f>-SUMIFS(T_ORCAMENTOS!$E:$E,T_ORCAMENTOS!$C:$C,"Taxas e Licenças - Artístico",T_ORCAMENTOS!$H:$H,"5/2026")</f>
        <v>0</v>
      </c>
      <c r="V47" s="27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37">
        <v>0</v>
      </c>
      <c r="X47" s="26">
        <f>-SUMIFS(T_ORCAMENTOS!$E:$E,T_ORCAMENTOS!$C:$C,"Taxas e Licenças - Artístico",T_ORCAMENTOS!$H:$H,"6/2026")</f>
        <v>0</v>
      </c>
      <c r="Y47" s="27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37">
        <v>0</v>
      </c>
      <c r="AA47" s="26">
        <f>-SUMIFS(T_ORCAMENTOS!$E:$E,T_ORCAMENTOS!$C:$C,"Taxas e Licenças - Artístico",T_ORCAMENTOS!$H:$H,"7/2026")</f>
        <v>0</v>
      </c>
      <c r="AB47" s="27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37">
        <v>0</v>
      </c>
      <c r="AD47" s="26">
        <f>-SUMIFS(T_ORCAMENTOS!$E:$E,T_ORCAMENTOS!$C:$C,"Taxas e Licenças - Artístico",T_ORCAMENTOS!$H:$H,"8/2026")</f>
        <v>0</v>
      </c>
      <c r="AE47" s="27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37">
        <v>0</v>
      </c>
      <c r="AG47" s="26">
        <f>-SUMIFS(T_ORCAMENTOS!$E:$E,T_ORCAMENTOS!$C:$C,"Taxas e Licenças - Artístico",T_ORCAMENTOS!$H:$H,"9/2026")</f>
        <v>0</v>
      </c>
      <c r="AH47" s="27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37">
        <v>0</v>
      </c>
      <c r="AJ47" s="26">
        <f>-SUMIFS(T_ORCAMENTOS!$E:$E,T_ORCAMENTOS!$C:$C,"Taxas e Licenças - Artístico",T_ORCAMENTOS!$H:$H,"10/2026")</f>
        <v>0</v>
      </c>
      <c r="AK47" s="27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37">
        <v>0</v>
      </c>
      <c r="AM47" s="26">
        <f>-SUMIFS(T_ORCAMENTOS!$E:$E,T_ORCAMENTOS!$C:$C,"Taxas e Licenças - Artístico",T_ORCAMENTOS!$H:$H,"11/2026")</f>
        <v>0</v>
      </c>
      <c r="AN47" s="27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37">
        <v>0</v>
      </c>
      <c r="AP47" s="26">
        <f>-SUMIFS(T_ORCAMENTOS!$E:$E,T_ORCAMENTOS!$C:$C,"Taxas e Licenças - Artístico",T_ORCAMENTOS!$H:$H,"12/2026")</f>
        <v>0</v>
      </c>
      <c r="AQ47" s="27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37">
        <f t="shared" ca="1" si="43"/>
        <v>0</v>
      </c>
      <c r="AS47" s="26">
        <f t="shared" ca="1" si="44"/>
        <v>0</v>
      </c>
      <c r="AT47" s="27">
        <f t="shared" ca="1" si="45"/>
        <v>0</v>
      </c>
      <c r="AU47" s="237">
        <f t="shared" si="47"/>
        <v>0</v>
      </c>
      <c r="AV47" s="26">
        <f t="shared" si="47"/>
        <v>0</v>
      </c>
      <c r="AW47" s="27">
        <f t="shared" si="47"/>
        <v>0</v>
      </c>
      <c r="AX47" s="237">
        <f t="shared" si="48"/>
        <v>0</v>
      </c>
      <c r="AY47" s="26">
        <f t="shared" si="48"/>
        <v>0</v>
      </c>
      <c r="AZ47" s="27">
        <f t="shared" si="48"/>
        <v>0</v>
      </c>
      <c r="BA47" s="237">
        <f t="shared" si="49"/>
        <v>0</v>
      </c>
      <c r="BB47" s="26">
        <f t="shared" si="49"/>
        <v>0</v>
      </c>
      <c r="BC47" s="27">
        <f t="shared" si="49"/>
        <v>0</v>
      </c>
      <c r="BD47" s="237">
        <f t="shared" si="50"/>
        <v>0</v>
      </c>
      <c r="BE47" s="26">
        <f t="shared" si="50"/>
        <v>0</v>
      </c>
      <c r="BF47" s="27">
        <f t="shared" si="50"/>
        <v>0</v>
      </c>
      <c r="BG47" s="237">
        <f t="shared" si="51"/>
        <v>0</v>
      </c>
      <c r="BH47" s="26">
        <f t="shared" si="51"/>
        <v>0</v>
      </c>
      <c r="BI47" s="27">
        <f t="shared" si="51"/>
        <v>0</v>
      </c>
      <c r="BJ47" s="454"/>
    </row>
    <row r="48" spans="1:62" s="28" customFormat="1" hidden="1" outlineLevel="1" x14ac:dyDescent="0.3">
      <c r="A48" s="21" t="s">
        <v>64</v>
      </c>
      <c r="B48" s="2"/>
      <c r="C48" s="23"/>
      <c r="D48" s="67"/>
      <c r="E48" s="67"/>
      <c r="F48" s="39"/>
      <c r="G48" s="22"/>
      <c r="H48" s="237">
        <v>0</v>
      </c>
      <c r="I48" s="26">
        <f>-SUMIFS(T_ORCAMENTOS!$E:$E,T_ORCAMENTOS!$C:$C,"MDO Terceirizada - Artístico",T_ORCAMENTOS!$H:$H,"1/2026")</f>
        <v>0</v>
      </c>
      <c r="J48" s="27">
        <f>SUMIFS(Aut_BlueMe_Sem_Pedido!$J:$J,Aut_BlueMe_Sem_Pedido!$Q:$Q,DRE!H$4,Aut_BlueMe_Sem_Pedido!$H:$H,DRE!$A48)+SUMIFS(Aut_Ajustes_Manuais!$G:$G,Aut_Ajustes_Manuais!$I:$I,DRE!H$4,Aut_Ajustes_Manuais!$F:$F,"MDO Terceirizada - Artístico")</f>
        <v>0</v>
      </c>
      <c r="K48" s="237">
        <v>0</v>
      </c>
      <c r="L48" s="26">
        <f>-SUMIFS(T_ORCAMENTOS!$E:$E,T_ORCAMENTOS!$C:$C,"MDO Terceirizada - Artístico",T_ORCAMENTOS!$H:$H,"2/2026")</f>
        <v>0</v>
      </c>
      <c r="M48" s="27">
        <f>SUMIFS(Aut_BlueMe_Sem_Pedido!$J:$J,Aut_BlueMe_Sem_Pedido!$Q:$Q,DRE!K$4,Aut_BlueMe_Sem_Pedido!$H:$H,DRE!$A48)+SUMIFS(Aut_Ajustes_Manuais!$G:$G,Aut_Ajustes_Manuais!$I:$I,DRE!K$4,Aut_Ajustes_Manuais!$F:$F,"MDO Terceirizada - Artístico")</f>
        <v>0</v>
      </c>
      <c r="N48" s="237">
        <v>0</v>
      </c>
      <c r="O48" s="26">
        <f>-SUMIFS(T_ORCAMENTOS!$E:$E,T_ORCAMENTOS!$C:$C,"MDO Terceirizada - Artístico",T_ORCAMENTOS!$H:$H,"3/2026")</f>
        <v>0</v>
      </c>
      <c r="P48" s="27">
        <f>SUMIFS(Aut_BlueMe_Sem_Pedido!$J:$J,Aut_BlueMe_Sem_Pedido!$Q:$Q,DRE!N$4,Aut_BlueMe_Sem_Pedido!$H:$H,DRE!$A48)+SUMIFS(Aut_Ajustes_Manuais!$G:$G,Aut_Ajustes_Manuais!$I:$I,DRE!N$4,Aut_Ajustes_Manuais!$F:$F,"MDO Terceirizada - Artístico")</f>
        <v>0</v>
      </c>
      <c r="Q48" s="237">
        <v>0</v>
      </c>
      <c r="R48" s="26">
        <f>-SUMIFS(T_ORCAMENTOS!$E:$E,T_ORCAMENTOS!$C:$C,"MDO Terceirizada - Artístico",T_ORCAMENTOS!$H:$H,"4/2026")</f>
        <v>0</v>
      </c>
      <c r="S48" s="27">
        <f>SUMIFS(Aut_BlueMe_Sem_Pedido!$J:$J,Aut_BlueMe_Sem_Pedido!$Q:$Q,DRE!Q$4,Aut_BlueMe_Sem_Pedido!$H:$H,DRE!$A48)+SUMIFS(Aut_Ajustes_Manuais!$G:$G,Aut_Ajustes_Manuais!$I:$I,DRE!Q$4,Aut_Ajustes_Manuais!$F:$F,"MDO Terceirizada - Artístico")</f>
        <v>0</v>
      </c>
      <c r="T48" s="237">
        <v>0</v>
      </c>
      <c r="U48" s="26">
        <f>-SUMIFS(T_ORCAMENTOS!$E:$E,T_ORCAMENTOS!$C:$C,"MDO Terceirizada - Artístico",T_ORCAMENTOS!$H:$H,"5/2026")</f>
        <v>0</v>
      </c>
      <c r="V48" s="27">
        <f>SUMIFS(Aut_BlueMe_Sem_Pedido!$J:$J,Aut_BlueMe_Sem_Pedido!$Q:$Q,DRE!T$4,Aut_BlueMe_Sem_Pedido!$H:$H,DRE!$A48)+SUMIFS(Aut_Ajustes_Manuais!$G:$G,Aut_Ajustes_Manuais!$I:$I,DRE!T$4,Aut_Ajustes_Manuais!$F:$F,"MDO Terceirizada - Artístico")</f>
        <v>0</v>
      </c>
      <c r="W48" s="237">
        <v>0</v>
      </c>
      <c r="X48" s="26">
        <f>-SUMIFS(T_ORCAMENTOS!$E:$E,T_ORCAMENTOS!$C:$C,"MDO Terceirizada - Artístico",T_ORCAMENTOS!$H:$H,"6/2026")</f>
        <v>0</v>
      </c>
      <c r="Y48" s="27">
        <f>SUMIFS(Aut_BlueMe_Sem_Pedido!$J:$J,Aut_BlueMe_Sem_Pedido!$Q:$Q,DRE!W$4,Aut_BlueMe_Sem_Pedido!$H:$H,DRE!$A48)+SUMIFS(Aut_Ajustes_Manuais!$G:$G,Aut_Ajustes_Manuais!$I:$I,DRE!W$4,Aut_Ajustes_Manuais!$F:$F,"MDO Terceirizada - Artístico")</f>
        <v>0</v>
      </c>
      <c r="Z48" s="237">
        <v>0</v>
      </c>
      <c r="AA48" s="26">
        <f>-SUMIFS(T_ORCAMENTOS!$E:$E,T_ORCAMENTOS!$C:$C,"MDO Terceirizada - Artístico",T_ORCAMENTOS!$H:$H,"7/2026")</f>
        <v>0</v>
      </c>
      <c r="AB48" s="27">
        <f>SUMIFS(Aut_BlueMe_Sem_Pedido!$J:$J,Aut_BlueMe_Sem_Pedido!$Q:$Q,DRE!Z$4,Aut_BlueMe_Sem_Pedido!$H:$H,DRE!$A48)+SUMIFS(Aut_Ajustes_Manuais!$G:$G,Aut_Ajustes_Manuais!$I:$I,DRE!Z$4,Aut_Ajustes_Manuais!$F:$F,"MDO Terceirizada - Artístico")</f>
        <v>0</v>
      </c>
      <c r="AC48" s="237">
        <v>0</v>
      </c>
      <c r="AD48" s="26">
        <f>-SUMIFS(T_ORCAMENTOS!$E:$E,T_ORCAMENTOS!$C:$C,"MDO Terceirizada - Artístico",T_ORCAMENTOS!$H:$H,"8/2026")</f>
        <v>0</v>
      </c>
      <c r="AE48" s="27">
        <f>SUMIFS(Aut_BlueMe_Sem_Pedido!$J:$J,Aut_BlueMe_Sem_Pedido!$Q:$Q,DRE!AC$4,Aut_BlueMe_Sem_Pedido!$H:$H,DRE!$A48)+SUMIFS(Aut_Ajustes_Manuais!$G:$G,Aut_Ajustes_Manuais!$I:$I,DRE!AC$4,Aut_Ajustes_Manuais!$F:$F,"MDO Terceirizada - Artístico")</f>
        <v>0</v>
      </c>
      <c r="AF48" s="237">
        <v>0</v>
      </c>
      <c r="AG48" s="26">
        <f>-SUMIFS(T_ORCAMENTOS!$E:$E,T_ORCAMENTOS!$C:$C,"MDO Terceirizada - Artístico",T_ORCAMENTOS!$H:$H,"9/2026")</f>
        <v>0</v>
      </c>
      <c r="AH48" s="27">
        <f>SUMIFS(Aut_BlueMe_Sem_Pedido!$J:$J,Aut_BlueMe_Sem_Pedido!$Q:$Q,DRE!AF$4,Aut_BlueMe_Sem_Pedido!$H:$H,DRE!$A48)+SUMIFS(Aut_Ajustes_Manuais!$G:$G,Aut_Ajustes_Manuais!$I:$I,DRE!AF$4,Aut_Ajustes_Manuais!$F:$F,"MDO Terceirizada - Artístico")</f>
        <v>0</v>
      </c>
      <c r="AI48" s="237">
        <v>0</v>
      </c>
      <c r="AJ48" s="26">
        <f>-SUMIFS(T_ORCAMENTOS!$E:$E,T_ORCAMENTOS!$C:$C,"MDO Terceirizada - Artístico",T_ORCAMENTOS!$H:$H,"10/2026")</f>
        <v>0</v>
      </c>
      <c r="AK48" s="27">
        <f>SUMIFS(Aut_BlueMe_Sem_Pedido!$J:$J,Aut_BlueMe_Sem_Pedido!$Q:$Q,DRE!AI$4,Aut_BlueMe_Sem_Pedido!$H:$H,DRE!$A48)+SUMIFS(Aut_Ajustes_Manuais!$G:$G,Aut_Ajustes_Manuais!$I:$I,DRE!AI$4,Aut_Ajustes_Manuais!$F:$F,"MDO Terceirizada - Artístico")</f>
        <v>0</v>
      </c>
      <c r="AL48" s="237">
        <v>0</v>
      </c>
      <c r="AM48" s="26">
        <f>-SUMIFS(T_ORCAMENTOS!$E:$E,T_ORCAMENTOS!$C:$C,"MDO Terceirizada - Artístico",T_ORCAMENTOS!$H:$H,"11/2026")</f>
        <v>0</v>
      </c>
      <c r="AN48" s="27">
        <f>SUMIFS(Aut_BlueMe_Sem_Pedido!$J:$J,Aut_BlueMe_Sem_Pedido!$Q:$Q,DRE!AL$4,Aut_BlueMe_Sem_Pedido!$H:$H,DRE!$A48)+SUMIFS(Aut_Ajustes_Manuais!$G:$G,Aut_Ajustes_Manuais!$I:$I,DRE!AL$4,Aut_Ajustes_Manuais!$F:$F,"MDO Terceirizada - Artístico")</f>
        <v>0</v>
      </c>
      <c r="AO48" s="237">
        <v>0</v>
      </c>
      <c r="AP48" s="26">
        <f>-SUMIFS(T_ORCAMENTOS!$E:$E,T_ORCAMENTOS!$C:$C,"MDO Terceirizada - Artístico",T_ORCAMENTOS!$H:$H,"12/2026")</f>
        <v>0</v>
      </c>
      <c r="AQ48" s="27">
        <f>SUMIFS(Aut_BlueMe_Sem_Pedido!$J:$J,Aut_BlueMe_Sem_Pedido!$Q:$Q,DRE!AO$4,Aut_BlueMe_Sem_Pedido!$H:$H,DRE!$A48)+SUMIFS(Aut_Ajustes_Manuais!$G:$G,Aut_Ajustes_Manuais!$I:$I,DRE!AO$4,Aut_Ajustes_Manuais!$F:$F,"MDO Terceirizada - Artístico")</f>
        <v>0</v>
      </c>
      <c r="AR48" s="237">
        <f t="shared" ca="1" si="43"/>
        <v>0</v>
      </c>
      <c r="AS48" s="26">
        <f t="shared" ca="1" si="44"/>
        <v>0</v>
      </c>
      <c r="AT48" s="27">
        <f t="shared" ca="1" si="45"/>
        <v>0</v>
      </c>
      <c r="AU48" s="237">
        <f t="shared" si="47"/>
        <v>0</v>
      </c>
      <c r="AV48" s="26">
        <f t="shared" si="47"/>
        <v>0</v>
      </c>
      <c r="AW48" s="27">
        <f t="shared" si="47"/>
        <v>0</v>
      </c>
      <c r="AX48" s="237">
        <f t="shared" si="48"/>
        <v>0</v>
      </c>
      <c r="AY48" s="26">
        <f t="shared" si="48"/>
        <v>0</v>
      </c>
      <c r="AZ48" s="27">
        <f t="shared" si="48"/>
        <v>0</v>
      </c>
      <c r="BA48" s="237">
        <f t="shared" si="49"/>
        <v>0</v>
      </c>
      <c r="BB48" s="26">
        <f t="shared" si="49"/>
        <v>0</v>
      </c>
      <c r="BC48" s="27">
        <f t="shared" si="49"/>
        <v>0</v>
      </c>
      <c r="BD48" s="237">
        <f t="shared" si="50"/>
        <v>0</v>
      </c>
      <c r="BE48" s="26">
        <f t="shared" si="50"/>
        <v>0</v>
      </c>
      <c r="BF48" s="27">
        <f t="shared" si="50"/>
        <v>0</v>
      </c>
      <c r="BG48" s="237">
        <f t="shared" si="51"/>
        <v>0</v>
      </c>
      <c r="BH48" s="26">
        <f t="shared" si="51"/>
        <v>0</v>
      </c>
      <c r="BI48" s="27">
        <f t="shared" si="51"/>
        <v>0</v>
      </c>
      <c r="BJ48" s="454"/>
    </row>
    <row r="49" spans="1:62" ht="18" hidden="1" customHeight="1" outlineLevel="1" x14ac:dyDescent="0.3">
      <c r="A49" s="71" t="s">
        <v>65</v>
      </c>
      <c r="C49" s="23"/>
      <c r="D49" s="67"/>
      <c r="E49" s="67"/>
      <c r="F49" s="39"/>
      <c r="H49" s="248">
        <v>0</v>
      </c>
      <c r="I49" s="72">
        <f>SUM(I50:I52)</f>
        <v>0</v>
      </c>
      <c r="J49" s="74">
        <f>SUM(J50:J52)+SUMIFS(Aut_Ajustes_Manuais!$G:$G,Aut_Ajustes_Manuais!$I:$I,DRE!H$4,Aut_Ajustes_Manuais!$F:$F,"Custos Ténico de Som")</f>
        <v>0</v>
      </c>
      <c r="K49" s="248">
        <v>0</v>
      </c>
      <c r="L49" s="72">
        <f>SUM(L50:L52)</f>
        <v>0</v>
      </c>
      <c r="M49" s="74">
        <f>SUM(M50:M52)+SUMIFS(Aut_Ajustes_Manuais!$G:$G,Aut_Ajustes_Manuais!$I:$I,DRE!K$4,Aut_Ajustes_Manuais!$F:$F,"Custos Ténico de Som")</f>
        <v>0</v>
      </c>
      <c r="N49" s="248">
        <v>0</v>
      </c>
      <c r="O49" s="72">
        <f>SUM(O50:O52)</f>
        <v>0</v>
      </c>
      <c r="P49" s="74">
        <f>SUM(P50:P52)+SUMIFS(Aut_Ajustes_Manuais!$G:$G,Aut_Ajustes_Manuais!$I:$I,DRE!N$4,Aut_Ajustes_Manuais!$F:$F,"Custos Ténico de Som")</f>
        <v>0</v>
      </c>
      <c r="Q49" s="248"/>
      <c r="R49" s="72">
        <f>SUM(R50:R52)</f>
        <v>0</v>
      </c>
      <c r="S49" s="74">
        <f>SUM(S50:S52)+SUMIFS(Aut_Ajustes_Manuais!$G:$G,Aut_Ajustes_Manuais!$I:$I,DRE!Q$4,Aut_Ajustes_Manuais!$F:$F,"Custos Ténico de Som")</f>
        <v>0</v>
      </c>
      <c r="T49" s="248"/>
      <c r="U49" s="72">
        <f>SUM(U50:U52)</f>
        <v>0</v>
      </c>
      <c r="V49" s="74">
        <f>SUM(V50:V52)+SUMIFS(Aut_Ajustes_Manuais!$G:$G,Aut_Ajustes_Manuais!$I:$I,DRE!T$4,Aut_Ajustes_Manuais!$F:$F,"Custos Ténico de Som")</f>
        <v>0</v>
      </c>
      <c r="W49" s="248"/>
      <c r="X49" s="72">
        <f>SUM(X50:X52)</f>
        <v>0</v>
      </c>
      <c r="Y49" s="74">
        <f>SUM(Y50:Y52)+SUMIFS(Aut_Ajustes_Manuais!$G:$G,Aut_Ajustes_Manuais!$I:$I,DRE!W$4,Aut_Ajustes_Manuais!$F:$F,"Custos Ténico de Som")</f>
        <v>0</v>
      </c>
      <c r="Z49" s="248"/>
      <c r="AA49" s="72">
        <f>SUM(AA50:AA52)</f>
        <v>0</v>
      </c>
      <c r="AB49" s="74">
        <f>SUM(AB50:AB52)+SUMIFS(Aut_Ajustes_Manuais!$G:$G,Aut_Ajustes_Manuais!$I:$I,DRE!Z$4,Aut_Ajustes_Manuais!$F:$F,"Custos Ténico de Som")</f>
        <v>0</v>
      </c>
      <c r="AC49" s="248"/>
      <c r="AD49" s="72">
        <f>SUM(AD50:AD52)</f>
        <v>-24500</v>
      </c>
      <c r="AE49" s="74">
        <f>SUM(AE50:AE52)+SUMIFS(Aut_Ajustes_Manuais!$G:$G,Aut_Ajustes_Manuais!$I:$I,DRE!AC$4,Aut_Ajustes_Manuais!$F:$F,"Custos Ténico de Som")</f>
        <v>0</v>
      </c>
      <c r="AF49" s="248"/>
      <c r="AG49" s="72">
        <f>SUM(AG50:AG52)</f>
        <v>-24500</v>
      </c>
      <c r="AH49" s="74">
        <f>SUM(AH50:AH52)+SUMIFS(Aut_Ajustes_Manuais!$G:$G,Aut_Ajustes_Manuais!$I:$I,DRE!AF$4,Aut_Ajustes_Manuais!$F:$F,"Custos Ténico de Som")</f>
        <v>0</v>
      </c>
      <c r="AI49" s="248"/>
      <c r="AJ49" s="72">
        <f>SUM(AJ50:AJ52)</f>
        <v>-24500</v>
      </c>
      <c r="AK49" s="74">
        <f>SUM(AK50:AK52)+SUMIFS(Aut_Ajustes_Manuais!$G:$G,Aut_Ajustes_Manuais!$I:$I,DRE!AI$4,Aut_Ajustes_Manuais!$F:$F,"Custos Ténico de Som")</f>
        <v>0</v>
      </c>
      <c r="AL49" s="248"/>
      <c r="AM49" s="72">
        <f>SUM(AM50:AM52)</f>
        <v>-24500</v>
      </c>
      <c r="AN49" s="74">
        <f>SUM(AN50:AN52)+SUMIFS(Aut_Ajustes_Manuais!$G:$G,Aut_Ajustes_Manuais!$I:$I,DRE!AL$4,Aut_Ajustes_Manuais!$F:$F,"Custos Ténico de Som")</f>
        <v>0</v>
      </c>
      <c r="AO49" s="248"/>
      <c r="AP49" s="72">
        <f>SUM(AP50:AP52)</f>
        <v>-24500</v>
      </c>
      <c r="AQ49" s="74">
        <f>SUM(AQ50:AQ52)+SUMIFS(Aut_Ajustes_Manuais!$G:$G,Aut_Ajustes_Manuais!$I:$I,DRE!AO$4,Aut_Ajustes_Manuais!$F:$F,"Custos Ténico de Som")</f>
        <v>0</v>
      </c>
      <c r="AR49" s="72">
        <f t="shared" ca="1" si="43"/>
        <v>0</v>
      </c>
      <c r="AS49" s="72">
        <f t="shared" ca="1" si="44"/>
        <v>-24500</v>
      </c>
      <c r="AT49" s="72">
        <f t="shared" ca="1" si="45"/>
        <v>0</v>
      </c>
      <c r="AU49" s="248">
        <f t="shared" ref="AU49:BI49" si="52">SUM(AU50:AU52)</f>
        <v>0</v>
      </c>
      <c r="AV49" s="72">
        <f t="shared" si="52"/>
        <v>-122500</v>
      </c>
      <c r="AW49" s="74">
        <f t="shared" si="52"/>
        <v>0</v>
      </c>
      <c r="AX49" s="248">
        <f t="shared" si="52"/>
        <v>0</v>
      </c>
      <c r="AY49" s="72">
        <f t="shared" si="52"/>
        <v>0</v>
      </c>
      <c r="AZ49" s="74">
        <f t="shared" si="52"/>
        <v>0</v>
      </c>
      <c r="BA49" s="248">
        <f t="shared" si="52"/>
        <v>0</v>
      </c>
      <c r="BB49" s="72">
        <f t="shared" si="52"/>
        <v>0</v>
      </c>
      <c r="BC49" s="74">
        <f t="shared" si="52"/>
        <v>0</v>
      </c>
      <c r="BD49" s="248">
        <f t="shared" si="52"/>
        <v>0</v>
      </c>
      <c r="BE49" s="72">
        <f t="shared" si="52"/>
        <v>-49000</v>
      </c>
      <c r="BF49" s="74">
        <f t="shared" si="52"/>
        <v>0</v>
      </c>
      <c r="BG49" s="248">
        <f t="shared" si="52"/>
        <v>0</v>
      </c>
      <c r="BH49" s="72">
        <f t="shared" si="52"/>
        <v>-73500</v>
      </c>
      <c r="BI49" s="74">
        <f t="shared" si="52"/>
        <v>0</v>
      </c>
    </row>
    <row r="50" spans="1:62" s="28" customFormat="1" hidden="1" outlineLevel="1" x14ac:dyDescent="0.3">
      <c r="A50" s="21" t="s">
        <v>66</v>
      </c>
      <c r="B50" s="2"/>
      <c r="C50" s="23" t="s">
        <v>67</v>
      </c>
      <c r="D50" s="24"/>
      <c r="E50" s="24"/>
      <c r="F50" s="39"/>
      <c r="G50" s="22"/>
      <c r="H50" s="237">
        <v>0</v>
      </c>
      <c r="I50" s="26">
        <f>-SUMIFS(T_ORCAMENTOS!$E:$E,T_ORCAMENTOS!$C:$C,"Técnico de Som / Luz",T_ORCAMENTOS!$H:$H,"1/2026")</f>
        <v>0</v>
      </c>
      <c r="J50" s="27">
        <f>SUMIFS(Aut_BlueMe_Sem_Pedido!$J:$J,Aut_BlueMe_Sem_Pedido!$Q:$Q,DRE!H$4,Aut_BlueMe_Sem_Pedido!$H:$H,DRE!$A50)+SUMIFS(Aut_Ajustes_Manuais!$G:$G,Aut_Ajustes_Manuais!$I:$I,DRE!H$4,Aut_Ajustes_Manuais!$F:$F,"Técnico de Som / Luz")</f>
        <v>0</v>
      </c>
      <c r="K50" s="237">
        <v>0</v>
      </c>
      <c r="L50" s="26">
        <f>-SUMIFS(T_ORCAMENTOS!$E:$E,T_ORCAMENTOS!$C:$C,"Técnico de Som / Luz",T_ORCAMENTOS!$H:$H,"2/2026")</f>
        <v>0</v>
      </c>
      <c r="M50" s="27">
        <f>SUMIFS(Aut_BlueMe_Sem_Pedido!$J:$J,Aut_BlueMe_Sem_Pedido!$Q:$Q,DRE!K$4,Aut_BlueMe_Sem_Pedido!$H:$H,DRE!$A50)+SUMIFS(Aut_Ajustes_Manuais!$G:$G,Aut_Ajustes_Manuais!$I:$I,DRE!K$4,Aut_Ajustes_Manuais!$F:$F,"Técnico de Som / Luz")</f>
        <v>0</v>
      </c>
      <c r="N50" s="237">
        <v>0</v>
      </c>
      <c r="O50" s="26">
        <f>-SUMIFS(T_ORCAMENTOS!$E:$E,T_ORCAMENTOS!$C:$C,"Técnico de Som / Luz",T_ORCAMENTOS!$H:$H,"3/2026")</f>
        <v>0</v>
      </c>
      <c r="P50" s="27">
        <f>SUMIFS(Aut_BlueMe_Sem_Pedido!$J:$J,Aut_BlueMe_Sem_Pedido!$Q:$Q,DRE!N$4,Aut_BlueMe_Sem_Pedido!$H:$H,DRE!$A50)+SUMIFS(Aut_Ajustes_Manuais!$G:$G,Aut_Ajustes_Manuais!$I:$I,DRE!N$4,Aut_Ajustes_Manuais!$F:$F,"Técnico de Som / Luz")</f>
        <v>0</v>
      </c>
      <c r="Q50" s="237"/>
      <c r="R50" s="26">
        <f>-SUMIFS(T_ORCAMENTOS!$E:$E,T_ORCAMENTOS!$C:$C,"Técnico de Som / Luz",T_ORCAMENTOS!$H:$H,"4/2026")</f>
        <v>0</v>
      </c>
      <c r="S50" s="27">
        <f>SUMIFS(Aut_BlueMe_Sem_Pedido!$J:$J,Aut_BlueMe_Sem_Pedido!$Q:$Q,DRE!Q$4,Aut_BlueMe_Sem_Pedido!$H:$H,DRE!$A50)+SUMIFS(Aut_Ajustes_Manuais!$G:$G,Aut_Ajustes_Manuais!$I:$I,DRE!Q$4,Aut_Ajustes_Manuais!$F:$F,"Técnico de Som / Luz")</f>
        <v>0</v>
      </c>
      <c r="T50" s="237"/>
      <c r="U50" s="26">
        <f>-SUMIFS(T_ORCAMENTOS!$E:$E,T_ORCAMENTOS!$C:$C,"Técnico de Som / Luz",T_ORCAMENTOS!$H:$H,"5/2026")</f>
        <v>0</v>
      </c>
      <c r="V50" s="27">
        <f>SUMIFS(Aut_BlueMe_Sem_Pedido!$J:$J,Aut_BlueMe_Sem_Pedido!$Q:$Q,DRE!T$4,Aut_BlueMe_Sem_Pedido!$H:$H,DRE!$A50)+SUMIFS(Aut_Ajustes_Manuais!$G:$G,Aut_Ajustes_Manuais!$I:$I,DRE!T$4,Aut_Ajustes_Manuais!$F:$F,"Técnico de Som / Luz")</f>
        <v>0</v>
      </c>
      <c r="W50" s="237"/>
      <c r="X50" s="26">
        <f>-SUMIFS(T_ORCAMENTOS!$E:$E,T_ORCAMENTOS!$C:$C,"Técnico de Som / Luz",T_ORCAMENTOS!$H:$H,"6/2026")</f>
        <v>0</v>
      </c>
      <c r="Y50" s="27">
        <f>SUMIFS(Aut_BlueMe_Sem_Pedido!$J:$J,Aut_BlueMe_Sem_Pedido!$Q:$Q,DRE!W$4,Aut_BlueMe_Sem_Pedido!$H:$H,DRE!$A50)+SUMIFS(Aut_Ajustes_Manuais!$G:$G,Aut_Ajustes_Manuais!$I:$I,DRE!W$4,Aut_Ajustes_Manuais!$F:$F,"Técnico de Som / Luz")</f>
        <v>0</v>
      </c>
      <c r="Z50" s="237"/>
      <c r="AA50" s="26">
        <f>-SUMIFS(T_ORCAMENTOS!$E:$E,T_ORCAMENTOS!$C:$C,"Técnico de Som / Luz",T_ORCAMENTOS!$H:$H,"7/2026")</f>
        <v>0</v>
      </c>
      <c r="AB50" s="27">
        <f>SUMIFS(Aut_BlueMe_Sem_Pedido!$J:$J,Aut_BlueMe_Sem_Pedido!$Q:$Q,DRE!Z$4,Aut_BlueMe_Sem_Pedido!$H:$H,DRE!$A50)+SUMIFS(Aut_Ajustes_Manuais!$G:$G,Aut_Ajustes_Manuais!$I:$I,DRE!Z$4,Aut_Ajustes_Manuais!$F:$F,"Técnico de Som / Luz")</f>
        <v>0</v>
      </c>
      <c r="AC50" s="237"/>
      <c r="AD50" s="26">
        <f>-SUMIFS(T_ORCAMENTOS!$E:$E,T_ORCAMENTOS!$C:$C,"Técnico de Som / Luz",T_ORCAMENTOS!$H:$H,"8/2026")</f>
        <v>-11500</v>
      </c>
      <c r="AE50" s="27">
        <f>SUMIFS(Aut_BlueMe_Sem_Pedido!$J:$J,Aut_BlueMe_Sem_Pedido!$Q:$Q,DRE!AC$4,Aut_BlueMe_Sem_Pedido!$H:$H,DRE!$A50)+SUMIFS(Aut_Ajustes_Manuais!$G:$G,Aut_Ajustes_Manuais!$I:$I,DRE!AC$4,Aut_Ajustes_Manuais!$F:$F,"Técnico de Som / Luz")</f>
        <v>0</v>
      </c>
      <c r="AF50" s="237"/>
      <c r="AG50" s="26">
        <f>-SUMIFS(T_ORCAMENTOS!$E:$E,T_ORCAMENTOS!$C:$C,"Técnico de Som / Luz",T_ORCAMENTOS!$H:$H,"9/2026")</f>
        <v>-11500</v>
      </c>
      <c r="AH50" s="27">
        <f>SUMIFS(Aut_BlueMe_Sem_Pedido!$J:$J,Aut_BlueMe_Sem_Pedido!$Q:$Q,DRE!AF$4,Aut_BlueMe_Sem_Pedido!$H:$H,DRE!$A50)+SUMIFS(Aut_Ajustes_Manuais!$G:$G,Aut_Ajustes_Manuais!$I:$I,DRE!AF$4,Aut_Ajustes_Manuais!$F:$F,"Técnico de Som / Luz")</f>
        <v>0</v>
      </c>
      <c r="AI50" s="237"/>
      <c r="AJ50" s="26">
        <f>-SUMIFS(T_ORCAMENTOS!$E:$E,T_ORCAMENTOS!$C:$C,"Técnico de Som / Luz",T_ORCAMENTOS!$H:$H,"10/2026")</f>
        <v>-11500</v>
      </c>
      <c r="AK50" s="27">
        <f>SUMIFS(Aut_BlueMe_Sem_Pedido!$J:$J,Aut_BlueMe_Sem_Pedido!$Q:$Q,DRE!AI$4,Aut_BlueMe_Sem_Pedido!$H:$H,DRE!$A50)+SUMIFS(Aut_Ajustes_Manuais!$G:$G,Aut_Ajustes_Manuais!$I:$I,DRE!AI$4,Aut_Ajustes_Manuais!$F:$F,"Técnico de Som / Luz")</f>
        <v>0</v>
      </c>
      <c r="AL50" s="237"/>
      <c r="AM50" s="26">
        <f>-SUMIFS(T_ORCAMENTOS!$E:$E,T_ORCAMENTOS!$C:$C,"Técnico de Som / Luz",T_ORCAMENTOS!$H:$H,"11/2026")</f>
        <v>-11500</v>
      </c>
      <c r="AN50" s="27">
        <f>SUMIFS(Aut_BlueMe_Sem_Pedido!$J:$J,Aut_BlueMe_Sem_Pedido!$Q:$Q,DRE!AL$4,Aut_BlueMe_Sem_Pedido!$H:$H,DRE!$A50)+SUMIFS(Aut_Ajustes_Manuais!$G:$G,Aut_Ajustes_Manuais!$I:$I,DRE!AL$4,Aut_Ajustes_Manuais!$F:$F,"Técnico de Som / Luz")</f>
        <v>0</v>
      </c>
      <c r="AO50" s="237"/>
      <c r="AP50" s="26">
        <f>-SUMIFS(T_ORCAMENTOS!$E:$E,T_ORCAMENTOS!$C:$C,"Técnico de Som / Luz",T_ORCAMENTOS!$H:$H,"12/2026")</f>
        <v>-11500</v>
      </c>
      <c r="AQ50" s="27">
        <f>SUMIFS(Aut_BlueMe_Sem_Pedido!$J:$J,Aut_BlueMe_Sem_Pedido!$Q:$Q,DRE!AO$4,Aut_BlueMe_Sem_Pedido!$H:$H,DRE!$A50)+SUMIFS(Aut_Ajustes_Manuais!$G:$G,Aut_Ajustes_Manuais!$I:$I,DRE!AO$4,Aut_Ajustes_Manuais!$F:$F,"Técnico de Som / Luz")</f>
        <v>0</v>
      </c>
      <c r="AR50" s="237">
        <f t="shared" ca="1" si="43"/>
        <v>0</v>
      </c>
      <c r="AS50" s="26">
        <f t="shared" ca="1" si="44"/>
        <v>-11500</v>
      </c>
      <c r="AT50" s="27">
        <f t="shared" ca="1" si="45"/>
        <v>0</v>
      </c>
      <c r="AU50" s="237">
        <f t="shared" ref="AU50:AW52" si="53">SUM(H50,K50,N50,Q50,T50,W50,Z50,AC50,AF50,AI50,AL50,AO50)</f>
        <v>0</v>
      </c>
      <c r="AV50" s="26">
        <f t="shared" si="53"/>
        <v>-57500</v>
      </c>
      <c r="AW50" s="27">
        <f t="shared" si="53"/>
        <v>0</v>
      </c>
      <c r="AX50" s="237">
        <f t="shared" ref="AX50:AZ52" si="54">SUM(H50,K50,N50)</f>
        <v>0</v>
      </c>
      <c r="AY50" s="26">
        <f t="shared" si="54"/>
        <v>0</v>
      </c>
      <c r="AZ50" s="27">
        <f t="shared" si="54"/>
        <v>0</v>
      </c>
      <c r="BA50" s="237">
        <f t="shared" ref="BA50:BC52" si="55">SUM(Q50,T50,W50)</f>
        <v>0</v>
      </c>
      <c r="BB50" s="26">
        <f t="shared" si="55"/>
        <v>0</v>
      </c>
      <c r="BC50" s="27">
        <f t="shared" si="55"/>
        <v>0</v>
      </c>
      <c r="BD50" s="237">
        <f t="shared" ref="BD50:BF52" si="56">SUM(Z50,AC50,AF50)</f>
        <v>0</v>
      </c>
      <c r="BE50" s="26">
        <f t="shared" si="56"/>
        <v>-23000</v>
      </c>
      <c r="BF50" s="27">
        <f t="shared" si="56"/>
        <v>0</v>
      </c>
      <c r="BG50" s="237">
        <f t="shared" ref="BG50:BI52" si="57">SUM(AI50,AL50,AO50)</f>
        <v>0</v>
      </c>
      <c r="BH50" s="26">
        <f t="shared" si="57"/>
        <v>-34500</v>
      </c>
      <c r="BI50" s="27">
        <f t="shared" si="57"/>
        <v>0</v>
      </c>
      <c r="BJ50" s="454"/>
    </row>
    <row r="51" spans="1:62" s="28" customFormat="1" hidden="1" outlineLevel="1" x14ac:dyDescent="0.3">
      <c r="A51" s="21" t="s">
        <v>68</v>
      </c>
      <c r="B51" s="2"/>
      <c r="C51" s="23" t="s">
        <v>67</v>
      </c>
      <c r="D51" s="24"/>
      <c r="E51" s="24"/>
      <c r="F51" s="39"/>
      <c r="G51" s="22"/>
      <c r="H51" s="237">
        <v>0</v>
      </c>
      <c r="I51" s="26">
        <f>-SUMIFS(T_ORCAMENTOS!$E:$E,T_ORCAMENTOS!$C:$C,"Locação de Equipamentos Fixo",T_ORCAMENTOS!$H:$H,"1/2026")</f>
        <v>0</v>
      </c>
      <c r="J51" s="27">
        <f>SUMIFS(Aut_BlueMe_Sem_Pedido!$J:$J,Aut_BlueMe_Sem_Pedido!$Q:$Q,DRE!H$4,Aut_BlueMe_Sem_Pedido!$H:$H,DRE!$A51)+SUMIFS(Aut_Ajustes_Manuais!$G:$G,Aut_Ajustes_Manuais!$I:$I,DRE!H$4,Aut_Ajustes_Manuais!$F:$F,"Locação de Equipamentos Fixo")</f>
        <v>0</v>
      </c>
      <c r="K51" s="237">
        <v>0</v>
      </c>
      <c r="L51" s="26">
        <f>-SUMIFS(T_ORCAMENTOS!$E:$E,T_ORCAMENTOS!$C:$C,"Locação de Equipamentos Fixo",T_ORCAMENTOS!$H:$H,"2/2026")</f>
        <v>0</v>
      </c>
      <c r="M51" s="27">
        <f>SUMIFS(Aut_BlueMe_Sem_Pedido!$J:$J,Aut_BlueMe_Sem_Pedido!$Q:$Q,DRE!K$4,Aut_BlueMe_Sem_Pedido!$H:$H,DRE!$A51)+SUMIFS(Aut_Ajustes_Manuais!$G:$G,Aut_Ajustes_Manuais!$I:$I,DRE!K$4,Aut_Ajustes_Manuais!$F:$F,"Locação de Equipamentos Fixo")</f>
        <v>0</v>
      </c>
      <c r="N51" s="237">
        <v>0</v>
      </c>
      <c r="O51" s="26">
        <f>-SUMIFS(T_ORCAMENTOS!$E:$E,T_ORCAMENTOS!$C:$C,"Locação de Equipamentos Fixo",T_ORCAMENTOS!$H:$H,"3/2026")</f>
        <v>0</v>
      </c>
      <c r="P51" s="27">
        <f>SUMIFS(Aut_BlueMe_Sem_Pedido!$J:$J,Aut_BlueMe_Sem_Pedido!$Q:$Q,DRE!N$4,Aut_BlueMe_Sem_Pedido!$H:$H,DRE!$A51)+SUMIFS(Aut_Ajustes_Manuais!$G:$G,Aut_Ajustes_Manuais!$I:$I,DRE!N$4,Aut_Ajustes_Manuais!$F:$F,"Locação de Equipamentos Fixo")</f>
        <v>0</v>
      </c>
      <c r="Q51" s="237">
        <v>0</v>
      </c>
      <c r="R51" s="26">
        <f>-SUMIFS(T_ORCAMENTOS!$E:$E,T_ORCAMENTOS!$C:$C,"Locação de Equipamentos Fixo",T_ORCAMENTOS!$H:$H,"4/2026")</f>
        <v>0</v>
      </c>
      <c r="S51" s="27">
        <f>SUMIFS(Aut_BlueMe_Sem_Pedido!$J:$J,Aut_BlueMe_Sem_Pedido!$Q:$Q,DRE!Q$4,Aut_BlueMe_Sem_Pedido!$H:$H,DRE!$A51)+SUMIFS(Aut_Ajustes_Manuais!$G:$G,Aut_Ajustes_Manuais!$I:$I,DRE!Q$4,Aut_Ajustes_Manuais!$F:$F,"Locação de Equipamentos Fixo")</f>
        <v>0</v>
      </c>
      <c r="T51" s="237">
        <v>0</v>
      </c>
      <c r="U51" s="26">
        <f>-SUMIFS(T_ORCAMENTOS!$E:$E,T_ORCAMENTOS!$C:$C,"Locação de Equipamentos Fixo",T_ORCAMENTOS!$H:$H,"5/2026")</f>
        <v>0</v>
      </c>
      <c r="V51" s="27">
        <f>SUMIFS(Aut_BlueMe_Sem_Pedido!$J:$J,Aut_BlueMe_Sem_Pedido!$Q:$Q,DRE!T$4,Aut_BlueMe_Sem_Pedido!$H:$H,DRE!$A51)+SUMIFS(Aut_Ajustes_Manuais!$G:$G,Aut_Ajustes_Manuais!$I:$I,DRE!T$4,Aut_Ajustes_Manuais!$F:$F,"Locação de Equipamentos Fixo")</f>
        <v>0</v>
      </c>
      <c r="W51" s="237">
        <v>0</v>
      </c>
      <c r="X51" s="26">
        <f>-SUMIFS(T_ORCAMENTOS!$E:$E,T_ORCAMENTOS!$C:$C,"Locação de Equipamentos Fixo",T_ORCAMENTOS!$H:$H,"6/2026")</f>
        <v>0</v>
      </c>
      <c r="Y51" s="27">
        <f>SUMIFS(Aut_BlueMe_Sem_Pedido!$J:$J,Aut_BlueMe_Sem_Pedido!$Q:$Q,DRE!W$4,Aut_BlueMe_Sem_Pedido!$H:$H,DRE!$A51)+SUMIFS(Aut_Ajustes_Manuais!$G:$G,Aut_Ajustes_Manuais!$I:$I,DRE!W$4,Aut_Ajustes_Manuais!$F:$F,"Locação de Equipamentos Fixo")</f>
        <v>0</v>
      </c>
      <c r="Z51" s="237"/>
      <c r="AA51" s="26">
        <f>-SUMIFS(T_ORCAMENTOS!$E:$E,T_ORCAMENTOS!$C:$C,"Locação de Equipamentos Fixo",T_ORCAMENTOS!$H:$H,"7/2026")</f>
        <v>0</v>
      </c>
      <c r="AB51" s="27">
        <f>SUMIFS(Aut_BlueMe_Sem_Pedido!$J:$J,Aut_BlueMe_Sem_Pedido!$Q:$Q,DRE!Z$4,Aut_BlueMe_Sem_Pedido!$H:$H,DRE!$A51)+SUMIFS(Aut_Ajustes_Manuais!$G:$G,Aut_Ajustes_Manuais!$I:$I,DRE!Z$4,Aut_Ajustes_Manuais!$F:$F,"Locação de Equipamentos Fixo")</f>
        <v>0</v>
      </c>
      <c r="AC51" s="237">
        <v>0</v>
      </c>
      <c r="AD51" s="26">
        <f>-SUMIFS(T_ORCAMENTOS!$E:$E,T_ORCAMENTOS!$C:$C,"Locação de Equipamentos Fixo",T_ORCAMENTOS!$H:$H,"8/2026")</f>
        <v>-13000</v>
      </c>
      <c r="AE51" s="27">
        <f>SUMIFS(Aut_BlueMe_Sem_Pedido!$J:$J,Aut_BlueMe_Sem_Pedido!$Q:$Q,DRE!AC$4,Aut_BlueMe_Sem_Pedido!$H:$H,DRE!$A51)+SUMIFS(Aut_Ajustes_Manuais!$G:$G,Aut_Ajustes_Manuais!$I:$I,DRE!AC$4,Aut_Ajustes_Manuais!$F:$F,"Locação de Equipamentos Fixo")</f>
        <v>0</v>
      </c>
      <c r="AF51" s="237">
        <v>0</v>
      </c>
      <c r="AG51" s="26">
        <f>-SUMIFS(T_ORCAMENTOS!$E:$E,T_ORCAMENTOS!$C:$C,"Locação de Equipamentos Fixo",T_ORCAMENTOS!$H:$H,"9/2026")</f>
        <v>-13000</v>
      </c>
      <c r="AH51" s="27">
        <f>SUMIFS(Aut_BlueMe_Sem_Pedido!$J:$J,Aut_BlueMe_Sem_Pedido!$Q:$Q,DRE!AF$4,Aut_BlueMe_Sem_Pedido!$H:$H,DRE!$A51)+SUMIFS(Aut_Ajustes_Manuais!$G:$G,Aut_Ajustes_Manuais!$I:$I,DRE!AF$4,Aut_Ajustes_Manuais!$F:$F,"Locação de Equipamentos Fixo")</f>
        <v>0</v>
      </c>
      <c r="AI51" s="237">
        <v>0</v>
      </c>
      <c r="AJ51" s="26">
        <f>-SUMIFS(T_ORCAMENTOS!$E:$E,T_ORCAMENTOS!$C:$C,"Locação de Equipamentos Fixo",T_ORCAMENTOS!$H:$H,"10/2026")</f>
        <v>-13000</v>
      </c>
      <c r="AK51" s="27">
        <f>SUMIFS(Aut_BlueMe_Sem_Pedido!$J:$J,Aut_BlueMe_Sem_Pedido!$Q:$Q,DRE!AI$4,Aut_BlueMe_Sem_Pedido!$H:$H,DRE!$A51)+SUMIFS(Aut_Ajustes_Manuais!$G:$G,Aut_Ajustes_Manuais!$I:$I,DRE!AI$4,Aut_Ajustes_Manuais!$F:$F,"Locação de Equipamentos Fixo")</f>
        <v>0</v>
      </c>
      <c r="AL51" s="237">
        <v>0</v>
      </c>
      <c r="AM51" s="26">
        <f>-SUMIFS(T_ORCAMENTOS!$E:$E,T_ORCAMENTOS!$C:$C,"Locação de Equipamentos Fixo",T_ORCAMENTOS!$H:$H,"11/2026")</f>
        <v>-13000</v>
      </c>
      <c r="AN51" s="27">
        <f>SUMIFS(Aut_BlueMe_Sem_Pedido!$J:$J,Aut_BlueMe_Sem_Pedido!$Q:$Q,DRE!AL$4,Aut_BlueMe_Sem_Pedido!$H:$H,DRE!$A51)+SUMIFS(Aut_Ajustes_Manuais!$G:$G,Aut_Ajustes_Manuais!$I:$I,DRE!AL$4,Aut_Ajustes_Manuais!$F:$F,"Locação de Equipamentos Fixo")</f>
        <v>0</v>
      </c>
      <c r="AO51" s="237">
        <v>0</v>
      </c>
      <c r="AP51" s="26">
        <f>-SUMIFS(T_ORCAMENTOS!$E:$E,T_ORCAMENTOS!$C:$C,"Locação de Equipamentos Fixo",T_ORCAMENTOS!$H:$H,"12/2026")</f>
        <v>-13000</v>
      </c>
      <c r="AQ51" s="27">
        <f>SUMIFS(Aut_BlueMe_Sem_Pedido!$J:$J,Aut_BlueMe_Sem_Pedido!$Q:$Q,DRE!AO$4,Aut_BlueMe_Sem_Pedido!$H:$H,DRE!$A51)+SUMIFS(Aut_Ajustes_Manuais!$G:$G,Aut_Ajustes_Manuais!$I:$I,DRE!AO$4,Aut_Ajustes_Manuais!$F:$F,"Locação de Equipamentos Fixo")</f>
        <v>0</v>
      </c>
      <c r="AR51" s="237">
        <f t="shared" ca="1" si="43"/>
        <v>0</v>
      </c>
      <c r="AS51" s="26">
        <f t="shared" ca="1" si="44"/>
        <v>-13000</v>
      </c>
      <c r="AT51" s="27">
        <f t="shared" ca="1" si="45"/>
        <v>0</v>
      </c>
      <c r="AU51" s="237">
        <f t="shared" si="53"/>
        <v>0</v>
      </c>
      <c r="AV51" s="26">
        <f t="shared" si="53"/>
        <v>-65000</v>
      </c>
      <c r="AW51" s="27">
        <f t="shared" si="53"/>
        <v>0</v>
      </c>
      <c r="AX51" s="237">
        <f t="shared" si="54"/>
        <v>0</v>
      </c>
      <c r="AY51" s="26">
        <f t="shared" si="54"/>
        <v>0</v>
      </c>
      <c r="AZ51" s="27">
        <f t="shared" si="54"/>
        <v>0</v>
      </c>
      <c r="BA51" s="237">
        <f t="shared" si="55"/>
        <v>0</v>
      </c>
      <c r="BB51" s="26">
        <f t="shared" si="55"/>
        <v>0</v>
      </c>
      <c r="BC51" s="27">
        <f t="shared" si="55"/>
        <v>0</v>
      </c>
      <c r="BD51" s="237">
        <f t="shared" si="56"/>
        <v>0</v>
      </c>
      <c r="BE51" s="26">
        <f t="shared" si="56"/>
        <v>-26000</v>
      </c>
      <c r="BF51" s="27">
        <f t="shared" si="56"/>
        <v>0</v>
      </c>
      <c r="BG51" s="237">
        <f t="shared" si="57"/>
        <v>0</v>
      </c>
      <c r="BH51" s="26">
        <f t="shared" si="57"/>
        <v>-39000</v>
      </c>
      <c r="BI51" s="27">
        <f t="shared" si="57"/>
        <v>0</v>
      </c>
      <c r="BJ51" s="454"/>
    </row>
    <row r="52" spans="1:62" s="28" customFormat="1" hidden="1" outlineLevel="1" x14ac:dyDescent="0.3">
      <c r="A52" s="21" t="s">
        <v>69</v>
      </c>
      <c r="B52" s="2"/>
      <c r="C52" s="23" t="s">
        <v>60</v>
      </c>
      <c r="D52" s="67"/>
      <c r="E52" s="67">
        <v>0</v>
      </c>
      <c r="F52" s="39"/>
      <c r="G52" s="22"/>
      <c r="H52" s="237">
        <v>0</v>
      </c>
      <c r="I52" s="26">
        <f>-SUMIFS(T_ORCAMENTOS!$E:$E,T_ORCAMENTOS!$C:$C,"Locação de Equipamentos Variável",T_ORCAMENTOS!$H:$H,"1/2026")</f>
        <v>0</v>
      </c>
      <c r="J52" s="27">
        <f>SUMIFS(Aut_BlueMe_Sem_Pedido!$J:$J,Aut_BlueMe_Sem_Pedido!$Q:$Q,DRE!H$4,Aut_BlueMe_Sem_Pedido!$H:$H,DRE!$A52)+SUMIFS(Aut_Ajustes_Manuais!$G:$G,Aut_Ajustes_Manuais!$I:$I,DRE!H$4,Aut_Ajustes_Manuais!$F:$F,"Locação de Equipamentos Variável")</f>
        <v>0</v>
      </c>
      <c r="K52" s="237">
        <v>0</v>
      </c>
      <c r="L52" s="26">
        <f>-SUMIFS(T_ORCAMENTOS!$E:$E,T_ORCAMENTOS!$C:$C,"Locação de Equipamentos Variável",T_ORCAMENTOS!$H:$H,"2/2026")</f>
        <v>0</v>
      </c>
      <c r="M52" s="27">
        <f>SUMIFS(Aut_BlueMe_Sem_Pedido!$J:$J,Aut_BlueMe_Sem_Pedido!$Q:$Q,DRE!K$4,Aut_BlueMe_Sem_Pedido!$H:$H,DRE!$A52)+SUMIFS(Aut_Ajustes_Manuais!$G:$G,Aut_Ajustes_Manuais!$I:$I,DRE!K$4,Aut_Ajustes_Manuais!$F:$F,"Locação de Equipamentos Variável")</f>
        <v>0</v>
      </c>
      <c r="N52" s="237">
        <v>0</v>
      </c>
      <c r="O52" s="26">
        <f>-SUMIFS(T_ORCAMENTOS!$E:$E,T_ORCAMENTOS!$C:$C,"Locação de Equipamentos Variável",T_ORCAMENTOS!$H:$H,"3/2026")</f>
        <v>0</v>
      </c>
      <c r="P52" s="27">
        <f>SUMIFS(Aut_BlueMe_Sem_Pedido!$J:$J,Aut_BlueMe_Sem_Pedido!$Q:$Q,DRE!N$4,Aut_BlueMe_Sem_Pedido!$H:$H,DRE!$A52)+SUMIFS(Aut_Ajustes_Manuais!$G:$G,Aut_Ajustes_Manuais!$I:$I,DRE!N$4,Aut_Ajustes_Manuais!$F:$F,"Locação de Equipamentos Variável")</f>
        <v>0</v>
      </c>
      <c r="Q52" s="237">
        <v>0</v>
      </c>
      <c r="R52" s="26">
        <f>-SUMIFS(T_ORCAMENTOS!$E:$E,T_ORCAMENTOS!$C:$C,"Locação de Equipamentos Variável",T_ORCAMENTOS!$H:$H,"4/2026")</f>
        <v>0</v>
      </c>
      <c r="S52" s="27">
        <f>SUMIFS(Aut_BlueMe_Sem_Pedido!$J:$J,Aut_BlueMe_Sem_Pedido!$Q:$Q,DRE!Q$4,Aut_BlueMe_Sem_Pedido!$H:$H,DRE!$A52)+SUMIFS(Aut_Ajustes_Manuais!$G:$G,Aut_Ajustes_Manuais!$I:$I,DRE!Q$4,Aut_Ajustes_Manuais!$F:$F,"Locação de Equipamentos Variável")</f>
        <v>0</v>
      </c>
      <c r="T52" s="237">
        <v>0</v>
      </c>
      <c r="U52" s="26">
        <f>-SUMIFS(T_ORCAMENTOS!$E:$E,T_ORCAMENTOS!$C:$C,"Locação de Equipamentos Variável",T_ORCAMENTOS!$H:$H,"5/2026")</f>
        <v>0</v>
      </c>
      <c r="V52" s="27">
        <f>SUMIFS(Aut_BlueMe_Sem_Pedido!$J:$J,Aut_BlueMe_Sem_Pedido!$Q:$Q,DRE!T$4,Aut_BlueMe_Sem_Pedido!$H:$H,DRE!$A52)+SUMIFS(Aut_Ajustes_Manuais!$G:$G,Aut_Ajustes_Manuais!$I:$I,DRE!T$4,Aut_Ajustes_Manuais!$F:$F,"Locação de Equipamentos Variável")</f>
        <v>0</v>
      </c>
      <c r="W52" s="237">
        <v>0</v>
      </c>
      <c r="X52" s="26">
        <f>-SUMIFS(T_ORCAMENTOS!$E:$E,T_ORCAMENTOS!$C:$C,"Locação de Equipamentos Variável",T_ORCAMENTOS!$H:$H,"6/2026")</f>
        <v>0</v>
      </c>
      <c r="Y52" s="27">
        <f>SUMIFS(Aut_BlueMe_Sem_Pedido!$J:$J,Aut_BlueMe_Sem_Pedido!$Q:$Q,DRE!W$4,Aut_BlueMe_Sem_Pedido!$H:$H,DRE!$A52)+SUMIFS(Aut_Ajustes_Manuais!$G:$G,Aut_Ajustes_Manuais!$I:$I,DRE!W$4,Aut_Ajustes_Manuais!$F:$F,"Locação de Equipamentos Variável")</f>
        <v>0</v>
      </c>
      <c r="Z52" s="237">
        <v>0</v>
      </c>
      <c r="AA52" s="26">
        <f>-SUMIFS(T_ORCAMENTOS!$E:$E,T_ORCAMENTOS!$C:$C,"Locação de Equipamentos Variável",T_ORCAMENTOS!$H:$H,"7/2026")</f>
        <v>0</v>
      </c>
      <c r="AB52" s="27">
        <f>SUMIFS(Aut_BlueMe_Sem_Pedido!$J:$J,Aut_BlueMe_Sem_Pedido!$Q:$Q,DRE!Z$4,Aut_BlueMe_Sem_Pedido!$H:$H,DRE!$A52)+SUMIFS(Aut_Ajustes_Manuais!$G:$G,Aut_Ajustes_Manuais!$I:$I,DRE!Z$4,Aut_Ajustes_Manuais!$F:$F,"Locação de Equipamentos Variável")</f>
        <v>0</v>
      </c>
      <c r="AC52" s="237">
        <v>0</v>
      </c>
      <c r="AD52" s="26">
        <f>-SUMIFS(T_ORCAMENTOS!$E:$E,T_ORCAMENTOS!$C:$C,"Locação de Equipamentos Variável",T_ORCAMENTOS!$H:$H,"8/2026")</f>
        <v>0</v>
      </c>
      <c r="AE52" s="27">
        <f>SUMIFS(Aut_BlueMe_Sem_Pedido!$J:$J,Aut_BlueMe_Sem_Pedido!$Q:$Q,DRE!AC$4,Aut_BlueMe_Sem_Pedido!$H:$H,DRE!$A52)+SUMIFS(Aut_Ajustes_Manuais!$G:$G,Aut_Ajustes_Manuais!$I:$I,DRE!AC$4,Aut_Ajustes_Manuais!$F:$F,"Locação de Equipamentos Variável")</f>
        <v>0</v>
      </c>
      <c r="AF52" s="237">
        <v>0</v>
      </c>
      <c r="AG52" s="26">
        <f>-SUMIFS(T_ORCAMENTOS!$E:$E,T_ORCAMENTOS!$C:$C,"Locação de Equipamentos Variável",T_ORCAMENTOS!$H:$H,"9/2026")</f>
        <v>0</v>
      </c>
      <c r="AH52" s="27">
        <f>SUMIFS(Aut_BlueMe_Sem_Pedido!$J:$J,Aut_BlueMe_Sem_Pedido!$Q:$Q,DRE!AF$4,Aut_BlueMe_Sem_Pedido!$H:$H,DRE!$A52)+SUMIFS(Aut_Ajustes_Manuais!$G:$G,Aut_Ajustes_Manuais!$I:$I,DRE!AF$4,Aut_Ajustes_Manuais!$F:$F,"Locação de Equipamentos Variável")</f>
        <v>0</v>
      </c>
      <c r="AI52" s="237">
        <v>0</v>
      </c>
      <c r="AJ52" s="26">
        <f>-SUMIFS(T_ORCAMENTOS!$E:$E,T_ORCAMENTOS!$C:$C,"Locação de Equipamentos Variável",T_ORCAMENTOS!$H:$H,"10/2026")</f>
        <v>0</v>
      </c>
      <c r="AK52" s="27">
        <f>SUMIFS(Aut_BlueMe_Sem_Pedido!$J:$J,Aut_BlueMe_Sem_Pedido!$Q:$Q,DRE!AI$4,Aut_BlueMe_Sem_Pedido!$H:$H,DRE!$A52)+SUMIFS(Aut_Ajustes_Manuais!$G:$G,Aut_Ajustes_Manuais!$I:$I,DRE!AI$4,Aut_Ajustes_Manuais!$F:$F,"Locação de Equipamentos Variável")</f>
        <v>0</v>
      </c>
      <c r="AL52" s="237">
        <v>0</v>
      </c>
      <c r="AM52" s="26">
        <f>-SUMIFS(T_ORCAMENTOS!$E:$E,T_ORCAMENTOS!$C:$C,"Locação de Equipamentos Variável",T_ORCAMENTOS!$H:$H,"11/2026")</f>
        <v>0</v>
      </c>
      <c r="AN52" s="27">
        <f>SUMIFS(Aut_BlueMe_Sem_Pedido!$J:$J,Aut_BlueMe_Sem_Pedido!$Q:$Q,DRE!AL$4,Aut_BlueMe_Sem_Pedido!$H:$H,DRE!$A52)+SUMIFS(Aut_Ajustes_Manuais!$G:$G,Aut_Ajustes_Manuais!$I:$I,DRE!AL$4,Aut_Ajustes_Manuais!$F:$F,"Locação de Equipamentos Variável")</f>
        <v>0</v>
      </c>
      <c r="AO52" s="237">
        <v>0</v>
      </c>
      <c r="AP52" s="26">
        <f>-SUMIFS(T_ORCAMENTOS!$E:$E,T_ORCAMENTOS!$C:$C,"Locação de Equipamentos Variável",T_ORCAMENTOS!$H:$H,"12/2026")</f>
        <v>0</v>
      </c>
      <c r="AQ52" s="27">
        <f>SUMIFS(Aut_BlueMe_Sem_Pedido!$J:$J,Aut_BlueMe_Sem_Pedido!$Q:$Q,DRE!AO$4,Aut_BlueMe_Sem_Pedido!$H:$H,DRE!$A52)+SUMIFS(Aut_Ajustes_Manuais!$G:$G,Aut_Ajustes_Manuais!$I:$I,DRE!AO$4,Aut_Ajustes_Manuais!$F:$F,"Locação de Equipamentos Variável")</f>
        <v>0</v>
      </c>
      <c r="AR52" s="237">
        <f t="shared" ca="1" si="43"/>
        <v>0</v>
      </c>
      <c r="AS52" s="26">
        <f t="shared" ca="1" si="44"/>
        <v>0</v>
      </c>
      <c r="AT52" s="27">
        <f t="shared" ca="1" si="45"/>
        <v>0</v>
      </c>
      <c r="AU52" s="237">
        <f t="shared" si="53"/>
        <v>0</v>
      </c>
      <c r="AV52" s="26">
        <f t="shared" si="53"/>
        <v>0</v>
      </c>
      <c r="AW52" s="27">
        <f t="shared" si="53"/>
        <v>0</v>
      </c>
      <c r="AX52" s="237">
        <f t="shared" si="54"/>
        <v>0</v>
      </c>
      <c r="AY52" s="26">
        <f t="shared" si="54"/>
        <v>0</v>
      </c>
      <c r="AZ52" s="27">
        <f t="shared" si="54"/>
        <v>0</v>
      </c>
      <c r="BA52" s="237">
        <f t="shared" si="55"/>
        <v>0</v>
      </c>
      <c r="BB52" s="26">
        <f t="shared" si="55"/>
        <v>0</v>
      </c>
      <c r="BC52" s="27">
        <f t="shared" si="55"/>
        <v>0</v>
      </c>
      <c r="BD52" s="237">
        <f t="shared" si="56"/>
        <v>0</v>
      </c>
      <c r="BE52" s="26">
        <f t="shared" si="56"/>
        <v>0</v>
      </c>
      <c r="BF52" s="27">
        <f t="shared" si="56"/>
        <v>0</v>
      </c>
      <c r="BG52" s="237">
        <f t="shared" si="57"/>
        <v>0</v>
      </c>
      <c r="BH52" s="26">
        <f t="shared" si="57"/>
        <v>0</v>
      </c>
      <c r="BI52" s="27">
        <f t="shared" si="57"/>
        <v>0</v>
      </c>
      <c r="BJ52" s="454"/>
    </row>
    <row r="53" spans="1:62" collapsed="1" x14ac:dyDescent="0.3">
      <c r="A53" s="69" t="s">
        <v>70</v>
      </c>
      <c r="C53" s="23"/>
      <c r="D53" s="67"/>
      <c r="E53" s="67"/>
      <c r="F53" s="39"/>
      <c r="H53" s="241">
        <v>0</v>
      </c>
      <c r="I53" s="48">
        <f>IFERROR(I42/I11,0)</f>
        <v>0</v>
      </c>
      <c r="J53" s="49">
        <f>IFERROR(J42/J11,0)+SUMIFS(Aut_Ajustes_Manuais!$G:$G,Aut_Ajustes_Manuais!$I:$I,DRE!H$4,Aut_Ajustes_Manuais!$F:$F,"% sobre Receita Artístico")</f>
        <v>0</v>
      </c>
      <c r="K53" s="241">
        <v>0</v>
      </c>
      <c r="L53" s="48">
        <f>IFERROR(L42/L11,0)</f>
        <v>0</v>
      </c>
      <c r="M53" s="49">
        <f>IFERROR(M42/M11,0)+SUMIFS(Aut_Ajustes_Manuais!$G:$G,Aut_Ajustes_Manuais!$I:$I,DRE!K$4,Aut_Ajustes_Manuais!$F:$F,"% sobre Receita Artístico")</f>
        <v>0</v>
      </c>
      <c r="N53" s="241">
        <v>-3.2703978422117328</v>
      </c>
      <c r="O53" s="48">
        <f>IFERROR(O42/O11,0)</f>
        <v>0</v>
      </c>
      <c r="P53" s="49">
        <f>IFERROR(P42/P11,0)+SUMIFS(Aut_Ajustes_Manuais!$G:$G,Aut_Ajustes_Manuais!$I:$I,DRE!N$4,Aut_Ajustes_Manuais!$F:$F,"% sobre Receita Artístico")</f>
        <v>0</v>
      </c>
      <c r="Q53" s="241">
        <v>0</v>
      </c>
      <c r="R53" s="48">
        <f>IFERROR(R42/R11,0)</f>
        <v>0</v>
      </c>
      <c r="S53" s="49">
        <f>IFERROR(S42/S11,0)+SUMIFS(Aut_Ajustes_Manuais!$G:$G,Aut_Ajustes_Manuais!$I:$I,DRE!Q$4,Aut_Ajustes_Manuais!$F:$F,"% sobre Receita Artístico")</f>
        <v>0</v>
      </c>
      <c r="T53" s="241">
        <v>0</v>
      </c>
      <c r="U53" s="48">
        <f>IFERROR(U42/U11,0)</f>
        <v>0</v>
      </c>
      <c r="V53" s="49">
        <f>IFERROR(V42/V11,0)+SUMIFS(Aut_Ajustes_Manuais!$G:$G,Aut_Ajustes_Manuais!$I:$I,DRE!T$4,Aut_Ajustes_Manuais!$F:$F,"% sobre Receita Artístico")</f>
        <v>0</v>
      </c>
      <c r="W53" s="241">
        <v>0</v>
      </c>
      <c r="X53" s="48">
        <f>IFERROR(X42/X11,0)</f>
        <v>0</v>
      </c>
      <c r="Y53" s="49">
        <f>IFERROR(Y42/Y11,0)+SUMIFS(Aut_Ajustes_Manuais!$G:$G,Aut_Ajustes_Manuais!$I:$I,DRE!W$4,Aut_Ajustes_Manuais!$F:$F,"% sobre Receita Artístico")</f>
        <v>0</v>
      </c>
      <c r="Z53" s="241">
        <v>0</v>
      </c>
      <c r="AA53" s="48">
        <f>IFERROR(AA42/AA11,0)</f>
        <v>0</v>
      </c>
      <c r="AB53" s="49">
        <f>IFERROR(AB42/AB11,0)+SUMIFS(Aut_Ajustes_Manuais!$G:$G,Aut_Ajustes_Manuais!$I:$I,DRE!Z$4,Aut_Ajustes_Manuais!$F:$F,"% sobre Receita Artístico")</f>
        <v>0</v>
      </c>
      <c r="AC53" s="241">
        <v>0</v>
      </c>
      <c r="AD53" s="48">
        <f>IFERROR(AD42/AD11,0)</f>
        <v>-0.8840916513352931</v>
      </c>
      <c r="AE53" s="49">
        <f>IFERROR(AE42/AE11,0)+SUMIFS(Aut_Ajustes_Manuais!$G:$G,Aut_Ajustes_Manuais!$I:$I,DRE!AC$4,Aut_Ajustes_Manuais!$F:$F,"% sobre Receita Artístico")</f>
        <v>0</v>
      </c>
      <c r="AF53" s="241">
        <v>0</v>
      </c>
      <c r="AG53" s="48">
        <f>IFERROR(AG42/AG11,0)</f>
        <v>-0.92924284159583836</v>
      </c>
      <c r="AH53" s="49">
        <f>IFERROR(AH42/AH11,0)+SUMIFS(Aut_Ajustes_Manuais!$G:$G,Aut_Ajustes_Manuais!$I:$I,DRE!AF$4,Aut_Ajustes_Manuais!$F:$F,"% sobre Receita Artístico")</f>
        <v>0</v>
      </c>
      <c r="AI53" s="241">
        <v>0</v>
      </c>
      <c r="AJ53" s="48">
        <f>IFERROR(AJ42/AJ11,0)</f>
        <v>-0.85297070459125979</v>
      </c>
      <c r="AK53" s="49">
        <f>IFERROR(AK42/AK11,0)+SUMIFS(Aut_Ajustes_Manuais!$G:$G,Aut_Ajustes_Manuais!$I:$I,DRE!AI$4,Aut_Ajustes_Manuais!$F:$F,"% sobre Receita Artístico")</f>
        <v>0</v>
      </c>
      <c r="AL53" s="241">
        <v>0</v>
      </c>
      <c r="AM53" s="48">
        <f>IFERROR(AM42/AM11,0)</f>
        <v>-0.93647207601373528</v>
      </c>
      <c r="AN53" s="49">
        <f>IFERROR(AN42/AN11,0)+SUMIFS(Aut_Ajustes_Manuais!$G:$G,Aut_Ajustes_Manuais!$I:$I,DRE!AL$4,Aut_Ajustes_Manuais!$F:$F,"% sobre Receita Artístico")</f>
        <v>0</v>
      </c>
      <c r="AO53" s="241">
        <v>0</v>
      </c>
      <c r="AP53" s="48">
        <f>IFERROR(AP42/AP11,0)</f>
        <v>-0.95157444514942446</v>
      </c>
      <c r="AQ53" s="49">
        <f>IFERROR(AQ42/AQ11,0)+SUMIFS(Aut_Ajustes_Manuais!$G:$G,Aut_Ajustes_Manuais!$I:$I,DRE!AO$4,Aut_Ajustes_Manuais!$F:$F,"% sobre Receita Artístico")</f>
        <v>0</v>
      </c>
      <c r="AR53" s="241">
        <f t="shared" ref="AR53:BI53" ca="1" si="58">IFERROR(AR42/AR11,0)</f>
        <v>0</v>
      </c>
      <c r="AS53" s="48">
        <f t="shared" ca="1" si="58"/>
        <v>-0.8840916513352931</v>
      </c>
      <c r="AT53" s="49">
        <f t="shared" ca="1" si="58"/>
        <v>0</v>
      </c>
      <c r="AU53" s="241">
        <f t="shared" si="58"/>
        <v>0</v>
      </c>
      <c r="AV53" s="48">
        <f t="shared" si="58"/>
        <v>-0.90925107268366101</v>
      </c>
      <c r="AW53" s="49">
        <f t="shared" si="58"/>
        <v>0</v>
      </c>
      <c r="AX53" s="241">
        <f t="shared" si="58"/>
        <v>0</v>
      </c>
      <c r="AY53" s="48">
        <f t="shared" si="58"/>
        <v>0</v>
      </c>
      <c r="AZ53" s="49">
        <f t="shared" si="58"/>
        <v>0</v>
      </c>
      <c r="BA53" s="241">
        <f t="shared" si="58"/>
        <v>0</v>
      </c>
      <c r="BB53" s="48">
        <f t="shared" si="58"/>
        <v>0</v>
      </c>
      <c r="BC53" s="49">
        <f t="shared" si="58"/>
        <v>0</v>
      </c>
      <c r="BD53" s="241">
        <f t="shared" si="58"/>
        <v>0</v>
      </c>
      <c r="BE53" s="48">
        <f t="shared" si="58"/>
        <v>-0.90606386381677717</v>
      </c>
      <c r="BF53" s="49">
        <f t="shared" si="58"/>
        <v>0</v>
      </c>
      <c r="BG53" s="241">
        <f t="shared" si="58"/>
        <v>0</v>
      </c>
      <c r="BH53" s="48">
        <f t="shared" si="58"/>
        <v>-0.91138928456027979</v>
      </c>
      <c r="BI53" s="49">
        <f t="shared" si="58"/>
        <v>0</v>
      </c>
    </row>
    <row r="54" spans="1:62" x14ac:dyDescent="0.3">
      <c r="A54" s="69" t="s">
        <v>44</v>
      </c>
      <c r="C54" s="23"/>
      <c r="D54" s="67"/>
      <c r="E54" s="67"/>
      <c r="F54" s="39"/>
      <c r="H54" s="249">
        <v>0</v>
      </c>
      <c r="I54" s="76">
        <f>IFERROR(I42/I8,0)</f>
        <v>0</v>
      </c>
      <c r="J54" s="77">
        <f>IFERROR(J42/J8,0)+SUMIFS(Aut_Ajustes_Manuais!$G:$G,Aut_Ajustes_Manuais!$I:$I,DRE!H$4,Aut_Ajustes_Manuais!$F:$F,"% sobre Receita Bruta")</f>
        <v>0</v>
      </c>
      <c r="K54" s="249">
        <v>0</v>
      </c>
      <c r="L54" s="76">
        <f>IFERROR(L42/L8,0)</f>
        <v>0</v>
      </c>
      <c r="M54" s="77">
        <f>IFERROR(M42/M8,0)+SUMIFS(Aut_Ajustes_Manuais!$G:$G,Aut_Ajustes_Manuais!$I:$I,DRE!K$4,Aut_Ajustes_Manuais!$F:$F,"% sobre Receita Bruta")</f>
        <v>0</v>
      </c>
      <c r="N54" s="249">
        <v>-3.1931931918750939E-3</v>
      </c>
      <c r="O54" s="76">
        <f>IFERROR(O42/O8,0)</f>
        <v>0</v>
      </c>
      <c r="P54" s="77">
        <f>IFERROR(P42/P8,0)+SUMIFS(Aut_Ajustes_Manuais!$G:$G,Aut_Ajustes_Manuais!$I:$I,DRE!N$4,Aut_Ajustes_Manuais!$F:$F,"% sobre Receita Bruta")</f>
        <v>0</v>
      </c>
      <c r="Q54" s="249">
        <v>-1.8367544513578821E-4</v>
      </c>
      <c r="R54" s="76">
        <f>IFERROR(R42/R8,0)</f>
        <v>0</v>
      </c>
      <c r="S54" s="77">
        <f>IFERROR(S42/S8,0)+SUMIFS(Aut_Ajustes_Manuais!$G:$G,Aut_Ajustes_Manuais!$I:$I,DRE!Q$4,Aut_Ajustes_Manuais!$F:$F,"% sobre Receita Bruta")</f>
        <v>0</v>
      </c>
      <c r="T54" s="249">
        <v>-4.765506479832761E-4</v>
      </c>
      <c r="U54" s="76">
        <f>IFERROR(U42/U8,0)</f>
        <v>0</v>
      </c>
      <c r="V54" s="77">
        <f>IFERROR(V42/V8,0)+SUMIFS(Aut_Ajustes_Manuais!$G:$G,Aut_Ajustes_Manuais!$I:$I,DRE!T$4,Aut_Ajustes_Manuais!$F:$F,"% sobre Receita Bruta")</f>
        <v>0</v>
      </c>
      <c r="W54" s="249">
        <v>-4.680481357017576E-4</v>
      </c>
      <c r="X54" s="76">
        <f>IFERROR(X42/X8,0)</f>
        <v>0</v>
      </c>
      <c r="Y54" s="77">
        <f>IFERROR(Y42/Y8,0)+SUMIFS(Aut_Ajustes_Manuais!$G:$G,Aut_Ajustes_Manuais!$I:$I,DRE!W$4,Aut_Ajustes_Manuais!$F:$F,"% sobre Receita Bruta")</f>
        <v>0</v>
      </c>
      <c r="Z54" s="249">
        <v>-4.9075359238289851E-4</v>
      </c>
      <c r="AA54" s="76">
        <f>IFERROR(AA42/AA8,0)</f>
        <v>0</v>
      </c>
      <c r="AB54" s="77">
        <f>IFERROR(AB42/AB8,0)+SUMIFS(Aut_Ajustes_Manuais!$G:$G,Aut_Ajustes_Manuais!$I:$I,DRE!Z$4,Aut_Ajustes_Manuais!$F:$F,"% sobre Receita Bruta")</f>
        <v>0</v>
      </c>
      <c r="AC54" s="249">
        <v>-4.1879988119724281E-4</v>
      </c>
      <c r="AD54" s="76">
        <f>IFERROR(AD42/AD8,0)</f>
        <v>-0.15921665524054129</v>
      </c>
      <c r="AE54" s="77">
        <f>IFERROR(AE42/AE8,0)+SUMIFS(Aut_Ajustes_Manuais!$G:$G,Aut_Ajustes_Manuais!$I:$I,DRE!AC$4,Aut_Ajustes_Manuais!$F:$F,"% sobre Receita Bruta")</f>
        <v>0</v>
      </c>
      <c r="AF54" s="249">
        <v>-4.6348577921345068E-4</v>
      </c>
      <c r="AG54" s="76">
        <f>IFERROR(AG42/AG8,0)</f>
        <v>-0.16373892750449523</v>
      </c>
      <c r="AH54" s="77">
        <f>IFERROR(AH42/AH8,0)+SUMIFS(Aut_Ajustes_Manuais!$G:$G,Aut_Ajustes_Manuais!$I:$I,DRE!AF$4,Aut_Ajustes_Manuais!$F:$F,"% sobre Receita Bruta")</f>
        <v>0</v>
      </c>
      <c r="AI54" s="249">
        <v>-5.0245616364267968E-4</v>
      </c>
      <c r="AJ54" s="76">
        <f>IFERROR(AJ42/AJ8,0)</f>
        <v>-0.15014236409983123</v>
      </c>
      <c r="AK54" s="77">
        <f>IFERROR(AK42/AK8,0)+SUMIFS(Aut_Ajustes_Manuais!$G:$G,Aut_Ajustes_Manuais!$I:$I,DRE!AI$4,Aut_Ajustes_Manuais!$F:$F,"% sobre Receita Bruta")</f>
        <v>0</v>
      </c>
      <c r="AL54" s="249">
        <v>-3.9467874494888018E-4</v>
      </c>
      <c r="AM54" s="76">
        <f>IFERROR(AM42/AM8,0)</f>
        <v>-0.16185290508272257</v>
      </c>
      <c r="AN54" s="77">
        <f>IFERROR(AN42/AN8,0)+SUMIFS(Aut_Ajustes_Manuais!$G:$G,Aut_Ajustes_Manuais!$I:$I,DRE!AL$4,Aut_Ajustes_Manuais!$F:$F,"% sobre Receita Bruta")</f>
        <v>0</v>
      </c>
      <c r="AO54" s="249">
        <v>-4.0626078749347291E-4</v>
      </c>
      <c r="AP54" s="76">
        <f>IFERROR(AP42/AP8,0)</f>
        <v>-0.14839434023872966</v>
      </c>
      <c r="AQ54" s="77">
        <f>IFERROR(AQ42/AQ8,0)+SUMIFS(Aut_Ajustes_Manuais!$G:$G,Aut_Ajustes_Manuais!$I:$I,DRE!AO$4,Aut_Ajustes_Manuais!$F:$F,"% sobre Receita Bruta")</f>
        <v>0</v>
      </c>
      <c r="AR54" s="249">
        <f t="shared" ref="AR54:BI54" ca="1" si="59">IFERROR(AR42/AR8,0)</f>
        <v>0</v>
      </c>
      <c r="AS54" s="76">
        <f t="shared" ca="1" si="59"/>
        <v>-0.15921665524054129</v>
      </c>
      <c r="AT54" s="77">
        <f t="shared" ca="1" si="59"/>
        <v>0</v>
      </c>
      <c r="AU54" s="249">
        <f t="shared" si="59"/>
        <v>0</v>
      </c>
      <c r="AV54" s="76">
        <f t="shared" si="59"/>
        <v>-0.15641386780372418</v>
      </c>
      <c r="AW54" s="77">
        <f t="shared" si="59"/>
        <v>0</v>
      </c>
      <c r="AX54" s="249">
        <f t="shared" si="59"/>
        <v>0</v>
      </c>
      <c r="AY54" s="76">
        <f t="shared" si="59"/>
        <v>0</v>
      </c>
      <c r="AZ54" s="77">
        <f t="shared" si="59"/>
        <v>0</v>
      </c>
      <c r="BA54" s="249">
        <f t="shared" si="59"/>
        <v>0</v>
      </c>
      <c r="BB54" s="76">
        <f t="shared" si="59"/>
        <v>0</v>
      </c>
      <c r="BC54" s="77">
        <f t="shared" si="59"/>
        <v>0</v>
      </c>
      <c r="BD54" s="249">
        <f t="shared" si="59"/>
        <v>0</v>
      </c>
      <c r="BE54" s="76">
        <f t="shared" si="59"/>
        <v>-0.16144199475741863</v>
      </c>
      <c r="BF54" s="77">
        <f t="shared" si="59"/>
        <v>0</v>
      </c>
      <c r="BG54" s="249">
        <f t="shared" si="59"/>
        <v>0</v>
      </c>
      <c r="BH54" s="76">
        <f t="shared" si="59"/>
        <v>-0.15323090767842892</v>
      </c>
      <c r="BI54" s="77">
        <f t="shared" si="59"/>
        <v>0</v>
      </c>
    </row>
    <row r="55" spans="1:62" ht="15" customHeight="1" x14ac:dyDescent="0.3">
      <c r="A55" s="17"/>
      <c r="E55" s="15"/>
      <c r="F55" s="16"/>
      <c r="H55" s="243"/>
      <c r="I55" s="16"/>
      <c r="J55" s="55"/>
      <c r="K55" s="243"/>
      <c r="L55" s="16"/>
      <c r="M55" s="55"/>
      <c r="N55" s="243"/>
      <c r="O55" s="16"/>
      <c r="P55" s="55"/>
      <c r="Q55" s="243"/>
      <c r="R55" s="16"/>
      <c r="S55" s="55"/>
      <c r="T55" s="243"/>
      <c r="U55" s="16"/>
      <c r="V55" s="55"/>
      <c r="W55" s="243"/>
      <c r="X55" s="16"/>
      <c r="Y55" s="55"/>
      <c r="Z55" s="243"/>
      <c r="AA55" s="16"/>
      <c r="AB55" s="55"/>
      <c r="AC55" s="243"/>
      <c r="AD55" s="16"/>
      <c r="AE55" s="55"/>
      <c r="AF55" s="243"/>
      <c r="AG55" s="16"/>
      <c r="AH55" s="55"/>
      <c r="AI55" s="243"/>
      <c r="AJ55" s="16"/>
      <c r="AK55" s="55"/>
      <c r="AL55" s="243"/>
      <c r="AM55" s="16"/>
      <c r="AN55" s="55"/>
      <c r="AO55" s="243"/>
      <c r="AP55" s="16"/>
      <c r="AQ55" s="55"/>
      <c r="AR55" s="243"/>
      <c r="AS55" s="16"/>
      <c r="AT55" s="55"/>
      <c r="AU55" s="243"/>
      <c r="AV55" s="16"/>
      <c r="AW55" s="55"/>
      <c r="AX55" s="243"/>
      <c r="AY55" s="16"/>
      <c r="AZ55" s="55"/>
      <c r="BA55" s="243"/>
      <c r="BB55" s="16"/>
      <c r="BC55" s="55"/>
      <c r="BD55" s="243"/>
      <c r="BE55" s="16"/>
      <c r="BF55" s="55"/>
      <c r="BG55" s="243"/>
      <c r="BH55" s="16"/>
      <c r="BI55" s="55"/>
    </row>
    <row r="56" spans="1:62" x14ac:dyDescent="0.3">
      <c r="A56" s="37" t="s">
        <v>71</v>
      </c>
      <c r="C56" s="38" t="s">
        <v>35</v>
      </c>
      <c r="D56" s="38" t="s">
        <v>36</v>
      </c>
      <c r="E56" s="38" t="s">
        <v>37</v>
      </c>
      <c r="F56" s="39"/>
      <c r="H56" s="247"/>
      <c r="I56" s="65">
        <f>SUM(I57,I60,I65,I73,I77,I82)</f>
        <v>0</v>
      </c>
      <c r="J56" s="66">
        <f>SUM(J57,J60,J65,J73,J77,J82)+SUMIFS(Aut_Ajustes_Manuais!$G:$G,Aut_Ajustes_Manuais!$I:$I,DRE!H$4,Aut_Ajustes_Manuais!$F:$F,"(-) Custos Eventos")</f>
        <v>0</v>
      </c>
      <c r="K56" s="247"/>
      <c r="L56" s="65">
        <f>SUM(L57,L60,L65,L73,L77,L82)</f>
        <v>0</v>
      </c>
      <c r="M56" s="66">
        <f>SUM(M57,M60,M65,M73,M77,M82)+SUMIFS(Aut_Ajustes_Manuais!$G:$G,Aut_Ajustes_Manuais!$I:$I,DRE!K$4,Aut_Ajustes_Manuais!$F:$F,"(-) Custos Eventos")</f>
        <v>0</v>
      </c>
      <c r="N56" s="247"/>
      <c r="O56" s="65">
        <f>SUM(O57,O60,O65,O73,O77,O82)</f>
        <v>0</v>
      </c>
      <c r="P56" s="66">
        <f>SUM(P57,P60,P65,P73,P77,P82)+SUMIFS(Aut_Ajustes_Manuais!$G:$G,Aut_Ajustes_Manuais!$I:$I,DRE!N$4,Aut_Ajustes_Manuais!$F:$F,"(-) Custos Eventos")</f>
        <v>0</v>
      </c>
      <c r="Q56" s="247"/>
      <c r="R56" s="65">
        <f>SUM(R57,R60,R65,R73,R77,R82)</f>
        <v>0</v>
      </c>
      <c r="S56" s="66">
        <f>SUM(S57,S60,S65,S73,S77,S82)+SUMIFS(Aut_Ajustes_Manuais!$G:$G,Aut_Ajustes_Manuais!$I:$I,DRE!Q$4,Aut_Ajustes_Manuais!$F:$F,"(-) Custos Eventos")</f>
        <v>0</v>
      </c>
      <c r="T56" s="247"/>
      <c r="U56" s="65">
        <f>SUM(U57,U60,U65,U73,U77,U82)</f>
        <v>0</v>
      </c>
      <c r="V56" s="66">
        <f>SUM(V57,V60,V65,V73,V77,V82)+SUMIFS(Aut_Ajustes_Manuais!$G:$G,Aut_Ajustes_Manuais!$I:$I,DRE!T$4,Aut_Ajustes_Manuais!$F:$F,"(-) Custos Eventos")</f>
        <v>0</v>
      </c>
      <c r="W56" s="247"/>
      <c r="X56" s="65">
        <f>SUM(X57,X60,X65,X73,X77,X82)</f>
        <v>0</v>
      </c>
      <c r="Y56" s="66">
        <f>SUM(Y57,Y60,Y65,Y73,Y77,Y82)+SUMIFS(Aut_Ajustes_Manuais!$G:$G,Aut_Ajustes_Manuais!$I:$I,DRE!W$4,Aut_Ajustes_Manuais!$F:$F,"(-) Custos Eventos")</f>
        <v>0</v>
      </c>
      <c r="Z56" s="247"/>
      <c r="AA56" s="65">
        <f>SUM(AA57,AA60,AA65,AA73,AA77,AA82)</f>
        <v>0</v>
      </c>
      <c r="AB56" s="66">
        <f>SUM(AB57,AB60,AB65,AB73,AB77,AB82)+SUMIFS(Aut_Ajustes_Manuais!$G:$G,Aut_Ajustes_Manuais!$I:$I,DRE!Z$4,Aut_Ajustes_Manuais!$F:$F,"(-) Custos Eventos")</f>
        <v>0</v>
      </c>
      <c r="AC56" s="247"/>
      <c r="AD56" s="65">
        <f>SUM(AD57,AD60,AD65,AD73,AD77,AD82)</f>
        <v>-7200</v>
      </c>
      <c r="AE56" s="66">
        <f>SUM(AE57,AE60,AE65,AE73,AE77,AE82)+SUMIFS(Aut_Ajustes_Manuais!$G:$G,Aut_Ajustes_Manuais!$I:$I,DRE!AC$4,Aut_Ajustes_Manuais!$F:$F,"(-) Custos Eventos")</f>
        <v>0</v>
      </c>
      <c r="AF56" s="247"/>
      <c r="AG56" s="65">
        <f>SUM(AG57,AG60,AG65,AG73,AG77,AG82)</f>
        <v>-9900</v>
      </c>
      <c r="AH56" s="66">
        <f>SUM(AH57,AH60,AH65,AH73,AH77,AH82)+SUMIFS(Aut_Ajustes_Manuais!$G:$G,Aut_Ajustes_Manuais!$I:$I,DRE!AF$4,Aut_Ajustes_Manuais!$F:$F,"(-) Custos Eventos")</f>
        <v>0</v>
      </c>
      <c r="AI56" s="247"/>
      <c r="AJ56" s="65">
        <f>SUM(AJ57,AJ60,AJ65,AJ73,AJ77,AJ82)</f>
        <v>-12600</v>
      </c>
      <c r="AK56" s="66">
        <f>SUM(AK57,AK60,AK65,AK73,AK77,AK82)+SUMIFS(Aut_Ajustes_Manuais!$G:$G,Aut_Ajustes_Manuais!$I:$I,DRE!AI$4,Aut_Ajustes_Manuais!$F:$F,"(-) Custos Eventos")</f>
        <v>0</v>
      </c>
      <c r="AL56" s="247"/>
      <c r="AM56" s="65">
        <f>SUM(AM57,AM60,AM65,AM73,AM77,AM82)</f>
        <v>-13680</v>
      </c>
      <c r="AN56" s="66">
        <f>SUM(AN57,AN60,AN65,AN73,AN77,AN82)+SUMIFS(Aut_Ajustes_Manuais!$G:$G,Aut_Ajustes_Manuais!$I:$I,DRE!AL$4,Aut_Ajustes_Manuais!$F:$F,"(-) Custos Eventos")</f>
        <v>0</v>
      </c>
      <c r="AO56" s="247"/>
      <c r="AP56" s="65">
        <f>SUM(AP57,AP60,AP65,AP73,AP77,AP82)</f>
        <v>-29430</v>
      </c>
      <c r="AQ56" s="66">
        <f>SUM(AQ57,AQ60,AQ65,AQ73,AQ77,AQ82)+SUMIFS(Aut_Ajustes_Manuais!$G:$G,Aut_Ajustes_Manuais!$I:$I,DRE!AO$4,Aut_Ajustes_Manuais!$F:$F,"(-) Custos Eventos")</f>
        <v>0</v>
      </c>
      <c r="AR56" s="247">
        <f t="shared" ref="AR56:BI56" ca="1" si="60">SUM(AR57,AR60,AR65,AR73,AR77,AR82)</f>
        <v>0</v>
      </c>
      <c r="AS56" s="65">
        <f t="shared" ca="1" si="60"/>
        <v>-7200</v>
      </c>
      <c r="AT56" s="66">
        <f t="shared" ca="1" si="60"/>
        <v>0</v>
      </c>
      <c r="AU56" s="247">
        <f t="shared" si="60"/>
        <v>0</v>
      </c>
      <c r="AV56" s="65">
        <f t="shared" si="60"/>
        <v>-72810</v>
      </c>
      <c r="AW56" s="66">
        <f t="shared" si="60"/>
        <v>0</v>
      </c>
      <c r="AX56" s="247">
        <f t="shared" si="60"/>
        <v>0</v>
      </c>
      <c r="AY56" s="65">
        <f t="shared" si="60"/>
        <v>0</v>
      </c>
      <c r="AZ56" s="66">
        <f t="shared" si="60"/>
        <v>0</v>
      </c>
      <c r="BA56" s="247">
        <f t="shared" si="60"/>
        <v>0</v>
      </c>
      <c r="BB56" s="65">
        <f t="shared" si="60"/>
        <v>0</v>
      </c>
      <c r="BC56" s="66">
        <f t="shared" si="60"/>
        <v>0</v>
      </c>
      <c r="BD56" s="247">
        <f t="shared" si="60"/>
        <v>0</v>
      </c>
      <c r="BE56" s="65">
        <f t="shared" si="60"/>
        <v>-17100</v>
      </c>
      <c r="BF56" s="66">
        <f t="shared" si="60"/>
        <v>0</v>
      </c>
      <c r="BG56" s="247">
        <f t="shared" si="60"/>
        <v>0</v>
      </c>
      <c r="BH56" s="65">
        <f t="shared" si="60"/>
        <v>-55710</v>
      </c>
      <c r="BI56" s="66">
        <f t="shared" si="60"/>
        <v>0</v>
      </c>
    </row>
    <row r="57" spans="1:62" hidden="1" outlineLevel="1" x14ac:dyDescent="0.3">
      <c r="A57" s="71" t="s">
        <v>72</v>
      </c>
      <c r="C57" s="23"/>
      <c r="D57" s="67"/>
      <c r="E57" s="78"/>
      <c r="F57" s="39"/>
      <c r="H57" s="248"/>
      <c r="I57" s="72">
        <f>SUM(I58:I59)</f>
        <v>0</v>
      </c>
      <c r="J57" s="74">
        <f>SUM(J58:J59)+SUMIFS(Aut_Ajustes_Manuais!$G:$G,Aut_Ajustes_Manuais!$I:$I,DRE!H$4,Aut_Ajustes_Manuais!$F:$F,"MDO")</f>
        <v>0</v>
      </c>
      <c r="K57" s="248"/>
      <c r="L57" s="72">
        <f>SUM(L58:L59)</f>
        <v>0</v>
      </c>
      <c r="M57" s="74">
        <f>SUM(M58:M59)+SUMIFS(Aut_Ajustes_Manuais!$G:$G,Aut_Ajustes_Manuais!$I:$I,DRE!K$4,Aut_Ajustes_Manuais!$F:$F,"MDO")</f>
        <v>0</v>
      </c>
      <c r="N57" s="248"/>
      <c r="O57" s="72">
        <f>SUM(O58:O59)</f>
        <v>0</v>
      </c>
      <c r="P57" s="74">
        <f>SUM(P58:P59)+SUMIFS(Aut_Ajustes_Manuais!$G:$G,Aut_Ajustes_Manuais!$I:$I,DRE!N$4,Aut_Ajustes_Manuais!$F:$F,"MDO")</f>
        <v>0</v>
      </c>
      <c r="Q57" s="248"/>
      <c r="R57" s="72">
        <f>SUM(R58:R59)</f>
        <v>0</v>
      </c>
      <c r="S57" s="74">
        <f>SUM(S58:S59)+SUMIFS(Aut_Ajustes_Manuais!$G:$G,Aut_Ajustes_Manuais!$I:$I,DRE!Q$4,Aut_Ajustes_Manuais!$F:$F,"MDO")</f>
        <v>0</v>
      </c>
      <c r="T57" s="248"/>
      <c r="U57" s="72">
        <f>SUM(U58:U59)</f>
        <v>0</v>
      </c>
      <c r="V57" s="74">
        <f>SUM(V58:V59)+SUMIFS(Aut_Ajustes_Manuais!$G:$G,Aut_Ajustes_Manuais!$I:$I,DRE!T$4,Aut_Ajustes_Manuais!$F:$F,"MDO")</f>
        <v>0</v>
      </c>
      <c r="W57" s="248"/>
      <c r="X57" s="72">
        <f>SUM(X58:X59)</f>
        <v>0</v>
      </c>
      <c r="Y57" s="74">
        <f>SUM(Y58:Y59)+SUMIFS(Aut_Ajustes_Manuais!$G:$G,Aut_Ajustes_Manuais!$I:$I,DRE!W$4,Aut_Ajustes_Manuais!$F:$F,"MDO")</f>
        <v>0</v>
      </c>
      <c r="Z57" s="248"/>
      <c r="AA57" s="72">
        <f>SUM(AA58:AA59)</f>
        <v>0</v>
      </c>
      <c r="AB57" s="74">
        <f>SUM(AB58:AB59)+SUMIFS(Aut_Ajustes_Manuais!$G:$G,Aut_Ajustes_Manuais!$I:$I,DRE!Z$4,Aut_Ajustes_Manuais!$F:$F,"MDO")</f>
        <v>0</v>
      </c>
      <c r="AC57" s="248"/>
      <c r="AD57" s="72">
        <f>SUM(AD58:AD59)</f>
        <v>-5625</v>
      </c>
      <c r="AE57" s="74">
        <f>SUM(AE58:AE59)+SUMIFS(Aut_Ajustes_Manuais!$G:$G,Aut_Ajustes_Manuais!$I:$I,DRE!AC$4,Aut_Ajustes_Manuais!$F:$F,"MDO")</f>
        <v>0</v>
      </c>
      <c r="AF57" s="248"/>
      <c r="AG57" s="72">
        <f>SUM(AG58:AG59)</f>
        <v>-6750</v>
      </c>
      <c r="AH57" s="74">
        <f>SUM(AH58:AH59)+SUMIFS(Aut_Ajustes_Manuais!$G:$G,Aut_Ajustes_Manuais!$I:$I,DRE!AF$4,Aut_Ajustes_Manuais!$F:$F,"MDO")</f>
        <v>0</v>
      </c>
      <c r="AI57" s="248"/>
      <c r="AJ57" s="72">
        <f>SUM(AJ58:AJ59)</f>
        <v>-7875</v>
      </c>
      <c r="AK57" s="74">
        <f>SUM(AK58:AK59)+SUMIFS(Aut_Ajustes_Manuais!$G:$G,Aut_Ajustes_Manuais!$I:$I,DRE!AI$4,Aut_Ajustes_Manuais!$F:$F,"MDO")</f>
        <v>0</v>
      </c>
      <c r="AL57" s="248"/>
      <c r="AM57" s="72">
        <f>SUM(AM58:AM59)</f>
        <v>-8325</v>
      </c>
      <c r="AN57" s="74">
        <f>SUM(AN58:AN59)+SUMIFS(Aut_Ajustes_Manuais!$G:$G,Aut_Ajustes_Manuais!$I:$I,DRE!AL$4,Aut_Ajustes_Manuais!$F:$F,"MDO")</f>
        <v>0</v>
      </c>
      <c r="AO57" s="248"/>
      <c r="AP57" s="72">
        <f>SUM(AP58:AP59)</f>
        <v>-14887.5</v>
      </c>
      <c r="AQ57" s="74">
        <f>SUM(AQ58:AQ59)+SUMIFS(Aut_Ajustes_Manuais!$G:$G,Aut_Ajustes_Manuais!$I:$I,DRE!AO$4,Aut_Ajustes_Manuais!$F:$F,"MDO")</f>
        <v>0</v>
      </c>
      <c r="AR57" s="248">
        <f t="shared" ref="AR57:AR84" ca="1" si="61">SUMIFS($H57:$AO57,$H$5:$AO$5,"&lt;"&amp;MONTH(TODAY()),$H$6:$AO$6,"REAL 25")</f>
        <v>0</v>
      </c>
      <c r="AS57" s="72">
        <f t="shared" ref="AS57:AS84" ca="1" si="62">SUMIFS($I57:$AP57,$I$5:$AP$5,"&lt;"&amp;MONTH(TODAY()),$I$6:$AP$6,"ORÇADO ")</f>
        <v>-5625</v>
      </c>
      <c r="AT57" s="74">
        <f t="shared" ref="AT57:AT84" ca="1" si="63">SUMIFS($J57:$AQ57,$J$5:$AQ$5,"&lt;"&amp;MONTH(TODAY()),$J$6:$AQ$6,"REAL 26")</f>
        <v>0</v>
      </c>
      <c r="AU57" s="248">
        <f t="shared" ref="AU57:BI57" si="64">SUM(AU58:AU59)</f>
        <v>0</v>
      </c>
      <c r="AV57" s="72">
        <f t="shared" si="64"/>
        <v>-43462.5</v>
      </c>
      <c r="AW57" s="74">
        <f t="shared" si="64"/>
        <v>0</v>
      </c>
      <c r="AX57" s="248">
        <f t="shared" si="64"/>
        <v>0</v>
      </c>
      <c r="AY57" s="72">
        <f t="shared" si="64"/>
        <v>0</v>
      </c>
      <c r="AZ57" s="74">
        <f t="shared" si="64"/>
        <v>0</v>
      </c>
      <c r="BA57" s="248">
        <f t="shared" si="64"/>
        <v>0</v>
      </c>
      <c r="BB57" s="72">
        <f t="shared" si="64"/>
        <v>0</v>
      </c>
      <c r="BC57" s="74">
        <f t="shared" si="64"/>
        <v>0</v>
      </c>
      <c r="BD57" s="248">
        <f t="shared" si="64"/>
        <v>0</v>
      </c>
      <c r="BE57" s="72">
        <f t="shared" si="64"/>
        <v>-12375</v>
      </c>
      <c r="BF57" s="74">
        <f t="shared" si="64"/>
        <v>0</v>
      </c>
      <c r="BG57" s="248">
        <f t="shared" si="64"/>
        <v>0</v>
      </c>
      <c r="BH57" s="72">
        <f t="shared" si="64"/>
        <v>-31087.5</v>
      </c>
      <c r="BI57" s="74">
        <f t="shared" si="64"/>
        <v>0</v>
      </c>
    </row>
    <row r="58" spans="1:62" s="28" customFormat="1" hidden="1" outlineLevel="1" x14ac:dyDescent="0.3">
      <c r="A58" s="21" t="s">
        <v>73</v>
      </c>
      <c r="B58" s="2"/>
      <c r="C58" s="23" t="s">
        <v>74</v>
      </c>
      <c r="D58" s="67"/>
      <c r="E58" s="78"/>
      <c r="F58" s="39"/>
      <c r="G58" s="22"/>
      <c r="H58" s="237"/>
      <c r="I58" s="26">
        <f>-SUMIFS(T_ORCAMENTOS!$E:$E,T_ORCAMENTOS!$C:$C,"MDO Terceirizada - Eventos",T_ORCAMENTOS!$H:$H,"1/2026")</f>
        <v>0</v>
      </c>
      <c r="J58" s="27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0</v>
      </c>
      <c r="K58" s="237"/>
      <c r="L58" s="26">
        <f>-SUMIFS(T_ORCAMENTOS!$E:$E,T_ORCAMENTOS!$C:$C,"MDO Terceirizada - Eventos",T_ORCAMENTOS!$H:$H,"2/2026")</f>
        <v>0</v>
      </c>
      <c r="M58" s="27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0</v>
      </c>
      <c r="N58" s="237"/>
      <c r="O58" s="26">
        <f>-SUMIFS(T_ORCAMENTOS!$E:$E,T_ORCAMENTOS!$C:$C,"MDO Terceirizada - Eventos",T_ORCAMENTOS!$H:$H,"3/2026")</f>
        <v>0</v>
      </c>
      <c r="P58" s="27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0</v>
      </c>
      <c r="Q58" s="237"/>
      <c r="R58" s="26">
        <f>-SUMIFS(T_ORCAMENTOS!$E:$E,T_ORCAMENTOS!$C:$C,"MDO Terceirizada - Eventos",T_ORCAMENTOS!$H:$H,"4/2026")</f>
        <v>0</v>
      </c>
      <c r="S58" s="27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0</v>
      </c>
      <c r="T58" s="237"/>
      <c r="U58" s="26">
        <f>-SUMIFS(T_ORCAMENTOS!$E:$E,T_ORCAMENTOS!$C:$C,"MDO Terceirizada - Eventos",T_ORCAMENTOS!$H:$H,"5/2026")</f>
        <v>0</v>
      </c>
      <c r="V58" s="27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0</v>
      </c>
      <c r="W58" s="237"/>
      <c r="X58" s="26">
        <f>-SUMIFS(T_ORCAMENTOS!$E:$E,T_ORCAMENTOS!$C:$C,"MDO Terceirizada - Eventos",T_ORCAMENTOS!$H:$H,"6/2026")</f>
        <v>0</v>
      </c>
      <c r="Y58" s="27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0</v>
      </c>
      <c r="Z58" s="237"/>
      <c r="AA58" s="26">
        <f>-SUMIFS(T_ORCAMENTOS!$E:$E,T_ORCAMENTOS!$C:$C,"MDO Terceirizada - Eventos",T_ORCAMENTOS!$H:$H,"7/2026")</f>
        <v>0</v>
      </c>
      <c r="AB58" s="27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0</v>
      </c>
      <c r="AC58" s="237"/>
      <c r="AD58" s="26">
        <f>-SUMIFS(T_ORCAMENTOS!$E:$E,T_ORCAMENTOS!$C:$C,"MDO Terceirizada - Eventos",T_ORCAMENTOS!$H:$H,"8/2026")</f>
        <v>-4500</v>
      </c>
      <c r="AE58" s="27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0</v>
      </c>
      <c r="AF58" s="237"/>
      <c r="AG58" s="26">
        <f>-SUMIFS(T_ORCAMENTOS!$E:$E,T_ORCAMENTOS!$C:$C,"MDO Terceirizada - Eventos",T_ORCAMENTOS!$H:$H,"9/2026")</f>
        <v>-4500</v>
      </c>
      <c r="AH58" s="27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0</v>
      </c>
      <c r="AI58" s="237"/>
      <c r="AJ58" s="26">
        <f>-SUMIFS(T_ORCAMENTOS!$E:$E,T_ORCAMENTOS!$C:$C,"MDO Terceirizada - Eventos",T_ORCAMENTOS!$H:$H,"10/2026")</f>
        <v>-4500</v>
      </c>
      <c r="AK58" s="27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0</v>
      </c>
      <c r="AL58" s="237"/>
      <c r="AM58" s="26">
        <f>-SUMIFS(T_ORCAMENTOS!$E:$E,T_ORCAMENTOS!$C:$C,"MDO Terceirizada - Eventos",T_ORCAMENTOS!$H:$H,"11/2026")</f>
        <v>-4500</v>
      </c>
      <c r="AN58" s="27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0</v>
      </c>
      <c r="AO58" s="237"/>
      <c r="AP58" s="26">
        <f>-SUMIFS(T_ORCAMENTOS!$E:$E,T_ORCAMENTOS!$C:$C,"MDO Terceirizada - Eventos",T_ORCAMENTOS!$H:$H,"12/2026")</f>
        <v>-4500</v>
      </c>
      <c r="AQ58" s="27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0</v>
      </c>
      <c r="AR58" s="237">
        <f t="shared" ca="1" si="61"/>
        <v>0</v>
      </c>
      <c r="AS58" s="26">
        <f t="shared" ca="1" si="62"/>
        <v>-4500</v>
      </c>
      <c r="AT58" s="27">
        <f t="shared" ca="1" si="63"/>
        <v>0</v>
      </c>
      <c r="AU58" s="237">
        <f t="shared" ref="AU58:AW59" si="65">SUM(H58,K58,N58,Q58,T58,W58,Z58,AC58,AF58,AI58,AL58,AO58)</f>
        <v>0</v>
      </c>
      <c r="AV58" s="26">
        <f t="shared" si="65"/>
        <v>-22500</v>
      </c>
      <c r="AW58" s="27">
        <f t="shared" si="65"/>
        <v>0</v>
      </c>
      <c r="AX58" s="237">
        <f t="shared" ref="AX58:AZ59" si="66">SUM(H58,K58,N58)</f>
        <v>0</v>
      </c>
      <c r="AY58" s="26">
        <f t="shared" si="66"/>
        <v>0</v>
      </c>
      <c r="AZ58" s="27">
        <f t="shared" si="66"/>
        <v>0</v>
      </c>
      <c r="BA58" s="237">
        <f t="shared" ref="BA58:BC59" si="67">SUM(Q58,T58,W58)</f>
        <v>0</v>
      </c>
      <c r="BB58" s="26">
        <f t="shared" si="67"/>
        <v>0</v>
      </c>
      <c r="BC58" s="27">
        <f t="shared" si="67"/>
        <v>0</v>
      </c>
      <c r="BD58" s="237">
        <f t="shared" ref="BD58:BF59" si="68">SUM(Z58,AC58,AF58)</f>
        <v>0</v>
      </c>
      <c r="BE58" s="26">
        <f t="shared" si="68"/>
        <v>-9000</v>
      </c>
      <c r="BF58" s="27">
        <f t="shared" si="68"/>
        <v>0</v>
      </c>
      <c r="BG58" s="237">
        <f t="shared" ref="BG58:BI59" si="69">SUM(AI58,AL58,AO58)</f>
        <v>0</v>
      </c>
      <c r="BH58" s="26">
        <f t="shared" si="69"/>
        <v>-13500</v>
      </c>
      <c r="BI58" s="27">
        <f t="shared" si="69"/>
        <v>0</v>
      </c>
      <c r="BJ58" s="454"/>
    </row>
    <row r="59" spans="1:62" s="28" customFormat="1" hidden="1" outlineLevel="1" x14ac:dyDescent="0.3">
      <c r="A59" s="21" t="s">
        <v>75</v>
      </c>
      <c r="B59" s="2"/>
      <c r="C59" s="23"/>
      <c r="D59" s="67" t="s">
        <v>76</v>
      </c>
      <c r="E59" s="78">
        <v>-0.02</v>
      </c>
      <c r="F59" s="39"/>
      <c r="G59" s="22"/>
      <c r="H59" s="237"/>
      <c r="I59" s="79">
        <f>-SUMIFS(T_ORCAMENTOS!$E:$E,T_ORCAMENTOS!$C:$C,"Comissões de Vendas - Eventos",T_ORCAMENTOS!$H:$H,"1/2026")</f>
        <v>0</v>
      </c>
      <c r="J59" s="80">
        <f>SUMIFS(Aut_BlueMe_Sem_Pedido!$J:$J,Aut_BlueMe_Sem_Pedido!$Q:$Q,DRE!H$4,Aut_BlueMe_Sem_Pedido!$H:$H,DRE!$A59)+SUMIFS(Aut_Ajustes_Manuais!$G:$G,Aut_Ajustes_Manuais!$I:$I,DRE!H$4,Aut_Ajustes_Manuais!$F:$F,"Comissões de Vendas - Eventos")</f>
        <v>0</v>
      </c>
      <c r="K59" s="250"/>
      <c r="L59" s="79">
        <f>-SUMIFS(T_ORCAMENTOS!$E:$E,T_ORCAMENTOS!$C:$C,"Comissões de Vendas - Eventos",T_ORCAMENTOS!$H:$H,"2/2026")</f>
        <v>0</v>
      </c>
      <c r="M59" s="80">
        <f>SUMIFS(Aut_BlueMe_Sem_Pedido!$J:$J,Aut_BlueMe_Sem_Pedido!$Q:$Q,DRE!K$4,Aut_BlueMe_Sem_Pedido!$H:$H,DRE!$A59)+SUMIFS(Aut_Ajustes_Manuais!$G:$G,Aut_Ajustes_Manuais!$I:$I,DRE!K$4,Aut_Ajustes_Manuais!$F:$F,"Comissões de Vendas - Eventos")</f>
        <v>0</v>
      </c>
      <c r="N59" s="250"/>
      <c r="O59" s="79">
        <f>-SUMIFS(T_ORCAMENTOS!$E:$E,T_ORCAMENTOS!$C:$C,"Comissões de Vendas - Eventos",T_ORCAMENTOS!$H:$H,"3/2026")</f>
        <v>0</v>
      </c>
      <c r="P59" s="80">
        <f>SUMIFS(Aut_BlueMe_Sem_Pedido!$J:$J,Aut_BlueMe_Sem_Pedido!$Q:$Q,DRE!N$4,Aut_BlueMe_Sem_Pedido!$H:$H,DRE!$A59)+SUMIFS(Aut_Ajustes_Manuais!$G:$G,Aut_Ajustes_Manuais!$I:$I,DRE!N$4,Aut_Ajustes_Manuais!$F:$F,"Comissões de Vendas - Eventos")</f>
        <v>0</v>
      </c>
      <c r="Q59" s="237"/>
      <c r="R59" s="79">
        <f>-SUMIFS(T_ORCAMENTOS!$E:$E,T_ORCAMENTOS!$C:$C,"Comissões de Vendas - Eventos",T_ORCAMENTOS!$H:$H,"4/2026")</f>
        <v>0</v>
      </c>
      <c r="S59" s="80">
        <f>SUMIFS(Aut_BlueMe_Sem_Pedido!$J:$J,Aut_BlueMe_Sem_Pedido!$Q:$Q,DRE!Q$4,Aut_BlueMe_Sem_Pedido!$H:$H,DRE!$A59)+SUMIFS(Aut_Ajustes_Manuais!$G:$G,Aut_Ajustes_Manuais!$I:$I,DRE!Q$4,Aut_Ajustes_Manuais!$F:$F,"Comissões de Vendas - Eventos")</f>
        <v>0</v>
      </c>
      <c r="T59" s="237"/>
      <c r="U59" s="79">
        <f>-SUMIFS(T_ORCAMENTOS!$E:$E,T_ORCAMENTOS!$C:$C,"Comissões de Vendas - Eventos",T_ORCAMENTOS!$H:$H,"5/2026")</f>
        <v>0</v>
      </c>
      <c r="V59" s="26">
        <f>SUMIFS(Aut_BlueMe_Sem_Pedido!$J:$J,Aut_BlueMe_Sem_Pedido!$Q:$Q,DRE!T$4,Aut_BlueMe_Sem_Pedido!$H:$H,DRE!$A59)+SUMIFS(Aut_Ajustes_Manuais!$G:$G,Aut_Ajustes_Manuais!$I:$I,DRE!T$4,Aut_Ajustes_Manuais!$F:$F,"Comissões de Vendas - Eventos")</f>
        <v>0</v>
      </c>
      <c r="W59" s="237"/>
      <c r="X59" s="79">
        <f>-SUMIFS(T_ORCAMENTOS!$E:$E,T_ORCAMENTOS!$C:$C,"Comissões de Vendas - Eventos",T_ORCAMENTOS!$H:$H,"6/2026")</f>
        <v>0</v>
      </c>
      <c r="Y59" s="80">
        <f>SUMIFS(Aut_BlueMe_Sem_Pedido!$J:$J,Aut_BlueMe_Sem_Pedido!$Q:$Q,DRE!W$4,Aut_BlueMe_Sem_Pedido!$H:$H,DRE!$A59)+SUMIFS(Aut_Ajustes_Manuais!$G:$G,Aut_Ajustes_Manuais!$I:$I,DRE!W$4,Aut_Ajustes_Manuais!$F:$F,"Comissões de Vendas - Eventos")</f>
        <v>0</v>
      </c>
      <c r="Z59" s="237"/>
      <c r="AA59" s="79">
        <f>-SUMIFS(T_ORCAMENTOS!$E:$E,T_ORCAMENTOS!$C:$C,"Comissões de Vendas - Eventos",T_ORCAMENTOS!$H:$H,"7/2026")</f>
        <v>0</v>
      </c>
      <c r="AB59" s="80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37"/>
      <c r="AD59" s="79">
        <f>-SUMIFS(T_ORCAMENTOS!$E:$E,T_ORCAMENTOS!$C:$C,"Comissões de Vendas - Eventos",T_ORCAMENTOS!$H:$H,"8/2026")</f>
        <v>-1125</v>
      </c>
      <c r="AE59" s="80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37"/>
      <c r="AG59" s="79">
        <f>-SUMIFS(T_ORCAMENTOS!$E:$E,T_ORCAMENTOS!$C:$C,"Comissões de Vendas - Eventos",T_ORCAMENTOS!$H:$H,"9/2026")</f>
        <v>-2250</v>
      </c>
      <c r="AH59" s="80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37"/>
      <c r="AJ59" s="79">
        <f>-SUMIFS(T_ORCAMENTOS!$E:$E,T_ORCAMENTOS!$C:$C,"Comissões de Vendas - Eventos",T_ORCAMENTOS!$H:$H,"10/2026")</f>
        <v>-3375</v>
      </c>
      <c r="AK59" s="80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37"/>
      <c r="AM59" s="79">
        <f>-SUMIFS(T_ORCAMENTOS!$E:$E,T_ORCAMENTOS!$C:$C,"Comissões de Vendas - Eventos",T_ORCAMENTOS!$H:$H,"11/2026")</f>
        <v>-3825</v>
      </c>
      <c r="AN59" s="80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37"/>
      <c r="AP59" s="79">
        <f>-SUMIFS(T_ORCAMENTOS!$E:$E,T_ORCAMENTOS!$C:$C,"Comissões de Vendas - Eventos",T_ORCAMENTOS!$H:$H,"12/2026")</f>
        <v>-10387.5</v>
      </c>
      <c r="AQ59" s="80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37">
        <f t="shared" ca="1" si="61"/>
        <v>0</v>
      </c>
      <c r="AS59" s="26">
        <f t="shared" ca="1" si="62"/>
        <v>-1125</v>
      </c>
      <c r="AT59" s="27">
        <f t="shared" ca="1" si="63"/>
        <v>0</v>
      </c>
      <c r="AU59" s="237">
        <f t="shared" si="65"/>
        <v>0</v>
      </c>
      <c r="AV59" s="79">
        <f t="shared" si="65"/>
        <v>-20962.5</v>
      </c>
      <c r="AW59" s="80">
        <f t="shared" si="65"/>
        <v>0</v>
      </c>
      <c r="AX59" s="237">
        <f t="shared" si="66"/>
        <v>0</v>
      </c>
      <c r="AY59" s="79">
        <f t="shared" si="66"/>
        <v>0</v>
      </c>
      <c r="AZ59" s="80">
        <f t="shared" si="66"/>
        <v>0</v>
      </c>
      <c r="BA59" s="237">
        <f t="shared" si="67"/>
        <v>0</v>
      </c>
      <c r="BB59" s="79">
        <f t="shared" si="67"/>
        <v>0</v>
      </c>
      <c r="BC59" s="80">
        <f t="shared" si="67"/>
        <v>0</v>
      </c>
      <c r="BD59" s="237">
        <f t="shared" si="68"/>
        <v>0</v>
      </c>
      <c r="BE59" s="79">
        <f t="shared" si="68"/>
        <v>-3375</v>
      </c>
      <c r="BF59" s="80">
        <f t="shared" si="68"/>
        <v>0</v>
      </c>
      <c r="BG59" s="237">
        <f t="shared" si="69"/>
        <v>0</v>
      </c>
      <c r="BH59" s="79">
        <f t="shared" si="69"/>
        <v>-17587.5</v>
      </c>
      <c r="BI59" s="80">
        <f t="shared" si="69"/>
        <v>0</v>
      </c>
      <c r="BJ59" s="454"/>
    </row>
    <row r="60" spans="1:62" ht="18" hidden="1" customHeight="1" outlineLevel="1" x14ac:dyDescent="0.3">
      <c r="A60" s="71" t="s">
        <v>77</v>
      </c>
      <c r="C60" s="23"/>
      <c r="D60" s="67"/>
      <c r="E60" s="78"/>
      <c r="F60" s="39"/>
      <c r="H60" s="248"/>
      <c r="I60" s="72">
        <f>SUM(I61:I64)</f>
        <v>0</v>
      </c>
      <c r="J60" s="74">
        <f>SUM(J61:J64)+SUMIFS(Aut_Ajustes_Manuais!$G:$G,Aut_Ajustes_Manuais!$I:$I,DRE!H$4,Aut_Ajustes_Manuais!$F:$F,"Serviços de Terceiros - Eventos")</f>
        <v>0</v>
      </c>
      <c r="K60" s="248"/>
      <c r="L60" s="72">
        <f>SUM(L61:L64)</f>
        <v>0</v>
      </c>
      <c r="M60" s="74">
        <f>SUM(M61:M64)+SUMIFS(Aut_Ajustes_Manuais!$G:$G,Aut_Ajustes_Manuais!$I:$I,DRE!K$4,Aut_Ajustes_Manuais!$F:$F,"Serviços de Terceiros - Eventos")</f>
        <v>0</v>
      </c>
      <c r="N60" s="248"/>
      <c r="O60" s="72">
        <f>SUM(O61:O64)</f>
        <v>0</v>
      </c>
      <c r="P60" s="74">
        <f>SUM(P61:P64)+SUMIFS(Aut_Ajustes_Manuais!$G:$G,Aut_Ajustes_Manuais!$I:$I,DRE!N$4,Aut_Ajustes_Manuais!$F:$F,"Serviços de Terceiros - Eventos")</f>
        <v>0</v>
      </c>
      <c r="Q60" s="248"/>
      <c r="R60" s="72">
        <f>SUM(R61:R64)</f>
        <v>0</v>
      </c>
      <c r="S60" s="74">
        <f>SUM(S61:S64)+SUMIFS(Aut_Ajustes_Manuais!$G:$G,Aut_Ajustes_Manuais!$I:$I,DRE!Q$4,Aut_Ajustes_Manuais!$F:$F,"Serviços de Terceiros - Eventos")</f>
        <v>0</v>
      </c>
      <c r="T60" s="248"/>
      <c r="U60" s="72">
        <f>SUM(U61:U64)</f>
        <v>0</v>
      </c>
      <c r="V60" s="74">
        <f>SUM(V61:V64)+SUMIFS(Aut_Ajustes_Manuais!$G:$G,Aut_Ajustes_Manuais!$I:$I,DRE!T$4,Aut_Ajustes_Manuais!$F:$F,"Serviços de Terceiros - Eventos")</f>
        <v>0</v>
      </c>
      <c r="W60" s="248"/>
      <c r="X60" s="72">
        <f>SUM(X61:X64)</f>
        <v>0</v>
      </c>
      <c r="Y60" s="74">
        <f>SUM(Y61:Y64)+SUMIFS(Aut_Ajustes_Manuais!$G:$G,Aut_Ajustes_Manuais!$I:$I,DRE!W$4,Aut_Ajustes_Manuais!$F:$F,"Serviços de Terceiros - Eventos")</f>
        <v>0</v>
      </c>
      <c r="Z60" s="248"/>
      <c r="AA60" s="72">
        <f>SUM(AA61:AA64)</f>
        <v>0</v>
      </c>
      <c r="AB60" s="74">
        <f>SUM(AB61:AB64)+SUMIFS(Aut_Ajustes_Manuais!$G:$G,Aut_Ajustes_Manuais!$I:$I,DRE!Z$4,Aut_Ajustes_Manuais!$F:$F,"Serviços de Terceiros - Eventos")</f>
        <v>0</v>
      </c>
      <c r="AC60" s="248"/>
      <c r="AD60" s="72">
        <f>SUM(AD61:AD64)</f>
        <v>-1575</v>
      </c>
      <c r="AE60" s="74">
        <f>SUM(AE61:AE64)+SUMIFS(Aut_Ajustes_Manuais!$G:$G,Aut_Ajustes_Manuais!$I:$I,DRE!AC$4,Aut_Ajustes_Manuais!$F:$F,"Serviços de Terceiros - Eventos")</f>
        <v>0</v>
      </c>
      <c r="AF60" s="248"/>
      <c r="AG60" s="72">
        <f>SUM(AG61:AG64)</f>
        <v>-3150</v>
      </c>
      <c r="AH60" s="74">
        <f>SUM(AH61:AH64)+SUMIFS(Aut_Ajustes_Manuais!$G:$G,Aut_Ajustes_Manuais!$I:$I,DRE!AF$4,Aut_Ajustes_Manuais!$F:$F,"Serviços de Terceiros - Eventos")</f>
        <v>0</v>
      </c>
      <c r="AI60" s="248"/>
      <c r="AJ60" s="72">
        <f>SUM(AJ61:AJ64)</f>
        <v>-4725</v>
      </c>
      <c r="AK60" s="74">
        <f>SUM(AK61:AK64)+SUMIFS(Aut_Ajustes_Manuais!$G:$G,Aut_Ajustes_Manuais!$I:$I,DRE!AI$4,Aut_Ajustes_Manuais!$F:$F,"Serviços de Terceiros - Eventos")</f>
        <v>0</v>
      </c>
      <c r="AL60" s="248"/>
      <c r="AM60" s="72">
        <f>SUM(AM61:AM64)</f>
        <v>-5355</v>
      </c>
      <c r="AN60" s="74">
        <f>SUM(AN61:AN64)+SUMIFS(Aut_Ajustes_Manuais!$G:$G,Aut_Ajustes_Manuais!$I:$I,DRE!AL$4,Aut_Ajustes_Manuais!$F:$F,"Serviços de Terceiros - Eventos")</f>
        <v>0</v>
      </c>
      <c r="AO60" s="248"/>
      <c r="AP60" s="72">
        <f>SUM(AP61:AP64)</f>
        <v>-14542.5</v>
      </c>
      <c r="AQ60" s="74">
        <f>SUM(AQ61:AQ64)+SUMIFS(Aut_Ajustes_Manuais!$G:$G,Aut_Ajustes_Manuais!$I:$I,DRE!AO$4,Aut_Ajustes_Manuais!$F:$F,"Serviços de Terceiros - Eventos")</f>
        <v>0</v>
      </c>
      <c r="AR60" s="72">
        <f t="shared" ca="1" si="61"/>
        <v>0</v>
      </c>
      <c r="AS60" s="72">
        <f t="shared" ca="1" si="62"/>
        <v>-1575</v>
      </c>
      <c r="AT60" s="72">
        <f t="shared" ca="1" si="63"/>
        <v>0</v>
      </c>
      <c r="AU60" s="248">
        <f t="shared" ref="AU60:BI60" si="70">SUM(AU61:AU64)</f>
        <v>0</v>
      </c>
      <c r="AV60" s="72">
        <f t="shared" si="70"/>
        <v>-29347.5</v>
      </c>
      <c r="AW60" s="74">
        <f t="shared" si="70"/>
        <v>0</v>
      </c>
      <c r="AX60" s="248">
        <f t="shared" si="70"/>
        <v>0</v>
      </c>
      <c r="AY60" s="72">
        <f t="shared" si="70"/>
        <v>0</v>
      </c>
      <c r="AZ60" s="74">
        <f t="shared" si="70"/>
        <v>0</v>
      </c>
      <c r="BA60" s="248">
        <f t="shared" si="70"/>
        <v>0</v>
      </c>
      <c r="BB60" s="72">
        <f t="shared" si="70"/>
        <v>0</v>
      </c>
      <c r="BC60" s="74">
        <f t="shared" si="70"/>
        <v>0</v>
      </c>
      <c r="BD60" s="248">
        <f t="shared" si="70"/>
        <v>0</v>
      </c>
      <c r="BE60" s="72">
        <f t="shared" si="70"/>
        <v>-4725</v>
      </c>
      <c r="BF60" s="74">
        <f t="shared" si="70"/>
        <v>0</v>
      </c>
      <c r="BG60" s="248">
        <f t="shared" si="70"/>
        <v>0</v>
      </c>
      <c r="BH60" s="72">
        <f t="shared" si="70"/>
        <v>-24622.5</v>
      </c>
      <c r="BI60" s="74">
        <f t="shared" si="70"/>
        <v>0</v>
      </c>
    </row>
    <row r="61" spans="1:62" s="28" customFormat="1" hidden="1" outlineLevel="1" x14ac:dyDescent="0.3">
      <c r="A61" s="21" t="s">
        <v>78</v>
      </c>
      <c r="B61" s="2"/>
      <c r="C61" s="23" t="s">
        <v>79</v>
      </c>
      <c r="D61" s="67" t="s">
        <v>76</v>
      </c>
      <c r="E61" s="78">
        <v>-0.02</v>
      </c>
      <c r="F61" s="39"/>
      <c r="G61" s="22"/>
      <c r="H61" s="237"/>
      <c r="I61" s="79">
        <f>-SUMIFS(T_ORCAMENTOS!$E:$E,T_ORCAMENTOS!$C:$C,"Serviços Terceirizados - Eventos",T_ORCAMENTOS!$H:$H,"1/2026")</f>
        <v>0</v>
      </c>
      <c r="J61" s="80">
        <f>SUMIFS(Aut_BlueMe_Sem_Pedido!$J:$J,Aut_BlueMe_Sem_Pedido!$Q:$Q,DRE!H$4,Aut_BlueMe_Sem_Pedido!$H:$H,DRE!$A61)+SUMIFS(Aut_Ajustes_Manuais!$G:$G,Aut_Ajustes_Manuais!$I:$I,DRE!H$4,Aut_Ajustes_Manuais!$F:$F,"Serviços Terceirizados - Eventos")</f>
        <v>0</v>
      </c>
      <c r="K61" s="250"/>
      <c r="L61" s="79">
        <f>-SUMIFS(T_ORCAMENTOS!$E:$E,T_ORCAMENTOS!$C:$C,"Serviços Terceirizados - Eventos",T_ORCAMENTOS!$H:$H,"2/2026")</f>
        <v>0</v>
      </c>
      <c r="M61" s="80">
        <f>SUMIFS(Aut_BlueMe_Sem_Pedido!$J:$J,Aut_BlueMe_Sem_Pedido!$Q:$Q,DRE!K$4,Aut_BlueMe_Sem_Pedido!$H:$H,DRE!$A61)+SUMIFS(Aut_Ajustes_Manuais!$G:$G,Aut_Ajustes_Manuais!$I:$I,DRE!K$4,Aut_Ajustes_Manuais!$F:$F,"Serviços Terceirizados - Eventos")</f>
        <v>0</v>
      </c>
      <c r="N61" s="250"/>
      <c r="O61" s="79">
        <f>-SUMIFS(T_ORCAMENTOS!$E:$E,T_ORCAMENTOS!$C:$C,"Serviços Terceirizados - Eventos",T_ORCAMENTOS!$H:$H,"3/2026")</f>
        <v>0</v>
      </c>
      <c r="P61" s="80">
        <f>SUMIFS(Aut_BlueMe_Sem_Pedido!$J:$J,Aut_BlueMe_Sem_Pedido!$Q:$Q,DRE!N$4,Aut_BlueMe_Sem_Pedido!$H:$H,DRE!$A61)+SUMIFS(Aut_Ajustes_Manuais!$G:$G,Aut_Ajustes_Manuais!$I:$I,DRE!N$4,Aut_Ajustes_Manuais!$F:$F,"Serviços Terceirizados - Eventos")</f>
        <v>0</v>
      </c>
      <c r="Q61" s="237"/>
      <c r="R61" s="79">
        <f>-SUMIFS(T_ORCAMENTOS!$E:$E,T_ORCAMENTOS!$C:$C,"Serviços Terceirizados - Eventos",T_ORCAMENTOS!$H:$H,"4/2026")</f>
        <v>0</v>
      </c>
      <c r="S61" s="80">
        <f>SUMIFS(Aut_BlueMe_Sem_Pedido!$J:$J,Aut_BlueMe_Sem_Pedido!$Q:$Q,DRE!Q$4,Aut_BlueMe_Sem_Pedido!$H:$H,DRE!$A61)+SUMIFS(Aut_Ajustes_Manuais!$G:$G,Aut_Ajustes_Manuais!$I:$I,DRE!Q$4,Aut_Ajustes_Manuais!$F:$F,"Serviços Terceirizados - Eventos")</f>
        <v>0</v>
      </c>
      <c r="T61" s="237"/>
      <c r="U61" s="79">
        <f>-SUMIFS(T_ORCAMENTOS!$E:$E,T_ORCAMENTOS!$C:$C,"Serviços Terceirizados - Eventos",T_ORCAMENTOS!$H:$H,"5/2026")</f>
        <v>0</v>
      </c>
      <c r="V61" s="80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37"/>
      <c r="X61" s="79">
        <f>-SUMIFS(T_ORCAMENTOS!$E:$E,T_ORCAMENTOS!$C:$C,"Serviços Terceirizados - Eventos",T_ORCAMENTOS!$H:$H,"6/2026")</f>
        <v>0</v>
      </c>
      <c r="Y61" s="80">
        <f>SUMIFS(Aut_BlueMe_Sem_Pedido!$J:$J,Aut_BlueMe_Sem_Pedido!$Q:$Q,DRE!W$4,Aut_BlueMe_Sem_Pedido!$H:$H,DRE!$A61)+SUMIFS(Aut_Ajustes_Manuais!$G:$G,Aut_Ajustes_Manuais!$I:$I,DRE!W$4,Aut_Ajustes_Manuais!$F:$F,"Serviços Terceirizados - Eventos")</f>
        <v>0</v>
      </c>
      <c r="Z61" s="237"/>
      <c r="AA61" s="79">
        <f>-SUMIFS(T_ORCAMENTOS!$E:$E,T_ORCAMENTOS!$C:$C,"Serviços Terceirizados - Eventos",T_ORCAMENTOS!$H:$H,"7/2026")</f>
        <v>0</v>
      </c>
      <c r="AB61" s="80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37"/>
      <c r="AD61" s="79">
        <f>-SUMIFS(T_ORCAMENTOS!$E:$E,T_ORCAMENTOS!$C:$C,"Serviços Terceirizados - Eventos",T_ORCAMENTOS!$H:$H,"8/2026")</f>
        <v>-1200</v>
      </c>
      <c r="AE61" s="80">
        <f>SUMIFS(Aut_BlueMe_Sem_Pedido!$J:$J,Aut_BlueMe_Sem_Pedido!$Q:$Q,DRE!AC$4,Aut_BlueMe_Sem_Pedido!$H:$H,DRE!$A61)+SUMIFS(Aut_Ajustes_Manuais!$G:$G,Aut_Ajustes_Manuais!$I:$I,DRE!AC$4,Aut_Ajustes_Manuais!$F:$F,"Serviços Terceirizados - Eventos")</f>
        <v>0</v>
      </c>
      <c r="AF61" s="237"/>
      <c r="AG61" s="79">
        <f>-SUMIFS(T_ORCAMENTOS!$E:$E,T_ORCAMENTOS!$C:$C,"Serviços Terceirizados - Eventos",T_ORCAMENTOS!$H:$H,"9/2026")</f>
        <v>-2400</v>
      </c>
      <c r="AH61" s="80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37"/>
      <c r="AJ61" s="79">
        <f>-SUMIFS(T_ORCAMENTOS!$E:$E,T_ORCAMENTOS!$C:$C,"Serviços Terceirizados - Eventos",T_ORCAMENTOS!$H:$H,"10/2026")</f>
        <v>-3600</v>
      </c>
      <c r="AK61" s="80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37"/>
      <c r="AM61" s="79">
        <f>-SUMIFS(T_ORCAMENTOS!$E:$E,T_ORCAMENTOS!$C:$C,"Serviços Terceirizados - Eventos",T_ORCAMENTOS!$H:$H,"11/2026")</f>
        <v>-4080</v>
      </c>
      <c r="AN61" s="80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37"/>
      <c r="AP61" s="79">
        <f>-SUMIFS(T_ORCAMENTOS!$E:$E,T_ORCAMENTOS!$C:$C,"Serviços Terceirizados - Eventos",T_ORCAMENTOS!$H:$H,"12/2026")</f>
        <v>-11080</v>
      </c>
      <c r="AQ61" s="80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37">
        <f t="shared" ca="1" si="61"/>
        <v>0</v>
      </c>
      <c r="AS61" s="26">
        <f t="shared" ca="1" si="62"/>
        <v>-1200</v>
      </c>
      <c r="AT61" s="80">
        <f t="shared" ca="1" si="63"/>
        <v>0</v>
      </c>
      <c r="AU61" s="237">
        <f t="shared" ref="AU61:AW64" si="71">SUM(H61,K61,N61,Q61,T61,W61,Z61,AC61,AF61,AI61,AL61,AO61)</f>
        <v>0</v>
      </c>
      <c r="AV61" s="79">
        <f t="shared" si="71"/>
        <v>-22360</v>
      </c>
      <c r="AW61" s="80">
        <f t="shared" si="71"/>
        <v>0</v>
      </c>
      <c r="AX61" s="237">
        <f t="shared" ref="AX61:AZ64" si="72">SUM(H61,K61,N61)</f>
        <v>0</v>
      </c>
      <c r="AY61" s="79">
        <f t="shared" si="72"/>
        <v>0</v>
      </c>
      <c r="AZ61" s="80">
        <f t="shared" si="72"/>
        <v>0</v>
      </c>
      <c r="BA61" s="237">
        <f t="shared" ref="BA61:BC64" si="73">SUM(Q61,T61,W61)</f>
        <v>0</v>
      </c>
      <c r="BB61" s="79">
        <f t="shared" si="73"/>
        <v>0</v>
      </c>
      <c r="BC61" s="80">
        <f t="shared" si="73"/>
        <v>0</v>
      </c>
      <c r="BD61" s="237">
        <f t="shared" ref="BD61:BF64" si="74">SUM(Z61,AC61,AF61)</f>
        <v>0</v>
      </c>
      <c r="BE61" s="79">
        <f t="shared" si="74"/>
        <v>-3600</v>
      </c>
      <c r="BF61" s="80">
        <f t="shared" si="74"/>
        <v>0</v>
      </c>
      <c r="BG61" s="237">
        <f t="shared" ref="BG61:BI64" si="75">SUM(AI61,AL61,AO61)</f>
        <v>0</v>
      </c>
      <c r="BH61" s="79">
        <f t="shared" si="75"/>
        <v>-18760</v>
      </c>
      <c r="BI61" s="80">
        <f t="shared" si="75"/>
        <v>0</v>
      </c>
      <c r="BJ61" s="454"/>
    </row>
    <row r="62" spans="1:62" s="28" customFormat="1" hidden="1" outlineLevel="1" x14ac:dyDescent="0.3">
      <c r="A62" s="21" t="s">
        <v>80</v>
      </c>
      <c r="B62" s="2"/>
      <c r="C62" s="23" t="s">
        <v>81</v>
      </c>
      <c r="D62" s="67" t="s">
        <v>76</v>
      </c>
      <c r="E62" s="78">
        <v>0</v>
      </c>
      <c r="F62" s="39"/>
      <c r="G62" s="22"/>
      <c r="H62" s="237"/>
      <c r="I62" s="79">
        <f>-SUMIFS(T_ORCAMENTOS!$E:$E,T_ORCAMENTOS!$C:$C,"Serviço de Segurança - Eventos",T_ORCAMENTOS!$H:$H,"1/2026")</f>
        <v>0</v>
      </c>
      <c r="J62" s="80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50"/>
      <c r="L62" s="79">
        <f>-SUMIFS(T_ORCAMENTOS!$E:$E,T_ORCAMENTOS!$C:$C,"Serviço de Segurança - Eventos",T_ORCAMENTOS!$H:$H,"2/2026")</f>
        <v>0</v>
      </c>
      <c r="M62" s="80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50"/>
      <c r="O62" s="79">
        <f>-SUMIFS(T_ORCAMENTOS!$E:$E,T_ORCAMENTOS!$C:$C,"Serviço de Segurança - Eventos",T_ORCAMENTOS!$H:$H,"3/2026")</f>
        <v>0</v>
      </c>
      <c r="P62" s="80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37"/>
      <c r="R62" s="79">
        <f>-SUMIFS(T_ORCAMENTOS!$E:$E,T_ORCAMENTOS!$C:$C,"Serviço de Segurança - Eventos",T_ORCAMENTOS!$H:$H,"4/2026")</f>
        <v>0</v>
      </c>
      <c r="S62" s="80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37"/>
      <c r="U62" s="79">
        <f>-SUMIFS(T_ORCAMENTOS!$E:$E,T_ORCAMENTOS!$C:$C,"Serviço de Segurança - Eventos",T_ORCAMENTOS!$H:$H,"5/2026")</f>
        <v>0</v>
      </c>
      <c r="V62" s="80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37"/>
      <c r="X62" s="79">
        <f>-SUMIFS(T_ORCAMENTOS!$E:$E,T_ORCAMENTOS!$C:$C,"Serviço de Segurança - Eventos",T_ORCAMENTOS!$H:$H,"6/2026")</f>
        <v>0</v>
      </c>
      <c r="Y62" s="80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37"/>
      <c r="AA62" s="79">
        <f>-SUMIFS(T_ORCAMENTOS!$E:$E,T_ORCAMENTOS!$C:$C,"Serviço de Segurança - Eventos",T_ORCAMENTOS!$H:$H,"7/2026")</f>
        <v>0</v>
      </c>
      <c r="AB62" s="80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37"/>
      <c r="AD62" s="79">
        <f>-SUMIFS(T_ORCAMENTOS!$E:$E,T_ORCAMENTOS!$C:$C,"Serviço de Segurança - Eventos",T_ORCAMENTOS!$H:$H,"8/2026")</f>
        <v>-375</v>
      </c>
      <c r="AE62" s="80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37"/>
      <c r="AG62" s="79">
        <f>-SUMIFS(T_ORCAMENTOS!$E:$E,T_ORCAMENTOS!$C:$C,"Serviço de Segurança - Eventos",T_ORCAMENTOS!$H:$H,"9/2026")</f>
        <v>-750</v>
      </c>
      <c r="AH62" s="80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37"/>
      <c r="AJ62" s="79">
        <f>-SUMIFS(T_ORCAMENTOS!$E:$E,T_ORCAMENTOS!$C:$C,"Serviço de Segurança - Eventos",T_ORCAMENTOS!$H:$H,"10/2026")</f>
        <v>-1125</v>
      </c>
      <c r="AK62" s="80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37"/>
      <c r="AM62" s="79">
        <f>-SUMIFS(T_ORCAMENTOS!$E:$E,T_ORCAMENTOS!$C:$C,"Serviço de Segurança - Eventos",T_ORCAMENTOS!$H:$H,"11/2026")</f>
        <v>-1275</v>
      </c>
      <c r="AN62" s="80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37"/>
      <c r="AP62" s="79">
        <f>-SUMIFS(T_ORCAMENTOS!$E:$E,T_ORCAMENTOS!$C:$C,"Serviço de Segurança - Eventos",T_ORCAMENTOS!$H:$H,"12/2026")</f>
        <v>-3462.5</v>
      </c>
      <c r="AQ62" s="80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37">
        <f t="shared" ca="1" si="61"/>
        <v>0</v>
      </c>
      <c r="AS62" s="26">
        <f t="shared" ca="1" si="62"/>
        <v>-375</v>
      </c>
      <c r="AT62" s="80">
        <f t="shared" ca="1" si="63"/>
        <v>0</v>
      </c>
      <c r="AU62" s="237">
        <f t="shared" si="71"/>
        <v>0</v>
      </c>
      <c r="AV62" s="79">
        <f t="shared" si="71"/>
        <v>-6987.5</v>
      </c>
      <c r="AW62" s="80">
        <f t="shared" si="71"/>
        <v>0</v>
      </c>
      <c r="AX62" s="237">
        <f t="shared" si="72"/>
        <v>0</v>
      </c>
      <c r="AY62" s="79">
        <f t="shared" si="72"/>
        <v>0</v>
      </c>
      <c r="AZ62" s="80">
        <f t="shared" si="72"/>
        <v>0</v>
      </c>
      <c r="BA62" s="237">
        <f t="shared" si="73"/>
        <v>0</v>
      </c>
      <c r="BB62" s="79">
        <f t="shared" si="73"/>
        <v>0</v>
      </c>
      <c r="BC62" s="80">
        <f t="shared" si="73"/>
        <v>0</v>
      </c>
      <c r="BD62" s="237">
        <f t="shared" si="74"/>
        <v>0</v>
      </c>
      <c r="BE62" s="79">
        <f t="shared" si="74"/>
        <v>-1125</v>
      </c>
      <c r="BF62" s="80">
        <f t="shared" si="74"/>
        <v>0</v>
      </c>
      <c r="BG62" s="237">
        <f t="shared" si="75"/>
        <v>0</v>
      </c>
      <c r="BH62" s="79">
        <f t="shared" si="75"/>
        <v>-5862.5</v>
      </c>
      <c r="BI62" s="80">
        <f t="shared" si="75"/>
        <v>0</v>
      </c>
      <c r="BJ62" s="454"/>
    </row>
    <row r="63" spans="1:62" s="28" customFormat="1" hidden="1" outlineLevel="1" x14ac:dyDescent="0.3">
      <c r="A63" s="21" t="s">
        <v>82</v>
      </c>
      <c r="B63" s="2"/>
      <c r="C63" s="23" t="s">
        <v>83</v>
      </c>
      <c r="D63" s="67" t="s">
        <v>76</v>
      </c>
      <c r="E63" s="78"/>
      <c r="F63" s="39"/>
      <c r="G63" s="22"/>
      <c r="H63" s="237"/>
      <c r="I63" s="79">
        <f>-SUMIFS(T_ORCAMENTOS!$E:$E,T_ORCAMENTOS!$C:$C,"Artistas e Palestrantes - Eventos",T_ORCAMENTOS!$H:$H,"1/2026")</f>
        <v>0</v>
      </c>
      <c r="J63" s="80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50"/>
      <c r="L63" s="79">
        <f>-SUMIFS(T_ORCAMENTOS!$E:$E,T_ORCAMENTOS!$C:$C,"Artistas e Palestrantes - Eventos",T_ORCAMENTOS!$H:$H,"2/2026")</f>
        <v>0</v>
      </c>
      <c r="M63" s="80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50"/>
      <c r="O63" s="79">
        <f>-SUMIFS(T_ORCAMENTOS!$E:$E,T_ORCAMENTOS!$C:$C,"Artistas e Palestrantes - Eventos",T_ORCAMENTOS!$H:$H,"3/2026")</f>
        <v>0</v>
      </c>
      <c r="P63" s="80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37"/>
      <c r="R63" s="79">
        <f>-SUMIFS(T_ORCAMENTOS!$E:$E,T_ORCAMENTOS!$C:$C,"Artistas e Palestrantes - Eventos",T_ORCAMENTOS!$H:$H,"4/2026")</f>
        <v>0</v>
      </c>
      <c r="S63" s="80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37"/>
      <c r="U63" s="79">
        <f>-SUMIFS(T_ORCAMENTOS!$E:$E,T_ORCAMENTOS!$C:$C,"Artistas e Palestrantes - Eventos",T_ORCAMENTOS!$H:$H,"5/2026")</f>
        <v>0</v>
      </c>
      <c r="V63" s="80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37"/>
      <c r="X63" s="79">
        <f>-SUMIFS(T_ORCAMENTOS!$E:$E,T_ORCAMENTOS!$C:$C,"Artistas e Palestrantes - Eventos",T_ORCAMENTOS!$H:$H,"6/2026")</f>
        <v>0</v>
      </c>
      <c r="Y63" s="80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37"/>
      <c r="AA63" s="79">
        <f>-SUMIFS(T_ORCAMENTOS!$E:$E,T_ORCAMENTOS!$C:$C,"Artistas e Palestrantes - Eventos",T_ORCAMENTOS!$H:$H,"7/2026")</f>
        <v>0</v>
      </c>
      <c r="AB63" s="80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37"/>
      <c r="AD63" s="79">
        <f>-SUMIFS(T_ORCAMENTOS!$E:$E,T_ORCAMENTOS!$C:$C,"Artistas e Palestrantes - Eventos",T_ORCAMENTOS!$H:$H,"8/2026")</f>
        <v>0</v>
      </c>
      <c r="AE63" s="80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37"/>
      <c r="AG63" s="79">
        <f>-SUMIFS(T_ORCAMENTOS!$E:$E,T_ORCAMENTOS!$C:$C,"Artistas e Palestrantes - Eventos",T_ORCAMENTOS!$H:$H,"9/2026")</f>
        <v>0</v>
      </c>
      <c r="AH63" s="80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37"/>
      <c r="AJ63" s="79">
        <f>-SUMIFS(T_ORCAMENTOS!$E:$E,T_ORCAMENTOS!$C:$C,"Artistas e Palestrantes - Eventos",T_ORCAMENTOS!$H:$H,"10/2026")</f>
        <v>0</v>
      </c>
      <c r="AK63" s="80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37"/>
      <c r="AM63" s="79">
        <f>-SUMIFS(T_ORCAMENTOS!$E:$E,T_ORCAMENTOS!$C:$C,"Artistas e Palestrantes - Eventos",T_ORCAMENTOS!$H:$H,"11/2026")</f>
        <v>0</v>
      </c>
      <c r="AN63" s="80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37"/>
      <c r="AP63" s="79">
        <f>-SUMIFS(T_ORCAMENTOS!$E:$E,T_ORCAMENTOS!$C:$C,"Artistas e Palestrantes - Eventos",T_ORCAMENTOS!$H:$H,"12/2026")</f>
        <v>0</v>
      </c>
      <c r="AQ63" s="80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37">
        <f t="shared" ca="1" si="61"/>
        <v>0</v>
      </c>
      <c r="AS63" s="26">
        <f t="shared" ca="1" si="62"/>
        <v>0</v>
      </c>
      <c r="AT63" s="80">
        <f t="shared" ca="1" si="63"/>
        <v>0</v>
      </c>
      <c r="AU63" s="237">
        <f t="shared" si="71"/>
        <v>0</v>
      </c>
      <c r="AV63" s="79">
        <f t="shared" si="71"/>
        <v>0</v>
      </c>
      <c r="AW63" s="80">
        <f t="shared" si="71"/>
        <v>0</v>
      </c>
      <c r="AX63" s="237">
        <f t="shared" si="72"/>
        <v>0</v>
      </c>
      <c r="AY63" s="79">
        <f t="shared" si="72"/>
        <v>0</v>
      </c>
      <c r="AZ63" s="80">
        <f t="shared" si="72"/>
        <v>0</v>
      </c>
      <c r="BA63" s="237">
        <f t="shared" si="73"/>
        <v>0</v>
      </c>
      <c r="BB63" s="79">
        <f t="shared" si="73"/>
        <v>0</v>
      </c>
      <c r="BC63" s="80">
        <f t="shared" si="73"/>
        <v>0</v>
      </c>
      <c r="BD63" s="237">
        <f t="shared" si="74"/>
        <v>0</v>
      </c>
      <c r="BE63" s="79">
        <f t="shared" si="74"/>
        <v>0</v>
      </c>
      <c r="BF63" s="80">
        <f t="shared" si="74"/>
        <v>0</v>
      </c>
      <c r="BG63" s="237">
        <f t="shared" si="75"/>
        <v>0</v>
      </c>
      <c r="BH63" s="79">
        <f t="shared" si="75"/>
        <v>0</v>
      </c>
      <c r="BI63" s="80">
        <f t="shared" si="75"/>
        <v>0</v>
      </c>
      <c r="BJ63" s="454"/>
    </row>
    <row r="64" spans="1:62" s="28" customFormat="1" hidden="1" outlineLevel="1" x14ac:dyDescent="0.3">
      <c r="A64" s="21" t="s">
        <v>84</v>
      </c>
      <c r="B64" s="2"/>
      <c r="C64" s="23"/>
      <c r="D64" s="67" t="s">
        <v>76</v>
      </c>
      <c r="E64" s="43">
        <v>-3.0000000000000001E-3</v>
      </c>
      <c r="F64" s="39"/>
      <c r="G64" s="22"/>
      <c r="H64" s="237"/>
      <c r="I64" s="79">
        <f>-SUMIFS(T_ORCAMENTOS!$E:$E,T_ORCAMENTOS!$C:$C,"Decoração - Eventos",T_ORCAMENTOS!$H:$H,"1/2026")</f>
        <v>0</v>
      </c>
      <c r="J64" s="80">
        <f>SUMIFS(Aut_BlueMe_Sem_Pedido!$J:$J,Aut_BlueMe_Sem_Pedido!$Q:$Q,DRE!H$4,Aut_BlueMe_Sem_Pedido!$H:$H,DRE!$A64)+SUMIFS(Aut_Ajustes_Manuais!$G:$G,Aut_Ajustes_Manuais!$I:$I,DRE!H$4,Aut_Ajustes_Manuais!$F:$F,"Decoração - Eventos")</f>
        <v>0</v>
      </c>
      <c r="K64" s="250"/>
      <c r="L64" s="79">
        <f>-SUMIFS(T_ORCAMENTOS!$E:$E,T_ORCAMENTOS!$C:$C,"Decoração - Eventos",T_ORCAMENTOS!$H:$H,"2/2026")</f>
        <v>0</v>
      </c>
      <c r="M64" s="80">
        <f>SUMIFS(Aut_BlueMe_Sem_Pedido!$J:$J,Aut_BlueMe_Sem_Pedido!$Q:$Q,DRE!K$4,Aut_BlueMe_Sem_Pedido!$H:$H,DRE!$A64)+SUMIFS(Aut_Ajustes_Manuais!$G:$G,Aut_Ajustes_Manuais!$I:$I,DRE!K$4,Aut_Ajustes_Manuais!$F:$F,"Decoração - Eventos")</f>
        <v>0</v>
      </c>
      <c r="N64" s="250"/>
      <c r="O64" s="79">
        <f>-SUMIFS(T_ORCAMENTOS!$E:$E,T_ORCAMENTOS!$C:$C,"Decoração - Eventos",T_ORCAMENTOS!$H:$H,"3/2026")</f>
        <v>0</v>
      </c>
      <c r="P64" s="80">
        <f>SUMIFS(Aut_BlueMe_Sem_Pedido!$J:$J,Aut_BlueMe_Sem_Pedido!$Q:$Q,DRE!N$4,Aut_BlueMe_Sem_Pedido!$H:$H,DRE!$A64)+SUMIFS(Aut_Ajustes_Manuais!$G:$G,Aut_Ajustes_Manuais!$I:$I,DRE!N$4,Aut_Ajustes_Manuais!$F:$F,"Decoração - Eventos")</f>
        <v>0</v>
      </c>
      <c r="Q64" s="237"/>
      <c r="R64" s="79">
        <f>-SUMIFS(T_ORCAMENTOS!$E:$E,T_ORCAMENTOS!$C:$C,"Decoração - Eventos",T_ORCAMENTOS!$H:$H,"4/2026")</f>
        <v>0</v>
      </c>
      <c r="S64" s="80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37"/>
      <c r="U64" s="79">
        <f>-SUMIFS(T_ORCAMENTOS!$E:$E,T_ORCAMENTOS!$C:$C,"Decoração - Eventos",T_ORCAMENTOS!$H:$H,"5/2026")</f>
        <v>0</v>
      </c>
      <c r="V64" s="80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37"/>
      <c r="X64" s="79">
        <f>-SUMIFS(T_ORCAMENTOS!$E:$E,T_ORCAMENTOS!$C:$C,"Decoração - Eventos",T_ORCAMENTOS!$H:$H,"6/2026")</f>
        <v>0</v>
      </c>
      <c r="Y64" s="80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37"/>
      <c r="AA64" s="79">
        <f>-SUMIFS(T_ORCAMENTOS!$E:$E,T_ORCAMENTOS!$C:$C,"Decoração - Eventos",T_ORCAMENTOS!$H:$H,"7/2026")</f>
        <v>0</v>
      </c>
      <c r="AB64" s="80">
        <f>SUMIFS(Aut_BlueMe_Sem_Pedido!$J:$J,Aut_BlueMe_Sem_Pedido!$Q:$Q,DRE!Z$4,Aut_BlueMe_Sem_Pedido!$H:$H,DRE!$A64)+SUMIFS(Aut_Ajustes_Manuais!$G:$G,Aut_Ajustes_Manuais!$I:$I,DRE!Z$4,Aut_Ajustes_Manuais!$F:$F,"Decoração - Eventos")</f>
        <v>0</v>
      </c>
      <c r="AC64" s="237"/>
      <c r="AD64" s="79">
        <f>-SUMIFS(T_ORCAMENTOS!$E:$E,T_ORCAMENTOS!$C:$C,"Decoração - Eventos",T_ORCAMENTOS!$H:$H,"8/2026")</f>
        <v>0</v>
      </c>
      <c r="AE64" s="80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37"/>
      <c r="AG64" s="79">
        <f>-SUMIFS(T_ORCAMENTOS!$E:$E,T_ORCAMENTOS!$C:$C,"Decoração - Eventos",T_ORCAMENTOS!$H:$H,"9/2026")</f>
        <v>0</v>
      </c>
      <c r="AH64" s="80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37"/>
      <c r="AJ64" s="79">
        <f>-SUMIFS(T_ORCAMENTOS!$E:$E,T_ORCAMENTOS!$C:$C,"Decoração - Eventos",T_ORCAMENTOS!$H:$H,"10/2026")</f>
        <v>0</v>
      </c>
      <c r="AK64" s="80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37"/>
      <c r="AM64" s="79">
        <f>-SUMIFS(T_ORCAMENTOS!$E:$E,T_ORCAMENTOS!$C:$C,"Decoração - Eventos",T_ORCAMENTOS!$H:$H,"11/2026")</f>
        <v>0</v>
      </c>
      <c r="AN64" s="80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37"/>
      <c r="AP64" s="79">
        <f>-SUMIFS(T_ORCAMENTOS!$E:$E,T_ORCAMENTOS!$C:$C,"Decoração - Eventos",T_ORCAMENTOS!$H:$H,"12/2026")</f>
        <v>0</v>
      </c>
      <c r="AQ64" s="80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37">
        <f t="shared" ca="1" si="61"/>
        <v>0</v>
      </c>
      <c r="AS64" s="26">
        <f t="shared" ca="1" si="62"/>
        <v>0</v>
      </c>
      <c r="AT64" s="80">
        <f t="shared" ca="1" si="63"/>
        <v>0</v>
      </c>
      <c r="AU64" s="237">
        <f t="shared" si="71"/>
        <v>0</v>
      </c>
      <c r="AV64" s="79">
        <f t="shared" si="71"/>
        <v>0</v>
      </c>
      <c r="AW64" s="80">
        <f t="shared" si="71"/>
        <v>0</v>
      </c>
      <c r="AX64" s="237">
        <f t="shared" si="72"/>
        <v>0</v>
      </c>
      <c r="AY64" s="79">
        <f t="shared" si="72"/>
        <v>0</v>
      </c>
      <c r="AZ64" s="80">
        <f t="shared" si="72"/>
        <v>0</v>
      </c>
      <c r="BA64" s="237">
        <f t="shared" si="73"/>
        <v>0</v>
      </c>
      <c r="BB64" s="79">
        <f t="shared" si="73"/>
        <v>0</v>
      </c>
      <c r="BC64" s="80">
        <f t="shared" si="73"/>
        <v>0</v>
      </c>
      <c r="BD64" s="237">
        <f t="shared" si="74"/>
        <v>0</v>
      </c>
      <c r="BE64" s="79">
        <f t="shared" si="74"/>
        <v>0</v>
      </c>
      <c r="BF64" s="80">
        <f t="shared" si="74"/>
        <v>0</v>
      </c>
      <c r="BG64" s="237">
        <f t="shared" si="75"/>
        <v>0</v>
      </c>
      <c r="BH64" s="79">
        <f t="shared" si="75"/>
        <v>0</v>
      </c>
      <c r="BI64" s="80">
        <f t="shared" si="75"/>
        <v>0</v>
      </c>
      <c r="BJ64" s="454"/>
    </row>
    <row r="65" spans="1:62" ht="18" hidden="1" customHeight="1" outlineLevel="1" x14ac:dyDescent="0.3">
      <c r="A65" s="71" t="s">
        <v>85</v>
      </c>
      <c r="C65" s="23"/>
      <c r="D65" s="67"/>
      <c r="E65" s="78"/>
      <c r="F65" s="39"/>
      <c r="H65" s="248"/>
      <c r="I65" s="72">
        <f>SUM(I66:I69)</f>
        <v>0</v>
      </c>
      <c r="J65" s="74">
        <f>SUM(J66:J69)+SUMIFS(Aut_Ajustes_Manuais!$G:$G,Aut_Ajustes_Manuais!$I:$I,DRE!H$4,Aut_Ajustes_Manuais!$F:$F,"Material de Consumo")</f>
        <v>0</v>
      </c>
      <c r="K65" s="248"/>
      <c r="L65" s="72">
        <f>SUM(L66:L69)</f>
        <v>0</v>
      </c>
      <c r="M65" s="74">
        <f>SUM(M66:M69)+SUMIFS(Aut_Ajustes_Manuais!$G:$G,Aut_Ajustes_Manuais!$I:$I,DRE!K$4,Aut_Ajustes_Manuais!$F:$F,"Material de Consumo")</f>
        <v>0</v>
      </c>
      <c r="N65" s="248"/>
      <c r="O65" s="72">
        <f>SUM(O66:O69)</f>
        <v>0</v>
      </c>
      <c r="P65" s="74">
        <f>SUM(P66:P69)+SUMIFS(Aut_Ajustes_Manuais!$G:$G,Aut_Ajustes_Manuais!$I:$I,DRE!N$4,Aut_Ajustes_Manuais!$F:$F,"Material de Consumo")</f>
        <v>0</v>
      </c>
      <c r="Q65" s="248"/>
      <c r="R65" s="72">
        <f>SUM(R66:R69)</f>
        <v>0</v>
      </c>
      <c r="S65" s="74">
        <f>SUM(S66:S69)+SUMIFS(Aut_Ajustes_Manuais!$G:$G,Aut_Ajustes_Manuais!$I:$I,DRE!Q$4,Aut_Ajustes_Manuais!$F:$F,"Material de Consumo")</f>
        <v>0</v>
      </c>
      <c r="T65" s="248"/>
      <c r="U65" s="72">
        <f>SUM(U66:U69)</f>
        <v>0</v>
      </c>
      <c r="V65" s="74">
        <f>SUM(V66:V69)+SUMIFS(Aut_Ajustes_Manuais!$G:$G,Aut_Ajustes_Manuais!$I:$I,DRE!T$4,Aut_Ajustes_Manuais!$F:$F,"Material de Consumo")</f>
        <v>0</v>
      </c>
      <c r="W65" s="248"/>
      <c r="X65" s="72">
        <f>SUM(X66:X69)</f>
        <v>0</v>
      </c>
      <c r="Y65" s="74">
        <f>SUM(Y66:Y69)+SUMIFS(Aut_Ajustes_Manuais!$G:$G,Aut_Ajustes_Manuais!$I:$I,DRE!W$4,Aut_Ajustes_Manuais!$F:$F,"Material de Consumo")</f>
        <v>0</v>
      </c>
      <c r="Z65" s="248"/>
      <c r="AA65" s="72">
        <f>SUM(AA66:AA69)</f>
        <v>0</v>
      </c>
      <c r="AB65" s="74">
        <f>SUM(AB66:AB69)+SUMIFS(Aut_Ajustes_Manuais!$G:$G,Aut_Ajustes_Manuais!$I:$I,DRE!Z$4,Aut_Ajustes_Manuais!$F:$F,"Material de Consumo")</f>
        <v>0</v>
      </c>
      <c r="AC65" s="248"/>
      <c r="AD65" s="72">
        <f>SUM(AD66:AD69)</f>
        <v>0</v>
      </c>
      <c r="AE65" s="74">
        <f>SUM(AE66:AE69)+SUMIFS(Aut_Ajustes_Manuais!$G:$G,Aut_Ajustes_Manuais!$I:$I,DRE!AC$4,Aut_Ajustes_Manuais!$F:$F,"Material de Consumo")</f>
        <v>0</v>
      </c>
      <c r="AF65" s="248"/>
      <c r="AG65" s="72">
        <f>SUM(AG66:AG69)</f>
        <v>0</v>
      </c>
      <c r="AH65" s="74">
        <f>SUM(AH66:AH69)+SUMIFS(Aut_Ajustes_Manuais!$G:$G,Aut_Ajustes_Manuais!$I:$I,DRE!AF$4,Aut_Ajustes_Manuais!$F:$F,"Material de Consumo")</f>
        <v>0</v>
      </c>
      <c r="AI65" s="248"/>
      <c r="AJ65" s="72">
        <f>SUM(AJ66:AJ69)</f>
        <v>0</v>
      </c>
      <c r="AK65" s="74">
        <f>SUM(AK66:AK69)+SUMIFS(Aut_Ajustes_Manuais!$G:$G,Aut_Ajustes_Manuais!$I:$I,DRE!AI$4,Aut_Ajustes_Manuais!$F:$F,"Material de Consumo")</f>
        <v>0</v>
      </c>
      <c r="AL65" s="248"/>
      <c r="AM65" s="72">
        <f>SUM(AM66:AM69)</f>
        <v>0</v>
      </c>
      <c r="AN65" s="74">
        <f>SUM(AN66:AN69)+SUMIFS(Aut_Ajustes_Manuais!$G:$G,Aut_Ajustes_Manuais!$I:$I,DRE!AL$4,Aut_Ajustes_Manuais!$F:$F,"Material de Consumo")</f>
        <v>0</v>
      </c>
      <c r="AO65" s="248"/>
      <c r="AP65" s="72">
        <f>SUM(AP66:AP69)</f>
        <v>0</v>
      </c>
      <c r="AQ65" s="74">
        <f>SUM(AQ66:AQ69)+SUMIFS(Aut_Ajustes_Manuais!$G:$G,Aut_Ajustes_Manuais!$I:$I,DRE!AO$4,Aut_Ajustes_Manuais!$F:$F,"Material de Consumo")</f>
        <v>0</v>
      </c>
      <c r="AR65" s="72">
        <f t="shared" ca="1" si="61"/>
        <v>0</v>
      </c>
      <c r="AS65" s="72">
        <f t="shared" ca="1" si="62"/>
        <v>0</v>
      </c>
      <c r="AT65" s="74">
        <f t="shared" ca="1" si="63"/>
        <v>0</v>
      </c>
      <c r="AU65" s="248">
        <f t="shared" ref="AU65:BI65" si="76">SUM(AU66:AU69)</f>
        <v>0</v>
      </c>
      <c r="AV65" s="72">
        <f t="shared" si="76"/>
        <v>0</v>
      </c>
      <c r="AW65" s="74">
        <f t="shared" si="76"/>
        <v>0</v>
      </c>
      <c r="AX65" s="248">
        <f t="shared" si="76"/>
        <v>0</v>
      </c>
      <c r="AY65" s="72">
        <f t="shared" si="76"/>
        <v>0</v>
      </c>
      <c r="AZ65" s="74">
        <f t="shared" si="76"/>
        <v>0</v>
      </c>
      <c r="BA65" s="248">
        <f t="shared" si="76"/>
        <v>0</v>
      </c>
      <c r="BB65" s="72">
        <f t="shared" si="76"/>
        <v>0</v>
      </c>
      <c r="BC65" s="74">
        <f t="shared" si="76"/>
        <v>0</v>
      </c>
      <c r="BD65" s="248">
        <f t="shared" si="76"/>
        <v>0</v>
      </c>
      <c r="BE65" s="72">
        <f t="shared" si="76"/>
        <v>0</v>
      </c>
      <c r="BF65" s="74">
        <f t="shared" si="76"/>
        <v>0</v>
      </c>
      <c r="BG65" s="248">
        <f t="shared" si="76"/>
        <v>0</v>
      </c>
      <c r="BH65" s="72">
        <f t="shared" si="76"/>
        <v>0</v>
      </c>
      <c r="BI65" s="74">
        <f t="shared" si="76"/>
        <v>0</v>
      </c>
    </row>
    <row r="66" spans="1:62" s="28" customFormat="1" hidden="1" outlineLevel="1" x14ac:dyDescent="0.3">
      <c r="A66" s="21" t="s">
        <v>86</v>
      </c>
      <c r="B66" s="2"/>
      <c r="C66" s="23"/>
      <c r="D66" s="67" t="s">
        <v>76</v>
      </c>
      <c r="E66" s="78"/>
      <c r="F66" s="39"/>
      <c r="G66" s="22"/>
      <c r="H66" s="237"/>
      <c r="I66" s="79">
        <f>-SUMIFS(T_ORCAMENTOS!$E:$E,T_ORCAMENTOS!$C:$C,"Material Descartável - Eventos",T_ORCAMENTOS!$H:$H,"1/2026")</f>
        <v>0</v>
      </c>
      <c r="J66" s="80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50"/>
      <c r="L66" s="79">
        <f>-SUMIFS(T_ORCAMENTOS!$E:$E,T_ORCAMENTOS!$C:$C,"Material Descartável - Eventos",T_ORCAMENTOS!$H:$H,"2/2026")</f>
        <v>0</v>
      </c>
      <c r="M66" s="80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50"/>
      <c r="O66" s="79">
        <f>-SUMIFS(T_ORCAMENTOS!$E:$E,T_ORCAMENTOS!$C:$C,"Material Descartável - Eventos",T_ORCAMENTOS!$H:$H,"3/2026")</f>
        <v>0</v>
      </c>
      <c r="P66" s="80">
        <f>SUMIFS(Aut_BlueMe_Sem_Pedido!$J:$J,Aut_BlueMe_Sem_Pedido!$Q:$Q,DRE!N$4,Aut_BlueMe_Sem_Pedido!$H:$H,DRE!$A66)+SUMIFS(Aut_Ajustes_Manuais!$G:$G,Aut_Ajustes_Manuais!$I:$I,DRE!N$4,Aut_Ajustes_Manuais!$F:$F,"Material Descartável - Eventos")</f>
        <v>0</v>
      </c>
      <c r="Q66" s="237"/>
      <c r="R66" s="79">
        <f>-SUMIFS(T_ORCAMENTOS!$E:$E,T_ORCAMENTOS!$C:$C,"Material Descartável - Eventos",T_ORCAMENTOS!$H:$H,"4/2026")</f>
        <v>0</v>
      </c>
      <c r="S66" s="80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37"/>
      <c r="U66" s="79">
        <f>-SUMIFS(T_ORCAMENTOS!$E:$E,T_ORCAMENTOS!$C:$C,"Material Descartável - Eventos",T_ORCAMENTOS!$H:$H,"5/2026")</f>
        <v>0</v>
      </c>
      <c r="V66" s="80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37"/>
      <c r="X66" s="79">
        <f>-SUMIFS(T_ORCAMENTOS!$E:$E,T_ORCAMENTOS!$C:$C,"Material Descartável - Eventos",T_ORCAMENTOS!$H:$H,"6/2026")</f>
        <v>0</v>
      </c>
      <c r="Y66" s="80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37"/>
      <c r="AA66" s="79">
        <f>-SUMIFS(T_ORCAMENTOS!$E:$E,T_ORCAMENTOS!$C:$C,"Material Descartável - Eventos",T_ORCAMENTOS!$H:$H,"7/2026")</f>
        <v>0</v>
      </c>
      <c r="AB66" s="80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37"/>
      <c r="AD66" s="79">
        <f>-SUMIFS(T_ORCAMENTOS!$E:$E,T_ORCAMENTOS!$C:$C,"Material Descartável - Eventos",T_ORCAMENTOS!$H:$H,"8/2026")</f>
        <v>0</v>
      </c>
      <c r="AE66" s="80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37"/>
      <c r="AG66" s="79">
        <f>-SUMIFS(T_ORCAMENTOS!$E:$E,T_ORCAMENTOS!$C:$C,"Material Descartável - Eventos",T_ORCAMENTOS!$H:$H,"9/2026")</f>
        <v>0</v>
      </c>
      <c r="AH66" s="80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37"/>
      <c r="AJ66" s="79">
        <f>-SUMIFS(T_ORCAMENTOS!$E:$E,T_ORCAMENTOS!$C:$C,"Material Descartável - Eventos",T_ORCAMENTOS!$H:$H,"10/2026")</f>
        <v>0</v>
      </c>
      <c r="AK66" s="80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37"/>
      <c r="AM66" s="79">
        <f>-SUMIFS(T_ORCAMENTOS!$E:$E,T_ORCAMENTOS!$C:$C,"Material Descartável - Eventos",T_ORCAMENTOS!$H:$H,"11/2026")</f>
        <v>0</v>
      </c>
      <c r="AN66" s="80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37"/>
      <c r="AP66" s="79">
        <f>-SUMIFS(T_ORCAMENTOS!$E:$E,T_ORCAMENTOS!$C:$C,"Material Descartável - Eventos",T_ORCAMENTOS!$H:$H,"12/2026")</f>
        <v>0</v>
      </c>
      <c r="AQ66" s="80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37">
        <f t="shared" ca="1" si="61"/>
        <v>0</v>
      </c>
      <c r="AS66" s="26">
        <f t="shared" ca="1" si="62"/>
        <v>0</v>
      </c>
      <c r="AT66" s="80">
        <f t="shared" ca="1" si="63"/>
        <v>0</v>
      </c>
      <c r="AU66" s="237">
        <f t="shared" ref="AU66:AW69" si="77">SUM(H66,K66,N66,Q66,T66,W66,Z66,AC66,AF66,AI66,AL66,AO66)</f>
        <v>0</v>
      </c>
      <c r="AV66" s="79">
        <f t="shared" si="77"/>
        <v>0</v>
      </c>
      <c r="AW66" s="80">
        <f t="shared" si="77"/>
        <v>0</v>
      </c>
      <c r="AX66" s="237">
        <f t="shared" ref="AX66:AZ69" si="78">SUM(H66,K66,N66)</f>
        <v>0</v>
      </c>
      <c r="AY66" s="79">
        <f t="shared" si="78"/>
        <v>0</v>
      </c>
      <c r="AZ66" s="80">
        <f t="shared" si="78"/>
        <v>0</v>
      </c>
      <c r="BA66" s="237">
        <f t="shared" ref="BA66:BC69" si="79">SUM(Q66,T66,W66)</f>
        <v>0</v>
      </c>
      <c r="BB66" s="79">
        <f t="shared" si="79"/>
        <v>0</v>
      </c>
      <c r="BC66" s="80">
        <f t="shared" si="79"/>
        <v>0</v>
      </c>
      <c r="BD66" s="237">
        <f t="shared" ref="BD66:BF69" si="80">SUM(Z66,AC66,AF66)</f>
        <v>0</v>
      </c>
      <c r="BE66" s="79">
        <f t="shared" si="80"/>
        <v>0</v>
      </c>
      <c r="BF66" s="80">
        <f t="shared" si="80"/>
        <v>0</v>
      </c>
      <c r="BG66" s="237">
        <f t="shared" ref="BG66:BI69" si="81">SUM(AI66,AL66,AO66)</f>
        <v>0</v>
      </c>
      <c r="BH66" s="79">
        <f t="shared" si="81"/>
        <v>0</v>
      </c>
      <c r="BI66" s="80">
        <f t="shared" si="81"/>
        <v>0</v>
      </c>
      <c r="BJ66" s="454"/>
    </row>
    <row r="67" spans="1:62" s="28" customFormat="1" hidden="1" outlineLevel="1" x14ac:dyDescent="0.3">
      <c r="A67" s="21" t="s">
        <v>87</v>
      </c>
      <c r="B67" s="2"/>
      <c r="C67" s="23"/>
      <c r="D67" s="67" t="s">
        <v>76</v>
      </c>
      <c r="E67" s="78"/>
      <c r="F67" s="39"/>
      <c r="G67" s="22"/>
      <c r="H67" s="237"/>
      <c r="I67" s="79">
        <f>-SUMIFS(T_ORCAMENTOS!$E:$E,T_ORCAMENTOS!$C:$C,"Brindes e Confraternizações - Eventos",T_ORCAMENTOS!$H:$H,"1/2026")</f>
        <v>0</v>
      </c>
      <c r="J67" s="80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50"/>
      <c r="L67" s="79">
        <f>-SUMIFS(T_ORCAMENTOS!$E:$E,T_ORCAMENTOS!$C:$C,"Brindes e Confraternizações - Eventos",T_ORCAMENTOS!$H:$H,"2/2026")</f>
        <v>0</v>
      </c>
      <c r="M67" s="80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50"/>
      <c r="O67" s="79">
        <f>-SUMIFS(T_ORCAMENTOS!$E:$E,T_ORCAMENTOS!$C:$C,"Brindes e Confraternizações - Eventos",T_ORCAMENTOS!$H:$H,"3/2026")</f>
        <v>0</v>
      </c>
      <c r="P67" s="80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37"/>
      <c r="R67" s="79">
        <f>-SUMIFS(T_ORCAMENTOS!$E:$E,T_ORCAMENTOS!$C:$C,"Brindes e Confraternizações - Eventos",T_ORCAMENTOS!$H:$H,"4/2026")</f>
        <v>0</v>
      </c>
      <c r="S67" s="80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37"/>
      <c r="U67" s="79">
        <f>-SUMIFS(T_ORCAMENTOS!$E:$E,T_ORCAMENTOS!$C:$C,"Brindes e Confraternizações - Eventos",T_ORCAMENTOS!$H:$H,"5/2026")</f>
        <v>0</v>
      </c>
      <c r="V67" s="80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37"/>
      <c r="X67" s="79">
        <f>-SUMIFS(T_ORCAMENTOS!$E:$E,T_ORCAMENTOS!$C:$C,"Brindes e Confraternizações - Eventos",T_ORCAMENTOS!$H:$H,"6/2026")</f>
        <v>0</v>
      </c>
      <c r="Y67" s="80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37"/>
      <c r="AA67" s="79">
        <f>-SUMIFS(T_ORCAMENTOS!$E:$E,T_ORCAMENTOS!$C:$C,"Brindes e Confraternizações - Eventos",T_ORCAMENTOS!$H:$H,"7/2026")</f>
        <v>0</v>
      </c>
      <c r="AB67" s="80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37"/>
      <c r="AD67" s="79">
        <f>-SUMIFS(T_ORCAMENTOS!$E:$E,T_ORCAMENTOS!$C:$C,"Brindes e Confraternizações - Eventos",T_ORCAMENTOS!$H:$H,"8/2026")</f>
        <v>0</v>
      </c>
      <c r="AE67" s="80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37"/>
      <c r="AG67" s="79">
        <f>-SUMIFS(T_ORCAMENTOS!$E:$E,T_ORCAMENTOS!$C:$C,"Brindes e Confraternizações - Eventos",T_ORCAMENTOS!$H:$H,"9/2026")</f>
        <v>0</v>
      </c>
      <c r="AH67" s="80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37"/>
      <c r="AJ67" s="79">
        <f>-SUMIFS(T_ORCAMENTOS!$E:$E,T_ORCAMENTOS!$C:$C,"Brindes e Confraternizações - Eventos",T_ORCAMENTOS!$H:$H,"10/2026")</f>
        <v>0</v>
      </c>
      <c r="AK67" s="80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37"/>
      <c r="AM67" s="79">
        <f>-SUMIFS(T_ORCAMENTOS!$E:$E,T_ORCAMENTOS!$C:$C,"Brindes e Confraternizações - Eventos",T_ORCAMENTOS!$H:$H,"11/2026")</f>
        <v>0</v>
      </c>
      <c r="AN67" s="80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37"/>
      <c r="AP67" s="79">
        <f>-SUMIFS(T_ORCAMENTOS!$E:$E,T_ORCAMENTOS!$C:$C,"Brindes e Confraternizações - Eventos",T_ORCAMENTOS!$H:$H,"12/2026")</f>
        <v>0</v>
      </c>
      <c r="AQ67" s="80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37">
        <f t="shared" ca="1" si="61"/>
        <v>0</v>
      </c>
      <c r="AS67" s="26">
        <f t="shared" ca="1" si="62"/>
        <v>0</v>
      </c>
      <c r="AT67" s="80">
        <f t="shared" ca="1" si="63"/>
        <v>0</v>
      </c>
      <c r="AU67" s="237">
        <f t="shared" si="77"/>
        <v>0</v>
      </c>
      <c r="AV67" s="79">
        <f t="shared" si="77"/>
        <v>0</v>
      </c>
      <c r="AW67" s="80">
        <f t="shared" si="77"/>
        <v>0</v>
      </c>
      <c r="AX67" s="237">
        <f t="shared" si="78"/>
        <v>0</v>
      </c>
      <c r="AY67" s="79">
        <f t="shared" si="78"/>
        <v>0</v>
      </c>
      <c r="AZ67" s="80">
        <f t="shared" si="78"/>
        <v>0</v>
      </c>
      <c r="BA67" s="237">
        <f t="shared" si="79"/>
        <v>0</v>
      </c>
      <c r="BB67" s="79">
        <f t="shared" si="79"/>
        <v>0</v>
      </c>
      <c r="BC67" s="80">
        <f t="shared" si="79"/>
        <v>0</v>
      </c>
      <c r="BD67" s="237">
        <f t="shared" si="80"/>
        <v>0</v>
      </c>
      <c r="BE67" s="79">
        <f t="shared" si="80"/>
        <v>0</v>
      </c>
      <c r="BF67" s="80">
        <f t="shared" si="80"/>
        <v>0</v>
      </c>
      <c r="BG67" s="237">
        <f t="shared" si="81"/>
        <v>0</v>
      </c>
      <c r="BH67" s="79">
        <f t="shared" si="81"/>
        <v>0</v>
      </c>
      <c r="BI67" s="80">
        <f t="shared" si="81"/>
        <v>0</v>
      </c>
      <c r="BJ67" s="454"/>
    </row>
    <row r="68" spans="1:62" s="28" customFormat="1" hidden="1" outlineLevel="1" x14ac:dyDescent="0.3">
      <c r="A68" s="21" t="s">
        <v>88</v>
      </c>
      <c r="B68" s="2"/>
      <c r="C68" s="23"/>
      <c r="D68" s="67" t="s">
        <v>76</v>
      </c>
      <c r="E68" s="78"/>
      <c r="F68" s="39"/>
      <c r="G68" s="22"/>
      <c r="H68" s="237"/>
      <c r="I68" s="79">
        <f>-SUMIFS(T_ORCAMENTOS!$E:$E,T_ORCAMENTOS!$C:$C,"Material de Escritório - Eventos",T_ORCAMENTOS!$H:$H,"1/2026")</f>
        <v>0</v>
      </c>
      <c r="J68" s="80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50"/>
      <c r="L68" s="79">
        <f>-SUMIFS(T_ORCAMENTOS!$E:$E,T_ORCAMENTOS!$C:$C,"Material de Escritório - Eventos",T_ORCAMENTOS!$H:$H,"2/2026")</f>
        <v>0</v>
      </c>
      <c r="M68" s="80">
        <f>SUMIFS(Aut_BlueMe_Sem_Pedido!$J:$J,Aut_BlueMe_Sem_Pedido!$Q:$Q,DRE!K$4,Aut_BlueMe_Sem_Pedido!$H:$H,DRE!$A68)+SUMIFS(Aut_Ajustes_Manuais!$G:$G,Aut_Ajustes_Manuais!$I:$I,DRE!K$4,Aut_Ajustes_Manuais!$F:$F,"Material de Escritório - Eventos")</f>
        <v>0</v>
      </c>
      <c r="N68" s="250"/>
      <c r="O68" s="79">
        <f>-SUMIFS(T_ORCAMENTOS!$E:$E,T_ORCAMENTOS!$C:$C,"Material de Escritório - Eventos",T_ORCAMENTOS!$H:$H,"3/2026")</f>
        <v>0</v>
      </c>
      <c r="P68" s="80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37"/>
      <c r="R68" s="79">
        <f>-SUMIFS(T_ORCAMENTOS!$E:$E,T_ORCAMENTOS!$C:$C,"Material de Escritório - Eventos",T_ORCAMENTOS!$H:$H,"4/2026")</f>
        <v>0</v>
      </c>
      <c r="S68" s="80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37"/>
      <c r="U68" s="79">
        <f>-SUMIFS(T_ORCAMENTOS!$E:$E,T_ORCAMENTOS!$C:$C,"Material de Escritório - Eventos",T_ORCAMENTOS!$H:$H,"5/2026")</f>
        <v>0</v>
      </c>
      <c r="V68" s="80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37"/>
      <c r="X68" s="79">
        <f>-SUMIFS(T_ORCAMENTOS!$E:$E,T_ORCAMENTOS!$C:$C,"Material de Escritório - Eventos",T_ORCAMENTOS!$H:$H,"6/2026")</f>
        <v>0</v>
      </c>
      <c r="Y68" s="80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37"/>
      <c r="AA68" s="79">
        <f>-SUMIFS(T_ORCAMENTOS!$E:$E,T_ORCAMENTOS!$C:$C,"Material de Escritório - Eventos",T_ORCAMENTOS!$H:$H,"7/2026")</f>
        <v>0</v>
      </c>
      <c r="AB68" s="80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37"/>
      <c r="AD68" s="79">
        <f>-SUMIFS(T_ORCAMENTOS!$E:$E,T_ORCAMENTOS!$C:$C,"Material de Escritório - Eventos",T_ORCAMENTOS!$H:$H,"8/2026")</f>
        <v>0</v>
      </c>
      <c r="AE68" s="80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37"/>
      <c r="AG68" s="79">
        <f>-SUMIFS(T_ORCAMENTOS!$E:$E,T_ORCAMENTOS!$C:$C,"Material de Escritório - Eventos",T_ORCAMENTOS!$H:$H,"9/2026")</f>
        <v>0</v>
      </c>
      <c r="AH68" s="80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37"/>
      <c r="AJ68" s="79">
        <f>-SUMIFS(T_ORCAMENTOS!$E:$E,T_ORCAMENTOS!$C:$C,"Material de Escritório - Eventos",T_ORCAMENTOS!$H:$H,"10/2026")</f>
        <v>0</v>
      </c>
      <c r="AK68" s="80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37"/>
      <c r="AM68" s="79">
        <f>-SUMIFS(T_ORCAMENTOS!$E:$E,T_ORCAMENTOS!$C:$C,"Material de Escritório - Eventos",T_ORCAMENTOS!$H:$H,"11/2026")</f>
        <v>0</v>
      </c>
      <c r="AN68" s="80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37"/>
      <c r="AP68" s="79">
        <f>-SUMIFS(T_ORCAMENTOS!$E:$E,T_ORCAMENTOS!$C:$C,"Material de Escritório - Eventos",T_ORCAMENTOS!$H:$H,"12/2026")</f>
        <v>0</v>
      </c>
      <c r="AQ68" s="80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37">
        <f t="shared" ca="1" si="61"/>
        <v>0</v>
      </c>
      <c r="AS68" s="26">
        <f t="shared" ca="1" si="62"/>
        <v>0</v>
      </c>
      <c r="AT68" s="80">
        <f t="shared" ca="1" si="63"/>
        <v>0</v>
      </c>
      <c r="AU68" s="237">
        <f t="shared" si="77"/>
        <v>0</v>
      </c>
      <c r="AV68" s="79">
        <f t="shared" si="77"/>
        <v>0</v>
      </c>
      <c r="AW68" s="80">
        <f t="shared" si="77"/>
        <v>0</v>
      </c>
      <c r="AX68" s="237">
        <f t="shared" si="78"/>
        <v>0</v>
      </c>
      <c r="AY68" s="79">
        <f t="shared" si="78"/>
        <v>0</v>
      </c>
      <c r="AZ68" s="80">
        <f t="shared" si="78"/>
        <v>0</v>
      </c>
      <c r="BA68" s="237">
        <f t="shared" si="79"/>
        <v>0</v>
      </c>
      <c r="BB68" s="79">
        <f t="shared" si="79"/>
        <v>0</v>
      </c>
      <c r="BC68" s="80">
        <f t="shared" si="79"/>
        <v>0</v>
      </c>
      <c r="BD68" s="237">
        <f t="shared" si="80"/>
        <v>0</v>
      </c>
      <c r="BE68" s="79">
        <f t="shared" si="80"/>
        <v>0</v>
      </c>
      <c r="BF68" s="80">
        <f t="shared" si="80"/>
        <v>0</v>
      </c>
      <c r="BG68" s="237">
        <f t="shared" si="81"/>
        <v>0</v>
      </c>
      <c r="BH68" s="79">
        <f t="shared" si="81"/>
        <v>0</v>
      </c>
      <c r="BI68" s="80">
        <f t="shared" si="81"/>
        <v>0</v>
      </c>
      <c r="BJ68" s="454"/>
    </row>
    <row r="69" spans="1:62" s="28" customFormat="1" hidden="1" outlineLevel="1" x14ac:dyDescent="0.3">
      <c r="A69" s="21" t="s">
        <v>89</v>
      </c>
      <c r="B69" s="2"/>
      <c r="C69" s="23"/>
      <c r="D69" s="67" t="s">
        <v>76</v>
      </c>
      <c r="E69" s="78"/>
      <c r="F69" s="39"/>
      <c r="G69" s="22"/>
      <c r="H69" s="237"/>
      <c r="I69" s="79">
        <f>-SUMIFS(T_ORCAMENTOS!$E:$E,T_ORCAMENTOS!$C:$C,"Material de Manutenção - Eventos",T_ORCAMENTOS!$H:$H,"1/2026")</f>
        <v>0</v>
      </c>
      <c r="J69" s="80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50"/>
      <c r="L69" s="79">
        <f>-SUMIFS(T_ORCAMENTOS!$E:$E,T_ORCAMENTOS!$C:$C,"Material de Manutenção - Eventos",T_ORCAMENTOS!$H:$H,"2/2026")</f>
        <v>0</v>
      </c>
      <c r="M69" s="80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50"/>
      <c r="O69" s="79">
        <f>-SUMIFS(T_ORCAMENTOS!$E:$E,T_ORCAMENTOS!$C:$C,"Material de Manutenção - Eventos",T_ORCAMENTOS!$H:$H,"3/2026")</f>
        <v>0</v>
      </c>
      <c r="P69" s="80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37"/>
      <c r="R69" s="79">
        <f>-SUMIFS(T_ORCAMENTOS!$E:$E,T_ORCAMENTOS!$C:$C,"Material de Manutenção - Eventos",T_ORCAMENTOS!$H:$H,"4/2026")</f>
        <v>0</v>
      </c>
      <c r="S69" s="80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37"/>
      <c r="U69" s="79">
        <f>-SUMIFS(T_ORCAMENTOS!$E:$E,T_ORCAMENTOS!$C:$C,"Material de Manutenção - Eventos",T_ORCAMENTOS!$H:$H,"5/2026")</f>
        <v>0</v>
      </c>
      <c r="V69" s="80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37"/>
      <c r="X69" s="79">
        <f>-SUMIFS(T_ORCAMENTOS!$E:$E,T_ORCAMENTOS!$C:$C,"Material de Manutenção - Eventos",T_ORCAMENTOS!$H:$H,"6/2026")</f>
        <v>0</v>
      </c>
      <c r="Y69" s="80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37"/>
      <c r="AA69" s="79">
        <f>-SUMIFS(T_ORCAMENTOS!$E:$E,T_ORCAMENTOS!$C:$C,"Material de Manutenção - Eventos",T_ORCAMENTOS!$H:$H,"7/2026")</f>
        <v>0</v>
      </c>
      <c r="AB69" s="80">
        <f>SUMIFS(Aut_BlueMe_Sem_Pedido!$J:$J,Aut_BlueMe_Sem_Pedido!$Q:$Q,DRE!Z$4,Aut_BlueMe_Sem_Pedido!$H:$H,DRE!$A69)+SUMIFS(Aut_Ajustes_Manuais!$G:$G,Aut_Ajustes_Manuais!$I:$I,DRE!Z$4,Aut_Ajustes_Manuais!$F:$F,"Material de Manutenção - Eventos")</f>
        <v>0</v>
      </c>
      <c r="AC69" s="237"/>
      <c r="AD69" s="79">
        <f>-SUMIFS(T_ORCAMENTOS!$E:$E,T_ORCAMENTOS!$C:$C,"Material de Manutenção - Eventos",T_ORCAMENTOS!$H:$H,"8/2026")</f>
        <v>0</v>
      </c>
      <c r="AE69" s="80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37"/>
      <c r="AG69" s="79">
        <f>-SUMIFS(T_ORCAMENTOS!$E:$E,T_ORCAMENTOS!$C:$C,"Material de Manutenção - Eventos",T_ORCAMENTOS!$H:$H,"9/2026")</f>
        <v>0</v>
      </c>
      <c r="AH69" s="80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37"/>
      <c r="AJ69" s="79">
        <f>-SUMIFS(T_ORCAMENTOS!$E:$E,T_ORCAMENTOS!$C:$C,"Material de Manutenção - Eventos",T_ORCAMENTOS!$H:$H,"10/2026")</f>
        <v>0</v>
      </c>
      <c r="AK69" s="80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37"/>
      <c r="AM69" s="79">
        <f>-SUMIFS(T_ORCAMENTOS!$E:$E,T_ORCAMENTOS!$C:$C,"Material de Manutenção - Eventos",T_ORCAMENTOS!$H:$H,"11/2026")</f>
        <v>0</v>
      </c>
      <c r="AN69" s="80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37"/>
      <c r="AP69" s="79">
        <f>-SUMIFS(T_ORCAMENTOS!$E:$E,T_ORCAMENTOS!$C:$C,"Material de Manutenção - Eventos",T_ORCAMENTOS!$H:$H,"12/2026")</f>
        <v>0</v>
      </c>
      <c r="AQ69" s="80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37">
        <f t="shared" ca="1" si="61"/>
        <v>0</v>
      </c>
      <c r="AS69" s="26">
        <f t="shared" ca="1" si="62"/>
        <v>0</v>
      </c>
      <c r="AT69" s="80">
        <f t="shared" ca="1" si="63"/>
        <v>0</v>
      </c>
      <c r="AU69" s="237">
        <f t="shared" si="77"/>
        <v>0</v>
      </c>
      <c r="AV69" s="79">
        <f t="shared" si="77"/>
        <v>0</v>
      </c>
      <c r="AW69" s="80">
        <f t="shared" si="77"/>
        <v>0</v>
      </c>
      <c r="AX69" s="237">
        <f t="shared" si="78"/>
        <v>0</v>
      </c>
      <c r="AY69" s="79">
        <f t="shared" si="78"/>
        <v>0</v>
      </c>
      <c r="AZ69" s="80">
        <f t="shared" si="78"/>
        <v>0</v>
      </c>
      <c r="BA69" s="237">
        <f t="shared" si="79"/>
        <v>0</v>
      </c>
      <c r="BB69" s="79">
        <f t="shared" si="79"/>
        <v>0</v>
      </c>
      <c r="BC69" s="80">
        <f t="shared" si="79"/>
        <v>0</v>
      </c>
      <c r="BD69" s="237">
        <f t="shared" si="80"/>
        <v>0</v>
      </c>
      <c r="BE69" s="79">
        <f t="shared" si="80"/>
        <v>0</v>
      </c>
      <c r="BF69" s="80">
        <f t="shared" si="80"/>
        <v>0</v>
      </c>
      <c r="BG69" s="237">
        <f t="shared" si="81"/>
        <v>0</v>
      </c>
      <c r="BH69" s="79">
        <f t="shared" si="81"/>
        <v>0</v>
      </c>
      <c r="BI69" s="80">
        <f t="shared" si="81"/>
        <v>0</v>
      </c>
      <c r="BJ69" s="454"/>
    </row>
    <row r="70" spans="1:62" ht="18" hidden="1" customHeight="1" outlineLevel="1" x14ac:dyDescent="0.3">
      <c r="A70" s="71" t="s">
        <v>90</v>
      </c>
      <c r="C70" s="23"/>
      <c r="D70" s="67"/>
      <c r="E70" s="78"/>
      <c r="F70" s="39"/>
      <c r="H70" s="248"/>
      <c r="I70" s="72">
        <f>SUM(I71:I72)</f>
        <v>0</v>
      </c>
      <c r="J70" s="74">
        <f>SUM(J71:J72)+SUMIFS(Aut_Ajustes_Manuais!$G:$G,Aut_Ajustes_Manuais!$I:$I,DRE!H$4,Aut_Ajustes_Manuais!$F:$F,"Manutenção Geral")</f>
        <v>0</v>
      </c>
      <c r="K70" s="248"/>
      <c r="L70" s="72">
        <f>SUM(L71:L72)</f>
        <v>0</v>
      </c>
      <c r="M70" s="74">
        <f>SUM(M71:M72)+SUMIFS(Aut_Ajustes_Manuais!$G:$G,Aut_Ajustes_Manuais!$I:$I,DRE!K$4,Aut_Ajustes_Manuais!$F:$F,"Manutenção Geral")</f>
        <v>0</v>
      </c>
      <c r="N70" s="248"/>
      <c r="O70" s="72">
        <f>SUM(O71:O72)</f>
        <v>0</v>
      </c>
      <c r="P70" s="74">
        <f>SUM(P71:P72)+SUMIFS(Aut_Ajustes_Manuais!$G:$G,Aut_Ajustes_Manuais!$I:$I,DRE!N$4,Aut_Ajustes_Manuais!$F:$F,"Manutenção Geral")</f>
        <v>0</v>
      </c>
      <c r="Q70" s="248"/>
      <c r="R70" s="72">
        <f>SUM(R71:R72)</f>
        <v>0</v>
      </c>
      <c r="S70" s="74">
        <f>SUM(S71:S72)+SUMIFS(Aut_Ajustes_Manuais!$G:$G,Aut_Ajustes_Manuais!$I:$I,DRE!Q$4,Aut_Ajustes_Manuais!$F:$F,"Manutenção Geral")</f>
        <v>0</v>
      </c>
      <c r="T70" s="248"/>
      <c r="U70" s="72">
        <f>SUM(U71:U72)</f>
        <v>0</v>
      </c>
      <c r="V70" s="74">
        <f>SUM(V71:V72)+SUMIFS(Aut_Ajustes_Manuais!$G:$G,Aut_Ajustes_Manuais!$I:$I,DRE!T$4,Aut_Ajustes_Manuais!$F:$F,"Manutenção Geral")</f>
        <v>0</v>
      </c>
      <c r="W70" s="248"/>
      <c r="X70" s="72">
        <f>SUM(X71:X72)</f>
        <v>0</v>
      </c>
      <c r="Y70" s="74">
        <f>SUM(Y71:Y72)+SUMIFS(Aut_Ajustes_Manuais!$G:$G,Aut_Ajustes_Manuais!$I:$I,DRE!W$4,Aut_Ajustes_Manuais!$F:$F,"Manutenção Geral")</f>
        <v>0</v>
      </c>
      <c r="Z70" s="248"/>
      <c r="AA70" s="72">
        <f>SUM(AA71:AA72)</f>
        <v>0</v>
      </c>
      <c r="AB70" s="74">
        <f>SUM(AB71:AB72)+SUMIFS(Aut_Ajustes_Manuais!$G:$G,Aut_Ajustes_Manuais!$I:$I,DRE!Z$4,Aut_Ajustes_Manuais!$F:$F,"Manutenção Geral")</f>
        <v>0</v>
      </c>
      <c r="AC70" s="248"/>
      <c r="AD70" s="72">
        <f>SUM(AD71:AD72)</f>
        <v>0</v>
      </c>
      <c r="AE70" s="74">
        <f>SUM(AE71:AE72)+SUMIFS(Aut_Ajustes_Manuais!$G:$G,Aut_Ajustes_Manuais!$I:$I,DRE!AC$4,Aut_Ajustes_Manuais!$F:$F,"Manutenção Geral")</f>
        <v>0</v>
      </c>
      <c r="AF70" s="248"/>
      <c r="AG70" s="72">
        <f>SUM(AG71:AG72)</f>
        <v>0</v>
      </c>
      <c r="AH70" s="74">
        <f>SUM(AH71:AH72)+SUMIFS(Aut_Ajustes_Manuais!$G:$G,Aut_Ajustes_Manuais!$I:$I,DRE!AF$4,Aut_Ajustes_Manuais!$F:$F,"Manutenção Geral")</f>
        <v>0</v>
      </c>
      <c r="AI70" s="248"/>
      <c r="AJ70" s="72">
        <f>SUM(AJ71:AJ72)</f>
        <v>0</v>
      </c>
      <c r="AK70" s="74">
        <f>SUM(AK71:AK72)+SUMIFS(Aut_Ajustes_Manuais!$G:$G,Aut_Ajustes_Manuais!$I:$I,DRE!AI$4,Aut_Ajustes_Manuais!$F:$F,"Manutenção Geral")</f>
        <v>0</v>
      </c>
      <c r="AL70" s="248"/>
      <c r="AM70" s="72">
        <f>SUM(AM71:AM72)</f>
        <v>0</v>
      </c>
      <c r="AN70" s="74">
        <f>SUM(AN71:AN72)+SUMIFS(Aut_Ajustes_Manuais!$G:$G,Aut_Ajustes_Manuais!$I:$I,DRE!AL$4,Aut_Ajustes_Manuais!$F:$F,"Manutenção Geral")</f>
        <v>0</v>
      </c>
      <c r="AO70" s="248"/>
      <c r="AP70" s="72">
        <f>SUM(AP71:AP72)</f>
        <v>0</v>
      </c>
      <c r="AQ70" s="74">
        <f>SUM(AQ71:AQ72)+SUMIFS(Aut_Ajustes_Manuais!$G:$G,Aut_Ajustes_Manuais!$I:$I,DRE!AO$4,Aut_Ajustes_Manuais!$F:$F,"Manutenção Geral")</f>
        <v>0</v>
      </c>
      <c r="AR70" s="72">
        <f t="shared" ca="1" si="61"/>
        <v>0</v>
      </c>
      <c r="AS70" s="72">
        <f t="shared" ca="1" si="62"/>
        <v>0</v>
      </c>
      <c r="AT70" s="74">
        <f t="shared" ca="1" si="63"/>
        <v>0</v>
      </c>
      <c r="AU70" s="248">
        <f t="shared" ref="AU70:BI70" si="82">SUM(AU71:AU72)</f>
        <v>0</v>
      </c>
      <c r="AV70" s="72">
        <f t="shared" si="82"/>
        <v>0</v>
      </c>
      <c r="AW70" s="74">
        <f t="shared" si="82"/>
        <v>0</v>
      </c>
      <c r="AX70" s="248">
        <f t="shared" si="82"/>
        <v>0</v>
      </c>
      <c r="AY70" s="72">
        <f t="shared" si="82"/>
        <v>0</v>
      </c>
      <c r="AZ70" s="74">
        <f t="shared" si="82"/>
        <v>0</v>
      </c>
      <c r="BA70" s="248">
        <f t="shared" si="82"/>
        <v>0</v>
      </c>
      <c r="BB70" s="72">
        <f t="shared" si="82"/>
        <v>0</v>
      </c>
      <c r="BC70" s="74">
        <f t="shared" si="82"/>
        <v>0</v>
      </c>
      <c r="BD70" s="248">
        <f t="shared" si="82"/>
        <v>0</v>
      </c>
      <c r="BE70" s="72">
        <f t="shared" si="82"/>
        <v>0</v>
      </c>
      <c r="BF70" s="74">
        <f t="shared" si="82"/>
        <v>0</v>
      </c>
      <c r="BG70" s="248">
        <f t="shared" si="82"/>
        <v>0</v>
      </c>
      <c r="BH70" s="72">
        <f t="shared" si="82"/>
        <v>0</v>
      </c>
      <c r="BI70" s="74">
        <f t="shared" si="82"/>
        <v>0</v>
      </c>
    </row>
    <row r="71" spans="1:62" s="28" customFormat="1" ht="25.2" hidden="1" customHeight="1" outlineLevel="1" x14ac:dyDescent="0.3">
      <c r="A71" s="21" t="s">
        <v>91</v>
      </c>
      <c r="B71" s="2"/>
      <c r="C71" s="23" t="s">
        <v>92</v>
      </c>
      <c r="D71" s="67" t="s">
        <v>76</v>
      </c>
      <c r="E71" s="78"/>
      <c r="F71" s="39"/>
      <c r="G71" s="22"/>
      <c r="H71" s="237"/>
      <c r="I71" s="79">
        <f>-SUMIFS(T_ORCAMENTOS!$E:$E,T_ORCAMENTOS!$C:$C,"Serviço de Manutenção - Estrutura - Eventos",T_ORCAMENTOS!$H:$H,"1/2026")</f>
        <v>0</v>
      </c>
      <c r="J71" s="80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50"/>
      <c r="L71" s="79">
        <f>-SUMIFS(T_ORCAMENTOS!$E:$E,T_ORCAMENTOS!$C:$C,"Serviço de Manutenção - Estrutura - Eventos",T_ORCAMENTOS!$H:$H,"2/2026")</f>
        <v>0</v>
      </c>
      <c r="M71" s="80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50"/>
      <c r="O71" s="79">
        <f>-SUMIFS(T_ORCAMENTOS!$E:$E,T_ORCAMENTOS!$C:$C,"Serviço de Manutenção - Estrutura - Eventos",T_ORCAMENTOS!$H:$H,"3/2026")</f>
        <v>0</v>
      </c>
      <c r="P71" s="80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37"/>
      <c r="R71" s="79">
        <f>-SUMIFS(T_ORCAMENTOS!$E:$E,T_ORCAMENTOS!$C:$C,"Serviço de Manutenção - Estrutura - Eventos",T_ORCAMENTOS!$H:$H,"4/2026")</f>
        <v>0</v>
      </c>
      <c r="S71" s="80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37"/>
      <c r="U71" s="79">
        <f>-SUMIFS(T_ORCAMENTOS!$E:$E,T_ORCAMENTOS!$C:$C,"Serviço de Manutenção - Estrutura - Eventos",T_ORCAMENTOS!$H:$H,"5/2026")</f>
        <v>0</v>
      </c>
      <c r="V71" s="80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37"/>
      <c r="X71" s="79">
        <f>-SUMIFS(T_ORCAMENTOS!$E:$E,T_ORCAMENTOS!$C:$C,"Serviço de Manutenção - Estrutura - Eventos",T_ORCAMENTOS!$H:$H,"6/2026")</f>
        <v>0</v>
      </c>
      <c r="Y71" s="80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37"/>
      <c r="AA71" s="79">
        <f>-SUMIFS(T_ORCAMENTOS!$E:$E,T_ORCAMENTOS!$C:$C,"Serviço de Manutenção - Estrutura - Eventos",T_ORCAMENTOS!$H:$H,"7/2026")</f>
        <v>0</v>
      </c>
      <c r="AB71" s="80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37"/>
      <c r="AD71" s="79">
        <f>-SUMIFS(T_ORCAMENTOS!$E:$E,T_ORCAMENTOS!$C:$C,"Serviço de Manutenção - Estrutura - Eventos",T_ORCAMENTOS!$H:$H,"8/2026")</f>
        <v>0</v>
      </c>
      <c r="AE71" s="80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37"/>
      <c r="AG71" s="79">
        <f>-SUMIFS(T_ORCAMENTOS!$E:$E,T_ORCAMENTOS!$C:$C,"Serviço de Manutenção - Estrutura - Eventos",T_ORCAMENTOS!$H:$H,"9/2026")</f>
        <v>0</v>
      </c>
      <c r="AH71" s="80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37"/>
      <c r="AJ71" s="79">
        <f>-SUMIFS(T_ORCAMENTOS!$E:$E,T_ORCAMENTOS!$C:$C,"Serviço de Manutenção - Estrutura - Eventos",T_ORCAMENTOS!$H:$H,"10/2026")</f>
        <v>0</v>
      </c>
      <c r="AK71" s="80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37"/>
      <c r="AM71" s="79">
        <f>-SUMIFS(T_ORCAMENTOS!$E:$E,T_ORCAMENTOS!$C:$C,"Serviço de Manutenção - Estrutura - Eventos",T_ORCAMENTOS!$H:$H,"11/2026")</f>
        <v>0</v>
      </c>
      <c r="AN71" s="80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37"/>
      <c r="AP71" s="79">
        <f>-SUMIFS(T_ORCAMENTOS!$E:$E,T_ORCAMENTOS!$C:$C,"Serviço de Manutenção - Estrutura - Eventos",T_ORCAMENTOS!$H:$H,"12/2026")</f>
        <v>0</v>
      </c>
      <c r="AQ71" s="80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37">
        <f t="shared" ca="1" si="61"/>
        <v>0</v>
      </c>
      <c r="AS71" s="26">
        <f t="shared" ca="1" si="62"/>
        <v>0</v>
      </c>
      <c r="AT71" s="80">
        <f t="shared" ca="1" si="63"/>
        <v>0</v>
      </c>
      <c r="AU71" s="237"/>
      <c r="AV71" s="79"/>
      <c r="AW71" s="80"/>
      <c r="AX71" s="237"/>
      <c r="AY71" s="79">
        <v>0</v>
      </c>
      <c r="AZ71" s="80"/>
      <c r="BA71" s="237"/>
      <c r="BB71" s="79">
        <v>0</v>
      </c>
      <c r="BC71" s="80"/>
      <c r="BD71" s="237"/>
      <c r="BE71" s="79">
        <v>0</v>
      </c>
      <c r="BF71" s="80"/>
      <c r="BG71" s="237"/>
      <c r="BH71" s="79">
        <v>0</v>
      </c>
      <c r="BI71" s="80"/>
      <c r="BJ71" s="454"/>
    </row>
    <row r="72" spans="1:62" s="28" customFormat="1" ht="25.2" hidden="1" customHeight="1" outlineLevel="1" x14ac:dyDescent="0.3">
      <c r="A72" s="21" t="s">
        <v>93</v>
      </c>
      <c r="B72" s="2"/>
      <c r="C72" s="23" t="s">
        <v>94</v>
      </c>
      <c r="D72" s="67" t="s">
        <v>76</v>
      </c>
      <c r="E72" s="78"/>
      <c r="F72" s="39"/>
      <c r="G72" s="22"/>
      <c r="H72" s="237"/>
      <c r="I72" s="79">
        <f>-SUMIFS(T_ORCAMENTOS!$E:$E,T_ORCAMENTOS!$C:$C,"Serviço de Manutenção - Equipamentos - Eventos",T_ORCAMENTOS!$H:$H,"1/2026")</f>
        <v>0</v>
      </c>
      <c r="J72" s="80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50"/>
      <c r="L72" s="79">
        <f>-SUMIFS(T_ORCAMENTOS!$E:$E,T_ORCAMENTOS!$C:$C,"Serviço de Manutenção - Equipamentos - Eventos",T_ORCAMENTOS!$H:$H,"2/2026")</f>
        <v>0</v>
      </c>
      <c r="M72" s="80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50"/>
      <c r="O72" s="79">
        <f>-SUMIFS(T_ORCAMENTOS!$E:$E,T_ORCAMENTOS!$C:$C,"Serviço de Manutenção - Equipamentos - Eventos",T_ORCAMENTOS!$H:$H,"3/2026")</f>
        <v>0</v>
      </c>
      <c r="P72" s="80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0</v>
      </c>
      <c r="Q72" s="237"/>
      <c r="R72" s="79">
        <f>-SUMIFS(T_ORCAMENTOS!$E:$E,T_ORCAMENTOS!$C:$C,"Serviço de Manutenção - Equipamentos - Eventos",T_ORCAMENTOS!$H:$H,"4/2026")</f>
        <v>0</v>
      </c>
      <c r="S72" s="80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37"/>
      <c r="U72" s="79">
        <f>-SUMIFS(T_ORCAMENTOS!$E:$E,T_ORCAMENTOS!$C:$C,"Serviço de Manutenção - Equipamentos - Eventos",T_ORCAMENTOS!$H:$H,"5/2026")</f>
        <v>0</v>
      </c>
      <c r="V72" s="80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37"/>
      <c r="X72" s="79">
        <f>-SUMIFS(T_ORCAMENTOS!$E:$E,T_ORCAMENTOS!$C:$C,"Serviço de Manutenção - Equipamentos - Eventos",T_ORCAMENTOS!$H:$H,"6/2026")</f>
        <v>0</v>
      </c>
      <c r="Y72" s="80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37"/>
      <c r="AA72" s="79">
        <f>-SUMIFS(T_ORCAMENTOS!$E:$E,T_ORCAMENTOS!$C:$C,"Serviço de Manutenção - Equipamentos - Eventos",T_ORCAMENTOS!$H:$H,"7/2026")</f>
        <v>0</v>
      </c>
      <c r="AB72" s="80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37"/>
      <c r="AD72" s="79">
        <f>-SUMIFS(T_ORCAMENTOS!$E:$E,T_ORCAMENTOS!$C:$C,"Serviço de Manutenção - Equipamentos - Eventos",T_ORCAMENTOS!$H:$H,"8/2026")</f>
        <v>0</v>
      </c>
      <c r="AE72" s="80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37"/>
      <c r="AG72" s="79">
        <f>-SUMIFS(T_ORCAMENTOS!$E:$E,T_ORCAMENTOS!$C:$C,"Serviço de Manutenção - Equipamentos - Eventos",T_ORCAMENTOS!$H:$H,"9/2026")</f>
        <v>0</v>
      </c>
      <c r="AH72" s="80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37"/>
      <c r="AJ72" s="79">
        <f>-SUMIFS(T_ORCAMENTOS!$E:$E,T_ORCAMENTOS!$C:$C,"Serviço de Manutenção - Equipamentos - Eventos",T_ORCAMENTOS!$H:$H,"10/2026")</f>
        <v>0</v>
      </c>
      <c r="AK72" s="80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37"/>
      <c r="AM72" s="79">
        <f>-SUMIFS(T_ORCAMENTOS!$E:$E,T_ORCAMENTOS!$C:$C,"Serviço de Manutenção - Equipamentos - Eventos",T_ORCAMENTOS!$H:$H,"11/2026")</f>
        <v>0</v>
      </c>
      <c r="AN72" s="80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37"/>
      <c r="AP72" s="79">
        <f>-SUMIFS(T_ORCAMENTOS!$E:$E,T_ORCAMENTOS!$C:$C,"Serviço de Manutenção - Equipamentos - Eventos",T_ORCAMENTOS!$H:$H,"12/2026")</f>
        <v>0</v>
      </c>
      <c r="AQ72" s="80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37">
        <f t="shared" ca="1" si="61"/>
        <v>0</v>
      </c>
      <c r="AS72" s="26">
        <f t="shared" ca="1" si="62"/>
        <v>0</v>
      </c>
      <c r="AT72" s="80">
        <f t="shared" ca="1" si="63"/>
        <v>0</v>
      </c>
      <c r="AU72" s="237"/>
      <c r="AV72" s="79"/>
      <c r="AW72" s="80"/>
      <c r="AX72" s="237"/>
      <c r="AY72" s="79">
        <v>0</v>
      </c>
      <c r="AZ72" s="80"/>
      <c r="BA72" s="237"/>
      <c r="BB72" s="79">
        <v>0</v>
      </c>
      <c r="BC72" s="80"/>
      <c r="BD72" s="237"/>
      <c r="BE72" s="79">
        <v>0</v>
      </c>
      <c r="BF72" s="80"/>
      <c r="BG72" s="237"/>
      <c r="BH72" s="79">
        <v>0</v>
      </c>
      <c r="BI72" s="80"/>
      <c r="BJ72" s="454"/>
    </row>
    <row r="73" spans="1:62" ht="18" hidden="1" customHeight="1" outlineLevel="1" x14ac:dyDescent="0.3">
      <c r="A73" s="71" t="s">
        <v>95</v>
      </c>
      <c r="C73" s="23"/>
      <c r="D73" s="67"/>
      <c r="E73" s="78"/>
      <c r="F73" s="39"/>
      <c r="H73" s="248"/>
      <c r="I73" s="72">
        <f>SUM(I74:I76)</f>
        <v>0</v>
      </c>
      <c r="J73" s="74">
        <f>SUM(J74:J76)+SUMIFS(Aut_Ajustes_Manuais!$G:$G,Aut_Ajustes_Manuais!$I:$I,DRE!H$4,Aut_Ajustes_Manuais!$F:$F,"Transportes")</f>
        <v>0</v>
      </c>
      <c r="K73" s="248"/>
      <c r="L73" s="72">
        <f>SUM(L74:L76)</f>
        <v>0</v>
      </c>
      <c r="M73" s="74">
        <f>SUM(M74:M76)+SUMIFS(Aut_Ajustes_Manuais!$G:$G,Aut_Ajustes_Manuais!$I:$I,DRE!K$4,Aut_Ajustes_Manuais!$F:$F,"Transportes")</f>
        <v>0</v>
      </c>
      <c r="N73" s="248"/>
      <c r="O73" s="72">
        <f>SUM(O74:O76)</f>
        <v>0</v>
      </c>
      <c r="P73" s="74">
        <f>SUM(P74:P76)+SUMIFS(Aut_Ajustes_Manuais!$G:$G,Aut_Ajustes_Manuais!$I:$I,DRE!N$4,Aut_Ajustes_Manuais!$F:$F,"Transportes")</f>
        <v>0</v>
      </c>
      <c r="Q73" s="248"/>
      <c r="R73" s="72">
        <f>SUM(R74:R76)</f>
        <v>0</v>
      </c>
      <c r="S73" s="74">
        <f>SUM(S74:S76)+SUMIFS(Aut_Ajustes_Manuais!$G:$G,Aut_Ajustes_Manuais!$I:$I,DRE!Q$4,Aut_Ajustes_Manuais!$F:$F,"Transportes")</f>
        <v>0</v>
      </c>
      <c r="T73" s="248"/>
      <c r="U73" s="72">
        <f>SUM(U74:U76)</f>
        <v>0</v>
      </c>
      <c r="V73" s="74">
        <f>SUM(V74:V76)+SUMIFS(Aut_Ajustes_Manuais!$G:$G,Aut_Ajustes_Manuais!$I:$I,DRE!T$4,Aut_Ajustes_Manuais!$F:$F,"Transportes")</f>
        <v>0</v>
      </c>
      <c r="W73" s="248"/>
      <c r="X73" s="72">
        <f>SUM(X74:X76)</f>
        <v>0</v>
      </c>
      <c r="Y73" s="74">
        <f>SUM(Y74:Y76)+SUMIFS(Aut_Ajustes_Manuais!$G:$G,Aut_Ajustes_Manuais!$I:$I,DRE!W$4,Aut_Ajustes_Manuais!$F:$F,"Transportes")</f>
        <v>0</v>
      </c>
      <c r="Z73" s="248"/>
      <c r="AA73" s="72">
        <f>SUM(AA74:AA76)</f>
        <v>0</v>
      </c>
      <c r="AB73" s="74">
        <f>SUM(AB74:AB76)+SUMIFS(Aut_Ajustes_Manuais!$G:$G,Aut_Ajustes_Manuais!$I:$I,DRE!Z$4,Aut_Ajustes_Manuais!$F:$F,"Transportes")</f>
        <v>0</v>
      </c>
      <c r="AC73" s="248"/>
      <c r="AD73" s="72">
        <f>SUM(AD74:AD76)</f>
        <v>0</v>
      </c>
      <c r="AE73" s="74">
        <f>SUM(AE74:AE76)+SUMIFS(Aut_Ajustes_Manuais!$G:$G,Aut_Ajustes_Manuais!$I:$I,DRE!AC$4,Aut_Ajustes_Manuais!$F:$F,"Transportes")</f>
        <v>0</v>
      </c>
      <c r="AF73" s="248"/>
      <c r="AG73" s="72">
        <f>SUM(AG74:AG76)</f>
        <v>0</v>
      </c>
      <c r="AH73" s="74">
        <f>SUM(AH74:AH76)+SUMIFS(Aut_Ajustes_Manuais!$G:$G,Aut_Ajustes_Manuais!$I:$I,DRE!AF$4,Aut_Ajustes_Manuais!$F:$F,"Transportes")</f>
        <v>0</v>
      </c>
      <c r="AI73" s="248"/>
      <c r="AJ73" s="72">
        <f>SUM(AJ74:AJ76)</f>
        <v>0</v>
      </c>
      <c r="AK73" s="74">
        <f>SUM(AK74:AK76)+SUMIFS(Aut_Ajustes_Manuais!$G:$G,Aut_Ajustes_Manuais!$I:$I,DRE!AI$4,Aut_Ajustes_Manuais!$F:$F,"Transportes")</f>
        <v>0</v>
      </c>
      <c r="AL73" s="248"/>
      <c r="AM73" s="72">
        <f>SUM(AM74:AM76)</f>
        <v>0</v>
      </c>
      <c r="AN73" s="74">
        <f>SUM(AN74:AN76)+SUMIFS(Aut_Ajustes_Manuais!$G:$G,Aut_Ajustes_Manuais!$I:$I,DRE!AL$4,Aut_Ajustes_Manuais!$F:$F,"Transportes")</f>
        <v>0</v>
      </c>
      <c r="AO73" s="248"/>
      <c r="AP73" s="72">
        <f>SUM(AP74:AP76)</f>
        <v>0</v>
      </c>
      <c r="AQ73" s="74">
        <f>SUM(AQ74:AQ76)+SUMIFS(Aut_Ajustes_Manuais!$G:$G,Aut_Ajustes_Manuais!$I:$I,DRE!AO$4,Aut_Ajustes_Manuais!$F:$F,"Transportes")</f>
        <v>0</v>
      </c>
      <c r="AR73" s="72">
        <f t="shared" ca="1" si="61"/>
        <v>0</v>
      </c>
      <c r="AS73" s="72">
        <f t="shared" ca="1" si="62"/>
        <v>0</v>
      </c>
      <c r="AT73" s="72">
        <f t="shared" ca="1" si="63"/>
        <v>0</v>
      </c>
      <c r="AU73" s="248">
        <f t="shared" ref="AU73:BI73" si="83">SUM(AU74:AU76)</f>
        <v>0</v>
      </c>
      <c r="AV73" s="72">
        <f t="shared" si="83"/>
        <v>0</v>
      </c>
      <c r="AW73" s="74">
        <f t="shared" si="83"/>
        <v>0</v>
      </c>
      <c r="AX73" s="248">
        <f t="shared" si="83"/>
        <v>0</v>
      </c>
      <c r="AY73" s="72">
        <f t="shared" si="83"/>
        <v>0</v>
      </c>
      <c r="AZ73" s="74">
        <f t="shared" si="83"/>
        <v>0</v>
      </c>
      <c r="BA73" s="248">
        <f t="shared" si="83"/>
        <v>0</v>
      </c>
      <c r="BB73" s="72">
        <f t="shared" si="83"/>
        <v>0</v>
      </c>
      <c r="BC73" s="74">
        <f t="shared" si="83"/>
        <v>0</v>
      </c>
      <c r="BD73" s="248">
        <f t="shared" si="83"/>
        <v>0</v>
      </c>
      <c r="BE73" s="72">
        <f t="shared" si="83"/>
        <v>0</v>
      </c>
      <c r="BF73" s="74">
        <f t="shared" si="83"/>
        <v>0</v>
      </c>
      <c r="BG73" s="248">
        <f t="shared" si="83"/>
        <v>0</v>
      </c>
      <c r="BH73" s="72">
        <f t="shared" si="83"/>
        <v>0</v>
      </c>
      <c r="BI73" s="74">
        <f t="shared" si="83"/>
        <v>0</v>
      </c>
    </row>
    <row r="74" spans="1:62" s="28" customFormat="1" hidden="1" outlineLevel="1" x14ac:dyDescent="0.3">
      <c r="A74" s="21" t="s">
        <v>96</v>
      </c>
      <c r="B74" s="2"/>
      <c r="C74" s="23" t="s">
        <v>97</v>
      </c>
      <c r="D74" s="67" t="s">
        <v>76</v>
      </c>
      <c r="E74" s="78"/>
      <c r="F74" s="39"/>
      <c r="G74" s="22"/>
      <c r="H74" s="237"/>
      <c r="I74" s="79">
        <f>-SUMIFS(T_ORCAMENTOS!$E:$E,T_ORCAMENTOS!$C:$C,"Viagens e Estadias - Eventos",T_ORCAMENTOS!$H:$H,"1/2026")</f>
        <v>0</v>
      </c>
      <c r="J74" s="80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50"/>
      <c r="L74" s="79">
        <f>-SUMIFS(T_ORCAMENTOS!$E:$E,T_ORCAMENTOS!$C:$C,"Viagens e Estadias - Eventos",T_ORCAMENTOS!$H:$H,"2/2026")</f>
        <v>0</v>
      </c>
      <c r="M74" s="80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50"/>
      <c r="O74" s="79">
        <f>-SUMIFS(T_ORCAMENTOS!$E:$E,T_ORCAMENTOS!$C:$C,"Viagens e Estadias - Eventos",T_ORCAMENTOS!$H:$H,"3/2026")</f>
        <v>0</v>
      </c>
      <c r="P74" s="80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37"/>
      <c r="R74" s="79">
        <f>-SUMIFS(T_ORCAMENTOS!$E:$E,T_ORCAMENTOS!$C:$C,"Viagens e Estadias - Eventos",T_ORCAMENTOS!$H:$H,"4/2026")</f>
        <v>0</v>
      </c>
      <c r="S74" s="80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37"/>
      <c r="U74" s="79">
        <f>-SUMIFS(T_ORCAMENTOS!$E:$E,T_ORCAMENTOS!$C:$C,"Viagens e Estadias - Eventos",T_ORCAMENTOS!$H:$H,"5/2026")</f>
        <v>0</v>
      </c>
      <c r="V74" s="80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37"/>
      <c r="X74" s="79">
        <f>-SUMIFS(T_ORCAMENTOS!$E:$E,T_ORCAMENTOS!$C:$C,"Viagens e Estadias - Eventos",T_ORCAMENTOS!$H:$H,"6/2026")</f>
        <v>0</v>
      </c>
      <c r="Y74" s="80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37"/>
      <c r="AA74" s="79">
        <f>-SUMIFS(T_ORCAMENTOS!$E:$E,T_ORCAMENTOS!$C:$C,"Viagens e Estadias - Eventos",T_ORCAMENTOS!$H:$H,"7/2026")</f>
        <v>0</v>
      </c>
      <c r="AB74" s="80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37"/>
      <c r="AD74" s="79">
        <f>-SUMIFS(T_ORCAMENTOS!$E:$E,T_ORCAMENTOS!$C:$C,"Viagens e Estadias - Eventos",T_ORCAMENTOS!$H:$H,"8/2026")</f>
        <v>0</v>
      </c>
      <c r="AE74" s="80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37"/>
      <c r="AG74" s="79">
        <f>-SUMIFS(T_ORCAMENTOS!$E:$E,T_ORCAMENTOS!$C:$C,"Viagens e Estadias - Eventos",T_ORCAMENTOS!$H:$H,"9/2026")</f>
        <v>0</v>
      </c>
      <c r="AH74" s="80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37"/>
      <c r="AJ74" s="79">
        <f>-SUMIFS(T_ORCAMENTOS!$E:$E,T_ORCAMENTOS!$C:$C,"Viagens e Estadias - Eventos",T_ORCAMENTOS!$H:$H,"10/2026")</f>
        <v>0</v>
      </c>
      <c r="AK74" s="80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37"/>
      <c r="AM74" s="79">
        <f>-SUMIFS(T_ORCAMENTOS!$E:$E,T_ORCAMENTOS!$C:$C,"Viagens e Estadias - Eventos",T_ORCAMENTOS!$H:$H,"11/2026")</f>
        <v>0</v>
      </c>
      <c r="AN74" s="80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37"/>
      <c r="AP74" s="79">
        <f>-SUMIFS(T_ORCAMENTOS!$E:$E,T_ORCAMENTOS!$C:$C,"Viagens e Estadias - Eventos",T_ORCAMENTOS!$H:$H,"12/2026")</f>
        <v>0</v>
      </c>
      <c r="AQ74" s="80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37">
        <f t="shared" ca="1" si="61"/>
        <v>0</v>
      </c>
      <c r="AS74" s="26">
        <f t="shared" ca="1" si="62"/>
        <v>0</v>
      </c>
      <c r="AT74" s="80">
        <f t="shared" ca="1" si="63"/>
        <v>0</v>
      </c>
      <c r="AU74" s="237">
        <f t="shared" ref="AU74:AW76" si="84">SUM(H74,K74,N74,Q74,T74,W74,Z74,AC74,AF74,AI74,AL74,AO74)</f>
        <v>0</v>
      </c>
      <c r="AV74" s="79">
        <f t="shared" si="84"/>
        <v>0</v>
      </c>
      <c r="AW74" s="80">
        <f t="shared" si="84"/>
        <v>0</v>
      </c>
      <c r="AX74" s="237">
        <f t="shared" ref="AX74:AZ76" si="85">SUM(H74,K74,N74)</f>
        <v>0</v>
      </c>
      <c r="AY74" s="79">
        <f t="shared" si="85"/>
        <v>0</v>
      </c>
      <c r="AZ74" s="80">
        <f t="shared" si="85"/>
        <v>0</v>
      </c>
      <c r="BA74" s="237">
        <f t="shared" ref="BA74:BC76" si="86">SUM(Q74,T74,W74)</f>
        <v>0</v>
      </c>
      <c r="BB74" s="79">
        <f t="shared" si="86"/>
        <v>0</v>
      </c>
      <c r="BC74" s="80">
        <f t="shared" si="86"/>
        <v>0</v>
      </c>
      <c r="BD74" s="237">
        <f t="shared" ref="BD74:BF76" si="87">SUM(Z74,AC74,AF74)</f>
        <v>0</v>
      </c>
      <c r="BE74" s="79">
        <f t="shared" si="87"/>
        <v>0</v>
      </c>
      <c r="BF74" s="80">
        <f t="shared" si="87"/>
        <v>0</v>
      </c>
      <c r="BG74" s="237">
        <f t="shared" ref="BG74:BI76" si="88">SUM(AI74,AL74,AO74)</f>
        <v>0</v>
      </c>
      <c r="BH74" s="79">
        <f t="shared" si="88"/>
        <v>0</v>
      </c>
      <c r="BI74" s="80">
        <f t="shared" si="88"/>
        <v>0</v>
      </c>
      <c r="BJ74" s="454"/>
    </row>
    <row r="75" spans="1:62" s="28" customFormat="1" ht="25.2" hidden="1" customHeight="1" outlineLevel="1" x14ac:dyDescent="0.3">
      <c r="A75" s="21" t="s">
        <v>98</v>
      </c>
      <c r="B75" s="2"/>
      <c r="C75" s="23" t="s">
        <v>99</v>
      </c>
      <c r="D75" s="67" t="s">
        <v>76</v>
      </c>
      <c r="E75" s="78"/>
      <c r="F75" s="39"/>
      <c r="G75" s="22"/>
      <c r="H75" s="237"/>
      <c r="I75" s="79">
        <f>-SUMIFS(T_ORCAMENTOS!$E:$E,T_ORCAMENTOS!$C:$C,"Transporte Equipe - Eventos",T_ORCAMENTOS!$H:$H,"1/2026")</f>
        <v>0</v>
      </c>
      <c r="J75" s="80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50"/>
      <c r="L75" s="79">
        <f>-SUMIFS(T_ORCAMENTOS!$E:$E,T_ORCAMENTOS!$C:$C,"Transporte Equipe - Eventos",T_ORCAMENTOS!$H:$H,"2/2026")</f>
        <v>0</v>
      </c>
      <c r="M75" s="80">
        <f>SUMIFS(Aut_BlueMe_Sem_Pedido!$J:$J,Aut_BlueMe_Sem_Pedido!$Q:$Q,DRE!K$4,Aut_BlueMe_Sem_Pedido!$H:$H,DRE!$A75)+SUMIFS(Aut_Ajustes_Manuais!$G:$G,Aut_Ajustes_Manuais!$I:$I,DRE!K$4,Aut_Ajustes_Manuais!$F:$F,"Transporte Equipe - Eventos")</f>
        <v>0</v>
      </c>
      <c r="N75" s="250"/>
      <c r="O75" s="79">
        <f>-SUMIFS(T_ORCAMENTOS!$E:$E,T_ORCAMENTOS!$C:$C,"Transporte Equipe - Eventos",T_ORCAMENTOS!$H:$H,"3/2026")</f>
        <v>0</v>
      </c>
      <c r="P75" s="80">
        <f>SUMIFS(Aut_BlueMe_Sem_Pedido!$J:$J,Aut_BlueMe_Sem_Pedido!$Q:$Q,DRE!N$4,Aut_BlueMe_Sem_Pedido!$H:$H,DRE!$A75)+SUMIFS(Aut_Ajustes_Manuais!$G:$G,Aut_Ajustes_Manuais!$I:$I,DRE!N$4,Aut_Ajustes_Manuais!$F:$F,"Transporte Equipe - Eventos")</f>
        <v>0</v>
      </c>
      <c r="Q75" s="237"/>
      <c r="R75" s="79">
        <f>-SUMIFS(T_ORCAMENTOS!$E:$E,T_ORCAMENTOS!$C:$C,"Transporte Equipe - Eventos",T_ORCAMENTOS!$H:$H,"4/2026")</f>
        <v>0</v>
      </c>
      <c r="S75" s="80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37"/>
      <c r="U75" s="79">
        <f>-SUMIFS(T_ORCAMENTOS!$E:$E,T_ORCAMENTOS!$C:$C,"Transporte Equipe - Eventos",T_ORCAMENTOS!$H:$H,"5/2026")</f>
        <v>0</v>
      </c>
      <c r="V75" s="80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37"/>
      <c r="X75" s="79">
        <f>-SUMIFS(T_ORCAMENTOS!$E:$E,T_ORCAMENTOS!$C:$C,"Transporte Equipe - Eventos",T_ORCAMENTOS!$H:$H,"6/2026")</f>
        <v>0</v>
      </c>
      <c r="Y75" s="80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37"/>
      <c r="AA75" s="79">
        <f>-SUMIFS(T_ORCAMENTOS!$E:$E,T_ORCAMENTOS!$C:$C,"Transporte Equipe - Eventos",T_ORCAMENTOS!$H:$H,"7/2026")</f>
        <v>0</v>
      </c>
      <c r="AB75" s="80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37"/>
      <c r="AD75" s="79">
        <f>-SUMIFS(T_ORCAMENTOS!$E:$E,T_ORCAMENTOS!$C:$C,"Transporte Equipe - Eventos",T_ORCAMENTOS!$H:$H,"8/2026")</f>
        <v>0</v>
      </c>
      <c r="AE75" s="80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37"/>
      <c r="AG75" s="79">
        <f>-SUMIFS(T_ORCAMENTOS!$E:$E,T_ORCAMENTOS!$C:$C,"Transporte Equipe - Eventos",T_ORCAMENTOS!$H:$H,"9/2026")</f>
        <v>0</v>
      </c>
      <c r="AH75" s="80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37"/>
      <c r="AJ75" s="79">
        <f>-SUMIFS(T_ORCAMENTOS!$E:$E,T_ORCAMENTOS!$C:$C,"Transporte Equipe - Eventos",T_ORCAMENTOS!$H:$H,"10/2026")</f>
        <v>0</v>
      </c>
      <c r="AK75" s="80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37"/>
      <c r="AM75" s="79">
        <f>-SUMIFS(T_ORCAMENTOS!$E:$E,T_ORCAMENTOS!$C:$C,"Transporte Equipe - Eventos",T_ORCAMENTOS!$H:$H,"11/2026")</f>
        <v>0</v>
      </c>
      <c r="AN75" s="80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37"/>
      <c r="AP75" s="79">
        <f>-SUMIFS(T_ORCAMENTOS!$E:$E,T_ORCAMENTOS!$C:$C,"Transporte Equipe - Eventos",T_ORCAMENTOS!$H:$H,"12/2026")</f>
        <v>0</v>
      </c>
      <c r="AQ75" s="80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37">
        <f t="shared" ca="1" si="61"/>
        <v>0</v>
      </c>
      <c r="AS75" s="26">
        <f t="shared" ca="1" si="62"/>
        <v>0</v>
      </c>
      <c r="AT75" s="80">
        <f t="shared" ca="1" si="63"/>
        <v>0</v>
      </c>
      <c r="AU75" s="237">
        <f t="shared" si="84"/>
        <v>0</v>
      </c>
      <c r="AV75" s="79">
        <f t="shared" si="84"/>
        <v>0</v>
      </c>
      <c r="AW75" s="80">
        <f t="shared" si="84"/>
        <v>0</v>
      </c>
      <c r="AX75" s="237">
        <f t="shared" si="85"/>
        <v>0</v>
      </c>
      <c r="AY75" s="79">
        <f t="shared" si="85"/>
        <v>0</v>
      </c>
      <c r="AZ75" s="80">
        <f t="shared" si="85"/>
        <v>0</v>
      </c>
      <c r="BA75" s="237">
        <f t="shared" si="86"/>
        <v>0</v>
      </c>
      <c r="BB75" s="79">
        <f t="shared" si="86"/>
        <v>0</v>
      </c>
      <c r="BC75" s="80">
        <f t="shared" si="86"/>
        <v>0</v>
      </c>
      <c r="BD75" s="237">
        <f t="shared" si="87"/>
        <v>0</v>
      </c>
      <c r="BE75" s="79">
        <f t="shared" si="87"/>
        <v>0</v>
      </c>
      <c r="BF75" s="80">
        <f t="shared" si="87"/>
        <v>0</v>
      </c>
      <c r="BG75" s="237">
        <f t="shared" si="88"/>
        <v>0</v>
      </c>
      <c r="BH75" s="79">
        <f t="shared" si="88"/>
        <v>0</v>
      </c>
      <c r="BI75" s="80">
        <f t="shared" si="88"/>
        <v>0</v>
      </c>
      <c r="BJ75" s="454"/>
    </row>
    <row r="76" spans="1:62" s="28" customFormat="1" hidden="1" outlineLevel="1" x14ac:dyDescent="0.3">
      <c r="A76" s="21" t="s">
        <v>100</v>
      </c>
      <c r="B76" s="2"/>
      <c r="C76" s="23"/>
      <c r="D76" s="67" t="s">
        <v>76</v>
      </c>
      <c r="E76" s="43">
        <v>-2E-3</v>
      </c>
      <c r="F76" s="39"/>
      <c r="G76" s="22"/>
      <c r="H76" s="237"/>
      <c r="I76" s="79">
        <f>-SUMIFS(T_ORCAMENTOS!$E:$E,T_ORCAMENTOS!$C:$C,"Fretes e Carretos - Eventos",T_ORCAMENTOS!$H:$H,"1/2026")</f>
        <v>0</v>
      </c>
      <c r="J76" s="80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50"/>
      <c r="L76" s="79">
        <f>-SUMIFS(T_ORCAMENTOS!$E:$E,T_ORCAMENTOS!$C:$C,"Fretes e Carretos - Eventos",T_ORCAMENTOS!$H:$H,"2/2026")</f>
        <v>0</v>
      </c>
      <c r="M76" s="80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50"/>
      <c r="O76" s="79">
        <f>-SUMIFS(T_ORCAMENTOS!$E:$E,T_ORCAMENTOS!$C:$C,"Fretes e Carretos - Eventos",T_ORCAMENTOS!$H:$H,"3/2026")</f>
        <v>0</v>
      </c>
      <c r="P76" s="80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37"/>
      <c r="R76" s="79">
        <f>-SUMIFS(T_ORCAMENTOS!$E:$E,T_ORCAMENTOS!$C:$C,"Fretes e Carretos - Eventos",T_ORCAMENTOS!$H:$H,"4/2026")</f>
        <v>0</v>
      </c>
      <c r="S76" s="80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37"/>
      <c r="U76" s="79">
        <f>-SUMIFS(T_ORCAMENTOS!$E:$E,T_ORCAMENTOS!$C:$C,"Fretes e Carretos - Eventos",T_ORCAMENTOS!$H:$H,"5/2026")</f>
        <v>0</v>
      </c>
      <c r="V76" s="80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37"/>
      <c r="X76" s="79">
        <f>-SUMIFS(T_ORCAMENTOS!$E:$E,T_ORCAMENTOS!$C:$C,"Fretes e Carretos - Eventos",T_ORCAMENTOS!$H:$H,"6/2026")</f>
        <v>0</v>
      </c>
      <c r="Y76" s="80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37"/>
      <c r="AA76" s="79">
        <f>-SUMIFS(T_ORCAMENTOS!$E:$E,T_ORCAMENTOS!$C:$C,"Fretes e Carretos - Eventos",T_ORCAMENTOS!$H:$H,"7/2026")</f>
        <v>0</v>
      </c>
      <c r="AB76" s="80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37"/>
      <c r="AD76" s="79">
        <f>-SUMIFS(T_ORCAMENTOS!$E:$E,T_ORCAMENTOS!$C:$C,"Fretes e Carretos - Eventos",T_ORCAMENTOS!$H:$H,"8/2026")</f>
        <v>0</v>
      </c>
      <c r="AE76" s="80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37"/>
      <c r="AG76" s="79">
        <f>-SUMIFS(T_ORCAMENTOS!$E:$E,T_ORCAMENTOS!$C:$C,"Fretes e Carretos - Eventos",T_ORCAMENTOS!$H:$H,"9/2026")</f>
        <v>0</v>
      </c>
      <c r="AH76" s="80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37"/>
      <c r="AJ76" s="79">
        <f>-SUMIFS(T_ORCAMENTOS!$E:$E,T_ORCAMENTOS!$C:$C,"Fretes e Carretos - Eventos",T_ORCAMENTOS!$H:$H,"10/2026")</f>
        <v>0</v>
      </c>
      <c r="AK76" s="80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37"/>
      <c r="AM76" s="79">
        <f>-SUMIFS(T_ORCAMENTOS!$E:$E,T_ORCAMENTOS!$C:$C,"Fretes e Carretos - Eventos",T_ORCAMENTOS!$H:$H,"11/2026")</f>
        <v>0</v>
      </c>
      <c r="AN76" s="80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37"/>
      <c r="AP76" s="79">
        <f>-SUMIFS(T_ORCAMENTOS!$E:$E,T_ORCAMENTOS!$C:$C,"Fretes e Carretos - Eventos",T_ORCAMENTOS!$H:$H,"12/2026")</f>
        <v>0</v>
      </c>
      <c r="AQ76" s="80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37">
        <f t="shared" ca="1" si="61"/>
        <v>0</v>
      </c>
      <c r="AS76" s="26">
        <f t="shared" ca="1" si="62"/>
        <v>0</v>
      </c>
      <c r="AT76" s="80">
        <f t="shared" ca="1" si="63"/>
        <v>0</v>
      </c>
      <c r="AU76" s="237">
        <f t="shared" si="84"/>
        <v>0</v>
      </c>
      <c r="AV76" s="79">
        <f t="shared" si="84"/>
        <v>0</v>
      </c>
      <c r="AW76" s="80">
        <f t="shared" si="84"/>
        <v>0</v>
      </c>
      <c r="AX76" s="237">
        <f t="shared" si="85"/>
        <v>0</v>
      </c>
      <c r="AY76" s="79">
        <f t="shared" si="85"/>
        <v>0</v>
      </c>
      <c r="AZ76" s="80">
        <f t="shared" si="85"/>
        <v>0</v>
      </c>
      <c r="BA76" s="237">
        <f t="shared" si="86"/>
        <v>0</v>
      </c>
      <c r="BB76" s="79">
        <f t="shared" si="86"/>
        <v>0</v>
      </c>
      <c r="BC76" s="80">
        <f t="shared" si="86"/>
        <v>0</v>
      </c>
      <c r="BD76" s="237">
        <f t="shared" si="87"/>
        <v>0</v>
      </c>
      <c r="BE76" s="79">
        <f t="shared" si="87"/>
        <v>0</v>
      </c>
      <c r="BF76" s="80">
        <f t="shared" si="87"/>
        <v>0</v>
      </c>
      <c r="BG76" s="237">
        <f t="shared" si="88"/>
        <v>0</v>
      </c>
      <c r="BH76" s="79">
        <f t="shared" si="88"/>
        <v>0</v>
      </c>
      <c r="BI76" s="80">
        <f t="shared" si="88"/>
        <v>0</v>
      </c>
      <c r="BJ76" s="454"/>
    </row>
    <row r="77" spans="1:62" ht="18" hidden="1" customHeight="1" outlineLevel="1" x14ac:dyDescent="0.3">
      <c r="A77" s="71" t="s">
        <v>101</v>
      </c>
      <c r="C77" s="23"/>
      <c r="D77" s="67"/>
      <c r="E77" s="67"/>
      <c r="F77" s="39"/>
      <c r="H77" s="248"/>
      <c r="I77" s="72">
        <f>SUM(I78:I81)</f>
        <v>0</v>
      </c>
      <c r="J77" s="74">
        <f>SUM(J78:J81)+SUMIFS(Aut_Ajustes_Manuais!$G:$G,Aut_Ajustes_Manuais!$I:$I,DRE!H$4,Aut_Ajustes_Manuais!$F:$F,"Locações")</f>
        <v>0</v>
      </c>
      <c r="K77" s="248"/>
      <c r="L77" s="72">
        <f>SUM(L78:L81)</f>
        <v>0</v>
      </c>
      <c r="M77" s="74">
        <f>SUM(M78:M81)+SUMIFS(Aut_Ajustes_Manuais!$G:$G,Aut_Ajustes_Manuais!$I:$I,DRE!K$4,Aut_Ajustes_Manuais!$F:$F,"Locações")</f>
        <v>0</v>
      </c>
      <c r="N77" s="248"/>
      <c r="O77" s="72">
        <f>SUM(O78:O81)</f>
        <v>0</v>
      </c>
      <c r="P77" s="74">
        <f>SUM(P78:P81)+SUMIFS(Aut_Ajustes_Manuais!$G:$G,Aut_Ajustes_Manuais!$I:$I,DRE!N$4,Aut_Ajustes_Manuais!$F:$F,"Locações")</f>
        <v>0</v>
      </c>
      <c r="Q77" s="248"/>
      <c r="R77" s="72">
        <f>SUM(R78:R81)</f>
        <v>0</v>
      </c>
      <c r="S77" s="74">
        <f>SUM(S78:S81)+SUMIFS(Aut_Ajustes_Manuais!$G:$G,Aut_Ajustes_Manuais!$I:$I,DRE!Q$4,Aut_Ajustes_Manuais!$F:$F,"Locações")</f>
        <v>0</v>
      </c>
      <c r="T77" s="248"/>
      <c r="U77" s="72">
        <f>SUM(U78:U81)</f>
        <v>0</v>
      </c>
      <c r="V77" s="74">
        <f>SUM(V78:V81)+SUMIFS(Aut_Ajustes_Manuais!$G:$G,Aut_Ajustes_Manuais!$I:$I,DRE!T$4,Aut_Ajustes_Manuais!$F:$F,"Locações")</f>
        <v>0</v>
      </c>
      <c r="W77" s="248"/>
      <c r="X77" s="72">
        <f>SUM(X78:X81)</f>
        <v>0</v>
      </c>
      <c r="Y77" s="74">
        <f>SUM(Y78:Y81)+SUMIFS(Aut_Ajustes_Manuais!$G:$G,Aut_Ajustes_Manuais!$I:$I,DRE!W$4,Aut_Ajustes_Manuais!$F:$F,"Locações")</f>
        <v>0</v>
      </c>
      <c r="Z77" s="248"/>
      <c r="AA77" s="72">
        <f>SUM(AA78:AA81)</f>
        <v>0</v>
      </c>
      <c r="AB77" s="74">
        <f>SUM(AB78:AB81)+SUMIFS(Aut_Ajustes_Manuais!$G:$G,Aut_Ajustes_Manuais!$I:$I,DRE!Z$4,Aut_Ajustes_Manuais!$F:$F,"Locações")</f>
        <v>0</v>
      </c>
      <c r="AC77" s="248"/>
      <c r="AD77" s="72">
        <f>SUM(AD78:AD81)</f>
        <v>0</v>
      </c>
      <c r="AE77" s="74">
        <f>SUM(AE78:AE81)+SUMIFS(Aut_Ajustes_Manuais!$G:$G,Aut_Ajustes_Manuais!$I:$I,DRE!AC$4,Aut_Ajustes_Manuais!$F:$F,"Locações")</f>
        <v>0</v>
      </c>
      <c r="AF77" s="248"/>
      <c r="AG77" s="72">
        <f>SUM(AG78:AG81)</f>
        <v>0</v>
      </c>
      <c r="AH77" s="74">
        <f>SUM(AH78:AH81)+SUMIFS(Aut_Ajustes_Manuais!$G:$G,Aut_Ajustes_Manuais!$I:$I,DRE!AF$4,Aut_Ajustes_Manuais!$F:$F,"Locações")</f>
        <v>0</v>
      </c>
      <c r="AI77" s="248"/>
      <c r="AJ77" s="72">
        <f>SUM(AJ78:AJ81)</f>
        <v>0</v>
      </c>
      <c r="AK77" s="74">
        <f>SUM(AK78:AK81)+SUMIFS(Aut_Ajustes_Manuais!$G:$G,Aut_Ajustes_Manuais!$I:$I,DRE!AI$4,Aut_Ajustes_Manuais!$F:$F,"Locações")</f>
        <v>0</v>
      </c>
      <c r="AL77" s="248"/>
      <c r="AM77" s="72">
        <f>SUM(AM78:AM81)</f>
        <v>0</v>
      </c>
      <c r="AN77" s="74">
        <f>SUM(AN78:AN81)+SUMIFS(Aut_Ajustes_Manuais!$G:$G,Aut_Ajustes_Manuais!$I:$I,DRE!AL$4,Aut_Ajustes_Manuais!$F:$F,"Locações")</f>
        <v>0</v>
      </c>
      <c r="AO77" s="248"/>
      <c r="AP77" s="72">
        <f>SUM(AP78:AP81)</f>
        <v>0</v>
      </c>
      <c r="AQ77" s="74">
        <f>SUM(AQ78:AQ81)+SUMIFS(Aut_Ajustes_Manuais!$G:$G,Aut_Ajustes_Manuais!$I:$I,DRE!AO$4,Aut_Ajustes_Manuais!$F:$F,"Locações")</f>
        <v>0</v>
      </c>
      <c r="AR77" s="72">
        <f t="shared" ca="1" si="61"/>
        <v>0</v>
      </c>
      <c r="AS77" s="72">
        <f t="shared" ca="1" si="62"/>
        <v>0</v>
      </c>
      <c r="AT77" s="72">
        <f t="shared" ca="1" si="63"/>
        <v>0</v>
      </c>
      <c r="AU77" s="248">
        <f t="shared" ref="AU77:BI77" si="89">SUM(AU78:AU81)</f>
        <v>0</v>
      </c>
      <c r="AV77" s="72">
        <f t="shared" si="89"/>
        <v>0</v>
      </c>
      <c r="AW77" s="74">
        <f t="shared" si="89"/>
        <v>0</v>
      </c>
      <c r="AX77" s="248">
        <f t="shared" si="89"/>
        <v>0</v>
      </c>
      <c r="AY77" s="72">
        <f t="shared" si="89"/>
        <v>0</v>
      </c>
      <c r="AZ77" s="74">
        <f t="shared" si="89"/>
        <v>0</v>
      </c>
      <c r="BA77" s="248">
        <f t="shared" si="89"/>
        <v>0</v>
      </c>
      <c r="BB77" s="72">
        <f t="shared" si="89"/>
        <v>0</v>
      </c>
      <c r="BC77" s="74">
        <f t="shared" si="89"/>
        <v>0</v>
      </c>
      <c r="BD77" s="248">
        <f t="shared" si="89"/>
        <v>0</v>
      </c>
      <c r="BE77" s="72">
        <f t="shared" si="89"/>
        <v>0</v>
      </c>
      <c r="BF77" s="74">
        <f t="shared" si="89"/>
        <v>0</v>
      </c>
      <c r="BG77" s="248">
        <f t="shared" si="89"/>
        <v>0</v>
      </c>
      <c r="BH77" s="72">
        <f t="shared" si="89"/>
        <v>0</v>
      </c>
      <c r="BI77" s="74">
        <f t="shared" si="89"/>
        <v>0</v>
      </c>
    </row>
    <row r="78" spans="1:62" s="28" customFormat="1" hidden="1" outlineLevel="1" x14ac:dyDescent="0.3">
      <c r="A78" s="21" t="s">
        <v>102</v>
      </c>
      <c r="B78" s="2"/>
      <c r="C78" s="23"/>
      <c r="D78" s="67" t="s">
        <v>76</v>
      </c>
      <c r="E78" s="43">
        <v>-1.7999999999999999E-2</v>
      </c>
      <c r="F78" s="39"/>
      <c r="G78" s="22"/>
      <c r="H78" s="237"/>
      <c r="I78" s="79">
        <f>-SUMIFS(T_ORCAMENTOS!$E:$E,T_ORCAMENTOS!$C:$C,"Locação de Utensílios - Eventos",T_ORCAMENTOS!$H:$H,"1/2026")</f>
        <v>0</v>
      </c>
      <c r="J78" s="80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50"/>
      <c r="L78" s="79">
        <f>-SUMIFS(T_ORCAMENTOS!$E:$E,T_ORCAMENTOS!$C:$C,"Locação de Utensílios - Eventos",T_ORCAMENTOS!$H:$H,"2/2026")</f>
        <v>0</v>
      </c>
      <c r="M78" s="80">
        <f>SUMIFS(Aut_BlueMe_Sem_Pedido!$J:$J,Aut_BlueMe_Sem_Pedido!$Q:$Q,DRE!K$4,Aut_BlueMe_Sem_Pedido!$H:$H,DRE!$A78)+SUMIFS(Aut_Ajustes_Manuais!$G:$G,Aut_Ajustes_Manuais!$I:$I,DRE!K$4,Aut_Ajustes_Manuais!$F:$F,"Locação de Utensílios - Eventos")</f>
        <v>0</v>
      </c>
      <c r="N78" s="250"/>
      <c r="O78" s="79">
        <f>-SUMIFS(T_ORCAMENTOS!$E:$E,T_ORCAMENTOS!$C:$C,"Locação de Utensílios - Eventos",T_ORCAMENTOS!$H:$H,"3/2026")</f>
        <v>0</v>
      </c>
      <c r="P78" s="80">
        <f>SUMIFS(Aut_BlueMe_Sem_Pedido!$J:$J,Aut_BlueMe_Sem_Pedido!$Q:$Q,DRE!N$4,Aut_BlueMe_Sem_Pedido!$H:$H,DRE!$A78)+SUMIFS(Aut_Ajustes_Manuais!$G:$G,Aut_Ajustes_Manuais!$I:$I,DRE!N$4,Aut_Ajustes_Manuais!$F:$F,"Locação de Utensílios - Eventos")</f>
        <v>0</v>
      </c>
      <c r="Q78" s="237"/>
      <c r="R78" s="79">
        <f>-SUMIFS(T_ORCAMENTOS!$E:$E,T_ORCAMENTOS!$C:$C,"Locação de Utensílios - Eventos",T_ORCAMENTOS!$H:$H,"4/2026")</f>
        <v>0</v>
      </c>
      <c r="S78" s="80">
        <f>SUMIFS(Aut_BlueMe_Sem_Pedido!$J:$J,Aut_BlueMe_Sem_Pedido!$Q:$Q,DRE!Q$4,Aut_BlueMe_Sem_Pedido!$H:$H,DRE!$A78)+SUMIFS(Aut_Ajustes_Manuais!$G:$G,Aut_Ajustes_Manuais!$I:$I,DRE!Q$4,Aut_Ajustes_Manuais!$F:$F,"Locação de Utensílios - Eventos")</f>
        <v>0</v>
      </c>
      <c r="T78" s="237"/>
      <c r="U78" s="79">
        <f>-SUMIFS(T_ORCAMENTOS!$E:$E,T_ORCAMENTOS!$C:$C,"Locação de Utensílios - Eventos",T_ORCAMENTOS!$H:$H,"5/2026")</f>
        <v>0</v>
      </c>
      <c r="V78" s="80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37"/>
      <c r="X78" s="79">
        <f>-SUMIFS(T_ORCAMENTOS!$E:$E,T_ORCAMENTOS!$C:$C,"Locação de Utensílios - Eventos",T_ORCAMENTOS!$H:$H,"6/2026")</f>
        <v>0</v>
      </c>
      <c r="Y78" s="80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37"/>
      <c r="AA78" s="79">
        <f>-SUMIFS(T_ORCAMENTOS!$E:$E,T_ORCAMENTOS!$C:$C,"Locação de Utensílios - Eventos",T_ORCAMENTOS!$H:$H,"7/2026")</f>
        <v>0</v>
      </c>
      <c r="AB78" s="80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37"/>
      <c r="AD78" s="79">
        <f>-SUMIFS(T_ORCAMENTOS!$E:$E,T_ORCAMENTOS!$C:$C,"Locação de Utensílios - Eventos",T_ORCAMENTOS!$H:$H,"8/2026")</f>
        <v>0</v>
      </c>
      <c r="AE78" s="80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37"/>
      <c r="AG78" s="79">
        <f>-SUMIFS(T_ORCAMENTOS!$E:$E,T_ORCAMENTOS!$C:$C,"Locação de Utensílios - Eventos",T_ORCAMENTOS!$H:$H,"9/2026")</f>
        <v>0</v>
      </c>
      <c r="AH78" s="80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37"/>
      <c r="AJ78" s="79">
        <f>-SUMIFS(T_ORCAMENTOS!$E:$E,T_ORCAMENTOS!$C:$C,"Locação de Utensílios - Eventos",T_ORCAMENTOS!$H:$H,"10/2026")</f>
        <v>0</v>
      </c>
      <c r="AK78" s="80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37"/>
      <c r="AM78" s="79">
        <f>-SUMIFS(T_ORCAMENTOS!$E:$E,T_ORCAMENTOS!$C:$C,"Locação de Utensílios - Eventos",T_ORCAMENTOS!$H:$H,"11/2026")</f>
        <v>0</v>
      </c>
      <c r="AN78" s="80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37"/>
      <c r="AP78" s="79">
        <f>-SUMIFS(T_ORCAMENTOS!$E:$E,T_ORCAMENTOS!$C:$C,"Locação de Utensílios - Eventos",T_ORCAMENTOS!$H:$H,"12/2026")</f>
        <v>0</v>
      </c>
      <c r="AQ78" s="80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37">
        <f t="shared" ca="1" si="61"/>
        <v>0</v>
      </c>
      <c r="AS78" s="26">
        <f t="shared" ca="1" si="62"/>
        <v>0</v>
      </c>
      <c r="AT78" s="80">
        <f t="shared" ca="1" si="63"/>
        <v>0</v>
      </c>
      <c r="AU78" s="237">
        <f t="shared" ref="AU78:AW81" si="90">SUM(H78,K78,N78,Q78,T78,W78,Z78,AC78,AF78,AI78,AL78,AO78)</f>
        <v>0</v>
      </c>
      <c r="AV78" s="79">
        <f t="shared" si="90"/>
        <v>0</v>
      </c>
      <c r="AW78" s="80">
        <f t="shared" si="90"/>
        <v>0</v>
      </c>
      <c r="AX78" s="237">
        <f t="shared" ref="AX78:AZ81" si="91">SUM(H78,K78,N78)</f>
        <v>0</v>
      </c>
      <c r="AY78" s="79">
        <f t="shared" si="91"/>
        <v>0</v>
      </c>
      <c r="AZ78" s="80">
        <f t="shared" si="91"/>
        <v>0</v>
      </c>
      <c r="BA78" s="237">
        <f t="shared" ref="BA78:BC81" si="92">SUM(Q78,T78,W78)</f>
        <v>0</v>
      </c>
      <c r="BB78" s="79">
        <f t="shared" si="92"/>
        <v>0</v>
      </c>
      <c r="BC78" s="80">
        <f t="shared" si="92"/>
        <v>0</v>
      </c>
      <c r="BD78" s="237">
        <f t="shared" ref="BD78:BF81" si="93">SUM(Z78,AC78,AF78)</f>
        <v>0</v>
      </c>
      <c r="BE78" s="79">
        <f t="shared" si="93"/>
        <v>0</v>
      </c>
      <c r="BF78" s="80">
        <f t="shared" si="93"/>
        <v>0</v>
      </c>
      <c r="BG78" s="237">
        <f t="shared" ref="BG78:BI81" si="94">SUM(AI78,AL78,AO78)</f>
        <v>0</v>
      </c>
      <c r="BH78" s="79">
        <f t="shared" si="94"/>
        <v>0</v>
      </c>
      <c r="BI78" s="80">
        <f t="shared" si="94"/>
        <v>0</v>
      </c>
      <c r="BJ78" s="454"/>
    </row>
    <row r="79" spans="1:62" s="28" customFormat="1" hidden="1" outlineLevel="1" x14ac:dyDescent="0.3">
      <c r="A79" s="21" t="s">
        <v>103</v>
      </c>
      <c r="B79" s="2"/>
      <c r="C79" s="23"/>
      <c r="D79" s="67" t="s">
        <v>76</v>
      </c>
      <c r="E79" s="43">
        <v>-3.0000000000000001E-3</v>
      </c>
      <c r="F79" s="39"/>
      <c r="G79" s="22"/>
      <c r="H79" s="237"/>
      <c r="I79" s="79">
        <f>-SUMIFS(T_ORCAMENTOS!$E:$E,T_ORCAMENTOS!$C:$C,"Locação de Equipamentos - Eventos",T_ORCAMENTOS!$H:$H,"1/2026")</f>
        <v>0</v>
      </c>
      <c r="J79" s="80">
        <f>SUMIFS(Aut_BlueMe_Sem_Pedido!$J:$J,Aut_BlueMe_Sem_Pedido!$Q:$Q,DRE!H$4,Aut_BlueMe_Sem_Pedido!$H:$H,DRE!$A79)+SUMIFS(Aut_Ajustes_Manuais!$G:$G,Aut_Ajustes_Manuais!$I:$I,DRE!H$4,Aut_Ajustes_Manuais!$F:$F,"Locação de Equipamentos - Eventos")</f>
        <v>0</v>
      </c>
      <c r="K79" s="250"/>
      <c r="L79" s="79">
        <f>-SUMIFS(T_ORCAMENTOS!$E:$E,T_ORCAMENTOS!$C:$C,"Locação de Equipamentos - Eventos",T_ORCAMENTOS!$H:$H,"2/2026")</f>
        <v>0</v>
      </c>
      <c r="M79" s="80">
        <f>SUMIFS(Aut_BlueMe_Sem_Pedido!$J:$J,Aut_BlueMe_Sem_Pedido!$Q:$Q,DRE!K$4,Aut_BlueMe_Sem_Pedido!$H:$H,DRE!$A79)+SUMIFS(Aut_Ajustes_Manuais!$G:$G,Aut_Ajustes_Manuais!$I:$I,DRE!K$4,Aut_Ajustes_Manuais!$F:$F,"Locação de Equipamentos - Eventos")</f>
        <v>0</v>
      </c>
      <c r="N79" s="250"/>
      <c r="O79" s="79">
        <f>-SUMIFS(T_ORCAMENTOS!$E:$E,T_ORCAMENTOS!$C:$C,"Locação de Equipamentos - Eventos",T_ORCAMENTOS!$H:$H,"3/2026")</f>
        <v>0</v>
      </c>
      <c r="P79" s="80">
        <f>SUMIFS(Aut_BlueMe_Sem_Pedido!$J:$J,Aut_BlueMe_Sem_Pedido!$Q:$Q,DRE!N$4,Aut_BlueMe_Sem_Pedido!$H:$H,DRE!$A79)+SUMIFS(Aut_Ajustes_Manuais!$G:$G,Aut_Ajustes_Manuais!$I:$I,DRE!N$4,Aut_Ajustes_Manuais!$F:$F,"Locação de Equipamentos - Eventos")</f>
        <v>0</v>
      </c>
      <c r="Q79" s="237"/>
      <c r="R79" s="79">
        <f>-SUMIFS(T_ORCAMENTOS!$E:$E,T_ORCAMENTOS!$C:$C,"Locação de Equipamentos - Eventos",T_ORCAMENTOS!$H:$H,"4/2026")</f>
        <v>0</v>
      </c>
      <c r="S79" s="80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37"/>
      <c r="U79" s="79">
        <f>-SUMIFS(T_ORCAMENTOS!$E:$E,T_ORCAMENTOS!$C:$C,"Locação de Equipamentos - Eventos",T_ORCAMENTOS!$H:$H,"5/2026")</f>
        <v>0</v>
      </c>
      <c r="V79" s="80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37"/>
      <c r="X79" s="79">
        <f>-SUMIFS(T_ORCAMENTOS!$E:$E,T_ORCAMENTOS!$C:$C,"Locação de Equipamentos - Eventos",T_ORCAMENTOS!$H:$H,"6/2026")</f>
        <v>0</v>
      </c>
      <c r="Y79" s="80">
        <f>SUMIFS(Aut_BlueMe_Sem_Pedido!$J:$J,Aut_BlueMe_Sem_Pedido!$Q:$Q,DRE!W$4,Aut_BlueMe_Sem_Pedido!$H:$H,DRE!$A79)+SUMIFS(Aut_Ajustes_Manuais!$G:$G,Aut_Ajustes_Manuais!$I:$I,DRE!W$4,Aut_Ajustes_Manuais!$F:$F,"Locação de Equipamentos - Eventos")</f>
        <v>0</v>
      </c>
      <c r="Z79" s="237"/>
      <c r="AA79" s="79">
        <f>-SUMIFS(T_ORCAMENTOS!$E:$E,T_ORCAMENTOS!$C:$C,"Locação de Equipamentos - Eventos",T_ORCAMENTOS!$H:$H,"7/2026")</f>
        <v>0</v>
      </c>
      <c r="AB79" s="80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37"/>
      <c r="AD79" s="79">
        <f>-SUMIFS(T_ORCAMENTOS!$E:$E,T_ORCAMENTOS!$C:$C,"Locação de Equipamentos - Eventos",T_ORCAMENTOS!$H:$H,"8/2026")</f>
        <v>0</v>
      </c>
      <c r="AE79" s="80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37"/>
      <c r="AG79" s="79">
        <f>-SUMIFS(T_ORCAMENTOS!$E:$E,T_ORCAMENTOS!$C:$C,"Locação de Equipamentos - Eventos",T_ORCAMENTOS!$H:$H,"9/2026")</f>
        <v>0</v>
      </c>
      <c r="AH79" s="80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37"/>
      <c r="AJ79" s="79">
        <f>-SUMIFS(T_ORCAMENTOS!$E:$E,T_ORCAMENTOS!$C:$C,"Locação de Equipamentos - Eventos",T_ORCAMENTOS!$H:$H,"10/2026")</f>
        <v>0</v>
      </c>
      <c r="AK79" s="80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37"/>
      <c r="AM79" s="79">
        <f>-SUMIFS(T_ORCAMENTOS!$E:$E,T_ORCAMENTOS!$C:$C,"Locação de Equipamentos - Eventos",T_ORCAMENTOS!$H:$H,"11/2026")</f>
        <v>0</v>
      </c>
      <c r="AN79" s="80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37"/>
      <c r="AP79" s="79">
        <f>-SUMIFS(T_ORCAMENTOS!$E:$E,T_ORCAMENTOS!$C:$C,"Locação de Equipamentos - Eventos",T_ORCAMENTOS!$H:$H,"12/2026")</f>
        <v>0</v>
      </c>
      <c r="AQ79" s="80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37">
        <f t="shared" ca="1" si="61"/>
        <v>0</v>
      </c>
      <c r="AS79" s="26">
        <f t="shared" ca="1" si="62"/>
        <v>0</v>
      </c>
      <c r="AT79" s="80">
        <f t="shared" ca="1" si="63"/>
        <v>0</v>
      </c>
      <c r="AU79" s="237">
        <f t="shared" si="90"/>
        <v>0</v>
      </c>
      <c r="AV79" s="79">
        <f t="shared" si="90"/>
        <v>0</v>
      </c>
      <c r="AW79" s="80">
        <f t="shared" si="90"/>
        <v>0</v>
      </c>
      <c r="AX79" s="237">
        <f t="shared" si="91"/>
        <v>0</v>
      </c>
      <c r="AY79" s="79">
        <f t="shared" si="91"/>
        <v>0</v>
      </c>
      <c r="AZ79" s="80">
        <f t="shared" si="91"/>
        <v>0</v>
      </c>
      <c r="BA79" s="237">
        <f t="shared" si="92"/>
        <v>0</v>
      </c>
      <c r="BB79" s="79">
        <f t="shared" si="92"/>
        <v>0</v>
      </c>
      <c r="BC79" s="80">
        <f t="shared" si="92"/>
        <v>0</v>
      </c>
      <c r="BD79" s="237">
        <f t="shared" si="93"/>
        <v>0</v>
      </c>
      <c r="BE79" s="79">
        <f t="shared" si="93"/>
        <v>0</v>
      </c>
      <c r="BF79" s="80">
        <f t="shared" si="93"/>
        <v>0</v>
      </c>
      <c r="BG79" s="237">
        <f t="shared" si="94"/>
        <v>0</v>
      </c>
      <c r="BH79" s="79">
        <f t="shared" si="94"/>
        <v>0</v>
      </c>
      <c r="BI79" s="80">
        <f t="shared" si="94"/>
        <v>0</v>
      </c>
      <c r="BJ79" s="454"/>
    </row>
    <row r="80" spans="1:62" s="28" customFormat="1" hidden="1" outlineLevel="1" x14ac:dyDescent="0.3">
      <c r="A80" s="21" t="s">
        <v>104</v>
      </c>
      <c r="B80" s="2"/>
      <c r="C80" s="23"/>
      <c r="D80" s="67" t="s">
        <v>76</v>
      </c>
      <c r="E80" s="67"/>
      <c r="F80" s="39"/>
      <c r="G80" s="22"/>
      <c r="H80" s="237"/>
      <c r="I80" s="79">
        <f>-SUMIFS(T_ORCAMENTOS!$E:$E,T_ORCAMENTOS!$C:$C,"Locação de Mobiliário - Eventos",T_ORCAMENTOS!$H:$H,"1/2026")</f>
        <v>0</v>
      </c>
      <c r="J80" s="80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50"/>
      <c r="L80" s="79">
        <f>-SUMIFS(T_ORCAMENTOS!$E:$E,T_ORCAMENTOS!$C:$C,"Locação de Mobiliário - Eventos",T_ORCAMENTOS!$H:$H,"2/2026")</f>
        <v>0</v>
      </c>
      <c r="M80" s="80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50"/>
      <c r="O80" s="79">
        <f>-SUMIFS(T_ORCAMENTOS!$E:$E,T_ORCAMENTOS!$C:$C,"Locação de Mobiliário - Eventos",T_ORCAMENTOS!$H:$H,"3/2026")</f>
        <v>0</v>
      </c>
      <c r="P80" s="80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37"/>
      <c r="R80" s="79">
        <f>-SUMIFS(T_ORCAMENTOS!$E:$E,T_ORCAMENTOS!$C:$C,"Locação de Mobiliário - Eventos",T_ORCAMENTOS!$H:$H,"4/2026")</f>
        <v>0</v>
      </c>
      <c r="S80" s="80">
        <f>SUMIFS(Aut_BlueMe_Sem_Pedido!$J:$J,Aut_BlueMe_Sem_Pedido!$Q:$Q,DRE!Q$4,Aut_BlueMe_Sem_Pedido!$H:$H,DRE!$A80)+SUMIFS(Aut_Ajustes_Manuais!$G:$G,Aut_Ajustes_Manuais!$I:$I,DRE!Q$4,Aut_Ajustes_Manuais!$F:$F,"Locação de Mobiliário - Eventos")</f>
        <v>0</v>
      </c>
      <c r="T80" s="237"/>
      <c r="U80" s="79">
        <f>-SUMIFS(T_ORCAMENTOS!$E:$E,T_ORCAMENTOS!$C:$C,"Locação de Mobiliário - Eventos",T_ORCAMENTOS!$H:$H,"5/2026")</f>
        <v>0</v>
      </c>
      <c r="V80" s="80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37"/>
      <c r="X80" s="79">
        <f>-SUMIFS(T_ORCAMENTOS!$E:$E,T_ORCAMENTOS!$C:$C,"Locação de Mobiliário - Eventos",T_ORCAMENTOS!$H:$H,"6/2026")</f>
        <v>0</v>
      </c>
      <c r="Y80" s="80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37"/>
      <c r="AA80" s="79">
        <f>-SUMIFS(T_ORCAMENTOS!$E:$E,T_ORCAMENTOS!$C:$C,"Locação de Mobiliário - Eventos",T_ORCAMENTOS!$H:$H,"7/2026")</f>
        <v>0</v>
      </c>
      <c r="AB80" s="80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37"/>
      <c r="AD80" s="79">
        <f>-SUMIFS(T_ORCAMENTOS!$E:$E,T_ORCAMENTOS!$C:$C,"Locação de Mobiliário - Eventos",T_ORCAMENTOS!$H:$H,"8/2026")</f>
        <v>0</v>
      </c>
      <c r="AE80" s="80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37"/>
      <c r="AG80" s="79">
        <f>-SUMIFS(T_ORCAMENTOS!$E:$E,T_ORCAMENTOS!$C:$C,"Locação de Mobiliário - Eventos",T_ORCAMENTOS!$H:$H,"9/2026")</f>
        <v>0</v>
      </c>
      <c r="AH80" s="80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37"/>
      <c r="AJ80" s="79">
        <f>-SUMIFS(T_ORCAMENTOS!$E:$E,T_ORCAMENTOS!$C:$C,"Locação de Mobiliário - Eventos",T_ORCAMENTOS!$H:$H,"10/2026")</f>
        <v>0</v>
      </c>
      <c r="AK80" s="80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37"/>
      <c r="AM80" s="79">
        <f>-SUMIFS(T_ORCAMENTOS!$E:$E,T_ORCAMENTOS!$C:$C,"Locação de Mobiliário - Eventos",T_ORCAMENTOS!$H:$H,"11/2026")</f>
        <v>0</v>
      </c>
      <c r="AN80" s="80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37"/>
      <c r="AP80" s="79">
        <f>-SUMIFS(T_ORCAMENTOS!$E:$E,T_ORCAMENTOS!$C:$C,"Locação de Mobiliário - Eventos",T_ORCAMENTOS!$H:$H,"12/2026")</f>
        <v>0</v>
      </c>
      <c r="AQ80" s="80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37">
        <f t="shared" ca="1" si="61"/>
        <v>0</v>
      </c>
      <c r="AS80" s="26">
        <f t="shared" ca="1" si="62"/>
        <v>0</v>
      </c>
      <c r="AT80" s="80">
        <f t="shared" ca="1" si="63"/>
        <v>0</v>
      </c>
      <c r="AU80" s="237">
        <f t="shared" si="90"/>
        <v>0</v>
      </c>
      <c r="AV80" s="79">
        <f t="shared" si="90"/>
        <v>0</v>
      </c>
      <c r="AW80" s="80">
        <f t="shared" si="90"/>
        <v>0</v>
      </c>
      <c r="AX80" s="237">
        <f t="shared" si="91"/>
        <v>0</v>
      </c>
      <c r="AY80" s="79">
        <f t="shared" si="91"/>
        <v>0</v>
      </c>
      <c r="AZ80" s="80">
        <f t="shared" si="91"/>
        <v>0</v>
      </c>
      <c r="BA80" s="237">
        <f t="shared" si="92"/>
        <v>0</v>
      </c>
      <c r="BB80" s="79">
        <f t="shared" si="92"/>
        <v>0</v>
      </c>
      <c r="BC80" s="80">
        <f t="shared" si="92"/>
        <v>0</v>
      </c>
      <c r="BD80" s="237">
        <f t="shared" si="93"/>
        <v>0</v>
      </c>
      <c r="BE80" s="79">
        <f t="shared" si="93"/>
        <v>0</v>
      </c>
      <c r="BF80" s="80">
        <f t="shared" si="93"/>
        <v>0</v>
      </c>
      <c r="BG80" s="237">
        <f t="shared" si="94"/>
        <v>0</v>
      </c>
      <c r="BH80" s="79">
        <f t="shared" si="94"/>
        <v>0</v>
      </c>
      <c r="BI80" s="80">
        <f t="shared" si="94"/>
        <v>0</v>
      </c>
      <c r="BJ80" s="454"/>
    </row>
    <row r="81" spans="1:62" s="28" customFormat="1" hidden="1" outlineLevel="1" x14ac:dyDescent="0.3">
      <c r="A81" s="21" t="s">
        <v>105</v>
      </c>
      <c r="B81" s="2"/>
      <c r="C81" s="23" t="s">
        <v>106</v>
      </c>
      <c r="D81" s="67" t="s">
        <v>76</v>
      </c>
      <c r="E81" s="67"/>
      <c r="F81" s="39"/>
      <c r="G81" s="22"/>
      <c r="H81" s="237"/>
      <c r="I81" s="79">
        <f>-SUMIFS(T_ORCAMENTOS!$E:$E,T_ORCAMENTOS!$C:$C,"Locação de Coberturas - Eventos",T_ORCAMENTOS!$H:$H,"1/2026")</f>
        <v>0</v>
      </c>
      <c r="J81" s="80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50"/>
      <c r="L81" s="79">
        <f>-SUMIFS(T_ORCAMENTOS!$E:$E,T_ORCAMENTOS!$C:$C,"Locação de Coberturas - Eventos",T_ORCAMENTOS!$H:$H,"2/2026")</f>
        <v>0</v>
      </c>
      <c r="M81" s="80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50"/>
      <c r="O81" s="79">
        <f>-SUMIFS(T_ORCAMENTOS!$E:$E,T_ORCAMENTOS!$C:$C,"Locação de Coberturas - Eventos",T_ORCAMENTOS!$H:$H,"3/2026")</f>
        <v>0</v>
      </c>
      <c r="P81" s="80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37"/>
      <c r="R81" s="79">
        <f>-SUMIFS(T_ORCAMENTOS!$E:$E,T_ORCAMENTOS!$C:$C,"Locação de Coberturas - Eventos",T_ORCAMENTOS!$H:$H,"4/2026")</f>
        <v>0</v>
      </c>
      <c r="S81" s="80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37"/>
      <c r="U81" s="79">
        <f>-SUMIFS(T_ORCAMENTOS!$E:$E,T_ORCAMENTOS!$C:$C,"Locação de Coberturas - Eventos",T_ORCAMENTOS!$H:$H,"5/2026")</f>
        <v>0</v>
      </c>
      <c r="V81" s="80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37"/>
      <c r="X81" s="79">
        <f>-SUMIFS(T_ORCAMENTOS!$E:$E,T_ORCAMENTOS!$C:$C,"Locação de Coberturas - Eventos",T_ORCAMENTOS!$H:$H,"6/2026")</f>
        <v>0</v>
      </c>
      <c r="Y81" s="80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37"/>
      <c r="AA81" s="79">
        <f>-SUMIFS(T_ORCAMENTOS!$E:$E,T_ORCAMENTOS!$C:$C,"Locação de Coberturas - Eventos",T_ORCAMENTOS!$H:$H,"7/2026")</f>
        <v>0</v>
      </c>
      <c r="AB81" s="80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37"/>
      <c r="AD81" s="79">
        <f>-SUMIFS(T_ORCAMENTOS!$E:$E,T_ORCAMENTOS!$C:$C,"Locação de Coberturas - Eventos",T_ORCAMENTOS!$H:$H,"8/2026")</f>
        <v>0</v>
      </c>
      <c r="AE81" s="80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37"/>
      <c r="AG81" s="79">
        <f>-SUMIFS(T_ORCAMENTOS!$E:$E,T_ORCAMENTOS!$C:$C,"Locação de Coberturas - Eventos",T_ORCAMENTOS!$H:$H,"9/2026")</f>
        <v>0</v>
      </c>
      <c r="AH81" s="80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37"/>
      <c r="AJ81" s="79">
        <f>-SUMIFS(T_ORCAMENTOS!$E:$E,T_ORCAMENTOS!$C:$C,"Locação de Coberturas - Eventos",T_ORCAMENTOS!$H:$H,"10/2026")</f>
        <v>0</v>
      </c>
      <c r="AK81" s="80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37"/>
      <c r="AM81" s="79">
        <f>-SUMIFS(T_ORCAMENTOS!$E:$E,T_ORCAMENTOS!$C:$C,"Locação de Coberturas - Eventos",T_ORCAMENTOS!$H:$H,"11/2026")</f>
        <v>0</v>
      </c>
      <c r="AN81" s="80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37"/>
      <c r="AP81" s="79">
        <f>-SUMIFS(T_ORCAMENTOS!$E:$E,T_ORCAMENTOS!$C:$C,"Locação de Coberturas - Eventos",T_ORCAMENTOS!$H:$H,"12/2026")</f>
        <v>0</v>
      </c>
      <c r="AQ81" s="80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37">
        <f t="shared" ca="1" si="61"/>
        <v>0</v>
      </c>
      <c r="AS81" s="26">
        <f t="shared" ca="1" si="62"/>
        <v>0</v>
      </c>
      <c r="AT81" s="80">
        <f t="shared" ca="1" si="63"/>
        <v>0</v>
      </c>
      <c r="AU81" s="237">
        <f t="shared" si="90"/>
        <v>0</v>
      </c>
      <c r="AV81" s="79">
        <f t="shared" si="90"/>
        <v>0</v>
      </c>
      <c r="AW81" s="80">
        <f t="shared" si="90"/>
        <v>0</v>
      </c>
      <c r="AX81" s="237">
        <f t="shared" si="91"/>
        <v>0</v>
      </c>
      <c r="AY81" s="79">
        <f t="shared" si="91"/>
        <v>0</v>
      </c>
      <c r="AZ81" s="80">
        <f t="shared" si="91"/>
        <v>0</v>
      </c>
      <c r="BA81" s="237">
        <f t="shared" si="92"/>
        <v>0</v>
      </c>
      <c r="BB81" s="79">
        <f t="shared" si="92"/>
        <v>0</v>
      </c>
      <c r="BC81" s="80">
        <f t="shared" si="92"/>
        <v>0</v>
      </c>
      <c r="BD81" s="237">
        <f t="shared" si="93"/>
        <v>0</v>
      </c>
      <c r="BE81" s="79">
        <f t="shared" si="93"/>
        <v>0</v>
      </c>
      <c r="BF81" s="80">
        <f t="shared" si="93"/>
        <v>0</v>
      </c>
      <c r="BG81" s="237">
        <f t="shared" si="94"/>
        <v>0</v>
      </c>
      <c r="BH81" s="79">
        <f t="shared" si="94"/>
        <v>0</v>
      </c>
      <c r="BI81" s="80">
        <f t="shared" si="94"/>
        <v>0</v>
      </c>
      <c r="BJ81" s="454"/>
    </row>
    <row r="82" spans="1:62" ht="18" hidden="1" customHeight="1" outlineLevel="1" x14ac:dyDescent="0.3">
      <c r="A82" s="71" t="s">
        <v>107</v>
      </c>
      <c r="C82" s="23"/>
      <c r="D82" s="67"/>
      <c r="E82" s="67"/>
      <c r="F82" s="39"/>
      <c r="H82" s="248"/>
      <c r="I82" s="72">
        <f>SUM(I83:I84)</f>
        <v>0</v>
      </c>
      <c r="J82" s="74">
        <f>SUM(J83:J84)+SUMIFS(Aut_Ajustes_Manuais!$G:$G,Aut_Ajustes_Manuais!$I:$I,DRE!H$4,Aut_Ajustes_Manuais!$F:$F,"Repasses Locação de Espaço")</f>
        <v>0</v>
      </c>
      <c r="K82" s="248"/>
      <c r="L82" s="72">
        <f>SUM(L83:L84)</f>
        <v>0</v>
      </c>
      <c r="M82" s="74">
        <f>SUM(M83:M84)+SUMIFS(Aut_Ajustes_Manuais!$G:$G,Aut_Ajustes_Manuais!$I:$I,DRE!K$4,Aut_Ajustes_Manuais!$F:$F,"Repasses Locação de Espaço")</f>
        <v>0</v>
      </c>
      <c r="N82" s="248"/>
      <c r="O82" s="72">
        <f>SUM(O83:O84)</f>
        <v>0</v>
      </c>
      <c r="P82" s="74">
        <f>SUM(P83:P84)+SUMIFS(Aut_Ajustes_Manuais!$G:$G,Aut_Ajustes_Manuais!$I:$I,DRE!N$4,Aut_Ajustes_Manuais!$F:$F,"Repasses Locação de Espaço")</f>
        <v>0</v>
      </c>
      <c r="Q82" s="248"/>
      <c r="R82" s="72">
        <f>SUM(R83:R84)</f>
        <v>0</v>
      </c>
      <c r="S82" s="74">
        <f>SUM(S83:S84)+SUMIFS(Aut_Ajustes_Manuais!$G:$G,Aut_Ajustes_Manuais!$I:$I,DRE!Q$4,Aut_Ajustes_Manuais!$F:$F,"Repasses Locação de Espaço")</f>
        <v>0</v>
      </c>
      <c r="T82" s="248"/>
      <c r="U82" s="72">
        <f>SUM(U83:U84)</f>
        <v>0</v>
      </c>
      <c r="V82" s="74">
        <f>SUM(V83:V84)+SUMIFS(Aut_Ajustes_Manuais!$G:$G,Aut_Ajustes_Manuais!$I:$I,DRE!T$4,Aut_Ajustes_Manuais!$F:$F,"Repasses Locação de Espaço")</f>
        <v>0</v>
      </c>
      <c r="W82" s="248"/>
      <c r="X82" s="72">
        <f>SUM(X83:X84)</f>
        <v>0</v>
      </c>
      <c r="Y82" s="74">
        <f>SUM(Y83:Y84)+SUMIFS(Aut_Ajustes_Manuais!$G:$G,Aut_Ajustes_Manuais!$I:$I,DRE!W$4,Aut_Ajustes_Manuais!$F:$F,"Repasses Locação de Espaço")</f>
        <v>0</v>
      </c>
      <c r="Z82" s="248"/>
      <c r="AA82" s="72">
        <f>SUM(AA83:AA84)</f>
        <v>0</v>
      </c>
      <c r="AB82" s="74">
        <f>SUM(AB83:AB84)+SUMIFS(Aut_Ajustes_Manuais!$G:$G,Aut_Ajustes_Manuais!$I:$I,DRE!Z$4,Aut_Ajustes_Manuais!$F:$F,"Repasses Locação de Espaço")</f>
        <v>0</v>
      </c>
      <c r="AC82" s="248"/>
      <c r="AD82" s="72">
        <f>SUM(AD83:AD84)</f>
        <v>0</v>
      </c>
      <c r="AE82" s="74">
        <f>SUM(AE83:AE84)+SUMIFS(Aut_Ajustes_Manuais!$G:$G,Aut_Ajustes_Manuais!$I:$I,DRE!AC$4,Aut_Ajustes_Manuais!$F:$F,"Repasses Locação de Espaço")</f>
        <v>0</v>
      </c>
      <c r="AF82" s="248"/>
      <c r="AG82" s="72">
        <f>SUM(AG83:AG84)</f>
        <v>0</v>
      </c>
      <c r="AH82" s="74">
        <f>SUM(AH83:AH84)+SUMIFS(Aut_Ajustes_Manuais!$G:$G,Aut_Ajustes_Manuais!$I:$I,DRE!AF$4,Aut_Ajustes_Manuais!$F:$F,"Repasses Locação de Espaço")</f>
        <v>0</v>
      </c>
      <c r="AI82" s="248"/>
      <c r="AJ82" s="72">
        <f>SUM(AJ83:AJ84)</f>
        <v>0</v>
      </c>
      <c r="AK82" s="74">
        <f>SUM(AK83:AK84)+SUMIFS(Aut_Ajustes_Manuais!$G:$G,Aut_Ajustes_Manuais!$I:$I,DRE!AI$4,Aut_Ajustes_Manuais!$F:$F,"Repasses Locação de Espaço")</f>
        <v>0</v>
      </c>
      <c r="AL82" s="248"/>
      <c r="AM82" s="72">
        <f>SUM(AM83:AM84)</f>
        <v>0</v>
      </c>
      <c r="AN82" s="74">
        <f>SUM(AN83:AN84)+SUMIFS(Aut_Ajustes_Manuais!$G:$G,Aut_Ajustes_Manuais!$I:$I,DRE!AL$4,Aut_Ajustes_Manuais!$F:$F,"Repasses Locação de Espaço")</f>
        <v>0</v>
      </c>
      <c r="AO82" s="248"/>
      <c r="AP82" s="72">
        <f>SUM(AP83:AP84)</f>
        <v>0</v>
      </c>
      <c r="AQ82" s="74">
        <f>SUM(AQ83:AQ84)+SUMIFS(Aut_Ajustes_Manuais!$G:$G,Aut_Ajustes_Manuais!$I:$I,DRE!AO$4,Aut_Ajustes_Manuais!$F:$F,"Repasses Locação de Espaço")</f>
        <v>0</v>
      </c>
      <c r="AR82" s="72">
        <f t="shared" ca="1" si="61"/>
        <v>0</v>
      </c>
      <c r="AS82" s="72">
        <f t="shared" ca="1" si="62"/>
        <v>0</v>
      </c>
      <c r="AT82" s="72">
        <f t="shared" ca="1" si="63"/>
        <v>0</v>
      </c>
      <c r="AU82" s="248">
        <f t="shared" ref="AU82:BI82" si="95">SUM(AU83:AU84)</f>
        <v>0</v>
      </c>
      <c r="AV82" s="72">
        <f t="shared" si="95"/>
        <v>0</v>
      </c>
      <c r="AW82" s="74">
        <f t="shared" si="95"/>
        <v>0</v>
      </c>
      <c r="AX82" s="248">
        <f t="shared" si="95"/>
        <v>0</v>
      </c>
      <c r="AY82" s="72">
        <f t="shared" si="95"/>
        <v>0</v>
      </c>
      <c r="AZ82" s="74">
        <f t="shared" si="95"/>
        <v>0</v>
      </c>
      <c r="BA82" s="248">
        <f t="shared" si="95"/>
        <v>0</v>
      </c>
      <c r="BB82" s="72">
        <f t="shared" si="95"/>
        <v>0</v>
      </c>
      <c r="BC82" s="74">
        <f t="shared" si="95"/>
        <v>0</v>
      </c>
      <c r="BD82" s="248">
        <f t="shared" si="95"/>
        <v>0</v>
      </c>
      <c r="BE82" s="72">
        <f t="shared" si="95"/>
        <v>0</v>
      </c>
      <c r="BF82" s="74">
        <f t="shared" si="95"/>
        <v>0</v>
      </c>
      <c r="BG82" s="248">
        <f t="shared" si="95"/>
        <v>0</v>
      </c>
      <c r="BH82" s="72">
        <f t="shared" si="95"/>
        <v>0</v>
      </c>
      <c r="BI82" s="74">
        <f t="shared" si="95"/>
        <v>0</v>
      </c>
    </row>
    <row r="83" spans="1:62" s="28" customFormat="1" hidden="1" outlineLevel="1" x14ac:dyDescent="0.3">
      <c r="A83" s="21" t="s">
        <v>108</v>
      </c>
      <c r="B83" s="2"/>
      <c r="C83" s="23"/>
      <c r="D83" s="67" t="s">
        <v>76</v>
      </c>
      <c r="E83" s="78">
        <v>0</v>
      </c>
      <c r="F83" s="39"/>
      <c r="G83" s="22"/>
      <c r="H83" s="237"/>
      <c r="I83" s="79">
        <f>-SUMIFS(T_ORCAMENTOS!$E:$E,T_ORCAMENTOS!$C:$C,"Repasse Gazit - Locação Aroo",T_ORCAMENTOS!$H:$H,"1/2026")</f>
        <v>0</v>
      </c>
      <c r="J83" s="80">
        <f>SUMIFS(Aut_BlueMe_Sem_Pedido!$J:$J,Aut_BlueMe_Sem_Pedido!$Q:$Q,DRE!H$4,Aut_BlueMe_Sem_Pedido!$H:$H,DRE!$A83)+SUMIFS(Aut_Ajustes_Manuais!$G:$G,Aut_Ajustes_Manuais!$I:$I,DRE!H$4,Aut_Ajustes_Manuais!$F:$F,"Repasse Gazit - Locação Aroo")</f>
        <v>0</v>
      </c>
      <c r="K83" s="250"/>
      <c r="L83" s="79">
        <f>-SUMIFS(T_ORCAMENTOS!$E:$E,T_ORCAMENTOS!$C:$C,"Repasse Gazit - Locação Aroo",T_ORCAMENTOS!$H:$H,"2/2026")</f>
        <v>0</v>
      </c>
      <c r="M83" s="80">
        <f>SUMIFS(Aut_BlueMe_Sem_Pedido!$J:$J,Aut_BlueMe_Sem_Pedido!$Q:$Q,DRE!K$4,Aut_BlueMe_Sem_Pedido!$H:$H,DRE!$A83)+SUMIFS(Aut_Ajustes_Manuais!$G:$G,Aut_Ajustes_Manuais!$I:$I,DRE!K$4,Aut_Ajustes_Manuais!$F:$F,"Repasse Gazit - Locação Aroo")</f>
        <v>0</v>
      </c>
      <c r="N83" s="250"/>
      <c r="O83" s="79">
        <f>-SUMIFS(T_ORCAMENTOS!$E:$E,T_ORCAMENTOS!$C:$C,"Repasse Gazit - Locação Aroo",T_ORCAMENTOS!$H:$H,"3/2026")</f>
        <v>0</v>
      </c>
      <c r="P83" s="80">
        <f>SUMIFS(Aut_BlueMe_Sem_Pedido!$J:$J,Aut_BlueMe_Sem_Pedido!$Q:$Q,DRE!N$4,Aut_BlueMe_Sem_Pedido!$H:$H,DRE!$A83)+SUMIFS(Aut_Ajustes_Manuais!$G:$G,Aut_Ajustes_Manuais!$I:$I,DRE!N$4,Aut_Ajustes_Manuais!$F:$F,"Repasse Gazit - Locação Aroo")</f>
        <v>0</v>
      </c>
      <c r="Q83" s="237"/>
      <c r="R83" s="79">
        <f>-SUMIFS(T_ORCAMENTOS!$E:$E,T_ORCAMENTOS!$C:$C,"Repasse Gazit - Locação Aroo",T_ORCAMENTOS!$H:$H,"4/2026")</f>
        <v>0</v>
      </c>
      <c r="S83" s="80">
        <f>SUMIFS(Aut_BlueMe_Sem_Pedido!$J:$J,Aut_BlueMe_Sem_Pedido!$Q:$Q,DRE!Q$4,Aut_BlueMe_Sem_Pedido!$H:$H,DRE!$A83)+SUMIFS(Aut_Ajustes_Manuais!$G:$G,Aut_Ajustes_Manuais!$I:$I,DRE!Q$4,Aut_Ajustes_Manuais!$F:$F,"Repasse Gazit - Locação Aroo")</f>
        <v>0</v>
      </c>
      <c r="T83" s="237"/>
      <c r="U83" s="79">
        <f>-SUMIFS(T_ORCAMENTOS!$E:$E,T_ORCAMENTOS!$C:$C,"Repasse Gazit - Locação Aroo",T_ORCAMENTOS!$H:$H,"5/2026")</f>
        <v>0</v>
      </c>
      <c r="V83" s="80">
        <f>SUMIFS(Aut_BlueMe_Sem_Pedido!$J:$J,Aut_BlueMe_Sem_Pedido!$Q:$Q,DRE!T$4,Aut_BlueMe_Sem_Pedido!$H:$H,DRE!$A83)+SUMIFS(Aut_Ajustes_Manuais!$G:$G,Aut_Ajustes_Manuais!$I:$I,DRE!T$4,Aut_Ajustes_Manuais!$F:$F,"Repasse Gazit - Locação Aroo")</f>
        <v>0</v>
      </c>
      <c r="W83" s="237"/>
      <c r="X83" s="79">
        <f>-SUMIFS(T_ORCAMENTOS!$E:$E,T_ORCAMENTOS!$C:$C,"Repasse Gazit - Locação Aroo",T_ORCAMENTOS!$H:$H,"6/2026")</f>
        <v>0</v>
      </c>
      <c r="Y83" s="80">
        <f>SUMIFS(Aut_BlueMe_Sem_Pedido!$J:$J,Aut_BlueMe_Sem_Pedido!$Q:$Q,DRE!W$4,Aut_BlueMe_Sem_Pedido!$H:$H,DRE!$A83)+SUMIFS(Aut_Ajustes_Manuais!$G:$G,Aut_Ajustes_Manuais!$I:$I,DRE!W$4,Aut_Ajustes_Manuais!$F:$F,"Repasse Gazit - Locação Aroo")</f>
        <v>0</v>
      </c>
      <c r="Z83" s="237"/>
      <c r="AA83" s="79">
        <f>-SUMIFS(T_ORCAMENTOS!$E:$E,T_ORCAMENTOS!$C:$C,"Repasse Gazit - Locação Aroo",T_ORCAMENTOS!$H:$H,"7/2026")</f>
        <v>0</v>
      </c>
      <c r="AB83" s="80">
        <f>SUMIFS(Aut_BlueMe_Sem_Pedido!$J:$J,Aut_BlueMe_Sem_Pedido!$Q:$Q,DRE!Z$4,Aut_BlueMe_Sem_Pedido!$H:$H,DRE!$A83)+SUMIFS(Aut_Ajustes_Manuais!$G:$G,Aut_Ajustes_Manuais!$I:$I,DRE!Z$4,Aut_Ajustes_Manuais!$F:$F,"Repasse Gazit - Locação Aroo")</f>
        <v>0</v>
      </c>
      <c r="AC83" s="237"/>
      <c r="AD83" s="79">
        <f>-SUMIFS(T_ORCAMENTOS!$E:$E,T_ORCAMENTOS!$C:$C,"Repasse Gazit - Locação Aroo",T_ORCAMENTOS!$H:$H,"8/2026")</f>
        <v>0</v>
      </c>
      <c r="AE83" s="80">
        <f>SUMIFS(Aut_BlueMe_Sem_Pedido!$J:$J,Aut_BlueMe_Sem_Pedido!$Q:$Q,DRE!AC$4,Aut_BlueMe_Sem_Pedido!$H:$H,DRE!$A83)+SUMIFS(Aut_Ajustes_Manuais!$G:$G,Aut_Ajustes_Manuais!$I:$I,DRE!AC$4,Aut_Ajustes_Manuais!$F:$F,"Repasse Gazit - Locação Aroo")</f>
        <v>0</v>
      </c>
      <c r="AF83" s="237"/>
      <c r="AG83" s="79">
        <f>-SUMIFS(T_ORCAMENTOS!$E:$E,T_ORCAMENTOS!$C:$C,"Repasse Gazit - Locação Aroo",T_ORCAMENTOS!$H:$H,"9/2026")</f>
        <v>0</v>
      </c>
      <c r="AH83" s="80">
        <f>SUMIFS(Aut_BlueMe_Sem_Pedido!$J:$J,Aut_BlueMe_Sem_Pedido!$Q:$Q,DRE!AF$4,Aut_BlueMe_Sem_Pedido!$H:$H,DRE!$A83)+SUMIFS(Aut_Ajustes_Manuais!$G:$G,Aut_Ajustes_Manuais!$I:$I,DRE!AF$4,Aut_Ajustes_Manuais!$F:$F,"Repasse Gazit - Locação Aroo")</f>
        <v>0</v>
      </c>
      <c r="AI83" s="237"/>
      <c r="AJ83" s="79">
        <f>-SUMIFS(T_ORCAMENTOS!$E:$E,T_ORCAMENTOS!$C:$C,"Repasse Gazit - Locação Aroo",T_ORCAMENTOS!$H:$H,"10/2026")</f>
        <v>0</v>
      </c>
      <c r="AK83" s="80">
        <f>SUMIFS(Aut_BlueMe_Sem_Pedido!$J:$J,Aut_BlueMe_Sem_Pedido!$Q:$Q,DRE!AI$4,Aut_BlueMe_Sem_Pedido!$H:$H,DRE!$A83)+SUMIFS(Aut_Ajustes_Manuais!$G:$G,Aut_Ajustes_Manuais!$I:$I,DRE!AI$4,Aut_Ajustes_Manuais!$F:$F,"Repasse Gazit - Locação Aroo")</f>
        <v>0</v>
      </c>
      <c r="AL83" s="237"/>
      <c r="AM83" s="79">
        <f>-SUMIFS(T_ORCAMENTOS!$E:$E,T_ORCAMENTOS!$C:$C,"Repasse Gazit - Locação Aroo",T_ORCAMENTOS!$H:$H,"11/2026")</f>
        <v>0</v>
      </c>
      <c r="AN83" s="80">
        <f>SUMIFS(Aut_BlueMe_Sem_Pedido!$J:$J,Aut_BlueMe_Sem_Pedido!$Q:$Q,DRE!AL$4,Aut_BlueMe_Sem_Pedido!$H:$H,DRE!$A83)+SUMIFS(Aut_Ajustes_Manuais!$G:$G,Aut_Ajustes_Manuais!$I:$I,DRE!AL$4,Aut_Ajustes_Manuais!$F:$F,"Repasse Gazit - Locação Aroo")</f>
        <v>0</v>
      </c>
      <c r="AO83" s="237"/>
      <c r="AP83" s="79">
        <f>-SUMIFS(T_ORCAMENTOS!$E:$E,T_ORCAMENTOS!$C:$C,"Repasse Gazit - Locação Aroo",T_ORCAMENTOS!$H:$H,"12/2026")</f>
        <v>0</v>
      </c>
      <c r="AQ83" s="80">
        <f>SUMIFS(Aut_BlueMe_Sem_Pedido!$J:$J,Aut_BlueMe_Sem_Pedido!$Q:$Q,DRE!AO$4,Aut_BlueMe_Sem_Pedido!$H:$H,DRE!$A83)+SUMIFS(Aut_Ajustes_Manuais!$G:$G,Aut_Ajustes_Manuais!$I:$I,DRE!AO$4,Aut_Ajustes_Manuais!$F:$F,"Repasse Gazit - Locação Aroo")</f>
        <v>0</v>
      </c>
      <c r="AR83" s="237">
        <f t="shared" ca="1" si="61"/>
        <v>0</v>
      </c>
      <c r="AS83" s="26">
        <f t="shared" ca="1" si="62"/>
        <v>0</v>
      </c>
      <c r="AT83" s="80">
        <f t="shared" ca="1" si="63"/>
        <v>0</v>
      </c>
      <c r="AU83" s="237">
        <f t="shared" ref="AU83:AW84" si="96">SUM(H83,K83,N83,Q83,T83,W83,Z83,AC83,AF83,AI83,AL83,AO83)</f>
        <v>0</v>
      </c>
      <c r="AV83" s="79">
        <f t="shared" si="96"/>
        <v>0</v>
      </c>
      <c r="AW83" s="80">
        <f t="shared" si="96"/>
        <v>0</v>
      </c>
      <c r="AX83" s="237">
        <f t="shared" ref="AX83:AZ84" si="97">SUM(H83,K83,N83)</f>
        <v>0</v>
      </c>
      <c r="AY83" s="79">
        <f t="shared" si="97"/>
        <v>0</v>
      </c>
      <c r="AZ83" s="80">
        <f t="shared" si="97"/>
        <v>0</v>
      </c>
      <c r="BA83" s="237">
        <f t="shared" ref="BA83:BC84" si="98">SUM(Q83,T83,W83)</f>
        <v>0</v>
      </c>
      <c r="BB83" s="79">
        <f t="shared" si="98"/>
        <v>0</v>
      </c>
      <c r="BC83" s="80">
        <f t="shared" si="98"/>
        <v>0</v>
      </c>
      <c r="BD83" s="237">
        <f t="shared" ref="BD83:BF84" si="99">SUM(Z83,AC83,AF83)</f>
        <v>0</v>
      </c>
      <c r="BE83" s="79">
        <f t="shared" si="99"/>
        <v>0</v>
      </c>
      <c r="BF83" s="80">
        <f t="shared" si="99"/>
        <v>0</v>
      </c>
      <c r="BG83" s="237">
        <f t="shared" ref="BG83:BI84" si="100">SUM(AI83,AL83,AO83)</f>
        <v>0</v>
      </c>
      <c r="BH83" s="79">
        <f t="shared" si="100"/>
        <v>0</v>
      </c>
      <c r="BI83" s="80">
        <f t="shared" si="100"/>
        <v>0</v>
      </c>
      <c r="BJ83" s="454"/>
    </row>
    <row r="84" spans="1:62" s="28" customFormat="1" hidden="1" outlineLevel="1" x14ac:dyDescent="0.3">
      <c r="A84" s="21" t="s">
        <v>109</v>
      </c>
      <c r="B84" s="2"/>
      <c r="C84" s="23"/>
      <c r="D84" s="67" t="s">
        <v>76</v>
      </c>
      <c r="E84" s="78">
        <v>0</v>
      </c>
      <c r="F84" s="39"/>
      <c r="G84" s="22"/>
      <c r="H84" s="237"/>
      <c r="I84" s="79">
        <f>-SUMIFS(T_ORCAMENTOS!$E:$E,T_ORCAMENTOS!$C:$C,"Repasse Gazit - Locação Anexo Abaru",T_ORCAMENTOS!$H:$H,"1/2026")</f>
        <v>0</v>
      </c>
      <c r="J84" s="80">
        <f>SUMIFS(Aut_BlueMe_Sem_Pedido!$J:$J,Aut_BlueMe_Sem_Pedido!$Q:$Q,DRE!H$4,Aut_BlueMe_Sem_Pedido!$H:$H,DRE!$A84)+SUMIFS(Aut_Ajustes_Manuais!$G:$G,Aut_Ajustes_Manuais!$I:$I,DRE!H$4,Aut_Ajustes_Manuais!$F:$F,"Repasse Gazit - Locação Anexo Abaru")</f>
        <v>0</v>
      </c>
      <c r="K84" s="250"/>
      <c r="L84" s="79">
        <f>-SUMIFS(T_ORCAMENTOS!$E:$E,T_ORCAMENTOS!$C:$C,"Repasse Gazit - Locação Anexo Abaru",T_ORCAMENTOS!$H:$H,"2/2026")</f>
        <v>0</v>
      </c>
      <c r="M84" s="80">
        <f>SUMIFS(Aut_BlueMe_Sem_Pedido!$J:$J,Aut_BlueMe_Sem_Pedido!$Q:$Q,DRE!K$4,Aut_BlueMe_Sem_Pedido!$H:$H,DRE!$A84)+SUMIFS(Aut_Ajustes_Manuais!$G:$G,Aut_Ajustes_Manuais!$I:$I,DRE!K$4,Aut_Ajustes_Manuais!$F:$F,"Repasse Gazit - Locação Anexo Abaru")</f>
        <v>0</v>
      </c>
      <c r="N84" s="250"/>
      <c r="O84" s="79">
        <f>-SUMIFS(T_ORCAMENTOS!$E:$E,T_ORCAMENTOS!$C:$C,"Repasse Gazit - Locação Anexo Abaru",T_ORCAMENTOS!$H:$H,"3/2026")</f>
        <v>0</v>
      </c>
      <c r="P84" s="80">
        <f>SUMIFS(Aut_BlueMe_Sem_Pedido!$J:$J,Aut_BlueMe_Sem_Pedido!$Q:$Q,DRE!N$4,Aut_BlueMe_Sem_Pedido!$H:$H,DRE!$A84)+SUMIFS(Aut_Ajustes_Manuais!$G:$G,Aut_Ajustes_Manuais!$I:$I,DRE!N$4,Aut_Ajustes_Manuais!$F:$F,"Repasse Gazit - Locação Anexo Abaru")</f>
        <v>0</v>
      </c>
      <c r="Q84" s="237"/>
      <c r="R84" s="79">
        <f>-SUMIFS(T_ORCAMENTOS!$E:$E,T_ORCAMENTOS!$C:$C,"Repasse Gazit - Locação Anexo Abaru",T_ORCAMENTOS!$H:$H,"4/2026")</f>
        <v>0</v>
      </c>
      <c r="S84" s="80">
        <f>SUMIFS(Aut_BlueMe_Sem_Pedido!$J:$J,Aut_BlueMe_Sem_Pedido!$Q:$Q,DRE!Q$4,Aut_BlueMe_Sem_Pedido!$H:$H,DRE!$A84)+SUMIFS(Aut_Ajustes_Manuais!$G:$G,Aut_Ajustes_Manuais!$I:$I,DRE!Q$4,Aut_Ajustes_Manuais!$F:$F,"Repasse Gazit - Locação Anexo Abaru")</f>
        <v>0</v>
      </c>
      <c r="T84" s="237"/>
      <c r="U84" s="79">
        <f>-SUMIFS(T_ORCAMENTOS!$E:$E,T_ORCAMENTOS!$C:$C,"Repasse Gazit - Locação Anexo Abaru",T_ORCAMENTOS!$H:$H,"5/2026")</f>
        <v>0</v>
      </c>
      <c r="V84" s="80">
        <f>SUMIFS(Aut_BlueMe_Sem_Pedido!$J:$J,Aut_BlueMe_Sem_Pedido!$Q:$Q,DRE!T$4,Aut_BlueMe_Sem_Pedido!$H:$H,DRE!$A84)+SUMIFS(Aut_Ajustes_Manuais!$G:$G,Aut_Ajustes_Manuais!$I:$I,DRE!T$4,Aut_Ajustes_Manuais!$F:$F,"Repasse Gazit - Locação Anexo Abaru")</f>
        <v>0</v>
      </c>
      <c r="W84" s="237"/>
      <c r="X84" s="79">
        <f>-SUMIFS(T_ORCAMENTOS!$E:$E,T_ORCAMENTOS!$C:$C,"Repasse Gazit - Locação Anexo Abaru",T_ORCAMENTOS!$H:$H,"6/2026")</f>
        <v>0</v>
      </c>
      <c r="Y84" s="80">
        <f>SUMIFS(Aut_BlueMe_Sem_Pedido!$J:$J,Aut_BlueMe_Sem_Pedido!$Q:$Q,DRE!W$4,Aut_BlueMe_Sem_Pedido!$H:$H,DRE!$A84)+SUMIFS(Aut_Ajustes_Manuais!$G:$G,Aut_Ajustes_Manuais!$I:$I,DRE!W$4,Aut_Ajustes_Manuais!$F:$F,"Repasse Gazit - Locação Anexo Abaru")</f>
        <v>0</v>
      </c>
      <c r="Z84" s="237"/>
      <c r="AA84" s="79">
        <f>-SUMIFS(T_ORCAMENTOS!$E:$E,T_ORCAMENTOS!$C:$C,"Repasse Gazit - Locação Anexo Abaru",T_ORCAMENTOS!$H:$H,"7/2026")</f>
        <v>0</v>
      </c>
      <c r="AB84" s="80">
        <f>SUMIFS(Aut_BlueMe_Sem_Pedido!$J:$J,Aut_BlueMe_Sem_Pedido!$Q:$Q,DRE!Z$4,Aut_BlueMe_Sem_Pedido!$H:$H,DRE!$A84)+SUMIFS(Aut_Ajustes_Manuais!$G:$G,Aut_Ajustes_Manuais!$I:$I,DRE!Z$4,Aut_Ajustes_Manuais!$F:$F,"Repasse Gazit - Locação Anexo Abaru")</f>
        <v>0</v>
      </c>
      <c r="AC84" s="237"/>
      <c r="AD84" s="79">
        <f>-SUMIFS(T_ORCAMENTOS!$E:$E,T_ORCAMENTOS!$C:$C,"Repasse Gazit - Locação Anexo Abaru",T_ORCAMENTOS!$H:$H,"8/2026")</f>
        <v>0</v>
      </c>
      <c r="AE84" s="80">
        <f>SUMIFS(Aut_BlueMe_Sem_Pedido!$J:$J,Aut_BlueMe_Sem_Pedido!$Q:$Q,DRE!AC$4,Aut_BlueMe_Sem_Pedido!$H:$H,DRE!$A84)+SUMIFS(Aut_Ajustes_Manuais!$G:$G,Aut_Ajustes_Manuais!$I:$I,DRE!AC$4,Aut_Ajustes_Manuais!$F:$F,"Repasse Gazit - Locação Anexo Abaru")</f>
        <v>0</v>
      </c>
      <c r="AF84" s="237"/>
      <c r="AG84" s="79">
        <f>-SUMIFS(T_ORCAMENTOS!$E:$E,T_ORCAMENTOS!$C:$C,"Repasse Gazit - Locação Anexo Abaru",T_ORCAMENTOS!$H:$H,"9/2026")</f>
        <v>0</v>
      </c>
      <c r="AH84" s="80">
        <f>SUMIFS(Aut_BlueMe_Sem_Pedido!$J:$J,Aut_BlueMe_Sem_Pedido!$Q:$Q,DRE!AF$4,Aut_BlueMe_Sem_Pedido!$H:$H,DRE!$A84)+SUMIFS(Aut_Ajustes_Manuais!$G:$G,Aut_Ajustes_Manuais!$I:$I,DRE!AF$4,Aut_Ajustes_Manuais!$F:$F,"Repasse Gazit - Locação Anexo Abaru")</f>
        <v>0</v>
      </c>
      <c r="AI84" s="237"/>
      <c r="AJ84" s="79">
        <f>-SUMIFS(T_ORCAMENTOS!$E:$E,T_ORCAMENTOS!$C:$C,"Repasse Gazit - Locação Anexo Abaru",T_ORCAMENTOS!$H:$H,"10/2026")</f>
        <v>0</v>
      </c>
      <c r="AK84" s="80">
        <f>SUMIFS(Aut_BlueMe_Sem_Pedido!$J:$J,Aut_BlueMe_Sem_Pedido!$Q:$Q,DRE!AI$4,Aut_BlueMe_Sem_Pedido!$H:$H,DRE!$A84)+SUMIFS(Aut_Ajustes_Manuais!$G:$G,Aut_Ajustes_Manuais!$I:$I,DRE!AI$4,Aut_Ajustes_Manuais!$F:$F,"Repasse Gazit - Locação Anexo Abaru")</f>
        <v>0</v>
      </c>
      <c r="AL84" s="237"/>
      <c r="AM84" s="79">
        <f>-SUMIFS(T_ORCAMENTOS!$E:$E,T_ORCAMENTOS!$C:$C,"Repasse Gazit - Locação Anexo Abaru",T_ORCAMENTOS!$H:$H,"11/2026")</f>
        <v>0</v>
      </c>
      <c r="AN84" s="80">
        <f>SUMIFS(Aut_BlueMe_Sem_Pedido!$J:$J,Aut_BlueMe_Sem_Pedido!$Q:$Q,DRE!AL$4,Aut_BlueMe_Sem_Pedido!$H:$H,DRE!$A84)+SUMIFS(Aut_Ajustes_Manuais!$G:$G,Aut_Ajustes_Manuais!$I:$I,DRE!AL$4,Aut_Ajustes_Manuais!$F:$F,"Repasse Gazit - Locação Anexo Abaru")</f>
        <v>0</v>
      </c>
      <c r="AO84" s="237"/>
      <c r="AP84" s="79">
        <f>-SUMIFS(T_ORCAMENTOS!$E:$E,T_ORCAMENTOS!$C:$C,"Repasse Gazit - Locação Anexo Abaru",T_ORCAMENTOS!$H:$H,"12/2026")</f>
        <v>0</v>
      </c>
      <c r="AQ84" s="80">
        <f>SUMIFS(Aut_BlueMe_Sem_Pedido!$J:$J,Aut_BlueMe_Sem_Pedido!$Q:$Q,DRE!AO$4,Aut_BlueMe_Sem_Pedido!$H:$H,DRE!$A84)+SUMIFS(Aut_Ajustes_Manuais!$G:$G,Aut_Ajustes_Manuais!$I:$I,DRE!AO$4,Aut_Ajustes_Manuais!$F:$F,"Repasse Gazit - Locação Anexo Abaru")</f>
        <v>0</v>
      </c>
      <c r="AR84" s="237">
        <f t="shared" ca="1" si="61"/>
        <v>0</v>
      </c>
      <c r="AS84" s="26">
        <f t="shared" ca="1" si="62"/>
        <v>0</v>
      </c>
      <c r="AT84" s="80">
        <f t="shared" ca="1" si="63"/>
        <v>0</v>
      </c>
      <c r="AU84" s="237">
        <f t="shared" si="96"/>
        <v>0</v>
      </c>
      <c r="AV84" s="79">
        <f t="shared" si="96"/>
        <v>0</v>
      </c>
      <c r="AW84" s="80">
        <f t="shared" si="96"/>
        <v>0</v>
      </c>
      <c r="AX84" s="237">
        <f t="shared" si="97"/>
        <v>0</v>
      </c>
      <c r="AY84" s="79">
        <f t="shared" si="97"/>
        <v>0</v>
      </c>
      <c r="AZ84" s="80">
        <f t="shared" si="97"/>
        <v>0</v>
      </c>
      <c r="BA84" s="237">
        <f t="shared" si="98"/>
        <v>0</v>
      </c>
      <c r="BB84" s="79">
        <f t="shared" si="98"/>
        <v>0</v>
      </c>
      <c r="BC84" s="80">
        <f t="shared" si="98"/>
        <v>0</v>
      </c>
      <c r="BD84" s="237">
        <f t="shared" si="99"/>
        <v>0</v>
      </c>
      <c r="BE84" s="79">
        <f t="shared" si="99"/>
        <v>0</v>
      </c>
      <c r="BF84" s="80">
        <f t="shared" si="99"/>
        <v>0</v>
      </c>
      <c r="BG84" s="237">
        <f t="shared" si="100"/>
        <v>0</v>
      </c>
      <c r="BH84" s="79">
        <f t="shared" si="100"/>
        <v>0</v>
      </c>
      <c r="BI84" s="80">
        <f t="shared" si="100"/>
        <v>0</v>
      </c>
      <c r="BJ84" s="454"/>
    </row>
    <row r="85" spans="1:62" collapsed="1" x14ac:dyDescent="0.3">
      <c r="A85" s="69" t="s">
        <v>110</v>
      </c>
      <c r="C85" s="23"/>
      <c r="D85" s="67"/>
      <c r="E85" s="67"/>
      <c r="F85" s="39"/>
      <c r="H85" s="251"/>
      <c r="I85" s="81">
        <f>IFERROR(I56/(I14+I15+I16),0)</f>
        <v>0</v>
      </c>
      <c r="J85" s="82">
        <f>IFERROR(J56/(J14+J15+J16),0)+SUMIFS(Aut_Ajustes_Manuais!$G:$G,Aut_Ajustes_Manuais!$I:$I,DRE!H$4,Aut_Ajustes_Manuais!$F:$F,"% sobre Receita de Eventos")</f>
        <v>0</v>
      </c>
      <c r="K85" s="251"/>
      <c r="L85" s="81">
        <f>IFERROR(L56/(L14+L15+L16),0)</f>
        <v>0</v>
      </c>
      <c r="M85" s="82">
        <f>IFERROR(M56/(M14+M15+M16),0)+SUMIFS(Aut_Ajustes_Manuais!$G:$G,Aut_Ajustes_Manuais!$I:$I,DRE!K$4,Aut_Ajustes_Manuais!$F:$F,"% sobre Receita de Eventos")</f>
        <v>0</v>
      </c>
      <c r="N85" s="251"/>
      <c r="O85" s="81">
        <f>IFERROR(O56/(O14+O15+O16),0)</f>
        <v>0</v>
      </c>
      <c r="P85" s="82">
        <f>IFERROR(P56/(P14+P15+P16),0)+SUMIFS(Aut_Ajustes_Manuais!$G:$G,Aut_Ajustes_Manuais!$I:$I,DRE!N$4,Aut_Ajustes_Manuais!$F:$F,"% sobre Receita de Eventos")</f>
        <v>0</v>
      </c>
      <c r="Q85" s="251"/>
      <c r="R85" s="81">
        <f>IFERROR(R56/(R14+R15+R16),0)</f>
        <v>0</v>
      </c>
      <c r="S85" s="82">
        <f>IFERROR(S56/(S14+S15+S16),0)+SUMIFS(Aut_Ajustes_Manuais!$G:$G,Aut_Ajustes_Manuais!$I:$I,DRE!Q$4,Aut_Ajustes_Manuais!$F:$F,"% sobre Receita de Eventos")</f>
        <v>0</v>
      </c>
      <c r="T85" s="251"/>
      <c r="U85" s="81">
        <f>IFERROR(U56/(U14+U15+U16),0)</f>
        <v>0</v>
      </c>
      <c r="V85" s="82">
        <f>IFERROR(V56/(V14+V15+V16),0)+SUMIFS(Aut_Ajustes_Manuais!$G:$G,Aut_Ajustes_Manuais!$I:$I,DRE!T$4,Aut_Ajustes_Manuais!$F:$F,"% sobre Receita de Eventos")</f>
        <v>0</v>
      </c>
      <c r="W85" s="251"/>
      <c r="X85" s="81">
        <f>IFERROR(X56/(X14+X15+X16),0)</f>
        <v>0</v>
      </c>
      <c r="Y85" s="82">
        <f>IFERROR(Y56/(Y14+Y15+Y16),0)+SUMIFS(Aut_Ajustes_Manuais!$G:$G,Aut_Ajustes_Manuais!$I:$I,DRE!W$4,Aut_Ajustes_Manuais!$F:$F,"% sobre Receita de Eventos")</f>
        <v>0</v>
      </c>
      <c r="Z85" s="251"/>
      <c r="AA85" s="81">
        <f>IFERROR(AA56/(AA14+AA15+AA16),0)</f>
        <v>0</v>
      </c>
      <c r="AB85" s="82">
        <f>IFERROR(AB56/(AB14+AB15+AB16),0)+SUMIFS(Aut_Ajustes_Manuais!$G:$G,Aut_Ajustes_Manuais!$I:$I,DRE!Z$4,Aut_Ajustes_Manuais!$F:$F,"% sobre Receita de Eventos")</f>
        <v>0</v>
      </c>
      <c r="AC85" s="251"/>
      <c r="AD85" s="81">
        <f>IFERROR(AD56/(AD14+AD15+AD16),0)</f>
        <v>-9.6000000000000002E-2</v>
      </c>
      <c r="AE85" s="82">
        <f>IFERROR(AE56/(AE14+AE15+AE16),0)+SUMIFS(Aut_Ajustes_Manuais!$G:$G,Aut_Ajustes_Manuais!$I:$I,DRE!AC$4,Aut_Ajustes_Manuais!$F:$F,"% sobre Receita de Eventos")</f>
        <v>0</v>
      </c>
      <c r="AF85" s="251"/>
      <c r="AG85" s="81">
        <f>IFERROR(AG56/(AG14+AG15+AG16),0)</f>
        <v>-6.6000000000000003E-2</v>
      </c>
      <c r="AH85" s="82">
        <f>IFERROR(AH56/(AH14+AH15+AH16),0)+SUMIFS(Aut_Ajustes_Manuais!$G:$G,Aut_Ajustes_Manuais!$I:$I,DRE!AF$4,Aut_Ajustes_Manuais!$F:$F,"% sobre Receita de Eventos")</f>
        <v>0</v>
      </c>
      <c r="AI85" s="251"/>
      <c r="AJ85" s="81">
        <f>IFERROR(AJ56/(AJ14+AJ15+AJ16),0)</f>
        <v>-5.6000000000000001E-2</v>
      </c>
      <c r="AK85" s="82">
        <f>IFERROR(AK56/(AK14+AK15+AK16),0)+SUMIFS(Aut_Ajustes_Manuais!$G:$G,Aut_Ajustes_Manuais!$I:$I,DRE!AI$4,Aut_Ajustes_Manuais!$F:$F,"% sobre Receita de Eventos")</f>
        <v>0</v>
      </c>
      <c r="AL85" s="251"/>
      <c r="AM85" s="81">
        <f>IFERROR(AM56/(AM14+AM15+AM16),0)</f>
        <v>-5.3647058823529409E-2</v>
      </c>
      <c r="AN85" s="82">
        <f>IFERROR(AN56/(AN14+AN15+AN16),0)+SUMIFS(Aut_Ajustes_Manuais!$G:$G,Aut_Ajustes_Manuais!$I:$I,DRE!AL$4,Aut_Ajustes_Manuais!$F:$F,"% sobre Receita de Eventos")</f>
        <v>0</v>
      </c>
      <c r="AO85" s="251"/>
      <c r="AP85" s="81">
        <f>IFERROR(AP56/(AP14+AP15+AP16),0)</f>
        <v>-4.2498194945848375E-2</v>
      </c>
      <c r="AQ85" s="82">
        <f>IFERROR(AQ56/(AQ14+AQ15+AQ16),0)+SUMIFS(Aut_Ajustes_Manuais!$G:$G,Aut_Ajustes_Manuais!$I:$I,DRE!AO$4,Aut_Ajustes_Manuais!$F:$F,"% sobre Receita de Eventos")</f>
        <v>0</v>
      </c>
      <c r="AR85" s="251">
        <f t="shared" ref="AR85:BI85" ca="1" si="101">IFERROR(AR56/(AR14+AR15+AR16),0)</f>
        <v>0</v>
      </c>
      <c r="AS85" s="81">
        <f t="shared" ca="1" si="101"/>
        <v>-9.6000000000000002E-2</v>
      </c>
      <c r="AT85" s="82">
        <f t="shared" ca="1" si="101"/>
        <v>0</v>
      </c>
      <c r="AU85" s="251">
        <f t="shared" si="101"/>
        <v>0</v>
      </c>
      <c r="AV85" s="81">
        <f t="shared" si="101"/>
        <v>-5.2100178890876564E-2</v>
      </c>
      <c r="AW85" s="82">
        <f t="shared" si="101"/>
        <v>0</v>
      </c>
      <c r="AX85" s="251">
        <f t="shared" si="101"/>
        <v>0</v>
      </c>
      <c r="AY85" s="81">
        <f t="shared" si="101"/>
        <v>0</v>
      </c>
      <c r="AZ85" s="82">
        <f t="shared" si="101"/>
        <v>0</v>
      </c>
      <c r="BA85" s="251">
        <f t="shared" si="101"/>
        <v>0</v>
      </c>
      <c r="BB85" s="81">
        <f t="shared" si="101"/>
        <v>0</v>
      </c>
      <c r="BC85" s="82">
        <f t="shared" si="101"/>
        <v>0</v>
      </c>
      <c r="BD85" s="251">
        <f t="shared" si="101"/>
        <v>0</v>
      </c>
      <c r="BE85" s="81">
        <f t="shared" si="101"/>
        <v>-7.5999999999999998E-2</v>
      </c>
      <c r="BF85" s="82">
        <f t="shared" si="101"/>
        <v>0</v>
      </c>
      <c r="BG85" s="251">
        <f t="shared" si="101"/>
        <v>0</v>
      </c>
      <c r="BH85" s="81">
        <f t="shared" si="101"/>
        <v>-4.7513859275053305E-2</v>
      </c>
      <c r="BI85" s="82">
        <f t="shared" si="101"/>
        <v>0</v>
      </c>
    </row>
    <row r="86" spans="1:62" x14ac:dyDescent="0.3">
      <c r="A86" s="69" t="s">
        <v>44</v>
      </c>
      <c r="C86" s="23"/>
      <c r="D86" s="67"/>
      <c r="E86" s="67"/>
      <c r="F86" s="39"/>
      <c r="H86" s="251"/>
      <c r="I86" s="81">
        <f>IFERROR(I56/I8,0)</f>
        <v>0</v>
      </c>
      <c r="J86" s="82">
        <f>IFERROR(J56/J8,0)+SUMIFS(Aut_Ajustes_Manuais!$G:$G,Aut_Ajustes_Manuais!$I:$I,DRE!H$4,Aut_Ajustes_Manuais!$F:$F,"% sobre Receita Bruta")</f>
        <v>0</v>
      </c>
      <c r="K86" s="251"/>
      <c r="L86" s="81">
        <f>IFERROR(L56/L8,0)</f>
        <v>0</v>
      </c>
      <c r="M86" s="82">
        <f>IFERROR(M56/M8,0)+SUMIFS(Aut_Ajustes_Manuais!$G:$G,Aut_Ajustes_Manuais!$I:$I,DRE!K$4,Aut_Ajustes_Manuais!$F:$F,"% sobre Receita Bruta")</f>
        <v>0</v>
      </c>
      <c r="N86" s="251"/>
      <c r="O86" s="81">
        <f>IFERROR(O56/O8,0)</f>
        <v>0</v>
      </c>
      <c r="P86" s="82">
        <f>IFERROR(P56/P8,0)+SUMIFS(Aut_Ajustes_Manuais!$G:$G,Aut_Ajustes_Manuais!$I:$I,DRE!N$4,Aut_Ajustes_Manuais!$F:$F,"% sobre Receita Bruta")</f>
        <v>0</v>
      </c>
      <c r="Q86" s="251"/>
      <c r="R86" s="81">
        <f>IFERROR(R56/R8,0)</f>
        <v>0</v>
      </c>
      <c r="S86" s="82">
        <f>IFERROR(S56/S8,0)+SUMIFS(Aut_Ajustes_Manuais!$G:$G,Aut_Ajustes_Manuais!$I:$I,DRE!Q$4,Aut_Ajustes_Manuais!$F:$F,"% sobre Receita Bruta")</f>
        <v>0</v>
      </c>
      <c r="T86" s="251"/>
      <c r="U86" s="81">
        <f>IFERROR(U56/U8,0)</f>
        <v>0</v>
      </c>
      <c r="V86" s="82">
        <f>IFERROR(V56/V8,0)+SUMIFS(Aut_Ajustes_Manuais!$G:$G,Aut_Ajustes_Manuais!$I:$I,DRE!T$4,Aut_Ajustes_Manuais!$F:$F,"% sobre Receita Bruta")</f>
        <v>0</v>
      </c>
      <c r="W86" s="251"/>
      <c r="X86" s="81">
        <f>IFERROR(X56/X8,0)</f>
        <v>0</v>
      </c>
      <c r="Y86" s="82">
        <f>IFERROR(Y56/Y8,0)+SUMIFS(Aut_Ajustes_Manuais!$G:$G,Aut_Ajustes_Manuais!$I:$I,DRE!W$4,Aut_Ajustes_Manuais!$F:$F,"% sobre Receita Bruta")</f>
        <v>0</v>
      </c>
      <c r="Z86" s="251"/>
      <c r="AA86" s="81">
        <f>IFERROR(AA56/AA8,0)</f>
        <v>0</v>
      </c>
      <c r="AB86" s="82">
        <f>IFERROR(AB56/AB8,0)+SUMIFS(Aut_Ajustes_Manuais!$G:$G,Aut_Ajustes_Manuais!$I:$I,DRE!Z$4,Aut_Ajustes_Manuais!$F:$F,"% sobre Receita Bruta")</f>
        <v>0</v>
      </c>
      <c r="AC86" s="251"/>
      <c r="AD86" s="81">
        <f>IFERROR(AD56/AD8,0)</f>
        <v>-1.5032681393849178E-3</v>
      </c>
      <c r="AE86" s="82">
        <f>IFERROR(AE56/AE8,0)+SUMIFS(Aut_Ajustes_Manuais!$G:$G,Aut_Ajustes_Manuais!$I:$I,DRE!AC$4,Aut_Ajustes_Manuais!$F:$F,"% sobre Receita Bruta")</f>
        <v>0</v>
      </c>
      <c r="AF86" s="251"/>
      <c r="AG86" s="81">
        <f>IFERROR(AG56/AG8,0)</f>
        <v>-2.1334926479099864E-3</v>
      </c>
      <c r="AH86" s="82">
        <f>IFERROR(AH56/AH8,0)+SUMIFS(Aut_Ajustes_Manuais!$G:$G,Aut_Ajustes_Manuais!$I:$I,DRE!AF$4,Aut_Ajustes_Manuais!$F:$F,"% sobre Receita Bruta")</f>
        <v>0</v>
      </c>
      <c r="AI86" s="251"/>
      <c r="AJ86" s="81">
        <f>IFERROR(AJ56/AJ8,0)</f>
        <v>-2.473959538764801E-3</v>
      </c>
      <c r="AK86" s="82">
        <f>IFERROR(AK56/AK8,0)+SUMIFS(Aut_Ajustes_Manuais!$G:$G,Aut_Ajustes_Manuais!$I:$I,DRE!AI$4,Aut_Ajustes_Manuais!$F:$F,"% sobre Receita Bruta")</f>
        <v>0</v>
      </c>
      <c r="AL86" s="251"/>
      <c r="AM86" s="81">
        <f>IFERROR(AM56/AM8,0)</f>
        <v>-2.9157496131479109E-3</v>
      </c>
      <c r="AN86" s="82">
        <f>IFERROR(AN56/AN8,0)+SUMIFS(Aut_Ajustes_Manuais!$G:$G,Aut_Ajustes_Manuais!$I:$I,DRE!AL$4,Aut_Ajustes_Manuais!$F:$F,"% sobre Receita Bruta")</f>
        <v>0</v>
      </c>
      <c r="AO86" s="251"/>
      <c r="AP86" s="81">
        <f>IFERROR(AP56/AP8,0)</f>
        <v>-5.7575754937632092E-3</v>
      </c>
      <c r="AQ86" s="82">
        <f>IFERROR(AQ56/AQ8,0)+SUMIFS(Aut_Ajustes_Manuais!$G:$G,Aut_Ajustes_Manuais!$I:$I,DRE!AO$4,Aut_Ajustes_Manuais!$F:$F,"% sobre Receita Bruta")</f>
        <v>0</v>
      </c>
      <c r="AR86" s="251">
        <f t="shared" ref="AR86:BI86" ca="1" si="102">IFERROR(AR56/AR8,0)</f>
        <v>0</v>
      </c>
      <c r="AS86" s="81">
        <f t="shared" ca="1" si="102"/>
        <v>-1.5032681393849178E-3</v>
      </c>
      <c r="AT86" s="82">
        <f t="shared" ca="1" si="102"/>
        <v>0</v>
      </c>
      <c r="AU86" s="251">
        <f t="shared" si="102"/>
        <v>0</v>
      </c>
      <c r="AV86" s="81">
        <f t="shared" si="102"/>
        <v>-2.9930715696092161E-3</v>
      </c>
      <c r="AW86" s="82">
        <f t="shared" si="102"/>
        <v>0</v>
      </c>
      <c r="AX86" s="251">
        <f t="shared" si="102"/>
        <v>0</v>
      </c>
      <c r="AY86" s="81">
        <f t="shared" si="102"/>
        <v>0</v>
      </c>
      <c r="AZ86" s="82">
        <f t="shared" si="102"/>
        <v>0</v>
      </c>
      <c r="BA86" s="251">
        <f t="shared" si="102"/>
        <v>0</v>
      </c>
      <c r="BB86" s="81">
        <f t="shared" si="102"/>
        <v>0</v>
      </c>
      <c r="BC86" s="82">
        <f t="shared" si="102"/>
        <v>0</v>
      </c>
      <c r="BD86" s="251">
        <f t="shared" si="102"/>
        <v>0</v>
      </c>
      <c r="BE86" s="81">
        <f t="shared" si="102"/>
        <v>-1.8133917722550966E-3</v>
      </c>
      <c r="BF86" s="82">
        <f t="shared" si="102"/>
        <v>0</v>
      </c>
      <c r="BG86" s="251">
        <f t="shared" si="102"/>
        <v>0</v>
      </c>
      <c r="BH86" s="81">
        <f t="shared" si="102"/>
        <v>-3.7398454259923906E-3</v>
      </c>
      <c r="BI86" s="82">
        <f t="shared" si="102"/>
        <v>0</v>
      </c>
    </row>
    <row r="87" spans="1:62" x14ac:dyDescent="0.3">
      <c r="A87" s="17"/>
      <c r="C87" s="58"/>
      <c r="E87" s="15"/>
      <c r="F87" s="16"/>
      <c r="H87" s="252"/>
      <c r="I87" s="228"/>
      <c r="J87" s="83"/>
      <c r="K87" s="252"/>
      <c r="L87" s="228"/>
      <c r="M87" s="83"/>
      <c r="N87" s="252"/>
      <c r="O87" s="228"/>
      <c r="P87" s="83"/>
      <c r="Q87" s="252"/>
      <c r="R87" s="228"/>
      <c r="S87" s="83"/>
      <c r="T87" s="252"/>
      <c r="U87" s="228"/>
      <c r="V87" s="83"/>
      <c r="W87" s="252"/>
      <c r="X87" s="228"/>
      <c r="Y87" s="83"/>
      <c r="Z87" s="252"/>
      <c r="AA87" s="228"/>
      <c r="AB87" s="83"/>
      <c r="AC87" s="252"/>
      <c r="AD87" s="228"/>
      <c r="AE87" s="83"/>
      <c r="AF87" s="252"/>
      <c r="AG87" s="228"/>
      <c r="AH87" s="83"/>
      <c r="AI87" s="252"/>
      <c r="AJ87" s="228"/>
      <c r="AK87" s="83"/>
      <c r="AL87" s="252"/>
      <c r="AM87" s="228"/>
      <c r="AN87" s="83"/>
      <c r="AO87" s="252"/>
      <c r="AP87" s="228"/>
      <c r="AQ87" s="83"/>
      <c r="AR87" s="252"/>
      <c r="AS87" s="228"/>
      <c r="AT87" s="83"/>
      <c r="AU87" s="252"/>
      <c r="AV87" s="228"/>
      <c r="AW87" s="83"/>
      <c r="AX87" s="252"/>
      <c r="AY87" s="228"/>
      <c r="AZ87" s="83"/>
      <c r="BA87" s="252"/>
      <c r="BB87" s="228"/>
      <c r="BC87" s="83"/>
      <c r="BD87" s="252"/>
      <c r="BE87" s="228"/>
      <c r="BF87" s="83"/>
      <c r="BG87" s="252"/>
      <c r="BH87" s="228"/>
      <c r="BI87" s="83"/>
    </row>
    <row r="88" spans="1:62" x14ac:dyDescent="0.3">
      <c r="A88" s="37" t="s">
        <v>111</v>
      </c>
      <c r="C88" s="38" t="s">
        <v>35</v>
      </c>
      <c r="D88" s="38" t="s">
        <v>36</v>
      </c>
      <c r="E88" s="38" t="s">
        <v>37</v>
      </c>
      <c r="F88" s="39"/>
      <c r="G88" s="84"/>
      <c r="H88" s="247"/>
      <c r="I88" s="65">
        <f>SUM(I89:I90)</f>
        <v>0</v>
      </c>
      <c r="J88" s="66">
        <f>SUM(J89:J90)+SUMIFS(Aut_Ajustes_Manuais!$G:$G,Aut_Ajustes_Manuais!$I:$I,DRE!H$4,Aut_Ajustes_Manuais!$F:$F,"(-) Dedução da Gorjeta")</f>
        <v>-4000</v>
      </c>
      <c r="K88" s="247"/>
      <c r="L88" s="65">
        <f>SUM(L89:L90)</f>
        <v>0</v>
      </c>
      <c r="M88" s="66">
        <f>SUM(M89:M90)+SUMIFS(Aut_Ajustes_Manuais!$G:$G,Aut_Ajustes_Manuais!$I:$I,DRE!K$4,Aut_Ajustes_Manuais!$F:$F,"(-) Dedução da Gorjeta")</f>
        <v>-4000</v>
      </c>
      <c r="N88" s="247"/>
      <c r="O88" s="65">
        <f>SUM(O89:O90)</f>
        <v>0</v>
      </c>
      <c r="P88" s="66">
        <f>SUM(P89:P90)+SUMIFS(Aut_Ajustes_Manuais!$G:$G,Aut_Ajustes_Manuais!$I:$I,DRE!N$4,Aut_Ajustes_Manuais!$F:$F,"(-) Dedução da Gorjeta")</f>
        <v>-4000</v>
      </c>
      <c r="Q88" s="247"/>
      <c r="R88" s="65">
        <f>SUM(R89:R90)</f>
        <v>0</v>
      </c>
      <c r="S88" s="66">
        <f>SUM(S89:S90)+SUMIFS(Aut_Ajustes_Manuais!$G:$G,Aut_Ajustes_Manuais!$I:$I,DRE!Q$4,Aut_Ajustes_Manuais!$F:$F,"(-) Dedução da Gorjeta")</f>
        <v>0</v>
      </c>
      <c r="T88" s="247"/>
      <c r="U88" s="65">
        <f>SUM(U89:U90)</f>
        <v>0</v>
      </c>
      <c r="V88" s="66">
        <f>SUM(V89:V90)+SUMIFS(Aut_Ajustes_Manuais!$G:$G,Aut_Ajustes_Manuais!$I:$I,DRE!T$4,Aut_Ajustes_Manuais!$F:$F,"(-) Dedução da Gorjeta")</f>
        <v>-41297.87000000001</v>
      </c>
      <c r="W88" s="247"/>
      <c r="X88" s="65">
        <f>SUM(X89:X90)</f>
        <v>0</v>
      </c>
      <c r="Y88" s="66">
        <f>SUM(Y89:Y90)+SUMIFS(Aut_Ajustes_Manuais!$G:$G,Aut_Ajustes_Manuais!$I:$I,DRE!W$4,Aut_Ajustes_Manuais!$F:$F,"(-) Dedução da Gorjeta")</f>
        <v>-78669.47</v>
      </c>
      <c r="Z88" s="247"/>
      <c r="AA88" s="65">
        <f>SUM(AA89:AA90)</f>
        <v>0</v>
      </c>
      <c r="AB88" s="66">
        <f>SUM(AB89:AB90)+SUMIFS(Aut_Ajustes_Manuais!$G:$G,Aut_Ajustes_Manuais!$I:$I,DRE!Z$4,Aut_Ajustes_Manuais!$F:$F,"(-) Dedução da Gorjeta")</f>
        <v>0</v>
      </c>
      <c r="AC88" s="247"/>
      <c r="AD88" s="65">
        <f>SUM(AD89:AD90)</f>
        <v>-288352.84000000003</v>
      </c>
      <c r="AE88" s="66">
        <f>SUM(AE89:AE90)+SUMIFS(Aut_Ajustes_Manuais!$G:$G,Aut_Ajustes_Manuais!$I:$I,DRE!AC$4,Aut_Ajustes_Manuais!$F:$F,"(-) Dedução da Gorjeta")</f>
        <v>0</v>
      </c>
      <c r="AF88" s="247"/>
      <c r="AG88" s="65">
        <f>SUM(AG89:AG90)</f>
        <v>-279589.87</v>
      </c>
      <c r="AH88" s="66">
        <f>SUM(AH89:AH90)+SUMIFS(Aut_Ajustes_Manuais!$G:$G,Aut_Ajustes_Manuais!$I:$I,DRE!AF$4,Aut_Ajustes_Manuais!$F:$F,"(-) Dedução da Gorjeta")</f>
        <v>0</v>
      </c>
      <c r="AI88" s="247"/>
      <c r="AJ88" s="65">
        <f>SUM(AJ89:AJ90)</f>
        <v>-306161.53000000003</v>
      </c>
      <c r="AK88" s="66">
        <f>SUM(AK89:AK90)+SUMIFS(Aut_Ajustes_Manuais!$G:$G,Aut_Ajustes_Manuais!$I:$I,DRE!AI$4,Aut_Ajustes_Manuais!$F:$F,"(-) Dedução da Gorjeta")</f>
        <v>0</v>
      </c>
      <c r="AL88" s="247"/>
      <c r="AM88" s="65">
        <f>SUM(AM89:AM90)</f>
        <v>-282395.07</v>
      </c>
      <c r="AN88" s="66">
        <f>SUM(AN89:AN90)+SUMIFS(Aut_Ajustes_Manuais!$G:$G,Aut_Ajustes_Manuais!$I:$I,DRE!AL$4,Aut_Ajustes_Manuais!$F:$F,"(-) Dedução da Gorjeta")</f>
        <v>0</v>
      </c>
      <c r="AO88" s="247"/>
      <c r="AP88" s="65">
        <f>SUM(AP89:AP90)</f>
        <v>-308448.77</v>
      </c>
      <c r="AQ88" s="66">
        <f>SUM(AQ89:AQ90)+SUMIFS(Aut_Ajustes_Manuais!$G:$G,Aut_Ajustes_Manuais!$I:$I,DRE!AO$4,Aut_Ajustes_Manuais!$F:$F,"(-) Dedução da Gorjeta")</f>
        <v>0</v>
      </c>
      <c r="AR88" s="247">
        <f t="shared" ref="AR88:BI88" ca="1" si="103">SUM(AR89:AR90)</f>
        <v>0</v>
      </c>
      <c r="AS88" s="65">
        <f t="shared" ca="1" si="103"/>
        <v>-288352.84000000003</v>
      </c>
      <c r="AT88" s="66">
        <f t="shared" ca="1" si="103"/>
        <v>-131967.34000000003</v>
      </c>
      <c r="AU88" s="247">
        <f t="shared" si="103"/>
        <v>0</v>
      </c>
      <c r="AV88" s="65">
        <f t="shared" si="103"/>
        <v>-1464948.08</v>
      </c>
      <c r="AW88" s="66">
        <f t="shared" si="103"/>
        <v>-131967.34000000003</v>
      </c>
      <c r="AX88" s="247">
        <f t="shared" si="103"/>
        <v>0</v>
      </c>
      <c r="AY88" s="65">
        <f t="shared" si="103"/>
        <v>0</v>
      </c>
      <c r="AZ88" s="66">
        <f t="shared" si="103"/>
        <v>-12000</v>
      </c>
      <c r="BA88" s="247">
        <f t="shared" si="103"/>
        <v>0</v>
      </c>
      <c r="BB88" s="65">
        <f t="shared" si="103"/>
        <v>0</v>
      </c>
      <c r="BC88" s="66">
        <f t="shared" si="103"/>
        <v>-119967.34000000001</v>
      </c>
      <c r="BD88" s="247">
        <f t="shared" si="103"/>
        <v>0</v>
      </c>
      <c r="BE88" s="65">
        <f t="shared" si="103"/>
        <v>-567942.71</v>
      </c>
      <c r="BF88" s="66">
        <f t="shared" si="103"/>
        <v>0</v>
      </c>
      <c r="BG88" s="247">
        <f t="shared" si="103"/>
        <v>0</v>
      </c>
      <c r="BH88" s="65">
        <f t="shared" si="103"/>
        <v>-897005.37000000011</v>
      </c>
      <c r="BI88" s="66">
        <f t="shared" si="103"/>
        <v>0</v>
      </c>
    </row>
    <row r="89" spans="1:62" s="28" customFormat="1" hidden="1" outlineLevel="1" x14ac:dyDescent="0.3">
      <c r="A89" s="21" t="s">
        <v>112</v>
      </c>
      <c r="B89" s="2"/>
      <c r="C89" s="23" t="s">
        <v>113</v>
      </c>
      <c r="D89" s="24" t="s">
        <v>114</v>
      </c>
      <c r="E89" s="85"/>
      <c r="F89" s="39"/>
      <c r="G89" s="22"/>
      <c r="H89" s="237"/>
      <c r="I89" s="79">
        <f>-SUMIFS(T_ORCAMENTOS!$E:$E,T_ORCAMENTOS!$C:$C,"  -  Comissões e Gorjeta",T_ORCAMENTOS!$H:$H,"1/2026")</f>
        <v>0</v>
      </c>
      <c r="J89" s="80">
        <f>SUMIFS(Aut_BlueMe_Sem_Pedido!$J:$J,Aut_BlueMe_Sem_Pedido!$Q:$Q,DRE!H$4,Aut_BlueMe_Sem_Pedido!$H:$H,DRE!$A89)-SUMIFS(Aut_Folha!$J:$J,Aut_Folha!$K:$K,DRE!H$4,Aut_Folha!$G:$G,"Gorjeta")+SUMIFS(Aut_Ajustes_Manuais!$G:$G,Aut_Ajustes_Manuais!$I:$I,DRE!H$4,Aut_Ajustes_Manuais!$F:$F,"  -  Comissões e Gorjeta")</f>
        <v>-4000</v>
      </c>
      <c r="K89" s="250"/>
      <c r="L89" s="79">
        <f>-SUMIFS(T_ORCAMENTOS!$E:$E,T_ORCAMENTOS!$C:$C,"  -  Comissões e Gorjeta",T_ORCAMENTOS!$H:$H,"2/2026")</f>
        <v>0</v>
      </c>
      <c r="M89" s="80">
        <f>SUMIFS(Aut_BlueMe_Sem_Pedido!$J:$J,Aut_BlueMe_Sem_Pedido!$Q:$Q,DRE!K$4,Aut_BlueMe_Sem_Pedido!$H:$H,DRE!$A89)-SUMIFS(Aut_Folha!$J:$J,Aut_Folha!$K:$K,DRE!K$4,Aut_Folha!$G:$G,"Gorjeta")+SUMIFS(Aut_Ajustes_Manuais!$G:$G,Aut_Ajustes_Manuais!$I:$I,DRE!K$4,Aut_Ajustes_Manuais!$F:$F,"  -  Comissões e Gorjeta")</f>
        <v>-4000</v>
      </c>
      <c r="N89" s="250"/>
      <c r="O89" s="79">
        <f>-SUMIFS(T_ORCAMENTOS!$E:$E,T_ORCAMENTOS!$C:$C,"  -  Comissões e Gorjeta",T_ORCAMENTOS!$H:$H,"3/2026")</f>
        <v>0</v>
      </c>
      <c r="P89" s="80">
        <f>SUMIFS(Aut_BlueMe_Sem_Pedido!$J:$J,Aut_BlueMe_Sem_Pedido!$Q:$Q,DRE!N$4,Aut_BlueMe_Sem_Pedido!$H:$H,DRE!$A89)-SUMIFS(Aut_Folha!$J:$J,Aut_Folha!$K:$K,DRE!N$4,Aut_Folha!$G:$G,"Gorjeta")+SUMIFS(Aut_Ajustes_Manuais!$G:$G,Aut_Ajustes_Manuais!$I:$I,DRE!N$4,Aut_Ajustes_Manuais!$F:$F,"  -  Comissões e Gorjeta")</f>
        <v>-4000</v>
      </c>
      <c r="Q89" s="237"/>
      <c r="R89" s="79">
        <f>-SUMIFS(T_ORCAMENTOS!$E:$E,T_ORCAMENTOS!$C:$C,"  -  Comissões e Gorjeta",T_ORCAMENTOS!$H:$H,"4/2026")</f>
        <v>0</v>
      </c>
      <c r="S89" s="80">
        <f>SUMIFS(Aut_BlueMe_Sem_Pedido!$J:$J,Aut_BlueMe_Sem_Pedido!$Q:$Q,DRE!Q$4,Aut_BlueMe_Sem_Pedido!$H:$H,DRE!$A89)-SUMIFS(Aut_Folha!$J:$J,Aut_Folha!$K:$K,DRE!Q$4,Aut_Folha!$G:$G,"Gorjeta")+SUMIFS(Aut_Ajustes_Manuais!$G:$G,Aut_Ajustes_Manuais!$I:$I,DRE!Q$4,Aut_Ajustes_Manuais!$F:$F,"  -  Comissões e Gorjeta")</f>
        <v>0</v>
      </c>
      <c r="T89" s="237"/>
      <c r="U89" s="79">
        <f>-SUMIFS(T_ORCAMENTOS!$E:$E,T_ORCAMENTOS!$C:$C,"  -  Comissões e Gorjeta",T_ORCAMENTOS!$H:$H,"5/2026")</f>
        <v>0</v>
      </c>
      <c r="V89" s="80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>-41297.87000000001</v>
      </c>
      <c r="W89" s="237"/>
      <c r="X89" s="79">
        <f>-SUMIFS(T_ORCAMENTOS!$E:$E,T_ORCAMENTOS!$C:$C,"  -  Comissões e Gorjeta",T_ORCAMENTOS!$H:$H,"6/2026")</f>
        <v>0</v>
      </c>
      <c r="Y89" s="80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>-78669.47</v>
      </c>
      <c r="Z89" s="237"/>
      <c r="AA89" s="79">
        <f>-SUMIFS(T_ORCAMENTOS!$E:$E,T_ORCAMENTOS!$C:$C,"  -  Comissões e Gorjeta",T_ORCAMENTOS!$H:$H,"7/2026")</f>
        <v>0</v>
      </c>
      <c r="AB89" s="80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>0</v>
      </c>
      <c r="AC89" s="237"/>
      <c r="AD89" s="79">
        <f>-SUMIFS(T_ORCAMENTOS!$E:$E,T_ORCAMENTOS!$C:$C,"  -  Comissões e Gorjeta",T_ORCAMENTOS!$H:$H,"8/2026")</f>
        <v>-288352.84000000003</v>
      </c>
      <c r="AE89" s="80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>0</v>
      </c>
      <c r="AF89" s="237"/>
      <c r="AG89" s="79">
        <f>-SUMIFS(T_ORCAMENTOS!$E:$E,T_ORCAMENTOS!$C:$C,"  -  Comissões e Gorjeta",T_ORCAMENTOS!$H:$H,"9/2026")</f>
        <v>-279589.87</v>
      </c>
      <c r="AH89" s="80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>0</v>
      </c>
      <c r="AI89" s="237"/>
      <c r="AJ89" s="79">
        <f>-SUMIFS(T_ORCAMENTOS!$E:$E,T_ORCAMENTOS!$C:$C,"  -  Comissões e Gorjeta",T_ORCAMENTOS!$H:$H,"10/2026")</f>
        <v>-306161.53000000003</v>
      </c>
      <c r="AK89" s="80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>0</v>
      </c>
      <c r="AL89" s="237"/>
      <c r="AM89" s="79">
        <f>-SUMIFS(T_ORCAMENTOS!$E:$E,T_ORCAMENTOS!$C:$C,"  -  Comissões e Gorjeta",T_ORCAMENTOS!$H:$H,"11/2026")</f>
        <v>-282395.07</v>
      </c>
      <c r="AN89" s="80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>0</v>
      </c>
      <c r="AO89" s="237"/>
      <c r="AP89" s="79">
        <f>-SUMIFS(T_ORCAMENTOS!$E:$E,T_ORCAMENTOS!$C:$C,"  -  Comissões e Gorjeta",T_ORCAMENTOS!$H:$H,"12/2026")</f>
        <v>-308448.77</v>
      </c>
      <c r="AQ89" s="80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>0</v>
      </c>
      <c r="AR89" s="237">
        <f ca="1">SUMIFS($H89:$AO89,$H$5:$AO$5,"&lt;"&amp;MONTH(TODAY()),$H$6:$AO$6,"REAL 25")</f>
        <v>0</v>
      </c>
      <c r="AS89" s="79">
        <f ca="1">SUMIFS($I89:$AP89,$I$5:$AP$5,"&lt;"&amp;MONTH(TODAY()),$I$6:$AP$6,"ORÇADO ")</f>
        <v>-288352.84000000003</v>
      </c>
      <c r="AT89" s="80">
        <f ca="1">SUMIFS($J89:$AQ89,$J$5:$AQ$5,"&lt;"&amp;MONTH(TODAY()),$J$6:$AQ$6,"REAL 26")</f>
        <v>-131967.34000000003</v>
      </c>
      <c r="AU89" s="237">
        <f t="shared" ref="AU89:AW90" si="104">SUM(H89,K89,N89,Q89,T89,W89,Z89,AC89,AF89,AI89,AL89,AO89)</f>
        <v>0</v>
      </c>
      <c r="AV89" s="79">
        <f t="shared" si="104"/>
        <v>-1464948.08</v>
      </c>
      <c r="AW89" s="80">
        <f t="shared" si="104"/>
        <v>-131967.34000000003</v>
      </c>
      <c r="AX89" s="237">
        <f t="shared" ref="AX89:AZ90" si="105">SUM(H89,K89,N89)</f>
        <v>0</v>
      </c>
      <c r="AY89" s="79">
        <f t="shared" si="105"/>
        <v>0</v>
      </c>
      <c r="AZ89" s="80">
        <f t="shared" si="105"/>
        <v>-12000</v>
      </c>
      <c r="BA89" s="237">
        <f t="shared" ref="BA89:BC90" si="106">SUM(Q89,T89,W89)</f>
        <v>0</v>
      </c>
      <c r="BB89" s="79">
        <f t="shared" si="106"/>
        <v>0</v>
      </c>
      <c r="BC89" s="80">
        <f t="shared" si="106"/>
        <v>-119967.34000000001</v>
      </c>
      <c r="BD89" s="237">
        <f t="shared" ref="BD89:BF90" si="107">SUM(Z89,AC89,AF89)</f>
        <v>0</v>
      </c>
      <c r="BE89" s="79">
        <f t="shared" si="107"/>
        <v>-567942.71</v>
      </c>
      <c r="BF89" s="80">
        <f t="shared" si="107"/>
        <v>0</v>
      </c>
      <c r="BG89" s="237">
        <f t="shared" ref="BG89:BI90" si="108">SUM(AI89,AL89,AO89)</f>
        <v>0</v>
      </c>
      <c r="BH89" s="79">
        <f t="shared" si="108"/>
        <v>-897005.37000000011</v>
      </c>
      <c r="BI89" s="80">
        <f t="shared" si="108"/>
        <v>0</v>
      </c>
      <c r="BJ89" s="454"/>
    </row>
    <row r="90" spans="1:62" s="28" customFormat="1" hidden="1" outlineLevel="1" x14ac:dyDescent="0.3">
      <c r="A90" s="21"/>
      <c r="B90" s="2"/>
      <c r="C90" s="23"/>
      <c r="D90" s="24"/>
      <c r="E90" s="24"/>
      <c r="F90" s="39"/>
      <c r="G90" s="22"/>
      <c r="H90" s="250"/>
      <c r="I90" s="79"/>
      <c r="J90" s="80">
        <f>SUMIFS(Aut_BlueMe_Sem_Pedido!$J:$J,Aut_BlueMe_Sem_Pedido!$Q:$Q,DRE!H$4,Aut_BlueMe_Sem_Pedido!$H:$H,DRE!$A90)</f>
        <v>0</v>
      </c>
      <c r="K90" s="250"/>
      <c r="L90" s="79"/>
      <c r="M90" s="80">
        <f>SUMIFS(Aut_BlueMe_Sem_Pedido!$J:$J,Aut_BlueMe_Sem_Pedido!$Q:$Q,DRE!K$4,Aut_BlueMe_Sem_Pedido!$H:$H,DRE!$A90)</f>
        <v>0</v>
      </c>
      <c r="N90" s="250"/>
      <c r="O90" s="79"/>
      <c r="P90" s="80">
        <f>SUMIFS(Aut_BlueMe_Sem_Pedido!$J:$J,Aut_BlueMe_Sem_Pedido!$Q:$Q,DRE!N$4,Aut_BlueMe_Sem_Pedido!$H:$H,DRE!$A90)</f>
        <v>0</v>
      </c>
      <c r="Q90" s="250"/>
      <c r="R90" s="79"/>
      <c r="S90" s="80">
        <f>SUMIFS(Aut_BlueMe_Sem_Pedido!$J:$J,Aut_BlueMe_Sem_Pedido!$Q:$Q,DRE!Q$4,Aut_BlueMe_Sem_Pedido!$H:$H,DRE!$A90)</f>
        <v>0</v>
      </c>
      <c r="T90" s="250"/>
      <c r="U90" s="79"/>
      <c r="V90" s="80">
        <f>SUMIFS(Aut_BlueMe_Sem_Pedido!$J:$J,Aut_BlueMe_Sem_Pedido!$Q:$Q,DRE!T$4,Aut_BlueMe_Sem_Pedido!$H:$H,DRE!$A90)</f>
        <v>0</v>
      </c>
      <c r="W90" s="250"/>
      <c r="X90" s="79"/>
      <c r="Y90" s="80">
        <f>SUMIFS(Aut_BlueMe_Sem_Pedido!$J:$J,Aut_BlueMe_Sem_Pedido!$Q:$Q,DRE!W$4,Aut_BlueMe_Sem_Pedido!$H:$H,DRE!$A90)</f>
        <v>0</v>
      </c>
      <c r="Z90" s="250"/>
      <c r="AA90" s="79"/>
      <c r="AB90" s="80">
        <f>SUMIFS(Aut_BlueMe_Sem_Pedido!$J:$J,Aut_BlueMe_Sem_Pedido!$Q:$Q,DRE!Z$4,Aut_BlueMe_Sem_Pedido!$H:$H,DRE!$A90)</f>
        <v>0</v>
      </c>
      <c r="AC90" s="250"/>
      <c r="AD90" s="79"/>
      <c r="AE90" s="80">
        <f>SUMIFS(Aut_BlueMe_Sem_Pedido!$J:$J,Aut_BlueMe_Sem_Pedido!$Q:$Q,DRE!AC$4,Aut_BlueMe_Sem_Pedido!$H:$H,DRE!$A90)</f>
        <v>0</v>
      </c>
      <c r="AF90" s="250"/>
      <c r="AG90" s="79"/>
      <c r="AH90" s="80">
        <f>SUMIFS(Aut_BlueMe_Sem_Pedido!$J:$J,Aut_BlueMe_Sem_Pedido!$Q:$Q,DRE!AF$4,Aut_BlueMe_Sem_Pedido!$H:$H,DRE!$A90)</f>
        <v>0</v>
      </c>
      <c r="AI90" s="250"/>
      <c r="AJ90" s="79"/>
      <c r="AK90" s="80">
        <f>SUMIFS(Aut_BlueMe_Sem_Pedido!$J:$J,Aut_BlueMe_Sem_Pedido!$Q:$Q,DRE!AI$4,Aut_BlueMe_Sem_Pedido!$H:$H,DRE!$A90)</f>
        <v>0</v>
      </c>
      <c r="AL90" s="250"/>
      <c r="AM90" s="79"/>
      <c r="AN90" s="80">
        <f>SUMIFS(Aut_BlueMe_Sem_Pedido!$J:$J,Aut_BlueMe_Sem_Pedido!$Q:$Q,DRE!AL$4,Aut_BlueMe_Sem_Pedido!$H:$H,DRE!$A90)</f>
        <v>0</v>
      </c>
      <c r="AO90" s="250"/>
      <c r="AP90" s="79"/>
      <c r="AQ90" s="80">
        <f>SUMIFS(Aut_BlueMe_Sem_Pedido!$J:$J,Aut_BlueMe_Sem_Pedido!$Q:$Q,DRE!AO$4,Aut_BlueMe_Sem_Pedido!$H:$H,DRE!$A90)</f>
        <v>0</v>
      </c>
      <c r="AR90" s="237">
        <f ca="1">SUMIFS($H90:$AO90,$H$5:$AO$5,"&lt;"&amp;MONTH(TODAY()),$H$6:$AO$6,"REAL 25")</f>
        <v>0</v>
      </c>
      <c r="AS90" s="79">
        <f ca="1">SUMIFS($I90:$AP90,$I$5:$AP$5,"&lt;"&amp;MONTH(TODAY()),$I$6:$AP$6,"ORÇADO ")</f>
        <v>0</v>
      </c>
      <c r="AT90" s="80">
        <f ca="1">SUMIFS($J90:$AQ90,$J$5:$AQ$5,"&lt;"&amp;MONTH(TODAY()),$J$6:$AQ$6,"REAL 26")</f>
        <v>0</v>
      </c>
      <c r="AU90" s="250">
        <f t="shared" si="104"/>
        <v>0</v>
      </c>
      <c r="AV90" s="79">
        <f t="shared" si="104"/>
        <v>0</v>
      </c>
      <c r="AW90" s="80">
        <f t="shared" si="104"/>
        <v>0</v>
      </c>
      <c r="AX90" s="250">
        <f t="shared" si="105"/>
        <v>0</v>
      </c>
      <c r="AY90" s="79">
        <f t="shared" si="105"/>
        <v>0</v>
      </c>
      <c r="AZ90" s="80">
        <f t="shared" si="105"/>
        <v>0</v>
      </c>
      <c r="BA90" s="250">
        <f t="shared" si="106"/>
        <v>0</v>
      </c>
      <c r="BB90" s="79">
        <f t="shared" si="106"/>
        <v>0</v>
      </c>
      <c r="BC90" s="80">
        <f t="shared" si="106"/>
        <v>0</v>
      </c>
      <c r="BD90" s="250">
        <f t="shared" si="107"/>
        <v>0</v>
      </c>
      <c r="BE90" s="79">
        <f t="shared" si="107"/>
        <v>0</v>
      </c>
      <c r="BF90" s="80">
        <f t="shared" si="107"/>
        <v>0</v>
      </c>
      <c r="BG90" s="250">
        <f t="shared" si="108"/>
        <v>0</v>
      </c>
      <c r="BH90" s="79">
        <f t="shared" si="108"/>
        <v>0</v>
      </c>
      <c r="BI90" s="80">
        <f t="shared" si="108"/>
        <v>0</v>
      </c>
      <c r="BJ90" s="454"/>
    </row>
    <row r="91" spans="1:62" collapsed="1" x14ac:dyDescent="0.3">
      <c r="A91" s="69" t="s">
        <v>44</v>
      </c>
      <c r="C91" s="23"/>
      <c r="D91" s="24"/>
      <c r="E91" s="24"/>
      <c r="F91" s="39"/>
      <c r="H91" s="251"/>
      <c r="I91" s="81">
        <f>IFERROR(I88/I8,0)</f>
        <v>0</v>
      </c>
      <c r="J91" s="82">
        <f>IFERROR(J88/J8,0)+SUMIFS(Aut_Ajustes_Manuais!$G:$G,Aut_Ajustes_Manuais!$I:$I,DRE!H$4,Aut_Ajustes_Manuais!$F:$F,"% sobre Receita Bruta")</f>
        <v>0</v>
      </c>
      <c r="K91" s="251"/>
      <c r="L91" s="81">
        <f>IFERROR(L88/L8,0)</f>
        <v>0</v>
      </c>
      <c r="M91" s="82">
        <f>IFERROR(M88/M8,0)+SUMIFS(Aut_Ajustes_Manuais!$G:$G,Aut_Ajustes_Manuais!$I:$I,DRE!K$4,Aut_Ajustes_Manuais!$F:$F,"% sobre Receita Bruta")</f>
        <v>0</v>
      </c>
      <c r="N91" s="251"/>
      <c r="O91" s="81">
        <f>IFERROR(O88/O8,0)</f>
        <v>0</v>
      </c>
      <c r="P91" s="82">
        <f>IFERROR(P88/P8,0)+SUMIFS(Aut_Ajustes_Manuais!$G:$G,Aut_Ajustes_Manuais!$I:$I,DRE!N$4,Aut_Ajustes_Manuais!$F:$F,"% sobre Receita Bruta")</f>
        <v>0</v>
      </c>
      <c r="Q91" s="251"/>
      <c r="R91" s="81">
        <f>IFERROR(R88/R8,0)</f>
        <v>0</v>
      </c>
      <c r="S91" s="82">
        <f>IFERROR(S88/S8,0)+SUMIFS(Aut_Ajustes_Manuais!$G:$G,Aut_Ajustes_Manuais!$I:$I,DRE!Q$4,Aut_Ajustes_Manuais!$F:$F,"% sobre Receita Bruta")</f>
        <v>0</v>
      </c>
      <c r="T91" s="251"/>
      <c r="U91" s="81">
        <f>IFERROR(U88/U8,0)</f>
        <v>0</v>
      </c>
      <c r="V91" s="82">
        <f>IFERROR(V88/V8,0)+SUMIFS(Aut_Ajustes_Manuais!$G:$G,Aut_Ajustes_Manuais!$I:$I,DRE!T$4,Aut_Ajustes_Manuais!$F:$F,"% sobre Receita Bruta")</f>
        <v>0</v>
      </c>
      <c r="W91" s="251"/>
      <c r="X91" s="81">
        <f>IFERROR(X88/X8,0)</f>
        <v>0</v>
      </c>
      <c r="Y91" s="82">
        <f>IFERROR(Y88/Y8,0)+SUMIFS(Aut_Ajustes_Manuais!$G:$G,Aut_Ajustes_Manuais!$I:$I,DRE!W$4,Aut_Ajustes_Manuais!$F:$F,"% sobre Receita Bruta")</f>
        <v>0</v>
      </c>
      <c r="Z91" s="251"/>
      <c r="AA91" s="81">
        <f>IFERROR(AA88/AA8,0)</f>
        <v>0</v>
      </c>
      <c r="AB91" s="82">
        <f>IFERROR(AB88/AB8,0)+SUMIFS(Aut_Ajustes_Manuais!$G:$G,Aut_Ajustes_Manuais!$I:$I,DRE!Z$4,Aut_Ajustes_Manuais!$F:$F,"% sobre Receita Bruta")</f>
        <v>0</v>
      </c>
      <c r="AC91" s="251"/>
      <c r="AD91" s="81">
        <f>IFERROR(AD88/AD8,0)</f>
        <v>-6.0204394065716246E-2</v>
      </c>
      <c r="AE91" s="82">
        <f>IFERROR(AE88/AE8,0)+SUMIFS(Aut_Ajustes_Manuais!$G:$G,Aut_Ajustes_Manuais!$I:$I,DRE!AC$4,Aut_Ajustes_Manuais!$F:$F,"% sobre Receita Bruta")</f>
        <v>0</v>
      </c>
      <c r="AF91" s="251"/>
      <c r="AG91" s="81">
        <f>IFERROR(AG88/AG8,0)</f>
        <v>-6.0252821421728171E-2</v>
      </c>
      <c r="AH91" s="82">
        <f>IFERROR(AH88/AH8,0)+SUMIFS(Aut_Ajustes_Manuais!$G:$G,Aut_Ajustes_Manuais!$I:$I,DRE!AF$4,Aut_Ajustes_Manuais!$F:$F,"% sobre Receita Bruta")</f>
        <v>0</v>
      </c>
      <c r="AI91" s="251"/>
      <c r="AJ91" s="81">
        <f>IFERROR(AJ88/AJ8,0)</f>
        <v>-6.0113590281454438E-2</v>
      </c>
      <c r="AK91" s="82">
        <f>IFERROR(AK88/AK8,0)+SUMIFS(Aut_Ajustes_Manuais!$G:$G,Aut_Ajustes_Manuais!$I:$I,DRE!AI$4,Aut_Ajustes_Manuais!$F:$F,"% sobre Receita Bruta")</f>
        <v>0</v>
      </c>
      <c r="AL91" s="251"/>
      <c r="AM91" s="81">
        <f>IFERROR(AM88/AM8,0)</f>
        <v>-6.0189569890890152E-2</v>
      </c>
      <c r="AN91" s="82">
        <f>IFERROR(AN88/AN8,0)+SUMIFS(Aut_Ajustes_Manuais!$G:$G,Aut_Ajustes_Manuais!$I:$I,DRE!AL$4,Aut_Ajustes_Manuais!$F:$F,"% sobre Receita Bruta")</f>
        <v>0</v>
      </c>
      <c r="AO91" s="251"/>
      <c r="AP91" s="81">
        <f>IFERROR(AP88/AP8,0)</f>
        <v>-6.0343767558049766E-2</v>
      </c>
      <c r="AQ91" s="82">
        <f>IFERROR(AQ88/AQ8,0)+SUMIFS(Aut_Ajustes_Manuais!$G:$G,Aut_Ajustes_Manuais!$I:$I,DRE!AO$4,Aut_Ajustes_Manuais!$F:$F,"% sobre Receita Bruta")</f>
        <v>0</v>
      </c>
      <c r="AR91" s="251">
        <f t="shared" ref="AR91:BI91" ca="1" si="109">IFERROR(AR88/AR8,0)</f>
        <v>0</v>
      </c>
      <c r="AS91" s="81">
        <f t="shared" ca="1" si="109"/>
        <v>-6.0204394065716246E-2</v>
      </c>
      <c r="AT91" s="82">
        <f t="shared" ca="1" si="109"/>
        <v>-0.38739131938273763</v>
      </c>
      <c r="AU91" s="251">
        <f t="shared" si="109"/>
        <v>0</v>
      </c>
      <c r="AV91" s="81">
        <f t="shared" si="109"/>
        <v>-6.0221047235291966E-2</v>
      </c>
      <c r="AW91" s="82">
        <f t="shared" si="109"/>
        <v>-0.38739131938273763</v>
      </c>
      <c r="AX91" s="251">
        <f t="shared" si="109"/>
        <v>0</v>
      </c>
      <c r="AY91" s="81">
        <f t="shared" si="109"/>
        <v>0</v>
      </c>
      <c r="AZ91" s="82">
        <f t="shared" si="109"/>
        <v>0</v>
      </c>
      <c r="BA91" s="251">
        <f t="shared" si="109"/>
        <v>0</v>
      </c>
      <c r="BB91" s="81">
        <f t="shared" si="109"/>
        <v>0</v>
      </c>
      <c r="BC91" s="82">
        <f t="shared" si="109"/>
        <v>0</v>
      </c>
      <c r="BD91" s="251">
        <f t="shared" si="109"/>
        <v>0</v>
      </c>
      <c r="BE91" s="81">
        <f t="shared" si="109"/>
        <v>-6.0228224410892532E-2</v>
      </c>
      <c r="BF91" s="82">
        <f t="shared" si="109"/>
        <v>0</v>
      </c>
      <c r="BG91" s="251">
        <f t="shared" si="109"/>
        <v>0</v>
      </c>
      <c r="BH91" s="81">
        <f t="shared" si="109"/>
        <v>-6.0216503860798999E-2</v>
      </c>
      <c r="BI91" s="82">
        <f t="shared" si="109"/>
        <v>0</v>
      </c>
    </row>
    <row r="92" spans="1:62" x14ac:dyDescent="0.3">
      <c r="A92" s="17"/>
      <c r="C92" s="58"/>
      <c r="E92" s="15"/>
      <c r="F92" s="16"/>
      <c r="H92" s="252"/>
      <c r="I92" s="228"/>
      <c r="J92" s="83"/>
      <c r="K92" s="252"/>
      <c r="L92" s="228"/>
      <c r="M92" s="83"/>
      <c r="N92" s="252"/>
      <c r="O92" s="228"/>
      <c r="P92" s="83"/>
      <c r="Q92" s="252"/>
      <c r="R92" s="461"/>
      <c r="S92" s="462"/>
      <c r="T92" s="252"/>
      <c r="U92" s="228"/>
      <c r="V92" s="83"/>
      <c r="W92" s="252"/>
      <c r="X92" s="228"/>
      <c r="Y92" s="83"/>
      <c r="Z92" s="252"/>
      <c r="AA92" s="228"/>
      <c r="AB92" s="83"/>
      <c r="AC92" s="252"/>
      <c r="AD92" s="228"/>
      <c r="AE92" s="83"/>
      <c r="AF92" s="252"/>
      <c r="AG92" s="228"/>
      <c r="AH92" s="83"/>
      <c r="AI92" s="252"/>
      <c r="AJ92" s="228"/>
      <c r="AK92" s="83"/>
      <c r="AL92" s="252"/>
      <c r="AM92" s="228"/>
      <c r="AN92" s="83"/>
      <c r="AO92" s="252"/>
      <c r="AP92" s="228"/>
      <c r="AQ92" s="83"/>
      <c r="AR92" s="252"/>
      <c r="AS92" s="228"/>
      <c r="AT92" s="83"/>
      <c r="AU92" s="252"/>
      <c r="AV92" s="228"/>
      <c r="AW92" s="83"/>
      <c r="AX92" s="252"/>
      <c r="AY92" s="228"/>
      <c r="AZ92" s="83"/>
      <c r="BA92" s="252"/>
      <c r="BB92" s="228"/>
      <c r="BC92" s="83"/>
      <c r="BD92" s="252"/>
      <c r="BE92" s="228"/>
      <c r="BF92" s="83"/>
      <c r="BG92" s="252"/>
      <c r="BH92" s="228"/>
      <c r="BI92" s="83"/>
    </row>
    <row r="93" spans="1:62" x14ac:dyDescent="0.3">
      <c r="A93" s="17"/>
      <c r="C93" s="58"/>
      <c r="E93" s="15"/>
      <c r="F93" s="16"/>
      <c r="H93" s="252"/>
      <c r="I93" s="228"/>
      <c r="J93" s="83"/>
      <c r="K93" s="252"/>
      <c r="L93" s="228"/>
      <c r="M93" s="83"/>
      <c r="N93" s="252"/>
      <c r="O93" s="228"/>
      <c r="P93" s="83"/>
      <c r="Q93" s="252"/>
      <c r="R93" s="228"/>
      <c r="S93" s="83"/>
      <c r="T93" s="252"/>
      <c r="U93" s="228"/>
      <c r="V93" s="83"/>
      <c r="W93" s="252"/>
      <c r="X93" s="228"/>
      <c r="Y93" s="83"/>
      <c r="Z93" s="252"/>
      <c r="AA93" s="228"/>
      <c r="AB93" s="83"/>
      <c r="AC93" s="252"/>
      <c r="AD93" s="228"/>
      <c r="AE93" s="83"/>
      <c r="AF93" s="252"/>
      <c r="AG93" s="228"/>
      <c r="AH93" s="83"/>
      <c r="AI93" s="252"/>
      <c r="AJ93" s="228"/>
      <c r="AK93" s="83"/>
      <c r="AL93" s="252"/>
      <c r="AM93" s="228"/>
      <c r="AN93" s="83"/>
      <c r="AO93" s="252"/>
      <c r="AP93" s="228"/>
      <c r="AQ93" s="83"/>
      <c r="AR93" s="252"/>
      <c r="AS93" s="228"/>
      <c r="AT93" s="83"/>
      <c r="AU93" s="252"/>
      <c r="AV93" s="228"/>
      <c r="AW93" s="83"/>
      <c r="AX93" s="252"/>
      <c r="AY93" s="228"/>
      <c r="AZ93" s="83"/>
      <c r="BA93" s="252"/>
      <c r="BB93" s="228"/>
      <c r="BC93" s="83"/>
      <c r="BD93" s="252"/>
      <c r="BE93" s="228"/>
      <c r="BF93" s="83"/>
      <c r="BG93" s="252"/>
      <c r="BH93" s="228"/>
      <c r="BI93" s="83"/>
    </row>
    <row r="94" spans="1:62" x14ac:dyDescent="0.3">
      <c r="A94" s="37" t="s">
        <v>115</v>
      </c>
      <c r="C94" s="38" t="s">
        <v>35</v>
      </c>
      <c r="D94" s="38" t="s">
        <v>36</v>
      </c>
      <c r="E94" s="38" t="s">
        <v>37</v>
      </c>
      <c r="F94" s="39"/>
      <c r="G94" s="86"/>
      <c r="H94" s="240"/>
      <c r="I94" s="40">
        <f>SUM(I95:I98)</f>
        <v>0</v>
      </c>
      <c r="J94" s="41">
        <f>SUM(J95:J98)+SUMIFS(Aut_Ajustes_Manuais!$G:$G,Aut_Ajustes_Manuais!$I:$I,DRE!H$4,Aut_Ajustes_Manuais!$F:$F,"(-) Deduções sobre Venda")</f>
        <v>0</v>
      </c>
      <c r="K94" s="240"/>
      <c r="L94" s="40">
        <f>SUM(L95:L98)</f>
        <v>0</v>
      </c>
      <c r="M94" s="41">
        <f>SUM(M95:M98)+SUMIFS(Aut_Ajustes_Manuais!$G:$G,Aut_Ajustes_Manuais!$I:$I,DRE!K$4,Aut_Ajustes_Manuais!$F:$F,"(-) Deduções sobre Venda")</f>
        <v>0</v>
      </c>
      <c r="N94" s="240"/>
      <c r="O94" s="40">
        <f>SUM(O95:O98)</f>
        <v>0</v>
      </c>
      <c r="P94" s="41">
        <f>SUM(P95:P98)+SUMIFS(Aut_Ajustes_Manuais!$G:$G,Aut_Ajustes_Manuais!$I:$I,DRE!N$4,Aut_Ajustes_Manuais!$F:$F,"(-) Deduções sobre Venda")</f>
        <v>0</v>
      </c>
      <c r="Q94" s="240"/>
      <c r="R94" s="40">
        <f>SUM(R95:R98)</f>
        <v>0</v>
      </c>
      <c r="S94" s="41">
        <f>SUM(S95:S98)+SUMIFS(Aut_Ajustes_Manuais!$G:$G,Aut_Ajustes_Manuais!$I:$I,DRE!Q$4,Aut_Ajustes_Manuais!$F:$F,"(-) Deduções sobre Venda")</f>
        <v>0</v>
      </c>
      <c r="T94" s="240"/>
      <c r="U94" s="40">
        <f>SUM(U95:U98)</f>
        <v>0</v>
      </c>
      <c r="V94" s="41">
        <f>SUM(V95:V98)+SUMIFS(Aut_Ajustes_Manuais!$G:$G,Aut_Ajustes_Manuais!$I:$I,DRE!T$4,Aut_Ajustes_Manuais!$F:$F,"(-) Deduções sobre Venda")</f>
        <v>0</v>
      </c>
      <c r="W94" s="240"/>
      <c r="X94" s="40">
        <f>SUM(X95:X98)</f>
        <v>0</v>
      </c>
      <c r="Y94" s="41">
        <f>SUM(Y95:Y98)+SUMIFS(Aut_Ajustes_Manuais!$G:$G,Aut_Ajustes_Manuais!$I:$I,DRE!W$4,Aut_Ajustes_Manuais!$F:$F,"(-) Deduções sobre Venda")</f>
        <v>0</v>
      </c>
      <c r="Z94" s="240"/>
      <c r="AA94" s="40">
        <f>SUM(AA95:AA98)</f>
        <v>0</v>
      </c>
      <c r="AB94" s="41">
        <f>SUM(AB95:AB98)+SUMIFS(Aut_Ajustes_Manuais!$G:$G,Aut_Ajustes_Manuais!$I:$I,DRE!Z$4,Aut_Ajustes_Manuais!$F:$F,"(-) Deduções sobre Venda")</f>
        <v>0</v>
      </c>
      <c r="AC94" s="240"/>
      <c r="AD94" s="40">
        <f>SUM(AD95:AD98)</f>
        <v>-81422.600000000006</v>
      </c>
      <c r="AE94" s="41">
        <f>SUM(AE95:AE98)+SUMIFS(Aut_Ajustes_Manuais!$G:$G,Aut_Ajustes_Manuais!$I:$I,DRE!AC$4,Aut_Ajustes_Manuais!$F:$F,"(-) Deduções sobre Venda")</f>
        <v>0</v>
      </c>
      <c r="AF94" s="240"/>
      <c r="AG94" s="40">
        <f>SUM(AG95:AG98)</f>
        <v>-78884.73</v>
      </c>
      <c r="AH94" s="41">
        <f>SUM(AH95:AH98)+SUMIFS(Aut_Ajustes_Manuais!$G:$G,Aut_Ajustes_Manuais!$I:$I,DRE!AF$4,Aut_Ajustes_Manuais!$F:$F,"(-) Deduções sobre Venda")</f>
        <v>0</v>
      </c>
      <c r="AI94" s="240"/>
      <c r="AJ94" s="40">
        <f>SUM(AJ95:AJ98)</f>
        <v>-86581.85</v>
      </c>
      <c r="AK94" s="41">
        <f>SUM(AK95:AK98)+SUMIFS(Aut_Ajustes_Manuais!$G:$G,Aut_Ajustes_Manuais!$I:$I,DRE!AI$4,Aut_Ajustes_Manuais!$F:$F,"(-) Deduções sobre Venda")</f>
        <v>0</v>
      </c>
      <c r="AL94" s="240"/>
      <c r="AM94" s="40">
        <f>SUM(AM95:AM98)</f>
        <v>-79759.94</v>
      </c>
      <c r="AN94" s="41">
        <f>SUM(AN95:AN98)+SUMIFS(Aut_Ajustes_Manuais!$G:$G,Aut_Ajustes_Manuais!$I:$I,DRE!AL$4,Aut_Ajustes_Manuais!$F:$F,"(-) Deduções sobre Venda")</f>
        <v>0</v>
      </c>
      <c r="AO94" s="240"/>
      <c r="AP94" s="40">
        <f>SUM(AP95:AP98)</f>
        <v>-86895.95</v>
      </c>
      <c r="AQ94" s="41">
        <f>SUM(AQ95:AQ98)+SUMIFS(Aut_Ajustes_Manuais!$G:$G,Aut_Ajustes_Manuais!$I:$I,DRE!AO$4,Aut_Ajustes_Manuais!$F:$F,"(-) Deduções sobre Venda")</f>
        <v>0</v>
      </c>
      <c r="AR94" s="240">
        <f t="shared" ref="AR94:BI94" ca="1" si="110">SUM(AR95:AR98)</f>
        <v>0</v>
      </c>
      <c r="AS94" s="40">
        <f t="shared" ca="1" si="110"/>
        <v>-81422.600000000006</v>
      </c>
      <c r="AT94" s="41">
        <f t="shared" ca="1" si="110"/>
        <v>0</v>
      </c>
      <c r="AU94" s="240">
        <f t="shared" si="110"/>
        <v>0</v>
      </c>
      <c r="AV94" s="40">
        <f t="shared" si="110"/>
        <v>-413545.07</v>
      </c>
      <c r="AW94" s="41">
        <f t="shared" si="110"/>
        <v>0</v>
      </c>
      <c r="AX94" s="240">
        <f t="shared" si="110"/>
        <v>0</v>
      </c>
      <c r="AY94" s="40">
        <f t="shared" si="110"/>
        <v>0</v>
      </c>
      <c r="AZ94" s="41">
        <f t="shared" si="110"/>
        <v>0</v>
      </c>
      <c r="BA94" s="240">
        <f t="shared" si="110"/>
        <v>0</v>
      </c>
      <c r="BB94" s="40">
        <f t="shared" si="110"/>
        <v>0</v>
      </c>
      <c r="BC94" s="41">
        <f t="shared" si="110"/>
        <v>0</v>
      </c>
      <c r="BD94" s="240">
        <f t="shared" si="110"/>
        <v>0</v>
      </c>
      <c r="BE94" s="40">
        <f t="shared" si="110"/>
        <v>-160307.33000000002</v>
      </c>
      <c r="BF94" s="41">
        <f t="shared" si="110"/>
        <v>0</v>
      </c>
      <c r="BG94" s="240">
        <f t="shared" si="110"/>
        <v>0</v>
      </c>
      <c r="BH94" s="40">
        <f t="shared" si="110"/>
        <v>-253237.74</v>
      </c>
      <c r="BI94" s="41">
        <f t="shared" si="110"/>
        <v>0</v>
      </c>
    </row>
    <row r="95" spans="1:62" s="28" customFormat="1" hidden="1" outlineLevel="1" x14ac:dyDescent="0.3">
      <c r="A95" s="21" t="s">
        <v>116</v>
      </c>
      <c r="B95" s="22"/>
      <c r="C95" s="23" t="s">
        <v>117</v>
      </c>
      <c r="D95" s="53">
        <v>0.02</v>
      </c>
      <c r="E95" s="85">
        <v>0.85</v>
      </c>
      <c r="F95" s="54"/>
      <c r="G95" s="32"/>
      <c r="H95" s="237"/>
      <c r="I95" s="26">
        <f>-SUMIFS(T_ORCAMENTOS!$E:$E,T_ORCAMENTOS!$C:$C,"Meios de pagamento",T_ORCAMENTOS!$H:$H,"1/2026")</f>
        <v>0</v>
      </c>
      <c r="J95" s="27">
        <f>SUMIFS(Aut_BlueMe_Sem_Pedido!$J:$J,Aut_BlueMe_Sem_Pedido!$Q:$Q,DRE!H$4,Aut_BlueMe_Sem_Pedido!$H:$H,DRE!$A95)+SUMIFS(Aut_Ajustes_Manuais!$G:$G,Aut_Ajustes_Manuais!$I:$I,DRE!H$4,Aut_Ajustes_Manuais!$F:$F,"Meios de pagamento")</f>
        <v>0</v>
      </c>
      <c r="K95" s="237"/>
      <c r="L95" s="26">
        <f>-SUMIFS(T_ORCAMENTOS!$E:$E,T_ORCAMENTOS!$C:$C,"Meios de pagamento",T_ORCAMENTOS!$H:$H,"2/2026")</f>
        <v>0</v>
      </c>
      <c r="M95" s="27">
        <f>SUMIFS(Aut_BlueMe_Sem_Pedido!$J:$J,Aut_BlueMe_Sem_Pedido!$Q:$Q,DRE!K$4,Aut_BlueMe_Sem_Pedido!$H:$H,DRE!$A95)+SUMIFS(Aut_Ajustes_Manuais!$G:$G,Aut_Ajustes_Manuais!$I:$I,DRE!K$4,Aut_Ajustes_Manuais!$F:$F,"Meios de pagamento")</f>
        <v>0</v>
      </c>
      <c r="N95" s="237"/>
      <c r="O95" s="26">
        <f>-SUMIFS(T_ORCAMENTOS!$E:$E,T_ORCAMENTOS!$C:$C,"Meios de pagamento",T_ORCAMENTOS!$H:$H,"3/2026")</f>
        <v>0</v>
      </c>
      <c r="P95" s="27">
        <f>SUMIFS(Aut_BlueMe_Sem_Pedido!$J:$J,Aut_BlueMe_Sem_Pedido!$Q:$Q,DRE!N$4,Aut_BlueMe_Sem_Pedido!$H:$H,DRE!$A95)+SUMIFS(Aut_Ajustes_Manuais!$G:$G,Aut_Ajustes_Manuais!$I:$I,DRE!N$4,Aut_Ajustes_Manuais!$F:$F,"Meios de pagamento")</f>
        <v>0</v>
      </c>
      <c r="Q95" s="237"/>
      <c r="R95" s="26">
        <f>-SUMIFS(T_ORCAMENTOS!$E:$E,T_ORCAMENTOS!$C:$C,"Meios de pagamento",T_ORCAMENTOS!$H:$H,"4/2026")</f>
        <v>0</v>
      </c>
      <c r="S95" s="27">
        <f>SUMIFS(Aut_BlueMe_Sem_Pedido!$J:$J,Aut_BlueMe_Sem_Pedido!$Q:$Q,DRE!Q$4,Aut_BlueMe_Sem_Pedido!$H:$H,DRE!$A95)+SUMIFS(Aut_Ajustes_Manuais!$G:$G,Aut_Ajustes_Manuais!$I:$I,DRE!Q$4,Aut_Ajustes_Manuais!$F:$F,"Meios de pagamento")</f>
        <v>0</v>
      </c>
      <c r="T95" s="237"/>
      <c r="U95" s="26">
        <f>-SUMIFS(T_ORCAMENTOS!$E:$E,T_ORCAMENTOS!$C:$C,"Meios de pagamento",T_ORCAMENTOS!$H:$H,"5/2026")</f>
        <v>0</v>
      </c>
      <c r="V95" s="27">
        <f>SUMIFS(Aut_BlueMe_Sem_Pedido!$J:$J,Aut_BlueMe_Sem_Pedido!$Q:$Q,DRE!T$4,Aut_BlueMe_Sem_Pedido!$H:$H,DRE!$A95)+SUMIFS(Aut_Ajustes_Manuais!$G:$G,Aut_Ajustes_Manuais!$I:$I,DRE!T$4,Aut_Ajustes_Manuais!$F:$F,"Meios de pagamento")</f>
        <v>0</v>
      </c>
      <c r="W95" s="237"/>
      <c r="X95" s="26">
        <f>-SUMIFS(T_ORCAMENTOS!$E:$E,T_ORCAMENTOS!$C:$C,"Meios de pagamento",T_ORCAMENTOS!$H:$H,"6/2026")</f>
        <v>0</v>
      </c>
      <c r="Y95" s="27">
        <f>SUMIFS(Aut_BlueMe_Sem_Pedido!$J:$J,Aut_BlueMe_Sem_Pedido!$Q:$Q,DRE!W$4,Aut_BlueMe_Sem_Pedido!$H:$H,DRE!$A95)+SUMIFS(Aut_Ajustes_Manuais!$G:$G,Aut_Ajustes_Manuais!$I:$I,DRE!W$4,Aut_Ajustes_Manuais!$F:$F,"Meios de pagamento")</f>
        <v>0</v>
      </c>
      <c r="Z95" s="237"/>
      <c r="AA95" s="26">
        <f>-SUMIFS(T_ORCAMENTOS!$E:$E,T_ORCAMENTOS!$C:$C,"Meios de pagamento",T_ORCAMENTOS!$H:$H,"7/2026")</f>
        <v>0</v>
      </c>
      <c r="AB95" s="27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37"/>
      <c r="AD95" s="26">
        <f>-SUMIFS(T_ORCAMENTOS!$E:$E,T_ORCAMENTOS!$C:$C,"Meios de pagamento",T_ORCAMENTOS!$H:$H,"8/2026")</f>
        <v>-81422.600000000006</v>
      </c>
      <c r="AE95" s="27">
        <f>SUMIFS(Aut_BlueMe_Sem_Pedido!$J:$J,Aut_BlueMe_Sem_Pedido!$Q:$Q,DRE!AC$4,Aut_BlueMe_Sem_Pedido!$H:$H,DRE!$A95)+SUMIFS(Aut_Ajustes_Manuais!$G:$G,Aut_Ajustes_Manuais!$I:$I,DRE!AC$4,Aut_Ajustes_Manuais!$F:$F,"Meios de pagamento")</f>
        <v>0</v>
      </c>
      <c r="AF95" s="237"/>
      <c r="AG95" s="26">
        <f>-SUMIFS(T_ORCAMENTOS!$E:$E,T_ORCAMENTOS!$C:$C,"Meios de pagamento",T_ORCAMENTOS!$H:$H,"9/2026")</f>
        <v>-78884.73</v>
      </c>
      <c r="AH95" s="27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37"/>
      <c r="AJ95" s="26">
        <f>-SUMIFS(T_ORCAMENTOS!$E:$E,T_ORCAMENTOS!$C:$C,"Meios de pagamento",T_ORCAMENTOS!$H:$H,"10/2026")</f>
        <v>-86581.85</v>
      </c>
      <c r="AK95" s="27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37"/>
      <c r="AM95" s="26">
        <f>-SUMIFS(T_ORCAMENTOS!$E:$E,T_ORCAMENTOS!$C:$C,"Meios de pagamento",T_ORCAMENTOS!$H:$H,"11/2026")</f>
        <v>-79759.94</v>
      </c>
      <c r="AN95" s="27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37"/>
      <c r="AP95" s="26">
        <f>-SUMIFS(T_ORCAMENTOS!$E:$E,T_ORCAMENTOS!$C:$C,"Meios de pagamento",T_ORCAMENTOS!$H:$H,"12/2026")</f>
        <v>-86895.95</v>
      </c>
      <c r="AQ95" s="27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37">
        <f ca="1">SUMIFS($H95:$AO95,$H$5:$AO$5,"&lt;"&amp;MONTH(TODAY()),$H$6:$AO$6,"REAL 25")</f>
        <v>0</v>
      </c>
      <c r="AS95" s="26">
        <f ca="1">SUMIFS($I95:$AP95,$I$5:$AP$5,"&lt;"&amp;MONTH(TODAY()),$I$6:$AP$6,"ORÇADO ")</f>
        <v>-81422.600000000006</v>
      </c>
      <c r="AT95" s="27">
        <f ca="1">SUMIFS($J95:$AQ95,$J$5:$AQ$5,"&lt;"&amp;MONTH(TODAY()),$J$6:$AQ$6,"REAL 26")</f>
        <v>0</v>
      </c>
      <c r="AU95" s="237">
        <f t="shared" ref="AU95:AW98" si="111">SUM(H95,K95,N95,Q95,T95,W95,Z95,AC95,AF95,AI95,AL95,AO95)</f>
        <v>0</v>
      </c>
      <c r="AV95" s="26">
        <f t="shared" si="111"/>
        <v>-413545.07</v>
      </c>
      <c r="AW95" s="27">
        <f t="shared" si="111"/>
        <v>0</v>
      </c>
      <c r="AX95" s="237">
        <f t="shared" ref="AX95:AZ98" si="112">SUM(H95,K95,N95)</f>
        <v>0</v>
      </c>
      <c r="AY95" s="26">
        <f t="shared" si="112"/>
        <v>0</v>
      </c>
      <c r="AZ95" s="27">
        <f t="shared" si="112"/>
        <v>0</v>
      </c>
      <c r="BA95" s="237">
        <f t="shared" ref="BA95:BC98" si="113">SUM(Q95,T95,W95)</f>
        <v>0</v>
      </c>
      <c r="BB95" s="26">
        <f t="shared" si="113"/>
        <v>0</v>
      </c>
      <c r="BC95" s="27">
        <f t="shared" si="113"/>
        <v>0</v>
      </c>
      <c r="BD95" s="237">
        <f t="shared" ref="BD95:BF98" si="114">SUM(Z95,AC95,AF95)</f>
        <v>0</v>
      </c>
      <c r="BE95" s="26">
        <f t="shared" si="114"/>
        <v>-160307.33000000002</v>
      </c>
      <c r="BF95" s="27">
        <f t="shared" si="114"/>
        <v>0</v>
      </c>
      <c r="BG95" s="237">
        <f t="shared" ref="BG95:BI98" si="115">SUM(AI95,AL95,AO95)</f>
        <v>0</v>
      </c>
      <c r="BH95" s="26">
        <f t="shared" si="115"/>
        <v>-253237.74</v>
      </c>
      <c r="BI95" s="27">
        <f t="shared" si="115"/>
        <v>0</v>
      </c>
      <c r="BJ95" s="454"/>
    </row>
    <row r="96" spans="1:62" s="28" customFormat="1" hidden="1" outlineLevel="1" x14ac:dyDescent="0.3">
      <c r="A96" s="21" t="s">
        <v>118</v>
      </c>
      <c r="B96" s="22"/>
      <c r="C96" s="23" t="s">
        <v>119</v>
      </c>
      <c r="D96" s="53">
        <v>0.26</v>
      </c>
      <c r="E96" s="85"/>
      <c r="F96" s="54"/>
      <c r="G96" s="32"/>
      <c r="H96" s="237"/>
      <c r="I96" s="26">
        <f>-SUMIFS(T_ORCAMENTOS!$E:$E,T_ORCAMENTOS!$C:$C,"Meios de pagamento - Delivery",T_ORCAMENTOS!$H:$H,"1/2026")</f>
        <v>0</v>
      </c>
      <c r="J96" s="27">
        <f>SUMIFS(Aut_BlueMe_Sem_Pedido!$J:$J,Aut_BlueMe_Sem_Pedido!$Q:$Q,DRE!H$4,Aut_BlueMe_Sem_Pedido!$H:$H,DRE!$A96)+SUMIFS(Aut_Ajustes_Manuais!$G:$G,Aut_Ajustes_Manuais!$I:$I,DRE!H$4,Aut_Ajustes_Manuais!$F:$F,"Meios de pagamento - Delivery")</f>
        <v>0</v>
      </c>
      <c r="K96" s="237"/>
      <c r="L96" s="26">
        <f>-SUMIFS(T_ORCAMENTOS!$E:$E,T_ORCAMENTOS!$C:$C,"Meios de pagamento - Delivery",T_ORCAMENTOS!$H:$H,"2/2026")</f>
        <v>0</v>
      </c>
      <c r="M96" s="27">
        <f>SUMIFS(Aut_BlueMe_Sem_Pedido!$J:$J,Aut_BlueMe_Sem_Pedido!$Q:$Q,DRE!K$4,Aut_BlueMe_Sem_Pedido!$H:$H,DRE!$A96)+SUMIFS(Aut_Ajustes_Manuais!$G:$G,Aut_Ajustes_Manuais!$I:$I,DRE!K$4,Aut_Ajustes_Manuais!$F:$F,"Meios de pagamento - Delivery")</f>
        <v>0</v>
      </c>
      <c r="N96" s="237"/>
      <c r="O96" s="26">
        <f>-SUMIFS(T_ORCAMENTOS!$E:$E,T_ORCAMENTOS!$C:$C,"Meios de pagamento - Delivery",T_ORCAMENTOS!$H:$H,"3/2026")</f>
        <v>0</v>
      </c>
      <c r="P96" s="27">
        <f>SUMIFS(Aut_BlueMe_Sem_Pedido!$J:$J,Aut_BlueMe_Sem_Pedido!$Q:$Q,DRE!N$4,Aut_BlueMe_Sem_Pedido!$H:$H,DRE!$A96)+SUMIFS(Aut_Ajustes_Manuais!$G:$G,Aut_Ajustes_Manuais!$I:$I,DRE!N$4,Aut_Ajustes_Manuais!$F:$F,"Meios de pagamento - Delivery")</f>
        <v>0</v>
      </c>
      <c r="Q96" s="237"/>
      <c r="R96" s="26">
        <f>-SUMIFS(T_ORCAMENTOS!$E:$E,T_ORCAMENTOS!$C:$C,"Meios de pagamento - Delivery",T_ORCAMENTOS!$H:$H,"4/2026")</f>
        <v>0</v>
      </c>
      <c r="S96" s="27">
        <f>SUMIFS(Aut_BlueMe_Sem_Pedido!$J:$J,Aut_BlueMe_Sem_Pedido!$Q:$Q,DRE!Q$4,Aut_BlueMe_Sem_Pedido!$H:$H,DRE!$A96)+SUMIFS(Aut_Ajustes_Manuais!$G:$G,Aut_Ajustes_Manuais!$I:$I,DRE!Q$4,Aut_Ajustes_Manuais!$F:$F,"Meios de pagamento - Delivery")</f>
        <v>0</v>
      </c>
      <c r="T96" s="237"/>
      <c r="U96" s="26">
        <f>-SUMIFS(T_ORCAMENTOS!$E:$E,T_ORCAMENTOS!$C:$C,"Meios de pagamento - Delivery",T_ORCAMENTOS!$H:$H,"5/2026")</f>
        <v>0</v>
      </c>
      <c r="V96" s="27">
        <f>SUMIFS(Aut_BlueMe_Sem_Pedido!$J:$J,Aut_BlueMe_Sem_Pedido!$Q:$Q,DRE!T$4,Aut_BlueMe_Sem_Pedido!$H:$H,DRE!$A96)+SUMIFS(Aut_Ajustes_Manuais!$G:$G,Aut_Ajustes_Manuais!$I:$I,DRE!T$4,Aut_Ajustes_Manuais!$F:$F,"Meios de pagamento - Delivery")</f>
        <v>0</v>
      </c>
      <c r="W96" s="237"/>
      <c r="X96" s="26">
        <f>-SUMIFS(T_ORCAMENTOS!$E:$E,T_ORCAMENTOS!$C:$C,"Meios de pagamento - Delivery",T_ORCAMENTOS!$H:$H,"6/2026")</f>
        <v>0</v>
      </c>
      <c r="Y96" s="27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37"/>
      <c r="AA96" s="26">
        <f>-SUMIFS(T_ORCAMENTOS!$E:$E,T_ORCAMENTOS!$C:$C,"Meios de pagamento - Delivery",T_ORCAMENTOS!$H:$H,"7/2026")</f>
        <v>0</v>
      </c>
      <c r="AB96" s="27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37"/>
      <c r="AD96" s="26">
        <f>-SUMIFS(T_ORCAMENTOS!$E:$E,T_ORCAMENTOS!$C:$C,"Meios de pagamento - Delivery",T_ORCAMENTOS!$H:$H,"8/2026")</f>
        <v>0</v>
      </c>
      <c r="AE96" s="27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37"/>
      <c r="AG96" s="26">
        <f>-SUMIFS(T_ORCAMENTOS!$E:$E,T_ORCAMENTOS!$C:$C,"Meios de pagamento - Delivery",T_ORCAMENTOS!$H:$H,"9/2026")</f>
        <v>0</v>
      </c>
      <c r="AH96" s="27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37"/>
      <c r="AJ96" s="26">
        <f>-SUMIFS(T_ORCAMENTOS!$E:$E,T_ORCAMENTOS!$C:$C,"Meios de pagamento - Delivery",T_ORCAMENTOS!$H:$H,"10/2026")</f>
        <v>0</v>
      </c>
      <c r="AK96" s="27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37"/>
      <c r="AM96" s="26">
        <f>-SUMIFS(T_ORCAMENTOS!$E:$E,T_ORCAMENTOS!$C:$C,"Meios de pagamento - Delivery",T_ORCAMENTOS!$H:$H,"11/2026")</f>
        <v>0</v>
      </c>
      <c r="AN96" s="27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37"/>
      <c r="AP96" s="26">
        <f>-SUMIFS(T_ORCAMENTOS!$E:$E,T_ORCAMENTOS!$C:$C,"Meios de pagamento - Delivery",T_ORCAMENTOS!$H:$H,"12/2026")</f>
        <v>0</v>
      </c>
      <c r="AQ96" s="27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37">
        <f ca="1">SUMIFS($H96:$AO96,$H$5:$AO$5,"&lt;"&amp;MONTH(TODAY()),$H$6:$AO$6,"REAL 25")</f>
        <v>0</v>
      </c>
      <c r="AS96" s="26">
        <f ca="1">SUMIFS($I96:$AP96,$I$5:$AP$5,"&lt;"&amp;MONTH(TODAY()),$I$6:$AP$6,"ORÇADO ")</f>
        <v>0</v>
      </c>
      <c r="AT96" s="27">
        <f ca="1">SUMIFS($J96:$AQ96,$J$5:$AQ$5,"&lt;"&amp;MONTH(TODAY()),$J$6:$AQ$6,"REAL 26")</f>
        <v>0</v>
      </c>
      <c r="AU96" s="237">
        <f t="shared" si="111"/>
        <v>0</v>
      </c>
      <c r="AV96" s="26">
        <f t="shared" si="111"/>
        <v>0</v>
      </c>
      <c r="AW96" s="27">
        <f t="shared" si="111"/>
        <v>0</v>
      </c>
      <c r="AX96" s="237">
        <f t="shared" si="112"/>
        <v>0</v>
      </c>
      <c r="AY96" s="26">
        <f t="shared" si="112"/>
        <v>0</v>
      </c>
      <c r="AZ96" s="27">
        <f t="shared" si="112"/>
        <v>0</v>
      </c>
      <c r="BA96" s="237">
        <f t="shared" si="113"/>
        <v>0</v>
      </c>
      <c r="BB96" s="26">
        <f t="shared" si="113"/>
        <v>0</v>
      </c>
      <c r="BC96" s="27">
        <f t="shared" si="113"/>
        <v>0</v>
      </c>
      <c r="BD96" s="237">
        <f t="shared" si="114"/>
        <v>0</v>
      </c>
      <c r="BE96" s="26">
        <f t="shared" si="114"/>
        <v>0</v>
      </c>
      <c r="BF96" s="27">
        <f t="shared" si="114"/>
        <v>0</v>
      </c>
      <c r="BG96" s="237">
        <f t="shared" si="115"/>
        <v>0</v>
      </c>
      <c r="BH96" s="26">
        <f t="shared" si="115"/>
        <v>0</v>
      </c>
      <c r="BI96" s="27">
        <f t="shared" si="115"/>
        <v>0</v>
      </c>
      <c r="BJ96" s="454"/>
    </row>
    <row r="97" spans="1:62" s="28" customFormat="1" hidden="1" outlineLevel="1" x14ac:dyDescent="0.3">
      <c r="A97" s="21" t="s">
        <v>120</v>
      </c>
      <c r="B97" s="22"/>
      <c r="C97" s="23" t="s">
        <v>121</v>
      </c>
      <c r="D97" s="24"/>
      <c r="E97" s="24"/>
      <c r="F97" s="54"/>
      <c r="G97" s="32"/>
      <c r="H97" s="237"/>
      <c r="I97" s="26">
        <f>-SUMIFS(T_ORCAMENTOS!$E:$E,T_ORCAMENTOS!$C:$C,"Inadimplência",T_ORCAMENTOS!$H:$H,"1/2026")</f>
        <v>0</v>
      </c>
      <c r="J97" s="27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37"/>
      <c r="L97" s="26">
        <f>-SUMIFS(T_ORCAMENTOS!$E:$E,T_ORCAMENTOS!$C:$C,"Inadimplência",T_ORCAMENTOS!$H:$H,"2/2026")</f>
        <v>0</v>
      </c>
      <c r="M97" s="27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37"/>
      <c r="O97" s="26">
        <f>-SUMIFS(T_ORCAMENTOS!$E:$E,T_ORCAMENTOS!$C:$C,"Inadimplência",T_ORCAMENTOS!$H:$H,"3/2026")</f>
        <v>0</v>
      </c>
      <c r="P97" s="27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37"/>
      <c r="R97" s="26">
        <f>-SUMIFS(T_ORCAMENTOS!$E:$E,T_ORCAMENTOS!$C:$C,"Inadimplência",T_ORCAMENTOS!$H:$H,"4/2026")</f>
        <v>0</v>
      </c>
      <c r="S97" s="27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37"/>
      <c r="U97" s="26">
        <f>-SUMIFS(T_ORCAMENTOS!$E:$E,T_ORCAMENTOS!$C:$C,"Inadimplência",T_ORCAMENTOS!$H:$H,"5/2026")</f>
        <v>0</v>
      </c>
      <c r="V97" s="27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37"/>
      <c r="X97" s="26">
        <f>-SUMIFS(T_ORCAMENTOS!$E:$E,T_ORCAMENTOS!$C:$C,"Inadimplência",T_ORCAMENTOS!$H:$H,"6/2026")</f>
        <v>0</v>
      </c>
      <c r="Y97" s="27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37"/>
      <c r="AA97" s="26">
        <f>-SUMIFS(T_ORCAMENTOS!$E:$E,T_ORCAMENTOS!$C:$C,"Inadimplência",T_ORCAMENTOS!$H:$H,"7/2026")</f>
        <v>0</v>
      </c>
      <c r="AB97" s="27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37"/>
      <c r="AD97" s="26">
        <f>-SUMIFS(T_ORCAMENTOS!$E:$E,T_ORCAMENTOS!$C:$C,"Inadimplência",T_ORCAMENTOS!$H:$H,"8/2026")</f>
        <v>0</v>
      </c>
      <c r="AE97" s="27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37"/>
      <c r="AG97" s="26">
        <f>-SUMIFS(T_ORCAMENTOS!$E:$E,T_ORCAMENTOS!$C:$C,"Inadimplência",T_ORCAMENTOS!$H:$H,"9/2026")</f>
        <v>0</v>
      </c>
      <c r="AH97" s="27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37"/>
      <c r="AJ97" s="26">
        <f>-SUMIFS(T_ORCAMENTOS!$E:$E,T_ORCAMENTOS!$C:$C,"Inadimplência",T_ORCAMENTOS!$H:$H,"10/2026")</f>
        <v>0</v>
      </c>
      <c r="AK97" s="27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37"/>
      <c r="AM97" s="26">
        <f>-SUMIFS(T_ORCAMENTOS!$E:$E,T_ORCAMENTOS!$C:$C,"Inadimplência",T_ORCAMENTOS!$H:$H,"11/2026")</f>
        <v>0</v>
      </c>
      <c r="AN97" s="27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37"/>
      <c r="AP97" s="26">
        <f>-SUMIFS(T_ORCAMENTOS!$E:$E,T_ORCAMENTOS!$C:$C,"Inadimplência",T_ORCAMENTOS!$H:$H,"12/2026")</f>
        <v>0</v>
      </c>
      <c r="AQ97" s="27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37">
        <f ca="1">SUMIFS($H97:$AO97,$H$5:$AO$5,"&lt;"&amp;MONTH(TODAY()),$H$6:$AO$6,"REAL 25")</f>
        <v>0</v>
      </c>
      <c r="AS97" s="26">
        <f ca="1">SUMIFS($I97:$AP97,$I$5:$AP$5,"&lt;"&amp;MONTH(TODAY()),$I$6:$AP$6,"ORÇADO ")</f>
        <v>0</v>
      </c>
      <c r="AT97" s="27">
        <f ca="1">SUMIFS($J97:$AQ97,$J$5:$AQ$5,"&lt;"&amp;MONTH(TODAY()),$J$6:$AQ$6,"REAL 26")</f>
        <v>0</v>
      </c>
      <c r="AU97" s="237">
        <f t="shared" si="111"/>
        <v>0</v>
      </c>
      <c r="AV97" s="26">
        <f t="shared" si="111"/>
        <v>0</v>
      </c>
      <c r="AW97" s="27">
        <f t="shared" si="111"/>
        <v>0</v>
      </c>
      <c r="AX97" s="237">
        <f t="shared" si="112"/>
        <v>0</v>
      </c>
      <c r="AY97" s="26">
        <f t="shared" si="112"/>
        <v>0</v>
      </c>
      <c r="AZ97" s="27">
        <f t="shared" si="112"/>
        <v>0</v>
      </c>
      <c r="BA97" s="237">
        <f t="shared" si="113"/>
        <v>0</v>
      </c>
      <c r="BB97" s="26">
        <f t="shared" si="113"/>
        <v>0</v>
      </c>
      <c r="BC97" s="27">
        <f t="shared" si="113"/>
        <v>0</v>
      </c>
      <c r="BD97" s="237">
        <f t="shared" si="114"/>
        <v>0</v>
      </c>
      <c r="BE97" s="26">
        <f t="shared" si="114"/>
        <v>0</v>
      </c>
      <c r="BF97" s="27">
        <f t="shared" si="114"/>
        <v>0</v>
      </c>
      <c r="BG97" s="237">
        <f t="shared" si="115"/>
        <v>0</v>
      </c>
      <c r="BH97" s="26">
        <f t="shared" si="115"/>
        <v>0</v>
      </c>
      <c r="BI97" s="27">
        <f t="shared" si="115"/>
        <v>0</v>
      </c>
      <c r="BJ97" s="454"/>
    </row>
    <row r="98" spans="1:62" s="28" customFormat="1" hidden="1" outlineLevel="1" x14ac:dyDescent="0.3">
      <c r="A98" s="21" t="s">
        <v>122</v>
      </c>
      <c r="B98" s="22"/>
      <c r="C98" s="23" t="s">
        <v>123</v>
      </c>
      <c r="D98" s="85" t="s">
        <v>124</v>
      </c>
      <c r="E98" s="87"/>
      <c r="F98" s="54"/>
      <c r="G98" s="32"/>
      <c r="H98" s="237"/>
      <c r="I98" s="26">
        <f>-SUMIFS(T_ORCAMENTOS!$E:$E,T_ORCAMENTOS!$C:$C,"Outros D",T_ORCAMENTOS!$H:$H,"1/2026")</f>
        <v>0</v>
      </c>
      <c r="J98" s="27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37"/>
      <c r="L98" s="26">
        <f>-SUMIFS(T_ORCAMENTOS!$E:$E,T_ORCAMENTOS!$C:$C,"Outros D",T_ORCAMENTOS!$H:$H,"2/2026")</f>
        <v>0</v>
      </c>
      <c r="M98" s="27">
        <f>SUMIFS(Aut_BlueMe_Sem_Pedido!$J:$J,Aut_BlueMe_Sem_Pedido!$Q:$Q,DRE!K$4,Aut_BlueMe_Sem_Pedido!$H:$H,DRE!$A98)+SUMIFS(Aut_Ajustes_Manuais!$G:$G,Aut_Ajustes_Manuais!$I:$I,DRE!K$4,Aut_Ajustes_Manuais!$F:$F,"Outros D")</f>
        <v>0</v>
      </c>
      <c r="N98" s="237"/>
      <c r="O98" s="26">
        <f>-SUMIFS(T_ORCAMENTOS!$E:$E,T_ORCAMENTOS!$C:$C,"Outros D",T_ORCAMENTOS!$H:$H,"3/2026")</f>
        <v>0</v>
      </c>
      <c r="P98" s="27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37"/>
      <c r="R98" s="26">
        <f>-SUMIFS(T_ORCAMENTOS!$E:$E,T_ORCAMENTOS!$C:$C,"Outros D",T_ORCAMENTOS!$H:$H,"4/2026")</f>
        <v>0</v>
      </c>
      <c r="S98" s="27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37"/>
      <c r="U98" s="26">
        <f>-SUMIFS(T_ORCAMENTOS!$E:$E,T_ORCAMENTOS!$C:$C,"Outros D",T_ORCAMENTOS!$H:$H,"5/2026")</f>
        <v>0</v>
      </c>
      <c r="V98" s="27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37"/>
      <c r="X98" s="26">
        <f>-SUMIFS(T_ORCAMENTOS!$E:$E,T_ORCAMENTOS!$C:$C,"Outros D",T_ORCAMENTOS!$H:$H,"6/2026")</f>
        <v>0</v>
      </c>
      <c r="Y98" s="27">
        <f>SUMIFS(Aut_BlueMe_Sem_Pedido!$J:$J,Aut_BlueMe_Sem_Pedido!$Q:$Q,DRE!W$4,Aut_BlueMe_Sem_Pedido!$H:$H,DRE!$A98)+SUMIFS(Aut_Ajustes_Manuais!$G:$G,Aut_Ajustes_Manuais!$I:$I,DRE!W$4,Aut_Ajustes_Manuais!$F:$F,"Outros D")</f>
        <v>0</v>
      </c>
      <c r="Z98" s="237"/>
      <c r="AA98" s="26">
        <f>-SUMIFS(T_ORCAMENTOS!$E:$E,T_ORCAMENTOS!$C:$C,"Outros D",T_ORCAMENTOS!$H:$H,"7/2026")</f>
        <v>0</v>
      </c>
      <c r="AB98" s="27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37"/>
      <c r="AD98" s="26">
        <f>-SUMIFS(T_ORCAMENTOS!$E:$E,T_ORCAMENTOS!$C:$C,"Outros D",T_ORCAMENTOS!$H:$H,"8/2026")</f>
        <v>0</v>
      </c>
      <c r="AE98" s="27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37"/>
      <c r="AG98" s="26">
        <f>-SUMIFS(T_ORCAMENTOS!$E:$E,T_ORCAMENTOS!$C:$C,"Outros D",T_ORCAMENTOS!$H:$H,"9/2026")</f>
        <v>0</v>
      </c>
      <c r="AH98" s="27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37"/>
      <c r="AJ98" s="26">
        <f>-SUMIFS(T_ORCAMENTOS!$E:$E,T_ORCAMENTOS!$C:$C,"Outros D",T_ORCAMENTOS!$H:$H,"10/2026")</f>
        <v>0</v>
      </c>
      <c r="AK98" s="27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37"/>
      <c r="AM98" s="26">
        <f>-SUMIFS(T_ORCAMENTOS!$E:$E,T_ORCAMENTOS!$C:$C,"Outros D",T_ORCAMENTOS!$H:$H,"11/2026")</f>
        <v>0</v>
      </c>
      <c r="AN98" s="27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37"/>
      <c r="AP98" s="26">
        <f>-SUMIFS(T_ORCAMENTOS!$E:$E,T_ORCAMENTOS!$C:$C,"Outros D",T_ORCAMENTOS!$H:$H,"12/2026")</f>
        <v>0</v>
      </c>
      <c r="AQ98" s="27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37">
        <f ca="1">SUMIFS($H98:$AO98,$H$5:$AO$5,"&lt;"&amp;MONTH(TODAY()),$H$6:$AO$6,"REAL 25")</f>
        <v>0</v>
      </c>
      <c r="AS98" s="26">
        <f ca="1">SUMIFS($I98:$AP98,$I$5:$AP$5,"&lt;"&amp;MONTH(TODAY()),$I$6:$AP$6,"ORÇADO ")</f>
        <v>0</v>
      </c>
      <c r="AT98" s="27">
        <f ca="1">SUMIFS($J98:$AQ98,$J$5:$AQ$5,"&lt;"&amp;MONTH(TODAY()),$J$6:$AQ$6,"REAL 26")</f>
        <v>0</v>
      </c>
      <c r="AU98" s="237">
        <f t="shared" si="111"/>
        <v>0</v>
      </c>
      <c r="AV98" s="26">
        <f t="shared" si="111"/>
        <v>0</v>
      </c>
      <c r="AW98" s="27">
        <f t="shared" si="111"/>
        <v>0</v>
      </c>
      <c r="AX98" s="237">
        <f t="shared" si="112"/>
        <v>0</v>
      </c>
      <c r="AY98" s="26">
        <f t="shared" si="112"/>
        <v>0</v>
      </c>
      <c r="AZ98" s="27">
        <f t="shared" si="112"/>
        <v>0</v>
      </c>
      <c r="BA98" s="237">
        <f t="shared" si="113"/>
        <v>0</v>
      </c>
      <c r="BB98" s="26">
        <f t="shared" si="113"/>
        <v>0</v>
      </c>
      <c r="BC98" s="27">
        <f t="shared" si="113"/>
        <v>0</v>
      </c>
      <c r="BD98" s="237">
        <f t="shared" si="114"/>
        <v>0</v>
      </c>
      <c r="BE98" s="26">
        <f t="shared" si="114"/>
        <v>0</v>
      </c>
      <c r="BF98" s="27">
        <f t="shared" si="114"/>
        <v>0</v>
      </c>
      <c r="BG98" s="237">
        <f t="shared" si="115"/>
        <v>0</v>
      </c>
      <c r="BH98" s="26">
        <f t="shared" si="115"/>
        <v>0</v>
      </c>
      <c r="BI98" s="27">
        <f t="shared" si="115"/>
        <v>0</v>
      </c>
      <c r="BJ98" s="454"/>
    </row>
    <row r="99" spans="1:62" collapsed="1" x14ac:dyDescent="0.3">
      <c r="A99" s="69" t="s">
        <v>44</v>
      </c>
      <c r="C99" s="23"/>
      <c r="D99" s="85"/>
      <c r="E99" s="24"/>
      <c r="F99" s="39"/>
      <c r="G99" s="45"/>
      <c r="H99" s="241"/>
      <c r="I99" s="48">
        <f>IFERROR(I94/I8,0)</f>
        <v>0</v>
      </c>
      <c r="J99" s="49">
        <f>IFERROR(J94/J8,0)+SUMIFS(Aut_Ajustes_Manuais!$G:$G,Aut_Ajustes_Manuais!$I:$I,DRE!H$4,Aut_Ajustes_Manuais!$F:$F,"% sobre Receita Bruta")</f>
        <v>0</v>
      </c>
      <c r="K99" s="241"/>
      <c r="L99" s="48">
        <f>IFERROR(L94/L8,0)</f>
        <v>0</v>
      </c>
      <c r="M99" s="49">
        <f>IFERROR(M94/M8,0)+SUMIFS(Aut_Ajustes_Manuais!$G:$G,Aut_Ajustes_Manuais!$I:$I,DRE!K$4,Aut_Ajustes_Manuais!$F:$F,"% sobre Receita Bruta")</f>
        <v>0</v>
      </c>
      <c r="N99" s="241"/>
      <c r="O99" s="48">
        <f>IFERROR(O94/O8,0)</f>
        <v>0</v>
      </c>
      <c r="P99" s="49">
        <f>IFERROR(P94/P8,0)+SUMIFS(Aut_Ajustes_Manuais!$G:$G,Aut_Ajustes_Manuais!$I:$I,DRE!N$4,Aut_Ajustes_Manuais!$F:$F,"% sobre Receita Bruta")</f>
        <v>0</v>
      </c>
      <c r="Q99" s="241"/>
      <c r="R99" s="48">
        <f>IFERROR(R94/R8,0)</f>
        <v>0</v>
      </c>
      <c r="S99" s="49">
        <f>IFERROR(S94/S8,0)+SUMIFS(Aut_Ajustes_Manuais!$G:$G,Aut_Ajustes_Manuais!$I:$I,DRE!Q$4,Aut_Ajustes_Manuais!$F:$F,"% sobre Receita Bruta")</f>
        <v>0</v>
      </c>
      <c r="T99" s="241"/>
      <c r="U99" s="48">
        <f>IFERROR(U94/U8,0)</f>
        <v>0</v>
      </c>
      <c r="V99" s="49">
        <f>IFERROR(V94/V8,0)+SUMIFS(Aut_Ajustes_Manuais!$G:$G,Aut_Ajustes_Manuais!$I:$I,DRE!T$4,Aut_Ajustes_Manuais!$F:$F,"% sobre Receita Bruta")</f>
        <v>0</v>
      </c>
      <c r="W99" s="241"/>
      <c r="X99" s="48">
        <f>IFERROR(X94/X8,0)</f>
        <v>0</v>
      </c>
      <c r="Y99" s="49">
        <f>IFERROR(Y94/Y8,0)+SUMIFS(Aut_Ajustes_Manuais!$G:$G,Aut_Ajustes_Manuais!$I:$I,DRE!W$4,Aut_Ajustes_Manuais!$F:$F,"% sobre Receita Bruta")</f>
        <v>0</v>
      </c>
      <c r="Z99" s="241"/>
      <c r="AA99" s="48">
        <f>IFERROR(AA94/AA8,0)</f>
        <v>0</v>
      </c>
      <c r="AB99" s="49">
        <f>IFERROR(AB94/AB8,0)+SUMIFS(Aut_Ajustes_Manuais!$G:$G,Aut_Ajustes_Manuais!$I:$I,DRE!Z$4,Aut_Ajustes_Manuais!$F:$F,"% sobre Receita Bruta")</f>
        <v>0</v>
      </c>
      <c r="AC99" s="241"/>
      <c r="AD99" s="48">
        <f>IFERROR(AD94/AD8,0)</f>
        <v>-1.7000000056372557E-2</v>
      </c>
      <c r="AE99" s="49">
        <f>IFERROR(AE94/AE8,0)+SUMIFS(Aut_Ajustes_Manuais!$G:$G,Aut_Ajustes_Manuais!$I:$I,DRE!AC$4,Aut_Ajustes_Manuais!$F:$F,"% sobre Receita Bruta")</f>
        <v>0</v>
      </c>
      <c r="AF99" s="241"/>
      <c r="AG99" s="48">
        <f>IFERROR(AG94/AG8,0)</f>
        <v>-1.6999999140137813E-2</v>
      </c>
      <c r="AH99" s="49">
        <f>IFERROR(AH94/AH8,0)+SUMIFS(Aut_Ajustes_Manuais!$G:$G,Aut_Ajustes_Manuais!$I:$I,DRE!AF$4,Aut_Ajustes_Manuais!$F:$F,"% sobre Receita Bruta")</f>
        <v>0</v>
      </c>
      <c r="AI99" s="241"/>
      <c r="AJ99" s="48">
        <f>IFERROR(AJ94/AJ8,0)</f>
        <v>-1.6999999499317714E-2</v>
      </c>
      <c r="AK99" s="49">
        <f>IFERROR(AK94/AK8,0)+SUMIFS(Aut_Ajustes_Manuais!$G:$G,Aut_Ajustes_Manuais!$I:$I,DRE!AI$4,Aut_Ajustes_Manuais!$F:$F,"% sobre Receita Bruta")</f>
        <v>0</v>
      </c>
      <c r="AL99" s="241"/>
      <c r="AM99" s="48">
        <f>IFERROR(AM94/AM8,0)</f>
        <v>-1.700000103798981E-2</v>
      </c>
      <c r="AN99" s="49">
        <f>IFERROR(AN94/AN8,0)+SUMIFS(Aut_Ajustes_Manuais!$G:$G,Aut_Ajustes_Manuais!$I:$I,DRE!AL$4,Aut_Ajustes_Manuais!$F:$F,"% sobre Receita Bruta")</f>
        <v>0</v>
      </c>
      <c r="AO99" s="241"/>
      <c r="AP99" s="48">
        <f>IFERROR(AP94/AP8,0)</f>
        <v>-1.6999999735891034E-2</v>
      </c>
      <c r="AQ99" s="49">
        <f>IFERROR(AQ94/AQ8,0)+SUMIFS(Aut_Ajustes_Manuais!$G:$G,Aut_Ajustes_Manuais!$I:$I,DRE!AO$4,Aut_Ajustes_Manuais!$F:$F,"% sobre Receita Bruta")</f>
        <v>0</v>
      </c>
      <c r="AR99" s="241">
        <f t="shared" ref="AR99:BI99" ca="1" si="116">IFERROR(AR94/AR8,0)</f>
        <v>0</v>
      </c>
      <c r="AS99" s="48">
        <f t="shared" ca="1" si="116"/>
        <v>-1.7000000056372557E-2</v>
      </c>
      <c r="AT99" s="49">
        <f t="shared" ca="1" si="116"/>
        <v>0</v>
      </c>
      <c r="AU99" s="241">
        <f t="shared" si="116"/>
        <v>0</v>
      </c>
      <c r="AV99" s="48">
        <f t="shared" si="116"/>
        <v>-1.6999999886953072E-2</v>
      </c>
      <c r="AW99" s="49">
        <f t="shared" si="116"/>
        <v>0</v>
      </c>
      <c r="AX99" s="241">
        <f t="shared" si="116"/>
        <v>0</v>
      </c>
      <c r="AY99" s="48">
        <f t="shared" si="116"/>
        <v>0</v>
      </c>
      <c r="AZ99" s="49">
        <f t="shared" si="116"/>
        <v>0</v>
      </c>
      <c r="BA99" s="241">
        <f t="shared" si="116"/>
        <v>0</v>
      </c>
      <c r="BB99" s="48">
        <f t="shared" si="116"/>
        <v>0</v>
      </c>
      <c r="BC99" s="49">
        <f t="shared" si="116"/>
        <v>0</v>
      </c>
      <c r="BD99" s="241">
        <f t="shared" si="116"/>
        <v>0</v>
      </c>
      <c r="BE99" s="48">
        <f t="shared" si="116"/>
        <v>-1.6999999605507757E-2</v>
      </c>
      <c r="BF99" s="49">
        <f t="shared" si="116"/>
        <v>0</v>
      </c>
      <c r="BG99" s="241">
        <f t="shared" si="116"/>
        <v>0</v>
      </c>
      <c r="BH99" s="48">
        <f t="shared" si="116"/>
        <v>-1.7000000065116677E-2</v>
      </c>
      <c r="BI99" s="49">
        <f t="shared" si="116"/>
        <v>0</v>
      </c>
    </row>
    <row r="100" spans="1:62" s="444" customFormat="1" x14ac:dyDescent="0.3">
      <c r="A100" s="436"/>
      <c r="B100" s="437"/>
      <c r="C100" s="438"/>
      <c r="D100" s="439"/>
      <c r="E100" s="440"/>
      <c r="F100" s="441"/>
      <c r="G100" s="437"/>
      <c r="H100" s="442"/>
      <c r="I100" s="441"/>
      <c r="J100" s="443" t="e">
        <f>J96/J18</f>
        <v>#DIV/0!</v>
      </c>
      <c r="K100" s="442"/>
      <c r="L100" s="441"/>
      <c r="M100" s="443" t="e">
        <f>M96/M18</f>
        <v>#DIV/0!</v>
      </c>
      <c r="N100" s="442"/>
      <c r="O100" s="441"/>
      <c r="P100" s="443" t="e">
        <f>P96/P18</f>
        <v>#DIV/0!</v>
      </c>
      <c r="Q100" s="442"/>
      <c r="R100" s="441"/>
      <c r="S100" s="443" t="e">
        <f>S96/S18</f>
        <v>#DIV/0!</v>
      </c>
      <c r="T100" s="442"/>
      <c r="U100" s="441"/>
      <c r="V100" s="443" t="e">
        <f>V96/V18</f>
        <v>#DIV/0!</v>
      </c>
      <c r="W100" s="442"/>
      <c r="X100" s="441"/>
      <c r="Y100" s="443" t="e">
        <f>Y96/Y18</f>
        <v>#DIV/0!</v>
      </c>
      <c r="Z100" s="442"/>
      <c r="AA100" s="441"/>
      <c r="AB100" s="443" t="e">
        <f>AB96/AB18</f>
        <v>#DIV/0!</v>
      </c>
      <c r="AC100" s="442"/>
      <c r="AD100" s="441"/>
      <c r="AE100" s="443" t="e">
        <f>AE96/AE18</f>
        <v>#DIV/0!</v>
      </c>
      <c r="AF100" s="442"/>
      <c r="AG100" s="441"/>
      <c r="AH100" s="443" t="e">
        <f>AH96/AH18</f>
        <v>#DIV/0!</v>
      </c>
      <c r="AI100" s="442"/>
      <c r="AJ100" s="441"/>
      <c r="AK100" s="443" t="e">
        <f>AK96/AK18</f>
        <v>#DIV/0!</v>
      </c>
      <c r="AL100" s="442"/>
      <c r="AM100" s="441"/>
      <c r="AN100" s="443" t="e">
        <f>AN96/AN18</f>
        <v>#DIV/0!</v>
      </c>
      <c r="AO100" s="442"/>
      <c r="AP100" s="441"/>
      <c r="AQ100" s="443" t="e">
        <f>AQ96/AQ18</f>
        <v>#DIV/0!</v>
      </c>
      <c r="AR100" s="243"/>
      <c r="AS100" s="460"/>
      <c r="AT100" s="443" t="e">
        <f ca="1">AT96/AT18</f>
        <v>#DIV/0!</v>
      </c>
      <c r="AU100" s="442"/>
      <c r="AV100" s="441"/>
      <c r="AW100" s="443"/>
      <c r="AX100" s="442"/>
      <c r="AY100" s="441"/>
      <c r="AZ100" s="443"/>
      <c r="BA100" s="442"/>
      <c r="BB100" s="441"/>
      <c r="BC100" s="443"/>
      <c r="BD100" s="442"/>
      <c r="BE100" s="441"/>
      <c r="BF100" s="443"/>
      <c r="BG100" s="442"/>
      <c r="BH100" s="441"/>
      <c r="BI100" s="443"/>
      <c r="BJ100" s="457"/>
    </row>
    <row r="101" spans="1:62" ht="16.95" customHeight="1" x14ac:dyDescent="0.3">
      <c r="A101" s="17"/>
      <c r="E101" s="15"/>
      <c r="F101" s="16"/>
      <c r="H101" s="243"/>
      <c r="I101" s="16"/>
      <c r="J101" s="55"/>
      <c r="K101" s="243"/>
      <c r="L101" s="16"/>
      <c r="M101" s="55"/>
      <c r="N101" s="243"/>
      <c r="O101" s="16"/>
      <c r="P101" s="55"/>
      <c r="Q101" s="243"/>
      <c r="R101" s="16"/>
      <c r="S101" s="55"/>
      <c r="T101" s="243"/>
      <c r="U101" s="16"/>
      <c r="V101" s="55"/>
      <c r="W101" s="243"/>
      <c r="X101" s="16"/>
      <c r="Y101" s="55"/>
      <c r="Z101" s="243"/>
      <c r="AA101" s="16"/>
      <c r="AB101" s="55"/>
      <c r="AC101" s="243"/>
      <c r="AD101" s="16"/>
      <c r="AE101" s="55"/>
      <c r="AF101" s="243"/>
      <c r="AG101" s="16"/>
      <c r="AH101" s="55"/>
      <c r="AI101" s="243"/>
      <c r="AJ101" s="16"/>
      <c r="AK101" s="55"/>
      <c r="AL101" s="243"/>
      <c r="AM101" s="16"/>
      <c r="AN101" s="55"/>
      <c r="AO101" s="243"/>
      <c r="AP101" s="16"/>
      <c r="AQ101" s="55"/>
      <c r="AR101" s="243"/>
      <c r="AS101" s="16"/>
      <c r="AT101" s="55"/>
      <c r="AU101" s="243"/>
      <c r="AV101" s="16"/>
      <c r="AW101" s="55"/>
      <c r="AX101" s="243"/>
      <c r="AY101" s="16"/>
      <c r="AZ101" s="55"/>
      <c r="BA101" s="243"/>
      <c r="BB101" s="16"/>
      <c r="BC101" s="55"/>
      <c r="BD101" s="243"/>
      <c r="BE101" s="16"/>
      <c r="BF101" s="55"/>
      <c r="BG101" s="243"/>
      <c r="BH101" s="16"/>
      <c r="BI101" s="55"/>
    </row>
    <row r="102" spans="1:62" x14ac:dyDescent="0.3">
      <c r="A102" s="56" t="s">
        <v>125</v>
      </c>
      <c r="B102" s="57"/>
      <c r="C102" s="58"/>
      <c r="D102" s="59"/>
      <c r="E102" s="60"/>
      <c r="F102" s="61"/>
      <c r="G102" s="57"/>
      <c r="H102" s="244"/>
      <c r="I102" s="62">
        <f>SUM(I94,I88,I56,I42,I34,I32)</f>
        <v>0</v>
      </c>
      <c r="J102" s="63">
        <f>SUM(J94,J88,J56,J42,J34,J32)+SUMIFS(Aut_Ajustes_Manuais!$G:$G,Aut_Ajustes_Manuais!$I:$I,DRE!H$4,Aut_Ajustes_Manuais!$F:$F,"MARGEM BRUTA DE CONTRIBUIÇÃO")</f>
        <v>-4000</v>
      </c>
      <c r="K102" s="244"/>
      <c r="L102" s="62">
        <f>SUM(L94,L88,L56,L42,L34,L32)</f>
        <v>0</v>
      </c>
      <c r="M102" s="63">
        <f>SUM(M94,M88,M56,M42,M34,M32)+SUMIFS(Aut_Ajustes_Manuais!$G:$G,Aut_Ajustes_Manuais!$I:$I,DRE!K$4,Aut_Ajustes_Manuais!$F:$F,"MARGEM BRUTA DE CONTRIBUIÇÃO")</f>
        <v>-4000</v>
      </c>
      <c r="N102" s="244"/>
      <c r="O102" s="62">
        <f>SUM(O94,O88,O56,O42,O34,O32)</f>
        <v>0</v>
      </c>
      <c r="P102" s="63">
        <f>SUM(P94,P88,P56,P42,P34,P32)+SUMIFS(Aut_Ajustes_Manuais!$G:$G,Aut_Ajustes_Manuais!$I:$I,DRE!N$4,Aut_Ajustes_Manuais!$F:$F,"MARGEM BRUTA DE CONTRIBUIÇÃO")</f>
        <v>-4000</v>
      </c>
      <c r="Q102" s="244"/>
      <c r="R102" s="62">
        <f>SUM(R94,R88,R56,R42,R34,R32)</f>
        <v>0</v>
      </c>
      <c r="S102" s="63">
        <f>SUM(S94,S88,S56,S42,S34,S32)+SUMIFS(Aut_Ajustes_Manuais!$G:$G,Aut_Ajustes_Manuais!$I:$I,DRE!Q$4,Aut_Ajustes_Manuais!$F:$F,"MARGEM BRUTA DE CONTRIBUIÇÃO")</f>
        <v>-2834.92</v>
      </c>
      <c r="T102" s="244"/>
      <c r="U102" s="62">
        <f>SUM(U94,U88,U56,U42,U34,U32)</f>
        <v>0</v>
      </c>
      <c r="V102" s="63">
        <f>SUM(V94,V88,V56,V42,V34,V32)+SUMIFS(Aut_Ajustes_Manuais!$G:$G,Aut_Ajustes_Manuais!$I:$I,DRE!T$4,Aut_Ajustes_Manuais!$F:$F,"MARGEM BRUTA DE CONTRIBUIÇÃO")</f>
        <v>-42576.960000000006</v>
      </c>
      <c r="W102" s="244"/>
      <c r="X102" s="62">
        <f>SUM(X94,X88,X56,X42,X34,X32)</f>
        <v>0</v>
      </c>
      <c r="Y102" s="63">
        <f>SUM(Y94,Y88,Y56,Y42,Y34,Y32)+SUMIFS(Aut_Ajustes_Manuais!$G:$G,Aut_Ajustes_Manuais!$I:$I,DRE!W$4,Aut_Ajustes_Manuais!$F:$F,"MARGEM BRUTA DE CONTRIBUIÇÃO")</f>
        <v>-181907.52000000002</v>
      </c>
      <c r="Z102" s="244"/>
      <c r="AA102" s="62">
        <f>SUM(AA94,AA88,AA56,AA42,AA34,AA32)</f>
        <v>0</v>
      </c>
      <c r="AB102" s="63">
        <f>SUM(AB94,AB88,AB56,AB42,AB34,AB32)+SUMIFS(Aut_Ajustes_Manuais!$G:$G,Aut_Ajustes_Manuais!$I:$I,DRE!Z$4,Aut_Ajustes_Manuais!$F:$F,"MARGEM BRUTA DE CONTRIBUIÇÃO")</f>
        <v>49273.091872000077</v>
      </c>
      <c r="AC102" s="244"/>
      <c r="AD102" s="62">
        <f>SUM(AD94,AD88,AD56,AD42,AD34,AD32)</f>
        <v>2219095.8099999987</v>
      </c>
      <c r="AE102" s="63">
        <f>SUM(AE94,AE88,AE56,AE42,AE34,AE32)+SUMIFS(Aut_Ajustes_Manuais!$G:$G,Aut_Ajustes_Manuais!$I:$I,DRE!AC$4,Aut_Ajustes_Manuais!$F:$F,"MARGEM BRUTA DE CONTRIBUIÇÃO")</f>
        <v>0</v>
      </c>
      <c r="AF102" s="244"/>
      <c r="AG102" s="62">
        <f>SUM(AG94,AG88,AG56,AG42,AG34,AG32)</f>
        <v>2193119.4000000004</v>
      </c>
      <c r="AH102" s="63">
        <f>SUM(AH94,AH88,AH56,AH42,AH34,AH32)+SUMIFS(Aut_Ajustes_Manuais!$G:$G,Aut_Ajustes_Manuais!$I:$I,DRE!AF$4,Aut_Ajustes_Manuais!$F:$F,"MARGEM BRUTA DE CONTRIBUIÇÃO")</f>
        <v>0</v>
      </c>
      <c r="AI102" s="244"/>
      <c r="AJ102" s="62">
        <f>SUM(AJ94,AJ88,AJ56,AJ42,AJ34,AJ32)</f>
        <v>2478185.4</v>
      </c>
      <c r="AK102" s="63">
        <f>SUM(AK94,AK88,AK56,AK42,AK34,AK32)+SUMIFS(Aut_Ajustes_Manuais!$G:$G,Aut_Ajustes_Manuais!$I:$I,DRE!AI$4,Aut_Ajustes_Manuais!$F:$F,"MARGEM BRUTA DE CONTRIBUIÇÃO")</f>
        <v>0</v>
      </c>
      <c r="AL102" s="244"/>
      <c r="AM102" s="62">
        <f>SUM(AM94,AM88,AM56,AM42,AM34,AM32)</f>
        <v>2224837.0800000005</v>
      </c>
      <c r="AN102" s="63">
        <f>SUM(AN94,AN88,AN56,AN42,AN34,AN32)+SUMIFS(Aut_Ajustes_Manuais!$G:$G,Aut_Ajustes_Manuais!$I:$I,DRE!AL$4,Aut_Ajustes_Manuais!$F:$F,"MARGEM BRUTA DE CONTRIBUIÇÃO")</f>
        <v>0</v>
      </c>
      <c r="AO102" s="244"/>
      <c r="AP102" s="62">
        <f>SUM(AP94,AP88,AP56,AP42,AP34,AP32)</f>
        <v>2501672</v>
      </c>
      <c r="AQ102" s="63">
        <f>SUM(AQ94,AQ88,AQ56,AQ42,AQ34,AQ32)+SUMIFS(Aut_Ajustes_Manuais!$G:$G,Aut_Ajustes_Manuais!$I:$I,DRE!AO$4,Aut_Ajustes_Manuais!$F:$F,"MARGEM BRUTA DE CONTRIBUIÇÃO")</f>
        <v>0</v>
      </c>
      <c r="AR102" s="244">
        <f t="shared" ref="AR102:BI102" ca="1" si="117">SUM(AR94,AR88,AR56,AR42,AR34,AR32)</f>
        <v>0</v>
      </c>
      <c r="AS102" s="62">
        <f t="shared" ca="1" si="117"/>
        <v>2219095.8099999987</v>
      </c>
      <c r="AT102" s="63">
        <f t="shared" ca="1" si="117"/>
        <v>-190046.30812799995</v>
      </c>
      <c r="AU102" s="244">
        <f t="shared" si="117"/>
        <v>0</v>
      </c>
      <c r="AV102" s="62">
        <f t="shared" si="117"/>
        <v>11616909.690000003</v>
      </c>
      <c r="AW102" s="63">
        <f t="shared" si="117"/>
        <v>-190046.30812799995</v>
      </c>
      <c r="AX102" s="244">
        <f t="shared" si="117"/>
        <v>0</v>
      </c>
      <c r="AY102" s="62">
        <f t="shared" si="117"/>
        <v>0</v>
      </c>
      <c r="AZ102" s="63">
        <f t="shared" si="117"/>
        <v>-12000</v>
      </c>
      <c r="BA102" s="244">
        <f t="shared" si="117"/>
        <v>0</v>
      </c>
      <c r="BB102" s="62">
        <f t="shared" si="117"/>
        <v>0</v>
      </c>
      <c r="BC102" s="63">
        <f t="shared" si="117"/>
        <v>-227319.40000000002</v>
      </c>
      <c r="BD102" s="244">
        <f t="shared" si="117"/>
        <v>0</v>
      </c>
      <c r="BE102" s="62">
        <f t="shared" si="117"/>
        <v>4412215.21</v>
      </c>
      <c r="BF102" s="63">
        <f t="shared" si="117"/>
        <v>49273.091872000077</v>
      </c>
      <c r="BG102" s="244">
        <f t="shared" si="117"/>
        <v>0</v>
      </c>
      <c r="BH102" s="62">
        <f t="shared" si="117"/>
        <v>7204694.4799999977</v>
      </c>
      <c r="BI102" s="63">
        <f t="shared" si="117"/>
        <v>0</v>
      </c>
    </row>
    <row r="103" spans="1:62" x14ac:dyDescent="0.3">
      <c r="A103" s="69" t="s">
        <v>126</v>
      </c>
      <c r="B103" s="57"/>
      <c r="C103" s="58"/>
      <c r="D103" s="59"/>
      <c r="E103" s="60"/>
      <c r="F103" s="61"/>
      <c r="G103" s="57"/>
      <c r="H103" s="241"/>
      <c r="I103" s="48">
        <f>IFERROR(I102/I8,0)</f>
        <v>0</v>
      </c>
      <c r="J103" s="49">
        <f>IFERROR(J102/J8,0)+SUMIFS(Aut_Ajustes_Manuais!$G:$G,Aut_Ajustes_Manuais!$I:$I,DRE!H$4,Aut_Ajustes_Manuais!$F:$F,"% sobre Receita")</f>
        <v>0</v>
      </c>
      <c r="K103" s="241"/>
      <c r="L103" s="48">
        <f>IFERROR(L102/L8,0)</f>
        <v>0</v>
      </c>
      <c r="M103" s="49">
        <f>IFERROR(M102/M8,0)+SUMIFS(Aut_Ajustes_Manuais!$G:$G,Aut_Ajustes_Manuais!$I:$I,DRE!K$4,Aut_Ajustes_Manuais!$F:$F,"% sobre Receita")</f>
        <v>0</v>
      </c>
      <c r="N103" s="241"/>
      <c r="O103" s="48">
        <f>IFERROR(O102/O8,0)</f>
        <v>0</v>
      </c>
      <c r="P103" s="49">
        <f>IFERROR(P102/P8,0)+SUMIFS(Aut_Ajustes_Manuais!$G:$G,Aut_Ajustes_Manuais!$I:$I,DRE!N$4,Aut_Ajustes_Manuais!$F:$F,"% sobre Receita")</f>
        <v>0</v>
      </c>
      <c r="Q103" s="241"/>
      <c r="R103" s="48">
        <f>IFERROR(R102/R8,0)</f>
        <v>0</v>
      </c>
      <c r="S103" s="49">
        <f>IFERROR(S102/S8,0)+SUMIFS(Aut_Ajustes_Manuais!$G:$G,Aut_Ajustes_Manuais!$I:$I,DRE!Q$4,Aut_Ajustes_Manuais!$F:$F,"% sobre Receita")</f>
        <v>0</v>
      </c>
      <c r="T103" s="241"/>
      <c r="U103" s="48">
        <f>IFERROR(U102/U8,0)</f>
        <v>0</v>
      </c>
      <c r="V103" s="49">
        <f>IFERROR(V102/V8,0)+SUMIFS(Aut_Ajustes_Manuais!$G:$G,Aut_Ajustes_Manuais!$I:$I,DRE!T$4,Aut_Ajustes_Manuais!$F:$F,"% sobre Receita")</f>
        <v>0</v>
      </c>
      <c r="W103" s="241"/>
      <c r="X103" s="48">
        <f>IFERROR(X102/X8,0)</f>
        <v>0</v>
      </c>
      <c r="Y103" s="49">
        <f>IFERROR(Y102/Y8,0)+SUMIFS(Aut_Ajustes_Manuais!$G:$G,Aut_Ajustes_Manuais!$I:$I,DRE!W$4,Aut_Ajustes_Manuais!$F:$F,"% sobre Receita")</f>
        <v>0</v>
      </c>
      <c r="Z103" s="241"/>
      <c r="AA103" s="48">
        <f>IFERROR(AA102/AA8,0)</f>
        <v>0</v>
      </c>
      <c r="AB103" s="49">
        <f>IFERROR(AB102/AB8,0)+SUMIFS(Aut_Ajustes_Manuais!$G:$G,Aut_Ajustes_Manuais!$I:$I,DRE!Z$4,Aut_Ajustes_Manuais!$F:$F,"% sobre Receita")</f>
        <v>0.14464160655478053</v>
      </c>
      <c r="AC103" s="241"/>
      <c r="AD103" s="48">
        <f>IFERROR(AD102/AD8,0)</f>
        <v>0.46331889297438406</v>
      </c>
      <c r="AE103" s="49">
        <f>IFERROR(AE102/AE8,0)+SUMIFS(Aut_Ajustes_Manuais!$G:$G,Aut_Ajustes_Manuais!$I:$I,DRE!AC$4,Aut_Ajustes_Manuais!$F:$F,"% sobre Receita")</f>
        <v>0</v>
      </c>
      <c r="AF103" s="241"/>
      <c r="AG103" s="48">
        <f>IFERROR(AG102/AG8,0)</f>
        <v>0.47262667837260219</v>
      </c>
      <c r="AH103" s="49">
        <f>IFERROR(AH102/AH8,0)+SUMIFS(Aut_Ajustes_Manuais!$G:$G,Aut_Ajustes_Manuais!$I:$I,DRE!AF$4,Aut_Ajustes_Manuais!$F:$F,"% sobre Receita")</f>
        <v>0</v>
      </c>
      <c r="AI103" s="241"/>
      <c r="AJ103" s="48">
        <f>IFERROR(AJ102/AJ8,0)</f>
        <v>0.48658177850457651</v>
      </c>
      <c r="AK103" s="49">
        <f>IFERROR(AK102/AK8,0)+SUMIFS(Aut_Ajustes_Manuais!$G:$G,Aut_Ajustes_Manuais!$I:$I,DRE!AI$4,Aut_Ajustes_Manuais!$F:$F,"% sobre Receita")</f>
        <v>0</v>
      </c>
      <c r="AL103" s="241"/>
      <c r="AM103" s="48">
        <f>IFERROR(AM102/AM8,0)</f>
        <v>0.47420086661748023</v>
      </c>
      <c r="AN103" s="49">
        <f>IFERROR(AN102/AN8,0)+SUMIFS(Aut_Ajustes_Manuais!$G:$G,Aut_Ajustes_Manuais!$I:$I,DRE!AL$4,Aut_Ajustes_Manuais!$F:$F,"% sobre Receita")</f>
        <v>0</v>
      </c>
      <c r="AO103" s="241"/>
      <c r="AP103" s="48">
        <f>IFERROR(AP102/AP8,0)</f>
        <v>0.48941778459509322</v>
      </c>
      <c r="AQ103" s="49">
        <f>IFERROR(AQ102/AQ8,0)+SUMIFS(Aut_Ajustes_Manuais!$G:$G,Aut_Ajustes_Manuais!$I:$I,DRE!AO$4,Aut_Ajustes_Manuais!$F:$F,"% sobre Receita")</f>
        <v>0</v>
      </c>
      <c r="AR103" s="241">
        <f t="shared" ref="AR103:BI103" ca="1" si="118">IFERROR(AR102/AR8,0)</f>
        <v>0</v>
      </c>
      <c r="AS103" s="48">
        <f t="shared" ca="1" si="118"/>
        <v>0.46331889297438406</v>
      </c>
      <c r="AT103" s="49">
        <f t="shared" ca="1" si="118"/>
        <v>-0.55788265528064884</v>
      </c>
      <c r="AU103" s="241">
        <f t="shared" si="118"/>
        <v>0</v>
      </c>
      <c r="AV103" s="48">
        <f t="shared" si="118"/>
        <v>0.47754761873172397</v>
      </c>
      <c r="AW103" s="49">
        <f t="shared" si="118"/>
        <v>-0.55788265528064884</v>
      </c>
      <c r="AX103" s="241">
        <f t="shared" si="118"/>
        <v>0</v>
      </c>
      <c r="AY103" s="48">
        <f t="shared" si="118"/>
        <v>0</v>
      </c>
      <c r="AZ103" s="49">
        <f t="shared" si="118"/>
        <v>0</v>
      </c>
      <c r="BA103" s="241">
        <f t="shared" si="118"/>
        <v>0</v>
      </c>
      <c r="BB103" s="48">
        <f t="shared" si="118"/>
        <v>0</v>
      </c>
      <c r="BC103" s="49">
        <f t="shared" si="118"/>
        <v>0</v>
      </c>
      <c r="BD103" s="241">
        <f t="shared" si="118"/>
        <v>0</v>
      </c>
      <c r="BE103" s="48">
        <f t="shared" si="118"/>
        <v>0.46789910872706392</v>
      </c>
      <c r="BF103" s="49">
        <f t="shared" si="118"/>
        <v>0.14464160655478053</v>
      </c>
      <c r="BG103" s="241">
        <f t="shared" si="118"/>
        <v>0</v>
      </c>
      <c r="BH103" s="48">
        <f t="shared" si="118"/>
        <v>0.48365542446061055</v>
      </c>
      <c r="BI103" s="49">
        <f t="shared" si="118"/>
        <v>0</v>
      </c>
    </row>
    <row r="104" spans="1:62" x14ac:dyDescent="0.3">
      <c r="A104" s="17"/>
      <c r="E104" s="15"/>
      <c r="F104" s="16"/>
      <c r="H104" s="243"/>
      <c r="I104" s="16"/>
      <c r="J104" s="55"/>
      <c r="K104" s="243"/>
      <c r="L104" s="16"/>
      <c r="M104" s="55"/>
      <c r="N104" s="243"/>
      <c r="O104" s="16"/>
      <c r="P104" s="55"/>
      <c r="Q104" s="243"/>
      <c r="R104" s="16"/>
      <c r="S104" s="55"/>
      <c r="T104" s="243"/>
      <c r="U104" s="16"/>
      <c r="V104" s="55"/>
      <c r="W104" s="243"/>
      <c r="X104" s="16"/>
      <c r="Y104" s="55"/>
      <c r="Z104" s="243"/>
      <c r="AA104" s="16"/>
      <c r="AB104" s="55"/>
      <c r="AC104" s="243"/>
      <c r="AD104" s="16"/>
      <c r="AE104" s="55"/>
      <c r="AF104" s="243"/>
      <c r="AG104" s="16"/>
      <c r="AH104" s="55"/>
      <c r="AI104" s="243"/>
      <c r="AJ104" s="16"/>
      <c r="AK104" s="55"/>
      <c r="AL104" s="243"/>
      <c r="AM104" s="16"/>
      <c r="AN104" s="55"/>
      <c r="AO104" s="243"/>
      <c r="AP104" s="16"/>
      <c r="AQ104" s="55"/>
      <c r="AR104" s="243"/>
      <c r="AS104" s="16"/>
      <c r="AT104" s="55"/>
      <c r="AU104" s="243"/>
      <c r="AV104" s="16"/>
      <c r="AW104" s="55"/>
      <c r="AX104" s="243"/>
      <c r="AY104" s="16"/>
      <c r="AZ104" s="55"/>
      <c r="BA104" s="243"/>
      <c r="BB104" s="16"/>
      <c r="BC104" s="55"/>
      <c r="BD104" s="243"/>
      <c r="BE104" s="16"/>
      <c r="BF104" s="55"/>
      <c r="BG104" s="243"/>
      <c r="BH104" s="16"/>
      <c r="BI104" s="55"/>
    </row>
    <row r="105" spans="1:62" s="13" customFormat="1" x14ac:dyDescent="0.3">
      <c r="A105" s="88"/>
      <c r="B105" s="5"/>
      <c r="C105" s="89"/>
      <c r="D105" s="5"/>
      <c r="E105" s="90"/>
      <c r="F105" s="90"/>
      <c r="G105" s="5"/>
      <c r="H105" s="253"/>
      <c r="I105" s="90"/>
      <c r="J105" s="91"/>
      <c r="K105" s="253"/>
      <c r="L105" s="90"/>
      <c r="M105" s="91"/>
      <c r="N105" s="253"/>
      <c r="O105" s="90"/>
      <c r="P105" s="91"/>
      <c r="Q105" s="253"/>
      <c r="R105" s="90"/>
      <c r="S105" s="91"/>
      <c r="T105" s="253"/>
      <c r="U105" s="90"/>
      <c r="V105" s="91"/>
      <c r="W105" s="253"/>
      <c r="X105" s="90"/>
      <c r="Y105" s="91"/>
      <c r="Z105" s="253"/>
      <c r="AA105" s="90"/>
      <c r="AB105" s="91"/>
      <c r="AC105" s="253"/>
      <c r="AD105" s="90"/>
      <c r="AE105" s="91"/>
      <c r="AF105" s="253"/>
      <c r="AG105" s="90"/>
      <c r="AH105" s="91"/>
      <c r="AI105" s="253"/>
      <c r="AJ105" s="90"/>
      <c r="AK105" s="91"/>
      <c r="AL105" s="253"/>
      <c r="AM105" s="90"/>
      <c r="AN105" s="91"/>
      <c r="AO105" s="253"/>
      <c r="AP105" s="90"/>
      <c r="AQ105" s="91"/>
      <c r="AR105" s="253"/>
      <c r="AS105" s="90"/>
      <c r="AT105" s="91"/>
      <c r="AU105" s="253"/>
      <c r="AV105" s="90"/>
      <c r="AW105" s="91"/>
      <c r="AX105" s="253"/>
      <c r="AY105" s="90"/>
      <c r="AZ105" s="91"/>
      <c r="BA105" s="253"/>
      <c r="BB105" s="90"/>
      <c r="BC105" s="91"/>
      <c r="BD105" s="253"/>
      <c r="BE105" s="90"/>
      <c r="BF105" s="91"/>
      <c r="BG105" s="253"/>
      <c r="BH105" s="90"/>
      <c r="BI105" s="91"/>
      <c r="BJ105" s="451"/>
    </row>
    <row r="106" spans="1:62" x14ac:dyDescent="0.3">
      <c r="A106" s="37" t="s">
        <v>127</v>
      </c>
      <c r="C106" s="38" t="s">
        <v>35</v>
      </c>
      <c r="D106" s="38" t="s">
        <v>36</v>
      </c>
      <c r="E106" s="38" t="s">
        <v>37</v>
      </c>
      <c r="F106" s="39"/>
      <c r="G106" s="86"/>
      <c r="H106" s="240"/>
      <c r="I106" s="40">
        <f>SUM(I107,I120,I179,I182,I199,I205)</f>
        <v>0</v>
      </c>
      <c r="J106" s="41">
        <f>SUM(J107,J120,J179,J182,J199,J205)</f>
        <v>-610.10473939393944</v>
      </c>
      <c r="K106" s="240"/>
      <c r="L106" s="40">
        <f>SUM(L107,L120,L179,L182,L199,L205)</f>
        <v>0</v>
      </c>
      <c r="M106" s="41">
        <f>SUM(M107,M120,M179,M182,M199,M205)</f>
        <v>-610.10473939393944</v>
      </c>
      <c r="N106" s="240"/>
      <c r="O106" s="40">
        <f>SUM(O107,O120,O179,O182,O199,O205)</f>
        <v>0</v>
      </c>
      <c r="P106" s="41">
        <f>SUM(P107,P120,P179,P182,P199,P205)</f>
        <v>-610.10473939393944</v>
      </c>
      <c r="Q106" s="240"/>
      <c r="R106" s="40">
        <f>SUM(R107,R120,R179,R182,R199,R205)</f>
        <v>0</v>
      </c>
      <c r="S106" s="41">
        <f>SUM(S107,S120,S179,S182,S199,S205)</f>
        <v>-4237.1399999999994</v>
      </c>
      <c r="T106" s="240"/>
      <c r="U106" s="40">
        <f>SUM(U107,U120,U179,U182,U199,U205)</f>
        <v>0</v>
      </c>
      <c r="V106" s="41">
        <f>SUM(V107,V120,V179,V182,V199,V205)</f>
        <v>-57410.075122963433</v>
      </c>
      <c r="W106" s="240"/>
      <c r="X106" s="40">
        <f>SUM(X107,X120,X179,X182,X199,X205)</f>
        <v>0</v>
      </c>
      <c r="Y106" s="41">
        <f>SUM(Y107,Y120,Y179,Y182,Y199,Y205)</f>
        <v>-141907.56282867552</v>
      </c>
      <c r="Z106" s="240"/>
      <c r="AA106" s="40">
        <f>SUM(AA107,AA120,AA179,AA182,AA199,AA205)</f>
        <v>0</v>
      </c>
      <c r="AB106" s="41">
        <f>SUM(AB107,AB120,AB179,AB182,AB199,AB205)</f>
        <v>-163351.78143589728</v>
      </c>
      <c r="AC106" s="240"/>
      <c r="AD106" s="40">
        <f>SUM(AD107,AD120,AD179,AD182,AD199,AD205)</f>
        <v>-331479.09999999998</v>
      </c>
      <c r="AE106" s="41">
        <f>SUM(AE107,AE120,AE179,AE182,AE199,AE205)</f>
        <v>-151084.06280007798</v>
      </c>
      <c r="AF106" s="240"/>
      <c r="AG106" s="40">
        <f>SUM(AG107,AG120,AG179,AG182,AG199,AG205)</f>
        <v>-323653.27</v>
      </c>
      <c r="AH106" s="41">
        <f>SUM(AH107,AH120,AH179,AH182,AH199,AH205)</f>
        <v>-175676.68015925365</v>
      </c>
      <c r="AI106" s="240"/>
      <c r="AJ106" s="40">
        <f>SUM(AJ107,AJ120,AJ179,AJ182,AJ199,AJ205)</f>
        <v>-338210.66</v>
      </c>
      <c r="AK106" s="41">
        <f>SUM(AK107,AK120,AK179,AK182,AK199,AK205)</f>
        <v>-175676.68015925365</v>
      </c>
      <c r="AL106" s="240"/>
      <c r="AM106" s="40">
        <f>SUM(AM107,AM120,AM179,AM182,AM199,AM205)</f>
        <v>-325272.92000000004</v>
      </c>
      <c r="AN106" s="41">
        <f>SUM(AN107,AN120,AN179,AN182,AN199,AN205)</f>
        <v>-175676.68015925365</v>
      </c>
      <c r="AO106" s="240"/>
      <c r="AP106" s="40">
        <f t="shared" ref="AP106:BI106" si="119">SUM(AP107,AP120,AP179,AP182,AP199,AP205)</f>
        <v>-339002.89</v>
      </c>
      <c r="AQ106" s="41">
        <f t="shared" si="119"/>
        <v>-175676.68015925365</v>
      </c>
      <c r="AR106" s="240">
        <f t="shared" ca="1" si="119"/>
        <v>0</v>
      </c>
      <c r="AS106" s="40">
        <f t="shared" ca="1" si="119"/>
        <v>-331479.09999999998</v>
      </c>
      <c r="AT106" s="41">
        <f t="shared" ca="1" si="119"/>
        <v>-519820.93640579603</v>
      </c>
      <c r="AU106" s="240">
        <f t="shared" si="119"/>
        <v>0</v>
      </c>
      <c r="AV106" s="40">
        <f t="shared" si="119"/>
        <v>-1657618.84</v>
      </c>
      <c r="AW106" s="41">
        <f t="shared" si="119"/>
        <v>-1222527.6570428107</v>
      </c>
      <c r="AX106" s="240">
        <f t="shared" si="119"/>
        <v>0</v>
      </c>
      <c r="AY106" s="40">
        <f t="shared" si="119"/>
        <v>0</v>
      </c>
      <c r="AZ106" s="41">
        <f t="shared" si="119"/>
        <v>-1830.3142181818182</v>
      </c>
      <c r="BA106" s="240">
        <f t="shared" si="119"/>
        <v>0</v>
      </c>
      <c r="BB106" s="40">
        <f t="shared" si="119"/>
        <v>0</v>
      </c>
      <c r="BC106" s="41">
        <f t="shared" si="119"/>
        <v>-203554.77795163897</v>
      </c>
      <c r="BD106" s="240">
        <f t="shared" si="119"/>
        <v>0</v>
      </c>
      <c r="BE106" s="40">
        <f t="shared" si="119"/>
        <v>-655132.37</v>
      </c>
      <c r="BF106" s="41">
        <f t="shared" si="119"/>
        <v>-490112.524395229</v>
      </c>
      <c r="BG106" s="240">
        <f t="shared" si="119"/>
        <v>0</v>
      </c>
      <c r="BH106" s="40">
        <f t="shared" si="119"/>
        <v>-1002486.47</v>
      </c>
      <c r="BI106" s="41">
        <f t="shared" si="119"/>
        <v>-527030.04047776083</v>
      </c>
    </row>
    <row r="107" spans="1:62" x14ac:dyDescent="0.3">
      <c r="A107" s="71" t="s">
        <v>128</v>
      </c>
      <c r="C107" s="23"/>
      <c r="D107" s="53"/>
      <c r="E107" s="85"/>
      <c r="F107" s="39"/>
      <c r="G107" s="45"/>
      <c r="H107" s="248"/>
      <c r="I107" s="72">
        <f>SUM(I108:I119)</f>
        <v>0</v>
      </c>
      <c r="J107" s="74">
        <f>SUM(J108:J119)</f>
        <v>0</v>
      </c>
      <c r="K107" s="248"/>
      <c r="L107" s="72">
        <f>SUM(L108:L119)</f>
        <v>0</v>
      </c>
      <c r="M107" s="74">
        <f>SUM(M108:M119)</f>
        <v>0</v>
      </c>
      <c r="N107" s="248"/>
      <c r="O107" s="72">
        <f>SUM(O108:O119)</f>
        <v>0</v>
      </c>
      <c r="P107" s="74">
        <f>SUM(P108:P119)</f>
        <v>0</v>
      </c>
      <c r="Q107" s="248"/>
      <c r="R107" s="72">
        <f>SUM(R108:R119)</f>
        <v>0</v>
      </c>
      <c r="S107" s="74">
        <f>SUM(S108:S119)</f>
        <v>-3866.66</v>
      </c>
      <c r="T107" s="248"/>
      <c r="U107" s="72">
        <f>SUM(U108:U119)</f>
        <v>0</v>
      </c>
      <c r="V107" s="74">
        <f>SUM(V108:V119)</f>
        <v>-4000</v>
      </c>
      <c r="W107" s="248"/>
      <c r="X107" s="72">
        <f>SUM(X108:X119)</f>
        <v>0</v>
      </c>
      <c r="Y107" s="74">
        <f>SUM(Y108:Y119)</f>
        <v>-11300</v>
      </c>
      <c r="Z107" s="248"/>
      <c r="AA107" s="72">
        <f>SUM(AA108:AA119)</f>
        <v>0</v>
      </c>
      <c r="AB107" s="74">
        <f>SUM(AB108:AB119)</f>
        <v>-25700</v>
      </c>
      <c r="AC107" s="248"/>
      <c r="AD107" s="72">
        <f>SUM(AD108:AD119)</f>
        <v>0</v>
      </c>
      <c r="AE107" s="74">
        <f>SUM(AE108:AE119)</f>
        <v>-25700</v>
      </c>
      <c r="AF107" s="248"/>
      <c r="AG107" s="72">
        <f>SUM(AG108:AG119)</f>
        <v>0</v>
      </c>
      <c r="AH107" s="74">
        <f>SUM(AH108:AH119)</f>
        <v>-25700</v>
      </c>
      <c r="AI107" s="248"/>
      <c r="AJ107" s="72">
        <f>SUM(AJ108:AJ119)</f>
        <v>0</v>
      </c>
      <c r="AK107" s="74">
        <f>SUM(AK108:AK119)</f>
        <v>-25700</v>
      </c>
      <c r="AL107" s="248"/>
      <c r="AM107" s="72">
        <f>SUM(AM108:AM119)</f>
        <v>0</v>
      </c>
      <c r="AN107" s="74">
        <f>SUM(AN108:AN119)</f>
        <v>-25700</v>
      </c>
      <c r="AO107" s="248"/>
      <c r="AP107" s="72">
        <f>SUM(AP108:AP119)</f>
        <v>0</v>
      </c>
      <c r="AQ107" s="74">
        <f>SUM(AQ108:AQ119)</f>
        <v>-25700</v>
      </c>
      <c r="AR107" s="248">
        <f t="shared" ref="AR107:AR138" ca="1" si="120">SUMIFS($H107:$AO107,$H$5:$AO$5,"&lt;"&amp;MONTH(TODAY()),$H$6:$AO$6,"REAL 25")</f>
        <v>0</v>
      </c>
      <c r="AS107" s="72">
        <f t="shared" ref="AS107:AS138" ca="1" si="121">SUMIFS($I107:$AP107,$I$5:$AP$5,"&lt;"&amp;MONTH(TODAY()),$I$6:$AP$6,"ORÇADO ")</f>
        <v>0</v>
      </c>
      <c r="AT107" s="74">
        <f t="shared" ref="AT107:AT138" ca="1" si="122">SUMIFS($J107:$AQ107,$J$5:$AQ$5,"&lt;"&amp;MONTH(TODAY()),$J$6:$AQ$6,"REAL 26")</f>
        <v>-70566.66</v>
      </c>
      <c r="AU107" s="248">
        <f t="shared" ref="AU107:BI107" si="123">SUM(AU108:AU119)</f>
        <v>0</v>
      </c>
      <c r="AV107" s="72">
        <f t="shared" si="123"/>
        <v>0</v>
      </c>
      <c r="AW107" s="74">
        <f t="shared" si="123"/>
        <v>-173366.66</v>
      </c>
      <c r="AX107" s="248">
        <f t="shared" si="123"/>
        <v>0</v>
      </c>
      <c r="AY107" s="72">
        <f t="shared" si="123"/>
        <v>0</v>
      </c>
      <c r="AZ107" s="74">
        <f t="shared" si="123"/>
        <v>0</v>
      </c>
      <c r="BA107" s="248">
        <f t="shared" si="123"/>
        <v>0</v>
      </c>
      <c r="BB107" s="72">
        <f t="shared" si="123"/>
        <v>0</v>
      </c>
      <c r="BC107" s="74">
        <f t="shared" si="123"/>
        <v>-19166.66</v>
      </c>
      <c r="BD107" s="248">
        <f t="shared" si="123"/>
        <v>0</v>
      </c>
      <c r="BE107" s="72">
        <f t="shared" si="123"/>
        <v>0</v>
      </c>
      <c r="BF107" s="74">
        <f t="shared" si="123"/>
        <v>-77100</v>
      </c>
      <c r="BG107" s="248">
        <f t="shared" si="123"/>
        <v>0</v>
      </c>
      <c r="BH107" s="72">
        <f t="shared" si="123"/>
        <v>0</v>
      </c>
      <c r="BI107" s="74">
        <f t="shared" si="123"/>
        <v>-77100</v>
      </c>
    </row>
    <row r="108" spans="1:62" hidden="1" outlineLevel="1" x14ac:dyDescent="0.3">
      <c r="A108" s="21" t="s">
        <v>129</v>
      </c>
      <c r="C108" s="23"/>
      <c r="D108" s="53"/>
      <c r="E108" s="85"/>
      <c r="F108" s="39"/>
      <c r="G108" s="45"/>
      <c r="H108" s="237"/>
      <c r="I108" s="26">
        <f>-SUMIFS(T_HEADCOUNT!$E:$E,T_HEADCOUNT!$C:$C,"*Squad*",T_HEADCOUNT!$D:$D,"1/2026",T_HEADCOUNT!$B:$B,"PJ")</f>
        <v>0</v>
      </c>
      <c r="J108" s="27">
        <f>SUMIFS(Aut_BlueMe_Sem_Pedido!$J:$J,Aut_BlueMe_Sem_Pedido!$Q:$Q,DRE!H$4,Aut_BlueMe_Sem_Pedido!$N:$N,DRE!$A108,Aut_BlueMe_Sem_Pedido!$H:$H,"MDO PJ Fixo")+SUMIFS(Aut_Ajustes_Manuais!$G:$G,Aut_Ajustes_Manuais!$I:$I,DRE!H$4,Aut_Ajustes_Manuais!$J:$J,"  - Squad")</f>
        <v>0</v>
      </c>
      <c r="K108" s="237"/>
      <c r="L108" s="26">
        <f>-SUMIFS(T_HEADCOUNT!$E:$E,T_HEADCOUNT!$C:$C,"*Squad*",T_HEADCOUNT!$D:$D,"2/2026",T_HEADCOUNT!$B:$B,"PJ")</f>
        <v>0</v>
      </c>
      <c r="M108" s="27">
        <f>SUMIFS(Aut_BlueMe_Sem_Pedido!$J:$J,Aut_BlueMe_Sem_Pedido!$Q:$Q,DRE!K$4,Aut_BlueMe_Sem_Pedido!$N:$N,DRE!$A108,Aut_BlueMe_Sem_Pedido!$H:$H,"MDO PJ Fixo")+SUMIFS(Aut_Ajustes_Manuais!$G:$G,Aut_Ajustes_Manuais!$I:$I,DRE!K$4,Aut_Ajustes_Manuais!$J:$J,"  - Squad")</f>
        <v>0</v>
      </c>
      <c r="N108" s="237"/>
      <c r="O108" s="26">
        <f>-SUMIFS(T_HEADCOUNT!$E:$E,T_HEADCOUNT!$C:$C,"*Squad*",T_HEADCOUNT!$D:$D,"3/2026",T_HEADCOUNT!$B:$B,"PJ")</f>
        <v>0</v>
      </c>
      <c r="P108" s="27">
        <f>SUMIFS(Aut_BlueMe_Sem_Pedido!$J:$J,Aut_BlueMe_Sem_Pedido!$Q:$Q,DRE!N$4,Aut_BlueMe_Sem_Pedido!$N:$N,DRE!$A108,Aut_BlueMe_Sem_Pedido!$H:$H,"MDO PJ Fixo")+SUMIFS(Aut_Ajustes_Manuais!$G:$G,Aut_Ajustes_Manuais!$I:$I,DRE!N$4,Aut_Ajustes_Manuais!$J:$J,"  - Squad")</f>
        <v>0</v>
      </c>
      <c r="Q108" s="237"/>
      <c r="R108" s="26">
        <f>-SUMIFS(T_HEADCOUNT!$E:$E,T_HEADCOUNT!$C:$C,"*Squad*",T_HEADCOUNT!$D:$D,"4/2026",T_HEADCOUNT!$B:$B,"PJ")</f>
        <v>0</v>
      </c>
      <c r="S108" s="27">
        <f>SUMIFS(Aut_BlueMe_Sem_Pedido!$J:$J,Aut_BlueMe_Sem_Pedido!$Q:$Q,DRE!Q$4,Aut_BlueMe_Sem_Pedido!$N:$N,DRE!$A108,Aut_BlueMe_Sem_Pedido!$H:$H,"MDO PJ Fixo")+SUMIFS(Aut_Ajustes_Manuais!$G:$G,Aut_Ajustes_Manuais!$I:$I,DRE!Q$4,Aut_Ajustes_Manuais!$J:$J,"  - Squad")</f>
        <v>0</v>
      </c>
      <c r="T108" s="237"/>
      <c r="U108" s="26">
        <f>-SUMIFS(T_HEADCOUNT!$E:$E,T_HEADCOUNT!$C:$C,"*Squad*",T_HEADCOUNT!$D:$D,"5/2026",T_HEADCOUNT!$B:$B,"PJ")</f>
        <v>0</v>
      </c>
      <c r="V108" s="27">
        <f>SUMIFS(Aut_BlueMe_Sem_Pedido!$J:$J,Aut_BlueMe_Sem_Pedido!$Q:$Q,DRE!T$4,Aut_BlueMe_Sem_Pedido!$N:$N,DRE!$A108,Aut_BlueMe_Sem_Pedido!$H:$H,"MDO PJ Fixo")+SUMIFS(Aut_Ajustes_Manuais!$G:$G,Aut_Ajustes_Manuais!$I:$I,DRE!T$4,Aut_Ajustes_Manuais!$J:$J,"  - Squad")</f>
        <v>0</v>
      </c>
      <c r="W108" s="237"/>
      <c r="X108" s="26">
        <f>-SUMIFS(T_HEADCOUNT!$E:$E,T_HEADCOUNT!$C:$C,"*Squad*",T_HEADCOUNT!$D:$D,"6/2026",T_HEADCOUNT!$B:$B,"PJ")</f>
        <v>0</v>
      </c>
      <c r="Y108" s="27">
        <f>SUMIFS(Aut_BlueMe_Sem_Pedido!$J:$J,Aut_BlueMe_Sem_Pedido!$Q:$Q,DRE!W$4,Aut_BlueMe_Sem_Pedido!$N:$N,DRE!$A108,Aut_BlueMe_Sem_Pedido!$H:$H,"MDO PJ Fixo")+SUMIFS(Aut_Ajustes_Manuais!$G:$G,Aut_Ajustes_Manuais!$I:$I,DRE!W$4,Aut_Ajustes_Manuais!$J:$J,"  - Squad")</f>
        <v>-8000</v>
      </c>
      <c r="Z108" s="237"/>
      <c r="AA108" s="26">
        <f>-SUMIFS(T_HEADCOUNT!$E:$E,T_HEADCOUNT!$C:$C,"*Squad*",T_HEADCOUNT!$D:$D,"7/2026",T_HEADCOUNT!$B:$B,"PJ")</f>
        <v>0</v>
      </c>
      <c r="AB108" s="27">
        <f>SUMIFS(Aut_BlueMe_Sem_Pedido!$J:$J,Aut_BlueMe_Sem_Pedido!$Q:$Q,DRE!Z$4,Aut_BlueMe_Sem_Pedido!$N:$N,DRE!$A108,Aut_BlueMe_Sem_Pedido!$H:$H,"MDO PJ Fixo")+SUMIFS(Aut_Ajustes_Manuais!$G:$G,Aut_Ajustes_Manuais!$I:$I,DRE!Z$4,Aut_Ajustes_Manuais!$J:$J,"  - Squad")</f>
        <v>-8000</v>
      </c>
      <c r="AC108" s="237"/>
      <c r="AD108" s="26">
        <f>-SUMIFS(T_HEADCOUNT!$E:$E,T_HEADCOUNT!$C:$C,"*Squad*",T_HEADCOUNT!$D:$D,"8/2026",T_HEADCOUNT!$B:$B,"PJ")</f>
        <v>0</v>
      </c>
      <c r="AE108" s="27">
        <f>SUMIFS(Aut_BlueMe_Sem_Pedido!$J:$J,Aut_BlueMe_Sem_Pedido!$Q:$Q,DRE!AC$4,Aut_BlueMe_Sem_Pedido!$N:$N,DRE!$A108,Aut_BlueMe_Sem_Pedido!$H:$H,"MDO PJ Fixo")+SUMIFS(Aut_Ajustes_Manuais!$G:$G,Aut_Ajustes_Manuais!$I:$I,DRE!AC$4,Aut_Ajustes_Manuais!$J:$J,"  - Squad")</f>
        <v>-8000</v>
      </c>
      <c r="AF108" s="237"/>
      <c r="AG108" s="26">
        <f>-SUMIFS(T_HEADCOUNT!$E:$E,T_HEADCOUNT!$C:$C,"*Squad*",T_HEADCOUNT!$D:$D,"9/2026",T_HEADCOUNT!$B:$B,"PJ")</f>
        <v>0</v>
      </c>
      <c r="AH108" s="27">
        <f>SUMIFS(Aut_BlueMe_Sem_Pedido!$J:$J,Aut_BlueMe_Sem_Pedido!$Q:$Q,DRE!AF$4,Aut_BlueMe_Sem_Pedido!$N:$N,DRE!$A108,Aut_BlueMe_Sem_Pedido!$H:$H,"MDO PJ Fixo")+SUMIFS(Aut_Ajustes_Manuais!$G:$G,Aut_Ajustes_Manuais!$I:$I,DRE!AF$4,Aut_Ajustes_Manuais!$J:$J,"  - Squad")</f>
        <v>-8000</v>
      </c>
      <c r="AI108" s="237"/>
      <c r="AJ108" s="26">
        <f>-SUMIFS(T_HEADCOUNT!$E:$E,T_HEADCOUNT!$C:$C,"*Squad*",T_HEADCOUNT!$D:$D,"10/2026",T_HEADCOUNT!$B:$B,"PJ")</f>
        <v>0</v>
      </c>
      <c r="AK108" s="27">
        <f>SUMIFS(Aut_BlueMe_Sem_Pedido!$J:$J,Aut_BlueMe_Sem_Pedido!$Q:$Q,DRE!AI$4,Aut_BlueMe_Sem_Pedido!$N:$N,DRE!$A108,Aut_BlueMe_Sem_Pedido!$H:$H,"MDO PJ Fixo")+SUMIFS(Aut_Ajustes_Manuais!$G:$G,Aut_Ajustes_Manuais!$I:$I,DRE!AI$4,Aut_Ajustes_Manuais!$J:$J,"  - Squad")</f>
        <v>-8000</v>
      </c>
      <c r="AL108" s="237"/>
      <c r="AM108" s="26">
        <f>-SUMIFS(T_HEADCOUNT!$E:$E,T_HEADCOUNT!$C:$C,"*Squad*",T_HEADCOUNT!$D:$D,"11/2026",T_HEADCOUNT!$B:$B,"PJ")</f>
        <v>0</v>
      </c>
      <c r="AN108" s="27">
        <f>SUMIFS(Aut_BlueMe_Sem_Pedido!$J:$J,Aut_BlueMe_Sem_Pedido!$Q:$Q,DRE!AL$4,Aut_BlueMe_Sem_Pedido!$N:$N,DRE!$A108,Aut_BlueMe_Sem_Pedido!$H:$H,"MDO PJ Fixo")+SUMIFS(Aut_Ajustes_Manuais!$G:$G,Aut_Ajustes_Manuais!$I:$I,DRE!AL$4,Aut_Ajustes_Manuais!$J:$J,"  - Squad")</f>
        <v>-8000</v>
      </c>
      <c r="AO108" s="237"/>
      <c r="AP108" s="26">
        <f>-SUMIFS(T_HEADCOUNT!$E:$E,T_HEADCOUNT!$C:$C,"*Squad*",T_HEADCOUNT!$D:$D,"12/2026",T_HEADCOUNT!$B:$B,"PJ")</f>
        <v>0</v>
      </c>
      <c r="AQ108" s="27">
        <f>SUMIFS(Aut_BlueMe_Sem_Pedido!$J:$J,Aut_BlueMe_Sem_Pedido!$Q:$Q,DRE!AO$4,Aut_BlueMe_Sem_Pedido!$N:$N,DRE!$A108,Aut_BlueMe_Sem_Pedido!$H:$H,"MDO PJ Fixo")+SUMIFS(Aut_Ajustes_Manuais!$G:$G,Aut_Ajustes_Manuais!$I:$I,DRE!AO$4,Aut_Ajustes_Manuais!$J:$J,"  - Squad")</f>
        <v>-8000</v>
      </c>
      <c r="AR108" s="237">
        <f t="shared" ca="1" si="120"/>
        <v>0</v>
      </c>
      <c r="AS108" s="26">
        <f t="shared" ca="1" si="121"/>
        <v>0</v>
      </c>
      <c r="AT108" s="27">
        <f t="shared" ca="1" si="122"/>
        <v>-24000</v>
      </c>
      <c r="AU108" s="237">
        <f t="shared" ref="AU108:AU120" si="124">SUM(H108,K108,N108,Q108,T108,W108,Z108,AC108,AF108,AI108,AL108,AO108)</f>
        <v>0</v>
      </c>
      <c r="AV108" s="26">
        <f t="shared" ref="AV108:AV120" si="125">SUM(I108,L108,O108,R108,U108,X108,AA108,AD108,AG108,AJ108,AM108,AP108)</f>
        <v>0</v>
      </c>
      <c r="AW108" s="27">
        <f t="shared" ref="AW108:AW120" si="126">SUM(J108,M108,P108,S108,V108,Y108,AB108,AE108,AH108,AK108,AN108,AQ108)</f>
        <v>-56000</v>
      </c>
      <c r="AX108" s="237">
        <f t="shared" ref="AX108:AX120" si="127">SUM(H108,K108,N108)</f>
        <v>0</v>
      </c>
      <c r="AY108" s="26">
        <f t="shared" ref="AY108:AY120" si="128">SUM(I108,L108,O108)</f>
        <v>0</v>
      </c>
      <c r="AZ108" s="27">
        <f t="shared" ref="AZ108:AZ120" si="129">SUM(J108,M108,P108)</f>
        <v>0</v>
      </c>
      <c r="BA108" s="237">
        <f t="shared" ref="BA108:BA120" si="130">SUM(Q108,T108,W108)</f>
        <v>0</v>
      </c>
      <c r="BB108" s="26">
        <f t="shared" ref="BB108:BB120" si="131">SUM(R108,U108,X108)</f>
        <v>0</v>
      </c>
      <c r="BC108" s="27">
        <f t="shared" ref="BC108:BC120" si="132">SUM(S108,V108,Y108)</f>
        <v>-8000</v>
      </c>
      <c r="BD108" s="237">
        <f t="shared" ref="BD108:BD120" si="133">SUM(Z108,AC108,AF108)</f>
        <v>0</v>
      </c>
      <c r="BE108" s="26">
        <f t="shared" ref="BE108:BE120" si="134">SUM(AA108,AD108,AG108)</f>
        <v>0</v>
      </c>
      <c r="BF108" s="27">
        <f t="shared" ref="BF108:BF120" si="135">SUM(AB108,AE108,AH108)</f>
        <v>-24000</v>
      </c>
      <c r="BG108" s="237">
        <f t="shared" ref="BG108:BG120" si="136">SUM(AI108,AL108,AO108)</f>
        <v>0</v>
      </c>
      <c r="BH108" s="26">
        <f t="shared" ref="BH108:BH120" si="137">SUM(AJ108,AM108,AP108)</f>
        <v>0</v>
      </c>
      <c r="BI108" s="27">
        <f t="shared" ref="BI108:BI120" si="138">SUM(AK108,AN108,AQ108)</f>
        <v>-24000</v>
      </c>
    </row>
    <row r="109" spans="1:62" s="92" customFormat="1" hidden="1" outlineLevel="1" x14ac:dyDescent="0.3">
      <c r="A109" s="21" t="s">
        <v>130</v>
      </c>
      <c r="B109" s="2"/>
      <c r="C109" s="23"/>
      <c r="D109" s="53"/>
      <c r="E109" s="85"/>
      <c r="F109" s="39"/>
      <c r="G109" s="32"/>
      <c r="H109" s="237"/>
      <c r="I109" s="26">
        <f>-SUMIFS(T_HEADCOUNT!$E:$E,T_HEADCOUNT!$C:$C,"- Gerente",T_HEADCOUNT!$D:$D,"1/2026",T_HEADCOUNT!$B:$B,"PJ")</f>
        <v>0</v>
      </c>
      <c r="J109" s="27">
        <f>SUMIFS(Aut_BlueMe_Sem_Pedido!$J:$J,Aut_BlueMe_Sem_Pedido!$Q:$Q,DRE!H$4,Aut_BlueMe_Sem_Pedido!$N:$N,DRE!$A109,Aut_BlueMe_Sem_Pedido!$H:$H,"MDO PJ Fixo")+SUMIFS(Aut_Ajustes_Manuais!$G:$G,Aut_Ajustes_Manuais!$I:$I,DRE!H$4,Aut_Ajustes_Manuais!$J:$J,"  - Gerente")</f>
        <v>0</v>
      </c>
      <c r="K109" s="237"/>
      <c r="L109" s="26">
        <f>-SUMIFS(T_HEADCOUNT!$E:$E,T_HEADCOUNT!$C:$C,"- Gerente",T_HEADCOUNT!$D:$D,"2/2026",T_HEADCOUNT!$B:$B,"PJ")</f>
        <v>0</v>
      </c>
      <c r="M109" s="27">
        <f>SUMIFS(Aut_BlueMe_Sem_Pedido!$J:$J,Aut_BlueMe_Sem_Pedido!$Q:$Q,DRE!K$4,Aut_BlueMe_Sem_Pedido!$N:$N,DRE!$A109,Aut_BlueMe_Sem_Pedido!$H:$H,"MDO PJ Fixo")+SUMIFS(Aut_Ajustes_Manuais!$G:$G,Aut_Ajustes_Manuais!$I:$I,DRE!K$4,Aut_Ajustes_Manuais!$J:$J,"  - Gerente")</f>
        <v>0</v>
      </c>
      <c r="N109" s="237"/>
      <c r="O109" s="26">
        <f>-SUMIFS(T_HEADCOUNT!$E:$E,T_HEADCOUNT!$C:$C,"- Gerente",T_HEADCOUNT!$D:$D,"3/2026",T_HEADCOUNT!$B:$B,"PJ")</f>
        <v>0</v>
      </c>
      <c r="P109" s="27">
        <f>SUMIFS(Aut_BlueMe_Sem_Pedido!$J:$J,Aut_BlueMe_Sem_Pedido!$Q:$Q,DRE!N$4,Aut_BlueMe_Sem_Pedido!$N:$N,DRE!$A109,Aut_BlueMe_Sem_Pedido!$H:$H,"MDO PJ Fixo")+SUMIFS(Aut_Ajustes_Manuais!$G:$G,Aut_Ajustes_Manuais!$I:$I,DRE!N$4,Aut_Ajustes_Manuais!$J:$J,"  - Gerente")</f>
        <v>0</v>
      </c>
      <c r="Q109" s="237"/>
      <c r="R109" s="26">
        <f>-SUMIFS(T_HEADCOUNT!$E:$E,T_HEADCOUNT!$C:$C,"- Gerente",T_HEADCOUNT!$D:$D,"4/2026",T_HEADCOUNT!$B:$B,"PJ")</f>
        <v>0</v>
      </c>
      <c r="S109" s="27">
        <f>SUMIFS(Aut_BlueMe_Sem_Pedido!$J:$J,Aut_BlueMe_Sem_Pedido!$Q:$Q,DRE!Q$4,Aut_BlueMe_Sem_Pedido!$N:$N,DRE!$A109,Aut_BlueMe_Sem_Pedido!$H:$H,"MDO PJ Fixo")+SUMIFS(Aut_Ajustes_Manuais!$G:$G,Aut_Ajustes_Manuais!$I:$I,DRE!Q$4,Aut_Ajustes_Manuais!$J:$J,"  - Gerente")</f>
        <v>0</v>
      </c>
      <c r="T109" s="237"/>
      <c r="U109" s="26">
        <f>-SUMIFS(T_HEADCOUNT!$E:$E,T_HEADCOUNT!$C:$C,"- Gerente",T_HEADCOUNT!$D:$D,"5/2026",T_HEADCOUNT!$B:$B,"PJ")</f>
        <v>0</v>
      </c>
      <c r="V109" s="27">
        <f>SUMIFS(Aut_BlueMe_Sem_Pedido!$J:$J,Aut_BlueMe_Sem_Pedido!$Q:$Q,DRE!T$4,Aut_BlueMe_Sem_Pedido!$N:$N,DRE!$A109,Aut_BlueMe_Sem_Pedido!$H:$H,"MDO PJ Fixo")+SUMIFS(Aut_Ajustes_Manuais!$G:$G,Aut_Ajustes_Manuais!$I:$I,DRE!T$4,Aut_Ajustes_Manuais!$J:$J,"  - Gerente")</f>
        <v>0</v>
      </c>
      <c r="W109" s="237"/>
      <c r="X109" s="26">
        <f>-SUMIFS(T_HEADCOUNT!$E:$E,T_HEADCOUNT!$C:$C,"- Gerente",T_HEADCOUNT!$D:$D,"6/2026",T_HEADCOUNT!$B:$B,"PJ")</f>
        <v>0</v>
      </c>
      <c r="Y109" s="27">
        <f>SUMIFS(Aut_BlueMe_Sem_Pedido!$J:$J,Aut_BlueMe_Sem_Pedido!$Q:$Q,DRE!W$4,Aut_BlueMe_Sem_Pedido!$N:$N,DRE!$A109,Aut_BlueMe_Sem_Pedido!$H:$H,"MDO PJ Fixo")+SUMIFS(Aut_Ajustes_Manuais!$G:$G,Aut_Ajustes_Manuais!$I:$I,DRE!W$4,Aut_Ajustes_Manuais!$J:$J,"  - Gerente")</f>
        <v>-3300</v>
      </c>
      <c r="Z109" s="237"/>
      <c r="AA109" s="26">
        <f>-SUMIFS(T_HEADCOUNT!$E:$E,T_HEADCOUNT!$C:$C,"- Gerente",T_HEADCOUNT!$D:$D,"7/2026",T_HEADCOUNT!$B:$B,"PJ")</f>
        <v>0</v>
      </c>
      <c r="AB109" s="27">
        <f>SUMIFS(Aut_BlueMe_Sem_Pedido!$J:$J,Aut_BlueMe_Sem_Pedido!$Q:$Q,DRE!Z$4,Aut_BlueMe_Sem_Pedido!$N:$N,DRE!$A109,Aut_BlueMe_Sem_Pedido!$H:$H,"MDO PJ Fixo")+SUMIFS(Aut_Ajustes_Manuais!$G:$G,Aut_Ajustes_Manuais!$I:$I,DRE!Z$4,Aut_Ajustes_Manuais!$J:$J,"  - Gerente")</f>
        <v>-6600</v>
      </c>
      <c r="AC109" s="237"/>
      <c r="AD109" s="26">
        <f>-SUMIFS(T_HEADCOUNT!$E:$E,T_HEADCOUNT!$C:$C,"- Gerente",T_HEADCOUNT!$D:$D,"8/2026",T_HEADCOUNT!$B:$B,"PJ")</f>
        <v>0</v>
      </c>
      <c r="AE109" s="27">
        <f>SUMIFS(Aut_BlueMe_Sem_Pedido!$J:$J,Aut_BlueMe_Sem_Pedido!$Q:$Q,DRE!AC$4,Aut_BlueMe_Sem_Pedido!$N:$N,DRE!$A109,Aut_BlueMe_Sem_Pedido!$H:$H,"MDO PJ Fixo")+SUMIFS(Aut_Ajustes_Manuais!$G:$G,Aut_Ajustes_Manuais!$I:$I,DRE!AC$4,Aut_Ajustes_Manuais!$J:$J,"  - Gerente")</f>
        <v>-6600</v>
      </c>
      <c r="AF109" s="237"/>
      <c r="AG109" s="26">
        <f>-SUMIFS(T_HEADCOUNT!$E:$E,T_HEADCOUNT!$C:$C,"- Gerente",T_HEADCOUNT!$D:$D,"9/2026",T_HEADCOUNT!$B:$B,"PJ")</f>
        <v>0</v>
      </c>
      <c r="AH109" s="27">
        <f>SUMIFS(Aut_BlueMe_Sem_Pedido!$J:$J,Aut_BlueMe_Sem_Pedido!$Q:$Q,DRE!AF$4,Aut_BlueMe_Sem_Pedido!$N:$N,DRE!$A109,Aut_BlueMe_Sem_Pedido!$H:$H,"MDO PJ Fixo")+SUMIFS(Aut_Ajustes_Manuais!$G:$G,Aut_Ajustes_Manuais!$I:$I,DRE!AF$4,Aut_Ajustes_Manuais!$J:$J,"  - Gerente")</f>
        <v>-6600</v>
      </c>
      <c r="AI109" s="237"/>
      <c r="AJ109" s="26">
        <f>-SUMIFS(T_HEADCOUNT!$E:$E,T_HEADCOUNT!$C:$C,"- Gerente",T_HEADCOUNT!$D:$D,"10/2026",T_HEADCOUNT!$B:$B,"PJ")</f>
        <v>0</v>
      </c>
      <c r="AK109" s="27">
        <f>SUMIFS(Aut_BlueMe_Sem_Pedido!$J:$J,Aut_BlueMe_Sem_Pedido!$Q:$Q,DRE!AI$4,Aut_BlueMe_Sem_Pedido!$N:$N,DRE!$A109,Aut_BlueMe_Sem_Pedido!$H:$H,"MDO PJ Fixo")+SUMIFS(Aut_Ajustes_Manuais!$G:$G,Aut_Ajustes_Manuais!$I:$I,DRE!AI$4,Aut_Ajustes_Manuais!$J:$J,"  - Gerente")</f>
        <v>-6600</v>
      </c>
      <c r="AL109" s="237"/>
      <c r="AM109" s="26">
        <f>-SUMIFS(T_HEADCOUNT!$E:$E,T_HEADCOUNT!$C:$C,"- Gerente",T_HEADCOUNT!$D:$D,"11/2026",T_HEADCOUNT!$B:$B,"PJ")</f>
        <v>0</v>
      </c>
      <c r="AN109" s="27">
        <f>SUMIFS(Aut_BlueMe_Sem_Pedido!$J:$J,Aut_BlueMe_Sem_Pedido!$Q:$Q,DRE!AL$4,Aut_BlueMe_Sem_Pedido!$N:$N,DRE!$A109,Aut_BlueMe_Sem_Pedido!$H:$H,"MDO PJ Fixo")+SUMIFS(Aut_Ajustes_Manuais!$G:$G,Aut_Ajustes_Manuais!$I:$I,DRE!AL$4,Aut_Ajustes_Manuais!$J:$J,"  - Gerente")</f>
        <v>-6600</v>
      </c>
      <c r="AO109" s="237"/>
      <c r="AP109" s="26">
        <f>-SUMIFS(T_HEADCOUNT!$E:$E,T_HEADCOUNT!$C:$C,"- Gerente",T_HEADCOUNT!$D:$D,"12/2026",T_HEADCOUNT!$B:$B,"PJ")</f>
        <v>0</v>
      </c>
      <c r="AQ109" s="27">
        <f>SUMIFS(Aut_BlueMe_Sem_Pedido!$J:$J,Aut_BlueMe_Sem_Pedido!$Q:$Q,DRE!AO$4,Aut_BlueMe_Sem_Pedido!$N:$N,DRE!$A109,Aut_BlueMe_Sem_Pedido!$H:$H,"MDO PJ Fixo")+SUMIFS(Aut_Ajustes_Manuais!$G:$G,Aut_Ajustes_Manuais!$I:$I,DRE!AO$4,Aut_Ajustes_Manuais!$J:$J,"  - Gerente")</f>
        <v>-6600</v>
      </c>
      <c r="AR109" s="237">
        <f t="shared" ca="1" si="120"/>
        <v>0</v>
      </c>
      <c r="AS109" s="26">
        <f t="shared" ca="1" si="121"/>
        <v>0</v>
      </c>
      <c r="AT109" s="27">
        <f t="shared" ca="1" si="122"/>
        <v>-16500</v>
      </c>
      <c r="AU109" s="237">
        <f t="shared" si="124"/>
        <v>0</v>
      </c>
      <c r="AV109" s="26">
        <f t="shared" si="125"/>
        <v>0</v>
      </c>
      <c r="AW109" s="27">
        <f t="shared" si="126"/>
        <v>-42900</v>
      </c>
      <c r="AX109" s="237">
        <f t="shared" si="127"/>
        <v>0</v>
      </c>
      <c r="AY109" s="26">
        <f t="shared" si="128"/>
        <v>0</v>
      </c>
      <c r="AZ109" s="27">
        <f t="shared" si="129"/>
        <v>0</v>
      </c>
      <c r="BA109" s="237">
        <f t="shared" si="130"/>
        <v>0</v>
      </c>
      <c r="BB109" s="26">
        <f t="shared" si="131"/>
        <v>0</v>
      </c>
      <c r="BC109" s="27">
        <f t="shared" si="132"/>
        <v>-3300</v>
      </c>
      <c r="BD109" s="237">
        <f t="shared" si="133"/>
        <v>0</v>
      </c>
      <c r="BE109" s="26">
        <f t="shared" si="134"/>
        <v>0</v>
      </c>
      <c r="BF109" s="27">
        <f t="shared" si="135"/>
        <v>-19800</v>
      </c>
      <c r="BG109" s="237">
        <f t="shared" si="136"/>
        <v>0</v>
      </c>
      <c r="BH109" s="26">
        <f t="shared" si="137"/>
        <v>0</v>
      </c>
      <c r="BI109" s="27">
        <f t="shared" si="138"/>
        <v>-19800</v>
      </c>
      <c r="BJ109" s="454"/>
    </row>
    <row r="110" spans="1:62" s="92" customFormat="1" hidden="1" outlineLevel="1" x14ac:dyDescent="0.3">
      <c r="A110" s="21" t="s">
        <v>131</v>
      </c>
      <c r="B110" s="2"/>
      <c r="C110" s="23"/>
      <c r="D110" s="53"/>
      <c r="E110" s="85"/>
      <c r="F110" s="39"/>
      <c r="G110" s="32"/>
      <c r="H110" s="237"/>
      <c r="I110" s="26">
        <f>-SUMIFS(T_HEADCOUNT!$E:$E,T_HEADCOUNT!$C:$C,"- Subgerente",T_HEADCOUNT!$D:$D,"1/2026",T_HEADCOUNT!$B:$B,"PJ")</f>
        <v>0</v>
      </c>
      <c r="J110" s="27">
        <f>SUMIFS(Aut_BlueMe_Sem_Pedido!$J:$J,Aut_BlueMe_Sem_Pedido!$Q:$Q,DRE!H$4,Aut_BlueMe_Sem_Pedido!$N:$N,DRE!$A110,Aut_BlueMe_Sem_Pedido!$H:$H,"MDO PJ Fixo")+SUMIFS(Aut_Ajustes_Manuais!$G:$G,Aut_Ajustes_Manuais!$I:$I,DRE!H$4,Aut_Ajustes_Manuais!$J:$J,"  - Subgerente")</f>
        <v>0</v>
      </c>
      <c r="K110" s="237"/>
      <c r="L110" s="26">
        <f>-SUMIFS(T_HEADCOUNT!$E:$E,T_HEADCOUNT!$C:$C,"- Subgerente",T_HEADCOUNT!$D:$D,"2/2026",T_HEADCOUNT!$B:$B,"PJ")</f>
        <v>0</v>
      </c>
      <c r="M110" s="27">
        <f>SUMIFS(Aut_BlueMe_Sem_Pedido!$J:$J,Aut_BlueMe_Sem_Pedido!$Q:$Q,DRE!K$4,Aut_BlueMe_Sem_Pedido!$N:$N,DRE!$A110,Aut_BlueMe_Sem_Pedido!$H:$H,"MDO PJ Fixo")+SUMIFS(Aut_Ajustes_Manuais!$G:$G,Aut_Ajustes_Manuais!$I:$I,DRE!K$4,Aut_Ajustes_Manuais!$J:$J,"  - Subgerente")</f>
        <v>0</v>
      </c>
      <c r="N110" s="237"/>
      <c r="O110" s="26">
        <f>-SUMIFS(T_HEADCOUNT!$E:$E,T_HEADCOUNT!$C:$C,"- Subgerente",T_HEADCOUNT!$D:$D,"3/2026",T_HEADCOUNT!$B:$B,"PJ")</f>
        <v>0</v>
      </c>
      <c r="P110" s="27">
        <f>SUMIFS(Aut_BlueMe_Sem_Pedido!$J:$J,Aut_BlueMe_Sem_Pedido!$Q:$Q,DRE!N$4,Aut_BlueMe_Sem_Pedido!$N:$N,DRE!$A110,Aut_BlueMe_Sem_Pedido!$H:$H,"MDO PJ Fixo")+SUMIFS(Aut_Ajustes_Manuais!$G:$G,Aut_Ajustes_Manuais!$I:$I,DRE!N$4,Aut_Ajustes_Manuais!$J:$J,"  - Subgerente")</f>
        <v>0</v>
      </c>
      <c r="Q110" s="237"/>
      <c r="R110" s="26">
        <f>-SUMIFS(T_HEADCOUNT!$E:$E,T_HEADCOUNT!$C:$C,"- Subgerente",T_HEADCOUNT!$D:$D,"4/2026",T_HEADCOUNT!$B:$B,"PJ")</f>
        <v>0</v>
      </c>
      <c r="S110" s="27">
        <f>SUMIFS(Aut_BlueMe_Sem_Pedido!$J:$J,Aut_BlueMe_Sem_Pedido!$Q:$Q,DRE!Q$4,Aut_BlueMe_Sem_Pedido!$N:$N,DRE!$A110,Aut_BlueMe_Sem_Pedido!$H:$H,"MDO PJ Fixo")+SUMIFS(Aut_Ajustes_Manuais!$G:$G,Aut_Ajustes_Manuais!$I:$I,DRE!Q$4,Aut_Ajustes_Manuais!$J:$J,"  - Subgerente")</f>
        <v>0</v>
      </c>
      <c r="T110" s="237"/>
      <c r="U110" s="26">
        <f>-SUMIFS(T_HEADCOUNT!$E:$E,T_HEADCOUNT!$C:$C,"- Subgerente",T_HEADCOUNT!$D:$D,"5/2026",T_HEADCOUNT!$B:$B,"PJ")</f>
        <v>0</v>
      </c>
      <c r="V110" s="27">
        <f>SUMIFS(Aut_BlueMe_Sem_Pedido!$J:$J,Aut_BlueMe_Sem_Pedido!$Q:$Q,DRE!T$4,Aut_BlueMe_Sem_Pedido!$N:$N,DRE!$A110,Aut_BlueMe_Sem_Pedido!$H:$H,"MDO PJ Fixo")+SUMIFS(Aut_Ajustes_Manuais!$G:$G,Aut_Ajustes_Manuais!$I:$I,DRE!T$4,Aut_Ajustes_Manuais!$J:$J,"  - Subgerente")</f>
        <v>0</v>
      </c>
      <c r="W110" s="237"/>
      <c r="X110" s="26">
        <f>-SUMIFS(T_HEADCOUNT!$E:$E,T_HEADCOUNT!$C:$C,"- Subgerente",T_HEADCOUNT!$D:$D,"6/2026",T_HEADCOUNT!$B:$B,"PJ")</f>
        <v>0</v>
      </c>
      <c r="Y110" s="27">
        <f>SUMIFS(Aut_BlueMe_Sem_Pedido!$J:$J,Aut_BlueMe_Sem_Pedido!$Q:$Q,DRE!W$4,Aut_BlueMe_Sem_Pedido!$N:$N,DRE!$A110,Aut_BlueMe_Sem_Pedido!$H:$H,"MDO PJ Fixo")+SUMIFS(Aut_Ajustes_Manuais!$G:$G,Aut_Ajustes_Manuais!$I:$I,DRE!W$4,Aut_Ajustes_Manuais!$J:$J,"  - Subgerente")</f>
        <v>0</v>
      </c>
      <c r="Z110" s="237"/>
      <c r="AA110" s="26">
        <f>-SUMIFS(T_HEADCOUNT!$E:$E,T_HEADCOUNT!$C:$C,"- Subgerente",T_HEADCOUNT!$D:$D,"7/2026",T_HEADCOUNT!$B:$B,"PJ")</f>
        <v>0</v>
      </c>
      <c r="AB110" s="27">
        <f>SUMIFS(Aut_BlueMe_Sem_Pedido!$J:$J,Aut_BlueMe_Sem_Pedido!$Q:$Q,DRE!Z$4,Aut_BlueMe_Sem_Pedido!$N:$N,DRE!$A110,Aut_BlueMe_Sem_Pedido!$H:$H,"MDO PJ Fixo")+SUMIFS(Aut_Ajustes_Manuais!$G:$G,Aut_Ajustes_Manuais!$I:$I,DRE!Z$4,Aut_Ajustes_Manuais!$J:$J,"  - Subgerente")</f>
        <v>-6600</v>
      </c>
      <c r="AC110" s="237"/>
      <c r="AD110" s="26">
        <f>-SUMIFS(T_HEADCOUNT!$E:$E,T_HEADCOUNT!$C:$C,"- Subgerente",T_HEADCOUNT!$D:$D,"8/2026",T_HEADCOUNT!$B:$B,"PJ")</f>
        <v>0</v>
      </c>
      <c r="AE110" s="27">
        <f>SUMIFS(Aut_BlueMe_Sem_Pedido!$J:$J,Aut_BlueMe_Sem_Pedido!$Q:$Q,DRE!AC$4,Aut_BlueMe_Sem_Pedido!$N:$N,DRE!$A110,Aut_BlueMe_Sem_Pedido!$H:$H,"MDO PJ Fixo")+SUMIFS(Aut_Ajustes_Manuais!$G:$G,Aut_Ajustes_Manuais!$I:$I,DRE!AC$4,Aut_Ajustes_Manuais!$J:$J,"  - Subgerente")</f>
        <v>-6600</v>
      </c>
      <c r="AF110" s="237"/>
      <c r="AG110" s="26">
        <f>-SUMIFS(T_HEADCOUNT!$E:$E,T_HEADCOUNT!$C:$C,"- Subgerente",T_HEADCOUNT!$D:$D,"9/2026",T_HEADCOUNT!$B:$B,"PJ")</f>
        <v>0</v>
      </c>
      <c r="AH110" s="27">
        <f>SUMIFS(Aut_BlueMe_Sem_Pedido!$J:$J,Aut_BlueMe_Sem_Pedido!$Q:$Q,DRE!AF$4,Aut_BlueMe_Sem_Pedido!$N:$N,DRE!$A110,Aut_BlueMe_Sem_Pedido!$H:$H,"MDO PJ Fixo")+SUMIFS(Aut_Ajustes_Manuais!$G:$G,Aut_Ajustes_Manuais!$I:$I,DRE!AF$4,Aut_Ajustes_Manuais!$J:$J,"  - Subgerente")</f>
        <v>-6600</v>
      </c>
      <c r="AI110" s="237"/>
      <c r="AJ110" s="26">
        <f>-SUMIFS(T_HEADCOUNT!$E:$E,T_HEADCOUNT!$C:$C,"- Subgerente",T_HEADCOUNT!$D:$D,"10/2026",T_HEADCOUNT!$B:$B,"PJ")</f>
        <v>0</v>
      </c>
      <c r="AK110" s="27">
        <f>SUMIFS(Aut_BlueMe_Sem_Pedido!$J:$J,Aut_BlueMe_Sem_Pedido!$Q:$Q,DRE!AI$4,Aut_BlueMe_Sem_Pedido!$N:$N,DRE!$A110,Aut_BlueMe_Sem_Pedido!$H:$H,"MDO PJ Fixo")+SUMIFS(Aut_Ajustes_Manuais!$G:$G,Aut_Ajustes_Manuais!$I:$I,DRE!AI$4,Aut_Ajustes_Manuais!$J:$J,"  - Subgerente")</f>
        <v>-6600</v>
      </c>
      <c r="AL110" s="237"/>
      <c r="AM110" s="26">
        <f>-SUMIFS(T_HEADCOUNT!$E:$E,T_HEADCOUNT!$C:$C,"- Subgerente",T_HEADCOUNT!$D:$D,"11/2026",T_HEADCOUNT!$B:$B,"PJ")</f>
        <v>0</v>
      </c>
      <c r="AN110" s="27">
        <f>SUMIFS(Aut_BlueMe_Sem_Pedido!$J:$J,Aut_BlueMe_Sem_Pedido!$Q:$Q,DRE!AL$4,Aut_BlueMe_Sem_Pedido!$N:$N,DRE!$A110,Aut_BlueMe_Sem_Pedido!$H:$H,"MDO PJ Fixo")+SUMIFS(Aut_Ajustes_Manuais!$G:$G,Aut_Ajustes_Manuais!$I:$I,DRE!AL$4,Aut_Ajustes_Manuais!$J:$J,"  - Subgerente")</f>
        <v>-6600</v>
      </c>
      <c r="AO110" s="237"/>
      <c r="AP110" s="26">
        <f>-SUMIFS(T_HEADCOUNT!$E:$E,T_HEADCOUNT!$C:$C,"- Subgerente",T_HEADCOUNT!$D:$D,"12/2026",T_HEADCOUNT!$B:$B,"PJ")</f>
        <v>0</v>
      </c>
      <c r="AQ110" s="27">
        <f>SUMIFS(Aut_BlueMe_Sem_Pedido!$J:$J,Aut_BlueMe_Sem_Pedido!$Q:$Q,DRE!AO$4,Aut_BlueMe_Sem_Pedido!$N:$N,DRE!$A110,Aut_BlueMe_Sem_Pedido!$H:$H,"MDO PJ Fixo")+SUMIFS(Aut_Ajustes_Manuais!$G:$G,Aut_Ajustes_Manuais!$I:$I,DRE!AO$4,Aut_Ajustes_Manuais!$J:$J,"  - Subgerente")</f>
        <v>-6600</v>
      </c>
      <c r="AR110" s="237">
        <f t="shared" ca="1" si="120"/>
        <v>0</v>
      </c>
      <c r="AS110" s="26">
        <f t="shared" ca="1" si="121"/>
        <v>0</v>
      </c>
      <c r="AT110" s="27">
        <f t="shared" ca="1" si="122"/>
        <v>-13200</v>
      </c>
      <c r="AU110" s="237">
        <f t="shared" si="124"/>
        <v>0</v>
      </c>
      <c r="AV110" s="26">
        <f t="shared" si="125"/>
        <v>0</v>
      </c>
      <c r="AW110" s="27">
        <f t="shared" si="126"/>
        <v>-39600</v>
      </c>
      <c r="AX110" s="237">
        <f t="shared" si="127"/>
        <v>0</v>
      </c>
      <c r="AY110" s="26">
        <f t="shared" si="128"/>
        <v>0</v>
      </c>
      <c r="AZ110" s="27">
        <f t="shared" si="129"/>
        <v>0</v>
      </c>
      <c r="BA110" s="237">
        <f t="shared" si="130"/>
        <v>0</v>
      </c>
      <c r="BB110" s="26">
        <f t="shared" si="131"/>
        <v>0</v>
      </c>
      <c r="BC110" s="27">
        <f t="shared" si="132"/>
        <v>0</v>
      </c>
      <c r="BD110" s="237">
        <f t="shared" si="133"/>
        <v>0</v>
      </c>
      <c r="BE110" s="26">
        <f t="shared" si="134"/>
        <v>0</v>
      </c>
      <c r="BF110" s="27">
        <f t="shared" si="135"/>
        <v>-19800</v>
      </c>
      <c r="BG110" s="237">
        <f t="shared" si="136"/>
        <v>0</v>
      </c>
      <c r="BH110" s="26">
        <f t="shared" si="137"/>
        <v>0</v>
      </c>
      <c r="BI110" s="27">
        <f t="shared" si="138"/>
        <v>-19800</v>
      </c>
      <c r="BJ110" s="454"/>
    </row>
    <row r="111" spans="1:62" s="92" customFormat="1" hidden="1" outlineLevel="1" x14ac:dyDescent="0.3">
      <c r="A111" s="21" t="s">
        <v>132</v>
      </c>
      <c r="B111" s="2"/>
      <c r="C111" s="23"/>
      <c r="D111" s="53"/>
      <c r="E111" s="85"/>
      <c r="F111" s="39"/>
      <c r="G111" s="32"/>
      <c r="H111" s="237"/>
      <c r="I111" s="26">
        <f>-SUMIFS(T_HEADCOUNT!$E:$E,T_HEADCOUNT!$C:$C,"- Coordenador",T_HEADCOUNT!$D:$D,"1/2026",T_HEADCOUNT!$B:$B,"PJ")</f>
        <v>0</v>
      </c>
      <c r="J111" s="27">
        <f>SUMIFS(Aut_BlueMe_Sem_Pedido!$J:$J,Aut_BlueMe_Sem_Pedido!$Q:$Q,DRE!H$4,Aut_BlueMe_Sem_Pedido!$N:$N,DRE!$A111,Aut_BlueMe_Sem_Pedido!$H:$H,"MDO PJ Fixo")+SUMIFS(Aut_Ajustes_Manuais!$G:$G,Aut_Ajustes_Manuais!$I:$I,DRE!H$4,Aut_Ajustes_Manuais!$J:$J,"  - Coordenador")</f>
        <v>0</v>
      </c>
      <c r="K111" s="237"/>
      <c r="L111" s="26">
        <f>-SUMIFS(T_HEADCOUNT!$E:$E,T_HEADCOUNT!$C:$C,"- Coordenador",T_HEADCOUNT!$D:$D,"2/2026",T_HEADCOUNT!$B:$B,"PJ")</f>
        <v>0</v>
      </c>
      <c r="M111" s="27">
        <f>SUMIFS(Aut_BlueMe_Sem_Pedido!$J:$J,Aut_BlueMe_Sem_Pedido!$Q:$Q,DRE!K$4,Aut_BlueMe_Sem_Pedido!$N:$N,DRE!$A111,Aut_BlueMe_Sem_Pedido!$H:$H,"MDO PJ Fixo")+SUMIFS(Aut_Ajustes_Manuais!$G:$G,Aut_Ajustes_Manuais!$I:$I,DRE!K$4,Aut_Ajustes_Manuais!$J:$J,"  - Coordenador")</f>
        <v>0</v>
      </c>
      <c r="N111" s="237"/>
      <c r="O111" s="26">
        <f>-SUMIFS(T_HEADCOUNT!$E:$E,T_HEADCOUNT!$C:$C,"- Coordenador",T_HEADCOUNT!$D:$D,"3/2026",T_HEADCOUNT!$B:$B,"PJ")</f>
        <v>0</v>
      </c>
      <c r="P111" s="27">
        <f>SUMIFS(Aut_BlueMe_Sem_Pedido!$J:$J,Aut_BlueMe_Sem_Pedido!$Q:$Q,DRE!N$4,Aut_BlueMe_Sem_Pedido!$N:$N,DRE!$A111,Aut_BlueMe_Sem_Pedido!$H:$H,"MDO PJ Fixo")+SUMIFS(Aut_Ajustes_Manuais!$G:$G,Aut_Ajustes_Manuais!$I:$I,DRE!N$4,Aut_Ajustes_Manuais!$J:$J,"  - Coordenador")</f>
        <v>0</v>
      </c>
      <c r="Q111" s="237"/>
      <c r="R111" s="26">
        <f>-SUMIFS(T_HEADCOUNT!$E:$E,T_HEADCOUNT!$C:$C,"- Coordenador",T_HEADCOUNT!$D:$D,"4/2026",T_HEADCOUNT!$B:$B,"PJ")</f>
        <v>0</v>
      </c>
      <c r="S111" s="27">
        <f>SUMIFS(Aut_BlueMe_Sem_Pedido!$J:$J,Aut_BlueMe_Sem_Pedido!$Q:$Q,DRE!Q$4,Aut_BlueMe_Sem_Pedido!$N:$N,DRE!$A111,Aut_BlueMe_Sem_Pedido!$H:$H,"MDO PJ Fixo")+SUMIFS(Aut_Ajustes_Manuais!$G:$G,Aut_Ajustes_Manuais!$I:$I,DRE!Q$4,Aut_Ajustes_Manuais!$J:$J,"  - Coordenador")</f>
        <v>0</v>
      </c>
      <c r="T111" s="237"/>
      <c r="U111" s="26">
        <f>-SUMIFS(T_HEADCOUNT!$E:$E,T_HEADCOUNT!$C:$C,"- Coordenador",T_HEADCOUNT!$D:$D,"5/2026",T_HEADCOUNT!$B:$B,"PJ")</f>
        <v>0</v>
      </c>
      <c r="V111" s="27">
        <f>SUMIFS(Aut_BlueMe_Sem_Pedido!$J:$J,Aut_BlueMe_Sem_Pedido!$Q:$Q,DRE!T$4,Aut_BlueMe_Sem_Pedido!$N:$N,DRE!$A111,Aut_BlueMe_Sem_Pedido!$H:$H,"MDO PJ Fixo")+SUMIFS(Aut_Ajustes_Manuais!$G:$G,Aut_Ajustes_Manuais!$I:$I,DRE!T$4,Aut_Ajustes_Manuais!$J:$J,"  - Coordenador")</f>
        <v>0</v>
      </c>
      <c r="W111" s="237"/>
      <c r="X111" s="26">
        <f>-SUMIFS(T_HEADCOUNT!$E:$E,T_HEADCOUNT!$C:$C,"- Coordenador",T_HEADCOUNT!$D:$D,"6/2026",T_HEADCOUNT!$B:$B,"PJ")</f>
        <v>0</v>
      </c>
      <c r="Y111" s="27">
        <f>SUMIFS(Aut_BlueMe_Sem_Pedido!$J:$J,Aut_BlueMe_Sem_Pedido!$Q:$Q,DRE!W$4,Aut_BlueMe_Sem_Pedido!$N:$N,DRE!$A111,Aut_BlueMe_Sem_Pedido!$H:$H,"MDO PJ Fixo")+SUMIFS(Aut_Ajustes_Manuais!$G:$G,Aut_Ajustes_Manuais!$I:$I,DRE!W$4,Aut_Ajustes_Manuais!$J:$J,"  - Coordenador")</f>
        <v>0</v>
      </c>
      <c r="Z111" s="237"/>
      <c r="AA111" s="26">
        <f>-SUMIFS(T_HEADCOUNT!$E:$E,T_HEADCOUNT!$C:$C,"- Coordenador",T_HEADCOUNT!$D:$D,"7/2026",T_HEADCOUNT!$B:$B,"PJ")</f>
        <v>0</v>
      </c>
      <c r="AB111" s="27">
        <f>SUMIFS(Aut_BlueMe_Sem_Pedido!$J:$J,Aut_BlueMe_Sem_Pedido!$Q:$Q,DRE!Z$4,Aut_BlueMe_Sem_Pedido!$N:$N,DRE!$A111,Aut_BlueMe_Sem_Pedido!$H:$H,"MDO PJ Fixo")+SUMIFS(Aut_Ajustes_Manuais!$G:$G,Aut_Ajustes_Manuais!$I:$I,DRE!Z$4,Aut_Ajustes_Manuais!$J:$J,"  - Coordenador")</f>
        <v>0</v>
      </c>
      <c r="AC111" s="237"/>
      <c r="AD111" s="26">
        <f>-SUMIFS(T_HEADCOUNT!$E:$E,T_HEADCOUNT!$C:$C,"- Coordenador",T_HEADCOUNT!$D:$D,"8/2026",T_HEADCOUNT!$B:$B,"PJ")</f>
        <v>0</v>
      </c>
      <c r="AE111" s="27">
        <f>SUMIFS(Aut_BlueMe_Sem_Pedido!$J:$J,Aut_BlueMe_Sem_Pedido!$Q:$Q,DRE!AC$4,Aut_BlueMe_Sem_Pedido!$N:$N,DRE!$A111,Aut_BlueMe_Sem_Pedido!$H:$H,"MDO PJ Fixo")+SUMIFS(Aut_Ajustes_Manuais!$G:$G,Aut_Ajustes_Manuais!$I:$I,DRE!AC$4,Aut_Ajustes_Manuais!$J:$J,"  - Coordenador")</f>
        <v>0</v>
      </c>
      <c r="AF111" s="237"/>
      <c r="AG111" s="26">
        <f>-SUMIFS(T_HEADCOUNT!$E:$E,T_HEADCOUNT!$C:$C,"- Coordenador",T_HEADCOUNT!$D:$D,"9/2026",T_HEADCOUNT!$B:$B,"PJ")</f>
        <v>0</v>
      </c>
      <c r="AH111" s="27">
        <f>SUMIFS(Aut_BlueMe_Sem_Pedido!$J:$J,Aut_BlueMe_Sem_Pedido!$Q:$Q,DRE!AF$4,Aut_BlueMe_Sem_Pedido!$N:$N,DRE!$A111,Aut_BlueMe_Sem_Pedido!$H:$H,"MDO PJ Fixo")+SUMIFS(Aut_Ajustes_Manuais!$G:$G,Aut_Ajustes_Manuais!$I:$I,DRE!AF$4,Aut_Ajustes_Manuais!$J:$J,"  - Coordenador")</f>
        <v>0</v>
      </c>
      <c r="AI111" s="237"/>
      <c r="AJ111" s="26">
        <f>-SUMIFS(T_HEADCOUNT!$E:$E,T_HEADCOUNT!$C:$C,"- Coordenador",T_HEADCOUNT!$D:$D,"10/2026",T_HEADCOUNT!$B:$B,"PJ")</f>
        <v>0</v>
      </c>
      <c r="AK111" s="27">
        <f>SUMIFS(Aut_BlueMe_Sem_Pedido!$J:$J,Aut_BlueMe_Sem_Pedido!$Q:$Q,DRE!AI$4,Aut_BlueMe_Sem_Pedido!$N:$N,DRE!$A111,Aut_BlueMe_Sem_Pedido!$H:$H,"MDO PJ Fixo")+SUMIFS(Aut_Ajustes_Manuais!$G:$G,Aut_Ajustes_Manuais!$I:$I,DRE!AI$4,Aut_Ajustes_Manuais!$J:$J,"  - Coordenador")</f>
        <v>0</v>
      </c>
      <c r="AL111" s="237"/>
      <c r="AM111" s="26">
        <f>-SUMIFS(T_HEADCOUNT!$E:$E,T_HEADCOUNT!$C:$C,"- Coordenador",T_HEADCOUNT!$D:$D,"11/2026",T_HEADCOUNT!$B:$B,"PJ")</f>
        <v>0</v>
      </c>
      <c r="AN111" s="27">
        <f>SUMIFS(Aut_BlueMe_Sem_Pedido!$J:$J,Aut_BlueMe_Sem_Pedido!$Q:$Q,DRE!AL$4,Aut_BlueMe_Sem_Pedido!$N:$N,DRE!$A111,Aut_BlueMe_Sem_Pedido!$H:$H,"MDO PJ Fixo")+SUMIFS(Aut_Ajustes_Manuais!$G:$G,Aut_Ajustes_Manuais!$I:$I,DRE!AL$4,Aut_Ajustes_Manuais!$J:$J,"  - Coordenador")</f>
        <v>0</v>
      </c>
      <c r="AO111" s="237"/>
      <c r="AP111" s="26">
        <f>-SUMIFS(T_HEADCOUNT!$E:$E,T_HEADCOUNT!$C:$C,"- Coordenador",T_HEADCOUNT!$D:$D,"12/2026",T_HEADCOUNT!$B:$B,"PJ")</f>
        <v>0</v>
      </c>
      <c r="AQ111" s="27">
        <f>SUMIFS(Aut_BlueMe_Sem_Pedido!$J:$J,Aut_BlueMe_Sem_Pedido!$Q:$Q,DRE!AO$4,Aut_BlueMe_Sem_Pedido!$N:$N,DRE!$A111,Aut_BlueMe_Sem_Pedido!$H:$H,"MDO PJ Fixo")+SUMIFS(Aut_Ajustes_Manuais!$G:$G,Aut_Ajustes_Manuais!$I:$I,DRE!AO$4,Aut_Ajustes_Manuais!$J:$J,"  - Coordenador")</f>
        <v>0</v>
      </c>
      <c r="AR111" s="237">
        <f t="shared" ca="1" si="120"/>
        <v>0</v>
      </c>
      <c r="AS111" s="26">
        <f t="shared" ca="1" si="121"/>
        <v>0</v>
      </c>
      <c r="AT111" s="27">
        <f t="shared" ca="1" si="122"/>
        <v>0</v>
      </c>
      <c r="AU111" s="237">
        <f t="shared" si="124"/>
        <v>0</v>
      </c>
      <c r="AV111" s="26">
        <f t="shared" si="125"/>
        <v>0</v>
      </c>
      <c r="AW111" s="27">
        <f t="shared" si="126"/>
        <v>0</v>
      </c>
      <c r="AX111" s="237">
        <f t="shared" si="127"/>
        <v>0</v>
      </c>
      <c r="AY111" s="26">
        <f t="shared" si="128"/>
        <v>0</v>
      </c>
      <c r="AZ111" s="27">
        <f t="shared" si="129"/>
        <v>0</v>
      </c>
      <c r="BA111" s="237">
        <f t="shared" si="130"/>
        <v>0</v>
      </c>
      <c r="BB111" s="26">
        <f t="shared" si="131"/>
        <v>0</v>
      </c>
      <c r="BC111" s="27">
        <f t="shared" si="132"/>
        <v>0</v>
      </c>
      <c r="BD111" s="237">
        <f t="shared" si="133"/>
        <v>0</v>
      </c>
      <c r="BE111" s="26">
        <f t="shared" si="134"/>
        <v>0</v>
      </c>
      <c r="BF111" s="27">
        <f t="shared" si="135"/>
        <v>0</v>
      </c>
      <c r="BG111" s="237">
        <f t="shared" si="136"/>
        <v>0</v>
      </c>
      <c r="BH111" s="26">
        <f t="shared" si="137"/>
        <v>0</v>
      </c>
      <c r="BI111" s="27">
        <f t="shared" si="138"/>
        <v>0</v>
      </c>
      <c r="BJ111" s="454"/>
    </row>
    <row r="112" spans="1:62" s="92" customFormat="1" hidden="1" outlineLevel="1" x14ac:dyDescent="0.3">
      <c r="A112" s="21" t="s">
        <v>133</v>
      </c>
      <c r="B112" s="2"/>
      <c r="C112" s="23"/>
      <c r="D112" s="53"/>
      <c r="E112" s="85"/>
      <c r="F112" s="39"/>
      <c r="G112" s="32"/>
      <c r="H112" s="237"/>
      <c r="I112" s="26">
        <f>-SUMIFS(T_HEADCOUNT!$E:$E,T_HEADCOUNT!$C:$C,"- Administrativa",T_HEADCOUNT!$D:$D,"1/2026",T_HEADCOUNT!$B:$B,"PJ")</f>
        <v>0</v>
      </c>
      <c r="J112" s="27">
        <f>SUMIFS(Aut_BlueMe_Sem_Pedido!$J:$J,Aut_BlueMe_Sem_Pedido!$Q:$Q,DRE!H$4,Aut_BlueMe_Sem_Pedido!$N:$N,DRE!$A112,Aut_BlueMe_Sem_Pedido!$H:$H,"MDO PJ Fixo")+SUMIFS(Aut_Ajustes_Manuais!$G:$G,Aut_Ajustes_Manuais!$I:$I,DRE!H$4,Aut_Ajustes_Manuais!$J:$J,"  - Administrativa")</f>
        <v>0</v>
      </c>
      <c r="K112" s="237"/>
      <c r="L112" s="26">
        <f>-SUMIFS(T_HEADCOUNT!$E:$E,T_HEADCOUNT!$C:$C,"- Administrativa",T_HEADCOUNT!$D:$D,"2/2026",T_HEADCOUNT!$B:$B,"PJ")</f>
        <v>0</v>
      </c>
      <c r="M112" s="27">
        <f>SUMIFS(Aut_BlueMe_Sem_Pedido!$J:$J,Aut_BlueMe_Sem_Pedido!$Q:$Q,DRE!K$4,Aut_BlueMe_Sem_Pedido!$N:$N,DRE!$A112,Aut_BlueMe_Sem_Pedido!$H:$H,"MDO PJ Fixo")+SUMIFS(Aut_Ajustes_Manuais!$G:$G,Aut_Ajustes_Manuais!$I:$I,DRE!K$4,Aut_Ajustes_Manuais!$J:$J,"  - Administrativa")</f>
        <v>0</v>
      </c>
      <c r="N112" s="237"/>
      <c r="O112" s="26">
        <f>-SUMIFS(T_HEADCOUNT!$E:$E,T_HEADCOUNT!$C:$C,"- Administrativa",T_HEADCOUNT!$D:$D,"3/2026",T_HEADCOUNT!$B:$B,"PJ")</f>
        <v>0</v>
      </c>
      <c r="P112" s="27">
        <f>SUMIFS(Aut_BlueMe_Sem_Pedido!$J:$J,Aut_BlueMe_Sem_Pedido!$Q:$Q,DRE!N$4,Aut_BlueMe_Sem_Pedido!$N:$N,DRE!$A112,Aut_BlueMe_Sem_Pedido!$H:$H,"MDO PJ Fixo")+SUMIFS(Aut_Ajustes_Manuais!$G:$G,Aut_Ajustes_Manuais!$I:$I,DRE!N$4,Aut_Ajustes_Manuais!$J:$J,"  - Administrativa")</f>
        <v>0</v>
      </c>
      <c r="Q112" s="237"/>
      <c r="R112" s="26">
        <f>-SUMIFS(T_HEADCOUNT!$E:$E,T_HEADCOUNT!$C:$C,"- Administrativa",T_HEADCOUNT!$D:$D,"4/2026",T_HEADCOUNT!$B:$B,"PJ")</f>
        <v>0</v>
      </c>
      <c r="S112" s="27">
        <f>SUMIFS(Aut_BlueMe_Sem_Pedido!$J:$J,Aut_BlueMe_Sem_Pedido!$Q:$Q,DRE!Q$4,Aut_BlueMe_Sem_Pedido!$N:$N,DRE!$A112,Aut_BlueMe_Sem_Pedido!$H:$H,"MDO PJ Fixo")+SUMIFS(Aut_Ajustes_Manuais!$G:$G,Aut_Ajustes_Manuais!$I:$I,DRE!Q$4,Aut_Ajustes_Manuais!$J:$J,"  - Administrativa")</f>
        <v>0</v>
      </c>
      <c r="T112" s="237"/>
      <c r="U112" s="26">
        <f>-SUMIFS(T_HEADCOUNT!$E:$E,T_HEADCOUNT!$C:$C,"- Administrativa",T_HEADCOUNT!$D:$D,"5/2026",T_HEADCOUNT!$B:$B,"PJ")</f>
        <v>0</v>
      </c>
      <c r="V112" s="27">
        <f>SUMIFS(Aut_BlueMe_Sem_Pedido!$J:$J,Aut_BlueMe_Sem_Pedido!$Q:$Q,DRE!T$4,Aut_BlueMe_Sem_Pedido!$N:$N,DRE!$A112,Aut_BlueMe_Sem_Pedido!$H:$H,"MDO PJ Fixo")+SUMIFS(Aut_Ajustes_Manuais!$G:$G,Aut_Ajustes_Manuais!$I:$I,DRE!T$4,Aut_Ajustes_Manuais!$J:$J,"  - Administrativa")</f>
        <v>0</v>
      </c>
      <c r="W112" s="237"/>
      <c r="X112" s="26">
        <f>-SUMIFS(T_HEADCOUNT!$E:$E,T_HEADCOUNT!$C:$C,"- Administrativa",T_HEADCOUNT!$D:$D,"6/2026",T_HEADCOUNT!$B:$B,"PJ")</f>
        <v>0</v>
      </c>
      <c r="Y112" s="27">
        <f>SUMIFS(Aut_BlueMe_Sem_Pedido!$J:$J,Aut_BlueMe_Sem_Pedido!$Q:$Q,DRE!W$4,Aut_BlueMe_Sem_Pedido!$N:$N,DRE!$A112,Aut_BlueMe_Sem_Pedido!$H:$H,"MDO PJ Fixo")+SUMIFS(Aut_Ajustes_Manuais!$G:$G,Aut_Ajustes_Manuais!$I:$I,DRE!W$4,Aut_Ajustes_Manuais!$J:$J,"  - Administrativa")</f>
        <v>0</v>
      </c>
      <c r="Z112" s="237"/>
      <c r="AA112" s="26">
        <f>-SUMIFS(T_HEADCOUNT!$E:$E,T_HEADCOUNT!$C:$C,"- Administrativa",T_HEADCOUNT!$D:$D,"7/2026",T_HEADCOUNT!$B:$B,"PJ")</f>
        <v>0</v>
      </c>
      <c r="AB112" s="27">
        <f>SUMIFS(Aut_BlueMe_Sem_Pedido!$J:$J,Aut_BlueMe_Sem_Pedido!$Q:$Q,DRE!Z$4,Aut_BlueMe_Sem_Pedido!$N:$N,DRE!$A112,Aut_BlueMe_Sem_Pedido!$H:$H,"MDO PJ Fixo")+SUMIFS(Aut_Ajustes_Manuais!$G:$G,Aut_Ajustes_Manuais!$I:$I,DRE!Z$4,Aut_Ajustes_Manuais!$J:$J,"  - Administrativa")</f>
        <v>0</v>
      </c>
      <c r="AC112" s="237"/>
      <c r="AD112" s="26">
        <f>-SUMIFS(T_HEADCOUNT!$E:$E,T_HEADCOUNT!$C:$C,"- Administrativa",T_HEADCOUNT!$D:$D,"8/2026",T_HEADCOUNT!$B:$B,"PJ")</f>
        <v>0</v>
      </c>
      <c r="AE112" s="27">
        <f>SUMIFS(Aut_BlueMe_Sem_Pedido!$J:$J,Aut_BlueMe_Sem_Pedido!$Q:$Q,DRE!AC$4,Aut_BlueMe_Sem_Pedido!$N:$N,DRE!$A112,Aut_BlueMe_Sem_Pedido!$H:$H,"MDO PJ Fixo")+SUMIFS(Aut_Ajustes_Manuais!$G:$G,Aut_Ajustes_Manuais!$I:$I,DRE!AC$4,Aut_Ajustes_Manuais!$J:$J,"  - Administrativa")</f>
        <v>0</v>
      </c>
      <c r="AF112" s="237"/>
      <c r="AG112" s="26">
        <f>-SUMIFS(T_HEADCOUNT!$E:$E,T_HEADCOUNT!$C:$C,"- Administrativa",T_HEADCOUNT!$D:$D,"9/2026",T_HEADCOUNT!$B:$B,"PJ")</f>
        <v>0</v>
      </c>
      <c r="AH112" s="27">
        <f>SUMIFS(Aut_BlueMe_Sem_Pedido!$J:$J,Aut_BlueMe_Sem_Pedido!$Q:$Q,DRE!AF$4,Aut_BlueMe_Sem_Pedido!$N:$N,DRE!$A112,Aut_BlueMe_Sem_Pedido!$H:$H,"MDO PJ Fixo")+SUMIFS(Aut_Ajustes_Manuais!$G:$G,Aut_Ajustes_Manuais!$I:$I,DRE!AF$4,Aut_Ajustes_Manuais!$J:$J,"  - Administrativa")</f>
        <v>0</v>
      </c>
      <c r="AI112" s="237"/>
      <c r="AJ112" s="26">
        <f>-SUMIFS(T_HEADCOUNT!$E:$E,T_HEADCOUNT!$C:$C,"- Administrativa",T_HEADCOUNT!$D:$D,"10/2026",T_HEADCOUNT!$B:$B,"PJ")</f>
        <v>0</v>
      </c>
      <c r="AK112" s="27">
        <f>SUMIFS(Aut_BlueMe_Sem_Pedido!$J:$J,Aut_BlueMe_Sem_Pedido!$Q:$Q,DRE!AI$4,Aut_BlueMe_Sem_Pedido!$N:$N,DRE!$A112,Aut_BlueMe_Sem_Pedido!$H:$H,"MDO PJ Fixo")+SUMIFS(Aut_Ajustes_Manuais!$G:$G,Aut_Ajustes_Manuais!$I:$I,DRE!AI$4,Aut_Ajustes_Manuais!$J:$J,"  - Administrativa")</f>
        <v>0</v>
      </c>
      <c r="AL112" s="237"/>
      <c r="AM112" s="26">
        <f>-SUMIFS(T_HEADCOUNT!$E:$E,T_HEADCOUNT!$C:$C,"- Administrativa",T_HEADCOUNT!$D:$D,"11/2026",T_HEADCOUNT!$B:$B,"PJ")</f>
        <v>0</v>
      </c>
      <c r="AN112" s="27">
        <f>SUMIFS(Aut_BlueMe_Sem_Pedido!$J:$J,Aut_BlueMe_Sem_Pedido!$Q:$Q,DRE!AL$4,Aut_BlueMe_Sem_Pedido!$N:$N,DRE!$A112,Aut_BlueMe_Sem_Pedido!$H:$H,"MDO PJ Fixo")+SUMIFS(Aut_Ajustes_Manuais!$G:$G,Aut_Ajustes_Manuais!$I:$I,DRE!AL$4,Aut_Ajustes_Manuais!$J:$J,"  - Administrativa")</f>
        <v>0</v>
      </c>
      <c r="AO112" s="237"/>
      <c r="AP112" s="26">
        <f>-SUMIFS(T_HEADCOUNT!$E:$E,T_HEADCOUNT!$C:$C,"- Administrativa",T_HEADCOUNT!$D:$D,"12/2026",T_HEADCOUNT!$B:$B,"PJ")</f>
        <v>0</v>
      </c>
      <c r="AQ112" s="27">
        <f>SUMIFS(Aut_BlueMe_Sem_Pedido!$J:$J,Aut_BlueMe_Sem_Pedido!$Q:$Q,DRE!AO$4,Aut_BlueMe_Sem_Pedido!$N:$N,DRE!$A112,Aut_BlueMe_Sem_Pedido!$H:$H,"MDO PJ Fixo")+SUMIFS(Aut_Ajustes_Manuais!$G:$G,Aut_Ajustes_Manuais!$I:$I,DRE!AO$4,Aut_Ajustes_Manuais!$J:$J,"  - Administrativa")</f>
        <v>0</v>
      </c>
      <c r="AR112" s="237">
        <f t="shared" ca="1" si="120"/>
        <v>0</v>
      </c>
      <c r="AS112" s="26">
        <f t="shared" ca="1" si="121"/>
        <v>0</v>
      </c>
      <c r="AT112" s="27">
        <f t="shared" ca="1" si="122"/>
        <v>0</v>
      </c>
      <c r="AU112" s="237">
        <f t="shared" si="124"/>
        <v>0</v>
      </c>
      <c r="AV112" s="26">
        <f t="shared" si="125"/>
        <v>0</v>
      </c>
      <c r="AW112" s="27">
        <f t="shared" si="126"/>
        <v>0</v>
      </c>
      <c r="AX112" s="237">
        <f t="shared" si="127"/>
        <v>0</v>
      </c>
      <c r="AY112" s="26">
        <f t="shared" si="128"/>
        <v>0</v>
      </c>
      <c r="AZ112" s="27">
        <f t="shared" si="129"/>
        <v>0</v>
      </c>
      <c r="BA112" s="237">
        <f t="shared" si="130"/>
        <v>0</v>
      </c>
      <c r="BB112" s="26">
        <f t="shared" si="131"/>
        <v>0</v>
      </c>
      <c r="BC112" s="27">
        <f t="shared" si="132"/>
        <v>0</v>
      </c>
      <c r="BD112" s="237">
        <f t="shared" si="133"/>
        <v>0</v>
      </c>
      <c r="BE112" s="26">
        <f t="shared" si="134"/>
        <v>0</v>
      </c>
      <c r="BF112" s="27">
        <f t="shared" si="135"/>
        <v>0</v>
      </c>
      <c r="BG112" s="237">
        <f t="shared" si="136"/>
        <v>0</v>
      </c>
      <c r="BH112" s="26">
        <f t="shared" si="137"/>
        <v>0</v>
      </c>
      <c r="BI112" s="27">
        <f t="shared" si="138"/>
        <v>0</v>
      </c>
      <c r="BJ112" s="454"/>
    </row>
    <row r="113" spans="1:62" s="92" customFormat="1" hidden="1" outlineLevel="1" x14ac:dyDescent="0.3">
      <c r="A113" s="21" t="s">
        <v>134</v>
      </c>
      <c r="B113" s="2"/>
      <c r="C113" s="23"/>
      <c r="D113" s="53"/>
      <c r="E113" s="85"/>
      <c r="F113" s="39"/>
      <c r="G113" s="32"/>
      <c r="H113" s="237"/>
      <c r="I113" s="26">
        <f>-SUMIFS(T_HEADCOUNT!$E:$E,T_HEADCOUNT!$C:$C,"- Chefe de Cozinha",T_HEADCOUNT!$D:$D,"1/2026",T_HEADCOUNT!$B:$B,"PJ")</f>
        <v>0</v>
      </c>
      <c r="J113" s="27">
        <f>SUMIFS(Aut_BlueMe_Sem_Pedido!$J:$J,Aut_BlueMe_Sem_Pedido!$Q:$Q,DRE!H$4,Aut_BlueMe_Sem_Pedido!$N:$N,DRE!$A113,Aut_BlueMe_Sem_Pedido!$H:$H,"MDO PJ Fixo")+SUMIFS(Aut_Ajustes_Manuais!$G:$G,Aut_Ajustes_Manuais!$I:$I,DRE!H$4,Aut_Ajustes_Manuais!$J:$J,"  - Chefe de Cozinha")</f>
        <v>0</v>
      </c>
      <c r="K113" s="237"/>
      <c r="L113" s="26">
        <f>-SUMIFS(T_HEADCOUNT!$E:$E,T_HEADCOUNT!$C:$C,"- Chefe de Cozinha",T_HEADCOUNT!$D:$D,"2/2026",T_HEADCOUNT!$B:$B,"PJ")</f>
        <v>0</v>
      </c>
      <c r="M113" s="27">
        <f>SUMIFS(Aut_BlueMe_Sem_Pedido!$J:$J,Aut_BlueMe_Sem_Pedido!$Q:$Q,DRE!K$4,Aut_BlueMe_Sem_Pedido!$N:$N,DRE!$A113,Aut_BlueMe_Sem_Pedido!$H:$H,"MDO PJ Fixo")+SUMIFS(Aut_Ajustes_Manuais!$G:$G,Aut_Ajustes_Manuais!$I:$I,DRE!K$4,Aut_Ajustes_Manuais!$J:$J,"  - Chefe de Cozinha")</f>
        <v>0</v>
      </c>
      <c r="N113" s="237"/>
      <c r="O113" s="26">
        <f>-SUMIFS(T_HEADCOUNT!$E:$E,T_HEADCOUNT!$C:$C,"- Chefe de Cozinha",T_HEADCOUNT!$D:$D,"3/2026",T_HEADCOUNT!$B:$B,"PJ")</f>
        <v>0</v>
      </c>
      <c r="P113" s="27">
        <f>SUMIFS(Aut_BlueMe_Sem_Pedido!$J:$J,Aut_BlueMe_Sem_Pedido!$Q:$Q,DRE!N$4,Aut_BlueMe_Sem_Pedido!$N:$N,DRE!$A113,Aut_BlueMe_Sem_Pedido!$H:$H,"MDO PJ Fixo")+SUMIFS(Aut_Ajustes_Manuais!$G:$G,Aut_Ajustes_Manuais!$I:$I,DRE!N$4,Aut_Ajustes_Manuais!$J:$J,"  - Chefe de Cozinha")</f>
        <v>0</v>
      </c>
      <c r="Q113" s="237"/>
      <c r="R113" s="26">
        <f>-SUMIFS(T_HEADCOUNT!$E:$E,T_HEADCOUNT!$C:$C,"- Chefe de Cozinha",T_HEADCOUNT!$D:$D,"4/2026",T_HEADCOUNT!$B:$B,"PJ")</f>
        <v>0</v>
      </c>
      <c r="S113" s="27">
        <f>SUMIFS(Aut_BlueMe_Sem_Pedido!$J:$J,Aut_BlueMe_Sem_Pedido!$Q:$Q,DRE!Q$4,Aut_BlueMe_Sem_Pedido!$N:$N,DRE!$A113,Aut_BlueMe_Sem_Pedido!$H:$H,"MDO PJ Fixo")+SUMIFS(Aut_Ajustes_Manuais!$G:$G,Aut_Ajustes_Manuais!$I:$I,DRE!Q$4,Aut_Ajustes_Manuais!$J:$J,"  - Chefe de Cozinha")</f>
        <v>-3866.66</v>
      </c>
      <c r="T113" s="237"/>
      <c r="U113" s="26">
        <f>-SUMIFS(T_HEADCOUNT!$E:$E,T_HEADCOUNT!$C:$C,"- Chefe de Cozinha",T_HEADCOUNT!$D:$D,"5/2026",T_HEADCOUNT!$B:$B,"PJ")</f>
        <v>0</v>
      </c>
      <c r="V113" s="27">
        <f>SUMIFS(Aut_BlueMe_Sem_Pedido!$J:$J,Aut_BlueMe_Sem_Pedido!$Q:$Q,DRE!T$4,Aut_BlueMe_Sem_Pedido!$N:$N,DRE!$A113,Aut_BlueMe_Sem_Pedido!$H:$H,"MDO PJ Fixo")+SUMIFS(Aut_Ajustes_Manuais!$G:$G,Aut_Ajustes_Manuais!$I:$I,DRE!T$4,Aut_Ajustes_Manuais!$J:$J,"  - Chefe de Cozinha")</f>
        <v>-4000</v>
      </c>
      <c r="W113" s="237"/>
      <c r="X113" s="26">
        <f>-SUMIFS(T_HEADCOUNT!$E:$E,T_HEADCOUNT!$C:$C,"- Chefe de Cozinha",T_HEADCOUNT!$D:$D,"6/2026",T_HEADCOUNT!$B:$B,"PJ")</f>
        <v>0</v>
      </c>
      <c r="Y113" s="27">
        <f>SUMIFS(Aut_BlueMe_Sem_Pedido!$J:$J,Aut_BlueMe_Sem_Pedido!$Q:$Q,DRE!W$4,Aut_BlueMe_Sem_Pedido!$N:$N,DRE!$A113,Aut_BlueMe_Sem_Pedido!$H:$H,"MDO PJ Fixo")+SUMIFS(Aut_Ajustes_Manuais!$G:$G,Aut_Ajustes_Manuais!$I:$I,DRE!W$4,Aut_Ajustes_Manuais!$J:$J,"  - Chefe de Cozinha")</f>
        <v>0</v>
      </c>
      <c r="Z113" s="237"/>
      <c r="AA113" s="26">
        <f>-SUMIFS(T_HEADCOUNT!$E:$E,T_HEADCOUNT!$C:$C,"- Chefe de Cozinha",T_HEADCOUNT!$D:$D,"7/2026",T_HEADCOUNT!$B:$B,"PJ")</f>
        <v>0</v>
      </c>
      <c r="AB113" s="27">
        <f>SUMIFS(Aut_BlueMe_Sem_Pedido!$J:$J,Aut_BlueMe_Sem_Pedido!$Q:$Q,DRE!Z$4,Aut_BlueMe_Sem_Pedido!$N:$N,DRE!$A113,Aut_BlueMe_Sem_Pedido!$H:$H,"MDO PJ Fixo")+SUMIFS(Aut_Ajustes_Manuais!$G:$G,Aut_Ajustes_Manuais!$I:$I,DRE!Z$4,Aut_Ajustes_Manuais!$J:$J,"  - Chefe de Cozinha")</f>
        <v>0</v>
      </c>
      <c r="AC113" s="237"/>
      <c r="AD113" s="26">
        <f>-SUMIFS(T_HEADCOUNT!$E:$E,T_HEADCOUNT!$C:$C,"- Chefe de Cozinha",T_HEADCOUNT!$D:$D,"8/2026",T_HEADCOUNT!$B:$B,"PJ")</f>
        <v>0</v>
      </c>
      <c r="AE113" s="27">
        <f>SUMIFS(Aut_BlueMe_Sem_Pedido!$J:$J,Aut_BlueMe_Sem_Pedido!$Q:$Q,DRE!AC$4,Aut_BlueMe_Sem_Pedido!$N:$N,DRE!$A113,Aut_BlueMe_Sem_Pedido!$H:$H,"MDO PJ Fixo")+SUMIFS(Aut_Ajustes_Manuais!$G:$G,Aut_Ajustes_Manuais!$I:$I,DRE!AC$4,Aut_Ajustes_Manuais!$J:$J,"  - Chefe de Cozinha")</f>
        <v>0</v>
      </c>
      <c r="AF113" s="237"/>
      <c r="AG113" s="26">
        <f>-SUMIFS(T_HEADCOUNT!$E:$E,T_HEADCOUNT!$C:$C,"- Chefe de Cozinha",T_HEADCOUNT!$D:$D,"9/2026",T_HEADCOUNT!$B:$B,"PJ")</f>
        <v>0</v>
      </c>
      <c r="AH113" s="27">
        <f>SUMIFS(Aut_BlueMe_Sem_Pedido!$J:$J,Aut_BlueMe_Sem_Pedido!$Q:$Q,DRE!AF$4,Aut_BlueMe_Sem_Pedido!$N:$N,DRE!$A113,Aut_BlueMe_Sem_Pedido!$H:$H,"MDO PJ Fixo")+SUMIFS(Aut_Ajustes_Manuais!$G:$G,Aut_Ajustes_Manuais!$I:$I,DRE!AF$4,Aut_Ajustes_Manuais!$J:$J,"  - Chefe de Cozinha")</f>
        <v>0</v>
      </c>
      <c r="AI113" s="237"/>
      <c r="AJ113" s="26">
        <f>-SUMIFS(T_HEADCOUNT!$E:$E,T_HEADCOUNT!$C:$C,"- Chefe de Cozinha",T_HEADCOUNT!$D:$D,"10/2026",T_HEADCOUNT!$B:$B,"PJ")</f>
        <v>0</v>
      </c>
      <c r="AK113" s="27">
        <f>SUMIFS(Aut_BlueMe_Sem_Pedido!$J:$J,Aut_BlueMe_Sem_Pedido!$Q:$Q,DRE!AI$4,Aut_BlueMe_Sem_Pedido!$N:$N,DRE!$A113,Aut_BlueMe_Sem_Pedido!$H:$H,"MDO PJ Fixo")+SUMIFS(Aut_Ajustes_Manuais!$G:$G,Aut_Ajustes_Manuais!$I:$I,DRE!AI$4,Aut_Ajustes_Manuais!$J:$J,"  - Chefe de Cozinha")</f>
        <v>0</v>
      </c>
      <c r="AL113" s="237"/>
      <c r="AM113" s="26">
        <f>-SUMIFS(T_HEADCOUNT!$E:$E,T_HEADCOUNT!$C:$C,"- Chefe de Cozinha",T_HEADCOUNT!$D:$D,"11/2026",T_HEADCOUNT!$B:$B,"PJ")</f>
        <v>0</v>
      </c>
      <c r="AN113" s="27">
        <f>SUMIFS(Aut_BlueMe_Sem_Pedido!$J:$J,Aut_BlueMe_Sem_Pedido!$Q:$Q,DRE!AL$4,Aut_BlueMe_Sem_Pedido!$N:$N,DRE!$A113,Aut_BlueMe_Sem_Pedido!$H:$H,"MDO PJ Fixo")+SUMIFS(Aut_Ajustes_Manuais!$G:$G,Aut_Ajustes_Manuais!$I:$I,DRE!AL$4,Aut_Ajustes_Manuais!$J:$J,"  - Chefe de Cozinha")</f>
        <v>0</v>
      </c>
      <c r="AO113" s="237"/>
      <c r="AP113" s="26">
        <f>-SUMIFS(T_HEADCOUNT!$E:$E,T_HEADCOUNT!$C:$C,"- Chefe de Cozinha",T_HEADCOUNT!$D:$D,"12/2026",T_HEADCOUNT!$B:$B,"PJ")</f>
        <v>0</v>
      </c>
      <c r="AQ113" s="27">
        <f>SUMIFS(Aut_BlueMe_Sem_Pedido!$J:$J,Aut_BlueMe_Sem_Pedido!$Q:$Q,DRE!AO$4,Aut_BlueMe_Sem_Pedido!$N:$N,DRE!$A113,Aut_BlueMe_Sem_Pedido!$H:$H,"MDO PJ Fixo")+SUMIFS(Aut_Ajustes_Manuais!$G:$G,Aut_Ajustes_Manuais!$I:$I,DRE!AO$4,Aut_Ajustes_Manuais!$J:$J,"  - Chefe de Cozinha")</f>
        <v>0</v>
      </c>
      <c r="AR113" s="237">
        <f t="shared" ca="1" si="120"/>
        <v>0</v>
      </c>
      <c r="AS113" s="26">
        <f t="shared" ca="1" si="121"/>
        <v>0</v>
      </c>
      <c r="AT113" s="27">
        <f t="shared" ca="1" si="122"/>
        <v>-7866.66</v>
      </c>
      <c r="AU113" s="237">
        <f t="shared" si="124"/>
        <v>0</v>
      </c>
      <c r="AV113" s="26">
        <f t="shared" si="125"/>
        <v>0</v>
      </c>
      <c r="AW113" s="27">
        <f t="shared" si="126"/>
        <v>-7866.66</v>
      </c>
      <c r="AX113" s="237">
        <f t="shared" si="127"/>
        <v>0</v>
      </c>
      <c r="AY113" s="26">
        <f t="shared" si="128"/>
        <v>0</v>
      </c>
      <c r="AZ113" s="27">
        <f t="shared" si="129"/>
        <v>0</v>
      </c>
      <c r="BA113" s="237">
        <f t="shared" si="130"/>
        <v>0</v>
      </c>
      <c r="BB113" s="26">
        <f t="shared" si="131"/>
        <v>0</v>
      </c>
      <c r="BC113" s="27">
        <f t="shared" si="132"/>
        <v>-7866.66</v>
      </c>
      <c r="BD113" s="237">
        <f t="shared" si="133"/>
        <v>0</v>
      </c>
      <c r="BE113" s="26">
        <f t="shared" si="134"/>
        <v>0</v>
      </c>
      <c r="BF113" s="27">
        <f t="shared" si="135"/>
        <v>0</v>
      </c>
      <c r="BG113" s="237">
        <f t="shared" si="136"/>
        <v>0</v>
      </c>
      <c r="BH113" s="26">
        <f t="shared" si="137"/>
        <v>0</v>
      </c>
      <c r="BI113" s="27">
        <f t="shared" si="138"/>
        <v>0</v>
      </c>
      <c r="BJ113" s="454"/>
    </row>
    <row r="114" spans="1:62" s="92" customFormat="1" hidden="1" outlineLevel="1" x14ac:dyDescent="0.3">
      <c r="A114" s="21" t="s">
        <v>135</v>
      </c>
      <c r="B114" s="2"/>
      <c r="C114" s="23"/>
      <c r="D114" s="53"/>
      <c r="E114" s="85"/>
      <c r="F114" s="39"/>
      <c r="G114" s="32"/>
      <c r="H114" s="237"/>
      <c r="I114" s="26">
        <f>-SUMIFS(T_HEADCOUNT!$E:$E,T_HEADCOUNT!$C:$C,"- Chefe de Bar",T_HEADCOUNT!$D:$D,"1/2026",T_HEADCOUNT!$B:$B,"PJ")</f>
        <v>0</v>
      </c>
      <c r="J114" s="27">
        <f>SUMIFS(Aut_BlueMe_Sem_Pedido!$J:$J,Aut_BlueMe_Sem_Pedido!$Q:$Q,DRE!H$4,Aut_BlueMe_Sem_Pedido!$N:$N,DRE!$A114,Aut_BlueMe_Sem_Pedido!$H:$H,"MDO PJ Fixo")+SUMIFS(Aut_Ajustes_Manuais!$G:$G,Aut_Ajustes_Manuais!$I:$I,DRE!H$4,Aut_Ajustes_Manuais!$J:$J,"  - Chefe de Bar")</f>
        <v>0</v>
      </c>
      <c r="K114" s="237"/>
      <c r="L114" s="26">
        <f>-SUMIFS(T_HEADCOUNT!$E:$E,T_HEADCOUNT!$C:$C,"- Chefe de Bar",T_HEADCOUNT!$D:$D,"2/2026",T_HEADCOUNT!$B:$B,"PJ")</f>
        <v>0</v>
      </c>
      <c r="M114" s="27">
        <f>SUMIFS(Aut_BlueMe_Sem_Pedido!$J:$J,Aut_BlueMe_Sem_Pedido!$Q:$Q,DRE!K$4,Aut_BlueMe_Sem_Pedido!$N:$N,DRE!$A114,Aut_BlueMe_Sem_Pedido!$H:$H,"MDO PJ Fixo")+SUMIFS(Aut_Ajustes_Manuais!$G:$G,Aut_Ajustes_Manuais!$I:$I,DRE!K$4,Aut_Ajustes_Manuais!$J:$J,"  - Chefe de Bar")</f>
        <v>0</v>
      </c>
      <c r="N114" s="237"/>
      <c r="O114" s="26">
        <f>-SUMIFS(T_HEADCOUNT!$E:$E,T_HEADCOUNT!$C:$C,"- Chefe de Bar",T_HEADCOUNT!$D:$D,"3/2026",T_HEADCOUNT!$B:$B,"PJ")</f>
        <v>0</v>
      </c>
      <c r="P114" s="27">
        <f>SUMIFS(Aut_BlueMe_Sem_Pedido!$J:$J,Aut_BlueMe_Sem_Pedido!$Q:$Q,DRE!N$4,Aut_BlueMe_Sem_Pedido!$N:$N,DRE!$A114,Aut_BlueMe_Sem_Pedido!$H:$H,"MDO PJ Fixo")+SUMIFS(Aut_Ajustes_Manuais!$G:$G,Aut_Ajustes_Manuais!$I:$I,DRE!N$4,Aut_Ajustes_Manuais!$J:$J,"  - Chefe de Bar")</f>
        <v>0</v>
      </c>
      <c r="Q114" s="237"/>
      <c r="R114" s="26">
        <f>-SUMIFS(T_HEADCOUNT!$E:$E,T_HEADCOUNT!$C:$C,"- Chefe de Bar",T_HEADCOUNT!$D:$D,"4/2026",T_HEADCOUNT!$B:$B,"PJ")</f>
        <v>0</v>
      </c>
      <c r="S114" s="27">
        <f>SUMIFS(Aut_BlueMe_Sem_Pedido!$J:$J,Aut_BlueMe_Sem_Pedido!$Q:$Q,DRE!Q$4,Aut_BlueMe_Sem_Pedido!$N:$N,DRE!$A114,Aut_BlueMe_Sem_Pedido!$H:$H,"MDO PJ Fixo")+SUMIFS(Aut_Ajustes_Manuais!$G:$G,Aut_Ajustes_Manuais!$I:$I,DRE!Q$4,Aut_Ajustes_Manuais!$J:$J,"  - Chefe de Bar")</f>
        <v>0</v>
      </c>
      <c r="T114" s="237"/>
      <c r="U114" s="26">
        <f>-SUMIFS(T_HEADCOUNT!$E:$E,T_HEADCOUNT!$C:$C,"- Chefe de Bar",T_HEADCOUNT!$D:$D,"5/2026",T_HEADCOUNT!$B:$B,"PJ")</f>
        <v>0</v>
      </c>
      <c r="V114" s="27">
        <f>SUMIFS(Aut_BlueMe_Sem_Pedido!$J:$J,Aut_BlueMe_Sem_Pedido!$Q:$Q,DRE!T$4,Aut_BlueMe_Sem_Pedido!$N:$N,DRE!$A114,Aut_BlueMe_Sem_Pedido!$H:$H,"MDO PJ Fixo")+SUMIFS(Aut_Ajustes_Manuais!$G:$G,Aut_Ajustes_Manuais!$I:$I,DRE!T$4,Aut_Ajustes_Manuais!$J:$J,"  - Chefe de Bar")</f>
        <v>0</v>
      </c>
      <c r="W114" s="237"/>
      <c r="X114" s="26">
        <f>-SUMIFS(T_HEADCOUNT!$E:$E,T_HEADCOUNT!$C:$C,"- Chefe de Bar",T_HEADCOUNT!$D:$D,"6/2026",T_HEADCOUNT!$B:$B,"PJ")</f>
        <v>0</v>
      </c>
      <c r="Y114" s="27">
        <f>SUMIFS(Aut_BlueMe_Sem_Pedido!$J:$J,Aut_BlueMe_Sem_Pedido!$Q:$Q,DRE!W$4,Aut_BlueMe_Sem_Pedido!$N:$N,DRE!$A114,Aut_BlueMe_Sem_Pedido!$H:$H,"MDO PJ Fixo")+SUMIFS(Aut_Ajustes_Manuais!$G:$G,Aut_Ajustes_Manuais!$I:$I,DRE!W$4,Aut_Ajustes_Manuais!$J:$J,"  - Chefe de Bar")</f>
        <v>0</v>
      </c>
      <c r="Z114" s="237"/>
      <c r="AA114" s="26">
        <f>-SUMIFS(T_HEADCOUNT!$E:$E,T_HEADCOUNT!$C:$C,"- Chefe de Bar",T_HEADCOUNT!$D:$D,"7/2026",T_HEADCOUNT!$B:$B,"PJ")</f>
        <v>0</v>
      </c>
      <c r="AB114" s="27">
        <f>SUMIFS(Aut_BlueMe_Sem_Pedido!$J:$J,Aut_BlueMe_Sem_Pedido!$Q:$Q,DRE!Z$4,Aut_BlueMe_Sem_Pedido!$N:$N,DRE!$A114,Aut_BlueMe_Sem_Pedido!$H:$H,"MDO PJ Fixo")+SUMIFS(Aut_Ajustes_Manuais!$G:$G,Aut_Ajustes_Manuais!$I:$I,DRE!Z$4,Aut_Ajustes_Manuais!$J:$J,"  - Chefe de Bar")</f>
        <v>0</v>
      </c>
      <c r="AC114" s="237"/>
      <c r="AD114" s="26">
        <f>-SUMIFS(T_HEADCOUNT!$E:$E,T_HEADCOUNT!$C:$C,"- Chefe de Bar",T_HEADCOUNT!$D:$D,"8/2026",T_HEADCOUNT!$B:$B,"PJ")</f>
        <v>0</v>
      </c>
      <c r="AE114" s="27">
        <f>SUMIFS(Aut_BlueMe_Sem_Pedido!$J:$J,Aut_BlueMe_Sem_Pedido!$Q:$Q,DRE!AC$4,Aut_BlueMe_Sem_Pedido!$N:$N,DRE!$A114,Aut_BlueMe_Sem_Pedido!$H:$H,"MDO PJ Fixo")+SUMIFS(Aut_Ajustes_Manuais!$G:$G,Aut_Ajustes_Manuais!$I:$I,DRE!AC$4,Aut_Ajustes_Manuais!$J:$J,"  - Chefe de Bar")</f>
        <v>0</v>
      </c>
      <c r="AF114" s="237"/>
      <c r="AG114" s="26">
        <f>-SUMIFS(T_HEADCOUNT!$E:$E,T_HEADCOUNT!$C:$C,"- Chefe de Bar",T_HEADCOUNT!$D:$D,"9/2026",T_HEADCOUNT!$B:$B,"PJ")</f>
        <v>0</v>
      </c>
      <c r="AH114" s="27">
        <f>SUMIFS(Aut_BlueMe_Sem_Pedido!$J:$J,Aut_BlueMe_Sem_Pedido!$Q:$Q,DRE!AF$4,Aut_BlueMe_Sem_Pedido!$N:$N,DRE!$A114,Aut_BlueMe_Sem_Pedido!$H:$H,"MDO PJ Fixo")+SUMIFS(Aut_Ajustes_Manuais!$G:$G,Aut_Ajustes_Manuais!$I:$I,DRE!AF$4,Aut_Ajustes_Manuais!$J:$J,"  - Chefe de Bar")</f>
        <v>0</v>
      </c>
      <c r="AI114" s="237"/>
      <c r="AJ114" s="26">
        <f>-SUMIFS(T_HEADCOUNT!$E:$E,T_HEADCOUNT!$C:$C,"- Chefe de Bar",T_HEADCOUNT!$D:$D,"10/2026",T_HEADCOUNT!$B:$B,"PJ")</f>
        <v>0</v>
      </c>
      <c r="AK114" s="27">
        <f>SUMIFS(Aut_BlueMe_Sem_Pedido!$J:$J,Aut_BlueMe_Sem_Pedido!$Q:$Q,DRE!AI$4,Aut_BlueMe_Sem_Pedido!$N:$N,DRE!$A114,Aut_BlueMe_Sem_Pedido!$H:$H,"MDO PJ Fixo")+SUMIFS(Aut_Ajustes_Manuais!$G:$G,Aut_Ajustes_Manuais!$I:$I,DRE!AI$4,Aut_Ajustes_Manuais!$J:$J,"  - Chefe de Bar")</f>
        <v>0</v>
      </c>
      <c r="AL114" s="237"/>
      <c r="AM114" s="26">
        <f>-SUMIFS(T_HEADCOUNT!$E:$E,T_HEADCOUNT!$C:$C,"- Chefe de Bar",T_HEADCOUNT!$D:$D,"11/2026",T_HEADCOUNT!$B:$B,"PJ")</f>
        <v>0</v>
      </c>
      <c r="AN114" s="27">
        <f>SUMIFS(Aut_BlueMe_Sem_Pedido!$J:$J,Aut_BlueMe_Sem_Pedido!$Q:$Q,DRE!AL$4,Aut_BlueMe_Sem_Pedido!$N:$N,DRE!$A114,Aut_BlueMe_Sem_Pedido!$H:$H,"MDO PJ Fixo")+SUMIFS(Aut_Ajustes_Manuais!$G:$G,Aut_Ajustes_Manuais!$I:$I,DRE!AL$4,Aut_Ajustes_Manuais!$J:$J,"  - Chefe de Bar")</f>
        <v>0</v>
      </c>
      <c r="AO114" s="237"/>
      <c r="AP114" s="26">
        <f>-SUMIFS(T_HEADCOUNT!$E:$E,T_HEADCOUNT!$C:$C,"- Chefe de Bar",T_HEADCOUNT!$D:$D,"12/2026",T_HEADCOUNT!$B:$B,"PJ")</f>
        <v>0</v>
      </c>
      <c r="AQ114" s="27">
        <f>SUMIFS(Aut_BlueMe_Sem_Pedido!$J:$J,Aut_BlueMe_Sem_Pedido!$Q:$Q,DRE!AO$4,Aut_BlueMe_Sem_Pedido!$N:$N,DRE!$A114,Aut_BlueMe_Sem_Pedido!$H:$H,"MDO PJ Fixo")+SUMIFS(Aut_Ajustes_Manuais!$G:$G,Aut_Ajustes_Manuais!$I:$I,DRE!AO$4,Aut_Ajustes_Manuais!$J:$J,"  - Chefe de Bar")</f>
        <v>0</v>
      </c>
      <c r="AR114" s="237">
        <f t="shared" ca="1" si="120"/>
        <v>0</v>
      </c>
      <c r="AS114" s="26">
        <f t="shared" ca="1" si="121"/>
        <v>0</v>
      </c>
      <c r="AT114" s="27">
        <f t="shared" ca="1" si="122"/>
        <v>0</v>
      </c>
      <c r="AU114" s="237">
        <f t="shared" si="124"/>
        <v>0</v>
      </c>
      <c r="AV114" s="26">
        <f t="shared" si="125"/>
        <v>0</v>
      </c>
      <c r="AW114" s="27">
        <f t="shared" si="126"/>
        <v>0</v>
      </c>
      <c r="AX114" s="237">
        <f t="shared" si="127"/>
        <v>0</v>
      </c>
      <c r="AY114" s="26">
        <f t="shared" si="128"/>
        <v>0</v>
      </c>
      <c r="AZ114" s="27">
        <f t="shared" si="129"/>
        <v>0</v>
      </c>
      <c r="BA114" s="237">
        <f t="shared" si="130"/>
        <v>0</v>
      </c>
      <c r="BB114" s="26">
        <f t="shared" si="131"/>
        <v>0</v>
      </c>
      <c r="BC114" s="27">
        <f t="shared" si="132"/>
        <v>0</v>
      </c>
      <c r="BD114" s="237">
        <f t="shared" si="133"/>
        <v>0</v>
      </c>
      <c r="BE114" s="26">
        <f t="shared" si="134"/>
        <v>0</v>
      </c>
      <c r="BF114" s="27">
        <f t="shared" si="135"/>
        <v>0</v>
      </c>
      <c r="BG114" s="237">
        <f t="shared" si="136"/>
        <v>0</v>
      </c>
      <c r="BH114" s="26">
        <f t="shared" si="137"/>
        <v>0</v>
      </c>
      <c r="BI114" s="27">
        <f t="shared" si="138"/>
        <v>0</v>
      </c>
      <c r="BJ114" s="454"/>
    </row>
    <row r="115" spans="1:62" s="92" customFormat="1" hidden="1" outlineLevel="1" x14ac:dyDescent="0.3">
      <c r="A115" s="21" t="s">
        <v>136</v>
      </c>
      <c r="B115" s="2"/>
      <c r="C115" s="23"/>
      <c r="D115" s="53"/>
      <c r="E115" s="85"/>
      <c r="F115" s="39"/>
      <c r="G115" s="32"/>
      <c r="H115" s="237"/>
      <c r="I115" s="26">
        <f>-SUMIFS(T_HEADCOUNT!$E:$E,T_HEADCOUNT!$C:$C,"- Sub Chefe de Cozinha",T_HEADCOUNT!$D:$D,"1/2026",T_HEADCOUNT!$B:$B,"PJ")</f>
        <v>0</v>
      </c>
      <c r="J115" s="27">
        <f>SUMIFS(Aut_BlueMe_Sem_Pedido!$J:$J,Aut_BlueMe_Sem_Pedido!$Q:$Q,DRE!H$4,Aut_BlueMe_Sem_Pedido!$N:$N,DRE!$A115,Aut_BlueMe_Sem_Pedido!$H:$H,"MDO PJ Fixo")+SUMIFS(Aut_Ajustes_Manuais!$G:$G,Aut_Ajustes_Manuais!$I:$I,DRE!H$4,Aut_Ajustes_Manuais!$J:$J,"  - Sub Chefe de Cozinha")</f>
        <v>0</v>
      </c>
      <c r="K115" s="237"/>
      <c r="L115" s="26">
        <f>-SUMIFS(T_HEADCOUNT!$E:$E,T_HEADCOUNT!$C:$C,"- Sub Chefe de Cozinha",T_HEADCOUNT!$D:$D,"2/2026",T_HEADCOUNT!$B:$B,"PJ")</f>
        <v>0</v>
      </c>
      <c r="M115" s="27">
        <f>SUMIFS(Aut_BlueMe_Sem_Pedido!$J:$J,Aut_BlueMe_Sem_Pedido!$Q:$Q,DRE!K$4,Aut_BlueMe_Sem_Pedido!$N:$N,DRE!$A115,Aut_BlueMe_Sem_Pedido!$H:$H,"MDO PJ Fixo")+SUMIFS(Aut_Ajustes_Manuais!$G:$G,Aut_Ajustes_Manuais!$I:$I,DRE!K$4,Aut_Ajustes_Manuais!$J:$J,"  - Sub Chefe de Cozinha")</f>
        <v>0</v>
      </c>
      <c r="N115" s="237"/>
      <c r="O115" s="26">
        <f>-SUMIFS(T_HEADCOUNT!$E:$E,T_HEADCOUNT!$C:$C,"- Sub Chefe de Cozinha",T_HEADCOUNT!$D:$D,"3/2026",T_HEADCOUNT!$B:$B,"PJ")</f>
        <v>0</v>
      </c>
      <c r="P115" s="27">
        <f>SUMIFS(Aut_BlueMe_Sem_Pedido!$J:$J,Aut_BlueMe_Sem_Pedido!$Q:$Q,DRE!N$4,Aut_BlueMe_Sem_Pedido!$N:$N,DRE!$A115,Aut_BlueMe_Sem_Pedido!$H:$H,"MDO PJ Fixo")+SUMIFS(Aut_Ajustes_Manuais!$G:$G,Aut_Ajustes_Manuais!$I:$I,DRE!N$4,Aut_Ajustes_Manuais!$J:$J,"  - Sub Chefe de Cozinha")</f>
        <v>0</v>
      </c>
      <c r="Q115" s="237"/>
      <c r="R115" s="26">
        <f>-SUMIFS(T_HEADCOUNT!$E:$E,T_HEADCOUNT!$C:$C,"- Sub Chefe de Cozinha",T_HEADCOUNT!$D:$D,"4/2026",T_HEADCOUNT!$B:$B,"PJ")</f>
        <v>0</v>
      </c>
      <c r="S115" s="27">
        <f>SUMIFS(Aut_BlueMe_Sem_Pedido!$J:$J,Aut_BlueMe_Sem_Pedido!$Q:$Q,DRE!Q$4,Aut_BlueMe_Sem_Pedido!$N:$N,DRE!$A115,Aut_BlueMe_Sem_Pedido!$H:$H,"MDO PJ Fixo")+SUMIFS(Aut_Ajustes_Manuais!$G:$G,Aut_Ajustes_Manuais!$I:$I,DRE!Q$4,Aut_Ajustes_Manuais!$J:$J,"  - Sub Chefe de Cozinha")</f>
        <v>0</v>
      </c>
      <c r="T115" s="237"/>
      <c r="U115" s="26">
        <f>-SUMIFS(T_HEADCOUNT!$E:$E,T_HEADCOUNT!$C:$C,"- Sub Chefe de Cozinha",T_HEADCOUNT!$D:$D,"5/2026",T_HEADCOUNT!$B:$B,"PJ")</f>
        <v>0</v>
      </c>
      <c r="V115" s="27">
        <f>SUMIFS(Aut_BlueMe_Sem_Pedido!$J:$J,Aut_BlueMe_Sem_Pedido!$Q:$Q,DRE!T$4,Aut_BlueMe_Sem_Pedido!$N:$N,DRE!$A115,Aut_BlueMe_Sem_Pedido!$H:$H,"MDO PJ Fixo")+SUMIFS(Aut_Ajustes_Manuais!$G:$G,Aut_Ajustes_Manuais!$I:$I,DRE!T$4,Aut_Ajustes_Manuais!$J:$J,"  - Sub Chefe de Cozinha")</f>
        <v>0</v>
      </c>
      <c r="W115" s="237"/>
      <c r="X115" s="26">
        <f>-SUMIFS(T_HEADCOUNT!$E:$E,T_HEADCOUNT!$C:$C,"- Sub Chefe de Cozinha",T_HEADCOUNT!$D:$D,"6/2026",T_HEADCOUNT!$B:$B,"PJ")</f>
        <v>0</v>
      </c>
      <c r="Y115" s="27">
        <f>SUMIFS(Aut_BlueMe_Sem_Pedido!$J:$J,Aut_BlueMe_Sem_Pedido!$Q:$Q,DRE!W$4,Aut_BlueMe_Sem_Pedido!$N:$N,DRE!$A115,Aut_BlueMe_Sem_Pedido!$H:$H,"MDO PJ Fixo")+SUMIFS(Aut_Ajustes_Manuais!$G:$G,Aut_Ajustes_Manuais!$I:$I,DRE!W$4,Aut_Ajustes_Manuais!$J:$J,"  - Sub Chefe de Cozinha")</f>
        <v>0</v>
      </c>
      <c r="Z115" s="237"/>
      <c r="AA115" s="26">
        <f>-SUMIFS(T_HEADCOUNT!$E:$E,T_HEADCOUNT!$C:$C,"- Sub Chefe de Cozinha",T_HEADCOUNT!$D:$D,"7/2026",T_HEADCOUNT!$B:$B,"PJ")</f>
        <v>0</v>
      </c>
      <c r="AB115" s="27">
        <f>SUMIFS(Aut_BlueMe_Sem_Pedido!$J:$J,Aut_BlueMe_Sem_Pedido!$Q:$Q,DRE!Z$4,Aut_BlueMe_Sem_Pedido!$N:$N,DRE!$A115,Aut_BlueMe_Sem_Pedido!$H:$H,"MDO PJ Fixo")+SUMIFS(Aut_Ajustes_Manuais!$G:$G,Aut_Ajustes_Manuais!$I:$I,DRE!Z$4,Aut_Ajustes_Manuais!$J:$J,"  - Sub Chefe de Cozinha")</f>
        <v>0</v>
      </c>
      <c r="AC115" s="237"/>
      <c r="AD115" s="26">
        <f>-SUMIFS(T_HEADCOUNT!$E:$E,T_HEADCOUNT!$C:$C,"- Sub Chefe de Cozinha",T_HEADCOUNT!$D:$D,"8/2026",T_HEADCOUNT!$B:$B,"PJ")</f>
        <v>0</v>
      </c>
      <c r="AE115" s="27">
        <f>SUMIFS(Aut_BlueMe_Sem_Pedido!$J:$J,Aut_BlueMe_Sem_Pedido!$Q:$Q,DRE!AC$4,Aut_BlueMe_Sem_Pedido!$N:$N,DRE!$A115,Aut_BlueMe_Sem_Pedido!$H:$H,"MDO PJ Fixo")+SUMIFS(Aut_Ajustes_Manuais!$G:$G,Aut_Ajustes_Manuais!$I:$I,DRE!AC$4,Aut_Ajustes_Manuais!$J:$J,"  - Sub Chefe de Cozinha")</f>
        <v>0</v>
      </c>
      <c r="AF115" s="237"/>
      <c r="AG115" s="26">
        <f>-SUMIFS(T_HEADCOUNT!$E:$E,T_HEADCOUNT!$C:$C,"- Sub Chefe de Cozinha",T_HEADCOUNT!$D:$D,"9/2026",T_HEADCOUNT!$B:$B,"PJ")</f>
        <v>0</v>
      </c>
      <c r="AH115" s="27">
        <f>SUMIFS(Aut_BlueMe_Sem_Pedido!$J:$J,Aut_BlueMe_Sem_Pedido!$Q:$Q,DRE!AF$4,Aut_BlueMe_Sem_Pedido!$N:$N,DRE!$A115,Aut_BlueMe_Sem_Pedido!$H:$H,"MDO PJ Fixo")+SUMIFS(Aut_Ajustes_Manuais!$G:$G,Aut_Ajustes_Manuais!$I:$I,DRE!AF$4,Aut_Ajustes_Manuais!$J:$J,"  - Sub Chefe de Cozinha")</f>
        <v>0</v>
      </c>
      <c r="AI115" s="237"/>
      <c r="AJ115" s="26">
        <f>-SUMIFS(T_HEADCOUNT!$E:$E,T_HEADCOUNT!$C:$C,"- Sub Chefe de Cozinha",T_HEADCOUNT!$D:$D,"10/2026",T_HEADCOUNT!$B:$B,"PJ")</f>
        <v>0</v>
      </c>
      <c r="AK115" s="27">
        <f>SUMIFS(Aut_BlueMe_Sem_Pedido!$J:$J,Aut_BlueMe_Sem_Pedido!$Q:$Q,DRE!AI$4,Aut_BlueMe_Sem_Pedido!$N:$N,DRE!$A115,Aut_BlueMe_Sem_Pedido!$H:$H,"MDO PJ Fixo")+SUMIFS(Aut_Ajustes_Manuais!$G:$G,Aut_Ajustes_Manuais!$I:$I,DRE!AI$4,Aut_Ajustes_Manuais!$J:$J,"  - Sub Chefe de Cozinha")</f>
        <v>0</v>
      </c>
      <c r="AL115" s="237"/>
      <c r="AM115" s="26">
        <f>-SUMIFS(T_HEADCOUNT!$E:$E,T_HEADCOUNT!$C:$C,"- Sub Chefe de Cozinha",T_HEADCOUNT!$D:$D,"11/2026",T_HEADCOUNT!$B:$B,"PJ")</f>
        <v>0</v>
      </c>
      <c r="AN115" s="27">
        <f>SUMIFS(Aut_BlueMe_Sem_Pedido!$J:$J,Aut_BlueMe_Sem_Pedido!$Q:$Q,DRE!AL$4,Aut_BlueMe_Sem_Pedido!$N:$N,DRE!$A115,Aut_BlueMe_Sem_Pedido!$H:$H,"MDO PJ Fixo")+SUMIFS(Aut_Ajustes_Manuais!$G:$G,Aut_Ajustes_Manuais!$I:$I,DRE!AL$4,Aut_Ajustes_Manuais!$J:$J,"  - Sub Chefe de Cozinha")</f>
        <v>0</v>
      </c>
      <c r="AO115" s="237"/>
      <c r="AP115" s="26">
        <f>-SUMIFS(T_HEADCOUNT!$E:$E,T_HEADCOUNT!$C:$C,"- Sub Chefe de Cozinha",T_HEADCOUNT!$D:$D,"12/2026",T_HEADCOUNT!$B:$B,"PJ")</f>
        <v>0</v>
      </c>
      <c r="AQ115" s="27">
        <f>SUMIFS(Aut_BlueMe_Sem_Pedido!$J:$J,Aut_BlueMe_Sem_Pedido!$Q:$Q,DRE!AO$4,Aut_BlueMe_Sem_Pedido!$N:$N,DRE!$A115,Aut_BlueMe_Sem_Pedido!$H:$H,"MDO PJ Fixo")+SUMIFS(Aut_Ajustes_Manuais!$G:$G,Aut_Ajustes_Manuais!$I:$I,DRE!AO$4,Aut_Ajustes_Manuais!$J:$J,"  - Sub Chefe de Cozinha")</f>
        <v>0</v>
      </c>
      <c r="AR115" s="237">
        <f t="shared" ca="1" si="120"/>
        <v>0</v>
      </c>
      <c r="AS115" s="26">
        <f t="shared" ca="1" si="121"/>
        <v>0</v>
      </c>
      <c r="AT115" s="27">
        <f t="shared" ca="1" si="122"/>
        <v>0</v>
      </c>
      <c r="AU115" s="237">
        <f t="shared" si="124"/>
        <v>0</v>
      </c>
      <c r="AV115" s="26">
        <f t="shared" si="125"/>
        <v>0</v>
      </c>
      <c r="AW115" s="27">
        <f t="shared" si="126"/>
        <v>0</v>
      </c>
      <c r="AX115" s="237">
        <f t="shared" si="127"/>
        <v>0</v>
      </c>
      <c r="AY115" s="26">
        <f t="shared" si="128"/>
        <v>0</v>
      </c>
      <c r="AZ115" s="27">
        <f t="shared" si="129"/>
        <v>0</v>
      </c>
      <c r="BA115" s="237">
        <f t="shared" si="130"/>
        <v>0</v>
      </c>
      <c r="BB115" s="26">
        <f t="shared" si="131"/>
        <v>0</v>
      </c>
      <c r="BC115" s="27">
        <f t="shared" si="132"/>
        <v>0</v>
      </c>
      <c r="BD115" s="237">
        <f t="shared" si="133"/>
        <v>0</v>
      </c>
      <c r="BE115" s="26">
        <f t="shared" si="134"/>
        <v>0</v>
      </c>
      <c r="BF115" s="27">
        <f t="shared" si="135"/>
        <v>0</v>
      </c>
      <c r="BG115" s="237">
        <f t="shared" si="136"/>
        <v>0</v>
      </c>
      <c r="BH115" s="26">
        <f t="shared" si="137"/>
        <v>0</v>
      </c>
      <c r="BI115" s="27">
        <f t="shared" si="138"/>
        <v>0</v>
      </c>
      <c r="BJ115" s="454"/>
    </row>
    <row r="116" spans="1:62" s="92" customFormat="1" hidden="1" outlineLevel="1" x14ac:dyDescent="0.3">
      <c r="A116" s="21" t="s">
        <v>137</v>
      </c>
      <c r="B116" s="2"/>
      <c r="C116" s="23"/>
      <c r="D116" s="53"/>
      <c r="E116" s="85"/>
      <c r="F116" s="39"/>
      <c r="G116" s="32"/>
      <c r="H116" s="237"/>
      <c r="I116" s="26">
        <f>-SUMIFS(T_HEADCOUNT!$E:$E,T_HEADCOUNT!$C:$C,"- Sub Chefe De Bar",T_HEADCOUNT!$D:$D,"1/2026",T_HEADCOUNT!$B:$B,"PJ")</f>
        <v>0</v>
      </c>
      <c r="J116" s="27">
        <f>SUMIFS(Aut_BlueMe_Sem_Pedido!$J:$J,Aut_BlueMe_Sem_Pedido!$Q:$Q,DRE!H$4,Aut_BlueMe_Sem_Pedido!$N:$N,DRE!$A116)+SUMIFS(Aut_Ajustes_Manuais!$G:$G,Aut_Ajustes_Manuais!$I:$I,DRE!H$4,Aut_Ajustes_Manuais!$J:$J,"  - Sub Chefe De Bar")</f>
        <v>0</v>
      </c>
      <c r="K116" s="237"/>
      <c r="L116" s="26">
        <f>-SUMIFS(T_HEADCOUNT!$E:$E,T_HEADCOUNT!$C:$C,"- Sub Chefe De Bar",T_HEADCOUNT!$D:$D,"2/2026",T_HEADCOUNT!$B:$B,"PJ")</f>
        <v>0</v>
      </c>
      <c r="M116" s="27">
        <f>SUMIFS(Aut_BlueMe_Sem_Pedido!$J:$J,Aut_BlueMe_Sem_Pedido!$Q:$Q,DRE!K$4,Aut_BlueMe_Sem_Pedido!$N:$N,DRE!$A116)+SUMIFS(Aut_Ajustes_Manuais!$G:$G,Aut_Ajustes_Manuais!$I:$I,DRE!K$4,Aut_Ajustes_Manuais!$J:$J,"  - Sub Chefe De Bar")</f>
        <v>0</v>
      </c>
      <c r="N116" s="237"/>
      <c r="O116" s="26">
        <f>-SUMIFS(T_HEADCOUNT!$E:$E,T_HEADCOUNT!$C:$C,"- Sub Chefe De Bar",T_HEADCOUNT!$D:$D,"3/2026",T_HEADCOUNT!$B:$B,"PJ")</f>
        <v>0</v>
      </c>
      <c r="P116" s="27">
        <f>SUMIFS(Aut_BlueMe_Sem_Pedido!$J:$J,Aut_BlueMe_Sem_Pedido!$Q:$Q,DRE!N$4,Aut_BlueMe_Sem_Pedido!$N:$N,DRE!$A116)+SUMIFS(Aut_Ajustes_Manuais!$G:$G,Aut_Ajustes_Manuais!$I:$I,DRE!N$4,Aut_Ajustes_Manuais!$J:$J,"  - Sub Chefe De Bar")</f>
        <v>0</v>
      </c>
      <c r="Q116" s="237"/>
      <c r="R116" s="26">
        <f>-SUMIFS(T_HEADCOUNT!$E:$E,T_HEADCOUNT!$C:$C,"- Sub Chefe De Bar",T_HEADCOUNT!$D:$D,"4/2026",T_HEADCOUNT!$B:$B,"PJ")</f>
        <v>0</v>
      </c>
      <c r="S116" s="27">
        <f>SUMIFS(Aut_BlueMe_Sem_Pedido!$J:$J,Aut_BlueMe_Sem_Pedido!$Q:$Q,DRE!Q$4,Aut_BlueMe_Sem_Pedido!$N:$N,DRE!$A116)+SUMIFS(Aut_Ajustes_Manuais!$G:$G,Aut_Ajustes_Manuais!$I:$I,DRE!Q$4,Aut_Ajustes_Manuais!$J:$J,"  - Sub Chefe De Bar")</f>
        <v>0</v>
      </c>
      <c r="T116" s="237"/>
      <c r="U116" s="26">
        <f>-SUMIFS(T_HEADCOUNT!$E:$E,T_HEADCOUNT!$C:$C,"- Sub Chefe De Bar",T_HEADCOUNT!$D:$D,"5/2026",T_HEADCOUNT!$B:$B,"PJ")</f>
        <v>0</v>
      </c>
      <c r="V116" s="27">
        <f>SUMIFS(Aut_BlueMe_Sem_Pedido!$J:$J,Aut_BlueMe_Sem_Pedido!$Q:$Q,DRE!T$4,Aut_BlueMe_Sem_Pedido!$N:$N,DRE!$A116)+SUMIFS(Aut_Ajustes_Manuais!$G:$G,Aut_Ajustes_Manuais!$I:$I,DRE!T$4,Aut_Ajustes_Manuais!$J:$J,"  - Sub Chefe De Bar")</f>
        <v>0</v>
      </c>
      <c r="W116" s="237"/>
      <c r="X116" s="26">
        <f>-SUMIFS(T_HEADCOUNT!$E:$E,T_HEADCOUNT!$C:$C,"- Sub Chefe De Bar",T_HEADCOUNT!$D:$D,"6/2026",T_HEADCOUNT!$B:$B,"PJ")</f>
        <v>0</v>
      </c>
      <c r="Y116" s="27">
        <f>SUMIFS(Aut_BlueMe_Sem_Pedido!$J:$J,Aut_BlueMe_Sem_Pedido!$Q:$Q,DRE!W$4,Aut_BlueMe_Sem_Pedido!$N:$N,DRE!$A116)+SUMIFS(Aut_Ajustes_Manuais!$G:$G,Aut_Ajustes_Manuais!$I:$I,DRE!W$4,Aut_Ajustes_Manuais!$J:$J,"  - Sub Chefe De Bar")</f>
        <v>0</v>
      </c>
      <c r="Z116" s="237"/>
      <c r="AA116" s="26">
        <f>-SUMIFS(T_HEADCOUNT!$E:$E,T_HEADCOUNT!$C:$C,"- Sub Chefe De Bar",T_HEADCOUNT!$D:$D,"7/2026",T_HEADCOUNT!$B:$B,"PJ")</f>
        <v>0</v>
      </c>
      <c r="AB116" s="27">
        <f>SUMIFS(Aut_BlueMe_Sem_Pedido!$J:$J,Aut_BlueMe_Sem_Pedido!$Q:$Q,DRE!Z$4,Aut_BlueMe_Sem_Pedido!$N:$N,DRE!$A116)+SUMIFS(Aut_Ajustes_Manuais!$G:$G,Aut_Ajustes_Manuais!$I:$I,DRE!Z$4,Aut_Ajustes_Manuais!$J:$J,"  - Sub Chefe De Bar")</f>
        <v>0</v>
      </c>
      <c r="AC116" s="237"/>
      <c r="AD116" s="26">
        <f>-SUMIFS(T_HEADCOUNT!$E:$E,T_HEADCOUNT!$C:$C,"- Sub Chefe De Bar",T_HEADCOUNT!$D:$D,"8/2026",T_HEADCOUNT!$B:$B,"PJ")</f>
        <v>0</v>
      </c>
      <c r="AE116" s="27">
        <f>SUMIFS(Aut_BlueMe_Sem_Pedido!$J:$J,Aut_BlueMe_Sem_Pedido!$Q:$Q,DRE!AC$4,Aut_BlueMe_Sem_Pedido!$N:$N,DRE!$A116)+SUMIFS(Aut_Ajustes_Manuais!$G:$G,Aut_Ajustes_Manuais!$I:$I,DRE!AC$4,Aut_Ajustes_Manuais!$J:$J,"  - Sub Chefe De Bar")</f>
        <v>0</v>
      </c>
      <c r="AF116" s="237"/>
      <c r="AG116" s="26">
        <f>-SUMIFS(T_HEADCOUNT!$E:$E,T_HEADCOUNT!$C:$C,"- Sub Chefe De Bar",T_HEADCOUNT!$D:$D,"9/2026",T_HEADCOUNT!$B:$B,"PJ")</f>
        <v>0</v>
      </c>
      <c r="AH116" s="27">
        <f>SUMIFS(Aut_BlueMe_Sem_Pedido!$J:$J,Aut_BlueMe_Sem_Pedido!$Q:$Q,DRE!AF$4,Aut_BlueMe_Sem_Pedido!$N:$N,DRE!$A116)+SUMIFS(Aut_Ajustes_Manuais!$G:$G,Aut_Ajustes_Manuais!$I:$I,DRE!AF$4,Aut_Ajustes_Manuais!$J:$J,"  - Sub Chefe De Bar")</f>
        <v>0</v>
      </c>
      <c r="AI116" s="237"/>
      <c r="AJ116" s="26">
        <f>-SUMIFS(T_HEADCOUNT!$E:$E,T_HEADCOUNT!$C:$C,"- Sub Chefe De Bar",T_HEADCOUNT!$D:$D,"10/2026",T_HEADCOUNT!$B:$B,"PJ")</f>
        <v>0</v>
      </c>
      <c r="AK116" s="27">
        <f>SUMIFS(Aut_BlueMe_Sem_Pedido!$J:$J,Aut_BlueMe_Sem_Pedido!$Q:$Q,DRE!AI$4,Aut_BlueMe_Sem_Pedido!$N:$N,DRE!$A116)+SUMIFS(Aut_Ajustes_Manuais!$G:$G,Aut_Ajustes_Manuais!$I:$I,DRE!AI$4,Aut_Ajustes_Manuais!$J:$J,"  - Sub Chefe De Bar")</f>
        <v>0</v>
      </c>
      <c r="AL116" s="237"/>
      <c r="AM116" s="26">
        <f>-SUMIFS(T_HEADCOUNT!$E:$E,T_HEADCOUNT!$C:$C,"- Sub Chefe De Bar",T_HEADCOUNT!$D:$D,"11/2026",T_HEADCOUNT!$B:$B,"PJ")</f>
        <v>0</v>
      </c>
      <c r="AN116" s="27">
        <f>SUMIFS(Aut_BlueMe_Sem_Pedido!$J:$J,Aut_BlueMe_Sem_Pedido!$Q:$Q,DRE!AL$4,Aut_BlueMe_Sem_Pedido!$N:$N,DRE!$A116)+SUMIFS(Aut_Ajustes_Manuais!$G:$G,Aut_Ajustes_Manuais!$I:$I,DRE!AL$4,Aut_Ajustes_Manuais!$J:$J,"  - Sub Chefe De Bar")</f>
        <v>0</v>
      </c>
      <c r="AO116" s="237"/>
      <c r="AP116" s="26">
        <f>-SUMIFS(T_HEADCOUNT!$E:$E,T_HEADCOUNT!$C:$C,"- Sub Chefe De Bar",T_HEADCOUNT!$D:$D,"12/2026",T_HEADCOUNT!$B:$B,"PJ")</f>
        <v>0</v>
      </c>
      <c r="AQ116" s="27">
        <f>SUMIFS(Aut_BlueMe_Sem_Pedido!$J:$J,Aut_BlueMe_Sem_Pedido!$Q:$Q,DRE!AO$4,Aut_BlueMe_Sem_Pedido!$N:$N,DRE!$A116)+SUMIFS(Aut_Ajustes_Manuais!$G:$G,Aut_Ajustes_Manuais!$I:$I,DRE!AO$4,Aut_Ajustes_Manuais!$J:$J,"  - Sub Chefe De Bar")</f>
        <v>0</v>
      </c>
      <c r="AR116" s="237">
        <f t="shared" ca="1" si="120"/>
        <v>0</v>
      </c>
      <c r="AS116" s="26">
        <f t="shared" ca="1" si="121"/>
        <v>0</v>
      </c>
      <c r="AT116" s="27">
        <f t="shared" ca="1" si="122"/>
        <v>0</v>
      </c>
      <c r="AU116" s="237">
        <f t="shared" si="124"/>
        <v>0</v>
      </c>
      <c r="AV116" s="26">
        <f t="shared" si="125"/>
        <v>0</v>
      </c>
      <c r="AW116" s="27">
        <f t="shared" si="126"/>
        <v>0</v>
      </c>
      <c r="AX116" s="237">
        <f t="shared" si="127"/>
        <v>0</v>
      </c>
      <c r="AY116" s="26">
        <f t="shared" si="128"/>
        <v>0</v>
      </c>
      <c r="AZ116" s="27">
        <f t="shared" si="129"/>
        <v>0</v>
      </c>
      <c r="BA116" s="237">
        <f t="shared" si="130"/>
        <v>0</v>
      </c>
      <c r="BB116" s="26">
        <f t="shared" si="131"/>
        <v>0</v>
      </c>
      <c r="BC116" s="27">
        <f t="shared" si="132"/>
        <v>0</v>
      </c>
      <c r="BD116" s="237">
        <f t="shared" si="133"/>
        <v>0</v>
      </c>
      <c r="BE116" s="26">
        <f t="shared" si="134"/>
        <v>0</v>
      </c>
      <c r="BF116" s="27">
        <f t="shared" si="135"/>
        <v>0</v>
      </c>
      <c r="BG116" s="237">
        <f t="shared" si="136"/>
        <v>0</v>
      </c>
      <c r="BH116" s="26">
        <f t="shared" si="137"/>
        <v>0</v>
      </c>
      <c r="BI116" s="27">
        <f t="shared" si="138"/>
        <v>0</v>
      </c>
      <c r="BJ116" s="454"/>
    </row>
    <row r="117" spans="1:62" s="92" customFormat="1" hidden="1" outlineLevel="1" x14ac:dyDescent="0.3">
      <c r="A117" s="21" t="s">
        <v>138</v>
      </c>
      <c r="B117" s="2"/>
      <c r="C117" s="23"/>
      <c r="D117" s="53"/>
      <c r="E117" s="85"/>
      <c r="F117" s="39"/>
      <c r="G117" s="32"/>
      <c r="H117" s="237"/>
      <c r="I117" s="26">
        <f>-SUMIFS(T_HEADCOUNT!$E:$E,T_HEADCOUNT!$C:$C,"- Maitre",T_HEADCOUNT!$D:$D,"1/2026",T_HEADCOUNT!$B:$B,"PJ")</f>
        <v>0</v>
      </c>
      <c r="J117" s="27">
        <f>SUMIFS(Aut_BlueMe_Sem_Pedido!$J:$J,Aut_BlueMe_Sem_Pedido!$Q:$Q,DRE!H$4,Aut_BlueMe_Sem_Pedido!$N:$N,DRE!$A117)+SUMIFS(Aut_Ajustes_Manuais!$G:$G,Aut_Ajustes_Manuais!$I:$I,DRE!H$4,Aut_Ajustes_Manuais!$J:$J,"  - Maitre")</f>
        <v>0</v>
      </c>
      <c r="K117" s="237"/>
      <c r="L117" s="26">
        <f>-SUMIFS(T_HEADCOUNT!$E:$E,T_HEADCOUNT!$C:$C,"- Maitre",T_HEADCOUNT!$D:$D,"2/2026",T_HEADCOUNT!$B:$B,"PJ")</f>
        <v>0</v>
      </c>
      <c r="M117" s="27">
        <f>SUMIFS(Aut_BlueMe_Sem_Pedido!$J:$J,Aut_BlueMe_Sem_Pedido!$Q:$Q,DRE!K$4,Aut_BlueMe_Sem_Pedido!$N:$N,DRE!$A117)+SUMIFS(Aut_Ajustes_Manuais!$G:$G,Aut_Ajustes_Manuais!$I:$I,DRE!K$4,Aut_Ajustes_Manuais!$J:$J,"  - Maitre")</f>
        <v>0</v>
      </c>
      <c r="N117" s="237"/>
      <c r="O117" s="26">
        <f>-SUMIFS(T_HEADCOUNT!$E:$E,T_HEADCOUNT!$C:$C,"- Maitre",T_HEADCOUNT!$D:$D,"3/2026",T_HEADCOUNT!$B:$B,"PJ")</f>
        <v>0</v>
      </c>
      <c r="P117" s="27">
        <f>SUMIFS(Aut_BlueMe_Sem_Pedido!$J:$J,Aut_BlueMe_Sem_Pedido!$Q:$Q,DRE!N$4,Aut_BlueMe_Sem_Pedido!$N:$N,DRE!$A117)+SUMIFS(Aut_Ajustes_Manuais!$G:$G,Aut_Ajustes_Manuais!$I:$I,DRE!N$4,Aut_Ajustes_Manuais!$J:$J,"  - Maitre")</f>
        <v>0</v>
      </c>
      <c r="Q117" s="237"/>
      <c r="R117" s="26">
        <f>-SUMIFS(T_HEADCOUNT!$E:$E,T_HEADCOUNT!$C:$C,"- Maitre",T_HEADCOUNT!$D:$D,"4/2026",T_HEADCOUNT!$B:$B,"PJ")</f>
        <v>0</v>
      </c>
      <c r="S117" s="27">
        <f>SUMIFS(Aut_BlueMe_Sem_Pedido!$J:$J,Aut_BlueMe_Sem_Pedido!$Q:$Q,DRE!Q$4,Aut_BlueMe_Sem_Pedido!$N:$N,DRE!$A117)+SUMIFS(Aut_Ajustes_Manuais!$G:$G,Aut_Ajustes_Manuais!$I:$I,DRE!Q$4,Aut_Ajustes_Manuais!$J:$J,"  - Maitre")</f>
        <v>0</v>
      </c>
      <c r="T117" s="237"/>
      <c r="U117" s="26">
        <f>-SUMIFS(T_HEADCOUNT!$E:$E,T_HEADCOUNT!$C:$C,"- Maitre",T_HEADCOUNT!$D:$D,"5/2026",T_HEADCOUNT!$B:$B,"PJ")</f>
        <v>0</v>
      </c>
      <c r="V117" s="27">
        <f>SUMIFS(Aut_BlueMe_Sem_Pedido!$J:$J,Aut_BlueMe_Sem_Pedido!$Q:$Q,DRE!T$4,Aut_BlueMe_Sem_Pedido!$N:$N,DRE!$A117)+SUMIFS(Aut_Ajustes_Manuais!$G:$G,Aut_Ajustes_Manuais!$I:$I,DRE!T$4,Aut_Ajustes_Manuais!$J:$J,"  - Maitre")</f>
        <v>0</v>
      </c>
      <c r="W117" s="237"/>
      <c r="X117" s="26">
        <f>-SUMIFS(T_HEADCOUNT!$E:$E,T_HEADCOUNT!$C:$C,"- Maitre",T_HEADCOUNT!$D:$D,"6/2026",T_HEADCOUNT!$B:$B,"PJ")</f>
        <v>0</v>
      </c>
      <c r="Y117" s="27">
        <f>SUMIFS(Aut_BlueMe_Sem_Pedido!$J:$J,Aut_BlueMe_Sem_Pedido!$Q:$Q,DRE!W$4,Aut_BlueMe_Sem_Pedido!$N:$N,DRE!$A117)+SUMIFS(Aut_Ajustes_Manuais!$G:$G,Aut_Ajustes_Manuais!$I:$I,DRE!W$4,Aut_Ajustes_Manuais!$J:$J,"  - Maitre")</f>
        <v>0</v>
      </c>
      <c r="Z117" s="237"/>
      <c r="AA117" s="26">
        <f>-SUMIFS(T_HEADCOUNT!$E:$E,T_HEADCOUNT!$C:$C,"- Maitre",T_HEADCOUNT!$D:$D,"7/2026",T_HEADCOUNT!$B:$B,"PJ")</f>
        <v>0</v>
      </c>
      <c r="AB117" s="27">
        <f>SUMIFS(Aut_BlueMe_Sem_Pedido!$J:$J,Aut_BlueMe_Sem_Pedido!$Q:$Q,DRE!Z$4,Aut_BlueMe_Sem_Pedido!$N:$N,DRE!$A117)+SUMIFS(Aut_Ajustes_Manuais!$G:$G,Aut_Ajustes_Manuais!$I:$I,DRE!Z$4,Aut_Ajustes_Manuais!$J:$J,"  - Maitre")</f>
        <v>-4500</v>
      </c>
      <c r="AC117" s="237"/>
      <c r="AD117" s="26">
        <f>-SUMIFS(T_HEADCOUNT!$E:$E,T_HEADCOUNT!$C:$C,"- Maitre",T_HEADCOUNT!$D:$D,"8/2026",T_HEADCOUNT!$B:$B,"PJ")</f>
        <v>0</v>
      </c>
      <c r="AE117" s="27">
        <f>SUMIFS(Aut_BlueMe_Sem_Pedido!$J:$J,Aut_BlueMe_Sem_Pedido!$Q:$Q,DRE!AC$4,Aut_BlueMe_Sem_Pedido!$N:$N,DRE!$A117)+SUMIFS(Aut_Ajustes_Manuais!$G:$G,Aut_Ajustes_Manuais!$I:$I,DRE!AC$4,Aut_Ajustes_Manuais!$J:$J,"  - Maitre")</f>
        <v>-4500</v>
      </c>
      <c r="AF117" s="237"/>
      <c r="AG117" s="26">
        <f>-SUMIFS(T_HEADCOUNT!$E:$E,T_HEADCOUNT!$C:$C,"- Maitre",T_HEADCOUNT!$D:$D,"9/2026",T_HEADCOUNT!$B:$B,"PJ")</f>
        <v>0</v>
      </c>
      <c r="AH117" s="27">
        <f>SUMIFS(Aut_BlueMe_Sem_Pedido!$J:$J,Aut_BlueMe_Sem_Pedido!$Q:$Q,DRE!AF$4,Aut_BlueMe_Sem_Pedido!$N:$N,DRE!$A117)+SUMIFS(Aut_Ajustes_Manuais!$G:$G,Aut_Ajustes_Manuais!$I:$I,DRE!AF$4,Aut_Ajustes_Manuais!$J:$J,"  - Maitre")</f>
        <v>-4500</v>
      </c>
      <c r="AI117" s="237"/>
      <c r="AJ117" s="26">
        <f>-SUMIFS(T_HEADCOUNT!$E:$E,T_HEADCOUNT!$C:$C,"- Maitre",T_HEADCOUNT!$D:$D,"10/2026",T_HEADCOUNT!$B:$B,"PJ")</f>
        <v>0</v>
      </c>
      <c r="AK117" s="27">
        <f>SUMIFS(Aut_BlueMe_Sem_Pedido!$J:$J,Aut_BlueMe_Sem_Pedido!$Q:$Q,DRE!AI$4,Aut_BlueMe_Sem_Pedido!$N:$N,DRE!$A117)+SUMIFS(Aut_Ajustes_Manuais!$G:$G,Aut_Ajustes_Manuais!$I:$I,DRE!AI$4,Aut_Ajustes_Manuais!$J:$J,"  - Maitre")</f>
        <v>-4500</v>
      </c>
      <c r="AL117" s="237"/>
      <c r="AM117" s="26">
        <f>-SUMIFS(T_HEADCOUNT!$E:$E,T_HEADCOUNT!$C:$C,"- Maitre",T_HEADCOUNT!$D:$D,"11/2026",T_HEADCOUNT!$B:$B,"PJ")</f>
        <v>0</v>
      </c>
      <c r="AN117" s="27">
        <f>SUMIFS(Aut_BlueMe_Sem_Pedido!$J:$J,Aut_BlueMe_Sem_Pedido!$Q:$Q,DRE!AL$4,Aut_BlueMe_Sem_Pedido!$N:$N,DRE!$A117)+SUMIFS(Aut_Ajustes_Manuais!$G:$G,Aut_Ajustes_Manuais!$I:$I,DRE!AL$4,Aut_Ajustes_Manuais!$J:$J,"  - Maitre")</f>
        <v>-4500</v>
      </c>
      <c r="AO117" s="237"/>
      <c r="AP117" s="26">
        <f>-SUMIFS(T_HEADCOUNT!$E:$E,T_HEADCOUNT!$C:$C,"- Maitre",T_HEADCOUNT!$D:$D,"12/2026",T_HEADCOUNT!$B:$B,"PJ")</f>
        <v>0</v>
      </c>
      <c r="AQ117" s="27">
        <f>SUMIFS(Aut_BlueMe_Sem_Pedido!$J:$J,Aut_BlueMe_Sem_Pedido!$Q:$Q,DRE!AO$4,Aut_BlueMe_Sem_Pedido!$N:$N,DRE!$A117)+SUMIFS(Aut_Ajustes_Manuais!$G:$G,Aut_Ajustes_Manuais!$I:$I,DRE!AO$4,Aut_Ajustes_Manuais!$J:$J,"  - Maitre")</f>
        <v>-4500</v>
      </c>
      <c r="AR117" s="237">
        <f t="shared" ca="1" si="120"/>
        <v>0</v>
      </c>
      <c r="AS117" s="26">
        <f t="shared" ca="1" si="121"/>
        <v>0</v>
      </c>
      <c r="AT117" s="27">
        <f t="shared" ca="1" si="122"/>
        <v>-9000</v>
      </c>
      <c r="AU117" s="237">
        <f t="shared" si="124"/>
        <v>0</v>
      </c>
      <c r="AV117" s="26">
        <f t="shared" si="125"/>
        <v>0</v>
      </c>
      <c r="AW117" s="27">
        <f t="shared" si="126"/>
        <v>-27000</v>
      </c>
      <c r="AX117" s="237">
        <f t="shared" si="127"/>
        <v>0</v>
      </c>
      <c r="AY117" s="26">
        <f t="shared" si="128"/>
        <v>0</v>
      </c>
      <c r="AZ117" s="27">
        <f t="shared" si="129"/>
        <v>0</v>
      </c>
      <c r="BA117" s="237">
        <f t="shared" si="130"/>
        <v>0</v>
      </c>
      <c r="BB117" s="26">
        <f t="shared" si="131"/>
        <v>0</v>
      </c>
      <c r="BC117" s="27">
        <f t="shared" si="132"/>
        <v>0</v>
      </c>
      <c r="BD117" s="237">
        <f t="shared" si="133"/>
        <v>0</v>
      </c>
      <c r="BE117" s="26">
        <f t="shared" si="134"/>
        <v>0</v>
      </c>
      <c r="BF117" s="27">
        <f t="shared" si="135"/>
        <v>-13500</v>
      </c>
      <c r="BG117" s="237">
        <f t="shared" si="136"/>
        <v>0</v>
      </c>
      <c r="BH117" s="26">
        <f t="shared" si="137"/>
        <v>0</v>
      </c>
      <c r="BI117" s="27">
        <f t="shared" si="138"/>
        <v>-13500</v>
      </c>
      <c r="BJ117" s="454"/>
    </row>
    <row r="118" spans="1:62" s="92" customFormat="1" hidden="1" outlineLevel="1" x14ac:dyDescent="0.3">
      <c r="A118" s="21" t="s">
        <v>139</v>
      </c>
      <c r="B118" s="2"/>
      <c r="C118" s="23"/>
      <c r="D118" s="53"/>
      <c r="E118" s="85"/>
      <c r="F118" s="39"/>
      <c r="G118" s="32"/>
      <c r="H118" s="237"/>
      <c r="I118" s="26">
        <f>-SUMIFS(T_HEADCOUNT!$E:$E,T_HEADCOUNT!$C:$C,"- Chefe de Fila",T_HEADCOUNT!$D:$D,"1/2026",T_HEADCOUNT!$B:$B,"PJ")</f>
        <v>0</v>
      </c>
      <c r="J118" s="27">
        <f>SUMIFS(Aut_BlueMe_Sem_Pedido!$J:$J,Aut_BlueMe_Sem_Pedido!$Q:$Q,DRE!H$4,Aut_BlueMe_Sem_Pedido!$N:$N,DRE!$A118)+SUMIFS(Aut_Ajustes_Manuais!$G:$G,Aut_Ajustes_Manuais!$I:$I,DRE!H$4,Aut_Ajustes_Manuais!$J:$J,"  - Chefe de Fila")</f>
        <v>0</v>
      </c>
      <c r="K118" s="237"/>
      <c r="L118" s="26">
        <f>-SUMIFS(T_HEADCOUNT!$E:$E,T_HEADCOUNT!$C:$C,"- Chefe de Fila",T_HEADCOUNT!$D:$D,"2/2026",T_HEADCOUNT!$B:$B,"PJ")</f>
        <v>0</v>
      </c>
      <c r="M118" s="27">
        <f>SUMIFS(Aut_BlueMe_Sem_Pedido!$J:$J,Aut_BlueMe_Sem_Pedido!$Q:$Q,DRE!K$4,Aut_BlueMe_Sem_Pedido!$N:$N,DRE!$A118)+SUMIFS(Aut_Ajustes_Manuais!$G:$G,Aut_Ajustes_Manuais!$I:$I,DRE!K$4,Aut_Ajustes_Manuais!$J:$J,"  - Chefe de Fila")</f>
        <v>0</v>
      </c>
      <c r="N118" s="237"/>
      <c r="O118" s="26">
        <f>-SUMIFS(T_HEADCOUNT!$E:$E,T_HEADCOUNT!$C:$C,"- Chefe de Fila",T_HEADCOUNT!$D:$D,"3/2026",T_HEADCOUNT!$B:$B,"PJ")</f>
        <v>0</v>
      </c>
      <c r="P118" s="27">
        <f>SUMIFS(Aut_BlueMe_Sem_Pedido!$J:$J,Aut_BlueMe_Sem_Pedido!$Q:$Q,DRE!N$4,Aut_BlueMe_Sem_Pedido!$N:$N,DRE!$A118)+SUMIFS(Aut_Ajustes_Manuais!$G:$G,Aut_Ajustes_Manuais!$I:$I,DRE!N$4,Aut_Ajustes_Manuais!$J:$J,"  - Chefe de Fila")</f>
        <v>0</v>
      </c>
      <c r="Q118" s="237"/>
      <c r="R118" s="26">
        <f>-SUMIFS(T_HEADCOUNT!$E:$E,T_HEADCOUNT!$C:$C,"- Chefe de Fila",T_HEADCOUNT!$D:$D,"4/2026",T_HEADCOUNT!$B:$B,"PJ")</f>
        <v>0</v>
      </c>
      <c r="S118" s="27">
        <f>SUMIFS(Aut_BlueMe_Sem_Pedido!$J:$J,Aut_BlueMe_Sem_Pedido!$Q:$Q,DRE!Q$4,Aut_BlueMe_Sem_Pedido!$N:$N,DRE!$A118)+SUMIFS(Aut_Ajustes_Manuais!$G:$G,Aut_Ajustes_Manuais!$I:$I,DRE!Q$4,Aut_Ajustes_Manuais!$J:$J,"  - Chefe de Fila")</f>
        <v>0</v>
      </c>
      <c r="T118" s="237"/>
      <c r="U118" s="26">
        <f>-SUMIFS(T_HEADCOUNT!$E:$E,T_HEADCOUNT!$C:$C,"- Chefe de Fila",T_HEADCOUNT!$D:$D,"5/2026",T_HEADCOUNT!$B:$B,"PJ")</f>
        <v>0</v>
      </c>
      <c r="V118" s="27">
        <f>SUMIFS(Aut_BlueMe_Sem_Pedido!$J:$J,Aut_BlueMe_Sem_Pedido!$Q:$Q,DRE!T$4,Aut_BlueMe_Sem_Pedido!$N:$N,DRE!$A118)+SUMIFS(Aut_Ajustes_Manuais!$G:$G,Aut_Ajustes_Manuais!$I:$I,DRE!T$4,Aut_Ajustes_Manuais!$J:$J,"  - Chefe de Fila")</f>
        <v>0</v>
      </c>
      <c r="W118" s="237"/>
      <c r="X118" s="26">
        <f>-SUMIFS(T_HEADCOUNT!$E:$E,T_HEADCOUNT!$C:$C,"- Chefe de Fila",T_HEADCOUNT!$D:$D,"6/2026",T_HEADCOUNT!$B:$B,"PJ")</f>
        <v>0</v>
      </c>
      <c r="Y118" s="27">
        <f>SUMIFS(Aut_BlueMe_Sem_Pedido!$J:$J,Aut_BlueMe_Sem_Pedido!$Q:$Q,DRE!W$4,Aut_BlueMe_Sem_Pedido!$N:$N,DRE!$A118)+SUMIFS(Aut_Ajustes_Manuais!$G:$G,Aut_Ajustes_Manuais!$I:$I,DRE!W$4,Aut_Ajustes_Manuais!$J:$J,"  - Chefe de Fila")</f>
        <v>0</v>
      </c>
      <c r="Z118" s="237"/>
      <c r="AA118" s="26">
        <f>-SUMIFS(T_HEADCOUNT!$E:$E,T_HEADCOUNT!$C:$C,"- Chefe de Fila",T_HEADCOUNT!$D:$D,"7/2026",T_HEADCOUNT!$B:$B,"PJ")</f>
        <v>0</v>
      </c>
      <c r="AB118" s="27">
        <f>SUMIFS(Aut_BlueMe_Sem_Pedido!$J:$J,Aut_BlueMe_Sem_Pedido!$Q:$Q,DRE!Z$4,Aut_BlueMe_Sem_Pedido!$N:$N,DRE!$A118)+SUMIFS(Aut_Ajustes_Manuais!$G:$G,Aut_Ajustes_Manuais!$I:$I,DRE!Z$4,Aut_Ajustes_Manuais!$J:$J,"  - Chefe de Fila")</f>
        <v>0</v>
      </c>
      <c r="AC118" s="237"/>
      <c r="AD118" s="26">
        <f>-SUMIFS(T_HEADCOUNT!$E:$E,T_HEADCOUNT!$C:$C,"- Chefe de Fila",T_HEADCOUNT!$D:$D,"8/2026",T_HEADCOUNT!$B:$B,"PJ")</f>
        <v>0</v>
      </c>
      <c r="AE118" s="27">
        <f>SUMIFS(Aut_BlueMe_Sem_Pedido!$J:$J,Aut_BlueMe_Sem_Pedido!$Q:$Q,DRE!AC$4,Aut_BlueMe_Sem_Pedido!$N:$N,DRE!$A118)+SUMIFS(Aut_Ajustes_Manuais!$G:$G,Aut_Ajustes_Manuais!$I:$I,DRE!AC$4,Aut_Ajustes_Manuais!$J:$J,"  - Chefe de Fila")</f>
        <v>0</v>
      </c>
      <c r="AF118" s="237"/>
      <c r="AG118" s="26">
        <f>-SUMIFS(T_HEADCOUNT!$E:$E,T_HEADCOUNT!$C:$C,"- Chefe de Fila",T_HEADCOUNT!$D:$D,"9/2026",T_HEADCOUNT!$B:$B,"PJ")</f>
        <v>0</v>
      </c>
      <c r="AH118" s="27">
        <f>SUMIFS(Aut_BlueMe_Sem_Pedido!$J:$J,Aut_BlueMe_Sem_Pedido!$Q:$Q,DRE!AF$4,Aut_BlueMe_Sem_Pedido!$N:$N,DRE!$A118)+SUMIFS(Aut_Ajustes_Manuais!$G:$G,Aut_Ajustes_Manuais!$I:$I,DRE!AF$4,Aut_Ajustes_Manuais!$J:$J,"  - Chefe de Fila")</f>
        <v>0</v>
      </c>
      <c r="AI118" s="237"/>
      <c r="AJ118" s="26">
        <f>-SUMIFS(T_HEADCOUNT!$E:$E,T_HEADCOUNT!$C:$C,"- Chefe de Fila",T_HEADCOUNT!$D:$D,"10/2026",T_HEADCOUNT!$B:$B,"PJ")</f>
        <v>0</v>
      </c>
      <c r="AK118" s="27">
        <f>SUMIFS(Aut_BlueMe_Sem_Pedido!$J:$J,Aut_BlueMe_Sem_Pedido!$Q:$Q,DRE!AI$4,Aut_BlueMe_Sem_Pedido!$N:$N,DRE!$A118)+SUMIFS(Aut_Ajustes_Manuais!$G:$G,Aut_Ajustes_Manuais!$I:$I,DRE!AI$4,Aut_Ajustes_Manuais!$J:$J,"  - Chefe de Fila")</f>
        <v>0</v>
      </c>
      <c r="AL118" s="237"/>
      <c r="AM118" s="26">
        <f>-SUMIFS(T_HEADCOUNT!$E:$E,T_HEADCOUNT!$C:$C,"- Chefe de Fila",T_HEADCOUNT!$D:$D,"11/2026",T_HEADCOUNT!$B:$B,"PJ")</f>
        <v>0</v>
      </c>
      <c r="AN118" s="27">
        <f>SUMIFS(Aut_BlueMe_Sem_Pedido!$J:$J,Aut_BlueMe_Sem_Pedido!$Q:$Q,DRE!AL$4,Aut_BlueMe_Sem_Pedido!$N:$N,DRE!$A118)+SUMIFS(Aut_Ajustes_Manuais!$G:$G,Aut_Ajustes_Manuais!$I:$I,DRE!AL$4,Aut_Ajustes_Manuais!$J:$J,"  - Chefe de Fila")</f>
        <v>0</v>
      </c>
      <c r="AO118" s="237"/>
      <c r="AP118" s="26">
        <f>-SUMIFS(T_HEADCOUNT!$E:$E,T_HEADCOUNT!$C:$C,"- Chefe de Fila",T_HEADCOUNT!$D:$D,"12/2026",T_HEADCOUNT!$B:$B,"PJ")</f>
        <v>0</v>
      </c>
      <c r="AQ118" s="27">
        <f>SUMIFS(Aut_BlueMe_Sem_Pedido!$J:$J,Aut_BlueMe_Sem_Pedido!$Q:$Q,DRE!AO$4,Aut_BlueMe_Sem_Pedido!$N:$N,DRE!$A118)+SUMIFS(Aut_Ajustes_Manuais!$G:$G,Aut_Ajustes_Manuais!$I:$I,DRE!AO$4,Aut_Ajustes_Manuais!$J:$J,"  - Chefe de Fila")</f>
        <v>0</v>
      </c>
      <c r="AR118" s="237">
        <f t="shared" ca="1" si="120"/>
        <v>0</v>
      </c>
      <c r="AS118" s="26">
        <f t="shared" ca="1" si="121"/>
        <v>0</v>
      </c>
      <c r="AT118" s="27">
        <f t="shared" ca="1" si="122"/>
        <v>0</v>
      </c>
      <c r="AU118" s="237">
        <f t="shared" si="124"/>
        <v>0</v>
      </c>
      <c r="AV118" s="26">
        <f t="shared" si="125"/>
        <v>0</v>
      </c>
      <c r="AW118" s="27">
        <f t="shared" si="126"/>
        <v>0</v>
      </c>
      <c r="AX118" s="237">
        <f t="shared" si="127"/>
        <v>0</v>
      </c>
      <c r="AY118" s="26">
        <f t="shared" si="128"/>
        <v>0</v>
      </c>
      <c r="AZ118" s="27">
        <f t="shared" si="129"/>
        <v>0</v>
      </c>
      <c r="BA118" s="237">
        <f t="shared" si="130"/>
        <v>0</v>
      </c>
      <c r="BB118" s="26">
        <f t="shared" si="131"/>
        <v>0</v>
      </c>
      <c r="BC118" s="27">
        <f t="shared" si="132"/>
        <v>0</v>
      </c>
      <c r="BD118" s="237">
        <f t="shared" si="133"/>
        <v>0</v>
      </c>
      <c r="BE118" s="26">
        <f t="shared" si="134"/>
        <v>0</v>
      </c>
      <c r="BF118" s="27">
        <f t="shared" si="135"/>
        <v>0</v>
      </c>
      <c r="BG118" s="237">
        <f t="shared" si="136"/>
        <v>0</v>
      </c>
      <c r="BH118" s="26">
        <f t="shared" si="137"/>
        <v>0</v>
      </c>
      <c r="BI118" s="27">
        <f t="shared" si="138"/>
        <v>0</v>
      </c>
      <c r="BJ118" s="454"/>
    </row>
    <row r="119" spans="1:62" s="92" customFormat="1" hidden="1" outlineLevel="1" x14ac:dyDescent="0.3">
      <c r="A119" s="21" t="s">
        <v>140</v>
      </c>
      <c r="B119" s="2"/>
      <c r="C119" s="23"/>
      <c r="D119" s="53"/>
      <c r="E119" s="85"/>
      <c r="F119" s="39"/>
      <c r="G119" s="32"/>
      <c r="H119" s="237"/>
      <c r="I119" s="26">
        <f>-SUMIFS(T_HEADCOUNT!$E:$E,T_HEADCOUNT!$C:$C,"- Hostess",T_HEADCOUNT!$D:$D,"1/2026",T_HEADCOUNT!$B:$B,"PJ")</f>
        <v>0</v>
      </c>
      <c r="J119" s="27">
        <f>SUMIFS(Aut_BlueMe_Sem_Pedido!$J:$J,Aut_BlueMe_Sem_Pedido!$Q:$Q,DRE!H$4,Aut_BlueMe_Sem_Pedido!$N:$N,DRE!$A119)+SUMIFS(Aut_Ajustes_Manuais!$G:$G,Aut_Ajustes_Manuais!$I:$I,DRE!H$4,Aut_Ajustes_Manuais!$J:$J,"  - Hostess")</f>
        <v>0</v>
      </c>
      <c r="K119" s="237"/>
      <c r="L119" s="26">
        <f>-SUMIFS(T_HEADCOUNT!$E:$E,T_HEADCOUNT!$C:$C,"- Hostess",T_HEADCOUNT!$D:$D,"2/2026",T_HEADCOUNT!$B:$B,"PJ")</f>
        <v>0</v>
      </c>
      <c r="M119" s="27">
        <f>SUMIFS(Aut_BlueMe_Sem_Pedido!$J:$J,Aut_BlueMe_Sem_Pedido!$Q:$Q,DRE!K$4,Aut_BlueMe_Sem_Pedido!$N:$N,DRE!$A119)+SUMIFS(Aut_Ajustes_Manuais!$G:$G,Aut_Ajustes_Manuais!$I:$I,DRE!K$4,Aut_Ajustes_Manuais!$J:$J,"  - Hostess")</f>
        <v>0</v>
      </c>
      <c r="N119" s="237"/>
      <c r="O119" s="26">
        <f>-SUMIFS(T_HEADCOUNT!$E:$E,T_HEADCOUNT!$C:$C,"- Hostess",T_HEADCOUNT!$D:$D,"3/2026",T_HEADCOUNT!$B:$B,"PJ")</f>
        <v>0</v>
      </c>
      <c r="P119" s="27">
        <f>SUMIFS(Aut_BlueMe_Sem_Pedido!$J:$J,Aut_BlueMe_Sem_Pedido!$Q:$Q,DRE!N$4,Aut_BlueMe_Sem_Pedido!$N:$N,DRE!$A119)+SUMIFS(Aut_Ajustes_Manuais!$G:$G,Aut_Ajustes_Manuais!$I:$I,DRE!N$4,Aut_Ajustes_Manuais!$J:$J,"  - Hostess")</f>
        <v>0</v>
      </c>
      <c r="Q119" s="237"/>
      <c r="R119" s="26">
        <f>-SUMIFS(T_HEADCOUNT!$E:$E,T_HEADCOUNT!$C:$C,"- Hostess",T_HEADCOUNT!$D:$D,"4/2026",T_HEADCOUNT!$B:$B,"PJ")</f>
        <v>0</v>
      </c>
      <c r="S119" s="27">
        <f>SUMIFS(Aut_BlueMe_Sem_Pedido!$J:$J,Aut_BlueMe_Sem_Pedido!$Q:$Q,DRE!Q$4,Aut_BlueMe_Sem_Pedido!$N:$N,DRE!$A119)+SUMIFS(Aut_Ajustes_Manuais!$G:$G,Aut_Ajustes_Manuais!$I:$I,DRE!Q$4,Aut_Ajustes_Manuais!$J:$J,"  - Hostess")</f>
        <v>0</v>
      </c>
      <c r="T119" s="237"/>
      <c r="U119" s="26">
        <f>-SUMIFS(T_HEADCOUNT!$E:$E,T_HEADCOUNT!$C:$C,"- Hostess",T_HEADCOUNT!$D:$D,"5/2026",T_HEADCOUNT!$B:$B,"PJ")</f>
        <v>0</v>
      </c>
      <c r="V119" s="27">
        <f>SUMIFS(Aut_BlueMe_Sem_Pedido!$J:$J,Aut_BlueMe_Sem_Pedido!$Q:$Q,DRE!T$4,Aut_BlueMe_Sem_Pedido!$N:$N,DRE!$A119)+SUMIFS(Aut_Ajustes_Manuais!$G:$G,Aut_Ajustes_Manuais!$I:$I,DRE!T$4,Aut_Ajustes_Manuais!$J:$J,"  - Hostess")</f>
        <v>0</v>
      </c>
      <c r="W119" s="237"/>
      <c r="X119" s="26">
        <f>-SUMIFS(T_HEADCOUNT!$E:$E,T_HEADCOUNT!$C:$C,"- Hostess",T_HEADCOUNT!$D:$D,"6/2026",T_HEADCOUNT!$B:$B,"PJ")</f>
        <v>0</v>
      </c>
      <c r="Y119" s="27">
        <f>SUMIFS(Aut_BlueMe_Sem_Pedido!$J:$J,Aut_BlueMe_Sem_Pedido!$Q:$Q,DRE!W$4,Aut_BlueMe_Sem_Pedido!$N:$N,DRE!$A119)+SUMIFS(Aut_Ajustes_Manuais!$G:$G,Aut_Ajustes_Manuais!$I:$I,DRE!W$4,Aut_Ajustes_Manuais!$J:$J,"  - Hostess")</f>
        <v>0</v>
      </c>
      <c r="Z119" s="237"/>
      <c r="AA119" s="26">
        <f>-SUMIFS(T_HEADCOUNT!$E:$E,T_HEADCOUNT!$C:$C,"- Hostess",T_HEADCOUNT!$D:$D,"7/2026",T_HEADCOUNT!$B:$B,"PJ")</f>
        <v>0</v>
      </c>
      <c r="AB119" s="27">
        <f>SUMIFS(Aut_BlueMe_Sem_Pedido!$J:$J,Aut_BlueMe_Sem_Pedido!$Q:$Q,DRE!Z$4,Aut_BlueMe_Sem_Pedido!$N:$N,DRE!$A119)+SUMIFS(Aut_Ajustes_Manuais!$G:$G,Aut_Ajustes_Manuais!$I:$I,DRE!Z$4,Aut_Ajustes_Manuais!$J:$J,"  - Hostess")</f>
        <v>0</v>
      </c>
      <c r="AC119" s="237"/>
      <c r="AD119" s="26">
        <f>-SUMIFS(T_HEADCOUNT!$E:$E,T_HEADCOUNT!$C:$C,"- Hostess",T_HEADCOUNT!$D:$D,"8/2026",T_HEADCOUNT!$B:$B,"PJ")</f>
        <v>0</v>
      </c>
      <c r="AE119" s="27">
        <f>SUMIFS(Aut_BlueMe_Sem_Pedido!$J:$J,Aut_BlueMe_Sem_Pedido!$Q:$Q,DRE!AC$4,Aut_BlueMe_Sem_Pedido!$N:$N,DRE!$A119)+SUMIFS(Aut_Ajustes_Manuais!$G:$G,Aut_Ajustes_Manuais!$I:$I,DRE!AC$4,Aut_Ajustes_Manuais!$J:$J,"  - Hostess")</f>
        <v>0</v>
      </c>
      <c r="AF119" s="237"/>
      <c r="AG119" s="26">
        <f>-SUMIFS(T_HEADCOUNT!$E:$E,T_HEADCOUNT!$C:$C,"- Hostess",T_HEADCOUNT!$D:$D,"9/2026",T_HEADCOUNT!$B:$B,"PJ")</f>
        <v>0</v>
      </c>
      <c r="AH119" s="27">
        <f>SUMIFS(Aut_BlueMe_Sem_Pedido!$J:$J,Aut_BlueMe_Sem_Pedido!$Q:$Q,DRE!AF$4,Aut_BlueMe_Sem_Pedido!$N:$N,DRE!$A119)+SUMIFS(Aut_Ajustes_Manuais!$G:$G,Aut_Ajustes_Manuais!$I:$I,DRE!AF$4,Aut_Ajustes_Manuais!$J:$J,"  - Hostess")</f>
        <v>0</v>
      </c>
      <c r="AI119" s="237"/>
      <c r="AJ119" s="26">
        <f>-SUMIFS(T_HEADCOUNT!$E:$E,T_HEADCOUNT!$C:$C,"- Hostess",T_HEADCOUNT!$D:$D,"10/2026",T_HEADCOUNT!$B:$B,"PJ")</f>
        <v>0</v>
      </c>
      <c r="AK119" s="27">
        <f>SUMIFS(Aut_BlueMe_Sem_Pedido!$J:$J,Aut_BlueMe_Sem_Pedido!$Q:$Q,DRE!AI$4,Aut_BlueMe_Sem_Pedido!$N:$N,DRE!$A119)+SUMIFS(Aut_Ajustes_Manuais!$G:$G,Aut_Ajustes_Manuais!$I:$I,DRE!AI$4,Aut_Ajustes_Manuais!$J:$J,"  - Hostess")</f>
        <v>0</v>
      </c>
      <c r="AL119" s="237"/>
      <c r="AM119" s="26">
        <f>-SUMIFS(T_HEADCOUNT!$E:$E,T_HEADCOUNT!$C:$C,"- Hostess",T_HEADCOUNT!$D:$D,"11/2026",T_HEADCOUNT!$B:$B,"PJ")</f>
        <v>0</v>
      </c>
      <c r="AN119" s="27">
        <f>SUMIFS(Aut_BlueMe_Sem_Pedido!$J:$J,Aut_BlueMe_Sem_Pedido!$Q:$Q,DRE!AL$4,Aut_BlueMe_Sem_Pedido!$N:$N,DRE!$A119)+SUMIFS(Aut_Ajustes_Manuais!$G:$G,Aut_Ajustes_Manuais!$I:$I,DRE!AL$4,Aut_Ajustes_Manuais!$J:$J,"  - Hostess")</f>
        <v>0</v>
      </c>
      <c r="AO119" s="237"/>
      <c r="AP119" s="26">
        <f>-SUMIFS(T_HEADCOUNT!$E:$E,T_HEADCOUNT!$C:$C,"- Hostess",T_HEADCOUNT!$D:$D,"12/2026",T_HEADCOUNT!$B:$B,"PJ")</f>
        <v>0</v>
      </c>
      <c r="AQ119" s="27">
        <f>SUMIFS(Aut_BlueMe_Sem_Pedido!$J:$J,Aut_BlueMe_Sem_Pedido!$Q:$Q,DRE!AO$4,Aut_BlueMe_Sem_Pedido!$N:$N,DRE!$A119)+SUMIFS(Aut_Ajustes_Manuais!$G:$G,Aut_Ajustes_Manuais!$I:$I,DRE!AO$4,Aut_Ajustes_Manuais!$J:$J,"  - Hostess")</f>
        <v>0</v>
      </c>
      <c r="AR119" s="237">
        <f t="shared" ca="1" si="120"/>
        <v>0</v>
      </c>
      <c r="AS119" s="26">
        <f t="shared" ca="1" si="121"/>
        <v>0</v>
      </c>
      <c r="AT119" s="27">
        <f t="shared" ca="1" si="122"/>
        <v>0</v>
      </c>
      <c r="AU119" s="237">
        <f t="shared" si="124"/>
        <v>0</v>
      </c>
      <c r="AV119" s="26">
        <f t="shared" si="125"/>
        <v>0</v>
      </c>
      <c r="AW119" s="27">
        <f t="shared" si="126"/>
        <v>0</v>
      </c>
      <c r="AX119" s="237">
        <f t="shared" si="127"/>
        <v>0</v>
      </c>
      <c r="AY119" s="26">
        <f t="shared" si="128"/>
        <v>0</v>
      </c>
      <c r="AZ119" s="27">
        <f t="shared" si="129"/>
        <v>0</v>
      </c>
      <c r="BA119" s="237">
        <f t="shared" si="130"/>
        <v>0</v>
      </c>
      <c r="BB119" s="26">
        <f t="shared" si="131"/>
        <v>0</v>
      </c>
      <c r="BC119" s="27">
        <f t="shared" si="132"/>
        <v>0</v>
      </c>
      <c r="BD119" s="237">
        <f t="shared" si="133"/>
        <v>0</v>
      </c>
      <c r="BE119" s="26">
        <f t="shared" si="134"/>
        <v>0</v>
      </c>
      <c r="BF119" s="27">
        <f t="shared" si="135"/>
        <v>0</v>
      </c>
      <c r="BG119" s="237">
        <f t="shared" si="136"/>
        <v>0</v>
      </c>
      <c r="BH119" s="26">
        <f t="shared" si="137"/>
        <v>0</v>
      </c>
      <c r="BI119" s="27">
        <f t="shared" si="138"/>
        <v>0</v>
      </c>
      <c r="BJ119" s="454"/>
    </row>
    <row r="120" spans="1:62" collapsed="1" x14ac:dyDescent="0.3">
      <c r="A120" s="71" t="s">
        <v>141</v>
      </c>
      <c r="C120" s="38" t="s">
        <v>35</v>
      </c>
      <c r="D120" s="38" t="s">
        <v>36</v>
      </c>
      <c r="E120" s="38" t="s">
        <v>37</v>
      </c>
      <c r="F120" s="39"/>
      <c r="G120" s="84"/>
      <c r="H120" s="248"/>
      <c r="I120" s="72">
        <f>SUM(I121:I177)</f>
        <v>0</v>
      </c>
      <c r="J120" s="74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0</v>
      </c>
      <c r="K120" s="248"/>
      <c r="L120" s="72">
        <f>SUM(L121:L177)</f>
        <v>0</v>
      </c>
      <c r="M120" s="74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0</v>
      </c>
      <c r="N120" s="248"/>
      <c r="O120" s="72">
        <f>SUM(O121:O177)</f>
        <v>0</v>
      </c>
      <c r="P120" s="74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0</v>
      </c>
      <c r="Q120" s="248"/>
      <c r="R120" s="72">
        <f>SUM(R121:R177)</f>
        <v>0</v>
      </c>
      <c r="S120" s="74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0</v>
      </c>
      <c r="T120" s="248"/>
      <c r="U120" s="72">
        <f>SUM(U121:U177)</f>
        <v>0</v>
      </c>
      <c r="V120" s="74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-30242.469999999987</v>
      </c>
      <c r="W120" s="248"/>
      <c r="X120" s="72">
        <f>SUM(X121:X177)</f>
        <v>0</v>
      </c>
      <c r="Y120" s="74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-79077.430000000066</v>
      </c>
      <c r="Z120" s="248"/>
      <c r="AA120" s="72">
        <f>SUM(AA121:AA177)</f>
        <v>0</v>
      </c>
      <c r="AB120" s="74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-79882.490000000049</v>
      </c>
      <c r="AC120" s="248"/>
      <c r="AD120" s="72">
        <f>SUM(AD121:AD177)</f>
        <v>0</v>
      </c>
      <c r="AE120" s="74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-96676.14</v>
      </c>
      <c r="AF120" s="248"/>
      <c r="AG120" s="72">
        <f>SUM(AG121:AG177)</f>
        <v>0</v>
      </c>
      <c r="AH120" s="74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-118805.7</v>
      </c>
      <c r="AI120" s="248"/>
      <c r="AJ120" s="72">
        <f>SUM(AJ121:AJ177)</f>
        <v>0</v>
      </c>
      <c r="AK120" s="74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-118805.7</v>
      </c>
      <c r="AL120" s="248"/>
      <c r="AM120" s="72">
        <f>SUM(AM121:AM177)</f>
        <v>0</v>
      </c>
      <c r="AN120" s="74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-118805.7</v>
      </c>
      <c r="AO120" s="248"/>
      <c r="AP120" s="72">
        <f>SUM(AP121:AP177)</f>
        <v>0</v>
      </c>
      <c r="AQ120" s="74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-118805.7</v>
      </c>
      <c r="AR120" s="248">
        <f t="shared" ca="1" si="120"/>
        <v>0</v>
      </c>
      <c r="AS120" s="72">
        <f t="shared" ca="1" si="121"/>
        <v>0</v>
      </c>
      <c r="AT120" s="74">
        <f t="shared" ca="1" si="122"/>
        <v>-285878.53000000009</v>
      </c>
      <c r="AU120" s="248">
        <f t="shared" si="124"/>
        <v>0</v>
      </c>
      <c r="AV120" s="72">
        <f t="shared" si="125"/>
        <v>0</v>
      </c>
      <c r="AW120" s="74">
        <f t="shared" si="126"/>
        <v>-761101.33000000007</v>
      </c>
      <c r="AX120" s="248">
        <f t="shared" si="127"/>
        <v>0</v>
      </c>
      <c r="AY120" s="72">
        <f t="shared" si="128"/>
        <v>0</v>
      </c>
      <c r="AZ120" s="74">
        <f t="shared" si="129"/>
        <v>0</v>
      </c>
      <c r="BA120" s="248">
        <f t="shared" si="130"/>
        <v>0</v>
      </c>
      <c r="BB120" s="72">
        <f t="shared" si="131"/>
        <v>0</v>
      </c>
      <c r="BC120" s="74">
        <f t="shared" si="132"/>
        <v>-109319.90000000005</v>
      </c>
      <c r="BD120" s="248">
        <f t="shared" si="133"/>
        <v>0</v>
      </c>
      <c r="BE120" s="72">
        <f t="shared" si="134"/>
        <v>0</v>
      </c>
      <c r="BF120" s="74">
        <f t="shared" si="135"/>
        <v>-295364.33000000007</v>
      </c>
      <c r="BG120" s="248">
        <f t="shared" si="136"/>
        <v>0</v>
      </c>
      <c r="BH120" s="72">
        <f t="shared" si="137"/>
        <v>0</v>
      </c>
      <c r="BI120" s="74">
        <f t="shared" si="138"/>
        <v>-356417.1</v>
      </c>
    </row>
    <row r="121" spans="1:62" s="28" customFormat="1" outlineLevel="1" x14ac:dyDescent="0.3">
      <c r="A121" s="93" t="s">
        <v>142</v>
      </c>
      <c r="B121" s="2"/>
      <c r="C121" s="23"/>
      <c r="D121" s="53" t="s">
        <v>143</v>
      </c>
      <c r="E121" s="85"/>
      <c r="F121" s="54"/>
      <c r="G121" s="32"/>
      <c r="H121" s="237"/>
      <c r="I121" s="26">
        <f>-SUMIFS(T_HEADCOUNT!$E:$E,T_HEADCOUNT!$C:$C,"-  Maitre",T_HEADCOUNT!$D:$D,"1/2026",T_HEADCOUNT!$B:$B,"CLT")</f>
        <v>0</v>
      </c>
      <c r="J121" s="27">
        <f>SUMIFS(T_REAL!$D:$D,T_REAL!$E:$E,DRE!J$7,T_REAL!$C:$C,DRE!$A121)+SUMIFS(Aut_Ajustes_Manuais!$G:$G,Aut_Ajustes_Manuais!$I:$I,DRE!H$4,Aut_Ajustes_Manuais!$F:$F,"  -  Maitre")</f>
        <v>0</v>
      </c>
      <c r="K121" s="237"/>
      <c r="L121" s="26">
        <f>-SUMIFS(T_HEADCOUNT!$E:$E,T_HEADCOUNT!$C:$C,"-  Maitre",T_HEADCOUNT!$D:$D,"2/2026",T_HEADCOUNT!$B:$B,"CLT")</f>
        <v>0</v>
      </c>
      <c r="M121" s="27">
        <f>SUMIFS(T_REAL!$D:$D,T_REAL!$E:$E,DRE!M$7,T_REAL!$C:$C,DRE!$A121)+SUMIFS(Aut_Ajustes_Manuais!$G:$G,Aut_Ajustes_Manuais!$I:$I,DRE!K$4,Aut_Ajustes_Manuais!$F:$F,"  -  Maitre")</f>
        <v>0</v>
      </c>
      <c r="N121" s="237"/>
      <c r="O121" s="26">
        <f>-SUMIFS(T_HEADCOUNT!$E:$E,T_HEADCOUNT!$C:$C,"-  Maitre",T_HEADCOUNT!$D:$D,"3/2026",T_HEADCOUNT!$B:$B,"CLT")</f>
        <v>0</v>
      </c>
      <c r="P121" s="27">
        <f>SUMIFS(T_REAL!$D:$D,T_REAL!$E:$E,DRE!P$7,T_REAL!$C:$C,DRE!$A121)+SUMIFS(Aut_Ajustes_Manuais!$G:$G,Aut_Ajustes_Manuais!$I:$I,DRE!N$4,Aut_Ajustes_Manuais!$F:$F,"  -  Maitre")</f>
        <v>0</v>
      </c>
      <c r="Q121" s="237"/>
      <c r="R121" s="26">
        <f>-SUMIFS(T_HEADCOUNT!$E:$E,T_HEADCOUNT!$C:$C,"-  Maitre",T_HEADCOUNT!$D:$D,"4/2026",T_HEADCOUNT!$B:$B,"CLT")</f>
        <v>0</v>
      </c>
      <c r="S121" s="27">
        <f>SUMIFS(T_REAL!$D:$D,T_REAL!$E:$E,DRE!S$7,T_REAL!$C:$C,DRE!$A121)+SUMIFS(Aut_Ajustes_Manuais!$G:$G,Aut_Ajustes_Manuais!$I:$I,DRE!Q$4,Aut_Ajustes_Manuais!$F:$F,"  -  Maitre")</f>
        <v>0</v>
      </c>
      <c r="T121" s="237"/>
      <c r="U121" s="26">
        <f>-SUMIFS(T_HEADCOUNT!$E:$E,T_HEADCOUNT!$C:$C,"-  Maitre",T_HEADCOUNT!$D:$D,"5/2026",T_HEADCOUNT!$B:$B,"CLT")</f>
        <v>0</v>
      </c>
      <c r="V121" s="27">
        <f>SUMIFS(T_REAL!$D:$D,T_REAL!$E:$E,DRE!V$7,T_REAL!$C:$C,DRE!$A121)+SUMIFS(Aut_Ajustes_Manuais!$G:$G,Aut_Ajustes_Manuais!$I:$I,DRE!T$4,Aut_Ajustes_Manuais!$F:$F,"  -  Maitre")</f>
        <v>0</v>
      </c>
      <c r="W121" s="237"/>
      <c r="X121" s="26">
        <f>-SUMIFS(T_HEADCOUNT!$E:$E,T_HEADCOUNT!$C:$C,"-  Maitre",T_HEADCOUNT!$D:$D,"6/2026",T_HEADCOUNT!$B:$B,"CLT")</f>
        <v>0</v>
      </c>
      <c r="Y121" s="27">
        <f>SUMIFS(T_REAL!$D:$D,T_REAL!$E:$E,DRE!Y$7,T_REAL!$C:$C,DRE!$A121)+SUMIFS(Aut_Ajustes_Manuais!$G:$G,Aut_Ajustes_Manuais!$I:$I,DRE!W$4,Aut_Ajustes_Manuais!$F:$F,"  -  Maitre")</f>
        <v>0</v>
      </c>
      <c r="Z121" s="237"/>
      <c r="AA121" s="26">
        <f>-SUMIFS(T_HEADCOUNT!$E:$E,T_HEADCOUNT!$C:$C,"-  Maitre",T_HEADCOUNT!$D:$D,"7/2026",T_HEADCOUNT!$B:$B,"CLT")</f>
        <v>0</v>
      </c>
      <c r="AB121" s="27">
        <f>SUMIFS(T_REAL!$D:$D,T_REAL!$E:$E,DRE!AB$7,T_REAL!$C:$C,DRE!$A121)+SUMIFS(Aut_Ajustes_Manuais!$G:$G,Aut_Ajustes_Manuais!$I:$I,DRE!Z$4,Aut_Ajustes_Manuais!$F:$F,"  -  Maitre")</f>
        <v>0</v>
      </c>
      <c r="AC121" s="237"/>
      <c r="AD121" s="26">
        <f>-SUMIFS(T_HEADCOUNT!$E:$E,T_HEADCOUNT!$C:$C,"-  Maitre",T_HEADCOUNT!$D:$D,"8/2026",T_HEADCOUNT!$B:$B,"CLT")</f>
        <v>0</v>
      </c>
      <c r="AE121" s="27">
        <f>SUMIFS(T_REAL!$D:$D,T_REAL!$E:$E,DRE!AE$7,T_REAL!$C:$C,DRE!$A121)+SUMIFS(Aut_Ajustes_Manuais!$G:$G,Aut_Ajustes_Manuais!$I:$I,DRE!AC$4,Aut_Ajustes_Manuais!$F:$F,"  -  Maitre")</f>
        <v>0</v>
      </c>
      <c r="AF121" s="237"/>
      <c r="AG121" s="26">
        <f>-SUMIFS(T_HEADCOUNT!$E:$E,T_HEADCOUNT!$C:$C,"-  Maitre",T_HEADCOUNT!$D:$D,"9/2026",T_HEADCOUNT!$B:$B,"CLT")</f>
        <v>0</v>
      </c>
      <c r="AH121" s="27">
        <f>SUMIFS(T_REAL!$D:$D,T_REAL!$E:$E,DRE!AH$7,T_REAL!$C:$C,DRE!$A121)+SUMIFS(Aut_Ajustes_Manuais!$G:$G,Aut_Ajustes_Manuais!$I:$I,DRE!AF$4,Aut_Ajustes_Manuais!$F:$F,"  -  Maitre")</f>
        <v>0</v>
      </c>
      <c r="AI121" s="237"/>
      <c r="AJ121" s="26">
        <f>-SUMIFS(T_HEADCOUNT!$E:$E,T_HEADCOUNT!$C:$C,"-  Maitre",T_HEADCOUNT!$D:$D,"10/2026",T_HEADCOUNT!$B:$B,"CLT")</f>
        <v>0</v>
      </c>
      <c r="AK121" s="27">
        <f>SUMIFS(T_REAL!$D:$D,T_REAL!$E:$E,DRE!AK$7,T_REAL!$C:$C,DRE!$A121)+SUMIFS(Aut_Ajustes_Manuais!$G:$G,Aut_Ajustes_Manuais!$I:$I,DRE!AI$4,Aut_Ajustes_Manuais!$F:$F,"  -  Maitre")</f>
        <v>0</v>
      </c>
      <c r="AL121" s="237"/>
      <c r="AM121" s="26">
        <f>-SUMIFS(T_HEADCOUNT!$E:$E,T_HEADCOUNT!$C:$C,"-  Maitre",T_HEADCOUNT!$D:$D,"11/2026",T_HEADCOUNT!$B:$B,"CLT")</f>
        <v>0</v>
      </c>
      <c r="AN121" s="27">
        <f>SUMIFS(T_REAL!$D:$D,T_REAL!$E:$E,DRE!AN$7,T_REAL!$C:$C,DRE!$A121)+SUMIFS(Aut_Ajustes_Manuais!$G:$G,Aut_Ajustes_Manuais!$I:$I,DRE!AL$4,Aut_Ajustes_Manuais!$F:$F,"  -  Maitre")</f>
        <v>0</v>
      </c>
      <c r="AO121" s="237"/>
      <c r="AP121" s="26">
        <f>-SUMIFS(T_HEADCOUNT!$E:$E,T_HEADCOUNT!$C:$C,"-  Maitre",T_HEADCOUNT!$D:$D,"12/2026",T_HEADCOUNT!$B:$B,"CLT")</f>
        <v>0</v>
      </c>
      <c r="AQ121" s="27">
        <f>SUMIFS(T_REAL!$D:$D,T_REAL!$E:$E,DRE!AQ$7,T_REAL!$C:$C,DRE!$A121)+SUMIFS(Aut_Ajustes_Manuais!$G:$G,Aut_Ajustes_Manuais!$I:$I,DRE!AO$4,Aut_Ajustes_Manuais!$F:$F,"  -  Maitre")</f>
        <v>0</v>
      </c>
      <c r="AR121" s="237">
        <f t="shared" ca="1" si="120"/>
        <v>0</v>
      </c>
      <c r="AS121" s="26">
        <f t="shared" ca="1" si="121"/>
        <v>0</v>
      </c>
      <c r="AT121" s="27">
        <f t="shared" ca="1" si="122"/>
        <v>0</v>
      </c>
      <c r="AU121" s="237"/>
      <c r="AV121" s="26"/>
      <c r="AW121" s="27"/>
      <c r="AX121" s="237"/>
      <c r="AY121" s="26">
        <v>-8835.119999999999</v>
      </c>
      <c r="AZ121" s="27"/>
      <c r="BA121" s="237"/>
      <c r="BB121" s="26">
        <v>-9082.5033599999988</v>
      </c>
      <c r="BC121" s="27"/>
      <c r="BD121" s="237"/>
      <c r="BE121" s="26">
        <v>-9206.1950399999987</v>
      </c>
      <c r="BF121" s="27"/>
      <c r="BG121" s="237"/>
      <c r="BH121" s="26">
        <v>-9206.1950399999987</v>
      </c>
      <c r="BI121" s="27"/>
      <c r="BJ121" s="454"/>
    </row>
    <row r="122" spans="1:62" s="28" customFormat="1" outlineLevel="1" x14ac:dyDescent="0.3">
      <c r="A122" s="93" t="s">
        <v>144</v>
      </c>
      <c r="B122" s="2"/>
      <c r="C122" s="23"/>
      <c r="D122" s="53" t="s">
        <v>143</v>
      </c>
      <c r="E122" s="85"/>
      <c r="F122" s="54"/>
      <c r="G122" s="32"/>
      <c r="H122" s="237"/>
      <c r="I122" s="26">
        <f>-SUMIFS(T_HEADCOUNT!$E:$E,T_HEADCOUNT!$C:$C,"-  Garçon III",T_HEADCOUNT!$D:$D,"1/2026",T_HEADCOUNT!$B:$B,"CLT")</f>
        <v>0</v>
      </c>
      <c r="J122" s="27">
        <f>SUMIFS(T_REAL!$D:$D,T_REAL!$E:$E,DRE!J$7,T_REAL!$C:$C,DRE!$A122)+SUMIFS(Aut_Ajustes_Manuais!$G:$G,Aut_Ajustes_Manuais!$I:$I,DRE!H$4,Aut_Ajustes_Manuais!$F:$F,"  -  Garçon III")</f>
        <v>0</v>
      </c>
      <c r="K122" s="237"/>
      <c r="L122" s="26">
        <f>-SUMIFS(T_HEADCOUNT!$E:$E,T_HEADCOUNT!$C:$C,"-  Garçon III",T_HEADCOUNT!$D:$D,"2/2026",T_HEADCOUNT!$B:$B,"CLT")</f>
        <v>0</v>
      </c>
      <c r="M122" s="27">
        <f>SUMIFS(T_REAL!$D:$D,T_REAL!$E:$E,DRE!M$7,T_REAL!$C:$C,DRE!$A122)+SUMIFS(Aut_Ajustes_Manuais!$G:$G,Aut_Ajustes_Manuais!$I:$I,DRE!K$4,Aut_Ajustes_Manuais!$F:$F,"  -  Garçon III")</f>
        <v>0</v>
      </c>
      <c r="N122" s="237"/>
      <c r="O122" s="26">
        <f>-SUMIFS(T_HEADCOUNT!$E:$E,T_HEADCOUNT!$C:$C,"-  Garçon III",T_HEADCOUNT!$D:$D,"3/2026",T_HEADCOUNT!$B:$B,"CLT")</f>
        <v>0</v>
      </c>
      <c r="P122" s="27">
        <f>SUMIFS(T_REAL!$D:$D,T_REAL!$E:$E,DRE!P$7,T_REAL!$C:$C,DRE!$A122)+SUMIFS(Aut_Ajustes_Manuais!$G:$G,Aut_Ajustes_Manuais!$I:$I,DRE!N$4,Aut_Ajustes_Manuais!$F:$F,"  -  Garçon III")</f>
        <v>0</v>
      </c>
      <c r="Q122" s="237"/>
      <c r="R122" s="26">
        <f>-SUMIFS(T_HEADCOUNT!$E:$E,T_HEADCOUNT!$C:$C,"-  Garçon III",T_HEADCOUNT!$D:$D,"4/2026",T_HEADCOUNT!$B:$B,"CLT")</f>
        <v>0</v>
      </c>
      <c r="S122" s="27">
        <f>SUMIFS(T_REAL!$D:$D,T_REAL!$E:$E,DRE!S$7,T_REAL!$C:$C,DRE!$A122)+SUMIFS(Aut_Ajustes_Manuais!$G:$G,Aut_Ajustes_Manuais!$I:$I,DRE!Q$4,Aut_Ajustes_Manuais!$F:$F,"  -  Garçon III")</f>
        <v>0</v>
      </c>
      <c r="T122" s="237"/>
      <c r="U122" s="26">
        <f>-SUMIFS(T_HEADCOUNT!$E:$E,T_HEADCOUNT!$C:$C,"-  Garçon III",T_HEADCOUNT!$D:$D,"5/2026",T_HEADCOUNT!$B:$B,"CLT")</f>
        <v>0</v>
      </c>
      <c r="V122" s="27">
        <f>SUMIFS(T_REAL!$D:$D,T_REAL!$E:$E,DRE!V$7,T_REAL!$C:$C,DRE!$A122)+SUMIFS(Aut_Ajustes_Manuais!$G:$G,Aut_Ajustes_Manuais!$I:$I,DRE!T$4,Aut_Ajustes_Manuais!$F:$F,"  -  Garçon III")</f>
        <v>0</v>
      </c>
      <c r="W122" s="237"/>
      <c r="X122" s="26">
        <f>-SUMIFS(T_HEADCOUNT!$E:$E,T_HEADCOUNT!$C:$C,"-  Garçon III",T_HEADCOUNT!$D:$D,"6/2026",T_HEADCOUNT!$B:$B,"CLT")</f>
        <v>0</v>
      </c>
      <c r="Y122" s="27">
        <f>SUMIFS(T_REAL!$D:$D,T_REAL!$E:$E,DRE!Y$7,T_REAL!$C:$C,DRE!$A122)+SUMIFS(Aut_Ajustes_Manuais!$G:$G,Aut_Ajustes_Manuais!$I:$I,DRE!W$4,Aut_Ajustes_Manuais!$F:$F,"  -  Garçon III")</f>
        <v>0</v>
      </c>
      <c r="Z122" s="237"/>
      <c r="AA122" s="26">
        <f>-SUMIFS(T_HEADCOUNT!$E:$E,T_HEADCOUNT!$C:$C,"-  Garçon III",T_HEADCOUNT!$D:$D,"7/2026",T_HEADCOUNT!$B:$B,"CLT")</f>
        <v>0</v>
      </c>
      <c r="AB122" s="27">
        <f>SUMIFS(T_REAL!$D:$D,T_REAL!$E:$E,DRE!AB$7,T_REAL!$C:$C,DRE!$A122)+SUMIFS(Aut_Ajustes_Manuais!$G:$G,Aut_Ajustes_Manuais!$I:$I,DRE!Z$4,Aut_Ajustes_Manuais!$F:$F,"  -  Garçon III")</f>
        <v>0</v>
      </c>
      <c r="AC122" s="237"/>
      <c r="AD122" s="26">
        <f>-SUMIFS(T_HEADCOUNT!$E:$E,T_HEADCOUNT!$C:$C,"-  Garçon III",T_HEADCOUNT!$D:$D,"8/2026",T_HEADCOUNT!$B:$B,"CLT")</f>
        <v>0</v>
      </c>
      <c r="AE122" s="27">
        <f>SUMIFS(T_REAL!$D:$D,T_REAL!$E:$E,DRE!AE$7,T_REAL!$C:$C,DRE!$A122)+SUMIFS(Aut_Ajustes_Manuais!$G:$G,Aut_Ajustes_Manuais!$I:$I,DRE!AC$4,Aut_Ajustes_Manuais!$F:$F,"  -  Garçon III")</f>
        <v>0</v>
      </c>
      <c r="AF122" s="237"/>
      <c r="AG122" s="26">
        <f>-SUMIFS(T_HEADCOUNT!$E:$E,T_HEADCOUNT!$C:$C,"-  Garçon III",T_HEADCOUNT!$D:$D,"9/2026",T_HEADCOUNT!$B:$B,"CLT")</f>
        <v>0</v>
      </c>
      <c r="AH122" s="27">
        <f>SUMIFS(T_REAL!$D:$D,T_REAL!$E:$E,DRE!AH$7,T_REAL!$C:$C,DRE!$A122)+SUMIFS(Aut_Ajustes_Manuais!$G:$G,Aut_Ajustes_Manuais!$I:$I,DRE!AF$4,Aut_Ajustes_Manuais!$F:$F,"  -  Garçon III")</f>
        <v>0</v>
      </c>
      <c r="AI122" s="237"/>
      <c r="AJ122" s="26">
        <f>-SUMIFS(T_HEADCOUNT!$E:$E,T_HEADCOUNT!$C:$C,"-  Garçon III",T_HEADCOUNT!$D:$D,"10/2026",T_HEADCOUNT!$B:$B,"CLT")</f>
        <v>0</v>
      </c>
      <c r="AK122" s="27">
        <f>SUMIFS(T_REAL!$D:$D,T_REAL!$E:$E,DRE!AK$7,T_REAL!$C:$C,DRE!$A122)+SUMIFS(Aut_Ajustes_Manuais!$G:$G,Aut_Ajustes_Manuais!$I:$I,DRE!AI$4,Aut_Ajustes_Manuais!$F:$F,"  -  Garçon III")</f>
        <v>0</v>
      </c>
      <c r="AL122" s="237"/>
      <c r="AM122" s="26">
        <f>-SUMIFS(T_HEADCOUNT!$E:$E,T_HEADCOUNT!$C:$C,"-  Garçon III",T_HEADCOUNT!$D:$D,"11/2026",T_HEADCOUNT!$B:$B,"CLT")</f>
        <v>0</v>
      </c>
      <c r="AN122" s="27">
        <f>SUMIFS(T_REAL!$D:$D,T_REAL!$E:$E,DRE!AN$7,T_REAL!$C:$C,DRE!$A122)+SUMIFS(Aut_Ajustes_Manuais!$G:$G,Aut_Ajustes_Manuais!$I:$I,DRE!AL$4,Aut_Ajustes_Manuais!$F:$F,"  -  Garçon III")</f>
        <v>0</v>
      </c>
      <c r="AO122" s="237"/>
      <c r="AP122" s="26">
        <f>-SUMIFS(T_HEADCOUNT!$E:$E,T_HEADCOUNT!$C:$C,"-  Garçon III",T_HEADCOUNT!$D:$D,"12/2026",T_HEADCOUNT!$B:$B,"CLT")</f>
        <v>0</v>
      </c>
      <c r="AQ122" s="27">
        <f>SUMIFS(T_REAL!$D:$D,T_REAL!$E:$E,DRE!AQ$7,T_REAL!$C:$C,DRE!$A122)+SUMIFS(Aut_Ajustes_Manuais!$G:$G,Aut_Ajustes_Manuais!$I:$I,DRE!AO$4,Aut_Ajustes_Manuais!$F:$F,"  -  Garçon III")</f>
        <v>0</v>
      </c>
      <c r="AR122" s="237">
        <f t="shared" ca="1" si="120"/>
        <v>0</v>
      </c>
      <c r="AS122" s="26">
        <f t="shared" ca="1" si="121"/>
        <v>0</v>
      </c>
      <c r="AT122" s="27">
        <f t="shared" ca="1" si="122"/>
        <v>0</v>
      </c>
      <c r="AU122" s="237"/>
      <c r="AV122" s="26"/>
      <c r="AW122" s="27"/>
      <c r="AX122" s="237"/>
      <c r="AY122" s="26">
        <v>-19385.599999999999</v>
      </c>
      <c r="AZ122" s="27"/>
      <c r="BA122" s="237"/>
      <c r="BB122" s="26">
        <v>-11794.19904</v>
      </c>
      <c r="BC122" s="27"/>
      <c r="BD122" s="237"/>
      <c r="BE122" s="26">
        <v>-12119.877119999999</v>
      </c>
      <c r="BF122" s="27"/>
      <c r="BG122" s="237"/>
      <c r="BH122" s="26">
        <v>-12119.877119999999</v>
      </c>
      <c r="BI122" s="27"/>
      <c r="BJ122" s="454"/>
    </row>
    <row r="123" spans="1:62" s="28" customFormat="1" outlineLevel="1" x14ac:dyDescent="0.3">
      <c r="A123" s="93" t="s">
        <v>145</v>
      </c>
      <c r="B123" s="2"/>
      <c r="C123" s="23"/>
      <c r="D123" s="53" t="s">
        <v>143</v>
      </c>
      <c r="E123" s="85"/>
      <c r="F123" s="54"/>
      <c r="G123" s="32"/>
      <c r="H123" s="237"/>
      <c r="I123" s="26">
        <f>-SUMIFS(T_HEADCOUNT!$E:$E,T_HEADCOUNT!$C:$C,"-  Garçon II",T_HEADCOUNT!$D:$D,"1/2026",T_HEADCOUNT!$B:$B,"CLT")</f>
        <v>0</v>
      </c>
      <c r="J123" s="27">
        <f>SUMIFS(T_REAL!$D:$D,T_REAL!$E:$E,DRE!J$7,T_REAL!$C:$C,DRE!$A123)+SUMIFS(Aut_Ajustes_Manuais!$G:$G,Aut_Ajustes_Manuais!$I:$I,DRE!H$4,Aut_Ajustes_Manuais!$F:$F,"  -  Garçon II")</f>
        <v>0</v>
      </c>
      <c r="K123" s="237"/>
      <c r="L123" s="26">
        <f>-SUMIFS(T_HEADCOUNT!$E:$E,T_HEADCOUNT!$C:$C,"-  Garçon II",T_HEADCOUNT!$D:$D,"2/2026",T_HEADCOUNT!$B:$B,"CLT")</f>
        <v>0</v>
      </c>
      <c r="M123" s="27">
        <f>SUMIFS(T_REAL!$D:$D,T_REAL!$E:$E,DRE!M$7,T_REAL!$C:$C,DRE!$A123)+SUMIFS(Aut_Ajustes_Manuais!$G:$G,Aut_Ajustes_Manuais!$I:$I,DRE!K$4,Aut_Ajustes_Manuais!$F:$F,"  -  Garçon II")</f>
        <v>0</v>
      </c>
      <c r="N123" s="237"/>
      <c r="O123" s="26">
        <f>-SUMIFS(T_HEADCOUNT!$E:$E,T_HEADCOUNT!$C:$C,"-  Garçon II",T_HEADCOUNT!$D:$D,"3/2026",T_HEADCOUNT!$B:$B,"CLT")</f>
        <v>0</v>
      </c>
      <c r="P123" s="27">
        <f>SUMIFS(T_REAL!$D:$D,T_REAL!$E:$E,DRE!P$7,T_REAL!$C:$C,DRE!$A123)+SUMIFS(Aut_Ajustes_Manuais!$G:$G,Aut_Ajustes_Manuais!$I:$I,DRE!N$4,Aut_Ajustes_Manuais!$F:$F,"  -  Garçon II")</f>
        <v>0</v>
      </c>
      <c r="Q123" s="237"/>
      <c r="R123" s="26">
        <f>-SUMIFS(T_HEADCOUNT!$E:$E,T_HEADCOUNT!$C:$C,"-  Garçon II",T_HEADCOUNT!$D:$D,"4/2026",T_HEADCOUNT!$B:$B,"CLT")</f>
        <v>0</v>
      </c>
      <c r="S123" s="27">
        <f>SUMIFS(T_REAL!$D:$D,T_REAL!$E:$E,DRE!S$7,T_REAL!$C:$C,DRE!$A123)+SUMIFS(Aut_Ajustes_Manuais!$G:$G,Aut_Ajustes_Manuais!$I:$I,DRE!Q$4,Aut_Ajustes_Manuais!$F:$F,"  -  Garçon II")</f>
        <v>0</v>
      </c>
      <c r="T123" s="237"/>
      <c r="U123" s="26">
        <f>-SUMIFS(T_HEADCOUNT!$E:$E,T_HEADCOUNT!$C:$C,"-  Garçon II",T_HEADCOUNT!$D:$D,"5/2026",T_HEADCOUNT!$B:$B,"CLT")</f>
        <v>0</v>
      </c>
      <c r="V123" s="27">
        <f>SUMIFS(T_REAL!$D:$D,T_REAL!$E:$E,DRE!V$7,T_REAL!$C:$C,DRE!$A123)+SUMIFS(Aut_Ajustes_Manuais!$G:$G,Aut_Ajustes_Manuais!$I:$I,DRE!T$4,Aut_Ajustes_Manuais!$F:$F,"  -  Garçon II")</f>
        <v>0</v>
      </c>
      <c r="W123" s="237"/>
      <c r="X123" s="26">
        <f>-SUMIFS(T_HEADCOUNT!$E:$E,T_HEADCOUNT!$C:$C,"-  Garçon II",T_HEADCOUNT!$D:$D,"6/2026",T_HEADCOUNT!$B:$B,"CLT")</f>
        <v>0</v>
      </c>
      <c r="Y123" s="27">
        <f>SUMIFS(T_REAL!$D:$D,T_REAL!$E:$E,DRE!Y$7,T_REAL!$C:$C,DRE!$A123)+SUMIFS(Aut_Ajustes_Manuais!$G:$G,Aut_Ajustes_Manuais!$I:$I,DRE!W$4,Aut_Ajustes_Manuais!$F:$F,"  -  Garçon II")</f>
        <v>0</v>
      </c>
      <c r="Z123" s="237"/>
      <c r="AA123" s="26">
        <f>-SUMIFS(T_HEADCOUNT!$E:$E,T_HEADCOUNT!$C:$C,"-  Garçon II",T_HEADCOUNT!$D:$D,"7/2026",T_HEADCOUNT!$B:$B,"CLT")</f>
        <v>0</v>
      </c>
      <c r="AB123" s="27">
        <f>SUMIFS(T_REAL!$D:$D,T_REAL!$E:$E,DRE!AB$7,T_REAL!$C:$C,DRE!$A123)+SUMIFS(Aut_Ajustes_Manuais!$G:$G,Aut_Ajustes_Manuais!$I:$I,DRE!Z$4,Aut_Ajustes_Manuais!$F:$F,"  -  Garçon II")</f>
        <v>0</v>
      </c>
      <c r="AC123" s="237"/>
      <c r="AD123" s="26">
        <f>-SUMIFS(T_HEADCOUNT!$E:$E,T_HEADCOUNT!$C:$C,"-  Garçon II",T_HEADCOUNT!$D:$D,"8/2026",T_HEADCOUNT!$B:$B,"CLT")</f>
        <v>0</v>
      </c>
      <c r="AE123" s="27">
        <f>SUMIFS(T_REAL!$D:$D,T_REAL!$E:$E,DRE!AE$7,T_REAL!$C:$C,DRE!$A123)+SUMIFS(Aut_Ajustes_Manuais!$G:$G,Aut_Ajustes_Manuais!$I:$I,DRE!AC$4,Aut_Ajustes_Manuais!$F:$F,"  -  Garçon II")</f>
        <v>0</v>
      </c>
      <c r="AF123" s="237"/>
      <c r="AG123" s="26">
        <f>-SUMIFS(T_HEADCOUNT!$E:$E,T_HEADCOUNT!$C:$C,"-  Garçon II",T_HEADCOUNT!$D:$D,"9/2026",T_HEADCOUNT!$B:$B,"CLT")</f>
        <v>0</v>
      </c>
      <c r="AH123" s="27">
        <f>SUMIFS(T_REAL!$D:$D,T_REAL!$E:$E,DRE!AH$7,T_REAL!$C:$C,DRE!$A123)+SUMIFS(Aut_Ajustes_Manuais!$G:$G,Aut_Ajustes_Manuais!$I:$I,DRE!AF$4,Aut_Ajustes_Manuais!$F:$F,"  -  Garçon II")</f>
        <v>0</v>
      </c>
      <c r="AI123" s="237"/>
      <c r="AJ123" s="26">
        <f>-SUMIFS(T_HEADCOUNT!$E:$E,T_HEADCOUNT!$C:$C,"-  Garçon II",T_HEADCOUNT!$D:$D,"10/2026",T_HEADCOUNT!$B:$B,"CLT")</f>
        <v>0</v>
      </c>
      <c r="AK123" s="27">
        <f>SUMIFS(T_REAL!$D:$D,T_REAL!$E:$E,DRE!AK$7,T_REAL!$C:$C,DRE!$A123)+SUMIFS(Aut_Ajustes_Manuais!$G:$G,Aut_Ajustes_Manuais!$I:$I,DRE!AI$4,Aut_Ajustes_Manuais!$F:$F,"  -  Garçon II")</f>
        <v>0</v>
      </c>
      <c r="AL123" s="237"/>
      <c r="AM123" s="26">
        <f>-SUMIFS(T_HEADCOUNT!$E:$E,T_HEADCOUNT!$C:$C,"-  Garçon II",T_HEADCOUNT!$D:$D,"11/2026",T_HEADCOUNT!$B:$B,"CLT")</f>
        <v>0</v>
      </c>
      <c r="AN123" s="27">
        <f>SUMIFS(T_REAL!$D:$D,T_REAL!$E:$E,DRE!AN$7,T_REAL!$C:$C,DRE!$A123)+SUMIFS(Aut_Ajustes_Manuais!$G:$G,Aut_Ajustes_Manuais!$I:$I,DRE!AL$4,Aut_Ajustes_Manuais!$F:$F,"  -  Garçon II")</f>
        <v>0</v>
      </c>
      <c r="AO123" s="237"/>
      <c r="AP123" s="26">
        <f>-SUMIFS(T_HEADCOUNT!$E:$E,T_HEADCOUNT!$C:$C,"-  Garçon II",T_HEADCOUNT!$D:$D,"12/2026",T_HEADCOUNT!$B:$B,"CLT")</f>
        <v>0</v>
      </c>
      <c r="AQ123" s="27">
        <f>SUMIFS(T_REAL!$D:$D,T_REAL!$E:$E,DRE!AQ$7,T_REAL!$C:$C,DRE!$A123)+SUMIFS(Aut_Ajustes_Manuais!$G:$G,Aut_Ajustes_Manuais!$I:$I,DRE!AO$4,Aut_Ajustes_Manuais!$F:$F,"  -  Garçon II")</f>
        <v>0</v>
      </c>
      <c r="AR123" s="237">
        <f t="shared" ca="1" si="120"/>
        <v>0</v>
      </c>
      <c r="AS123" s="26">
        <f t="shared" ca="1" si="121"/>
        <v>0</v>
      </c>
      <c r="AT123" s="27">
        <f t="shared" ca="1" si="122"/>
        <v>0</v>
      </c>
      <c r="AU123" s="237"/>
      <c r="AV123" s="26"/>
      <c r="AW123" s="27"/>
      <c r="AX123" s="237"/>
      <c r="AY123" s="26">
        <v>-8478.2000000000007</v>
      </c>
      <c r="AZ123" s="27"/>
      <c r="BA123" s="237"/>
      <c r="BB123" s="26">
        <v>-12895.342199999999</v>
      </c>
      <c r="BC123" s="27"/>
      <c r="BD123" s="237"/>
      <c r="BE123" s="26">
        <v>-13251.426600000001</v>
      </c>
      <c r="BF123" s="27"/>
      <c r="BG123" s="237"/>
      <c r="BH123" s="26">
        <v>-13251.426600000001</v>
      </c>
      <c r="BI123" s="27"/>
      <c r="BJ123" s="454"/>
    </row>
    <row r="124" spans="1:62" s="28" customFormat="1" outlineLevel="1" x14ac:dyDescent="0.3">
      <c r="A124" s="93" t="s">
        <v>146</v>
      </c>
      <c r="B124" s="2"/>
      <c r="C124" s="23"/>
      <c r="D124" s="53" t="s">
        <v>143</v>
      </c>
      <c r="E124" s="85"/>
      <c r="F124" s="54"/>
      <c r="G124" s="32"/>
      <c r="H124" s="237"/>
      <c r="I124" s="26">
        <f>-SUMIFS(T_HEADCOUNT!$E:$E,T_HEADCOUNT!$C:$C,"-  Garçon I",T_HEADCOUNT!$D:$D,"1/2026",T_HEADCOUNT!$B:$B,"CLT")</f>
        <v>0</v>
      </c>
      <c r="J124" s="27">
        <f>SUMIFS(T_REAL!$D:$D,T_REAL!$E:$E,DRE!J$7,T_REAL!$C:$C,DRE!$A124)+SUMIFS(Aut_Ajustes_Manuais!$G:$G,Aut_Ajustes_Manuais!$I:$I,DRE!H$4,Aut_Ajustes_Manuais!$F:$F,"  -  Garçon I")</f>
        <v>0</v>
      </c>
      <c r="K124" s="237"/>
      <c r="L124" s="26">
        <f>-SUMIFS(T_HEADCOUNT!$E:$E,T_HEADCOUNT!$C:$C,"-  Garçon I",T_HEADCOUNT!$D:$D,"2/2026",T_HEADCOUNT!$B:$B,"CLT")</f>
        <v>0</v>
      </c>
      <c r="M124" s="27">
        <f>SUMIFS(T_REAL!$D:$D,T_REAL!$E:$E,DRE!M$7,T_REAL!$C:$C,DRE!$A124)+SUMIFS(Aut_Ajustes_Manuais!$G:$G,Aut_Ajustes_Manuais!$I:$I,DRE!K$4,Aut_Ajustes_Manuais!$F:$F,"  -  Garçon I")</f>
        <v>0</v>
      </c>
      <c r="N124" s="237"/>
      <c r="O124" s="26">
        <f>-SUMIFS(T_HEADCOUNT!$E:$E,T_HEADCOUNT!$C:$C,"-  Garçon I",T_HEADCOUNT!$D:$D,"3/2026",T_HEADCOUNT!$B:$B,"CLT")</f>
        <v>0</v>
      </c>
      <c r="P124" s="27">
        <f>SUMIFS(T_REAL!$D:$D,T_REAL!$E:$E,DRE!P$7,T_REAL!$C:$C,DRE!$A124)+SUMIFS(Aut_Ajustes_Manuais!$G:$G,Aut_Ajustes_Manuais!$I:$I,DRE!N$4,Aut_Ajustes_Manuais!$F:$F,"  -  Garçon I")</f>
        <v>0</v>
      </c>
      <c r="Q124" s="237"/>
      <c r="R124" s="26">
        <f>-SUMIFS(T_HEADCOUNT!$E:$E,T_HEADCOUNT!$C:$C,"-  Garçon I",T_HEADCOUNT!$D:$D,"4/2026",T_HEADCOUNT!$B:$B,"CLT")</f>
        <v>0</v>
      </c>
      <c r="S124" s="27">
        <f>SUMIFS(T_REAL!$D:$D,T_REAL!$E:$E,DRE!S$7,T_REAL!$C:$C,DRE!$A124)+SUMIFS(Aut_Ajustes_Manuais!$G:$G,Aut_Ajustes_Manuais!$I:$I,DRE!Q$4,Aut_Ajustes_Manuais!$F:$F,"  -  Garçon I")</f>
        <v>0</v>
      </c>
      <c r="T124" s="237"/>
      <c r="U124" s="26">
        <f>-SUMIFS(T_HEADCOUNT!$E:$E,T_HEADCOUNT!$C:$C,"-  Garçon I",T_HEADCOUNT!$D:$D,"5/2026",T_HEADCOUNT!$B:$B,"CLT")</f>
        <v>0</v>
      </c>
      <c r="V124" s="27">
        <f>SUMIFS(T_REAL!$D:$D,T_REAL!$E:$E,DRE!V$7,T_REAL!$C:$C,DRE!$A124)+SUMIFS(Aut_Ajustes_Manuais!$G:$G,Aut_Ajustes_Manuais!$I:$I,DRE!T$4,Aut_Ajustes_Manuais!$F:$F,"  -  Garçon I")</f>
        <v>0</v>
      </c>
      <c r="W124" s="237"/>
      <c r="X124" s="26">
        <f>-SUMIFS(T_HEADCOUNT!$E:$E,T_HEADCOUNT!$C:$C,"-  Garçon I",T_HEADCOUNT!$D:$D,"6/2026",T_HEADCOUNT!$B:$B,"CLT")</f>
        <v>0</v>
      </c>
      <c r="Y124" s="27">
        <f>SUMIFS(T_REAL!$D:$D,T_REAL!$E:$E,DRE!Y$7,T_REAL!$C:$C,DRE!$A124)+SUMIFS(Aut_Ajustes_Manuais!$G:$G,Aut_Ajustes_Manuais!$I:$I,DRE!W$4,Aut_Ajustes_Manuais!$F:$F,"  -  Garçon I")</f>
        <v>0</v>
      </c>
      <c r="Z124" s="237"/>
      <c r="AA124" s="26">
        <f>-SUMIFS(T_HEADCOUNT!$E:$E,T_HEADCOUNT!$C:$C,"-  Garçon I",T_HEADCOUNT!$D:$D,"7/2026",T_HEADCOUNT!$B:$B,"CLT")</f>
        <v>0</v>
      </c>
      <c r="AB124" s="27">
        <f>SUMIFS(T_REAL!$D:$D,T_REAL!$E:$E,DRE!AB$7,T_REAL!$C:$C,DRE!$A124)+SUMIFS(Aut_Ajustes_Manuais!$G:$G,Aut_Ajustes_Manuais!$I:$I,DRE!Z$4,Aut_Ajustes_Manuais!$F:$F,"  -  Garçon I")</f>
        <v>0</v>
      </c>
      <c r="AC124" s="237"/>
      <c r="AD124" s="26">
        <f>-SUMIFS(T_HEADCOUNT!$E:$E,T_HEADCOUNT!$C:$C,"-  Garçon I",T_HEADCOUNT!$D:$D,"8/2026",T_HEADCOUNT!$B:$B,"CLT")</f>
        <v>0</v>
      </c>
      <c r="AE124" s="27">
        <f>SUMIFS(T_REAL!$D:$D,T_REAL!$E:$E,DRE!AE$7,T_REAL!$C:$C,DRE!$A124)+SUMIFS(Aut_Ajustes_Manuais!$G:$G,Aut_Ajustes_Manuais!$I:$I,DRE!AC$4,Aut_Ajustes_Manuais!$F:$F,"  -  Garçon I")</f>
        <v>0</v>
      </c>
      <c r="AF124" s="237"/>
      <c r="AG124" s="26">
        <f>-SUMIFS(T_HEADCOUNT!$E:$E,T_HEADCOUNT!$C:$C,"-  Garçon I",T_HEADCOUNT!$D:$D,"9/2026",T_HEADCOUNT!$B:$B,"CLT")</f>
        <v>0</v>
      </c>
      <c r="AH124" s="27">
        <f>SUMIFS(T_REAL!$D:$D,T_REAL!$E:$E,DRE!AH$7,T_REAL!$C:$C,DRE!$A124)+SUMIFS(Aut_Ajustes_Manuais!$G:$G,Aut_Ajustes_Manuais!$I:$I,DRE!AF$4,Aut_Ajustes_Manuais!$F:$F,"  -  Garçon I")</f>
        <v>0</v>
      </c>
      <c r="AI124" s="237"/>
      <c r="AJ124" s="26">
        <f>-SUMIFS(T_HEADCOUNT!$E:$E,T_HEADCOUNT!$C:$C,"-  Garçon I",T_HEADCOUNT!$D:$D,"10/2026",T_HEADCOUNT!$B:$B,"CLT")</f>
        <v>0</v>
      </c>
      <c r="AK124" s="27">
        <f>SUMIFS(T_REAL!$D:$D,T_REAL!$E:$E,DRE!AK$7,T_REAL!$C:$C,DRE!$A124)+SUMIFS(Aut_Ajustes_Manuais!$G:$G,Aut_Ajustes_Manuais!$I:$I,DRE!AI$4,Aut_Ajustes_Manuais!$F:$F,"  -  Garçon I")</f>
        <v>0</v>
      </c>
      <c r="AL124" s="237"/>
      <c r="AM124" s="26">
        <f>-SUMIFS(T_HEADCOUNT!$E:$E,T_HEADCOUNT!$C:$C,"-  Garçon I",T_HEADCOUNT!$D:$D,"11/2026",T_HEADCOUNT!$B:$B,"CLT")</f>
        <v>0</v>
      </c>
      <c r="AN124" s="27">
        <f>SUMIFS(T_REAL!$D:$D,T_REAL!$E:$E,DRE!AN$7,T_REAL!$C:$C,DRE!$A124)+SUMIFS(Aut_Ajustes_Manuais!$G:$G,Aut_Ajustes_Manuais!$I:$I,DRE!AL$4,Aut_Ajustes_Manuais!$F:$F,"  -  Garçon I")</f>
        <v>0</v>
      </c>
      <c r="AO124" s="237"/>
      <c r="AP124" s="26">
        <f>-SUMIFS(T_HEADCOUNT!$E:$E,T_HEADCOUNT!$C:$C,"-  Garçon I",T_HEADCOUNT!$D:$D,"12/2026",T_HEADCOUNT!$B:$B,"CLT")</f>
        <v>0</v>
      </c>
      <c r="AQ124" s="27">
        <f>SUMIFS(T_REAL!$D:$D,T_REAL!$E:$E,DRE!AQ$7,T_REAL!$C:$C,DRE!$A124)+SUMIFS(Aut_Ajustes_Manuais!$G:$G,Aut_Ajustes_Manuais!$I:$I,DRE!AO$4,Aut_Ajustes_Manuais!$F:$F,"  -  Garçon I")</f>
        <v>0</v>
      </c>
      <c r="AR124" s="237">
        <f t="shared" ca="1" si="120"/>
        <v>0</v>
      </c>
      <c r="AS124" s="26">
        <f t="shared" ca="1" si="121"/>
        <v>0</v>
      </c>
      <c r="AT124" s="27">
        <f t="shared" ca="1" si="122"/>
        <v>0</v>
      </c>
      <c r="AU124" s="237"/>
      <c r="AV124" s="26"/>
      <c r="AW124" s="27"/>
      <c r="AX124" s="237"/>
      <c r="AY124" s="26">
        <v>-12769.4</v>
      </c>
      <c r="AZ124" s="27"/>
      <c r="BA124" s="237"/>
      <c r="BB124" s="26">
        <v>-15537.805920000001</v>
      </c>
      <c r="BC124" s="27"/>
      <c r="BD124" s="237"/>
      <c r="BE124" s="26">
        <v>-15966.857760000001</v>
      </c>
      <c r="BF124" s="27"/>
      <c r="BG124" s="237"/>
      <c r="BH124" s="26">
        <v>-15966.857760000001</v>
      </c>
      <c r="BI124" s="27"/>
      <c r="BJ124" s="454"/>
    </row>
    <row r="125" spans="1:62" s="28" customFormat="1" outlineLevel="1" x14ac:dyDescent="0.3">
      <c r="A125" s="93" t="s">
        <v>147</v>
      </c>
      <c r="B125" s="2"/>
      <c r="C125" s="23"/>
      <c r="D125" s="53" t="s">
        <v>143</v>
      </c>
      <c r="E125" s="85"/>
      <c r="F125" s="54"/>
      <c r="G125" s="32"/>
      <c r="H125" s="237"/>
      <c r="I125" s="26">
        <f>-SUMIFS(T_HEADCOUNT!$E:$E,T_HEADCOUNT!$C:$C,"-  Passador de Chopp",T_HEADCOUNT!$D:$D,"1/2026",T_HEADCOUNT!$B:$B,"CLT")</f>
        <v>0</v>
      </c>
      <c r="J125" s="27">
        <f>SUMIFS(T_REAL!$D:$D,T_REAL!$E:$E,DRE!J$7,T_REAL!$C:$C,DRE!$A125)+SUMIFS(Aut_Ajustes_Manuais!$G:$G,Aut_Ajustes_Manuais!$I:$I,DRE!H$4,Aut_Ajustes_Manuais!$F:$F,"  -  Passador de Chopp")</f>
        <v>0</v>
      </c>
      <c r="K125" s="237"/>
      <c r="L125" s="26">
        <f>-SUMIFS(T_HEADCOUNT!$E:$E,T_HEADCOUNT!$C:$C,"-  Passador de Chopp",T_HEADCOUNT!$D:$D,"2/2026",T_HEADCOUNT!$B:$B,"CLT")</f>
        <v>0</v>
      </c>
      <c r="M125" s="27">
        <f>SUMIFS(T_REAL!$D:$D,T_REAL!$E:$E,DRE!M$7,T_REAL!$C:$C,DRE!$A125)+SUMIFS(Aut_Ajustes_Manuais!$G:$G,Aut_Ajustes_Manuais!$I:$I,DRE!K$4,Aut_Ajustes_Manuais!$F:$F,"  -  Passador de Chopp")</f>
        <v>0</v>
      </c>
      <c r="N125" s="237"/>
      <c r="O125" s="26">
        <f>-SUMIFS(T_HEADCOUNT!$E:$E,T_HEADCOUNT!$C:$C,"-  Passador de Chopp",T_HEADCOUNT!$D:$D,"3/2026",T_HEADCOUNT!$B:$B,"CLT")</f>
        <v>0</v>
      </c>
      <c r="P125" s="27">
        <f>SUMIFS(T_REAL!$D:$D,T_REAL!$E:$E,DRE!P$7,T_REAL!$C:$C,DRE!$A125)+SUMIFS(Aut_Ajustes_Manuais!$G:$G,Aut_Ajustes_Manuais!$I:$I,DRE!N$4,Aut_Ajustes_Manuais!$F:$F,"  -  Passador de Chopp")</f>
        <v>0</v>
      </c>
      <c r="Q125" s="237"/>
      <c r="R125" s="26">
        <f>-SUMIFS(T_HEADCOUNT!$E:$E,T_HEADCOUNT!$C:$C,"-  Passador de Chopp",T_HEADCOUNT!$D:$D,"4/2026",T_HEADCOUNT!$B:$B,"CLT")</f>
        <v>0</v>
      </c>
      <c r="S125" s="27">
        <f>SUMIFS(T_REAL!$D:$D,T_REAL!$E:$E,DRE!S$7,T_REAL!$C:$C,DRE!$A125)+SUMIFS(Aut_Ajustes_Manuais!$G:$G,Aut_Ajustes_Manuais!$I:$I,DRE!Q$4,Aut_Ajustes_Manuais!$F:$F,"  -  Passador de Chopp")</f>
        <v>0</v>
      </c>
      <c r="T125" s="237"/>
      <c r="U125" s="26">
        <f>-SUMIFS(T_HEADCOUNT!$E:$E,T_HEADCOUNT!$C:$C,"-  Passador de Chopp",T_HEADCOUNT!$D:$D,"5/2026",T_HEADCOUNT!$B:$B,"CLT")</f>
        <v>0</v>
      </c>
      <c r="V125" s="27">
        <f>SUMIFS(T_REAL!$D:$D,T_REAL!$E:$E,DRE!V$7,T_REAL!$C:$C,DRE!$A125)+SUMIFS(Aut_Ajustes_Manuais!$G:$G,Aut_Ajustes_Manuais!$I:$I,DRE!T$4,Aut_Ajustes_Manuais!$F:$F,"  -  Passador de Chopp")</f>
        <v>0</v>
      </c>
      <c r="W125" s="237"/>
      <c r="X125" s="26">
        <f>-SUMIFS(T_HEADCOUNT!$E:$E,T_HEADCOUNT!$C:$C,"-  Passador de Chopp",T_HEADCOUNT!$D:$D,"6/2026",T_HEADCOUNT!$B:$B,"CLT")</f>
        <v>0</v>
      </c>
      <c r="Y125" s="27">
        <f>SUMIFS(T_REAL!$D:$D,T_REAL!$E:$E,DRE!Y$7,T_REAL!$C:$C,DRE!$A125)+SUMIFS(Aut_Ajustes_Manuais!$G:$G,Aut_Ajustes_Manuais!$I:$I,DRE!W$4,Aut_Ajustes_Manuais!$F:$F,"  -  Passador de Chopp")</f>
        <v>0</v>
      </c>
      <c r="Z125" s="237"/>
      <c r="AA125" s="26">
        <f>-SUMIFS(T_HEADCOUNT!$E:$E,T_HEADCOUNT!$C:$C,"-  Passador de Chopp",T_HEADCOUNT!$D:$D,"7/2026",T_HEADCOUNT!$B:$B,"CLT")</f>
        <v>0</v>
      </c>
      <c r="AB125" s="27">
        <f>SUMIFS(T_REAL!$D:$D,T_REAL!$E:$E,DRE!AB$7,T_REAL!$C:$C,DRE!$A125)+SUMIFS(Aut_Ajustes_Manuais!$G:$G,Aut_Ajustes_Manuais!$I:$I,DRE!Z$4,Aut_Ajustes_Manuais!$F:$F,"  -  Passador de Chopp")</f>
        <v>0</v>
      </c>
      <c r="AC125" s="237"/>
      <c r="AD125" s="26">
        <f>-SUMIFS(T_HEADCOUNT!$E:$E,T_HEADCOUNT!$C:$C,"-  Passador de Chopp",T_HEADCOUNT!$D:$D,"8/2026",T_HEADCOUNT!$B:$B,"CLT")</f>
        <v>0</v>
      </c>
      <c r="AE125" s="27">
        <f>SUMIFS(T_REAL!$D:$D,T_REAL!$E:$E,DRE!AE$7,T_REAL!$C:$C,DRE!$A125)+SUMIFS(Aut_Ajustes_Manuais!$G:$G,Aut_Ajustes_Manuais!$I:$I,DRE!AC$4,Aut_Ajustes_Manuais!$F:$F,"  -  Passador de Chopp")</f>
        <v>0</v>
      </c>
      <c r="AF125" s="237"/>
      <c r="AG125" s="26">
        <f>-SUMIFS(T_HEADCOUNT!$E:$E,T_HEADCOUNT!$C:$C,"-  Passador de Chopp",T_HEADCOUNT!$D:$D,"9/2026",T_HEADCOUNT!$B:$B,"CLT")</f>
        <v>0</v>
      </c>
      <c r="AH125" s="27">
        <f>SUMIFS(T_REAL!$D:$D,T_REAL!$E:$E,DRE!AH$7,T_REAL!$C:$C,DRE!$A125)+SUMIFS(Aut_Ajustes_Manuais!$G:$G,Aut_Ajustes_Manuais!$I:$I,DRE!AF$4,Aut_Ajustes_Manuais!$F:$F,"  -  Passador de Chopp")</f>
        <v>0</v>
      </c>
      <c r="AI125" s="237"/>
      <c r="AJ125" s="26">
        <f>-SUMIFS(T_HEADCOUNT!$E:$E,T_HEADCOUNT!$C:$C,"-  Passador de Chopp",T_HEADCOUNT!$D:$D,"10/2026",T_HEADCOUNT!$B:$B,"CLT")</f>
        <v>0</v>
      </c>
      <c r="AK125" s="27">
        <f>SUMIFS(T_REAL!$D:$D,T_REAL!$E:$E,DRE!AK$7,T_REAL!$C:$C,DRE!$A125)+SUMIFS(Aut_Ajustes_Manuais!$G:$G,Aut_Ajustes_Manuais!$I:$I,DRE!AI$4,Aut_Ajustes_Manuais!$F:$F,"  -  Passador de Chopp")</f>
        <v>0</v>
      </c>
      <c r="AL125" s="237"/>
      <c r="AM125" s="26">
        <f>-SUMIFS(T_HEADCOUNT!$E:$E,T_HEADCOUNT!$C:$C,"-  Passador de Chopp",T_HEADCOUNT!$D:$D,"11/2026",T_HEADCOUNT!$B:$B,"CLT")</f>
        <v>0</v>
      </c>
      <c r="AN125" s="27">
        <f>SUMIFS(T_REAL!$D:$D,T_REAL!$E:$E,DRE!AN$7,T_REAL!$C:$C,DRE!$A125)+SUMIFS(Aut_Ajustes_Manuais!$G:$G,Aut_Ajustes_Manuais!$I:$I,DRE!AL$4,Aut_Ajustes_Manuais!$F:$F,"  -  Passador de Chopp")</f>
        <v>0</v>
      </c>
      <c r="AO125" s="237"/>
      <c r="AP125" s="26">
        <f>-SUMIFS(T_HEADCOUNT!$E:$E,T_HEADCOUNT!$C:$C,"-  Passador de Chopp",T_HEADCOUNT!$D:$D,"12/2026",T_HEADCOUNT!$B:$B,"CLT")</f>
        <v>0</v>
      </c>
      <c r="AQ125" s="27">
        <f>SUMIFS(T_REAL!$D:$D,T_REAL!$E:$E,DRE!AQ$7,T_REAL!$C:$C,DRE!$A125)+SUMIFS(Aut_Ajustes_Manuais!$G:$G,Aut_Ajustes_Manuais!$I:$I,DRE!AO$4,Aut_Ajustes_Manuais!$F:$F,"  -  Passador de Chopp")</f>
        <v>0</v>
      </c>
      <c r="AR125" s="237">
        <f t="shared" ca="1" si="120"/>
        <v>0</v>
      </c>
      <c r="AS125" s="26">
        <f t="shared" ca="1" si="121"/>
        <v>0</v>
      </c>
      <c r="AT125" s="27">
        <f t="shared" ca="1" si="122"/>
        <v>0</v>
      </c>
      <c r="AU125" s="237"/>
      <c r="AV125" s="26"/>
      <c r="AW125" s="27"/>
      <c r="AX125" s="237"/>
      <c r="AY125" s="26">
        <v>0</v>
      </c>
      <c r="AZ125" s="27"/>
      <c r="BA125" s="237"/>
      <c r="BB125" s="26">
        <v>0</v>
      </c>
      <c r="BC125" s="27"/>
      <c r="BD125" s="237"/>
      <c r="BE125" s="26">
        <v>0</v>
      </c>
      <c r="BF125" s="27"/>
      <c r="BG125" s="237"/>
      <c r="BH125" s="26">
        <v>0</v>
      </c>
      <c r="BI125" s="27"/>
      <c r="BJ125" s="454"/>
    </row>
    <row r="126" spans="1:62" s="28" customFormat="1" outlineLevel="1" x14ac:dyDescent="0.3">
      <c r="A126" s="93" t="s">
        <v>148</v>
      </c>
      <c r="B126" s="2"/>
      <c r="C126" s="23"/>
      <c r="D126" s="53" t="s">
        <v>143</v>
      </c>
      <c r="E126" s="85"/>
      <c r="F126" s="54"/>
      <c r="G126" s="32"/>
      <c r="H126" s="237"/>
      <c r="I126" s="26">
        <f>-SUMIFS(T_HEADCOUNT!$E:$E,T_HEADCOUNT!$C:$C,"-  Cumin",T_HEADCOUNT!$D:$D,"1/2026",T_HEADCOUNT!$B:$B,"CLT")</f>
        <v>0</v>
      </c>
      <c r="J126" s="27">
        <f>SUMIFS(T_REAL!$D:$D,T_REAL!$E:$E,DRE!J$7,T_REAL!$C:$C,DRE!$A126)+SUMIFS(Aut_Ajustes_Manuais!$G:$G,Aut_Ajustes_Manuais!$I:$I,DRE!H$4,Aut_Ajustes_Manuais!$F:$F,"  -  Cumin")</f>
        <v>0</v>
      </c>
      <c r="K126" s="237"/>
      <c r="L126" s="26">
        <f>-SUMIFS(T_HEADCOUNT!$E:$E,T_HEADCOUNT!$C:$C,"-  Cumin",T_HEADCOUNT!$D:$D,"2/2026",T_HEADCOUNT!$B:$B,"CLT")</f>
        <v>0</v>
      </c>
      <c r="M126" s="27">
        <f>SUMIFS(T_REAL!$D:$D,T_REAL!$E:$E,DRE!M$7,T_REAL!$C:$C,DRE!$A126)+SUMIFS(Aut_Ajustes_Manuais!$G:$G,Aut_Ajustes_Manuais!$I:$I,DRE!K$4,Aut_Ajustes_Manuais!$F:$F,"  -  Cumin")</f>
        <v>0</v>
      </c>
      <c r="N126" s="237"/>
      <c r="O126" s="26">
        <f>-SUMIFS(T_HEADCOUNT!$E:$E,T_HEADCOUNT!$C:$C,"-  Cumin",T_HEADCOUNT!$D:$D,"3/2026",T_HEADCOUNT!$B:$B,"CLT")</f>
        <v>0</v>
      </c>
      <c r="P126" s="27">
        <f>SUMIFS(T_REAL!$D:$D,T_REAL!$E:$E,DRE!P$7,T_REAL!$C:$C,DRE!$A126)+SUMIFS(Aut_Ajustes_Manuais!$G:$G,Aut_Ajustes_Manuais!$I:$I,DRE!N$4,Aut_Ajustes_Manuais!$F:$F,"  -  Cumin")</f>
        <v>0</v>
      </c>
      <c r="Q126" s="237"/>
      <c r="R126" s="26">
        <f>-SUMIFS(T_HEADCOUNT!$E:$E,T_HEADCOUNT!$C:$C,"-  Cumin",T_HEADCOUNT!$D:$D,"4/2026",T_HEADCOUNT!$B:$B,"CLT")</f>
        <v>0</v>
      </c>
      <c r="S126" s="27">
        <f>SUMIFS(T_REAL!$D:$D,T_REAL!$E:$E,DRE!S$7,T_REAL!$C:$C,DRE!$A126)+SUMIFS(Aut_Ajustes_Manuais!$G:$G,Aut_Ajustes_Manuais!$I:$I,DRE!Q$4,Aut_Ajustes_Manuais!$F:$F,"  -  Cumin")</f>
        <v>0</v>
      </c>
      <c r="T126" s="237"/>
      <c r="U126" s="26">
        <f>-SUMIFS(T_HEADCOUNT!$E:$E,T_HEADCOUNT!$C:$C,"-  Cumin",T_HEADCOUNT!$D:$D,"5/2026",T_HEADCOUNT!$B:$B,"CLT")</f>
        <v>0</v>
      </c>
      <c r="V126" s="27">
        <f>SUMIFS(T_REAL!$D:$D,T_REAL!$E:$E,DRE!V$7,T_REAL!$C:$C,DRE!$A126)+SUMIFS(Aut_Ajustes_Manuais!$G:$G,Aut_Ajustes_Manuais!$I:$I,DRE!T$4,Aut_Ajustes_Manuais!$F:$F,"  -  Cumin")</f>
        <v>0</v>
      </c>
      <c r="W126" s="237"/>
      <c r="X126" s="26">
        <f>-SUMIFS(T_HEADCOUNT!$E:$E,T_HEADCOUNT!$C:$C,"-  Cumin",T_HEADCOUNT!$D:$D,"6/2026",T_HEADCOUNT!$B:$B,"CLT")</f>
        <v>0</v>
      </c>
      <c r="Y126" s="27">
        <f>SUMIFS(T_REAL!$D:$D,T_REAL!$E:$E,DRE!Y$7,T_REAL!$C:$C,DRE!$A126)+SUMIFS(Aut_Ajustes_Manuais!$G:$G,Aut_Ajustes_Manuais!$I:$I,DRE!W$4,Aut_Ajustes_Manuais!$F:$F,"  -  Cumin")</f>
        <v>0</v>
      </c>
      <c r="Z126" s="237"/>
      <c r="AA126" s="26">
        <f>-SUMIFS(T_HEADCOUNT!$E:$E,T_HEADCOUNT!$C:$C,"-  Cumin",T_HEADCOUNT!$D:$D,"7/2026",T_HEADCOUNT!$B:$B,"CLT")</f>
        <v>0</v>
      </c>
      <c r="AB126" s="27">
        <f>SUMIFS(T_REAL!$D:$D,T_REAL!$E:$E,DRE!AB$7,T_REAL!$C:$C,DRE!$A126)+SUMIFS(Aut_Ajustes_Manuais!$G:$G,Aut_Ajustes_Manuais!$I:$I,DRE!Z$4,Aut_Ajustes_Manuais!$F:$F,"  -  Cumin")</f>
        <v>0</v>
      </c>
      <c r="AC126" s="237"/>
      <c r="AD126" s="26">
        <f>-SUMIFS(T_HEADCOUNT!$E:$E,T_HEADCOUNT!$C:$C,"-  Cumin",T_HEADCOUNT!$D:$D,"8/2026",T_HEADCOUNT!$B:$B,"CLT")</f>
        <v>0</v>
      </c>
      <c r="AE126" s="27">
        <f>SUMIFS(T_REAL!$D:$D,T_REAL!$E:$E,DRE!AE$7,T_REAL!$C:$C,DRE!$A126)+SUMIFS(Aut_Ajustes_Manuais!$G:$G,Aut_Ajustes_Manuais!$I:$I,DRE!AC$4,Aut_Ajustes_Manuais!$F:$F,"  -  Cumin")</f>
        <v>0</v>
      </c>
      <c r="AF126" s="237"/>
      <c r="AG126" s="26">
        <f>-SUMIFS(T_HEADCOUNT!$E:$E,T_HEADCOUNT!$C:$C,"-  Cumin",T_HEADCOUNT!$D:$D,"9/2026",T_HEADCOUNT!$B:$B,"CLT")</f>
        <v>0</v>
      </c>
      <c r="AH126" s="27">
        <f>SUMIFS(T_REAL!$D:$D,T_REAL!$E:$E,DRE!AH$7,T_REAL!$C:$C,DRE!$A126)+SUMIFS(Aut_Ajustes_Manuais!$G:$G,Aut_Ajustes_Manuais!$I:$I,DRE!AF$4,Aut_Ajustes_Manuais!$F:$F,"  -  Cumin")</f>
        <v>0</v>
      </c>
      <c r="AI126" s="237"/>
      <c r="AJ126" s="26">
        <f>-SUMIFS(T_HEADCOUNT!$E:$E,T_HEADCOUNT!$C:$C,"-  Cumin",T_HEADCOUNT!$D:$D,"10/2026",T_HEADCOUNT!$B:$B,"CLT")</f>
        <v>0</v>
      </c>
      <c r="AK126" s="27">
        <f>SUMIFS(T_REAL!$D:$D,T_REAL!$E:$E,DRE!AK$7,T_REAL!$C:$C,DRE!$A126)+SUMIFS(Aut_Ajustes_Manuais!$G:$G,Aut_Ajustes_Manuais!$I:$I,DRE!AI$4,Aut_Ajustes_Manuais!$F:$F,"  -  Cumin")</f>
        <v>0</v>
      </c>
      <c r="AL126" s="237"/>
      <c r="AM126" s="26">
        <f>-SUMIFS(T_HEADCOUNT!$E:$E,T_HEADCOUNT!$C:$C,"-  Cumin",T_HEADCOUNT!$D:$D,"11/2026",T_HEADCOUNT!$B:$B,"CLT")</f>
        <v>0</v>
      </c>
      <c r="AN126" s="27">
        <f>SUMIFS(T_REAL!$D:$D,T_REAL!$E:$E,DRE!AN$7,T_REAL!$C:$C,DRE!$A126)+SUMIFS(Aut_Ajustes_Manuais!$G:$G,Aut_Ajustes_Manuais!$I:$I,DRE!AL$4,Aut_Ajustes_Manuais!$F:$F,"  -  Cumin")</f>
        <v>0</v>
      </c>
      <c r="AO126" s="237"/>
      <c r="AP126" s="26">
        <f>-SUMIFS(T_HEADCOUNT!$E:$E,T_HEADCOUNT!$C:$C,"-  Cumin",T_HEADCOUNT!$D:$D,"12/2026",T_HEADCOUNT!$B:$B,"CLT")</f>
        <v>0</v>
      </c>
      <c r="AQ126" s="27">
        <f>SUMIFS(T_REAL!$D:$D,T_REAL!$E:$E,DRE!AQ$7,T_REAL!$C:$C,DRE!$A126)+SUMIFS(Aut_Ajustes_Manuais!$G:$G,Aut_Ajustes_Manuais!$I:$I,DRE!AO$4,Aut_Ajustes_Manuais!$F:$F,"  -  Cumin")</f>
        <v>0</v>
      </c>
      <c r="AR126" s="237">
        <f t="shared" ca="1" si="120"/>
        <v>0</v>
      </c>
      <c r="AS126" s="26">
        <f t="shared" ca="1" si="121"/>
        <v>0</v>
      </c>
      <c r="AT126" s="27">
        <f t="shared" ca="1" si="122"/>
        <v>0</v>
      </c>
      <c r="AU126" s="237"/>
      <c r="AV126" s="26"/>
      <c r="AW126" s="27"/>
      <c r="AX126" s="237"/>
      <c r="AY126" s="26">
        <v>-1869.4</v>
      </c>
      <c r="AZ126" s="27"/>
      <c r="BA126" s="237"/>
      <c r="BB126" s="26">
        <v>0</v>
      </c>
      <c r="BC126" s="27"/>
      <c r="BD126" s="237"/>
      <c r="BE126" s="26">
        <v>0</v>
      </c>
      <c r="BF126" s="27"/>
      <c r="BG126" s="237"/>
      <c r="BH126" s="26">
        <v>0</v>
      </c>
      <c r="BI126" s="27"/>
      <c r="BJ126" s="454"/>
    </row>
    <row r="127" spans="1:62" s="28" customFormat="1" outlineLevel="1" x14ac:dyDescent="0.3">
      <c r="A127" s="93" t="s">
        <v>149</v>
      </c>
      <c r="B127" s="2"/>
      <c r="C127" s="23"/>
      <c r="D127" s="53" t="s">
        <v>143</v>
      </c>
      <c r="E127" s="85"/>
      <c r="F127" s="54"/>
      <c r="G127" s="32"/>
      <c r="H127" s="237"/>
      <c r="I127" s="26">
        <f>-SUMIFS(T_HEADCOUNT!$E:$E,T_HEADCOUNT!$C:$C,"-  Sub Chefe de Bar",T_HEADCOUNT!$D:$D,"1/2026",T_HEADCOUNT!$B:$B,"CLT")</f>
        <v>0</v>
      </c>
      <c r="J127" s="27">
        <f>SUMIFS(T_REAL!$D:$D,T_REAL!$E:$E,DRE!J$7,T_REAL!$C:$C,DRE!$A127)+SUMIFS(Aut_Ajustes_Manuais!$G:$G,Aut_Ajustes_Manuais!$I:$I,DRE!H$4,Aut_Ajustes_Manuais!$F:$F,"  -  Sub Chefe de Bar")</f>
        <v>0</v>
      </c>
      <c r="K127" s="237"/>
      <c r="L127" s="26">
        <f>-SUMIFS(T_HEADCOUNT!$E:$E,T_HEADCOUNT!$C:$C,"-  Sub Chefe de Bar",T_HEADCOUNT!$D:$D,"2/2026",T_HEADCOUNT!$B:$B,"CLT")</f>
        <v>0</v>
      </c>
      <c r="M127" s="27">
        <f>SUMIFS(T_REAL!$D:$D,T_REAL!$E:$E,DRE!M$7,T_REAL!$C:$C,DRE!$A127)+SUMIFS(Aut_Ajustes_Manuais!$G:$G,Aut_Ajustes_Manuais!$I:$I,DRE!K$4,Aut_Ajustes_Manuais!$F:$F,"  -  Sub Chefe de Bar")</f>
        <v>0</v>
      </c>
      <c r="N127" s="237"/>
      <c r="O127" s="26">
        <f>-SUMIFS(T_HEADCOUNT!$E:$E,T_HEADCOUNT!$C:$C,"-  Sub Chefe de Bar",T_HEADCOUNT!$D:$D,"3/2026",T_HEADCOUNT!$B:$B,"CLT")</f>
        <v>0</v>
      </c>
      <c r="P127" s="27">
        <f>SUMIFS(T_REAL!$D:$D,T_REAL!$E:$E,DRE!P$7,T_REAL!$C:$C,DRE!$A127)+SUMIFS(Aut_Ajustes_Manuais!$G:$G,Aut_Ajustes_Manuais!$I:$I,DRE!N$4,Aut_Ajustes_Manuais!$F:$F,"  -  Sub Chefe de Bar")</f>
        <v>0</v>
      </c>
      <c r="Q127" s="237"/>
      <c r="R127" s="26">
        <f>-SUMIFS(T_HEADCOUNT!$E:$E,T_HEADCOUNT!$C:$C,"-  Sub Chefe de Bar",T_HEADCOUNT!$D:$D,"4/2026",T_HEADCOUNT!$B:$B,"CLT")</f>
        <v>0</v>
      </c>
      <c r="S127" s="27">
        <f>SUMIFS(T_REAL!$D:$D,T_REAL!$E:$E,DRE!S$7,T_REAL!$C:$C,DRE!$A127)+SUMIFS(Aut_Ajustes_Manuais!$G:$G,Aut_Ajustes_Manuais!$I:$I,DRE!Q$4,Aut_Ajustes_Manuais!$F:$F,"  -  Sub Chefe de Bar")</f>
        <v>0</v>
      </c>
      <c r="T127" s="237"/>
      <c r="U127" s="26">
        <f>-SUMIFS(T_HEADCOUNT!$E:$E,T_HEADCOUNT!$C:$C,"-  Sub Chefe de Bar",T_HEADCOUNT!$D:$D,"5/2026",T_HEADCOUNT!$B:$B,"CLT")</f>
        <v>0</v>
      </c>
      <c r="V127" s="27">
        <f>SUMIFS(T_REAL!$D:$D,T_REAL!$E:$E,DRE!V$7,T_REAL!$C:$C,DRE!$A127)+SUMIFS(Aut_Ajustes_Manuais!$G:$G,Aut_Ajustes_Manuais!$I:$I,DRE!T$4,Aut_Ajustes_Manuais!$F:$F,"  -  Sub Chefe de Bar")</f>
        <v>0</v>
      </c>
      <c r="W127" s="237"/>
      <c r="X127" s="26">
        <f>-SUMIFS(T_HEADCOUNT!$E:$E,T_HEADCOUNT!$C:$C,"-  Sub Chefe de Bar",T_HEADCOUNT!$D:$D,"6/2026",T_HEADCOUNT!$B:$B,"CLT")</f>
        <v>0</v>
      </c>
      <c r="Y127" s="27">
        <f>SUMIFS(T_REAL!$D:$D,T_REAL!$E:$E,DRE!Y$7,T_REAL!$C:$C,DRE!$A127)+SUMIFS(Aut_Ajustes_Manuais!$G:$G,Aut_Ajustes_Manuais!$I:$I,DRE!W$4,Aut_Ajustes_Manuais!$F:$F,"  -  Sub Chefe de Bar")</f>
        <v>0</v>
      </c>
      <c r="Z127" s="237"/>
      <c r="AA127" s="26">
        <f>-SUMIFS(T_HEADCOUNT!$E:$E,T_HEADCOUNT!$C:$C,"-  Sub Chefe de Bar",T_HEADCOUNT!$D:$D,"7/2026",T_HEADCOUNT!$B:$B,"CLT")</f>
        <v>0</v>
      </c>
      <c r="AB127" s="27">
        <f>SUMIFS(T_REAL!$D:$D,T_REAL!$E:$E,DRE!AB$7,T_REAL!$C:$C,DRE!$A127)+SUMIFS(Aut_Ajustes_Manuais!$G:$G,Aut_Ajustes_Manuais!$I:$I,DRE!Z$4,Aut_Ajustes_Manuais!$F:$F,"  -  Sub Chefe de Bar")</f>
        <v>0</v>
      </c>
      <c r="AC127" s="237"/>
      <c r="AD127" s="26">
        <f>-SUMIFS(T_HEADCOUNT!$E:$E,T_HEADCOUNT!$C:$C,"-  Sub Chefe de Bar",T_HEADCOUNT!$D:$D,"8/2026",T_HEADCOUNT!$B:$B,"CLT")</f>
        <v>0</v>
      </c>
      <c r="AE127" s="27">
        <f>SUMIFS(T_REAL!$D:$D,T_REAL!$E:$E,DRE!AE$7,T_REAL!$C:$C,DRE!$A127)+SUMIFS(Aut_Ajustes_Manuais!$G:$G,Aut_Ajustes_Manuais!$I:$I,DRE!AC$4,Aut_Ajustes_Manuais!$F:$F,"  -  Sub Chefe de Bar")</f>
        <v>0</v>
      </c>
      <c r="AF127" s="237"/>
      <c r="AG127" s="26">
        <f>-SUMIFS(T_HEADCOUNT!$E:$E,T_HEADCOUNT!$C:$C,"-  Sub Chefe de Bar",T_HEADCOUNT!$D:$D,"9/2026",T_HEADCOUNT!$B:$B,"CLT")</f>
        <v>0</v>
      </c>
      <c r="AH127" s="27">
        <f>SUMIFS(T_REAL!$D:$D,T_REAL!$E:$E,DRE!AH$7,T_REAL!$C:$C,DRE!$A127)+SUMIFS(Aut_Ajustes_Manuais!$G:$G,Aut_Ajustes_Manuais!$I:$I,DRE!AF$4,Aut_Ajustes_Manuais!$F:$F,"  -  Sub Chefe de Bar")</f>
        <v>0</v>
      </c>
      <c r="AI127" s="237"/>
      <c r="AJ127" s="26">
        <f>-SUMIFS(T_HEADCOUNT!$E:$E,T_HEADCOUNT!$C:$C,"-  Sub Chefe de Bar",T_HEADCOUNT!$D:$D,"10/2026",T_HEADCOUNT!$B:$B,"CLT")</f>
        <v>0</v>
      </c>
      <c r="AK127" s="27">
        <f>SUMIFS(T_REAL!$D:$D,T_REAL!$E:$E,DRE!AK$7,T_REAL!$C:$C,DRE!$A127)+SUMIFS(Aut_Ajustes_Manuais!$G:$G,Aut_Ajustes_Manuais!$I:$I,DRE!AI$4,Aut_Ajustes_Manuais!$F:$F,"  -  Sub Chefe de Bar")</f>
        <v>0</v>
      </c>
      <c r="AL127" s="237"/>
      <c r="AM127" s="26">
        <f>-SUMIFS(T_HEADCOUNT!$E:$E,T_HEADCOUNT!$C:$C,"-  Sub Chefe de Bar",T_HEADCOUNT!$D:$D,"11/2026",T_HEADCOUNT!$B:$B,"CLT")</f>
        <v>0</v>
      </c>
      <c r="AN127" s="27">
        <f>SUMIFS(T_REAL!$D:$D,T_REAL!$E:$E,DRE!AN$7,T_REAL!$C:$C,DRE!$A127)+SUMIFS(Aut_Ajustes_Manuais!$G:$G,Aut_Ajustes_Manuais!$I:$I,DRE!AL$4,Aut_Ajustes_Manuais!$F:$F,"  -  Sub Chefe de Bar")</f>
        <v>0</v>
      </c>
      <c r="AO127" s="237"/>
      <c r="AP127" s="26">
        <f>-SUMIFS(T_HEADCOUNT!$E:$E,T_HEADCOUNT!$C:$C,"-  Sub Chefe de Bar",T_HEADCOUNT!$D:$D,"12/2026",T_HEADCOUNT!$B:$B,"CLT")</f>
        <v>0</v>
      </c>
      <c r="AQ127" s="27">
        <f>SUMIFS(T_REAL!$D:$D,T_REAL!$E:$E,DRE!AQ$7,T_REAL!$C:$C,DRE!$A127)+SUMIFS(Aut_Ajustes_Manuais!$G:$G,Aut_Ajustes_Manuais!$I:$I,DRE!AO$4,Aut_Ajustes_Manuais!$F:$F,"  -  Sub Chefe de Bar")</f>
        <v>0</v>
      </c>
      <c r="AR127" s="237">
        <f t="shared" ca="1" si="120"/>
        <v>0</v>
      </c>
      <c r="AS127" s="26">
        <f t="shared" ca="1" si="121"/>
        <v>0</v>
      </c>
      <c r="AT127" s="27">
        <f t="shared" ca="1" si="122"/>
        <v>0</v>
      </c>
      <c r="AU127" s="237"/>
      <c r="AV127" s="26"/>
      <c r="AW127" s="27"/>
      <c r="AX127" s="237"/>
      <c r="AY127" s="26">
        <v>0</v>
      </c>
      <c r="AZ127" s="27"/>
      <c r="BA127" s="237"/>
      <c r="BB127" s="26">
        <v>0</v>
      </c>
      <c r="BC127" s="27"/>
      <c r="BD127" s="237"/>
      <c r="BE127" s="26">
        <v>0</v>
      </c>
      <c r="BF127" s="27"/>
      <c r="BG127" s="237"/>
      <c r="BH127" s="26">
        <v>0</v>
      </c>
      <c r="BI127" s="27"/>
      <c r="BJ127" s="454"/>
    </row>
    <row r="128" spans="1:62" s="28" customFormat="1" outlineLevel="1" x14ac:dyDescent="0.3">
      <c r="A128" s="93" t="s">
        <v>150</v>
      </c>
      <c r="B128" s="2"/>
      <c r="C128" s="23"/>
      <c r="D128" s="53" t="s">
        <v>143</v>
      </c>
      <c r="E128" s="85"/>
      <c r="F128" s="54"/>
      <c r="G128" s="32"/>
      <c r="H128" s="237"/>
      <c r="I128" s="26">
        <f>-SUMIFS(T_HEADCOUNT!$E:$E,T_HEADCOUNT!$C:$C,"-  Bartender III",T_HEADCOUNT!$D:$D,"1/2026",T_HEADCOUNT!$B:$B,"CLT")</f>
        <v>0</v>
      </c>
      <c r="J128" s="27">
        <f>SUMIFS(T_REAL!$D:$D,T_REAL!$E:$E,DRE!J$7,T_REAL!$C:$C,DRE!$A128)+SUMIFS(Aut_Ajustes_Manuais!$G:$G,Aut_Ajustes_Manuais!$I:$I,DRE!H$4,Aut_Ajustes_Manuais!$F:$F,"  -  Bartender III")</f>
        <v>0</v>
      </c>
      <c r="K128" s="237"/>
      <c r="L128" s="26">
        <f>-SUMIFS(T_HEADCOUNT!$E:$E,T_HEADCOUNT!$C:$C,"-  Bartender III",T_HEADCOUNT!$D:$D,"2/2026",T_HEADCOUNT!$B:$B,"CLT")</f>
        <v>0</v>
      </c>
      <c r="M128" s="27">
        <f>SUMIFS(T_REAL!$D:$D,T_REAL!$E:$E,DRE!M$7,T_REAL!$C:$C,DRE!$A128)+SUMIFS(Aut_Ajustes_Manuais!$G:$G,Aut_Ajustes_Manuais!$I:$I,DRE!K$4,Aut_Ajustes_Manuais!$F:$F,"  -  Bartender III")</f>
        <v>0</v>
      </c>
      <c r="N128" s="237"/>
      <c r="O128" s="26">
        <f>-SUMIFS(T_HEADCOUNT!$E:$E,T_HEADCOUNT!$C:$C,"-  Bartender III",T_HEADCOUNT!$D:$D,"3/2026",T_HEADCOUNT!$B:$B,"CLT")</f>
        <v>0</v>
      </c>
      <c r="P128" s="27">
        <f>SUMIFS(T_REAL!$D:$D,T_REAL!$E:$E,DRE!P$7,T_REAL!$C:$C,DRE!$A128)+SUMIFS(Aut_Ajustes_Manuais!$G:$G,Aut_Ajustes_Manuais!$I:$I,DRE!N$4,Aut_Ajustes_Manuais!$F:$F,"  -  Bartender III")</f>
        <v>0</v>
      </c>
      <c r="Q128" s="237"/>
      <c r="R128" s="26">
        <f>-SUMIFS(T_HEADCOUNT!$E:$E,T_HEADCOUNT!$C:$C,"-  Bartender III",T_HEADCOUNT!$D:$D,"4/2026",T_HEADCOUNT!$B:$B,"CLT")</f>
        <v>0</v>
      </c>
      <c r="S128" s="27">
        <f>SUMIFS(T_REAL!$D:$D,T_REAL!$E:$E,DRE!S$7,T_REAL!$C:$C,DRE!$A128)+SUMIFS(Aut_Ajustes_Manuais!$G:$G,Aut_Ajustes_Manuais!$I:$I,DRE!Q$4,Aut_Ajustes_Manuais!$F:$F,"  -  Bartender III")</f>
        <v>0</v>
      </c>
      <c r="T128" s="237"/>
      <c r="U128" s="26">
        <f>-SUMIFS(T_HEADCOUNT!$E:$E,T_HEADCOUNT!$C:$C,"-  Bartender III",T_HEADCOUNT!$D:$D,"5/2026",T_HEADCOUNT!$B:$B,"CLT")</f>
        <v>0</v>
      </c>
      <c r="V128" s="27">
        <f>SUMIFS(T_REAL!$D:$D,T_REAL!$E:$E,DRE!V$7,T_REAL!$C:$C,DRE!$A128)+SUMIFS(Aut_Ajustes_Manuais!$G:$G,Aut_Ajustes_Manuais!$I:$I,DRE!T$4,Aut_Ajustes_Manuais!$F:$F,"  -  Bartender III")</f>
        <v>0</v>
      </c>
      <c r="W128" s="237"/>
      <c r="X128" s="26">
        <f>-SUMIFS(T_HEADCOUNT!$E:$E,T_HEADCOUNT!$C:$C,"-  Bartender III",T_HEADCOUNT!$D:$D,"6/2026",T_HEADCOUNT!$B:$B,"CLT")</f>
        <v>0</v>
      </c>
      <c r="Y128" s="27">
        <f>SUMIFS(T_REAL!$D:$D,T_REAL!$E:$E,DRE!Y$7,T_REAL!$C:$C,DRE!$A128)+SUMIFS(Aut_Ajustes_Manuais!$G:$G,Aut_Ajustes_Manuais!$I:$I,DRE!W$4,Aut_Ajustes_Manuais!$F:$F,"  -  Bartender III")</f>
        <v>0</v>
      </c>
      <c r="Z128" s="237"/>
      <c r="AA128" s="26">
        <f>-SUMIFS(T_HEADCOUNT!$E:$E,T_HEADCOUNT!$C:$C,"-  Bartender III",T_HEADCOUNT!$D:$D,"7/2026",T_HEADCOUNT!$B:$B,"CLT")</f>
        <v>0</v>
      </c>
      <c r="AB128" s="27">
        <f>SUMIFS(T_REAL!$D:$D,T_REAL!$E:$E,DRE!AB$7,T_REAL!$C:$C,DRE!$A128)+SUMIFS(Aut_Ajustes_Manuais!$G:$G,Aut_Ajustes_Manuais!$I:$I,DRE!Z$4,Aut_Ajustes_Manuais!$F:$F,"  -  Bartender III")</f>
        <v>0</v>
      </c>
      <c r="AC128" s="237"/>
      <c r="AD128" s="26">
        <f>-SUMIFS(T_HEADCOUNT!$E:$E,T_HEADCOUNT!$C:$C,"-  Bartender III",T_HEADCOUNT!$D:$D,"8/2026",T_HEADCOUNT!$B:$B,"CLT")</f>
        <v>0</v>
      </c>
      <c r="AE128" s="27">
        <f>SUMIFS(T_REAL!$D:$D,T_REAL!$E:$E,DRE!AE$7,T_REAL!$C:$C,DRE!$A128)+SUMIFS(Aut_Ajustes_Manuais!$G:$G,Aut_Ajustes_Manuais!$I:$I,DRE!AC$4,Aut_Ajustes_Manuais!$F:$F,"  -  Bartender III")</f>
        <v>0</v>
      </c>
      <c r="AF128" s="237"/>
      <c r="AG128" s="26">
        <f>-SUMIFS(T_HEADCOUNT!$E:$E,T_HEADCOUNT!$C:$C,"-  Bartender III",T_HEADCOUNT!$D:$D,"9/2026",T_HEADCOUNT!$B:$B,"CLT")</f>
        <v>0</v>
      </c>
      <c r="AH128" s="27">
        <f>SUMIFS(T_REAL!$D:$D,T_REAL!$E:$E,DRE!AH$7,T_REAL!$C:$C,DRE!$A128)+SUMIFS(Aut_Ajustes_Manuais!$G:$G,Aut_Ajustes_Manuais!$I:$I,DRE!AF$4,Aut_Ajustes_Manuais!$F:$F,"  -  Bartender III")</f>
        <v>0</v>
      </c>
      <c r="AI128" s="237"/>
      <c r="AJ128" s="26">
        <f>-SUMIFS(T_HEADCOUNT!$E:$E,T_HEADCOUNT!$C:$C,"-  Bartender III",T_HEADCOUNT!$D:$D,"10/2026",T_HEADCOUNT!$B:$B,"CLT")</f>
        <v>0</v>
      </c>
      <c r="AK128" s="27">
        <f>SUMIFS(T_REAL!$D:$D,T_REAL!$E:$E,DRE!AK$7,T_REAL!$C:$C,DRE!$A128)+SUMIFS(Aut_Ajustes_Manuais!$G:$G,Aut_Ajustes_Manuais!$I:$I,DRE!AI$4,Aut_Ajustes_Manuais!$F:$F,"  -  Bartender III")</f>
        <v>0</v>
      </c>
      <c r="AL128" s="237"/>
      <c r="AM128" s="26">
        <f>-SUMIFS(T_HEADCOUNT!$E:$E,T_HEADCOUNT!$C:$C,"-  Bartender III",T_HEADCOUNT!$D:$D,"11/2026",T_HEADCOUNT!$B:$B,"CLT")</f>
        <v>0</v>
      </c>
      <c r="AN128" s="27">
        <f>SUMIFS(T_REAL!$D:$D,T_REAL!$E:$E,DRE!AN$7,T_REAL!$C:$C,DRE!$A128)+SUMIFS(Aut_Ajustes_Manuais!$G:$G,Aut_Ajustes_Manuais!$I:$I,DRE!AL$4,Aut_Ajustes_Manuais!$F:$F,"  -  Bartender III")</f>
        <v>0</v>
      </c>
      <c r="AO128" s="237"/>
      <c r="AP128" s="26">
        <f>-SUMIFS(T_HEADCOUNT!$E:$E,T_HEADCOUNT!$C:$C,"-  Bartender III",T_HEADCOUNT!$D:$D,"12/2026",T_HEADCOUNT!$B:$B,"CLT")</f>
        <v>0</v>
      </c>
      <c r="AQ128" s="27">
        <f>SUMIFS(T_REAL!$D:$D,T_REAL!$E:$E,DRE!AQ$7,T_REAL!$C:$C,DRE!$A128)+SUMIFS(Aut_Ajustes_Manuais!$G:$G,Aut_Ajustes_Manuais!$I:$I,DRE!AO$4,Aut_Ajustes_Manuais!$F:$F,"  -  Bartender III")</f>
        <v>0</v>
      </c>
      <c r="AR128" s="237">
        <f t="shared" ca="1" si="120"/>
        <v>0</v>
      </c>
      <c r="AS128" s="26">
        <f t="shared" ca="1" si="121"/>
        <v>0</v>
      </c>
      <c r="AT128" s="27">
        <f t="shared" ca="1" si="122"/>
        <v>0</v>
      </c>
      <c r="AU128" s="237"/>
      <c r="AV128" s="26"/>
      <c r="AW128" s="27"/>
      <c r="AX128" s="237"/>
      <c r="AY128" s="26">
        <v>-15508.48</v>
      </c>
      <c r="AZ128" s="27"/>
      <c r="BA128" s="237"/>
      <c r="BB128" s="26">
        <v>-11794.19904</v>
      </c>
      <c r="BC128" s="27"/>
      <c r="BD128" s="237"/>
      <c r="BE128" s="26">
        <v>-12119.877119999999</v>
      </c>
      <c r="BF128" s="27"/>
      <c r="BG128" s="237"/>
      <c r="BH128" s="26">
        <v>-12119.877119999999</v>
      </c>
      <c r="BI128" s="27"/>
      <c r="BJ128" s="454"/>
    </row>
    <row r="129" spans="1:62" s="28" customFormat="1" outlineLevel="1" x14ac:dyDescent="0.3">
      <c r="A129" s="93" t="s">
        <v>151</v>
      </c>
      <c r="B129" s="2"/>
      <c r="C129" s="23"/>
      <c r="D129" s="53" t="s">
        <v>143</v>
      </c>
      <c r="E129" s="85"/>
      <c r="F129" s="54"/>
      <c r="G129" s="32"/>
      <c r="H129" s="237"/>
      <c r="I129" s="26">
        <f>-SUMIFS(T_HEADCOUNT!$E:$E,T_HEADCOUNT!$C:$C,"-  Bartender II",T_HEADCOUNT!$D:$D,"1/2026",T_HEADCOUNT!$B:$B,"CLT")</f>
        <v>0</v>
      </c>
      <c r="J129" s="27">
        <f>SUMIFS(T_REAL!$D:$D,T_REAL!$E:$E,DRE!J$7,T_REAL!$C:$C,DRE!$A129)+SUMIFS(Aut_Ajustes_Manuais!$G:$G,Aut_Ajustes_Manuais!$I:$I,DRE!H$4,Aut_Ajustes_Manuais!$F:$F,"  -  Bartender II")</f>
        <v>0</v>
      </c>
      <c r="K129" s="237"/>
      <c r="L129" s="26">
        <f>-SUMIFS(T_HEADCOUNT!$E:$E,T_HEADCOUNT!$C:$C,"-  Bartender II",T_HEADCOUNT!$D:$D,"2/2026",T_HEADCOUNT!$B:$B,"CLT")</f>
        <v>0</v>
      </c>
      <c r="M129" s="27">
        <f>SUMIFS(T_REAL!$D:$D,T_REAL!$E:$E,DRE!M$7,T_REAL!$C:$C,DRE!$A129)+SUMIFS(Aut_Ajustes_Manuais!$G:$G,Aut_Ajustes_Manuais!$I:$I,DRE!K$4,Aut_Ajustes_Manuais!$F:$F,"  -  Bartender II")</f>
        <v>0</v>
      </c>
      <c r="N129" s="237"/>
      <c r="O129" s="26">
        <f>-SUMIFS(T_HEADCOUNT!$E:$E,T_HEADCOUNT!$C:$C,"-  Bartender II",T_HEADCOUNT!$D:$D,"3/2026",T_HEADCOUNT!$B:$B,"CLT")</f>
        <v>0</v>
      </c>
      <c r="P129" s="27">
        <f>SUMIFS(T_REAL!$D:$D,T_REAL!$E:$E,DRE!P$7,T_REAL!$C:$C,DRE!$A129)+SUMIFS(Aut_Ajustes_Manuais!$G:$G,Aut_Ajustes_Manuais!$I:$I,DRE!N$4,Aut_Ajustes_Manuais!$F:$F,"  -  Bartender II")</f>
        <v>0</v>
      </c>
      <c r="Q129" s="237"/>
      <c r="R129" s="26">
        <f>-SUMIFS(T_HEADCOUNT!$E:$E,T_HEADCOUNT!$C:$C,"-  Bartender II",T_HEADCOUNT!$D:$D,"4/2026",T_HEADCOUNT!$B:$B,"CLT")</f>
        <v>0</v>
      </c>
      <c r="S129" s="27">
        <f>SUMIFS(T_REAL!$D:$D,T_REAL!$E:$E,DRE!S$7,T_REAL!$C:$C,DRE!$A129)+SUMIFS(Aut_Ajustes_Manuais!$G:$G,Aut_Ajustes_Manuais!$I:$I,DRE!Q$4,Aut_Ajustes_Manuais!$F:$F,"  -  Bartender II")</f>
        <v>0</v>
      </c>
      <c r="T129" s="237"/>
      <c r="U129" s="26">
        <f>-SUMIFS(T_HEADCOUNT!$E:$E,T_HEADCOUNT!$C:$C,"-  Bartender II",T_HEADCOUNT!$D:$D,"5/2026",T_HEADCOUNT!$B:$B,"CLT")</f>
        <v>0</v>
      </c>
      <c r="V129" s="27">
        <f>SUMIFS(T_REAL!$D:$D,T_REAL!$E:$E,DRE!V$7,T_REAL!$C:$C,DRE!$A129)+SUMIFS(Aut_Ajustes_Manuais!$G:$G,Aut_Ajustes_Manuais!$I:$I,DRE!T$4,Aut_Ajustes_Manuais!$F:$F,"  -  Bartender II")</f>
        <v>0</v>
      </c>
      <c r="W129" s="237"/>
      <c r="X129" s="26">
        <f>-SUMIFS(T_HEADCOUNT!$E:$E,T_HEADCOUNT!$C:$C,"-  Bartender II",T_HEADCOUNT!$D:$D,"6/2026",T_HEADCOUNT!$B:$B,"CLT")</f>
        <v>0</v>
      </c>
      <c r="Y129" s="27">
        <f>SUMIFS(T_REAL!$D:$D,T_REAL!$E:$E,DRE!Y$7,T_REAL!$C:$C,DRE!$A129)+SUMIFS(Aut_Ajustes_Manuais!$G:$G,Aut_Ajustes_Manuais!$I:$I,DRE!W$4,Aut_Ajustes_Manuais!$F:$F,"  -  Bartender II")</f>
        <v>0</v>
      </c>
      <c r="Z129" s="237"/>
      <c r="AA129" s="26">
        <f>-SUMIFS(T_HEADCOUNT!$E:$E,T_HEADCOUNT!$C:$C,"-  Bartender II",T_HEADCOUNT!$D:$D,"7/2026",T_HEADCOUNT!$B:$B,"CLT")</f>
        <v>0</v>
      </c>
      <c r="AB129" s="27">
        <f>SUMIFS(T_REAL!$D:$D,T_REAL!$E:$E,DRE!AB$7,T_REAL!$C:$C,DRE!$A129)+SUMIFS(Aut_Ajustes_Manuais!$G:$G,Aut_Ajustes_Manuais!$I:$I,DRE!Z$4,Aut_Ajustes_Manuais!$F:$F,"  -  Bartender II")</f>
        <v>0</v>
      </c>
      <c r="AC129" s="237"/>
      <c r="AD129" s="26">
        <f>-SUMIFS(T_HEADCOUNT!$E:$E,T_HEADCOUNT!$C:$C,"-  Bartender II",T_HEADCOUNT!$D:$D,"8/2026",T_HEADCOUNT!$B:$B,"CLT")</f>
        <v>0</v>
      </c>
      <c r="AE129" s="27">
        <f>SUMIFS(T_REAL!$D:$D,T_REAL!$E:$E,DRE!AE$7,T_REAL!$C:$C,DRE!$A129)+SUMIFS(Aut_Ajustes_Manuais!$G:$G,Aut_Ajustes_Manuais!$I:$I,DRE!AC$4,Aut_Ajustes_Manuais!$F:$F,"  -  Bartender II")</f>
        <v>0</v>
      </c>
      <c r="AF129" s="237"/>
      <c r="AG129" s="26">
        <f>-SUMIFS(T_HEADCOUNT!$E:$E,T_HEADCOUNT!$C:$C,"-  Bartender II",T_HEADCOUNT!$D:$D,"9/2026",T_HEADCOUNT!$B:$B,"CLT")</f>
        <v>0</v>
      </c>
      <c r="AH129" s="27">
        <f>SUMIFS(T_REAL!$D:$D,T_REAL!$E:$E,DRE!AH$7,T_REAL!$C:$C,DRE!$A129)+SUMIFS(Aut_Ajustes_Manuais!$G:$G,Aut_Ajustes_Manuais!$I:$I,DRE!AF$4,Aut_Ajustes_Manuais!$F:$F,"  -  Bartender II")</f>
        <v>0</v>
      </c>
      <c r="AI129" s="237"/>
      <c r="AJ129" s="26">
        <f>-SUMIFS(T_HEADCOUNT!$E:$E,T_HEADCOUNT!$C:$C,"-  Bartender II",T_HEADCOUNT!$D:$D,"10/2026",T_HEADCOUNT!$B:$B,"CLT")</f>
        <v>0</v>
      </c>
      <c r="AK129" s="27">
        <f>SUMIFS(T_REAL!$D:$D,T_REAL!$E:$E,DRE!AK$7,T_REAL!$C:$C,DRE!$A129)+SUMIFS(Aut_Ajustes_Manuais!$G:$G,Aut_Ajustes_Manuais!$I:$I,DRE!AI$4,Aut_Ajustes_Manuais!$F:$F,"  -  Bartender II")</f>
        <v>0</v>
      </c>
      <c r="AL129" s="237"/>
      <c r="AM129" s="26">
        <f>-SUMIFS(T_HEADCOUNT!$E:$E,T_HEADCOUNT!$C:$C,"-  Bartender II",T_HEADCOUNT!$D:$D,"11/2026",T_HEADCOUNT!$B:$B,"CLT")</f>
        <v>0</v>
      </c>
      <c r="AN129" s="27">
        <f>SUMIFS(T_REAL!$D:$D,T_REAL!$E:$E,DRE!AN$7,T_REAL!$C:$C,DRE!$A129)+SUMIFS(Aut_Ajustes_Manuais!$G:$G,Aut_Ajustes_Manuais!$I:$I,DRE!AL$4,Aut_Ajustes_Manuais!$F:$F,"  -  Bartender II")</f>
        <v>0</v>
      </c>
      <c r="AO129" s="237"/>
      <c r="AP129" s="26">
        <f>-SUMIFS(T_HEADCOUNT!$E:$E,T_HEADCOUNT!$C:$C,"-  Bartender II",T_HEADCOUNT!$D:$D,"12/2026",T_HEADCOUNT!$B:$B,"CLT")</f>
        <v>0</v>
      </c>
      <c r="AQ129" s="27">
        <f>SUMIFS(T_REAL!$D:$D,T_REAL!$E:$E,DRE!AQ$7,T_REAL!$C:$C,DRE!$A129)+SUMIFS(Aut_Ajustes_Manuais!$G:$G,Aut_Ajustes_Manuais!$I:$I,DRE!AO$4,Aut_Ajustes_Manuais!$F:$F,"  -  Bartender II")</f>
        <v>0</v>
      </c>
      <c r="AR129" s="237">
        <f t="shared" ca="1" si="120"/>
        <v>0</v>
      </c>
      <c r="AS129" s="26">
        <f t="shared" ca="1" si="121"/>
        <v>0</v>
      </c>
      <c r="AT129" s="27">
        <f t="shared" ca="1" si="122"/>
        <v>0</v>
      </c>
      <c r="AU129" s="237"/>
      <c r="AV129" s="26"/>
      <c r="AW129" s="27"/>
      <c r="AX129" s="237"/>
      <c r="AY129" s="26">
        <v>-7861.28</v>
      </c>
      <c r="AZ129" s="27"/>
      <c r="BA129" s="237"/>
      <c r="BB129" s="26">
        <v>-11957.006880000001</v>
      </c>
      <c r="BC129" s="27"/>
      <c r="BD129" s="237"/>
      <c r="BE129" s="26">
        <v>-12287.18064</v>
      </c>
      <c r="BF129" s="27"/>
      <c r="BG129" s="237"/>
      <c r="BH129" s="26">
        <v>-12287.18064</v>
      </c>
      <c r="BI129" s="27"/>
      <c r="BJ129" s="454"/>
    </row>
    <row r="130" spans="1:62" s="28" customFormat="1" outlineLevel="1" x14ac:dyDescent="0.3">
      <c r="A130" s="93" t="s">
        <v>152</v>
      </c>
      <c r="B130" s="2"/>
      <c r="C130" s="23"/>
      <c r="D130" s="53" t="s">
        <v>143</v>
      </c>
      <c r="E130" s="85"/>
      <c r="F130" s="54"/>
      <c r="G130" s="32"/>
      <c r="H130" s="237"/>
      <c r="I130" s="26">
        <f>-SUMIFS(T_HEADCOUNT!$E:$E,T_HEADCOUNT!$C:$C,"-  Bartender I",T_HEADCOUNT!$D:$D,"1/2026",T_HEADCOUNT!$B:$B,"CLT")</f>
        <v>0</v>
      </c>
      <c r="J130" s="27">
        <f>SUMIFS(T_REAL!$D:$D,T_REAL!$E:$E,DRE!J$7,T_REAL!$C:$C,DRE!$A130)+SUMIFS(Aut_Ajustes_Manuais!$G:$G,Aut_Ajustes_Manuais!$I:$I,DRE!H$4,Aut_Ajustes_Manuais!$F:$F,"  -  Bartender I")</f>
        <v>0</v>
      </c>
      <c r="K130" s="237"/>
      <c r="L130" s="26">
        <f>-SUMIFS(T_HEADCOUNT!$E:$E,T_HEADCOUNT!$C:$C,"-  Bartender I",T_HEADCOUNT!$D:$D,"2/2026",T_HEADCOUNT!$B:$B,"CLT")</f>
        <v>0</v>
      </c>
      <c r="M130" s="27">
        <f>SUMIFS(T_REAL!$D:$D,T_REAL!$E:$E,DRE!M$7,T_REAL!$C:$C,DRE!$A130)+SUMIFS(Aut_Ajustes_Manuais!$G:$G,Aut_Ajustes_Manuais!$I:$I,DRE!K$4,Aut_Ajustes_Manuais!$F:$F,"  -  Bartender I")</f>
        <v>0</v>
      </c>
      <c r="N130" s="237"/>
      <c r="O130" s="26">
        <f>-SUMIFS(T_HEADCOUNT!$E:$E,T_HEADCOUNT!$C:$C,"-  Bartender I",T_HEADCOUNT!$D:$D,"3/2026",T_HEADCOUNT!$B:$B,"CLT")</f>
        <v>0</v>
      </c>
      <c r="P130" s="27">
        <f>SUMIFS(T_REAL!$D:$D,T_REAL!$E:$E,DRE!P$7,T_REAL!$C:$C,DRE!$A130)+SUMIFS(Aut_Ajustes_Manuais!$G:$G,Aut_Ajustes_Manuais!$I:$I,DRE!N$4,Aut_Ajustes_Manuais!$F:$F,"  -  Bartender I")</f>
        <v>0</v>
      </c>
      <c r="Q130" s="237"/>
      <c r="R130" s="26">
        <f>-SUMIFS(T_HEADCOUNT!$E:$E,T_HEADCOUNT!$C:$C,"-  Bartender I",T_HEADCOUNT!$D:$D,"4/2026",T_HEADCOUNT!$B:$B,"CLT")</f>
        <v>0</v>
      </c>
      <c r="S130" s="27">
        <f>SUMIFS(T_REAL!$D:$D,T_REAL!$E:$E,DRE!S$7,T_REAL!$C:$C,DRE!$A130)+SUMIFS(Aut_Ajustes_Manuais!$G:$G,Aut_Ajustes_Manuais!$I:$I,DRE!Q$4,Aut_Ajustes_Manuais!$F:$F,"  -  Bartender I")</f>
        <v>0</v>
      </c>
      <c r="T130" s="237"/>
      <c r="U130" s="26">
        <f>-SUMIFS(T_HEADCOUNT!$E:$E,T_HEADCOUNT!$C:$C,"-  Bartender I",T_HEADCOUNT!$D:$D,"5/2026",T_HEADCOUNT!$B:$B,"CLT")</f>
        <v>0</v>
      </c>
      <c r="V130" s="27">
        <f>SUMIFS(T_REAL!$D:$D,T_REAL!$E:$E,DRE!V$7,T_REAL!$C:$C,DRE!$A130)+SUMIFS(Aut_Ajustes_Manuais!$G:$G,Aut_Ajustes_Manuais!$I:$I,DRE!T$4,Aut_Ajustes_Manuais!$F:$F,"  -  Bartender I")</f>
        <v>0</v>
      </c>
      <c r="W130" s="237"/>
      <c r="X130" s="26">
        <f>-SUMIFS(T_HEADCOUNT!$E:$E,T_HEADCOUNT!$C:$C,"-  Bartender I",T_HEADCOUNT!$D:$D,"6/2026",T_HEADCOUNT!$B:$B,"CLT")</f>
        <v>0</v>
      </c>
      <c r="Y130" s="27">
        <f>SUMIFS(T_REAL!$D:$D,T_REAL!$E:$E,DRE!Y$7,T_REAL!$C:$C,DRE!$A130)+SUMIFS(Aut_Ajustes_Manuais!$G:$G,Aut_Ajustes_Manuais!$I:$I,DRE!W$4,Aut_Ajustes_Manuais!$F:$F,"  -  Bartender I")</f>
        <v>0</v>
      </c>
      <c r="Z130" s="237"/>
      <c r="AA130" s="26">
        <f>-SUMIFS(T_HEADCOUNT!$E:$E,T_HEADCOUNT!$C:$C,"-  Bartender I",T_HEADCOUNT!$D:$D,"7/2026",T_HEADCOUNT!$B:$B,"CLT")</f>
        <v>0</v>
      </c>
      <c r="AB130" s="27">
        <f>SUMIFS(T_REAL!$D:$D,T_REAL!$E:$E,DRE!AB$7,T_REAL!$C:$C,DRE!$A130)+SUMIFS(Aut_Ajustes_Manuais!$G:$G,Aut_Ajustes_Manuais!$I:$I,DRE!Z$4,Aut_Ajustes_Manuais!$F:$F,"  -  Bartender I")</f>
        <v>0</v>
      </c>
      <c r="AC130" s="237"/>
      <c r="AD130" s="26">
        <f>-SUMIFS(T_HEADCOUNT!$E:$E,T_HEADCOUNT!$C:$C,"-  Bartender I",T_HEADCOUNT!$D:$D,"8/2026",T_HEADCOUNT!$B:$B,"CLT")</f>
        <v>0</v>
      </c>
      <c r="AE130" s="27">
        <f>SUMIFS(T_REAL!$D:$D,T_REAL!$E:$E,DRE!AE$7,T_REAL!$C:$C,DRE!$A130)+SUMIFS(Aut_Ajustes_Manuais!$G:$G,Aut_Ajustes_Manuais!$I:$I,DRE!AC$4,Aut_Ajustes_Manuais!$F:$F,"  -  Bartender I")</f>
        <v>0</v>
      </c>
      <c r="AF130" s="237"/>
      <c r="AG130" s="26">
        <f>-SUMIFS(T_HEADCOUNT!$E:$E,T_HEADCOUNT!$C:$C,"-  Bartender I",T_HEADCOUNT!$D:$D,"9/2026",T_HEADCOUNT!$B:$B,"CLT")</f>
        <v>0</v>
      </c>
      <c r="AH130" s="27">
        <f>SUMIFS(T_REAL!$D:$D,T_REAL!$E:$E,DRE!AH$7,T_REAL!$C:$C,DRE!$A130)+SUMIFS(Aut_Ajustes_Manuais!$G:$G,Aut_Ajustes_Manuais!$I:$I,DRE!AF$4,Aut_Ajustes_Manuais!$F:$F,"  -  Bartender I")</f>
        <v>0</v>
      </c>
      <c r="AI130" s="237"/>
      <c r="AJ130" s="26">
        <f>-SUMIFS(T_HEADCOUNT!$E:$E,T_HEADCOUNT!$C:$C,"-  Bartender I",T_HEADCOUNT!$D:$D,"10/2026",T_HEADCOUNT!$B:$B,"CLT")</f>
        <v>0</v>
      </c>
      <c r="AK130" s="27">
        <f>SUMIFS(T_REAL!$D:$D,T_REAL!$E:$E,DRE!AK$7,T_REAL!$C:$C,DRE!$A130)+SUMIFS(Aut_Ajustes_Manuais!$G:$G,Aut_Ajustes_Manuais!$I:$I,DRE!AI$4,Aut_Ajustes_Manuais!$F:$F,"  -  Bartender I")</f>
        <v>0</v>
      </c>
      <c r="AL130" s="237"/>
      <c r="AM130" s="26">
        <f>-SUMIFS(T_HEADCOUNT!$E:$E,T_HEADCOUNT!$C:$C,"-  Bartender I",T_HEADCOUNT!$D:$D,"11/2026",T_HEADCOUNT!$B:$B,"CLT")</f>
        <v>0</v>
      </c>
      <c r="AN130" s="27">
        <f>SUMIFS(T_REAL!$D:$D,T_REAL!$E:$E,DRE!AN$7,T_REAL!$C:$C,DRE!$A130)+SUMIFS(Aut_Ajustes_Manuais!$G:$G,Aut_Ajustes_Manuais!$I:$I,DRE!AL$4,Aut_Ajustes_Manuais!$F:$F,"  -  Bartender I")</f>
        <v>0</v>
      </c>
      <c r="AO130" s="237"/>
      <c r="AP130" s="26">
        <f>-SUMIFS(T_HEADCOUNT!$E:$E,T_HEADCOUNT!$C:$C,"-  Bartender I",T_HEADCOUNT!$D:$D,"12/2026",T_HEADCOUNT!$B:$B,"CLT")</f>
        <v>0</v>
      </c>
      <c r="AQ130" s="27">
        <f>SUMIFS(T_REAL!$D:$D,T_REAL!$E:$E,DRE!AQ$7,T_REAL!$C:$C,DRE!$A130)+SUMIFS(Aut_Ajustes_Manuais!$G:$G,Aut_Ajustes_Manuais!$I:$I,DRE!AO$4,Aut_Ajustes_Manuais!$F:$F,"  -  Bartender I")</f>
        <v>0</v>
      </c>
      <c r="AR130" s="237">
        <f t="shared" ca="1" si="120"/>
        <v>0</v>
      </c>
      <c r="AS130" s="26">
        <f t="shared" ca="1" si="121"/>
        <v>0</v>
      </c>
      <c r="AT130" s="27">
        <f t="shared" ca="1" si="122"/>
        <v>0</v>
      </c>
      <c r="AU130" s="237"/>
      <c r="AV130" s="26"/>
      <c r="AW130" s="27"/>
      <c r="AX130" s="237"/>
      <c r="AY130" s="26">
        <v>-7691.49</v>
      </c>
      <c r="AZ130" s="27"/>
      <c r="BA130" s="237"/>
      <c r="BB130" s="26">
        <v>-7799.1708600000002</v>
      </c>
      <c r="BC130" s="27"/>
      <c r="BD130" s="237"/>
      <c r="BE130" s="26">
        <v>-8014.5325799999991</v>
      </c>
      <c r="BF130" s="27"/>
      <c r="BG130" s="237"/>
      <c r="BH130" s="26">
        <v>-8014.5325799999991</v>
      </c>
      <c r="BI130" s="27"/>
      <c r="BJ130" s="454"/>
    </row>
    <row r="131" spans="1:62" s="28" customFormat="1" outlineLevel="1" x14ac:dyDescent="0.3">
      <c r="A131" s="93" t="s">
        <v>153</v>
      </c>
      <c r="B131" s="2"/>
      <c r="C131" s="23"/>
      <c r="D131" s="53" t="s">
        <v>143</v>
      </c>
      <c r="E131" s="85"/>
      <c r="F131" s="54"/>
      <c r="G131" s="32"/>
      <c r="H131" s="237"/>
      <c r="I131" s="26">
        <f>-SUMIFS(T_HEADCOUNT!$E:$E,T_HEADCOUNT!$C:$C,"-  Bar Back",T_HEADCOUNT!$D:$D,"1/2026",T_HEADCOUNT!$B:$B,"CLT")</f>
        <v>0</v>
      </c>
      <c r="J131" s="27">
        <f>SUMIFS(T_REAL!$D:$D,T_REAL!$E:$E,DRE!J$7,T_REAL!$C:$C,DRE!$A131)+SUMIFS(Aut_Ajustes_Manuais!$G:$G,Aut_Ajustes_Manuais!$I:$I,DRE!H$4,Aut_Ajustes_Manuais!$F:$F,"  -  Bar Back")</f>
        <v>0</v>
      </c>
      <c r="K131" s="237"/>
      <c r="L131" s="26">
        <f>-SUMIFS(T_HEADCOUNT!$E:$E,T_HEADCOUNT!$C:$C,"-  Bar Back",T_HEADCOUNT!$D:$D,"2/2026",T_HEADCOUNT!$B:$B,"CLT")</f>
        <v>0</v>
      </c>
      <c r="M131" s="27">
        <f>SUMIFS(T_REAL!$D:$D,T_REAL!$E:$E,DRE!M$7,T_REAL!$C:$C,DRE!$A131)+SUMIFS(Aut_Ajustes_Manuais!$G:$G,Aut_Ajustes_Manuais!$I:$I,DRE!K$4,Aut_Ajustes_Manuais!$F:$F,"  -  Bar Back")</f>
        <v>0</v>
      </c>
      <c r="N131" s="237"/>
      <c r="O131" s="26">
        <f>-SUMIFS(T_HEADCOUNT!$E:$E,T_HEADCOUNT!$C:$C,"-  Bar Back",T_HEADCOUNT!$D:$D,"3/2026",T_HEADCOUNT!$B:$B,"CLT")</f>
        <v>0</v>
      </c>
      <c r="P131" s="27">
        <f>SUMIFS(T_REAL!$D:$D,T_REAL!$E:$E,DRE!P$7,T_REAL!$C:$C,DRE!$A131)+SUMIFS(Aut_Ajustes_Manuais!$G:$G,Aut_Ajustes_Manuais!$I:$I,DRE!N$4,Aut_Ajustes_Manuais!$F:$F,"  -  Bar Back")</f>
        <v>0</v>
      </c>
      <c r="Q131" s="237"/>
      <c r="R131" s="26">
        <f>-SUMIFS(T_HEADCOUNT!$E:$E,T_HEADCOUNT!$C:$C,"-  Bar Back",T_HEADCOUNT!$D:$D,"4/2026",T_HEADCOUNT!$B:$B,"CLT")</f>
        <v>0</v>
      </c>
      <c r="S131" s="27">
        <f>SUMIFS(T_REAL!$D:$D,T_REAL!$E:$E,DRE!S$7,T_REAL!$C:$C,DRE!$A131)+SUMIFS(Aut_Ajustes_Manuais!$G:$G,Aut_Ajustes_Manuais!$I:$I,DRE!Q$4,Aut_Ajustes_Manuais!$F:$F,"  -  Bar Back")</f>
        <v>0</v>
      </c>
      <c r="T131" s="237"/>
      <c r="U131" s="26">
        <f>-SUMIFS(T_HEADCOUNT!$E:$E,T_HEADCOUNT!$C:$C,"-  Bar Back",T_HEADCOUNT!$D:$D,"5/2026",T_HEADCOUNT!$B:$B,"CLT")</f>
        <v>0</v>
      </c>
      <c r="V131" s="27">
        <f>SUMIFS(T_REAL!$D:$D,T_REAL!$E:$E,DRE!V$7,T_REAL!$C:$C,DRE!$A131)+SUMIFS(Aut_Ajustes_Manuais!$G:$G,Aut_Ajustes_Manuais!$I:$I,DRE!T$4,Aut_Ajustes_Manuais!$F:$F,"  -  Bar Back")</f>
        <v>0</v>
      </c>
      <c r="W131" s="237"/>
      <c r="X131" s="26">
        <f>-SUMIFS(T_HEADCOUNT!$E:$E,T_HEADCOUNT!$C:$C,"-  Bar Back",T_HEADCOUNT!$D:$D,"6/2026",T_HEADCOUNT!$B:$B,"CLT")</f>
        <v>0</v>
      </c>
      <c r="Y131" s="27">
        <f>SUMIFS(T_REAL!$D:$D,T_REAL!$E:$E,DRE!Y$7,T_REAL!$C:$C,DRE!$A131)+SUMIFS(Aut_Ajustes_Manuais!$G:$G,Aut_Ajustes_Manuais!$I:$I,DRE!W$4,Aut_Ajustes_Manuais!$F:$F,"  -  Bar Back")</f>
        <v>0</v>
      </c>
      <c r="Z131" s="237"/>
      <c r="AA131" s="26">
        <f>-SUMIFS(T_HEADCOUNT!$E:$E,T_HEADCOUNT!$C:$C,"-  Bar Back",T_HEADCOUNT!$D:$D,"7/2026",T_HEADCOUNT!$B:$B,"CLT")</f>
        <v>0</v>
      </c>
      <c r="AB131" s="27">
        <f>SUMIFS(T_REAL!$D:$D,T_REAL!$E:$E,DRE!AB$7,T_REAL!$C:$C,DRE!$A131)+SUMIFS(Aut_Ajustes_Manuais!$G:$G,Aut_Ajustes_Manuais!$I:$I,DRE!Z$4,Aut_Ajustes_Manuais!$F:$F,"  -  Bar Back")</f>
        <v>0</v>
      </c>
      <c r="AC131" s="237"/>
      <c r="AD131" s="26">
        <f>-SUMIFS(T_HEADCOUNT!$E:$E,T_HEADCOUNT!$C:$C,"-  Bar Back",T_HEADCOUNT!$D:$D,"8/2026",T_HEADCOUNT!$B:$B,"CLT")</f>
        <v>0</v>
      </c>
      <c r="AE131" s="27">
        <f>SUMIFS(T_REAL!$D:$D,T_REAL!$E:$E,DRE!AE$7,T_REAL!$C:$C,DRE!$A131)+SUMIFS(Aut_Ajustes_Manuais!$G:$G,Aut_Ajustes_Manuais!$I:$I,DRE!AC$4,Aut_Ajustes_Manuais!$F:$F,"  -  Bar Back")</f>
        <v>0</v>
      </c>
      <c r="AF131" s="237"/>
      <c r="AG131" s="26">
        <f>-SUMIFS(T_HEADCOUNT!$E:$E,T_HEADCOUNT!$C:$C,"-  Bar Back",T_HEADCOUNT!$D:$D,"9/2026",T_HEADCOUNT!$B:$B,"CLT")</f>
        <v>0</v>
      </c>
      <c r="AH131" s="27">
        <f>SUMIFS(T_REAL!$D:$D,T_REAL!$E:$E,DRE!AH$7,T_REAL!$C:$C,DRE!$A131)+SUMIFS(Aut_Ajustes_Manuais!$G:$G,Aut_Ajustes_Manuais!$I:$I,DRE!AF$4,Aut_Ajustes_Manuais!$F:$F,"  -  Bar Back")</f>
        <v>0</v>
      </c>
      <c r="AI131" s="237"/>
      <c r="AJ131" s="26">
        <f>-SUMIFS(T_HEADCOUNT!$E:$E,T_HEADCOUNT!$C:$C,"-  Bar Back",T_HEADCOUNT!$D:$D,"10/2026",T_HEADCOUNT!$B:$B,"CLT")</f>
        <v>0</v>
      </c>
      <c r="AK131" s="27">
        <f>SUMIFS(T_REAL!$D:$D,T_REAL!$E:$E,DRE!AK$7,T_REAL!$C:$C,DRE!$A131)+SUMIFS(Aut_Ajustes_Manuais!$G:$G,Aut_Ajustes_Manuais!$I:$I,DRE!AI$4,Aut_Ajustes_Manuais!$F:$F,"  -  Bar Back")</f>
        <v>0</v>
      </c>
      <c r="AL131" s="237"/>
      <c r="AM131" s="26">
        <f>-SUMIFS(T_HEADCOUNT!$E:$E,T_HEADCOUNT!$C:$C,"-  Bar Back",T_HEADCOUNT!$D:$D,"11/2026",T_HEADCOUNT!$B:$B,"CLT")</f>
        <v>0</v>
      </c>
      <c r="AN131" s="27">
        <f>SUMIFS(T_REAL!$D:$D,T_REAL!$E:$E,DRE!AN$7,T_REAL!$C:$C,DRE!$A131)+SUMIFS(Aut_Ajustes_Manuais!$G:$G,Aut_Ajustes_Manuais!$I:$I,DRE!AL$4,Aut_Ajustes_Manuais!$F:$F,"  -  Bar Back")</f>
        <v>0</v>
      </c>
      <c r="AO131" s="237"/>
      <c r="AP131" s="26">
        <f>-SUMIFS(T_HEADCOUNT!$E:$E,T_HEADCOUNT!$C:$C,"-  Bar Back",T_HEADCOUNT!$D:$D,"12/2026",T_HEADCOUNT!$B:$B,"CLT")</f>
        <v>0</v>
      </c>
      <c r="AQ131" s="27">
        <f>SUMIFS(T_REAL!$D:$D,T_REAL!$E:$E,DRE!AQ$7,T_REAL!$C:$C,DRE!$A131)+SUMIFS(Aut_Ajustes_Manuais!$G:$G,Aut_Ajustes_Manuais!$I:$I,DRE!AO$4,Aut_Ajustes_Manuais!$F:$F,"  -  Bar Back")</f>
        <v>0</v>
      </c>
      <c r="AR131" s="237">
        <f t="shared" ca="1" si="120"/>
        <v>0</v>
      </c>
      <c r="AS131" s="26">
        <f t="shared" ca="1" si="121"/>
        <v>0</v>
      </c>
      <c r="AT131" s="27">
        <f t="shared" ca="1" si="122"/>
        <v>0</v>
      </c>
      <c r="AU131" s="237"/>
      <c r="AV131" s="26"/>
      <c r="AW131" s="27"/>
      <c r="AX131" s="237"/>
      <c r="AY131" s="26">
        <v>-11216.4</v>
      </c>
      <c r="AZ131" s="27"/>
      <c r="BA131" s="237"/>
      <c r="BB131" s="26">
        <v>-11373.429599999999</v>
      </c>
      <c r="BC131" s="27"/>
      <c r="BD131" s="237"/>
      <c r="BE131" s="26">
        <v>-11687.488799999999</v>
      </c>
      <c r="BF131" s="27"/>
      <c r="BG131" s="237"/>
      <c r="BH131" s="26">
        <v>-11687.488799999999</v>
      </c>
      <c r="BI131" s="27"/>
      <c r="BJ131" s="454"/>
    </row>
    <row r="132" spans="1:62" s="28" customFormat="1" outlineLevel="1" x14ac:dyDescent="0.3">
      <c r="A132" s="93" t="s">
        <v>154</v>
      </c>
      <c r="B132" s="2"/>
      <c r="C132" s="23"/>
      <c r="D132" s="53" t="s">
        <v>143</v>
      </c>
      <c r="E132" s="85"/>
      <c r="F132" s="54"/>
      <c r="G132" s="32"/>
      <c r="H132" s="237"/>
      <c r="I132" s="26">
        <f>-SUMIFS(T_HEADCOUNT!$E:$E,T_HEADCOUNT!$C:$C,"-  Barista III",T_HEADCOUNT!$D:$D,"1/2026",T_HEADCOUNT!$B:$B,"CLT")</f>
        <v>0</v>
      </c>
      <c r="J132" s="27">
        <f>SUMIFS(T_REAL!$D:$D,T_REAL!$E:$E,DRE!J$7,T_REAL!$C:$C,DRE!$A132)+SUMIFS(Aut_Ajustes_Manuais!$G:$G,Aut_Ajustes_Manuais!$I:$I,DRE!H$4,Aut_Ajustes_Manuais!$F:$F,"  -  Barista III")</f>
        <v>0</v>
      </c>
      <c r="K132" s="237"/>
      <c r="L132" s="26">
        <f>-SUMIFS(T_HEADCOUNT!$E:$E,T_HEADCOUNT!$C:$C,"-  Barista III",T_HEADCOUNT!$D:$D,"2/2026",T_HEADCOUNT!$B:$B,"CLT")</f>
        <v>0</v>
      </c>
      <c r="M132" s="27">
        <f>SUMIFS(T_REAL!$D:$D,T_REAL!$E:$E,DRE!M$7,T_REAL!$C:$C,DRE!$A132)+SUMIFS(Aut_Ajustes_Manuais!$G:$G,Aut_Ajustes_Manuais!$I:$I,DRE!K$4,Aut_Ajustes_Manuais!$F:$F,"  -  Barista III")</f>
        <v>0</v>
      </c>
      <c r="N132" s="237"/>
      <c r="O132" s="26">
        <f>-SUMIFS(T_HEADCOUNT!$E:$E,T_HEADCOUNT!$C:$C,"-  Barista III",T_HEADCOUNT!$D:$D,"3/2026",T_HEADCOUNT!$B:$B,"CLT")</f>
        <v>0</v>
      </c>
      <c r="P132" s="27">
        <f>SUMIFS(T_REAL!$D:$D,T_REAL!$E:$E,DRE!P$7,T_REAL!$C:$C,DRE!$A132)+SUMIFS(Aut_Ajustes_Manuais!$G:$G,Aut_Ajustes_Manuais!$I:$I,DRE!N$4,Aut_Ajustes_Manuais!$F:$F,"  -  Barista III")</f>
        <v>0</v>
      </c>
      <c r="Q132" s="237"/>
      <c r="R132" s="26">
        <f>-SUMIFS(T_HEADCOUNT!$E:$E,T_HEADCOUNT!$C:$C,"-  Barista III",T_HEADCOUNT!$D:$D,"4/2026",T_HEADCOUNT!$B:$B,"CLT")</f>
        <v>0</v>
      </c>
      <c r="S132" s="27">
        <f>SUMIFS(T_REAL!$D:$D,T_REAL!$E:$E,DRE!S$7,T_REAL!$C:$C,DRE!$A132)+SUMIFS(Aut_Ajustes_Manuais!$G:$G,Aut_Ajustes_Manuais!$I:$I,DRE!Q$4,Aut_Ajustes_Manuais!$F:$F,"  -  Barista III")</f>
        <v>0</v>
      </c>
      <c r="T132" s="237"/>
      <c r="U132" s="26">
        <f>-SUMIFS(T_HEADCOUNT!$E:$E,T_HEADCOUNT!$C:$C,"-  Barista III",T_HEADCOUNT!$D:$D,"5/2026",T_HEADCOUNT!$B:$B,"CLT")</f>
        <v>0</v>
      </c>
      <c r="V132" s="27">
        <f>SUMIFS(T_REAL!$D:$D,T_REAL!$E:$E,DRE!V$7,T_REAL!$C:$C,DRE!$A132)+SUMIFS(Aut_Ajustes_Manuais!$G:$G,Aut_Ajustes_Manuais!$I:$I,DRE!T$4,Aut_Ajustes_Manuais!$F:$F,"  -  Barista III")</f>
        <v>0</v>
      </c>
      <c r="W132" s="237"/>
      <c r="X132" s="26">
        <f>-SUMIFS(T_HEADCOUNT!$E:$E,T_HEADCOUNT!$C:$C,"-  Barista III",T_HEADCOUNT!$D:$D,"6/2026",T_HEADCOUNT!$B:$B,"CLT")</f>
        <v>0</v>
      </c>
      <c r="Y132" s="27">
        <f>SUMIFS(T_REAL!$D:$D,T_REAL!$E:$E,DRE!Y$7,T_REAL!$C:$C,DRE!$A132)+SUMIFS(Aut_Ajustes_Manuais!$G:$G,Aut_Ajustes_Manuais!$I:$I,DRE!W$4,Aut_Ajustes_Manuais!$F:$F,"  -  Barista III")</f>
        <v>0</v>
      </c>
      <c r="Z132" s="237"/>
      <c r="AA132" s="26">
        <f>-SUMIFS(T_HEADCOUNT!$E:$E,T_HEADCOUNT!$C:$C,"-  Barista III",T_HEADCOUNT!$D:$D,"7/2026",T_HEADCOUNT!$B:$B,"CLT")</f>
        <v>0</v>
      </c>
      <c r="AB132" s="27">
        <f>SUMIFS(T_REAL!$D:$D,T_REAL!$E:$E,DRE!AB$7,T_REAL!$C:$C,DRE!$A132)+SUMIFS(Aut_Ajustes_Manuais!$G:$G,Aut_Ajustes_Manuais!$I:$I,DRE!Z$4,Aut_Ajustes_Manuais!$F:$F,"  -  Barista III")</f>
        <v>0</v>
      </c>
      <c r="AC132" s="237"/>
      <c r="AD132" s="26">
        <f>-SUMIFS(T_HEADCOUNT!$E:$E,T_HEADCOUNT!$C:$C,"-  Barista III",T_HEADCOUNT!$D:$D,"8/2026",T_HEADCOUNT!$B:$B,"CLT")</f>
        <v>0</v>
      </c>
      <c r="AE132" s="27">
        <f>SUMIFS(T_REAL!$D:$D,T_REAL!$E:$E,DRE!AE$7,T_REAL!$C:$C,DRE!$A132)+SUMIFS(Aut_Ajustes_Manuais!$G:$G,Aut_Ajustes_Manuais!$I:$I,DRE!AC$4,Aut_Ajustes_Manuais!$F:$F,"  -  Barista III")</f>
        <v>0</v>
      </c>
      <c r="AF132" s="237"/>
      <c r="AG132" s="26">
        <f>-SUMIFS(T_HEADCOUNT!$E:$E,T_HEADCOUNT!$C:$C,"-  Barista III",T_HEADCOUNT!$D:$D,"9/2026",T_HEADCOUNT!$B:$B,"CLT")</f>
        <v>0</v>
      </c>
      <c r="AH132" s="27">
        <f>SUMIFS(T_REAL!$D:$D,T_REAL!$E:$E,DRE!AH$7,T_REAL!$C:$C,DRE!$A132)+SUMIFS(Aut_Ajustes_Manuais!$G:$G,Aut_Ajustes_Manuais!$I:$I,DRE!AF$4,Aut_Ajustes_Manuais!$F:$F,"  -  Barista III")</f>
        <v>0</v>
      </c>
      <c r="AI132" s="237"/>
      <c r="AJ132" s="26">
        <f>-SUMIFS(T_HEADCOUNT!$E:$E,T_HEADCOUNT!$C:$C,"-  Barista III",T_HEADCOUNT!$D:$D,"10/2026",T_HEADCOUNT!$B:$B,"CLT")</f>
        <v>0</v>
      </c>
      <c r="AK132" s="27">
        <f>SUMIFS(T_REAL!$D:$D,T_REAL!$E:$E,DRE!AK$7,T_REAL!$C:$C,DRE!$A132)+SUMIFS(Aut_Ajustes_Manuais!$G:$G,Aut_Ajustes_Manuais!$I:$I,DRE!AI$4,Aut_Ajustes_Manuais!$F:$F,"  -  Barista III")</f>
        <v>0</v>
      </c>
      <c r="AL132" s="237"/>
      <c r="AM132" s="26">
        <f>-SUMIFS(T_HEADCOUNT!$E:$E,T_HEADCOUNT!$C:$C,"-  Barista III",T_HEADCOUNT!$D:$D,"11/2026",T_HEADCOUNT!$B:$B,"CLT")</f>
        <v>0</v>
      </c>
      <c r="AN132" s="27">
        <f>SUMIFS(T_REAL!$D:$D,T_REAL!$E:$E,DRE!AN$7,T_REAL!$C:$C,DRE!$A132)+SUMIFS(Aut_Ajustes_Manuais!$G:$G,Aut_Ajustes_Manuais!$I:$I,DRE!AL$4,Aut_Ajustes_Manuais!$F:$F,"  -  Barista III")</f>
        <v>0</v>
      </c>
      <c r="AO132" s="237"/>
      <c r="AP132" s="26">
        <f>-SUMIFS(T_HEADCOUNT!$E:$E,T_HEADCOUNT!$C:$C,"-  Barista III",T_HEADCOUNT!$D:$D,"12/2026",T_HEADCOUNT!$B:$B,"CLT")</f>
        <v>0</v>
      </c>
      <c r="AQ132" s="27">
        <f>SUMIFS(T_REAL!$D:$D,T_REAL!$E:$E,DRE!AQ$7,T_REAL!$C:$C,DRE!$A132)+SUMIFS(Aut_Ajustes_Manuais!$G:$G,Aut_Ajustes_Manuais!$I:$I,DRE!AO$4,Aut_Ajustes_Manuais!$F:$F,"  -  Barista III")</f>
        <v>0</v>
      </c>
      <c r="AR132" s="237">
        <f t="shared" ca="1" si="120"/>
        <v>0</v>
      </c>
      <c r="AS132" s="26">
        <f t="shared" ca="1" si="121"/>
        <v>0</v>
      </c>
      <c r="AT132" s="27">
        <f t="shared" ca="1" si="122"/>
        <v>0</v>
      </c>
      <c r="AU132" s="237"/>
      <c r="AV132" s="26"/>
      <c r="AW132" s="27"/>
      <c r="AX132" s="237"/>
      <c r="AY132" s="26">
        <v>-2330.67</v>
      </c>
      <c r="AZ132" s="27"/>
      <c r="BA132" s="237"/>
      <c r="BB132" s="26">
        <v>0</v>
      </c>
      <c r="BC132" s="27"/>
      <c r="BD132" s="237"/>
      <c r="BE132" s="26">
        <v>0</v>
      </c>
      <c r="BF132" s="27"/>
      <c r="BG132" s="237"/>
      <c r="BH132" s="26">
        <v>0</v>
      </c>
      <c r="BI132" s="27"/>
      <c r="BJ132" s="454"/>
    </row>
    <row r="133" spans="1:62" s="28" customFormat="1" outlineLevel="1" x14ac:dyDescent="0.3">
      <c r="A133" s="93" t="s">
        <v>155</v>
      </c>
      <c r="B133" s="2"/>
      <c r="C133" s="23"/>
      <c r="D133" s="53" t="s">
        <v>143</v>
      </c>
      <c r="E133" s="85"/>
      <c r="F133" s="54"/>
      <c r="G133" s="32"/>
      <c r="H133" s="237"/>
      <c r="I133" s="26">
        <f>-SUMIFS(T_HEADCOUNT!$E:$E,T_HEADCOUNT!$C:$C,"-  Barista II",T_HEADCOUNT!$D:$D,"1/2026",T_HEADCOUNT!$B:$B,"CLT")</f>
        <v>0</v>
      </c>
      <c r="J133" s="27">
        <f>SUMIFS(T_REAL!$D:$D,T_REAL!$E:$E,DRE!J$7,T_REAL!$C:$C,DRE!$A133)+SUMIFS(Aut_Ajustes_Manuais!$G:$G,Aut_Ajustes_Manuais!$I:$I,DRE!H$4,Aut_Ajustes_Manuais!$F:$F,"  -  Barista II")</f>
        <v>0</v>
      </c>
      <c r="K133" s="237"/>
      <c r="L133" s="26">
        <f>-SUMIFS(T_HEADCOUNT!$E:$E,T_HEADCOUNT!$C:$C,"-  Barista II",T_HEADCOUNT!$D:$D,"2/2026",T_HEADCOUNT!$B:$B,"CLT")</f>
        <v>0</v>
      </c>
      <c r="M133" s="27">
        <f>SUMIFS(T_REAL!$D:$D,T_REAL!$E:$E,DRE!M$7,T_REAL!$C:$C,DRE!$A133)+SUMIFS(Aut_Ajustes_Manuais!$G:$G,Aut_Ajustes_Manuais!$I:$I,DRE!K$4,Aut_Ajustes_Manuais!$F:$F,"  -  Barista II")</f>
        <v>0</v>
      </c>
      <c r="N133" s="237"/>
      <c r="O133" s="26">
        <f>-SUMIFS(T_HEADCOUNT!$E:$E,T_HEADCOUNT!$C:$C,"-  Barista II",T_HEADCOUNT!$D:$D,"3/2026",T_HEADCOUNT!$B:$B,"CLT")</f>
        <v>0</v>
      </c>
      <c r="P133" s="27">
        <f>SUMIFS(T_REAL!$D:$D,T_REAL!$E:$E,DRE!P$7,T_REAL!$C:$C,DRE!$A133)+SUMIFS(Aut_Ajustes_Manuais!$G:$G,Aut_Ajustes_Manuais!$I:$I,DRE!N$4,Aut_Ajustes_Manuais!$F:$F,"  -  Barista II")</f>
        <v>0</v>
      </c>
      <c r="Q133" s="237"/>
      <c r="R133" s="26">
        <f>-SUMIFS(T_HEADCOUNT!$E:$E,T_HEADCOUNT!$C:$C,"-  Barista II",T_HEADCOUNT!$D:$D,"4/2026",T_HEADCOUNT!$B:$B,"CLT")</f>
        <v>0</v>
      </c>
      <c r="S133" s="27">
        <f>SUMIFS(T_REAL!$D:$D,T_REAL!$E:$E,DRE!S$7,T_REAL!$C:$C,DRE!$A133)+SUMIFS(Aut_Ajustes_Manuais!$G:$G,Aut_Ajustes_Manuais!$I:$I,DRE!Q$4,Aut_Ajustes_Manuais!$F:$F,"  -  Barista II")</f>
        <v>0</v>
      </c>
      <c r="T133" s="237"/>
      <c r="U133" s="26">
        <f>-SUMIFS(T_HEADCOUNT!$E:$E,T_HEADCOUNT!$C:$C,"-  Barista II",T_HEADCOUNT!$D:$D,"5/2026",T_HEADCOUNT!$B:$B,"CLT")</f>
        <v>0</v>
      </c>
      <c r="V133" s="27">
        <f>SUMIFS(T_REAL!$D:$D,T_REAL!$E:$E,DRE!V$7,T_REAL!$C:$C,DRE!$A133)+SUMIFS(Aut_Ajustes_Manuais!$G:$G,Aut_Ajustes_Manuais!$I:$I,DRE!T$4,Aut_Ajustes_Manuais!$F:$F,"  -  Barista II")</f>
        <v>0</v>
      </c>
      <c r="W133" s="237"/>
      <c r="X133" s="26">
        <f>-SUMIFS(T_HEADCOUNT!$E:$E,T_HEADCOUNT!$C:$C,"-  Barista II",T_HEADCOUNT!$D:$D,"6/2026",T_HEADCOUNT!$B:$B,"CLT")</f>
        <v>0</v>
      </c>
      <c r="Y133" s="27">
        <f>SUMIFS(T_REAL!$D:$D,T_REAL!$E:$E,DRE!Y$7,T_REAL!$C:$C,DRE!$A133)+SUMIFS(Aut_Ajustes_Manuais!$G:$G,Aut_Ajustes_Manuais!$I:$I,DRE!W$4,Aut_Ajustes_Manuais!$F:$F,"  -  Barista II")</f>
        <v>0</v>
      </c>
      <c r="Z133" s="237"/>
      <c r="AA133" s="26">
        <f>-SUMIFS(T_HEADCOUNT!$E:$E,T_HEADCOUNT!$C:$C,"-  Barista II",T_HEADCOUNT!$D:$D,"7/2026",T_HEADCOUNT!$B:$B,"CLT")</f>
        <v>0</v>
      </c>
      <c r="AB133" s="27">
        <f>SUMIFS(T_REAL!$D:$D,T_REAL!$E:$E,DRE!AB$7,T_REAL!$C:$C,DRE!$A133)+SUMIFS(Aut_Ajustes_Manuais!$G:$G,Aut_Ajustes_Manuais!$I:$I,DRE!Z$4,Aut_Ajustes_Manuais!$F:$F,"  -  Barista II")</f>
        <v>0</v>
      </c>
      <c r="AC133" s="237"/>
      <c r="AD133" s="26">
        <f>-SUMIFS(T_HEADCOUNT!$E:$E,T_HEADCOUNT!$C:$C,"-  Barista II",T_HEADCOUNT!$D:$D,"8/2026",T_HEADCOUNT!$B:$B,"CLT")</f>
        <v>0</v>
      </c>
      <c r="AE133" s="27">
        <f>SUMIFS(T_REAL!$D:$D,T_REAL!$E:$E,DRE!AE$7,T_REAL!$C:$C,DRE!$A133)+SUMIFS(Aut_Ajustes_Manuais!$G:$G,Aut_Ajustes_Manuais!$I:$I,DRE!AC$4,Aut_Ajustes_Manuais!$F:$F,"  -  Barista II")</f>
        <v>0</v>
      </c>
      <c r="AF133" s="237"/>
      <c r="AG133" s="26">
        <f>-SUMIFS(T_HEADCOUNT!$E:$E,T_HEADCOUNT!$C:$C,"-  Barista II",T_HEADCOUNT!$D:$D,"9/2026",T_HEADCOUNT!$B:$B,"CLT")</f>
        <v>0</v>
      </c>
      <c r="AH133" s="27">
        <f>SUMIFS(T_REAL!$D:$D,T_REAL!$E:$E,DRE!AH$7,T_REAL!$C:$C,DRE!$A133)+SUMIFS(Aut_Ajustes_Manuais!$G:$G,Aut_Ajustes_Manuais!$I:$I,DRE!AF$4,Aut_Ajustes_Manuais!$F:$F,"  -  Barista II")</f>
        <v>0</v>
      </c>
      <c r="AI133" s="237"/>
      <c r="AJ133" s="26">
        <f>-SUMIFS(T_HEADCOUNT!$E:$E,T_HEADCOUNT!$C:$C,"-  Barista II",T_HEADCOUNT!$D:$D,"10/2026",T_HEADCOUNT!$B:$B,"CLT")</f>
        <v>0</v>
      </c>
      <c r="AK133" s="27">
        <f>SUMIFS(T_REAL!$D:$D,T_REAL!$E:$E,DRE!AK$7,T_REAL!$C:$C,DRE!$A133)+SUMIFS(Aut_Ajustes_Manuais!$G:$G,Aut_Ajustes_Manuais!$I:$I,DRE!AI$4,Aut_Ajustes_Manuais!$F:$F,"  -  Barista II")</f>
        <v>0</v>
      </c>
      <c r="AL133" s="237"/>
      <c r="AM133" s="26">
        <f>-SUMIFS(T_HEADCOUNT!$E:$E,T_HEADCOUNT!$C:$C,"-  Barista II",T_HEADCOUNT!$D:$D,"11/2026",T_HEADCOUNT!$B:$B,"CLT")</f>
        <v>0</v>
      </c>
      <c r="AN133" s="27">
        <f>SUMIFS(T_REAL!$D:$D,T_REAL!$E:$E,DRE!AN$7,T_REAL!$C:$C,DRE!$A133)+SUMIFS(Aut_Ajustes_Manuais!$G:$G,Aut_Ajustes_Manuais!$I:$I,DRE!AL$4,Aut_Ajustes_Manuais!$F:$F,"  -  Barista II")</f>
        <v>0</v>
      </c>
      <c r="AO133" s="237"/>
      <c r="AP133" s="26">
        <f>-SUMIFS(T_HEADCOUNT!$E:$E,T_HEADCOUNT!$C:$C,"-  Barista II",T_HEADCOUNT!$D:$D,"12/2026",T_HEADCOUNT!$B:$B,"CLT")</f>
        <v>0</v>
      </c>
      <c r="AQ133" s="27">
        <f>SUMIFS(T_REAL!$D:$D,T_REAL!$E:$E,DRE!AQ$7,T_REAL!$C:$C,DRE!$A133)+SUMIFS(Aut_Ajustes_Manuais!$G:$G,Aut_Ajustes_Manuais!$I:$I,DRE!AO$4,Aut_Ajustes_Manuais!$F:$F,"  -  Barista II")</f>
        <v>0</v>
      </c>
      <c r="AR133" s="237">
        <f t="shared" ca="1" si="120"/>
        <v>0</v>
      </c>
      <c r="AS133" s="26">
        <f t="shared" ca="1" si="121"/>
        <v>0</v>
      </c>
      <c r="AT133" s="27">
        <f t="shared" ca="1" si="122"/>
        <v>0</v>
      </c>
      <c r="AU133" s="237"/>
      <c r="AV133" s="26"/>
      <c r="AW133" s="27"/>
      <c r="AX133" s="237"/>
      <c r="AY133" s="26">
        <v>-5107.76</v>
      </c>
      <c r="AZ133" s="27"/>
      <c r="BA133" s="237"/>
      <c r="BB133" s="26">
        <v>-7768.9029600000003</v>
      </c>
      <c r="BC133" s="27"/>
      <c r="BD133" s="237"/>
      <c r="BE133" s="26">
        <v>-7983.4288800000004</v>
      </c>
      <c r="BF133" s="27"/>
      <c r="BG133" s="237"/>
      <c r="BH133" s="26">
        <v>-7983.4288800000004</v>
      </c>
      <c r="BI133" s="27"/>
      <c r="BJ133" s="454"/>
    </row>
    <row r="134" spans="1:62" s="28" customFormat="1" outlineLevel="1" x14ac:dyDescent="0.3">
      <c r="A134" s="93" t="s">
        <v>156</v>
      </c>
      <c r="B134" s="2"/>
      <c r="C134" s="23"/>
      <c r="D134" s="53" t="s">
        <v>143</v>
      </c>
      <c r="E134" s="85"/>
      <c r="F134" s="54"/>
      <c r="G134" s="32"/>
      <c r="H134" s="237"/>
      <c r="I134" s="26">
        <f>-SUMIFS(T_HEADCOUNT!$E:$E,T_HEADCOUNT!$C:$C,"-  Barista I",T_HEADCOUNT!$D:$D,"1/2026",T_HEADCOUNT!$B:$B,"CLT")</f>
        <v>0</v>
      </c>
      <c r="J134" s="27">
        <f>SUMIFS(T_REAL!$D:$D,T_REAL!$E:$E,DRE!J$7,T_REAL!$C:$C,DRE!$A134)+SUMIFS(Aut_Ajustes_Manuais!$G:$G,Aut_Ajustes_Manuais!$I:$I,DRE!H$4,Aut_Ajustes_Manuais!$F:$F,"  -  Barista I")</f>
        <v>0</v>
      </c>
      <c r="K134" s="237"/>
      <c r="L134" s="26">
        <f>-SUMIFS(T_HEADCOUNT!$E:$E,T_HEADCOUNT!$C:$C,"-  Barista I",T_HEADCOUNT!$D:$D,"2/2026",T_HEADCOUNT!$B:$B,"CLT")</f>
        <v>0</v>
      </c>
      <c r="M134" s="27">
        <f>SUMIFS(T_REAL!$D:$D,T_REAL!$E:$E,DRE!M$7,T_REAL!$C:$C,DRE!$A134)+SUMIFS(Aut_Ajustes_Manuais!$G:$G,Aut_Ajustes_Manuais!$I:$I,DRE!K$4,Aut_Ajustes_Manuais!$F:$F,"  -  Barista I")</f>
        <v>0</v>
      </c>
      <c r="N134" s="237"/>
      <c r="O134" s="26">
        <f>-SUMIFS(T_HEADCOUNT!$E:$E,T_HEADCOUNT!$C:$C,"-  Barista I",T_HEADCOUNT!$D:$D,"3/2026",T_HEADCOUNT!$B:$B,"CLT")</f>
        <v>0</v>
      </c>
      <c r="P134" s="27">
        <f>SUMIFS(T_REAL!$D:$D,T_REAL!$E:$E,DRE!P$7,T_REAL!$C:$C,DRE!$A134)+SUMIFS(Aut_Ajustes_Manuais!$G:$G,Aut_Ajustes_Manuais!$I:$I,DRE!N$4,Aut_Ajustes_Manuais!$F:$F,"  -  Barista I")</f>
        <v>0</v>
      </c>
      <c r="Q134" s="237"/>
      <c r="R134" s="26">
        <f>-SUMIFS(T_HEADCOUNT!$E:$E,T_HEADCOUNT!$C:$C,"-  Barista I",T_HEADCOUNT!$D:$D,"4/2026",T_HEADCOUNT!$B:$B,"CLT")</f>
        <v>0</v>
      </c>
      <c r="S134" s="27">
        <f>SUMIFS(T_REAL!$D:$D,T_REAL!$E:$E,DRE!S$7,T_REAL!$C:$C,DRE!$A134)+SUMIFS(Aut_Ajustes_Manuais!$G:$G,Aut_Ajustes_Manuais!$I:$I,DRE!Q$4,Aut_Ajustes_Manuais!$F:$F,"  -  Barista I")</f>
        <v>0</v>
      </c>
      <c r="T134" s="237"/>
      <c r="U134" s="26">
        <f>-SUMIFS(T_HEADCOUNT!$E:$E,T_HEADCOUNT!$C:$C,"-  Barista I",T_HEADCOUNT!$D:$D,"5/2026",T_HEADCOUNT!$B:$B,"CLT")</f>
        <v>0</v>
      </c>
      <c r="V134" s="27">
        <f>SUMIFS(T_REAL!$D:$D,T_REAL!$E:$E,DRE!V$7,T_REAL!$C:$C,DRE!$A134)+SUMIFS(Aut_Ajustes_Manuais!$G:$G,Aut_Ajustes_Manuais!$I:$I,DRE!T$4,Aut_Ajustes_Manuais!$F:$F,"  -  Barista I")</f>
        <v>0</v>
      </c>
      <c r="W134" s="237"/>
      <c r="X134" s="26">
        <f>-SUMIFS(T_HEADCOUNT!$E:$E,T_HEADCOUNT!$C:$C,"-  Barista I",T_HEADCOUNT!$D:$D,"6/2026",T_HEADCOUNT!$B:$B,"CLT")</f>
        <v>0</v>
      </c>
      <c r="Y134" s="27">
        <f>SUMIFS(T_REAL!$D:$D,T_REAL!$E:$E,DRE!Y$7,T_REAL!$C:$C,DRE!$A134)+SUMIFS(Aut_Ajustes_Manuais!$G:$G,Aut_Ajustes_Manuais!$I:$I,DRE!W$4,Aut_Ajustes_Manuais!$F:$F,"  -  Barista I")</f>
        <v>0</v>
      </c>
      <c r="Z134" s="237"/>
      <c r="AA134" s="26">
        <f>-SUMIFS(T_HEADCOUNT!$E:$E,T_HEADCOUNT!$C:$C,"-  Barista I",T_HEADCOUNT!$D:$D,"7/2026",T_HEADCOUNT!$B:$B,"CLT")</f>
        <v>0</v>
      </c>
      <c r="AB134" s="27">
        <f>SUMIFS(T_REAL!$D:$D,T_REAL!$E:$E,DRE!AB$7,T_REAL!$C:$C,DRE!$A134)+SUMIFS(Aut_Ajustes_Manuais!$G:$G,Aut_Ajustes_Manuais!$I:$I,DRE!Z$4,Aut_Ajustes_Manuais!$F:$F,"  -  Barista I")</f>
        <v>0</v>
      </c>
      <c r="AC134" s="237"/>
      <c r="AD134" s="26">
        <f>-SUMIFS(T_HEADCOUNT!$E:$E,T_HEADCOUNT!$C:$C,"-  Barista I",T_HEADCOUNT!$D:$D,"8/2026",T_HEADCOUNT!$B:$B,"CLT")</f>
        <v>0</v>
      </c>
      <c r="AE134" s="27">
        <f>SUMIFS(T_REAL!$D:$D,T_REAL!$E:$E,DRE!AE$7,T_REAL!$C:$C,DRE!$A134)+SUMIFS(Aut_Ajustes_Manuais!$G:$G,Aut_Ajustes_Manuais!$I:$I,DRE!AC$4,Aut_Ajustes_Manuais!$F:$F,"  -  Barista I")</f>
        <v>0</v>
      </c>
      <c r="AF134" s="237"/>
      <c r="AG134" s="26">
        <f>-SUMIFS(T_HEADCOUNT!$E:$E,T_HEADCOUNT!$C:$C,"-  Barista I",T_HEADCOUNT!$D:$D,"9/2026",T_HEADCOUNT!$B:$B,"CLT")</f>
        <v>0</v>
      </c>
      <c r="AH134" s="27">
        <f>SUMIFS(T_REAL!$D:$D,T_REAL!$E:$E,DRE!AH$7,T_REAL!$C:$C,DRE!$A134)+SUMIFS(Aut_Ajustes_Manuais!$G:$G,Aut_Ajustes_Manuais!$I:$I,DRE!AF$4,Aut_Ajustes_Manuais!$F:$F,"  -  Barista I")</f>
        <v>0</v>
      </c>
      <c r="AI134" s="237"/>
      <c r="AJ134" s="26">
        <f>-SUMIFS(T_HEADCOUNT!$E:$E,T_HEADCOUNT!$C:$C,"-  Barista I",T_HEADCOUNT!$D:$D,"10/2026",T_HEADCOUNT!$B:$B,"CLT")</f>
        <v>0</v>
      </c>
      <c r="AK134" s="27">
        <f>SUMIFS(T_REAL!$D:$D,T_REAL!$E:$E,DRE!AK$7,T_REAL!$C:$C,DRE!$A134)+SUMIFS(Aut_Ajustes_Manuais!$G:$G,Aut_Ajustes_Manuais!$I:$I,DRE!AI$4,Aut_Ajustes_Manuais!$F:$F,"  -  Barista I")</f>
        <v>0</v>
      </c>
      <c r="AL134" s="237"/>
      <c r="AM134" s="26">
        <f>-SUMIFS(T_HEADCOUNT!$E:$E,T_HEADCOUNT!$C:$C,"-  Barista I",T_HEADCOUNT!$D:$D,"11/2026",T_HEADCOUNT!$B:$B,"CLT")</f>
        <v>0</v>
      </c>
      <c r="AN134" s="27">
        <f>SUMIFS(T_REAL!$D:$D,T_REAL!$E:$E,DRE!AN$7,T_REAL!$C:$C,DRE!$A134)+SUMIFS(Aut_Ajustes_Manuais!$G:$G,Aut_Ajustes_Manuais!$I:$I,DRE!AL$4,Aut_Ajustes_Manuais!$F:$F,"  -  Barista I")</f>
        <v>0</v>
      </c>
      <c r="AO134" s="237"/>
      <c r="AP134" s="26">
        <f>-SUMIFS(T_HEADCOUNT!$E:$E,T_HEADCOUNT!$C:$C,"-  Barista I",T_HEADCOUNT!$D:$D,"12/2026",T_HEADCOUNT!$B:$B,"CLT")</f>
        <v>0</v>
      </c>
      <c r="AQ134" s="27">
        <f>SUMIFS(T_REAL!$D:$D,T_REAL!$E:$E,DRE!AQ$7,T_REAL!$C:$C,DRE!$A134)+SUMIFS(Aut_Ajustes_Manuais!$G:$G,Aut_Ajustes_Manuais!$I:$I,DRE!AO$4,Aut_Ajustes_Manuais!$F:$F,"  -  Barista I")</f>
        <v>0</v>
      </c>
      <c r="AR134" s="237">
        <f t="shared" ca="1" si="120"/>
        <v>0</v>
      </c>
      <c r="AS134" s="26">
        <f t="shared" ca="1" si="121"/>
        <v>0</v>
      </c>
      <c r="AT134" s="27">
        <f t="shared" ca="1" si="122"/>
        <v>0</v>
      </c>
      <c r="AU134" s="237"/>
      <c r="AV134" s="26"/>
      <c r="AW134" s="27"/>
      <c r="AX134" s="237"/>
      <c r="AY134" s="26">
        <v>0</v>
      </c>
      <c r="AZ134" s="27"/>
      <c r="BA134" s="237"/>
      <c r="BB134" s="26">
        <v>0</v>
      </c>
      <c r="BC134" s="27"/>
      <c r="BD134" s="237"/>
      <c r="BE134" s="26">
        <v>0</v>
      </c>
      <c r="BF134" s="27"/>
      <c r="BG134" s="237"/>
      <c r="BH134" s="26">
        <v>0</v>
      </c>
      <c r="BI134" s="27"/>
      <c r="BJ134" s="454"/>
    </row>
    <row r="135" spans="1:62" s="28" customFormat="1" outlineLevel="1" x14ac:dyDescent="0.3">
      <c r="A135" s="93" t="s">
        <v>157</v>
      </c>
      <c r="B135" s="2"/>
      <c r="C135" s="23"/>
      <c r="D135" s="53" t="s">
        <v>143</v>
      </c>
      <c r="E135" s="85"/>
      <c r="F135" s="54"/>
      <c r="G135" s="32"/>
      <c r="H135" s="237"/>
      <c r="I135" s="26">
        <f>-SUMIFS(T_HEADCOUNT!$E:$E,T_HEADCOUNT!$C:$C,"-  Chopeiro III",T_HEADCOUNT!$D:$D,"1/2026",T_HEADCOUNT!$B:$B,"CLT")</f>
        <v>0</v>
      </c>
      <c r="J135" s="27">
        <f>SUMIFS(T_REAL!$D:$D,T_REAL!$E:$E,DRE!J$7,T_REAL!$C:$C,DRE!$A135)+SUMIFS(Aut_Ajustes_Manuais!$G:$G,Aut_Ajustes_Manuais!$I:$I,DRE!H$4,Aut_Ajustes_Manuais!$F:$F,"  -  Chopeiro III")</f>
        <v>0</v>
      </c>
      <c r="K135" s="237"/>
      <c r="L135" s="26">
        <f>-SUMIFS(T_HEADCOUNT!$E:$E,T_HEADCOUNT!$C:$C,"-  Chopeiro III",T_HEADCOUNT!$D:$D,"2/2026",T_HEADCOUNT!$B:$B,"CLT")</f>
        <v>0</v>
      </c>
      <c r="M135" s="27">
        <f>SUMIFS(T_REAL!$D:$D,T_REAL!$E:$E,DRE!M$7,T_REAL!$C:$C,DRE!$A135)+SUMIFS(Aut_Ajustes_Manuais!$G:$G,Aut_Ajustes_Manuais!$I:$I,DRE!K$4,Aut_Ajustes_Manuais!$F:$F,"  -  Chopeiro III")</f>
        <v>0</v>
      </c>
      <c r="N135" s="237"/>
      <c r="O135" s="26">
        <f>-SUMIFS(T_HEADCOUNT!$E:$E,T_HEADCOUNT!$C:$C,"-  Chopeiro III",T_HEADCOUNT!$D:$D,"3/2026",T_HEADCOUNT!$B:$B,"CLT")</f>
        <v>0</v>
      </c>
      <c r="P135" s="27">
        <f>SUMIFS(T_REAL!$D:$D,T_REAL!$E:$E,DRE!P$7,T_REAL!$C:$C,DRE!$A135)+SUMIFS(Aut_Ajustes_Manuais!$G:$G,Aut_Ajustes_Manuais!$I:$I,DRE!N$4,Aut_Ajustes_Manuais!$F:$F,"  -  Chopeiro III")</f>
        <v>0</v>
      </c>
      <c r="Q135" s="237"/>
      <c r="R135" s="26">
        <f>-SUMIFS(T_HEADCOUNT!$E:$E,T_HEADCOUNT!$C:$C,"-  Chopeiro III",T_HEADCOUNT!$D:$D,"4/2026",T_HEADCOUNT!$B:$B,"CLT")</f>
        <v>0</v>
      </c>
      <c r="S135" s="27">
        <f>SUMIFS(T_REAL!$D:$D,T_REAL!$E:$E,DRE!S$7,T_REAL!$C:$C,DRE!$A135)+SUMIFS(Aut_Ajustes_Manuais!$G:$G,Aut_Ajustes_Manuais!$I:$I,DRE!Q$4,Aut_Ajustes_Manuais!$F:$F,"  -  Chopeiro III")</f>
        <v>0</v>
      </c>
      <c r="T135" s="237"/>
      <c r="U135" s="26">
        <f>-SUMIFS(T_HEADCOUNT!$E:$E,T_HEADCOUNT!$C:$C,"-  Chopeiro III",T_HEADCOUNT!$D:$D,"5/2026",T_HEADCOUNT!$B:$B,"CLT")</f>
        <v>0</v>
      </c>
      <c r="V135" s="27">
        <f>SUMIFS(T_REAL!$D:$D,T_REAL!$E:$E,DRE!V$7,T_REAL!$C:$C,DRE!$A135)+SUMIFS(Aut_Ajustes_Manuais!$G:$G,Aut_Ajustes_Manuais!$I:$I,DRE!T$4,Aut_Ajustes_Manuais!$F:$F,"  -  Chopeiro III")</f>
        <v>0</v>
      </c>
      <c r="W135" s="237"/>
      <c r="X135" s="26">
        <f>-SUMIFS(T_HEADCOUNT!$E:$E,T_HEADCOUNT!$C:$C,"-  Chopeiro III",T_HEADCOUNT!$D:$D,"6/2026",T_HEADCOUNT!$B:$B,"CLT")</f>
        <v>0</v>
      </c>
      <c r="Y135" s="27">
        <f>SUMIFS(T_REAL!$D:$D,T_REAL!$E:$E,DRE!Y$7,T_REAL!$C:$C,DRE!$A135)+SUMIFS(Aut_Ajustes_Manuais!$G:$G,Aut_Ajustes_Manuais!$I:$I,DRE!W$4,Aut_Ajustes_Manuais!$F:$F,"  -  Chopeiro III")</f>
        <v>0</v>
      </c>
      <c r="Z135" s="237"/>
      <c r="AA135" s="26">
        <f>-SUMIFS(T_HEADCOUNT!$E:$E,T_HEADCOUNT!$C:$C,"-  Chopeiro III",T_HEADCOUNT!$D:$D,"7/2026",T_HEADCOUNT!$B:$B,"CLT")</f>
        <v>0</v>
      </c>
      <c r="AB135" s="27">
        <f>SUMIFS(T_REAL!$D:$D,T_REAL!$E:$E,DRE!AB$7,T_REAL!$C:$C,DRE!$A135)+SUMIFS(Aut_Ajustes_Manuais!$G:$G,Aut_Ajustes_Manuais!$I:$I,DRE!Z$4,Aut_Ajustes_Manuais!$F:$F,"  -  Chopeiro III")</f>
        <v>0</v>
      </c>
      <c r="AC135" s="237"/>
      <c r="AD135" s="26">
        <f>-SUMIFS(T_HEADCOUNT!$E:$E,T_HEADCOUNT!$C:$C,"-  Chopeiro III",T_HEADCOUNT!$D:$D,"8/2026",T_HEADCOUNT!$B:$B,"CLT")</f>
        <v>0</v>
      </c>
      <c r="AE135" s="27">
        <f>SUMIFS(T_REAL!$D:$D,T_REAL!$E:$E,DRE!AE$7,T_REAL!$C:$C,DRE!$A135)+SUMIFS(Aut_Ajustes_Manuais!$G:$G,Aut_Ajustes_Manuais!$I:$I,DRE!AC$4,Aut_Ajustes_Manuais!$F:$F,"  -  Chopeiro III")</f>
        <v>0</v>
      </c>
      <c r="AF135" s="237"/>
      <c r="AG135" s="26">
        <f>-SUMIFS(T_HEADCOUNT!$E:$E,T_HEADCOUNT!$C:$C,"-  Chopeiro III",T_HEADCOUNT!$D:$D,"9/2026",T_HEADCOUNT!$B:$B,"CLT")</f>
        <v>0</v>
      </c>
      <c r="AH135" s="27">
        <f>SUMIFS(T_REAL!$D:$D,T_REAL!$E:$E,DRE!AH$7,T_REAL!$C:$C,DRE!$A135)+SUMIFS(Aut_Ajustes_Manuais!$G:$G,Aut_Ajustes_Manuais!$I:$I,DRE!AF$4,Aut_Ajustes_Manuais!$F:$F,"  -  Chopeiro III")</f>
        <v>0</v>
      </c>
      <c r="AI135" s="237"/>
      <c r="AJ135" s="26">
        <f>-SUMIFS(T_HEADCOUNT!$E:$E,T_HEADCOUNT!$C:$C,"-  Chopeiro III",T_HEADCOUNT!$D:$D,"10/2026",T_HEADCOUNT!$B:$B,"CLT")</f>
        <v>0</v>
      </c>
      <c r="AK135" s="27">
        <f>SUMIFS(T_REAL!$D:$D,T_REAL!$E:$E,DRE!AK$7,T_REAL!$C:$C,DRE!$A135)+SUMIFS(Aut_Ajustes_Manuais!$G:$G,Aut_Ajustes_Manuais!$I:$I,DRE!AI$4,Aut_Ajustes_Manuais!$F:$F,"  -  Chopeiro III")</f>
        <v>0</v>
      </c>
      <c r="AL135" s="237"/>
      <c r="AM135" s="26">
        <f>-SUMIFS(T_HEADCOUNT!$E:$E,T_HEADCOUNT!$C:$C,"-  Chopeiro III",T_HEADCOUNT!$D:$D,"11/2026",T_HEADCOUNT!$B:$B,"CLT")</f>
        <v>0</v>
      </c>
      <c r="AN135" s="27">
        <f>SUMIFS(T_REAL!$D:$D,T_REAL!$E:$E,DRE!AN$7,T_REAL!$C:$C,DRE!$A135)+SUMIFS(Aut_Ajustes_Manuais!$G:$G,Aut_Ajustes_Manuais!$I:$I,DRE!AL$4,Aut_Ajustes_Manuais!$F:$F,"  -  Chopeiro III")</f>
        <v>0</v>
      </c>
      <c r="AO135" s="237"/>
      <c r="AP135" s="26">
        <f>-SUMIFS(T_HEADCOUNT!$E:$E,T_HEADCOUNT!$C:$C,"-  Chopeiro III",T_HEADCOUNT!$D:$D,"12/2026",T_HEADCOUNT!$B:$B,"CLT")</f>
        <v>0</v>
      </c>
      <c r="AQ135" s="27">
        <f>SUMIFS(T_REAL!$D:$D,T_REAL!$E:$E,DRE!AQ$7,T_REAL!$C:$C,DRE!$A135)+SUMIFS(Aut_Ajustes_Manuais!$G:$G,Aut_Ajustes_Manuais!$I:$I,DRE!AO$4,Aut_Ajustes_Manuais!$F:$F,"  -  Chopeiro III")</f>
        <v>0</v>
      </c>
      <c r="AR135" s="237">
        <f t="shared" ca="1" si="120"/>
        <v>0</v>
      </c>
      <c r="AS135" s="26">
        <f t="shared" ca="1" si="121"/>
        <v>0</v>
      </c>
      <c r="AT135" s="27">
        <f t="shared" ca="1" si="122"/>
        <v>0</v>
      </c>
      <c r="AU135" s="237"/>
      <c r="AV135" s="26"/>
      <c r="AW135" s="27"/>
      <c r="AX135" s="237"/>
      <c r="AY135" s="26">
        <v>0</v>
      </c>
      <c r="AZ135" s="27"/>
      <c r="BA135" s="237"/>
      <c r="BB135" s="26">
        <v>0</v>
      </c>
      <c r="BC135" s="27"/>
      <c r="BD135" s="237"/>
      <c r="BE135" s="26">
        <v>0</v>
      </c>
      <c r="BF135" s="27"/>
      <c r="BG135" s="237"/>
      <c r="BH135" s="26">
        <v>0</v>
      </c>
      <c r="BI135" s="27"/>
      <c r="BJ135" s="454"/>
    </row>
    <row r="136" spans="1:62" s="28" customFormat="1" outlineLevel="1" x14ac:dyDescent="0.3">
      <c r="A136" s="93" t="s">
        <v>158</v>
      </c>
      <c r="B136" s="2"/>
      <c r="C136" s="23"/>
      <c r="D136" s="53" t="s">
        <v>143</v>
      </c>
      <c r="E136" s="85"/>
      <c r="F136" s="54"/>
      <c r="G136" s="32"/>
      <c r="H136" s="237"/>
      <c r="I136" s="26">
        <f>-SUMIFS(T_HEADCOUNT!$E:$E,T_HEADCOUNT!$C:$C,"-  Chopeiro II",T_HEADCOUNT!$D:$D,"1/2026",T_HEADCOUNT!$B:$B,"CLT")</f>
        <v>0</v>
      </c>
      <c r="J136" s="27">
        <f>SUMIFS(T_REAL!$D:$D,T_REAL!$E:$E,DRE!J$7,T_REAL!$C:$C,DRE!$A136)+SUMIFS(Aut_Ajustes_Manuais!$G:$G,Aut_Ajustes_Manuais!$I:$I,DRE!H$4,Aut_Ajustes_Manuais!$F:$F,"  -  Chopeiro II")</f>
        <v>0</v>
      </c>
      <c r="K136" s="237"/>
      <c r="L136" s="26">
        <f>-SUMIFS(T_HEADCOUNT!$E:$E,T_HEADCOUNT!$C:$C,"-  Chopeiro II",T_HEADCOUNT!$D:$D,"2/2026",T_HEADCOUNT!$B:$B,"CLT")</f>
        <v>0</v>
      </c>
      <c r="M136" s="27">
        <f>SUMIFS(T_REAL!$D:$D,T_REAL!$E:$E,DRE!M$7,T_REAL!$C:$C,DRE!$A136)+SUMIFS(Aut_Ajustes_Manuais!$G:$G,Aut_Ajustes_Manuais!$I:$I,DRE!K$4,Aut_Ajustes_Manuais!$F:$F,"  -  Chopeiro II")</f>
        <v>0</v>
      </c>
      <c r="N136" s="237"/>
      <c r="O136" s="26">
        <f>-SUMIFS(T_HEADCOUNT!$E:$E,T_HEADCOUNT!$C:$C,"-  Chopeiro II",T_HEADCOUNT!$D:$D,"3/2026",T_HEADCOUNT!$B:$B,"CLT")</f>
        <v>0</v>
      </c>
      <c r="P136" s="27">
        <f>SUMIFS(T_REAL!$D:$D,T_REAL!$E:$E,DRE!P$7,T_REAL!$C:$C,DRE!$A136)+SUMIFS(Aut_Ajustes_Manuais!$G:$G,Aut_Ajustes_Manuais!$I:$I,DRE!N$4,Aut_Ajustes_Manuais!$F:$F,"  -  Chopeiro II")</f>
        <v>0</v>
      </c>
      <c r="Q136" s="237"/>
      <c r="R136" s="26">
        <f>-SUMIFS(T_HEADCOUNT!$E:$E,T_HEADCOUNT!$C:$C,"-  Chopeiro II",T_HEADCOUNT!$D:$D,"4/2026",T_HEADCOUNT!$B:$B,"CLT")</f>
        <v>0</v>
      </c>
      <c r="S136" s="27">
        <f>SUMIFS(T_REAL!$D:$D,T_REAL!$E:$E,DRE!S$7,T_REAL!$C:$C,DRE!$A136)+SUMIFS(Aut_Ajustes_Manuais!$G:$G,Aut_Ajustes_Manuais!$I:$I,DRE!Q$4,Aut_Ajustes_Manuais!$F:$F,"  -  Chopeiro II")</f>
        <v>0</v>
      </c>
      <c r="T136" s="237"/>
      <c r="U136" s="26">
        <f>-SUMIFS(T_HEADCOUNT!$E:$E,T_HEADCOUNT!$C:$C,"-  Chopeiro II",T_HEADCOUNT!$D:$D,"5/2026",T_HEADCOUNT!$B:$B,"CLT")</f>
        <v>0</v>
      </c>
      <c r="V136" s="27">
        <f>SUMIFS(T_REAL!$D:$D,T_REAL!$E:$E,DRE!V$7,T_REAL!$C:$C,DRE!$A136)+SUMIFS(Aut_Ajustes_Manuais!$G:$G,Aut_Ajustes_Manuais!$I:$I,DRE!T$4,Aut_Ajustes_Manuais!$F:$F,"  -  Chopeiro II")</f>
        <v>0</v>
      </c>
      <c r="W136" s="237"/>
      <c r="X136" s="26">
        <f>-SUMIFS(T_HEADCOUNT!$E:$E,T_HEADCOUNT!$C:$C,"-  Chopeiro II",T_HEADCOUNT!$D:$D,"6/2026",T_HEADCOUNT!$B:$B,"CLT")</f>
        <v>0</v>
      </c>
      <c r="Y136" s="27">
        <f>SUMIFS(T_REAL!$D:$D,T_REAL!$E:$E,DRE!Y$7,T_REAL!$C:$C,DRE!$A136)+SUMIFS(Aut_Ajustes_Manuais!$G:$G,Aut_Ajustes_Manuais!$I:$I,DRE!W$4,Aut_Ajustes_Manuais!$F:$F,"  -  Chopeiro II")</f>
        <v>0</v>
      </c>
      <c r="Z136" s="237"/>
      <c r="AA136" s="26">
        <f>-SUMIFS(T_HEADCOUNT!$E:$E,T_HEADCOUNT!$C:$C,"-  Chopeiro II",T_HEADCOUNT!$D:$D,"7/2026",T_HEADCOUNT!$B:$B,"CLT")</f>
        <v>0</v>
      </c>
      <c r="AB136" s="27">
        <f>SUMIFS(T_REAL!$D:$D,T_REAL!$E:$E,DRE!AB$7,T_REAL!$C:$C,DRE!$A136)+SUMIFS(Aut_Ajustes_Manuais!$G:$G,Aut_Ajustes_Manuais!$I:$I,DRE!Z$4,Aut_Ajustes_Manuais!$F:$F,"  -  Chopeiro II")</f>
        <v>0</v>
      </c>
      <c r="AC136" s="237"/>
      <c r="AD136" s="26">
        <f>-SUMIFS(T_HEADCOUNT!$E:$E,T_HEADCOUNT!$C:$C,"-  Chopeiro II",T_HEADCOUNT!$D:$D,"8/2026",T_HEADCOUNT!$B:$B,"CLT")</f>
        <v>0</v>
      </c>
      <c r="AE136" s="27">
        <f>SUMIFS(T_REAL!$D:$D,T_REAL!$E:$E,DRE!AE$7,T_REAL!$C:$C,DRE!$A136)+SUMIFS(Aut_Ajustes_Manuais!$G:$G,Aut_Ajustes_Manuais!$I:$I,DRE!AC$4,Aut_Ajustes_Manuais!$F:$F,"  -  Chopeiro II")</f>
        <v>0</v>
      </c>
      <c r="AF136" s="237"/>
      <c r="AG136" s="26">
        <f>-SUMIFS(T_HEADCOUNT!$E:$E,T_HEADCOUNT!$C:$C,"-  Chopeiro II",T_HEADCOUNT!$D:$D,"9/2026",T_HEADCOUNT!$B:$B,"CLT")</f>
        <v>0</v>
      </c>
      <c r="AH136" s="27">
        <f>SUMIFS(T_REAL!$D:$D,T_REAL!$E:$E,DRE!AH$7,T_REAL!$C:$C,DRE!$A136)+SUMIFS(Aut_Ajustes_Manuais!$G:$G,Aut_Ajustes_Manuais!$I:$I,DRE!AF$4,Aut_Ajustes_Manuais!$F:$F,"  -  Chopeiro II")</f>
        <v>0</v>
      </c>
      <c r="AI136" s="237"/>
      <c r="AJ136" s="26">
        <f>-SUMIFS(T_HEADCOUNT!$E:$E,T_HEADCOUNT!$C:$C,"-  Chopeiro II",T_HEADCOUNT!$D:$D,"10/2026",T_HEADCOUNT!$B:$B,"CLT")</f>
        <v>0</v>
      </c>
      <c r="AK136" s="27">
        <f>SUMIFS(T_REAL!$D:$D,T_REAL!$E:$E,DRE!AK$7,T_REAL!$C:$C,DRE!$A136)+SUMIFS(Aut_Ajustes_Manuais!$G:$G,Aut_Ajustes_Manuais!$I:$I,DRE!AI$4,Aut_Ajustes_Manuais!$F:$F,"  -  Chopeiro II")</f>
        <v>0</v>
      </c>
      <c r="AL136" s="237"/>
      <c r="AM136" s="26">
        <f>-SUMIFS(T_HEADCOUNT!$E:$E,T_HEADCOUNT!$C:$C,"-  Chopeiro II",T_HEADCOUNT!$D:$D,"11/2026",T_HEADCOUNT!$B:$B,"CLT")</f>
        <v>0</v>
      </c>
      <c r="AN136" s="27">
        <f>SUMIFS(T_REAL!$D:$D,T_REAL!$E:$E,DRE!AN$7,T_REAL!$C:$C,DRE!$A136)+SUMIFS(Aut_Ajustes_Manuais!$G:$G,Aut_Ajustes_Manuais!$I:$I,DRE!AL$4,Aut_Ajustes_Manuais!$F:$F,"  -  Chopeiro II")</f>
        <v>0</v>
      </c>
      <c r="AO136" s="237"/>
      <c r="AP136" s="26">
        <f>-SUMIFS(T_HEADCOUNT!$E:$E,T_HEADCOUNT!$C:$C,"-  Chopeiro II",T_HEADCOUNT!$D:$D,"12/2026",T_HEADCOUNT!$B:$B,"CLT")</f>
        <v>0</v>
      </c>
      <c r="AQ136" s="27">
        <f>SUMIFS(T_REAL!$D:$D,T_REAL!$E:$E,DRE!AQ$7,T_REAL!$C:$C,DRE!$A136)+SUMIFS(Aut_Ajustes_Manuais!$G:$G,Aut_Ajustes_Manuais!$I:$I,DRE!AO$4,Aut_Ajustes_Manuais!$F:$F,"  -  Chopeiro II")</f>
        <v>0</v>
      </c>
      <c r="AR136" s="237">
        <f t="shared" ca="1" si="120"/>
        <v>0</v>
      </c>
      <c r="AS136" s="26">
        <f t="shared" ca="1" si="121"/>
        <v>0</v>
      </c>
      <c r="AT136" s="27">
        <f t="shared" ca="1" si="122"/>
        <v>0</v>
      </c>
      <c r="AU136" s="237"/>
      <c r="AV136" s="26"/>
      <c r="AW136" s="27"/>
      <c r="AX136" s="237"/>
      <c r="AY136" s="26">
        <v>0</v>
      </c>
      <c r="AZ136" s="27"/>
      <c r="BA136" s="237"/>
      <c r="BB136" s="26">
        <v>0</v>
      </c>
      <c r="BC136" s="27"/>
      <c r="BD136" s="237"/>
      <c r="BE136" s="26">
        <v>0</v>
      </c>
      <c r="BF136" s="27"/>
      <c r="BG136" s="237"/>
      <c r="BH136" s="26">
        <v>0</v>
      </c>
      <c r="BI136" s="27"/>
      <c r="BJ136" s="454"/>
    </row>
    <row r="137" spans="1:62" s="28" customFormat="1" outlineLevel="1" x14ac:dyDescent="0.3">
      <c r="A137" s="93" t="s">
        <v>159</v>
      </c>
      <c r="B137" s="2"/>
      <c r="C137" s="23"/>
      <c r="D137" s="53" t="s">
        <v>143</v>
      </c>
      <c r="E137" s="85"/>
      <c r="F137" s="54"/>
      <c r="G137" s="32"/>
      <c r="H137" s="237"/>
      <c r="I137" s="26">
        <f>-SUMIFS(T_HEADCOUNT!$E:$E,T_HEADCOUNT!$C:$C,"-  Chopeiro I",T_HEADCOUNT!$D:$D,"1/2026",T_HEADCOUNT!$B:$B,"CLT")</f>
        <v>0</v>
      </c>
      <c r="J137" s="27">
        <f>SUMIFS(T_REAL!$D:$D,T_REAL!$E:$E,DRE!J$7,T_REAL!$C:$C,DRE!$A137)+SUMIFS(Aut_Ajustes_Manuais!$G:$G,Aut_Ajustes_Manuais!$I:$I,DRE!H$4,Aut_Ajustes_Manuais!$F:$F,"  -  Chopeiro I")</f>
        <v>0</v>
      </c>
      <c r="K137" s="237"/>
      <c r="L137" s="26">
        <f>-SUMIFS(T_HEADCOUNT!$E:$E,T_HEADCOUNT!$C:$C,"-  Chopeiro I",T_HEADCOUNT!$D:$D,"2/2026",T_HEADCOUNT!$B:$B,"CLT")</f>
        <v>0</v>
      </c>
      <c r="M137" s="27">
        <f>SUMIFS(T_REAL!$D:$D,T_REAL!$E:$E,DRE!M$7,T_REAL!$C:$C,DRE!$A137)+SUMIFS(Aut_Ajustes_Manuais!$G:$G,Aut_Ajustes_Manuais!$I:$I,DRE!K$4,Aut_Ajustes_Manuais!$F:$F,"  -  Chopeiro I")</f>
        <v>0</v>
      </c>
      <c r="N137" s="237"/>
      <c r="O137" s="26">
        <f>-SUMIFS(T_HEADCOUNT!$E:$E,T_HEADCOUNT!$C:$C,"-  Chopeiro I",T_HEADCOUNT!$D:$D,"3/2026",T_HEADCOUNT!$B:$B,"CLT")</f>
        <v>0</v>
      </c>
      <c r="P137" s="27">
        <f>SUMIFS(T_REAL!$D:$D,T_REAL!$E:$E,DRE!P$7,T_REAL!$C:$C,DRE!$A137)+SUMIFS(Aut_Ajustes_Manuais!$G:$G,Aut_Ajustes_Manuais!$I:$I,DRE!N$4,Aut_Ajustes_Manuais!$F:$F,"  -  Chopeiro I")</f>
        <v>0</v>
      </c>
      <c r="Q137" s="237"/>
      <c r="R137" s="26">
        <f>-SUMIFS(T_HEADCOUNT!$E:$E,T_HEADCOUNT!$C:$C,"-  Chopeiro I",T_HEADCOUNT!$D:$D,"4/2026",T_HEADCOUNT!$B:$B,"CLT")</f>
        <v>0</v>
      </c>
      <c r="S137" s="27">
        <f>SUMIFS(T_REAL!$D:$D,T_REAL!$E:$E,DRE!S$7,T_REAL!$C:$C,DRE!$A137)+SUMIFS(Aut_Ajustes_Manuais!$G:$G,Aut_Ajustes_Manuais!$I:$I,DRE!Q$4,Aut_Ajustes_Manuais!$F:$F,"  -  Chopeiro I")</f>
        <v>0</v>
      </c>
      <c r="T137" s="237"/>
      <c r="U137" s="26">
        <f>-SUMIFS(T_HEADCOUNT!$E:$E,T_HEADCOUNT!$C:$C,"-  Chopeiro I",T_HEADCOUNT!$D:$D,"5/2026",T_HEADCOUNT!$B:$B,"CLT")</f>
        <v>0</v>
      </c>
      <c r="V137" s="27">
        <f>SUMIFS(T_REAL!$D:$D,T_REAL!$E:$E,DRE!V$7,T_REAL!$C:$C,DRE!$A137)+SUMIFS(Aut_Ajustes_Manuais!$G:$G,Aut_Ajustes_Manuais!$I:$I,DRE!T$4,Aut_Ajustes_Manuais!$F:$F,"  -  Chopeiro I")</f>
        <v>0</v>
      </c>
      <c r="W137" s="237"/>
      <c r="X137" s="26">
        <f>-SUMIFS(T_HEADCOUNT!$E:$E,T_HEADCOUNT!$C:$C,"-  Chopeiro I",T_HEADCOUNT!$D:$D,"6/2026",T_HEADCOUNT!$B:$B,"CLT")</f>
        <v>0</v>
      </c>
      <c r="Y137" s="27">
        <f>SUMIFS(T_REAL!$D:$D,T_REAL!$E:$E,DRE!Y$7,T_REAL!$C:$C,DRE!$A137)+SUMIFS(Aut_Ajustes_Manuais!$G:$G,Aut_Ajustes_Manuais!$I:$I,DRE!W$4,Aut_Ajustes_Manuais!$F:$F,"  -  Chopeiro I")</f>
        <v>0</v>
      </c>
      <c r="Z137" s="237"/>
      <c r="AA137" s="26">
        <f>-SUMIFS(T_HEADCOUNT!$E:$E,T_HEADCOUNT!$C:$C,"-  Chopeiro I",T_HEADCOUNT!$D:$D,"7/2026",T_HEADCOUNT!$B:$B,"CLT")</f>
        <v>0</v>
      </c>
      <c r="AB137" s="27">
        <f>SUMIFS(T_REAL!$D:$D,T_REAL!$E:$E,DRE!AB$7,T_REAL!$C:$C,DRE!$A137)+SUMIFS(Aut_Ajustes_Manuais!$G:$G,Aut_Ajustes_Manuais!$I:$I,DRE!Z$4,Aut_Ajustes_Manuais!$F:$F,"  -  Chopeiro I")</f>
        <v>0</v>
      </c>
      <c r="AC137" s="237"/>
      <c r="AD137" s="26">
        <f>-SUMIFS(T_HEADCOUNT!$E:$E,T_HEADCOUNT!$C:$C,"-  Chopeiro I",T_HEADCOUNT!$D:$D,"8/2026",T_HEADCOUNT!$B:$B,"CLT")</f>
        <v>0</v>
      </c>
      <c r="AE137" s="27">
        <f>SUMIFS(T_REAL!$D:$D,T_REAL!$E:$E,DRE!AE$7,T_REAL!$C:$C,DRE!$A137)+SUMIFS(Aut_Ajustes_Manuais!$G:$G,Aut_Ajustes_Manuais!$I:$I,DRE!AC$4,Aut_Ajustes_Manuais!$F:$F,"  -  Chopeiro I")</f>
        <v>0</v>
      </c>
      <c r="AF137" s="237"/>
      <c r="AG137" s="26">
        <f>-SUMIFS(T_HEADCOUNT!$E:$E,T_HEADCOUNT!$C:$C,"-  Chopeiro I",T_HEADCOUNT!$D:$D,"9/2026",T_HEADCOUNT!$B:$B,"CLT")</f>
        <v>0</v>
      </c>
      <c r="AH137" s="27">
        <f>SUMIFS(T_REAL!$D:$D,T_REAL!$E:$E,DRE!AH$7,T_REAL!$C:$C,DRE!$A137)+SUMIFS(Aut_Ajustes_Manuais!$G:$G,Aut_Ajustes_Manuais!$I:$I,DRE!AF$4,Aut_Ajustes_Manuais!$F:$F,"  -  Chopeiro I")</f>
        <v>0</v>
      </c>
      <c r="AI137" s="237"/>
      <c r="AJ137" s="26">
        <f>-SUMIFS(T_HEADCOUNT!$E:$E,T_HEADCOUNT!$C:$C,"-  Chopeiro I",T_HEADCOUNT!$D:$D,"10/2026",T_HEADCOUNT!$B:$B,"CLT")</f>
        <v>0</v>
      </c>
      <c r="AK137" s="27">
        <f>SUMIFS(T_REAL!$D:$D,T_REAL!$E:$E,DRE!AK$7,T_REAL!$C:$C,DRE!$A137)+SUMIFS(Aut_Ajustes_Manuais!$G:$G,Aut_Ajustes_Manuais!$I:$I,DRE!AI$4,Aut_Ajustes_Manuais!$F:$F,"  -  Chopeiro I")</f>
        <v>0</v>
      </c>
      <c r="AL137" s="237"/>
      <c r="AM137" s="26">
        <f>-SUMIFS(T_HEADCOUNT!$E:$E,T_HEADCOUNT!$C:$C,"-  Chopeiro I",T_HEADCOUNT!$D:$D,"11/2026",T_HEADCOUNT!$B:$B,"CLT")</f>
        <v>0</v>
      </c>
      <c r="AN137" s="27">
        <f>SUMIFS(T_REAL!$D:$D,T_REAL!$E:$E,DRE!AN$7,T_REAL!$C:$C,DRE!$A137)+SUMIFS(Aut_Ajustes_Manuais!$G:$G,Aut_Ajustes_Manuais!$I:$I,DRE!AL$4,Aut_Ajustes_Manuais!$F:$F,"  -  Chopeiro I")</f>
        <v>0</v>
      </c>
      <c r="AO137" s="237"/>
      <c r="AP137" s="26">
        <f>-SUMIFS(T_HEADCOUNT!$E:$E,T_HEADCOUNT!$C:$C,"-  Chopeiro I",T_HEADCOUNT!$D:$D,"12/2026",T_HEADCOUNT!$B:$B,"CLT")</f>
        <v>0</v>
      </c>
      <c r="AQ137" s="27">
        <f>SUMIFS(T_REAL!$D:$D,T_REAL!$E:$E,DRE!AQ$7,T_REAL!$C:$C,DRE!$A137)+SUMIFS(Aut_Ajustes_Manuais!$G:$G,Aut_Ajustes_Manuais!$I:$I,DRE!AO$4,Aut_Ajustes_Manuais!$F:$F,"  -  Chopeiro I")</f>
        <v>0</v>
      </c>
      <c r="AR137" s="237">
        <f t="shared" ca="1" si="120"/>
        <v>0</v>
      </c>
      <c r="AS137" s="26">
        <f t="shared" ca="1" si="121"/>
        <v>0</v>
      </c>
      <c r="AT137" s="27">
        <f t="shared" ca="1" si="122"/>
        <v>0</v>
      </c>
      <c r="AU137" s="237"/>
      <c r="AV137" s="26"/>
      <c r="AW137" s="27"/>
      <c r="AX137" s="237"/>
      <c r="AY137" s="26">
        <v>0</v>
      </c>
      <c r="AZ137" s="27"/>
      <c r="BA137" s="237"/>
      <c r="BB137" s="26">
        <v>0</v>
      </c>
      <c r="BC137" s="27"/>
      <c r="BD137" s="237"/>
      <c r="BE137" s="26">
        <v>0</v>
      </c>
      <c r="BF137" s="27"/>
      <c r="BG137" s="237"/>
      <c r="BH137" s="26">
        <v>0</v>
      </c>
      <c r="BI137" s="27"/>
      <c r="BJ137" s="454"/>
    </row>
    <row r="138" spans="1:62" s="28" customFormat="1" outlineLevel="1" x14ac:dyDescent="0.3">
      <c r="A138" s="93" t="s">
        <v>160</v>
      </c>
      <c r="B138" s="2"/>
      <c r="C138" s="23"/>
      <c r="D138" s="53" t="s">
        <v>143</v>
      </c>
      <c r="E138" s="85"/>
      <c r="F138" s="54"/>
      <c r="G138" s="32"/>
      <c r="H138" s="237"/>
      <c r="I138" s="26">
        <f>-SUMIFS(T_HEADCOUNT!$E:$E,T_HEADCOUNT!$C:$C,"-  Sub Chefe de Cozinha",T_HEADCOUNT!$D:$D,"1/2026",T_HEADCOUNT!$B:$B,"CLT")</f>
        <v>0</v>
      </c>
      <c r="J138" s="27">
        <f>SUMIFS(T_REAL!$D:$D,T_REAL!$E:$E,DRE!J$7,T_REAL!$C:$C,DRE!$A138)+SUMIFS(Aut_Ajustes_Manuais!$G:$G,Aut_Ajustes_Manuais!$I:$I,DRE!H$4,Aut_Ajustes_Manuais!$F:$F,"  -  Sub Chefe de Cozinha")</f>
        <v>0</v>
      </c>
      <c r="K138" s="237"/>
      <c r="L138" s="26">
        <f>-SUMIFS(T_HEADCOUNT!$E:$E,T_HEADCOUNT!$C:$C,"-  Sub Chefe de Cozinha",T_HEADCOUNT!$D:$D,"2/2026",T_HEADCOUNT!$B:$B,"CLT")</f>
        <v>0</v>
      </c>
      <c r="M138" s="27">
        <f>SUMIFS(T_REAL!$D:$D,T_REAL!$E:$E,DRE!M$7,T_REAL!$C:$C,DRE!$A138)+SUMIFS(Aut_Ajustes_Manuais!$G:$G,Aut_Ajustes_Manuais!$I:$I,DRE!K$4,Aut_Ajustes_Manuais!$F:$F,"  -  Sub Chefe de Cozinha")</f>
        <v>0</v>
      </c>
      <c r="N138" s="237"/>
      <c r="O138" s="26">
        <f>-SUMIFS(T_HEADCOUNT!$E:$E,T_HEADCOUNT!$C:$C,"-  Sub Chefe de Cozinha",T_HEADCOUNT!$D:$D,"3/2026",T_HEADCOUNT!$B:$B,"CLT")</f>
        <v>0</v>
      </c>
      <c r="P138" s="27">
        <f>SUMIFS(T_REAL!$D:$D,T_REAL!$E:$E,DRE!P$7,T_REAL!$C:$C,DRE!$A138)+SUMIFS(Aut_Ajustes_Manuais!$G:$G,Aut_Ajustes_Manuais!$I:$I,DRE!N$4,Aut_Ajustes_Manuais!$F:$F,"  -  Sub Chefe de Cozinha")</f>
        <v>0</v>
      </c>
      <c r="Q138" s="237"/>
      <c r="R138" s="26">
        <f>-SUMIFS(T_HEADCOUNT!$E:$E,T_HEADCOUNT!$C:$C,"-  Sub Chefe de Cozinha",T_HEADCOUNT!$D:$D,"4/2026",T_HEADCOUNT!$B:$B,"CLT")</f>
        <v>0</v>
      </c>
      <c r="S138" s="27">
        <f>SUMIFS(T_REAL!$D:$D,T_REAL!$E:$E,DRE!S$7,T_REAL!$C:$C,DRE!$A138)+SUMIFS(Aut_Ajustes_Manuais!$G:$G,Aut_Ajustes_Manuais!$I:$I,DRE!Q$4,Aut_Ajustes_Manuais!$F:$F,"  -  Sub Chefe de Cozinha")</f>
        <v>0</v>
      </c>
      <c r="T138" s="237"/>
      <c r="U138" s="26">
        <f>-SUMIFS(T_HEADCOUNT!$E:$E,T_HEADCOUNT!$C:$C,"-  Sub Chefe de Cozinha",T_HEADCOUNT!$D:$D,"5/2026",T_HEADCOUNT!$B:$B,"CLT")</f>
        <v>0</v>
      </c>
      <c r="V138" s="27">
        <f>SUMIFS(T_REAL!$D:$D,T_REAL!$E:$E,DRE!V$7,T_REAL!$C:$C,DRE!$A138)+SUMIFS(Aut_Ajustes_Manuais!$G:$G,Aut_Ajustes_Manuais!$I:$I,DRE!T$4,Aut_Ajustes_Manuais!$F:$F,"  -  Sub Chefe de Cozinha")</f>
        <v>0</v>
      </c>
      <c r="W138" s="237"/>
      <c r="X138" s="26">
        <f>-SUMIFS(T_HEADCOUNT!$E:$E,T_HEADCOUNT!$C:$C,"-  Sub Chefe de Cozinha",T_HEADCOUNT!$D:$D,"6/2026",T_HEADCOUNT!$B:$B,"CLT")</f>
        <v>0</v>
      </c>
      <c r="Y138" s="27">
        <f>SUMIFS(T_REAL!$D:$D,T_REAL!$E:$E,DRE!Y$7,T_REAL!$C:$C,DRE!$A138)+SUMIFS(Aut_Ajustes_Manuais!$G:$G,Aut_Ajustes_Manuais!$I:$I,DRE!W$4,Aut_Ajustes_Manuais!$F:$F,"  -  Sub Chefe de Cozinha")</f>
        <v>0</v>
      </c>
      <c r="Z138" s="237"/>
      <c r="AA138" s="26">
        <f>-SUMIFS(T_HEADCOUNT!$E:$E,T_HEADCOUNT!$C:$C,"-  Sub Chefe de Cozinha",T_HEADCOUNT!$D:$D,"7/2026",T_HEADCOUNT!$B:$B,"CLT")</f>
        <v>0</v>
      </c>
      <c r="AB138" s="27">
        <f>SUMIFS(T_REAL!$D:$D,T_REAL!$E:$E,DRE!AB$7,T_REAL!$C:$C,DRE!$A138)+SUMIFS(Aut_Ajustes_Manuais!$G:$G,Aut_Ajustes_Manuais!$I:$I,DRE!Z$4,Aut_Ajustes_Manuais!$F:$F,"  -  Sub Chefe de Cozinha")</f>
        <v>0</v>
      </c>
      <c r="AC138" s="237"/>
      <c r="AD138" s="26">
        <f>-SUMIFS(T_HEADCOUNT!$E:$E,T_HEADCOUNT!$C:$C,"-  Sub Chefe de Cozinha",T_HEADCOUNT!$D:$D,"8/2026",T_HEADCOUNT!$B:$B,"CLT")</f>
        <v>0</v>
      </c>
      <c r="AE138" s="27">
        <f>SUMIFS(T_REAL!$D:$D,T_REAL!$E:$E,DRE!AE$7,T_REAL!$C:$C,DRE!$A138)+SUMIFS(Aut_Ajustes_Manuais!$G:$G,Aut_Ajustes_Manuais!$I:$I,DRE!AC$4,Aut_Ajustes_Manuais!$F:$F,"  -  Sub Chefe de Cozinha")</f>
        <v>0</v>
      </c>
      <c r="AF138" s="237"/>
      <c r="AG138" s="26">
        <f>-SUMIFS(T_HEADCOUNT!$E:$E,T_HEADCOUNT!$C:$C,"-  Sub Chefe de Cozinha",T_HEADCOUNT!$D:$D,"9/2026",T_HEADCOUNT!$B:$B,"CLT")</f>
        <v>0</v>
      </c>
      <c r="AH138" s="27">
        <f>SUMIFS(T_REAL!$D:$D,T_REAL!$E:$E,DRE!AH$7,T_REAL!$C:$C,DRE!$A138)+SUMIFS(Aut_Ajustes_Manuais!$G:$G,Aut_Ajustes_Manuais!$I:$I,DRE!AF$4,Aut_Ajustes_Manuais!$F:$F,"  -  Sub Chefe de Cozinha")</f>
        <v>0</v>
      </c>
      <c r="AI138" s="237"/>
      <c r="AJ138" s="26">
        <f>-SUMIFS(T_HEADCOUNT!$E:$E,T_HEADCOUNT!$C:$C,"-  Sub Chefe de Cozinha",T_HEADCOUNT!$D:$D,"10/2026",T_HEADCOUNT!$B:$B,"CLT")</f>
        <v>0</v>
      </c>
      <c r="AK138" s="27">
        <f>SUMIFS(T_REAL!$D:$D,T_REAL!$E:$E,DRE!AK$7,T_REAL!$C:$C,DRE!$A138)+SUMIFS(Aut_Ajustes_Manuais!$G:$G,Aut_Ajustes_Manuais!$I:$I,DRE!AI$4,Aut_Ajustes_Manuais!$F:$F,"  -  Sub Chefe de Cozinha")</f>
        <v>0</v>
      </c>
      <c r="AL138" s="237"/>
      <c r="AM138" s="26">
        <f>-SUMIFS(T_HEADCOUNT!$E:$E,T_HEADCOUNT!$C:$C,"-  Sub Chefe de Cozinha",T_HEADCOUNT!$D:$D,"11/2026",T_HEADCOUNT!$B:$B,"CLT")</f>
        <v>0</v>
      </c>
      <c r="AN138" s="27">
        <f>SUMIFS(T_REAL!$D:$D,T_REAL!$E:$E,DRE!AN$7,T_REAL!$C:$C,DRE!$A138)+SUMIFS(Aut_Ajustes_Manuais!$G:$G,Aut_Ajustes_Manuais!$I:$I,DRE!AL$4,Aut_Ajustes_Manuais!$F:$F,"  -  Sub Chefe de Cozinha")</f>
        <v>0</v>
      </c>
      <c r="AO138" s="237"/>
      <c r="AP138" s="26">
        <f>-SUMIFS(T_HEADCOUNT!$E:$E,T_HEADCOUNT!$C:$C,"-  Sub Chefe de Cozinha",T_HEADCOUNT!$D:$D,"12/2026",T_HEADCOUNT!$B:$B,"CLT")</f>
        <v>0</v>
      </c>
      <c r="AQ138" s="27">
        <f>SUMIFS(T_REAL!$D:$D,T_REAL!$E:$E,DRE!AQ$7,T_REAL!$C:$C,DRE!$A138)+SUMIFS(Aut_Ajustes_Manuais!$G:$G,Aut_Ajustes_Manuais!$I:$I,DRE!AO$4,Aut_Ajustes_Manuais!$F:$F,"  -  Sub Chefe de Cozinha")</f>
        <v>0</v>
      </c>
      <c r="AR138" s="237">
        <f t="shared" ca="1" si="120"/>
        <v>0</v>
      </c>
      <c r="AS138" s="26">
        <f t="shared" ca="1" si="121"/>
        <v>0</v>
      </c>
      <c r="AT138" s="27">
        <f t="shared" ca="1" si="122"/>
        <v>0</v>
      </c>
      <c r="AU138" s="237"/>
      <c r="AV138" s="26"/>
      <c r="AW138" s="27"/>
      <c r="AX138" s="237"/>
      <c r="AY138" s="26">
        <v>0</v>
      </c>
      <c r="AZ138" s="27"/>
      <c r="BA138" s="237"/>
      <c r="BB138" s="26">
        <v>0</v>
      </c>
      <c r="BC138" s="27"/>
      <c r="BD138" s="237"/>
      <c r="BE138" s="26">
        <v>0</v>
      </c>
      <c r="BF138" s="27"/>
      <c r="BG138" s="237"/>
      <c r="BH138" s="26">
        <v>0</v>
      </c>
      <c r="BI138" s="27"/>
      <c r="BJ138" s="454"/>
    </row>
    <row r="139" spans="1:62" s="28" customFormat="1" outlineLevel="1" x14ac:dyDescent="0.3">
      <c r="A139" s="93" t="s">
        <v>161</v>
      </c>
      <c r="B139" s="2"/>
      <c r="C139" s="23"/>
      <c r="D139" s="53" t="s">
        <v>143</v>
      </c>
      <c r="E139" s="85"/>
      <c r="F139" s="54"/>
      <c r="G139" s="32"/>
      <c r="H139" s="237"/>
      <c r="I139" s="26">
        <f>-SUMIFS(T_HEADCOUNT!$E:$E,T_HEADCOUNT!$C:$C,"-  Cozinheiro Líder",T_HEADCOUNT!$D:$D,"1/2026",T_HEADCOUNT!$B:$B,"CLT")</f>
        <v>0</v>
      </c>
      <c r="J139" s="27">
        <f>SUMIFS(T_REAL!$D:$D,T_REAL!$E:$E,DRE!J$7,T_REAL!$C:$C,DRE!$A139)+SUMIFS(Aut_Ajustes_Manuais!$G:$G,Aut_Ajustes_Manuais!$I:$I,DRE!H$4,Aut_Ajustes_Manuais!$F:$F,"  -  Cozinheiro Líder")</f>
        <v>0</v>
      </c>
      <c r="K139" s="237"/>
      <c r="L139" s="26">
        <f>-SUMIFS(T_HEADCOUNT!$E:$E,T_HEADCOUNT!$C:$C,"-  Cozinheiro Líder",T_HEADCOUNT!$D:$D,"2/2026",T_HEADCOUNT!$B:$B,"CLT")</f>
        <v>0</v>
      </c>
      <c r="M139" s="27">
        <f>SUMIFS(T_REAL!$D:$D,T_REAL!$E:$E,DRE!M$7,T_REAL!$C:$C,DRE!$A139)+SUMIFS(Aut_Ajustes_Manuais!$G:$G,Aut_Ajustes_Manuais!$I:$I,DRE!K$4,Aut_Ajustes_Manuais!$F:$F,"  -  Cozinheiro Líder")</f>
        <v>0</v>
      </c>
      <c r="N139" s="237"/>
      <c r="O139" s="26">
        <f>-SUMIFS(T_HEADCOUNT!$E:$E,T_HEADCOUNT!$C:$C,"-  Cozinheiro Líder",T_HEADCOUNT!$D:$D,"3/2026",T_HEADCOUNT!$B:$B,"CLT")</f>
        <v>0</v>
      </c>
      <c r="P139" s="27">
        <f>SUMIFS(T_REAL!$D:$D,T_REAL!$E:$E,DRE!P$7,T_REAL!$C:$C,DRE!$A139)+SUMIFS(Aut_Ajustes_Manuais!$G:$G,Aut_Ajustes_Manuais!$I:$I,DRE!N$4,Aut_Ajustes_Manuais!$F:$F,"  -  Cozinheiro Líder")</f>
        <v>0</v>
      </c>
      <c r="Q139" s="237"/>
      <c r="R139" s="26">
        <f>-SUMIFS(T_HEADCOUNT!$E:$E,T_HEADCOUNT!$C:$C,"-  Cozinheiro Líder",T_HEADCOUNT!$D:$D,"4/2026",T_HEADCOUNT!$B:$B,"CLT")</f>
        <v>0</v>
      </c>
      <c r="S139" s="27">
        <f>SUMIFS(T_REAL!$D:$D,T_REAL!$E:$E,DRE!S$7,T_REAL!$C:$C,DRE!$A139)+SUMIFS(Aut_Ajustes_Manuais!$G:$G,Aut_Ajustes_Manuais!$I:$I,DRE!Q$4,Aut_Ajustes_Manuais!$F:$F,"  -  Cozinheiro Líder")</f>
        <v>0</v>
      </c>
      <c r="T139" s="237"/>
      <c r="U139" s="26">
        <f>-SUMIFS(T_HEADCOUNT!$E:$E,T_HEADCOUNT!$C:$C,"-  Cozinheiro Líder",T_HEADCOUNT!$D:$D,"5/2026",T_HEADCOUNT!$B:$B,"CLT")</f>
        <v>0</v>
      </c>
      <c r="V139" s="27">
        <f>SUMIFS(T_REAL!$D:$D,T_REAL!$E:$E,DRE!V$7,T_REAL!$C:$C,DRE!$A139)+SUMIFS(Aut_Ajustes_Manuais!$G:$G,Aut_Ajustes_Manuais!$I:$I,DRE!T$4,Aut_Ajustes_Manuais!$F:$F,"  -  Cozinheiro Líder")</f>
        <v>0</v>
      </c>
      <c r="W139" s="237"/>
      <c r="X139" s="26">
        <f>-SUMIFS(T_HEADCOUNT!$E:$E,T_HEADCOUNT!$C:$C,"-  Cozinheiro Líder",T_HEADCOUNT!$D:$D,"6/2026",T_HEADCOUNT!$B:$B,"CLT")</f>
        <v>0</v>
      </c>
      <c r="Y139" s="27">
        <f>SUMIFS(T_REAL!$D:$D,T_REAL!$E:$E,DRE!Y$7,T_REAL!$C:$C,DRE!$A139)+SUMIFS(Aut_Ajustes_Manuais!$G:$G,Aut_Ajustes_Manuais!$I:$I,DRE!W$4,Aut_Ajustes_Manuais!$F:$F,"  -  Cozinheiro Líder")</f>
        <v>0</v>
      </c>
      <c r="Z139" s="237"/>
      <c r="AA139" s="26">
        <f>-SUMIFS(T_HEADCOUNT!$E:$E,T_HEADCOUNT!$C:$C,"-  Cozinheiro Líder",T_HEADCOUNT!$D:$D,"7/2026",T_HEADCOUNT!$B:$B,"CLT")</f>
        <v>0</v>
      </c>
      <c r="AB139" s="27">
        <f>SUMIFS(T_REAL!$D:$D,T_REAL!$E:$E,DRE!AB$7,T_REAL!$C:$C,DRE!$A139)+SUMIFS(Aut_Ajustes_Manuais!$G:$G,Aut_Ajustes_Manuais!$I:$I,DRE!Z$4,Aut_Ajustes_Manuais!$F:$F,"  -  Cozinheiro Líder")</f>
        <v>0</v>
      </c>
      <c r="AC139" s="237"/>
      <c r="AD139" s="26">
        <f>-SUMIFS(T_HEADCOUNT!$E:$E,T_HEADCOUNT!$C:$C,"-  Cozinheiro Líder",T_HEADCOUNT!$D:$D,"8/2026",T_HEADCOUNT!$B:$B,"CLT")</f>
        <v>0</v>
      </c>
      <c r="AE139" s="27">
        <f>SUMIFS(T_REAL!$D:$D,T_REAL!$E:$E,DRE!AE$7,T_REAL!$C:$C,DRE!$A139)+SUMIFS(Aut_Ajustes_Manuais!$G:$G,Aut_Ajustes_Manuais!$I:$I,DRE!AC$4,Aut_Ajustes_Manuais!$F:$F,"  -  Cozinheiro Líder")</f>
        <v>0</v>
      </c>
      <c r="AF139" s="237"/>
      <c r="AG139" s="26">
        <f>-SUMIFS(T_HEADCOUNT!$E:$E,T_HEADCOUNT!$C:$C,"-  Cozinheiro Líder",T_HEADCOUNT!$D:$D,"9/2026",T_HEADCOUNT!$B:$B,"CLT")</f>
        <v>0</v>
      </c>
      <c r="AH139" s="27">
        <f>SUMIFS(T_REAL!$D:$D,T_REAL!$E:$E,DRE!AH$7,T_REAL!$C:$C,DRE!$A139)+SUMIFS(Aut_Ajustes_Manuais!$G:$G,Aut_Ajustes_Manuais!$I:$I,DRE!AF$4,Aut_Ajustes_Manuais!$F:$F,"  -  Cozinheiro Líder")</f>
        <v>0</v>
      </c>
      <c r="AI139" s="237"/>
      <c r="AJ139" s="26">
        <f>-SUMIFS(T_HEADCOUNT!$E:$E,T_HEADCOUNT!$C:$C,"-  Cozinheiro Líder",T_HEADCOUNT!$D:$D,"10/2026",T_HEADCOUNT!$B:$B,"CLT")</f>
        <v>0</v>
      </c>
      <c r="AK139" s="27">
        <f>SUMIFS(T_REAL!$D:$D,T_REAL!$E:$E,DRE!AK$7,T_REAL!$C:$C,DRE!$A139)+SUMIFS(Aut_Ajustes_Manuais!$G:$G,Aut_Ajustes_Manuais!$I:$I,DRE!AI$4,Aut_Ajustes_Manuais!$F:$F,"  -  Cozinheiro Líder")</f>
        <v>0</v>
      </c>
      <c r="AL139" s="237"/>
      <c r="AM139" s="26">
        <f>-SUMIFS(T_HEADCOUNT!$E:$E,T_HEADCOUNT!$C:$C,"-  Cozinheiro Líder",T_HEADCOUNT!$D:$D,"11/2026",T_HEADCOUNT!$B:$B,"CLT")</f>
        <v>0</v>
      </c>
      <c r="AN139" s="27">
        <f>SUMIFS(T_REAL!$D:$D,T_REAL!$E:$E,DRE!AN$7,T_REAL!$C:$C,DRE!$A139)+SUMIFS(Aut_Ajustes_Manuais!$G:$G,Aut_Ajustes_Manuais!$I:$I,DRE!AL$4,Aut_Ajustes_Manuais!$F:$F,"  -  Cozinheiro Líder")</f>
        <v>0</v>
      </c>
      <c r="AO139" s="237"/>
      <c r="AP139" s="26">
        <f>-SUMIFS(T_HEADCOUNT!$E:$E,T_HEADCOUNT!$C:$C,"-  Cozinheiro Líder",T_HEADCOUNT!$D:$D,"12/2026",T_HEADCOUNT!$B:$B,"CLT")</f>
        <v>0</v>
      </c>
      <c r="AQ139" s="27">
        <f>SUMIFS(T_REAL!$D:$D,T_REAL!$E:$E,DRE!AQ$7,T_REAL!$C:$C,DRE!$A139)+SUMIFS(Aut_Ajustes_Manuais!$G:$G,Aut_Ajustes_Manuais!$I:$I,DRE!AO$4,Aut_Ajustes_Manuais!$F:$F,"  -  Cozinheiro Líder")</f>
        <v>0</v>
      </c>
      <c r="AR139" s="237">
        <f t="shared" ref="AR139:AR170" ca="1" si="139">SUMIFS($H139:$AO139,$H$5:$AO$5,"&lt;"&amp;MONTH(TODAY()),$H$6:$AO$6,"REAL 25")</f>
        <v>0</v>
      </c>
      <c r="AS139" s="26">
        <f t="shared" ref="AS139:AS170" ca="1" si="140">SUMIFS($I139:$AP139,$I$5:$AP$5,"&lt;"&amp;MONTH(TODAY()),$I$6:$AP$6,"ORÇADO ")</f>
        <v>0</v>
      </c>
      <c r="AT139" s="27">
        <f t="shared" ref="AT139:AT170" ca="1" si="141">SUMIFS($J139:$AQ139,$J$5:$AQ$5,"&lt;"&amp;MONTH(TODAY()),$J$6:$AQ$6,"REAL 26")</f>
        <v>0</v>
      </c>
      <c r="AU139" s="237"/>
      <c r="AV139" s="26"/>
      <c r="AW139" s="27"/>
      <c r="AX139" s="237"/>
      <c r="AY139" s="26">
        <v>0</v>
      </c>
      <c r="AZ139" s="27"/>
      <c r="BA139" s="237"/>
      <c r="BB139" s="26">
        <v>0</v>
      </c>
      <c r="BC139" s="27"/>
      <c r="BD139" s="237"/>
      <c r="BE139" s="26">
        <v>0</v>
      </c>
      <c r="BF139" s="27"/>
      <c r="BG139" s="237"/>
      <c r="BH139" s="26">
        <v>0</v>
      </c>
      <c r="BI139" s="27"/>
      <c r="BJ139" s="454"/>
    </row>
    <row r="140" spans="1:62" s="28" customFormat="1" outlineLevel="1" x14ac:dyDescent="0.3">
      <c r="A140" s="93" t="s">
        <v>162</v>
      </c>
      <c r="B140" s="2"/>
      <c r="C140" s="23"/>
      <c r="D140" s="53" t="s">
        <v>143</v>
      </c>
      <c r="E140" s="85"/>
      <c r="F140" s="54"/>
      <c r="G140" s="32"/>
      <c r="H140" s="237"/>
      <c r="I140" s="26">
        <f>-SUMIFS(T_HEADCOUNT!$E:$E,T_HEADCOUNT!$C:$C,"-  Cozinheiro III",T_HEADCOUNT!$D:$D,"1/2026",T_HEADCOUNT!$B:$B,"CLT")</f>
        <v>0</v>
      </c>
      <c r="J140" s="27">
        <f>SUMIFS(T_REAL!$D:$D,T_REAL!$E:$E,DRE!J$7,T_REAL!$C:$C,DRE!$A140)+SUMIFS(Aut_Ajustes_Manuais!$G:$G,Aut_Ajustes_Manuais!$I:$I,DRE!H$4,Aut_Ajustes_Manuais!$F:$F,"  -  Cozinheiro III")</f>
        <v>0</v>
      </c>
      <c r="K140" s="237"/>
      <c r="L140" s="26">
        <f>-SUMIFS(T_HEADCOUNT!$E:$E,T_HEADCOUNT!$C:$C,"-  Cozinheiro III",T_HEADCOUNT!$D:$D,"2/2026",T_HEADCOUNT!$B:$B,"CLT")</f>
        <v>0</v>
      </c>
      <c r="M140" s="27">
        <f>SUMIFS(T_REAL!$D:$D,T_REAL!$E:$E,DRE!M$7,T_REAL!$C:$C,DRE!$A140)+SUMIFS(Aut_Ajustes_Manuais!$G:$G,Aut_Ajustes_Manuais!$I:$I,DRE!K$4,Aut_Ajustes_Manuais!$F:$F,"  -  Cozinheiro III")</f>
        <v>0</v>
      </c>
      <c r="N140" s="237"/>
      <c r="O140" s="26">
        <f>-SUMIFS(T_HEADCOUNT!$E:$E,T_HEADCOUNT!$C:$C,"-  Cozinheiro III",T_HEADCOUNT!$D:$D,"3/2026",T_HEADCOUNT!$B:$B,"CLT")</f>
        <v>0</v>
      </c>
      <c r="P140" s="27">
        <f>SUMIFS(T_REAL!$D:$D,T_REAL!$E:$E,DRE!P$7,T_REAL!$C:$C,DRE!$A140)+SUMIFS(Aut_Ajustes_Manuais!$G:$G,Aut_Ajustes_Manuais!$I:$I,DRE!N$4,Aut_Ajustes_Manuais!$F:$F,"  -  Cozinheiro III")</f>
        <v>0</v>
      </c>
      <c r="Q140" s="237"/>
      <c r="R140" s="26">
        <f>-SUMIFS(T_HEADCOUNT!$E:$E,T_HEADCOUNT!$C:$C,"-  Cozinheiro III",T_HEADCOUNT!$D:$D,"4/2026",T_HEADCOUNT!$B:$B,"CLT")</f>
        <v>0</v>
      </c>
      <c r="S140" s="27">
        <f>SUMIFS(T_REAL!$D:$D,T_REAL!$E:$E,DRE!S$7,T_REAL!$C:$C,DRE!$A140)+SUMIFS(Aut_Ajustes_Manuais!$G:$G,Aut_Ajustes_Manuais!$I:$I,DRE!Q$4,Aut_Ajustes_Manuais!$F:$F,"  -  Cozinheiro III")</f>
        <v>0</v>
      </c>
      <c r="T140" s="237"/>
      <c r="U140" s="26">
        <f>-SUMIFS(T_HEADCOUNT!$E:$E,T_HEADCOUNT!$C:$C,"-  Cozinheiro III",T_HEADCOUNT!$D:$D,"5/2026",T_HEADCOUNT!$B:$B,"CLT")</f>
        <v>0</v>
      </c>
      <c r="V140" s="27">
        <f>SUMIFS(T_REAL!$D:$D,T_REAL!$E:$E,DRE!V$7,T_REAL!$C:$C,DRE!$A140)+SUMIFS(Aut_Ajustes_Manuais!$G:$G,Aut_Ajustes_Manuais!$I:$I,DRE!T$4,Aut_Ajustes_Manuais!$F:$F,"  -  Cozinheiro III")</f>
        <v>0</v>
      </c>
      <c r="W140" s="237"/>
      <c r="X140" s="26">
        <f>-SUMIFS(T_HEADCOUNT!$E:$E,T_HEADCOUNT!$C:$C,"-  Cozinheiro III",T_HEADCOUNT!$D:$D,"6/2026",T_HEADCOUNT!$B:$B,"CLT")</f>
        <v>0</v>
      </c>
      <c r="Y140" s="27">
        <f>SUMIFS(T_REAL!$D:$D,T_REAL!$E:$E,DRE!Y$7,T_REAL!$C:$C,DRE!$A140)+SUMIFS(Aut_Ajustes_Manuais!$G:$G,Aut_Ajustes_Manuais!$I:$I,DRE!W$4,Aut_Ajustes_Manuais!$F:$F,"  -  Cozinheiro III")</f>
        <v>0</v>
      </c>
      <c r="Z140" s="237"/>
      <c r="AA140" s="26">
        <f>-SUMIFS(T_HEADCOUNT!$E:$E,T_HEADCOUNT!$C:$C,"-  Cozinheiro III",T_HEADCOUNT!$D:$D,"7/2026",T_HEADCOUNT!$B:$B,"CLT")</f>
        <v>0</v>
      </c>
      <c r="AB140" s="27">
        <f>SUMIFS(T_REAL!$D:$D,T_REAL!$E:$E,DRE!AB$7,T_REAL!$C:$C,DRE!$A140)+SUMIFS(Aut_Ajustes_Manuais!$G:$G,Aut_Ajustes_Manuais!$I:$I,DRE!Z$4,Aut_Ajustes_Manuais!$F:$F,"  -  Cozinheiro III")</f>
        <v>0</v>
      </c>
      <c r="AC140" s="237"/>
      <c r="AD140" s="26">
        <f>-SUMIFS(T_HEADCOUNT!$E:$E,T_HEADCOUNT!$C:$C,"-  Cozinheiro III",T_HEADCOUNT!$D:$D,"8/2026",T_HEADCOUNT!$B:$B,"CLT")</f>
        <v>0</v>
      </c>
      <c r="AE140" s="27">
        <f>SUMIFS(T_REAL!$D:$D,T_REAL!$E:$E,DRE!AE$7,T_REAL!$C:$C,DRE!$A140)+SUMIFS(Aut_Ajustes_Manuais!$G:$G,Aut_Ajustes_Manuais!$I:$I,DRE!AC$4,Aut_Ajustes_Manuais!$F:$F,"  -  Cozinheiro III")</f>
        <v>0</v>
      </c>
      <c r="AF140" s="237"/>
      <c r="AG140" s="26">
        <f>-SUMIFS(T_HEADCOUNT!$E:$E,T_HEADCOUNT!$C:$C,"-  Cozinheiro III",T_HEADCOUNT!$D:$D,"9/2026",T_HEADCOUNT!$B:$B,"CLT")</f>
        <v>0</v>
      </c>
      <c r="AH140" s="27">
        <f>SUMIFS(T_REAL!$D:$D,T_REAL!$E:$E,DRE!AH$7,T_REAL!$C:$C,DRE!$A140)+SUMIFS(Aut_Ajustes_Manuais!$G:$G,Aut_Ajustes_Manuais!$I:$I,DRE!AF$4,Aut_Ajustes_Manuais!$F:$F,"  -  Cozinheiro III")</f>
        <v>0</v>
      </c>
      <c r="AI140" s="237"/>
      <c r="AJ140" s="26">
        <f>-SUMIFS(T_HEADCOUNT!$E:$E,T_HEADCOUNT!$C:$C,"-  Cozinheiro III",T_HEADCOUNT!$D:$D,"10/2026",T_HEADCOUNT!$B:$B,"CLT")</f>
        <v>0</v>
      </c>
      <c r="AK140" s="27">
        <f>SUMIFS(T_REAL!$D:$D,T_REAL!$E:$E,DRE!AK$7,T_REAL!$C:$C,DRE!$A140)+SUMIFS(Aut_Ajustes_Manuais!$G:$G,Aut_Ajustes_Manuais!$I:$I,DRE!AI$4,Aut_Ajustes_Manuais!$F:$F,"  -  Cozinheiro III")</f>
        <v>0</v>
      </c>
      <c r="AL140" s="237"/>
      <c r="AM140" s="26">
        <f>-SUMIFS(T_HEADCOUNT!$E:$E,T_HEADCOUNT!$C:$C,"-  Cozinheiro III",T_HEADCOUNT!$D:$D,"11/2026",T_HEADCOUNT!$B:$B,"CLT")</f>
        <v>0</v>
      </c>
      <c r="AN140" s="27">
        <f>SUMIFS(T_REAL!$D:$D,T_REAL!$E:$E,DRE!AN$7,T_REAL!$C:$C,DRE!$A140)+SUMIFS(Aut_Ajustes_Manuais!$G:$G,Aut_Ajustes_Manuais!$I:$I,DRE!AL$4,Aut_Ajustes_Manuais!$F:$F,"  -  Cozinheiro III")</f>
        <v>0</v>
      </c>
      <c r="AO140" s="237"/>
      <c r="AP140" s="26">
        <f>-SUMIFS(T_HEADCOUNT!$E:$E,T_HEADCOUNT!$C:$C,"-  Cozinheiro III",T_HEADCOUNT!$D:$D,"12/2026",T_HEADCOUNT!$B:$B,"CLT")</f>
        <v>0</v>
      </c>
      <c r="AQ140" s="27">
        <f>SUMIFS(T_REAL!$D:$D,T_REAL!$E:$E,DRE!AQ$7,T_REAL!$C:$C,DRE!$A140)+SUMIFS(Aut_Ajustes_Manuais!$G:$G,Aut_Ajustes_Manuais!$I:$I,DRE!AO$4,Aut_Ajustes_Manuais!$F:$F,"  -  Cozinheiro III")</f>
        <v>0</v>
      </c>
      <c r="AR140" s="237">
        <f t="shared" ca="1" si="139"/>
        <v>0</v>
      </c>
      <c r="AS140" s="26">
        <f t="shared" ca="1" si="140"/>
        <v>0</v>
      </c>
      <c r="AT140" s="27">
        <f t="shared" ca="1" si="141"/>
        <v>0</v>
      </c>
      <c r="AU140" s="237"/>
      <c r="AV140" s="26"/>
      <c r="AW140" s="27"/>
      <c r="AX140" s="237"/>
      <c r="AY140" s="26">
        <v>-23262.720000000001</v>
      </c>
      <c r="AZ140" s="27"/>
      <c r="BA140" s="237"/>
      <c r="BB140" s="26">
        <v>-23588.398079999999</v>
      </c>
      <c r="BC140" s="27"/>
      <c r="BD140" s="237"/>
      <c r="BE140" s="26">
        <v>-24239.754239999998</v>
      </c>
      <c r="BF140" s="27"/>
      <c r="BG140" s="237"/>
      <c r="BH140" s="26">
        <v>-24239.754239999998</v>
      </c>
      <c r="BI140" s="27"/>
      <c r="BJ140" s="454"/>
    </row>
    <row r="141" spans="1:62" s="28" customFormat="1" outlineLevel="1" x14ac:dyDescent="0.3">
      <c r="A141" s="93" t="s">
        <v>163</v>
      </c>
      <c r="B141" s="2"/>
      <c r="C141" s="23"/>
      <c r="D141" s="53" t="s">
        <v>143</v>
      </c>
      <c r="E141" s="85"/>
      <c r="F141" s="54"/>
      <c r="G141" s="32"/>
      <c r="H141" s="237"/>
      <c r="I141" s="26">
        <f>-SUMIFS(T_HEADCOUNT!$E:$E,T_HEADCOUNT!$C:$C,"-  Cozinheiro II",T_HEADCOUNT!$D:$D,"1/2026",T_HEADCOUNT!$B:$B,"CLT")</f>
        <v>0</v>
      </c>
      <c r="J141" s="27">
        <f>SUMIFS(T_REAL!$D:$D,T_REAL!$E:$E,DRE!J$7,T_REAL!$C:$C,DRE!$A141)+SUMIFS(Aut_Ajustes_Manuais!$G:$G,Aut_Ajustes_Manuais!$I:$I,DRE!H$4,Aut_Ajustes_Manuais!$F:$F,"  -  Cozinheiro II")</f>
        <v>0</v>
      </c>
      <c r="K141" s="237"/>
      <c r="L141" s="26">
        <f>-SUMIFS(T_HEADCOUNT!$E:$E,T_HEADCOUNT!$C:$C,"-  Cozinheiro II",T_HEADCOUNT!$D:$D,"2/2026",T_HEADCOUNT!$B:$B,"CLT")</f>
        <v>0</v>
      </c>
      <c r="M141" s="27">
        <f>SUMIFS(T_REAL!$D:$D,T_REAL!$E:$E,DRE!M$7,T_REAL!$C:$C,DRE!$A141)+SUMIFS(Aut_Ajustes_Manuais!$G:$G,Aut_Ajustes_Manuais!$I:$I,DRE!K$4,Aut_Ajustes_Manuais!$F:$F,"  -  Cozinheiro II")</f>
        <v>0</v>
      </c>
      <c r="N141" s="237"/>
      <c r="O141" s="26">
        <f>-SUMIFS(T_HEADCOUNT!$E:$E,T_HEADCOUNT!$C:$C,"-  Cozinheiro II",T_HEADCOUNT!$D:$D,"3/2026",T_HEADCOUNT!$B:$B,"CLT")</f>
        <v>0</v>
      </c>
      <c r="P141" s="27">
        <f>SUMIFS(T_REAL!$D:$D,T_REAL!$E:$E,DRE!P$7,T_REAL!$C:$C,DRE!$A141)+SUMIFS(Aut_Ajustes_Manuais!$G:$G,Aut_Ajustes_Manuais!$I:$I,DRE!N$4,Aut_Ajustes_Manuais!$F:$F,"  -  Cozinheiro II")</f>
        <v>0</v>
      </c>
      <c r="Q141" s="237"/>
      <c r="R141" s="26">
        <f>-SUMIFS(T_HEADCOUNT!$E:$E,T_HEADCOUNT!$C:$C,"-  Cozinheiro II",T_HEADCOUNT!$D:$D,"4/2026",T_HEADCOUNT!$B:$B,"CLT")</f>
        <v>0</v>
      </c>
      <c r="S141" s="27">
        <f>SUMIFS(T_REAL!$D:$D,T_REAL!$E:$E,DRE!S$7,T_REAL!$C:$C,DRE!$A141)+SUMIFS(Aut_Ajustes_Manuais!$G:$G,Aut_Ajustes_Manuais!$I:$I,DRE!Q$4,Aut_Ajustes_Manuais!$F:$F,"  -  Cozinheiro II")</f>
        <v>0</v>
      </c>
      <c r="T141" s="237"/>
      <c r="U141" s="26">
        <f>-SUMIFS(T_HEADCOUNT!$E:$E,T_HEADCOUNT!$C:$C,"-  Cozinheiro II",T_HEADCOUNT!$D:$D,"5/2026",T_HEADCOUNT!$B:$B,"CLT")</f>
        <v>0</v>
      </c>
      <c r="V141" s="27">
        <f>SUMIFS(T_REAL!$D:$D,T_REAL!$E:$E,DRE!V$7,T_REAL!$C:$C,DRE!$A141)+SUMIFS(Aut_Ajustes_Manuais!$G:$G,Aut_Ajustes_Manuais!$I:$I,DRE!T$4,Aut_Ajustes_Manuais!$F:$F,"  -  Cozinheiro II")</f>
        <v>0</v>
      </c>
      <c r="W141" s="237"/>
      <c r="X141" s="26">
        <f>-SUMIFS(T_HEADCOUNT!$E:$E,T_HEADCOUNT!$C:$C,"-  Cozinheiro II",T_HEADCOUNT!$D:$D,"6/2026",T_HEADCOUNT!$B:$B,"CLT")</f>
        <v>0</v>
      </c>
      <c r="Y141" s="27">
        <f>SUMIFS(T_REAL!$D:$D,T_REAL!$E:$E,DRE!Y$7,T_REAL!$C:$C,DRE!$A141)+SUMIFS(Aut_Ajustes_Manuais!$G:$G,Aut_Ajustes_Manuais!$I:$I,DRE!W$4,Aut_Ajustes_Manuais!$F:$F,"  -  Cozinheiro II")</f>
        <v>0</v>
      </c>
      <c r="Z141" s="237"/>
      <c r="AA141" s="26">
        <f>-SUMIFS(T_HEADCOUNT!$E:$E,T_HEADCOUNT!$C:$C,"-  Cozinheiro II",T_HEADCOUNT!$D:$D,"7/2026",T_HEADCOUNT!$B:$B,"CLT")</f>
        <v>0</v>
      </c>
      <c r="AB141" s="27">
        <f>SUMIFS(T_REAL!$D:$D,T_REAL!$E:$E,DRE!AB$7,T_REAL!$C:$C,DRE!$A141)+SUMIFS(Aut_Ajustes_Manuais!$G:$G,Aut_Ajustes_Manuais!$I:$I,DRE!Z$4,Aut_Ajustes_Manuais!$F:$F,"  -  Cozinheiro II")</f>
        <v>0</v>
      </c>
      <c r="AC141" s="237"/>
      <c r="AD141" s="26">
        <f>-SUMIFS(T_HEADCOUNT!$E:$E,T_HEADCOUNT!$C:$C,"-  Cozinheiro II",T_HEADCOUNT!$D:$D,"8/2026",T_HEADCOUNT!$B:$B,"CLT")</f>
        <v>0</v>
      </c>
      <c r="AE141" s="27">
        <f>SUMIFS(T_REAL!$D:$D,T_REAL!$E:$E,DRE!AE$7,T_REAL!$C:$C,DRE!$A141)+SUMIFS(Aut_Ajustes_Manuais!$G:$G,Aut_Ajustes_Manuais!$I:$I,DRE!AC$4,Aut_Ajustes_Manuais!$F:$F,"  -  Cozinheiro II")</f>
        <v>0</v>
      </c>
      <c r="AF141" s="237"/>
      <c r="AG141" s="26">
        <f>-SUMIFS(T_HEADCOUNT!$E:$E,T_HEADCOUNT!$C:$C,"-  Cozinheiro II",T_HEADCOUNT!$D:$D,"9/2026",T_HEADCOUNT!$B:$B,"CLT")</f>
        <v>0</v>
      </c>
      <c r="AH141" s="27">
        <f>SUMIFS(T_REAL!$D:$D,T_REAL!$E:$E,DRE!AH$7,T_REAL!$C:$C,DRE!$A141)+SUMIFS(Aut_Ajustes_Manuais!$G:$G,Aut_Ajustes_Manuais!$I:$I,DRE!AF$4,Aut_Ajustes_Manuais!$F:$F,"  -  Cozinheiro II")</f>
        <v>0</v>
      </c>
      <c r="AI141" s="237"/>
      <c r="AJ141" s="26">
        <f>-SUMIFS(T_HEADCOUNT!$E:$E,T_HEADCOUNT!$C:$C,"-  Cozinheiro II",T_HEADCOUNT!$D:$D,"10/2026",T_HEADCOUNT!$B:$B,"CLT")</f>
        <v>0</v>
      </c>
      <c r="AK141" s="27">
        <f>SUMIFS(T_REAL!$D:$D,T_REAL!$E:$E,DRE!AK$7,T_REAL!$C:$C,DRE!$A141)+SUMIFS(Aut_Ajustes_Manuais!$G:$G,Aut_Ajustes_Manuais!$I:$I,DRE!AI$4,Aut_Ajustes_Manuais!$F:$F,"  -  Cozinheiro II")</f>
        <v>0</v>
      </c>
      <c r="AL141" s="237"/>
      <c r="AM141" s="26">
        <f>-SUMIFS(T_HEADCOUNT!$E:$E,T_HEADCOUNT!$C:$C,"-  Cozinheiro II",T_HEADCOUNT!$D:$D,"11/2026",T_HEADCOUNT!$B:$B,"CLT")</f>
        <v>0</v>
      </c>
      <c r="AN141" s="27">
        <f>SUMIFS(T_REAL!$D:$D,T_REAL!$E:$E,DRE!AN$7,T_REAL!$C:$C,DRE!$A141)+SUMIFS(Aut_Ajustes_Manuais!$G:$G,Aut_Ajustes_Manuais!$I:$I,DRE!AL$4,Aut_Ajustes_Manuais!$F:$F,"  -  Cozinheiro II")</f>
        <v>0</v>
      </c>
      <c r="AO141" s="237"/>
      <c r="AP141" s="26">
        <f>-SUMIFS(T_HEADCOUNT!$E:$E,T_HEADCOUNT!$C:$C,"-  Cozinheiro II",T_HEADCOUNT!$D:$D,"12/2026",T_HEADCOUNT!$B:$B,"CLT")</f>
        <v>0</v>
      </c>
      <c r="AQ141" s="27">
        <f>SUMIFS(T_REAL!$D:$D,T_REAL!$E:$E,DRE!AQ$7,T_REAL!$C:$C,DRE!$A141)+SUMIFS(Aut_Ajustes_Manuais!$G:$G,Aut_Ajustes_Manuais!$I:$I,DRE!AO$4,Aut_Ajustes_Manuais!$F:$F,"  -  Cozinheiro II")</f>
        <v>0</v>
      </c>
      <c r="AR141" s="237">
        <f t="shared" ca="1" si="139"/>
        <v>0</v>
      </c>
      <c r="AS141" s="26">
        <f t="shared" ca="1" si="140"/>
        <v>0</v>
      </c>
      <c r="AT141" s="27">
        <f t="shared" ca="1" si="141"/>
        <v>0</v>
      </c>
      <c r="AU141" s="237"/>
      <c r="AV141" s="26"/>
      <c r="AW141" s="27"/>
      <c r="AX141" s="237"/>
      <c r="AY141" s="26">
        <v>-6688.02</v>
      </c>
      <c r="AZ141" s="27"/>
      <c r="BA141" s="237"/>
      <c r="BB141" s="26">
        <v>-6781.6522800000002</v>
      </c>
      <c r="BC141" s="27"/>
      <c r="BD141" s="237"/>
      <c r="BE141" s="26">
        <v>-6968.9168399999999</v>
      </c>
      <c r="BF141" s="27"/>
      <c r="BG141" s="237"/>
      <c r="BH141" s="26">
        <v>-6968.9168399999999</v>
      </c>
      <c r="BI141" s="27"/>
      <c r="BJ141" s="454"/>
    </row>
    <row r="142" spans="1:62" s="28" customFormat="1" outlineLevel="1" x14ac:dyDescent="0.3">
      <c r="A142" s="93" t="s">
        <v>164</v>
      </c>
      <c r="B142" s="2"/>
      <c r="C142" s="23"/>
      <c r="D142" s="53" t="s">
        <v>143</v>
      </c>
      <c r="E142" s="85"/>
      <c r="F142" s="54"/>
      <c r="G142" s="32"/>
      <c r="H142" s="237"/>
      <c r="I142" s="26">
        <f>-SUMIFS(T_HEADCOUNT!$E:$E,T_HEADCOUNT!$C:$C,"-  Cozinheiro I",T_HEADCOUNT!$D:$D,"1/2026",T_HEADCOUNT!$B:$B,"CLT")</f>
        <v>0</v>
      </c>
      <c r="J142" s="27">
        <f>SUMIFS(T_REAL!$D:$D,T_REAL!$E:$E,DRE!J$7,T_REAL!$C:$C,DRE!$A142)+SUMIFS(Aut_Ajustes_Manuais!$G:$G,Aut_Ajustes_Manuais!$I:$I,DRE!H$4,Aut_Ajustes_Manuais!$F:$F,"  -  Cozinheiro I")</f>
        <v>0</v>
      </c>
      <c r="K142" s="237"/>
      <c r="L142" s="26">
        <f>-SUMIFS(T_HEADCOUNT!$E:$E,T_HEADCOUNT!$C:$C,"-  Cozinheiro I",T_HEADCOUNT!$D:$D,"2/2026",T_HEADCOUNT!$B:$B,"CLT")</f>
        <v>0</v>
      </c>
      <c r="M142" s="27">
        <f>SUMIFS(T_REAL!$D:$D,T_REAL!$E:$E,DRE!M$7,T_REAL!$C:$C,DRE!$A142)+SUMIFS(Aut_Ajustes_Manuais!$G:$G,Aut_Ajustes_Manuais!$I:$I,DRE!K$4,Aut_Ajustes_Manuais!$F:$F,"  -  Cozinheiro I")</f>
        <v>0</v>
      </c>
      <c r="N142" s="237"/>
      <c r="O142" s="26">
        <f>-SUMIFS(T_HEADCOUNT!$E:$E,T_HEADCOUNT!$C:$C,"-  Cozinheiro I",T_HEADCOUNT!$D:$D,"3/2026",T_HEADCOUNT!$B:$B,"CLT")</f>
        <v>0</v>
      </c>
      <c r="P142" s="27">
        <f>SUMIFS(T_REAL!$D:$D,T_REAL!$E:$E,DRE!P$7,T_REAL!$C:$C,DRE!$A142)+SUMIFS(Aut_Ajustes_Manuais!$G:$G,Aut_Ajustes_Manuais!$I:$I,DRE!N$4,Aut_Ajustes_Manuais!$F:$F,"  -  Cozinheiro I")</f>
        <v>0</v>
      </c>
      <c r="Q142" s="237"/>
      <c r="R142" s="26">
        <f>-SUMIFS(T_HEADCOUNT!$E:$E,T_HEADCOUNT!$C:$C,"-  Cozinheiro I",T_HEADCOUNT!$D:$D,"4/2026",T_HEADCOUNT!$B:$B,"CLT")</f>
        <v>0</v>
      </c>
      <c r="S142" s="27">
        <f>SUMIFS(T_REAL!$D:$D,T_REAL!$E:$E,DRE!S$7,T_REAL!$C:$C,DRE!$A142)+SUMIFS(Aut_Ajustes_Manuais!$G:$G,Aut_Ajustes_Manuais!$I:$I,DRE!Q$4,Aut_Ajustes_Manuais!$F:$F,"  -  Cozinheiro I")</f>
        <v>0</v>
      </c>
      <c r="T142" s="237"/>
      <c r="U142" s="26">
        <f>-SUMIFS(T_HEADCOUNT!$E:$E,T_HEADCOUNT!$C:$C,"-  Cozinheiro I",T_HEADCOUNT!$D:$D,"5/2026",T_HEADCOUNT!$B:$B,"CLT")</f>
        <v>0</v>
      </c>
      <c r="V142" s="27">
        <f>SUMIFS(T_REAL!$D:$D,T_REAL!$E:$E,DRE!V$7,T_REAL!$C:$C,DRE!$A142)+SUMIFS(Aut_Ajustes_Manuais!$G:$G,Aut_Ajustes_Manuais!$I:$I,DRE!T$4,Aut_Ajustes_Manuais!$F:$F,"  -  Cozinheiro I")</f>
        <v>0</v>
      </c>
      <c r="W142" s="237"/>
      <c r="X142" s="26">
        <f>-SUMIFS(T_HEADCOUNT!$E:$E,T_HEADCOUNT!$C:$C,"-  Cozinheiro I",T_HEADCOUNT!$D:$D,"6/2026",T_HEADCOUNT!$B:$B,"CLT")</f>
        <v>0</v>
      </c>
      <c r="Y142" s="27">
        <f>SUMIFS(T_REAL!$D:$D,T_REAL!$E:$E,DRE!Y$7,T_REAL!$C:$C,DRE!$A142)+SUMIFS(Aut_Ajustes_Manuais!$G:$G,Aut_Ajustes_Manuais!$I:$I,DRE!W$4,Aut_Ajustes_Manuais!$F:$F,"  -  Cozinheiro I")</f>
        <v>0</v>
      </c>
      <c r="Z142" s="237"/>
      <c r="AA142" s="26">
        <f>-SUMIFS(T_HEADCOUNT!$E:$E,T_HEADCOUNT!$C:$C,"-  Cozinheiro I",T_HEADCOUNT!$D:$D,"7/2026",T_HEADCOUNT!$B:$B,"CLT")</f>
        <v>0</v>
      </c>
      <c r="AB142" s="27">
        <f>SUMIFS(T_REAL!$D:$D,T_REAL!$E:$E,DRE!AB$7,T_REAL!$C:$C,DRE!$A142)+SUMIFS(Aut_Ajustes_Manuais!$G:$G,Aut_Ajustes_Manuais!$I:$I,DRE!Z$4,Aut_Ajustes_Manuais!$F:$F,"  -  Cozinheiro I")</f>
        <v>0</v>
      </c>
      <c r="AC142" s="237"/>
      <c r="AD142" s="26">
        <f>-SUMIFS(T_HEADCOUNT!$E:$E,T_HEADCOUNT!$C:$C,"-  Cozinheiro I",T_HEADCOUNT!$D:$D,"8/2026",T_HEADCOUNT!$B:$B,"CLT")</f>
        <v>0</v>
      </c>
      <c r="AE142" s="27">
        <f>SUMIFS(T_REAL!$D:$D,T_REAL!$E:$E,DRE!AE$7,T_REAL!$C:$C,DRE!$A142)+SUMIFS(Aut_Ajustes_Manuais!$G:$G,Aut_Ajustes_Manuais!$I:$I,DRE!AC$4,Aut_Ajustes_Manuais!$F:$F,"  -  Cozinheiro I")</f>
        <v>0</v>
      </c>
      <c r="AF142" s="237"/>
      <c r="AG142" s="26">
        <f>-SUMIFS(T_HEADCOUNT!$E:$E,T_HEADCOUNT!$C:$C,"-  Cozinheiro I",T_HEADCOUNT!$D:$D,"9/2026",T_HEADCOUNT!$B:$B,"CLT")</f>
        <v>0</v>
      </c>
      <c r="AH142" s="27">
        <f>SUMIFS(T_REAL!$D:$D,T_REAL!$E:$E,DRE!AH$7,T_REAL!$C:$C,DRE!$A142)+SUMIFS(Aut_Ajustes_Manuais!$G:$G,Aut_Ajustes_Manuais!$I:$I,DRE!AF$4,Aut_Ajustes_Manuais!$F:$F,"  -  Cozinheiro I")</f>
        <v>0</v>
      </c>
      <c r="AI142" s="237"/>
      <c r="AJ142" s="26">
        <f>-SUMIFS(T_HEADCOUNT!$E:$E,T_HEADCOUNT!$C:$C,"-  Cozinheiro I",T_HEADCOUNT!$D:$D,"10/2026",T_HEADCOUNT!$B:$B,"CLT")</f>
        <v>0</v>
      </c>
      <c r="AK142" s="27">
        <f>SUMIFS(T_REAL!$D:$D,T_REAL!$E:$E,DRE!AK$7,T_REAL!$C:$C,DRE!$A142)+SUMIFS(Aut_Ajustes_Manuais!$G:$G,Aut_Ajustes_Manuais!$I:$I,DRE!AI$4,Aut_Ajustes_Manuais!$F:$F,"  -  Cozinheiro I")</f>
        <v>0</v>
      </c>
      <c r="AL142" s="237"/>
      <c r="AM142" s="26">
        <f>-SUMIFS(T_HEADCOUNT!$E:$E,T_HEADCOUNT!$C:$C,"-  Cozinheiro I",T_HEADCOUNT!$D:$D,"11/2026",T_HEADCOUNT!$B:$B,"CLT")</f>
        <v>0</v>
      </c>
      <c r="AN142" s="27">
        <f>SUMIFS(T_REAL!$D:$D,T_REAL!$E:$E,DRE!AN$7,T_REAL!$C:$C,DRE!$A142)+SUMIFS(Aut_Ajustes_Manuais!$G:$G,Aut_Ajustes_Manuais!$I:$I,DRE!AL$4,Aut_Ajustes_Manuais!$F:$F,"  -  Cozinheiro I")</f>
        <v>0</v>
      </c>
      <c r="AO142" s="237"/>
      <c r="AP142" s="26">
        <f>-SUMIFS(T_HEADCOUNT!$E:$E,T_HEADCOUNT!$C:$C,"-  Cozinheiro I",T_HEADCOUNT!$D:$D,"12/2026",T_HEADCOUNT!$B:$B,"CLT")</f>
        <v>0</v>
      </c>
      <c r="AQ142" s="27">
        <f>SUMIFS(T_REAL!$D:$D,T_REAL!$E:$E,DRE!AQ$7,T_REAL!$C:$C,DRE!$A142)+SUMIFS(Aut_Ajustes_Manuais!$G:$G,Aut_Ajustes_Manuais!$I:$I,DRE!AO$4,Aut_Ajustes_Manuais!$F:$F,"  -  Cozinheiro I")</f>
        <v>0</v>
      </c>
      <c r="AR142" s="237">
        <f t="shared" ca="1" si="139"/>
        <v>0</v>
      </c>
      <c r="AS142" s="26">
        <f t="shared" ca="1" si="140"/>
        <v>0</v>
      </c>
      <c r="AT142" s="27">
        <f t="shared" ca="1" si="141"/>
        <v>0</v>
      </c>
      <c r="AU142" s="237"/>
      <c r="AV142" s="26"/>
      <c r="AW142" s="27"/>
      <c r="AX142" s="237"/>
      <c r="AY142" s="26">
        <v>-7691.25</v>
      </c>
      <c r="AZ142" s="27"/>
      <c r="BA142" s="237"/>
      <c r="BB142" s="26">
        <v>-7798.9274999999998</v>
      </c>
      <c r="BC142" s="27"/>
      <c r="BD142" s="237"/>
      <c r="BE142" s="26">
        <v>-8014.2824999999993</v>
      </c>
      <c r="BF142" s="27"/>
      <c r="BG142" s="237"/>
      <c r="BH142" s="26">
        <v>-8014.2824999999993</v>
      </c>
      <c r="BI142" s="27"/>
      <c r="BJ142" s="454"/>
    </row>
    <row r="143" spans="1:62" s="28" customFormat="1" outlineLevel="1" x14ac:dyDescent="0.3">
      <c r="A143" s="93" t="s">
        <v>165</v>
      </c>
      <c r="B143" s="2"/>
      <c r="C143" s="23"/>
      <c r="D143" s="53" t="s">
        <v>143</v>
      </c>
      <c r="E143" s="85"/>
      <c r="F143" s="54"/>
      <c r="G143" s="32"/>
      <c r="H143" s="237"/>
      <c r="I143" s="26">
        <f>-SUMIFS(T_HEADCOUNT!$E:$E,T_HEADCOUNT!$C:$C,"-  Ajud cozinha",T_HEADCOUNT!$D:$D,"1/2026",T_HEADCOUNT!$B:$B,"CLT")</f>
        <v>0</v>
      </c>
      <c r="J143" s="27">
        <f>SUMIFS(T_REAL!$D:$D,T_REAL!$E:$E,DRE!J$7,T_REAL!$C:$C,DRE!$A143)+SUMIFS(Aut_Ajustes_Manuais!$G:$G,Aut_Ajustes_Manuais!$I:$I,DRE!H$4,Aut_Ajustes_Manuais!$F:$F,"  -  Ajud cozinha")</f>
        <v>0</v>
      </c>
      <c r="K143" s="237"/>
      <c r="L143" s="26">
        <f>-SUMIFS(T_HEADCOUNT!$E:$E,T_HEADCOUNT!$C:$C,"-  Ajud cozinha",T_HEADCOUNT!$D:$D,"2/2026",T_HEADCOUNT!$B:$B,"CLT")</f>
        <v>0</v>
      </c>
      <c r="M143" s="27">
        <f>SUMIFS(T_REAL!$D:$D,T_REAL!$E:$E,DRE!M$7,T_REAL!$C:$C,DRE!$A143)+SUMIFS(Aut_Ajustes_Manuais!$G:$G,Aut_Ajustes_Manuais!$I:$I,DRE!K$4,Aut_Ajustes_Manuais!$F:$F,"  -  Ajud cozinha")</f>
        <v>0</v>
      </c>
      <c r="N143" s="237"/>
      <c r="O143" s="26">
        <f>-SUMIFS(T_HEADCOUNT!$E:$E,T_HEADCOUNT!$C:$C,"-  Ajud cozinha",T_HEADCOUNT!$D:$D,"3/2026",T_HEADCOUNT!$B:$B,"CLT")</f>
        <v>0</v>
      </c>
      <c r="P143" s="27">
        <f>SUMIFS(T_REAL!$D:$D,T_REAL!$E:$E,DRE!P$7,T_REAL!$C:$C,DRE!$A143)+SUMIFS(Aut_Ajustes_Manuais!$G:$G,Aut_Ajustes_Manuais!$I:$I,DRE!N$4,Aut_Ajustes_Manuais!$F:$F,"  -  Ajud cozinha")</f>
        <v>0</v>
      </c>
      <c r="Q143" s="237"/>
      <c r="R143" s="26">
        <f>-SUMIFS(T_HEADCOUNT!$E:$E,T_HEADCOUNT!$C:$C,"-  Ajud cozinha",T_HEADCOUNT!$D:$D,"4/2026",T_HEADCOUNT!$B:$B,"CLT")</f>
        <v>0</v>
      </c>
      <c r="S143" s="27">
        <f>SUMIFS(T_REAL!$D:$D,T_REAL!$E:$E,DRE!S$7,T_REAL!$C:$C,DRE!$A143)+SUMIFS(Aut_Ajustes_Manuais!$G:$G,Aut_Ajustes_Manuais!$I:$I,DRE!Q$4,Aut_Ajustes_Manuais!$F:$F,"  -  Ajud cozinha")</f>
        <v>0</v>
      </c>
      <c r="T143" s="237"/>
      <c r="U143" s="26">
        <f>-SUMIFS(T_HEADCOUNT!$E:$E,T_HEADCOUNT!$C:$C,"-  Ajud cozinha",T_HEADCOUNT!$D:$D,"5/2026",T_HEADCOUNT!$B:$B,"CLT")</f>
        <v>0</v>
      </c>
      <c r="V143" s="27">
        <f>SUMIFS(T_REAL!$D:$D,T_REAL!$E:$E,DRE!V$7,T_REAL!$C:$C,DRE!$A143)+SUMIFS(Aut_Ajustes_Manuais!$G:$G,Aut_Ajustes_Manuais!$I:$I,DRE!T$4,Aut_Ajustes_Manuais!$F:$F,"  -  Ajud cozinha")</f>
        <v>0</v>
      </c>
      <c r="W143" s="237"/>
      <c r="X143" s="26">
        <f>-SUMIFS(T_HEADCOUNT!$E:$E,T_HEADCOUNT!$C:$C,"-  Ajud cozinha",T_HEADCOUNT!$D:$D,"6/2026",T_HEADCOUNT!$B:$B,"CLT")</f>
        <v>0</v>
      </c>
      <c r="Y143" s="27">
        <f>SUMIFS(T_REAL!$D:$D,T_REAL!$E:$E,DRE!Y$7,T_REAL!$C:$C,DRE!$A143)+SUMIFS(Aut_Ajustes_Manuais!$G:$G,Aut_Ajustes_Manuais!$I:$I,DRE!W$4,Aut_Ajustes_Manuais!$F:$F,"  -  Ajud cozinha")</f>
        <v>0</v>
      </c>
      <c r="Z143" s="237"/>
      <c r="AA143" s="26">
        <f>-SUMIFS(T_HEADCOUNT!$E:$E,T_HEADCOUNT!$C:$C,"-  Ajud cozinha",T_HEADCOUNT!$D:$D,"7/2026",T_HEADCOUNT!$B:$B,"CLT")</f>
        <v>0</v>
      </c>
      <c r="AB143" s="27">
        <f>SUMIFS(T_REAL!$D:$D,T_REAL!$E:$E,DRE!AB$7,T_REAL!$C:$C,DRE!$A143)+SUMIFS(Aut_Ajustes_Manuais!$G:$G,Aut_Ajustes_Manuais!$I:$I,DRE!Z$4,Aut_Ajustes_Manuais!$F:$F,"  -  Ajud cozinha")</f>
        <v>0</v>
      </c>
      <c r="AC143" s="237"/>
      <c r="AD143" s="26">
        <f>-SUMIFS(T_HEADCOUNT!$E:$E,T_HEADCOUNT!$C:$C,"-  Ajud cozinha",T_HEADCOUNT!$D:$D,"8/2026",T_HEADCOUNT!$B:$B,"CLT")</f>
        <v>0</v>
      </c>
      <c r="AE143" s="27">
        <f>SUMIFS(T_REAL!$D:$D,T_REAL!$E:$E,DRE!AE$7,T_REAL!$C:$C,DRE!$A143)+SUMIFS(Aut_Ajustes_Manuais!$G:$G,Aut_Ajustes_Manuais!$I:$I,DRE!AC$4,Aut_Ajustes_Manuais!$F:$F,"  -  Ajud cozinha")</f>
        <v>0</v>
      </c>
      <c r="AF143" s="237"/>
      <c r="AG143" s="26">
        <f>-SUMIFS(T_HEADCOUNT!$E:$E,T_HEADCOUNT!$C:$C,"-  Ajud cozinha",T_HEADCOUNT!$D:$D,"9/2026",T_HEADCOUNT!$B:$B,"CLT")</f>
        <v>0</v>
      </c>
      <c r="AH143" s="27">
        <f>SUMIFS(T_REAL!$D:$D,T_REAL!$E:$E,DRE!AH$7,T_REAL!$C:$C,DRE!$A143)+SUMIFS(Aut_Ajustes_Manuais!$G:$G,Aut_Ajustes_Manuais!$I:$I,DRE!AF$4,Aut_Ajustes_Manuais!$F:$F,"  -  Ajud cozinha")</f>
        <v>0</v>
      </c>
      <c r="AI143" s="237"/>
      <c r="AJ143" s="26">
        <f>-SUMIFS(T_HEADCOUNT!$E:$E,T_HEADCOUNT!$C:$C,"-  Ajud cozinha",T_HEADCOUNT!$D:$D,"10/2026",T_HEADCOUNT!$B:$B,"CLT")</f>
        <v>0</v>
      </c>
      <c r="AK143" s="27">
        <f>SUMIFS(T_REAL!$D:$D,T_REAL!$E:$E,DRE!AK$7,T_REAL!$C:$C,DRE!$A143)+SUMIFS(Aut_Ajustes_Manuais!$G:$G,Aut_Ajustes_Manuais!$I:$I,DRE!AI$4,Aut_Ajustes_Manuais!$F:$F,"  -  Ajud cozinha")</f>
        <v>0</v>
      </c>
      <c r="AL143" s="237"/>
      <c r="AM143" s="26">
        <f>-SUMIFS(T_HEADCOUNT!$E:$E,T_HEADCOUNT!$C:$C,"-  Ajud cozinha",T_HEADCOUNT!$D:$D,"11/2026",T_HEADCOUNT!$B:$B,"CLT")</f>
        <v>0</v>
      </c>
      <c r="AN143" s="27">
        <f>SUMIFS(T_REAL!$D:$D,T_REAL!$E:$E,DRE!AN$7,T_REAL!$C:$C,DRE!$A143)+SUMIFS(Aut_Ajustes_Manuais!$G:$G,Aut_Ajustes_Manuais!$I:$I,DRE!AL$4,Aut_Ajustes_Manuais!$F:$F,"  -  Ajud cozinha")</f>
        <v>0</v>
      </c>
      <c r="AO143" s="237"/>
      <c r="AP143" s="26">
        <f>-SUMIFS(T_HEADCOUNT!$E:$E,T_HEADCOUNT!$C:$C,"-  Ajud cozinha",T_HEADCOUNT!$D:$D,"12/2026",T_HEADCOUNT!$B:$B,"CLT")</f>
        <v>0</v>
      </c>
      <c r="AQ143" s="27">
        <f>SUMIFS(T_REAL!$D:$D,T_REAL!$E:$E,DRE!AQ$7,T_REAL!$C:$C,DRE!$A143)+SUMIFS(Aut_Ajustes_Manuais!$G:$G,Aut_Ajustes_Manuais!$I:$I,DRE!AO$4,Aut_Ajustes_Manuais!$F:$F,"  -  Ajud cozinha")</f>
        <v>0</v>
      </c>
      <c r="AR143" s="237">
        <f t="shared" ca="1" si="139"/>
        <v>0</v>
      </c>
      <c r="AS143" s="26">
        <f t="shared" ca="1" si="140"/>
        <v>0</v>
      </c>
      <c r="AT143" s="27">
        <f t="shared" ca="1" si="141"/>
        <v>0</v>
      </c>
      <c r="AU143" s="237"/>
      <c r="AV143" s="26"/>
      <c r="AW143" s="27"/>
      <c r="AX143" s="237"/>
      <c r="AY143" s="26">
        <v>0</v>
      </c>
      <c r="AZ143" s="27"/>
      <c r="BA143" s="237"/>
      <c r="BB143" s="26">
        <v>0</v>
      </c>
      <c r="BC143" s="27"/>
      <c r="BD143" s="237"/>
      <c r="BE143" s="26">
        <v>0</v>
      </c>
      <c r="BF143" s="27"/>
      <c r="BG143" s="237"/>
      <c r="BH143" s="26">
        <v>0</v>
      </c>
      <c r="BI143" s="27"/>
      <c r="BJ143" s="454"/>
    </row>
    <row r="144" spans="1:62" s="28" customFormat="1" outlineLevel="1" x14ac:dyDescent="0.3">
      <c r="A144" s="93" t="s">
        <v>166</v>
      </c>
      <c r="B144" s="2"/>
      <c r="C144" s="23"/>
      <c r="D144" s="53" t="s">
        <v>143</v>
      </c>
      <c r="E144" s="85"/>
      <c r="F144" s="54"/>
      <c r="G144" s="32"/>
      <c r="H144" s="237"/>
      <c r="I144" s="26">
        <f>-SUMIFS(T_HEADCOUNT!$E:$E,T_HEADCOUNT!$C:$C,"-  Saladeiro",T_HEADCOUNT!$D:$D,"1/2026",T_HEADCOUNT!$B:$B,"CLT")</f>
        <v>0</v>
      </c>
      <c r="J144" s="27">
        <f>SUMIFS(T_REAL!$D:$D,T_REAL!$E:$E,DRE!J$7,T_REAL!$C:$C,DRE!$A144)+SUMIFS(Aut_Ajustes_Manuais!$G:$G,Aut_Ajustes_Manuais!$I:$I,DRE!H$4,Aut_Ajustes_Manuais!$F:$F,"  -  Saladeiro")</f>
        <v>0</v>
      </c>
      <c r="K144" s="237"/>
      <c r="L144" s="26">
        <f>-SUMIFS(T_HEADCOUNT!$E:$E,T_HEADCOUNT!$C:$C,"-  Saladeiro",T_HEADCOUNT!$D:$D,"2/2026",T_HEADCOUNT!$B:$B,"CLT")</f>
        <v>0</v>
      </c>
      <c r="M144" s="27">
        <f>SUMIFS(T_REAL!$D:$D,T_REAL!$E:$E,DRE!M$7,T_REAL!$C:$C,DRE!$A144)+SUMIFS(Aut_Ajustes_Manuais!$G:$G,Aut_Ajustes_Manuais!$I:$I,DRE!K$4,Aut_Ajustes_Manuais!$F:$F,"  -  Saladeiro")</f>
        <v>0</v>
      </c>
      <c r="N144" s="237"/>
      <c r="O144" s="26">
        <f>-SUMIFS(T_HEADCOUNT!$E:$E,T_HEADCOUNT!$C:$C,"-  Saladeiro",T_HEADCOUNT!$D:$D,"3/2026",T_HEADCOUNT!$B:$B,"CLT")</f>
        <v>0</v>
      </c>
      <c r="P144" s="27">
        <f>SUMIFS(T_REAL!$D:$D,T_REAL!$E:$E,DRE!P$7,T_REAL!$C:$C,DRE!$A144)+SUMIFS(Aut_Ajustes_Manuais!$G:$G,Aut_Ajustes_Manuais!$I:$I,DRE!N$4,Aut_Ajustes_Manuais!$F:$F,"  -  Saladeiro")</f>
        <v>0</v>
      </c>
      <c r="Q144" s="237"/>
      <c r="R144" s="26">
        <f>-SUMIFS(T_HEADCOUNT!$E:$E,T_HEADCOUNT!$C:$C,"-  Saladeiro",T_HEADCOUNT!$D:$D,"4/2026",T_HEADCOUNT!$B:$B,"CLT")</f>
        <v>0</v>
      </c>
      <c r="S144" s="27">
        <f>SUMIFS(T_REAL!$D:$D,T_REAL!$E:$E,DRE!S$7,T_REAL!$C:$C,DRE!$A144)+SUMIFS(Aut_Ajustes_Manuais!$G:$G,Aut_Ajustes_Manuais!$I:$I,DRE!Q$4,Aut_Ajustes_Manuais!$F:$F,"  -  Saladeiro")</f>
        <v>0</v>
      </c>
      <c r="T144" s="237"/>
      <c r="U144" s="26">
        <f>-SUMIFS(T_HEADCOUNT!$E:$E,T_HEADCOUNT!$C:$C,"-  Saladeiro",T_HEADCOUNT!$D:$D,"5/2026",T_HEADCOUNT!$B:$B,"CLT")</f>
        <v>0</v>
      </c>
      <c r="V144" s="27">
        <f>SUMIFS(T_REAL!$D:$D,T_REAL!$E:$E,DRE!V$7,T_REAL!$C:$C,DRE!$A144)+SUMIFS(Aut_Ajustes_Manuais!$G:$G,Aut_Ajustes_Manuais!$I:$I,DRE!T$4,Aut_Ajustes_Manuais!$F:$F,"  -  Saladeiro")</f>
        <v>0</v>
      </c>
      <c r="W144" s="237"/>
      <c r="X144" s="26">
        <f>-SUMIFS(T_HEADCOUNT!$E:$E,T_HEADCOUNT!$C:$C,"-  Saladeiro",T_HEADCOUNT!$D:$D,"6/2026",T_HEADCOUNT!$B:$B,"CLT")</f>
        <v>0</v>
      </c>
      <c r="Y144" s="27">
        <f>SUMIFS(T_REAL!$D:$D,T_REAL!$E:$E,DRE!Y$7,T_REAL!$C:$C,DRE!$A144)+SUMIFS(Aut_Ajustes_Manuais!$G:$G,Aut_Ajustes_Manuais!$I:$I,DRE!W$4,Aut_Ajustes_Manuais!$F:$F,"  -  Saladeiro")</f>
        <v>0</v>
      </c>
      <c r="Z144" s="237"/>
      <c r="AA144" s="26">
        <f>-SUMIFS(T_HEADCOUNT!$E:$E,T_HEADCOUNT!$C:$C,"-  Saladeiro",T_HEADCOUNT!$D:$D,"7/2026",T_HEADCOUNT!$B:$B,"CLT")</f>
        <v>0</v>
      </c>
      <c r="AB144" s="27">
        <f>SUMIFS(T_REAL!$D:$D,T_REAL!$E:$E,DRE!AB$7,T_REAL!$C:$C,DRE!$A144)+SUMIFS(Aut_Ajustes_Manuais!$G:$G,Aut_Ajustes_Manuais!$I:$I,DRE!Z$4,Aut_Ajustes_Manuais!$F:$F,"  -  Saladeiro")</f>
        <v>0</v>
      </c>
      <c r="AC144" s="237"/>
      <c r="AD144" s="26">
        <f>-SUMIFS(T_HEADCOUNT!$E:$E,T_HEADCOUNT!$C:$C,"-  Saladeiro",T_HEADCOUNT!$D:$D,"8/2026",T_HEADCOUNT!$B:$B,"CLT")</f>
        <v>0</v>
      </c>
      <c r="AE144" s="27">
        <f>SUMIFS(T_REAL!$D:$D,T_REAL!$E:$E,DRE!AE$7,T_REAL!$C:$C,DRE!$A144)+SUMIFS(Aut_Ajustes_Manuais!$G:$G,Aut_Ajustes_Manuais!$I:$I,DRE!AC$4,Aut_Ajustes_Manuais!$F:$F,"  -  Saladeiro")</f>
        <v>0</v>
      </c>
      <c r="AF144" s="237"/>
      <c r="AG144" s="26">
        <f>-SUMIFS(T_HEADCOUNT!$E:$E,T_HEADCOUNT!$C:$C,"-  Saladeiro",T_HEADCOUNT!$D:$D,"9/2026",T_HEADCOUNT!$B:$B,"CLT")</f>
        <v>0</v>
      </c>
      <c r="AH144" s="27">
        <f>SUMIFS(T_REAL!$D:$D,T_REAL!$E:$E,DRE!AH$7,T_REAL!$C:$C,DRE!$A144)+SUMIFS(Aut_Ajustes_Manuais!$G:$G,Aut_Ajustes_Manuais!$I:$I,DRE!AF$4,Aut_Ajustes_Manuais!$F:$F,"  -  Saladeiro")</f>
        <v>0</v>
      </c>
      <c r="AI144" s="237"/>
      <c r="AJ144" s="26">
        <f>-SUMIFS(T_HEADCOUNT!$E:$E,T_HEADCOUNT!$C:$C,"-  Saladeiro",T_HEADCOUNT!$D:$D,"10/2026",T_HEADCOUNT!$B:$B,"CLT")</f>
        <v>0</v>
      </c>
      <c r="AK144" s="27">
        <f>SUMIFS(T_REAL!$D:$D,T_REAL!$E:$E,DRE!AK$7,T_REAL!$C:$C,DRE!$A144)+SUMIFS(Aut_Ajustes_Manuais!$G:$G,Aut_Ajustes_Manuais!$I:$I,DRE!AI$4,Aut_Ajustes_Manuais!$F:$F,"  -  Saladeiro")</f>
        <v>0</v>
      </c>
      <c r="AL144" s="237"/>
      <c r="AM144" s="26">
        <f>-SUMIFS(T_HEADCOUNT!$E:$E,T_HEADCOUNT!$C:$C,"-  Saladeiro",T_HEADCOUNT!$D:$D,"11/2026",T_HEADCOUNT!$B:$B,"CLT")</f>
        <v>0</v>
      </c>
      <c r="AN144" s="27">
        <f>SUMIFS(T_REAL!$D:$D,T_REAL!$E:$E,DRE!AN$7,T_REAL!$C:$C,DRE!$A144)+SUMIFS(Aut_Ajustes_Manuais!$G:$G,Aut_Ajustes_Manuais!$I:$I,DRE!AL$4,Aut_Ajustes_Manuais!$F:$F,"  -  Saladeiro")</f>
        <v>0</v>
      </c>
      <c r="AO144" s="237"/>
      <c r="AP144" s="26">
        <f>-SUMIFS(T_HEADCOUNT!$E:$E,T_HEADCOUNT!$C:$C,"-  Saladeiro",T_HEADCOUNT!$D:$D,"12/2026",T_HEADCOUNT!$B:$B,"CLT")</f>
        <v>0</v>
      </c>
      <c r="AQ144" s="27">
        <f>SUMIFS(T_REAL!$D:$D,T_REAL!$E:$E,DRE!AQ$7,T_REAL!$C:$C,DRE!$A144)+SUMIFS(Aut_Ajustes_Manuais!$G:$G,Aut_Ajustes_Manuais!$I:$I,DRE!AO$4,Aut_Ajustes_Manuais!$F:$F,"  -  Saladeiro")</f>
        <v>0</v>
      </c>
      <c r="AR144" s="237">
        <f t="shared" ca="1" si="139"/>
        <v>0</v>
      </c>
      <c r="AS144" s="26">
        <f t="shared" ca="1" si="140"/>
        <v>0</v>
      </c>
      <c r="AT144" s="27">
        <f t="shared" ca="1" si="141"/>
        <v>0</v>
      </c>
      <c r="AU144" s="237"/>
      <c r="AV144" s="26"/>
      <c r="AW144" s="27"/>
      <c r="AX144" s="237"/>
      <c r="AY144" s="26">
        <v>0</v>
      </c>
      <c r="AZ144" s="27"/>
      <c r="BA144" s="237"/>
      <c r="BB144" s="26">
        <v>0</v>
      </c>
      <c r="BC144" s="27"/>
      <c r="BD144" s="237"/>
      <c r="BE144" s="26">
        <v>0</v>
      </c>
      <c r="BF144" s="27"/>
      <c r="BG144" s="237"/>
      <c r="BH144" s="26">
        <v>0</v>
      </c>
      <c r="BI144" s="27"/>
      <c r="BJ144" s="454"/>
    </row>
    <row r="145" spans="1:62" s="28" customFormat="1" outlineLevel="1" x14ac:dyDescent="0.3">
      <c r="A145" s="93" t="s">
        <v>167</v>
      </c>
      <c r="B145" s="2"/>
      <c r="C145" s="23"/>
      <c r="D145" s="53" t="s">
        <v>143</v>
      </c>
      <c r="E145" s="85"/>
      <c r="F145" s="54"/>
      <c r="G145" s="32"/>
      <c r="H145" s="237"/>
      <c r="I145" s="26">
        <f>-SUMIFS(T_HEADCOUNT!$E:$E,T_HEADCOUNT!$C:$C,"-  Pia",T_HEADCOUNT!$D:$D,"1/2026",T_HEADCOUNT!$B:$B,"CLT")</f>
        <v>0</v>
      </c>
      <c r="J145" s="27">
        <f>SUMIFS(T_REAL!$D:$D,T_REAL!$E:$E,DRE!J$7,T_REAL!$C:$C,DRE!$A145)+SUMIFS(Aut_Ajustes_Manuais!$G:$G,Aut_Ajustes_Manuais!$I:$I,DRE!H$4,Aut_Ajustes_Manuais!$F:$F,"  -  Pia")</f>
        <v>0</v>
      </c>
      <c r="K145" s="237"/>
      <c r="L145" s="26">
        <f>-SUMIFS(T_HEADCOUNT!$E:$E,T_HEADCOUNT!$C:$C,"-  Pia",T_HEADCOUNT!$D:$D,"2/2026",T_HEADCOUNT!$B:$B,"CLT")</f>
        <v>0</v>
      </c>
      <c r="M145" s="27">
        <f>SUMIFS(T_REAL!$D:$D,T_REAL!$E:$E,DRE!M$7,T_REAL!$C:$C,DRE!$A145)+SUMIFS(Aut_Ajustes_Manuais!$G:$G,Aut_Ajustes_Manuais!$I:$I,DRE!K$4,Aut_Ajustes_Manuais!$F:$F,"  -  Pia")</f>
        <v>0</v>
      </c>
      <c r="N145" s="237"/>
      <c r="O145" s="26">
        <f>-SUMIFS(T_HEADCOUNT!$E:$E,T_HEADCOUNT!$C:$C,"-  Pia",T_HEADCOUNT!$D:$D,"3/2026",T_HEADCOUNT!$B:$B,"CLT")</f>
        <v>0</v>
      </c>
      <c r="P145" s="27">
        <f>SUMIFS(T_REAL!$D:$D,T_REAL!$E:$E,DRE!P$7,T_REAL!$C:$C,DRE!$A145)+SUMIFS(Aut_Ajustes_Manuais!$G:$G,Aut_Ajustes_Manuais!$I:$I,DRE!N$4,Aut_Ajustes_Manuais!$F:$F,"  -  Pia")</f>
        <v>0</v>
      </c>
      <c r="Q145" s="237"/>
      <c r="R145" s="26">
        <f>-SUMIFS(T_HEADCOUNT!$E:$E,T_HEADCOUNT!$C:$C,"-  Pia",T_HEADCOUNT!$D:$D,"4/2026",T_HEADCOUNT!$B:$B,"CLT")</f>
        <v>0</v>
      </c>
      <c r="S145" s="27">
        <f>SUMIFS(T_REAL!$D:$D,T_REAL!$E:$E,DRE!S$7,T_REAL!$C:$C,DRE!$A145)+SUMIFS(Aut_Ajustes_Manuais!$G:$G,Aut_Ajustes_Manuais!$I:$I,DRE!Q$4,Aut_Ajustes_Manuais!$F:$F,"  -  Pia")</f>
        <v>0</v>
      </c>
      <c r="T145" s="237"/>
      <c r="U145" s="26">
        <f>-SUMIFS(T_HEADCOUNT!$E:$E,T_HEADCOUNT!$C:$C,"-  Pia",T_HEADCOUNT!$D:$D,"5/2026",T_HEADCOUNT!$B:$B,"CLT")</f>
        <v>0</v>
      </c>
      <c r="V145" s="27">
        <f>SUMIFS(T_REAL!$D:$D,T_REAL!$E:$E,DRE!V$7,T_REAL!$C:$C,DRE!$A145)+SUMIFS(Aut_Ajustes_Manuais!$G:$G,Aut_Ajustes_Manuais!$I:$I,DRE!T$4,Aut_Ajustes_Manuais!$F:$F,"  -  Pia")</f>
        <v>0</v>
      </c>
      <c r="W145" s="237"/>
      <c r="X145" s="26">
        <f>-SUMIFS(T_HEADCOUNT!$E:$E,T_HEADCOUNT!$C:$C,"-  Pia",T_HEADCOUNT!$D:$D,"6/2026",T_HEADCOUNT!$B:$B,"CLT")</f>
        <v>0</v>
      </c>
      <c r="Y145" s="27">
        <f>SUMIFS(T_REAL!$D:$D,T_REAL!$E:$E,DRE!Y$7,T_REAL!$C:$C,DRE!$A145)+SUMIFS(Aut_Ajustes_Manuais!$G:$G,Aut_Ajustes_Manuais!$I:$I,DRE!W$4,Aut_Ajustes_Manuais!$F:$F,"  -  Pia")</f>
        <v>0</v>
      </c>
      <c r="Z145" s="237"/>
      <c r="AA145" s="26">
        <f>-SUMIFS(T_HEADCOUNT!$E:$E,T_HEADCOUNT!$C:$C,"-  Pia",T_HEADCOUNT!$D:$D,"7/2026",T_HEADCOUNT!$B:$B,"CLT")</f>
        <v>0</v>
      </c>
      <c r="AB145" s="27">
        <f>SUMIFS(T_REAL!$D:$D,T_REAL!$E:$E,DRE!AB$7,T_REAL!$C:$C,DRE!$A145)+SUMIFS(Aut_Ajustes_Manuais!$G:$G,Aut_Ajustes_Manuais!$I:$I,DRE!Z$4,Aut_Ajustes_Manuais!$F:$F,"  -  Pia")</f>
        <v>0</v>
      </c>
      <c r="AC145" s="237"/>
      <c r="AD145" s="26">
        <f>-SUMIFS(T_HEADCOUNT!$E:$E,T_HEADCOUNT!$C:$C,"-  Pia",T_HEADCOUNT!$D:$D,"8/2026",T_HEADCOUNT!$B:$B,"CLT")</f>
        <v>0</v>
      </c>
      <c r="AE145" s="27">
        <f>SUMIFS(T_REAL!$D:$D,T_REAL!$E:$E,DRE!AE$7,T_REAL!$C:$C,DRE!$A145)+SUMIFS(Aut_Ajustes_Manuais!$G:$G,Aut_Ajustes_Manuais!$I:$I,DRE!AC$4,Aut_Ajustes_Manuais!$F:$F,"  -  Pia")</f>
        <v>0</v>
      </c>
      <c r="AF145" s="237"/>
      <c r="AG145" s="26">
        <f>-SUMIFS(T_HEADCOUNT!$E:$E,T_HEADCOUNT!$C:$C,"-  Pia",T_HEADCOUNT!$D:$D,"9/2026",T_HEADCOUNT!$B:$B,"CLT")</f>
        <v>0</v>
      </c>
      <c r="AH145" s="27">
        <f>SUMIFS(T_REAL!$D:$D,T_REAL!$E:$E,DRE!AH$7,T_REAL!$C:$C,DRE!$A145)+SUMIFS(Aut_Ajustes_Manuais!$G:$G,Aut_Ajustes_Manuais!$I:$I,DRE!AF$4,Aut_Ajustes_Manuais!$F:$F,"  -  Pia")</f>
        <v>0</v>
      </c>
      <c r="AI145" s="237"/>
      <c r="AJ145" s="26">
        <f>-SUMIFS(T_HEADCOUNT!$E:$E,T_HEADCOUNT!$C:$C,"-  Pia",T_HEADCOUNT!$D:$D,"10/2026",T_HEADCOUNT!$B:$B,"CLT")</f>
        <v>0</v>
      </c>
      <c r="AK145" s="27">
        <f>SUMIFS(T_REAL!$D:$D,T_REAL!$E:$E,DRE!AK$7,T_REAL!$C:$C,DRE!$A145)+SUMIFS(Aut_Ajustes_Manuais!$G:$G,Aut_Ajustes_Manuais!$I:$I,DRE!AI$4,Aut_Ajustes_Manuais!$F:$F,"  -  Pia")</f>
        <v>0</v>
      </c>
      <c r="AL145" s="237"/>
      <c r="AM145" s="26">
        <f>-SUMIFS(T_HEADCOUNT!$E:$E,T_HEADCOUNT!$C:$C,"-  Pia",T_HEADCOUNT!$D:$D,"11/2026",T_HEADCOUNT!$B:$B,"CLT")</f>
        <v>0</v>
      </c>
      <c r="AN145" s="27">
        <f>SUMIFS(T_REAL!$D:$D,T_REAL!$E:$E,DRE!AN$7,T_REAL!$C:$C,DRE!$A145)+SUMIFS(Aut_Ajustes_Manuais!$G:$G,Aut_Ajustes_Manuais!$I:$I,DRE!AL$4,Aut_Ajustes_Manuais!$F:$F,"  -  Pia")</f>
        <v>0</v>
      </c>
      <c r="AO145" s="237"/>
      <c r="AP145" s="26">
        <f>-SUMIFS(T_HEADCOUNT!$E:$E,T_HEADCOUNT!$C:$C,"-  Pia",T_HEADCOUNT!$D:$D,"12/2026",T_HEADCOUNT!$B:$B,"CLT")</f>
        <v>0</v>
      </c>
      <c r="AQ145" s="27">
        <f>SUMIFS(T_REAL!$D:$D,T_REAL!$E:$E,DRE!AQ$7,T_REAL!$C:$C,DRE!$A145)+SUMIFS(Aut_Ajustes_Manuais!$G:$G,Aut_Ajustes_Manuais!$I:$I,DRE!AO$4,Aut_Ajustes_Manuais!$F:$F,"  -  Pia")</f>
        <v>0</v>
      </c>
      <c r="AR145" s="237">
        <f t="shared" ca="1" si="139"/>
        <v>0</v>
      </c>
      <c r="AS145" s="26">
        <f t="shared" ca="1" si="140"/>
        <v>0</v>
      </c>
      <c r="AT145" s="27">
        <f t="shared" ca="1" si="141"/>
        <v>0</v>
      </c>
      <c r="AU145" s="237"/>
      <c r="AV145" s="26"/>
      <c r="AW145" s="27"/>
      <c r="AX145" s="237"/>
      <c r="AY145" s="26">
        <v>0</v>
      </c>
      <c r="AZ145" s="27"/>
      <c r="BA145" s="237"/>
      <c r="BB145" s="26">
        <v>0</v>
      </c>
      <c r="BC145" s="27"/>
      <c r="BD145" s="237"/>
      <c r="BE145" s="26">
        <v>0</v>
      </c>
      <c r="BF145" s="27"/>
      <c r="BG145" s="237"/>
      <c r="BH145" s="26">
        <v>0</v>
      </c>
      <c r="BI145" s="27"/>
      <c r="BJ145" s="454"/>
    </row>
    <row r="146" spans="1:62" s="28" customFormat="1" outlineLevel="1" x14ac:dyDescent="0.3">
      <c r="A146" s="93" t="s">
        <v>168</v>
      </c>
      <c r="B146" s="2"/>
      <c r="C146" s="23"/>
      <c r="D146" s="53" t="s">
        <v>143</v>
      </c>
      <c r="E146" s="85"/>
      <c r="F146" s="54"/>
      <c r="G146" s="32"/>
      <c r="H146" s="237"/>
      <c r="I146" s="26">
        <f>-SUMIFS(T_HEADCOUNT!$E:$E,T_HEADCOUNT!$C:$C,"-  Sub Chefe de Confeitaria",T_HEADCOUNT!$D:$D,"1/2026",T_HEADCOUNT!$B:$B,"CLT")</f>
        <v>0</v>
      </c>
      <c r="J146" s="27">
        <f>SUMIFS(T_REAL!$D:$D,T_REAL!$E:$E,DRE!J$7,T_REAL!$C:$C,DRE!$A146)+SUMIFS(Aut_Ajustes_Manuais!$G:$G,Aut_Ajustes_Manuais!$I:$I,DRE!H$4,Aut_Ajustes_Manuais!$F:$F,"  -  Sub Chefe de Confeitaria")</f>
        <v>0</v>
      </c>
      <c r="K146" s="237"/>
      <c r="L146" s="26">
        <f>-SUMIFS(T_HEADCOUNT!$E:$E,T_HEADCOUNT!$C:$C,"-  Sub Chefe de Confeitaria",T_HEADCOUNT!$D:$D,"2/2026",T_HEADCOUNT!$B:$B,"CLT")</f>
        <v>0</v>
      </c>
      <c r="M146" s="27">
        <f>SUMIFS(T_REAL!$D:$D,T_REAL!$E:$E,DRE!M$7,T_REAL!$C:$C,DRE!$A146)+SUMIFS(Aut_Ajustes_Manuais!$G:$G,Aut_Ajustes_Manuais!$I:$I,DRE!K$4,Aut_Ajustes_Manuais!$F:$F,"  -  Sub Chefe de Confeitaria")</f>
        <v>0</v>
      </c>
      <c r="N146" s="237"/>
      <c r="O146" s="26">
        <f>-SUMIFS(T_HEADCOUNT!$E:$E,T_HEADCOUNT!$C:$C,"-  Sub Chefe de Confeitaria",T_HEADCOUNT!$D:$D,"3/2026",T_HEADCOUNT!$B:$B,"CLT")</f>
        <v>0</v>
      </c>
      <c r="P146" s="27">
        <f>SUMIFS(T_REAL!$D:$D,T_REAL!$E:$E,DRE!P$7,T_REAL!$C:$C,DRE!$A146)+SUMIFS(Aut_Ajustes_Manuais!$G:$G,Aut_Ajustes_Manuais!$I:$I,DRE!N$4,Aut_Ajustes_Manuais!$F:$F,"  -  Sub Chefe de Confeitaria")</f>
        <v>0</v>
      </c>
      <c r="Q146" s="237"/>
      <c r="R146" s="26">
        <f>-SUMIFS(T_HEADCOUNT!$E:$E,T_HEADCOUNT!$C:$C,"-  Sub Chefe de Confeitaria",T_HEADCOUNT!$D:$D,"4/2026",T_HEADCOUNT!$B:$B,"CLT")</f>
        <v>0</v>
      </c>
      <c r="S146" s="27">
        <f>SUMIFS(T_REAL!$D:$D,T_REAL!$E:$E,DRE!S$7,T_REAL!$C:$C,DRE!$A146)+SUMIFS(Aut_Ajustes_Manuais!$G:$G,Aut_Ajustes_Manuais!$I:$I,DRE!Q$4,Aut_Ajustes_Manuais!$F:$F,"  -  Sub Chefe de Confeitaria")</f>
        <v>0</v>
      </c>
      <c r="T146" s="237"/>
      <c r="U146" s="26">
        <f>-SUMIFS(T_HEADCOUNT!$E:$E,T_HEADCOUNT!$C:$C,"-  Sub Chefe de Confeitaria",T_HEADCOUNT!$D:$D,"5/2026",T_HEADCOUNT!$B:$B,"CLT")</f>
        <v>0</v>
      </c>
      <c r="V146" s="27">
        <f>SUMIFS(T_REAL!$D:$D,T_REAL!$E:$E,DRE!V$7,T_REAL!$C:$C,DRE!$A146)+SUMIFS(Aut_Ajustes_Manuais!$G:$G,Aut_Ajustes_Manuais!$I:$I,DRE!T$4,Aut_Ajustes_Manuais!$F:$F,"  -  Sub Chefe de Confeitaria")</f>
        <v>0</v>
      </c>
      <c r="W146" s="237"/>
      <c r="X146" s="26">
        <f>-SUMIFS(T_HEADCOUNT!$E:$E,T_HEADCOUNT!$C:$C,"-  Sub Chefe de Confeitaria",T_HEADCOUNT!$D:$D,"6/2026",T_HEADCOUNT!$B:$B,"CLT")</f>
        <v>0</v>
      </c>
      <c r="Y146" s="27">
        <f>SUMIFS(T_REAL!$D:$D,T_REAL!$E:$E,DRE!Y$7,T_REAL!$C:$C,DRE!$A146)+SUMIFS(Aut_Ajustes_Manuais!$G:$G,Aut_Ajustes_Manuais!$I:$I,DRE!W$4,Aut_Ajustes_Manuais!$F:$F,"  -  Sub Chefe de Confeitaria")</f>
        <v>0</v>
      </c>
      <c r="Z146" s="237"/>
      <c r="AA146" s="26">
        <f>-SUMIFS(T_HEADCOUNT!$E:$E,T_HEADCOUNT!$C:$C,"-  Sub Chefe de Confeitaria",T_HEADCOUNT!$D:$D,"7/2026",T_HEADCOUNT!$B:$B,"CLT")</f>
        <v>0</v>
      </c>
      <c r="AB146" s="27">
        <f>SUMIFS(T_REAL!$D:$D,T_REAL!$E:$E,DRE!AB$7,T_REAL!$C:$C,DRE!$A146)+SUMIFS(Aut_Ajustes_Manuais!$G:$G,Aut_Ajustes_Manuais!$I:$I,DRE!Z$4,Aut_Ajustes_Manuais!$F:$F,"  -  Sub Chefe de Confeitaria")</f>
        <v>0</v>
      </c>
      <c r="AC146" s="237"/>
      <c r="AD146" s="26">
        <f>-SUMIFS(T_HEADCOUNT!$E:$E,T_HEADCOUNT!$C:$C,"-  Sub Chefe de Confeitaria",T_HEADCOUNT!$D:$D,"8/2026",T_HEADCOUNT!$B:$B,"CLT")</f>
        <v>0</v>
      </c>
      <c r="AE146" s="27">
        <f>SUMIFS(T_REAL!$D:$D,T_REAL!$E:$E,DRE!AE$7,T_REAL!$C:$C,DRE!$A146)+SUMIFS(Aut_Ajustes_Manuais!$G:$G,Aut_Ajustes_Manuais!$I:$I,DRE!AC$4,Aut_Ajustes_Manuais!$F:$F,"  -  Sub Chefe de Confeitaria")</f>
        <v>0</v>
      </c>
      <c r="AF146" s="237"/>
      <c r="AG146" s="26">
        <f>-SUMIFS(T_HEADCOUNT!$E:$E,T_HEADCOUNT!$C:$C,"-  Sub Chefe de Confeitaria",T_HEADCOUNT!$D:$D,"9/2026",T_HEADCOUNT!$B:$B,"CLT")</f>
        <v>0</v>
      </c>
      <c r="AH146" s="27">
        <f>SUMIFS(T_REAL!$D:$D,T_REAL!$E:$E,DRE!AH$7,T_REAL!$C:$C,DRE!$A146)+SUMIFS(Aut_Ajustes_Manuais!$G:$G,Aut_Ajustes_Manuais!$I:$I,DRE!AF$4,Aut_Ajustes_Manuais!$F:$F,"  -  Sub Chefe de Confeitaria")</f>
        <v>0</v>
      </c>
      <c r="AI146" s="237"/>
      <c r="AJ146" s="26">
        <f>-SUMIFS(T_HEADCOUNT!$E:$E,T_HEADCOUNT!$C:$C,"-  Sub Chefe de Confeitaria",T_HEADCOUNT!$D:$D,"10/2026",T_HEADCOUNT!$B:$B,"CLT")</f>
        <v>0</v>
      </c>
      <c r="AK146" s="27">
        <f>SUMIFS(T_REAL!$D:$D,T_REAL!$E:$E,DRE!AK$7,T_REAL!$C:$C,DRE!$A146)+SUMIFS(Aut_Ajustes_Manuais!$G:$G,Aut_Ajustes_Manuais!$I:$I,DRE!AI$4,Aut_Ajustes_Manuais!$F:$F,"  -  Sub Chefe de Confeitaria")</f>
        <v>0</v>
      </c>
      <c r="AL146" s="237"/>
      <c r="AM146" s="26">
        <f>-SUMIFS(T_HEADCOUNT!$E:$E,T_HEADCOUNT!$C:$C,"-  Sub Chefe de Confeitaria",T_HEADCOUNT!$D:$D,"11/2026",T_HEADCOUNT!$B:$B,"CLT")</f>
        <v>0</v>
      </c>
      <c r="AN146" s="27">
        <f>SUMIFS(T_REAL!$D:$D,T_REAL!$E:$E,DRE!AN$7,T_REAL!$C:$C,DRE!$A146)+SUMIFS(Aut_Ajustes_Manuais!$G:$G,Aut_Ajustes_Manuais!$I:$I,DRE!AL$4,Aut_Ajustes_Manuais!$F:$F,"  -  Sub Chefe de Confeitaria")</f>
        <v>0</v>
      </c>
      <c r="AO146" s="237"/>
      <c r="AP146" s="26">
        <f>-SUMIFS(T_HEADCOUNT!$E:$E,T_HEADCOUNT!$C:$C,"-  Sub Chefe de Confeitaria",T_HEADCOUNT!$D:$D,"12/2026",T_HEADCOUNT!$B:$B,"CLT")</f>
        <v>0</v>
      </c>
      <c r="AQ146" s="27">
        <f>SUMIFS(T_REAL!$D:$D,T_REAL!$E:$E,DRE!AQ$7,T_REAL!$C:$C,DRE!$A146)+SUMIFS(Aut_Ajustes_Manuais!$G:$G,Aut_Ajustes_Manuais!$I:$I,DRE!AO$4,Aut_Ajustes_Manuais!$F:$F,"  -  Sub Chefe de Confeitaria")</f>
        <v>0</v>
      </c>
      <c r="AR146" s="237">
        <f t="shared" ca="1" si="139"/>
        <v>0</v>
      </c>
      <c r="AS146" s="26">
        <f t="shared" ca="1" si="140"/>
        <v>0</v>
      </c>
      <c r="AT146" s="27">
        <f t="shared" ca="1" si="141"/>
        <v>0</v>
      </c>
      <c r="AU146" s="237"/>
      <c r="AV146" s="26"/>
      <c r="AW146" s="27"/>
      <c r="AX146" s="237"/>
      <c r="AY146" s="26">
        <v>0</v>
      </c>
      <c r="AZ146" s="27"/>
      <c r="BA146" s="237"/>
      <c r="BB146" s="26">
        <v>0</v>
      </c>
      <c r="BC146" s="27"/>
      <c r="BD146" s="237"/>
      <c r="BE146" s="26">
        <v>0</v>
      </c>
      <c r="BF146" s="27"/>
      <c r="BG146" s="237"/>
      <c r="BH146" s="26">
        <v>0</v>
      </c>
      <c r="BI146" s="27"/>
      <c r="BJ146" s="454"/>
    </row>
    <row r="147" spans="1:62" s="28" customFormat="1" outlineLevel="1" x14ac:dyDescent="0.3">
      <c r="A147" s="93" t="s">
        <v>169</v>
      </c>
      <c r="B147" s="2"/>
      <c r="C147" s="23"/>
      <c r="D147" s="53" t="s">
        <v>143</v>
      </c>
      <c r="E147" s="85"/>
      <c r="F147" s="54"/>
      <c r="G147" s="32"/>
      <c r="H147" s="237"/>
      <c r="I147" s="26">
        <f>-SUMIFS(T_HEADCOUNT!$E:$E,T_HEADCOUNT!$C:$C,"-  Confeiteiro III",T_HEADCOUNT!$D:$D,"1/2026",T_HEADCOUNT!$B:$B,"CLT")</f>
        <v>0</v>
      </c>
      <c r="J147" s="27">
        <f>SUMIFS(T_REAL!$D:$D,T_REAL!$E:$E,DRE!J$7,T_REAL!$C:$C,DRE!$A147)+SUMIFS(Aut_Ajustes_Manuais!$G:$G,Aut_Ajustes_Manuais!$I:$I,DRE!H$4,Aut_Ajustes_Manuais!$F:$F,"  -  Confeiteiro III")</f>
        <v>0</v>
      </c>
      <c r="K147" s="237"/>
      <c r="L147" s="26">
        <f>-SUMIFS(T_HEADCOUNT!$E:$E,T_HEADCOUNT!$C:$C,"-  Confeiteiro III",T_HEADCOUNT!$D:$D,"2/2026",T_HEADCOUNT!$B:$B,"CLT")</f>
        <v>0</v>
      </c>
      <c r="M147" s="27">
        <f>SUMIFS(T_REAL!$D:$D,T_REAL!$E:$E,DRE!M$7,T_REAL!$C:$C,DRE!$A147)+SUMIFS(Aut_Ajustes_Manuais!$G:$G,Aut_Ajustes_Manuais!$I:$I,DRE!K$4,Aut_Ajustes_Manuais!$F:$F,"  -  Confeiteiro III")</f>
        <v>0</v>
      </c>
      <c r="N147" s="237"/>
      <c r="O147" s="26">
        <f>-SUMIFS(T_HEADCOUNT!$E:$E,T_HEADCOUNT!$C:$C,"-  Confeiteiro III",T_HEADCOUNT!$D:$D,"3/2026",T_HEADCOUNT!$B:$B,"CLT")</f>
        <v>0</v>
      </c>
      <c r="P147" s="27">
        <f>SUMIFS(T_REAL!$D:$D,T_REAL!$E:$E,DRE!P$7,T_REAL!$C:$C,DRE!$A147)+SUMIFS(Aut_Ajustes_Manuais!$G:$G,Aut_Ajustes_Manuais!$I:$I,DRE!N$4,Aut_Ajustes_Manuais!$F:$F,"  -  Confeiteiro III")</f>
        <v>0</v>
      </c>
      <c r="Q147" s="237"/>
      <c r="R147" s="26">
        <f>-SUMIFS(T_HEADCOUNT!$E:$E,T_HEADCOUNT!$C:$C,"-  Confeiteiro III",T_HEADCOUNT!$D:$D,"4/2026",T_HEADCOUNT!$B:$B,"CLT")</f>
        <v>0</v>
      </c>
      <c r="S147" s="27">
        <f>SUMIFS(T_REAL!$D:$D,T_REAL!$E:$E,DRE!S$7,T_REAL!$C:$C,DRE!$A147)+SUMIFS(Aut_Ajustes_Manuais!$G:$G,Aut_Ajustes_Manuais!$I:$I,DRE!Q$4,Aut_Ajustes_Manuais!$F:$F,"  -  Confeiteiro III")</f>
        <v>0</v>
      </c>
      <c r="T147" s="237"/>
      <c r="U147" s="26">
        <f>-SUMIFS(T_HEADCOUNT!$E:$E,T_HEADCOUNT!$C:$C,"-  Confeiteiro III",T_HEADCOUNT!$D:$D,"5/2026",T_HEADCOUNT!$B:$B,"CLT")</f>
        <v>0</v>
      </c>
      <c r="V147" s="27">
        <f>SUMIFS(T_REAL!$D:$D,T_REAL!$E:$E,DRE!V$7,T_REAL!$C:$C,DRE!$A147)+SUMIFS(Aut_Ajustes_Manuais!$G:$G,Aut_Ajustes_Manuais!$I:$I,DRE!T$4,Aut_Ajustes_Manuais!$F:$F,"  -  Confeiteiro III")</f>
        <v>0</v>
      </c>
      <c r="W147" s="237"/>
      <c r="X147" s="26">
        <f>-SUMIFS(T_HEADCOUNT!$E:$E,T_HEADCOUNT!$C:$C,"-  Confeiteiro III",T_HEADCOUNT!$D:$D,"6/2026",T_HEADCOUNT!$B:$B,"CLT")</f>
        <v>0</v>
      </c>
      <c r="Y147" s="27">
        <f>SUMIFS(T_REAL!$D:$D,T_REAL!$E:$E,DRE!Y$7,T_REAL!$C:$C,DRE!$A147)+SUMIFS(Aut_Ajustes_Manuais!$G:$G,Aut_Ajustes_Manuais!$I:$I,DRE!W$4,Aut_Ajustes_Manuais!$F:$F,"  -  Confeiteiro III")</f>
        <v>0</v>
      </c>
      <c r="Z147" s="237"/>
      <c r="AA147" s="26">
        <f>-SUMIFS(T_HEADCOUNT!$E:$E,T_HEADCOUNT!$C:$C,"-  Confeiteiro III",T_HEADCOUNT!$D:$D,"7/2026",T_HEADCOUNT!$B:$B,"CLT")</f>
        <v>0</v>
      </c>
      <c r="AB147" s="27">
        <f>SUMIFS(T_REAL!$D:$D,T_REAL!$E:$E,DRE!AB$7,T_REAL!$C:$C,DRE!$A147)+SUMIFS(Aut_Ajustes_Manuais!$G:$G,Aut_Ajustes_Manuais!$I:$I,DRE!Z$4,Aut_Ajustes_Manuais!$F:$F,"  -  Confeiteiro III")</f>
        <v>0</v>
      </c>
      <c r="AC147" s="237"/>
      <c r="AD147" s="26">
        <f>-SUMIFS(T_HEADCOUNT!$E:$E,T_HEADCOUNT!$C:$C,"-  Confeiteiro III",T_HEADCOUNT!$D:$D,"8/2026",T_HEADCOUNT!$B:$B,"CLT")</f>
        <v>0</v>
      </c>
      <c r="AE147" s="27">
        <f>SUMIFS(T_REAL!$D:$D,T_REAL!$E:$E,DRE!AE$7,T_REAL!$C:$C,DRE!$A147)+SUMIFS(Aut_Ajustes_Manuais!$G:$G,Aut_Ajustes_Manuais!$I:$I,DRE!AC$4,Aut_Ajustes_Manuais!$F:$F,"  -  Confeiteiro III")</f>
        <v>0</v>
      </c>
      <c r="AF147" s="237"/>
      <c r="AG147" s="26">
        <f>-SUMIFS(T_HEADCOUNT!$E:$E,T_HEADCOUNT!$C:$C,"-  Confeiteiro III",T_HEADCOUNT!$D:$D,"9/2026",T_HEADCOUNT!$B:$B,"CLT")</f>
        <v>0</v>
      </c>
      <c r="AH147" s="27">
        <f>SUMIFS(T_REAL!$D:$D,T_REAL!$E:$E,DRE!AH$7,T_REAL!$C:$C,DRE!$A147)+SUMIFS(Aut_Ajustes_Manuais!$G:$G,Aut_Ajustes_Manuais!$I:$I,DRE!AF$4,Aut_Ajustes_Manuais!$F:$F,"  -  Confeiteiro III")</f>
        <v>0</v>
      </c>
      <c r="AI147" s="237"/>
      <c r="AJ147" s="26">
        <f>-SUMIFS(T_HEADCOUNT!$E:$E,T_HEADCOUNT!$C:$C,"-  Confeiteiro III",T_HEADCOUNT!$D:$D,"10/2026",T_HEADCOUNT!$B:$B,"CLT")</f>
        <v>0</v>
      </c>
      <c r="AK147" s="27">
        <f>SUMIFS(T_REAL!$D:$D,T_REAL!$E:$E,DRE!AK$7,T_REAL!$C:$C,DRE!$A147)+SUMIFS(Aut_Ajustes_Manuais!$G:$G,Aut_Ajustes_Manuais!$I:$I,DRE!AI$4,Aut_Ajustes_Manuais!$F:$F,"  -  Confeiteiro III")</f>
        <v>0</v>
      </c>
      <c r="AL147" s="237"/>
      <c r="AM147" s="26">
        <f>-SUMIFS(T_HEADCOUNT!$E:$E,T_HEADCOUNT!$C:$C,"-  Confeiteiro III",T_HEADCOUNT!$D:$D,"11/2026",T_HEADCOUNT!$B:$B,"CLT")</f>
        <v>0</v>
      </c>
      <c r="AN147" s="27">
        <f>SUMIFS(T_REAL!$D:$D,T_REAL!$E:$E,DRE!AN$7,T_REAL!$C:$C,DRE!$A147)+SUMIFS(Aut_Ajustes_Manuais!$G:$G,Aut_Ajustes_Manuais!$I:$I,DRE!AL$4,Aut_Ajustes_Manuais!$F:$F,"  -  Confeiteiro III")</f>
        <v>0</v>
      </c>
      <c r="AO147" s="237"/>
      <c r="AP147" s="26">
        <f>-SUMIFS(T_HEADCOUNT!$E:$E,T_HEADCOUNT!$C:$C,"-  Confeiteiro III",T_HEADCOUNT!$D:$D,"12/2026",T_HEADCOUNT!$B:$B,"CLT")</f>
        <v>0</v>
      </c>
      <c r="AQ147" s="27">
        <f>SUMIFS(T_REAL!$D:$D,T_REAL!$E:$E,DRE!AQ$7,T_REAL!$C:$C,DRE!$A147)+SUMIFS(Aut_Ajustes_Manuais!$G:$G,Aut_Ajustes_Manuais!$I:$I,DRE!AO$4,Aut_Ajustes_Manuais!$F:$F,"  -  Confeiteiro III")</f>
        <v>0</v>
      </c>
      <c r="AR147" s="237">
        <f t="shared" ca="1" si="139"/>
        <v>0</v>
      </c>
      <c r="AS147" s="26">
        <f t="shared" ca="1" si="140"/>
        <v>0</v>
      </c>
      <c r="AT147" s="27">
        <f t="shared" ca="1" si="141"/>
        <v>0</v>
      </c>
      <c r="AU147" s="237"/>
      <c r="AV147" s="26"/>
      <c r="AW147" s="27"/>
      <c r="AX147" s="237"/>
      <c r="AY147" s="26">
        <v>0</v>
      </c>
      <c r="AZ147" s="27"/>
      <c r="BA147" s="237"/>
      <c r="BB147" s="26">
        <v>0</v>
      </c>
      <c r="BC147" s="27"/>
      <c r="BD147" s="237"/>
      <c r="BE147" s="26">
        <v>0</v>
      </c>
      <c r="BF147" s="27"/>
      <c r="BG147" s="237"/>
      <c r="BH147" s="26">
        <v>0</v>
      </c>
      <c r="BI147" s="27"/>
      <c r="BJ147" s="454"/>
    </row>
    <row r="148" spans="1:62" s="28" customFormat="1" outlineLevel="1" x14ac:dyDescent="0.3">
      <c r="A148" s="93" t="s">
        <v>170</v>
      </c>
      <c r="B148" s="2"/>
      <c r="C148" s="23"/>
      <c r="D148" s="53" t="s">
        <v>143</v>
      </c>
      <c r="E148" s="85"/>
      <c r="F148" s="54"/>
      <c r="G148" s="32"/>
      <c r="H148" s="237"/>
      <c r="I148" s="26">
        <f>-SUMIFS(T_HEADCOUNT!$E:$E,T_HEADCOUNT!$C:$C,"-  Confeiteiro II",T_HEADCOUNT!$D:$D,"1/2026",T_HEADCOUNT!$B:$B,"CLT")</f>
        <v>0</v>
      </c>
      <c r="J148" s="27">
        <f>SUMIFS(T_REAL!$D:$D,T_REAL!$E:$E,DRE!J$7,T_REAL!$C:$C,DRE!$A148)+SUMIFS(Aut_Ajustes_Manuais!$G:$G,Aut_Ajustes_Manuais!$I:$I,DRE!H$4,Aut_Ajustes_Manuais!$F:$F,"  -  Confeiteiro II")</f>
        <v>0</v>
      </c>
      <c r="K148" s="237"/>
      <c r="L148" s="26">
        <f>-SUMIFS(T_HEADCOUNT!$E:$E,T_HEADCOUNT!$C:$C,"-  Confeiteiro II",T_HEADCOUNT!$D:$D,"2/2026",T_HEADCOUNT!$B:$B,"CLT")</f>
        <v>0</v>
      </c>
      <c r="M148" s="27">
        <f>SUMIFS(T_REAL!$D:$D,T_REAL!$E:$E,DRE!M$7,T_REAL!$C:$C,DRE!$A148)+SUMIFS(Aut_Ajustes_Manuais!$G:$G,Aut_Ajustes_Manuais!$I:$I,DRE!K$4,Aut_Ajustes_Manuais!$F:$F,"  -  Confeiteiro II")</f>
        <v>0</v>
      </c>
      <c r="N148" s="237"/>
      <c r="O148" s="26">
        <f>-SUMIFS(T_HEADCOUNT!$E:$E,T_HEADCOUNT!$C:$C,"-  Confeiteiro II",T_HEADCOUNT!$D:$D,"3/2026",T_HEADCOUNT!$B:$B,"CLT")</f>
        <v>0</v>
      </c>
      <c r="P148" s="27">
        <f>SUMIFS(T_REAL!$D:$D,T_REAL!$E:$E,DRE!P$7,T_REAL!$C:$C,DRE!$A148)+SUMIFS(Aut_Ajustes_Manuais!$G:$G,Aut_Ajustes_Manuais!$I:$I,DRE!N$4,Aut_Ajustes_Manuais!$F:$F,"  -  Confeiteiro II")</f>
        <v>0</v>
      </c>
      <c r="Q148" s="237"/>
      <c r="R148" s="26">
        <f>-SUMIFS(T_HEADCOUNT!$E:$E,T_HEADCOUNT!$C:$C,"-  Confeiteiro II",T_HEADCOUNT!$D:$D,"4/2026",T_HEADCOUNT!$B:$B,"CLT")</f>
        <v>0</v>
      </c>
      <c r="S148" s="27">
        <f>SUMIFS(T_REAL!$D:$D,T_REAL!$E:$E,DRE!S$7,T_REAL!$C:$C,DRE!$A148)+SUMIFS(Aut_Ajustes_Manuais!$G:$G,Aut_Ajustes_Manuais!$I:$I,DRE!Q$4,Aut_Ajustes_Manuais!$F:$F,"  -  Confeiteiro II")</f>
        <v>0</v>
      </c>
      <c r="T148" s="237"/>
      <c r="U148" s="26">
        <f>-SUMIFS(T_HEADCOUNT!$E:$E,T_HEADCOUNT!$C:$C,"-  Confeiteiro II",T_HEADCOUNT!$D:$D,"5/2026",T_HEADCOUNT!$B:$B,"CLT")</f>
        <v>0</v>
      </c>
      <c r="V148" s="27">
        <f>SUMIFS(T_REAL!$D:$D,T_REAL!$E:$E,DRE!V$7,T_REAL!$C:$C,DRE!$A148)+SUMIFS(Aut_Ajustes_Manuais!$G:$G,Aut_Ajustes_Manuais!$I:$I,DRE!T$4,Aut_Ajustes_Manuais!$F:$F,"  -  Confeiteiro II")</f>
        <v>0</v>
      </c>
      <c r="W148" s="237"/>
      <c r="X148" s="26">
        <f>-SUMIFS(T_HEADCOUNT!$E:$E,T_HEADCOUNT!$C:$C,"-  Confeiteiro II",T_HEADCOUNT!$D:$D,"6/2026",T_HEADCOUNT!$B:$B,"CLT")</f>
        <v>0</v>
      </c>
      <c r="Y148" s="27">
        <f>SUMIFS(T_REAL!$D:$D,T_REAL!$E:$E,DRE!Y$7,T_REAL!$C:$C,DRE!$A148)+SUMIFS(Aut_Ajustes_Manuais!$G:$G,Aut_Ajustes_Manuais!$I:$I,DRE!W$4,Aut_Ajustes_Manuais!$F:$F,"  -  Confeiteiro II")</f>
        <v>0</v>
      </c>
      <c r="Z148" s="237"/>
      <c r="AA148" s="26">
        <f>-SUMIFS(T_HEADCOUNT!$E:$E,T_HEADCOUNT!$C:$C,"-  Confeiteiro II",T_HEADCOUNT!$D:$D,"7/2026",T_HEADCOUNT!$B:$B,"CLT")</f>
        <v>0</v>
      </c>
      <c r="AB148" s="27">
        <f>SUMIFS(T_REAL!$D:$D,T_REAL!$E:$E,DRE!AB$7,T_REAL!$C:$C,DRE!$A148)+SUMIFS(Aut_Ajustes_Manuais!$G:$G,Aut_Ajustes_Manuais!$I:$I,DRE!Z$4,Aut_Ajustes_Manuais!$F:$F,"  -  Confeiteiro II")</f>
        <v>0</v>
      </c>
      <c r="AC148" s="237"/>
      <c r="AD148" s="26">
        <f>-SUMIFS(T_HEADCOUNT!$E:$E,T_HEADCOUNT!$C:$C,"-  Confeiteiro II",T_HEADCOUNT!$D:$D,"8/2026",T_HEADCOUNT!$B:$B,"CLT")</f>
        <v>0</v>
      </c>
      <c r="AE148" s="27">
        <f>SUMIFS(T_REAL!$D:$D,T_REAL!$E:$E,DRE!AE$7,T_REAL!$C:$C,DRE!$A148)+SUMIFS(Aut_Ajustes_Manuais!$G:$G,Aut_Ajustes_Manuais!$I:$I,DRE!AC$4,Aut_Ajustes_Manuais!$F:$F,"  -  Confeiteiro II")</f>
        <v>0</v>
      </c>
      <c r="AF148" s="237"/>
      <c r="AG148" s="26">
        <f>-SUMIFS(T_HEADCOUNT!$E:$E,T_HEADCOUNT!$C:$C,"-  Confeiteiro II",T_HEADCOUNT!$D:$D,"9/2026",T_HEADCOUNT!$B:$B,"CLT")</f>
        <v>0</v>
      </c>
      <c r="AH148" s="27">
        <f>SUMIFS(T_REAL!$D:$D,T_REAL!$E:$E,DRE!AH$7,T_REAL!$C:$C,DRE!$A148)+SUMIFS(Aut_Ajustes_Manuais!$G:$G,Aut_Ajustes_Manuais!$I:$I,DRE!AF$4,Aut_Ajustes_Manuais!$F:$F,"  -  Confeiteiro II")</f>
        <v>0</v>
      </c>
      <c r="AI148" s="237"/>
      <c r="AJ148" s="26">
        <f>-SUMIFS(T_HEADCOUNT!$E:$E,T_HEADCOUNT!$C:$C,"-  Confeiteiro II",T_HEADCOUNT!$D:$D,"10/2026",T_HEADCOUNT!$B:$B,"CLT")</f>
        <v>0</v>
      </c>
      <c r="AK148" s="27">
        <f>SUMIFS(T_REAL!$D:$D,T_REAL!$E:$E,DRE!AK$7,T_REAL!$C:$C,DRE!$A148)+SUMIFS(Aut_Ajustes_Manuais!$G:$G,Aut_Ajustes_Manuais!$I:$I,DRE!AI$4,Aut_Ajustes_Manuais!$F:$F,"  -  Confeiteiro II")</f>
        <v>0</v>
      </c>
      <c r="AL148" s="237"/>
      <c r="AM148" s="26">
        <f>-SUMIFS(T_HEADCOUNT!$E:$E,T_HEADCOUNT!$C:$C,"-  Confeiteiro II",T_HEADCOUNT!$D:$D,"11/2026",T_HEADCOUNT!$B:$B,"CLT")</f>
        <v>0</v>
      </c>
      <c r="AN148" s="27">
        <f>SUMIFS(T_REAL!$D:$D,T_REAL!$E:$E,DRE!AN$7,T_REAL!$C:$C,DRE!$A148)+SUMIFS(Aut_Ajustes_Manuais!$G:$G,Aut_Ajustes_Manuais!$I:$I,DRE!AL$4,Aut_Ajustes_Manuais!$F:$F,"  -  Confeiteiro II")</f>
        <v>0</v>
      </c>
      <c r="AO148" s="237"/>
      <c r="AP148" s="26">
        <f>-SUMIFS(T_HEADCOUNT!$E:$E,T_HEADCOUNT!$C:$C,"-  Confeiteiro II",T_HEADCOUNT!$D:$D,"12/2026",T_HEADCOUNT!$B:$B,"CLT")</f>
        <v>0</v>
      </c>
      <c r="AQ148" s="27">
        <f>SUMIFS(T_REAL!$D:$D,T_REAL!$E:$E,DRE!AQ$7,T_REAL!$C:$C,DRE!$A148)+SUMIFS(Aut_Ajustes_Manuais!$G:$G,Aut_Ajustes_Manuais!$I:$I,DRE!AO$4,Aut_Ajustes_Manuais!$F:$F,"  -  Confeiteiro II")</f>
        <v>0</v>
      </c>
      <c r="AR148" s="237">
        <f t="shared" ca="1" si="139"/>
        <v>0</v>
      </c>
      <c r="AS148" s="26">
        <f t="shared" ca="1" si="140"/>
        <v>0</v>
      </c>
      <c r="AT148" s="27">
        <f t="shared" ca="1" si="141"/>
        <v>0</v>
      </c>
      <c r="AU148" s="237"/>
      <c r="AV148" s="26"/>
      <c r="AW148" s="27"/>
      <c r="AX148" s="237"/>
      <c r="AY148" s="26">
        <v>0</v>
      </c>
      <c r="AZ148" s="27"/>
      <c r="BA148" s="237"/>
      <c r="BB148" s="26">
        <v>0</v>
      </c>
      <c r="BC148" s="27"/>
      <c r="BD148" s="237"/>
      <c r="BE148" s="26">
        <v>0</v>
      </c>
      <c r="BF148" s="27"/>
      <c r="BG148" s="237"/>
      <c r="BH148" s="26">
        <v>0</v>
      </c>
      <c r="BI148" s="27"/>
      <c r="BJ148" s="454"/>
    </row>
    <row r="149" spans="1:62" s="28" customFormat="1" outlineLevel="1" x14ac:dyDescent="0.3">
      <c r="A149" s="93" t="s">
        <v>171</v>
      </c>
      <c r="B149" s="2"/>
      <c r="C149" s="23"/>
      <c r="D149" s="53" t="s">
        <v>143</v>
      </c>
      <c r="E149" s="85"/>
      <c r="F149" s="54"/>
      <c r="G149" s="32"/>
      <c r="H149" s="237"/>
      <c r="I149" s="26">
        <f>-SUMIFS(T_HEADCOUNT!$E:$E,T_HEADCOUNT!$C:$C,"-  Confeiteiro I",T_HEADCOUNT!$D:$D,"1/2026",T_HEADCOUNT!$B:$B,"CLT")</f>
        <v>0</v>
      </c>
      <c r="J149" s="27">
        <f>SUMIFS(T_REAL!$D:$D,T_REAL!$E:$E,DRE!J$7,T_REAL!$C:$C,DRE!$A149)+SUMIFS(Aut_Ajustes_Manuais!$G:$G,Aut_Ajustes_Manuais!$I:$I,DRE!H$4,Aut_Ajustes_Manuais!$F:$F,"  -  Confeiteiro I")</f>
        <v>0</v>
      </c>
      <c r="K149" s="237"/>
      <c r="L149" s="26">
        <f>-SUMIFS(T_HEADCOUNT!$E:$E,T_HEADCOUNT!$C:$C,"-  Confeiteiro I",T_HEADCOUNT!$D:$D,"2/2026",T_HEADCOUNT!$B:$B,"CLT")</f>
        <v>0</v>
      </c>
      <c r="M149" s="27">
        <f>SUMIFS(T_REAL!$D:$D,T_REAL!$E:$E,DRE!M$7,T_REAL!$C:$C,DRE!$A149)+SUMIFS(Aut_Ajustes_Manuais!$G:$G,Aut_Ajustes_Manuais!$I:$I,DRE!K$4,Aut_Ajustes_Manuais!$F:$F,"  -  Confeiteiro I")</f>
        <v>0</v>
      </c>
      <c r="N149" s="237"/>
      <c r="O149" s="26">
        <f>-SUMIFS(T_HEADCOUNT!$E:$E,T_HEADCOUNT!$C:$C,"-  Confeiteiro I",T_HEADCOUNT!$D:$D,"3/2026",T_HEADCOUNT!$B:$B,"CLT")</f>
        <v>0</v>
      </c>
      <c r="P149" s="27">
        <f>SUMIFS(T_REAL!$D:$D,T_REAL!$E:$E,DRE!P$7,T_REAL!$C:$C,DRE!$A149)+SUMIFS(Aut_Ajustes_Manuais!$G:$G,Aut_Ajustes_Manuais!$I:$I,DRE!N$4,Aut_Ajustes_Manuais!$F:$F,"  -  Confeiteiro I")</f>
        <v>0</v>
      </c>
      <c r="Q149" s="237"/>
      <c r="R149" s="26">
        <f>-SUMIFS(T_HEADCOUNT!$E:$E,T_HEADCOUNT!$C:$C,"-  Confeiteiro I",T_HEADCOUNT!$D:$D,"4/2026",T_HEADCOUNT!$B:$B,"CLT")</f>
        <v>0</v>
      </c>
      <c r="S149" s="27">
        <f>SUMIFS(T_REAL!$D:$D,T_REAL!$E:$E,DRE!S$7,T_REAL!$C:$C,DRE!$A149)+SUMIFS(Aut_Ajustes_Manuais!$G:$G,Aut_Ajustes_Manuais!$I:$I,DRE!Q$4,Aut_Ajustes_Manuais!$F:$F,"  -  Confeiteiro I")</f>
        <v>0</v>
      </c>
      <c r="T149" s="237"/>
      <c r="U149" s="26">
        <f>-SUMIFS(T_HEADCOUNT!$E:$E,T_HEADCOUNT!$C:$C,"-  Confeiteiro I",T_HEADCOUNT!$D:$D,"5/2026",T_HEADCOUNT!$B:$B,"CLT")</f>
        <v>0</v>
      </c>
      <c r="V149" s="27">
        <f>SUMIFS(T_REAL!$D:$D,T_REAL!$E:$E,DRE!V$7,T_REAL!$C:$C,DRE!$A149)+SUMIFS(Aut_Ajustes_Manuais!$G:$G,Aut_Ajustes_Manuais!$I:$I,DRE!T$4,Aut_Ajustes_Manuais!$F:$F,"  -  Confeiteiro I")</f>
        <v>0</v>
      </c>
      <c r="W149" s="237"/>
      <c r="X149" s="26">
        <f>-SUMIFS(T_HEADCOUNT!$E:$E,T_HEADCOUNT!$C:$C,"-  Confeiteiro I",T_HEADCOUNT!$D:$D,"6/2026",T_HEADCOUNT!$B:$B,"CLT")</f>
        <v>0</v>
      </c>
      <c r="Y149" s="27">
        <f>SUMIFS(T_REAL!$D:$D,T_REAL!$E:$E,DRE!Y$7,T_REAL!$C:$C,DRE!$A149)+SUMIFS(Aut_Ajustes_Manuais!$G:$G,Aut_Ajustes_Manuais!$I:$I,DRE!W$4,Aut_Ajustes_Manuais!$F:$F,"  -  Confeiteiro I")</f>
        <v>0</v>
      </c>
      <c r="Z149" s="237"/>
      <c r="AA149" s="26">
        <f>-SUMIFS(T_HEADCOUNT!$E:$E,T_HEADCOUNT!$C:$C,"-  Confeiteiro I",T_HEADCOUNT!$D:$D,"7/2026",T_HEADCOUNT!$B:$B,"CLT")</f>
        <v>0</v>
      </c>
      <c r="AB149" s="27">
        <f>SUMIFS(T_REAL!$D:$D,T_REAL!$E:$E,DRE!AB$7,T_REAL!$C:$C,DRE!$A149)+SUMIFS(Aut_Ajustes_Manuais!$G:$G,Aut_Ajustes_Manuais!$I:$I,DRE!Z$4,Aut_Ajustes_Manuais!$F:$F,"  -  Confeiteiro I")</f>
        <v>0</v>
      </c>
      <c r="AC149" s="237"/>
      <c r="AD149" s="26">
        <f>-SUMIFS(T_HEADCOUNT!$E:$E,T_HEADCOUNT!$C:$C,"-  Confeiteiro I",T_HEADCOUNT!$D:$D,"8/2026",T_HEADCOUNT!$B:$B,"CLT")</f>
        <v>0</v>
      </c>
      <c r="AE149" s="27">
        <f>SUMIFS(T_REAL!$D:$D,T_REAL!$E:$E,DRE!AE$7,T_REAL!$C:$C,DRE!$A149)+SUMIFS(Aut_Ajustes_Manuais!$G:$G,Aut_Ajustes_Manuais!$I:$I,DRE!AC$4,Aut_Ajustes_Manuais!$F:$F,"  -  Confeiteiro I")</f>
        <v>0</v>
      </c>
      <c r="AF149" s="237"/>
      <c r="AG149" s="26">
        <f>-SUMIFS(T_HEADCOUNT!$E:$E,T_HEADCOUNT!$C:$C,"-  Confeiteiro I",T_HEADCOUNT!$D:$D,"9/2026",T_HEADCOUNT!$B:$B,"CLT")</f>
        <v>0</v>
      </c>
      <c r="AH149" s="27">
        <f>SUMIFS(T_REAL!$D:$D,T_REAL!$E:$E,DRE!AH$7,T_REAL!$C:$C,DRE!$A149)+SUMIFS(Aut_Ajustes_Manuais!$G:$G,Aut_Ajustes_Manuais!$I:$I,DRE!AF$4,Aut_Ajustes_Manuais!$F:$F,"  -  Confeiteiro I")</f>
        <v>0</v>
      </c>
      <c r="AI149" s="237"/>
      <c r="AJ149" s="26">
        <f>-SUMIFS(T_HEADCOUNT!$E:$E,T_HEADCOUNT!$C:$C,"-  Confeiteiro I",T_HEADCOUNT!$D:$D,"10/2026",T_HEADCOUNT!$B:$B,"CLT")</f>
        <v>0</v>
      </c>
      <c r="AK149" s="27">
        <f>SUMIFS(T_REAL!$D:$D,T_REAL!$E:$E,DRE!AK$7,T_REAL!$C:$C,DRE!$A149)+SUMIFS(Aut_Ajustes_Manuais!$G:$G,Aut_Ajustes_Manuais!$I:$I,DRE!AI$4,Aut_Ajustes_Manuais!$F:$F,"  -  Confeiteiro I")</f>
        <v>0</v>
      </c>
      <c r="AL149" s="237"/>
      <c r="AM149" s="26">
        <f>-SUMIFS(T_HEADCOUNT!$E:$E,T_HEADCOUNT!$C:$C,"-  Confeiteiro I",T_HEADCOUNT!$D:$D,"11/2026",T_HEADCOUNT!$B:$B,"CLT")</f>
        <v>0</v>
      </c>
      <c r="AN149" s="27">
        <f>SUMIFS(T_REAL!$D:$D,T_REAL!$E:$E,DRE!AN$7,T_REAL!$C:$C,DRE!$A149)+SUMIFS(Aut_Ajustes_Manuais!$G:$G,Aut_Ajustes_Manuais!$I:$I,DRE!AL$4,Aut_Ajustes_Manuais!$F:$F,"  -  Confeiteiro I")</f>
        <v>0</v>
      </c>
      <c r="AO149" s="237"/>
      <c r="AP149" s="26">
        <f>-SUMIFS(T_HEADCOUNT!$E:$E,T_HEADCOUNT!$C:$C,"-  Confeiteiro I",T_HEADCOUNT!$D:$D,"12/2026",T_HEADCOUNT!$B:$B,"CLT")</f>
        <v>0</v>
      </c>
      <c r="AQ149" s="27">
        <f>SUMIFS(T_REAL!$D:$D,T_REAL!$E:$E,DRE!AQ$7,T_REAL!$C:$C,DRE!$A149)+SUMIFS(Aut_Ajustes_Manuais!$G:$G,Aut_Ajustes_Manuais!$I:$I,DRE!AO$4,Aut_Ajustes_Manuais!$F:$F,"  -  Confeiteiro I")</f>
        <v>0</v>
      </c>
      <c r="AR149" s="237">
        <f t="shared" ca="1" si="139"/>
        <v>0</v>
      </c>
      <c r="AS149" s="26">
        <f t="shared" ca="1" si="140"/>
        <v>0</v>
      </c>
      <c r="AT149" s="27">
        <f t="shared" ca="1" si="141"/>
        <v>0</v>
      </c>
      <c r="AU149" s="237"/>
      <c r="AV149" s="26"/>
      <c r="AW149" s="27"/>
      <c r="AX149" s="237"/>
      <c r="AY149" s="26">
        <v>-6444.84</v>
      </c>
      <c r="AZ149" s="27"/>
      <c r="BA149" s="237"/>
      <c r="BB149" s="26">
        <v>-6535.0677600000008</v>
      </c>
      <c r="BC149" s="27"/>
      <c r="BD149" s="237"/>
      <c r="BE149" s="26">
        <v>-6715.5232800000013</v>
      </c>
      <c r="BF149" s="27"/>
      <c r="BG149" s="237"/>
      <c r="BH149" s="26">
        <v>-6715.5232800000013</v>
      </c>
      <c r="BI149" s="27"/>
      <c r="BJ149" s="454"/>
    </row>
    <row r="150" spans="1:62" s="28" customFormat="1" outlineLevel="1" x14ac:dyDescent="0.3">
      <c r="A150" s="93" t="s">
        <v>172</v>
      </c>
      <c r="B150" s="2"/>
      <c r="C150" s="23"/>
      <c r="D150" s="53" t="s">
        <v>143</v>
      </c>
      <c r="E150" s="85"/>
      <c r="F150" s="54"/>
      <c r="G150" s="32"/>
      <c r="H150" s="237"/>
      <c r="I150" s="26">
        <f>-SUMIFS(T_HEADCOUNT!$E:$E,T_HEADCOUNT!$C:$C,"-  Copeiro",T_HEADCOUNT!$D:$D,"1/2026",T_HEADCOUNT!$B:$B,"CLT")</f>
        <v>0</v>
      </c>
      <c r="J150" s="27">
        <f>SUMIFS(T_REAL!$D:$D,T_REAL!$E:$E,DRE!J$7,T_REAL!$C:$C,DRE!$A150)+SUMIFS(Aut_Ajustes_Manuais!$G:$G,Aut_Ajustes_Manuais!$I:$I,DRE!H$4,Aut_Ajustes_Manuais!$F:$F,"  -  Copeiro")</f>
        <v>0</v>
      </c>
      <c r="K150" s="237"/>
      <c r="L150" s="26">
        <f>-SUMIFS(T_HEADCOUNT!$E:$E,T_HEADCOUNT!$C:$C,"-  Copeiro",T_HEADCOUNT!$D:$D,"2/2026",T_HEADCOUNT!$B:$B,"CLT")</f>
        <v>0</v>
      </c>
      <c r="M150" s="27">
        <f>SUMIFS(T_REAL!$D:$D,T_REAL!$E:$E,DRE!M$7,T_REAL!$C:$C,DRE!$A150)+SUMIFS(Aut_Ajustes_Manuais!$G:$G,Aut_Ajustes_Manuais!$I:$I,DRE!K$4,Aut_Ajustes_Manuais!$F:$F,"  -  Copeiro")</f>
        <v>0</v>
      </c>
      <c r="N150" s="237"/>
      <c r="O150" s="26">
        <f>-SUMIFS(T_HEADCOUNT!$E:$E,T_HEADCOUNT!$C:$C,"-  Copeiro",T_HEADCOUNT!$D:$D,"3/2026",T_HEADCOUNT!$B:$B,"CLT")</f>
        <v>0</v>
      </c>
      <c r="P150" s="27">
        <f>SUMIFS(T_REAL!$D:$D,T_REAL!$E:$E,DRE!P$7,T_REAL!$C:$C,DRE!$A150)+SUMIFS(Aut_Ajustes_Manuais!$G:$G,Aut_Ajustes_Manuais!$I:$I,DRE!N$4,Aut_Ajustes_Manuais!$F:$F,"  -  Copeiro")</f>
        <v>0</v>
      </c>
      <c r="Q150" s="237"/>
      <c r="R150" s="26">
        <f>-SUMIFS(T_HEADCOUNT!$E:$E,T_HEADCOUNT!$C:$C,"-  Copeiro",T_HEADCOUNT!$D:$D,"4/2026",T_HEADCOUNT!$B:$B,"CLT")</f>
        <v>0</v>
      </c>
      <c r="S150" s="27">
        <f>SUMIFS(T_REAL!$D:$D,T_REAL!$E:$E,DRE!S$7,T_REAL!$C:$C,DRE!$A150)+SUMIFS(Aut_Ajustes_Manuais!$G:$G,Aut_Ajustes_Manuais!$I:$I,DRE!Q$4,Aut_Ajustes_Manuais!$F:$F,"  -  Copeiro")</f>
        <v>0</v>
      </c>
      <c r="T150" s="237"/>
      <c r="U150" s="26">
        <f>-SUMIFS(T_HEADCOUNT!$E:$E,T_HEADCOUNT!$C:$C,"-  Copeiro",T_HEADCOUNT!$D:$D,"5/2026",T_HEADCOUNT!$B:$B,"CLT")</f>
        <v>0</v>
      </c>
      <c r="V150" s="27">
        <f>SUMIFS(T_REAL!$D:$D,T_REAL!$E:$E,DRE!V$7,T_REAL!$C:$C,DRE!$A150)+SUMIFS(Aut_Ajustes_Manuais!$G:$G,Aut_Ajustes_Manuais!$I:$I,DRE!T$4,Aut_Ajustes_Manuais!$F:$F,"  -  Copeiro")</f>
        <v>0</v>
      </c>
      <c r="W150" s="237"/>
      <c r="X150" s="26">
        <f>-SUMIFS(T_HEADCOUNT!$E:$E,T_HEADCOUNT!$C:$C,"-  Copeiro",T_HEADCOUNT!$D:$D,"6/2026",T_HEADCOUNT!$B:$B,"CLT")</f>
        <v>0</v>
      </c>
      <c r="Y150" s="27">
        <f>SUMIFS(T_REAL!$D:$D,T_REAL!$E:$E,DRE!Y$7,T_REAL!$C:$C,DRE!$A150)+SUMIFS(Aut_Ajustes_Manuais!$G:$G,Aut_Ajustes_Manuais!$I:$I,DRE!W$4,Aut_Ajustes_Manuais!$F:$F,"  -  Copeiro")</f>
        <v>0</v>
      </c>
      <c r="Z150" s="237"/>
      <c r="AA150" s="26">
        <f>-SUMIFS(T_HEADCOUNT!$E:$E,T_HEADCOUNT!$C:$C,"-  Copeiro",T_HEADCOUNT!$D:$D,"7/2026",T_HEADCOUNT!$B:$B,"CLT")</f>
        <v>0</v>
      </c>
      <c r="AB150" s="27">
        <f>SUMIFS(T_REAL!$D:$D,T_REAL!$E:$E,DRE!AB$7,T_REAL!$C:$C,DRE!$A150)+SUMIFS(Aut_Ajustes_Manuais!$G:$G,Aut_Ajustes_Manuais!$I:$I,DRE!Z$4,Aut_Ajustes_Manuais!$F:$F,"  -  Copeiro")</f>
        <v>0</v>
      </c>
      <c r="AC150" s="237"/>
      <c r="AD150" s="26">
        <f>-SUMIFS(T_HEADCOUNT!$E:$E,T_HEADCOUNT!$C:$C,"-  Copeiro",T_HEADCOUNT!$D:$D,"8/2026",T_HEADCOUNT!$B:$B,"CLT")</f>
        <v>0</v>
      </c>
      <c r="AE150" s="27">
        <f>SUMIFS(T_REAL!$D:$D,T_REAL!$E:$E,DRE!AE$7,T_REAL!$C:$C,DRE!$A150)+SUMIFS(Aut_Ajustes_Manuais!$G:$G,Aut_Ajustes_Manuais!$I:$I,DRE!AC$4,Aut_Ajustes_Manuais!$F:$F,"  -  Copeiro")</f>
        <v>0</v>
      </c>
      <c r="AF150" s="237"/>
      <c r="AG150" s="26">
        <f>-SUMIFS(T_HEADCOUNT!$E:$E,T_HEADCOUNT!$C:$C,"-  Copeiro",T_HEADCOUNT!$D:$D,"9/2026",T_HEADCOUNT!$B:$B,"CLT")</f>
        <v>0</v>
      </c>
      <c r="AH150" s="27">
        <f>SUMIFS(T_REAL!$D:$D,T_REAL!$E:$E,DRE!AH$7,T_REAL!$C:$C,DRE!$A150)+SUMIFS(Aut_Ajustes_Manuais!$G:$G,Aut_Ajustes_Manuais!$I:$I,DRE!AF$4,Aut_Ajustes_Manuais!$F:$F,"  -  Copeiro")</f>
        <v>0</v>
      </c>
      <c r="AI150" s="237"/>
      <c r="AJ150" s="26">
        <f>-SUMIFS(T_HEADCOUNT!$E:$E,T_HEADCOUNT!$C:$C,"-  Copeiro",T_HEADCOUNT!$D:$D,"10/2026",T_HEADCOUNT!$B:$B,"CLT")</f>
        <v>0</v>
      </c>
      <c r="AK150" s="27">
        <f>SUMIFS(T_REAL!$D:$D,T_REAL!$E:$E,DRE!AK$7,T_REAL!$C:$C,DRE!$A150)+SUMIFS(Aut_Ajustes_Manuais!$G:$G,Aut_Ajustes_Manuais!$I:$I,DRE!AI$4,Aut_Ajustes_Manuais!$F:$F,"  -  Copeiro")</f>
        <v>0</v>
      </c>
      <c r="AL150" s="237"/>
      <c r="AM150" s="26">
        <f>-SUMIFS(T_HEADCOUNT!$E:$E,T_HEADCOUNT!$C:$C,"-  Copeiro",T_HEADCOUNT!$D:$D,"11/2026",T_HEADCOUNT!$B:$B,"CLT")</f>
        <v>0</v>
      </c>
      <c r="AN150" s="27">
        <f>SUMIFS(T_REAL!$D:$D,T_REAL!$E:$E,DRE!AN$7,T_REAL!$C:$C,DRE!$A150)+SUMIFS(Aut_Ajustes_Manuais!$G:$G,Aut_Ajustes_Manuais!$I:$I,DRE!AL$4,Aut_Ajustes_Manuais!$F:$F,"  -  Copeiro")</f>
        <v>0</v>
      </c>
      <c r="AO150" s="237"/>
      <c r="AP150" s="26">
        <f>-SUMIFS(T_HEADCOUNT!$E:$E,T_HEADCOUNT!$C:$C,"-  Copeiro",T_HEADCOUNT!$D:$D,"12/2026",T_HEADCOUNT!$B:$B,"CLT")</f>
        <v>0</v>
      </c>
      <c r="AQ150" s="27">
        <f>SUMIFS(T_REAL!$D:$D,T_REAL!$E:$E,DRE!AQ$7,T_REAL!$C:$C,DRE!$A150)+SUMIFS(Aut_Ajustes_Manuais!$G:$G,Aut_Ajustes_Manuais!$I:$I,DRE!AO$4,Aut_Ajustes_Manuais!$F:$F,"  -  Copeiro")</f>
        <v>0</v>
      </c>
      <c r="AR150" s="237">
        <f t="shared" ca="1" si="139"/>
        <v>0</v>
      </c>
      <c r="AS150" s="26">
        <f t="shared" ca="1" si="140"/>
        <v>0</v>
      </c>
      <c r="AT150" s="27">
        <f t="shared" ca="1" si="141"/>
        <v>0</v>
      </c>
      <c r="AU150" s="237"/>
      <c r="AV150" s="26"/>
      <c r="AW150" s="27"/>
      <c r="AX150" s="237"/>
      <c r="AY150" s="26">
        <v>0</v>
      </c>
      <c r="AZ150" s="27"/>
      <c r="BA150" s="237"/>
      <c r="BB150" s="26">
        <v>0</v>
      </c>
      <c r="BC150" s="27"/>
      <c r="BD150" s="237"/>
      <c r="BE150" s="26">
        <v>0</v>
      </c>
      <c r="BF150" s="27"/>
      <c r="BG150" s="237"/>
      <c r="BH150" s="26">
        <v>0</v>
      </c>
      <c r="BI150" s="27"/>
      <c r="BJ150" s="454"/>
    </row>
    <row r="151" spans="1:62" s="28" customFormat="1" outlineLevel="1" x14ac:dyDescent="0.3">
      <c r="A151" s="93" t="s">
        <v>173</v>
      </c>
      <c r="B151" s="2"/>
      <c r="C151" s="23"/>
      <c r="D151" s="53" t="s">
        <v>143</v>
      </c>
      <c r="E151" s="85"/>
      <c r="F151" s="54"/>
      <c r="G151" s="32"/>
      <c r="H151" s="237"/>
      <c r="I151" s="26">
        <f>-SUMIFS(T_HEADCOUNT!$E:$E,T_HEADCOUNT!$C:$C,"-  Pizzaiolo",T_HEADCOUNT!$D:$D,"1/2026",T_HEADCOUNT!$B:$B,"CLT")</f>
        <v>0</v>
      </c>
      <c r="J151" s="27">
        <f>SUMIFS(T_REAL!$D:$D,T_REAL!$E:$E,DRE!J$7,T_REAL!$C:$C,DRE!$A151)+SUMIFS(Aut_Ajustes_Manuais!$G:$G,Aut_Ajustes_Manuais!$I:$I,DRE!H$4,Aut_Ajustes_Manuais!$F:$F,"  -  Pizzaiolo")</f>
        <v>0</v>
      </c>
      <c r="K151" s="237"/>
      <c r="L151" s="26">
        <f>-SUMIFS(T_HEADCOUNT!$E:$E,T_HEADCOUNT!$C:$C,"-  Pizzaiolo",T_HEADCOUNT!$D:$D,"2/2026",T_HEADCOUNT!$B:$B,"CLT")</f>
        <v>0</v>
      </c>
      <c r="M151" s="27">
        <f>SUMIFS(T_REAL!$D:$D,T_REAL!$E:$E,DRE!M$7,T_REAL!$C:$C,DRE!$A151)+SUMIFS(Aut_Ajustes_Manuais!$G:$G,Aut_Ajustes_Manuais!$I:$I,DRE!K$4,Aut_Ajustes_Manuais!$F:$F,"  -  Pizzaiolo")</f>
        <v>0</v>
      </c>
      <c r="N151" s="237"/>
      <c r="O151" s="26">
        <f>-SUMIFS(T_HEADCOUNT!$E:$E,T_HEADCOUNT!$C:$C,"-  Pizzaiolo",T_HEADCOUNT!$D:$D,"3/2026",T_HEADCOUNT!$B:$B,"CLT")</f>
        <v>0</v>
      </c>
      <c r="P151" s="27">
        <f>SUMIFS(T_REAL!$D:$D,T_REAL!$E:$E,DRE!P$7,T_REAL!$C:$C,DRE!$A151)+SUMIFS(Aut_Ajustes_Manuais!$G:$G,Aut_Ajustes_Manuais!$I:$I,DRE!N$4,Aut_Ajustes_Manuais!$F:$F,"  -  Pizzaiolo")</f>
        <v>0</v>
      </c>
      <c r="Q151" s="237"/>
      <c r="R151" s="26">
        <f>-SUMIFS(T_HEADCOUNT!$E:$E,T_HEADCOUNT!$C:$C,"-  Pizzaiolo",T_HEADCOUNT!$D:$D,"4/2026",T_HEADCOUNT!$B:$B,"CLT")</f>
        <v>0</v>
      </c>
      <c r="S151" s="27">
        <f>SUMIFS(T_REAL!$D:$D,T_REAL!$E:$E,DRE!S$7,T_REAL!$C:$C,DRE!$A151)+SUMIFS(Aut_Ajustes_Manuais!$G:$G,Aut_Ajustes_Manuais!$I:$I,DRE!Q$4,Aut_Ajustes_Manuais!$F:$F,"  -  Pizzaiolo")</f>
        <v>0</v>
      </c>
      <c r="T151" s="237"/>
      <c r="U151" s="26">
        <f>-SUMIFS(T_HEADCOUNT!$E:$E,T_HEADCOUNT!$C:$C,"-  Pizzaiolo",T_HEADCOUNT!$D:$D,"5/2026",T_HEADCOUNT!$B:$B,"CLT")</f>
        <v>0</v>
      </c>
      <c r="V151" s="27">
        <f>SUMIFS(T_REAL!$D:$D,T_REAL!$E:$E,DRE!V$7,T_REAL!$C:$C,DRE!$A151)+SUMIFS(Aut_Ajustes_Manuais!$G:$G,Aut_Ajustes_Manuais!$I:$I,DRE!T$4,Aut_Ajustes_Manuais!$F:$F,"  -  Pizzaiolo")</f>
        <v>0</v>
      </c>
      <c r="W151" s="237"/>
      <c r="X151" s="26">
        <f>-SUMIFS(T_HEADCOUNT!$E:$E,T_HEADCOUNT!$C:$C,"-  Pizzaiolo",T_HEADCOUNT!$D:$D,"6/2026",T_HEADCOUNT!$B:$B,"CLT")</f>
        <v>0</v>
      </c>
      <c r="Y151" s="27">
        <f>SUMIFS(T_REAL!$D:$D,T_REAL!$E:$E,DRE!Y$7,T_REAL!$C:$C,DRE!$A151)+SUMIFS(Aut_Ajustes_Manuais!$G:$G,Aut_Ajustes_Manuais!$I:$I,DRE!W$4,Aut_Ajustes_Manuais!$F:$F,"  -  Pizzaiolo")</f>
        <v>0</v>
      </c>
      <c r="Z151" s="237"/>
      <c r="AA151" s="26">
        <f>-SUMIFS(T_HEADCOUNT!$E:$E,T_HEADCOUNT!$C:$C,"-  Pizzaiolo",T_HEADCOUNT!$D:$D,"7/2026",T_HEADCOUNT!$B:$B,"CLT")</f>
        <v>0</v>
      </c>
      <c r="AB151" s="27">
        <f>SUMIFS(T_REAL!$D:$D,T_REAL!$E:$E,DRE!AB$7,T_REAL!$C:$C,DRE!$A151)+SUMIFS(Aut_Ajustes_Manuais!$G:$G,Aut_Ajustes_Manuais!$I:$I,DRE!Z$4,Aut_Ajustes_Manuais!$F:$F,"  -  Pizzaiolo")</f>
        <v>0</v>
      </c>
      <c r="AC151" s="237"/>
      <c r="AD151" s="26">
        <f>-SUMIFS(T_HEADCOUNT!$E:$E,T_HEADCOUNT!$C:$C,"-  Pizzaiolo",T_HEADCOUNT!$D:$D,"8/2026",T_HEADCOUNT!$B:$B,"CLT")</f>
        <v>0</v>
      </c>
      <c r="AE151" s="27">
        <f>SUMIFS(T_REAL!$D:$D,T_REAL!$E:$E,DRE!AE$7,T_REAL!$C:$C,DRE!$A151)+SUMIFS(Aut_Ajustes_Manuais!$G:$G,Aut_Ajustes_Manuais!$I:$I,DRE!AC$4,Aut_Ajustes_Manuais!$F:$F,"  -  Pizzaiolo")</f>
        <v>0</v>
      </c>
      <c r="AF151" s="237"/>
      <c r="AG151" s="26">
        <f>-SUMIFS(T_HEADCOUNT!$E:$E,T_HEADCOUNT!$C:$C,"-  Pizzaiolo",T_HEADCOUNT!$D:$D,"9/2026",T_HEADCOUNT!$B:$B,"CLT")</f>
        <v>0</v>
      </c>
      <c r="AH151" s="27">
        <f>SUMIFS(T_REAL!$D:$D,T_REAL!$E:$E,DRE!AH$7,T_REAL!$C:$C,DRE!$A151)+SUMIFS(Aut_Ajustes_Manuais!$G:$G,Aut_Ajustes_Manuais!$I:$I,DRE!AF$4,Aut_Ajustes_Manuais!$F:$F,"  -  Pizzaiolo")</f>
        <v>0</v>
      </c>
      <c r="AI151" s="237"/>
      <c r="AJ151" s="26">
        <f>-SUMIFS(T_HEADCOUNT!$E:$E,T_HEADCOUNT!$C:$C,"-  Pizzaiolo",T_HEADCOUNT!$D:$D,"10/2026",T_HEADCOUNT!$B:$B,"CLT")</f>
        <v>0</v>
      </c>
      <c r="AK151" s="27">
        <f>SUMIFS(T_REAL!$D:$D,T_REAL!$E:$E,DRE!AK$7,T_REAL!$C:$C,DRE!$A151)+SUMIFS(Aut_Ajustes_Manuais!$G:$G,Aut_Ajustes_Manuais!$I:$I,DRE!AI$4,Aut_Ajustes_Manuais!$F:$F,"  -  Pizzaiolo")</f>
        <v>0</v>
      </c>
      <c r="AL151" s="237"/>
      <c r="AM151" s="26">
        <f>-SUMIFS(T_HEADCOUNT!$E:$E,T_HEADCOUNT!$C:$C,"-  Pizzaiolo",T_HEADCOUNT!$D:$D,"11/2026",T_HEADCOUNT!$B:$B,"CLT")</f>
        <v>0</v>
      </c>
      <c r="AN151" s="27">
        <f>SUMIFS(T_REAL!$D:$D,T_REAL!$E:$E,DRE!AN$7,T_REAL!$C:$C,DRE!$A151)+SUMIFS(Aut_Ajustes_Manuais!$G:$G,Aut_Ajustes_Manuais!$I:$I,DRE!AL$4,Aut_Ajustes_Manuais!$F:$F,"  -  Pizzaiolo")</f>
        <v>0</v>
      </c>
      <c r="AO151" s="237"/>
      <c r="AP151" s="26">
        <f>-SUMIFS(T_HEADCOUNT!$E:$E,T_HEADCOUNT!$C:$C,"-  Pizzaiolo",T_HEADCOUNT!$D:$D,"12/2026",T_HEADCOUNT!$B:$B,"CLT")</f>
        <v>0</v>
      </c>
      <c r="AQ151" s="27">
        <f>SUMIFS(T_REAL!$D:$D,T_REAL!$E:$E,DRE!AQ$7,T_REAL!$C:$C,DRE!$A151)+SUMIFS(Aut_Ajustes_Manuais!$G:$G,Aut_Ajustes_Manuais!$I:$I,DRE!AO$4,Aut_Ajustes_Manuais!$F:$F,"  -  Pizzaiolo")</f>
        <v>0</v>
      </c>
      <c r="AR151" s="237">
        <f t="shared" ca="1" si="139"/>
        <v>0</v>
      </c>
      <c r="AS151" s="26">
        <f t="shared" ca="1" si="140"/>
        <v>0</v>
      </c>
      <c r="AT151" s="27">
        <f t="shared" ca="1" si="141"/>
        <v>0</v>
      </c>
      <c r="AU151" s="237"/>
      <c r="AV151" s="26"/>
      <c r="AW151" s="27"/>
      <c r="AX151" s="237"/>
      <c r="AY151" s="26">
        <v>0</v>
      </c>
      <c r="AZ151" s="27"/>
      <c r="BA151" s="237"/>
      <c r="BB151" s="26">
        <v>0</v>
      </c>
      <c r="BC151" s="27"/>
      <c r="BD151" s="237"/>
      <c r="BE151" s="26">
        <v>0</v>
      </c>
      <c r="BF151" s="27"/>
      <c r="BG151" s="237"/>
      <c r="BH151" s="26">
        <v>0</v>
      </c>
      <c r="BI151" s="27"/>
      <c r="BJ151" s="454"/>
    </row>
    <row r="152" spans="1:62" s="28" customFormat="1" outlineLevel="1" x14ac:dyDescent="0.3">
      <c r="A152" s="93" t="s">
        <v>174</v>
      </c>
      <c r="B152" s="2"/>
      <c r="C152" s="23"/>
      <c r="D152" s="53" t="s">
        <v>143</v>
      </c>
      <c r="E152" s="85"/>
      <c r="F152" s="54"/>
      <c r="G152" s="32"/>
      <c r="H152" s="237"/>
      <c r="I152" s="26">
        <f>-SUMIFS(T_HEADCOUNT!$E:$E,T_HEADCOUNT!$C:$C,"-  Ajudante de Pizzaiolo",T_HEADCOUNT!$D:$D,"1/2026",T_HEADCOUNT!$B:$B,"CLT")</f>
        <v>0</v>
      </c>
      <c r="J152" s="27">
        <f>SUMIFS(T_REAL!$D:$D,T_REAL!$E:$E,DRE!J$7,T_REAL!$C:$C,DRE!$A152)+SUMIFS(Aut_Ajustes_Manuais!$G:$G,Aut_Ajustes_Manuais!$I:$I,DRE!H$4,Aut_Ajustes_Manuais!$F:$F,"  -  Ajudante de Pizzaiolo")</f>
        <v>0</v>
      </c>
      <c r="K152" s="237"/>
      <c r="L152" s="26">
        <f>-SUMIFS(T_HEADCOUNT!$E:$E,T_HEADCOUNT!$C:$C,"-  Ajudante de Pizzaiolo",T_HEADCOUNT!$D:$D,"2/2026",T_HEADCOUNT!$B:$B,"CLT")</f>
        <v>0</v>
      </c>
      <c r="M152" s="27">
        <f>SUMIFS(T_REAL!$D:$D,T_REAL!$E:$E,DRE!M$7,T_REAL!$C:$C,DRE!$A152)+SUMIFS(Aut_Ajustes_Manuais!$G:$G,Aut_Ajustes_Manuais!$I:$I,DRE!K$4,Aut_Ajustes_Manuais!$F:$F,"  -  Ajudante de Pizzaiolo")</f>
        <v>0</v>
      </c>
      <c r="N152" s="237"/>
      <c r="O152" s="26">
        <f>-SUMIFS(T_HEADCOUNT!$E:$E,T_HEADCOUNT!$C:$C,"-  Ajudante de Pizzaiolo",T_HEADCOUNT!$D:$D,"3/2026",T_HEADCOUNT!$B:$B,"CLT")</f>
        <v>0</v>
      </c>
      <c r="P152" s="27">
        <f>SUMIFS(T_REAL!$D:$D,T_REAL!$E:$E,DRE!P$7,T_REAL!$C:$C,DRE!$A152)+SUMIFS(Aut_Ajustes_Manuais!$G:$G,Aut_Ajustes_Manuais!$I:$I,DRE!N$4,Aut_Ajustes_Manuais!$F:$F,"  -  Ajudante de Pizzaiolo")</f>
        <v>0</v>
      </c>
      <c r="Q152" s="237"/>
      <c r="R152" s="26">
        <f>-SUMIFS(T_HEADCOUNT!$E:$E,T_HEADCOUNT!$C:$C,"-  Ajudante de Pizzaiolo",T_HEADCOUNT!$D:$D,"4/2026",T_HEADCOUNT!$B:$B,"CLT")</f>
        <v>0</v>
      </c>
      <c r="S152" s="27">
        <f>SUMIFS(T_REAL!$D:$D,T_REAL!$E:$E,DRE!S$7,T_REAL!$C:$C,DRE!$A152)+SUMIFS(Aut_Ajustes_Manuais!$G:$G,Aut_Ajustes_Manuais!$I:$I,DRE!Q$4,Aut_Ajustes_Manuais!$F:$F,"  -  Ajudante de Pizzaiolo")</f>
        <v>0</v>
      </c>
      <c r="T152" s="237"/>
      <c r="U152" s="26">
        <f>-SUMIFS(T_HEADCOUNT!$E:$E,T_HEADCOUNT!$C:$C,"-  Ajudante de Pizzaiolo",T_HEADCOUNT!$D:$D,"5/2026",T_HEADCOUNT!$B:$B,"CLT")</f>
        <v>0</v>
      </c>
      <c r="V152" s="27">
        <f>SUMIFS(T_REAL!$D:$D,T_REAL!$E:$E,DRE!V$7,T_REAL!$C:$C,DRE!$A152)+SUMIFS(Aut_Ajustes_Manuais!$G:$G,Aut_Ajustes_Manuais!$I:$I,DRE!T$4,Aut_Ajustes_Manuais!$F:$F,"  -  Ajudante de Pizzaiolo")</f>
        <v>0</v>
      </c>
      <c r="W152" s="237"/>
      <c r="X152" s="26">
        <f>-SUMIFS(T_HEADCOUNT!$E:$E,T_HEADCOUNT!$C:$C,"-  Ajudante de Pizzaiolo",T_HEADCOUNT!$D:$D,"6/2026",T_HEADCOUNT!$B:$B,"CLT")</f>
        <v>0</v>
      </c>
      <c r="Y152" s="27">
        <f>SUMIFS(T_REAL!$D:$D,T_REAL!$E:$E,DRE!Y$7,T_REAL!$C:$C,DRE!$A152)+SUMIFS(Aut_Ajustes_Manuais!$G:$G,Aut_Ajustes_Manuais!$I:$I,DRE!W$4,Aut_Ajustes_Manuais!$F:$F,"  -  Ajudante de Pizzaiolo")</f>
        <v>0</v>
      </c>
      <c r="Z152" s="237"/>
      <c r="AA152" s="26">
        <f>-SUMIFS(T_HEADCOUNT!$E:$E,T_HEADCOUNT!$C:$C,"-  Ajudante de Pizzaiolo",T_HEADCOUNT!$D:$D,"7/2026",T_HEADCOUNT!$B:$B,"CLT")</f>
        <v>0</v>
      </c>
      <c r="AB152" s="27">
        <f>SUMIFS(T_REAL!$D:$D,T_REAL!$E:$E,DRE!AB$7,T_REAL!$C:$C,DRE!$A152)+SUMIFS(Aut_Ajustes_Manuais!$G:$G,Aut_Ajustes_Manuais!$I:$I,DRE!Z$4,Aut_Ajustes_Manuais!$F:$F,"  -  Ajudante de Pizzaiolo")</f>
        <v>0</v>
      </c>
      <c r="AC152" s="237"/>
      <c r="AD152" s="26">
        <f>-SUMIFS(T_HEADCOUNT!$E:$E,T_HEADCOUNT!$C:$C,"-  Ajudante de Pizzaiolo",T_HEADCOUNT!$D:$D,"8/2026",T_HEADCOUNT!$B:$B,"CLT")</f>
        <v>0</v>
      </c>
      <c r="AE152" s="27">
        <f>SUMIFS(T_REAL!$D:$D,T_REAL!$E:$E,DRE!AE$7,T_REAL!$C:$C,DRE!$A152)+SUMIFS(Aut_Ajustes_Manuais!$G:$G,Aut_Ajustes_Manuais!$I:$I,DRE!AC$4,Aut_Ajustes_Manuais!$F:$F,"  -  Ajudante de Pizzaiolo")</f>
        <v>0</v>
      </c>
      <c r="AF152" s="237"/>
      <c r="AG152" s="26">
        <f>-SUMIFS(T_HEADCOUNT!$E:$E,T_HEADCOUNT!$C:$C,"-  Ajudante de Pizzaiolo",T_HEADCOUNT!$D:$D,"9/2026",T_HEADCOUNT!$B:$B,"CLT")</f>
        <v>0</v>
      </c>
      <c r="AH152" s="27">
        <f>SUMIFS(T_REAL!$D:$D,T_REAL!$E:$E,DRE!AH$7,T_REAL!$C:$C,DRE!$A152)+SUMIFS(Aut_Ajustes_Manuais!$G:$G,Aut_Ajustes_Manuais!$I:$I,DRE!AF$4,Aut_Ajustes_Manuais!$F:$F,"  -  Ajudante de Pizzaiolo")</f>
        <v>0</v>
      </c>
      <c r="AI152" s="237"/>
      <c r="AJ152" s="26">
        <f>-SUMIFS(T_HEADCOUNT!$E:$E,T_HEADCOUNT!$C:$C,"-  Ajudante de Pizzaiolo",T_HEADCOUNT!$D:$D,"10/2026",T_HEADCOUNT!$B:$B,"CLT")</f>
        <v>0</v>
      </c>
      <c r="AK152" s="27">
        <f>SUMIFS(T_REAL!$D:$D,T_REAL!$E:$E,DRE!AK$7,T_REAL!$C:$C,DRE!$A152)+SUMIFS(Aut_Ajustes_Manuais!$G:$G,Aut_Ajustes_Manuais!$I:$I,DRE!AI$4,Aut_Ajustes_Manuais!$F:$F,"  -  Ajudante de Pizzaiolo")</f>
        <v>0</v>
      </c>
      <c r="AL152" s="237"/>
      <c r="AM152" s="26">
        <f>-SUMIFS(T_HEADCOUNT!$E:$E,T_HEADCOUNT!$C:$C,"-  Ajudante de Pizzaiolo",T_HEADCOUNT!$D:$D,"11/2026",T_HEADCOUNT!$B:$B,"CLT")</f>
        <v>0</v>
      </c>
      <c r="AN152" s="27">
        <f>SUMIFS(T_REAL!$D:$D,T_REAL!$E:$E,DRE!AN$7,T_REAL!$C:$C,DRE!$A152)+SUMIFS(Aut_Ajustes_Manuais!$G:$G,Aut_Ajustes_Manuais!$I:$I,DRE!AL$4,Aut_Ajustes_Manuais!$F:$F,"  -  Ajudante de Pizzaiolo")</f>
        <v>0</v>
      </c>
      <c r="AO152" s="237"/>
      <c r="AP152" s="26">
        <f>-SUMIFS(T_HEADCOUNT!$E:$E,T_HEADCOUNT!$C:$C,"-  Ajudante de Pizzaiolo",T_HEADCOUNT!$D:$D,"12/2026",T_HEADCOUNT!$B:$B,"CLT")</f>
        <v>0</v>
      </c>
      <c r="AQ152" s="27">
        <f>SUMIFS(T_REAL!$D:$D,T_REAL!$E:$E,DRE!AQ$7,T_REAL!$C:$C,DRE!$A152)+SUMIFS(Aut_Ajustes_Manuais!$G:$G,Aut_Ajustes_Manuais!$I:$I,DRE!AO$4,Aut_Ajustes_Manuais!$F:$F,"  -  Ajudante de Pizzaiolo")</f>
        <v>0</v>
      </c>
      <c r="AR152" s="237">
        <f t="shared" ca="1" si="139"/>
        <v>0</v>
      </c>
      <c r="AS152" s="26">
        <f t="shared" ca="1" si="140"/>
        <v>0</v>
      </c>
      <c r="AT152" s="27">
        <f t="shared" ca="1" si="141"/>
        <v>0</v>
      </c>
      <c r="AU152" s="237"/>
      <c r="AV152" s="26"/>
      <c r="AW152" s="27"/>
      <c r="AX152" s="237"/>
      <c r="AY152" s="26">
        <v>0</v>
      </c>
      <c r="AZ152" s="27"/>
      <c r="BA152" s="237"/>
      <c r="BB152" s="26">
        <v>0</v>
      </c>
      <c r="BC152" s="27"/>
      <c r="BD152" s="237"/>
      <c r="BE152" s="26">
        <v>0</v>
      </c>
      <c r="BF152" s="27"/>
      <c r="BG152" s="237"/>
      <c r="BH152" s="26">
        <v>0</v>
      </c>
      <c r="BI152" s="27"/>
      <c r="BJ152" s="454"/>
    </row>
    <row r="153" spans="1:62" s="28" customFormat="1" outlineLevel="1" x14ac:dyDescent="0.3">
      <c r="A153" s="93" t="s">
        <v>175</v>
      </c>
      <c r="B153" s="2"/>
      <c r="C153" s="23"/>
      <c r="D153" s="53" t="s">
        <v>143</v>
      </c>
      <c r="E153" s="85"/>
      <c r="F153" s="54"/>
      <c r="G153" s="32"/>
      <c r="H153" s="237"/>
      <c r="I153" s="26">
        <f>-SUMIFS(T_HEADCOUNT!$E:$E,T_HEADCOUNT!$C:$C,"-  Boqueta",T_HEADCOUNT!$D:$D,"1/2026",T_HEADCOUNT!$B:$B,"CLT")</f>
        <v>0</v>
      </c>
      <c r="J153" s="27">
        <f>SUMIFS(T_REAL!$D:$D,T_REAL!$E:$E,DRE!J$7,T_REAL!$C:$C,DRE!$A153)+SUMIFS(Aut_Ajustes_Manuais!$G:$G,Aut_Ajustes_Manuais!$I:$I,DRE!H$4,Aut_Ajustes_Manuais!$F:$F,"  -  Boqueta")</f>
        <v>0</v>
      </c>
      <c r="K153" s="237"/>
      <c r="L153" s="26">
        <f>-SUMIFS(T_HEADCOUNT!$E:$E,T_HEADCOUNT!$C:$C,"-  Boqueta",T_HEADCOUNT!$D:$D,"2/2026",T_HEADCOUNT!$B:$B,"CLT")</f>
        <v>0</v>
      </c>
      <c r="M153" s="27">
        <f>SUMIFS(T_REAL!$D:$D,T_REAL!$E:$E,DRE!M$7,T_REAL!$C:$C,DRE!$A153)+SUMIFS(Aut_Ajustes_Manuais!$G:$G,Aut_Ajustes_Manuais!$I:$I,DRE!K$4,Aut_Ajustes_Manuais!$F:$F,"  -  Boqueta")</f>
        <v>0</v>
      </c>
      <c r="N153" s="237"/>
      <c r="O153" s="26">
        <f>-SUMIFS(T_HEADCOUNT!$E:$E,T_HEADCOUNT!$C:$C,"-  Boqueta",T_HEADCOUNT!$D:$D,"3/2026",T_HEADCOUNT!$B:$B,"CLT")</f>
        <v>0</v>
      </c>
      <c r="P153" s="27">
        <f>SUMIFS(T_REAL!$D:$D,T_REAL!$E:$E,DRE!P$7,T_REAL!$C:$C,DRE!$A153)+SUMIFS(Aut_Ajustes_Manuais!$G:$G,Aut_Ajustes_Manuais!$I:$I,DRE!N$4,Aut_Ajustes_Manuais!$F:$F,"  -  Boqueta")</f>
        <v>0</v>
      </c>
      <c r="Q153" s="237"/>
      <c r="R153" s="26">
        <f>-SUMIFS(T_HEADCOUNT!$E:$E,T_HEADCOUNT!$C:$C,"-  Boqueta",T_HEADCOUNT!$D:$D,"4/2026",T_HEADCOUNT!$B:$B,"CLT")</f>
        <v>0</v>
      </c>
      <c r="S153" s="27">
        <f>SUMIFS(T_REAL!$D:$D,T_REAL!$E:$E,DRE!S$7,T_REAL!$C:$C,DRE!$A153)+SUMIFS(Aut_Ajustes_Manuais!$G:$G,Aut_Ajustes_Manuais!$I:$I,DRE!Q$4,Aut_Ajustes_Manuais!$F:$F,"  -  Boqueta")</f>
        <v>0</v>
      </c>
      <c r="T153" s="237"/>
      <c r="U153" s="26">
        <f>-SUMIFS(T_HEADCOUNT!$E:$E,T_HEADCOUNT!$C:$C,"-  Boqueta",T_HEADCOUNT!$D:$D,"5/2026",T_HEADCOUNT!$B:$B,"CLT")</f>
        <v>0</v>
      </c>
      <c r="V153" s="27">
        <f>SUMIFS(T_REAL!$D:$D,T_REAL!$E:$E,DRE!V$7,T_REAL!$C:$C,DRE!$A153)+SUMIFS(Aut_Ajustes_Manuais!$G:$G,Aut_Ajustes_Manuais!$I:$I,DRE!T$4,Aut_Ajustes_Manuais!$F:$F,"  -  Boqueta")</f>
        <v>0</v>
      </c>
      <c r="W153" s="237"/>
      <c r="X153" s="26">
        <f>-SUMIFS(T_HEADCOUNT!$E:$E,T_HEADCOUNT!$C:$C,"-  Boqueta",T_HEADCOUNT!$D:$D,"6/2026",T_HEADCOUNT!$B:$B,"CLT")</f>
        <v>0</v>
      </c>
      <c r="Y153" s="27">
        <f>SUMIFS(T_REAL!$D:$D,T_REAL!$E:$E,DRE!Y$7,T_REAL!$C:$C,DRE!$A153)+SUMIFS(Aut_Ajustes_Manuais!$G:$G,Aut_Ajustes_Manuais!$I:$I,DRE!W$4,Aut_Ajustes_Manuais!$F:$F,"  -  Boqueta")</f>
        <v>0</v>
      </c>
      <c r="Z153" s="237"/>
      <c r="AA153" s="26">
        <f>-SUMIFS(T_HEADCOUNT!$E:$E,T_HEADCOUNT!$C:$C,"-  Boqueta",T_HEADCOUNT!$D:$D,"7/2026",T_HEADCOUNT!$B:$B,"CLT")</f>
        <v>0</v>
      </c>
      <c r="AB153" s="27">
        <f>SUMIFS(T_REAL!$D:$D,T_REAL!$E:$E,DRE!AB$7,T_REAL!$C:$C,DRE!$A153)+SUMIFS(Aut_Ajustes_Manuais!$G:$G,Aut_Ajustes_Manuais!$I:$I,DRE!Z$4,Aut_Ajustes_Manuais!$F:$F,"  -  Boqueta")</f>
        <v>0</v>
      </c>
      <c r="AC153" s="237"/>
      <c r="AD153" s="26">
        <f>-SUMIFS(T_HEADCOUNT!$E:$E,T_HEADCOUNT!$C:$C,"-  Boqueta",T_HEADCOUNT!$D:$D,"8/2026",T_HEADCOUNT!$B:$B,"CLT")</f>
        <v>0</v>
      </c>
      <c r="AE153" s="27">
        <f>SUMIFS(T_REAL!$D:$D,T_REAL!$E:$E,DRE!AE$7,T_REAL!$C:$C,DRE!$A153)+SUMIFS(Aut_Ajustes_Manuais!$G:$G,Aut_Ajustes_Manuais!$I:$I,DRE!AC$4,Aut_Ajustes_Manuais!$F:$F,"  -  Boqueta")</f>
        <v>0</v>
      </c>
      <c r="AF153" s="237"/>
      <c r="AG153" s="26">
        <f>-SUMIFS(T_HEADCOUNT!$E:$E,T_HEADCOUNT!$C:$C,"-  Boqueta",T_HEADCOUNT!$D:$D,"9/2026",T_HEADCOUNT!$B:$B,"CLT")</f>
        <v>0</v>
      </c>
      <c r="AH153" s="27">
        <f>SUMIFS(T_REAL!$D:$D,T_REAL!$E:$E,DRE!AH$7,T_REAL!$C:$C,DRE!$A153)+SUMIFS(Aut_Ajustes_Manuais!$G:$G,Aut_Ajustes_Manuais!$I:$I,DRE!AF$4,Aut_Ajustes_Manuais!$F:$F,"  -  Boqueta")</f>
        <v>0</v>
      </c>
      <c r="AI153" s="237"/>
      <c r="AJ153" s="26">
        <f>-SUMIFS(T_HEADCOUNT!$E:$E,T_HEADCOUNT!$C:$C,"-  Boqueta",T_HEADCOUNT!$D:$D,"10/2026",T_HEADCOUNT!$B:$B,"CLT")</f>
        <v>0</v>
      </c>
      <c r="AK153" s="27">
        <f>SUMIFS(T_REAL!$D:$D,T_REAL!$E:$E,DRE!AK$7,T_REAL!$C:$C,DRE!$A153)+SUMIFS(Aut_Ajustes_Manuais!$G:$G,Aut_Ajustes_Manuais!$I:$I,DRE!AI$4,Aut_Ajustes_Manuais!$F:$F,"  -  Boqueta")</f>
        <v>0</v>
      </c>
      <c r="AL153" s="237"/>
      <c r="AM153" s="26">
        <f>-SUMIFS(T_HEADCOUNT!$E:$E,T_HEADCOUNT!$C:$C,"-  Boqueta",T_HEADCOUNT!$D:$D,"11/2026",T_HEADCOUNT!$B:$B,"CLT")</f>
        <v>0</v>
      </c>
      <c r="AN153" s="27">
        <f>SUMIFS(T_REAL!$D:$D,T_REAL!$E:$E,DRE!AN$7,T_REAL!$C:$C,DRE!$A153)+SUMIFS(Aut_Ajustes_Manuais!$G:$G,Aut_Ajustes_Manuais!$I:$I,DRE!AL$4,Aut_Ajustes_Manuais!$F:$F,"  -  Boqueta")</f>
        <v>0</v>
      </c>
      <c r="AO153" s="237"/>
      <c r="AP153" s="26">
        <f>-SUMIFS(T_HEADCOUNT!$E:$E,T_HEADCOUNT!$C:$C,"-  Boqueta",T_HEADCOUNT!$D:$D,"12/2026",T_HEADCOUNT!$B:$B,"CLT")</f>
        <v>0</v>
      </c>
      <c r="AQ153" s="27">
        <f>SUMIFS(T_REAL!$D:$D,T_REAL!$E:$E,DRE!AQ$7,T_REAL!$C:$C,DRE!$A153)+SUMIFS(Aut_Ajustes_Manuais!$G:$G,Aut_Ajustes_Manuais!$I:$I,DRE!AO$4,Aut_Ajustes_Manuais!$F:$F,"  -  Boqueta")</f>
        <v>0</v>
      </c>
      <c r="AR153" s="237">
        <f t="shared" ca="1" si="139"/>
        <v>0</v>
      </c>
      <c r="AS153" s="26">
        <f t="shared" ca="1" si="140"/>
        <v>0</v>
      </c>
      <c r="AT153" s="27">
        <f t="shared" ca="1" si="141"/>
        <v>0</v>
      </c>
      <c r="AU153" s="237"/>
      <c r="AV153" s="26"/>
      <c r="AW153" s="27"/>
      <c r="AX153" s="237"/>
      <c r="AY153" s="26">
        <v>0</v>
      </c>
      <c r="AZ153" s="27"/>
      <c r="BA153" s="237"/>
      <c r="BB153" s="26">
        <v>0</v>
      </c>
      <c r="BC153" s="27"/>
      <c r="BD153" s="237"/>
      <c r="BE153" s="26">
        <v>0</v>
      </c>
      <c r="BF153" s="27"/>
      <c r="BG153" s="237"/>
      <c r="BH153" s="26">
        <v>0</v>
      </c>
      <c r="BI153" s="27"/>
      <c r="BJ153" s="454"/>
    </row>
    <row r="154" spans="1:62" s="28" customFormat="1" outlineLevel="1" x14ac:dyDescent="0.3">
      <c r="A154" s="93" t="s">
        <v>176</v>
      </c>
      <c r="B154" s="2"/>
      <c r="C154" s="23"/>
      <c r="D154" s="53" t="s">
        <v>143</v>
      </c>
      <c r="E154" s="85"/>
      <c r="F154" s="54"/>
      <c r="G154" s="32"/>
      <c r="H154" s="237"/>
      <c r="I154" s="26">
        <f>-SUMIFS(T_HEADCOUNT!$E:$E,T_HEADCOUNT!$C:$C,"-  Churrasqueiro I",T_HEADCOUNT!$D:$D,"1/2026",T_HEADCOUNT!$B:$B,"CLT")</f>
        <v>0</v>
      </c>
      <c r="J154" s="27">
        <f>SUMIFS(T_REAL!$D:$D,T_REAL!$E:$E,DRE!J$7,T_REAL!$C:$C,DRE!$A154)+SUMIFS(Aut_Ajustes_Manuais!$G:$G,Aut_Ajustes_Manuais!$I:$I,DRE!H$4,Aut_Ajustes_Manuais!$F:$F,"  -  Churrasqueiro I")</f>
        <v>0</v>
      </c>
      <c r="K154" s="237"/>
      <c r="L154" s="26">
        <f>-SUMIFS(T_HEADCOUNT!$E:$E,T_HEADCOUNT!$C:$C,"-  Churrasqueiro I",T_HEADCOUNT!$D:$D,"2/2026",T_HEADCOUNT!$B:$B,"CLT")</f>
        <v>0</v>
      </c>
      <c r="M154" s="27">
        <f>SUMIFS(T_REAL!$D:$D,T_REAL!$E:$E,DRE!M$7,T_REAL!$C:$C,DRE!$A154)+SUMIFS(Aut_Ajustes_Manuais!$G:$G,Aut_Ajustes_Manuais!$I:$I,DRE!K$4,Aut_Ajustes_Manuais!$F:$F,"  -  Churrasqueiro I")</f>
        <v>0</v>
      </c>
      <c r="N154" s="237"/>
      <c r="O154" s="26">
        <f>-SUMIFS(T_HEADCOUNT!$E:$E,T_HEADCOUNT!$C:$C,"-  Churrasqueiro I",T_HEADCOUNT!$D:$D,"3/2026",T_HEADCOUNT!$B:$B,"CLT")</f>
        <v>0</v>
      </c>
      <c r="P154" s="27">
        <f>SUMIFS(T_REAL!$D:$D,T_REAL!$E:$E,DRE!P$7,T_REAL!$C:$C,DRE!$A154)+SUMIFS(Aut_Ajustes_Manuais!$G:$G,Aut_Ajustes_Manuais!$I:$I,DRE!N$4,Aut_Ajustes_Manuais!$F:$F,"  -  Churrasqueiro I")</f>
        <v>0</v>
      </c>
      <c r="Q154" s="237"/>
      <c r="R154" s="26">
        <f>-SUMIFS(T_HEADCOUNT!$E:$E,T_HEADCOUNT!$C:$C,"-  Churrasqueiro I",T_HEADCOUNT!$D:$D,"4/2026",T_HEADCOUNT!$B:$B,"CLT")</f>
        <v>0</v>
      </c>
      <c r="S154" s="27">
        <f>SUMIFS(T_REAL!$D:$D,T_REAL!$E:$E,DRE!S$7,T_REAL!$C:$C,DRE!$A154)+SUMIFS(Aut_Ajustes_Manuais!$G:$G,Aut_Ajustes_Manuais!$I:$I,DRE!Q$4,Aut_Ajustes_Manuais!$F:$F,"  -  Churrasqueiro I")</f>
        <v>0</v>
      </c>
      <c r="T154" s="237"/>
      <c r="U154" s="26">
        <f>-SUMIFS(T_HEADCOUNT!$E:$E,T_HEADCOUNT!$C:$C,"-  Churrasqueiro I",T_HEADCOUNT!$D:$D,"5/2026",T_HEADCOUNT!$B:$B,"CLT")</f>
        <v>0</v>
      </c>
      <c r="V154" s="27">
        <f>SUMIFS(T_REAL!$D:$D,T_REAL!$E:$E,DRE!V$7,T_REAL!$C:$C,DRE!$A154)+SUMIFS(Aut_Ajustes_Manuais!$G:$G,Aut_Ajustes_Manuais!$I:$I,DRE!T$4,Aut_Ajustes_Manuais!$F:$F,"  -  Churrasqueiro I")</f>
        <v>0</v>
      </c>
      <c r="W154" s="237"/>
      <c r="X154" s="26">
        <f>-SUMIFS(T_HEADCOUNT!$E:$E,T_HEADCOUNT!$C:$C,"-  Churrasqueiro I",T_HEADCOUNT!$D:$D,"6/2026",T_HEADCOUNT!$B:$B,"CLT")</f>
        <v>0</v>
      </c>
      <c r="Y154" s="27">
        <f>SUMIFS(T_REAL!$D:$D,T_REAL!$E:$E,DRE!Y$7,T_REAL!$C:$C,DRE!$A154)+SUMIFS(Aut_Ajustes_Manuais!$G:$G,Aut_Ajustes_Manuais!$I:$I,DRE!W$4,Aut_Ajustes_Manuais!$F:$F,"  -  Churrasqueiro I")</f>
        <v>0</v>
      </c>
      <c r="Z154" s="237"/>
      <c r="AA154" s="26">
        <f>-SUMIFS(T_HEADCOUNT!$E:$E,T_HEADCOUNT!$C:$C,"-  Churrasqueiro I",T_HEADCOUNT!$D:$D,"7/2026",T_HEADCOUNT!$B:$B,"CLT")</f>
        <v>0</v>
      </c>
      <c r="AB154" s="27">
        <f>SUMIFS(T_REAL!$D:$D,T_REAL!$E:$E,DRE!AB$7,T_REAL!$C:$C,DRE!$A154)+SUMIFS(Aut_Ajustes_Manuais!$G:$G,Aut_Ajustes_Manuais!$I:$I,DRE!Z$4,Aut_Ajustes_Manuais!$F:$F,"  -  Churrasqueiro I")</f>
        <v>0</v>
      </c>
      <c r="AC154" s="237"/>
      <c r="AD154" s="26">
        <f>-SUMIFS(T_HEADCOUNT!$E:$E,T_HEADCOUNT!$C:$C,"-  Churrasqueiro I",T_HEADCOUNT!$D:$D,"8/2026",T_HEADCOUNT!$B:$B,"CLT")</f>
        <v>0</v>
      </c>
      <c r="AE154" s="27">
        <f>SUMIFS(T_REAL!$D:$D,T_REAL!$E:$E,DRE!AE$7,T_REAL!$C:$C,DRE!$A154)+SUMIFS(Aut_Ajustes_Manuais!$G:$G,Aut_Ajustes_Manuais!$I:$I,DRE!AC$4,Aut_Ajustes_Manuais!$F:$F,"  -  Churrasqueiro I")</f>
        <v>0</v>
      </c>
      <c r="AF154" s="237"/>
      <c r="AG154" s="26">
        <f>-SUMIFS(T_HEADCOUNT!$E:$E,T_HEADCOUNT!$C:$C,"-  Churrasqueiro I",T_HEADCOUNT!$D:$D,"9/2026",T_HEADCOUNT!$B:$B,"CLT")</f>
        <v>0</v>
      </c>
      <c r="AH154" s="27">
        <f>SUMIFS(T_REAL!$D:$D,T_REAL!$E:$E,DRE!AH$7,T_REAL!$C:$C,DRE!$A154)+SUMIFS(Aut_Ajustes_Manuais!$G:$G,Aut_Ajustes_Manuais!$I:$I,DRE!AF$4,Aut_Ajustes_Manuais!$F:$F,"  -  Churrasqueiro I")</f>
        <v>0</v>
      </c>
      <c r="AI154" s="237"/>
      <c r="AJ154" s="26">
        <f>-SUMIFS(T_HEADCOUNT!$E:$E,T_HEADCOUNT!$C:$C,"-  Churrasqueiro I",T_HEADCOUNT!$D:$D,"10/2026",T_HEADCOUNT!$B:$B,"CLT")</f>
        <v>0</v>
      </c>
      <c r="AK154" s="27">
        <f>SUMIFS(T_REAL!$D:$D,T_REAL!$E:$E,DRE!AK$7,T_REAL!$C:$C,DRE!$A154)+SUMIFS(Aut_Ajustes_Manuais!$G:$G,Aut_Ajustes_Manuais!$I:$I,DRE!AI$4,Aut_Ajustes_Manuais!$F:$F,"  -  Churrasqueiro I")</f>
        <v>0</v>
      </c>
      <c r="AL154" s="237"/>
      <c r="AM154" s="26">
        <f>-SUMIFS(T_HEADCOUNT!$E:$E,T_HEADCOUNT!$C:$C,"-  Churrasqueiro I",T_HEADCOUNT!$D:$D,"11/2026",T_HEADCOUNT!$B:$B,"CLT")</f>
        <v>0</v>
      </c>
      <c r="AN154" s="27">
        <f>SUMIFS(T_REAL!$D:$D,T_REAL!$E:$E,DRE!AN$7,T_REAL!$C:$C,DRE!$A154)+SUMIFS(Aut_Ajustes_Manuais!$G:$G,Aut_Ajustes_Manuais!$I:$I,DRE!AL$4,Aut_Ajustes_Manuais!$F:$F,"  -  Churrasqueiro I")</f>
        <v>0</v>
      </c>
      <c r="AO154" s="237"/>
      <c r="AP154" s="26">
        <f>-SUMIFS(T_HEADCOUNT!$E:$E,T_HEADCOUNT!$C:$C,"-  Churrasqueiro I",T_HEADCOUNT!$D:$D,"12/2026",T_HEADCOUNT!$B:$B,"CLT")</f>
        <v>0</v>
      </c>
      <c r="AQ154" s="27">
        <f>SUMIFS(T_REAL!$D:$D,T_REAL!$E:$E,DRE!AQ$7,T_REAL!$C:$C,DRE!$A154)+SUMIFS(Aut_Ajustes_Manuais!$G:$G,Aut_Ajustes_Manuais!$I:$I,DRE!AO$4,Aut_Ajustes_Manuais!$F:$F,"  -  Churrasqueiro I")</f>
        <v>0</v>
      </c>
      <c r="AR154" s="237">
        <f t="shared" ca="1" si="139"/>
        <v>0</v>
      </c>
      <c r="AS154" s="26">
        <f t="shared" ca="1" si="140"/>
        <v>0</v>
      </c>
      <c r="AT154" s="27">
        <f t="shared" ca="1" si="141"/>
        <v>0</v>
      </c>
      <c r="AU154" s="237"/>
      <c r="AV154" s="26"/>
      <c r="AW154" s="27"/>
      <c r="AX154" s="237"/>
      <c r="AY154" s="26">
        <v>0</v>
      </c>
      <c r="AZ154" s="27"/>
      <c r="BA154" s="237"/>
      <c r="BB154" s="26">
        <v>0</v>
      </c>
      <c r="BC154" s="27"/>
      <c r="BD154" s="237"/>
      <c r="BE154" s="26">
        <v>0</v>
      </c>
      <c r="BF154" s="27"/>
      <c r="BG154" s="237"/>
      <c r="BH154" s="26">
        <v>0</v>
      </c>
      <c r="BI154" s="27"/>
      <c r="BJ154" s="454"/>
    </row>
    <row r="155" spans="1:62" s="28" customFormat="1" outlineLevel="1" x14ac:dyDescent="0.3">
      <c r="A155" s="93" t="s">
        <v>177</v>
      </c>
      <c r="B155" s="2"/>
      <c r="C155" s="23"/>
      <c r="D155" s="53" t="s">
        <v>143</v>
      </c>
      <c r="E155" s="85"/>
      <c r="F155" s="54"/>
      <c r="G155" s="32"/>
      <c r="H155" s="237"/>
      <c r="I155" s="26">
        <f>-SUMIFS(T_HEADCOUNT!$E:$E,T_HEADCOUNT!$C:$C,"-  Churrasqueiro II",T_HEADCOUNT!$D:$D,"1/2026",T_HEADCOUNT!$B:$B,"CLT")</f>
        <v>0</v>
      </c>
      <c r="J155" s="27">
        <f>SUMIFS(T_REAL!$D:$D,T_REAL!$E:$E,DRE!J$7,T_REAL!$C:$C,DRE!$A155)+SUMIFS(Aut_Ajustes_Manuais!$G:$G,Aut_Ajustes_Manuais!$I:$I,DRE!H$4,Aut_Ajustes_Manuais!$F:$F,"  -  Churrasqueiro II")</f>
        <v>0</v>
      </c>
      <c r="K155" s="237"/>
      <c r="L155" s="26">
        <f>-SUMIFS(T_HEADCOUNT!$E:$E,T_HEADCOUNT!$C:$C,"-  Churrasqueiro II",T_HEADCOUNT!$D:$D,"2/2026",T_HEADCOUNT!$B:$B,"CLT")</f>
        <v>0</v>
      </c>
      <c r="M155" s="27">
        <f>SUMIFS(T_REAL!$D:$D,T_REAL!$E:$E,DRE!M$7,T_REAL!$C:$C,DRE!$A155)+SUMIFS(Aut_Ajustes_Manuais!$G:$G,Aut_Ajustes_Manuais!$I:$I,DRE!K$4,Aut_Ajustes_Manuais!$F:$F,"  -  Churrasqueiro II")</f>
        <v>0</v>
      </c>
      <c r="N155" s="237"/>
      <c r="O155" s="26">
        <f>-SUMIFS(T_HEADCOUNT!$E:$E,T_HEADCOUNT!$C:$C,"-  Churrasqueiro II",T_HEADCOUNT!$D:$D,"3/2026",T_HEADCOUNT!$B:$B,"CLT")</f>
        <v>0</v>
      </c>
      <c r="P155" s="27">
        <f>SUMIFS(T_REAL!$D:$D,T_REAL!$E:$E,DRE!P$7,T_REAL!$C:$C,DRE!$A155)+SUMIFS(Aut_Ajustes_Manuais!$G:$G,Aut_Ajustes_Manuais!$I:$I,DRE!N$4,Aut_Ajustes_Manuais!$F:$F,"  -  Churrasqueiro II")</f>
        <v>0</v>
      </c>
      <c r="Q155" s="237"/>
      <c r="R155" s="26">
        <f>-SUMIFS(T_HEADCOUNT!$E:$E,T_HEADCOUNT!$C:$C,"-  Churrasqueiro II",T_HEADCOUNT!$D:$D,"4/2026",T_HEADCOUNT!$B:$B,"CLT")</f>
        <v>0</v>
      </c>
      <c r="S155" s="27">
        <f>SUMIFS(T_REAL!$D:$D,T_REAL!$E:$E,DRE!S$7,T_REAL!$C:$C,DRE!$A155)+SUMIFS(Aut_Ajustes_Manuais!$G:$G,Aut_Ajustes_Manuais!$I:$I,DRE!Q$4,Aut_Ajustes_Manuais!$F:$F,"  -  Churrasqueiro II")</f>
        <v>0</v>
      </c>
      <c r="T155" s="237"/>
      <c r="U155" s="26">
        <f>-SUMIFS(T_HEADCOUNT!$E:$E,T_HEADCOUNT!$C:$C,"-  Churrasqueiro II",T_HEADCOUNT!$D:$D,"5/2026",T_HEADCOUNT!$B:$B,"CLT")</f>
        <v>0</v>
      </c>
      <c r="V155" s="27">
        <f>SUMIFS(T_REAL!$D:$D,T_REAL!$E:$E,DRE!V$7,T_REAL!$C:$C,DRE!$A155)+SUMIFS(Aut_Ajustes_Manuais!$G:$G,Aut_Ajustes_Manuais!$I:$I,DRE!T$4,Aut_Ajustes_Manuais!$F:$F,"  -  Churrasqueiro II")</f>
        <v>0</v>
      </c>
      <c r="W155" s="237"/>
      <c r="X155" s="26">
        <f>-SUMIFS(T_HEADCOUNT!$E:$E,T_HEADCOUNT!$C:$C,"-  Churrasqueiro II",T_HEADCOUNT!$D:$D,"6/2026",T_HEADCOUNT!$B:$B,"CLT")</f>
        <v>0</v>
      </c>
      <c r="Y155" s="27">
        <f>SUMIFS(T_REAL!$D:$D,T_REAL!$E:$E,DRE!Y$7,T_REAL!$C:$C,DRE!$A155)+SUMIFS(Aut_Ajustes_Manuais!$G:$G,Aut_Ajustes_Manuais!$I:$I,DRE!W$4,Aut_Ajustes_Manuais!$F:$F,"  -  Churrasqueiro II")</f>
        <v>0</v>
      </c>
      <c r="Z155" s="237"/>
      <c r="AA155" s="26">
        <f>-SUMIFS(T_HEADCOUNT!$E:$E,T_HEADCOUNT!$C:$C,"-  Churrasqueiro II",T_HEADCOUNT!$D:$D,"7/2026",T_HEADCOUNT!$B:$B,"CLT")</f>
        <v>0</v>
      </c>
      <c r="AB155" s="27">
        <f>SUMIFS(T_REAL!$D:$D,T_REAL!$E:$E,DRE!AB$7,T_REAL!$C:$C,DRE!$A155)+SUMIFS(Aut_Ajustes_Manuais!$G:$G,Aut_Ajustes_Manuais!$I:$I,DRE!Z$4,Aut_Ajustes_Manuais!$F:$F,"  -  Churrasqueiro II")</f>
        <v>0</v>
      </c>
      <c r="AC155" s="237"/>
      <c r="AD155" s="26">
        <f>-SUMIFS(T_HEADCOUNT!$E:$E,T_HEADCOUNT!$C:$C,"-  Churrasqueiro II",T_HEADCOUNT!$D:$D,"8/2026",T_HEADCOUNT!$B:$B,"CLT")</f>
        <v>0</v>
      </c>
      <c r="AE155" s="27">
        <f>SUMIFS(T_REAL!$D:$D,T_REAL!$E:$E,DRE!AE$7,T_REAL!$C:$C,DRE!$A155)+SUMIFS(Aut_Ajustes_Manuais!$G:$G,Aut_Ajustes_Manuais!$I:$I,DRE!AC$4,Aut_Ajustes_Manuais!$F:$F,"  -  Churrasqueiro II")</f>
        <v>0</v>
      </c>
      <c r="AF155" s="237"/>
      <c r="AG155" s="26">
        <f>-SUMIFS(T_HEADCOUNT!$E:$E,T_HEADCOUNT!$C:$C,"-  Churrasqueiro II",T_HEADCOUNT!$D:$D,"9/2026",T_HEADCOUNT!$B:$B,"CLT")</f>
        <v>0</v>
      </c>
      <c r="AH155" s="27">
        <f>SUMIFS(T_REAL!$D:$D,T_REAL!$E:$E,DRE!AH$7,T_REAL!$C:$C,DRE!$A155)+SUMIFS(Aut_Ajustes_Manuais!$G:$G,Aut_Ajustes_Manuais!$I:$I,DRE!AF$4,Aut_Ajustes_Manuais!$F:$F,"  -  Churrasqueiro II")</f>
        <v>0</v>
      </c>
      <c r="AI155" s="237"/>
      <c r="AJ155" s="26">
        <f>-SUMIFS(T_HEADCOUNT!$E:$E,T_HEADCOUNT!$C:$C,"-  Churrasqueiro II",T_HEADCOUNT!$D:$D,"10/2026",T_HEADCOUNT!$B:$B,"CLT")</f>
        <v>0</v>
      </c>
      <c r="AK155" s="27">
        <f>SUMIFS(T_REAL!$D:$D,T_REAL!$E:$E,DRE!AK$7,T_REAL!$C:$C,DRE!$A155)+SUMIFS(Aut_Ajustes_Manuais!$G:$G,Aut_Ajustes_Manuais!$I:$I,DRE!AI$4,Aut_Ajustes_Manuais!$F:$F,"  -  Churrasqueiro II")</f>
        <v>0</v>
      </c>
      <c r="AL155" s="237"/>
      <c r="AM155" s="26">
        <f>-SUMIFS(T_HEADCOUNT!$E:$E,T_HEADCOUNT!$C:$C,"-  Churrasqueiro II",T_HEADCOUNT!$D:$D,"11/2026",T_HEADCOUNT!$B:$B,"CLT")</f>
        <v>0</v>
      </c>
      <c r="AN155" s="27">
        <f>SUMIFS(T_REAL!$D:$D,T_REAL!$E:$E,DRE!AN$7,T_REAL!$C:$C,DRE!$A155)+SUMIFS(Aut_Ajustes_Manuais!$G:$G,Aut_Ajustes_Manuais!$I:$I,DRE!AL$4,Aut_Ajustes_Manuais!$F:$F,"  -  Churrasqueiro II")</f>
        <v>0</v>
      </c>
      <c r="AO155" s="237"/>
      <c r="AP155" s="26">
        <f>-SUMIFS(T_HEADCOUNT!$E:$E,T_HEADCOUNT!$C:$C,"-  Churrasqueiro II",T_HEADCOUNT!$D:$D,"12/2026",T_HEADCOUNT!$B:$B,"CLT")</f>
        <v>0</v>
      </c>
      <c r="AQ155" s="27">
        <f>SUMIFS(T_REAL!$D:$D,T_REAL!$E:$E,DRE!AQ$7,T_REAL!$C:$C,DRE!$A155)+SUMIFS(Aut_Ajustes_Manuais!$G:$G,Aut_Ajustes_Manuais!$I:$I,DRE!AO$4,Aut_Ajustes_Manuais!$F:$F,"  -  Churrasqueiro II")</f>
        <v>0</v>
      </c>
      <c r="AR155" s="237">
        <f t="shared" ca="1" si="139"/>
        <v>0</v>
      </c>
      <c r="AS155" s="26">
        <f t="shared" ca="1" si="140"/>
        <v>0</v>
      </c>
      <c r="AT155" s="27">
        <f t="shared" ca="1" si="141"/>
        <v>0</v>
      </c>
      <c r="AU155" s="237"/>
      <c r="AV155" s="26"/>
      <c r="AW155" s="27"/>
      <c r="AX155" s="237"/>
      <c r="AY155" s="26">
        <v>0</v>
      </c>
      <c r="AZ155" s="27"/>
      <c r="BA155" s="237"/>
      <c r="BB155" s="26">
        <v>0</v>
      </c>
      <c r="BC155" s="27"/>
      <c r="BD155" s="237"/>
      <c r="BE155" s="26">
        <v>0</v>
      </c>
      <c r="BF155" s="27"/>
      <c r="BG155" s="237"/>
      <c r="BH155" s="26">
        <v>0</v>
      </c>
      <c r="BI155" s="27"/>
      <c r="BJ155" s="454"/>
    </row>
    <row r="156" spans="1:62" s="28" customFormat="1" outlineLevel="1" x14ac:dyDescent="0.3">
      <c r="A156" s="93" t="s">
        <v>178</v>
      </c>
      <c r="B156" s="2"/>
      <c r="C156" s="23"/>
      <c r="D156" s="53" t="s">
        <v>143</v>
      </c>
      <c r="E156" s="85"/>
      <c r="F156" s="54"/>
      <c r="G156" s="32"/>
      <c r="H156" s="237"/>
      <c r="I156" s="26">
        <f>-SUMIFS(T_HEADCOUNT!$E:$E,T_HEADCOUNT!$C:$C,"-  Churrasqueiro III",T_HEADCOUNT!$D:$D,"1/2026",T_HEADCOUNT!$B:$B,"CLT")</f>
        <v>0</v>
      </c>
      <c r="J156" s="27">
        <f>SUMIFS(T_REAL!$D:$D,T_REAL!$E:$E,DRE!J$7,T_REAL!$C:$C,DRE!$A156)+SUMIFS(Aut_Ajustes_Manuais!$G:$G,Aut_Ajustes_Manuais!$I:$I,DRE!H$4,Aut_Ajustes_Manuais!$F:$F,"  -  Churrasqueiro III")</f>
        <v>0</v>
      </c>
      <c r="K156" s="237"/>
      <c r="L156" s="26">
        <f>-SUMIFS(T_HEADCOUNT!$E:$E,T_HEADCOUNT!$C:$C,"-  Churrasqueiro III",T_HEADCOUNT!$D:$D,"2/2026",T_HEADCOUNT!$B:$B,"CLT")</f>
        <v>0</v>
      </c>
      <c r="M156" s="27">
        <f>SUMIFS(T_REAL!$D:$D,T_REAL!$E:$E,DRE!M$7,T_REAL!$C:$C,DRE!$A156)+SUMIFS(Aut_Ajustes_Manuais!$G:$G,Aut_Ajustes_Manuais!$I:$I,DRE!K$4,Aut_Ajustes_Manuais!$F:$F,"  -  Churrasqueiro III")</f>
        <v>0</v>
      </c>
      <c r="N156" s="237"/>
      <c r="O156" s="26">
        <f>-SUMIFS(T_HEADCOUNT!$E:$E,T_HEADCOUNT!$C:$C,"-  Churrasqueiro III",T_HEADCOUNT!$D:$D,"3/2026",T_HEADCOUNT!$B:$B,"CLT")</f>
        <v>0</v>
      </c>
      <c r="P156" s="27">
        <f>SUMIFS(T_REAL!$D:$D,T_REAL!$E:$E,DRE!P$7,T_REAL!$C:$C,DRE!$A156)+SUMIFS(Aut_Ajustes_Manuais!$G:$G,Aut_Ajustes_Manuais!$I:$I,DRE!N$4,Aut_Ajustes_Manuais!$F:$F,"  -  Churrasqueiro III")</f>
        <v>0</v>
      </c>
      <c r="Q156" s="237"/>
      <c r="R156" s="26">
        <f>-SUMIFS(T_HEADCOUNT!$E:$E,T_HEADCOUNT!$C:$C,"-  Churrasqueiro III",T_HEADCOUNT!$D:$D,"4/2026",T_HEADCOUNT!$B:$B,"CLT")</f>
        <v>0</v>
      </c>
      <c r="S156" s="27">
        <f>SUMIFS(T_REAL!$D:$D,T_REAL!$E:$E,DRE!S$7,T_REAL!$C:$C,DRE!$A156)+SUMIFS(Aut_Ajustes_Manuais!$G:$G,Aut_Ajustes_Manuais!$I:$I,DRE!Q$4,Aut_Ajustes_Manuais!$F:$F,"  -  Churrasqueiro III")</f>
        <v>0</v>
      </c>
      <c r="T156" s="237"/>
      <c r="U156" s="26">
        <f>-SUMIFS(T_HEADCOUNT!$E:$E,T_HEADCOUNT!$C:$C,"-  Churrasqueiro III",T_HEADCOUNT!$D:$D,"5/2026",T_HEADCOUNT!$B:$B,"CLT")</f>
        <v>0</v>
      </c>
      <c r="V156" s="27">
        <f>SUMIFS(T_REAL!$D:$D,T_REAL!$E:$E,DRE!V$7,T_REAL!$C:$C,DRE!$A156)+SUMIFS(Aut_Ajustes_Manuais!$G:$G,Aut_Ajustes_Manuais!$I:$I,DRE!T$4,Aut_Ajustes_Manuais!$F:$F,"  -  Churrasqueiro III")</f>
        <v>0</v>
      </c>
      <c r="W156" s="237"/>
      <c r="X156" s="26">
        <f>-SUMIFS(T_HEADCOUNT!$E:$E,T_HEADCOUNT!$C:$C,"-  Churrasqueiro III",T_HEADCOUNT!$D:$D,"6/2026",T_HEADCOUNT!$B:$B,"CLT")</f>
        <v>0</v>
      </c>
      <c r="Y156" s="27">
        <f>SUMIFS(T_REAL!$D:$D,T_REAL!$E:$E,DRE!Y$7,T_REAL!$C:$C,DRE!$A156)+SUMIFS(Aut_Ajustes_Manuais!$G:$G,Aut_Ajustes_Manuais!$I:$I,DRE!W$4,Aut_Ajustes_Manuais!$F:$F,"  -  Churrasqueiro III")</f>
        <v>0</v>
      </c>
      <c r="Z156" s="237"/>
      <c r="AA156" s="26">
        <f>-SUMIFS(T_HEADCOUNT!$E:$E,T_HEADCOUNT!$C:$C,"-  Churrasqueiro III",T_HEADCOUNT!$D:$D,"7/2026",T_HEADCOUNT!$B:$B,"CLT")</f>
        <v>0</v>
      </c>
      <c r="AB156" s="27">
        <f>SUMIFS(T_REAL!$D:$D,T_REAL!$E:$E,DRE!AB$7,T_REAL!$C:$C,DRE!$A156)+SUMIFS(Aut_Ajustes_Manuais!$G:$G,Aut_Ajustes_Manuais!$I:$I,DRE!Z$4,Aut_Ajustes_Manuais!$F:$F,"  -  Churrasqueiro III")</f>
        <v>0</v>
      </c>
      <c r="AC156" s="237"/>
      <c r="AD156" s="26">
        <f>-SUMIFS(T_HEADCOUNT!$E:$E,T_HEADCOUNT!$C:$C,"-  Churrasqueiro III",T_HEADCOUNT!$D:$D,"8/2026",T_HEADCOUNT!$B:$B,"CLT")</f>
        <v>0</v>
      </c>
      <c r="AE156" s="27">
        <f>SUMIFS(T_REAL!$D:$D,T_REAL!$E:$E,DRE!AE$7,T_REAL!$C:$C,DRE!$A156)+SUMIFS(Aut_Ajustes_Manuais!$G:$G,Aut_Ajustes_Manuais!$I:$I,DRE!AC$4,Aut_Ajustes_Manuais!$F:$F,"  -  Churrasqueiro III")</f>
        <v>0</v>
      </c>
      <c r="AF156" s="237"/>
      <c r="AG156" s="26">
        <f>-SUMIFS(T_HEADCOUNT!$E:$E,T_HEADCOUNT!$C:$C,"-  Churrasqueiro III",T_HEADCOUNT!$D:$D,"9/2026",T_HEADCOUNT!$B:$B,"CLT")</f>
        <v>0</v>
      </c>
      <c r="AH156" s="27">
        <f>SUMIFS(T_REAL!$D:$D,T_REAL!$E:$E,DRE!AH$7,T_REAL!$C:$C,DRE!$A156)+SUMIFS(Aut_Ajustes_Manuais!$G:$G,Aut_Ajustes_Manuais!$I:$I,DRE!AF$4,Aut_Ajustes_Manuais!$F:$F,"  -  Churrasqueiro III")</f>
        <v>0</v>
      </c>
      <c r="AI156" s="237"/>
      <c r="AJ156" s="26">
        <f>-SUMIFS(T_HEADCOUNT!$E:$E,T_HEADCOUNT!$C:$C,"-  Churrasqueiro III",T_HEADCOUNT!$D:$D,"10/2026",T_HEADCOUNT!$B:$B,"CLT")</f>
        <v>0</v>
      </c>
      <c r="AK156" s="27">
        <f>SUMIFS(T_REAL!$D:$D,T_REAL!$E:$E,DRE!AK$7,T_REAL!$C:$C,DRE!$A156)+SUMIFS(Aut_Ajustes_Manuais!$G:$G,Aut_Ajustes_Manuais!$I:$I,DRE!AI$4,Aut_Ajustes_Manuais!$F:$F,"  -  Churrasqueiro III")</f>
        <v>0</v>
      </c>
      <c r="AL156" s="237"/>
      <c r="AM156" s="26">
        <f>-SUMIFS(T_HEADCOUNT!$E:$E,T_HEADCOUNT!$C:$C,"-  Churrasqueiro III",T_HEADCOUNT!$D:$D,"11/2026",T_HEADCOUNT!$B:$B,"CLT")</f>
        <v>0</v>
      </c>
      <c r="AN156" s="27">
        <f>SUMIFS(T_REAL!$D:$D,T_REAL!$E:$E,DRE!AN$7,T_REAL!$C:$C,DRE!$A156)+SUMIFS(Aut_Ajustes_Manuais!$G:$G,Aut_Ajustes_Manuais!$I:$I,DRE!AL$4,Aut_Ajustes_Manuais!$F:$F,"  -  Churrasqueiro III")</f>
        <v>0</v>
      </c>
      <c r="AO156" s="237"/>
      <c r="AP156" s="26">
        <f>-SUMIFS(T_HEADCOUNT!$E:$E,T_HEADCOUNT!$C:$C,"-  Churrasqueiro III",T_HEADCOUNT!$D:$D,"12/2026",T_HEADCOUNT!$B:$B,"CLT")</f>
        <v>0</v>
      </c>
      <c r="AQ156" s="27">
        <f>SUMIFS(T_REAL!$D:$D,T_REAL!$E:$E,DRE!AQ$7,T_REAL!$C:$C,DRE!$A156)+SUMIFS(Aut_Ajustes_Manuais!$G:$G,Aut_Ajustes_Manuais!$I:$I,DRE!AO$4,Aut_Ajustes_Manuais!$F:$F,"  -  Churrasqueiro III")</f>
        <v>0</v>
      </c>
      <c r="AR156" s="237">
        <f t="shared" ca="1" si="139"/>
        <v>0</v>
      </c>
      <c r="AS156" s="26">
        <f t="shared" ca="1" si="140"/>
        <v>0</v>
      </c>
      <c r="AT156" s="27">
        <f t="shared" ca="1" si="141"/>
        <v>0</v>
      </c>
      <c r="AU156" s="237"/>
      <c r="AV156" s="26"/>
      <c r="AW156" s="27"/>
      <c r="AX156" s="237"/>
      <c r="AY156" s="26">
        <v>0</v>
      </c>
      <c r="AZ156" s="27"/>
      <c r="BA156" s="237"/>
      <c r="BB156" s="26">
        <v>0</v>
      </c>
      <c r="BC156" s="27"/>
      <c r="BD156" s="237"/>
      <c r="BE156" s="26">
        <v>0</v>
      </c>
      <c r="BF156" s="27"/>
      <c r="BG156" s="237"/>
      <c r="BH156" s="26">
        <v>0</v>
      </c>
      <c r="BI156" s="27"/>
      <c r="BJ156" s="454"/>
    </row>
    <row r="157" spans="1:62" s="28" customFormat="1" outlineLevel="1" x14ac:dyDescent="0.3">
      <c r="A157" s="93" t="s">
        <v>179</v>
      </c>
      <c r="B157" s="2"/>
      <c r="C157" s="23"/>
      <c r="D157" s="53" t="s">
        <v>143</v>
      </c>
      <c r="E157" s="85"/>
      <c r="F157" s="54"/>
      <c r="G157" s="32"/>
      <c r="H157" s="237"/>
      <c r="I157" s="26">
        <f>-SUMIFS(T_HEADCOUNT!$E:$E,T_HEADCOUNT!$C:$C,"-  Ajud Limpeza",T_HEADCOUNT!$D:$D,"1/2026",T_HEADCOUNT!$B:$B,"CLT")</f>
        <v>0</v>
      </c>
      <c r="J157" s="27">
        <f>SUMIFS(T_REAL!$D:$D,T_REAL!$E:$E,DRE!J$7,T_REAL!$C:$C,DRE!$A157)+SUMIFS(Aut_Ajustes_Manuais!$G:$G,Aut_Ajustes_Manuais!$I:$I,DRE!H$4,Aut_Ajustes_Manuais!$F:$F,"  -  Ajud Limpeza")</f>
        <v>0</v>
      </c>
      <c r="K157" s="237"/>
      <c r="L157" s="26">
        <f>-SUMIFS(T_HEADCOUNT!$E:$E,T_HEADCOUNT!$C:$C,"-  Ajud Limpeza",T_HEADCOUNT!$D:$D,"2/2026",T_HEADCOUNT!$B:$B,"CLT")</f>
        <v>0</v>
      </c>
      <c r="M157" s="27">
        <f>SUMIFS(T_REAL!$D:$D,T_REAL!$E:$E,DRE!M$7,T_REAL!$C:$C,DRE!$A157)+SUMIFS(Aut_Ajustes_Manuais!$G:$G,Aut_Ajustes_Manuais!$I:$I,DRE!K$4,Aut_Ajustes_Manuais!$F:$F,"  -  Ajud Limpeza")</f>
        <v>0</v>
      </c>
      <c r="N157" s="237"/>
      <c r="O157" s="26">
        <f>-SUMIFS(T_HEADCOUNT!$E:$E,T_HEADCOUNT!$C:$C,"-  Ajud Limpeza",T_HEADCOUNT!$D:$D,"3/2026",T_HEADCOUNT!$B:$B,"CLT")</f>
        <v>0</v>
      </c>
      <c r="P157" s="27">
        <f>SUMIFS(T_REAL!$D:$D,T_REAL!$E:$E,DRE!P$7,T_REAL!$C:$C,DRE!$A157)+SUMIFS(Aut_Ajustes_Manuais!$G:$G,Aut_Ajustes_Manuais!$I:$I,DRE!N$4,Aut_Ajustes_Manuais!$F:$F,"  -  Ajud Limpeza")</f>
        <v>0</v>
      </c>
      <c r="Q157" s="237"/>
      <c r="R157" s="26">
        <f>-SUMIFS(T_HEADCOUNT!$E:$E,T_HEADCOUNT!$C:$C,"-  Ajud Limpeza",T_HEADCOUNT!$D:$D,"4/2026",T_HEADCOUNT!$B:$B,"CLT")</f>
        <v>0</v>
      </c>
      <c r="S157" s="27">
        <f>SUMIFS(T_REAL!$D:$D,T_REAL!$E:$E,DRE!S$7,T_REAL!$C:$C,DRE!$A157)+SUMIFS(Aut_Ajustes_Manuais!$G:$G,Aut_Ajustes_Manuais!$I:$I,DRE!Q$4,Aut_Ajustes_Manuais!$F:$F,"  -  Ajud Limpeza")</f>
        <v>0</v>
      </c>
      <c r="T157" s="237"/>
      <c r="U157" s="26">
        <f>-SUMIFS(T_HEADCOUNT!$E:$E,T_HEADCOUNT!$C:$C,"-  Ajud Limpeza",T_HEADCOUNT!$D:$D,"5/2026",T_HEADCOUNT!$B:$B,"CLT")</f>
        <v>0</v>
      </c>
      <c r="V157" s="27">
        <f>SUMIFS(T_REAL!$D:$D,T_REAL!$E:$E,DRE!V$7,T_REAL!$C:$C,DRE!$A157)+SUMIFS(Aut_Ajustes_Manuais!$G:$G,Aut_Ajustes_Manuais!$I:$I,DRE!T$4,Aut_Ajustes_Manuais!$F:$F,"  -  Ajud Limpeza")</f>
        <v>0</v>
      </c>
      <c r="W157" s="237"/>
      <c r="X157" s="26">
        <f>-SUMIFS(T_HEADCOUNT!$E:$E,T_HEADCOUNT!$C:$C,"-  Ajud Limpeza",T_HEADCOUNT!$D:$D,"6/2026",T_HEADCOUNT!$B:$B,"CLT")</f>
        <v>0</v>
      </c>
      <c r="Y157" s="27">
        <f>SUMIFS(T_REAL!$D:$D,T_REAL!$E:$E,DRE!Y$7,T_REAL!$C:$C,DRE!$A157)+SUMIFS(Aut_Ajustes_Manuais!$G:$G,Aut_Ajustes_Manuais!$I:$I,DRE!W$4,Aut_Ajustes_Manuais!$F:$F,"  -  Ajud Limpeza")</f>
        <v>0</v>
      </c>
      <c r="Z157" s="237"/>
      <c r="AA157" s="26">
        <f>-SUMIFS(T_HEADCOUNT!$E:$E,T_HEADCOUNT!$C:$C,"-  Ajud Limpeza",T_HEADCOUNT!$D:$D,"7/2026",T_HEADCOUNT!$B:$B,"CLT")</f>
        <v>0</v>
      </c>
      <c r="AB157" s="27">
        <f>SUMIFS(T_REAL!$D:$D,T_REAL!$E:$E,DRE!AB$7,T_REAL!$C:$C,DRE!$A157)+SUMIFS(Aut_Ajustes_Manuais!$G:$G,Aut_Ajustes_Manuais!$I:$I,DRE!Z$4,Aut_Ajustes_Manuais!$F:$F,"  -  Ajud Limpeza")</f>
        <v>0</v>
      </c>
      <c r="AC157" s="237"/>
      <c r="AD157" s="26">
        <f>-SUMIFS(T_HEADCOUNT!$E:$E,T_HEADCOUNT!$C:$C,"-  Ajud Limpeza",T_HEADCOUNT!$D:$D,"8/2026",T_HEADCOUNT!$B:$B,"CLT")</f>
        <v>0</v>
      </c>
      <c r="AE157" s="27">
        <f>SUMIFS(T_REAL!$D:$D,T_REAL!$E:$E,DRE!AE$7,T_REAL!$C:$C,DRE!$A157)+SUMIFS(Aut_Ajustes_Manuais!$G:$G,Aut_Ajustes_Manuais!$I:$I,DRE!AC$4,Aut_Ajustes_Manuais!$F:$F,"  -  Ajud Limpeza")</f>
        <v>0</v>
      </c>
      <c r="AF157" s="237"/>
      <c r="AG157" s="26">
        <f>-SUMIFS(T_HEADCOUNT!$E:$E,T_HEADCOUNT!$C:$C,"-  Ajud Limpeza",T_HEADCOUNT!$D:$D,"9/2026",T_HEADCOUNT!$B:$B,"CLT")</f>
        <v>0</v>
      </c>
      <c r="AH157" s="27">
        <f>SUMIFS(T_REAL!$D:$D,T_REAL!$E:$E,DRE!AH$7,T_REAL!$C:$C,DRE!$A157)+SUMIFS(Aut_Ajustes_Manuais!$G:$G,Aut_Ajustes_Manuais!$I:$I,DRE!AF$4,Aut_Ajustes_Manuais!$F:$F,"  -  Ajud Limpeza")</f>
        <v>0</v>
      </c>
      <c r="AI157" s="237"/>
      <c r="AJ157" s="26">
        <f>-SUMIFS(T_HEADCOUNT!$E:$E,T_HEADCOUNT!$C:$C,"-  Ajud Limpeza",T_HEADCOUNT!$D:$D,"10/2026",T_HEADCOUNT!$B:$B,"CLT")</f>
        <v>0</v>
      </c>
      <c r="AK157" s="27">
        <f>SUMIFS(T_REAL!$D:$D,T_REAL!$E:$E,DRE!AK$7,T_REAL!$C:$C,DRE!$A157)+SUMIFS(Aut_Ajustes_Manuais!$G:$G,Aut_Ajustes_Manuais!$I:$I,DRE!AI$4,Aut_Ajustes_Manuais!$F:$F,"  -  Ajud Limpeza")</f>
        <v>0</v>
      </c>
      <c r="AL157" s="237"/>
      <c r="AM157" s="26">
        <f>-SUMIFS(T_HEADCOUNT!$E:$E,T_HEADCOUNT!$C:$C,"-  Ajud Limpeza",T_HEADCOUNT!$D:$D,"11/2026",T_HEADCOUNT!$B:$B,"CLT")</f>
        <v>0</v>
      </c>
      <c r="AN157" s="27">
        <f>SUMIFS(T_REAL!$D:$D,T_REAL!$E:$E,DRE!AN$7,T_REAL!$C:$C,DRE!$A157)+SUMIFS(Aut_Ajustes_Manuais!$G:$G,Aut_Ajustes_Manuais!$I:$I,DRE!AL$4,Aut_Ajustes_Manuais!$F:$F,"  -  Ajud Limpeza")</f>
        <v>0</v>
      </c>
      <c r="AO157" s="237"/>
      <c r="AP157" s="26">
        <f>-SUMIFS(T_HEADCOUNT!$E:$E,T_HEADCOUNT!$C:$C,"-  Ajud Limpeza",T_HEADCOUNT!$D:$D,"12/2026",T_HEADCOUNT!$B:$B,"CLT")</f>
        <v>0</v>
      </c>
      <c r="AQ157" s="27">
        <f>SUMIFS(T_REAL!$D:$D,T_REAL!$E:$E,DRE!AQ$7,T_REAL!$C:$C,DRE!$A157)+SUMIFS(Aut_Ajustes_Manuais!$G:$G,Aut_Ajustes_Manuais!$I:$I,DRE!AO$4,Aut_Ajustes_Manuais!$F:$F,"  -  Ajud Limpeza")</f>
        <v>0</v>
      </c>
      <c r="AR157" s="237">
        <f t="shared" ca="1" si="139"/>
        <v>0</v>
      </c>
      <c r="AS157" s="26">
        <f t="shared" ca="1" si="140"/>
        <v>0</v>
      </c>
      <c r="AT157" s="27">
        <f t="shared" ca="1" si="141"/>
        <v>0</v>
      </c>
      <c r="AU157" s="237"/>
      <c r="AV157" s="26"/>
      <c r="AW157" s="27"/>
      <c r="AX157" s="237"/>
      <c r="AY157" s="26">
        <v>-11216.4</v>
      </c>
      <c r="AZ157" s="27"/>
      <c r="BA157" s="237"/>
      <c r="BB157" s="26">
        <v>-11373.429599999999</v>
      </c>
      <c r="BC157" s="27"/>
      <c r="BD157" s="237"/>
      <c r="BE157" s="26">
        <v>-11687.488799999999</v>
      </c>
      <c r="BF157" s="27"/>
      <c r="BG157" s="237"/>
      <c r="BH157" s="26">
        <v>-11687.488799999999</v>
      </c>
      <c r="BI157" s="27"/>
      <c r="BJ157" s="454"/>
    </row>
    <row r="158" spans="1:62" s="28" customFormat="1" outlineLevel="1" x14ac:dyDescent="0.3">
      <c r="A158" s="93" t="s">
        <v>180</v>
      </c>
      <c r="B158" s="2"/>
      <c r="C158" s="23"/>
      <c r="D158" s="53" t="s">
        <v>143</v>
      </c>
      <c r="E158" s="85"/>
      <c r="F158" s="54"/>
      <c r="G158" s="32"/>
      <c r="H158" s="237"/>
      <c r="I158" s="26">
        <f>-SUMIFS(T_HEADCOUNT!$E:$E,T_HEADCOUNT!$C:$C,"-  Estoquista III",T_HEADCOUNT!$D:$D,"1/2026",T_HEADCOUNT!$B:$B,"CLT")</f>
        <v>0</v>
      </c>
      <c r="J158" s="27">
        <f>SUMIFS(T_REAL!$D:$D,T_REAL!$E:$E,DRE!J$7,T_REAL!$C:$C,DRE!$A158)+SUMIFS(Aut_Ajustes_Manuais!$G:$G,Aut_Ajustes_Manuais!$I:$I,DRE!H$4,Aut_Ajustes_Manuais!$F:$F,"  -  Estoquista III")</f>
        <v>0</v>
      </c>
      <c r="K158" s="237"/>
      <c r="L158" s="26">
        <f>-SUMIFS(T_HEADCOUNT!$E:$E,T_HEADCOUNT!$C:$C,"-  Estoquista III",T_HEADCOUNT!$D:$D,"2/2026",T_HEADCOUNT!$B:$B,"CLT")</f>
        <v>0</v>
      </c>
      <c r="M158" s="27">
        <f>SUMIFS(T_REAL!$D:$D,T_REAL!$E:$E,DRE!M$7,T_REAL!$C:$C,DRE!$A158)+SUMIFS(Aut_Ajustes_Manuais!$G:$G,Aut_Ajustes_Manuais!$I:$I,DRE!K$4,Aut_Ajustes_Manuais!$F:$F,"  -  Estoquista III")</f>
        <v>0</v>
      </c>
      <c r="N158" s="237"/>
      <c r="O158" s="26">
        <f>-SUMIFS(T_HEADCOUNT!$E:$E,T_HEADCOUNT!$C:$C,"-  Estoquista III",T_HEADCOUNT!$D:$D,"3/2026",T_HEADCOUNT!$B:$B,"CLT")</f>
        <v>0</v>
      </c>
      <c r="P158" s="27">
        <f>SUMIFS(T_REAL!$D:$D,T_REAL!$E:$E,DRE!P$7,T_REAL!$C:$C,DRE!$A158)+SUMIFS(Aut_Ajustes_Manuais!$G:$G,Aut_Ajustes_Manuais!$I:$I,DRE!N$4,Aut_Ajustes_Manuais!$F:$F,"  -  Estoquista III")</f>
        <v>0</v>
      </c>
      <c r="Q158" s="237"/>
      <c r="R158" s="26">
        <f>-SUMIFS(T_HEADCOUNT!$E:$E,T_HEADCOUNT!$C:$C,"-  Estoquista III",T_HEADCOUNT!$D:$D,"4/2026",T_HEADCOUNT!$B:$B,"CLT")</f>
        <v>0</v>
      </c>
      <c r="S158" s="27">
        <f>SUMIFS(T_REAL!$D:$D,T_REAL!$E:$E,DRE!S$7,T_REAL!$C:$C,DRE!$A158)+SUMIFS(Aut_Ajustes_Manuais!$G:$G,Aut_Ajustes_Manuais!$I:$I,DRE!Q$4,Aut_Ajustes_Manuais!$F:$F,"  -  Estoquista III")</f>
        <v>0</v>
      </c>
      <c r="T158" s="237"/>
      <c r="U158" s="26">
        <f>-SUMIFS(T_HEADCOUNT!$E:$E,T_HEADCOUNT!$C:$C,"-  Estoquista III",T_HEADCOUNT!$D:$D,"5/2026",T_HEADCOUNT!$B:$B,"CLT")</f>
        <v>0</v>
      </c>
      <c r="V158" s="27">
        <f>SUMIFS(T_REAL!$D:$D,T_REAL!$E:$E,DRE!V$7,T_REAL!$C:$C,DRE!$A158)+SUMIFS(Aut_Ajustes_Manuais!$G:$G,Aut_Ajustes_Manuais!$I:$I,DRE!T$4,Aut_Ajustes_Manuais!$F:$F,"  -  Estoquista III")</f>
        <v>0</v>
      </c>
      <c r="W158" s="237"/>
      <c r="X158" s="26">
        <f>-SUMIFS(T_HEADCOUNT!$E:$E,T_HEADCOUNT!$C:$C,"-  Estoquista III",T_HEADCOUNT!$D:$D,"6/2026",T_HEADCOUNT!$B:$B,"CLT")</f>
        <v>0</v>
      </c>
      <c r="Y158" s="27">
        <f>SUMIFS(T_REAL!$D:$D,T_REAL!$E:$E,DRE!Y$7,T_REAL!$C:$C,DRE!$A158)+SUMIFS(Aut_Ajustes_Manuais!$G:$G,Aut_Ajustes_Manuais!$I:$I,DRE!W$4,Aut_Ajustes_Manuais!$F:$F,"  -  Estoquista III")</f>
        <v>0</v>
      </c>
      <c r="Z158" s="237"/>
      <c r="AA158" s="26">
        <f>-SUMIFS(T_HEADCOUNT!$E:$E,T_HEADCOUNT!$C:$C,"-  Estoquista III",T_HEADCOUNT!$D:$D,"7/2026",T_HEADCOUNT!$B:$B,"CLT")</f>
        <v>0</v>
      </c>
      <c r="AB158" s="27">
        <f>SUMIFS(T_REAL!$D:$D,T_REAL!$E:$E,DRE!AB$7,T_REAL!$C:$C,DRE!$A158)+SUMIFS(Aut_Ajustes_Manuais!$G:$G,Aut_Ajustes_Manuais!$I:$I,DRE!Z$4,Aut_Ajustes_Manuais!$F:$F,"  -  Estoquista III")</f>
        <v>0</v>
      </c>
      <c r="AC158" s="237"/>
      <c r="AD158" s="26">
        <f>-SUMIFS(T_HEADCOUNT!$E:$E,T_HEADCOUNT!$C:$C,"-  Estoquista III",T_HEADCOUNT!$D:$D,"8/2026",T_HEADCOUNT!$B:$B,"CLT")</f>
        <v>0</v>
      </c>
      <c r="AE158" s="27">
        <f>SUMIFS(T_REAL!$D:$D,T_REAL!$E:$E,DRE!AE$7,T_REAL!$C:$C,DRE!$A158)+SUMIFS(Aut_Ajustes_Manuais!$G:$G,Aut_Ajustes_Manuais!$I:$I,DRE!AC$4,Aut_Ajustes_Manuais!$F:$F,"  -  Estoquista III")</f>
        <v>0</v>
      </c>
      <c r="AF158" s="237"/>
      <c r="AG158" s="26">
        <f>-SUMIFS(T_HEADCOUNT!$E:$E,T_HEADCOUNT!$C:$C,"-  Estoquista III",T_HEADCOUNT!$D:$D,"9/2026",T_HEADCOUNT!$B:$B,"CLT")</f>
        <v>0</v>
      </c>
      <c r="AH158" s="27">
        <f>SUMIFS(T_REAL!$D:$D,T_REAL!$E:$E,DRE!AH$7,T_REAL!$C:$C,DRE!$A158)+SUMIFS(Aut_Ajustes_Manuais!$G:$G,Aut_Ajustes_Manuais!$I:$I,DRE!AF$4,Aut_Ajustes_Manuais!$F:$F,"  -  Estoquista III")</f>
        <v>0</v>
      </c>
      <c r="AI158" s="237"/>
      <c r="AJ158" s="26">
        <f>-SUMIFS(T_HEADCOUNT!$E:$E,T_HEADCOUNT!$C:$C,"-  Estoquista III",T_HEADCOUNT!$D:$D,"10/2026",T_HEADCOUNT!$B:$B,"CLT")</f>
        <v>0</v>
      </c>
      <c r="AK158" s="27">
        <f>SUMIFS(T_REAL!$D:$D,T_REAL!$E:$E,DRE!AK$7,T_REAL!$C:$C,DRE!$A158)+SUMIFS(Aut_Ajustes_Manuais!$G:$G,Aut_Ajustes_Manuais!$I:$I,DRE!AI$4,Aut_Ajustes_Manuais!$F:$F,"  -  Estoquista III")</f>
        <v>0</v>
      </c>
      <c r="AL158" s="237"/>
      <c r="AM158" s="26">
        <f>-SUMIFS(T_HEADCOUNT!$E:$E,T_HEADCOUNT!$C:$C,"-  Estoquista III",T_HEADCOUNT!$D:$D,"11/2026",T_HEADCOUNT!$B:$B,"CLT")</f>
        <v>0</v>
      </c>
      <c r="AN158" s="27">
        <f>SUMIFS(T_REAL!$D:$D,T_REAL!$E:$E,DRE!AN$7,T_REAL!$C:$C,DRE!$A158)+SUMIFS(Aut_Ajustes_Manuais!$G:$G,Aut_Ajustes_Manuais!$I:$I,DRE!AL$4,Aut_Ajustes_Manuais!$F:$F,"  -  Estoquista III")</f>
        <v>0</v>
      </c>
      <c r="AO158" s="237"/>
      <c r="AP158" s="26">
        <f>-SUMIFS(T_HEADCOUNT!$E:$E,T_HEADCOUNT!$C:$C,"-  Estoquista III",T_HEADCOUNT!$D:$D,"12/2026",T_HEADCOUNT!$B:$B,"CLT")</f>
        <v>0</v>
      </c>
      <c r="AQ158" s="27">
        <f>SUMIFS(T_REAL!$D:$D,T_REAL!$E:$E,DRE!AQ$7,T_REAL!$C:$C,DRE!$A158)+SUMIFS(Aut_Ajustes_Manuais!$G:$G,Aut_Ajustes_Manuais!$I:$I,DRE!AO$4,Aut_Ajustes_Manuais!$F:$F,"  -  Estoquista III")</f>
        <v>0</v>
      </c>
      <c r="AR158" s="237">
        <f t="shared" ca="1" si="139"/>
        <v>0</v>
      </c>
      <c r="AS158" s="26">
        <f t="shared" ca="1" si="140"/>
        <v>0</v>
      </c>
      <c r="AT158" s="27">
        <f t="shared" ca="1" si="141"/>
        <v>0</v>
      </c>
      <c r="AU158" s="237"/>
      <c r="AV158" s="26"/>
      <c r="AW158" s="27"/>
      <c r="AX158" s="237"/>
      <c r="AY158" s="26">
        <v>0</v>
      </c>
      <c r="AZ158" s="27"/>
      <c r="BA158" s="237"/>
      <c r="BB158" s="26">
        <v>0</v>
      </c>
      <c r="BC158" s="27"/>
      <c r="BD158" s="237"/>
      <c r="BE158" s="26">
        <v>0</v>
      </c>
      <c r="BF158" s="27"/>
      <c r="BG158" s="237"/>
      <c r="BH158" s="26">
        <v>0</v>
      </c>
      <c r="BI158" s="27"/>
      <c r="BJ158" s="454"/>
    </row>
    <row r="159" spans="1:62" s="28" customFormat="1" outlineLevel="1" x14ac:dyDescent="0.3">
      <c r="A159" s="93" t="s">
        <v>181</v>
      </c>
      <c r="B159" s="2"/>
      <c r="C159" s="23"/>
      <c r="D159" s="53" t="s">
        <v>143</v>
      </c>
      <c r="E159" s="85"/>
      <c r="F159" s="54"/>
      <c r="G159" s="32"/>
      <c r="H159" s="237"/>
      <c r="I159" s="26">
        <f>-SUMIFS(T_HEADCOUNT!$E:$E,T_HEADCOUNT!$C:$C,"-  Estoquista II",T_HEADCOUNT!$D:$D,"1/2026",T_HEADCOUNT!$B:$B,"CLT")</f>
        <v>0</v>
      </c>
      <c r="J159" s="27">
        <f>SUMIFS(T_REAL!$D:$D,T_REAL!$E:$E,DRE!J$7,T_REAL!$C:$C,DRE!$A159)+SUMIFS(Aut_Ajustes_Manuais!$G:$G,Aut_Ajustes_Manuais!$I:$I,DRE!H$4,Aut_Ajustes_Manuais!$F:$F,"  -  Estoquista II")</f>
        <v>0</v>
      </c>
      <c r="K159" s="237"/>
      <c r="L159" s="26">
        <f>-SUMIFS(T_HEADCOUNT!$E:$E,T_HEADCOUNT!$C:$C,"-  Estoquista II",T_HEADCOUNT!$D:$D,"2/2026",T_HEADCOUNT!$B:$B,"CLT")</f>
        <v>0</v>
      </c>
      <c r="M159" s="27">
        <f>SUMIFS(T_REAL!$D:$D,T_REAL!$E:$E,DRE!M$7,T_REAL!$C:$C,DRE!$A159)+SUMIFS(Aut_Ajustes_Manuais!$G:$G,Aut_Ajustes_Manuais!$I:$I,DRE!K$4,Aut_Ajustes_Manuais!$F:$F,"  -  Estoquista II")</f>
        <v>0</v>
      </c>
      <c r="N159" s="237"/>
      <c r="O159" s="26">
        <f>-SUMIFS(T_HEADCOUNT!$E:$E,T_HEADCOUNT!$C:$C,"-  Estoquista II",T_HEADCOUNT!$D:$D,"3/2026",T_HEADCOUNT!$B:$B,"CLT")</f>
        <v>0</v>
      </c>
      <c r="P159" s="27">
        <f>SUMIFS(T_REAL!$D:$D,T_REAL!$E:$E,DRE!P$7,T_REAL!$C:$C,DRE!$A159)+SUMIFS(Aut_Ajustes_Manuais!$G:$G,Aut_Ajustes_Manuais!$I:$I,DRE!N$4,Aut_Ajustes_Manuais!$F:$F,"  -  Estoquista II")</f>
        <v>0</v>
      </c>
      <c r="Q159" s="237"/>
      <c r="R159" s="26">
        <f>-SUMIFS(T_HEADCOUNT!$E:$E,T_HEADCOUNT!$C:$C,"-  Estoquista II",T_HEADCOUNT!$D:$D,"4/2026",T_HEADCOUNT!$B:$B,"CLT")</f>
        <v>0</v>
      </c>
      <c r="S159" s="27">
        <f>SUMIFS(T_REAL!$D:$D,T_REAL!$E:$E,DRE!S$7,T_REAL!$C:$C,DRE!$A159)+SUMIFS(Aut_Ajustes_Manuais!$G:$G,Aut_Ajustes_Manuais!$I:$I,DRE!Q$4,Aut_Ajustes_Manuais!$F:$F,"  -  Estoquista II")</f>
        <v>0</v>
      </c>
      <c r="T159" s="237"/>
      <c r="U159" s="26">
        <f>-SUMIFS(T_HEADCOUNT!$E:$E,T_HEADCOUNT!$C:$C,"-  Estoquista II",T_HEADCOUNT!$D:$D,"5/2026",T_HEADCOUNT!$B:$B,"CLT")</f>
        <v>0</v>
      </c>
      <c r="V159" s="27">
        <f>SUMIFS(T_REAL!$D:$D,T_REAL!$E:$E,DRE!V$7,T_REAL!$C:$C,DRE!$A159)+SUMIFS(Aut_Ajustes_Manuais!$G:$G,Aut_Ajustes_Manuais!$I:$I,DRE!T$4,Aut_Ajustes_Manuais!$F:$F,"  -  Estoquista II")</f>
        <v>0</v>
      </c>
      <c r="W159" s="237"/>
      <c r="X159" s="26">
        <f>-SUMIFS(T_HEADCOUNT!$E:$E,T_HEADCOUNT!$C:$C,"-  Estoquista II",T_HEADCOUNT!$D:$D,"6/2026",T_HEADCOUNT!$B:$B,"CLT")</f>
        <v>0</v>
      </c>
      <c r="Y159" s="27">
        <f>SUMIFS(T_REAL!$D:$D,T_REAL!$E:$E,DRE!Y$7,T_REAL!$C:$C,DRE!$A159)+SUMIFS(Aut_Ajustes_Manuais!$G:$G,Aut_Ajustes_Manuais!$I:$I,DRE!W$4,Aut_Ajustes_Manuais!$F:$F,"  -  Estoquista II")</f>
        <v>0</v>
      </c>
      <c r="Z159" s="237"/>
      <c r="AA159" s="26">
        <f>-SUMIFS(T_HEADCOUNT!$E:$E,T_HEADCOUNT!$C:$C,"-  Estoquista II",T_HEADCOUNT!$D:$D,"7/2026",T_HEADCOUNT!$B:$B,"CLT")</f>
        <v>0</v>
      </c>
      <c r="AB159" s="27">
        <f>SUMIFS(T_REAL!$D:$D,T_REAL!$E:$E,DRE!AB$7,T_REAL!$C:$C,DRE!$A159)+SUMIFS(Aut_Ajustes_Manuais!$G:$G,Aut_Ajustes_Manuais!$I:$I,DRE!Z$4,Aut_Ajustes_Manuais!$F:$F,"  -  Estoquista II")</f>
        <v>0</v>
      </c>
      <c r="AC159" s="237"/>
      <c r="AD159" s="26">
        <f>-SUMIFS(T_HEADCOUNT!$E:$E,T_HEADCOUNT!$C:$C,"-  Estoquista II",T_HEADCOUNT!$D:$D,"8/2026",T_HEADCOUNT!$B:$B,"CLT")</f>
        <v>0</v>
      </c>
      <c r="AE159" s="27">
        <f>SUMIFS(T_REAL!$D:$D,T_REAL!$E:$E,DRE!AE$7,T_REAL!$C:$C,DRE!$A159)+SUMIFS(Aut_Ajustes_Manuais!$G:$G,Aut_Ajustes_Manuais!$I:$I,DRE!AC$4,Aut_Ajustes_Manuais!$F:$F,"  -  Estoquista II")</f>
        <v>0</v>
      </c>
      <c r="AF159" s="237"/>
      <c r="AG159" s="26">
        <f>-SUMIFS(T_HEADCOUNT!$E:$E,T_HEADCOUNT!$C:$C,"-  Estoquista II",T_HEADCOUNT!$D:$D,"9/2026",T_HEADCOUNT!$B:$B,"CLT")</f>
        <v>0</v>
      </c>
      <c r="AH159" s="27">
        <f>SUMIFS(T_REAL!$D:$D,T_REAL!$E:$E,DRE!AH$7,T_REAL!$C:$C,DRE!$A159)+SUMIFS(Aut_Ajustes_Manuais!$G:$G,Aut_Ajustes_Manuais!$I:$I,DRE!AF$4,Aut_Ajustes_Manuais!$F:$F,"  -  Estoquista II")</f>
        <v>0</v>
      </c>
      <c r="AI159" s="237"/>
      <c r="AJ159" s="26">
        <f>-SUMIFS(T_HEADCOUNT!$E:$E,T_HEADCOUNT!$C:$C,"-  Estoquista II",T_HEADCOUNT!$D:$D,"10/2026",T_HEADCOUNT!$B:$B,"CLT")</f>
        <v>0</v>
      </c>
      <c r="AK159" s="27">
        <f>SUMIFS(T_REAL!$D:$D,T_REAL!$E:$E,DRE!AK$7,T_REAL!$C:$C,DRE!$A159)+SUMIFS(Aut_Ajustes_Manuais!$G:$G,Aut_Ajustes_Manuais!$I:$I,DRE!AI$4,Aut_Ajustes_Manuais!$F:$F,"  -  Estoquista II")</f>
        <v>0</v>
      </c>
      <c r="AL159" s="237"/>
      <c r="AM159" s="26">
        <f>-SUMIFS(T_HEADCOUNT!$E:$E,T_HEADCOUNT!$C:$C,"-  Estoquista II",T_HEADCOUNT!$D:$D,"11/2026",T_HEADCOUNT!$B:$B,"CLT")</f>
        <v>0</v>
      </c>
      <c r="AN159" s="27">
        <f>SUMIFS(T_REAL!$D:$D,T_REAL!$E:$E,DRE!AN$7,T_REAL!$C:$C,DRE!$A159)+SUMIFS(Aut_Ajustes_Manuais!$G:$G,Aut_Ajustes_Manuais!$I:$I,DRE!AL$4,Aut_Ajustes_Manuais!$F:$F,"  -  Estoquista II")</f>
        <v>0</v>
      </c>
      <c r="AO159" s="237"/>
      <c r="AP159" s="26">
        <f>-SUMIFS(T_HEADCOUNT!$E:$E,T_HEADCOUNT!$C:$C,"-  Estoquista II",T_HEADCOUNT!$D:$D,"12/2026",T_HEADCOUNT!$B:$B,"CLT")</f>
        <v>0</v>
      </c>
      <c r="AQ159" s="27">
        <f>SUMIFS(T_REAL!$D:$D,T_REAL!$E:$E,DRE!AQ$7,T_REAL!$C:$C,DRE!$A159)+SUMIFS(Aut_Ajustes_Manuais!$G:$G,Aut_Ajustes_Manuais!$I:$I,DRE!AO$4,Aut_Ajustes_Manuais!$F:$F,"  -  Estoquista II")</f>
        <v>0</v>
      </c>
      <c r="AR159" s="237">
        <f t="shared" ca="1" si="139"/>
        <v>0</v>
      </c>
      <c r="AS159" s="26">
        <f t="shared" ca="1" si="140"/>
        <v>0</v>
      </c>
      <c r="AT159" s="27">
        <f t="shared" ca="1" si="141"/>
        <v>0</v>
      </c>
      <c r="AU159" s="237"/>
      <c r="AV159" s="26"/>
      <c r="AW159" s="27"/>
      <c r="AX159" s="237"/>
      <c r="AY159" s="26">
        <v>-5819.5499999999993</v>
      </c>
      <c r="AZ159" s="27"/>
      <c r="BA159" s="237"/>
      <c r="BB159" s="26">
        <v>-5901.0236999999997</v>
      </c>
      <c r="BC159" s="27"/>
      <c r="BD159" s="237"/>
      <c r="BE159" s="26">
        <v>-6063.9710999999998</v>
      </c>
      <c r="BF159" s="27"/>
      <c r="BG159" s="237"/>
      <c r="BH159" s="26">
        <v>-6063.9710999999998</v>
      </c>
      <c r="BI159" s="27"/>
      <c r="BJ159" s="454"/>
    </row>
    <row r="160" spans="1:62" s="28" customFormat="1" outlineLevel="1" x14ac:dyDescent="0.3">
      <c r="A160" s="93" t="s">
        <v>182</v>
      </c>
      <c r="B160" s="2"/>
      <c r="C160" s="23"/>
      <c r="D160" s="53" t="s">
        <v>143</v>
      </c>
      <c r="E160" s="85"/>
      <c r="F160" s="54"/>
      <c r="G160" s="32"/>
      <c r="H160" s="237"/>
      <c r="I160" s="26">
        <f>-SUMIFS(T_HEADCOUNT!$E:$E,T_HEADCOUNT!$C:$C,"-  Estoquista I",T_HEADCOUNT!$D:$D,"1/2026",T_HEADCOUNT!$B:$B,"CLT")</f>
        <v>0</v>
      </c>
      <c r="J160" s="27">
        <f>SUMIFS(T_REAL!$D:$D,T_REAL!$E:$E,DRE!J$7,T_REAL!$C:$C,DRE!$A160)+SUMIFS(Aut_Ajustes_Manuais!$G:$G,Aut_Ajustes_Manuais!$I:$I,DRE!H$4,Aut_Ajustes_Manuais!$F:$F,"  -  Estoquista I")</f>
        <v>0</v>
      </c>
      <c r="K160" s="237"/>
      <c r="L160" s="26">
        <f>-SUMIFS(T_HEADCOUNT!$E:$E,T_HEADCOUNT!$C:$C,"-  Estoquista I",T_HEADCOUNT!$D:$D,"2/2026",T_HEADCOUNT!$B:$B,"CLT")</f>
        <v>0</v>
      </c>
      <c r="M160" s="27">
        <f>SUMIFS(T_REAL!$D:$D,T_REAL!$E:$E,DRE!M$7,T_REAL!$C:$C,DRE!$A160)+SUMIFS(Aut_Ajustes_Manuais!$G:$G,Aut_Ajustes_Manuais!$I:$I,DRE!K$4,Aut_Ajustes_Manuais!$F:$F,"  -  Estoquista I")</f>
        <v>0</v>
      </c>
      <c r="N160" s="237"/>
      <c r="O160" s="26">
        <f>-SUMIFS(T_HEADCOUNT!$E:$E,T_HEADCOUNT!$C:$C,"-  Estoquista I",T_HEADCOUNT!$D:$D,"3/2026",T_HEADCOUNT!$B:$B,"CLT")</f>
        <v>0</v>
      </c>
      <c r="P160" s="27">
        <f>SUMIFS(T_REAL!$D:$D,T_REAL!$E:$E,DRE!P$7,T_REAL!$C:$C,DRE!$A160)+SUMIFS(Aut_Ajustes_Manuais!$G:$G,Aut_Ajustes_Manuais!$I:$I,DRE!N$4,Aut_Ajustes_Manuais!$F:$F,"  -  Estoquista I")</f>
        <v>0</v>
      </c>
      <c r="Q160" s="237"/>
      <c r="R160" s="26">
        <f>-SUMIFS(T_HEADCOUNT!$E:$E,T_HEADCOUNT!$C:$C,"-  Estoquista I",T_HEADCOUNT!$D:$D,"4/2026",T_HEADCOUNT!$B:$B,"CLT")</f>
        <v>0</v>
      </c>
      <c r="S160" s="27">
        <f>SUMIFS(T_REAL!$D:$D,T_REAL!$E:$E,DRE!S$7,T_REAL!$C:$C,DRE!$A160)+SUMIFS(Aut_Ajustes_Manuais!$G:$G,Aut_Ajustes_Manuais!$I:$I,DRE!Q$4,Aut_Ajustes_Manuais!$F:$F,"  -  Estoquista I")</f>
        <v>0</v>
      </c>
      <c r="T160" s="237"/>
      <c r="U160" s="26">
        <f>-SUMIFS(T_HEADCOUNT!$E:$E,T_HEADCOUNT!$C:$C,"-  Estoquista I",T_HEADCOUNT!$D:$D,"5/2026",T_HEADCOUNT!$B:$B,"CLT")</f>
        <v>0</v>
      </c>
      <c r="V160" s="27">
        <f>SUMIFS(T_REAL!$D:$D,T_REAL!$E:$E,DRE!V$7,T_REAL!$C:$C,DRE!$A160)+SUMIFS(Aut_Ajustes_Manuais!$G:$G,Aut_Ajustes_Manuais!$I:$I,DRE!T$4,Aut_Ajustes_Manuais!$F:$F,"  -  Estoquista I")</f>
        <v>0</v>
      </c>
      <c r="W160" s="237"/>
      <c r="X160" s="26">
        <f>-SUMIFS(T_HEADCOUNT!$E:$E,T_HEADCOUNT!$C:$C,"-  Estoquista I",T_HEADCOUNT!$D:$D,"6/2026",T_HEADCOUNT!$B:$B,"CLT")</f>
        <v>0</v>
      </c>
      <c r="Y160" s="27">
        <f>SUMIFS(T_REAL!$D:$D,T_REAL!$E:$E,DRE!Y$7,T_REAL!$C:$C,DRE!$A160)+SUMIFS(Aut_Ajustes_Manuais!$G:$G,Aut_Ajustes_Manuais!$I:$I,DRE!W$4,Aut_Ajustes_Manuais!$F:$F,"  -  Estoquista I")</f>
        <v>0</v>
      </c>
      <c r="Z160" s="237"/>
      <c r="AA160" s="26">
        <f>-SUMIFS(T_HEADCOUNT!$E:$E,T_HEADCOUNT!$C:$C,"-  Estoquista I",T_HEADCOUNT!$D:$D,"7/2026",T_HEADCOUNT!$B:$B,"CLT")</f>
        <v>0</v>
      </c>
      <c r="AB160" s="27">
        <f>SUMIFS(T_REAL!$D:$D,T_REAL!$E:$E,DRE!AB$7,T_REAL!$C:$C,DRE!$A160)+SUMIFS(Aut_Ajustes_Manuais!$G:$G,Aut_Ajustes_Manuais!$I:$I,DRE!Z$4,Aut_Ajustes_Manuais!$F:$F,"  -  Estoquista I")</f>
        <v>0</v>
      </c>
      <c r="AC160" s="237"/>
      <c r="AD160" s="26">
        <f>-SUMIFS(T_HEADCOUNT!$E:$E,T_HEADCOUNT!$C:$C,"-  Estoquista I",T_HEADCOUNT!$D:$D,"8/2026",T_HEADCOUNT!$B:$B,"CLT")</f>
        <v>0</v>
      </c>
      <c r="AE160" s="27">
        <f>SUMIFS(T_REAL!$D:$D,T_REAL!$E:$E,DRE!AE$7,T_REAL!$C:$C,DRE!$A160)+SUMIFS(Aut_Ajustes_Manuais!$G:$G,Aut_Ajustes_Manuais!$I:$I,DRE!AC$4,Aut_Ajustes_Manuais!$F:$F,"  -  Estoquista I")</f>
        <v>0</v>
      </c>
      <c r="AF160" s="237"/>
      <c r="AG160" s="26">
        <f>-SUMIFS(T_HEADCOUNT!$E:$E,T_HEADCOUNT!$C:$C,"-  Estoquista I",T_HEADCOUNT!$D:$D,"9/2026",T_HEADCOUNT!$B:$B,"CLT")</f>
        <v>0</v>
      </c>
      <c r="AH160" s="27">
        <f>SUMIFS(T_REAL!$D:$D,T_REAL!$E:$E,DRE!AH$7,T_REAL!$C:$C,DRE!$A160)+SUMIFS(Aut_Ajustes_Manuais!$G:$G,Aut_Ajustes_Manuais!$I:$I,DRE!AF$4,Aut_Ajustes_Manuais!$F:$F,"  -  Estoquista I")</f>
        <v>0</v>
      </c>
      <c r="AI160" s="237"/>
      <c r="AJ160" s="26">
        <f>-SUMIFS(T_HEADCOUNT!$E:$E,T_HEADCOUNT!$C:$C,"-  Estoquista I",T_HEADCOUNT!$D:$D,"10/2026",T_HEADCOUNT!$B:$B,"CLT")</f>
        <v>0</v>
      </c>
      <c r="AK160" s="27">
        <f>SUMIFS(T_REAL!$D:$D,T_REAL!$E:$E,DRE!AK$7,T_REAL!$C:$C,DRE!$A160)+SUMIFS(Aut_Ajustes_Manuais!$G:$G,Aut_Ajustes_Manuais!$I:$I,DRE!AI$4,Aut_Ajustes_Manuais!$F:$F,"  -  Estoquista I")</f>
        <v>0</v>
      </c>
      <c r="AL160" s="237"/>
      <c r="AM160" s="26">
        <f>-SUMIFS(T_HEADCOUNT!$E:$E,T_HEADCOUNT!$C:$C,"-  Estoquista I",T_HEADCOUNT!$D:$D,"11/2026",T_HEADCOUNT!$B:$B,"CLT")</f>
        <v>0</v>
      </c>
      <c r="AN160" s="27">
        <f>SUMIFS(T_REAL!$D:$D,T_REAL!$E:$E,DRE!AN$7,T_REAL!$C:$C,DRE!$A160)+SUMIFS(Aut_Ajustes_Manuais!$G:$G,Aut_Ajustes_Manuais!$I:$I,DRE!AL$4,Aut_Ajustes_Manuais!$F:$F,"  -  Estoquista I")</f>
        <v>0</v>
      </c>
      <c r="AO160" s="237"/>
      <c r="AP160" s="26">
        <f>-SUMIFS(T_HEADCOUNT!$E:$E,T_HEADCOUNT!$C:$C,"-  Estoquista I",T_HEADCOUNT!$D:$D,"12/2026",T_HEADCOUNT!$B:$B,"CLT")</f>
        <v>0</v>
      </c>
      <c r="AQ160" s="27">
        <f>SUMIFS(T_REAL!$D:$D,T_REAL!$E:$E,DRE!AQ$7,T_REAL!$C:$C,DRE!$A160)+SUMIFS(Aut_Ajustes_Manuais!$G:$G,Aut_Ajustes_Manuais!$I:$I,DRE!AO$4,Aut_Ajustes_Manuais!$F:$F,"  -  Estoquista I")</f>
        <v>0</v>
      </c>
      <c r="AR160" s="237">
        <f t="shared" ca="1" si="139"/>
        <v>0</v>
      </c>
      <c r="AS160" s="26">
        <f t="shared" ca="1" si="140"/>
        <v>0</v>
      </c>
      <c r="AT160" s="27">
        <f t="shared" ca="1" si="141"/>
        <v>0</v>
      </c>
      <c r="AU160" s="237"/>
      <c r="AV160" s="26"/>
      <c r="AW160" s="27"/>
      <c r="AX160" s="237"/>
      <c r="AY160" s="26">
        <v>0</v>
      </c>
      <c r="AZ160" s="27"/>
      <c r="BA160" s="237"/>
      <c r="BB160" s="26">
        <v>0</v>
      </c>
      <c r="BC160" s="27"/>
      <c r="BD160" s="237"/>
      <c r="BE160" s="26">
        <v>0</v>
      </c>
      <c r="BF160" s="27"/>
      <c r="BG160" s="237"/>
      <c r="BH160" s="26">
        <v>0</v>
      </c>
      <c r="BI160" s="27"/>
      <c r="BJ160" s="454"/>
    </row>
    <row r="161" spans="1:62" s="28" customFormat="1" outlineLevel="1" x14ac:dyDescent="0.3">
      <c r="A161" s="93" t="s">
        <v>183</v>
      </c>
      <c r="B161" s="2"/>
      <c r="C161" s="23"/>
      <c r="D161" s="53" t="s">
        <v>143</v>
      </c>
      <c r="E161" s="85"/>
      <c r="F161" s="54"/>
      <c r="G161" s="32"/>
      <c r="H161" s="237"/>
      <c r="I161" s="26">
        <f>-SUMIFS(T_HEADCOUNT!$E:$E,T_HEADCOUNT!$C:$C,"-  Chefe de Manutenção",T_HEADCOUNT!$D:$D,"1/2026",T_HEADCOUNT!$B:$B,"CLT")</f>
        <v>0</v>
      </c>
      <c r="J161" s="27">
        <f>SUMIFS(T_REAL!$D:$D,T_REAL!$E:$E,DRE!J$7,T_REAL!$C:$C,DRE!$A161)+SUMIFS(Aut_Ajustes_Manuais!$G:$G,Aut_Ajustes_Manuais!$I:$I,DRE!H$4,Aut_Ajustes_Manuais!$F:$F,"  -  Chefe de Manutenção")</f>
        <v>0</v>
      </c>
      <c r="K161" s="237"/>
      <c r="L161" s="26">
        <f>-SUMIFS(T_HEADCOUNT!$E:$E,T_HEADCOUNT!$C:$C,"-  Chefe de Manutenção",T_HEADCOUNT!$D:$D,"2/2026",T_HEADCOUNT!$B:$B,"CLT")</f>
        <v>0</v>
      </c>
      <c r="M161" s="27">
        <f>SUMIFS(T_REAL!$D:$D,T_REAL!$E:$E,DRE!M$7,T_REAL!$C:$C,DRE!$A161)+SUMIFS(Aut_Ajustes_Manuais!$G:$G,Aut_Ajustes_Manuais!$I:$I,DRE!K$4,Aut_Ajustes_Manuais!$F:$F,"  -  Chefe de Manutenção")</f>
        <v>0</v>
      </c>
      <c r="N161" s="237"/>
      <c r="O161" s="26">
        <f>-SUMIFS(T_HEADCOUNT!$E:$E,T_HEADCOUNT!$C:$C,"-  Chefe de Manutenção",T_HEADCOUNT!$D:$D,"3/2026",T_HEADCOUNT!$B:$B,"CLT")</f>
        <v>0</v>
      </c>
      <c r="P161" s="27">
        <f>SUMIFS(T_REAL!$D:$D,T_REAL!$E:$E,DRE!P$7,T_REAL!$C:$C,DRE!$A161)+SUMIFS(Aut_Ajustes_Manuais!$G:$G,Aut_Ajustes_Manuais!$I:$I,DRE!N$4,Aut_Ajustes_Manuais!$F:$F,"  -  Chefe de Manutenção")</f>
        <v>0</v>
      </c>
      <c r="Q161" s="237"/>
      <c r="R161" s="26">
        <f>-SUMIFS(T_HEADCOUNT!$E:$E,T_HEADCOUNT!$C:$C,"-  Chefe de Manutenção",T_HEADCOUNT!$D:$D,"4/2026",T_HEADCOUNT!$B:$B,"CLT")</f>
        <v>0</v>
      </c>
      <c r="S161" s="27">
        <f>SUMIFS(T_REAL!$D:$D,T_REAL!$E:$E,DRE!S$7,T_REAL!$C:$C,DRE!$A161)+SUMIFS(Aut_Ajustes_Manuais!$G:$G,Aut_Ajustes_Manuais!$I:$I,DRE!Q$4,Aut_Ajustes_Manuais!$F:$F,"  -  Chefe de Manutenção")</f>
        <v>0</v>
      </c>
      <c r="T161" s="237"/>
      <c r="U161" s="26">
        <f>-SUMIFS(T_HEADCOUNT!$E:$E,T_HEADCOUNT!$C:$C,"-  Chefe de Manutenção",T_HEADCOUNT!$D:$D,"5/2026",T_HEADCOUNT!$B:$B,"CLT")</f>
        <v>0</v>
      </c>
      <c r="V161" s="27">
        <f>SUMIFS(T_REAL!$D:$D,T_REAL!$E:$E,DRE!V$7,T_REAL!$C:$C,DRE!$A161)+SUMIFS(Aut_Ajustes_Manuais!$G:$G,Aut_Ajustes_Manuais!$I:$I,DRE!T$4,Aut_Ajustes_Manuais!$F:$F,"  -  Chefe de Manutenção")</f>
        <v>0</v>
      </c>
      <c r="W161" s="237"/>
      <c r="X161" s="26">
        <f>-SUMIFS(T_HEADCOUNT!$E:$E,T_HEADCOUNT!$C:$C,"-  Chefe de Manutenção",T_HEADCOUNT!$D:$D,"6/2026",T_HEADCOUNT!$B:$B,"CLT")</f>
        <v>0</v>
      </c>
      <c r="Y161" s="27">
        <f>SUMIFS(T_REAL!$D:$D,T_REAL!$E:$E,DRE!Y$7,T_REAL!$C:$C,DRE!$A161)+SUMIFS(Aut_Ajustes_Manuais!$G:$G,Aut_Ajustes_Manuais!$I:$I,DRE!W$4,Aut_Ajustes_Manuais!$F:$F,"  -  Chefe de Manutenção")</f>
        <v>0</v>
      </c>
      <c r="Z161" s="237"/>
      <c r="AA161" s="26">
        <f>-SUMIFS(T_HEADCOUNT!$E:$E,T_HEADCOUNT!$C:$C,"-  Chefe de Manutenção",T_HEADCOUNT!$D:$D,"7/2026",T_HEADCOUNT!$B:$B,"CLT")</f>
        <v>0</v>
      </c>
      <c r="AB161" s="27">
        <f>SUMIFS(T_REAL!$D:$D,T_REAL!$E:$E,DRE!AB$7,T_REAL!$C:$C,DRE!$A161)+SUMIFS(Aut_Ajustes_Manuais!$G:$G,Aut_Ajustes_Manuais!$I:$I,DRE!Z$4,Aut_Ajustes_Manuais!$F:$F,"  -  Chefe de Manutenção")</f>
        <v>0</v>
      </c>
      <c r="AC161" s="237"/>
      <c r="AD161" s="26">
        <f>-SUMIFS(T_HEADCOUNT!$E:$E,T_HEADCOUNT!$C:$C,"-  Chefe de Manutenção",T_HEADCOUNT!$D:$D,"8/2026",T_HEADCOUNT!$B:$B,"CLT")</f>
        <v>0</v>
      </c>
      <c r="AE161" s="27">
        <f>SUMIFS(T_REAL!$D:$D,T_REAL!$E:$E,DRE!AE$7,T_REAL!$C:$C,DRE!$A161)+SUMIFS(Aut_Ajustes_Manuais!$G:$G,Aut_Ajustes_Manuais!$I:$I,DRE!AC$4,Aut_Ajustes_Manuais!$F:$F,"  -  Chefe de Manutenção")</f>
        <v>0</v>
      </c>
      <c r="AF161" s="237"/>
      <c r="AG161" s="26">
        <f>-SUMIFS(T_HEADCOUNT!$E:$E,T_HEADCOUNT!$C:$C,"-  Chefe de Manutenção",T_HEADCOUNT!$D:$D,"9/2026",T_HEADCOUNT!$B:$B,"CLT")</f>
        <v>0</v>
      </c>
      <c r="AH161" s="27">
        <f>SUMIFS(T_REAL!$D:$D,T_REAL!$E:$E,DRE!AH$7,T_REAL!$C:$C,DRE!$A161)+SUMIFS(Aut_Ajustes_Manuais!$G:$G,Aut_Ajustes_Manuais!$I:$I,DRE!AF$4,Aut_Ajustes_Manuais!$F:$F,"  -  Chefe de Manutenção")</f>
        <v>0</v>
      </c>
      <c r="AI161" s="237"/>
      <c r="AJ161" s="26">
        <f>-SUMIFS(T_HEADCOUNT!$E:$E,T_HEADCOUNT!$C:$C,"-  Chefe de Manutenção",T_HEADCOUNT!$D:$D,"10/2026",T_HEADCOUNT!$B:$B,"CLT")</f>
        <v>0</v>
      </c>
      <c r="AK161" s="27">
        <f>SUMIFS(T_REAL!$D:$D,T_REAL!$E:$E,DRE!AK$7,T_REAL!$C:$C,DRE!$A161)+SUMIFS(Aut_Ajustes_Manuais!$G:$G,Aut_Ajustes_Manuais!$I:$I,DRE!AI$4,Aut_Ajustes_Manuais!$F:$F,"  -  Chefe de Manutenção")</f>
        <v>0</v>
      </c>
      <c r="AL161" s="237"/>
      <c r="AM161" s="26">
        <f>-SUMIFS(T_HEADCOUNT!$E:$E,T_HEADCOUNT!$C:$C,"-  Chefe de Manutenção",T_HEADCOUNT!$D:$D,"11/2026",T_HEADCOUNT!$B:$B,"CLT")</f>
        <v>0</v>
      </c>
      <c r="AN161" s="27">
        <f>SUMIFS(T_REAL!$D:$D,T_REAL!$E:$E,DRE!AN$7,T_REAL!$C:$C,DRE!$A161)+SUMIFS(Aut_Ajustes_Manuais!$G:$G,Aut_Ajustes_Manuais!$I:$I,DRE!AL$4,Aut_Ajustes_Manuais!$F:$F,"  -  Chefe de Manutenção")</f>
        <v>0</v>
      </c>
      <c r="AO161" s="237"/>
      <c r="AP161" s="26">
        <f>-SUMIFS(T_HEADCOUNT!$E:$E,T_HEADCOUNT!$C:$C,"-  Chefe de Manutenção",T_HEADCOUNT!$D:$D,"12/2026",T_HEADCOUNT!$B:$B,"CLT")</f>
        <v>0</v>
      </c>
      <c r="AQ161" s="27">
        <f>SUMIFS(T_REAL!$D:$D,T_REAL!$E:$E,DRE!AQ$7,T_REAL!$C:$C,DRE!$A161)+SUMIFS(Aut_Ajustes_Manuais!$G:$G,Aut_Ajustes_Manuais!$I:$I,DRE!AO$4,Aut_Ajustes_Manuais!$F:$F,"  -  Chefe de Manutenção")</f>
        <v>0</v>
      </c>
      <c r="AR161" s="237">
        <f t="shared" ca="1" si="139"/>
        <v>0</v>
      </c>
      <c r="AS161" s="26">
        <f t="shared" ca="1" si="140"/>
        <v>0</v>
      </c>
      <c r="AT161" s="27">
        <f t="shared" ca="1" si="141"/>
        <v>0</v>
      </c>
      <c r="AU161" s="237"/>
      <c r="AV161" s="26"/>
      <c r="AW161" s="27"/>
      <c r="AX161" s="237"/>
      <c r="AY161" s="26">
        <v>0</v>
      </c>
      <c r="AZ161" s="27"/>
      <c r="BA161" s="237"/>
      <c r="BB161" s="26">
        <v>0</v>
      </c>
      <c r="BC161" s="27"/>
      <c r="BD161" s="237"/>
      <c r="BE161" s="26">
        <v>0</v>
      </c>
      <c r="BF161" s="27"/>
      <c r="BG161" s="237"/>
      <c r="BH161" s="26">
        <v>0</v>
      </c>
      <c r="BI161" s="27"/>
      <c r="BJ161" s="454"/>
    </row>
    <row r="162" spans="1:62" s="28" customFormat="1" outlineLevel="1" x14ac:dyDescent="0.3">
      <c r="A162" s="93" t="s">
        <v>184</v>
      </c>
      <c r="B162" s="2"/>
      <c r="C162" s="23"/>
      <c r="D162" s="53" t="s">
        <v>143</v>
      </c>
      <c r="E162" s="85"/>
      <c r="F162" s="54"/>
      <c r="G162" s="32"/>
      <c r="H162" s="237"/>
      <c r="I162" s="26">
        <f>-SUMIFS(T_HEADCOUNT!$E:$E,T_HEADCOUNT!$C:$C,"-  Aux. Manutenção III",T_HEADCOUNT!$D:$D,"1/2026",T_HEADCOUNT!$B:$B,"CLT")</f>
        <v>0</v>
      </c>
      <c r="J162" s="27">
        <f>SUMIFS(T_REAL!$D:$D,T_REAL!$E:$E,DRE!J$7,T_REAL!$C:$C,DRE!$A162)+SUMIFS(Aut_Ajustes_Manuais!$G:$G,Aut_Ajustes_Manuais!$I:$I,DRE!H$4,Aut_Ajustes_Manuais!$F:$F,"  -  Aux. Manutenção III")</f>
        <v>0</v>
      </c>
      <c r="K162" s="237"/>
      <c r="L162" s="26">
        <f>-SUMIFS(T_HEADCOUNT!$E:$E,T_HEADCOUNT!$C:$C,"-  Aux. Manutenção III",T_HEADCOUNT!$D:$D,"2/2026",T_HEADCOUNT!$B:$B,"CLT")</f>
        <v>0</v>
      </c>
      <c r="M162" s="27">
        <f>SUMIFS(T_REAL!$D:$D,T_REAL!$E:$E,DRE!M$7,T_REAL!$C:$C,DRE!$A162)+SUMIFS(Aut_Ajustes_Manuais!$G:$G,Aut_Ajustes_Manuais!$I:$I,DRE!K$4,Aut_Ajustes_Manuais!$F:$F,"  -  Aux. Manutenção III")</f>
        <v>0</v>
      </c>
      <c r="N162" s="237"/>
      <c r="O162" s="26">
        <f>-SUMIFS(T_HEADCOUNT!$E:$E,T_HEADCOUNT!$C:$C,"-  Aux. Manutenção III",T_HEADCOUNT!$D:$D,"3/2026",T_HEADCOUNT!$B:$B,"CLT")</f>
        <v>0</v>
      </c>
      <c r="P162" s="27">
        <f>SUMIFS(T_REAL!$D:$D,T_REAL!$E:$E,DRE!P$7,T_REAL!$C:$C,DRE!$A162)+SUMIFS(Aut_Ajustes_Manuais!$G:$G,Aut_Ajustes_Manuais!$I:$I,DRE!N$4,Aut_Ajustes_Manuais!$F:$F,"  -  Aux. Manutenção III")</f>
        <v>0</v>
      </c>
      <c r="Q162" s="237"/>
      <c r="R162" s="26">
        <f>-SUMIFS(T_HEADCOUNT!$E:$E,T_HEADCOUNT!$C:$C,"-  Aux. Manutenção III",T_HEADCOUNT!$D:$D,"4/2026",T_HEADCOUNT!$B:$B,"CLT")</f>
        <v>0</v>
      </c>
      <c r="S162" s="27">
        <f>SUMIFS(T_REAL!$D:$D,T_REAL!$E:$E,DRE!S$7,T_REAL!$C:$C,DRE!$A162)+SUMIFS(Aut_Ajustes_Manuais!$G:$G,Aut_Ajustes_Manuais!$I:$I,DRE!Q$4,Aut_Ajustes_Manuais!$F:$F,"  -  Aux. Manutenção III")</f>
        <v>0</v>
      </c>
      <c r="T162" s="237"/>
      <c r="U162" s="26">
        <f>-SUMIFS(T_HEADCOUNT!$E:$E,T_HEADCOUNT!$C:$C,"-  Aux. Manutenção III",T_HEADCOUNT!$D:$D,"5/2026",T_HEADCOUNT!$B:$B,"CLT")</f>
        <v>0</v>
      </c>
      <c r="V162" s="27">
        <f>SUMIFS(T_REAL!$D:$D,T_REAL!$E:$E,DRE!V$7,T_REAL!$C:$C,DRE!$A162)+SUMIFS(Aut_Ajustes_Manuais!$G:$G,Aut_Ajustes_Manuais!$I:$I,DRE!T$4,Aut_Ajustes_Manuais!$F:$F,"  -  Aux. Manutenção III")</f>
        <v>0</v>
      </c>
      <c r="W162" s="237"/>
      <c r="X162" s="26">
        <f>-SUMIFS(T_HEADCOUNT!$E:$E,T_HEADCOUNT!$C:$C,"-  Aux. Manutenção III",T_HEADCOUNT!$D:$D,"6/2026",T_HEADCOUNT!$B:$B,"CLT")</f>
        <v>0</v>
      </c>
      <c r="Y162" s="27">
        <f>SUMIFS(T_REAL!$D:$D,T_REAL!$E:$E,DRE!Y$7,T_REAL!$C:$C,DRE!$A162)+SUMIFS(Aut_Ajustes_Manuais!$G:$G,Aut_Ajustes_Manuais!$I:$I,DRE!W$4,Aut_Ajustes_Manuais!$F:$F,"  -  Aux. Manutenção III")</f>
        <v>0</v>
      </c>
      <c r="Z162" s="237"/>
      <c r="AA162" s="26">
        <f>-SUMIFS(T_HEADCOUNT!$E:$E,T_HEADCOUNT!$C:$C,"-  Aux. Manutenção III",T_HEADCOUNT!$D:$D,"7/2026",T_HEADCOUNT!$B:$B,"CLT")</f>
        <v>0</v>
      </c>
      <c r="AB162" s="27">
        <f>SUMIFS(T_REAL!$D:$D,T_REAL!$E:$E,DRE!AB$7,T_REAL!$C:$C,DRE!$A162)+SUMIFS(Aut_Ajustes_Manuais!$G:$G,Aut_Ajustes_Manuais!$I:$I,DRE!Z$4,Aut_Ajustes_Manuais!$F:$F,"  -  Aux. Manutenção III")</f>
        <v>0</v>
      </c>
      <c r="AC162" s="237"/>
      <c r="AD162" s="26">
        <f>-SUMIFS(T_HEADCOUNT!$E:$E,T_HEADCOUNT!$C:$C,"-  Aux. Manutenção III",T_HEADCOUNT!$D:$D,"8/2026",T_HEADCOUNT!$B:$B,"CLT")</f>
        <v>0</v>
      </c>
      <c r="AE162" s="27">
        <f>SUMIFS(T_REAL!$D:$D,T_REAL!$E:$E,DRE!AE$7,T_REAL!$C:$C,DRE!$A162)+SUMIFS(Aut_Ajustes_Manuais!$G:$G,Aut_Ajustes_Manuais!$I:$I,DRE!AC$4,Aut_Ajustes_Manuais!$F:$F,"  -  Aux. Manutenção III")</f>
        <v>0</v>
      </c>
      <c r="AF162" s="237"/>
      <c r="AG162" s="26">
        <f>-SUMIFS(T_HEADCOUNT!$E:$E,T_HEADCOUNT!$C:$C,"-  Aux. Manutenção III",T_HEADCOUNT!$D:$D,"9/2026",T_HEADCOUNT!$B:$B,"CLT")</f>
        <v>0</v>
      </c>
      <c r="AH162" s="27">
        <f>SUMIFS(T_REAL!$D:$D,T_REAL!$E:$E,DRE!AH$7,T_REAL!$C:$C,DRE!$A162)+SUMIFS(Aut_Ajustes_Manuais!$G:$G,Aut_Ajustes_Manuais!$I:$I,DRE!AF$4,Aut_Ajustes_Manuais!$F:$F,"  -  Aux. Manutenção III")</f>
        <v>0</v>
      </c>
      <c r="AI162" s="237"/>
      <c r="AJ162" s="26">
        <f>-SUMIFS(T_HEADCOUNT!$E:$E,T_HEADCOUNT!$C:$C,"-  Aux. Manutenção III",T_HEADCOUNT!$D:$D,"10/2026",T_HEADCOUNT!$B:$B,"CLT")</f>
        <v>0</v>
      </c>
      <c r="AK162" s="27">
        <f>SUMIFS(T_REAL!$D:$D,T_REAL!$E:$E,DRE!AK$7,T_REAL!$C:$C,DRE!$A162)+SUMIFS(Aut_Ajustes_Manuais!$G:$G,Aut_Ajustes_Manuais!$I:$I,DRE!AI$4,Aut_Ajustes_Manuais!$F:$F,"  -  Aux. Manutenção III")</f>
        <v>0</v>
      </c>
      <c r="AL162" s="237"/>
      <c r="AM162" s="26">
        <f>-SUMIFS(T_HEADCOUNT!$E:$E,T_HEADCOUNT!$C:$C,"-  Aux. Manutenção III",T_HEADCOUNT!$D:$D,"11/2026",T_HEADCOUNT!$B:$B,"CLT")</f>
        <v>0</v>
      </c>
      <c r="AN162" s="27">
        <f>SUMIFS(T_REAL!$D:$D,T_REAL!$E:$E,DRE!AN$7,T_REAL!$C:$C,DRE!$A162)+SUMIFS(Aut_Ajustes_Manuais!$G:$G,Aut_Ajustes_Manuais!$I:$I,DRE!AL$4,Aut_Ajustes_Manuais!$F:$F,"  -  Aux. Manutenção III")</f>
        <v>0</v>
      </c>
      <c r="AO162" s="237"/>
      <c r="AP162" s="26">
        <f>-SUMIFS(T_HEADCOUNT!$E:$E,T_HEADCOUNT!$C:$C,"-  Aux. Manutenção III",T_HEADCOUNT!$D:$D,"12/2026",T_HEADCOUNT!$B:$B,"CLT")</f>
        <v>0</v>
      </c>
      <c r="AQ162" s="27">
        <f>SUMIFS(T_REAL!$D:$D,T_REAL!$E:$E,DRE!AQ$7,T_REAL!$C:$C,DRE!$A162)+SUMIFS(Aut_Ajustes_Manuais!$G:$G,Aut_Ajustes_Manuais!$I:$I,DRE!AO$4,Aut_Ajustes_Manuais!$F:$F,"  -  Aux. Manutenção III")</f>
        <v>0</v>
      </c>
      <c r="AR162" s="237">
        <f t="shared" ca="1" si="139"/>
        <v>0</v>
      </c>
      <c r="AS162" s="26">
        <f t="shared" ca="1" si="140"/>
        <v>0</v>
      </c>
      <c r="AT162" s="27">
        <f t="shared" ca="1" si="141"/>
        <v>0</v>
      </c>
      <c r="AU162" s="237"/>
      <c r="AV162" s="26"/>
      <c r="AW162" s="27"/>
      <c r="AX162" s="237"/>
      <c r="AY162" s="26">
        <v>0</v>
      </c>
      <c r="AZ162" s="27"/>
      <c r="BA162" s="237"/>
      <c r="BB162" s="26">
        <v>0</v>
      </c>
      <c r="BC162" s="27"/>
      <c r="BD162" s="237"/>
      <c r="BE162" s="26">
        <v>0</v>
      </c>
      <c r="BF162" s="27"/>
      <c r="BG162" s="237"/>
      <c r="BH162" s="26">
        <v>0</v>
      </c>
      <c r="BI162" s="27"/>
      <c r="BJ162" s="454"/>
    </row>
    <row r="163" spans="1:62" s="28" customFormat="1" outlineLevel="1" x14ac:dyDescent="0.3">
      <c r="A163" s="93" t="s">
        <v>185</v>
      </c>
      <c r="B163" s="2"/>
      <c r="C163" s="23"/>
      <c r="D163" s="53" t="s">
        <v>143</v>
      </c>
      <c r="E163" s="85"/>
      <c r="F163" s="54"/>
      <c r="G163" s="32"/>
      <c r="H163" s="237"/>
      <c r="I163" s="26">
        <f>-SUMIFS(T_HEADCOUNT!$E:$E,T_HEADCOUNT!$C:$C,"-  Aux. Manutenção II",T_HEADCOUNT!$D:$D,"1/2026",T_HEADCOUNT!$B:$B,"CLT")</f>
        <v>0</v>
      </c>
      <c r="J163" s="27">
        <f>SUMIFS(T_REAL!$D:$D,T_REAL!$E:$E,DRE!J$7,T_REAL!$C:$C,DRE!$A163)+SUMIFS(Aut_Ajustes_Manuais!$G:$G,Aut_Ajustes_Manuais!$I:$I,DRE!H$4,Aut_Ajustes_Manuais!$F:$F,"  -  Aux. Manutenção II")</f>
        <v>0</v>
      </c>
      <c r="K163" s="237"/>
      <c r="L163" s="26">
        <f>-SUMIFS(T_HEADCOUNT!$E:$E,T_HEADCOUNT!$C:$C,"-  Aux. Manutenção II",T_HEADCOUNT!$D:$D,"2/2026",T_HEADCOUNT!$B:$B,"CLT")</f>
        <v>0</v>
      </c>
      <c r="M163" s="27">
        <f>SUMIFS(T_REAL!$D:$D,T_REAL!$E:$E,DRE!M$7,T_REAL!$C:$C,DRE!$A163)+SUMIFS(Aut_Ajustes_Manuais!$G:$G,Aut_Ajustes_Manuais!$I:$I,DRE!K$4,Aut_Ajustes_Manuais!$F:$F,"  -  Aux. Manutenção II")</f>
        <v>0</v>
      </c>
      <c r="N163" s="237"/>
      <c r="O163" s="26">
        <f>-SUMIFS(T_HEADCOUNT!$E:$E,T_HEADCOUNT!$C:$C,"-  Aux. Manutenção II",T_HEADCOUNT!$D:$D,"3/2026",T_HEADCOUNT!$B:$B,"CLT")</f>
        <v>0</v>
      </c>
      <c r="P163" s="27">
        <f>SUMIFS(T_REAL!$D:$D,T_REAL!$E:$E,DRE!P$7,T_REAL!$C:$C,DRE!$A163)+SUMIFS(Aut_Ajustes_Manuais!$G:$G,Aut_Ajustes_Manuais!$I:$I,DRE!N$4,Aut_Ajustes_Manuais!$F:$F,"  -  Aux. Manutenção II")</f>
        <v>0</v>
      </c>
      <c r="Q163" s="237"/>
      <c r="R163" s="26">
        <f>-SUMIFS(T_HEADCOUNT!$E:$E,T_HEADCOUNT!$C:$C,"-  Aux. Manutenção II",T_HEADCOUNT!$D:$D,"4/2026",T_HEADCOUNT!$B:$B,"CLT")</f>
        <v>0</v>
      </c>
      <c r="S163" s="27">
        <f>SUMIFS(T_REAL!$D:$D,T_REAL!$E:$E,DRE!S$7,T_REAL!$C:$C,DRE!$A163)+SUMIFS(Aut_Ajustes_Manuais!$G:$G,Aut_Ajustes_Manuais!$I:$I,DRE!Q$4,Aut_Ajustes_Manuais!$F:$F,"  -  Aux. Manutenção II")</f>
        <v>0</v>
      </c>
      <c r="T163" s="237"/>
      <c r="U163" s="26">
        <f>-SUMIFS(T_HEADCOUNT!$E:$E,T_HEADCOUNT!$C:$C,"-  Aux. Manutenção II",T_HEADCOUNT!$D:$D,"5/2026",T_HEADCOUNT!$B:$B,"CLT")</f>
        <v>0</v>
      </c>
      <c r="V163" s="27">
        <f>SUMIFS(T_REAL!$D:$D,T_REAL!$E:$E,DRE!V$7,T_REAL!$C:$C,DRE!$A163)+SUMIFS(Aut_Ajustes_Manuais!$G:$G,Aut_Ajustes_Manuais!$I:$I,DRE!T$4,Aut_Ajustes_Manuais!$F:$F,"  -  Aux. Manutenção II")</f>
        <v>0</v>
      </c>
      <c r="W163" s="237"/>
      <c r="X163" s="26">
        <f>-SUMIFS(T_HEADCOUNT!$E:$E,T_HEADCOUNT!$C:$C,"-  Aux. Manutenção II",T_HEADCOUNT!$D:$D,"6/2026",T_HEADCOUNT!$B:$B,"CLT")</f>
        <v>0</v>
      </c>
      <c r="Y163" s="27">
        <f>SUMIFS(T_REAL!$D:$D,T_REAL!$E:$E,DRE!Y$7,T_REAL!$C:$C,DRE!$A163)+SUMIFS(Aut_Ajustes_Manuais!$G:$G,Aut_Ajustes_Manuais!$I:$I,DRE!W$4,Aut_Ajustes_Manuais!$F:$F,"  -  Aux. Manutenção II")</f>
        <v>0</v>
      </c>
      <c r="Z163" s="237"/>
      <c r="AA163" s="26">
        <f>-SUMIFS(T_HEADCOUNT!$E:$E,T_HEADCOUNT!$C:$C,"-  Aux. Manutenção II",T_HEADCOUNT!$D:$D,"7/2026",T_HEADCOUNT!$B:$B,"CLT")</f>
        <v>0</v>
      </c>
      <c r="AB163" s="27">
        <f>SUMIFS(T_REAL!$D:$D,T_REAL!$E:$E,DRE!AB$7,T_REAL!$C:$C,DRE!$A163)+SUMIFS(Aut_Ajustes_Manuais!$G:$G,Aut_Ajustes_Manuais!$I:$I,DRE!Z$4,Aut_Ajustes_Manuais!$F:$F,"  -  Aux. Manutenção II")</f>
        <v>0</v>
      </c>
      <c r="AC163" s="237"/>
      <c r="AD163" s="26">
        <f>-SUMIFS(T_HEADCOUNT!$E:$E,T_HEADCOUNT!$C:$C,"-  Aux. Manutenção II",T_HEADCOUNT!$D:$D,"8/2026",T_HEADCOUNT!$B:$B,"CLT")</f>
        <v>0</v>
      </c>
      <c r="AE163" s="27">
        <f>SUMIFS(T_REAL!$D:$D,T_REAL!$E:$E,DRE!AE$7,T_REAL!$C:$C,DRE!$A163)+SUMIFS(Aut_Ajustes_Manuais!$G:$G,Aut_Ajustes_Manuais!$I:$I,DRE!AC$4,Aut_Ajustes_Manuais!$F:$F,"  -  Aux. Manutenção II")</f>
        <v>0</v>
      </c>
      <c r="AF163" s="237"/>
      <c r="AG163" s="26">
        <f>-SUMIFS(T_HEADCOUNT!$E:$E,T_HEADCOUNT!$C:$C,"-  Aux. Manutenção II",T_HEADCOUNT!$D:$D,"9/2026",T_HEADCOUNT!$B:$B,"CLT")</f>
        <v>0</v>
      </c>
      <c r="AH163" s="27">
        <f>SUMIFS(T_REAL!$D:$D,T_REAL!$E:$E,DRE!AH$7,T_REAL!$C:$C,DRE!$A163)+SUMIFS(Aut_Ajustes_Manuais!$G:$G,Aut_Ajustes_Manuais!$I:$I,DRE!AF$4,Aut_Ajustes_Manuais!$F:$F,"  -  Aux. Manutenção II")</f>
        <v>0</v>
      </c>
      <c r="AI163" s="237"/>
      <c r="AJ163" s="26">
        <f>-SUMIFS(T_HEADCOUNT!$E:$E,T_HEADCOUNT!$C:$C,"-  Aux. Manutenção II",T_HEADCOUNT!$D:$D,"10/2026",T_HEADCOUNT!$B:$B,"CLT")</f>
        <v>0</v>
      </c>
      <c r="AK163" s="27">
        <f>SUMIFS(T_REAL!$D:$D,T_REAL!$E:$E,DRE!AK$7,T_REAL!$C:$C,DRE!$A163)+SUMIFS(Aut_Ajustes_Manuais!$G:$G,Aut_Ajustes_Manuais!$I:$I,DRE!AI$4,Aut_Ajustes_Manuais!$F:$F,"  -  Aux. Manutenção II")</f>
        <v>0</v>
      </c>
      <c r="AL163" s="237"/>
      <c r="AM163" s="26">
        <f>-SUMIFS(T_HEADCOUNT!$E:$E,T_HEADCOUNT!$C:$C,"-  Aux. Manutenção II",T_HEADCOUNT!$D:$D,"11/2026",T_HEADCOUNT!$B:$B,"CLT")</f>
        <v>0</v>
      </c>
      <c r="AN163" s="27">
        <f>SUMIFS(T_REAL!$D:$D,T_REAL!$E:$E,DRE!AN$7,T_REAL!$C:$C,DRE!$A163)+SUMIFS(Aut_Ajustes_Manuais!$G:$G,Aut_Ajustes_Manuais!$I:$I,DRE!AL$4,Aut_Ajustes_Manuais!$F:$F,"  -  Aux. Manutenção II")</f>
        <v>0</v>
      </c>
      <c r="AO163" s="237"/>
      <c r="AP163" s="26">
        <f>-SUMIFS(T_HEADCOUNT!$E:$E,T_HEADCOUNT!$C:$C,"-  Aux. Manutenção II",T_HEADCOUNT!$D:$D,"12/2026",T_HEADCOUNT!$B:$B,"CLT")</f>
        <v>0</v>
      </c>
      <c r="AQ163" s="27">
        <f>SUMIFS(T_REAL!$D:$D,T_REAL!$E:$E,DRE!AQ$7,T_REAL!$C:$C,DRE!$A163)+SUMIFS(Aut_Ajustes_Manuais!$G:$G,Aut_Ajustes_Manuais!$I:$I,DRE!AO$4,Aut_Ajustes_Manuais!$F:$F,"  -  Aux. Manutenção II")</f>
        <v>0</v>
      </c>
      <c r="AR163" s="237">
        <f t="shared" ca="1" si="139"/>
        <v>0</v>
      </c>
      <c r="AS163" s="26">
        <f t="shared" ca="1" si="140"/>
        <v>0</v>
      </c>
      <c r="AT163" s="27">
        <f t="shared" ca="1" si="141"/>
        <v>0</v>
      </c>
      <c r="AU163" s="237"/>
      <c r="AV163" s="26"/>
      <c r="AW163" s="27"/>
      <c r="AX163" s="237"/>
      <c r="AY163" s="26">
        <v>0</v>
      </c>
      <c r="AZ163" s="27"/>
      <c r="BA163" s="237"/>
      <c r="BB163" s="26">
        <v>0</v>
      </c>
      <c r="BC163" s="27"/>
      <c r="BD163" s="237"/>
      <c r="BE163" s="26">
        <v>0</v>
      </c>
      <c r="BF163" s="27"/>
      <c r="BG163" s="237"/>
      <c r="BH163" s="26">
        <v>0</v>
      </c>
      <c r="BI163" s="27"/>
      <c r="BJ163" s="454"/>
    </row>
    <row r="164" spans="1:62" s="28" customFormat="1" outlineLevel="1" x14ac:dyDescent="0.3">
      <c r="A164" s="93" t="s">
        <v>186</v>
      </c>
      <c r="B164" s="2"/>
      <c r="C164" s="23"/>
      <c r="D164" s="53" t="s">
        <v>143</v>
      </c>
      <c r="E164" s="85"/>
      <c r="F164" s="54"/>
      <c r="G164" s="32"/>
      <c r="H164" s="237"/>
      <c r="I164" s="26">
        <f>-SUMIFS(T_HEADCOUNT!$E:$E,T_HEADCOUNT!$C:$C,"-  Aux. Manutenção I",T_HEADCOUNT!$D:$D,"1/2026",T_HEADCOUNT!$B:$B,"CLT")</f>
        <v>0</v>
      </c>
      <c r="J164" s="27">
        <f>SUMIFS(T_REAL!$D:$D,T_REAL!$E:$E,DRE!J$7,T_REAL!$C:$C,DRE!$A164)+SUMIFS(Aut_Ajustes_Manuais!$G:$G,Aut_Ajustes_Manuais!$I:$I,DRE!H$4,Aut_Ajustes_Manuais!$F:$F,"  -  Aux. Manutenção I")</f>
        <v>0</v>
      </c>
      <c r="K164" s="237"/>
      <c r="L164" s="26">
        <f>-SUMIFS(T_HEADCOUNT!$E:$E,T_HEADCOUNT!$C:$C,"-  Aux. Manutenção I",T_HEADCOUNT!$D:$D,"2/2026",T_HEADCOUNT!$B:$B,"CLT")</f>
        <v>0</v>
      </c>
      <c r="M164" s="27">
        <f>SUMIFS(T_REAL!$D:$D,T_REAL!$E:$E,DRE!M$7,T_REAL!$C:$C,DRE!$A164)+SUMIFS(Aut_Ajustes_Manuais!$G:$G,Aut_Ajustes_Manuais!$I:$I,DRE!K$4,Aut_Ajustes_Manuais!$F:$F,"  -  Aux. Manutenção I")</f>
        <v>0</v>
      </c>
      <c r="N164" s="237"/>
      <c r="O164" s="26">
        <f>-SUMIFS(T_HEADCOUNT!$E:$E,T_HEADCOUNT!$C:$C,"-  Aux. Manutenção I",T_HEADCOUNT!$D:$D,"3/2026",T_HEADCOUNT!$B:$B,"CLT")</f>
        <v>0</v>
      </c>
      <c r="P164" s="27">
        <f>SUMIFS(T_REAL!$D:$D,T_REAL!$E:$E,DRE!P$7,T_REAL!$C:$C,DRE!$A164)+SUMIFS(Aut_Ajustes_Manuais!$G:$G,Aut_Ajustes_Manuais!$I:$I,DRE!N$4,Aut_Ajustes_Manuais!$F:$F,"  -  Aux. Manutenção I")</f>
        <v>0</v>
      </c>
      <c r="Q164" s="237"/>
      <c r="R164" s="26">
        <f>-SUMIFS(T_HEADCOUNT!$E:$E,T_HEADCOUNT!$C:$C,"-  Aux. Manutenção I",T_HEADCOUNT!$D:$D,"4/2026",T_HEADCOUNT!$B:$B,"CLT")</f>
        <v>0</v>
      </c>
      <c r="S164" s="27">
        <f>SUMIFS(T_REAL!$D:$D,T_REAL!$E:$E,DRE!S$7,T_REAL!$C:$C,DRE!$A164)+SUMIFS(Aut_Ajustes_Manuais!$G:$G,Aut_Ajustes_Manuais!$I:$I,DRE!Q$4,Aut_Ajustes_Manuais!$F:$F,"  -  Aux. Manutenção I")</f>
        <v>0</v>
      </c>
      <c r="T164" s="237"/>
      <c r="U164" s="26">
        <f>-SUMIFS(T_HEADCOUNT!$E:$E,T_HEADCOUNT!$C:$C,"-  Aux. Manutenção I",T_HEADCOUNT!$D:$D,"5/2026",T_HEADCOUNT!$B:$B,"CLT")</f>
        <v>0</v>
      </c>
      <c r="V164" s="27">
        <f>SUMIFS(T_REAL!$D:$D,T_REAL!$E:$E,DRE!V$7,T_REAL!$C:$C,DRE!$A164)+SUMIFS(Aut_Ajustes_Manuais!$G:$G,Aut_Ajustes_Manuais!$I:$I,DRE!T$4,Aut_Ajustes_Manuais!$F:$F,"  -  Aux. Manutenção I")</f>
        <v>0</v>
      </c>
      <c r="W164" s="237"/>
      <c r="X164" s="26">
        <f>-SUMIFS(T_HEADCOUNT!$E:$E,T_HEADCOUNT!$C:$C,"-  Aux. Manutenção I",T_HEADCOUNT!$D:$D,"6/2026",T_HEADCOUNT!$B:$B,"CLT")</f>
        <v>0</v>
      </c>
      <c r="Y164" s="27">
        <f>SUMIFS(T_REAL!$D:$D,T_REAL!$E:$E,DRE!Y$7,T_REAL!$C:$C,DRE!$A164)+SUMIFS(Aut_Ajustes_Manuais!$G:$G,Aut_Ajustes_Manuais!$I:$I,DRE!W$4,Aut_Ajustes_Manuais!$F:$F,"  -  Aux. Manutenção I")</f>
        <v>0</v>
      </c>
      <c r="Z164" s="237"/>
      <c r="AA164" s="26">
        <f>-SUMIFS(T_HEADCOUNT!$E:$E,T_HEADCOUNT!$C:$C,"-  Aux. Manutenção I",T_HEADCOUNT!$D:$D,"7/2026",T_HEADCOUNT!$B:$B,"CLT")</f>
        <v>0</v>
      </c>
      <c r="AB164" s="27">
        <f>SUMIFS(T_REAL!$D:$D,T_REAL!$E:$E,DRE!AB$7,T_REAL!$C:$C,DRE!$A164)+SUMIFS(Aut_Ajustes_Manuais!$G:$G,Aut_Ajustes_Manuais!$I:$I,DRE!Z$4,Aut_Ajustes_Manuais!$F:$F,"  -  Aux. Manutenção I")</f>
        <v>0</v>
      </c>
      <c r="AC164" s="237"/>
      <c r="AD164" s="26">
        <f>-SUMIFS(T_HEADCOUNT!$E:$E,T_HEADCOUNT!$C:$C,"-  Aux. Manutenção I",T_HEADCOUNT!$D:$D,"8/2026",T_HEADCOUNT!$B:$B,"CLT")</f>
        <v>0</v>
      </c>
      <c r="AE164" s="27">
        <f>SUMIFS(T_REAL!$D:$D,T_REAL!$E:$E,DRE!AE$7,T_REAL!$C:$C,DRE!$A164)+SUMIFS(Aut_Ajustes_Manuais!$G:$G,Aut_Ajustes_Manuais!$I:$I,DRE!AC$4,Aut_Ajustes_Manuais!$F:$F,"  -  Aux. Manutenção I")</f>
        <v>0</v>
      </c>
      <c r="AF164" s="237"/>
      <c r="AG164" s="26">
        <f>-SUMIFS(T_HEADCOUNT!$E:$E,T_HEADCOUNT!$C:$C,"-  Aux. Manutenção I",T_HEADCOUNT!$D:$D,"9/2026",T_HEADCOUNT!$B:$B,"CLT")</f>
        <v>0</v>
      </c>
      <c r="AH164" s="27">
        <f>SUMIFS(T_REAL!$D:$D,T_REAL!$E:$E,DRE!AH$7,T_REAL!$C:$C,DRE!$A164)+SUMIFS(Aut_Ajustes_Manuais!$G:$G,Aut_Ajustes_Manuais!$I:$I,DRE!AF$4,Aut_Ajustes_Manuais!$F:$F,"  -  Aux. Manutenção I")</f>
        <v>0</v>
      </c>
      <c r="AI164" s="237"/>
      <c r="AJ164" s="26">
        <f>-SUMIFS(T_HEADCOUNT!$E:$E,T_HEADCOUNT!$C:$C,"-  Aux. Manutenção I",T_HEADCOUNT!$D:$D,"10/2026",T_HEADCOUNT!$B:$B,"CLT")</f>
        <v>0</v>
      </c>
      <c r="AK164" s="27">
        <f>SUMIFS(T_REAL!$D:$D,T_REAL!$E:$E,DRE!AK$7,T_REAL!$C:$C,DRE!$A164)+SUMIFS(Aut_Ajustes_Manuais!$G:$G,Aut_Ajustes_Manuais!$I:$I,DRE!AI$4,Aut_Ajustes_Manuais!$F:$F,"  -  Aux. Manutenção I")</f>
        <v>0</v>
      </c>
      <c r="AL164" s="237"/>
      <c r="AM164" s="26">
        <f>-SUMIFS(T_HEADCOUNT!$E:$E,T_HEADCOUNT!$C:$C,"-  Aux. Manutenção I",T_HEADCOUNT!$D:$D,"11/2026",T_HEADCOUNT!$B:$B,"CLT")</f>
        <v>0</v>
      </c>
      <c r="AN164" s="27">
        <f>SUMIFS(T_REAL!$D:$D,T_REAL!$E:$E,DRE!AN$7,T_REAL!$C:$C,DRE!$A164)+SUMIFS(Aut_Ajustes_Manuais!$G:$G,Aut_Ajustes_Manuais!$I:$I,DRE!AL$4,Aut_Ajustes_Manuais!$F:$F,"  -  Aux. Manutenção I")</f>
        <v>0</v>
      </c>
      <c r="AO164" s="237"/>
      <c r="AP164" s="26">
        <f>-SUMIFS(T_HEADCOUNT!$E:$E,T_HEADCOUNT!$C:$C,"-  Aux. Manutenção I",T_HEADCOUNT!$D:$D,"12/2026",T_HEADCOUNT!$B:$B,"CLT")</f>
        <v>0</v>
      </c>
      <c r="AQ164" s="27">
        <f>SUMIFS(T_REAL!$D:$D,T_REAL!$E:$E,DRE!AQ$7,T_REAL!$C:$C,DRE!$A164)+SUMIFS(Aut_Ajustes_Manuais!$G:$G,Aut_Ajustes_Manuais!$I:$I,DRE!AO$4,Aut_Ajustes_Manuais!$F:$F,"  -  Aux. Manutenção I")</f>
        <v>0</v>
      </c>
      <c r="AR164" s="237">
        <f t="shared" ca="1" si="139"/>
        <v>0</v>
      </c>
      <c r="AS164" s="26">
        <f t="shared" ca="1" si="140"/>
        <v>0</v>
      </c>
      <c r="AT164" s="27">
        <f t="shared" ca="1" si="141"/>
        <v>0</v>
      </c>
      <c r="AU164" s="237"/>
      <c r="AV164" s="26"/>
      <c r="AW164" s="27"/>
      <c r="AX164" s="237"/>
      <c r="AY164" s="26">
        <v>0</v>
      </c>
      <c r="AZ164" s="27"/>
      <c r="BA164" s="237"/>
      <c r="BB164" s="26">
        <v>0</v>
      </c>
      <c r="BC164" s="27"/>
      <c r="BD164" s="237"/>
      <c r="BE164" s="26">
        <v>0</v>
      </c>
      <c r="BF164" s="27"/>
      <c r="BG164" s="237"/>
      <c r="BH164" s="26">
        <v>0</v>
      </c>
      <c r="BI164" s="27"/>
      <c r="BJ164" s="454"/>
    </row>
    <row r="165" spans="1:62" s="28" customFormat="1" outlineLevel="1" x14ac:dyDescent="0.3">
      <c r="A165" s="93" t="s">
        <v>187</v>
      </c>
      <c r="B165" s="2"/>
      <c r="C165" s="23"/>
      <c r="D165" s="53" t="s">
        <v>143</v>
      </c>
      <c r="E165" s="85"/>
      <c r="F165" s="54"/>
      <c r="G165" s="32"/>
      <c r="H165" s="237"/>
      <c r="I165" s="26">
        <f>-SUMIFS(T_HEADCOUNT!$E:$E,T_HEADCOUNT!$C:$C,"-  Chefe da Portaria",T_HEADCOUNT!$D:$D,"1/2026",T_HEADCOUNT!$B:$B,"CLT")</f>
        <v>0</v>
      </c>
      <c r="J165" s="27">
        <f>SUMIFS(T_REAL!$D:$D,T_REAL!$E:$E,DRE!J$7,T_REAL!$C:$C,DRE!$A165)+SUMIFS(Aut_Ajustes_Manuais!$G:$G,Aut_Ajustes_Manuais!$I:$I,DRE!H$4,Aut_Ajustes_Manuais!$F:$F,"  -  Chefe da Portaria")</f>
        <v>0</v>
      </c>
      <c r="K165" s="237"/>
      <c r="L165" s="26">
        <f>-SUMIFS(T_HEADCOUNT!$E:$E,T_HEADCOUNT!$C:$C,"-  Chefe da Portaria",T_HEADCOUNT!$D:$D,"2/2026",T_HEADCOUNT!$B:$B,"CLT")</f>
        <v>0</v>
      </c>
      <c r="M165" s="27">
        <f>SUMIFS(T_REAL!$D:$D,T_REAL!$E:$E,DRE!M$7,T_REAL!$C:$C,DRE!$A165)+SUMIFS(Aut_Ajustes_Manuais!$G:$G,Aut_Ajustes_Manuais!$I:$I,DRE!K$4,Aut_Ajustes_Manuais!$F:$F,"  -  Chefe da Portaria")</f>
        <v>0</v>
      </c>
      <c r="N165" s="237"/>
      <c r="O165" s="26">
        <f>-SUMIFS(T_HEADCOUNT!$E:$E,T_HEADCOUNT!$C:$C,"-  Chefe da Portaria",T_HEADCOUNT!$D:$D,"3/2026",T_HEADCOUNT!$B:$B,"CLT")</f>
        <v>0</v>
      </c>
      <c r="P165" s="27">
        <f>SUMIFS(T_REAL!$D:$D,T_REAL!$E:$E,DRE!P$7,T_REAL!$C:$C,DRE!$A165)+SUMIFS(Aut_Ajustes_Manuais!$G:$G,Aut_Ajustes_Manuais!$I:$I,DRE!N$4,Aut_Ajustes_Manuais!$F:$F,"  -  Chefe da Portaria")</f>
        <v>0</v>
      </c>
      <c r="Q165" s="237"/>
      <c r="R165" s="26">
        <f>-SUMIFS(T_HEADCOUNT!$E:$E,T_HEADCOUNT!$C:$C,"-  Chefe da Portaria",T_HEADCOUNT!$D:$D,"4/2026",T_HEADCOUNT!$B:$B,"CLT")</f>
        <v>0</v>
      </c>
      <c r="S165" s="27">
        <f>SUMIFS(T_REAL!$D:$D,T_REAL!$E:$E,DRE!S$7,T_REAL!$C:$C,DRE!$A165)+SUMIFS(Aut_Ajustes_Manuais!$G:$G,Aut_Ajustes_Manuais!$I:$I,DRE!Q$4,Aut_Ajustes_Manuais!$F:$F,"  -  Chefe da Portaria")</f>
        <v>0</v>
      </c>
      <c r="T165" s="237"/>
      <c r="U165" s="26">
        <f>-SUMIFS(T_HEADCOUNT!$E:$E,T_HEADCOUNT!$C:$C,"-  Chefe da Portaria",T_HEADCOUNT!$D:$D,"5/2026",T_HEADCOUNT!$B:$B,"CLT")</f>
        <v>0</v>
      </c>
      <c r="V165" s="27">
        <f>SUMIFS(T_REAL!$D:$D,T_REAL!$E:$E,DRE!V$7,T_REAL!$C:$C,DRE!$A165)+SUMIFS(Aut_Ajustes_Manuais!$G:$G,Aut_Ajustes_Manuais!$I:$I,DRE!T$4,Aut_Ajustes_Manuais!$F:$F,"  -  Chefe da Portaria")</f>
        <v>0</v>
      </c>
      <c r="W165" s="237"/>
      <c r="X165" s="26">
        <f>-SUMIFS(T_HEADCOUNT!$E:$E,T_HEADCOUNT!$C:$C,"-  Chefe da Portaria",T_HEADCOUNT!$D:$D,"6/2026",T_HEADCOUNT!$B:$B,"CLT")</f>
        <v>0</v>
      </c>
      <c r="Y165" s="27">
        <f>SUMIFS(T_REAL!$D:$D,T_REAL!$E:$E,DRE!Y$7,T_REAL!$C:$C,DRE!$A165)+SUMIFS(Aut_Ajustes_Manuais!$G:$G,Aut_Ajustes_Manuais!$I:$I,DRE!W$4,Aut_Ajustes_Manuais!$F:$F,"  -  Chefe da Portaria")</f>
        <v>0</v>
      </c>
      <c r="Z165" s="237"/>
      <c r="AA165" s="26">
        <f>-SUMIFS(T_HEADCOUNT!$E:$E,T_HEADCOUNT!$C:$C,"-  Chefe da Portaria",T_HEADCOUNT!$D:$D,"7/2026",T_HEADCOUNT!$B:$B,"CLT")</f>
        <v>0</v>
      </c>
      <c r="AB165" s="27">
        <f>SUMIFS(T_REAL!$D:$D,T_REAL!$E:$E,DRE!AB$7,T_REAL!$C:$C,DRE!$A165)+SUMIFS(Aut_Ajustes_Manuais!$G:$G,Aut_Ajustes_Manuais!$I:$I,DRE!Z$4,Aut_Ajustes_Manuais!$F:$F,"  -  Chefe da Portaria")</f>
        <v>0</v>
      </c>
      <c r="AC165" s="237"/>
      <c r="AD165" s="26">
        <f>-SUMIFS(T_HEADCOUNT!$E:$E,T_HEADCOUNT!$C:$C,"-  Chefe da Portaria",T_HEADCOUNT!$D:$D,"8/2026",T_HEADCOUNT!$B:$B,"CLT")</f>
        <v>0</v>
      </c>
      <c r="AE165" s="27">
        <f>SUMIFS(T_REAL!$D:$D,T_REAL!$E:$E,DRE!AE$7,T_REAL!$C:$C,DRE!$A165)+SUMIFS(Aut_Ajustes_Manuais!$G:$G,Aut_Ajustes_Manuais!$I:$I,DRE!AC$4,Aut_Ajustes_Manuais!$F:$F,"  -  Chefe da Portaria")</f>
        <v>0</v>
      </c>
      <c r="AF165" s="237"/>
      <c r="AG165" s="26">
        <f>-SUMIFS(T_HEADCOUNT!$E:$E,T_HEADCOUNT!$C:$C,"-  Chefe da Portaria",T_HEADCOUNT!$D:$D,"9/2026",T_HEADCOUNT!$B:$B,"CLT")</f>
        <v>0</v>
      </c>
      <c r="AH165" s="27">
        <f>SUMIFS(T_REAL!$D:$D,T_REAL!$E:$E,DRE!AH$7,T_REAL!$C:$C,DRE!$A165)+SUMIFS(Aut_Ajustes_Manuais!$G:$G,Aut_Ajustes_Manuais!$I:$I,DRE!AF$4,Aut_Ajustes_Manuais!$F:$F,"  -  Chefe da Portaria")</f>
        <v>0</v>
      </c>
      <c r="AI165" s="237"/>
      <c r="AJ165" s="26">
        <f>-SUMIFS(T_HEADCOUNT!$E:$E,T_HEADCOUNT!$C:$C,"-  Chefe da Portaria",T_HEADCOUNT!$D:$D,"10/2026",T_HEADCOUNT!$B:$B,"CLT")</f>
        <v>0</v>
      </c>
      <c r="AK165" s="27">
        <f>SUMIFS(T_REAL!$D:$D,T_REAL!$E:$E,DRE!AK$7,T_REAL!$C:$C,DRE!$A165)+SUMIFS(Aut_Ajustes_Manuais!$G:$G,Aut_Ajustes_Manuais!$I:$I,DRE!AI$4,Aut_Ajustes_Manuais!$F:$F,"  -  Chefe da Portaria")</f>
        <v>0</v>
      </c>
      <c r="AL165" s="237"/>
      <c r="AM165" s="26">
        <f>-SUMIFS(T_HEADCOUNT!$E:$E,T_HEADCOUNT!$C:$C,"-  Chefe da Portaria",T_HEADCOUNT!$D:$D,"11/2026",T_HEADCOUNT!$B:$B,"CLT")</f>
        <v>0</v>
      </c>
      <c r="AN165" s="27">
        <f>SUMIFS(T_REAL!$D:$D,T_REAL!$E:$E,DRE!AN$7,T_REAL!$C:$C,DRE!$A165)+SUMIFS(Aut_Ajustes_Manuais!$G:$G,Aut_Ajustes_Manuais!$I:$I,DRE!AL$4,Aut_Ajustes_Manuais!$F:$F,"  -  Chefe da Portaria")</f>
        <v>0</v>
      </c>
      <c r="AO165" s="237"/>
      <c r="AP165" s="26">
        <f>-SUMIFS(T_HEADCOUNT!$E:$E,T_HEADCOUNT!$C:$C,"-  Chefe da Portaria",T_HEADCOUNT!$D:$D,"12/2026",T_HEADCOUNT!$B:$B,"CLT")</f>
        <v>0</v>
      </c>
      <c r="AQ165" s="27">
        <f>SUMIFS(T_REAL!$D:$D,T_REAL!$E:$E,DRE!AQ$7,T_REAL!$C:$C,DRE!$A165)+SUMIFS(Aut_Ajustes_Manuais!$G:$G,Aut_Ajustes_Manuais!$I:$I,DRE!AO$4,Aut_Ajustes_Manuais!$F:$F,"  -  Chefe da Portaria")</f>
        <v>0</v>
      </c>
      <c r="AR165" s="237">
        <f t="shared" ca="1" si="139"/>
        <v>0</v>
      </c>
      <c r="AS165" s="26">
        <f t="shared" ca="1" si="140"/>
        <v>0</v>
      </c>
      <c r="AT165" s="27">
        <f t="shared" ca="1" si="141"/>
        <v>0</v>
      </c>
      <c r="AU165" s="237"/>
      <c r="AV165" s="26"/>
      <c r="AW165" s="27"/>
      <c r="AX165" s="237"/>
      <c r="AY165" s="26">
        <v>0</v>
      </c>
      <c r="AZ165" s="27"/>
      <c r="BA165" s="237"/>
      <c r="BB165" s="26">
        <v>0</v>
      </c>
      <c r="BC165" s="27"/>
      <c r="BD165" s="237"/>
      <c r="BE165" s="26">
        <v>0</v>
      </c>
      <c r="BF165" s="27"/>
      <c r="BG165" s="237"/>
      <c r="BH165" s="26">
        <v>0</v>
      </c>
      <c r="BI165" s="27"/>
      <c r="BJ165" s="454"/>
    </row>
    <row r="166" spans="1:62" s="28" customFormat="1" outlineLevel="1" x14ac:dyDescent="0.3">
      <c r="A166" s="93" t="s">
        <v>188</v>
      </c>
      <c r="B166" s="2"/>
      <c r="C166" s="23"/>
      <c r="D166" s="53" t="s">
        <v>143</v>
      </c>
      <c r="E166" s="85"/>
      <c r="F166" s="54"/>
      <c r="G166" s="32"/>
      <c r="H166" s="237"/>
      <c r="I166" s="26">
        <f>-SUMIFS(T_HEADCOUNT!$E:$E,T_HEADCOUNT!$C:$C,"-  Porteiro III",T_HEADCOUNT!$D:$D,"1/2026",T_HEADCOUNT!$B:$B,"CLT")</f>
        <v>0</v>
      </c>
      <c r="J166" s="27">
        <f>SUMIFS(T_REAL!$D:$D,T_REAL!$E:$E,DRE!J$7,T_REAL!$C:$C,DRE!$A166)+SUMIFS(Aut_Ajustes_Manuais!$G:$G,Aut_Ajustes_Manuais!$I:$I,DRE!H$4,Aut_Ajustes_Manuais!$F:$F,"  -  Porteiro III")</f>
        <v>0</v>
      </c>
      <c r="K166" s="237"/>
      <c r="L166" s="26">
        <f>-SUMIFS(T_HEADCOUNT!$E:$E,T_HEADCOUNT!$C:$C,"-  Porteiro III",T_HEADCOUNT!$D:$D,"2/2026",T_HEADCOUNT!$B:$B,"CLT")</f>
        <v>0</v>
      </c>
      <c r="M166" s="27">
        <f>SUMIFS(T_REAL!$D:$D,T_REAL!$E:$E,DRE!M$7,T_REAL!$C:$C,DRE!$A166)+SUMIFS(Aut_Ajustes_Manuais!$G:$G,Aut_Ajustes_Manuais!$I:$I,DRE!K$4,Aut_Ajustes_Manuais!$F:$F,"  -  Porteiro III")</f>
        <v>0</v>
      </c>
      <c r="N166" s="237"/>
      <c r="O166" s="26">
        <f>-SUMIFS(T_HEADCOUNT!$E:$E,T_HEADCOUNT!$C:$C,"-  Porteiro III",T_HEADCOUNT!$D:$D,"3/2026",T_HEADCOUNT!$B:$B,"CLT")</f>
        <v>0</v>
      </c>
      <c r="P166" s="27">
        <f>SUMIFS(T_REAL!$D:$D,T_REAL!$E:$E,DRE!P$7,T_REAL!$C:$C,DRE!$A166)+SUMIFS(Aut_Ajustes_Manuais!$G:$G,Aut_Ajustes_Manuais!$I:$I,DRE!N$4,Aut_Ajustes_Manuais!$F:$F,"  -  Porteiro III")</f>
        <v>0</v>
      </c>
      <c r="Q166" s="237"/>
      <c r="R166" s="26">
        <f>-SUMIFS(T_HEADCOUNT!$E:$E,T_HEADCOUNT!$C:$C,"-  Porteiro III",T_HEADCOUNT!$D:$D,"4/2026",T_HEADCOUNT!$B:$B,"CLT")</f>
        <v>0</v>
      </c>
      <c r="S166" s="27">
        <f>SUMIFS(T_REAL!$D:$D,T_REAL!$E:$E,DRE!S$7,T_REAL!$C:$C,DRE!$A166)+SUMIFS(Aut_Ajustes_Manuais!$G:$G,Aut_Ajustes_Manuais!$I:$I,DRE!Q$4,Aut_Ajustes_Manuais!$F:$F,"  -  Porteiro III")</f>
        <v>0</v>
      </c>
      <c r="T166" s="237"/>
      <c r="U166" s="26">
        <f>-SUMIFS(T_HEADCOUNT!$E:$E,T_HEADCOUNT!$C:$C,"-  Porteiro III",T_HEADCOUNT!$D:$D,"5/2026",T_HEADCOUNT!$B:$B,"CLT")</f>
        <v>0</v>
      </c>
      <c r="V166" s="27">
        <f>SUMIFS(T_REAL!$D:$D,T_REAL!$E:$E,DRE!V$7,T_REAL!$C:$C,DRE!$A166)+SUMIFS(Aut_Ajustes_Manuais!$G:$G,Aut_Ajustes_Manuais!$I:$I,DRE!T$4,Aut_Ajustes_Manuais!$F:$F,"  -  Porteiro III")</f>
        <v>0</v>
      </c>
      <c r="W166" s="237"/>
      <c r="X166" s="26">
        <f>-SUMIFS(T_HEADCOUNT!$E:$E,T_HEADCOUNT!$C:$C,"-  Porteiro III",T_HEADCOUNT!$D:$D,"6/2026",T_HEADCOUNT!$B:$B,"CLT")</f>
        <v>0</v>
      </c>
      <c r="Y166" s="27">
        <f>SUMIFS(T_REAL!$D:$D,T_REAL!$E:$E,DRE!Y$7,T_REAL!$C:$C,DRE!$A166)+SUMIFS(Aut_Ajustes_Manuais!$G:$G,Aut_Ajustes_Manuais!$I:$I,DRE!W$4,Aut_Ajustes_Manuais!$F:$F,"  -  Porteiro III")</f>
        <v>0</v>
      </c>
      <c r="Z166" s="237"/>
      <c r="AA166" s="26">
        <f>-SUMIFS(T_HEADCOUNT!$E:$E,T_HEADCOUNT!$C:$C,"-  Porteiro III",T_HEADCOUNT!$D:$D,"7/2026",T_HEADCOUNT!$B:$B,"CLT")</f>
        <v>0</v>
      </c>
      <c r="AB166" s="27">
        <f>SUMIFS(T_REAL!$D:$D,T_REAL!$E:$E,DRE!AB$7,T_REAL!$C:$C,DRE!$A166)+SUMIFS(Aut_Ajustes_Manuais!$G:$G,Aut_Ajustes_Manuais!$I:$I,DRE!Z$4,Aut_Ajustes_Manuais!$F:$F,"  -  Porteiro III")</f>
        <v>0</v>
      </c>
      <c r="AC166" s="237"/>
      <c r="AD166" s="26">
        <f>-SUMIFS(T_HEADCOUNT!$E:$E,T_HEADCOUNT!$C:$C,"-  Porteiro III",T_HEADCOUNT!$D:$D,"8/2026",T_HEADCOUNT!$B:$B,"CLT")</f>
        <v>0</v>
      </c>
      <c r="AE166" s="27">
        <f>SUMIFS(T_REAL!$D:$D,T_REAL!$E:$E,DRE!AE$7,T_REAL!$C:$C,DRE!$A166)+SUMIFS(Aut_Ajustes_Manuais!$G:$G,Aut_Ajustes_Manuais!$I:$I,DRE!AC$4,Aut_Ajustes_Manuais!$F:$F,"  -  Porteiro III")</f>
        <v>0</v>
      </c>
      <c r="AF166" s="237"/>
      <c r="AG166" s="26">
        <f>-SUMIFS(T_HEADCOUNT!$E:$E,T_HEADCOUNT!$C:$C,"-  Porteiro III",T_HEADCOUNT!$D:$D,"9/2026",T_HEADCOUNT!$B:$B,"CLT")</f>
        <v>0</v>
      </c>
      <c r="AH166" s="27">
        <f>SUMIFS(T_REAL!$D:$D,T_REAL!$E:$E,DRE!AH$7,T_REAL!$C:$C,DRE!$A166)+SUMIFS(Aut_Ajustes_Manuais!$G:$G,Aut_Ajustes_Manuais!$I:$I,DRE!AF$4,Aut_Ajustes_Manuais!$F:$F,"  -  Porteiro III")</f>
        <v>0</v>
      </c>
      <c r="AI166" s="237"/>
      <c r="AJ166" s="26">
        <f>-SUMIFS(T_HEADCOUNT!$E:$E,T_HEADCOUNT!$C:$C,"-  Porteiro III",T_HEADCOUNT!$D:$D,"10/2026",T_HEADCOUNT!$B:$B,"CLT")</f>
        <v>0</v>
      </c>
      <c r="AK166" s="27">
        <f>SUMIFS(T_REAL!$D:$D,T_REAL!$E:$E,DRE!AK$7,T_REAL!$C:$C,DRE!$A166)+SUMIFS(Aut_Ajustes_Manuais!$G:$G,Aut_Ajustes_Manuais!$I:$I,DRE!AI$4,Aut_Ajustes_Manuais!$F:$F,"  -  Porteiro III")</f>
        <v>0</v>
      </c>
      <c r="AL166" s="237"/>
      <c r="AM166" s="26">
        <f>-SUMIFS(T_HEADCOUNT!$E:$E,T_HEADCOUNT!$C:$C,"-  Porteiro III",T_HEADCOUNT!$D:$D,"11/2026",T_HEADCOUNT!$B:$B,"CLT")</f>
        <v>0</v>
      </c>
      <c r="AN166" s="27">
        <f>SUMIFS(T_REAL!$D:$D,T_REAL!$E:$E,DRE!AN$7,T_REAL!$C:$C,DRE!$A166)+SUMIFS(Aut_Ajustes_Manuais!$G:$G,Aut_Ajustes_Manuais!$I:$I,DRE!AL$4,Aut_Ajustes_Manuais!$F:$F,"  -  Porteiro III")</f>
        <v>0</v>
      </c>
      <c r="AO166" s="237"/>
      <c r="AP166" s="26">
        <f>-SUMIFS(T_HEADCOUNT!$E:$E,T_HEADCOUNT!$C:$C,"-  Porteiro III",T_HEADCOUNT!$D:$D,"12/2026",T_HEADCOUNT!$B:$B,"CLT")</f>
        <v>0</v>
      </c>
      <c r="AQ166" s="27">
        <f>SUMIFS(T_REAL!$D:$D,T_REAL!$E:$E,DRE!AQ$7,T_REAL!$C:$C,DRE!$A166)+SUMIFS(Aut_Ajustes_Manuais!$G:$G,Aut_Ajustes_Manuais!$I:$I,DRE!AO$4,Aut_Ajustes_Manuais!$F:$F,"  -  Porteiro III")</f>
        <v>0</v>
      </c>
      <c r="AR166" s="237">
        <f t="shared" ca="1" si="139"/>
        <v>0</v>
      </c>
      <c r="AS166" s="26">
        <f t="shared" ca="1" si="140"/>
        <v>0</v>
      </c>
      <c r="AT166" s="27">
        <f t="shared" ca="1" si="141"/>
        <v>0</v>
      </c>
      <c r="AU166" s="237"/>
      <c r="AV166" s="26"/>
      <c r="AW166" s="27"/>
      <c r="AX166" s="237"/>
      <c r="AY166" s="26">
        <v>0</v>
      </c>
      <c r="AZ166" s="27"/>
      <c r="BA166" s="237"/>
      <c r="BB166" s="26">
        <v>0</v>
      </c>
      <c r="BC166" s="27"/>
      <c r="BD166" s="237"/>
      <c r="BE166" s="26">
        <v>0</v>
      </c>
      <c r="BF166" s="27"/>
      <c r="BG166" s="237"/>
      <c r="BH166" s="26">
        <v>0</v>
      </c>
      <c r="BI166" s="27"/>
      <c r="BJ166" s="454"/>
    </row>
    <row r="167" spans="1:62" s="28" customFormat="1" outlineLevel="1" x14ac:dyDescent="0.3">
      <c r="A167" s="93" t="s">
        <v>189</v>
      </c>
      <c r="B167" s="2"/>
      <c r="C167" s="23"/>
      <c r="D167" s="53" t="s">
        <v>143</v>
      </c>
      <c r="E167" s="85"/>
      <c r="F167" s="54"/>
      <c r="G167" s="32"/>
      <c r="H167" s="237"/>
      <c r="I167" s="26">
        <f>-SUMIFS(T_HEADCOUNT!$E:$E,T_HEADCOUNT!$C:$C,"-  Porteiro II",T_HEADCOUNT!$D:$D,"1/2026",T_HEADCOUNT!$B:$B,"CLT")</f>
        <v>0</v>
      </c>
      <c r="J167" s="27">
        <f>SUMIFS(T_REAL!$D:$D,T_REAL!$E:$E,DRE!J$7,T_REAL!$C:$C,DRE!$A167)+SUMIFS(Aut_Ajustes_Manuais!$G:$G,Aut_Ajustes_Manuais!$I:$I,DRE!H$4,Aut_Ajustes_Manuais!$F:$F,"  -  Porteiro II")</f>
        <v>0</v>
      </c>
      <c r="K167" s="237"/>
      <c r="L167" s="26">
        <f>-SUMIFS(T_HEADCOUNT!$E:$E,T_HEADCOUNT!$C:$C,"-  Porteiro II",T_HEADCOUNT!$D:$D,"2/2026",T_HEADCOUNT!$B:$B,"CLT")</f>
        <v>0</v>
      </c>
      <c r="M167" s="27">
        <f>SUMIFS(T_REAL!$D:$D,T_REAL!$E:$E,DRE!M$7,T_REAL!$C:$C,DRE!$A167)+SUMIFS(Aut_Ajustes_Manuais!$G:$G,Aut_Ajustes_Manuais!$I:$I,DRE!K$4,Aut_Ajustes_Manuais!$F:$F,"  -  Porteiro II")</f>
        <v>0</v>
      </c>
      <c r="N167" s="237"/>
      <c r="O167" s="26">
        <f>-SUMIFS(T_HEADCOUNT!$E:$E,T_HEADCOUNT!$C:$C,"-  Porteiro II",T_HEADCOUNT!$D:$D,"3/2026",T_HEADCOUNT!$B:$B,"CLT")</f>
        <v>0</v>
      </c>
      <c r="P167" s="27">
        <f>SUMIFS(T_REAL!$D:$D,T_REAL!$E:$E,DRE!P$7,T_REAL!$C:$C,DRE!$A167)+SUMIFS(Aut_Ajustes_Manuais!$G:$G,Aut_Ajustes_Manuais!$I:$I,DRE!N$4,Aut_Ajustes_Manuais!$F:$F,"  -  Porteiro II")</f>
        <v>0</v>
      </c>
      <c r="Q167" s="237"/>
      <c r="R167" s="26">
        <f>-SUMIFS(T_HEADCOUNT!$E:$E,T_HEADCOUNT!$C:$C,"-  Porteiro II",T_HEADCOUNT!$D:$D,"4/2026",T_HEADCOUNT!$B:$B,"CLT")</f>
        <v>0</v>
      </c>
      <c r="S167" s="27">
        <f>SUMIFS(T_REAL!$D:$D,T_REAL!$E:$E,DRE!S$7,T_REAL!$C:$C,DRE!$A167)+SUMIFS(Aut_Ajustes_Manuais!$G:$G,Aut_Ajustes_Manuais!$I:$I,DRE!Q$4,Aut_Ajustes_Manuais!$F:$F,"  -  Porteiro II")</f>
        <v>0</v>
      </c>
      <c r="T167" s="237"/>
      <c r="U167" s="26">
        <f>-SUMIFS(T_HEADCOUNT!$E:$E,T_HEADCOUNT!$C:$C,"-  Porteiro II",T_HEADCOUNT!$D:$D,"5/2026",T_HEADCOUNT!$B:$B,"CLT")</f>
        <v>0</v>
      </c>
      <c r="V167" s="27">
        <f>SUMIFS(T_REAL!$D:$D,T_REAL!$E:$E,DRE!V$7,T_REAL!$C:$C,DRE!$A167)+SUMIFS(Aut_Ajustes_Manuais!$G:$G,Aut_Ajustes_Manuais!$I:$I,DRE!T$4,Aut_Ajustes_Manuais!$F:$F,"  -  Porteiro II")</f>
        <v>0</v>
      </c>
      <c r="W167" s="237"/>
      <c r="X167" s="26">
        <f>-SUMIFS(T_HEADCOUNT!$E:$E,T_HEADCOUNT!$C:$C,"-  Porteiro II",T_HEADCOUNT!$D:$D,"6/2026",T_HEADCOUNT!$B:$B,"CLT")</f>
        <v>0</v>
      </c>
      <c r="Y167" s="27">
        <f>SUMIFS(T_REAL!$D:$D,T_REAL!$E:$E,DRE!Y$7,T_REAL!$C:$C,DRE!$A167)+SUMIFS(Aut_Ajustes_Manuais!$G:$G,Aut_Ajustes_Manuais!$I:$I,DRE!W$4,Aut_Ajustes_Manuais!$F:$F,"  -  Porteiro II")</f>
        <v>0</v>
      </c>
      <c r="Z167" s="237"/>
      <c r="AA167" s="26">
        <f>-SUMIFS(T_HEADCOUNT!$E:$E,T_HEADCOUNT!$C:$C,"-  Porteiro II",T_HEADCOUNT!$D:$D,"7/2026",T_HEADCOUNT!$B:$B,"CLT")</f>
        <v>0</v>
      </c>
      <c r="AB167" s="27">
        <f>SUMIFS(T_REAL!$D:$D,T_REAL!$E:$E,DRE!AB$7,T_REAL!$C:$C,DRE!$A167)+SUMIFS(Aut_Ajustes_Manuais!$G:$G,Aut_Ajustes_Manuais!$I:$I,DRE!Z$4,Aut_Ajustes_Manuais!$F:$F,"  -  Porteiro II")</f>
        <v>0</v>
      </c>
      <c r="AC167" s="237"/>
      <c r="AD167" s="26">
        <f>-SUMIFS(T_HEADCOUNT!$E:$E,T_HEADCOUNT!$C:$C,"-  Porteiro II",T_HEADCOUNT!$D:$D,"8/2026",T_HEADCOUNT!$B:$B,"CLT")</f>
        <v>0</v>
      </c>
      <c r="AE167" s="27">
        <f>SUMIFS(T_REAL!$D:$D,T_REAL!$E:$E,DRE!AE$7,T_REAL!$C:$C,DRE!$A167)+SUMIFS(Aut_Ajustes_Manuais!$G:$G,Aut_Ajustes_Manuais!$I:$I,DRE!AC$4,Aut_Ajustes_Manuais!$F:$F,"  -  Porteiro II")</f>
        <v>0</v>
      </c>
      <c r="AF167" s="237"/>
      <c r="AG167" s="26">
        <f>-SUMIFS(T_HEADCOUNT!$E:$E,T_HEADCOUNT!$C:$C,"-  Porteiro II",T_HEADCOUNT!$D:$D,"9/2026",T_HEADCOUNT!$B:$B,"CLT")</f>
        <v>0</v>
      </c>
      <c r="AH167" s="27">
        <f>SUMIFS(T_REAL!$D:$D,T_REAL!$E:$E,DRE!AH$7,T_REAL!$C:$C,DRE!$A167)+SUMIFS(Aut_Ajustes_Manuais!$G:$G,Aut_Ajustes_Manuais!$I:$I,DRE!AF$4,Aut_Ajustes_Manuais!$F:$F,"  -  Porteiro II")</f>
        <v>0</v>
      </c>
      <c r="AI167" s="237"/>
      <c r="AJ167" s="26">
        <f>-SUMIFS(T_HEADCOUNT!$E:$E,T_HEADCOUNT!$C:$C,"-  Porteiro II",T_HEADCOUNT!$D:$D,"10/2026",T_HEADCOUNT!$B:$B,"CLT")</f>
        <v>0</v>
      </c>
      <c r="AK167" s="27">
        <f>SUMIFS(T_REAL!$D:$D,T_REAL!$E:$E,DRE!AK$7,T_REAL!$C:$C,DRE!$A167)+SUMIFS(Aut_Ajustes_Manuais!$G:$G,Aut_Ajustes_Manuais!$I:$I,DRE!AI$4,Aut_Ajustes_Manuais!$F:$F,"  -  Porteiro II")</f>
        <v>0</v>
      </c>
      <c r="AL167" s="237"/>
      <c r="AM167" s="26">
        <f>-SUMIFS(T_HEADCOUNT!$E:$E,T_HEADCOUNT!$C:$C,"-  Porteiro II",T_HEADCOUNT!$D:$D,"11/2026",T_HEADCOUNT!$B:$B,"CLT")</f>
        <v>0</v>
      </c>
      <c r="AN167" s="27">
        <f>SUMIFS(T_REAL!$D:$D,T_REAL!$E:$E,DRE!AN$7,T_REAL!$C:$C,DRE!$A167)+SUMIFS(Aut_Ajustes_Manuais!$G:$G,Aut_Ajustes_Manuais!$I:$I,DRE!AL$4,Aut_Ajustes_Manuais!$F:$F,"  -  Porteiro II")</f>
        <v>0</v>
      </c>
      <c r="AO167" s="237"/>
      <c r="AP167" s="26">
        <f>-SUMIFS(T_HEADCOUNT!$E:$E,T_HEADCOUNT!$C:$C,"-  Porteiro II",T_HEADCOUNT!$D:$D,"12/2026",T_HEADCOUNT!$B:$B,"CLT")</f>
        <v>0</v>
      </c>
      <c r="AQ167" s="27">
        <f>SUMIFS(T_REAL!$D:$D,T_REAL!$E:$E,DRE!AQ$7,T_REAL!$C:$C,DRE!$A167)+SUMIFS(Aut_Ajustes_Manuais!$G:$G,Aut_Ajustes_Manuais!$I:$I,DRE!AO$4,Aut_Ajustes_Manuais!$F:$F,"  -  Porteiro II")</f>
        <v>0</v>
      </c>
      <c r="AR167" s="237">
        <f t="shared" ca="1" si="139"/>
        <v>0</v>
      </c>
      <c r="AS167" s="26">
        <f t="shared" ca="1" si="140"/>
        <v>0</v>
      </c>
      <c r="AT167" s="27">
        <f t="shared" ca="1" si="141"/>
        <v>0</v>
      </c>
      <c r="AU167" s="237"/>
      <c r="AV167" s="26"/>
      <c r="AW167" s="27"/>
      <c r="AX167" s="237"/>
      <c r="AY167" s="26">
        <v>0</v>
      </c>
      <c r="AZ167" s="27"/>
      <c r="BA167" s="237"/>
      <c r="BB167" s="26">
        <v>0</v>
      </c>
      <c r="BC167" s="27"/>
      <c r="BD167" s="237"/>
      <c r="BE167" s="26">
        <v>0</v>
      </c>
      <c r="BF167" s="27"/>
      <c r="BG167" s="237"/>
      <c r="BH167" s="26">
        <v>0</v>
      </c>
      <c r="BI167" s="27"/>
      <c r="BJ167" s="454"/>
    </row>
    <row r="168" spans="1:62" s="28" customFormat="1" outlineLevel="1" x14ac:dyDescent="0.3">
      <c r="A168" s="93" t="s">
        <v>190</v>
      </c>
      <c r="B168" s="2"/>
      <c r="C168" s="23"/>
      <c r="D168" s="53" t="s">
        <v>143</v>
      </c>
      <c r="E168" s="85"/>
      <c r="F168" s="54"/>
      <c r="G168" s="32"/>
      <c r="H168" s="237"/>
      <c r="I168" s="26">
        <f>-SUMIFS(T_HEADCOUNT!$E:$E,T_HEADCOUNT!$C:$C,"-  Porteiro I",T_HEADCOUNT!$D:$D,"1/2026",T_HEADCOUNT!$B:$B,"CLT")</f>
        <v>0</v>
      </c>
      <c r="J168" s="27">
        <f>SUMIFS(T_REAL!$D:$D,T_REAL!$E:$E,DRE!J$7,T_REAL!$C:$C,DRE!$A168)+SUMIFS(Aut_Ajustes_Manuais!$G:$G,Aut_Ajustes_Manuais!$I:$I,DRE!H$4,Aut_Ajustes_Manuais!$F:$F,"  -  Porteiro I")</f>
        <v>0</v>
      </c>
      <c r="K168" s="237"/>
      <c r="L168" s="26">
        <f>-SUMIFS(T_HEADCOUNT!$E:$E,T_HEADCOUNT!$C:$C,"-  Porteiro I",T_HEADCOUNT!$D:$D,"2/2026",T_HEADCOUNT!$B:$B,"CLT")</f>
        <v>0</v>
      </c>
      <c r="M168" s="27">
        <f>SUMIFS(T_REAL!$D:$D,T_REAL!$E:$E,DRE!M$7,T_REAL!$C:$C,DRE!$A168)+SUMIFS(Aut_Ajustes_Manuais!$G:$G,Aut_Ajustes_Manuais!$I:$I,DRE!K$4,Aut_Ajustes_Manuais!$F:$F,"  -  Porteiro I")</f>
        <v>0</v>
      </c>
      <c r="N168" s="237"/>
      <c r="O168" s="26">
        <f>-SUMIFS(T_HEADCOUNT!$E:$E,T_HEADCOUNT!$C:$C,"-  Porteiro I",T_HEADCOUNT!$D:$D,"3/2026",T_HEADCOUNT!$B:$B,"CLT")</f>
        <v>0</v>
      </c>
      <c r="P168" s="27">
        <f>SUMIFS(T_REAL!$D:$D,T_REAL!$E:$E,DRE!P$7,T_REAL!$C:$C,DRE!$A168)+SUMIFS(Aut_Ajustes_Manuais!$G:$G,Aut_Ajustes_Manuais!$I:$I,DRE!N$4,Aut_Ajustes_Manuais!$F:$F,"  -  Porteiro I")</f>
        <v>0</v>
      </c>
      <c r="Q168" s="237"/>
      <c r="R168" s="26">
        <f>-SUMIFS(T_HEADCOUNT!$E:$E,T_HEADCOUNT!$C:$C,"-  Porteiro I",T_HEADCOUNT!$D:$D,"4/2026",T_HEADCOUNT!$B:$B,"CLT")</f>
        <v>0</v>
      </c>
      <c r="S168" s="27">
        <f>SUMIFS(T_REAL!$D:$D,T_REAL!$E:$E,DRE!S$7,T_REAL!$C:$C,DRE!$A168)+SUMIFS(Aut_Ajustes_Manuais!$G:$G,Aut_Ajustes_Manuais!$I:$I,DRE!Q$4,Aut_Ajustes_Manuais!$F:$F,"  -  Porteiro I")</f>
        <v>0</v>
      </c>
      <c r="T168" s="237"/>
      <c r="U168" s="26">
        <f>-SUMIFS(T_HEADCOUNT!$E:$E,T_HEADCOUNT!$C:$C,"-  Porteiro I",T_HEADCOUNT!$D:$D,"5/2026",T_HEADCOUNT!$B:$B,"CLT")</f>
        <v>0</v>
      </c>
      <c r="V168" s="27">
        <f>SUMIFS(T_REAL!$D:$D,T_REAL!$E:$E,DRE!V$7,T_REAL!$C:$C,DRE!$A168)+SUMIFS(Aut_Ajustes_Manuais!$G:$G,Aut_Ajustes_Manuais!$I:$I,DRE!T$4,Aut_Ajustes_Manuais!$F:$F,"  -  Porteiro I")</f>
        <v>0</v>
      </c>
      <c r="W168" s="237"/>
      <c r="X168" s="26">
        <f>-SUMIFS(T_HEADCOUNT!$E:$E,T_HEADCOUNT!$C:$C,"-  Porteiro I",T_HEADCOUNT!$D:$D,"6/2026",T_HEADCOUNT!$B:$B,"CLT")</f>
        <v>0</v>
      </c>
      <c r="Y168" s="27">
        <f>SUMIFS(T_REAL!$D:$D,T_REAL!$E:$E,DRE!Y$7,T_REAL!$C:$C,DRE!$A168)+SUMIFS(Aut_Ajustes_Manuais!$G:$G,Aut_Ajustes_Manuais!$I:$I,DRE!W$4,Aut_Ajustes_Manuais!$F:$F,"  -  Porteiro I")</f>
        <v>0</v>
      </c>
      <c r="Z168" s="237"/>
      <c r="AA168" s="26">
        <f>-SUMIFS(T_HEADCOUNT!$E:$E,T_HEADCOUNT!$C:$C,"-  Porteiro I",T_HEADCOUNT!$D:$D,"7/2026",T_HEADCOUNT!$B:$B,"CLT")</f>
        <v>0</v>
      </c>
      <c r="AB168" s="27">
        <f>SUMIFS(T_REAL!$D:$D,T_REAL!$E:$E,DRE!AB$7,T_REAL!$C:$C,DRE!$A168)+SUMIFS(Aut_Ajustes_Manuais!$G:$G,Aut_Ajustes_Manuais!$I:$I,DRE!Z$4,Aut_Ajustes_Manuais!$F:$F,"  -  Porteiro I")</f>
        <v>0</v>
      </c>
      <c r="AC168" s="237"/>
      <c r="AD168" s="26">
        <f>-SUMIFS(T_HEADCOUNT!$E:$E,T_HEADCOUNT!$C:$C,"-  Porteiro I",T_HEADCOUNT!$D:$D,"8/2026",T_HEADCOUNT!$B:$B,"CLT")</f>
        <v>0</v>
      </c>
      <c r="AE168" s="27">
        <f>SUMIFS(T_REAL!$D:$D,T_REAL!$E:$E,DRE!AE$7,T_REAL!$C:$C,DRE!$A168)+SUMIFS(Aut_Ajustes_Manuais!$G:$G,Aut_Ajustes_Manuais!$I:$I,DRE!AC$4,Aut_Ajustes_Manuais!$F:$F,"  -  Porteiro I")</f>
        <v>0</v>
      </c>
      <c r="AF168" s="237"/>
      <c r="AG168" s="26">
        <f>-SUMIFS(T_HEADCOUNT!$E:$E,T_HEADCOUNT!$C:$C,"-  Porteiro I",T_HEADCOUNT!$D:$D,"9/2026",T_HEADCOUNT!$B:$B,"CLT")</f>
        <v>0</v>
      </c>
      <c r="AH168" s="27">
        <f>SUMIFS(T_REAL!$D:$D,T_REAL!$E:$E,DRE!AH$7,T_REAL!$C:$C,DRE!$A168)+SUMIFS(Aut_Ajustes_Manuais!$G:$G,Aut_Ajustes_Manuais!$I:$I,DRE!AF$4,Aut_Ajustes_Manuais!$F:$F,"  -  Porteiro I")</f>
        <v>0</v>
      </c>
      <c r="AI168" s="237"/>
      <c r="AJ168" s="26">
        <f>-SUMIFS(T_HEADCOUNT!$E:$E,T_HEADCOUNT!$C:$C,"-  Porteiro I",T_HEADCOUNT!$D:$D,"10/2026",T_HEADCOUNT!$B:$B,"CLT")</f>
        <v>0</v>
      </c>
      <c r="AK168" s="27">
        <f>SUMIFS(T_REAL!$D:$D,T_REAL!$E:$E,DRE!AK$7,T_REAL!$C:$C,DRE!$A168)+SUMIFS(Aut_Ajustes_Manuais!$G:$G,Aut_Ajustes_Manuais!$I:$I,DRE!AI$4,Aut_Ajustes_Manuais!$F:$F,"  -  Porteiro I")</f>
        <v>0</v>
      </c>
      <c r="AL168" s="237"/>
      <c r="AM168" s="26">
        <f>-SUMIFS(T_HEADCOUNT!$E:$E,T_HEADCOUNT!$C:$C,"-  Porteiro I",T_HEADCOUNT!$D:$D,"11/2026",T_HEADCOUNT!$B:$B,"CLT")</f>
        <v>0</v>
      </c>
      <c r="AN168" s="27">
        <f>SUMIFS(T_REAL!$D:$D,T_REAL!$E:$E,DRE!AN$7,T_REAL!$C:$C,DRE!$A168)+SUMIFS(Aut_Ajustes_Manuais!$G:$G,Aut_Ajustes_Manuais!$I:$I,DRE!AL$4,Aut_Ajustes_Manuais!$F:$F,"  -  Porteiro I")</f>
        <v>0</v>
      </c>
      <c r="AO168" s="237"/>
      <c r="AP168" s="26">
        <f>-SUMIFS(T_HEADCOUNT!$E:$E,T_HEADCOUNT!$C:$C,"-  Porteiro I",T_HEADCOUNT!$D:$D,"12/2026",T_HEADCOUNT!$B:$B,"CLT")</f>
        <v>0</v>
      </c>
      <c r="AQ168" s="27">
        <f>SUMIFS(T_REAL!$D:$D,T_REAL!$E:$E,DRE!AQ$7,T_REAL!$C:$C,DRE!$A168)+SUMIFS(Aut_Ajustes_Manuais!$G:$G,Aut_Ajustes_Manuais!$I:$I,DRE!AO$4,Aut_Ajustes_Manuais!$F:$F,"  -  Porteiro I")</f>
        <v>0</v>
      </c>
      <c r="AR168" s="237">
        <f t="shared" ca="1" si="139"/>
        <v>0</v>
      </c>
      <c r="AS168" s="26">
        <f t="shared" ca="1" si="140"/>
        <v>0</v>
      </c>
      <c r="AT168" s="27">
        <f t="shared" ca="1" si="141"/>
        <v>0</v>
      </c>
      <c r="AU168" s="237"/>
      <c r="AV168" s="26"/>
      <c r="AW168" s="27"/>
      <c r="AX168" s="237"/>
      <c r="AY168" s="26">
        <v>0</v>
      </c>
      <c r="AZ168" s="27"/>
      <c r="BA168" s="237"/>
      <c r="BB168" s="26">
        <v>0</v>
      </c>
      <c r="BC168" s="27"/>
      <c r="BD168" s="237"/>
      <c r="BE168" s="26">
        <v>0</v>
      </c>
      <c r="BF168" s="27"/>
      <c r="BG168" s="237"/>
      <c r="BH168" s="26">
        <v>0</v>
      </c>
      <c r="BI168" s="27"/>
      <c r="BJ168" s="454"/>
    </row>
    <row r="169" spans="1:62" s="28" customFormat="1" outlineLevel="1" x14ac:dyDescent="0.3">
      <c r="A169" s="93" t="s">
        <v>191</v>
      </c>
      <c r="B169" s="2"/>
      <c r="C169" s="23"/>
      <c r="D169" s="53" t="s">
        <v>143</v>
      </c>
      <c r="E169" s="85"/>
      <c r="F169" s="54"/>
      <c r="G169" s="32"/>
      <c r="H169" s="237"/>
      <c r="I169" s="26">
        <f>-SUMIFS(T_HEADCOUNT!$E:$E,T_HEADCOUNT!$C:$C,"-  Hostess III",T_HEADCOUNT!$D:$D,"1/2026",T_HEADCOUNT!$B:$B,"CLT")</f>
        <v>0</v>
      </c>
      <c r="J169" s="27">
        <f>SUMIFS(T_REAL!$D:$D,T_REAL!$E:$E,DRE!J$7,T_REAL!$C:$C,DRE!$A169)+SUMIFS(Aut_Ajustes_Manuais!$G:$G,Aut_Ajustes_Manuais!$I:$I,DRE!H$4,Aut_Ajustes_Manuais!$F:$F,"  -  Hostess III")</f>
        <v>0</v>
      </c>
      <c r="K169" s="237"/>
      <c r="L169" s="26">
        <f>-SUMIFS(T_HEADCOUNT!$E:$E,T_HEADCOUNT!$C:$C,"-  Hostess III",T_HEADCOUNT!$D:$D,"2/2026",T_HEADCOUNT!$B:$B,"CLT")</f>
        <v>0</v>
      </c>
      <c r="M169" s="27">
        <f>SUMIFS(T_REAL!$D:$D,T_REAL!$E:$E,DRE!M$7,T_REAL!$C:$C,DRE!$A169)+SUMIFS(Aut_Ajustes_Manuais!$G:$G,Aut_Ajustes_Manuais!$I:$I,DRE!K$4,Aut_Ajustes_Manuais!$F:$F,"  -  Hostess III")</f>
        <v>0</v>
      </c>
      <c r="N169" s="237"/>
      <c r="O169" s="26">
        <f>-SUMIFS(T_HEADCOUNT!$E:$E,T_HEADCOUNT!$C:$C,"-  Hostess III",T_HEADCOUNT!$D:$D,"3/2026",T_HEADCOUNT!$B:$B,"CLT")</f>
        <v>0</v>
      </c>
      <c r="P169" s="27">
        <f>SUMIFS(T_REAL!$D:$D,T_REAL!$E:$E,DRE!P$7,T_REAL!$C:$C,DRE!$A169)+SUMIFS(Aut_Ajustes_Manuais!$G:$G,Aut_Ajustes_Manuais!$I:$I,DRE!N$4,Aut_Ajustes_Manuais!$F:$F,"  -  Hostess III")</f>
        <v>0</v>
      </c>
      <c r="Q169" s="237"/>
      <c r="R169" s="26">
        <f>-SUMIFS(T_HEADCOUNT!$E:$E,T_HEADCOUNT!$C:$C,"-  Hostess III",T_HEADCOUNT!$D:$D,"4/2026",T_HEADCOUNT!$B:$B,"CLT")</f>
        <v>0</v>
      </c>
      <c r="S169" s="27">
        <f>SUMIFS(T_REAL!$D:$D,T_REAL!$E:$E,DRE!S$7,T_REAL!$C:$C,DRE!$A169)+SUMIFS(Aut_Ajustes_Manuais!$G:$G,Aut_Ajustes_Manuais!$I:$I,DRE!Q$4,Aut_Ajustes_Manuais!$F:$F,"  -  Hostess III")</f>
        <v>0</v>
      </c>
      <c r="T169" s="237"/>
      <c r="U169" s="26">
        <f>-SUMIFS(T_HEADCOUNT!$E:$E,T_HEADCOUNT!$C:$C,"-  Hostess III",T_HEADCOUNT!$D:$D,"5/2026",T_HEADCOUNT!$B:$B,"CLT")</f>
        <v>0</v>
      </c>
      <c r="V169" s="27">
        <f>SUMIFS(T_REAL!$D:$D,T_REAL!$E:$E,DRE!V$7,T_REAL!$C:$C,DRE!$A169)+SUMIFS(Aut_Ajustes_Manuais!$G:$G,Aut_Ajustes_Manuais!$I:$I,DRE!T$4,Aut_Ajustes_Manuais!$F:$F,"  -  Hostess III")</f>
        <v>0</v>
      </c>
      <c r="W169" s="237"/>
      <c r="X169" s="26">
        <f>-SUMIFS(T_HEADCOUNT!$E:$E,T_HEADCOUNT!$C:$C,"-  Hostess III",T_HEADCOUNT!$D:$D,"6/2026",T_HEADCOUNT!$B:$B,"CLT")</f>
        <v>0</v>
      </c>
      <c r="Y169" s="27">
        <f>SUMIFS(T_REAL!$D:$D,T_REAL!$E:$E,DRE!Y$7,T_REAL!$C:$C,DRE!$A169)+SUMIFS(Aut_Ajustes_Manuais!$G:$G,Aut_Ajustes_Manuais!$I:$I,DRE!W$4,Aut_Ajustes_Manuais!$F:$F,"  -  Hostess III")</f>
        <v>0</v>
      </c>
      <c r="Z169" s="237"/>
      <c r="AA169" s="26">
        <f>-SUMIFS(T_HEADCOUNT!$E:$E,T_HEADCOUNT!$C:$C,"-  Hostess III",T_HEADCOUNT!$D:$D,"7/2026",T_HEADCOUNT!$B:$B,"CLT")</f>
        <v>0</v>
      </c>
      <c r="AB169" s="27">
        <f>SUMIFS(T_REAL!$D:$D,T_REAL!$E:$E,DRE!AB$7,T_REAL!$C:$C,DRE!$A169)+SUMIFS(Aut_Ajustes_Manuais!$G:$G,Aut_Ajustes_Manuais!$I:$I,DRE!Z$4,Aut_Ajustes_Manuais!$F:$F,"  -  Hostess III")</f>
        <v>0</v>
      </c>
      <c r="AC169" s="237"/>
      <c r="AD169" s="26">
        <f>-SUMIFS(T_HEADCOUNT!$E:$E,T_HEADCOUNT!$C:$C,"-  Hostess III",T_HEADCOUNT!$D:$D,"8/2026",T_HEADCOUNT!$B:$B,"CLT")</f>
        <v>0</v>
      </c>
      <c r="AE169" s="27">
        <f>SUMIFS(T_REAL!$D:$D,T_REAL!$E:$E,DRE!AE$7,T_REAL!$C:$C,DRE!$A169)+SUMIFS(Aut_Ajustes_Manuais!$G:$G,Aut_Ajustes_Manuais!$I:$I,DRE!AC$4,Aut_Ajustes_Manuais!$F:$F,"  -  Hostess III")</f>
        <v>0</v>
      </c>
      <c r="AF169" s="237"/>
      <c r="AG169" s="26">
        <f>-SUMIFS(T_HEADCOUNT!$E:$E,T_HEADCOUNT!$C:$C,"-  Hostess III",T_HEADCOUNT!$D:$D,"9/2026",T_HEADCOUNT!$B:$B,"CLT")</f>
        <v>0</v>
      </c>
      <c r="AH169" s="27">
        <f>SUMIFS(T_REAL!$D:$D,T_REAL!$E:$E,DRE!AH$7,T_REAL!$C:$C,DRE!$A169)+SUMIFS(Aut_Ajustes_Manuais!$G:$G,Aut_Ajustes_Manuais!$I:$I,DRE!AF$4,Aut_Ajustes_Manuais!$F:$F,"  -  Hostess III")</f>
        <v>0</v>
      </c>
      <c r="AI169" s="237"/>
      <c r="AJ169" s="26">
        <f>-SUMIFS(T_HEADCOUNT!$E:$E,T_HEADCOUNT!$C:$C,"-  Hostess III",T_HEADCOUNT!$D:$D,"10/2026",T_HEADCOUNT!$B:$B,"CLT")</f>
        <v>0</v>
      </c>
      <c r="AK169" s="27">
        <f>SUMIFS(T_REAL!$D:$D,T_REAL!$E:$E,DRE!AK$7,T_REAL!$C:$C,DRE!$A169)+SUMIFS(Aut_Ajustes_Manuais!$G:$G,Aut_Ajustes_Manuais!$I:$I,DRE!AI$4,Aut_Ajustes_Manuais!$F:$F,"  -  Hostess III")</f>
        <v>0</v>
      </c>
      <c r="AL169" s="237"/>
      <c r="AM169" s="26">
        <f>-SUMIFS(T_HEADCOUNT!$E:$E,T_HEADCOUNT!$C:$C,"-  Hostess III",T_HEADCOUNT!$D:$D,"11/2026",T_HEADCOUNT!$B:$B,"CLT")</f>
        <v>0</v>
      </c>
      <c r="AN169" s="27">
        <f>SUMIFS(T_REAL!$D:$D,T_REAL!$E:$E,DRE!AN$7,T_REAL!$C:$C,DRE!$A169)+SUMIFS(Aut_Ajustes_Manuais!$G:$G,Aut_Ajustes_Manuais!$I:$I,DRE!AL$4,Aut_Ajustes_Manuais!$F:$F,"  -  Hostess III")</f>
        <v>0</v>
      </c>
      <c r="AO169" s="237"/>
      <c r="AP169" s="26">
        <f>-SUMIFS(T_HEADCOUNT!$E:$E,T_HEADCOUNT!$C:$C,"-  Hostess III",T_HEADCOUNT!$D:$D,"12/2026",T_HEADCOUNT!$B:$B,"CLT")</f>
        <v>0</v>
      </c>
      <c r="AQ169" s="27">
        <f>SUMIFS(T_REAL!$D:$D,T_REAL!$E:$E,DRE!AQ$7,T_REAL!$C:$C,DRE!$A169)+SUMIFS(Aut_Ajustes_Manuais!$G:$G,Aut_Ajustes_Manuais!$I:$I,DRE!AO$4,Aut_Ajustes_Manuais!$F:$F,"  -  Hostess III")</f>
        <v>0</v>
      </c>
      <c r="AR169" s="237">
        <f t="shared" ca="1" si="139"/>
        <v>0</v>
      </c>
      <c r="AS169" s="26">
        <f t="shared" ca="1" si="140"/>
        <v>0</v>
      </c>
      <c r="AT169" s="27">
        <f t="shared" ca="1" si="141"/>
        <v>0</v>
      </c>
      <c r="AU169" s="237"/>
      <c r="AV169" s="26"/>
      <c r="AW169" s="27"/>
      <c r="AX169" s="237"/>
      <c r="AY169" s="26">
        <v>0</v>
      </c>
      <c r="AZ169" s="27"/>
      <c r="BA169" s="237"/>
      <c r="BB169" s="26">
        <v>0</v>
      </c>
      <c r="BC169" s="27"/>
      <c r="BD169" s="237"/>
      <c r="BE169" s="26">
        <v>0</v>
      </c>
      <c r="BF169" s="27"/>
      <c r="BG169" s="237"/>
      <c r="BH169" s="26">
        <v>0</v>
      </c>
      <c r="BI169" s="27"/>
      <c r="BJ169" s="454"/>
    </row>
    <row r="170" spans="1:62" s="28" customFormat="1" outlineLevel="1" x14ac:dyDescent="0.3">
      <c r="A170" s="93" t="s">
        <v>192</v>
      </c>
      <c r="B170" s="2"/>
      <c r="C170" s="23"/>
      <c r="D170" s="53" t="s">
        <v>143</v>
      </c>
      <c r="E170" s="85"/>
      <c r="F170" s="54"/>
      <c r="G170" s="32"/>
      <c r="H170" s="237"/>
      <c r="I170" s="26">
        <f>-SUMIFS(T_HEADCOUNT!$E:$E,T_HEADCOUNT!$C:$C,"-  Hostess II",T_HEADCOUNT!$D:$D,"1/2026",T_HEADCOUNT!$B:$B,"CLT")</f>
        <v>0</v>
      </c>
      <c r="J170" s="27">
        <f>SUMIFS(T_REAL!$D:$D,T_REAL!$E:$E,DRE!J$7,T_REAL!$C:$C,DRE!$A170)+SUMIFS(Aut_Ajustes_Manuais!$G:$G,Aut_Ajustes_Manuais!$I:$I,DRE!H$4,Aut_Ajustes_Manuais!$F:$F,"  -  Hostess II")</f>
        <v>0</v>
      </c>
      <c r="K170" s="237"/>
      <c r="L170" s="26">
        <f>-SUMIFS(T_HEADCOUNT!$E:$E,T_HEADCOUNT!$C:$C,"-  Hostess II",T_HEADCOUNT!$D:$D,"2/2026",T_HEADCOUNT!$B:$B,"CLT")</f>
        <v>0</v>
      </c>
      <c r="M170" s="27">
        <f>SUMIFS(T_REAL!$D:$D,T_REAL!$E:$E,DRE!M$7,T_REAL!$C:$C,DRE!$A170)+SUMIFS(Aut_Ajustes_Manuais!$G:$G,Aut_Ajustes_Manuais!$I:$I,DRE!K$4,Aut_Ajustes_Manuais!$F:$F,"  -  Hostess II")</f>
        <v>0</v>
      </c>
      <c r="N170" s="237"/>
      <c r="O170" s="26">
        <f>-SUMIFS(T_HEADCOUNT!$E:$E,T_HEADCOUNT!$C:$C,"-  Hostess II",T_HEADCOUNT!$D:$D,"3/2026",T_HEADCOUNT!$B:$B,"CLT")</f>
        <v>0</v>
      </c>
      <c r="P170" s="27">
        <f>SUMIFS(T_REAL!$D:$D,T_REAL!$E:$E,DRE!P$7,T_REAL!$C:$C,DRE!$A170)+SUMIFS(Aut_Ajustes_Manuais!$G:$G,Aut_Ajustes_Manuais!$I:$I,DRE!N$4,Aut_Ajustes_Manuais!$F:$F,"  -  Hostess II")</f>
        <v>0</v>
      </c>
      <c r="Q170" s="237"/>
      <c r="R170" s="26">
        <f>-SUMIFS(T_HEADCOUNT!$E:$E,T_HEADCOUNT!$C:$C,"-  Hostess II",T_HEADCOUNT!$D:$D,"4/2026",T_HEADCOUNT!$B:$B,"CLT")</f>
        <v>0</v>
      </c>
      <c r="S170" s="27">
        <f>SUMIFS(T_REAL!$D:$D,T_REAL!$E:$E,DRE!S$7,T_REAL!$C:$C,DRE!$A170)+SUMIFS(Aut_Ajustes_Manuais!$G:$G,Aut_Ajustes_Manuais!$I:$I,DRE!Q$4,Aut_Ajustes_Manuais!$F:$F,"  -  Hostess II")</f>
        <v>0</v>
      </c>
      <c r="T170" s="237"/>
      <c r="U170" s="26">
        <f>-SUMIFS(T_HEADCOUNT!$E:$E,T_HEADCOUNT!$C:$C,"-  Hostess II",T_HEADCOUNT!$D:$D,"5/2026",T_HEADCOUNT!$B:$B,"CLT")</f>
        <v>0</v>
      </c>
      <c r="V170" s="27">
        <f>SUMIFS(T_REAL!$D:$D,T_REAL!$E:$E,DRE!V$7,T_REAL!$C:$C,DRE!$A170)+SUMIFS(Aut_Ajustes_Manuais!$G:$G,Aut_Ajustes_Manuais!$I:$I,DRE!T$4,Aut_Ajustes_Manuais!$F:$F,"  -  Hostess II")</f>
        <v>0</v>
      </c>
      <c r="W170" s="237"/>
      <c r="X170" s="26">
        <f>-SUMIFS(T_HEADCOUNT!$E:$E,T_HEADCOUNT!$C:$C,"-  Hostess II",T_HEADCOUNT!$D:$D,"6/2026",T_HEADCOUNT!$B:$B,"CLT")</f>
        <v>0</v>
      </c>
      <c r="Y170" s="27">
        <f>SUMIFS(T_REAL!$D:$D,T_REAL!$E:$E,DRE!Y$7,T_REAL!$C:$C,DRE!$A170)+SUMIFS(Aut_Ajustes_Manuais!$G:$G,Aut_Ajustes_Manuais!$I:$I,DRE!W$4,Aut_Ajustes_Manuais!$F:$F,"  -  Hostess II")</f>
        <v>0</v>
      </c>
      <c r="Z170" s="237"/>
      <c r="AA170" s="26">
        <f>-SUMIFS(T_HEADCOUNT!$E:$E,T_HEADCOUNT!$C:$C,"-  Hostess II",T_HEADCOUNT!$D:$D,"7/2026",T_HEADCOUNT!$B:$B,"CLT")</f>
        <v>0</v>
      </c>
      <c r="AB170" s="27">
        <f>SUMIFS(T_REAL!$D:$D,T_REAL!$E:$E,DRE!AB$7,T_REAL!$C:$C,DRE!$A170)+SUMIFS(Aut_Ajustes_Manuais!$G:$G,Aut_Ajustes_Manuais!$I:$I,DRE!Z$4,Aut_Ajustes_Manuais!$F:$F,"  -  Hostess II")</f>
        <v>0</v>
      </c>
      <c r="AC170" s="237"/>
      <c r="AD170" s="26">
        <f>-SUMIFS(T_HEADCOUNT!$E:$E,T_HEADCOUNT!$C:$C,"-  Hostess II",T_HEADCOUNT!$D:$D,"8/2026",T_HEADCOUNT!$B:$B,"CLT")</f>
        <v>0</v>
      </c>
      <c r="AE170" s="27">
        <f>SUMIFS(T_REAL!$D:$D,T_REAL!$E:$E,DRE!AE$7,T_REAL!$C:$C,DRE!$A170)+SUMIFS(Aut_Ajustes_Manuais!$G:$G,Aut_Ajustes_Manuais!$I:$I,DRE!AC$4,Aut_Ajustes_Manuais!$F:$F,"  -  Hostess II")</f>
        <v>0</v>
      </c>
      <c r="AF170" s="237"/>
      <c r="AG170" s="26">
        <f>-SUMIFS(T_HEADCOUNT!$E:$E,T_HEADCOUNT!$C:$C,"-  Hostess II",T_HEADCOUNT!$D:$D,"9/2026",T_HEADCOUNT!$B:$B,"CLT")</f>
        <v>0</v>
      </c>
      <c r="AH170" s="27">
        <f>SUMIFS(T_REAL!$D:$D,T_REAL!$E:$E,DRE!AH$7,T_REAL!$C:$C,DRE!$A170)+SUMIFS(Aut_Ajustes_Manuais!$G:$G,Aut_Ajustes_Manuais!$I:$I,DRE!AF$4,Aut_Ajustes_Manuais!$F:$F,"  -  Hostess II")</f>
        <v>0</v>
      </c>
      <c r="AI170" s="237"/>
      <c r="AJ170" s="26">
        <f>-SUMIFS(T_HEADCOUNT!$E:$E,T_HEADCOUNT!$C:$C,"-  Hostess II",T_HEADCOUNT!$D:$D,"10/2026",T_HEADCOUNT!$B:$B,"CLT")</f>
        <v>0</v>
      </c>
      <c r="AK170" s="27">
        <f>SUMIFS(T_REAL!$D:$D,T_REAL!$E:$E,DRE!AK$7,T_REAL!$C:$C,DRE!$A170)+SUMIFS(Aut_Ajustes_Manuais!$G:$G,Aut_Ajustes_Manuais!$I:$I,DRE!AI$4,Aut_Ajustes_Manuais!$F:$F,"  -  Hostess II")</f>
        <v>0</v>
      </c>
      <c r="AL170" s="237"/>
      <c r="AM170" s="26">
        <f>-SUMIFS(T_HEADCOUNT!$E:$E,T_HEADCOUNT!$C:$C,"-  Hostess II",T_HEADCOUNT!$D:$D,"11/2026",T_HEADCOUNT!$B:$B,"CLT")</f>
        <v>0</v>
      </c>
      <c r="AN170" s="27">
        <f>SUMIFS(T_REAL!$D:$D,T_REAL!$E:$E,DRE!AN$7,T_REAL!$C:$C,DRE!$A170)+SUMIFS(Aut_Ajustes_Manuais!$G:$G,Aut_Ajustes_Manuais!$I:$I,DRE!AL$4,Aut_Ajustes_Manuais!$F:$F,"  -  Hostess II")</f>
        <v>0</v>
      </c>
      <c r="AO170" s="237"/>
      <c r="AP170" s="26">
        <f>-SUMIFS(T_HEADCOUNT!$E:$E,T_HEADCOUNT!$C:$C,"-  Hostess II",T_HEADCOUNT!$D:$D,"12/2026",T_HEADCOUNT!$B:$B,"CLT")</f>
        <v>0</v>
      </c>
      <c r="AQ170" s="27">
        <f>SUMIFS(T_REAL!$D:$D,T_REAL!$E:$E,DRE!AQ$7,T_REAL!$C:$C,DRE!$A170)+SUMIFS(Aut_Ajustes_Manuais!$G:$G,Aut_Ajustes_Manuais!$I:$I,DRE!AO$4,Aut_Ajustes_Manuais!$F:$F,"  -  Hostess II")</f>
        <v>0</v>
      </c>
      <c r="AR170" s="237">
        <f t="shared" ca="1" si="139"/>
        <v>0</v>
      </c>
      <c r="AS170" s="26">
        <f t="shared" ca="1" si="140"/>
        <v>0</v>
      </c>
      <c r="AT170" s="27">
        <f t="shared" ca="1" si="141"/>
        <v>0</v>
      </c>
      <c r="AU170" s="237"/>
      <c r="AV170" s="26"/>
      <c r="AW170" s="27"/>
      <c r="AX170" s="237"/>
      <c r="AY170" s="26">
        <v>0</v>
      </c>
      <c r="AZ170" s="27"/>
      <c r="BA170" s="237"/>
      <c r="BB170" s="26">
        <v>0</v>
      </c>
      <c r="BC170" s="27"/>
      <c r="BD170" s="237"/>
      <c r="BE170" s="26">
        <v>0</v>
      </c>
      <c r="BF170" s="27"/>
      <c r="BG170" s="237"/>
      <c r="BH170" s="26">
        <v>0</v>
      </c>
      <c r="BI170" s="27"/>
      <c r="BJ170" s="454"/>
    </row>
    <row r="171" spans="1:62" s="28" customFormat="1" outlineLevel="1" x14ac:dyDescent="0.3">
      <c r="A171" s="93" t="s">
        <v>193</v>
      </c>
      <c r="B171" s="2"/>
      <c r="C171" s="23"/>
      <c r="D171" s="53" t="s">
        <v>143</v>
      </c>
      <c r="E171" s="85"/>
      <c r="F171" s="54"/>
      <c r="G171" s="32"/>
      <c r="H171" s="237"/>
      <c r="I171" s="26">
        <f>-SUMIFS(T_HEADCOUNT!$E:$E,T_HEADCOUNT!$C:$C,"-  Hostess I",T_HEADCOUNT!$D:$D,"1/2026",T_HEADCOUNT!$B:$B,"CLT")</f>
        <v>0</v>
      </c>
      <c r="J171" s="27">
        <f>SUMIFS(T_REAL!$D:$D,T_REAL!$E:$E,DRE!J$7,T_REAL!$C:$C,DRE!$A171)+SUMIFS(Aut_Ajustes_Manuais!$G:$G,Aut_Ajustes_Manuais!$I:$I,DRE!H$4,Aut_Ajustes_Manuais!$F:$F,"  -  Hostess I")</f>
        <v>0</v>
      </c>
      <c r="K171" s="237"/>
      <c r="L171" s="26">
        <f>-SUMIFS(T_HEADCOUNT!$E:$E,T_HEADCOUNT!$C:$C,"-  Hostess I",T_HEADCOUNT!$D:$D,"2/2026",T_HEADCOUNT!$B:$B,"CLT")</f>
        <v>0</v>
      </c>
      <c r="M171" s="27">
        <f>SUMIFS(T_REAL!$D:$D,T_REAL!$E:$E,DRE!M$7,T_REAL!$C:$C,DRE!$A171)+SUMIFS(Aut_Ajustes_Manuais!$G:$G,Aut_Ajustes_Manuais!$I:$I,DRE!K$4,Aut_Ajustes_Manuais!$F:$F,"  -  Hostess I")</f>
        <v>0</v>
      </c>
      <c r="N171" s="237"/>
      <c r="O171" s="26">
        <f>-SUMIFS(T_HEADCOUNT!$E:$E,T_HEADCOUNT!$C:$C,"-  Hostess I",T_HEADCOUNT!$D:$D,"3/2026",T_HEADCOUNT!$B:$B,"CLT")</f>
        <v>0</v>
      </c>
      <c r="P171" s="27">
        <f>SUMIFS(T_REAL!$D:$D,T_REAL!$E:$E,DRE!P$7,T_REAL!$C:$C,DRE!$A171)+SUMIFS(Aut_Ajustes_Manuais!$G:$G,Aut_Ajustes_Manuais!$I:$I,DRE!N$4,Aut_Ajustes_Manuais!$F:$F,"  -  Hostess I")</f>
        <v>0</v>
      </c>
      <c r="Q171" s="237"/>
      <c r="R171" s="26">
        <f>-SUMIFS(T_HEADCOUNT!$E:$E,T_HEADCOUNT!$C:$C,"-  Hostess I",T_HEADCOUNT!$D:$D,"4/2026",T_HEADCOUNT!$B:$B,"CLT")</f>
        <v>0</v>
      </c>
      <c r="S171" s="27">
        <f>SUMIFS(T_REAL!$D:$D,T_REAL!$E:$E,DRE!S$7,T_REAL!$C:$C,DRE!$A171)+SUMIFS(Aut_Ajustes_Manuais!$G:$G,Aut_Ajustes_Manuais!$I:$I,DRE!Q$4,Aut_Ajustes_Manuais!$F:$F,"  -  Hostess I")</f>
        <v>0</v>
      </c>
      <c r="T171" s="237"/>
      <c r="U171" s="26">
        <f>-SUMIFS(T_HEADCOUNT!$E:$E,T_HEADCOUNT!$C:$C,"-  Hostess I",T_HEADCOUNT!$D:$D,"5/2026",T_HEADCOUNT!$B:$B,"CLT")</f>
        <v>0</v>
      </c>
      <c r="V171" s="27">
        <f>SUMIFS(T_REAL!$D:$D,T_REAL!$E:$E,DRE!V$7,T_REAL!$C:$C,DRE!$A171)+SUMIFS(Aut_Ajustes_Manuais!$G:$G,Aut_Ajustes_Manuais!$I:$I,DRE!T$4,Aut_Ajustes_Manuais!$F:$F,"  -  Hostess I")</f>
        <v>0</v>
      </c>
      <c r="W171" s="237"/>
      <c r="X171" s="26">
        <f>-SUMIFS(T_HEADCOUNT!$E:$E,T_HEADCOUNT!$C:$C,"-  Hostess I",T_HEADCOUNT!$D:$D,"6/2026",T_HEADCOUNT!$B:$B,"CLT")</f>
        <v>0</v>
      </c>
      <c r="Y171" s="27">
        <f>SUMIFS(T_REAL!$D:$D,T_REAL!$E:$E,DRE!Y$7,T_REAL!$C:$C,DRE!$A171)+SUMIFS(Aut_Ajustes_Manuais!$G:$G,Aut_Ajustes_Manuais!$I:$I,DRE!W$4,Aut_Ajustes_Manuais!$F:$F,"  -  Hostess I")</f>
        <v>0</v>
      </c>
      <c r="Z171" s="237"/>
      <c r="AA171" s="26">
        <f>-SUMIFS(T_HEADCOUNT!$E:$E,T_HEADCOUNT!$C:$C,"-  Hostess I",T_HEADCOUNT!$D:$D,"7/2026",T_HEADCOUNT!$B:$B,"CLT")</f>
        <v>0</v>
      </c>
      <c r="AB171" s="27">
        <f>SUMIFS(T_REAL!$D:$D,T_REAL!$E:$E,DRE!AB$7,T_REAL!$C:$C,DRE!$A171)+SUMIFS(Aut_Ajustes_Manuais!$G:$G,Aut_Ajustes_Manuais!$I:$I,DRE!Z$4,Aut_Ajustes_Manuais!$F:$F,"  -  Hostess I")</f>
        <v>0</v>
      </c>
      <c r="AC171" s="237"/>
      <c r="AD171" s="26">
        <f>-SUMIFS(T_HEADCOUNT!$E:$E,T_HEADCOUNT!$C:$C,"-  Hostess I",T_HEADCOUNT!$D:$D,"8/2026",T_HEADCOUNT!$B:$B,"CLT")</f>
        <v>0</v>
      </c>
      <c r="AE171" s="27">
        <f>SUMIFS(T_REAL!$D:$D,T_REAL!$E:$E,DRE!AE$7,T_REAL!$C:$C,DRE!$A171)+SUMIFS(Aut_Ajustes_Manuais!$G:$G,Aut_Ajustes_Manuais!$I:$I,DRE!AC$4,Aut_Ajustes_Manuais!$F:$F,"  -  Hostess I")</f>
        <v>0</v>
      </c>
      <c r="AF171" s="237"/>
      <c r="AG171" s="26">
        <f>-SUMIFS(T_HEADCOUNT!$E:$E,T_HEADCOUNT!$C:$C,"-  Hostess I",T_HEADCOUNT!$D:$D,"9/2026",T_HEADCOUNT!$B:$B,"CLT")</f>
        <v>0</v>
      </c>
      <c r="AH171" s="27">
        <f>SUMIFS(T_REAL!$D:$D,T_REAL!$E:$E,DRE!AH$7,T_REAL!$C:$C,DRE!$A171)+SUMIFS(Aut_Ajustes_Manuais!$G:$G,Aut_Ajustes_Manuais!$I:$I,DRE!AF$4,Aut_Ajustes_Manuais!$F:$F,"  -  Hostess I")</f>
        <v>0</v>
      </c>
      <c r="AI171" s="237"/>
      <c r="AJ171" s="26">
        <f>-SUMIFS(T_HEADCOUNT!$E:$E,T_HEADCOUNT!$C:$C,"-  Hostess I",T_HEADCOUNT!$D:$D,"10/2026",T_HEADCOUNT!$B:$B,"CLT")</f>
        <v>0</v>
      </c>
      <c r="AK171" s="27">
        <f>SUMIFS(T_REAL!$D:$D,T_REAL!$E:$E,DRE!AK$7,T_REAL!$C:$C,DRE!$A171)+SUMIFS(Aut_Ajustes_Manuais!$G:$G,Aut_Ajustes_Manuais!$I:$I,DRE!AI$4,Aut_Ajustes_Manuais!$F:$F,"  -  Hostess I")</f>
        <v>0</v>
      </c>
      <c r="AL171" s="237"/>
      <c r="AM171" s="26">
        <f>-SUMIFS(T_HEADCOUNT!$E:$E,T_HEADCOUNT!$C:$C,"-  Hostess I",T_HEADCOUNT!$D:$D,"11/2026",T_HEADCOUNT!$B:$B,"CLT")</f>
        <v>0</v>
      </c>
      <c r="AN171" s="27">
        <f>SUMIFS(T_REAL!$D:$D,T_REAL!$E:$E,DRE!AN$7,T_REAL!$C:$C,DRE!$A171)+SUMIFS(Aut_Ajustes_Manuais!$G:$G,Aut_Ajustes_Manuais!$I:$I,DRE!AL$4,Aut_Ajustes_Manuais!$F:$F,"  -  Hostess I")</f>
        <v>0</v>
      </c>
      <c r="AO171" s="237"/>
      <c r="AP171" s="26">
        <f>-SUMIFS(T_HEADCOUNT!$E:$E,T_HEADCOUNT!$C:$C,"-  Hostess I",T_HEADCOUNT!$D:$D,"12/2026",T_HEADCOUNT!$B:$B,"CLT")</f>
        <v>0</v>
      </c>
      <c r="AQ171" s="27">
        <f>SUMIFS(T_REAL!$D:$D,T_REAL!$E:$E,DRE!AQ$7,T_REAL!$C:$C,DRE!$A171)+SUMIFS(Aut_Ajustes_Manuais!$G:$G,Aut_Ajustes_Manuais!$I:$I,DRE!AO$4,Aut_Ajustes_Manuais!$F:$F,"  -  Hostess I")</f>
        <v>0</v>
      </c>
      <c r="AR171" s="237">
        <f t="shared" ref="AR171:AR202" ca="1" si="142">SUMIFS($H171:$AO171,$H$5:$AO$5,"&lt;"&amp;MONTH(TODAY()),$H$6:$AO$6,"REAL 25")</f>
        <v>0</v>
      </c>
      <c r="AS171" s="26">
        <f t="shared" ref="AS171:AS202" ca="1" si="143">SUMIFS($I171:$AP171,$I$5:$AP$5,"&lt;"&amp;MONTH(TODAY()),$I$6:$AP$6,"ORÇADO ")</f>
        <v>0</v>
      </c>
      <c r="AT171" s="27">
        <f t="shared" ref="AT171:AT202" ca="1" si="144">SUMIFS($J171:$AQ171,$J$5:$AQ$5,"&lt;"&amp;MONTH(TODAY()),$J$6:$AQ$6,"REAL 26")</f>
        <v>0</v>
      </c>
      <c r="AU171" s="237"/>
      <c r="AV171" s="26"/>
      <c r="AW171" s="27"/>
      <c r="AX171" s="237"/>
      <c r="AY171" s="26">
        <v>0</v>
      </c>
      <c r="AZ171" s="27"/>
      <c r="BA171" s="237"/>
      <c r="BB171" s="26">
        <v>0</v>
      </c>
      <c r="BC171" s="27"/>
      <c r="BD171" s="237"/>
      <c r="BE171" s="26">
        <v>0</v>
      </c>
      <c r="BF171" s="27"/>
      <c r="BG171" s="237"/>
      <c r="BH171" s="26">
        <v>0</v>
      </c>
      <c r="BI171" s="27"/>
      <c r="BJ171" s="454"/>
    </row>
    <row r="172" spans="1:62" s="28" customFormat="1" outlineLevel="1" x14ac:dyDescent="0.3">
      <c r="A172" s="93" t="s">
        <v>194</v>
      </c>
      <c r="B172" s="2"/>
      <c r="C172" s="23"/>
      <c r="D172" s="53" t="s">
        <v>143</v>
      </c>
      <c r="E172" s="85"/>
      <c r="F172" s="54"/>
      <c r="G172" s="32"/>
      <c r="H172" s="237"/>
      <c r="I172" s="26">
        <f>-SUMIFS(T_HEADCOUNT!$E:$E,T_HEADCOUNT!$C:$C,"-  Chefe de Bilheteria",T_HEADCOUNT!$D:$D,"1/2026",T_HEADCOUNT!$B:$B,"CLT")</f>
        <v>0</v>
      </c>
      <c r="J172" s="27">
        <f>SUMIFS(T_REAL!$D:$D,T_REAL!$E:$E,DRE!J$7,T_REAL!$C:$C,DRE!$A172)+SUMIFS(Aut_Ajustes_Manuais!$G:$G,Aut_Ajustes_Manuais!$I:$I,DRE!H$4,Aut_Ajustes_Manuais!$F:$F,"  -  Chefe de Bilheteria")</f>
        <v>0</v>
      </c>
      <c r="K172" s="237"/>
      <c r="L172" s="26">
        <f>-SUMIFS(T_HEADCOUNT!$E:$E,T_HEADCOUNT!$C:$C,"-  Chefe de Bilheteria",T_HEADCOUNT!$D:$D,"2/2026",T_HEADCOUNT!$B:$B,"CLT")</f>
        <v>0</v>
      </c>
      <c r="M172" s="27">
        <f>SUMIFS(T_REAL!$D:$D,T_REAL!$E:$E,DRE!M$7,T_REAL!$C:$C,DRE!$A172)+SUMIFS(Aut_Ajustes_Manuais!$G:$G,Aut_Ajustes_Manuais!$I:$I,DRE!K$4,Aut_Ajustes_Manuais!$F:$F,"  -  Chefe de Bilheteria")</f>
        <v>0</v>
      </c>
      <c r="N172" s="237"/>
      <c r="O172" s="26">
        <f>-SUMIFS(T_HEADCOUNT!$E:$E,T_HEADCOUNT!$C:$C,"-  Chefe de Bilheteria",T_HEADCOUNT!$D:$D,"3/2026",T_HEADCOUNT!$B:$B,"CLT")</f>
        <v>0</v>
      </c>
      <c r="P172" s="27">
        <f>SUMIFS(T_REAL!$D:$D,T_REAL!$E:$E,DRE!P$7,T_REAL!$C:$C,DRE!$A172)+SUMIFS(Aut_Ajustes_Manuais!$G:$G,Aut_Ajustes_Manuais!$I:$I,DRE!N$4,Aut_Ajustes_Manuais!$F:$F,"  -  Chefe de Bilheteria")</f>
        <v>0</v>
      </c>
      <c r="Q172" s="237"/>
      <c r="R172" s="26">
        <f>-SUMIFS(T_HEADCOUNT!$E:$E,T_HEADCOUNT!$C:$C,"-  Chefe de Bilheteria",T_HEADCOUNT!$D:$D,"4/2026",T_HEADCOUNT!$B:$B,"CLT")</f>
        <v>0</v>
      </c>
      <c r="S172" s="27">
        <f>SUMIFS(T_REAL!$D:$D,T_REAL!$E:$E,DRE!S$7,T_REAL!$C:$C,DRE!$A172)+SUMIFS(Aut_Ajustes_Manuais!$G:$G,Aut_Ajustes_Manuais!$I:$I,DRE!Q$4,Aut_Ajustes_Manuais!$F:$F,"  -  Chefe de Bilheteria")</f>
        <v>0</v>
      </c>
      <c r="T172" s="237"/>
      <c r="U172" s="26">
        <f>-SUMIFS(T_HEADCOUNT!$E:$E,T_HEADCOUNT!$C:$C,"-  Chefe de Bilheteria",T_HEADCOUNT!$D:$D,"5/2026",T_HEADCOUNT!$B:$B,"CLT")</f>
        <v>0</v>
      </c>
      <c r="V172" s="27">
        <f>SUMIFS(T_REAL!$D:$D,T_REAL!$E:$E,DRE!V$7,T_REAL!$C:$C,DRE!$A172)+SUMIFS(Aut_Ajustes_Manuais!$G:$G,Aut_Ajustes_Manuais!$I:$I,DRE!T$4,Aut_Ajustes_Manuais!$F:$F,"  -  Chefe de Bilheteria")</f>
        <v>0</v>
      </c>
      <c r="W172" s="237"/>
      <c r="X172" s="26">
        <f>-SUMIFS(T_HEADCOUNT!$E:$E,T_HEADCOUNT!$C:$C,"-  Chefe de Bilheteria",T_HEADCOUNT!$D:$D,"6/2026",T_HEADCOUNT!$B:$B,"CLT")</f>
        <v>0</v>
      </c>
      <c r="Y172" s="27">
        <f>SUMIFS(T_REAL!$D:$D,T_REAL!$E:$E,DRE!Y$7,T_REAL!$C:$C,DRE!$A172)+SUMIFS(Aut_Ajustes_Manuais!$G:$G,Aut_Ajustes_Manuais!$I:$I,DRE!W$4,Aut_Ajustes_Manuais!$F:$F,"  -  Chefe de Bilheteria")</f>
        <v>0</v>
      </c>
      <c r="Z172" s="237"/>
      <c r="AA172" s="26">
        <f>-SUMIFS(T_HEADCOUNT!$E:$E,T_HEADCOUNT!$C:$C,"-  Chefe de Bilheteria",T_HEADCOUNT!$D:$D,"7/2026",T_HEADCOUNT!$B:$B,"CLT")</f>
        <v>0</v>
      </c>
      <c r="AB172" s="27">
        <f>SUMIFS(T_REAL!$D:$D,T_REAL!$E:$E,DRE!AB$7,T_REAL!$C:$C,DRE!$A172)+SUMIFS(Aut_Ajustes_Manuais!$G:$G,Aut_Ajustes_Manuais!$I:$I,DRE!Z$4,Aut_Ajustes_Manuais!$F:$F,"  -  Chefe de Bilheteria")</f>
        <v>0</v>
      </c>
      <c r="AC172" s="237"/>
      <c r="AD172" s="26">
        <f>-SUMIFS(T_HEADCOUNT!$E:$E,T_HEADCOUNT!$C:$C,"-  Chefe de Bilheteria",T_HEADCOUNT!$D:$D,"8/2026",T_HEADCOUNT!$B:$B,"CLT")</f>
        <v>0</v>
      </c>
      <c r="AE172" s="27">
        <f>SUMIFS(T_REAL!$D:$D,T_REAL!$E:$E,DRE!AE$7,T_REAL!$C:$C,DRE!$A172)+SUMIFS(Aut_Ajustes_Manuais!$G:$G,Aut_Ajustes_Manuais!$I:$I,DRE!AC$4,Aut_Ajustes_Manuais!$F:$F,"  -  Chefe de Bilheteria")</f>
        <v>0</v>
      </c>
      <c r="AF172" s="237"/>
      <c r="AG172" s="26">
        <f>-SUMIFS(T_HEADCOUNT!$E:$E,T_HEADCOUNT!$C:$C,"-  Chefe de Bilheteria",T_HEADCOUNT!$D:$D,"9/2026",T_HEADCOUNT!$B:$B,"CLT")</f>
        <v>0</v>
      </c>
      <c r="AH172" s="27">
        <f>SUMIFS(T_REAL!$D:$D,T_REAL!$E:$E,DRE!AH$7,T_REAL!$C:$C,DRE!$A172)+SUMIFS(Aut_Ajustes_Manuais!$G:$G,Aut_Ajustes_Manuais!$I:$I,DRE!AF$4,Aut_Ajustes_Manuais!$F:$F,"  -  Chefe de Bilheteria")</f>
        <v>0</v>
      </c>
      <c r="AI172" s="237"/>
      <c r="AJ172" s="26">
        <f>-SUMIFS(T_HEADCOUNT!$E:$E,T_HEADCOUNT!$C:$C,"-  Chefe de Bilheteria",T_HEADCOUNT!$D:$D,"10/2026",T_HEADCOUNT!$B:$B,"CLT")</f>
        <v>0</v>
      </c>
      <c r="AK172" s="27">
        <f>SUMIFS(T_REAL!$D:$D,T_REAL!$E:$E,DRE!AK$7,T_REAL!$C:$C,DRE!$A172)+SUMIFS(Aut_Ajustes_Manuais!$G:$G,Aut_Ajustes_Manuais!$I:$I,DRE!AI$4,Aut_Ajustes_Manuais!$F:$F,"  -  Chefe de Bilheteria")</f>
        <v>0</v>
      </c>
      <c r="AL172" s="237"/>
      <c r="AM172" s="26">
        <f>-SUMIFS(T_HEADCOUNT!$E:$E,T_HEADCOUNT!$C:$C,"-  Chefe de Bilheteria",T_HEADCOUNT!$D:$D,"11/2026",T_HEADCOUNT!$B:$B,"CLT")</f>
        <v>0</v>
      </c>
      <c r="AN172" s="27">
        <f>SUMIFS(T_REAL!$D:$D,T_REAL!$E:$E,DRE!AN$7,T_REAL!$C:$C,DRE!$A172)+SUMIFS(Aut_Ajustes_Manuais!$G:$G,Aut_Ajustes_Manuais!$I:$I,DRE!AL$4,Aut_Ajustes_Manuais!$F:$F,"  -  Chefe de Bilheteria")</f>
        <v>0</v>
      </c>
      <c r="AO172" s="237"/>
      <c r="AP172" s="26">
        <f>-SUMIFS(T_HEADCOUNT!$E:$E,T_HEADCOUNT!$C:$C,"-  Chefe de Bilheteria",T_HEADCOUNT!$D:$D,"12/2026",T_HEADCOUNT!$B:$B,"CLT")</f>
        <v>0</v>
      </c>
      <c r="AQ172" s="27">
        <f>SUMIFS(T_REAL!$D:$D,T_REAL!$E:$E,DRE!AQ$7,T_REAL!$C:$C,DRE!$A172)+SUMIFS(Aut_Ajustes_Manuais!$G:$G,Aut_Ajustes_Manuais!$I:$I,DRE!AO$4,Aut_Ajustes_Manuais!$F:$F,"  -  Chefe de Bilheteria")</f>
        <v>0</v>
      </c>
      <c r="AR172" s="237">
        <f t="shared" ca="1" si="142"/>
        <v>0</v>
      </c>
      <c r="AS172" s="26">
        <f t="shared" ca="1" si="143"/>
        <v>0</v>
      </c>
      <c r="AT172" s="27">
        <f t="shared" ca="1" si="144"/>
        <v>0</v>
      </c>
      <c r="AU172" s="237"/>
      <c r="AV172" s="26"/>
      <c r="AW172" s="27"/>
      <c r="AX172" s="237"/>
      <c r="AY172" s="26">
        <v>0</v>
      </c>
      <c r="AZ172" s="27"/>
      <c r="BA172" s="237"/>
      <c r="BB172" s="26">
        <v>0</v>
      </c>
      <c r="BC172" s="27"/>
      <c r="BD172" s="237"/>
      <c r="BE172" s="26">
        <v>0</v>
      </c>
      <c r="BF172" s="27"/>
      <c r="BG172" s="237"/>
      <c r="BH172" s="26">
        <v>0</v>
      </c>
      <c r="BI172" s="27"/>
      <c r="BJ172" s="454"/>
    </row>
    <row r="173" spans="1:62" s="28" customFormat="1" outlineLevel="1" x14ac:dyDescent="0.3">
      <c r="A173" s="93" t="s">
        <v>195</v>
      </c>
      <c r="B173" s="2"/>
      <c r="C173" s="23"/>
      <c r="D173" s="53" t="s">
        <v>143</v>
      </c>
      <c r="E173" s="85"/>
      <c r="F173" s="54"/>
      <c r="G173" s="32"/>
      <c r="H173" s="237"/>
      <c r="I173" s="26">
        <f>-SUMIFS(T_HEADCOUNT!$E:$E,T_HEADCOUNT!$C:$C,"-  Bilheteiro III",T_HEADCOUNT!$D:$D,"1/2026",T_HEADCOUNT!$B:$B,"CLT")</f>
        <v>0</v>
      </c>
      <c r="J173" s="27">
        <f>SUMIFS(T_REAL!$D:$D,T_REAL!$E:$E,DRE!J$7,T_REAL!$C:$C,DRE!$A173)+SUMIFS(Aut_Ajustes_Manuais!$G:$G,Aut_Ajustes_Manuais!$I:$I,DRE!H$4,Aut_Ajustes_Manuais!$F:$F,"  -  Bilheteiro III")</f>
        <v>0</v>
      </c>
      <c r="K173" s="237"/>
      <c r="L173" s="26">
        <f>-SUMIFS(T_HEADCOUNT!$E:$E,T_HEADCOUNT!$C:$C,"-  Bilheteiro III",T_HEADCOUNT!$D:$D,"2/2026",T_HEADCOUNT!$B:$B,"CLT")</f>
        <v>0</v>
      </c>
      <c r="M173" s="27">
        <f>SUMIFS(T_REAL!$D:$D,T_REAL!$E:$E,DRE!M$7,T_REAL!$C:$C,DRE!$A173)+SUMIFS(Aut_Ajustes_Manuais!$G:$G,Aut_Ajustes_Manuais!$I:$I,DRE!K$4,Aut_Ajustes_Manuais!$F:$F,"  -  Bilheteiro III")</f>
        <v>0</v>
      </c>
      <c r="N173" s="237"/>
      <c r="O173" s="26">
        <f>-SUMIFS(T_HEADCOUNT!$E:$E,T_HEADCOUNT!$C:$C,"-  Bilheteiro III",T_HEADCOUNT!$D:$D,"3/2026",T_HEADCOUNT!$B:$B,"CLT")</f>
        <v>0</v>
      </c>
      <c r="P173" s="27">
        <f>SUMIFS(T_REAL!$D:$D,T_REAL!$E:$E,DRE!P$7,T_REAL!$C:$C,DRE!$A173)+SUMIFS(Aut_Ajustes_Manuais!$G:$G,Aut_Ajustes_Manuais!$I:$I,DRE!N$4,Aut_Ajustes_Manuais!$F:$F,"  -  Bilheteiro III")</f>
        <v>0</v>
      </c>
      <c r="Q173" s="237"/>
      <c r="R173" s="26">
        <f>-SUMIFS(T_HEADCOUNT!$E:$E,T_HEADCOUNT!$C:$C,"-  Bilheteiro III",T_HEADCOUNT!$D:$D,"4/2026",T_HEADCOUNT!$B:$B,"CLT")</f>
        <v>0</v>
      </c>
      <c r="S173" s="27">
        <f>SUMIFS(T_REAL!$D:$D,T_REAL!$E:$E,DRE!S$7,T_REAL!$C:$C,DRE!$A173)+SUMIFS(Aut_Ajustes_Manuais!$G:$G,Aut_Ajustes_Manuais!$I:$I,DRE!Q$4,Aut_Ajustes_Manuais!$F:$F,"  -  Bilheteiro III")</f>
        <v>0</v>
      </c>
      <c r="T173" s="237"/>
      <c r="U173" s="26">
        <f>-SUMIFS(T_HEADCOUNT!$E:$E,T_HEADCOUNT!$C:$C,"-  Bilheteiro III",T_HEADCOUNT!$D:$D,"5/2026",T_HEADCOUNT!$B:$B,"CLT")</f>
        <v>0</v>
      </c>
      <c r="V173" s="27">
        <f>SUMIFS(T_REAL!$D:$D,T_REAL!$E:$E,DRE!V$7,T_REAL!$C:$C,DRE!$A173)+SUMIFS(Aut_Ajustes_Manuais!$G:$G,Aut_Ajustes_Manuais!$I:$I,DRE!T$4,Aut_Ajustes_Manuais!$F:$F,"  -  Bilheteiro III")</f>
        <v>0</v>
      </c>
      <c r="W173" s="237"/>
      <c r="X173" s="26">
        <f>-SUMIFS(T_HEADCOUNT!$E:$E,T_HEADCOUNT!$C:$C,"-  Bilheteiro III",T_HEADCOUNT!$D:$D,"6/2026",T_HEADCOUNT!$B:$B,"CLT")</f>
        <v>0</v>
      </c>
      <c r="Y173" s="27">
        <f>SUMIFS(T_REAL!$D:$D,T_REAL!$E:$E,DRE!Y$7,T_REAL!$C:$C,DRE!$A173)+SUMIFS(Aut_Ajustes_Manuais!$G:$G,Aut_Ajustes_Manuais!$I:$I,DRE!W$4,Aut_Ajustes_Manuais!$F:$F,"  -  Bilheteiro III")</f>
        <v>0</v>
      </c>
      <c r="Z173" s="237"/>
      <c r="AA173" s="26">
        <f>-SUMIFS(T_HEADCOUNT!$E:$E,T_HEADCOUNT!$C:$C,"-  Bilheteiro III",T_HEADCOUNT!$D:$D,"7/2026",T_HEADCOUNT!$B:$B,"CLT")</f>
        <v>0</v>
      </c>
      <c r="AB173" s="27">
        <f>SUMIFS(T_REAL!$D:$D,T_REAL!$E:$E,DRE!AB$7,T_REAL!$C:$C,DRE!$A173)+SUMIFS(Aut_Ajustes_Manuais!$G:$G,Aut_Ajustes_Manuais!$I:$I,DRE!Z$4,Aut_Ajustes_Manuais!$F:$F,"  -  Bilheteiro III")</f>
        <v>0</v>
      </c>
      <c r="AC173" s="237"/>
      <c r="AD173" s="26">
        <f>-SUMIFS(T_HEADCOUNT!$E:$E,T_HEADCOUNT!$C:$C,"-  Bilheteiro III",T_HEADCOUNT!$D:$D,"8/2026",T_HEADCOUNT!$B:$B,"CLT")</f>
        <v>0</v>
      </c>
      <c r="AE173" s="27">
        <f>SUMIFS(T_REAL!$D:$D,T_REAL!$E:$E,DRE!AE$7,T_REAL!$C:$C,DRE!$A173)+SUMIFS(Aut_Ajustes_Manuais!$G:$G,Aut_Ajustes_Manuais!$I:$I,DRE!AC$4,Aut_Ajustes_Manuais!$F:$F,"  -  Bilheteiro III")</f>
        <v>0</v>
      </c>
      <c r="AF173" s="237"/>
      <c r="AG173" s="26">
        <f>-SUMIFS(T_HEADCOUNT!$E:$E,T_HEADCOUNT!$C:$C,"-  Bilheteiro III",T_HEADCOUNT!$D:$D,"9/2026",T_HEADCOUNT!$B:$B,"CLT")</f>
        <v>0</v>
      </c>
      <c r="AH173" s="27">
        <f>SUMIFS(T_REAL!$D:$D,T_REAL!$E:$E,DRE!AH$7,T_REAL!$C:$C,DRE!$A173)+SUMIFS(Aut_Ajustes_Manuais!$G:$G,Aut_Ajustes_Manuais!$I:$I,DRE!AF$4,Aut_Ajustes_Manuais!$F:$F,"  -  Bilheteiro III")</f>
        <v>0</v>
      </c>
      <c r="AI173" s="237"/>
      <c r="AJ173" s="26">
        <f>-SUMIFS(T_HEADCOUNT!$E:$E,T_HEADCOUNT!$C:$C,"-  Bilheteiro III",T_HEADCOUNT!$D:$D,"10/2026",T_HEADCOUNT!$B:$B,"CLT")</f>
        <v>0</v>
      </c>
      <c r="AK173" s="27">
        <f>SUMIFS(T_REAL!$D:$D,T_REAL!$E:$E,DRE!AK$7,T_REAL!$C:$C,DRE!$A173)+SUMIFS(Aut_Ajustes_Manuais!$G:$G,Aut_Ajustes_Manuais!$I:$I,DRE!AI$4,Aut_Ajustes_Manuais!$F:$F,"  -  Bilheteiro III")</f>
        <v>0</v>
      </c>
      <c r="AL173" s="237"/>
      <c r="AM173" s="26">
        <f>-SUMIFS(T_HEADCOUNT!$E:$E,T_HEADCOUNT!$C:$C,"-  Bilheteiro III",T_HEADCOUNT!$D:$D,"11/2026",T_HEADCOUNT!$B:$B,"CLT")</f>
        <v>0</v>
      </c>
      <c r="AN173" s="27">
        <f>SUMIFS(T_REAL!$D:$D,T_REAL!$E:$E,DRE!AN$7,T_REAL!$C:$C,DRE!$A173)+SUMIFS(Aut_Ajustes_Manuais!$G:$G,Aut_Ajustes_Manuais!$I:$I,DRE!AL$4,Aut_Ajustes_Manuais!$F:$F,"  -  Bilheteiro III")</f>
        <v>0</v>
      </c>
      <c r="AO173" s="237"/>
      <c r="AP173" s="26">
        <f>-SUMIFS(T_HEADCOUNT!$E:$E,T_HEADCOUNT!$C:$C,"-  Bilheteiro III",T_HEADCOUNT!$D:$D,"12/2026",T_HEADCOUNT!$B:$B,"CLT")</f>
        <v>0</v>
      </c>
      <c r="AQ173" s="27">
        <f>SUMIFS(T_REAL!$D:$D,T_REAL!$E:$E,DRE!AQ$7,T_REAL!$C:$C,DRE!$A173)+SUMIFS(Aut_Ajustes_Manuais!$G:$G,Aut_Ajustes_Manuais!$I:$I,DRE!AO$4,Aut_Ajustes_Manuais!$F:$F,"  -  Bilheteiro III")</f>
        <v>0</v>
      </c>
      <c r="AR173" s="237">
        <f t="shared" ca="1" si="142"/>
        <v>0</v>
      </c>
      <c r="AS173" s="26">
        <f t="shared" ca="1" si="143"/>
        <v>0</v>
      </c>
      <c r="AT173" s="27">
        <f t="shared" ca="1" si="144"/>
        <v>0</v>
      </c>
      <c r="AU173" s="237"/>
      <c r="AV173" s="26"/>
      <c r="AW173" s="27"/>
      <c r="AX173" s="237"/>
      <c r="AY173" s="26">
        <v>0</v>
      </c>
      <c r="AZ173" s="27"/>
      <c r="BA173" s="237"/>
      <c r="BB173" s="26">
        <v>0</v>
      </c>
      <c r="BC173" s="27"/>
      <c r="BD173" s="237"/>
      <c r="BE173" s="26">
        <v>0</v>
      </c>
      <c r="BF173" s="27"/>
      <c r="BG173" s="237"/>
      <c r="BH173" s="26">
        <v>0</v>
      </c>
      <c r="BI173" s="27"/>
      <c r="BJ173" s="454"/>
    </row>
    <row r="174" spans="1:62" s="28" customFormat="1" outlineLevel="1" x14ac:dyDescent="0.3">
      <c r="A174" s="93" t="s">
        <v>196</v>
      </c>
      <c r="B174" s="2"/>
      <c r="C174" s="23"/>
      <c r="D174" s="53" t="s">
        <v>143</v>
      </c>
      <c r="E174" s="85"/>
      <c r="F174" s="54"/>
      <c r="G174" s="32"/>
      <c r="H174" s="237"/>
      <c r="I174" s="26">
        <f>-SUMIFS(T_HEADCOUNT!$E:$E,T_HEADCOUNT!$C:$C,"-  Bilheteiro II",T_HEADCOUNT!$D:$D,"1/2026",T_HEADCOUNT!$B:$B,"CLT")</f>
        <v>0</v>
      </c>
      <c r="J174" s="27">
        <f>SUMIFS(T_REAL!$D:$D,T_REAL!$E:$E,DRE!J$7,T_REAL!$C:$C,DRE!$A174)+SUMIFS(Aut_Ajustes_Manuais!$G:$G,Aut_Ajustes_Manuais!$I:$I,DRE!H$4,Aut_Ajustes_Manuais!$F:$F,"  -  Bilheteiro II")</f>
        <v>0</v>
      </c>
      <c r="K174" s="237"/>
      <c r="L174" s="26">
        <f>-SUMIFS(T_HEADCOUNT!$E:$E,T_HEADCOUNT!$C:$C,"-  Bilheteiro II",T_HEADCOUNT!$D:$D,"2/2026",T_HEADCOUNT!$B:$B,"CLT")</f>
        <v>0</v>
      </c>
      <c r="M174" s="27">
        <f>SUMIFS(T_REAL!$D:$D,T_REAL!$E:$E,DRE!M$7,T_REAL!$C:$C,DRE!$A174)+SUMIFS(Aut_Ajustes_Manuais!$G:$G,Aut_Ajustes_Manuais!$I:$I,DRE!K$4,Aut_Ajustes_Manuais!$F:$F,"  -  Bilheteiro II")</f>
        <v>0</v>
      </c>
      <c r="N174" s="237"/>
      <c r="O174" s="26">
        <f>-SUMIFS(T_HEADCOUNT!$E:$E,T_HEADCOUNT!$C:$C,"-  Bilheteiro II",T_HEADCOUNT!$D:$D,"3/2026",T_HEADCOUNT!$B:$B,"CLT")</f>
        <v>0</v>
      </c>
      <c r="P174" s="27">
        <f>SUMIFS(T_REAL!$D:$D,T_REAL!$E:$E,DRE!P$7,T_REAL!$C:$C,DRE!$A174)+SUMIFS(Aut_Ajustes_Manuais!$G:$G,Aut_Ajustes_Manuais!$I:$I,DRE!N$4,Aut_Ajustes_Manuais!$F:$F,"  -  Bilheteiro II")</f>
        <v>0</v>
      </c>
      <c r="Q174" s="237"/>
      <c r="R174" s="26">
        <f>-SUMIFS(T_HEADCOUNT!$E:$E,T_HEADCOUNT!$C:$C,"-  Bilheteiro II",T_HEADCOUNT!$D:$D,"4/2026",T_HEADCOUNT!$B:$B,"CLT")</f>
        <v>0</v>
      </c>
      <c r="S174" s="27">
        <f>SUMIFS(T_REAL!$D:$D,T_REAL!$E:$E,DRE!S$7,T_REAL!$C:$C,DRE!$A174)+SUMIFS(Aut_Ajustes_Manuais!$G:$G,Aut_Ajustes_Manuais!$I:$I,DRE!Q$4,Aut_Ajustes_Manuais!$F:$F,"  -  Bilheteiro II")</f>
        <v>0</v>
      </c>
      <c r="T174" s="237"/>
      <c r="U174" s="26">
        <f>-SUMIFS(T_HEADCOUNT!$E:$E,T_HEADCOUNT!$C:$C,"-  Bilheteiro II",T_HEADCOUNT!$D:$D,"5/2026",T_HEADCOUNT!$B:$B,"CLT")</f>
        <v>0</v>
      </c>
      <c r="V174" s="27">
        <f>SUMIFS(T_REAL!$D:$D,T_REAL!$E:$E,DRE!V$7,T_REAL!$C:$C,DRE!$A174)+SUMIFS(Aut_Ajustes_Manuais!$G:$G,Aut_Ajustes_Manuais!$I:$I,DRE!T$4,Aut_Ajustes_Manuais!$F:$F,"  -  Bilheteiro II")</f>
        <v>0</v>
      </c>
      <c r="W174" s="237"/>
      <c r="X174" s="26">
        <f>-SUMIFS(T_HEADCOUNT!$E:$E,T_HEADCOUNT!$C:$C,"-  Bilheteiro II",T_HEADCOUNT!$D:$D,"6/2026",T_HEADCOUNT!$B:$B,"CLT")</f>
        <v>0</v>
      </c>
      <c r="Y174" s="27">
        <f>SUMIFS(T_REAL!$D:$D,T_REAL!$E:$E,DRE!Y$7,T_REAL!$C:$C,DRE!$A174)+SUMIFS(Aut_Ajustes_Manuais!$G:$G,Aut_Ajustes_Manuais!$I:$I,DRE!W$4,Aut_Ajustes_Manuais!$F:$F,"  -  Bilheteiro II")</f>
        <v>0</v>
      </c>
      <c r="Z174" s="237"/>
      <c r="AA174" s="26">
        <f>-SUMIFS(T_HEADCOUNT!$E:$E,T_HEADCOUNT!$C:$C,"-  Bilheteiro II",T_HEADCOUNT!$D:$D,"7/2026",T_HEADCOUNT!$B:$B,"CLT")</f>
        <v>0</v>
      </c>
      <c r="AB174" s="27">
        <f>SUMIFS(T_REAL!$D:$D,T_REAL!$E:$E,DRE!AB$7,T_REAL!$C:$C,DRE!$A174)+SUMIFS(Aut_Ajustes_Manuais!$G:$G,Aut_Ajustes_Manuais!$I:$I,DRE!Z$4,Aut_Ajustes_Manuais!$F:$F,"  -  Bilheteiro II")</f>
        <v>0</v>
      </c>
      <c r="AC174" s="237"/>
      <c r="AD174" s="26">
        <f>-SUMIFS(T_HEADCOUNT!$E:$E,T_HEADCOUNT!$C:$C,"-  Bilheteiro II",T_HEADCOUNT!$D:$D,"8/2026",T_HEADCOUNT!$B:$B,"CLT")</f>
        <v>0</v>
      </c>
      <c r="AE174" s="27">
        <f>SUMIFS(T_REAL!$D:$D,T_REAL!$E:$E,DRE!AE$7,T_REAL!$C:$C,DRE!$A174)+SUMIFS(Aut_Ajustes_Manuais!$G:$G,Aut_Ajustes_Manuais!$I:$I,DRE!AC$4,Aut_Ajustes_Manuais!$F:$F,"  -  Bilheteiro II")</f>
        <v>0</v>
      </c>
      <c r="AF174" s="237"/>
      <c r="AG174" s="26">
        <f>-SUMIFS(T_HEADCOUNT!$E:$E,T_HEADCOUNT!$C:$C,"-  Bilheteiro II",T_HEADCOUNT!$D:$D,"9/2026",T_HEADCOUNT!$B:$B,"CLT")</f>
        <v>0</v>
      </c>
      <c r="AH174" s="27">
        <f>SUMIFS(T_REAL!$D:$D,T_REAL!$E:$E,DRE!AH$7,T_REAL!$C:$C,DRE!$A174)+SUMIFS(Aut_Ajustes_Manuais!$G:$G,Aut_Ajustes_Manuais!$I:$I,DRE!AF$4,Aut_Ajustes_Manuais!$F:$F,"  -  Bilheteiro II")</f>
        <v>0</v>
      </c>
      <c r="AI174" s="237"/>
      <c r="AJ174" s="26">
        <f>-SUMIFS(T_HEADCOUNT!$E:$E,T_HEADCOUNT!$C:$C,"-  Bilheteiro II",T_HEADCOUNT!$D:$D,"10/2026",T_HEADCOUNT!$B:$B,"CLT")</f>
        <v>0</v>
      </c>
      <c r="AK174" s="27">
        <f>SUMIFS(T_REAL!$D:$D,T_REAL!$E:$E,DRE!AK$7,T_REAL!$C:$C,DRE!$A174)+SUMIFS(Aut_Ajustes_Manuais!$G:$G,Aut_Ajustes_Manuais!$I:$I,DRE!AI$4,Aut_Ajustes_Manuais!$F:$F,"  -  Bilheteiro II")</f>
        <v>0</v>
      </c>
      <c r="AL174" s="237"/>
      <c r="AM174" s="26">
        <f>-SUMIFS(T_HEADCOUNT!$E:$E,T_HEADCOUNT!$C:$C,"-  Bilheteiro II",T_HEADCOUNT!$D:$D,"11/2026",T_HEADCOUNT!$B:$B,"CLT")</f>
        <v>0</v>
      </c>
      <c r="AN174" s="27">
        <f>SUMIFS(T_REAL!$D:$D,T_REAL!$E:$E,DRE!AN$7,T_REAL!$C:$C,DRE!$A174)+SUMIFS(Aut_Ajustes_Manuais!$G:$G,Aut_Ajustes_Manuais!$I:$I,DRE!AL$4,Aut_Ajustes_Manuais!$F:$F,"  -  Bilheteiro II")</f>
        <v>0</v>
      </c>
      <c r="AO174" s="237"/>
      <c r="AP174" s="26">
        <f>-SUMIFS(T_HEADCOUNT!$E:$E,T_HEADCOUNT!$C:$C,"-  Bilheteiro II",T_HEADCOUNT!$D:$D,"12/2026",T_HEADCOUNT!$B:$B,"CLT")</f>
        <v>0</v>
      </c>
      <c r="AQ174" s="27">
        <f>SUMIFS(T_REAL!$D:$D,T_REAL!$E:$E,DRE!AQ$7,T_REAL!$C:$C,DRE!$A174)+SUMIFS(Aut_Ajustes_Manuais!$G:$G,Aut_Ajustes_Manuais!$I:$I,DRE!AO$4,Aut_Ajustes_Manuais!$F:$F,"  -  Bilheteiro II")</f>
        <v>0</v>
      </c>
      <c r="AR174" s="237">
        <f t="shared" ca="1" si="142"/>
        <v>0</v>
      </c>
      <c r="AS174" s="26">
        <f t="shared" ca="1" si="143"/>
        <v>0</v>
      </c>
      <c r="AT174" s="27">
        <f t="shared" ca="1" si="144"/>
        <v>0</v>
      </c>
      <c r="AU174" s="237"/>
      <c r="AV174" s="26"/>
      <c r="AW174" s="27"/>
      <c r="AX174" s="237"/>
      <c r="AY174" s="26">
        <v>0</v>
      </c>
      <c r="AZ174" s="27"/>
      <c r="BA174" s="237"/>
      <c r="BB174" s="26">
        <v>0</v>
      </c>
      <c r="BC174" s="27"/>
      <c r="BD174" s="237"/>
      <c r="BE174" s="26">
        <v>0</v>
      </c>
      <c r="BF174" s="27"/>
      <c r="BG174" s="237"/>
      <c r="BH174" s="26">
        <v>0</v>
      </c>
      <c r="BI174" s="27"/>
      <c r="BJ174" s="454"/>
    </row>
    <row r="175" spans="1:62" s="28" customFormat="1" outlineLevel="1" x14ac:dyDescent="0.3">
      <c r="A175" s="93" t="s">
        <v>197</v>
      </c>
      <c r="B175" s="2"/>
      <c r="C175" s="23"/>
      <c r="D175" s="53" t="s">
        <v>143</v>
      </c>
      <c r="E175" s="85"/>
      <c r="F175" s="54"/>
      <c r="G175" s="32"/>
      <c r="H175" s="237"/>
      <c r="I175" s="26">
        <f>-SUMIFS(T_HEADCOUNT!$E:$E,T_HEADCOUNT!$C:$C,"-  Bilheteiro I",T_HEADCOUNT!$D:$D,"1/2026",T_HEADCOUNT!$B:$B,"CLT")</f>
        <v>0</v>
      </c>
      <c r="J175" s="27">
        <f>SUMIFS(T_REAL!$D:$D,T_REAL!$E:$E,DRE!J$7,T_REAL!$C:$C,DRE!$A175)+SUMIFS(Aut_Ajustes_Manuais!$G:$G,Aut_Ajustes_Manuais!$I:$I,DRE!H$4,Aut_Ajustes_Manuais!$F:$F,"  -  Bilheteiro I")</f>
        <v>0</v>
      </c>
      <c r="K175" s="237"/>
      <c r="L175" s="26">
        <f>-SUMIFS(T_HEADCOUNT!$E:$E,T_HEADCOUNT!$C:$C,"-  Bilheteiro I",T_HEADCOUNT!$D:$D,"2/2026",T_HEADCOUNT!$B:$B,"CLT")</f>
        <v>0</v>
      </c>
      <c r="M175" s="27">
        <f>SUMIFS(T_REAL!$D:$D,T_REAL!$E:$E,DRE!M$7,T_REAL!$C:$C,DRE!$A175)+SUMIFS(Aut_Ajustes_Manuais!$G:$G,Aut_Ajustes_Manuais!$I:$I,DRE!K$4,Aut_Ajustes_Manuais!$F:$F,"  -  Bilheteiro I")</f>
        <v>0</v>
      </c>
      <c r="N175" s="237"/>
      <c r="O175" s="26">
        <f>-SUMIFS(T_HEADCOUNT!$E:$E,T_HEADCOUNT!$C:$C,"-  Bilheteiro I",T_HEADCOUNT!$D:$D,"3/2026",T_HEADCOUNT!$B:$B,"CLT")</f>
        <v>0</v>
      </c>
      <c r="P175" s="27">
        <f>SUMIFS(T_REAL!$D:$D,T_REAL!$E:$E,DRE!P$7,T_REAL!$C:$C,DRE!$A175)+SUMIFS(Aut_Ajustes_Manuais!$G:$G,Aut_Ajustes_Manuais!$I:$I,DRE!N$4,Aut_Ajustes_Manuais!$F:$F,"  -  Bilheteiro I")</f>
        <v>0</v>
      </c>
      <c r="Q175" s="237"/>
      <c r="R175" s="26">
        <f>-SUMIFS(T_HEADCOUNT!$E:$E,T_HEADCOUNT!$C:$C,"-  Bilheteiro I",T_HEADCOUNT!$D:$D,"4/2026",T_HEADCOUNT!$B:$B,"CLT")</f>
        <v>0</v>
      </c>
      <c r="S175" s="27">
        <f>SUMIFS(T_REAL!$D:$D,T_REAL!$E:$E,DRE!S$7,T_REAL!$C:$C,DRE!$A175)+SUMIFS(Aut_Ajustes_Manuais!$G:$G,Aut_Ajustes_Manuais!$I:$I,DRE!Q$4,Aut_Ajustes_Manuais!$F:$F,"  -  Bilheteiro I")</f>
        <v>0</v>
      </c>
      <c r="T175" s="237"/>
      <c r="U175" s="26">
        <f>-SUMIFS(T_HEADCOUNT!$E:$E,T_HEADCOUNT!$C:$C,"-  Bilheteiro I",T_HEADCOUNT!$D:$D,"5/2026",T_HEADCOUNT!$B:$B,"CLT")</f>
        <v>0</v>
      </c>
      <c r="V175" s="27">
        <f>SUMIFS(T_REAL!$D:$D,T_REAL!$E:$E,DRE!V$7,T_REAL!$C:$C,DRE!$A175)+SUMIFS(Aut_Ajustes_Manuais!$G:$G,Aut_Ajustes_Manuais!$I:$I,DRE!T$4,Aut_Ajustes_Manuais!$F:$F,"  -  Bilheteiro I")</f>
        <v>0</v>
      </c>
      <c r="W175" s="237"/>
      <c r="X175" s="26">
        <f>-SUMIFS(T_HEADCOUNT!$E:$E,T_HEADCOUNT!$C:$C,"-  Bilheteiro I",T_HEADCOUNT!$D:$D,"6/2026",T_HEADCOUNT!$B:$B,"CLT")</f>
        <v>0</v>
      </c>
      <c r="Y175" s="27">
        <f>SUMIFS(T_REAL!$D:$D,T_REAL!$E:$E,DRE!Y$7,T_REAL!$C:$C,DRE!$A175)+SUMIFS(Aut_Ajustes_Manuais!$G:$G,Aut_Ajustes_Manuais!$I:$I,DRE!W$4,Aut_Ajustes_Manuais!$F:$F,"  -  Bilheteiro I")</f>
        <v>0</v>
      </c>
      <c r="Z175" s="237"/>
      <c r="AA175" s="26">
        <f>-SUMIFS(T_HEADCOUNT!$E:$E,T_HEADCOUNT!$C:$C,"-  Bilheteiro I",T_HEADCOUNT!$D:$D,"7/2026",T_HEADCOUNT!$B:$B,"CLT")</f>
        <v>0</v>
      </c>
      <c r="AB175" s="27">
        <f>SUMIFS(T_REAL!$D:$D,T_REAL!$E:$E,DRE!AB$7,T_REAL!$C:$C,DRE!$A175)+SUMIFS(Aut_Ajustes_Manuais!$G:$G,Aut_Ajustes_Manuais!$I:$I,DRE!Z$4,Aut_Ajustes_Manuais!$F:$F,"  -  Bilheteiro I")</f>
        <v>0</v>
      </c>
      <c r="AC175" s="237"/>
      <c r="AD175" s="26">
        <f>-SUMIFS(T_HEADCOUNT!$E:$E,T_HEADCOUNT!$C:$C,"-  Bilheteiro I",T_HEADCOUNT!$D:$D,"8/2026",T_HEADCOUNT!$B:$B,"CLT")</f>
        <v>0</v>
      </c>
      <c r="AE175" s="27">
        <f>SUMIFS(T_REAL!$D:$D,T_REAL!$E:$E,DRE!AE$7,T_REAL!$C:$C,DRE!$A175)+SUMIFS(Aut_Ajustes_Manuais!$G:$G,Aut_Ajustes_Manuais!$I:$I,DRE!AC$4,Aut_Ajustes_Manuais!$F:$F,"  -  Bilheteiro I")</f>
        <v>0</v>
      </c>
      <c r="AF175" s="237"/>
      <c r="AG175" s="26">
        <f>-SUMIFS(T_HEADCOUNT!$E:$E,T_HEADCOUNT!$C:$C,"-  Bilheteiro I",T_HEADCOUNT!$D:$D,"9/2026",T_HEADCOUNT!$B:$B,"CLT")</f>
        <v>0</v>
      </c>
      <c r="AH175" s="27">
        <f>SUMIFS(T_REAL!$D:$D,T_REAL!$E:$E,DRE!AH$7,T_REAL!$C:$C,DRE!$A175)+SUMIFS(Aut_Ajustes_Manuais!$G:$G,Aut_Ajustes_Manuais!$I:$I,DRE!AF$4,Aut_Ajustes_Manuais!$F:$F,"  -  Bilheteiro I")</f>
        <v>0</v>
      </c>
      <c r="AI175" s="237"/>
      <c r="AJ175" s="26">
        <f>-SUMIFS(T_HEADCOUNT!$E:$E,T_HEADCOUNT!$C:$C,"-  Bilheteiro I",T_HEADCOUNT!$D:$D,"10/2026",T_HEADCOUNT!$B:$B,"CLT")</f>
        <v>0</v>
      </c>
      <c r="AK175" s="27">
        <f>SUMIFS(T_REAL!$D:$D,T_REAL!$E:$E,DRE!AK$7,T_REAL!$C:$C,DRE!$A175)+SUMIFS(Aut_Ajustes_Manuais!$G:$G,Aut_Ajustes_Manuais!$I:$I,DRE!AI$4,Aut_Ajustes_Manuais!$F:$F,"  -  Bilheteiro I")</f>
        <v>0</v>
      </c>
      <c r="AL175" s="237"/>
      <c r="AM175" s="26">
        <f>-SUMIFS(T_HEADCOUNT!$E:$E,T_HEADCOUNT!$C:$C,"-  Bilheteiro I",T_HEADCOUNT!$D:$D,"11/2026",T_HEADCOUNT!$B:$B,"CLT")</f>
        <v>0</v>
      </c>
      <c r="AN175" s="27">
        <f>SUMIFS(T_REAL!$D:$D,T_REAL!$E:$E,DRE!AN$7,T_REAL!$C:$C,DRE!$A175)+SUMIFS(Aut_Ajustes_Manuais!$G:$G,Aut_Ajustes_Manuais!$I:$I,DRE!AL$4,Aut_Ajustes_Manuais!$F:$F,"  -  Bilheteiro I")</f>
        <v>0</v>
      </c>
      <c r="AO175" s="237"/>
      <c r="AP175" s="26">
        <f>-SUMIFS(T_HEADCOUNT!$E:$E,T_HEADCOUNT!$C:$C,"-  Bilheteiro I",T_HEADCOUNT!$D:$D,"12/2026",T_HEADCOUNT!$B:$B,"CLT")</f>
        <v>0</v>
      </c>
      <c r="AQ175" s="27">
        <f>SUMIFS(T_REAL!$D:$D,T_REAL!$E:$E,DRE!AQ$7,T_REAL!$C:$C,DRE!$A175)+SUMIFS(Aut_Ajustes_Manuais!$G:$G,Aut_Ajustes_Manuais!$I:$I,DRE!AO$4,Aut_Ajustes_Manuais!$F:$F,"  -  Bilheteiro I")</f>
        <v>0</v>
      </c>
      <c r="AR175" s="237">
        <f t="shared" ca="1" si="142"/>
        <v>0</v>
      </c>
      <c r="AS175" s="26">
        <f t="shared" ca="1" si="143"/>
        <v>0</v>
      </c>
      <c r="AT175" s="27">
        <f t="shared" ca="1" si="144"/>
        <v>0</v>
      </c>
      <c r="AU175" s="237"/>
      <c r="AV175" s="26"/>
      <c r="AW175" s="27"/>
      <c r="AX175" s="237"/>
      <c r="AY175" s="26">
        <v>0</v>
      </c>
      <c r="AZ175" s="27"/>
      <c r="BA175" s="237"/>
      <c r="BB175" s="26">
        <v>0</v>
      </c>
      <c r="BC175" s="27"/>
      <c r="BD175" s="237"/>
      <c r="BE175" s="26">
        <v>0</v>
      </c>
      <c r="BF175" s="27"/>
      <c r="BG175" s="237"/>
      <c r="BH175" s="26">
        <v>0</v>
      </c>
      <c r="BI175" s="27"/>
      <c r="BJ175" s="454"/>
    </row>
    <row r="176" spans="1:62" s="28" customFormat="1" outlineLevel="1" x14ac:dyDescent="0.3">
      <c r="A176" s="93" t="s">
        <v>198</v>
      </c>
      <c r="B176" s="2"/>
      <c r="C176" s="23"/>
      <c r="D176" s="53" t="s">
        <v>143</v>
      </c>
      <c r="E176" s="85"/>
      <c r="F176" s="54"/>
      <c r="G176" s="32"/>
      <c r="H176" s="237"/>
      <c r="I176" s="26">
        <f>-SUMIFS(T_HEADCOUNT!$E:$E,T_HEADCOUNT!$C:$C,"-  Caixa",T_HEADCOUNT!$D:$D,"1/2026",T_HEADCOUNT!$B:$B,"CLT")</f>
        <v>0</v>
      </c>
      <c r="J176" s="27">
        <f>SUMIFS(T_REAL!$D:$D,T_REAL!$E:$E,DRE!J$7,T_REAL!$C:$C,DRE!$A176)+SUMIFS(Aut_Ajustes_Manuais!$G:$G,Aut_Ajustes_Manuais!$I:$I,DRE!H$4,Aut_Ajustes_Manuais!$F:$F,"  -  Caixa")</f>
        <v>0</v>
      </c>
      <c r="K176" s="237"/>
      <c r="L176" s="26">
        <f>-SUMIFS(T_HEADCOUNT!$E:$E,T_HEADCOUNT!$C:$C,"-  Caixa",T_HEADCOUNT!$D:$D,"2/2026",T_HEADCOUNT!$B:$B,"CLT")</f>
        <v>0</v>
      </c>
      <c r="M176" s="27">
        <f>SUMIFS(T_REAL!$D:$D,T_REAL!$E:$E,DRE!M$7,T_REAL!$C:$C,DRE!$A176)+SUMIFS(Aut_Ajustes_Manuais!$G:$G,Aut_Ajustes_Manuais!$I:$I,DRE!K$4,Aut_Ajustes_Manuais!$F:$F,"  -  Caixa")</f>
        <v>0</v>
      </c>
      <c r="N176" s="237"/>
      <c r="O176" s="26">
        <f>-SUMIFS(T_HEADCOUNT!$E:$E,T_HEADCOUNT!$C:$C,"-  Caixa",T_HEADCOUNT!$D:$D,"3/2026",T_HEADCOUNT!$B:$B,"CLT")</f>
        <v>0</v>
      </c>
      <c r="P176" s="27">
        <f>SUMIFS(T_REAL!$D:$D,T_REAL!$E:$E,DRE!P$7,T_REAL!$C:$C,DRE!$A176)+SUMIFS(Aut_Ajustes_Manuais!$G:$G,Aut_Ajustes_Manuais!$I:$I,DRE!N$4,Aut_Ajustes_Manuais!$F:$F,"  -  Caixa")</f>
        <v>0</v>
      </c>
      <c r="Q176" s="237"/>
      <c r="R176" s="26">
        <f>-SUMIFS(T_HEADCOUNT!$E:$E,T_HEADCOUNT!$C:$C,"-  Caixa",T_HEADCOUNT!$D:$D,"4/2026",T_HEADCOUNT!$B:$B,"CLT")</f>
        <v>0</v>
      </c>
      <c r="S176" s="27">
        <f>SUMIFS(T_REAL!$D:$D,T_REAL!$E:$E,DRE!S$7,T_REAL!$C:$C,DRE!$A176)+SUMIFS(Aut_Ajustes_Manuais!$G:$G,Aut_Ajustes_Manuais!$I:$I,DRE!Q$4,Aut_Ajustes_Manuais!$F:$F,"  -  Caixa")</f>
        <v>0</v>
      </c>
      <c r="T176" s="237"/>
      <c r="U176" s="26">
        <f>-SUMIFS(T_HEADCOUNT!$E:$E,T_HEADCOUNT!$C:$C,"-  Caixa",T_HEADCOUNT!$D:$D,"5/2026",T_HEADCOUNT!$B:$B,"CLT")</f>
        <v>0</v>
      </c>
      <c r="V176" s="27">
        <f>SUMIFS(T_REAL!$D:$D,T_REAL!$E:$E,DRE!V$7,T_REAL!$C:$C,DRE!$A176)+SUMIFS(Aut_Ajustes_Manuais!$G:$G,Aut_Ajustes_Manuais!$I:$I,DRE!T$4,Aut_Ajustes_Manuais!$F:$F,"  -  Caixa")</f>
        <v>0</v>
      </c>
      <c r="W176" s="237"/>
      <c r="X176" s="26">
        <f>-SUMIFS(T_HEADCOUNT!$E:$E,T_HEADCOUNT!$C:$C,"-  Caixa",T_HEADCOUNT!$D:$D,"6/2026",T_HEADCOUNT!$B:$B,"CLT")</f>
        <v>0</v>
      </c>
      <c r="Y176" s="27">
        <f>SUMIFS(T_REAL!$D:$D,T_REAL!$E:$E,DRE!Y$7,T_REAL!$C:$C,DRE!$A176)+SUMIFS(Aut_Ajustes_Manuais!$G:$G,Aut_Ajustes_Manuais!$I:$I,DRE!W$4,Aut_Ajustes_Manuais!$F:$F,"  -  Caixa")</f>
        <v>0</v>
      </c>
      <c r="Z176" s="237"/>
      <c r="AA176" s="26">
        <f>-SUMIFS(T_HEADCOUNT!$E:$E,T_HEADCOUNT!$C:$C,"-  Caixa",T_HEADCOUNT!$D:$D,"7/2026",T_HEADCOUNT!$B:$B,"CLT")</f>
        <v>0</v>
      </c>
      <c r="AB176" s="27">
        <f>SUMIFS(T_REAL!$D:$D,T_REAL!$E:$E,DRE!AB$7,T_REAL!$C:$C,DRE!$A176)+SUMIFS(Aut_Ajustes_Manuais!$G:$G,Aut_Ajustes_Manuais!$I:$I,DRE!Z$4,Aut_Ajustes_Manuais!$F:$F,"  -  Caixa")</f>
        <v>0</v>
      </c>
      <c r="AC176" s="237"/>
      <c r="AD176" s="26">
        <f>-SUMIFS(T_HEADCOUNT!$E:$E,T_HEADCOUNT!$C:$C,"-  Caixa",T_HEADCOUNT!$D:$D,"8/2026",T_HEADCOUNT!$B:$B,"CLT")</f>
        <v>0</v>
      </c>
      <c r="AE176" s="27">
        <f>SUMIFS(T_REAL!$D:$D,T_REAL!$E:$E,DRE!AE$7,T_REAL!$C:$C,DRE!$A176)+SUMIFS(Aut_Ajustes_Manuais!$G:$G,Aut_Ajustes_Manuais!$I:$I,DRE!AC$4,Aut_Ajustes_Manuais!$F:$F,"  -  Caixa")</f>
        <v>0</v>
      </c>
      <c r="AF176" s="237"/>
      <c r="AG176" s="26">
        <f>-SUMIFS(T_HEADCOUNT!$E:$E,T_HEADCOUNT!$C:$C,"-  Caixa",T_HEADCOUNT!$D:$D,"9/2026",T_HEADCOUNT!$B:$B,"CLT")</f>
        <v>0</v>
      </c>
      <c r="AH176" s="27">
        <f>SUMIFS(T_REAL!$D:$D,T_REAL!$E:$E,DRE!AH$7,T_REAL!$C:$C,DRE!$A176)+SUMIFS(Aut_Ajustes_Manuais!$G:$G,Aut_Ajustes_Manuais!$I:$I,DRE!AF$4,Aut_Ajustes_Manuais!$F:$F,"  -  Caixa")</f>
        <v>0</v>
      </c>
      <c r="AI176" s="237"/>
      <c r="AJ176" s="26">
        <f>-SUMIFS(T_HEADCOUNT!$E:$E,T_HEADCOUNT!$C:$C,"-  Caixa",T_HEADCOUNT!$D:$D,"10/2026",T_HEADCOUNT!$B:$B,"CLT")</f>
        <v>0</v>
      </c>
      <c r="AK176" s="27">
        <f>SUMIFS(T_REAL!$D:$D,T_REAL!$E:$E,DRE!AK$7,T_REAL!$C:$C,DRE!$A176)+SUMIFS(Aut_Ajustes_Manuais!$G:$G,Aut_Ajustes_Manuais!$I:$I,DRE!AI$4,Aut_Ajustes_Manuais!$F:$F,"  -  Caixa")</f>
        <v>0</v>
      </c>
      <c r="AL176" s="237"/>
      <c r="AM176" s="26">
        <f>-SUMIFS(T_HEADCOUNT!$E:$E,T_HEADCOUNT!$C:$C,"-  Caixa",T_HEADCOUNT!$D:$D,"11/2026",T_HEADCOUNT!$B:$B,"CLT")</f>
        <v>0</v>
      </c>
      <c r="AN176" s="27">
        <f>SUMIFS(T_REAL!$D:$D,T_REAL!$E:$E,DRE!AN$7,T_REAL!$C:$C,DRE!$A176)+SUMIFS(Aut_Ajustes_Manuais!$G:$G,Aut_Ajustes_Manuais!$I:$I,DRE!AL$4,Aut_Ajustes_Manuais!$F:$F,"  -  Caixa")</f>
        <v>0</v>
      </c>
      <c r="AO176" s="237"/>
      <c r="AP176" s="26">
        <f>-SUMIFS(T_HEADCOUNT!$E:$E,T_HEADCOUNT!$C:$C,"-  Caixa",T_HEADCOUNT!$D:$D,"12/2026",T_HEADCOUNT!$B:$B,"CLT")</f>
        <v>0</v>
      </c>
      <c r="AQ176" s="27">
        <f>SUMIFS(T_REAL!$D:$D,T_REAL!$E:$E,DRE!AQ$7,T_REAL!$C:$C,DRE!$A176)+SUMIFS(Aut_Ajustes_Manuais!$G:$G,Aut_Ajustes_Manuais!$I:$I,DRE!AO$4,Aut_Ajustes_Manuais!$F:$F,"  -  Caixa")</f>
        <v>0</v>
      </c>
      <c r="AR176" s="237">
        <f t="shared" ca="1" si="142"/>
        <v>0</v>
      </c>
      <c r="AS176" s="26">
        <f t="shared" ca="1" si="143"/>
        <v>0</v>
      </c>
      <c r="AT176" s="27">
        <f t="shared" ca="1" si="144"/>
        <v>0</v>
      </c>
      <c r="AU176" s="237"/>
      <c r="AV176" s="26"/>
      <c r="AW176" s="27"/>
      <c r="AX176" s="237"/>
      <c r="AY176" s="26">
        <v>0</v>
      </c>
      <c r="AZ176" s="27"/>
      <c r="BA176" s="237"/>
      <c r="BB176" s="26">
        <v>0</v>
      </c>
      <c r="BC176" s="27"/>
      <c r="BD176" s="237"/>
      <c r="BE176" s="26">
        <v>0</v>
      </c>
      <c r="BF176" s="27"/>
      <c r="BG176" s="237"/>
      <c r="BH176" s="26">
        <v>0</v>
      </c>
      <c r="BI176" s="27"/>
      <c r="BJ176" s="454"/>
    </row>
    <row r="177" spans="1:62" s="28" customFormat="1" outlineLevel="1" x14ac:dyDescent="0.3">
      <c r="A177" s="93" t="s">
        <v>199</v>
      </c>
      <c r="B177" s="2"/>
      <c r="C177" s="23"/>
      <c r="D177" s="53" t="s">
        <v>143</v>
      </c>
      <c r="E177" s="85"/>
      <c r="F177" s="54"/>
      <c r="G177" s="32"/>
      <c r="H177" s="237"/>
      <c r="I177" s="26">
        <f>-SUMIFS(T_HEADCOUNT!$E:$E,T_HEADCOUNT!$C:$C,"-  Operador de Delivery",T_HEADCOUNT!$D:$D,"1/2026",T_HEADCOUNT!$B:$B,"CLT")</f>
        <v>0</v>
      </c>
      <c r="J177" s="27">
        <f>SUMIFS(T_REAL!$D:$D,T_REAL!$E:$E,DRE!J$7,T_REAL!$C:$C,DRE!$A177)+SUMIFS(Aut_Ajustes_Manuais!$G:$G,Aut_Ajustes_Manuais!$I:$I,DRE!H$4,Aut_Ajustes_Manuais!$F:$F,"  -  Operador de Delivery")</f>
        <v>0</v>
      </c>
      <c r="K177" s="237"/>
      <c r="L177" s="26">
        <f>-SUMIFS(T_HEADCOUNT!$E:$E,T_HEADCOUNT!$C:$C,"-  Operador de Delivery",T_HEADCOUNT!$D:$D,"2/2026",T_HEADCOUNT!$B:$B,"CLT")</f>
        <v>0</v>
      </c>
      <c r="M177" s="27">
        <f>SUMIFS(T_REAL!$D:$D,T_REAL!$E:$E,DRE!M$7,T_REAL!$C:$C,DRE!$A177)+SUMIFS(Aut_Ajustes_Manuais!$G:$G,Aut_Ajustes_Manuais!$I:$I,DRE!K$4,Aut_Ajustes_Manuais!$F:$F,"  -  Operador de Delivery")</f>
        <v>0</v>
      </c>
      <c r="N177" s="237"/>
      <c r="O177" s="26">
        <f>-SUMIFS(T_HEADCOUNT!$E:$E,T_HEADCOUNT!$C:$C,"-  Operador de Delivery",T_HEADCOUNT!$D:$D,"3/2026",T_HEADCOUNT!$B:$B,"CLT")</f>
        <v>0</v>
      </c>
      <c r="P177" s="27">
        <f>SUMIFS(T_REAL!$D:$D,T_REAL!$E:$E,DRE!P$7,T_REAL!$C:$C,DRE!$A177)+SUMIFS(Aut_Ajustes_Manuais!$G:$G,Aut_Ajustes_Manuais!$I:$I,DRE!N$4,Aut_Ajustes_Manuais!$F:$F,"  -  Operador de Delivery")</f>
        <v>0</v>
      </c>
      <c r="Q177" s="237"/>
      <c r="R177" s="26">
        <f>-SUMIFS(T_HEADCOUNT!$E:$E,T_HEADCOUNT!$C:$C,"-  Operador de Delivery",T_HEADCOUNT!$D:$D,"4/2026",T_HEADCOUNT!$B:$B,"CLT")</f>
        <v>0</v>
      </c>
      <c r="S177" s="27">
        <f>SUMIFS(T_REAL!$D:$D,T_REAL!$E:$E,DRE!S$7,T_REAL!$C:$C,DRE!$A177)+SUMIFS(Aut_Ajustes_Manuais!$G:$G,Aut_Ajustes_Manuais!$I:$I,DRE!Q$4,Aut_Ajustes_Manuais!$F:$F,"  -  Operador de Delivery")</f>
        <v>0</v>
      </c>
      <c r="T177" s="237"/>
      <c r="U177" s="26">
        <f>-SUMIFS(T_HEADCOUNT!$E:$E,T_HEADCOUNT!$C:$C,"-  Operador de Delivery",T_HEADCOUNT!$D:$D,"5/2026",T_HEADCOUNT!$B:$B,"CLT")</f>
        <v>0</v>
      </c>
      <c r="V177" s="27">
        <f>SUMIFS(T_REAL!$D:$D,T_REAL!$E:$E,DRE!V$7,T_REAL!$C:$C,DRE!$A177)+SUMIFS(Aut_Ajustes_Manuais!$G:$G,Aut_Ajustes_Manuais!$I:$I,DRE!T$4,Aut_Ajustes_Manuais!$F:$F,"  -  Operador de Delivery")</f>
        <v>0</v>
      </c>
      <c r="W177" s="237"/>
      <c r="X177" s="26">
        <f>-SUMIFS(T_HEADCOUNT!$E:$E,T_HEADCOUNT!$C:$C,"-  Operador de Delivery",T_HEADCOUNT!$D:$D,"6/2026",T_HEADCOUNT!$B:$B,"CLT")</f>
        <v>0</v>
      </c>
      <c r="Y177" s="27">
        <f>SUMIFS(T_REAL!$D:$D,T_REAL!$E:$E,DRE!Y$7,T_REAL!$C:$C,DRE!$A177)+SUMIFS(Aut_Ajustes_Manuais!$G:$G,Aut_Ajustes_Manuais!$I:$I,DRE!W$4,Aut_Ajustes_Manuais!$F:$F,"  -  Operador de Delivery")</f>
        <v>0</v>
      </c>
      <c r="Z177" s="237"/>
      <c r="AA177" s="26">
        <f>-SUMIFS(T_HEADCOUNT!$E:$E,T_HEADCOUNT!$C:$C,"-  Operador de Delivery",T_HEADCOUNT!$D:$D,"7/2026",T_HEADCOUNT!$B:$B,"CLT")</f>
        <v>0</v>
      </c>
      <c r="AB177" s="27">
        <f>SUMIFS(T_REAL!$D:$D,T_REAL!$E:$E,DRE!AB$7,T_REAL!$C:$C,DRE!$A177)+SUMIFS(Aut_Ajustes_Manuais!$G:$G,Aut_Ajustes_Manuais!$I:$I,DRE!Z$4,Aut_Ajustes_Manuais!$F:$F,"  -  Operador de Delivery")</f>
        <v>0</v>
      </c>
      <c r="AC177" s="237"/>
      <c r="AD177" s="26">
        <f>-SUMIFS(T_HEADCOUNT!$E:$E,T_HEADCOUNT!$C:$C,"-  Operador de Delivery",T_HEADCOUNT!$D:$D,"8/2026",T_HEADCOUNT!$B:$B,"CLT")</f>
        <v>0</v>
      </c>
      <c r="AE177" s="27">
        <f>SUMIFS(T_REAL!$D:$D,T_REAL!$E:$E,DRE!AE$7,T_REAL!$C:$C,DRE!$A177)+SUMIFS(Aut_Ajustes_Manuais!$G:$G,Aut_Ajustes_Manuais!$I:$I,DRE!AC$4,Aut_Ajustes_Manuais!$F:$F,"  -  Operador de Delivery")</f>
        <v>0</v>
      </c>
      <c r="AF177" s="237"/>
      <c r="AG177" s="26">
        <f>-SUMIFS(T_HEADCOUNT!$E:$E,T_HEADCOUNT!$C:$C,"-  Operador de Delivery",T_HEADCOUNT!$D:$D,"9/2026",T_HEADCOUNT!$B:$B,"CLT")</f>
        <v>0</v>
      </c>
      <c r="AH177" s="27">
        <f>SUMIFS(T_REAL!$D:$D,T_REAL!$E:$E,DRE!AH$7,T_REAL!$C:$C,DRE!$A177)+SUMIFS(Aut_Ajustes_Manuais!$G:$G,Aut_Ajustes_Manuais!$I:$I,DRE!AF$4,Aut_Ajustes_Manuais!$F:$F,"  -  Operador de Delivery")</f>
        <v>0</v>
      </c>
      <c r="AI177" s="237"/>
      <c r="AJ177" s="26">
        <f>-SUMIFS(T_HEADCOUNT!$E:$E,T_HEADCOUNT!$C:$C,"-  Operador de Delivery",T_HEADCOUNT!$D:$D,"10/2026",T_HEADCOUNT!$B:$B,"CLT")</f>
        <v>0</v>
      </c>
      <c r="AK177" s="27">
        <f>SUMIFS(T_REAL!$D:$D,T_REAL!$E:$E,DRE!AK$7,T_REAL!$C:$C,DRE!$A177)+SUMIFS(Aut_Ajustes_Manuais!$G:$G,Aut_Ajustes_Manuais!$I:$I,DRE!AI$4,Aut_Ajustes_Manuais!$F:$F,"  -  Operador de Delivery")</f>
        <v>0</v>
      </c>
      <c r="AL177" s="237"/>
      <c r="AM177" s="26">
        <f>-SUMIFS(T_HEADCOUNT!$E:$E,T_HEADCOUNT!$C:$C,"-  Operador de Delivery",T_HEADCOUNT!$D:$D,"11/2026",T_HEADCOUNT!$B:$B,"CLT")</f>
        <v>0</v>
      </c>
      <c r="AN177" s="27">
        <f>SUMIFS(T_REAL!$D:$D,T_REAL!$E:$E,DRE!AN$7,T_REAL!$C:$C,DRE!$A177)+SUMIFS(Aut_Ajustes_Manuais!$G:$G,Aut_Ajustes_Manuais!$I:$I,DRE!AL$4,Aut_Ajustes_Manuais!$F:$F,"  -  Operador de Delivery")</f>
        <v>0</v>
      </c>
      <c r="AO177" s="237"/>
      <c r="AP177" s="26">
        <f>-SUMIFS(T_HEADCOUNT!$E:$E,T_HEADCOUNT!$C:$C,"-  Operador de Delivery",T_HEADCOUNT!$D:$D,"12/2026",T_HEADCOUNT!$B:$B,"CLT")</f>
        <v>0</v>
      </c>
      <c r="AQ177" s="27">
        <f>SUMIFS(T_REAL!$D:$D,T_REAL!$E:$E,DRE!AQ$7,T_REAL!$C:$C,DRE!$A177)+SUMIFS(Aut_Ajustes_Manuais!$G:$G,Aut_Ajustes_Manuais!$I:$I,DRE!AO$4,Aut_Ajustes_Manuais!$F:$F,"  -  Operador de Delivery")</f>
        <v>0</v>
      </c>
      <c r="AR177" s="237">
        <f t="shared" ca="1" si="142"/>
        <v>0</v>
      </c>
      <c r="AS177" s="26">
        <f t="shared" ca="1" si="143"/>
        <v>0</v>
      </c>
      <c r="AT177" s="27">
        <f t="shared" ca="1" si="144"/>
        <v>0</v>
      </c>
      <c r="AU177" s="237"/>
      <c r="AV177" s="26"/>
      <c r="AW177" s="27"/>
      <c r="AX177" s="237"/>
      <c r="AY177" s="26">
        <v>0</v>
      </c>
      <c r="AZ177" s="27"/>
      <c r="BA177" s="237"/>
      <c r="BB177" s="26">
        <v>0</v>
      </c>
      <c r="BC177" s="27"/>
      <c r="BD177" s="237"/>
      <c r="BE177" s="26">
        <v>0</v>
      </c>
      <c r="BF177" s="27"/>
      <c r="BG177" s="237"/>
      <c r="BH177" s="26">
        <v>0</v>
      </c>
      <c r="BI177" s="27"/>
      <c r="BJ177" s="454"/>
    </row>
    <row r="178" spans="1:62" s="28" customFormat="1" outlineLevel="1" x14ac:dyDescent="0.3">
      <c r="A178" s="93"/>
      <c r="B178" s="2"/>
      <c r="C178" s="23"/>
      <c r="D178" s="53" t="s">
        <v>143</v>
      </c>
      <c r="E178" s="85"/>
      <c r="F178" s="54"/>
      <c r="G178" s="32"/>
      <c r="H178" s="237"/>
      <c r="I178" s="26"/>
      <c r="J178" s="27"/>
      <c r="K178" s="237"/>
      <c r="L178" s="26"/>
      <c r="M178" s="27"/>
      <c r="N178" s="237"/>
      <c r="O178" s="26"/>
      <c r="P178" s="27"/>
      <c r="Q178" s="237"/>
      <c r="R178" s="26"/>
      <c r="S178" s="27"/>
      <c r="T178" s="237"/>
      <c r="U178" s="26"/>
      <c r="V178" s="27"/>
      <c r="W178" s="237"/>
      <c r="X178" s="26"/>
      <c r="Y178" s="27"/>
      <c r="Z178" s="237"/>
      <c r="AA178" s="26"/>
      <c r="AB178" s="27"/>
      <c r="AC178" s="237"/>
      <c r="AD178" s="26"/>
      <c r="AE178" s="27"/>
      <c r="AF178" s="237"/>
      <c r="AG178" s="26"/>
      <c r="AH178" s="27"/>
      <c r="AI178" s="237"/>
      <c r="AJ178" s="26"/>
      <c r="AK178" s="27"/>
      <c r="AL178" s="237"/>
      <c r="AM178" s="26"/>
      <c r="AN178" s="27"/>
      <c r="AO178" s="237"/>
      <c r="AP178" s="26"/>
      <c r="AQ178" s="27"/>
      <c r="AR178" s="237">
        <f t="shared" ca="1" si="142"/>
        <v>0</v>
      </c>
      <c r="AS178" s="26">
        <f t="shared" ca="1" si="143"/>
        <v>0</v>
      </c>
      <c r="AT178" s="27">
        <f t="shared" ca="1" si="144"/>
        <v>0</v>
      </c>
      <c r="AU178" s="237"/>
      <c r="AV178" s="26"/>
      <c r="AW178" s="27"/>
      <c r="AX178" s="237"/>
      <c r="AY178" s="26">
        <v>0</v>
      </c>
      <c r="AZ178" s="27"/>
      <c r="BA178" s="237"/>
      <c r="BB178" s="26">
        <v>0</v>
      </c>
      <c r="BC178" s="27"/>
      <c r="BD178" s="237"/>
      <c r="BE178" s="26">
        <v>0</v>
      </c>
      <c r="BF178" s="27"/>
      <c r="BG178" s="237"/>
      <c r="BH178" s="26">
        <v>0</v>
      </c>
      <c r="BI178" s="27"/>
      <c r="BJ178" s="454"/>
    </row>
    <row r="179" spans="1:62" x14ac:dyDescent="0.3">
      <c r="A179" s="71" t="s">
        <v>200</v>
      </c>
      <c r="C179" s="38" t="s">
        <v>35</v>
      </c>
      <c r="D179" s="38" t="s">
        <v>36</v>
      </c>
      <c r="E179" s="38" t="s">
        <v>201</v>
      </c>
      <c r="F179" s="39"/>
      <c r="G179" s="6"/>
      <c r="H179" s="248"/>
      <c r="I179" s="72">
        <f>SUM(I180)</f>
        <v>0</v>
      </c>
      <c r="J179" s="74">
        <f>SUM(J180)+SUMIFS(Aut_Ajustes_Manuais!$G:$G,Aut_Ajustes_Manuais!$I:$I,DRE!H$4,Aut_Ajustes_Manuais!$F:$F,"E-Staff")</f>
        <v>0</v>
      </c>
      <c r="K179" s="248"/>
      <c r="L179" s="72">
        <f>SUM(L180)</f>
        <v>0</v>
      </c>
      <c r="M179" s="74">
        <f>SUM(M180)+SUMIFS(Aut_Ajustes_Manuais!$G:$G,Aut_Ajustes_Manuais!$I:$I,DRE!K$4,Aut_Ajustes_Manuais!$F:$F,"E-Staff")</f>
        <v>0</v>
      </c>
      <c r="N179" s="248"/>
      <c r="O179" s="72">
        <f>SUM(O180)</f>
        <v>0</v>
      </c>
      <c r="P179" s="74">
        <f>SUM(P180)+SUMIFS(Aut_Ajustes_Manuais!$G:$G,Aut_Ajustes_Manuais!$I:$I,DRE!N$4,Aut_Ajustes_Manuais!$F:$F,"E-Staff")</f>
        <v>0</v>
      </c>
      <c r="Q179" s="248"/>
      <c r="R179" s="72">
        <f>SUM(R180)</f>
        <v>0</v>
      </c>
      <c r="S179" s="74">
        <f>SUM(S180)+SUMIFS(Aut_Ajustes_Manuais!$G:$G,Aut_Ajustes_Manuais!$I:$I,DRE!Q$4,Aut_Ajustes_Manuais!$F:$F,"E-Staff")</f>
        <v>0</v>
      </c>
      <c r="T179" s="248"/>
      <c r="U179" s="72">
        <f>SUM(U180)</f>
        <v>0</v>
      </c>
      <c r="V179" s="74">
        <f>SUM(V180)+SUMIFS(Aut_Ajustes_Manuais!$G:$G,Aut_Ajustes_Manuais!$I:$I,DRE!T$4,Aut_Ajustes_Manuais!$F:$F,"E-Staff")</f>
        <v>0</v>
      </c>
      <c r="W179" s="248"/>
      <c r="X179" s="72">
        <f>SUM(X180)</f>
        <v>0</v>
      </c>
      <c r="Y179" s="74">
        <f>SUM(Y180)+SUMIFS(Aut_Ajustes_Manuais!$G:$G,Aut_Ajustes_Manuais!$I:$I,DRE!W$4,Aut_Ajustes_Manuais!$F:$F,"E-Staff")</f>
        <v>0</v>
      </c>
      <c r="Z179" s="248"/>
      <c r="AA179" s="72">
        <f>SUM(AA180)</f>
        <v>0</v>
      </c>
      <c r="AB179" s="74">
        <f>SUM(AB180)+SUMIFS(Aut_Ajustes_Manuais!$G:$G,Aut_Ajustes_Manuais!$I:$I,DRE!Z$4,Aut_Ajustes_Manuais!$F:$F,"E-Staff")</f>
        <v>-2900</v>
      </c>
      <c r="AC179" s="248"/>
      <c r="AD179" s="72">
        <f>SUM(AD180)</f>
        <v>-91001.73</v>
      </c>
      <c r="AE179" s="74">
        <f>SUM(AE180)+SUMIFS(Aut_Ajustes_Manuais!$G:$G,Aut_Ajustes_Manuais!$I:$I,DRE!AC$4,Aut_Ajustes_Manuais!$F:$F,"E-Staff")</f>
        <v>0</v>
      </c>
      <c r="AF179" s="248"/>
      <c r="AG179" s="72">
        <f>SUM(AG180)</f>
        <v>-88165.29</v>
      </c>
      <c r="AH179" s="74">
        <f>SUM(AH180)+SUMIFS(Aut_Ajustes_Manuais!$G:$G,Aut_Ajustes_Manuais!$I:$I,DRE!AF$4,Aut_Ajustes_Manuais!$F:$F,"E-Staff")</f>
        <v>0</v>
      </c>
      <c r="AI179" s="248"/>
      <c r="AJ179" s="72">
        <f>SUM(AJ180)</f>
        <v>-96767.95</v>
      </c>
      <c r="AK179" s="74">
        <f>SUM(AK180)+SUMIFS(Aut_Ajustes_Manuais!$G:$G,Aut_Ajustes_Manuais!$I:$I,DRE!AI$4,Aut_Ajustes_Manuais!$F:$F,"E-Staff")</f>
        <v>0</v>
      </c>
      <c r="AL179" s="248"/>
      <c r="AM179" s="72">
        <f>SUM(AM180)</f>
        <v>-89143.46</v>
      </c>
      <c r="AN179" s="74">
        <f>SUM(AN180)+SUMIFS(Aut_Ajustes_Manuais!$G:$G,Aut_Ajustes_Manuais!$I:$I,DRE!AL$4,Aut_Ajustes_Manuais!$F:$F,"E-Staff")</f>
        <v>0</v>
      </c>
      <c r="AO179" s="248"/>
      <c r="AP179" s="72">
        <f>SUM(AP180)</f>
        <v>-97119</v>
      </c>
      <c r="AQ179" s="74">
        <f>SUM(AQ180)+SUMIFS(Aut_Ajustes_Manuais!$G:$G,Aut_Ajustes_Manuais!$I:$I,DRE!AO$4,Aut_Ajustes_Manuais!$F:$F,"E-Staff")</f>
        <v>0</v>
      </c>
      <c r="AR179" s="248">
        <f t="shared" ca="1" si="142"/>
        <v>0</v>
      </c>
      <c r="AS179" s="72">
        <f t="shared" ca="1" si="143"/>
        <v>-91001.73</v>
      </c>
      <c r="AT179" s="74">
        <f t="shared" ca="1" si="144"/>
        <v>-2900</v>
      </c>
      <c r="AU179" s="248">
        <f t="shared" ref="AU179:BI179" si="145">SUM(AU180)</f>
        <v>0</v>
      </c>
      <c r="AV179" s="72">
        <f t="shared" si="145"/>
        <v>-462197.43</v>
      </c>
      <c r="AW179" s="74">
        <f t="shared" si="145"/>
        <v>-2900</v>
      </c>
      <c r="AX179" s="248">
        <f t="shared" si="145"/>
        <v>0</v>
      </c>
      <c r="AY179" s="72">
        <f t="shared" si="145"/>
        <v>0</v>
      </c>
      <c r="AZ179" s="74">
        <f t="shared" si="145"/>
        <v>0</v>
      </c>
      <c r="BA179" s="248">
        <f t="shared" si="145"/>
        <v>0</v>
      </c>
      <c r="BB179" s="72">
        <f t="shared" si="145"/>
        <v>0</v>
      </c>
      <c r="BC179" s="74">
        <f t="shared" si="145"/>
        <v>0</v>
      </c>
      <c r="BD179" s="248">
        <f t="shared" si="145"/>
        <v>0</v>
      </c>
      <c r="BE179" s="72">
        <f t="shared" si="145"/>
        <v>-179167.02</v>
      </c>
      <c r="BF179" s="74">
        <f t="shared" si="145"/>
        <v>-2900</v>
      </c>
      <c r="BG179" s="248">
        <f t="shared" si="145"/>
        <v>0</v>
      </c>
      <c r="BH179" s="72">
        <f t="shared" si="145"/>
        <v>-283030.41000000003</v>
      </c>
      <c r="BI179" s="74">
        <f t="shared" si="145"/>
        <v>0</v>
      </c>
    </row>
    <row r="180" spans="1:62" s="28" customFormat="1" outlineLevel="1" x14ac:dyDescent="0.3">
      <c r="A180" s="21" t="s">
        <v>202</v>
      </c>
      <c r="B180" s="2"/>
      <c r="C180" s="23"/>
      <c r="D180" s="53"/>
      <c r="E180" s="94"/>
      <c r="F180" s="39"/>
      <c r="G180" s="32"/>
      <c r="H180" s="237"/>
      <c r="I180" s="26">
        <f>-SUMIFS(T_ORCAMENTOS!$E:$E,T_ORCAMENTOS!$C:$C,"Mão de Obra Extra",T_ORCAMENTOS!$H:$H,"1/2026")</f>
        <v>0</v>
      </c>
      <c r="J180" s="27">
        <f>SUMIFS(Aut_BlueMe_Sem_Pedido!$J:$J,Aut_BlueMe_Sem_Pedido!$Q:$Q,DRE!H$4,Aut_BlueMe_Sem_Pedido!$H:$H,DRE!$A180)+SUMIFS(Aut_Ajustes_Manuais!$G:$G,Aut_Ajustes_Manuais!$I:$I,DRE!H$4,Aut_Ajustes_Manuais!$F:$F,"Mão de Obra Extra")</f>
        <v>0</v>
      </c>
      <c r="K180" s="237"/>
      <c r="L180" s="26">
        <f>-SUMIFS(T_ORCAMENTOS!$E:$E,T_ORCAMENTOS!$C:$C,"Mão de Obra Extra",T_ORCAMENTOS!$H:$H,"2/2026")</f>
        <v>0</v>
      </c>
      <c r="M180" s="27">
        <f>SUMIFS(Aut_BlueMe_Sem_Pedido!$J:$J,Aut_BlueMe_Sem_Pedido!$Q:$Q,DRE!K$4,Aut_BlueMe_Sem_Pedido!$H:$H,DRE!$A180)+SUMIFS(Aut_Ajustes_Manuais!$G:$G,Aut_Ajustes_Manuais!$I:$I,DRE!K$4,Aut_Ajustes_Manuais!$F:$F,"Mão de Obra Extra")</f>
        <v>0</v>
      </c>
      <c r="N180" s="237"/>
      <c r="O180" s="26">
        <f>-SUMIFS(T_ORCAMENTOS!$E:$E,T_ORCAMENTOS!$C:$C,"Mão de Obra Extra",T_ORCAMENTOS!$H:$H,"3/2026")</f>
        <v>0</v>
      </c>
      <c r="P180" s="27">
        <f>SUMIFS(Aut_BlueMe_Sem_Pedido!$J:$J,Aut_BlueMe_Sem_Pedido!$Q:$Q,DRE!N$4,Aut_BlueMe_Sem_Pedido!$H:$H,DRE!$A180)+SUMIFS(Aut_Ajustes_Manuais!$G:$G,Aut_Ajustes_Manuais!$I:$I,DRE!N$4,Aut_Ajustes_Manuais!$F:$F,"Mão de Obra Extra")</f>
        <v>0</v>
      </c>
      <c r="Q180" s="237"/>
      <c r="R180" s="26">
        <f>-SUMIFS(T_ORCAMENTOS!$E:$E,T_ORCAMENTOS!$C:$C,"Mão de Obra Extra",T_ORCAMENTOS!$H:$H,"4/2026")</f>
        <v>0</v>
      </c>
      <c r="S180" s="27">
        <f>SUMIFS(Aut_BlueMe_Sem_Pedido!$J:$J,Aut_BlueMe_Sem_Pedido!$Q:$Q,DRE!Q$4,Aut_BlueMe_Sem_Pedido!$H:$H,DRE!$A180)+SUMIFS(Aut_Ajustes_Manuais!$G:$G,Aut_Ajustes_Manuais!$I:$I,DRE!Q$4,Aut_Ajustes_Manuais!$F:$F,"Mão de Obra Extra")</f>
        <v>0</v>
      </c>
      <c r="T180" s="237"/>
      <c r="U180" s="26">
        <f>-SUMIFS(T_ORCAMENTOS!$E:$E,T_ORCAMENTOS!$C:$C,"Mão de Obra Extra",T_ORCAMENTOS!$H:$H,"5/2026")</f>
        <v>0</v>
      </c>
      <c r="V180" s="27">
        <f>SUMIFS(Aut_BlueMe_Sem_Pedido!$J:$J,Aut_BlueMe_Sem_Pedido!$Q:$Q,DRE!T$4,Aut_BlueMe_Sem_Pedido!$H:$H,DRE!$A180)+SUMIFS(Aut_Ajustes_Manuais!$G:$G,Aut_Ajustes_Manuais!$I:$I,DRE!T$4,Aut_Ajustes_Manuais!$F:$F,"Mão de Obra Extra")</f>
        <v>0</v>
      </c>
      <c r="W180" s="237"/>
      <c r="X180" s="26">
        <f>-SUMIFS(T_ORCAMENTOS!$E:$E,T_ORCAMENTOS!$C:$C,"Mão de Obra Extra",T_ORCAMENTOS!$H:$H,"6/2026")</f>
        <v>0</v>
      </c>
      <c r="Y180" s="27">
        <f>SUMIFS(Aut_BlueMe_Sem_Pedido!$J:$J,Aut_BlueMe_Sem_Pedido!$Q:$Q,DRE!W$4,Aut_BlueMe_Sem_Pedido!$H:$H,DRE!$A180)+SUMIFS(Aut_Ajustes_Manuais!$G:$G,Aut_Ajustes_Manuais!$I:$I,DRE!W$4,Aut_Ajustes_Manuais!$F:$F,"Mão de Obra Extra")</f>
        <v>0</v>
      </c>
      <c r="Z180" s="237"/>
      <c r="AA180" s="26">
        <f>-SUMIFS(T_ORCAMENTOS!$E:$E,T_ORCAMENTOS!$C:$C,"Mão de Obra Extra",T_ORCAMENTOS!$H:$H,"7/2026")</f>
        <v>0</v>
      </c>
      <c r="AB180" s="27">
        <f>SUMIFS(Aut_BlueMe_Sem_Pedido!$J:$J,Aut_BlueMe_Sem_Pedido!$Q:$Q,DRE!Z$4,Aut_BlueMe_Sem_Pedido!$H:$H,DRE!$A180)+SUMIFS(Aut_Ajustes_Manuais!$G:$G,Aut_Ajustes_Manuais!$I:$I,DRE!Z$4,Aut_Ajustes_Manuais!$F:$F,"Mão de Obra Extra")</f>
        <v>-2900</v>
      </c>
      <c r="AC180" s="237"/>
      <c r="AD180" s="26">
        <f>-SUMIFS(T_ORCAMENTOS!$E:$E,T_ORCAMENTOS!$C:$C,"Mão de Obra Extra",T_ORCAMENTOS!$H:$H,"8/2026")</f>
        <v>-91001.73</v>
      </c>
      <c r="AE180" s="27">
        <f>SUMIFS(Aut_BlueMe_Sem_Pedido!$J:$J,Aut_BlueMe_Sem_Pedido!$Q:$Q,DRE!AC$4,Aut_BlueMe_Sem_Pedido!$H:$H,DRE!$A180)+SUMIFS(Aut_Ajustes_Manuais!$G:$G,Aut_Ajustes_Manuais!$I:$I,DRE!AC$4,Aut_Ajustes_Manuais!$F:$F,"Mão de Obra Extra")</f>
        <v>0</v>
      </c>
      <c r="AF180" s="237"/>
      <c r="AG180" s="26">
        <f>-SUMIFS(T_ORCAMENTOS!$E:$E,T_ORCAMENTOS!$C:$C,"Mão de Obra Extra",T_ORCAMENTOS!$H:$H,"9/2026")</f>
        <v>-88165.29</v>
      </c>
      <c r="AH180" s="27">
        <f>SUMIFS(Aut_BlueMe_Sem_Pedido!$J:$J,Aut_BlueMe_Sem_Pedido!$Q:$Q,DRE!AF$4,Aut_BlueMe_Sem_Pedido!$H:$H,DRE!$A180)+SUMIFS(Aut_Ajustes_Manuais!$G:$G,Aut_Ajustes_Manuais!$I:$I,DRE!AF$4,Aut_Ajustes_Manuais!$F:$F,"Mão de Obra Extra")</f>
        <v>0</v>
      </c>
      <c r="AI180" s="237"/>
      <c r="AJ180" s="26">
        <f>-SUMIFS(T_ORCAMENTOS!$E:$E,T_ORCAMENTOS!$C:$C,"Mão de Obra Extra",T_ORCAMENTOS!$H:$H,"10/2026")</f>
        <v>-96767.95</v>
      </c>
      <c r="AK180" s="27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37"/>
      <c r="AM180" s="26">
        <f>-SUMIFS(T_ORCAMENTOS!$E:$E,T_ORCAMENTOS!$C:$C,"Mão de Obra Extra",T_ORCAMENTOS!$H:$H,"11/2026")</f>
        <v>-89143.46</v>
      </c>
      <c r="AN180" s="27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37"/>
      <c r="AP180" s="26">
        <f>-SUMIFS(T_ORCAMENTOS!$E:$E,T_ORCAMENTOS!$C:$C,"Mão de Obra Extra",T_ORCAMENTOS!$H:$H,"12/2026")</f>
        <v>-97119</v>
      </c>
      <c r="AQ180" s="27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37">
        <f t="shared" ca="1" si="142"/>
        <v>0</v>
      </c>
      <c r="AS180" s="26">
        <f t="shared" ca="1" si="143"/>
        <v>-91001.73</v>
      </c>
      <c r="AT180" s="27">
        <f t="shared" ca="1" si="144"/>
        <v>-2900</v>
      </c>
      <c r="AU180" s="237">
        <f t="shared" ref="AU180:AW181" si="146">SUM(H180,K180,N180,Q180,T180,W180,Z180,AC180,AF180,AI180,AL180,AO180)</f>
        <v>0</v>
      </c>
      <c r="AV180" s="26">
        <f t="shared" si="146"/>
        <v>-462197.43</v>
      </c>
      <c r="AW180" s="27">
        <f t="shared" si="146"/>
        <v>-2900</v>
      </c>
      <c r="AX180" s="237">
        <f t="shared" ref="AX180:AZ181" si="147">SUM(H180,K180,N180)</f>
        <v>0</v>
      </c>
      <c r="AY180" s="26">
        <f t="shared" si="147"/>
        <v>0</v>
      </c>
      <c r="AZ180" s="27">
        <f t="shared" si="147"/>
        <v>0</v>
      </c>
      <c r="BA180" s="237">
        <f t="shared" ref="BA180:BC181" si="148">SUM(Q180,T180,W180)</f>
        <v>0</v>
      </c>
      <c r="BB180" s="26">
        <f t="shared" si="148"/>
        <v>0</v>
      </c>
      <c r="BC180" s="27">
        <f t="shared" si="148"/>
        <v>0</v>
      </c>
      <c r="BD180" s="237">
        <f t="shared" ref="BD180:BF181" si="149">SUM(Z180,AC180,AF180)</f>
        <v>0</v>
      </c>
      <c r="BE180" s="26">
        <f t="shared" si="149"/>
        <v>-179167.02</v>
      </c>
      <c r="BF180" s="27">
        <f t="shared" si="149"/>
        <v>-2900</v>
      </c>
      <c r="BG180" s="237">
        <f t="shared" ref="BG180:BI181" si="150">SUM(AI180,AL180,AO180)</f>
        <v>0</v>
      </c>
      <c r="BH180" s="26">
        <f t="shared" si="150"/>
        <v>-283030.41000000003</v>
      </c>
      <c r="BI180" s="27">
        <f t="shared" si="150"/>
        <v>0</v>
      </c>
      <c r="BJ180" s="454"/>
    </row>
    <row r="181" spans="1:62" s="28" customFormat="1" outlineLevel="1" x14ac:dyDescent="0.3">
      <c r="A181" s="21" t="s">
        <v>203</v>
      </c>
      <c r="B181" s="2"/>
      <c r="C181" s="23"/>
      <c r="D181" s="53"/>
      <c r="E181" s="94"/>
      <c r="F181" s="39"/>
      <c r="G181" s="32"/>
      <c r="H181" s="237"/>
      <c r="I181" s="26"/>
      <c r="J181" s="27">
        <f>-J180/2+SUMIFS(Aut_Ajustes_Manuais!$G:$G,Aut_Ajustes_Manuais!$I:$I,DRE!H$4,Aut_Ajustes_Manuais!$F:$F,"  -  Gorjeta (Retenção Estaff) (+)")</f>
        <v>0</v>
      </c>
      <c r="K181" s="237"/>
      <c r="L181" s="26"/>
      <c r="M181" s="27">
        <f>-M180/2+SUMIFS(Aut_Ajustes_Manuais!$G:$G,Aut_Ajustes_Manuais!$I:$I,DRE!K$4,Aut_Ajustes_Manuais!$F:$F,"  -  Gorjeta (Retenção Estaff) (+)")</f>
        <v>0</v>
      </c>
      <c r="N181" s="237"/>
      <c r="O181" s="26"/>
      <c r="P181" s="27">
        <f>-P180/2+SUMIFS(Aut_Ajustes_Manuais!$G:$G,Aut_Ajustes_Manuais!$I:$I,DRE!N$4,Aut_Ajustes_Manuais!$F:$F,"  -  Gorjeta (Retenção Estaff) (+)")</f>
        <v>0</v>
      </c>
      <c r="Q181" s="237"/>
      <c r="R181" s="26"/>
      <c r="S181" s="27">
        <f>-S180/2+SUMIFS(Aut_Ajustes_Manuais!$G:$G,Aut_Ajustes_Manuais!$I:$I,DRE!Q$4,Aut_Ajustes_Manuais!$F:$F,"  -  Gorjeta (Retenção Estaff) (+)")</f>
        <v>0</v>
      </c>
      <c r="T181" s="237"/>
      <c r="U181" s="26"/>
      <c r="V181" s="27">
        <f>-V180/2+SUMIFS(Aut_Ajustes_Manuais!$G:$G,Aut_Ajustes_Manuais!$I:$I,DRE!T$4,Aut_Ajustes_Manuais!$F:$F,"  -  Gorjeta (Retenção Estaff) (+)")</f>
        <v>0</v>
      </c>
      <c r="W181" s="237"/>
      <c r="X181" s="26"/>
      <c r="Y181" s="27">
        <f>-Y180/2+SUMIFS(Aut_Ajustes_Manuais!$G:$G,Aut_Ajustes_Manuais!$I:$I,DRE!W$4,Aut_Ajustes_Manuais!$F:$F,"  -  Gorjeta (Retenção Estaff) (+)")</f>
        <v>0</v>
      </c>
      <c r="Z181" s="237"/>
      <c r="AA181" s="26"/>
      <c r="AB181" s="27">
        <f>-AB180/2+SUMIFS(Aut_Ajustes_Manuais!$G:$G,Aut_Ajustes_Manuais!$I:$I,DRE!Z$4,Aut_Ajustes_Manuais!$F:$F,"  -  Gorjeta (Retenção Estaff) (+)")</f>
        <v>1450</v>
      </c>
      <c r="AC181" s="237"/>
      <c r="AD181" s="26">
        <v>45500.864488500003</v>
      </c>
      <c r="AE181" s="27">
        <f>-AE180/2+SUMIFS(Aut_Ajustes_Manuais!$G:$G,Aut_Ajustes_Manuais!$I:$I,DRE!AC$4,Aut_Ajustes_Manuais!$F:$F,"  -  Gorjeta (Retenção Estaff) (+)")</f>
        <v>0</v>
      </c>
      <c r="AF181" s="237"/>
      <c r="AG181" s="26">
        <v>44082.645470700001</v>
      </c>
      <c r="AH181" s="27">
        <f>-AH180/2+SUMIFS(Aut_Ajustes_Manuais!$G:$G,Aut_Ajustes_Manuais!$I:$I,DRE!AF$4,Aut_Ajustes_Manuais!$F:$F,"  -  Gorjeta (Retenção Estaff) (+)")</f>
        <v>0</v>
      </c>
      <c r="AI181" s="237"/>
      <c r="AJ181" s="26">
        <v>48383.976402199994</v>
      </c>
      <c r="AK181" s="27">
        <f>-AK180/2+SUMIFS(Aut_Ajustes_Manuais!$G:$G,Aut_Ajustes_Manuais!$I:$I,DRE!AI$4,Aut_Ajustes_Manuais!$F:$F,"  -  Gorjeta (Retenção Estaff) (+)")</f>
        <v>0</v>
      </c>
      <c r="AL181" s="237"/>
      <c r="AM181" s="26">
        <v>44571.728521500001</v>
      </c>
      <c r="AN181" s="27">
        <f>-AN180/2+SUMIFS(Aut_Ajustes_Manuais!$G:$G,Aut_Ajustes_Manuais!$I:$I,DRE!AL$4,Aut_Ajustes_Manuais!$F:$F,"  -  Gorjeta (Retenção Estaff) (+)")</f>
        <v>0</v>
      </c>
      <c r="AO181" s="237"/>
      <c r="AP181" s="26">
        <v>48559.502230699996</v>
      </c>
      <c r="AQ181" s="27">
        <f>-AQ180/2+SUMIFS(Aut_Ajustes_Manuais!$G:$G,Aut_Ajustes_Manuais!$I:$I,DRE!AO$4,Aut_Ajustes_Manuais!$F:$F,"  -  Gorjeta (Retenção Estaff) (+)")</f>
        <v>0</v>
      </c>
      <c r="AR181" s="237">
        <f t="shared" ca="1" si="142"/>
        <v>0</v>
      </c>
      <c r="AS181" s="26">
        <f t="shared" ca="1" si="143"/>
        <v>45500.864488500003</v>
      </c>
      <c r="AT181" s="27">
        <f t="shared" ca="1" si="144"/>
        <v>1450</v>
      </c>
      <c r="AU181" s="237">
        <f t="shared" si="146"/>
        <v>0</v>
      </c>
      <c r="AV181" s="26">
        <f t="shared" si="146"/>
        <v>231098.7171136</v>
      </c>
      <c r="AW181" s="27">
        <f t="shared" si="146"/>
        <v>1450</v>
      </c>
      <c r="AX181" s="237">
        <f t="shared" si="147"/>
        <v>0</v>
      </c>
      <c r="AY181" s="26">
        <f t="shared" si="147"/>
        <v>0</v>
      </c>
      <c r="AZ181" s="27">
        <f t="shared" si="147"/>
        <v>0</v>
      </c>
      <c r="BA181" s="237">
        <f t="shared" si="148"/>
        <v>0</v>
      </c>
      <c r="BB181" s="26">
        <f t="shared" si="148"/>
        <v>0</v>
      </c>
      <c r="BC181" s="27">
        <f t="shared" si="148"/>
        <v>0</v>
      </c>
      <c r="BD181" s="237">
        <f t="shared" si="149"/>
        <v>0</v>
      </c>
      <c r="BE181" s="26">
        <f t="shared" si="149"/>
        <v>89583.509959200004</v>
      </c>
      <c r="BF181" s="27">
        <f t="shared" si="149"/>
        <v>1450</v>
      </c>
      <c r="BG181" s="237">
        <f t="shared" si="150"/>
        <v>0</v>
      </c>
      <c r="BH181" s="26">
        <f t="shared" si="150"/>
        <v>141515.20715439998</v>
      </c>
      <c r="BI181" s="27">
        <f t="shared" si="150"/>
        <v>0</v>
      </c>
      <c r="BJ181" s="454"/>
    </row>
    <row r="182" spans="1:62" x14ac:dyDescent="0.3">
      <c r="A182" s="71" t="s">
        <v>204</v>
      </c>
      <c r="C182" s="38" t="s">
        <v>35</v>
      </c>
      <c r="D182" s="38" t="s">
        <v>36</v>
      </c>
      <c r="E182" s="38" t="s">
        <v>201</v>
      </c>
      <c r="F182" s="39"/>
      <c r="G182" s="45"/>
      <c r="H182" s="254"/>
      <c r="I182" s="73">
        <f>SUM(I183:I198)</f>
        <v>0</v>
      </c>
      <c r="J182" s="74">
        <f>SUM(J183:J198)+SUMIFS(Aut_Ajustes_Manuais!$G:$G,Aut_Ajustes_Manuais!$I:$I,DRE!H$4,Aut_Ajustes_Manuais!$F:$F,"Encargos e Provisões")</f>
        <v>-610.10473939393944</v>
      </c>
      <c r="K182" s="254"/>
      <c r="L182" s="73">
        <f>SUM(L183:L198)</f>
        <v>0</v>
      </c>
      <c r="M182" s="74">
        <f>SUM(M183:M198)+SUMIFS(Aut_Ajustes_Manuais!$G:$G,Aut_Ajustes_Manuais!$I:$I,DRE!K$4,Aut_Ajustes_Manuais!$F:$F,"Encargos e Provisões")</f>
        <v>-610.10473939393944</v>
      </c>
      <c r="N182" s="254"/>
      <c r="O182" s="73">
        <f>SUM(O183:O198)</f>
        <v>0</v>
      </c>
      <c r="P182" s="74">
        <f>SUM(P183:P198)+SUMIFS(Aut_Ajustes_Manuais!$G:$G,Aut_Ajustes_Manuais!$I:$I,DRE!N$4,Aut_Ajustes_Manuais!$F:$F,"Encargos e Provisões")</f>
        <v>-610.10473939393944</v>
      </c>
      <c r="Q182" s="254"/>
      <c r="R182" s="73">
        <f>SUM(R183:R198)</f>
        <v>0</v>
      </c>
      <c r="S182" s="73">
        <f>SUM(S183:S198)+SUMIFS(Aut_Ajustes_Manuais!$G:$G,Aut_Ajustes_Manuais!$I:$I,DRE!Q$4,Aut_Ajustes_Manuais!$F:$F,"Encargos e Provisões")</f>
        <v>0</v>
      </c>
      <c r="T182" s="254"/>
      <c r="U182" s="73">
        <f>SUM(U183:U198)</f>
        <v>0</v>
      </c>
      <c r="V182" s="74">
        <f>SUM(V183:V198)+SUMIFS(Aut_Ajustes_Manuais!$G:$G,Aut_Ajustes_Manuais!$I:$I,DRE!T$4,Aut_Ajustes_Manuais!$F:$F,"Encargos e Provisões")</f>
        <v>-10911.775122963452</v>
      </c>
      <c r="W182" s="254"/>
      <c r="X182" s="73">
        <f>SUM(X183:X198)</f>
        <v>0</v>
      </c>
      <c r="Y182" s="74">
        <f>SUM(Y183:Y198)+SUMIFS(Aut_Ajustes_Manuais!$G:$G,Aut_Ajustes_Manuais!$I:$I,DRE!W$4,Aut_Ajustes_Manuais!$F:$F,"Encargos e Provisões")</f>
        <v>-25519.692828675463</v>
      </c>
      <c r="Z182" s="254"/>
      <c r="AA182" s="73">
        <f>SUM(AA183:AA198)</f>
        <v>0</v>
      </c>
      <c r="AB182" s="74">
        <f>SUM(AB183:AB198)+SUMIFS(Aut_Ajustes_Manuais!$G:$G,Aut_Ajustes_Manuais!$I:$I,DRE!Z$4,Aut_Ajustes_Manuais!$F:$F,"Encargos e Provisões")</f>
        <v>-15515.711435897249</v>
      </c>
      <c r="AC182" s="254"/>
      <c r="AD182" s="73">
        <f>SUM(AD183:AD198)</f>
        <v>-102146.48999999999</v>
      </c>
      <c r="AE182" s="74">
        <f>SUM(AE183:AE198)+SUMIFS(Aut_Ajustes_Manuais!$G:$G,Aut_Ajustes_Manuais!$I:$I,DRE!AC$4,Aut_Ajustes_Manuais!$F:$F,"Encargos e Provisões")</f>
        <v>-14745.642800078</v>
      </c>
      <c r="AF182" s="254"/>
      <c r="AG182" s="73">
        <f>SUM(AG183:AG198)</f>
        <v>-100702.83000000002</v>
      </c>
      <c r="AH182" s="74">
        <f>SUM(AH183:AH198)+SUMIFS(Aut_Ajustes_Manuais!$G:$G,Aut_Ajustes_Manuais!$I:$I,DRE!AF$4,Aut_Ajustes_Manuais!$F:$F,"Encargos e Provisões")</f>
        <v>-18120.980159253635</v>
      </c>
      <c r="AI182" s="254"/>
      <c r="AJ182" s="73">
        <f>SUM(AJ183:AJ198)</f>
        <v>-105080.40999999999</v>
      </c>
      <c r="AK182" s="74">
        <f>SUM(AK183:AK198)+SUMIFS(Aut_Ajustes_Manuais!$G:$G,Aut_Ajustes_Manuais!$I:$I,DRE!AI$4,Aut_Ajustes_Manuais!$F:$F,"Encargos e Provisões")</f>
        <v>-18120.980159253635</v>
      </c>
      <c r="AL182" s="254"/>
      <c r="AM182" s="73">
        <f>SUM(AM183:AM198)</f>
        <v>-101164.97999999998</v>
      </c>
      <c r="AN182" s="74">
        <f>SUM(AN183:AN198)+SUMIFS(Aut_Ajustes_Manuais!$G:$G,Aut_Ajustes_Manuais!$I:$I,DRE!AL$4,Aut_Ajustes_Manuais!$F:$F,"Encargos e Provisões")</f>
        <v>-18120.980159253635</v>
      </c>
      <c r="AO182" s="254"/>
      <c r="AP182" s="73">
        <f>SUM(AP183:AP198)</f>
        <v>-105457.23000000001</v>
      </c>
      <c r="AQ182" s="74">
        <f>SUM(AQ183:AQ198)+SUMIFS(Aut_Ajustes_Manuais!$G:$G,Aut_Ajustes_Manuais!$I:$I,DRE!AO$4,Aut_Ajustes_Manuais!$F:$F,"Encargos e Provisões")</f>
        <v>-18120.980159253635</v>
      </c>
      <c r="AR182" s="254">
        <f t="shared" ca="1" si="142"/>
        <v>0</v>
      </c>
      <c r="AS182" s="73">
        <f t="shared" ca="1" si="143"/>
        <v>-102146.48999999999</v>
      </c>
      <c r="AT182" s="74">
        <f t="shared" ca="1" si="144"/>
        <v>-68523.136405795987</v>
      </c>
      <c r="AU182" s="254">
        <f t="shared" ref="AU182:BI182" si="151">SUM(AU183:AU198)</f>
        <v>0</v>
      </c>
      <c r="AV182" s="73">
        <f t="shared" si="151"/>
        <v>-514551.94000000006</v>
      </c>
      <c r="AW182" s="74">
        <f t="shared" si="151"/>
        <v>-141007.05704281054</v>
      </c>
      <c r="AX182" s="254">
        <f t="shared" si="151"/>
        <v>0</v>
      </c>
      <c r="AY182" s="73">
        <f t="shared" si="151"/>
        <v>0</v>
      </c>
      <c r="AZ182" s="74">
        <f t="shared" si="151"/>
        <v>-1830.3142181818182</v>
      </c>
      <c r="BA182" s="254">
        <f t="shared" si="151"/>
        <v>0</v>
      </c>
      <c r="BB182" s="73">
        <f t="shared" si="151"/>
        <v>0</v>
      </c>
      <c r="BC182" s="74">
        <f t="shared" si="151"/>
        <v>-36431.467951638922</v>
      </c>
      <c r="BD182" s="254">
        <f t="shared" si="151"/>
        <v>0</v>
      </c>
      <c r="BE182" s="73">
        <f t="shared" si="151"/>
        <v>-202849.32</v>
      </c>
      <c r="BF182" s="74">
        <f t="shared" si="151"/>
        <v>-48382.334395228871</v>
      </c>
      <c r="BG182" s="254">
        <f t="shared" si="151"/>
        <v>0</v>
      </c>
      <c r="BH182" s="73">
        <f t="shared" si="151"/>
        <v>-311702.62000000005</v>
      </c>
      <c r="BI182" s="74">
        <f t="shared" si="151"/>
        <v>-54362.940477760916</v>
      </c>
    </row>
    <row r="183" spans="1:62" s="28" customFormat="1" ht="14.7" customHeight="1" outlineLevel="1" x14ac:dyDescent="0.3">
      <c r="A183" s="21" t="s">
        <v>205</v>
      </c>
      <c r="B183" s="2"/>
      <c r="C183" s="484" t="s">
        <v>206</v>
      </c>
      <c r="D183" s="95" t="s">
        <v>207</v>
      </c>
      <c r="E183" s="106">
        <v>0.08</v>
      </c>
      <c r="F183" s="39"/>
      <c r="G183" s="32"/>
      <c r="H183" s="237"/>
      <c r="I183" s="26">
        <f>-SUMIFS(T_ORCAMENTOS!$E:$E,T_ORCAMENTOS!$C:$C,"  -  FGTS",T_ORCAMENTOS!$H:$H,"1/2026")</f>
        <v>0</v>
      </c>
      <c r="J183" s="26">
        <f>($J$120+$J$88+$J$195)*$E$183+SUMIFS(Aut_Ajustes_Manuais!$G:$G,Aut_Ajustes_Manuais!$I:$I,DRE!H$4,Aut_Ajustes_Manuais!$F:$F,"  -  FGTS")</f>
        <v>-328.29090909090911</v>
      </c>
      <c r="K183" s="237"/>
      <c r="L183" s="26">
        <f>-SUMIFS(T_ORCAMENTOS!$E:$E,T_ORCAMENTOS!$C:$C,"  -  FGTS",T_ORCAMENTOS!$H:$H,"2/2026")</f>
        <v>0</v>
      </c>
      <c r="M183" s="26">
        <f>(M$120+M$88+M$195)*$E$183+SUMIFS(Aut_Ajustes_Manuais!$G:$G,Aut_Ajustes_Manuais!$I:$I,DRE!K$4,Aut_Ajustes_Manuais!$F:$F,"  -  FGTS")</f>
        <v>-328.29090909090911</v>
      </c>
      <c r="N183" s="237"/>
      <c r="O183" s="26">
        <f>-SUMIFS(T_ORCAMENTOS!$E:$E,T_ORCAMENTOS!$C:$C,"  -  FGTS",T_ORCAMENTOS!$H:$H,"3/2026")</f>
        <v>0</v>
      </c>
      <c r="P183" s="26">
        <f>(P$120+P$88+P$195)*$E$183+SUMIFS(Aut_Ajustes_Manuais!$G:$G,Aut_Ajustes_Manuais!$I:$I,DRE!N$4,Aut_Ajustes_Manuais!$F:$F,"  -  FGTS")</f>
        <v>-328.29090909090911</v>
      </c>
      <c r="Q183" s="237"/>
      <c r="R183" s="26">
        <f>-SUMIFS(T_ORCAMENTOS!$E:$E,T_ORCAMENTOS!$C:$C,"  -  FGTS",T_ORCAMENTOS!$H:$H,"4/2026")</f>
        <v>0</v>
      </c>
      <c r="S183" s="27">
        <f>(S$120+S$88+S$195)*$E$183+SUMIFS(Aut_Ajustes_Manuais!$G:$G,Aut_Ajustes_Manuais!$I:$I,DRE!Q$4,Aut_Ajustes_Manuais!$F:$F,"  -  FGTS")</f>
        <v>0</v>
      </c>
      <c r="T183" s="237"/>
      <c r="U183" s="26">
        <f>-SUMIFS(T_ORCAMENTOS!$E:$E,T_ORCAMENTOS!$C:$C,"  -  FGTS",T_ORCAMENTOS!$H:$H,"5/2026")</f>
        <v>0</v>
      </c>
      <c r="V183" s="27">
        <f>(V$120+V$88+V$195)*$E$183+SUMIFS(Aut_Ajustes_Manuais!$G:$G,Aut_Ajustes_Manuais!$I:$I,DRE!T$4,Aut_Ajustes_Manuais!$F:$F,"  -  FGTS")</f>
        <v>-5871.5108138181813</v>
      </c>
      <c r="W183" s="237"/>
      <c r="X183" s="26">
        <f>-SUMIFS(T_ORCAMENTOS!$E:$E,T_ORCAMENTOS!$C:$C,"  -  FGTS",T_ORCAMENTOS!$H:$H,"6/2026")</f>
        <v>0</v>
      </c>
      <c r="Y183" s="27">
        <f>(Y$120+Y$88+Y$195)*$E$183+SUMIFS(Aut_Ajustes_Manuais!$G:$G,Aut_Ajustes_Manuais!$I:$I,DRE!W$4,Aut_Ajustes_Manuais!$F:$F,"  -  FGTS")</f>
        <v>-12946.71830181819</v>
      </c>
      <c r="Z183" s="237"/>
      <c r="AA183" s="26">
        <f>-SUMIFS(T_ORCAMENTOS!$E:$E,T_ORCAMENTOS!$C:$C,"  -  FGTS",T_ORCAMENTOS!$H:$H,"7/2026")</f>
        <v>0</v>
      </c>
      <c r="AB183" s="27">
        <f>(AB$120+AB$88+AB$195)*$E$183+SUMIFS(Aut_Ajustes_Manuais!$G:$G,Aut_Ajustes_Manuais!$I:$I,DRE!Z$4,Aut_Ajustes_Manuais!$F:$F,"  -  FGTS")</f>
        <v>-6556.1738156363672</v>
      </c>
      <c r="AC183" s="237"/>
      <c r="AD183" s="26">
        <f>-SUMIFS(T_ORCAMENTOS!$E:$E,T_ORCAMENTOS!$C:$C,"  -  FGTS",T_ORCAMENTOS!$H:$H,"8/2026")</f>
        <v>-44908.75</v>
      </c>
      <c r="AE183" s="27">
        <f>(AE$120+AE$88+AE$195)*$E$183+SUMIFS(Aut_Ajustes_Manuais!$G:$G,Aut_Ajustes_Manuais!$I:$I,DRE!AC$4,Aut_Ajustes_Manuais!$F:$F,"  -  FGTS")</f>
        <v>-7934.4744719999999</v>
      </c>
      <c r="AF183" s="237"/>
      <c r="AG183" s="26">
        <f>-SUMIFS(T_ORCAMENTOS!$E:$E,T_ORCAMENTOS!$C:$C,"  -  FGTS",T_ORCAMENTOS!$H:$H,"9/2026")</f>
        <v>-44189.55</v>
      </c>
      <c r="AH183" s="27">
        <f>(AH$120+AH$88+AH$195)*$E$183+SUMIFS(Aut_Ajustes_Manuais!$G:$G,Aut_Ajustes_Manuais!$I:$I,DRE!AF$4,Aut_Ajustes_Manuais!$F:$F,"  -  FGTS")</f>
        <v>-9750.7078145454543</v>
      </c>
      <c r="AI183" s="237"/>
      <c r="AJ183" s="26">
        <f>-SUMIFS(T_ORCAMENTOS!$E:$E,T_ORCAMENTOS!$C:$C,"  -  FGTS",T_ORCAMENTOS!$H:$H,"10/2026")</f>
        <v>-46370.36</v>
      </c>
      <c r="AK183" s="27">
        <f>(AK$120+AK$88+AK$195)*$E$183+SUMIFS(Aut_Ajustes_Manuais!$G:$G,Aut_Ajustes_Manuais!$I:$I,DRE!AI$4,Aut_Ajustes_Manuais!$F:$F,"  -  FGTS")</f>
        <v>-9750.7078145454543</v>
      </c>
      <c r="AL183" s="237"/>
      <c r="AM183" s="26">
        <f>-SUMIFS(T_ORCAMENTOS!$E:$E,T_ORCAMENTOS!$C:$C,"  -  FGTS",T_ORCAMENTOS!$H:$H,"11/2026")</f>
        <v>-44419.78</v>
      </c>
      <c r="AN183" s="27">
        <f>(AN$120+AN$88+AN$195)*$E$183+SUMIFS(Aut_Ajustes_Manuais!$G:$G,Aut_Ajustes_Manuais!$I:$I,DRE!AL$4,Aut_Ajustes_Manuais!$F:$F,"  -  FGTS")</f>
        <v>-9750.7078145454543</v>
      </c>
      <c r="AO183" s="237"/>
      <c r="AP183" s="26">
        <f>-SUMIFS(T_ORCAMENTOS!$E:$E,T_ORCAMENTOS!$C:$C,"  -  FGTS",T_ORCAMENTOS!$H:$H,"12/2026")</f>
        <v>-46558.080000000002</v>
      </c>
      <c r="AQ183" s="27">
        <f>(AQ$120+AQ$88+AQ$195)*$E$183+SUMIFS(Aut_Ajustes_Manuais!$G:$G,Aut_Ajustes_Manuais!$I:$I,DRE!AO$4,Aut_Ajustes_Manuais!$F:$F,"  -  FGTS")</f>
        <v>-9750.7078145454543</v>
      </c>
      <c r="AR183" s="237">
        <f t="shared" ca="1" si="142"/>
        <v>0</v>
      </c>
      <c r="AS183" s="26">
        <f t="shared" ca="1" si="143"/>
        <v>-44908.75</v>
      </c>
      <c r="AT183" s="27">
        <f t="shared" ca="1" si="144"/>
        <v>-34293.750130545464</v>
      </c>
      <c r="AU183" s="237">
        <f t="shared" ref="AU183:AU198" si="152">SUM(H183,K183,N183,Q183,T183,W183,Z183,AC183,AF183,AI183,AL183,AO183)</f>
        <v>0</v>
      </c>
      <c r="AV183" s="26">
        <f t="shared" ref="AV183:AV198" si="153">SUM(I183,L183,O183,R183,U183,X183,AA183,AD183,AG183,AJ183,AM183,AP183)</f>
        <v>-226446.52000000002</v>
      </c>
      <c r="AW183" s="27">
        <f t="shared" ref="AW183:AW198" si="154">SUM(J183,M183,P183,S183,V183,Y183,AB183,AE183,AH183,AK183,AN183,AQ183)</f>
        <v>-73296.581388727296</v>
      </c>
      <c r="AX183" s="237">
        <f t="shared" ref="AX183:AX198" si="155">SUM(H183,K183,N183)</f>
        <v>0</v>
      </c>
      <c r="AY183" s="26">
        <f t="shared" ref="AY183:AY198" si="156">SUM(I183,L183,O183)</f>
        <v>0</v>
      </c>
      <c r="AZ183" s="27">
        <f t="shared" ref="AZ183:AZ198" si="157">SUM(J183,M183,P183)</f>
        <v>-984.87272727272739</v>
      </c>
      <c r="BA183" s="237">
        <f t="shared" ref="BA183:BA198" si="158">SUM(Q183,T183,W183)</f>
        <v>0</v>
      </c>
      <c r="BB183" s="26">
        <f t="shared" ref="BB183:BB198" si="159">SUM(R183,U183,X183)</f>
        <v>0</v>
      </c>
      <c r="BC183" s="27">
        <f t="shared" ref="BC183:BC198" si="160">SUM(S183,V183,Y183)</f>
        <v>-18818.229115636372</v>
      </c>
      <c r="BD183" s="237">
        <f t="shared" ref="BD183:BD198" si="161">SUM(Z183,AC183,AF183)</f>
        <v>0</v>
      </c>
      <c r="BE183" s="26">
        <f t="shared" ref="BE183:BE198" si="162">SUM(AA183,AD183,AG183)</f>
        <v>-89098.3</v>
      </c>
      <c r="BF183" s="27">
        <f t="shared" ref="BF183:BF198" si="163">SUM(AB183,AE183,AH183)</f>
        <v>-24241.35610218182</v>
      </c>
      <c r="BG183" s="237">
        <f t="shared" ref="BG183:BG198" si="164">SUM(AI183,AL183,AO183)</f>
        <v>0</v>
      </c>
      <c r="BH183" s="26">
        <f t="shared" ref="BH183:BH198" si="165">SUM(AJ183,AM183,AP183)</f>
        <v>-137348.22</v>
      </c>
      <c r="BI183" s="27">
        <f t="shared" ref="BI183:BI198" si="166">SUM(AK183,AN183,AQ183)</f>
        <v>-29252.123443636363</v>
      </c>
      <c r="BJ183" s="454"/>
    </row>
    <row r="184" spans="1:62" s="28" customFormat="1" outlineLevel="1" x14ac:dyDescent="0.3">
      <c r="A184" s="21" t="s">
        <v>208</v>
      </c>
      <c r="B184" s="2"/>
      <c r="C184" s="485"/>
      <c r="D184" s="95" t="s">
        <v>209</v>
      </c>
      <c r="E184" s="106">
        <v>0</v>
      </c>
      <c r="F184" s="39"/>
      <c r="G184" s="32"/>
      <c r="H184" s="237"/>
      <c r="I184" s="26">
        <f>-SUMIFS(T_ORCAMENTOS!$E:$E,T_ORCAMENTOS!$C:$C,"  -  INSS Patronal",T_ORCAMENTOS!$H:$H,"1/2026")</f>
        <v>0</v>
      </c>
      <c r="J184" s="27">
        <f>($J$120+$J$88+$J$195)*$E$184+SUMIFS(Aut_Ajustes_Manuais!$G:$G,Aut_Ajustes_Manuais!$I:$I,DRE!H$4,Aut_Ajustes_Manuais!$F:$F,"  -  INSS Patronal")</f>
        <v>0</v>
      </c>
      <c r="K184" s="237"/>
      <c r="L184" s="26">
        <f>-SUMIFS(T_ORCAMENTOS!$E:$E,T_ORCAMENTOS!$C:$C,"  -  INSS Patronal",T_ORCAMENTOS!$H:$H,"2/2026")</f>
        <v>0</v>
      </c>
      <c r="M184" s="27">
        <f>($J$120+$J$88+$J$195)*$E$184+SUMIFS(Aut_Ajustes_Manuais!$G:$G,Aut_Ajustes_Manuais!$I:$I,DRE!K$4,Aut_Ajustes_Manuais!$F:$F,"  -  INSS Patronal")</f>
        <v>0</v>
      </c>
      <c r="N184" s="237"/>
      <c r="O184" s="26">
        <f>-SUMIFS(T_ORCAMENTOS!$E:$E,T_ORCAMENTOS!$C:$C,"  -  INSS Patronal",T_ORCAMENTOS!$H:$H,"3/2026")</f>
        <v>0</v>
      </c>
      <c r="P184" s="27">
        <f>($J$120+$J$88+$J$195)*$E$184+SUMIFS(Aut_Ajustes_Manuais!$G:$G,Aut_Ajustes_Manuais!$I:$I,DRE!N$4,Aut_Ajustes_Manuais!$F:$F,"  -  INSS Patronal")</f>
        <v>0</v>
      </c>
      <c r="Q184" s="237"/>
      <c r="R184" s="26">
        <f>-SUMIFS(T_ORCAMENTOS!$E:$E,T_ORCAMENTOS!$C:$C,"  -  INSS Patronal",T_ORCAMENTOS!$H:$H,"4/2026")</f>
        <v>0</v>
      </c>
      <c r="S184" s="27">
        <f>($J$120+$J$88+$J$195)*$E$184+SUMIFS(Aut_Ajustes_Manuais!$G:$G,Aut_Ajustes_Manuais!$I:$I,DRE!Q$4,Aut_Ajustes_Manuais!$F:$F,"  -  INSS Patronal")</f>
        <v>0</v>
      </c>
      <c r="T184" s="237"/>
      <c r="U184" s="26">
        <f>-SUMIFS(T_ORCAMENTOS!$E:$E,T_ORCAMENTOS!$C:$C,"  -  INSS Patronal",T_ORCAMENTOS!$H:$H,"5/2026")</f>
        <v>0</v>
      </c>
      <c r="V184" s="27">
        <f>($J$120+$J$88+$J$195)*$E$184+SUMIFS(Aut_Ajustes_Manuais!$G:$G,Aut_Ajustes_Manuais!$I:$I,DRE!T$4,Aut_Ajustes_Manuais!$F:$F,"  -  INSS Patronal")</f>
        <v>0</v>
      </c>
      <c r="W184" s="237"/>
      <c r="X184" s="26">
        <f>-SUMIFS(T_ORCAMENTOS!$E:$E,T_ORCAMENTOS!$C:$C,"  -  INSS Patronal",T_ORCAMENTOS!$H:$H,"6/2026")</f>
        <v>0</v>
      </c>
      <c r="Y184" s="27">
        <f>($J$120+$J$88+$J$195)*$E$184+SUMIFS(Aut_Ajustes_Manuais!$G:$G,Aut_Ajustes_Manuais!$I:$I,DRE!W$4,Aut_Ajustes_Manuais!$F:$F,"  -  INSS Patronal")</f>
        <v>0</v>
      </c>
      <c r="Z184" s="237"/>
      <c r="AA184" s="26">
        <f>-SUMIFS(T_ORCAMENTOS!$E:$E,T_ORCAMENTOS!$C:$C,"  -  INSS Patronal",T_ORCAMENTOS!$H:$H,"7/2026")</f>
        <v>0</v>
      </c>
      <c r="AB184" s="27">
        <f>($J$120+$J$88+$J$195)*$E$184+SUMIFS(Aut_Ajustes_Manuais!$G:$G,Aut_Ajustes_Manuais!$I:$I,DRE!Z$4,Aut_Ajustes_Manuais!$F:$F,"  -  INSS Patronal")</f>
        <v>0</v>
      </c>
      <c r="AC184" s="237"/>
      <c r="AD184" s="26">
        <f>-SUMIFS(T_ORCAMENTOS!$E:$E,T_ORCAMENTOS!$C:$C,"  -  INSS Patronal",T_ORCAMENTOS!$H:$H,"8/2026")</f>
        <v>0</v>
      </c>
      <c r="AE184" s="27">
        <f>($J$120+$J$88+$J$195)*$E$184+SUMIFS(Aut_Ajustes_Manuais!$G:$G,Aut_Ajustes_Manuais!$I:$I,DRE!AC$4,Aut_Ajustes_Manuais!$F:$F,"  -  INSS Patronal")</f>
        <v>0</v>
      </c>
      <c r="AF184" s="237"/>
      <c r="AG184" s="26">
        <f>-SUMIFS(T_ORCAMENTOS!$E:$E,T_ORCAMENTOS!$C:$C,"  -  INSS Patronal",T_ORCAMENTOS!$H:$H,"9/2026")</f>
        <v>0</v>
      </c>
      <c r="AH184" s="27">
        <f>($J$120+$J$88+$J$195)*$E$184+SUMIFS(Aut_Ajustes_Manuais!$G:$G,Aut_Ajustes_Manuais!$I:$I,DRE!AF$4,Aut_Ajustes_Manuais!$F:$F,"  -  INSS Patronal")</f>
        <v>0</v>
      </c>
      <c r="AI184" s="237"/>
      <c r="AJ184" s="26">
        <f>-SUMIFS(T_ORCAMENTOS!$E:$E,T_ORCAMENTOS!$C:$C,"  -  INSS Patronal",T_ORCAMENTOS!$H:$H,"10/2026")</f>
        <v>0</v>
      </c>
      <c r="AK184" s="27">
        <f>($J$120+$J$88+$J$195)*$E$184+SUMIFS(Aut_Ajustes_Manuais!$G:$G,Aut_Ajustes_Manuais!$I:$I,DRE!AI$4,Aut_Ajustes_Manuais!$F:$F,"  -  INSS Patronal")</f>
        <v>0</v>
      </c>
      <c r="AL184" s="237"/>
      <c r="AM184" s="26">
        <f>-SUMIFS(T_ORCAMENTOS!$E:$E,T_ORCAMENTOS!$C:$C,"  -  INSS Patronal",T_ORCAMENTOS!$H:$H,"11/2026")</f>
        <v>0</v>
      </c>
      <c r="AN184" s="27">
        <f>($J$120+$J$88+$J$195)*$E$184+SUMIFS(Aut_Ajustes_Manuais!$G:$G,Aut_Ajustes_Manuais!$I:$I,DRE!AL$4,Aut_Ajustes_Manuais!$F:$F,"  -  INSS Patronal")</f>
        <v>0</v>
      </c>
      <c r="AO184" s="237"/>
      <c r="AP184" s="26">
        <f>-SUMIFS(T_ORCAMENTOS!$E:$E,T_ORCAMENTOS!$C:$C,"  -  INSS Patronal",T_ORCAMENTOS!$H:$H,"12/2026")</f>
        <v>0</v>
      </c>
      <c r="AQ184" s="27">
        <f>($J$120+$J$88+$J$195)*$E$184+SUMIFS(Aut_Ajustes_Manuais!$G:$G,Aut_Ajustes_Manuais!$I:$I,DRE!AO$4,Aut_Ajustes_Manuais!$F:$F,"  -  INSS Patronal")</f>
        <v>0</v>
      </c>
      <c r="AR184" s="237">
        <f t="shared" ca="1" si="142"/>
        <v>0</v>
      </c>
      <c r="AS184" s="26">
        <f t="shared" ca="1" si="143"/>
        <v>0</v>
      </c>
      <c r="AT184" s="27">
        <f t="shared" ca="1" si="144"/>
        <v>0</v>
      </c>
      <c r="AU184" s="237">
        <f t="shared" si="152"/>
        <v>0</v>
      </c>
      <c r="AV184" s="26">
        <f t="shared" si="153"/>
        <v>0</v>
      </c>
      <c r="AW184" s="27">
        <f t="shared" si="154"/>
        <v>0</v>
      </c>
      <c r="AX184" s="237">
        <f t="shared" si="155"/>
        <v>0</v>
      </c>
      <c r="AY184" s="26">
        <f t="shared" si="156"/>
        <v>0</v>
      </c>
      <c r="AZ184" s="27">
        <f t="shared" si="157"/>
        <v>0</v>
      </c>
      <c r="BA184" s="237">
        <f t="shared" si="158"/>
        <v>0</v>
      </c>
      <c r="BB184" s="26">
        <f t="shared" si="159"/>
        <v>0</v>
      </c>
      <c r="BC184" s="27">
        <f t="shared" si="160"/>
        <v>0</v>
      </c>
      <c r="BD184" s="237">
        <f t="shared" si="161"/>
        <v>0</v>
      </c>
      <c r="BE184" s="26">
        <f t="shared" si="162"/>
        <v>0</v>
      </c>
      <c r="BF184" s="27">
        <f t="shared" si="163"/>
        <v>0</v>
      </c>
      <c r="BG184" s="237">
        <f t="shared" si="164"/>
        <v>0</v>
      </c>
      <c r="BH184" s="26">
        <f t="shared" si="165"/>
        <v>0</v>
      </c>
      <c r="BI184" s="27">
        <f t="shared" si="166"/>
        <v>0</v>
      </c>
      <c r="BJ184" s="454"/>
    </row>
    <row r="185" spans="1:62" s="28" customFormat="1" ht="25.2" customHeight="1" outlineLevel="1" x14ac:dyDescent="0.3">
      <c r="A185" s="21" t="s">
        <v>210</v>
      </c>
      <c r="B185" s="2"/>
      <c r="C185" s="485"/>
      <c r="D185" s="96" t="s">
        <v>211</v>
      </c>
      <c r="E185" s="106">
        <v>0</v>
      </c>
      <c r="F185" s="39"/>
      <c r="G185" s="32"/>
      <c r="H185" s="237"/>
      <c r="I185" s="26">
        <f>-SUMIFS(T_ORCAMENTOS!$E:$E,T_ORCAMENTOS!$C:$C,"  -  INSS Segurados",T_ORCAMENTOS!$H:$H,"1/2026")</f>
        <v>0</v>
      </c>
      <c r="J185" s="27">
        <f>($J$120+$J$88+$J$195)*$E$185+SUMIFS(Aut_Ajustes_Manuais!$G:$G,Aut_Ajustes_Manuais!$I:$I,DRE!H$4,Aut_Ajustes_Manuais!$F:$F,"  -  INSS Segurados")</f>
        <v>0</v>
      </c>
      <c r="K185" s="237"/>
      <c r="L185" s="26">
        <f>-SUMIFS(T_ORCAMENTOS!$E:$E,T_ORCAMENTOS!$C:$C,"  -  INSS Segurados",T_ORCAMENTOS!$H:$H,"2/2026")</f>
        <v>0</v>
      </c>
      <c r="M185" s="27">
        <f>($J$120+$J$88+$J$195)*$E$185+SUMIFS(Aut_Ajustes_Manuais!$G:$G,Aut_Ajustes_Manuais!$I:$I,DRE!K$4,Aut_Ajustes_Manuais!$F:$F,"  -  INSS Segurados")</f>
        <v>0</v>
      </c>
      <c r="N185" s="237"/>
      <c r="O185" s="26">
        <f>-SUMIFS(T_ORCAMENTOS!$E:$E,T_ORCAMENTOS!$C:$C,"  -  INSS Segurados",T_ORCAMENTOS!$H:$H,"3/2026")</f>
        <v>0</v>
      </c>
      <c r="P185" s="27">
        <f>($J$120+$J$88+$J$195)*$E$185+SUMIFS(Aut_Ajustes_Manuais!$G:$G,Aut_Ajustes_Manuais!$I:$I,DRE!N$4,Aut_Ajustes_Manuais!$F:$F,"  -  INSS Segurados")</f>
        <v>0</v>
      </c>
      <c r="Q185" s="237"/>
      <c r="R185" s="26">
        <f>-SUMIFS(T_ORCAMENTOS!$E:$E,T_ORCAMENTOS!$C:$C,"  -  INSS Segurados",T_ORCAMENTOS!$H:$H,"4/2026")</f>
        <v>0</v>
      </c>
      <c r="S185" s="27">
        <f>($J$120+$J$88+$J$195)*$E$185+SUMIFS(Aut_Ajustes_Manuais!$G:$G,Aut_Ajustes_Manuais!$I:$I,DRE!Q$4,Aut_Ajustes_Manuais!$F:$F,"  -  INSS Segurados")</f>
        <v>0</v>
      </c>
      <c r="T185" s="237"/>
      <c r="U185" s="26">
        <f>-SUMIFS(T_ORCAMENTOS!$E:$E,T_ORCAMENTOS!$C:$C,"  -  INSS Segurados",T_ORCAMENTOS!$H:$H,"5/2026")</f>
        <v>0</v>
      </c>
      <c r="V185" s="27">
        <f>($J$120+$J$88+$J$195)*$E$185+SUMIFS(Aut_Ajustes_Manuais!$G:$G,Aut_Ajustes_Manuais!$I:$I,DRE!T$4,Aut_Ajustes_Manuais!$F:$F,"  -  INSS Segurados")</f>
        <v>0</v>
      </c>
      <c r="W185" s="237"/>
      <c r="X185" s="26">
        <f>-SUMIFS(T_ORCAMENTOS!$E:$E,T_ORCAMENTOS!$C:$C,"  -  INSS Segurados",T_ORCAMENTOS!$H:$H,"6/2026")</f>
        <v>0</v>
      </c>
      <c r="Y185" s="27">
        <f>($J$120+$J$88+$J$195)*$E$185+SUMIFS(Aut_Ajustes_Manuais!$G:$G,Aut_Ajustes_Manuais!$I:$I,DRE!W$4,Aut_Ajustes_Manuais!$F:$F,"  -  INSS Segurados")</f>
        <v>0</v>
      </c>
      <c r="Z185" s="237"/>
      <c r="AA185" s="26">
        <f>-SUMIFS(T_ORCAMENTOS!$E:$E,T_ORCAMENTOS!$C:$C,"  -  INSS Segurados",T_ORCAMENTOS!$H:$H,"7/2026")</f>
        <v>0</v>
      </c>
      <c r="AB185" s="27">
        <f>($J$120+$J$88+$J$195)*$E$185+SUMIFS(Aut_Ajustes_Manuais!$G:$G,Aut_Ajustes_Manuais!$I:$I,DRE!Z$4,Aut_Ajustes_Manuais!$F:$F,"  -  INSS Segurados")</f>
        <v>0</v>
      </c>
      <c r="AC185" s="237"/>
      <c r="AD185" s="26">
        <f>-SUMIFS(T_ORCAMENTOS!$E:$E,T_ORCAMENTOS!$C:$C,"  -  INSS Segurados",T_ORCAMENTOS!$H:$H,"8/2026")</f>
        <v>0</v>
      </c>
      <c r="AE185" s="27">
        <f>($J$120+$J$88+$J$195)*$E$185+SUMIFS(Aut_Ajustes_Manuais!$G:$G,Aut_Ajustes_Manuais!$I:$I,DRE!AC$4,Aut_Ajustes_Manuais!$F:$F,"  -  INSS Segurados")</f>
        <v>0</v>
      </c>
      <c r="AF185" s="237"/>
      <c r="AG185" s="26">
        <f>-SUMIFS(T_ORCAMENTOS!$E:$E,T_ORCAMENTOS!$C:$C,"  -  INSS Segurados",T_ORCAMENTOS!$H:$H,"9/2026")</f>
        <v>0</v>
      </c>
      <c r="AH185" s="27">
        <f>($J$120+$J$88+$J$195)*$E$185+SUMIFS(Aut_Ajustes_Manuais!$G:$G,Aut_Ajustes_Manuais!$I:$I,DRE!AF$4,Aut_Ajustes_Manuais!$F:$F,"  -  INSS Segurados")</f>
        <v>0</v>
      </c>
      <c r="AI185" s="237"/>
      <c r="AJ185" s="26">
        <f>-SUMIFS(T_ORCAMENTOS!$E:$E,T_ORCAMENTOS!$C:$C,"  -  INSS Segurados",T_ORCAMENTOS!$H:$H,"10/2026")</f>
        <v>0</v>
      </c>
      <c r="AK185" s="27">
        <f>($J$120+$J$88+$J$195)*$E$185+SUMIFS(Aut_Ajustes_Manuais!$G:$G,Aut_Ajustes_Manuais!$I:$I,DRE!AI$4,Aut_Ajustes_Manuais!$F:$F,"  -  INSS Segurados")</f>
        <v>0</v>
      </c>
      <c r="AL185" s="237"/>
      <c r="AM185" s="26">
        <f>-SUMIFS(T_ORCAMENTOS!$E:$E,T_ORCAMENTOS!$C:$C,"  -  INSS Segurados",T_ORCAMENTOS!$H:$H,"11/2026")</f>
        <v>0</v>
      </c>
      <c r="AN185" s="27">
        <f>($J$120+$J$88+$J$195)*$E$185+SUMIFS(Aut_Ajustes_Manuais!$G:$G,Aut_Ajustes_Manuais!$I:$I,DRE!AL$4,Aut_Ajustes_Manuais!$F:$F,"  -  INSS Segurados")</f>
        <v>0</v>
      </c>
      <c r="AO185" s="237"/>
      <c r="AP185" s="26">
        <f>-SUMIFS(T_ORCAMENTOS!$E:$E,T_ORCAMENTOS!$C:$C,"  -  INSS Segurados",T_ORCAMENTOS!$H:$H,"12/2026")</f>
        <v>0</v>
      </c>
      <c r="AQ185" s="27">
        <f>($J$120+$J$88+$J$195)*$E$185+SUMIFS(Aut_Ajustes_Manuais!$G:$G,Aut_Ajustes_Manuais!$I:$I,DRE!AO$4,Aut_Ajustes_Manuais!$F:$F,"  -  INSS Segurados")</f>
        <v>0</v>
      </c>
      <c r="AR185" s="237">
        <f t="shared" ca="1" si="142"/>
        <v>0</v>
      </c>
      <c r="AS185" s="26">
        <f t="shared" ca="1" si="143"/>
        <v>0</v>
      </c>
      <c r="AT185" s="27">
        <f t="shared" ca="1" si="144"/>
        <v>0</v>
      </c>
      <c r="AU185" s="237">
        <f t="shared" si="152"/>
        <v>0</v>
      </c>
      <c r="AV185" s="26">
        <f t="shared" si="153"/>
        <v>0</v>
      </c>
      <c r="AW185" s="27">
        <f t="shared" si="154"/>
        <v>0</v>
      </c>
      <c r="AX185" s="237">
        <f t="shared" si="155"/>
        <v>0</v>
      </c>
      <c r="AY185" s="26">
        <f t="shared" si="156"/>
        <v>0</v>
      </c>
      <c r="AZ185" s="27">
        <f t="shared" si="157"/>
        <v>0</v>
      </c>
      <c r="BA185" s="237">
        <f t="shared" si="158"/>
        <v>0</v>
      </c>
      <c r="BB185" s="26">
        <f t="shared" si="159"/>
        <v>0</v>
      </c>
      <c r="BC185" s="27">
        <f t="shared" si="160"/>
        <v>0</v>
      </c>
      <c r="BD185" s="237">
        <f t="shared" si="161"/>
        <v>0</v>
      </c>
      <c r="BE185" s="26">
        <f t="shared" si="162"/>
        <v>0</v>
      </c>
      <c r="BF185" s="27">
        <f t="shared" si="163"/>
        <v>0</v>
      </c>
      <c r="BG185" s="237">
        <f t="shared" si="164"/>
        <v>0</v>
      </c>
      <c r="BH185" s="26">
        <f t="shared" si="165"/>
        <v>0</v>
      </c>
      <c r="BI185" s="27">
        <f t="shared" si="166"/>
        <v>0</v>
      </c>
      <c r="BJ185" s="454"/>
    </row>
    <row r="186" spans="1:62" s="28" customFormat="1" outlineLevel="1" x14ac:dyDescent="0.3">
      <c r="A186" s="21" t="s">
        <v>212</v>
      </c>
      <c r="B186" s="2"/>
      <c r="C186" s="485"/>
      <c r="D186" s="95" t="s">
        <v>213</v>
      </c>
      <c r="E186" s="106">
        <v>8.3299999999999999E-2</v>
      </c>
      <c r="F186" s="39"/>
      <c r="G186" s="32"/>
      <c r="H186" s="237"/>
      <c r="I186" s="26">
        <f>-SUMIFS(T_ORCAMENTOS!$E:$E,T_ORCAMENTOS!$C:$C,"  -  13º Salário",T_ORCAMENTOS!$H:$H,"1/2026")</f>
        <v>0</v>
      </c>
      <c r="J186" s="27">
        <f>((J120+J89)/12)*$E$186+SUMIFS(Aut_Ajustes_Manuais!$G:$G,Aut_Ajustes_Manuais!$I:$I,DRE!H$4,Aut_Ajustes_Manuais!$F:$F,"  -  13º Salário")</f>
        <v>-27.766666666666666</v>
      </c>
      <c r="K186" s="237"/>
      <c r="L186" s="26">
        <f>-SUMIFS(T_ORCAMENTOS!$E:$E,T_ORCAMENTOS!$C:$C,"  -  13º Salário",T_ORCAMENTOS!$H:$H,"2/2026")</f>
        <v>0</v>
      </c>
      <c r="M186" s="27">
        <f>((M120+M89)/12)*$E$186+SUMIFS(Aut_Ajustes_Manuais!$G:$G,Aut_Ajustes_Manuais!$I:$I,DRE!K$4,Aut_Ajustes_Manuais!$F:$F,"  -  13º Salário")</f>
        <v>-27.766666666666666</v>
      </c>
      <c r="N186" s="237"/>
      <c r="O186" s="26">
        <f>-SUMIFS(T_ORCAMENTOS!$E:$E,T_ORCAMENTOS!$C:$C,"  -  13º Salário",T_ORCAMENTOS!$H:$H,"3/2026")</f>
        <v>0</v>
      </c>
      <c r="P186" s="27">
        <f>((P120+P89)/12)*$E$186+SUMIFS(Aut_Ajustes_Manuais!$G:$G,Aut_Ajustes_Manuais!$I:$I,DRE!N$4,Aut_Ajustes_Manuais!$F:$F,"  -  13º Salário")</f>
        <v>-27.766666666666666</v>
      </c>
      <c r="Q186" s="237"/>
      <c r="R186" s="26">
        <f>-SUMIFS(T_ORCAMENTOS!$E:$E,T_ORCAMENTOS!$C:$C,"  -  13º Salário",T_ORCAMENTOS!$H:$H,"4/2026")</f>
        <v>0</v>
      </c>
      <c r="S186" s="27">
        <f>((S120+S89)/12)*$E$186+SUMIFS(Aut_Ajustes_Manuais!$G:$G,Aut_Ajustes_Manuais!$I:$I,DRE!Q$4,Aut_Ajustes_Manuais!$F:$F,"  -  13º Salário")</f>
        <v>0</v>
      </c>
      <c r="T186" s="237"/>
      <c r="U186" s="26">
        <f>-SUMIFS(T_ORCAMENTOS!$E:$E,T_ORCAMENTOS!$C:$C,"  -  13º Salário",T_ORCAMENTOS!$H:$H,"5/2026")</f>
        <v>0</v>
      </c>
      <c r="V186" s="27">
        <f>((V120+V89)/12)*$E$186+SUMIFS(Aut_Ajustes_Manuais!$G:$G,Aut_Ajustes_Manuais!$I:$I,DRE!T$4,Aut_Ajustes_Manuais!$F:$F,"  -  13º Salário")</f>
        <v>-496.60919349999995</v>
      </c>
      <c r="W186" s="237"/>
      <c r="X186" s="26">
        <f>-SUMIFS(T_ORCAMENTOS!$E:$E,T_ORCAMENTOS!$C:$C,"  -  13º Salário",T_ORCAMENTOS!$H:$H,"6/2026")</f>
        <v>0</v>
      </c>
      <c r="Y186" s="27">
        <f>((Y120+Y89)/12)*$E$186+SUMIFS(Aut_Ajustes_Manuais!$G:$G,Aut_Ajustes_Manuais!$I:$I,DRE!W$4,Aut_Ajustes_Manuais!$F:$F,"  -  13º Salário")</f>
        <v>-1095.0263975000005</v>
      </c>
      <c r="Z186" s="237"/>
      <c r="AA186" s="26">
        <f>-SUMIFS(T_ORCAMENTOS!$E:$E,T_ORCAMENTOS!$C:$C,"  -  13º Salário",T_ORCAMENTOS!$H:$H,"7/2026")</f>
        <v>0</v>
      </c>
      <c r="AB186" s="27">
        <f>((AB120+AB89)/12)*$E$186+SUMIFS(Aut_Ajustes_Manuais!$G:$G,Aut_Ajustes_Manuais!$I:$I,DRE!Z$4,Aut_Ajustes_Manuais!$F:$F,"  -  13º Salário")</f>
        <v>-554.51761808333367</v>
      </c>
      <c r="AC186" s="237"/>
      <c r="AD186" s="26">
        <f>-SUMIFS(T_ORCAMENTOS!$E:$E,T_ORCAMENTOS!$C:$C,"  -  13º Salário",T_ORCAMENTOS!$H:$H,"8/2026")</f>
        <v>-3798.36</v>
      </c>
      <c r="AE186" s="27">
        <f>((AE120+AE89)/12)*$E$186+SUMIFS(Aut_Ajustes_Manuais!$G:$G,Aut_Ajustes_Manuais!$I:$I,DRE!AC$4,Aut_Ajustes_Manuais!$F:$F,"  -  13º Salário")</f>
        <v>-671.09353850000002</v>
      </c>
      <c r="AF186" s="237"/>
      <c r="AG186" s="26">
        <f>-SUMIFS(T_ORCAMENTOS!$E:$E,T_ORCAMENTOS!$C:$C,"  -  13º Salário",T_ORCAMENTOS!$H:$H,"9/2026")</f>
        <v>-3737.53</v>
      </c>
      <c r="AH186" s="27">
        <f>((AH120+AH89)/12)*$E$186+SUMIFS(Aut_Ajustes_Manuais!$G:$G,Aut_Ajustes_Manuais!$I:$I,DRE!AF$4,Aut_Ajustes_Manuais!$F:$F,"  -  13º Salário")</f>
        <v>-824.70956750000005</v>
      </c>
      <c r="AI186" s="237"/>
      <c r="AJ186" s="26">
        <f>-SUMIFS(T_ORCAMENTOS!$E:$E,T_ORCAMENTOS!$C:$C,"  -  13º Salário",T_ORCAMENTOS!$H:$H,"10/2026")</f>
        <v>-3921.98</v>
      </c>
      <c r="AK186" s="27">
        <f>((AK120+AK89)/12)*$E$186+SUMIFS(Aut_Ajustes_Manuais!$G:$G,Aut_Ajustes_Manuais!$I:$I,DRE!AI$4,Aut_Ajustes_Manuais!$F:$F,"  -  13º Salário")</f>
        <v>-824.70956750000005</v>
      </c>
      <c r="AL186" s="237"/>
      <c r="AM186" s="26">
        <f>-SUMIFS(T_ORCAMENTOS!$E:$E,T_ORCAMENTOS!$C:$C,"  -  13º Salário",T_ORCAMENTOS!$H:$H,"11/2026")</f>
        <v>-3757</v>
      </c>
      <c r="AN186" s="27">
        <f>((AN120+AN89)/12)*$E$186+SUMIFS(Aut_Ajustes_Manuais!$G:$G,Aut_Ajustes_Manuais!$I:$I,DRE!AL$4,Aut_Ajustes_Manuais!$F:$F,"  -  13º Salário")</f>
        <v>-824.70956750000005</v>
      </c>
      <c r="AO186" s="237"/>
      <c r="AP186" s="26">
        <f>-SUMIFS(T_ORCAMENTOS!$E:$E,T_ORCAMENTOS!$C:$C,"  -  13º Salário",T_ORCAMENTOS!$H:$H,"12/2026")</f>
        <v>-3937.86</v>
      </c>
      <c r="AQ186" s="27">
        <f>((AQ120+AQ89)/12)*$E$186+SUMIFS(Aut_Ajustes_Manuais!$G:$G,Aut_Ajustes_Manuais!$I:$I,DRE!AO$4,Aut_Ajustes_Manuais!$F:$F,"  -  13º Salário")</f>
        <v>-824.70956750000005</v>
      </c>
      <c r="AR186" s="237">
        <f t="shared" ca="1" si="142"/>
        <v>0</v>
      </c>
      <c r="AS186" s="26">
        <f t="shared" ca="1" si="143"/>
        <v>-3798.36</v>
      </c>
      <c r="AT186" s="27">
        <f t="shared" ca="1" si="144"/>
        <v>-2900.5467475833339</v>
      </c>
      <c r="AU186" s="237">
        <f t="shared" si="152"/>
        <v>0</v>
      </c>
      <c r="AV186" s="26">
        <f t="shared" si="153"/>
        <v>-19152.73</v>
      </c>
      <c r="AW186" s="27">
        <f t="shared" si="154"/>
        <v>-6199.385017583334</v>
      </c>
      <c r="AX186" s="237">
        <f t="shared" si="155"/>
        <v>0</v>
      </c>
      <c r="AY186" s="26">
        <f t="shared" si="156"/>
        <v>0</v>
      </c>
      <c r="AZ186" s="27">
        <f t="shared" si="157"/>
        <v>-83.3</v>
      </c>
      <c r="BA186" s="237">
        <f t="shared" si="158"/>
        <v>0</v>
      </c>
      <c r="BB186" s="26">
        <f t="shared" si="159"/>
        <v>0</v>
      </c>
      <c r="BC186" s="27">
        <f t="shared" si="160"/>
        <v>-1591.6355910000004</v>
      </c>
      <c r="BD186" s="237">
        <f t="shared" si="161"/>
        <v>0</v>
      </c>
      <c r="BE186" s="26">
        <f t="shared" si="162"/>
        <v>-7535.89</v>
      </c>
      <c r="BF186" s="27">
        <f t="shared" si="163"/>
        <v>-2050.3207240833335</v>
      </c>
      <c r="BG186" s="237">
        <f t="shared" si="164"/>
        <v>0</v>
      </c>
      <c r="BH186" s="26">
        <f t="shared" si="165"/>
        <v>-11616.84</v>
      </c>
      <c r="BI186" s="27">
        <f t="shared" si="166"/>
        <v>-2474.1287025000001</v>
      </c>
      <c r="BJ186" s="454"/>
    </row>
    <row r="187" spans="1:62" s="28" customFormat="1" ht="25.2" customHeight="1" outlineLevel="1" x14ac:dyDescent="0.3">
      <c r="A187" s="21" t="s">
        <v>214</v>
      </c>
      <c r="B187" s="2"/>
      <c r="C187" s="485"/>
      <c r="D187" s="96" t="s">
        <v>215</v>
      </c>
      <c r="E187" s="106"/>
      <c r="F187" s="39"/>
      <c r="G187" s="32"/>
      <c r="H187" s="237"/>
      <c r="I187" s="26">
        <f>-SUMIFS(T_ORCAMENTOS!$E:$E,T_ORCAMENTOS!$C:$C,"  -  Férias",T_ORCAMENTOS!$H:$H,"1/2026")</f>
        <v>0</v>
      </c>
      <c r="J187" s="26">
        <f>((J120+J88)*0.333)/12+SUMIFS(Aut_Ajustes_Manuais!$G:$G,Aut_Ajustes_Manuais!$I:$I,DRE!H$4,Aut_Ajustes_Manuais!$F:$F,"  -  Férias")</f>
        <v>-111</v>
      </c>
      <c r="K187" s="237"/>
      <c r="L187" s="26">
        <f>-SUMIFS(T_ORCAMENTOS!$E:$E,T_ORCAMENTOS!$C:$C,"  -  Férias",T_ORCAMENTOS!$H:$H,"2/2026")</f>
        <v>0</v>
      </c>
      <c r="M187" s="26">
        <f>((M120+M88)*0.333)/12+SUMIFS(Aut_Ajustes_Manuais!$G:$G,Aut_Ajustes_Manuais!$I:$I,DRE!K$4,Aut_Ajustes_Manuais!$F:$F,"  -  Férias")</f>
        <v>-111</v>
      </c>
      <c r="N187" s="237"/>
      <c r="O187" s="26">
        <f>-SUMIFS(T_ORCAMENTOS!$E:$E,T_ORCAMENTOS!$C:$C,"  -  Férias",T_ORCAMENTOS!$H:$H,"3/2026")</f>
        <v>0</v>
      </c>
      <c r="P187" s="26">
        <f>((P120+P88)*0.333)/12+SUMIFS(Aut_Ajustes_Manuais!$G:$G,Aut_Ajustes_Manuais!$I:$I,DRE!N$4,Aut_Ajustes_Manuais!$F:$F,"  -  Férias")</f>
        <v>-111</v>
      </c>
      <c r="Q187" s="237"/>
      <c r="R187" s="26">
        <f>-SUMIFS(T_ORCAMENTOS!$E:$E,T_ORCAMENTOS!$C:$C,"  -  Férias",T_ORCAMENTOS!$H:$H,"4/2026")</f>
        <v>0</v>
      </c>
      <c r="S187" s="27">
        <f>((S120+S88)*0.333)/12+SUMIFS(Aut_Ajustes_Manuais!$G:$G,Aut_Ajustes_Manuais!$I:$I,DRE!Q$4,Aut_Ajustes_Manuais!$F:$F,"  -  Férias")</f>
        <v>0</v>
      </c>
      <c r="T187" s="237"/>
      <c r="U187" s="26">
        <f>-SUMIFS(T_ORCAMENTOS!$E:$E,T_ORCAMENTOS!$C:$C,"  -  Férias",T_ORCAMENTOS!$H:$H,"5/2026")</f>
        <v>0</v>
      </c>
      <c r="V187" s="27">
        <f>((V120+V88)*0.333)/12+SUMIFS(Aut_Ajustes_Manuais!$G:$G,Aut_Ajustes_Manuais!$I:$I,DRE!T$4,Aut_Ajustes_Manuais!$F:$F,"  -  Férias")</f>
        <v>-1985.2444349999998</v>
      </c>
      <c r="W187" s="237"/>
      <c r="X187" s="26">
        <f>-SUMIFS(T_ORCAMENTOS!$E:$E,T_ORCAMENTOS!$C:$C,"  -  Férias",T_ORCAMENTOS!$H:$H,"6/2026")</f>
        <v>0</v>
      </c>
      <c r="Y187" s="27">
        <f>((Y120+Y88)*0.333)/12+SUMIFS(Aut_Ajustes_Manuais!$G:$G,Aut_Ajustes_Manuais!$I:$I,DRE!W$4,Aut_Ajustes_Manuais!$F:$F,"  -  Férias")</f>
        <v>-4377.4764750000022</v>
      </c>
      <c r="Z187" s="237"/>
      <c r="AA187" s="26">
        <f>-SUMIFS(T_ORCAMENTOS!$E:$E,T_ORCAMENTOS!$C:$C,"  -  Férias",T_ORCAMENTOS!$H:$H,"7/2026")</f>
        <v>0</v>
      </c>
      <c r="AB187" s="27">
        <f>((AB120+AB88)*0.333)/12+SUMIFS(Aut_Ajustes_Manuais!$G:$G,Aut_Ajustes_Manuais!$I:$I,DRE!Z$4,Aut_Ajustes_Manuais!$F:$F,"  -  Férias")</f>
        <v>-2216.7390975000012</v>
      </c>
      <c r="AC187" s="237"/>
      <c r="AD187" s="26">
        <f>-SUMIFS(T_ORCAMENTOS!$E:$E,T_ORCAMENTOS!$C:$C,"  -  Férias",T_ORCAMENTOS!$H:$H,"8/2026")</f>
        <v>-15184.31</v>
      </c>
      <c r="AE187" s="27">
        <f>((AE120+AE88)*0.333)/12+SUMIFS(Aut_Ajustes_Manuais!$G:$G,Aut_Ajustes_Manuais!$I:$I,DRE!AC$4,Aut_Ajustes_Manuais!$F:$F,"  -  Férias")</f>
        <v>-2682.7628850000001</v>
      </c>
      <c r="AF187" s="237"/>
      <c r="AG187" s="26">
        <f>-SUMIFS(T_ORCAMENTOS!$E:$E,T_ORCAMENTOS!$C:$C,"  -  Férias",T_ORCAMENTOS!$H:$H,"9/2026")</f>
        <v>-14941.14</v>
      </c>
      <c r="AH187" s="27">
        <f>((AH120+AH88)*0.333)/12+SUMIFS(Aut_Ajustes_Manuais!$G:$G,Aut_Ajustes_Manuais!$I:$I,DRE!AF$4,Aut_Ajustes_Manuais!$F:$F,"  -  Férias")</f>
        <v>-3296.8581749999998</v>
      </c>
      <c r="AI187" s="237"/>
      <c r="AJ187" s="26">
        <f>-SUMIFS(T_ORCAMENTOS!$E:$E,T_ORCAMENTOS!$C:$C,"  -  Férias",T_ORCAMENTOS!$H:$H,"10/2026")</f>
        <v>-15678.5</v>
      </c>
      <c r="AK187" s="27">
        <f>((AK120+AK88)*0.333)/12+SUMIFS(Aut_Ajustes_Manuais!$G:$G,Aut_Ajustes_Manuais!$I:$I,DRE!AI$4,Aut_Ajustes_Manuais!$F:$F,"  -  Férias")</f>
        <v>-3296.8581749999998</v>
      </c>
      <c r="AL187" s="237"/>
      <c r="AM187" s="26">
        <f>-SUMIFS(T_ORCAMENTOS!$E:$E,T_ORCAMENTOS!$C:$C,"  -  Férias",T_ORCAMENTOS!$H:$H,"11/2026")</f>
        <v>-15018.98</v>
      </c>
      <c r="AN187" s="27">
        <f>((AN120+AN88)*0.333)/12+SUMIFS(Aut_Ajustes_Manuais!$G:$G,Aut_Ajustes_Manuais!$I:$I,DRE!AL$4,Aut_Ajustes_Manuais!$F:$F,"  -  Férias")</f>
        <v>-3296.8581749999998</v>
      </c>
      <c r="AO187" s="237"/>
      <c r="AP187" s="26">
        <f>-SUMIFS(T_ORCAMENTOS!$E:$E,T_ORCAMENTOS!$C:$C,"  -  Férias",T_ORCAMENTOS!$H:$H,"12/2026")</f>
        <v>-15741.97</v>
      </c>
      <c r="AQ187" s="27">
        <f>((AQ120+AQ88)*0.333)/12+SUMIFS(Aut_Ajustes_Manuais!$G:$G,Aut_Ajustes_Manuais!$I:$I,DRE!AO$4,Aut_Ajustes_Manuais!$F:$F,"  -  Férias")</f>
        <v>-3296.8581749999998</v>
      </c>
      <c r="AR187" s="237">
        <f t="shared" ca="1" si="142"/>
        <v>0</v>
      </c>
      <c r="AS187" s="26">
        <f t="shared" ca="1" si="143"/>
        <v>-15184.31</v>
      </c>
      <c r="AT187" s="27">
        <f t="shared" ca="1" si="144"/>
        <v>-11595.222892500004</v>
      </c>
      <c r="AU187" s="237">
        <f t="shared" si="152"/>
        <v>0</v>
      </c>
      <c r="AV187" s="26">
        <f t="shared" si="153"/>
        <v>-76564.899999999994</v>
      </c>
      <c r="AW187" s="27">
        <f t="shared" si="154"/>
        <v>-24782.655592500007</v>
      </c>
      <c r="AX187" s="237">
        <f t="shared" si="155"/>
        <v>0</v>
      </c>
      <c r="AY187" s="26">
        <f t="shared" si="156"/>
        <v>0</v>
      </c>
      <c r="AZ187" s="27">
        <f t="shared" si="157"/>
        <v>-333</v>
      </c>
      <c r="BA187" s="237">
        <f t="shared" si="158"/>
        <v>0</v>
      </c>
      <c r="BB187" s="26">
        <f t="shared" si="159"/>
        <v>0</v>
      </c>
      <c r="BC187" s="27">
        <f t="shared" si="160"/>
        <v>-6362.7209100000018</v>
      </c>
      <c r="BD187" s="237">
        <f t="shared" si="161"/>
        <v>0</v>
      </c>
      <c r="BE187" s="26">
        <f t="shared" si="162"/>
        <v>-30125.449999999997</v>
      </c>
      <c r="BF187" s="27">
        <f t="shared" si="163"/>
        <v>-8196.3601575000012</v>
      </c>
      <c r="BG187" s="237">
        <f t="shared" si="164"/>
        <v>0</v>
      </c>
      <c r="BH187" s="26">
        <f t="shared" si="165"/>
        <v>-46439.45</v>
      </c>
      <c r="BI187" s="27">
        <f t="shared" si="166"/>
        <v>-9890.574525</v>
      </c>
      <c r="BJ187" s="454"/>
    </row>
    <row r="188" spans="1:62" s="28" customFormat="1" outlineLevel="1" x14ac:dyDescent="0.3">
      <c r="A188" s="21" t="s">
        <v>216</v>
      </c>
      <c r="B188" s="2"/>
      <c r="C188" s="485"/>
      <c r="D188" s="95" t="s">
        <v>217</v>
      </c>
      <c r="E188" s="106">
        <v>0.08</v>
      </c>
      <c r="F188" s="39"/>
      <c r="G188" s="32"/>
      <c r="H188" s="237"/>
      <c r="I188" s="26">
        <f>-SUMIFS(T_ORCAMENTOS!$E:$E,T_ORCAMENTOS!$C:$C,"  -  FGTS sobre 13º Salários",T_ORCAMENTOS!$H:$H,"1/2026")</f>
        <v>0</v>
      </c>
      <c r="J188" s="27">
        <f>J186*$E$188+SUMIFS(Aut_Ajustes_Manuais!$G:$G,Aut_Ajustes_Manuais!$I:$I,DRE!H$4,Aut_Ajustes_Manuais!$F:$F,"  -  FGTS sobre 13º Salários")</f>
        <v>-2.2213333333333334</v>
      </c>
      <c r="K188" s="237"/>
      <c r="L188" s="26">
        <f>-SUMIFS(T_ORCAMENTOS!$E:$E,T_ORCAMENTOS!$C:$C,"  -  FGTS sobre 13º Salários",T_ORCAMENTOS!$H:$H,"2/2026")</f>
        <v>0</v>
      </c>
      <c r="M188" s="27">
        <f>M186*$E$188+SUMIFS(Aut_Ajustes_Manuais!$G:$G,Aut_Ajustes_Manuais!$I:$I,DRE!K$4,Aut_Ajustes_Manuais!$F:$F,"  -  FGTS sobre 13º Salários")</f>
        <v>-2.2213333333333334</v>
      </c>
      <c r="N188" s="237"/>
      <c r="O188" s="26">
        <f>-SUMIFS(T_ORCAMENTOS!$E:$E,T_ORCAMENTOS!$C:$C,"  -  FGTS sobre 13º Salários",T_ORCAMENTOS!$H:$H,"3/2026")</f>
        <v>0</v>
      </c>
      <c r="P188" s="27">
        <f>P186*$E$188+SUMIFS(Aut_Ajustes_Manuais!$G:$G,Aut_Ajustes_Manuais!$I:$I,DRE!N$4,Aut_Ajustes_Manuais!$F:$F,"  -  FGTS sobre 13º Salários")</f>
        <v>-2.2213333333333334</v>
      </c>
      <c r="Q188" s="237"/>
      <c r="R188" s="26">
        <f>-SUMIFS(T_ORCAMENTOS!$E:$E,T_ORCAMENTOS!$C:$C,"  -  FGTS sobre 13º Salários",T_ORCAMENTOS!$H:$H,"4/2026")</f>
        <v>0</v>
      </c>
      <c r="S188" s="27">
        <f>S186*$E$188+SUMIFS(Aut_Ajustes_Manuais!$G:$G,Aut_Ajustes_Manuais!$I:$I,DRE!Q$4,Aut_Ajustes_Manuais!$F:$F,"  -  FGTS sobre 13º Salários")</f>
        <v>0</v>
      </c>
      <c r="T188" s="237"/>
      <c r="U188" s="26">
        <f>-SUMIFS(T_ORCAMENTOS!$E:$E,T_ORCAMENTOS!$C:$C,"  -  FGTS sobre 13º Salários",T_ORCAMENTOS!$H:$H,"5/2026")</f>
        <v>0</v>
      </c>
      <c r="V188" s="27">
        <f>V186*$E$188+SUMIFS(Aut_Ajustes_Manuais!$G:$G,Aut_Ajustes_Manuais!$I:$I,DRE!T$4,Aut_Ajustes_Manuais!$F:$F,"  -  FGTS sobre 13º Salários")</f>
        <v>-39.728735479999997</v>
      </c>
      <c r="W188" s="237"/>
      <c r="X188" s="26">
        <f>-SUMIFS(T_ORCAMENTOS!$E:$E,T_ORCAMENTOS!$C:$C,"  -  FGTS sobre 13º Salários",T_ORCAMENTOS!$H:$H,"6/2026")</f>
        <v>0</v>
      </c>
      <c r="Y188" s="27">
        <f>Y186*$E$188+SUMIFS(Aut_Ajustes_Manuais!$G:$G,Aut_Ajustes_Manuais!$I:$I,DRE!W$4,Aut_Ajustes_Manuais!$F:$F,"  -  FGTS sobre 13º Salários")</f>
        <v>-87.602111800000046</v>
      </c>
      <c r="Z188" s="237"/>
      <c r="AA188" s="26">
        <f>-SUMIFS(T_ORCAMENTOS!$E:$E,T_ORCAMENTOS!$C:$C,"  -  FGTS sobre 13º Salários",T_ORCAMENTOS!$H:$H,"7/2026")</f>
        <v>0</v>
      </c>
      <c r="AB188" s="27">
        <f>AB186*$E$188+SUMIFS(Aut_Ajustes_Manuais!$G:$G,Aut_Ajustes_Manuais!$I:$I,DRE!Z$4,Aut_Ajustes_Manuais!$F:$F,"  -  FGTS sobre 13º Salários")</f>
        <v>-44.361409446666691</v>
      </c>
      <c r="AC188" s="237"/>
      <c r="AD188" s="26">
        <f>-SUMIFS(T_ORCAMENTOS!$E:$E,T_ORCAMENTOS!$C:$C,"  -  FGTS sobre 13º Salários",T_ORCAMENTOS!$H:$H,"8/2026")</f>
        <v>-303.87</v>
      </c>
      <c r="AE188" s="27">
        <f>AE186*$E$188+SUMIFS(Aut_Ajustes_Manuais!$G:$G,Aut_Ajustes_Manuais!$I:$I,DRE!AC$4,Aut_Ajustes_Manuais!$F:$F,"  -  FGTS sobre 13º Salários")</f>
        <v>-53.68748308</v>
      </c>
      <c r="AF188" s="237"/>
      <c r="AG188" s="26">
        <f>-SUMIFS(T_ORCAMENTOS!$E:$E,T_ORCAMENTOS!$C:$C,"  -  FGTS sobre 13º Salários",T_ORCAMENTOS!$H:$H,"9/2026")</f>
        <v>-299</v>
      </c>
      <c r="AH188" s="27">
        <f>AH186*$E$188+SUMIFS(Aut_Ajustes_Manuais!$G:$G,Aut_Ajustes_Manuais!$I:$I,DRE!AF$4,Aut_Ajustes_Manuais!$F:$F,"  -  FGTS sobre 13º Salários")</f>
        <v>-65.976765400000005</v>
      </c>
      <c r="AI188" s="237"/>
      <c r="AJ188" s="26">
        <f>-SUMIFS(T_ORCAMENTOS!$E:$E,T_ORCAMENTOS!$C:$C,"  -  FGTS sobre 13º Salários",T_ORCAMENTOS!$H:$H,"10/2026")</f>
        <v>-313.76</v>
      </c>
      <c r="AK188" s="27">
        <f>AK186*$E$188+SUMIFS(Aut_Ajustes_Manuais!$G:$G,Aut_Ajustes_Manuais!$I:$I,DRE!AI$4,Aut_Ajustes_Manuais!$F:$F,"  -  FGTS sobre 13º Salários")</f>
        <v>-65.976765400000005</v>
      </c>
      <c r="AL188" s="237"/>
      <c r="AM188" s="26">
        <f>-SUMIFS(T_ORCAMENTOS!$E:$E,T_ORCAMENTOS!$C:$C,"  -  FGTS sobre 13º Salários",T_ORCAMENTOS!$H:$H,"11/2026")</f>
        <v>-300.56</v>
      </c>
      <c r="AN188" s="27">
        <f>AN186*$E$188+SUMIFS(Aut_Ajustes_Manuais!$G:$G,Aut_Ajustes_Manuais!$I:$I,DRE!AL$4,Aut_Ajustes_Manuais!$F:$F,"  -  FGTS sobre 13º Salários")</f>
        <v>-65.976765400000005</v>
      </c>
      <c r="AO188" s="237"/>
      <c r="AP188" s="26">
        <f>-SUMIFS(T_ORCAMENTOS!$E:$E,T_ORCAMENTOS!$C:$C,"  -  FGTS sobre 13º Salários",T_ORCAMENTOS!$H:$H,"12/2026")</f>
        <v>-315.02999999999997</v>
      </c>
      <c r="AQ188" s="27">
        <f>AQ186*$E$188+SUMIFS(Aut_Ajustes_Manuais!$G:$G,Aut_Ajustes_Manuais!$I:$I,DRE!AO$4,Aut_Ajustes_Manuais!$F:$F,"  -  FGTS sobre 13º Salários")</f>
        <v>-65.976765400000005</v>
      </c>
      <c r="AR188" s="237">
        <f t="shared" ca="1" si="142"/>
        <v>0</v>
      </c>
      <c r="AS188" s="26">
        <f t="shared" ca="1" si="143"/>
        <v>-303.87</v>
      </c>
      <c r="AT188" s="27">
        <f t="shared" ca="1" si="144"/>
        <v>-232.04373980666674</v>
      </c>
      <c r="AU188" s="237">
        <f t="shared" si="152"/>
        <v>0</v>
      </c>
      <c r="AV188" s="26">
        <f t="shared" si="153"/>
        <v>-1532.22</v>
      </c>
      <c r="AW188" s="27">
        <f t="shared" si="154"/>
        <v>-495.95080140666664</v>
      </c>
      <c r="AX188" s="237">
        <f t="shared" si="155"/>
        <v>0</v>
      </c>
      <c r="AY188" s="26">
        <f t="shared" si="156"/>
        <v>0</v>
      </c>
      <c r="AZ188" s="27">
        <f t="shared" si="157"/>
        <v>-6.6639999999999997</v>
      </c>
      <c r="BA188" s="237">
        <f t="shared" si="158"/>
        <v>0</v>
      </c>
      <c r="BB188" s="26">
        <f t="shared" si="159"/>
        <v>0</v>
      </c>
      <c r="BC188" s="27">
        <f t="shared" si="160"/>
        <v>-127.33084728000004</v>
      </c>
      <c r="BD188" s="237">
        <f t="shared" si="161"/>
        <v>0</v>
      </c>
      <c r="BE188" s="26">
        <f t="shared" si="162"/>
        <v>-602.87</v>
      </c>
      <c r="BF188" s="27">
        <f t="shared" si="163"/>
        <v>-164.0256579266667</v>
      </c>
      <c r="BG188" s="237">
        <f t="shared" si="164"/>
        <v>0</v>
      </c>
      <c r="BH188" s="26">
        <f t="shared" si="165"/>
        <v>-929.34999999999991</v>
      </c>
      <c r="BI188" s="27">
        <f t="shared" si="166"/>
        <v>-197.93029620000002</v>
      </c>
      <c r="BJ188" s="454"/>
    </row>
    <row r="189" spans="1:62" s="28" customFormat="1" outlineLevel="1" x14ac:dyDescent="0.3">
      <c r="A189" s="21" t="s">
        <v>218</v>
      </c>
      <c r="B189" s="2"/>
      <c r="C189" s="485"/>
      <c r="D189" s="95" t="s">
        <v>219</v>
      </c>
      <c r="E189" s="106">
        <v>0.08</v>
      </c>
      <c r="F189" s="39"/>
      <c r="G189" s="32"/>
      <c r="H189" s="237"/>
      <c r="I189" s="26">
        <f>-SUMIFS(T_ORCAMENTOS!$E:$E,T_ORCAMENTOS!$C:$C,"  -  FGTS sobre Férias",T_ORCAMENTOS!$H:$H,"1/2026")</f>
        <v>0</v>
      </c>
      <c r="J189" s="27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37"/>
      <c r="L189" s="26">
        <f>-SUMIFS(T_ORCAMENTOS!$E:$E,T_ORCAMENTOS!$C:$C,"  -  FGTS sobre Férias",T_ORCAMENTOS!$H:$H,"2/2026")</f>
        <v>0</v>
      </c>
      <c r="M189" s="27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37"/>
      <c r="O189" s="26">
        <f>-SUMIFS(T_ORCAMENTOS!$E:$E,T_ORCAMENTOS!$C:$C,"  -  FGTS sobre Férias",T_ORCAMENTOS!$H:$H,"3/2026")</f>
        <v>0</v>
      </c>
      <c r="P189" s="27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37"/>
      <c r="R189" s="26">
        <f>-SUMIFS(T_ORCAMENTOS!$E:$E,T_ORCAMENTOS!$C:$C,"  -  FGTS sobre Férias",T_ORCAMENTOS!$H:$H,"4/2026")</f>
        <v>0</v>
      </c>
      <c r="S189" s="27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37"/>
      <c r="U189" s="26">
        <f>-SUMIFS(T_ORCAMENTOS!$E:$E,T_ORCAMENTOS!$C:$C,"  -  FGTS sobre Férias",T_ORCAMENTOS!$H:$H,"5/2026")</f>
        <v>0</v>
      </c>
      <c r="V189" s="27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37"/>
      <c r="X189" s="26">
        <f>-SUMIFS(T_ORCAMENTOS!$E:$E,T_ORCAMENTOS!$C:$C,"  -  FGTS sobre Férias",T_ORCAMENTOS!$H:$H,"6/2026")</f>
        <v>0</v>
      </c>
      <c r="Y189" s="27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37"/>
      <c r="AA189" s="26">
        <f>-SUMIFS(T_ORCAMENTOS!$E:$E,T_ORCAMENTOS!$C:$C,"  -  FGTS sobre Férias",T_ORCAMENTOS!$H:$H,"7/2026")</f>
        <v>0</v>
      </c>
      <c r="AB189" s="27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37"/>
      <c r="AD189" s="26">
        <f>-SUMIFS(T_ORCAMENTOS!$E:$E,T_ORCAMENTOS!$C:$C,"  -  FGTS sobre Férias",T_ORCAMENTOS!$H:$H,"8/2026")</f>
        <v>-1214.74</v>
      </c>
      <c r="AE189" s="27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37"/>
      <c r="AG189" s="26">
        <f>-SUMIFS(T_ORCAMENTOS!$E:$E,T_ORCAMENTOS!$C:$C,"  -  FGTS sobre Férias",T_ORCAMENTOS!$H:$H,"9/2026")</f>
        <v>-1195.29</v>
      </c>
      <c r="AH189" s="27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37"/>
      <c r="AJ189" s="26">
        <f>-SUMIFS(T_ORCAMENTOS!$E:$E,T_ORCAMENTOS!$C:$C,"  -  FGTS sobre Férias",T_ORCAMENTOS!$H:$H,"10/2026")</f>
        <v>-1254.28</v>
      </c>
      <c r="AK189" s="27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37"/>
      <c r="AM189" s="26">
        <f>-SUMIFS(T_ORCAMENTOS!$E:$E,T_ORCAMENTOS!$C:$C,"  -  FGTS sobre Férias",T_ORCAMENTOS!$H:$H,"11/2026")</f>
        <v>-1201.52</v>
      </c>
      <c r="AN189" s="27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37"/>
      <c r="AP189" s="26">
        <f>-SUMIFS(T_ORCAMENTOS!$E:$E,T_ORCAMENTOS!$C:$C,"  -  FGTS sobre Férias",T_ORCAMENTOS!$H:$H,"12/2026")</f>
        <v>-1259.3599999999999</v>
      </c>
      <c r="AQ189" s="27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37">
        <f t="shared" ca="1" si="142"/>
        <v>0</v>
      </c>
      <c r="AS189" s="26">
        <f t="shared" ca="1" si="143"/>
        <v>-1214.74</v>
      </c>
      <c r="AT189" s="27">
        <f t="shared" ca="1" si="144"/>
        <v>0</v>
      </c>
      <c r="AU189" s="237">
        <f t="shared" si="152"/>
        <v>0</v>
      </c>
      <c r="AV189" s="26">
        <f t="shared" si="153"/>
        <v>-6125.19</v>
      </c>
      <c r="AW189" s="27">
        <f t="shared" si="154"/>
        <v>0</v>
      </c>
      <c r="AX189" s="237">
        <f t="shared" si="155"/>
        <v>0</v>
      </c>
      <c r="AY189" s="26">
        <f t="shared" si="156"/>
        <v>0</v>
      </c>
      <c r="AZ189" s="27">
        <f t="shared" si="157"/>
        <v>0</v>
      </c>
      <c r="BA189" s="237">
        <f t="shared" si="158"/>
        <v>0</v>
      </c>
      <c r="BB189" s="26">
        <f t="shared" si="159"/>
        <v>0</v>
      </c>
      <c r="BC189" s="27">
        <f t="shared" si="160"/>
        <v>0</v>
      </c>
      <c r="BD189" s="237">
        <f t="shared" si="161"/>
        <v>0</v>
      </c>
      <c r="BE189" s="26">
        <f t="shared" si="162"/>
        <v>-2410.0299999999997</v>
      </c>
      <c r="BF189" s="27">
        <f t="shared" si="163"/>
        <v>0</v>
      </c>
      <c r="BG189" s="237">
        <f t="shared" si="164"/>
        <v>0</v>
      </c>
      <c r="BH189" s="26">
        <f t="shared" si="165"/>
        <v>-3715.16</v>
      </c>
      <c r="BI189" s="27">
        <f t="shared" si="166"/>
        <v>0</v>
      </c>
      <c r="BJ189" s="454"/>
    </row>
    <row r="190" spans="1:62" s="28" customFormat="1" outlineLevel="1" x14ac:dyDescent="0.3">
      <c r="A190" s="21" t="s">
        <v>220</v>
      </c>
      <c r="B190" s="2"/>
      <c r="C190" s="485"/>
      <c r="D190" s="95" t="s">
        <v>221</v>
      </c>
      <c r="E190" s="106">
        <v>0.26800000000000002</v>
      </c>
      <c r="F190" s="39"/>
      <c r="G190" s="32"/>
      <c r="H190" s="237"/>
      <c r="I190" s="26">
        <f>-SUMIFS(T_ORCAMENTOS!$E:$E,T_ORCAMENTOS!$C:$C,"  -  INSS sobre 13º Salários",T_ORCAMENTOS!$H:$H,"1/2026")</f>
        <v>0</v>
      </c>
      <c r="J190" s="27">
        <f>J186*$E$190+SUMIFS(Aut_Ajustes_Manuais!$G:$G,Aut_Ajustes_Manuais!$I:$I,DRE!H$4,Aut_Ajustes_Manuais!$F:$F,"  -  INSS sobre 13º Salários")</f>
        <v>-7.4414666666666669</v>
      </c>
      <c r="K190" s="237"/>
      <c r="L190" s="26">
        <f>-SUMIFS(T_ORCAMENTOS!$E:$E,T_ORCAMENTOS!$C:$C,"  -  INSS sobre 13º Salários",T_ORCAMENTOS!$H:$H,"2/2026")</f>
        <v>0</v>
      </c>
      <c r="M190" s="27">
        <f>M186*$E$190+SUMIFS(Aut_Ajustes_Manuais!$G:$G,Aut_Ajustes_Manuais!$I:$I,DRE!K$4,Aut_Ajustes_Manuais!$F:$F,"  -  INSS sobre 13º Salários")</f>
        <v>-7.4414666666666669</v>
      </c>
      <c r="N190" s="237"/>
      <c r="O190" s="26">
        <f>-SUMIFS(T_ORCAMENTOS!$E:$E,T_ORCAMENTOS!$C:$C,"  -  INSS sobre 13º Salários",T_ORCAMENTOS!$H:$H,"3/2026")</f>
        <v>0</v>
      </c>
      <c r="P190" s="27">
        <f>P186*$E$190+SUMIFS(Aut_Ajustes_Manuais!$G:$G,Aut_Ajustes_Manuais!$I:$I,DRE!N$4,Aut_Ajustes_Manuais!$F:$F,"  -  INSS sobre 13º Salários")</f>
        <v>-7.4414666666666669</v>
      </c>
      <c r="Q190" s="237"/>
      <c r="R190" s="26">
        <f>-SUMIFS(T_ORCAMENTOS!$E:$E,T_ORCAMENTOS!$C:$C,"  -  INSS sobre 13º Salários",T_ORCAMENTOS!$H:$H,"4/2026")</f>
        <v>0</v>
      </c>
      <c r="S190" s="27">
        <f>S186*$E$190+SUMIFS(Aut_Ajustes_Manuais!$G:$G,Aut_Ajustes_Manuais!$I:$I,DRE!Q$4,Aut_Ajustes_Manuais!$F:$F,"  -  INSS sobre 13º Salários")</f>
        <v>0</v>
      </c>
      <c r="T190" s="237"/>
      <c r="U190" s="26">
        <f>-SUMIFS(T_ORCAMENTOS!$E:$E,T_ORCAMENTOS!$C:$C,"  -  INSS sobre 13º Salários",T_ORCAMENTOS!$H:$H,"5/2026")</f>
        <v>0</v>
      </c>
      <c r="V190" s="27">
        <f>V186*$E$190+SUMIFS(Aut_Ajustes_Manuais!$G:$G,Aut_Ajustes_Manuais!$I:$I,DRE!T$4,Aut_Ajustes_Manuais!$F:$F,"  -  INSS sobre 13º Salários")</f>
        <v>-133.09126385799999</v>
      </c>
      <c r="W190" s="237"/>
      <c r="X190" s="26">
        <f>-SUMIFS(T_ORCAMENTOS!$E:$E,T_ORCAMENTOS!$C:$C,"  -  INSS sobre 13º Salários",T_ORCAMENTOS!$H:$H,"6/2026")</f>
        <v>0</v>
      </c>
      <c r="Y190" s="27">
        <f>Y186*$E$190+SUMIFS(Aut_Ajustes_Manuais!$G:$G,Aut_Ajustes_Manuais!$I:$I,DRE!W$4,Aut_Ajustes_Manuais!$F:$F,"  -  INSS sobre 13º Salários")</f>
        <v>-293.46707453000016</v>
      </c>
      <c r="Z190" s="237"/>
      <c r="AA190" s="26">
        <f>-SUMIFS(T_ORCAMENTOS!$E:$E,T_ORCAMENTOS!$C:$C,"  -  INSS sobre 13º Salários",T_ORCAMENTOS!$H:$H,"7/2026")</f>
        <v>0</v>
      </c>
      <c r="AB190" s="27">
        <f>AB186*$E$190+SUMIFS(Aut_Ajustes_Manuais!$G:$G,Aut_Ajustes_Manuais!$I:$I,DRE!Z$4,Aut_Ajustes_Manuais!$F:$F,"  -  INSS sobre 13º Salários")</f>
        <v>-148.61072164633345</v>
      </c>
      <c r="AC190" s="237"/>
      <c r="AD190" s="26">
        <f>-SUMIFS(T_ORCAMENTOS!$E:$E,T_ORCAMENTOS!$C:$C,"  -  INSS sobre 13º Salários",T_ORCAMENTOS!$H:$H,"8/2026")</f>
        <v>-1017.96</v>
      </c>
      <c r="AE190" s="27">
        <f>AE186*$E$190+SUMIFS(Aut_Ajustes_Manuais!$G:$G,Aut_Ajustes_Manuais!$I:$I,DRE!AC$4,Aut_Ajustes_Manuais!$F:$F,"  -  INSS sobre 13º Salários")</f>
        <v>-179.85306831800003</v>
      </c>
      <c r="AF190" s="237"/>
      <c r="AG190" s="26">
        <f>-SUMIFS(T_ORCAMENTOS!$E:$E,T_ORCAMENTOS!$C:$C,"  -  INSS sobre 13º Salários",T_ORCAMENTOS!$H:$H,"9/2026")</f>
        <v>-1001.66</v>
      </c>
      <c r="AH190" s="27">
        <f>AH186*$E$190+SUMIFS(Aut_Ajustes_Manuais!$G:$G,Aut_Ajustes_Manuais!$I:$I,DRE!AF$4,Aut_Ajustes_Manuais!$F:$F,"  -  INSS sobre 13º Salários")</f>
        <v>-221.02216409000002</v>
      </c>
      <c r="AI190" s="237"/>
      <c r="AJ190" s="26">
        <f>-SUMIFS(T_ORCAMENTOS!$E:$E,T_ORCAMENTOS!$C:$C,"  -  INSS sobre 13º Salários",T_ORCAMENTOS!$H:$H,"10/2026")</f>
        <v>-1051.0899999999999</v>
      </c>
      <c r="AK190" s="27">
        <f>AK186*$E$190+SUMIFS(Aut_Ajustes_Manuais!$G:$G,Aut_Ajustes_Manuais!$I:$I,DRE!AI$4,Aut_Ajustes_Manuais!$F:$F,"  -  INSS sobre 13º Salários")</f>
        <v>-221.02216409000002</v>
      </c>
      <c r="AL190" s="237"/>
      <c r="AM190" s="26">
        <f>-SUMIFS(T_ORCAMENTOS!$E:$E,T_ORCAMENTOS!$C:$C,"  -  INSS sobre 13º Salários",T_ORCAMENTOS!$H:$H,"11/2026")</f>
        <v>-1006.88</v>
      </c>
      <c r="AN190" s="27">
        <f>AN186*$E$190+SUMIFS(Aut_Ajustes_Manuais!$G:$G,Aut_Ajustes_Manuais!$I:$I,DRE!AL$4,Aut_Ajustes_Manuais!$F:$F,"  -  INSS sobre 13º Salários")</f>
        <v>-221.02216409000002</v>
      </c>
      <c r="AO190" s="237"/>
      <c r="AP190" s="26">
        <f>-SUMIFS(T_ORCAMENTOS!$E:$E,T_ORCAMENTOS!$C:$C,"  -  INSS sobre 13º Salários",T_ORCAMENTOS!$H:$H,"12/2026")</f>
        <v>-1055.3499999999999</v>
      </c>
      <c r="AQ190" s="27">
        <f>AQ186*$E$190+SUMIFS(Aut_Ajustes_Manuais!$G:$G,Aut_Ajustes_Manuais!$I:$I,DRE!AO$4,Aut_Ajustes_Manuais!$F:$F,"  -  INSS sobre 13º Salários")</f>
        <v>-221.02216409000002</v>
      </c>
      <c r="AR190" s="237">
        <f t="shared" ca="1" si="142"/>
        <v>0</v>
      </c>
      <c r="AS190" s="26">
        <f t="shared" ca="1" si="143"/>
        <v>-1017.96</v>
      </c>
      <c r="AT190" s="27">
        <f t="shared" ca="1" si="144"/>
        <v>-777.34652835233362</v>
      </c>
      <c r="AU190" s="237">
        <f t="shared" si="152"/>
        <v>0</v>
      </c>
      <c r="AV190" s="26">
        <f t="shared" si="153"/>
        <v>-5132.9400000000005</v>
      </c>
      <c r="AW190" s="27">
        <f t="shared" si="154"/>
        <v>-1661.4351847123335</v>
      </c>
      <c r="AX190" s="237">
        <f t="shared" si="155"/>
        <v>0</v>
      </c>
      <c r="AY190" s="26">
        <f t="shared" si="156"/>
        <v>0</v>
      </c>
      <c r="AZ190" s="27">
        <f t="shared" si="157"/>
        <v>-22.324400000000001</v>
      </c>
      <c r="BA190" s="237">
        <f t="shared" si="158"/>
        <v>0</v>
      </c>
      <c r="BB190" s="26">
        <f t="shared" si="159"/>
        <v>0</v>
      </c>
      <c r="BC190" s="27">
        <f t="shared" si="160"/>
        <v>-426.55833838800015</v>
      </c>
      <c r="BD190" s="237">
        <f t="shared" si="161"/>
        <v>0</v>
      </c>
      <c r="BE190" s="26">
        <f t="shared" si="162"/>
        <v>-2019.62</v>
      </c>
      <c r="BF190" s="27">
        <f t="shared" si="163"/>
        <v>-549.48595405433355</v>
      </c>
      <c r="BG190" s="237">
        <f t="shared" si="164"/>
        <v>0</v>
      </c>
      <c r="BH190" s="26">
        <f t="shared" si="165"/>
        <v>-3113.3199999999997</v>
      </c>
      <c r="BI190" s="27">
        <f t="shared" si="166"/>
        <v>-663.06649227000003</v>
      </c>
      <c r="BJ190" s="454"/>
    </row>
    <row r="191" spans="1:62" s="28" customFormat="1" outlineLevel="1" x14ac:dyDescent="0.3">
      <c r="A191" s="21" t="s">
        <v>222</v>
      </c>
      <c r="B191" s="2"/>
      <c r="C191" s="485"/>
      <c r="D191" s="95" t="s">
        <v>223</v>
      </c>
      <c r="E191" s="106">
        <v>0.26800000000000002</v>
      </c>
      <c r="F191" s="39"/>
      <c r="G191" s="32"/>
      <c r="H191" s="237"/>
      <c r="I191" s="26">
        <f>-SUMIFS(T_ORCAMENTOS!$E:$E,T_ORCAMENTOS!$C:$C,"  -  INSS sobre Férias",T_ORCAMENTOS!$H:$H,"1/2026")</f>
        <v>0</v>
      </c>
      <c r="J191" s="27">
        <f>J187*$E$191+SUMIFS(Aut_Ajustes_Manuais!$G:$G,Aut_Ajustes_Manuais!$I:$I,DRE!H$4,Aut_Ajustes_Manuais!$F:$F,"  -  INSS sobre Férias")</f>
        <v>-29.748000000000001</v>
      </c>
      <c r="K191" s="237"/>
      <c r="L191" s="26">
        <f>-SUMIFS(T_ORCAMENTOS!$E:$E,T_ORCAMENTOS!$C:$C,"  -  INSS sobre Férias",T_ORCAMENTOS!$H:$H,"2/2026")</f>
        <v>0</v>
      </c>
      <c r="M191" s="27">
        <f>M187*$E$191+SUMIFS(Aut_Ajustes_Manuais!$G:$G,Aut_Ajustes_Manuais!$I:$I,DRE!K$4,Aut_Ajustes_Manuais!$F:$F,"  -  INSS sobre Férias")</f>
        <v>-29.748000000000001</v>
      </c>
      <c r="N191" s="237"/>
      <c r="O191" s="26">
        <f>-SUMIFS(T_ORCAMENTOS!$E:$E,T_ORCAMENTOS!$C:$C,"  -  INSS sobre Férias",T_ORCAMENTOS!$H:$H,"3/2026")</f>
        <v>0</v>
      </c>
      <c r="P191" s="27">
        <f>P187*$E$191+SUMIFS(Aut_Ajustes_Manuais!$G:$G,Aut_Ajustes_Manuais!$I:$I,DRE!N$4,Aut_Ajustes_Manuais!$F:$F,"  -  INSS sobre Férias")</f>
        <v>-29.748000000000001</v>
      </c>
      <c r="Q191" s="237"/>
      <c r="R191" s="26">
        <f>-SUMIFS(T_ORCAMENTOS!$E:$E,T_ORCAMENTOS!$C:$C,"  -  INSS sobre Férias",T_ORCAMENTOS!$H:$H,"4/2026")</f>
        <v>0</v>
      </c>
      <c r="S191" s="27">
        <f>S187*$E$191+SUMIFS(Aut_Ajustes_Manuais!$G:$G,Aut_Ajustes_Manuais!$I:$I,DRE!Q$4,Aut_Ajustes_Manuais!$F:$F,"  -  INSS sobre Férias")</f>
        <v>0</v>
      </c>
      <c r="T191" s="237"/>
      <c r="U191" s="26">
        <f>-SUMIFS(T_ORCAMENTOS!$E:$E,T_ORCAMENTOS!$C:$C,"  -  INSS sobre Férias",T_ORCAMENTOS!$H:$H,"5/2026")</f>
        <v>0</v>
      </c>
      <c r="V191" s="27">
        <f>V187*$E$191+SUMIFS(Aut_Ajustes_Manuais!$G:$G,Aut_Ajustes_Manuais!$I:$I,DRE!T$4,Aut_Ajustes_Manuais!$F:$F,"  -  INSS sobre Férias")</f>
        <v>-532.04550857999993</v>
      </c>
      <c r="W191" s="237"/>
      <c r="X191" s="26">
        <f>-SUMIFS(T_ORCAMENTOS!$E:$E,T_ORCAMENTOS!$C:$C,"  -  INSS sobre Férias",T_ORCAMENTOS!$H:$H,"6/2026")</f>
        <v>0</v>
      </c>
      <c r="Y191" s="27">
        <f>Y187*$E$191+SUMIFS(Aut_Ajustes_Manuais!$G:$G,Aut_Ajustes_Manuais!$I:$I,DRE!W$4,Aut_Ajustes_Manuais!$F:$F,"  -  INSS sobre Férias")</f>
        <v>-1173.1636953000007</v>
      </c>
      <c r="Z191" s="237"/>
      <c r="AA191" s="26">
        <f>-SUMIFS(T_ORCAMENTOS!$E:$E,T_ORCAMENTOS!$C:$C,"  -  INSS sobre Férias",T_ORCAMENTOS!$H:$H,"7/2026")</f>
        <v>0</v>
      </c>
      <c r="AB191" s="27">
        <f>AB187*$E$191+SUMIFS(Aut_Ajustes_Manuais!$G:$G,Aut_Ajustes_Manuais!$I:$I,DRE!Z$4,Aut_Ajustes_Manuais!$F:$F,"  -  INSS sobre Férias")</f>
        <v>-594.08607813000037</v>
      </c>
      <c r="AC191" s="237"/>
      <c r="AD191" s="26">
        <f>-SUMIFS(T_ORCAMENTOS!$E:$E,T_ORCAMENTOS!$C:$C,"  -  INSS sobre Férias",T_ORCAMENTOS!$H:$H,"8/2026")</f>
        <v>-4069.4</v>
      </c>
      <c r="AE191" s="27">
        <f>AE187*$E$191+SUMIFS(Aut_Ajustes_Manuais!$G:$G,Aut_Ajustes_Manuais!$I:$I,DRE!AC$4,Aut_Ajustes_Manuais!$F:$F,"  -  INSS sobre Férias")</f>
        <v>-718.98045318000004</v>
      </c>
      <c r="AF191" s="237"/>
      <c r="AG191" s="26">
        <f>-SUMIFS(T_ORCAMENTOS!$E:$E,T_ORCAMENTOS!$C:$C,"  -  INSS sobre Férias",T_ORCAMENTOS!$H:$H,"9/2026")</f>
        <v>-4004.23</v>
      </c>
      <c r="AH191" s="27">
        <f>AH187*$E$191+SUMIFS(Aut_Ajustes_Manuais!$G:$G,Aut_Ajustes_Manuais!$I:$I,DRE!AF$4,Aut_Ajustes_Manuais!$F:$F,"  -  INSS sobre Férias")</f>
        <v>-883.55799090000005</v>
      </c>
      <c r="AI191" s="237"/>
      <c r="AJ191" s="26">
        <f>-SUMIFS(T_ORCAMENTOS!$E:$E,T_ORCAMENTOS!$C:$C,"  -  INSS sobre Férias",T_ORCAMENTOS!$H:$H,"10/2026")</f>
        <v>-4201.84</v>
      </c>
      <c r="AK191" s="27">
        <f>AK187*$E$191+SUMIFS(Aut_Ajustes_Manuais!$G:$G,Aut_Ajustes_Manuais!$I:$I,DRE!AI$4,Aut_Ajustes_Manuais!$F:$F,"  -  INSS sobre Férias")</f>
        <v>-883.55799090000005</v>
      </c>
      <c r="AL191" s="237"/>
      <c r="AM191" s="26">
        <f>-SUMIFS(T_ORCAMENTOS!$E:$E,T_ORCAMENTOS!$C:$C,"  -  INSS sobre Férias",T_ORCAMENTOS!$H:$H,"11/2026")</f>
        <v>-4025.09</v>
      </c>
      <c r="AN191" s="27">
        <f>AN187*$E$191+SUMIFS(Aut_Ajustes_Manuais!$G:$G,Aut_Ajustes_Manuais!$I:$I,DRE!AL$4,Aut_Ajustes_Manuais!$F:$F,"  -  INSS sobre Férias")</f>
        <v>-883.55799090000005</v>
      </c>
      <c r="AO191" s="237"/>
      <c r="AP191" s="26">
        <f>-SUMIFS(T_ORCAMENTOS!$E:$E,T_ORCAMENTOS!$C:$C,"  -  INSS sobre Férias",T_ORCAMENTOS!$H:$H,"12/2026")</f>
        <v>-4218.8500000000004</v>
      </c>
      <c r="AQ191" s="27">
        <f>AQ187*$E$191+SUMIFS(Aut_Ajustes_Manuais!$G:$G,Aut_Ajustes_Manuais!$I:$I,DRE!AO$4,Aut_Ajustes_Manuais!$F:$F,"  -  INSS sobre Férias")</f>
        <v>-883.55799090000005</v>
      </c>
      <c r="AR191" s="237">
        <f t="shared" ca="1" si="142"/>
        <v>0</v>
      </c>
      <c r="AS191" s="26">
        <f t="shared" ca="1" si="143"/>
        <v>-4069.4</v>
      </c>
      <c r="AT191" s="27">
        <f t="shared" ca="1" si="144"/>
        <v>-3107.519735190001</v>
      </c>
      <c r="AU191" s="237">
        <f t="shared" si="152"/>
        <v>0</v>
      </c>
      <c r="AV191" s="26">
        <f t="shared" si="153"/>
        <v>-20519.410000000003</v>
      </c>
      <c r="AW191" s="27">
        <f t="shared" si="154"/>
        <v>-6641.7516987900008</v>
      </c>
      <c r="AX191" s="237">
        <f t="shared" si="155"/>
        <v>0</v>
      </c>
      <c r="AY191" s="26">
        <f t="shared" si="156"/>
        <v>0</v>
      </c>
      <c r="AZ191" s="27">
        <f t="shared" si="157"/>
        <v>-89.244</v>
      </c>
      <c r="BA191" s="237">
        <f t="shared" si="158"/>
        <v>0</v>
      </c>
      <c r="BB191" s="26">
        <f t="shared" si="159"/>
        <v>0</v>
      </c>
      <c r="BC191" s="27">
        <f t="shared" si="160"/>
        <v>-1705.2092038800006</v>
      </c>
      <c r="BD191" s="237">
        <f t="shared" si="161"/>
        <v>0</v>
      </c>
      <c r="BE191" s="26">
        <f t="shared" si="162"/>
        <v>-8073.63</v>
      </c>
      <c r="BF191" s="27">
        <f t="shared" si="163"/>
        <v>-2196.6245222100006</v>
      </c>
      <c r="BG191" s="237">
        <f t="shared" si="164"/>
        <v>0</v>
      </c>
      <c r="BH191" s="26">
        <f t="shared" si="165"/>
        <v>-12445.78</v>
      </c>
      <c r="BI191" s="27">
        <f t="shared" si="166"/>
        <v>-2650.6739727000004</v>
      </c>
      <c r="BJ191" s="454"/>
    </row>
    <row r="192" spans="1:62" s="28" customFormat="1" outlineLevel="1" x14ac:dyDescent="0.3">
      <c r="A192" s="21" t="s">
        <v>224</v>
      </c>
      <c r="B192" s="2"/>
      <c r="C192" s="485"/>
      <c r="D192" s="95" t="s">
        <v>225</v>
      </c>
      <c r="E192" s="94">
        <v>0.01</v>
      </c>
      <c r="F192" s="39"/>
      <c r="G192" s="32"/>
      <c r="H192" s="237"/>
      <c r="I192" s="26">
        <f>-SUMIFS(T_ORCAMENTOS!$E:$E,T_ORCAMENTOS!$C:$C,"  -  Rescisão",T_ORCAMENTOS!$H:$H,"1/2026")</f>
        <v>0</v>
      </c>
      <c r="J192" s="27">
        <f>SUMIFS(Aut_BlueMe_Sem_Pedido!$J:$J,Aut_BlueMe_Sem_Pedido!$Q:$Q,DRE!H$4,Aut_BlueMe_Sem_Pedido!$H:$H,DRE!$A192)+SUMIFS(Aut_Ajustes_Manuais!$G:$G,Aut_Ajustes_Manuais!$I:$I,DRE!H$4,Aut_Ajustes_Manuais!$F:$F,"  -  Rescisão")</f>
        <v>0</v>
      </c>
      <c r="K192" s="237"/>
      <c r="L192" s="26">
        <f>-SUMIFS(T_ORCAMENTOS!$E:$E,T_ORCAMENTOS!$C:$C,"  -  Rescisão",T_ORCAMENTOS!$H:$H,"2/2026")</f>
        <v>0</v>
      </c>
      <c r="M192" s="27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37"/>
      <c r="O192" s="26">
        <f>-SUMIFS(T_ORCAMENTOS!$E:$E,T_ORCAMENTOS!$C:$C,"  -  Rescisão",T_ORCAMENTOS!$H:$H,"3/2026")</f>
        <v>0</v>
      </c>
      <c r="P192" s="27">
        <f>SUMIFS(Aut_BlueMe_Sem_Pedido!$J:$J,Aut_BlueMe_Sem_Pedido!$Q:$Q,DRE!N$4,Aut_BlueMe_Sem_Pedido!$H:$H,DRE!$A192)+SUMIFS(Aut_Ajustes_Manuais!$G:$G,Aut_Ajustes_Manuais!$I:$I,DRE!N$4,Aut_Ajustes_Manuais!$F:$F,"  -  Rescisão")</f>
        <v>0</v>
      </c>
      <c r="Q192" s="237"/>
      <c r="R192" s="26">
        <f>-SUMIFS(T_ORCAMENTOS!$E:$E,T_ORCAMENTOS!$C:$C,"  -  Rescisão",T_ORCAMENTOS!$H:$H,"4/2026")</f>
        <v>0</v>
      </c>
      <c r="S192" s="27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37"/>
      <c r="U192" s="26">
        <f>-SUMIFS(T_ORCAMENTOS!$E:$E,T_ORCAMENTOS!$C:$C,"  -  Rescisão",T_ORCAMENTOS!$H:$H,"5/2026")</f>
        <v>0</v>
      </c>
      <c r="V192" s="27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37"/>
      <c r="X192" s="26">
        <f>-SUMIFS(T_ORCAMENTOS!$E:$E,T_ORCAMENTOS!$C:$C,"  -  Rescisão",T_ORCAMENTOS!$H:$H,"6/2026")</f>
        <v>0</v>
      </c>
      <c r="Y192" s="27">
        <f>SUMIFS(Aut_BlueMe_Sem_Pedido!$J:$J,Aut_BlueMe_Sem_Pedido!$Q:$Q,DRE!W$4,Aut_BlueMe_Sem_Pedido!$H:$H,DRE!$A192)+SUMIFS(Aut_Ajustes_Manuais!$G:$G,Aut_Ajustes_Manuais!$I:$I,DRE!W$4,Aut_Ajustes_Manuais!$F:$F,"  -  Rescisão")</f>
        <v>-1459.16</v>
      </c>
      <c r="Z192" s="237"/>
      <c r="AA192" s="26">
        <f>-SUMIFS(T_ORCAMENTOS!$E:$E,T_ORCAMENTOS!$C:$C,"  -  Rescisão",T_ORCAMENTOS!$H:$H,"7/2026")</f>
        <v>0</v>
      </c>
      <c r="AB192" s="27">
        <f>SUMIFS(Aut_BlueMe_Sem_Pedido!$J:$J,Aut_BlueMe_Sem_Pedido!$Q:$Q,DRE!Z$4,Aut_BlueMe_Sem_Pedido!$H:$H,DRE!$A192)+SUMIFS(Aut_Ajustes_Manuais!$G:$G,Aut_Ajustes_Manuais!$I:$I,DRE!Z$4,Aut_Ajustes_Manuais!$F:$F,"  -  Rescisão")</f>
        <v>-3131.8199999999997</v>
      </c>
      <c r="AC192" s="237"/>
      <c r="AD192" s="26">
        <f>-SUMIFS(T_ORCAMENTOS!$E:$E,T_ORCAMENTOS!$C:$C,"  -  Rescisão",T_ORCAMENTOS!$H:$H,"8/2026")</f>
        <v>-5471.82</v>
      </c>
      <c r="AE192" s="27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37"/>
      <c r="AG192" s="26">
        <f>-SUMIFS(T_ORCAMENTOS!$E:$E,T_ORCAMENTOS!$C:$C,"  -  Rescisão",T_ORCAMENTOS!$H:$H,"9/2026")</f>
        <v>-5384.19</v>
      </c>
      <c r="AH192" s="27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37"/>
      <c r="AJ192" s="26">
        <f>-SUMIFS(T_ORCAMENTOS!$E:$E,T_ORCAMENTOS!$C:$C,"  -  Rescisão",T_ORCAMENTOS!$H:$H,"10/2026")</f>
        <v>-5649.91</v>
      </c>
      <c r="AK192" s="27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37"/>
      <c r="AM192" s="26">
        <f>-SUMIFS(T_ORCAMENTOS!$E:$E,T_ORCAMENTOS!$C:$C,"  -  Rescisão",T_ORCAMENTOS!$H:$H,"11/2026")</f>
        <v>-5412.25</v>
      </c>
      <c r="AN192" s="27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37"/>
      <c r="AP192" s="26">
        <f>-SUMIFS(T_ORCAMENTOS!$E:$E,T_ORCAMENTOS!$C:$C,"  -  Rescisão",T_ORCAMENTOS!$H:$H,"12/2026")</f>
        <v>-5672.78</v>
      </c>
      <c r="AQ192" s="27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37">
        <f t="shared" ca="1" si="142"/>
        <v>0</v>
      </c>
      <c r="AS192" s="26">
        <f t="shared" ca="1" si="143"/>
        <v>-5471.82</v>
      </c>
      <c r="AT192" s="27">
        <f t="shared" ca="1" si="144"/>
        <v>-4590.9799999999996</v>
      </c>
      <c r="AU192" s="237">
        <f t="shared" si="152"/>
        <v>0</v>
      </c>
      <c r="AV192" s="26">
        <f t="shared" si="153"/>
        <v>-27590.949999999997</v>
      </c>
      <c r="AW192" s="27">
        <f t="shared" si="154"/>
        <v>-4590.9799999999996</v>
      </c>
      <c r="AX192" s="237">
        <f t="shared" si="155"/>
        <v>0</v>
      </c>
      <c r="AY192" s="26">
        <f t="shared" si="156"/>
        <v>0</v>
      </c>
      <c r="AZ192" s="27">
        <f t="shared" si="157"/>
        <v>0</v>
      </c>
      <c r="BA192" s="237">
        <f t="shared" si="158"/>
        <v>0</v>
      </c>
      <c r="BB192" s="26">
        <f t="shared" si="159"/>
        <v>0</v>
      </c>
      <c r="BC192" s="27">
        <f t="shared" si="160"/>
        <v>-1459.16</v>
      </c>
      <c r="BD192" s="237">
        <f t="shared" si="161"/>
        <v>0</v>
      </c>
      <c r="BE192" s="26">
        <f t="shared" si="162"/>
        <v>-10856.009999999998</v>
      </c>
      <c r="BF192" s="27">
        <f t="shared" si="163"/>
        <v>-3131.8199999999997</v>
      </c>
      <c r="BG192" s="237">
        <f t="shared" si="164"/>
        <v>0</v>
      </c>
      <c r="BH192" s="26">
        <f t="shared" si="165"/>
        <v>-16734.939999999999</v>
      </c>
      <c r="BI192" s="27">
        <f t="shared" si="166"/>
        <v>0</v>
      </c>
      <c r="BJ192" s="454"/>
    </row>
    <row r="193" spans="1:62" s="28" customFormat="1" outlineLevel="1" x14ac:dyDescent="0.3">
      <c r="A193" s="21" t="s">
        <v>226</v>
      </c>
      <c r="B193" s="2"/>
      <c r="C193" s="485"/>
      <c r="D193" s="95" t="s">
        <v>227</v>
      </c>
      <c r="E193" s="94">
        <v>0</v>
      </c>
      <c r="F193" s="39"/>
      <c r="G193" s="32"/>
      <c r="H193" s="237"/>
      <c r="I193" s="26">
        <f>-SUMIFS(T_ORCAMENTOS!$E:$E,T_ORCAMENTOS!$C:$C,"  -  Multa Rescisória",T_ORCAMENTOS!$H:$H,"1/2026")</f>
        <v>0</v>
      </c>
      <c r="J193" s="27">
        <f>SUMIFS(Aut_BlueMe_Sem_Pedido!$J:$J,Aut_BlueMe_Sem_Pedido!$Q:$Q,DRE!H$4,Aut_BlueMe_Sem_Pedido!$H:$H,DRE!$A193)+SUMIFS(Aut_Ajustes_Manuais!$G:$G,Aut_Ajustes_Manuais!$I:$I,DRE!H$4,Aut_Ajustes_Manuais!$F:$F,"  -  Multa Rescisória")</f>
        <v>0</v>
      </c>
      <c r="K193" s="237"/>
      <c r="L193" s="26">
        <f>-SUMIFS(T_ORCAMENTOS!$E:$E,T_ORCAMENTOS!$C:$C,"  -  Multa Rescisória",T_ORCAMENTOS!$H:$H,"2/2026")</f>
        <v>0</v>
      </c>
      <c r="M193" s="27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37"/>
      <c r="O193" s="26">
        <f>-SUMIFS(T_ORCAMENTOS!$E:$E,T_ORCAMENTOS!$C:$C,"  -  Multa Rescisória",T_ORCAMENTOS!$H:$H,"3/2026")</f>
        <v>0</v>
      </c>
      <c r="P193" s="27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37"/>
      <c r="R193" s="26">
        <f>-SUMIFS(T_ORCAMENTOS!$E:$E,T_ORCAMENTOS!$C:$C,"  -  Multa Rescisória",T_ORCAMENTOS!$H:$H,"4/2026")</f>
        <v>0</v>
      </c>
      <c r="S193" s="26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37"/>
      <c r="U193" s="26">
        <f>-SUMIFS(T_ORCAMENTOS!$E:$E,T_ORCAMENTOS!$C:$C,"  -  Multa Rescisória",T_ORCAMENTOS!$H:$H,"5/2026")</f>
        <v>0</v>
      </c>
      <c r="V193" s="27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37"/>
      <c r="X193" s="26">
        <f>-SUMIFS(T_ORCAMENTOS!$E:$E,T_ORCAMENTOS!$C:$C,"  -  Multa Rescisória",T_ORCAMENTOS!$H:$H,"6/2026")</f>
        <v>0</v>
      </c>
      <c r="Y193" s="27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37"/>
      <c r="AA193" s="26">
        <f>-SUMIFS(T_ORCAMENTOS!$E:$E,T_ORCAMENTOS!$C:$C,"  -  Multa Rescisória",T_ORCAMENTOS!$H:$H,"7/2026")</f>
        <v>0</v>
      </c>
      <c r="AB193" s="27">
        <f>SUMIFS(Aut_BlueMe_Sem_Pedido!$J:$J,Aut_BlueMe_Sem_Pedido!$Q:$Q,DRE!Z$4,Aut_BlueMe_Sem_Pedido!$H:$H,DRE!$A193)+SUMIFS(Aut_Ajustes_Manuais!$G:$G,Aut_Ajustes_Manuais!$I:$I,DRE!Z$4,Aut_Ajustes_Manuais!$F:$F,"  -  Multa Rescisória")</f>
        <v>-199.71999999999997</v>
      </c>
      <c r="AC193" s="237"/>
      <c r="AD193" s="26">
        <f>-SUMIFS(T_ORCAMENTOS!$E:$E,T_ORCAMENTOS!$C:$C,"  -  Multa Rescisória",T_ORCAMENTOS!$H:$H,"8/2026")</f>
        <v>0</v>
      </c>
      <c r="AE193" s="27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37"/>
      <c r="AG193" s="26">
        <f>-SUMIFS(T_ORCAMENTOS!$E:$E,T_ORCAMENTOS!$C:$C,"  -  Multa Rescisória",T_ORCAMENTOS!$H:$H,"9/2026")</f>
        <v>0</v>
      </c>
      <c r="AH193" s="27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37"/>
      <c r="AJ193" s="26">
        <f>-SUMIFS(T_ORCAMENTOS!$E:$E,T_ORCAMENTOS!$C:$C,"  -  Multa Rescisória",T_ORCAMENTOS!$H:$H,"10/2026")</f>
        <v>0</v>
      </c>
      <c r="AK193" s="27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37"/>
      <c r="AM193" s="26">
        <f>-SUMIFS(T_ORCAMENTOS!$E:$E,T_ORCAMENTOS!$C:$C,"  -  Multa Rescisória",T_ORCAMENTOS!$H:$H,"11/2026")</f>
        <v>0</v>
      </c>
      <c r="AN193" s="27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37"/>
      <c r="AP193" s="26">
        <f>-SUMIFS(T_ORCAMENTOS!$E:$E,T_ORCAMENTOS!$C:$C,"  -  Multa Rescisória",T_ORCAMENTOS!$H:$H,"12/2026")</f>
        <v>0</v>
      </c>
      <c r="AQ193" s="27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37">
        <f t="shared" ca="1" si="142"/>
        <v>0</v>
      </c>
      <c r="AS193" s="26">
        <f t="shared" ca="1" si="143"/>
        <v>0</v>
      </c>
      <c r="AT193" s="27">
        <f t="shared" ca="1" si="144"/>
        <v>-199.71999999999997</v>
      </c>
      <c r="AU193" s="237">
        <f t="shared" si="152"/>
        <v>0</v>
      </c>
      <c r="AV193" s="26">
        <f t="shared" si="153"/>
        <v>0</v>
      </c>
      <c r="AW193" s="27">
        <f t="shared" si="154"/>
        <v>-199.71999999999997</v>
      </c>
      <c r="AX193" s="237">
        <f t="shared" si="155"/>
        <v>0</v>
      </c>
      <c r="AY193" s="26">
        <f t="shared" si="156"/>
        <v>0</v>
      </c>
      <c r="AZ193" s="27">
        <f t="shared" si="157"/>
        <v>0</v>
      </c>
      <c r="BA193" s="237">
        <f t="shared" si="158"/>
        <v>0</v>
      </c>
      <c r="BB193" s="26">
        <f t="shared" si="159"/>
        <v>0</v>
      </c>
      <c r="BC193" s="27">
        <f t="shared" si="160"/>
        <v>0</v>
      </c>
      <c r="BD193" s="237">
        <f t="shared" si="161"/>
        <v>0</v>
      </c>
      <c r="BE193" s="26">
        <f t="shared" si="162"/>
        <v>0</v>
      </c>
      <c r="BF193" s="27">
        <f t="shared" si="163"/>
        <v>-199.71999999999997</v>
      </c>
      <c r="BG193" s="237">
        <f t="shared" si="164"/>
        <v>0</v>
      </c>
      <c r="BH193" s="26">
        <f t="shared" si="165"/>
        <v>0</v>
      </c>
      <c r="BI193" s="27">
        <f t="shared" si="166"/>
        <v>0</v>
      </c>
      <c r="BJ193" s="454"/>
    </row>
    <row r="194" spans="1:62" s="28" customFormat="1" outlineLevel="1" x14ac:dyDescent="0.3">
      <c r="A194" s="21" t="s">
        <v>228</v>
      </c>
      <c r="B194" s="2"/>
      <c r="C194" s="485"/>
      <c r="D194" s="95" t="s">
        <v>229</v>
      </c>
      <c r="E194" s="94"/>
      <c r="F194" s="39"/>
      <c r="G194" s="32"/>
      <c r="H194" s="237"/>
      <c r="I194" s="26">
        <f>-SUMIFS(T_ORCAMENTOS!$E:$E,T_ORCAMENTOS!$C:$C,"  -  Ações trabalhistas",T_ORCAMENTOS!$H:$H,"1/2026")</f>
        <v>0</v>
      </c>
      <c r="J194" s="26">
        <f>-SUMIFS(Aut_Endividamentos!$N:$N,Aut_Endividamentos!$S:$S,DRE!H$4,Aut_Endividamentos!$G:$G,"Processo Judicial")+SUMIFS(Aut_Ajustes_Manuais!$G:$G,Aut_Ajustes_Manuais!$I:$I,DRE!H$4,Aut_Ajustes_Manuais!$F:$F,"  -  Ações trabalhistas")</f>
        <v>0</v>
      </c>
      <c r="K194" s="237"/>
      <c r="L194" s="26">
        <f>-SUMIFS(T_ORCAMENTOS!$E:$E,T_ORCAMENTOS!$C:$C,"  -  Ações trabalhistas",T_ORCAMENTOS!$H:$H,"2/2026")</f>
        <v>0</v>
      </c>
      <c r="M194" s="26">
        <f>-SUMIFS(Aut_Endividamentos!$N:$N,Aut_Endividamentos!$S:$S,DRE!K$4,Aut_Endividamentos!$G:$G,"Processo Judicial")+SUMIFS(Aut_Ajustes_Manuais!$G:$G,Aut_Ajustes_Manuais!$I:$I,DRE!K$4,Aut_Ajustes_Manuais!$F:$F,"  -  Ações trabalhistas")</f>
        <v>0</v>
      </c>
      <c r="N194" s="237"/>
      <c r="O194" s="26">
        <f>-SUMIFS(T_ORCAMENTOS!$E:$E,T_ORCAMENTOS!$C:$C,"  -  Ações trabalhistas",T_ORCAMENTOS!$H:$H,"3/2026")</f>
        <v>0</v>
      </c>
      <c r="P194" s="26">
        <f>-SUMIFS(Aut_Endividamentos!$N:$N,Aut_Endividamentos!$S:$S,DRE!N$4,Aut_Endividamentos!$G:$G,"Processo Judicial")+SUMIFS(Aut_Ajustes_Manuais!$G:$G,Aut_Ajustes_Manuais!$I:$I,DRE!N$4,Aut_Ajustes_Manuais!$F:$F,"  -  Ações trabalhistas")</f>
        <v>0</v>
      </c>
      <c r="Q194" s="237"/>
      <c r="R194" s="26">
        <f>-SUMIFS(T_ORCAMENTOS!$E:$E,T_ORCAMENTOS!$C:$C,"  -  Ações trabalhistas",T_ORCAMENTOS!$H:$H,"4/2026")</f>
        <v>0</v>
      </c>
      <c r="S194" s="26">
        <f>-SUMIFS(Aut_Endividamentos!$N:$N,Aut_Endividamentos!$S:$S,DRE!Q$4,Aut_Endividamentos!$G:$G,"Processo Judicial")+SUMIFS(Aut_Ajustes_Manuais!$G:$G,Aut_Ajustes_Manuais!$I:$I,DRE!Q$4,Aut_Ajustes_Manuais!$F:$F,"  -  Ações trabalhistas")</f>
        <v>0</v>
      </c>
      <c r="T194" s="237"/>
      <c r="U194" s="26">
        <f>-SUMIFS(T_ORCAMENTOS!$E:$E,T_ORCAMENTOS!$C:$C,"  -  Ações trabalhistas",T_ORCAMENTOS!$H:$H,"5/2026")</f>
        <v>0</v>
      </c>
      <c r="V194" s="27">
        <f>-SUMIFS(Aut_Endividamentos!$N:$N,Aut_Endividamentos!$S:$S,DRE!T$4,Aut_Endividamentos!$G:$G,"Processo Judicial")+SUMIFS(Aut_Ajustes_Manuais!$G:$G,Aut_Ajustes_Manuais!$I:$I,DRE!T$4,Aut_Ajustes_Manuais!$F:$F,"  -  Ações trabalhistas")</f>
        <v>0</v>
      </c>
      <c r="W194" s="237"/>
      <c r="X194" s="26">
        <f>-SUMIFS(T_ORCAMENTOS!$E:$E,T_ORCAMENTOS!$C:$C,"  -  Ações trabalhistas",T_ORCAMENTOS!$H:$H,"6/2026")</f>
        <v>0</v>
      </c>
      <c r="Y194" s="27">
        <f>-SUMIFS(Aut_Endividamentos!$N:$N,Aut_Endividamentos!$S:$S,DRE!W$4,Aut_Endividamentos!$G:$G,"Processo Judicial")+SUMIFS(Aut_Ajustes_Manuais!$G:$G,Aut_Ajustes_Manuais!$I:$I,DRE!W$4,Aut_Ajustes_Manuais!$F:$F,"  -  Ações trabalhistas")</f>
        <v>0</v>
      </c>
      <c r="Z194" s="237"/>
      <c r="AA194" s="26">
        <f>-SUMIFS(T_ORCAMENTOS!$E:$E,T_ORCAMENTOS!$C:$C,"  -  Ações trabalhistas",T_ORCAMENTOS!$H:$H,"7/2026")</f>
        <v>0</v>
      </c>
      <c r="AB194" s="27">
        <f>-SUMIFS(Aut_Endividamentos!$N:$N,Aut_Endividamentos!$S:$S,DRE!Z$4,Aut_Endividamentos!$G:$G,"Processo Judicial")+SUMIFS(Aut_Ajustes_Manuais!$G:$G,Aut_Ajustes_Manuais!$I:$I,DRE!Z$4,Aut_Ajustes_Manuais!$F:$F,"  -  Ações trabalhistas")</f>
        <v>0</v>
      </c>
      <c r="AC194" s="237"/>
      <c r="AD194" s="26">
        <f>-SUMIFS(T_ORCAMENTOS!$E:$E,T_ORCAMENTOS!$C:$C,"  -  Ações trabalhistas",T_ORCAMENTOS!$H:$H,"8/2026")</f>
        <v>0</v>
      </c>
      <c r="AE194" s="27">
        <f>-SUMIFS(Aut_Endividamentos!$N:$N,Aut_Endividamentos!$S:$S,DRE!AC$4,Aut_Endividamentos!$G:$G,"Processo Judicial")+SUMIFS(Aut_Ajustes_Manuais!$G:$G,Aut_Ajustes_Manuais!$I:$I,DRE!AC$4,Aut_Ajustes_Manuais!$F:$F,"  -  Ações trabalhistas")</f>
        <v>0</v>
      </c>
      <c r="AF194" s="237"/>
      <c r="AG194" s="26">
        <f>-SUMIFS(T_ORCAMENTOS!$E:$E,T_ORCAMENTOS!$C:$C,"  -  Ações trabalhistas",T_ORCAMENTOS!$H:$H,"9/2026")</f>
        <v>0</v>
      </c>
      <c r="AH194" s="27">
        <f>-SUMIFS(Aut_Endividamentos!$N:$N,Aut_Endividamentos!$S:$S,DRE!AF$4,Aut_Endividamentos!$G:$G,"Processo Judicial")+SUMIFS(Aut_Ajustes_Manuais!$G:$G,Aut_Ajustes_Manuais!$I:$I,DRE!AF$4,Aut_Ajustes_Manuais!$F:$F,"  -  Ações trabalhistas")</f>
        <v>0</v>
      </c>
      <c r="AI194" s="237"/>
      <c r="AJ194" s="26">
        <f>-SUMIFS(T_ORCAMENTOS!$E:$E,T_ORCAMENTOS!$C:$C,"  -  Ações trabalhistas",T_ORCAMENTOS!$H:$H,"10/2026")</f>
        <v>0</v>
      </c>
      <c r="AK194" s="27">
        <f>-SUMIFS(Aut_Endividamentos!$N:$N,Aut_Endividamentos!$S:$S,DRE!AI$4,Aut_Endividamentos!$G:$G,"Processo Judicial")+SUMIFS(Aut_Ajustes_Manuais!$G:$G,Aut_Ajustes_Manuais!$I:$I,DRE!AI$4,Aut_Ajustes_Manuais!$F:$F,"  -  Ações trabalhistas")</f>
        <v>0</v>
      </c>
      <c r="AL194" s="237"/>
      <c r="AM194" s="26">
        <f>-SUMIFS(T_ORCAMENTOS!$E:$E,T_ORCAMENTOS!$C:$C,"  -  Ações trabalhistas",T_ORCAMENTOS!$H:$H,"11/2026")</f>
        <v>0</v>
      </c>
      <c r="AN194" s="27">
        <f>-SUMIFS(Aut_Endividamentos!$N:$N,Aut_Endividamentos!$S:$S,DRE!AL$4,Aut_Endividamentos!$G:$G,"Processo Judicial")+SUMIFS(Aut_Ajustes_Manuais!$G:$G,Aut_Ajustes_Manuais!$I:$I,DRE!AL$4,Aut_Ajustes_Manuais!$F:$F,"  -  Ações trabalhistas")</f>
        <v>0</v>
      </c>
      <c r="AO194" s="237"/>
      <c r="AP194" s="26">
        <f>-SUMIFS(T_ORCAMENTOS!$E:$E,T_ORCAMENTOS!$C:$C,"  -  Ações trabalhistas",T_ORCAMENTOS!$H:$H,"12/2026")</f>
        <v>0</v>
      </c>
      <c r="AQ194" s="27">
        <f>-SUMIFS(Aut_Endividamentos!$N:$N,Aut_Endividamentos!$S:$S,DRE!AO$4,Aut_Endividamentos!$G:$G,"Processo Judicial")+SUMIFS(Aut_Ajustes_Manuais!$G:$G,Aut_Ajustes_Manuais!$I:$I,DRE!AO$4,Aut_Ajustes_Manuais!$F:$F,"  -  Ações trabalhistas")</f>
        <v>0</v>
      </c>
      <c r="AR194" s="237">
        <f t="shared" ca="1" si="142"/>
        <v>0</v>
      </c>
      <c r="AS194" s="26">
        <f t="shared" ca="1" si="143"/>
        <v>0</v>
      </c>
      <c r="AT194" s="27">
        <f t="shared" ca="1" si="144"/>
        <v>0</v>
      </c>
      <c r="AU194" s="237">
        <f t="shared" si="152"/>
        <v>0</v>
      </c>
      <c r="AV194" s="26">
        <f t="shared" si="153"/>
        <v>0</v>
      </c>
      <c r="AW194" s="27">
        <f t="shared" si="154"/>
        <v>0</v>
      </c>
      <c r="AX194" s="237">
        <f t="shared" si="155"/>
        <v>0</v>
      </c>
      <c r="AY194" s="26">
        <f t="shared" si="156"/>
        <v>0</v>
      </c>
      <c r="AZ194" s="27">
        <f t="shared" si="157"/>
        <v>0</v>
      </c>
      <c r="BA194" s="237">
        <f t="shared" si="158"/>
        <v>0</v>
      </c>
      <c r="BB194" s="26">
        <f t="shared" si="159"/>
        <v>0</v>
      </c>
      <c r="BC194" s="27">
        <f t="shared" si="160"/>
        <v>0</v>
      </c>
      <c r="BD194" s="237">
        <f t="shared" si="161"/>
        <v>0</v>
      </c>
      <c r="BE194" s="26">
        <f t="shared" si="162"/>
        <v>0</v>
      </c>
      <c r="BF194" s="27">
        <f t="shared" si="163"/>
        <v>0</v>
      </c>
      <c r="BG194" s="237">
        <f t="shared" si="164"/>
        <v>0</v>
      </c>
      <c r="BH194" s="26">
        <f t="shared" si="165"/>
        <v>0</v>
      </c>
      <c r="BI194" s="27">
        <f t="shared" si="166"/>
        <v>0</v>
      </c>
      <c r="BJ194" s="454"/>
    </row>
    <row r="195" spans="1:62" s="28" customFormat="1" outlineLevel="1" x14ac:dyDescent="0.3">
      <c r="A195" s="21" t="s">
        <v>230</v>
      </c>
      <c r="B195" s="2"/>
      <c r="C195" s="485"/>
      <c r="D195" s="95" t="s">
        <v>231</v>
      </c>
      <c r="E195" s="94" t="s">
        <v>232</v>
      </c>
      <c r="F195" s="39"/>
      <c r="G195" s="32"/>
      <c r="H195" s="237"/>
      <c r="I195" s="26">
        <f>-SUMIFS(T_ORCAMENTOS!$E:$E,T_ORCAMENTOS!$C:$C,"  -  Adicional Noturno",T_ORCAMENTOS!$H:$H,"1/2026")</f>
        <v>0</v>
      </c>
      <c r="J195" s="27">
        <f>(J120+J88)/220*5*1.14+SUMIFS(Aut_Ajustes_Manuais!$G:$G,Aut_Ajustes_Manuais!$I:$I,DRE!H$4,Aut_Ajustes_Manuais!$F:$F,"  -  Adicional Noturno")</f>
        <v>-103.63636363636364</v>
      </c>
      <c r="K195" s="237"/>
      <c r="L195" s="26">
        <f>-SUMIFS(T_ORCAMENTOS!$E:$E,T_ORCAMENTOS!$C:$C,"  -  Adicional Noturno",T_ORCAMENTOS!$H:$H,"2/2026")</f>
        <v>0</v>
      </c>
      <c r="M195" s="27">
        <f>(M120+M88)/220*5*1.14+SUMIFS(Aut_Ajustes_Manuais!$G:$G,Aut_Ajustes_Manuais!$I:$I,DRE!K$4,Aut_Ajustes_Manuais!$F:$F,"  -  Adicional Noturno")</f>
        <v>-103.63636363636364</v>
      </c>
      <c r="N195" s="237"/>
      <c r="O195" s="26">
        <f>-SUMIFS(T_ORCAMENTOS!$E:$E,T_ORCAMENTOS!$C:$C,"  -  Adicional Noturno",T_ORCAMENTOS!$H:$H,"3/2026")</f>
        <v>0</v>
      </c>
      <c r="P195" s="27">
        <f>(P120+P88)/220*5*1.14+SUMIFS(Aut_Ajustes_Manuais!$G:$G,Aut_Ajustes_Manuais!$I:$I,DRE!N$4,Aut_Ajustes_Manuais!$F:$F,"  -  Adicional Noturno")</f>
        <v>-103.63636363636364</v>
      </c>
      <c r="Q195" s="237"/>
      <c r="R195" s="26">
        <f>-SUMIFS(T_ORCAMENTOS!$E:$E,T_ORCAMENTOS!$C:$C,"  -  Adicional Noturno",T_ORCAMENTOS!$H:$H,"4/2026")</f>
        <v>0</v>
      </c>
      <c r="S195" s="27">
        <f>(S120+S88)/220*5*1.14+SUMIFS(Aut_Ajustes_Manuais!$G:$G,Aut_Ajustes_Manuais!$I:$I,DRE!Q$4,Aut_Ajustes_Manuais!$F:$F,"  -  Adicional Noturno")</f>
        <v>0</v>
      </c>
      <c r="T195" s="237"/>
      <c r="U195" s="26">
        <f>-SUMIFS(T_ORCAMENTOS!$E:$E,T_ORCAMENTOS!$C:$C,"  -  Adicional Noturno",T_ORCAMENTOS!$H:$H,"5/2026")</f>
        <v>0</v>
      </c>
      <c r="V195" s="27">
        <f>(V120+V88)/220*5*1.14+SUMIFS(Aut_Ajustes_Manuais!$G:$G,Aut_Ajustes_Manuais!$I:$I,DRE!T$4,Aut_Ajustes_Manuais!$F:$F,"  -  Adicional Noturno")</f>
        <v>-1853.5451727272723</v>
      </c>
      <c r="W195" s="237"/>
      <c r="X195" s="26">
        <f>-SUMIFS(T_ORCAMENTOS!$E:$E,T_ORCAMENTOS!$C:$C,"  -  Adicional Noturno",T_ORCAMENTOS!$H:$H,"6/2026")</f>
        <v>0</v>
      </c>
      <c r="Y195" s="27">
        <f>(Y120+Y88)/220*5*1.14+SUMIFS(Aut_Ajustes_Manuais!$G:$G,Aut_Ajustes_Manuais!$I:$I,DRE!W$4,Aut_Ajustes_Manuais!$F:$F,"  -  Adicional Noturno")</f>
        <v>-4087.0787727272746</v>
      </c>
      <c r="Z195" s="237"/>
      <c r="AA195" s="26">
        <f>-SUMIFS(T_ORCAMENTOS!$E:$E,T_ORCAMENTOS!$C:$C,"  -  Adicional Noturno",T_ORCAMENTOS!$H:$H,"7/2026")</f>
        <v>0</v>
      </c>
      <c r="AB195" s="27">
        <f>(AB120+AB88)/220*5*1.14+SUMIFS(Aut_Ajustes_Manuais!$G:$G,Aut_Ajustes_Manuais!$I:$I,DRE!Z$4,Aut_Ajustes_Manuais!$F:$F,"  -  Adicional Noturno")</f>
        <v>-2069.6826954545463</v>
      </c>
      <c r="AC195" s="237"/>
      <c r="AD195" s="26">
        <f>-SUMIFS(T_ORCAMENTOS!$E:$E,T_ORCAMENTOS!$C:$C,"  -  Adicional Noturno",T_ORCAMENTOS!$H:$H,"8/2026")</f>
        <v>-14177</v>
      </c>
      <c r="AE195" s="27">
        <f>(AE120+AE88)/220*5*1.14+SUMIFS(Aut_Ajustes_Manuais!$G:$G,Aut_Ajustes_Manuais!$I:$I,DRE!AC$4,Aut_Ajustes_Manuais!$F:$F,"  -  Adicional Noturno")</f>
        <v>-2504.7908999999995</v>
      </c>
      <c r="AF195" s="237"/>
      <c r="AG195" s="26">
        <f>-SUMIFS(T_ORCAMENTOS!$E:$E,T_ORCAMENTOS!$C:$C,"  -  Adicional Noturno",T_ORCAMENTOS!$H:$H,"9/2026")</f>
        <v>-13949.96</v>
      </c>
      <c r="AH195" s="27">
        <f>(AH120+AH88)/220*5*1.14+SUMIFS(Aut_Ajustes_Manuais!$G:$G,Aut_Ajustes_Manuais!$I:$I,DRE!AF$4,Aut_Ajustes_Manuais!$F:$F,"  -  Adicional Noturno")</f>
        <v>-3078.1476818181814</v>
      </c>
      <c r="AI195" s="237"/>
      <c r="AJ195" s="26">
        <f>-SUMIFS(T_ORCAMENTOS!$E:$E,T_ORCAMENTOS!$C:$C,"  -  Adicional Noturno",T_ORCAMENTOS!$H:$H,"10/2026")</f>
        <v>-14638.41</v>
      </c>
      <c r="AK195" s="27">
        <f>(AK120+AK88)/220*5*1.14+SUMIFS(Aut_Ajustes_Manuais!$G:$G,Aut_Ajustes_Manuais!$I:$I,DRE!AI$4,Aut_Ajustes_Manuais!$F:$F,"  -  Adicional Noturno")</f>
        <v>-3078.1476818181814</v>
      </c>
      <c r="AL195" s="237"/>
      <c r="AM195" s="26">
        <f>-SUMIFS(T_ORCAMENTOS!$E:$E,T_ORCAMENTOS!$C:$C,"  -  Adicional Noturno",T_ORCAMENTOS!$H:$H,"11/2026")</f>
        <v>-14022.64</v>
      </c>
      <c r="AN195" s="27">
        <f>(AN120+AN88)/220*5*1.14+SUMIFS(Aut_Ajustes_Manuais!$G:$G,Aut_Ajustes_Manuais!$I:$I,DRE!AL$4,Aut_Ajustes_Manuais!$F:$F,"  -  Adicional Noturno")</f>
        <v>-3078.1476818181814</v>
      </c>
      <c r="AO195" s="237"/>
      <c r="AP195" s="26">
        <f>-SUMIFS(T_ORCAMENTOS!$E:$E,T_ORCAMENTOS!$C:$C,"  -  Adicional Noturno",T_ORCAMENTOS!$H:$H,"12/2026")</f>
        <v>-14697.67</v>
      </c>
      <c r="AQ195" s="27">
        <f>(AQ120+AQ88)/220*5*1.14+SUMIFS(Aut_Ajustes_Manuais!$G:$G,Aut_Ajustes_Manuais!$I:$I,DRE!AO$4,Aut_Ajustes_Manuais!$F:$F,"  -  Adicional Noturno")</f>
        <v>-3078.1476818181814</v>
      </c>
      <c r="AR195" s="237">
        <f t="shared" ca="1" si="142"/>
        <v>0</v>
      </c>
      <c r="AS195" s="26">
        <f t="shared" ca="1" si="143"/>
        <v>-14177</v>
      </c>
      <c r="AT195" s="27">
        <f t="shared" ca="1" si="144"/>
        <v>-10826.006631818183</v>
      </c>
      <c r="AU195" s="237">
        <f t="shared" si="152"/>
        <v>0</v>
      </c>
      <c r="AV195" s="26">
        <f t="shared" si="153"/>
        <v>-71485.679999999993</v>
      </c>
      <c r="AW195" s="27">
        <f t="shared" si="154"/>
        <v>-23138.597359090905</v>
      </c>
      <c r="AX195" s="237">
        <f t="shared" si="155"/>
        <v>0</v>
      </c>
      <c r="AY195" s="26">
        <f t="shared" si="156"/>
        <v>0</v>
      </c>
      <c r="AZ195" s="27">
        <f t="shared" si="157"/>
        <v>-310.90909090909093</v>
      </c>
      <c r="BA195" s="237">
        <f t="shared" si="158"/>
        <v>0</v>
      </c>
      <c r="BB195" s="26">
        <f t="shared" si="159"/>
        <v>0</v>
      </c>
      <c r="BC195" s="27">
        <f t="shared" si="160"/>
        <v>-5940.6239454545466</v>
      </c>
      <c r="BD195" s="237">
        <f t="shared" si="161"/>
        <v>0</v>
      </c>
      <c r="BE195" s="26">
        <f t="shared" si="162"/>
        <v>-28126.959999999999</v>
      </c>
      <c r="BF195" s="27">
        <f t="shared" si="163"/>
        <v>-7652.6212772727267</v>
      </c>
      <c r="BG195" s="237">
        <f t="shared" si="164"/>
        <v>0</v>
      </c>
      <c r="BH195" s="26">
        <f t="shared" si="165"/>
        <v>-43358.720000000001</v>
      </c>
      <c r="BI195" s="27">
        <f t="shared" si="166"/>
        <v>-9234.4430454545436</v>
      </c>
      <c r="BJ195" s="454"/>
    </row>
    <row r="196" spans="1:62" s="28" customFormat="1" outlineLevel="1" x14ac:dyDescent="0.3">
      <c r="A196" s="21" t="s">
        <v>233</v>
      </c>
      <c r="B196" s="2"/>
      <c r="C196" s="485"/>
      <c r="D196" s="95" t="s">
        <v>234</v>
      </c>
      <c r="E196" s="94"/>
      <c r="F196" s="39"/>
      <c r="G196" s="32"/>
      <c r="H196" s="237"/>
      <c r="I196" s="26">
        <f>-SUMIFS(T_ORCAMENTOS!$E:$E,T_ORCAMENTOS!$C:$C,"  -  Hora Extra",T_ORCAMENTOS!$H:$H,"1/2026")</f>
        <v>0</v>
      </c>
      <c r="J196" s="27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37"/>
      <c r="L196" s="26">
        <f>-SUMIFS(T_ORCAMENTOS!$E:$E,T_ORCAMENTOS!$C:$C,"  -  Hora Extra",T_ORCAMENTOS!$H:$H,"2/2026")</f>
        <v>0</v>
      </c>
      <c r="M196" s="27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37"/>
      <c r="O196" s="26">
        <f>-SUMIFS(T_ORCAMENTOS!$E:$E,T_ORCAMENTOS!$C:$C,"  -  Hora Extra",T_ORCAMENTOS!$H:$H,"3/2026")</f>
        <v>0</v>
      </c>
      <c r="P196" s="27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37"/>
      <c r="R196" s="26">
        <f>-SUMIFS(T_ORCAMENTOS!$E:$E,T_ORCAMENTOS!$C:$C,"  -  Hora Extra",T_ORCAMENTOS!$H:$H,"4/2026")</f>
        <v>0</v>
      </c>
      <c r="S196" s="27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37"/>
      <c r="U196" s="26">
        <f>-SUMIFS(T_ORCAMENTOS!$E:$E,T_ORCAMENTOS!$C:$C,"  -  Hora Extra",T_ORCAMENTOS!$H:$H,"5/2026")</f>
        <v>0</v>
      </c>
      <c r="V196" s="27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37"/>
      <c r="X196" s="26">
        <f>-SUMIFS(T_ORCAMENTOS!$E:$E,T_ORCAMENTOS!$C:$C,"  -  Hora Extra",T_ORCAMENTOS!$H:$H,"6/2026")</f>
        <v>0</v>
      </c>
      <c r="Y196" s="27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37"/>
      <c r="AA196" s="26">
        <f>-SUMIFS(T_ORCAMENTOS!$E:$E,T_ORCAMENTOS!$C:$C,"  -  Hora Extra",T_ORCAMENTOS!$H:$H,"7/2026")</f>
        <v>0</v>
      </c>
      <c r="AB196" s="27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37"/>
      <c r="AD196" s="26">
        <f>-SUMIFS(T_ORCAMENTOS!$E:$E,T_ORCAMENTOS!$C:$C,"  -  Hora Extra",T_ORCAMENTOS!$H:$H,"8/2026")</f>
        <v>-12000.28</v>
      </c>
      <c r="AE196" s="27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37"/>
      <c r="AG196" s="26">
        <f>-SUMIFS(T_ORCAMENTOS!$E:$E,T_ORCAMENTOS!$C:$C,"  -  Hora Extra",T_ORCAMENTOS!$H:$H,"9/2026")</f>
        <v>-12000.28</v>
      </c>
      <c r="AH196" s="27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37"/>
      <c r="AJ196" s="26">
        <f>-SUMIFS(T_ORCAMENTOS!$E:$E,T_ORCAMENTOS!$C:$C,"  -  Hora Extra",T_ORCAMENTOS!$H:$H,"10/2026")</f>
        <v>-12000.28</v>
      </c>
      <c r="AK196" s="27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37"/>
      <c r="AM196" s="26">
        <f>-SUMIFS(T_ORCAMENTOS!$E:$E,T_ORCAMENTOS!$C:$C,"  -  Hora Extra",T_ORCAMENTOS!$H:$H,"11/2026")</f>
        <v>-12000.28</v>
      </c>
      <c r="AN196" s="27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37"/>
      <c r="AP196" s="26">
        <f>-SUMIFS(T_ORCAMENTOS!$E:$E,T_ORCAMENTOS!$C:$C,"  -  Hora Extra",T_ORCAMENTOS!$H:$H,"12/2026")</f>
        <v>-12000.28</v>
      </c>
      <c r="AQ196" s="27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37">
        <f t="shared" ca="1" si="142"/>
        <v>0</v>
      </c>
      <c r="AS196" s="26">
        <f t="shared" ca="1" si="143"/>
        <v>-12000.28</v>
      </c>
      <c r="AT196" s="27">
        <f t="shared" ca="1" si="144"/>
        <v>0</v>
      </c>
      <c r="AU196" s="237">
        <f t="shared" si="152"/>
        <v>0</v>
      </c>
      <c r="AV196" s="26">
        <f t="shared" si="153"/>
        <v>-60001.4</v>
      </c>
      <c r="AW196" s="27">
        <f t="shared" si="154"/>
        <v>0</v>
      </c>
      <c r="AX196" s="237">
        <f t="shared" si="155"/>
        <v>0</v>
      </c>
      <c r="AY196" s="26">
        <f t="shared" si="156"/>
        <v>0</v>
      </c>
      <c r="AZ196" s="27">
        <f t="shared" si="157"/>
        <v>0</v>
      </c>
      <c r="BA196" s="237">
        <f t="shared" si="158"/>
        <v>0</v>
      </c>
      <c r="BB196" s="26">
        <f t="shared" si="159"/>
        <v>0</v>
      </c>
      <c r="BC196" s="27">
        <f t="shared" si="160"/>
        <v>0</v>
      </c>
      <c r="BD196" s="237">
        <f t="shared" si="161"/>
        <v>0</v>
      </c>
      <c r="BE196" s="26">
        <f t="shared" si="162"/>
        <v>-24000.560000000001</v>
      </c>
      <c r="BF196" s="27">
        <f t="shared" si="163"/>
        <v>0</v>
      </c>
      <c r="BG196" s="237">
        <f t="shared" si="164"/>
        <v>0</v>
      </c>
      <c r="BH196" s="26">
        <f t="shared" si="165"/>
        <v>-36000.840000000004</v>
      </c>
      <c r="BI196" s="27">
        <f t="shared" si="166"/>
        <v>0</v>
      </c>
      <c r="BJ196" s="454"/>
    </row>
    <row r="197" spans="1:62" s="28" customFormat="1" outlineLevel="1" x14ac:dyDescent="0.3">
      <c r="A197" s="21" t="s">
        <v>235</v>
      </c>
      <c r="B197" s="2"/>
      <c r="C197" s="485"/>
      <c r="D197" s="95"/>
      <c r="E197" s="94">
        <v>0</v>
      </c>
      <c r="F197" s="39"/>
      <c r="G197" s="32"/>
      <c r="H197" s="237"/>
      <c r="I197" s="26">
        <f>-SUMIFS(T_ORCAMENTOS!$E:$E,T_ORCAMENTOS!$C:$C,"  -  Remuneração Variável",T_ORCAMENTOS!$H:$H,"1/2026")</f>
        <v>0</v>
      </c>
      <c r="J197" s="27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37"/>
      <c r="L197" s="26">
        <f>-SUMIFS(T_ORCAMENTOS!$E:$E,T_ORCAMENTOS!$C:$C,"  -  Remuneração Variável",T_ORCAMENTOS!$H:$H,"2/2026")</f>
        <v>0</v>
      </c>
      <c r="M197" s="27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37"/>
      <c r="O197" s="26">
        <f>-SUMIFS(T_ORCAMENTOS!$E:$E,T_ORCAMENTOS!$C:$C,"  -  Remuneração Variável",T_ORCAMENTOS!$H:$H,"3/2026")</f>
        <v>0</v>
      </c>
      <c r="P197" s="27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37"/>
      <c r="R197" s="26">
        <f>-SUMIFS(T_ORCAMENTOS!$E:$E,T_ORCAMENTOS!$C:$C,"  -  Remuneração Variável",T_ORCAMENTOS!$H:$H,"4/2026")</f>
        <v>0</v>
      </c>
      <c r="S197" s="27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37"/>
      <c r="U197" s="26">
        <f>-SUMIFS(T_ORCAMENTOS!$E:$E,T_ORCAMENTOS!$C:$C,"  -  Remuneração Variável",T_ORCAMENTOS!$H:$H,"5/2026")</f>
        <v>0</v>
      </c>
      <c r="V197" s="27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37"/>
      <c r="X197" s="26">
        <f>-SUMIFS(T_ORCAMENTOS!$E:$E,T_ORCAMENTOS!$C:$C,"  -  Remuneração Variável",T_ORCAMENTOS!$H:$H,"6/2026")</f>
        <v>0</v>
      </c>
      <c r="Y197" s="27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37"/>
      <c r="AA197" s="26">
        <f>-SUMIFS(T_ORCAMENTOS!$E:$E,T_ORCAMENTOS!$C:$C,"  -  Remuneração Variável",T_ORCAMENTOS!$H:$H,"7/2026")</f>
        <v>0</v>
      </c>
      <c r="AB197" s="27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37"/>
      <c r="AD197" s="26">
        <f>-SUMIFS(T_ORCAMENTOS!$E:$E,T_ORCAMENTOS!$C:$C,"  -  Remuneração Variável",T_ORCAMENTOS!$H:$H,"8/2026")</f>
        <v>0</v>
      </c>
      <c r="AE197" s="27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37"/>
      <c r="AG197" s="26">
        <f>-SUMIFS(T_ORCAMENTOS!$E:$E,T_ORCAMENTOS!$C:$C,"  -  Remuneração Variável",T_ORCAMENTOS!$H:$H,"9/2026")</f>
        <v>0</v>
      </c>
      <c r="AH197" s="27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37"/>
      <c r="AJ197" s="26">
        <f>-SUMIFS(T_ORCAMENTOS!$E:$E,T_ORCAMENTOS!$C:$C,"  -  Remuneração Variável",T_ORCAMENTOS!$H:$H,"10/2026")</f>
        <v>0</v>
      </c>
      <c r="AK197" s="27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37"/>
      <c r="AM197" s="26">
        <f>-SUMIFS(T_ORCAMENTOS!$E:$E,T_ORCAMENTOS!$C:$C,"  -  Remuneração Variável",T_ORCAMENTOS!$H:$H,"11/2026")</f>
        <v>0</v>
      </c>
      <c r="AN197" s="27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37"/>
      <c r="AP197" s="26">
        <f>-SUMIFS(T_ORCAMENTOS!$E:$E,T_ORCAMENTOS!$C:$C,"  -  Remuneração Variável",T_ORCAMENTOS!$H:$H,"12/2026")</f>
        <v>0</v>
      </c>
      <c r="AQ197" s="27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37">
        <f t="shared" ca="1" si="142"/>
        <v>0</v>
      </c>
      <c r="AS197" s="26">
        <f t="shared" ca="1" si="143"/>
        <v>0</v>
      </c>
      <c r="AT197" s="27">
        <f t="shared" ca="1" si="144"/>
        <v>0</v>
      </c>
      <c r="AU197" s="237">
        <f t="shared" si="152"/>
        <v>0</v>
      </c>
      <c r="AV197" s="26">
        <f t="shared" si="153"/>
        <v>0</v>
      </c>
      <c r="AW197" s="27">
        <f t="shared" si="154"/>
        <v>0</v>
      </c>
      <c r="AX197" s="237">
        <f t="shared" si="155"/>
        <v>0</v>
      </c>
      <c r="AY197" s="26">
        <f t="shared" si="156"/>
        <v>0</v>
      </c>
      <c r="AZ197" s="27">
        <f t="shared" si="157"/>
        <v>0</v>
      </c>
      <c r="BA197" s="237">
        <f t="shared" si="158"/>
        <v>0</v>
      </c>
      <c r="BB197" s="26">
        <f t="shared" si="159"/>
        <v>0</v>
      </c>
      <c r="BC197" s="27">
        <f t="shared" si="160"/>
        <v>0</v>
      </c>
      <c r="BD197" s="237">
        <f t="shared" si="161"/>
        <v>0</v>
      </c>
      <c r="BE197" s="26">
        <f t="shared" si="162"/>
        <v>0</v>
      </c>
      <c r="BF197" s="27">
        <f t="shared" si="163"/>
        <v>0</v>
      </c>
      <c r="BG197" s="237">
        <f t="shared" si="164"/>
        <v>0</v>
      </c>
      <c r="BH197" s="26">
        <f t="shared" si="165"/>
        <v>0</v>
      </c>
      <c r="BI197" s="27">
        <f t="shared" si="166"/>
        <v>0</v>
      </c>
      <c r="BJ197" s="454"/>
    </row>
    <row r="198" spans="1:62" s="28" customFormat="1" outlineLevel="1" x14ac:dyDescent="0.3">
      <c r="A198" s="21" t="s">
        <v>236</v>
      </c>
      <c r="B198" s="2"/>
      <c r="C198" s="486"/>
      <c r="D198" s="95"/>
      <c r="E198" s="94">
        <v>0</v>
      </c>
      <c r="F198" s="39"/>
      <c r="G198" s="32"/>
      <c r="H198" s="237"/>
      <c r="I198" s="26">
        <f>-SUMIFS(T_ORCAMENTOS!$E:$E,T_ORCAMENTOS!$C:$C,"  -  Premiação",T_ORCAMENTOS!$H:$H,"1/2026")</f>
        <v>0</v>
      </c>
      <c r="J198" s="27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37"/>
      <c r="L198" s="26">
        <f>-SUMIFS(T_ORCAMENTOS!$E:$E,T_ORCAMENTOS!$C:$C,"  -  Premiação",T_ORCAMENTOS!$H:$H,"2/2026")</f>
        <v>0</v>
      </c>
      <c r="M198" s="27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37"/>
      <c r="O198" s="26">
        <f>-SUMIFS(T_ORCAMENTOS!$E:$E,T_ORCAMENTOS!$C:$C,"  -  Premiação",T_ORCAMENTOS!$H:$H,"3/2026")</f>
        <v>0</v>
      </c>
      <c r="P198" s="27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37"/>
      <c r="R198" s="26">
        <f>-SUMIFS(T_ORCAMENTOS!$E:$E,T_ORCAMENTOS!$C:$C,"  -  Premiação",T_ORCAMENTOS!$H:$H,"4/2026")</f>
        <v>0</v>
      </c>
      <c r="S198" s="27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37"/>
      <c r="U198" s="26">
        <f>-SUMIFS(T_ORCAMENTOS!$E:$E,T_ORCAMENTOS!$C:$C,"  -  Premiação",T_ORCAMENTOS!$H:$H,"5/2026")</f>
        <v>0</v>
      </c>
      <c r="V198" s="27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37"/>
      <c r="X198" s="26">
        <f>-SUMIFS(T_ORCAMENTOS!$E:$E,T_ORCAMENTOS!$C:$C,"  -  Premiação",T_ORCAMENTOS!$H:$H,"6/2026")</f>
        <v>0</v>
      </c>
      <c r="Y198" s="27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37"/>
      <c r="AA198" s="26">
        <f>-SUMIFS(T_ORCAMENTOS!$E:$E,T_ORCAMENTOS!$C:$C,"  -  Premiação",T_ORCAMENTOS!$H:$H,"7/2026")</f>
        <v>0</v>
      </c>
      <c r="AB198" s="27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37"/>
      <c r="AD198" s="26">
        <f>-SUMIFS(T_ORCAMENTOS!$E:$E,T_ORCAMENTOS!$C:$C,"  -  Premiação",T_ORCAMENTOS!$H:$H,"8/2026")</f>
        <v>0</v>
      </c>
      <c r="AE198" s="27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37"/>
      <c r="AG198" s="26">
        <f>-SUMIFS(T_ORCAMENTOS!$E:$E,T_ORCAMENTOS!$C:$C,"  -  Premiação",T_ORCAMENTOS!$H:$H,"9/2026")</f>
        <v>0</v>
      </c>
      <c r="AH198" s="27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37"/>
      <c r="AJ198" s="26">
        <f>-SUMIFS(T_ORCAMENTOS!$E:$E,T_ORCAMENTOS!$C:$C,"  -  Premiação",T_ORCAMENTOS!$H:$H,"10/2026")</f>
        <v>0</v>
      </c>
      <c r="AK198" s="27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37"/>
      <c r="AM198" s="26">
        <f>-SUMIFS(T_ORCAMENTOS!$E:$E,T_ORCAMENTOS!$C:$C,"  -  Premiação",T_ORCAMENTOS!$H:$H,"11/2026")</f>
        <v>0</v>
      </c>
      <c r="AN198" s="27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37"/>
      <c r="AP198" s="26">
        <f>-SUMIFS(T_ORCAMENTOS!$E:$E,T_ORCAMENTOS!$C:$C,"  -  Premiação",T_ORCAMENTOS!$H:$H,"12/2026")</f>
        <v>0</v>
      </c>
      <c r="AQ198" s="27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37">
        <f t="shared" ca="1" si="142"/>
        <v>0</v>
      </c>
      <c r="AS198" s="26">
        <f t="shared" ca="1" si="143"/>
        <v>0</v>
      </c>
      <c r="AT198" s="27">
        <f t="shared" ca="1" si="144"/>
        <v>0</v>
      </c>
      <c r="AU198" s="237">
        <f t="shared" si="152"/>
        <v>0</v>
      </c>
      <c r="AV198" s="26">
        <f t="shared" si="153"/>
        <v>0</v>
      </c>
      <c r="AW198" s="27">
        <f t="shared" si="154"/>
        <v>0</v>
      </c>
      <c r="AX198" s="237">
        <f t="shared" si="155"/>
        <v>0</v>
      </c>
      <c r="AY198" s="26">
        <f t="shared" si="156"/>
        <v>0</v>
      </c>
      <c r="AZ198" s="27">
        <f t="shared" si="157"/>
        <v>0</v>
      </c>
      <c r="BA198" s="237">
        <f t="shared" si="158"/>
        <v>0</v>
      </c>
      <c r="BB198" s="26">
        <f t="shared" si="159"/>
        <v>0</v>
      </c>
      <c r="BC198" s="27">
        <f t="shared" si="160"/>
        <v>0</v>
      </c>
      <c r="BD198" s="237">
        <f t="shared" si="161"/>
        <v>0</v>
      </c>
      <c r="BE198" s="26">
        <f t="shared" si="162"/>
        <v>0</v>
      </c>
      <c r="BF198" s="27">
        <f t="shared" si="163"/>
        <v>0</v>
      </c>
      <c r="BG198" s="237">
        <f t="shared" si="164"/>
        <v>0</v>
      </c>
      <c r="BH198" s="26">
        <f t="shared" si="165"/>
        <v>0</v>
      </c>
      <c r="BI198" s="27">
        <f t="shared" si="166"/>
        <v>0</v>
      </c>
      <c r="BJ198" s="454"/>
    </row>
    <row r="199" spans="1:62" x14ac:dyDescent="0.3">
      <c r="A199" s="71" t="s">
        <v>237</v>
      </c>
      <c r="C199" s="38" t="s">
        <v>35</v>
      </c>
      <c r="D199" s="38" t="s">
        <v>36</v>
      </c>
      <c r="E199" s="38" t="s">
        <v>201</v>
      </c>
      <c r="F199" s="39"/>
      <c r="G199" s="45"/>
      <c r="H199" s="248"/>
      <c r="I199" s="72">
        <f>SUM(I200:I204)</f>
        <v>0</v>
      </c>
      <c r="J199" s="74">
        <f>SUM(J200:J204)+SUMIFS(Aut_Ajustes_Manuais!$G:$G,Aut_Ajustes_Manuais!$I:$I,DRE!H$4,Aut_Ajustes_Manuais!$F:$F,"Benefícios")</f>
        <v>0</v>
      </c>
      <c r="K199" s="248"/>
      <c r="L199" s="72">
        <f>SUM(L200:L204)</f>
        <v>0</v>
      </c>
      <c r="M199" s="74">
        <f>SUM(M200:M204)+SUMIFS(Aut_Ajustes_Manuais!$G:$G,Aut_Ajustes_Manuais!$I:$I,DRE!K$4,Aut_Ajustes_Manuais!$F:$F,"Benefícios")</f>
        <v>0</v>
      </c>
      <c r="N199" s="248"/>
      <c r="O199" s="72">
        <f>SUM(O200:O204)</f>
        <v>0</v>
      </c>
      <c r="P199" s="74">
        <f>SUM(P200:P204)+SUMIFS(Aut_Ajustes_Manuais!$G:$G,Aut_Ajustes_Manuais!$I:$I,DRE!N$4,Aut_Ajustes_Manuais!$F:$F,"Benefícios")</f>
        <v>0</v>
      </c>
      <c r="Q199" s="248"/>
      <c r="R199" s="72">
        <f>SUM(R200:R204)</f>
        <v>0</v>
      </c>
      <c r="S199" s="74">
        <f>SUM(S200:S204)+SUMIFS(Aut_Ajustes_Manuais!$G:$G,Aut_Ajustes_Manuais!$I:$I,DRE!Q$4,Aut_Ajustes_Manuais!$F:$F,"Benefícios")</f>
        <v>0</v>
      </c>
      <c r="T199" s="248"/>
      <c r="U199" s="72">
        <f>SUM(U200:U204)</f>
        <v>0</v>
      </c>
      <c r="V199" s="74">
        <f>SUM(V200:V204)+SUMIFS(Aut_Ajustes_Manuais!$G:$G,Aut_Ajustes_Manuais!$I:$I,DRE!T$4,Aut_Ajustes_Manuais!$F:$F,"Benefícios")</f>
        <v>-7970.5599999999959</v>
      </c>
      <c r="W199" s="248"/>
      <c r="X199" s="72">
        <f>SUM(X200:X204)</f>
        <v>0</v>
      </c>
      <c r="Y199" s="74">
        <f>SUM(Y200:Y204)+SUMIFS(Aut_Ajustes_Manuais!$G:$G,Aut_Ajustes_Manuais!$I:$I,DRE!W$4,Aut_Ajustes_Manuais!$F:$F,"Benefícios")</f>
        <v>-20739.730000000007</v>
      </c>
      <c r="Z199" s="248"/>
      <c r="AA199" s="72">
        <f>SUM(AA200:AA204)</f>
        <v>0</v>
      </c>
      <c r="AB199" s="74">
        <f>SUM(AB200:AB204)+SUMIFS(Aut_Ajustes_Manuais!$G:$G,Aut_Ajustes_Manuais!$I:$I,DRE!Z$4,Aut_Ajustes_Manuais!$F:$F,"Benefícios")</f>
        <v>-36215.780000000006</v>
      </c>
      <c r="AC199" s="248"/>
      <c r="AD199" s="72">
        <f>SUM(AD200:AD204)</f>
        <v>-41595.599999999999</v>
      </c>
      <c r="AE199" s="74">
        <f>SUM(AE200:AE204)+SUMIFS(Aut_Ajustes_Manuais!$G:$G,Aut_Ajustes_Manuais!$I:$I,DRE!AC$4,Aut_Ajustes_Manuais!$F:$F,"Benefícios")</f>
        <v>-12300</v>
      </c>
      <c r="AF199" s="248"/>
      <c r="AG199" s="72">
        <f>SUM(AG200:AG204)</f>
        <v>-41595.599999999999</v>
      </c>
      <c r="AH199" s="74">
        <f>SUM(AH200:AH204)+SUMIFS(Aut_Ajustes_Manuais!$G:$G,Aut_Ajustes_Manuais!$I:$I,DRE!AF$4,Aut_Ajustes_Manuais!$F:$F,"Benefícios")</f>
        <v>-12300</v>
      </c>
      <c r="AI199" s="248"/>
      <c r="AJ199" s="72">
        <f>SUM(AJ200:AJ204)</f>
        <v>-41595.599999999999</v>
      </c>
      <c r="AK199" s="74">
        <f>SUM(AK200:AK204)+SUMIFS(Aut_Ajustes_Manuais!$G:$G,Aut_Ajustes_Manuais!$I:$I,DRE!AI$4,Aut_Ajustes_Manuais!$F:$F,"Benefícios")</f>
        <v>-12300</v>
      </c>
      <c r="AL199" s="248"/>
      <c r="AM199" s="72">
        <f>SUM(AM200:AM204)</f>
        <v>-41595.599999999999</v>
      </c>
      <c r="AN199" s="74">
        <f>SUM(AN200:AN204)+SUMIFS(Aut_Ajustes_Manuais!$G:$G,Aut_Ajustes_Manuais!$I:$I,DRE!AL$4,Aut_Ajustes_Manuais!$F:$F,"Benefícios")</f>
        <v>-12300</v>
      </c>
      <c r="AO199" s="248"/>
      <c r="AP199" s="72">
        <f>SUM(AP200:AP204)</f>
        <v>-41595.599999999999</v>
      </c>
      <c r="AQ199" s="74">
        <f>SUM(AQ200:AQ204)+SUMIFS(Aut_Ajustes_Manuais!$G:$G,Aut_Ajustes_Manuais!$I:$I,DRE!AO$4,Aut_Ajustes_Manuais!$F:$F,"Benefícios")</f>
        <v>-12300</v>
      </c>
      <c r="AR199" s="248">
        <f t="shared" ca="1" si="142"/>
        <v>0</v>
      </c>
      <c r="AS199" s="72">
        <f t="shared" ca="1" si="143"/>
        <v>-41595.599999999999</v>
      </c>
      <c r="AT199" s="74">
        <f t="shared" ca="1" si="144"/>
        <v>-77226.070000000007</v>
      </c>
      <c r="AU199" s="248">
        <f t="shared" ref="AU199:BI199" si="167">SUM(AU200:AU204)</f>
        <v>0</v>
      </c>
      <c r="AV199" s="72">
        <f t="shared" si="167"/>
        <v>-207978</v>
      </c>
      <c r="AW199" s="74">
        <f t="shared" si="167"/>
        <v>-126426.07</v>
      </c>
      <c r="AX199" s="248">
        <f t="shared" si="167"/>
        <v>0</v>
      </c>
      <c r="AY199" s="72">
        <f t="shared" si="167"/>
        <v>0</v>
      </c>
      <c r="AZ199" s="74">
        <f t="shared" si="167"/>
        <v>0</v>
      </c>
      <c r="BA199" s="248">
        <f t="shared" si="167"/>
        <v>0</v>
      </c>
      <c r="BB199" s="72">
        <f t="shared" si="167"/>
        <v>0</v>
      </c>
      <c r="BC199" s="74">
        <f t="shared" si="167"/>
        <v>-28710.29</v>
      </c>
      <c r="BD199" s="248">
        <f t="shared" si="167"/>
        <v>0</v>
      </c>
      <c r="BE199" s="72">
        <f t="shared" si="167"/>
        <v>-83191.199999999997</v>
      </c>
      <c r="BF199" s="74">
        <f t="shared" si="167"/>
        <v>-60815.780000000006</v>
      </c>
      <c r="BG199" s="248">
        <f t="shared" si="167"/>
        <v>0</v>
      </c>
      <c r="BH199" s="72">
        <f t="shared" si="167"/>
        <v>-124786.79999999999</v>
      </c>
      <c r="BI199" s="74">
        <f t="shared" si="167"/>
        <v>-36900</v>
      </c>
    </row>
    <row r="200" spans="1:62" s="28" customFormat="1" ht="14.7" hidden="1" customHeight="1" outlineLevel="1" x14ac:dyDescent="0.3">
      <c r="A200" s="21" t="s">
        <v>238</v>
      </c>
      <c r="B200" s="2"/>
      <c r="C200" s="23"/>
      <c r="D200" s="53"/>
      <c r="E200" s="97">
        <v>-280</v>
      </c>
      <c r="F200" s="39"/>
      <c r="G200" s="32"/>
      <c r="H200" s="237"/>
      <c r="I200" s="26">
        <f>-SUMIFS(T_ORCAMENTOS!$E:$E,T_ORCAMENTOS!$C:$C,"  -  Vale-transporte",T_ORCAMENTOS!$H:$H,"1/2026")</f>
        <v>0</v>
      </c>
      <c r="J200" s="27">
        <f>SUMIFS(Aut_BlueMe_Sem_Pedido!$J:$J,Aut_BlueMe_Sem_Pedido!$Q:$Q,DRE!H$4,Aut_BlueMe_Sem_Pedido!$H:$H,DRE!$A200)+SUMIFS(Aut_Ajustes_Manuais!$G:$G,Aut_Ajustes_Manuais!$I:$I,DRE!H$4,Aut_Ajustes_Manuais!$F:$F,"  -  Vale-transporte")</f>
        <v>0</v>
      </c>
      <c r="K200" s="237"/>
      <c r="L200" s="26">
        <f>-SUMIFS(T_ORCAMENTOS!$E:$E,T_ORCAMENTOS!$C:$C,"  -  Vale-transporte",T_ORCAMENTOS!$H:$H,"2/2026")</f>
        <v>0</v>
      </c>
      <c r="M200" s="27">
        <f>SUMIFS(Aut_BlueMe_Sem_Pedido!$J:$J,Aut_BlueMe_Sem_Pedido!$Q:$Q,DRE!K$4,Aut_BlueMe_Sem_Pedido!$H:$H,DRE!$A200)+SUMIFS(Aut_Ajustes_Manuais!$G:$G,Aut_Ajustes_Manuais!$I:$I,DRE!K$4,Aut_Ajustes_Manuais!$F:$F,"  -  Vale-transporte")</f>
        <v>0</v>
      </c>
      <c r="N200" s="237"/>
      <c r="O200" s="26">
        <f>-SUMIFS(T_ORCAMENTOS!$E:$E,T_ORCAMENTOS!$C:$C,"  -  Vale-transporte",T_ORCAMENTOS!$H:$H,"3/2026")</f>
        <v>0</v>
      </c>
      <c r="P200" s="27">
        <f>SUMIFS(Aut_BlueMe_Sem_Pedido!$J:$J,Aut_BlueMe_Sem_Pedido!$Q:$Q,DRE!N$4,Aut_BlueMe_Sem_Pedido!$H:$H,DRE!$A200)+SUMIFS(Aut_Ajustes_Manuais!$G:$G,Aut_Ajustes_Manuais!$I:$I,DRE!N$4,Aut_Ajustes_Manuais!$F:$F,"  -  Vale-transporte")</f>
        <v>0</v>
      </c>
      <c r="Q200" s="237"/>
      <c r="R200" s="26">
        <f>-SUMIFS(T_ORCAMENTOS!$E:$E,T_ORCAMENTOS!$C:$C,"  -  Vale-transporte",T_ORCAMENTOS!$H:$H,"4/2026")</f>
        <v>0</v>
      </c>
      <c r="S200" s="27">
        <f>SUMIFS(Aut_BlueMe_Sem_Pedido!$J:$J,Aut_BlueMe_Sem_Pedido!$Q:$Q,DRE!Q$4,Aut_BlueMe_Sem_Pedido!$H:$H,DRE!$A200)+SUMIFS(Aut_Ajustes_Manuais!$G:$G,Aut_Ajustes_Manuais!$I:$I,DRE!Q$4,Aut_Ajustes_Manuais!$F:$F,"  -  Vale-transporte")</f>
        <v>0</v>
      </c>
      <c r="T200" s="237"/>
      <c r="U200" s="26">
        <f>-SUMIFS(T_ORCAMENTOS!$E:$E,T_ORCAMENTOS!$C:$C,"  -  Vale-transporte",T_ORCAMENTOS!$H:$H,"5/2026")</f>
        <v>0</v>
      </c>
      <c r="V200" s="27">
        <f>SUMIFS(Aut_BlueMe_Sem_Pedido!$J:$J,Aut_BlueMe_Sem_Pedido!$Q:$Q,DRE!T$4,Aut_BlueMe_Sem_Pedido!$H:$H,DRE!$A200)+SUMIFS(Aut_Ajustes_Manuais!$G:$G,Aut_Ajustes_Manuais!$I:$I,DRE!T$4,Aut_Ajustes_Manuais!$F:$F,"  -  Vale-transporte")</f>
        <v>-7970.5599999999959</v>
      </c>
      <c r="W200" s="237"/>
      <c r="X200" s="26">
        <f>-SUMIFS(T_ORCAMENTOS!$E:$E,T_ORCAMENTOS!$C:$C,"  -  Vale-transporte",T_ORCAMENTOS!$H:$H,"6/2026")</f>
        <v>0</v>
      </c>
      <c r="Y200" s="27">
        <f>SUMIFS(Aut_BlueMe_Sem_Pedido!$J:$J,Aut_BlueMe_Sem_Pedido!$Q:$Q,DRE!W$4,Aut_BlueMe_Sem_Pedido!$H:$H,DRE!$A200)+SUMIFS(Aut_Ajustes_Manuais!$G:$G,Aut_Ajustes_Manuais!$I:$I,DRE!W$4,Aut_Ajustes_Manuais!$F:$F,"  -  Vale-transporte")</f>
        <v>-20268.830000000005</v>
      </c>
      <c r="Z200" s="237"/>
      <c r="AA200" s="26">
        <f>-SUMIFS(T_ORCAMENTOS!$E:$E,T_ORCAMENTOS!$C:$C,"  -  Vale-transporte",T_ORCAMENTOS!$H:$H,"7/2026")</f>
        <v>0</v>
      </c>
      <c r="AB200" s="27">
        <f>SUMIFS(Aut_BlueMe_Sem_Pedido!$J:$J,Aut_BlueMe_Sem_Pedido!$Q:$Q,DRE!Z$4,Aut_BlueMe_Sem_Pedido!$H:$H,DRE!$A200)+SUMIFS(Aut_Ajustes_Manuais!$G:$G,Aut_Ajustes_Manuais!$I:$I,DRE!Z$4,Aut_Ajustes_Manuais!$F:$F,"  -  Vale-transporte")</f>
        <v>-35744.880000000005</v>
      </c>
      <c r="AC200" s="237"/>
      <c r="AD200" s="26">
        <f>-SUMIFS(T_ORCAMENTOS!$E:$E,T_ORCAMENTOS!$C:$C,"  -  Vale-transporte",T_ORCAMENTOS!$H:$H,"8/2026")</f>
        <v>-40575.599999999999</v>
      </c>
      <c r="AE200" s="27">
        <f>SUMIFS(Aut_BlueMe_Sem_Pedido!$J:$J,Aut_BlueMe_Sem_Pedido!$Q:$Q,DRE!AC$4,Aut_BlueMe_Sem_Pedido!$H:$H,DRE!$A200)+SUMIFS(Aut_Ajustes_Manuais!$G:$G,Aut_Ajustes_Manuais!$I:$I,DRE!AC$4,Aut_Ajustes_Manuais!$F:$F,"  -  Vale-transporte")</f>
        <v>-11300</v>
      </c>
      <c r="AF200" s="237"/>
      <c r="AG200" s="26">
        <f>-SUMIFS(T_ORCAMENTOS!$E:$E,T_ORCAMENTOS!$C:$C,"  -  Vale-transporte",T_ORCAMENTOS!$H:$H,"9/2026")</f>
        <v>-40575.599999999999</v>
      </c>
      <c r="AH200" s="27">
        <f>SUMIFS(Aut_BlueMe_Sem_Pedido!$J:$J,Aut_BlueMe_Sem_Pedido!$Q:$Q,DRE!AF$4,Aut_BlueMe_Sem_Pedido!$H:$H,DRE!$A200)+SUMIFS(Aut_Ajustes_Manuais!$G:$G,Aut_Ajustes_Manuais!$I:$I,DRE!AF$4,Aut_Ajustes_Manuais!$F:$F,"  -  Vale-transporte")</f>
        <v>-11300</v>
      </c>
      <c r="AI200" s="237"/>
      <c r="AJ200" s="26">
        <f>-SUMIFS(T_ORCAMENTOS!$E:$E,T_ORCAMENTOS!$C:$C,"  -  Vale-transporte",T_ORCAMENTOS!$H:$H,"10/2026")</f>
        <v>-40575.599999999999</v>
      </c>
      <c r="AK200" s="27">
        <f>SUMIFS(Aut_BlueMe_Sem_Pedido!$J:$J,Aut_BlueMe_Sem_Pedido!$Q:$Q,DRE!AI$4,Aut_BlueMe_Sem_Pedido!$H:$H,DRE!$A200)+SUMIFS(Aut_Ajustes_Manuais!$G:$G,Aut_Ajustes_Manuais!$I:$I,DRE!AI$4,Aut_Ajustes_Manuais!$F:$F,"  -  Vale-transporte")</f>
        <v>-11300</v>
      </c>
      <c r="AL200" s="237"/>
      <c r="AM200" s="26">
        <f>-SUMIFS(T_ORCAMENTOS!$E:$E,T_ORCAMENTOS!$C:$C,"  -  Vale-transporte",T_ORCAMENTOS!$H:$H,"11/2026")</f>
        <v>-40575.599999999999</v>
      </c>
      <c r="AN200" s="27">
        <f>SUMIFS(Aut_BlueMe_Sem_Pedido!$J:$J,Aut_BlueMe_Sem_Pedido!$Q:$Q,DRE!AL$4,Aut_BlueMe_Sem_Pedido!$H:$H,DRE!$A200)+SUMIFS(Aut_Ajustes_Manuais!$G:$G,Aut_Ajustes_Manuais!$I:$I,DRE!AL$4,Aut_Ajustes_Manuais!$F:$F,"  -  Vale-transporte")</f>
        <v>-11300</v>
      </c>
      <c r="AO200" s="237"/>
      <c r="AP200" s="26">
        <f>-SUMIFS(T_ORCAMENTOS!$E:$E,T_ORCAMENTOS!$C:$C,"  -  Vale-transporte",T_ORCAMENTOS!$H:$H,"12/2026")</f>
        <v>-40575.599999999999</v>
      </c>
      <c r="AQ200" s="27">
        <f>SUMIFS(Aut_BlueMe_Sem_Pedido!$J:$J,Aut_BlueMe_Sem_Pedido!$Q:$Q,DRE!AO$4,Aut_BlueMe_Sem_Pedido!$H:$H,DRE!$A200)+SUMIFS(Aut_Ajustes_Manuais!$G:$G,Aut_Ajustes_Manuais!$I:$I,DRE!AO$4,Aut_Ajustes_Manuais!$F:$F,"  -  Vale-transporte")</f>
        <v>-11300</v>
      </c>
      <c r="AR200" s="237">
        <f t="shared" ca="1" si="142"/>
        <v>0</v>
      </c>
      <c r="AS200" s="26">
        <f t="shared" ca="1" si="143"/>
        <v>-40575.599999999999</v>
      </c>
      <c r="AT200" s="27">
        <f t="shared" ca="1" si="144"/>
        <v>-75284.27</v>
      </c>
      <c r="AU200" s="237">
        <f t="shared" ref="AU200:AW204" si="168">SUM(H200,K200,N200,Q200,T200,W200,Z200,AC200,AF200,AI200,AL200,AO200)</f>
        <v>0</v>
      </c>
      <c r="AV200" s="26">
        <f t="shared" si="168"/>
        <v>-202878</v>
      </c>
      <c r="AW200" s="27">
        <f t="shared" si="168"/>
        <v>-120484.27</v>
      </c>
      <c r="AX200" s="237">
        <f t="shared" ref="AX200:AZ204" si="169">SUM(H200,K200,N200)</f>
        <v>0</v>
      </c>
      <c r="AY200" s="26">
        <f t="shared" si="169"/>
        <v>0</v>
      </c>
      <c r="AZ200" s="27">
        <f t="shared" si="169"/>
        <v>0</v>
      </c>
      <c r="BA200" s="237">
        <f t="shared" ref="BA200:BC204" si="170">SUM(Q200,T200,W200)</f>
        <v>0</v>
      </c>
      <c r="BB200" s="26">
        <f t="shared" si="170"/>
        <v>0</v>
      </c>
      <c r="BC200" s="27">
        <f t="shared" si="170"/>
        <v>-28239.39</v>
      </c>
      <c r="BD200" s="237">
        <f t="shared" ref="BD200:BF204" si="171">SUM(Z200,AC200,AF200)</f>
        <v>0</v>
      </c>
      <c r="BE200" s="26">
        <f t="shared" si="171"/>
        <v>-81151.199999999997</v>
      </c>
      <c r="BF200" s="27">
        <f t="shared" si="171"/>
        <v>-58344.880000000005</v>
      </c>
      <c r="BG200" s="237">
        <f t="shared" ref="BG200:BI204" si="172">SUM(AI200,AL200,AO200)</f>
        <v>0</v>
      </c>
      <c r="BH200" s="26">
        <f t="shared" si="172"/>
        <v>-121726.79999999999</v>
      </c>
      <c r="BI200" s="27">
        <f t="shared" si="172"/>
        <v>-33900</v>
      </c>
      <c r="BJ200" s="454"/>
    </row>
    <row r="201" spans="1:62" s="28" customFormat="1" hidden="1" outlineLevel="1" x14ac:dyDescent="0.3">
      <c r="A201" s="21" t="s">
        <v>239</v>
      </c>
      <c r="B201" s="2"/>
      <c r="C201" s="23"/>
      <c r="D201" s="53"/>
      <c r="E201" s="97">
        <v>-350</v>
      </c>
      <c r="F201" s="39"/>
      <c r="G201" s="98"/>
      <c r="H201" s="237"/>
      <c r="I201" s="26">
        <f>-SUMIFS(T_ORCAMENTOS!$E:$E,T_ORCAMENTOS!$C:$C,"  -  Assist. Médica",T_ORCAMENTOS!$H:$H,"1/2026")</f>
        <v>0</v>
      </c>
      <c r="J201" s="27">
        <f>SUMIFS(Aut_BlueMe_Sem_Pedido!$J:$J,Aut_BlueMe_Sem_Pedido!$Q:$Q,DRE!H$4,Aut_BlueMe_Sem_Pedido!$H:$H,DRE!$A201)+SUMIFS(Aut_Ajustes_Manuais!$G:$G,Aut_Ajustes_Manuais!$I:$I,DRE!H$4,Aut_Ajustes_Manuais!$F:$F,"  -  Assist. Médica")</f>
        <v>0</v>
      </c>
      <c r="K201" s="237"/>
      <c r="L201" s="26">
        <f>-SUMIFS(T_ORCAMENTOS!$E:$E,T_ORCAMENTOS!$C:$C,"  -  Assist. Médica",T_ORCAMENTOS!$H:$H,"2/2026")</f>
        <v>0</v>
      </c>
      <c r="M201" s="27">
        <f>SUMIFS(Aut_BlueMe_Sem_Pedido!$J:$J,Aut_BlueMe_Sem_Pedido!$Q:$Q,DRE!K$4,Aut_BlueMe_Sem_Pedido!$H:$H,DRE!$A201)+SUMIFS(Aut_Ajustes_Manuais!$G:$G,Aut_Ajustes_Manuais!$I:$I,DRE!K$4,Aut_Ajustes_Manuais!$F:$F,"  -  Assist. Médica")</f>
        <v>0</v>
      </c>
      <c r="N201" s="237"/>
      <c r="O201" s="26">
        <f>-SUMIFS(T_ORCAMENTOS!$E:$E,T_ORCAMENTOS!$C:$C,"  -  Assist. Médica",T_ORCAMENTOS!$H:$H,"3/2026")</f>
        <v>0</v>
      </c>
      <c r="P201" s="27">
        <f>SUMIFS(Aut_BlueMe_Sem_Pedido!$J:$J,Aut_BlueMe_Sem_Pedido!$Q:$Q,DRE!N$4,Aut_BlueMe_Sem_Pedido!$H:$H,DRE!$A201)+SUMIFS(Aut_Ajustes_Manuais!$G:$G,Aut_Ajustes_Manuais!$I:$I,DRE!N$4,Aut_Ajustes_Manuais!$F:$F,"  -  Assist. Médica")</f>
        <v>0</v>
      </c>
      <c r="Q201" s="237"/>
      <c r="R201" s="26">
        <f>-SUMIFS(T_ORCAMENTOS!$E:$E,T_ORCAMENTOS!$C:$C,"  -  Assist. Médica",T_ORCAMENTOS!$H:$H,"4/2026")</f>
        <v>0</v>
      </c>
      <c r="S201" s="27">
        <f>SUMIFS(Aut_BlueMe_Sem_Pedido!$J:$J,Aut_BlueMe_Sem_Pedido!$Q:$Q,DRE!Q$4,Aut_BlueMe_Sem_Pedido!$H:$H,DRE!$A201)+SUMIFS(Aut_Ajustes_Manuais!$G:$G,Aut_Ajustes_Manuais!$I:$I,DRE!Q$4,Aut_Ajustes_Manuais!$F:$F,"  -  Assist. Médica")</f>
        <v>0</v>
      </c>
      <c r="T201" s="237"/>
      <c r="U201" s="26">
        <f>-SUMIFS(T_ORCAMENTOS!$E:$E,T_ORCAMENTOS!$C:$C,"  -  Assist. Médica",T_ORCAMENTOS!$H:$H,"5/2026")</f>
        <v>0</v>
      </c>
      <c r="V201" s="27">
        <f>SUMIFS(Aut_BlueMe_Sem_Pedido!$J:$J,Aut_BlueMe_Sem_Pedido!$Q:$Q,DRE!T$4,Aut_BlueMe_Sem_Pedido!$H:$H,DRE!$A201)+SUMIFS(Aut_Ajustes_Manuais!$G:$G,Aut_Ajustes_Manuais!$I:$I,DRE!T$4,Aut_Ajustes_Manuais!$F:$F,"  -  Assist. Médica")</f>
        <v>0</v>
      </c>
      <c r="W201" s="237"/>
      <c r="X201" s="26">
        <f>-SUMIFS(T_ORCAMENTOS!$E:$E,T_ORCAMENTOS!$C:$C,"  -  Assist. Médica",T_ORCAMENTOS!$H:$H,"6/2026")</f>
        <v>0</v>
      </c>
      <c r="Y201" s="27">
        <f>SUMIFS(Aut_BlueMe_Sem_Pedido!$J:$J,Aut_BlueMe_Sem_Pedido!$Q:$Q,DRE!W$4,Aut_BlueMe_Sem_Pedido!$H:$H,DRE!$A201)+SUMIFS(Aut_Ajustes_Manuais!$G:$G,Aut_Ajustes_Manuais!$I:$I,DRE!W$4,Aut_Ajustes_Manuais!$F:$F,"  -  Assist. Médica")</f>
        <v>0</v>
      </c>
      <c r="Z201" s="237"/>
      <c r="AA201" s="26">
        <f>-SUMIFS(T_ORCAMENTOS!$E:$E,T_ORCAMENTOS!$C:$C,"  -  Assist. Médica",T_ORCAMENTOS!$H:$H,"7/2026")</f>
        <v>0</v>
      </c>
      <c r="AB201" s="27">
        <f>SUMIFS(Aut_BlueMe_Sem_Pedido!$J:$J,Aut_BlueMe_Sem_Pedido!$Q:$Q,DRE!Z$4,Aut_BlueMe_Sem_Pedido!$H:$H,DRE!$A201)+SUMIFS(Aut_Ajustes_Manuais!$G:$G,Aut_Ajustes_Manuais!$I:$I,DRE!Z$4,Aut_Ajustes_Manuais!$F:$F,"  -  Assist. Médica")</f>
        <v>0</v>
      </c>
      <c r="AC201" s="237"/>
      <c r="AD201" s="26">
        <f>-SUMIFS(T_ORCAMENTOS!$E:$E,T_ORCAMENTOS!$C:$C,"  -  Assist. Médica",T_ORCAMENTOS!$H:$H,"8/2026")</f>
        <v>0</v>
      </c>
      <c r="AE201" s="27">
        <f>SUMIFS(Aut_BlueMe_Sem_Pedido!$J:$J,Aut_BlueMe_Sem_Pedido!$Q:$Q,DRE!AC$4,Aut_BlueMe_Sem_Pedido!$H:$H,DRE!$A201)+SUMIFS(Aut_Ajustes_Manuais!$G:$G,Aut_Ajustes_Manuais!$I:$I,DRE!AC$4,Aut_Ajustes_Manuais!$F:$F,"  -  Assist. Médica")</f>
        <v>0</v>
      </c>
      <c r="AF201" s="237"/>
      <c r="AG201" s="26">
        <f>-SUMIFS(T_ORCAMENTOS!$E:$E,T_ORCAMENTOS!$C:$C,"  -  Assist. Médica",T_ORCAMENTOS!$H:$H,"9/2026")</f>
        <v>0</v>
      </c>
      <c r="AH201" s="27">
        <f>SUMIFS(Aut_BlueMe_Sem_Pedido!$J:$J,Aut_BlueMe_Sem_Pedido!$Q:$Q,DRE!AF$4,Aut_BlueMe_Sem_Pedido!$H:$H,DRE!$A201)+SUMIFS(Aut_Ajustes_Manuais!$G:$G,Aut_Ajustes_Manuais!$I:$I,DRE!AF$4,Aut_Ajustes_Manuais!$F:$F,"  -  Assist. Médica")</f>
        <v>0</v>
      </c>
      <c r="AI201" s="237"/>
      <c r="AJ201" s="26">
        <f>-SUMIFS(T_ORCAMENTOS!$E:$E,T_ORCAMENTOS!$C:$C,"  -  Assist. Médica",T_ORCAMENTOS!$H:$H,"10/2026")</f>
        <v>0</v>
      </c>
      <c r="AK201" s="27">
        <f>SUMIFS(Aut_BlueMe_Sem_Pedido!$J:$J,Aut_BlueMe_Sem_Pedido!$Q:$Q,DRE!AI$4,Aut_BlueMe_Sem_Pedido!$H:$H,DRE!$A201)+SUMIFS(Aut_Ajustes_Manuais!$G:$G,Aut_Ajustes_Manuais!$I:$I,DRE!AI$4,Aut_Ajustes_Manuais!$F:$F,"  -  Assist. Médica")</f>
        <v>0</v>
      </c>
      <c r="AL201" s="237"/>
      <c r="AM201" s="26">
        <f>-SUMIFS(T_ORCAMENTOS!$E:$E,T_ORCAMENTOS!$C:$C,"  -  Assist. Médica",T_ORCAMENTOS!$H:$H,"11/2026")</f>
        <v>0</v>
      </c>
      <c r="AN201" s="27">
        <f>SUMIFS(Aut_BlueMe_Sem_Pedido!$J:$J,Aut_BlueMe_Sem_Pedido!$Q:$Q,DRE!AL$4,Aut_BlueMe_Sem_Pedido!$H:$H,DRE!$A201)+SUMIFS(Aut_Ajustes_Manuais!$G:$G,Aut_Ajustes_Manuais!$I:$I,DRE!AL$4,Aut_Ajustes_Manuais!$F:$F,"  -  Assist. Médica")</f>
        <v>0</v>
      </c>
      <c r="AO201" s="237"/>
      <c r="AP201" s="26">
        <f>-SUMIFS(T_ORCAMENTOS!$E:$E,T_ORCAMENTOS!$C:$C,"  -  Assist. Médica",T_ORCAMENTOS!$H:$H,"12/2026")</f>
        <v>0</v>
      </c>
      <c r="AQ201" s="27">
        <f>SUMIFS(Aut_BlueMe_Sem_Pedido!$J:$J,Aut_BlueMe_Sem_Pedido!$Q:$Q,DRE!AO$4,Aut_BlueMe_Sem_Pedido!$H:$H,DRE!$A201)+SUMIFS(Aut_Ajustes_Manuais!$G:$G,Aut_Ajustes_Manuais!$I:$I,DRE!AO$4,Aut_Ajustes_Manuais!$F:$F,"  -  Assist. Médica")</f>
        <v>0</v>
      </c>
      <c r="AR201" s="237">
        <f t="shared" ca="1" si="142"/>
        <v>0</v>
      </c>
      <c r="AS201" s="26">
        <f t="shared" ca="1" si="143"/>
        <v>0</v>
      </c>
      <c r="AT201" s="27">
        <f t="shared" ca="1" si="144"/>
        <v>0</v>
      </c>
      <c r="AU201" s="237">
        <f t="shared" si="168"/>
        <v>0</v>
      </c>
      <c r="AV201" s="26">
        <f t="shared" si="168"/>
        <v>0</v>
      </c>
      <c r="AW201" s="27">
        <f t="shared" si="168"/>
        <v>0</v>
      </c>
      <c r="AX201" s="237">
        <f t="shared" si="169"/>
        <v>0</v>
      </c>
      <c r="AY201" s="26">
        <f t="shared" si="169"/>
        <v>0</v>
      </c>
      <c r="AZ201" s="27">
        <f t="shared" si="169"/>
        <v>0</v>
      </c>
      <c r="BA201" s="237">
        <f t="shared" si="170"/>
        <v>0</v>
      </c>
      <c r="BB201" s="26">
        <f t="shared" si="170"/>
        <v>0</v>
      </c>
      <c r="BC201" s="27">
        <f t="shared" si="170"/>
        <v>0</v>
      </c>
      <c r="BD201" s="237">
        <f t="shared" si="171"/>
        <v>0</v>
      </c>
      <c r="BE201" s="26">
        <f t="shared" si="171"/>
        <v>0</v>
      </c>
      <c r="BF201" s="27">
        <f t="shared" si="171"/>
        <v>0</v>
      </c>
      <c r="BG201" s="237">
        <f t="shared" si="172"/>
        <v>0</v>
      </c>
      <c r="BH201" s="26">
        <f t="shared" si="172"/>
        <v>0</v>
      </c>
      <c r="BI201" s="27">
        <f t="shared" si="172"/>
        <v>0</v>
      </c>
      <c r="BJ201" s="454"/>
    </row>
    <row r="202" spans="1:62" s="28" customFormat="1" hidden="1" outlineLevel="1" x14ac:dyDescent="0.3">
      <c r="A202" s="21" t="s">
        <v>240</v>
      </c>
      <c r="B202" s="2"/>
      <c r="C202" s="23"/>
      <c r="D202" s="53"/>
      <c r="E202" s="85"/>
      <c r="F202" s="39"/>
      <c r="G202" s="99"/>
      <c r="H202" s="237"/>
      <c r="I202" s="26">
        <f>-SUMIFS(T_ORCAMENTOS!$E:$E,T_ORCAMENTOS!$C:$C,"  -  Assist. Odontologica",T_ORCAMENTOS!$H:$H,"1/2026")</f>
        <v>0</v>
      </c>
      <c r="J202" s="27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37"/>
      <c r="L202" s="26">
        <f>-SUMIFS(T_ORCAMENTOS!$E:$E,T_ORCAMENTOS!$C:$C,"  -  Assist. Odontologica",T_ORCAMENTOS!$H:$H,"2/2026")</f>
        <v>0</v>
      </c>
      <c r="M202" s="27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37"/>
      <c r="O202" s="26">
        <f>-SUMIFS(T_ORCAMENTOS!$E:$E,T_ORCAMENTOS!$C:$C,"  -  Assist. Odontologica",T_ORCAMENTOS!$H:$H,"3/2026")</f>
        <v>0</v>
      </c>
      <c r="P202" s="27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37"/>
      <c r="R202" s="26">
        <f>-SUMIFS(T_ORCAMENTOS!$E:$E,T_ORCAMENTOS!$C:$C,"  -  Assist. Odontologica",T_ORCAMENTOS!$H:$H,"4/2026")</f>
        <v>0</v>
      </c>
      <c r="S202" s="27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37"/>
      <c r="U202" s="26">
        <f>-SUMIFS(T_ORCAMENTOS!$E:$E,T_ORCAMENTOS!$C:$C,"  -  Assist. Odontologica",T_ORCAMENTOS!$H:$H,"5/2026")</f>
        <v>0</v>
      </c>
      <c r="V202" s="27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37"/>
      <c r="X202" s="26">
        <f>-SUMIFS(T_ORCAMENTOS!$E:$E,T_ORCAMENTOS!$C:$C,"  -  Assist. Odontologica",T_ORCAMENTOS!$H:$H,"6/2026")</f>
        <v>0</v>
      </c>
      <c r="Y202" s="27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37"/>
      <c r="AA202" s="26">
        <f>-SUMIFS(T_ORCAMENTOS!$E:$E,T_ORCAMENTOS!$C:$C,"  -  Assist. Odontologica",T_ORCAMENTOS!$H:$H,"7/2026")</f>
        <v>0</v>
      </c>
      <c r="AB202" s="27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37"/>
      <c r="AD202" s="26">
        <f>-SUMIFS(T_ORCAMENTOS!$E:$E,T_ORCAMENTOS!$C:$C,"  -  Assist. Odontologica",T_ORCAMENTOS!$H:$H,"8/2026")</f>
        <v>0</v>
      </c>
      <c r="AE202" s="27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37"/>
      <c r="AG202" s="26">
        <f>-SUMIFS(T_ORCAMENTOS!$E:$E,T_ORCAMENTOS!$C:$C,"  -  Assist. Odontologica",T_ORCAMENTOS!$H:$H,"9/2026")</f>
        <v>0</v>
      </c>
      <c r="AH202" s="27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37"/>
      <c r="AJ202" s="26">
        <f>-SUMIFS(T_ORCAMENTOS!$E:$E,T_ORCAMENTOS!$C:$C,"  -  Assist. Odontologica",T_ORCAMENTOS!$H:$H,"10/2026")</f>
        <v>0</v>
      </c>
      <c r="AK202" s="27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37"/>
      <c r="AM202" s="26">
        <f>-SUMIFS(T_ORCAMENTOS!$E:$E,T_ORCAMENTOS!$C:$C,"  -  Assist. Odontologica",T_ORCAMENTOS!$H:$H,"11/2026")</f>
        <v>0</v>
      </c>
      <c r="AN202" s="27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37"/>
      <c r="AP202" s="26">
        <f>-SUMIFS(T_ORCAMENTOS!$E:$E,T_ORCAMENTOS!$C:$C,"  -  Assist. Odontologica",T_ORCAMENTOS!$H:$H,"12/2026")</f>
        <v>0</v>
      </c>
      <c r="AQ202" s="27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37">
        <f t="shared" ca="1" si="142"/>
        <v>0</v>
      </c>
      <c r="AS202" s="26">
        <f t="shared" ca="1" si="143"/>
        <v>0</v>
      </c>
      <c r="AT202" s="27">
        <f t="shared" ca="1" si="144"/>
        <v>0</v>
      </c>
      <c r="AU202" s="237">
        <f t="shared" si="168"/>
        <v>0</v>
      </c>
      <c r="AV202" s="26">
        <f t="shared" si="168"/>
        <v>0</v>
      </c>
      <c r="AW202" s="27">
        <f t="shared" si="168"/>
        <v>0</v>
      </c>
      <c r="AX202" s="237">
        <f t="shared" si="169"/>
        <v>0</v>
      </c>
      <c r="AY202" s="26">
        <f t="shared" si="169"/>
        <v>0</v>
      </c>
      <c r="AZ202" s="27">
        <f t="shared" si="169"/>
        <v>0</v>
      </c>
      <c r="BA202" s="237">
        <f t="shared" si="170"/>
        <v>0</v>
      </c>
      <c r="BB202" s="26">
        <f t="shared" si="170"/>
        <v>0</v>
      </c>
      <c r="BC202" s="27">
        <f t="shared" si="170"/>
        <v>0</v>
      </c>
      <c r="BD202" s="237">
        <f t="shared" si="171"/>
        <v>0</v>
      </c>
      <c r="BE202" s="26">
        <f t="shared" si="171"/>
        <v>0</v>
      </c>
      <c r="BF202" s="27">
        <f t="shared" si="171"/>
        <v>0</v>
      </c>
      <c r="BG202" s="237">
        <f t="shared" si="172"/>
        <v>0</v>
      </c>
      <c r="BH202" s="26">
        <f t="shared" si="172"/>
        <v>0</v>
      </c>
      <c r="BI202" s="27">
        <f t="shared" si="172"/>
        <v>0</v>
      </c>
      <c r="BJ202" s="454"/>
    </row>
    <row r="203" spans="1:62" s="28" customFormat="1" hidden="1" outlineLevel="1" x14ac:dyDescent="0.3">
      <c r="A203" s="21" t="s">
        <v>241</v>
      </c>
      <c r="B203" s="2"/>
      <c r="C203" s="23"/>
      <c r="D203" s="53" t="s">
        <v>242</v>
      </c>
      <c r="E203" s="97">
        <v>-5</v>
      </c>
      <c r="F203" s="39"/>
      <c r="G203" s="98"/>
      <c r="H203" s="237"/>
      <c r="I203" s="26">
        <f>-SUMIFS(T_ORCAMENTOS!$E:$E,T_ORCAMENTOS!$C:$C,"  -  Seguro de Vida",T_ORCAMENTOS!$H:$H,"1/2026")</f>
        <v>0</v>
      </c>
      <c r="J203" s="27">
        <f>SUMIFS(Aut_BlueMe_Sem_Pedido!$J:$J,Aut_BlueMe_Sem_Pedido!$Q:$Q,DRE!H$4,Aut_BlueMe_Sem_Pedido!$H:$H,DRE!$A203)+SUMIFS(Aut_Ajustes_Manuais!$G:$G,Aut_Ajustes_Manuais!$I:$I,DRE!H$4,Aut_Ajustes_Manuais!$F:$F,"  -  Seguro de Vida")</f>
        <v>0</v>
      </c>
      <c r="K203" s="237"/>
      <c r="L203" s="26">
        <f>-SUMIFS(T_ORCAMENTOS!$E:$E,T_ORCAMENTOS!$C:$C,"  -  Seguro de Vida",T_ORCAMENTOS!$H:$H,"2/2026")</f>
        <v>0</v>
      </c>
      <c r="M203" s="27">
        <f>SUMIFS(Aut_BlueMe_Sem_Pedido!$J:$J,Aut_BlueMe_Sem_Pedido!$Q:$Q,DRE!K$4,Aut_BlueMe_Sem_Pedido!$H:$H,DRE!$A203)+SUMIFS(Aut_Ajustes_Manuais!$G:$G,Aut_Ajustes_Manuais!$I:$I,DRE!K$4,Aut_Ajustes_Manuais!$F:$F,"  -  Seguro de Vida")</f>
        <v>0</v>
      </c>
      <c r="N203" s="237"/>
      <c r="O203" s="26">
        <f>-SUMIFS(T_ORCAMENTOS!$E:$E,T_ORCAMENTOS!$C:$C,"  -  Seguro de Vida",T_ORCAMENTOS!$H:$H,"3/2026")</f>
        <v>0</v>
      </c>
      <c r="P203" s="27">
        <f>SUMIFS(Aut_BlueMe_Sem_Pedido!$J:$J,Aut_BlueMe_Sem_Pedido!$Q:$Q,DRE!N$4,Aut_BlueMe_Sem_Pedido!$H:$H,DRE!$A203)+SUMIFS(Aut_Ajustes_Manuais!$G:$G,Aut_Ajustes_Manuais!$I:$I,DRE!N$4,Aut_Ajustes_Manuais!$F:$F,"  -  Seguro de Vida")</f>
        <v>0</v>
      </c>
      <c r="Q203" s="237"/>
      <c r="R203" s="26">
        <f>-SUMIFS(T_ORCAMENTOS!$E:$E,T_ORCAMENTOS!$C:$C,"  -  Seguro de Vida",T_ORCAMENTOS!$H:$H,"4/2026")</f>
        <v>0</v>
      </c>
      <c r="S203" s="27">
        <f>SUMIFS(Aut_BlueMe_Sem_Pedido!$J:$J,Aut_BlueMe_Sem_Pedido!$Q:$Q,DRE!Q$4,Aut_BlueMe_Sem_Pedido!$H:$H,DRE!$A203)+SUMIFS(Aut_Ajustes_Manuais!$G:$G,Aut_Ajustes_Manuais!$I:$I,DRE!Q$4,Aut_Ajustes_Manuais!$F:$F,"  -  Seguro de Vida")</f>
        <v>0</v>
      </c>
      <c r="T203" s="237"/>
      <c r="U203" s="26">
        <f>-SUMIFS(T_ORCAMENTOS!$E:$E,T_ORCAMENTOS!$C:$C,"  -  Seguro de Vida",T_ORCAMENTOS!$H:$H,"5/2026")</f>
        <v>0</v>
      </c>
      <c r="V203" s="27">
        <f>SUMIFS(Aut_BlueMe_Sem_Pedido!$J:$J,Aut_BlueMe_Sem_Pedido!$Q:$Q,DRE!T$4,Aut_BlueMe_Sem_Pedido!$H:$H,DRE!$A203)+SUMIFS(Aut_Ajustes_Manuais!$G:$G,Aut_Ajustes_Manuais!$I:$I,DRE!T$4,Aut_Ajustes_Manuais!$F:$F,"  -  Seguro de Vida")</f>
        <v>0</v>
      </c>
      <c r="W203" s="237"/>
      <c r="X203" s="26">
        <f>-SUMIFS(T_ORCAMENTOS!$E:$E,T_ORCAMENTOS!$C:$C,"  -  Seguro de Vida",T_ORCAMENTOS!$H:$H,"6/2026")</f>
        <v>0</v>
      </c>
      <c r="Y203" s="27">
        <f>SUMIFS(Aut_BlueMe_Sem_Pedido!$J:$J,Aut_BlueMe_Sem_Pedido!$Q:$Q,DRE!W$4,Aut_BlueMe_Sem_Pedido!$H:$H,DRE!$A203)+SUMIFS(Aut_Ajustes_Manuais!$G:$G,Aut_Ajustes_Manuais!$I:$I,DRE!W$4,Aut_Ajustes_Manuais!$F:$F,"  -  Seguro de Vida")</f>
        <v>-470.9</v>
      </c>
      <c r="Z203" s="237"/>
      <c r="AA203" s="26">
        <f>-SUMIFS(T_ORCAMENTOS!$E:$E,T_ORCAMENTOS!$C:$C,"  -  Seguro de Vida",T_ORCAMENTOS!$H:$H,"7/2026")</f>
        <v>0</v>
      </c>
      <c r="AB203" s="27">
        <f>SUMIFS(Aut_BlueMe_Sem_Pedido!$J:$J,Aut_BlueMe_Sem_Pedido!$Q:$Q,DRE!Z$4,Aut_BlueMe_Sem_Pedido!$H:$H,DRE!$A203)+SUMIFS(Aut_Ajustes_Manuais!$G:$G,Aut_Ajustes_Manuais!$I:$I,DRE!Z$4,Aut_Ajustes_Manuais!$F:$F,"  -  Seguro de Vida")</f>
        <v>-470.9</v>
      </c>
      <c r="AC203" s="237"/>
      <c r="AD203" s="26">
        <f>-SUMIFS(T_ORCAMENTOS!$E:$E,T_ORCAMENTOS!$C:$C,"  -  Seguro de Vida",T_ORCAMENTOS!$H:$H,"8/2026")</f>
        <v>-1020</v>
      </c>
      <c r="AE203" s="27">
        <f>SUMIFS(Aut_BlueMe_Sem_Pedido!$J:$J,Aut_BlueMe_Sem_Pedido!$Q:$Q,DRE!AC$4,Aut_BlueMe_Sem_Pedido!$H:$H,DRE!$A203)+SUMIFS(Aut_Ajustes_Manuais!$G:$G,Aut_Ajustes_Manuais!$I:$I,DRE!AC$4,Aut_Ajustes_Manuais!$F:$F,"  -  Seguro de Vida")</f>
        <v>-1000</v>
      </c>
      <c r="AF203" s="237"/>
      <c r="AG203" s="26">
        <f>-SUMIFS(T_ORCAMENTOS!$E:$E,T_ORCAMENTOS!$C:$C,"  -  Seguro de Vida",T_ORCAMENTOS!$H:$H,"9/2026")</f>
        <v>-1020</v>
      </c>
      <c r="AH203" s="27">
        <f>SUMIFS(Aut_BlueMe_Sem_Pedido!$J:$J,Aut_BlueMe_Sem_Pedido!$Q:$Q,DRE!AF$4,Aut_BlueMe_Sem_Pedido!$H:$H,DRE!$A203)+SUMIFS(Aut_Ajustes_Manuais!$G:$G,Aut_Ajustes_Manuais!$I:$I,DRE!AF$4,Aut_Ajustes_Manuais!$F:$F,"  -  Seguro de Vida")</f>
        <v>-1000</v>
      </c>
      <c r="AI203" s="237"/>
      <c r="AJ203" s="26">
        <f>-SUMIFS(T_ORCAMENTOS!$E:$E,T_ORCAMENTOS!$C:$C,"  -  Seguro de Vida",T_ORCAMENTOS!$H:$H,"10/2026")</f>
        <v>-1020</v>
      </c>
      <c r="AK203" s="27">
        <f>SUMIFS(Aut_BlueMe_Sem_Pedido!$J:$J,Aut_BlueMe_Sem_Pedido!$Q:$Q,DRE!AI$4,Aut_BlueMe_Sem_Pedido!$H:$H,DRE!$A203)+SUMIFS(Aut_Ajustes_Manuais!$G:$G,Aut_Ajustes_Manuais!$I:$I,DRE!AI$4,Aut_Ajustes_Manuais!$F:$F,"  -  Seguro de Vida")</f>
        <v>-1000</v>
      </c>
      <c r="AL203" s="237"/>
      <c r="AM203" s="26">
        <f>-SUMIFS(T_ORCAMENTOS!$E:$E,T_ORCAMENTOS!$C:$C,"  -  Seguro de Vida",T_ORCAMENTOS!$H:$H,"11/2026")</f>
        <v>-1020</v>
      </c>
      <c r="AN203" s="27">
        <f>SUMIFS(Aut_BlueMe_Sem_Pedido!$J:$J,Aut_BlueMe_Sem_Pedido!$Q:$Q,DRE!AL$4,Aut_BlueMe_Sem_Pedido!$H:$H,DRE!$A203)+SUMIFS(Aut_Ajustes_Manuais!$G:$G,Aut_Ajustes_Manuais!$I:$I,DRE!AL$4,Aut_Ajustes_Manuais!$F:$F,"  -  Seguro de Vida")</f>
        <v>-1000</v>
      </c>
      <c r="AO203" s="237"/>
      <c r="AP203" s="26">
        <f>-SUMIFS(T_ORCAMENTOS!$E:$E,T_ORCAMENTOS!$C:$C,"  -  Seguro de Vida",T_ORCAMENTOS!$H:$H,"12/2026")</f>
        <v>-1020</v>
      </c>
      <c r="AQ203" s="27">
        <f>SUMIFS(Aut_BlueMe_Sem_Pedido!$J:$J,Aut_BlueMe_Sem_Pedido!$Q:$Q,DRE!AO$4,Aut_BlueMe_Sem_Pedido!$H:$H,DRE!$A203)+SUMIFS(Aut_Ajustes_Manuais!$G:$G,Aut_Ajustes_Manuais!$I:$I,DRE!AO$4,Aut_Ajustes_Manuais!$F:$F,"  -  Seguro de Vida")</f>
        <v>-1000</v>
      </c>
      <c r="AR203" s="237">
        <f t="shared" ref="AR203:AR212" ca="1" si="173">SUMIFS($H203:$AO203,$H$5:$AO$5,"&lt;"&amp;MONTH(TODAY()),$H$6:$AO$6,"REAL 25")</f>
        <v>0</v>
      </c>
      <c r="AS203" s="26">
        <f t="shared" ref="AS203:AS212" ca="1" si="174">SUMIFS($I203:$AP203,$I$5:$AP$5,"&lt;"&amp;MONTH(TODAY()),$I$6:$AP$6,"ORÇADO ")</f>
        <v>-1020</v>
      </c>
      <c r="AT203" s="27">
        <f t="shared" ref="AT203:AT212" ca="1" si="175">SUMIFS($J203:$AQ203,$J$5:$AQ$5,"&lt;"&amp;MONTH(TODAY()),$J$6:$AQ$6,"REAL 26")</f>
        <v>-1941.8</v>
      </c>
      <c r="AU203" s="237">
        <f t="shared" si="168"/>
        <v>0</v>
      </c>
      <c r="AV203" s="26">
        <f t="shared" si="168"/>
        <v>-5100</v>
      </c>
      <c r="AW203" s="27">
        <f t="shared" si="168"/>
        <v>-5941.8</v>
      </c>
      <c r="AX203" s="237">
        <f t="shared" si="169"/>
        <v>0</v>
      </c>
      <c r="AY203" s="26">
        <f t="shared" si="169"/>
        <v>0</v>
      </c>
      <c r="AZ203" s="27">
        <f t="shared" si="169"/>
        <v>0</v>
      </c>
      <c r="BA203" s="237">
        <f t="shared" si="170"/>
        <v>0</v>
      </c>
      <c r="BB203" s="26">
        <f t="shared" si="170"/>
        <v>0</v>
      </c>
      <c r="BC203" s="27">
        <f t="shared" si="170"/>
        <v>-470.9</v>
      </c>
      <c r="BD203" s="237">
        <f t="shared" si="171"/>
        <v>0</v>
      </c>
      <c r="BE203" s="26">
        <f t="shared" si="171"/>
        <v>-2040</v>
      </c>
      <c r="BF203" s="27">
        <f t="shared" si="171"/>
        <v>-2470.9</v>
      </c>
      <c r="BG203" s="237">
        <f t="shared" si="172"/>
        <v>0</v>
      </c>
      <c r="BH203" s="26">
        <f t="shared" si="172"/>
        <v>-3060</v>
      </c>
      <c r="BI203" s="27">
        <f t="shared" si="172"/>
        <v>-3000</v>
      </c>
      <c r="BJ203" s="454"/>
    </row>
    <row r="204" spans="1:62" s="28" customFormat="1" hidden="1" outlineLevel="1" x14ac:dyDescent="0.3">
      <c r="A204" s="21" t="s">
        <v>243</v>
      </c>
      <c r="B204" s="2"/>
      <c r="C204" s="23"/>
      <c r="D204" s="53"/>
      <c r="E204" s="85"/>
      <c r="F204" s="39"/>
      <c r="G204" s="100"/>
      <c r="H204" s="237"/>
      <c r="I204" s="26">
        <f>-SUMIFS(T_ORCAMENTOS!$E:$E,T_ORCAMENTOS!$C:$C,"  -  Ajuda de Custo",T_ORCAMENTOS!$H:$H,"1/2026")</f>
        <v>0</v>
      </c>
      <c r="J204" s="27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37"/>
      <c r="L204" s="26">
        <f>-SUMIFS(T_ORCAMENTOS!$E:$E,T_ORCAMENTOS!$C:$C,"  -  Ajuda de Custo",T_ORCAMENTOS!$H:$H,"2/2026")</f>
        <v>0</v>
      </c>
      <c r="M204" s="27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37"/>
      <c r="O204" s="26">
        <f>-SUMIFS(T_ORCAMENTOS!$E:$E,T_ORCAMENTOS!$C:$C,"  -  Ajuda de Custo",T_ORCAMENTOS!$H:$H,"3/2026")</f>
        <v>0</v>
      </c>
      <c r="P204" s="27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37"/>
      <c r="R204" s="26">
        <f>-SUMIFS(T_ORCAMENTOS!$E:$E,T_ORCAMENTOS!$C:$C,"  -  Ajuda de Custo",T_ORCAMENTOS!$H:$H,"4/2026")</f>
        <v>0</v>
      </c>
      <c r="S204" s="27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37"/>
      <c r="U204" s="26">
        <f>-SUMIFS(T_ORCAMENTOS!$E:$E,T_ORCAMENTOS!$C:$C,"  -  Ajuda de Custo",T_ORCAMENTOS!$H:$H,"5/2026")</f>
        <v>0</v>
      </c>
      <c r="V204" s="27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37"/>
      <c r="X204" s="26">
        <f>-SUMIFS(T_ORCAMENTOS!$E:$E,T_ORCAMENTOS!$C:$C,"  -  Ajuda de Custo",T_ORCAMENTOS!$H:$H,"6/2026")</f>
        <v>0</v>
      </c>
      <c r="Y204" s="27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37"/>
      <c r="AA204" s="26">
        <f>-SUMIFS(T_ORCAMENTOS!$E:$E,T_ORCAMENTOS!$C:$C,"  -  Ajuda de Custo",T_ORCAMENTOS!$H:$H,"7/2026")</f>
        <v>0</v>
      </c>
      <c r="AB204" s="27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37"/>
      <c r="AD204" s="26">
        <f>-SUMIFS(T_ORCAMENTOS!$E:$E,T_ORCAMENTOS!$C:$C,"  -  Ajuda de Custo",T_ORCAMENTOS!$H:$H,"8/2026")</f>
        <v>0</v>
      </c>
      <c r="AE204" s="27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37"/>
      <c r="AG204" s="26">
        <f>-SUMIFS(T_ORCAMENTOS!$E:$E,T_ORCAMENTOS!$C:$C,"  -  Ajuda de Custo",T_ORCAMENTOS!$H:$H,"9/2026")</f>
        <v>0</v>
      </c>
      <c r="AH204" s="27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37"/>
      <c r="AJ204" s="26">
        <f>-SUMIFS(T_ORCAMENTOS!$E:$E,T_ORCAMENTOS!$C:$C,"  -  Ajuda de Custo",T_ORCAMENTOS!$H:$H,"10/2026")</f>
        <v>0</v>
      </c>
      <c r="AK204" s="27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37"/>
      <c r="AM204" s="26">
        <f>-SUMIFS(T_ORCAMENTOS!$E:$E,T_ORCAMENTOS!$C:$C,"  -  Ajuda de Custo",T_ORCAMENTOS!$H:$H,"11/2026")</f>
        <v>0</v>
      </c>
      <c r="AN204" s="27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37"/>
      <c r="AP204" s="26">
        <f>-SUMIFS(T_ORCAMENTOS!$E:$E,T_ORCAMENTOS!$C:$C,"  -  Ajuda de Custo",T_ORCAMENTOS!$H:$H,"12/2026")</f>
        <v>0</v>
      </c>
      <c r="AQ204" s="27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37">
        <f t="shared" ca="1" si="173"/>
        <v>0</v>
      </c>
      <c r="AS204" s="26">
        <f t="shared" ca="1" si="174"/>
        <v>0</v>
      </c>
      <c r="AT204" s="27">
        <f t="shared" ca="1" si="175"/>
        <v>0</v>
      </c>
      <c r="AU204" s="237">
        <f t="shared" si="168"/>
        <v>0</v>
      </c>
      <c r="AV204" s="26">
        <f t="shared" si="168"/>
        <v>0</v>
      </c>
      <c r="AW204" s="27">
        <f t="shared" si="168"/>
        <v>0</v>
      </c>
      <c r="AX204" s="237">
        <f t="shared" si="169"/>
        <v>0</v>
      </c>
      <c r="AY204" s="26">
        <f t="shared" si="169"/>
        <v>0</v>
      </c>
      <c r="AZ204" s="27">
        <f t="shared" si="169"/>
        <v>0</v>
      </c>
      <c r="BA204" s="237">
        <f t="shared" si="170"/>
        <v>0</v>
      </c>
      <c r="BB204" s="26">
        <f t="shared" si="170"/>
        <v>0</v>
      </c>
      <c r="BC204" s="27">
        <f t="shared" si="170"/>
        <v>0</v>
      </c>
      <c r="BD204" s="237">
        <f t="shared" si="171"/>
        <v>0</v>
      </c>
      <c r="BE204" s="26">
        <f t="shared" si="171"/>
        <v>0</v>
      </c>
      <c r="BF204" s="27">
        <f t="shared" si="171"/>
        <v>0</v>
      </c>
      <c r="BG204" s="237">
        <f t="shared" si="172"/>
        <v>0</v>
      </c>
      <c r="BH204" s="26">
        <f t="shared" si="172"/>
        <v>0</v>
      </c>
      <c r="BI204" s="27">
        <f t="shared" si="172"/>
        <v>0</v>
      </c>
      <c r="BJ204" s="454"/>
    </row>
    <row r="205" spans="1:62" collapsed="1" x14ac:dyDescent="0.3">
      <c r="A205" s="71" t="s">
        <v>244</v>
      </c>
      <c r="C205" s="38" t="s">
        <v>35</v>
      </c>
      <c r="D205" s="38" t="s">
        <v>36</v>
      </c>
      <c r="E205" s="38" t="s">
        <v>201</v>
      </c>
      <c r="F205" s="39"/>
      <c r="G205" s="45"/>
      <c r="H205" s="248"/>
      <c r="I205" s="72">
        <f>SUM(I206:I212)</f>
        <v>0</v>
      </c>
      <c r="J205" s="74">
        <f>SUM(J206:J212)+SUMIFS(Aut_Ajustes_Manuais!$G:$G,Aut_Ajustes_Manuais!$I:$I,DRE!H$4,Aut_Ajustes_Manuais!$F:$F,"Outros B")</f>
        <v>0</v>
      </c>
      <c r="K205" s="248"/>
      <c r="L205" s="72">
        <f>SUM(L206:L212)</f>
        <v>0</v>
      </c>
      <c r="M205" s="74">
        <f>SUM(M206:M212)+SUMIFS(Aut_Ajustes_Manuais!$G:$G,Aut_Ajustes_Manuais!$I:$I,DRE!K$4,Aut_Ajustes_Manuais!$F:$F,"Outros B")</f>
        <v>0</v>
      </c>
      <c r="N205" s="248"/>
      <c r="O205" s="72">
        <f>SUM(O206:O212)</f>
        <v>0</v>
      </c>
      <c r="P205" s="74">
        <f>SUM(P206:P212)+SUMIFS(Aut_Ajustes_Manuais!$G:$G,Aut_Ajustes_Manuais!$I:$I,DRE!N$4,Aut_Ajustes_Manuais!$F:$F,"Outros B")</f>
        <v>0</v>
      </c>
      <c r="Q205" s="248"/>
      <c r="R205" s="72">
        <f>SUM(R206:R212)</f>
        <v>0</v>
      </c>
      <c r="S205" s="74">
        <f>SUM(S206:S212)+SUMIFS(Aut_Ajustes_Manuais!$G:$G,Aut_Ajustes_Manuais!$I:$I,DRE!Q$4,Aut_Ajustes_Manuais!$F:$F,"Outros B")</f>
        <v>-370.48</v>
      </c>
      <c r="T205" s="248"/>
      <c r="U205" s="72">
        <f>SUM(U206:U212)</f>
        <v>0</v>
      </c>
      <c r="V205" s="74">
        <f>SUM(V206:V212)+SUMIFS(Aut_Ajustes_Manuais!$G:$G,Aut_Ajustes_Manuais!$I:$I,DRE!T$4,Aut_Ajustes_Manuais!$F:$F,"Outros B")</f>
        <v>-4285.2700000000004</v>
      </c>
      <c r="W205" s="248"/>
      <c r="X205" s="72">
        <f>SUM(X206:X212)</f>
        <v>0</v>
      </c>
      <c r="Y205" s="74">
        <f>SUM(Y206:Y212)+SUMIFS(Aut_Ajustes_Manuais!$G:$G,Aut_Ajustes_Manuais!$I:$I,DRE!W$4,Aut_Ajustes_Manuais!$F:$F,"Outros B")</f>
        <v>-5270.71</v>
      </c>
      <c r="Z205" s="248"/>
      <c r="AA205" s="72">
        <f>SUM(AA206:AA212)</f>
        <v>0</v>
      </c>
      <c r="AB205" s="74">
        <f>SUM(AB206:AB212)+SUMIFS(Aut_Ajustes_Manuais!$G:$G,Aut_Ajustes_Manuais!$I:$I,DRE!Z$4,Aut_Ajustes_Manuais!$F:$F,"Outros B")</f>
        <v>-3137.8</v>
      </c>
      <c r="AC205" s="248"/>
      <c r="AD205" s="72">
        <f>SUM(AD206:AD212)</f>
        <v>-96735.28</v>
      </c>
      <c r="AE205" s="74">
        <f>SUM(AE206:AE212)+SUMIFS(Aut_Ajustes_Manuais!$G:$G,Aut_Ajustes_Manuais!$I:$I,DRE!AC$4,Aut_Ajustes_Manuais!$F:$F,"Outros B")</f>
        <v>-1662.28</v>
      </c>
      <c r="AF205" s="248"/>
      <c r="AG205" s="72">
        <f>SUM(AG206:AG212)</f>
        <v>-93189.55</v>
      </c>
      <c r="AH205" s="74">
        <f>SUM(AH206:AH212)+SUMIFS(Aut_Ajustes_Manuais!$G:$G,Aut_Ajustes_Manuais!$I:$I,DRE!AF$4,Aut_Ajustes_Manuais!$F:$F,"Outros B")</f>
        <v>-750</v>
      </c>
      <c r="AI205" s="248"/>
      <c r="AJ205" s="72">
        <f>SUM(AJ206:AJ212)</f>
        <v>-94766.7</v>
      </c>
      <c r="AK205" s="74">
        <f>SUM(AK206:AK212)+SUMIFS(Aut_Ajustes_Manuais!$G:$G,Aut_Ajustes_Manuais!$I:$I,DRE!AI$4,Aut_Ajustes_Manuais!$F:$F,"Outros B")</f>
        <v>-750</v>
      </c>
      <c r="AL205" s="248"/>
      <c r="AM205" s="72">
        <f>SUM(AM206:AM212)</f>
        <v>-93368.88</v>
      </c>
      <c r="AN205" s="74">
        <f>SUM(AN206:AN212)+SUMIFS(Aut_Ajustes_Manuais!$G:$G,Aut_Ajustes_Manuais!$I:$I,DRE!AL$4,Aut_Ajustes_Manuais!$F:$F,"Outros B")</f>
        <v>-750</v>
      </c>
      <c r="AO205" s="248"/>
      <c r="AP205" s="72">
        <f>SUM(AP206:AP212)</f>
        <v>-94831.06</v>
      </c>
      <c r="AQ205" s="74">
        <f>SUM(AQ206:AQ212)+SUMIFS(Aut_Ajustes_Manuais!$G:$G,Aut_Ajustes_Manuais!$I:$I,DRE!AO$4,Aut_Ajustes_Manuais!$F:$F,"Outros B")</f>
        <v>-750</v>
      </c>
      <c r="AR205" s="248">
        <f t="shared" ca="1" si="173"/>
        <v>0</v>
      </c>
      <c r="AS205" s="72">
        <f t="shared" ca="1" si="174"/>
        <v>-96735.28</v>
      </c>
      <c r="AT205" s="74">
        <f t="shared" ca="1" si="175"/>
        <v>-14726.539999999999</v>
      </c>
      <c r="AU205" s="248">
        <f t="shared" ref="AU205:BI205" si="176">SUM(AU206:AU212)</f>
        <v>0</v>
      </c>
      <c r="AV205" s="72">
        <f t="shared" si="176"/>
        <v>-472891.47</v>
      </c>
      <c r="AW205" s="74">
        <f t="shared" si="176"/>
        <v>-17726.54</v>
      </c>
      <c r="AX205" s="248">
        <f t="shared" si="176"/>
        <v>0</v>
      </c>
      <c r="AY205" s="72">
        <f t="shared" si="176"/>
        <v>0</v>
      </c>
      <c r="AZ205" s="74">
        <f t="shared" si="176"/>
        <v>0</v>
      </c>
      <c r="BA205" s="248">
        <f t="shared" si="176"/>
        <v>0</v>
      </c>
      <c r="BB205" s="72">
        <f t="shared" si="176"/>
        <v>0</v>
      </c>
      <c r="BC205" s="74">
        <f t="shared" si="176"/>
        <v>-9926.4599999999991</v>
      </c>
      <c r="BD205" s="248">
        <f t="shared" si="176"/>
        <v>0</v>
      </c>
      <c r="BE205" s="72">
        <f t="shared" si="176"/>
        <v>-189924.83000000002</v>
      </c>
      <c r="BF205" s="74">
        <f t="shared" si="176"/>
        <v>-5550.08</v>
      </c>
      <c r="BG205" s="248">
        <f t="shared" si="176"/>
        <v>0</v>
      </c>
      <c r="BH205" s="72">
        <f t="shared" si="176"/>
        <v>-282966.63999999996</v>
      </c>
      <c r="BI205" s="74">
        <f t="shared" si="176"/>
        <v>-2250</v>
      </c>
    </row>
    <row r="206" spans="1:62" s="28" customFormat="1" hidden="1" outlineLevel="2" x14ac:dyDescent="0.3">
      <c r="A206" s="21" t="s">
        <v>245</v>
      </c>
      <c r="B206" s="2"/>
      <c r="C206" s="23"/>
      <c r="D206" s="101"/>
      <c r="E206" s="97"/>
      <c r="F206" s="39"/>
      <c r="G206" s="32"/>
      <c r="H206" s="237"/>
      <c r="I206" s="26">
        <f>-SUMIFS(T_ORCAMENTOS!$E:$E,T_ORCAMENTOS!$C:$C,"  -  Uniformes Manutenção e Reposição",T_ORCAMENTOS!$H:$H,"1/2026")</f>
        <v>0</v>
      </c>
      <c r="J206" s="27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37"/>
      <c r="L206" s="26">
        <f>-SUMIFS(T_ORCAMENTOS!$E:$E,T_ORCAMENTOS!$C:$C,"  -  Uniformes Manutenção e Reposição",T_ORCAMENTOS!$H:$H,"2/2026")</f>
        <v>0</v>
      </c>
      <c r="M206" s="27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37"/>
      <c r="O206" s="26">
        <f>-SUMIFS(T_ORCAMENTOS!$E:$E,T_ORCAMENTOS!$C:$C,"  -  Uniformes Manutenção e Reposição",T_ORCAMENTOS!$H:$H,"3/2026")</f>
        <v>0</v>
      </c>
      <c r="P206" s="26">
        <f>SUMIFS(Aut_BlueMe_Sem_Pedido!$J:$J,Aut_BlueMe_Sem_Pedido!$Q:$Q,DRE!N$4,Aut_BlueMe_Sem_Pedido!$H:$H,DRE!$A206)+SUMIFS(Aut_Ajustes_Manuais!$G:$G,Aut_Ajustes_Manuais!$I:$I,DRE!N$4,Aut_Ajustes_Manuais!$F:$F,"  -  Uniformes Manutenção e Reposição")</f>
        <v>0</v>
      </c>
      <c r="Q206" s="237"/>
      <c r="R206" s="26">
        <f>-SUMIFS(T_ORCAMENTOS!$E:$E,T_ORCAMENTOS!$C:$C,"  -  Uniformes Manutenção e Reposição",T_ORCAMENTOS!$H:$H,"4/2026")</f>
        <v>0</v>
      </c>
      <c r="S206" s="27">
        <f>SUMIFS(Aut_BlueMe_Sem_Pedido!$J:$J,Aut_BlueMe_Sem_Pedido!$Q:$Q,DRE!Q$4,Aut_BlueMe_Sem_Pedido!$H:$H,DRE!$A206)+SUMIFS(Aut_Ajustes_Manuais!$G:$G,Aut_Ajustes_Manuais!$I:$I,DRE!Q$4,Aut_Ajustes_Manuais!$F:$F,"  -  Uniformes Manutenção e Reposição")</f>
        <v>0</v>
      </c>
      <c r="T206" s="237"/>
      <c r="U206" s="26">
        <f>-SUMIFS(T_ORCAMENTOS!$E:$E,T_ORCAMENTOS!$C:$C,"  -  Uniformes Manutenção e Reposição",T_ORCAMENTOS!$H:$H,"5/2026")</f>
        <v>0</v>
      </c>
      <c r="V206" s="27">
        <f>SUMIFS(Aut_BlueMe_Sem_Pedido!$J:$J,Aut_BlueMe_Sem_Pedido!$Q:$Q,DRE!T$4,Aut_BlueMe_Sem_Pedido!$H:$H,DRE!$A206)+SUMIFS(Aut_Ajustes_Manuais!$G:$G,Aut_Ajustes_Manuais!$I:$I,DRE!T$4,Aut_Ajustes_Manuais!$F:$F,"  -  Uniformes Manutenção e Reposição")</f>
        <v>0</v>
      </c>
      <c r="W206" s="237"/>
      <c r="X206" s="26">
        <f>-SUMIFS(T_ORCAMENTOS!$E:$E,T_ORCAMENTOS!$C:$C,"  -  Uniformes Manutenção e Reposição",T_ORCAMENTOS!$H:$H,"6/2026")</f>
        <v>0</v>
      </c>
      <c r="Y206" s="27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37"/>
      <c r="AA206" s="26">
        <f>-SUMIFS(T_ORCAMENTOS!$E:$E,T_ORCAMENTOS!$C:$C,"  -  Uniformes Manutenção e Reposição",T_ORCAMENTOS!$H:$H,"7/2026")</f>
        <v>0</v>
      </c>
      <c r="AB206" s="27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37"/>
      <c r="AD206" s="26">
        <f>-SUMIFS(T_ORCAMENTOS!$E:$E,T_ORCAMENTOS!$C:$C,"  -  Uniformes Manutenção e Reposição",T_ORCAMENTOS!$H:$H,"8/2026")</f>
        <v>0</v>
      </c>
      <c r="AE206" s="27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37"/>
      <c r="AG206" s="26">
        <f>-SUMIFS(T_ORCAMENTOS!$E:$E,T_ORCAMENTOS!$C:$C,"  -  Uniformes Manutenção e Reposição",T_ORCAMENTOS!$H:$H,"9/2026")</f>
        <v>0</v>
      </c>
      <c r="AH206" s="27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37"/>
      <c r="AJ206" s="26">
        <f>-SUMIFS(T_ORCAMENTOS!$E:$E,T_ORCAMENTOS!$C:$C,"  -  Uniformes Manutenção e Reposição",T_ORCAMENTOS!$H:$H,"10/2026")</f>
        <v>0</v>
      </c>
      <c r="AK206" s="27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37"/>
      <c r="AM206" s="26">
        <f>-SUMIFS(T_ORCAMENTOS!$E:$E,T_ORCAMENTOS!$C:$C,"  -  Uniformes Manutenção e Reposição",T_ORCAMENTOS!$H:$H,"11/2026")</f>
        <v>0</v>
      </c>
      <c r="AN206" s="27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37"/>
      <c r="AP206" s="26">
        <f>-SUMIFS(T_ORCAMENTOS!$E:$E,T_ORCAMENTOS!$C:$C,"  -  Uniformes Manutenção e Reposição",T_ORCAMENTOS!$H:$H,"12/2026")</f>
        <v>0</v>
      </c>
      <c r="AQ206" s="27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37">
        <f t="shared" ca="1" si="173"/>
        <v>0</v>
      </c>
      <c r="AS206" s="26">
        <f t="shared" ca="1" si="174"/>
        <v>0</v>
      </c>
      <c r="AT206" s="27">
        <f t="shared" ca="1" si="175"/>
        <v>0</v>
      </c>
      <c r="AU206" s="237">
        <f t="shared" ref="AU206:AW212" si="177">SUM(H206,K206,N206,Q206,T206,W206,Z206,AC206,AF206,AI206,AL206,AO206)</f>
        <v>0</v>
      </c>
      <c r="AV206" s="26">
        <f t="shared" si="177"/>
        <v>0</v>
      </c>
      <c r="AW206" s="27">
        <f t="shared" si="177"/>
        <v>0</v>
      </c>
      <c r="AX206" s="237">
        <f t="shared" ref="AX206:AZ212" si="178">SUM(H206,K206,N206)</f>
        <v>0</v>
      </c>
      <c r="AY206" s="26">
        <f t="shared" si="178"/>
        <v>0</v>
      </c>
      <c r="AZ206" s="27">
        <f t="shared" si="178"/>
        <v>0</v>
      </c>
      <c r="BA206" s="237">
        <f t="shared" ref="BA206:BC212" si="179">SUM(Q206,T206,W206)</f>
        <v>0</v>
      </c>
      <c r="BB206" s="26">
        <f t="shared" si="179"/>
        <v>0</v>
      </c>
      <c r="BC206" s="27">
        <f t="shared" si="179"/>
        <v>0</v>
      </c>
      <c r="BD206" s="237">
        <f t="shared" ref="BD206:BF212" si="180">SUM(Z206,AC206,AF206)</f>
        <v>0</v>
      </c>
      <c r="BE206" s="26">
        <f t="shared" si="180"/>
        <v>0</v>
      </c>
      <c r="BF206" s="27">
        <f t="shared" si="180"/>
        <v>0</v>
      </c>
      <c r="BG206" s="237">
        <f t="shared" ref="BG206:BI212" si="181">SUM(AI206,AL206,AO206)</f>
        <v>0</v>
      </c>
      <c r="BH206" s="26">
        <f t="shared" si="181"/>
        <v>0</v>
      </c>
      <c r="BI206" s="27">
        <f t="shared" si="181"/>
        <v>0</v>
      </c>
      <c r="BJ206" s="454"/>
    </row>
    <row r="207" spans="1:62" s="28" customFormat="1" ht="25.2" hidden="1" customHeight="1" outlineLevel="2" x14ac:dyDescent="0.3">
      <c r="A207" s="21" t="s">
        <v>246</v>
      </c>
      <c r="B207" s="2"/>
      <c r="C207" s="23"/>
      <c r="D207" s="96" t="s">
        <v>247</v>
      </c>
      <c r="E207" s="97">
        <v>-49.44</v>
      </c>
      <c r="F207" s="39"/>
      <c r="G207" s="32"/>
      <c r="H207" s="237"/>
      <c r="I207" s="26">
        <f>-SUMIFS(T_ORCAMENTOS!$E:$E,T_ORCAMENTOS!$C:$C,"  -  Exames Periódicos",T_ORCAMENTOS!$H:$H,"1/2026")</f>
        <v>0</v>
      </c>
      <c r="J207" s="27">
        <f>SUMIFS(Aut_BlueMe_Sem_Pedido!$J:$J,Aut_BlueMe_Sem_Pedido!$Q:$Q,DRE!H$4,Aut_BlueMe_Sem_Pedido!$H:$H,DRE!$A207)+SUMIFS(Aut_Ajustes_Manuais!$G:$G,Aut_Ajustes_Manuais!$I:$I,DRE!H$4,Aut_Ajustes_Manuais!$F:$F,"  -  Exames Periódicos")</f>
        <v>0</v>
      </c>
      <c r="K207" s="237"/>
      <c r="L207" s="26">
        <f>-SUMIFS(T_ORCAMENTOS!$E:$E,T_ORCAMENTOS!$C:$C,"  -  Exames Periódicos",T_ORCAMENTOS!$H:$H,"2/2026")</f>
        <v>0</v>
      </c>
      <c r="M207" s="27">
        <f>SUMIFS(Aut_BlueMe_Sem_Pedido!$J:$J,Aut_BlueMe_Sem_Pedido!$Q:$Q,DRE!K$4,Aut_BlueMe_Sem_Pedido!$H:$H,DRE!$A207)+SUMIFS(Aut_Ajustes_Manuais!$G:$G,Aut_Ajustes_Manuais!$I:$I,DRE!K$4,Aut_Ajustes_Manuais!$F:$F,"  -  Exames Periódicos")</f>
        <v>0</v>
      </c>
      <c r="N207" s="237"/>
      <c r="O207" s="26">
        <f>-SUMIFS(T_ORCAMENTOS!$E:$E,T_ORCAMENTOS!$C:$C,"  -  Exames Periódicos",T_ORCAMENTOS!$H:$H,"3/2026")</f>
        <v>0</v>
      </c>
      <c r="P207" s="27">
        <f>SUMIFS(Aut_BlueMe_Sem_Pedido!$J:$J,Aut_BlueMe_Sem_Pedido!$Q:$Q,DRE!N$4,Aut_BlueMe_Sem_Pedido!$H:$H,DRE!$A207)+SUMIFS(Aut_Ajustes_Manuais!$G:$G,Aut_Ajustes_Manuais!$I:$I,DRE!N$4,Aut_Ajustes_Manuais!$F:$F,"  -  Exames Periódicos")</f>
        <v>0</v>
      </c>
      <c r="Q207" s="237"/>
      <c r="R207" s="26">
        <f>-SUMIFS(T_ORCAMENTOS!$E:$E,T_ORCAMENTOS!$C:$C,"  -  Exames Periódicos",T_ORCAMENTOS!$H:$H,"4/2026")</f>
        <v>0</v>
      </c>
      <c r="S207" s="27">
        <f>SUMIFS(Aut_BlueMe_Sem_Pedido!$J:$J,Aut_BlueMe_Sem_Pedido!$Q:$Q,DRE!Q$4,Aut_BlueMe_Sem_Pedido!$H:$H,DRE!$A207)+SUMIFS(Aut_Ajustes_Manuais!$G:$G,Aut_Ajustes_Manuais!$I:$I,DRE!Q$4,Aut_Ajustes_Manuais!$F:$F,"  -  Exames Periódicos")</f>
        <v>0</v>
      </c>
      <c r="T207" s="237"/>
      <c r="U207" s="26">
        <f>-SUMIFS(T_ORCAMENTOS!$E:$E,T_ORCAMENTOS!$C:$C,"  -  Exames Periódicos",T_ORCAMENTOS!$H:$H,"5/2026")</f>
        <v>0</v>
      </c>
      <c r="V207" s="27">
        <f>SUMIFS(Aut_BlueMe_Sem_Pedido!$J:$J,Aut_BlueMe_Sem_Pedido!$Q:$Q,DRE!T$4,Aut_BlueMe_Sem_Pedido!$H:$H,DRE!$A207)+SUMIFS(Aut_Ajustes_Manuais!$G:$G,Aut_Ajustes_Manuais!$I:$I,DRE!T$4,Aut_Ajustes_Manuais!$F:$F,"  -  Exames Periódicos")</f>
        <v>0</v>
      </c>
      <c r="W207" s="237"/>
      <c r="X207" s="26">
        <f>-SUMIFS(T_ORCAMENTOS!$E:$E,T_ORCAMENTOS!$C:$C,"  -  Exames Periódicos",T_ORCAMENTOS!$H:$H,"6/2026")</f>
        <v>0</v>
      </c>
      <c r="Y207" s="27">
        <f>SUMIFS(Aut_BlueMe_Sem_Pedido!$J:$J,Aut_BlueMe_Sem_Pedido!$Q:$Q,DRE!W$4,Aut_BlueMe_Sem_Pedido!$H:$H,DRE!$A207)+SUMIFS(Aut_Ajustes_Manuais!$G:$G,Aut_Ajustes_Manuais!$I:$I,DRE!W$4,Aut_Ajustes_Manuais!$F:$F,"  -  Exames Periódicos")</f>
        <v>-691.97</v>
      </c>
      <c r="Z207" s="237"/>
      <c r="AA207" s="26">
        <f>-SUMIFS(T_ORCAMENTOS!$E:$E,T_ORCAMENTOS!$C:$C,"  -  Exames Periódicos",T_ORCAMENTOS!$H:$H,"7/2026")</f>
        <v>0</v>
      </c>
      <c r="AB207" s="27">
        <f>SUMIFS(Aut_BlueMe_Sem_Pedido!$J:$J,Aut_BlueMe_Sem_Pedido!$Q:$Q,DRE!Z$4,Aut_BlueMe_Sem_Pedido!$H:$H,DRE!$A207)+SUMIFS(Aut_Ajustes_Manuais!$G:$G,Aut_Ajustes_Manuais!$I:$I,DRE!Z$4,Aut_Ajustes_Manuais!$F:$F,"  -  Exames Periódicos")</f>
        <v>-3137.8</v>
      </c>
      <c r="AC207" s="237"/>
      <c r="AD207" s="26">
        <f>-SUMIFS(T_ORCAMENTOS!$E:$E,T_ORCAMENTOS!$C:$C,"  -  Exames Periódicos",T_ORCAMENTOS!$H:$H,"8/2026")</f>
        <v>-4034.3</v>
      </c>
      <c r="AE207" s="27">
        <f>SUMIFS(Aut_BlueMe_Sem_Pedido!$J:$J,Aut_BlueMe_Sem_Pedido!$Q:$Q,DRE!AC$4,Aut_BlueMe_Sem_Pedido!$H:$H,DRE!$A207)+SUMIFS(Aut_Ajustes_Manuais!$G:$G,Aut_Ajustes_Manuais!$I:$I,DRE!AC$4,Aut_Ajustes_Manuais!$F:$F,"  -  Exames Periódicos")</f>
        <v>-1662.28</v>
      </c>
      <c r="AF207" s="237"/>
      <c r="AG207" s="26">
        <f>-SUMIFS(T_ORCAMENTOS!$E:$E,T_ORCAMENTOS!$C:$C,"  -  Exames Periódicos",T_ORCAMENTOS!$H:$H,"9/2026")</f>
        <v>-1008.58</v>
      </c>
      <c r="AH207" s="27">
        <f>SUMIFS(Aut_BlueMe_Sem_Pedido!$J:$J,Aut_BlueMe_Sem_Pedido!$Q:$Q,DRE!AF$4,Aut_BlueMe_Sem_Pedido!$H:$H,DRE!$A207)+SUMIFS(Aut_Ajustes_Manuais!$G:$G,Aut_Ajustes_Manuais!$I:$I,DRE!AF$4,Aut_Ajustes_Manuais!$F:$F,"  -  Exames Periódicos")</f>
        <v>-750</v>
      </c>
      <c r="AI207" s="237"/>
      <c r="AJ207" s="26">
        <f>-SUMIFS(T_ORCAMENTOS!$E:$E,T_ORCAMENTOS!$C:$C,"  -  Exames Periódicos",T_ORCAMENTOS!$H:$H,"10/2026")</f>
        <v>-1008.58</v>
      </c>
      <c r="AK207" s="27">
        <f>SUMIFS(Aut_BlueMe_Sem_Pedido!$J:$J,Aut_BlueMe_Sem_Pedido!$Q:$Q,DRE!AI$4,Aut_BlueMe_Sem_Pedido!$H:$H,DRE!$A207)+SUMIFS(Aut_Ajustes_Manuais!$G:$G,Aut_Ajustes_Manuais!$I:$I,DRE!AI$4,Aut_Ajustes_Manuais!$F:$F,"  -  Exames Periódicos")</f>
        <v>-750</v>
      </c>
      <c r="AL207" s="237"/>
      <c r="AM207" s="26">
        <f>-SUMIFS(T_ORCAMENTOS!$E:$E,T_ORCAMENTOS!$C:$C,"  -  Exames Periódicos",T_ORCAMENTOS!$H:$H,"11/2026")</f>
        <v>-1008.58</v>
      </c>
      <c r="AN207" s="27">
        <f>SUMIFS(Aut_BlueMe_Sem_Pedido!$J:$J,Aut_BlueMe_Sem_Pedido!$Q:$Q,DRE!AL$4,Aut_BlueMe_Sem_Pedido!$H:$H,DRE!$A207)+SUMIFS(Aut_Ajustes_Manuais!$G:$G,Aut_Ajustes_Manuais!$I:$I,DRE!AL$4,Aut_Ajustes_Manuais!$F:$F,"  -  Exames Periódicos")</f>
        <v>-750</v>
      </c>
      <c r="AO207" s="237"/>
      <c r="AP207" s="26">
        <f>-SUMIFS(T_ORCAMENTOS!$E:$E,T_ORCAMENTOS!$C:$C,"  -  Exames Periódicos",T_ORCAMENTOS!$H:$H,"12/2026")</f>
        <v>-1008.58</v>
      </c>
      <c r="AQ207" s="27">
        <f>SUMIFS(Aut_BlueMe_Sem_Pedido!$J:$J,Aut_BlueMe_Sem_Pedido!$Q:$Q,DRE!AO$4,Aut_BlueMe_Sem_Pedido!$H:$H,DRE!$A207)+SUMIFS(Aut_Ajustes_Manuais!$G:$G,Aut_Ajustes_Manuais!$I:$I,DRE!AO$4,Aut_Ajustes_Manuais!$F:$F,"  -  Exames Periódicos")</f>
        <v>-750</v>
      </c>
      <c r="AR207" s="237">
        <f t="shared" ca="1" si="173"/>
        <v>0</v>
      </c>
      <c r="AS207" s="26">
        <f t="shared" ca="1" si="174"/>
        <v>-4034.3</v>
      </c>
      <c r="AT207" s="27">
        <f t="shared" ca="1" si="175"/>
        <v>-5492.05</v>
      </c>
      <c r="AU207" s="237">
        <f t="shared" si="177"/>
        <v>0</v>
      </c>
      <c r="AV207" s="26">
        <f t="shared" si="177"/>
        <v>-8068.62</v>
      </c>
      <c r="AW207" s="27">
        <f t="shared" si="177"/>
        <v>-8492.0499999999993</v>
      </c>
      <c r="AX207" s="237">
        <f t="shared" si="178"/>
        <v>0</v>
      </c>
      <c r="AY207" s="26">
        <f t="shared" si="178"/>
        <v>0</v>
      </c>
      <c r="AZ207" s="27">
        <f t="shared" si="178"/>
        <v>0</v>
      </c>
      <c r="BA207" s="237">
        <f t="shared" si="179"/>
        <v>0</v>
      </c>
      <c r="BB207" s="26">
        <f t="shared" si="179"/>
        <v>0</v>
      </c>
      <c r="BC207" s="27">
        <f t="shared" si="179"/>
        <v>-691.97</v>
      </c>
      <c r="BD207" s="237">
        <f t="shared" si="180"/>
        <v>0</v>
      </c>
      <c r="BE207" s="26">
        <f t="shared" si="180"/>
        <v>-5042.88</v>
      </c>
      <c r="BF207" s="27">
        <f t="shared" si="180"/>
        <v>-5550.08</v>
      </c>
      <c r="BG207" s="237">
        <f t="shared" si="181"/>
        <v>0</v>
      </c>
      <c r="BH207" s="26">
        <f t="shared" si="181"/>
        <v>-3025.7400000000002</v>
      </c>
      <c r="BI207" s="27">
        <f t="shared" si="181"/>
        <v>-2250</v>
      </c>
      <c r="BJ207" s="454"/>
    </row>
    <row r="208" spans="1:62" s="28" customFormat="1" hidden="1" outlineLevel="2" x14ac:dyDescent="0.3">
      <c r="A208" s="21" t="s">
        <v>248</v>
      </c>
      <c r="B208" s="2"/>
      <c r="C208" s="23"/>
      <c r="D208" s="53"/>
      <c r="E208" s="85"/>
      <c r="F208" s="39"/>
      <c r="G208" s="32"/>
      <c r="H208" s="237"/>
      <c r="I208" s="26">
        <f>-SUMIFS(T_ORCAMENTOS!$E:$E,T_ORCAMENTOS!$C:$C,"  -  Diversos - Vale Combustível",T_ORCAMENTOS!$H:$H,"1/2026")</f>
        <v>0</v>
      </c>
      <c r="J208" s="27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37"/>
      <c r="L208" s="26">
        <f>-SUMIFS(T_ORCAMENTOS!$E:$E,T_ORCAMENTOS!$C:$C,"  -  Diversos - Vale Combustível",T_ORCAMENTOS!$H:$H,"2/2026")</f>
        <v>0</v>
      </c>
      <c r="M208" s="27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37"/>
      <c r="O208" s="26">
        <f>-SUMIFS(T_ORCAMENTOS!$E:$E,T_ORCAMENTOS!$C:$C,"  -  Diversos - Vale Combustível",T_ORCAMENTOS!$H:$H,"3/2026")</f>
        <v>0</v>
      </c>
      <c r="P208" s="27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37"/>
      <c r="R208" s="26">
        <f>-SUMIFS(T_ORCAMENTOS!$E:$E,T_ORCAMENTOS!$C:$C,"  -  Diversos - Vale Combustível",T_ORCAMENTOS!$H:$H,"4/2026")</f>
        <v>0</v>
      </c>
      <c r="S208" s="27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37"/>
      <c r="U208" s="26">
        <f>-SUMIFS(T_ORCAMENTOS!$E:$E,T_ORCAMENTOS!$C:$C,"  -  Diversos - Vale Combustível",T_ORCAMENTOS!$H:$H,"5/2026")</f>
        <v>0</v>
      </c>
      <c r="V208" s="27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37"/>
      <c r="X208" s="26">
        <f>-SUMIFS(T_ORCAMENTOS!$E:$E,T_ORCAMENTOS!$C:$C,"  -  Diversos - Vale Combustível",T_ORCAMENTOS!$H:$H,"6/2026")</f>
        <v>0</v>
      </c>
      <c r="Y208" s="27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37"/>
      <c r="AA208" s="26">
        <f>-SUMIFS(T_ORCAMENTOS!$E:$E,T_ORCAMENTOS!$C:$C,"  -  Diversos - Vale Combustível",T_ORCAMENTOS!$H:$H,"7/2026")</f>
        <v>0</v>
      </c>
      <c r="AB208" s="27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37"/>
      <c r="AD208" s="26">
        <f>-SUMIFS(T_ORCAMENTOS!$E:$E,T_ORCAMENTOS!$C:$C,"  -  Diversos - Vale Combustível",T_ORCAMENTOS!$H:$H,"8/2026")</f>
        <v>0</v>
      </c>
      <c r="AE208" s="27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37"/>
      <c r="AG208" s="26">
        <f>-SUMIFS(T_ORCAMENTOS!$E:$E,T_ORCAMENTOS!$C:$C,"  -  Diversos - Vale Combustível",T_ORCAMENTOS!$H:$H,"9/2026")</f>
        <v>0</v>
      </c>
      <c r="AH208" s="27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37"/>
      <c r="AJ208" s="26">
        <f>-SUMIFS(T_ORCAMENTOS!$E:$E,T_ORCAMENTOS!$C:$C,"  -  Diversos - Vale Combustível",T_ORCAMENTOS!$H:$H,"10/2026")</f>
        <v>0</v>
      </c>
      <c r="AK208" s="27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37"/>
      <c r="AM208" s="26">
        <f>-SUMIFS(T_ORCAMENTOS!$E:$E,T_ORCAMENTOS!$C:$C,"  -  Diversos - Vale Combustível",T_ORCAMENTOS!$H:$H,"11/2026")</f>
        <v>0</v>
      </c>
      <c r="AN208" s="27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37"/>
      <c r="AP208" s="26">
        <f>-SUMIFS(T_ORCAMENTOS!$E:$E,T_ORCAMENTOS!$C:$C,"  -  Diversos - Vale Combustível",T_ORCAMENTOS!$H:$H,"12/2026")</f>
        <v>0</v>
      </c>
      <c r="AQ208" s="27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37">
        <f t="shared" ca="1" si="173"/>
        <v>0</v>
      </c>
      <c r="AS208" s="26">
        <f t="shared" ca="1" si="174"/>
        <v>0</v>
      </c>
      <c r="AT208" s="27">
        <f t="shared" ca="1" si="175"/>
        <v>0</v>
      </c>
      <c r="AU208" s="237">
        <f t="shared" si="177"/>
        <v>0</v>
      </c>
      <c r="AV208" s="26">
        <f t="shared" si="177"/>
        <v>0</v>
      </c>
      <c r="AW208" s="27">
        <f t="shared" si="177"/>
        <v>0</v>
      </c>
      <c r="AX208" s="237">
        <f t="shared" si="178"/>
        <v>0</v>
      </c>
      <c r="AY208" s="26">
        <f t="shared" si="178"/>
        <v>0</v>
      </c>
      <c r="AZ208" s="27">
        <f t="shared" si="178"/>
        <v>0</v>
      </c>
      <c r="BA208" s="237">
        <f t="shared" si="179"/>
        <v>0</v>
      </c>
      <c r="BB208" s="26">
        <f t="shared" si="179"/>
        <v>0</v>
      </c>
      <c r="BC208" s="27">
        <f t="shared" si="179"/>
        <v>0</v>
      </c>
      <c r="BD208" s="237">
        <f t="shared" si="180"/>
        <v>0</v>
      </c>
      <c r="BE208" s="26">
        <f t="shared" si="180"/>
        <v>0</v>
      </c>
      <c r="BF208" s="27">
        <f t="shared" si="180"/>
        <v>0</v>
      </c>
      <c r="BG208" s="237">
        <f t="shared" si="181"/>
        <v>0</v>
      </c>
      <c r="BH208" s="26">
        <f t="shared" si="181"/>
        <v>0</v>
      </c>
      <c r="BI208" s="27">
        <f t="shared" si="181"/>
        <v>0</v>
      </c>
      <c r="BJ208" s="454"/>
    </row>
    <row r="209" spans="1:62" s="28" customFormat="1" hidden="1" outlineLevel="2" x14ac:dyDescent="0.3">
      <c r="A209" s="21" t="s">
        <v>249</v>
      </c>
      <c r="B209" s="2"/>
      <c r="C209" s="23"/>
      <c r="D209" s="53"/>
      <c r="E209" s="85"/>
      <c r="F209" s="39"/>
      <c r="G209" s="32"/>
      <c r="H209" s="237"/>
      <c r="I209" s="26">
        <f>-SUMIFS(T_ORCAMENTOS!$E:$E,T_ORCAMENTOS!$C:$C,"  -  Gratificações",T_ORCAMENTOS!$H:$H,"1/2026")</f>
        <v>0</v>
      </c>
      <c r="J209" s="26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37"/>
      <c r="L209" s="26">
        <f>-SUMIFS(T_ORCAMENTOS!$E:$E,T_ORCAMENTOS!$C:$C,"  -  Gratificações",T_ORCAMENTOS!$H:$H,"2/2026")</f>
        <v>0</v>
      </c>
      <c r="M209" s="26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37"/>
      <c r="O209" s="26">
        <f>-SUMIFS(T_ORCAMENTOS!$E:$E,T_ORCAMENTOS!$C:$C,"  -  Gratificações",T_ORCAMENTOS!$H:$H,"3/2026")</f>
        <v>0</v>
      </c>
      <c r="P209" s="26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37"/>
      <c r="R209" s="26">
        <f>-SUMIFS(T_ORCAMENTOS!$E:$E,T_ORCAMENTOS!$C:$C,"  -  Gratificações",T_ORCAMENTOS!$H:$H,"4/2026")</f>
        <v>0</v>
      </c>
      <c r="S209" s="26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37"/>
      <c r="U209" s="26">
        <f>-SUMIFS(T_ORCAMENTOS!$E:$E,T_ORCAMENTOS!$C:$C,"  -  Gratificações",T_ORCAMENTOS!$H:$H,"5/2026")</f>
        <v>0</v>
      </c>
      <c r="V209" s="27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37"/>
      <c r="X209" s="26">
        <f>-SUMIFS(T_ORCAMENTOS!$E:$E,T_ORCAMENTOS!$C:$C,"  -  Gratificações",T_ORCAMENTOS!$H:$H,"6/2026")</f>
        <v>0</v>
      </c>
      <c r="Y209" s="27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37"/>
      <c r="AA209" s="26">
        <f>-SUMIFS(T_ORCAMENTOS!$E:$E,T_ORCAMENTOS!$C:$C,"  -  Gratificações",T_ORCAMENTOS!$H:$H,"7/2026")</f>
        <v>0</v>
      </c>
      <c r="AB209" s="27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37"/>
      <c r="AD209" s="26">
        <f>-SUMIFS(T_ORCAMENTOS!$E:$E,T_ORCAMENTOS!$C:$C,"  -  Gratificações",T_ORCAMENTOS!$H:$H,"8/2026")</f>
        <v>0</v>
      </c>
      <c r="AE209" s="27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37"/>
      <c r="AG209" s="26">
        <f>-SUMIFS(T_ORCAMENTOS!$E:$E,T_ORCAMENTOS!$C:$C,"  -  Gratificações",T_ORCAMENTOS!$H:$H,"9/2026")</f>
        <v>0</v>
      </c>
      <c r="AH209" s="27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37"/>
      <c r="AJ209" s="26">
        <f>-SUMIFS(T_ORCAMENTOS!$E:$E,T_ORCAMENTOS!$C:$C,"  -  Gratificações",T_ORCAMENTOS!$H:$H,"10/2026")</f>
        <v>0</v>
      </c>
      <c r="AK209" s="27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37"/>
      <c r="AM209" s="26">
        <f>-SUMIFS(T_ORCAMENTOS!$E:$E,T_ORCAMENTOS!$C:$C,"  -  Gratificações",T_ORCAMENTOS!$H:$H,"11/2026")</f>
        <v>0</v>
      </c>
      <c r="AN209" s="27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37"/>
      <c r="AP209" s="26">
        <f>-SUMIFS(T_ORCAMENTOS!$E:$E,T_ORCAMENTOS!$C:$C,"  -  Gratificações",T_ORCAMENTOS!$H:$H,"12/2026")</f>
        <v>0</v>
      </c>
      <c r="AQ209" s="27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37">
        <f t="shared" ca="1" si="173"/>
        <v>0</v>
      </c>
      <c r="AS209" s="26">
        <f t="shared" ca="1" si="174"/>
        <v>0</v>
      </c>
      <c r="AT209" s="27">
        <f t="shared" ca="1" si="175"/>
        <v>0</v>
      </c>
      <c r="AU209" s="237">
        <f t="shared" si="177"/>
        <v>0</v>
      </c>
      <c r="AV209" s="26">
        <f t="shared" si="177"/>
        <v>0</v>
      </c>
      <c r="AW209" s="27">
        <f t="shared" si="177"/>
        <v>0</v>
      </c>
      <c r="AX209" s="237">
        <f t="shared" si="178"/>
        <v>0</v>
      </c>
      <c r="AY209" s="26">
        <f t="shared" si="178"/>
        <v>0</v>
      </c>
      <c r="AZ209" s="27">
        <f t="shared" si="178"/>
        <v>0</v>
      </c>
      <c r="BA209" s="237">
        <f t="shared" si="179"/>
        <v>0</v>
      </c>
      <c r="BB209" s="26">
        <f t="shared" si="179"/>
        <v>0</v>
      </c>
      <c r="BC209" s="27">
        <f t="shared" si="179"/>
        <v>0</v>
      </c>
      <c r="BD209" s="237">
        <f t="shared" si="180"/>
        <v>0</v>
      </c>
      <c r="BE209" s="26">
        <f t="shared" si="180"/>
        <v>0</v>
      </c>
      <c r="BF209" s="27">
        <f t="shared" si="180"/>
        <v>0</v>
      </c>
      <c r="BG209" s="237">
        <f t="shared" si="181"/>
        <v>0</v>
      </c>
      <c r="BH209" s="26">
        <f t="shared" si="181"/>
        <v>0</v>
      </c>
      <c r="BI209" s="27">
        <f t="shared" si="181"/>
        <v>0</v>
      </c>
      <c r="BJ209" s="454"/>
    </row>
    <row r="210" spans="1:62" s="28" customFormat="1" hidden="1" outlineLevel="2" x14ac:dyDescent="0.3">
      <c r="A210" s="21" t="s">
        <v>250</v>
      </c>
      <c r="B210" s="2"/>
      <c r="C210" s="23"/>
      <c r="D210" s="53"/>
      <c r="E210" s="85"/>
      <c r="F210" s="39"/>
      <c r="G210" s="32"/>
      <c r="H210" s="237"/>
      <c r="I210" s="26">
        <f>-SUMIFS(T_ORCAMENTOS!$E:$E,T_ORCAMENTOS!$C:$C,"  -  Cursos e Treinamentos",T_ORCAMENTOS!$H:$H,"1/2026")</f>
        <v>0</v>
      </c>
      <c r="J210" s="27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37"/>
      <c r="L210" s="26">
        <f>-SUMIFS(T_ORCAMENTOS!$E:$E,T_ORCAMENTOS!$C:$C,"  -  Cursos e Treinamentos",T_ORCAMENTOS!$H:$H,"2/2026")</f>
        <v>0</v>
      </c>
      <c r="M210" s="27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37"/>
      <c r="O210" s="26">
        <f>-SUMIFS(T_ORCAMENTOS!$E:$E,T_ORCAMENTOS!$C:$C,"  -  Cursos e Treinamentos",T_ORCAMENTOS!$H:$H,"3/2026")</f>
        <v>0</v>
      </c>
      <c r="P210" s="27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37"/>
      <c r="R210" s="26">
        <f>-SUMIFS(T_ORCAMENTOS!$E:$E,T_ORCAMENTOS!$C:$C,"  -  Cursos e Treinamentos",T_ORCAMENTOS!$H:$H,"4/2026")</f>
        <v>0</v>
      </c>
      <c r="S210" s="27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37"/>
      <c r="U210" s="26">
        <f>-SUMIFS(T_ORCAMENTOS!$E:$E,T_ORCAMENTOS!$C:$C,"  -  Cursos e Treinamentos",T_ORCAMENTOS!$H:$H,"5/2026")</f>
        <v>0</v>
      </c>
      <c r="V210" s="27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37"/>
      <c r="X210" s="26">
        <f>-SUMIFS(T_ORCAMENTOS!$E:$E,T_ORCAMENTOS!$C:$C,"  -  Cursos e Treinamentos",T_ORCAMENTOS!$H:$H,"6/2026")</f>
        <v>0</v>
      </c>
      <c r="Y210" s="27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37"/>
      <c r="AA210" s="26">
        <f>-SUMIFS(T_ORCAMENTOS!$E:$E,T_ORCAMENTOS!$C:$C,"  -  Cursos e Treinamentos",T_ORCAMENTOS!$H:$H,"7/2026")</f>
        <v>0</v>
      </c>
      <c r="AB210" s="27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37"/>
      <c r="AD210" s="26">
        <f>-SUMIFS(T_ORCAMENTOS!$E:$E,T_ORCAMENTOS!$C:$C,"  -  Cursos e Treinamentos",T_ORCAMENTOS!$H:$H,"8/2026")</f>
        <v>0</v>
      </c>
      <c r="AE210" s="27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37"/>
      <c r="AG210" s="26">
        <f>-SUMIFS(T_ORCAMENTOS!$E:$E,T_ORCAMENTOS!$C:$C,"  -  Cursos e Treinamentos",T_ORCAMENTOS!$H:$H,"9/2026")</f>
        <v>0</v>
      </c>
      <c r="AH210" s="27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37"/>
      <c r="AJ210" s="26">
        <f>-SUMIFS(T_ORCAMENTOS!$E:$E,T_ORCAMENTOS!$C:$C,"  -  Cursos e Treinamentos",T_ORCAMENTOS!$H:$H,"10/2026")</f>
        <v>0</v>
      </c>
      <c r="AK210" s="27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37"/>
      <c r="AM210" s="26">
        <f>-SUMIFS(T_ORCAMENTOS!$E:$E,T_ORCAMENTOS!$C:$C,"  -  Cursos e Treinamentos",T_ORCAMENTOS!$H:$H,"11/2026")</f>
        <v>0</v>
      </c>
      <c r="AN210" s="27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37"/>
      <c r="AP210" s="26">
        <f>-SUMIFS(T_ORCAMENTOS!$E:$E,T_ORCAMENTOS!$C:$C,"  -  Cursos e Treinamentos",T_ORCAMENTOS!$H:$H,"12/2026")</f>
        <v>0</v>
      </c>
      <c r="AQ210" s="27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37">
        <f t="shared" ca="1" si="173"/>
        <v>0</v>
      </c>
      <c r="AS210" s="26">
        <f t="shared" ca="1" si="174"/>
        <v>0</v>
      </c>
      <c r="AT210" s="27">
        <f t="shared" ca="1" si="175"/>
        <v>0</v>
      </c>
      <c r="AU210" s="237">
        <f t="shared" si="177"/>
        <v>0</v>
      </c>
      <c r="AV210" s="26">
        <f t="shared" si="177"/>
        <v>0</v>
      </c>
      <c r="AW210" s="27">
        <f t="shared" si="177"/>
        <v>0</v>
      </c>
      <c r="AX210" s="237">
        <f t="shared" si="178"/>
        <v>0</v>
      </c>
      <c r="AY210" s="26">
        <f t="shared" si="178"/>
        <v>0</v>
      </c>
      <c r="AZ210" s="27">
        <f t="shared" si="178"/>
        <v>0</v>
      </c>
      <c r="BA210" s="237">
        <f t="shared" si="179"/>
        <v>0</v>
      </c>
      <c r="BB210" s="26">
        <f t="shared" si="179"/>
        <v>0</v>
      </c>
      <c r="BC210" s="27">
        <f t="shared" si="179"/>
        <v>0</v>
      </c>
      <c r="BD210" s="237">
        <f t="shared" si="180"/>
        <v>0</v>
      </c>
      <c r="BE210" s="26">
        <f t="shared" si="180"/>
        <v>0</v>
      </c>
      <c r="BF210" s="27">
        <f t="shared" si="180"/>
        <v>0</v>
      </c>
      <c r="BG210" s="237">
        <f t="shared" si="181"/>
        <v>0</v>
      </c>
      <c r="BH210" s="26">
        <f t="shared" si="181"/>
        <v>0</v>
      </c>
      <c r="BI210" s="27">
        <f t="shared" si="181"/>
        <v>0</v>
      </c>
      <c r="BJ210" s="454"/>
    </row>
    <row r="211" spans="1:62" s="28" customFormat="1" hidden="1" outlineLevel="2" x14ac:dyDescent="0.3">
      <c r="A211" s="21" t="s">
        <v>251</v>
      </c>
      <c r="B211" s="2"/>
      <c r="C211" s="102"/>
      <c r="D211" s="103"/>
      <c r="E211" s="97">
        <v>-22</v>
      </c>
      <c r="F211" s="39"/>
      <c r="G211" s="32"/>
      <c r="H211" s="237"/>
      <c r="I211" s="26">
        <f>-SUMIFS(T_ORCAMENTOS!$E:$E,T_ORCAMENTOS!$C:$C,"  -  Alimentação Funcionário",T_ORCAMENTOS!$H:$H,"1/2026")</f>
        <v>0</v>
      </c>
      <c r="J211" s="27">
        <f>SUMIFS(Aut_BlueMe_Sem_Pedido!$J:$J,Aut_BlueMe_Sem_Pedido!$Q:$Q,DRE!H$4,Aut_BlueMe_Sem_Pedido!$H:$H,DRE!$A211)-SUMIFS(Aut_Descontos!$G:$G,Aut_Descontos!$H:$H,A211,Aut_Descontos!$L:$L,DRE!H$4)-CMV_Manual!D15-SUMIFS(Aut_Consumo_Cartao_Black!$H:$H,Aut_Consumo_Cartao_Black!$I:$I,DRE!H$4)+SUMIFS(Aut_Ajustes_Manuais!$G:$G,Aut_Ajustes_Manuais!$I:$I,DRE!H$4,Aut_Ajustes_Manuais!$F:$F,"  -  Alimentação Funcionário")</f>
        <v>0</v>
      </c>
      <c r="K211" s="237"/>
      <c r="L211" s="26">
        <f>-SUMIFS(T_ORCAMENTOS!$E:$E,T_ORCAMENTOS!$C:$C,"  -  Alimentação Funcionário",T_ORCAMENTOS!$H:$H,"2/2026")</f>
        <v>0</v>
      </c>
      <c r="M211" s="27">
        <f>SUMIFS(Aut_BlueMe_Sem_Pedido!$J:$J,Aut_BlueMe_Sem_Pedido!$Q:$Q,DRE!K$4,Aut_BlueMe_Sem_Pedido!$H:$H,DRE!$A211)-SUMIFS(Aut_Descontos!$G:$G,Aut_Descontos!$H:$H,$A211,Aut_Descontos!$L:$L,DRE!K$4)-CMV_Manual!E15-SUMIFS(Aut_Consumo_Cartao_Black!$H:$H,Aut_Consumo_Cartao_Black!$I:$I,DRE!K$4)+SUMIFS(Aut_Ajustes_Manuais!$G:$G,Aut_Ajustes_Manuais!$I:$I,DRE!K$4,Aut_Ajustes_Manuais!$F:$F,"  -  Alimentação Funcionário")</f>
        <v>0</v>
      </c>
      <c r="N211" s="237"/>
      <c r="O211" s="26">
        <f>-SUMIFS(T_ORCAMENTOS!$E:$E,T_ORCAMENTOS!$C:$C,"  -  Alimentação Funcionário",T_ORCAMENTOS!$H:$H,"3/2026")</f>
        <v>0</v>
      </c>
      <c r="P211" s="26">
        <f>SUMIFS(Aut_BlueMe_Sem_Pedido!$J:$J,Aut_BlueMe_Sem_Pedido!$Q:$Q,DRE!N$4,Aut_BlueMe_Sem_Pedido!$H:$H,DRE!$A211)-SUMIFS(Aut_Descontos!$G:$G,Aut_Descontos!$H:$H,$A211,Aut_Descontos!$L:$L,DRE!N$4)-CMV_Manual!F15-SUMIFS(Aut_Consumo_Cartao_Black!$H:$H,Aut_Consumo_Cartao_Black!$I:$I,DRE!N$4)+SUMIFS(Aut_Ajustes_Manuais!$G:$G,Aut_Ajustes_Manuais!$I:$I,DRE!N$4,Aut_Ajustes_Manuais!$F:$F,"  -  Alimentação Funcionário")</f>
        <v>0</v>
      </c>
      <c r="Q211" s="237"/>
      <c r="R211" s="26">
        <f>-SUMIFS(T_ORCAMENTOS!$E:$E,T_ORCAMENTOS!$C:$C,"  -  Alimentação Funcionário",T_ORCAMENTOS!$H:$H,"4/2026")</f>
        <v>0</v>
      </c>
      <c r="S211" s="27">
        <f>SUMIFS(Aut_BlueMe_Sem_Pedido!$J:$J,Aut_BlueMe_Sem_Pedido!$Q:$Q,DRE!Q$4,Aut_BlueMe_Sem_Pedido!$H:$H,DRE!$A211)-SUMIFS(Aut_Descontos!$G:$G,Aut_Descontos!$H:$H,$A211,Aut_Descontos!$L:$L,DRE!Q$4)-CMV_Manual!G15-SUMIFS(Aut_Consumo_Cartao_Black!$H:$H,Aut_Consumo_Cartao_Black!$I:$I,DRE!Q$4)+SUMIFS(Aut_Ajustes_Manuais!$G:$G,Aut_Ajustes_Manuais!$I:$I,DRE!Q$4,Aut_Ajustes_Manuais!$F:$F,"  -  Alimentação Funcionário")</f>
        <v>-370.48</v>
      </c>
      <c r="T211" s="237"/>
      <c r="U211" s="26">
        <f>-SUMIFS(T_ORCAMENTOS!$E:$E,T_ORCAMENTOS!$C:$C,"  -  Alimentação Funcionário",T_ORCAMENTOS!$H:$H,"5/2026")</f>
        <v>0</v>
      </c>
      <c r="V211" s="27">
        <f>SUMIFS(Aut_BlueMe_Sem_Pedido!$J:$J,Aut_BlueMe_Sem_Pedido!$Q:$Q,DRE!T$4,Aut_BlueMe_Sem_Pedido!$H:$H,DRE!$A211)-SUMIFS(Aut_Descontos!$G:$G,Aut_Descontos!$H:$H,$A211,Aut_Descontos!$L:$L,DRE!T$4)-CMV_Manual!H15-SUMIFS(Aut_Consumo_Cartao_Black!$H:$H,Aut_Consumo_Cartao_Black!$I:$I,DRE!T$4)+SUMIFS(Aut_Ajustes_Manuais!$G:$G,Aut_Ajustes_Manuais!$I:$I,DRE!T$4,Aut_Ajustes_Manuais!$F:$F,"  -  Alimentação Funcionário")</f>
        <v>-4285.2700000000004</v>
      </c>
      <c r="W211" s="237"/>
      <c r="X211" s="26">
        <f>-SUMIFS(T_ORCAMENTOS!$E:$E,T_ORCAMENTOS!$C:$C,"  -  Alimentação Funcionário",T_ORCAMENTOS!$H:$H,"6/2026")</f>
        <v>0</v>
      </c>
      <c r="Y211" s="27">
        <f>SUMIFS(Aut_BlueMe_Sem_Pedido!$J:$J,Aut_BlueMe_Sem_Pedido!$Q:$Q,DRE!W$4,Aut_BlueMe_Sem_Pedido!$H:$H,DRE!$A211)-SUMIFS(Aut_Descontos!$G:$G,Aut_Descontos!$H:$H,$A211,Aut_Descontos!$L:$L,DRE!W$4)-CMV_Manual!I15-SUMIFS(Aut_Consumo_Cartao_Black!$H:$H,Aut_Consumo_Cartao_Black!$I:$I,DRE!W$4)+SUMIFS(Aut_Ajustes_Manuais!$G:$G,Aut_Ajustes_Manuais!$I:$I,DRE!W$4,Aut_Ajustes_Manuais!$F:$F,"  -  Alimentação Funcionário")</f>
        <v>-4578.74</v>
      </c>
      <c r="Z211" s="237"/>
      <c r="AA211" s="26">
        <f>-SUMIFS(T_ORCAMENTOS!$E:$E,T_ORCAMENTOS!$C:$C,"  -  Alimentação Funcionário",T_ORCAMENTOS!$H:$H,"7/2026")</f>
        <v>0</v>
      </c>
      <c r="AB211" s="27">
        <f>SUMIFS(Aut_BlueMe_Sem_Pedido!$J:$J,Aut_BlueMe_Sem_Pedido!$Q:$Q,DRE!Z$4,Aut_BlueMe_Sem_Pedido!$H:$H,DRE!$A211)-SUMIFS(Aut_Descontos!$G:$G,Aut_Descontos!$H:$H,$A211,Aut_Descontos!$L:$L,DRE!Z$4)-CMV_Manual!J15-SUMIFS(Aut_Consumo_Cartao_Black!$H:$H,Aut_Consumo_Cartao_Black!$I:$I,DRE!Z$4)+SUMIFS(Aut_Ajustes_Manuais!$G:$G,Aut_Ajustes_Manuais!$I:$I,DRE!Z$4,Aut_Ajustes_Manuais!$F:$F,"  -  Alimentação Funcionário")</f>
        <v>0</v>
      </c>
      <c r="AC211" s="237"/>
      <c r="AD211" s="26">
        <f>-SUMIFS(T_ORCAMENTOS!$E:$E,T_ORCAMENTOS!$C:$C,"  -  Alimentação Funcionário",T_ORCAMENTOS!$H:$H,"8/2026")</f>
        <v>-92700.98</v>
      </c>
      <c r="AE211" s="27">
        <f>SUMIFS(Aut_BlueMe_Sem_Pedido!$J:$J,Aut_BlueMe_Sem_Pedido!$Q:$Q,DRE!AC$4,Aut_BlueMe_Sem_Pedido!$H:$H,DRE!$A211)-SUMIFS(Aut_Descontos!$G:$G,Aut_Descontos!$H:$H,$A211,Aut_Descontos!$L:$L,DRE!AC$4)-CMV_Manual!K15-SUMIFS(Aut_Consumo_Cartao_Black!$H:$H,Aut_Consumo_Cartao_Black!$I:$I,DRE!AC$4)+SUMIFS(Aut_Ajustes_Manuais!$G:$G,Aut_Ajustes_Manuais!$I:$I,DRE!AC$4,Aut_Ajustes_Manuais!$F:$F,"  -  Alimentação Funcionário")</f>
        <v>0</v>
      </c>
      <c r="AF211" s="237"/>
      <c r="AG211" s="26">
        <f>-SUMIFS(T_ORCAMENTOS!$E:$E,T_ORCAMENTOS!$C:$C,"  -  Alimentação Funcionário",T_ORCAMENTOS!$H:$H,"9/2026")</f>
        <v>-92180.97</v>
      </c>
      <c r="AH211" s="27">
        <f>SUMIFS(Aut_BlueMe_Sem_Pedido!$J:$J,Aut_BlueMe_Sem_Pedido!$Q:$Q,DRE!AF$4,Aut_BlueMe_Sem_Pedido!$H:$H,DRE!$A211)-SUMIFS(Aut_Descontos!$G:$G,Aut_Descontos!$H:$H,$A211,Aut_Descontos!$L:$L,DRE!AF$4)-CMV_Manual!L15-SUMIFS(Aut_Consumo_Cartao_Black!$H:$H,Aut_Consumo_Cartao_Black!$I:$I,DRE!AF$4)+SUMIFS(Aut_Ajustes_Manuais!$G:$G,Aut_Ajustes_Manuais!$I:$I,DRE!AF$4,Aut_Ajustes_Manuais!$F:$F,"  -  Alimentação Funcionário")</f>
        <v>0</v>
      </c>
      <c r="AI211" s="237"/>
      <c r="AJ211" s="26">
        <f>-SUMIFS(T_ORCAMENTOS!$E:$E,T_ORCAMENTOS!$C:$C,"  -  Alimentação Funcionário",T_ORCAMENTOS!$H:$H,"10/2026")</f>
        <v>-93758.12</v>
      </c>
      <c r="AK211" s="27">
        <f>SUMIFS(Aut_BlueMe_Sem_Pedido!$J:$J,Aut_BlueMe_Sem_Pedido!$Q:$Q,DRE!AI$4,Aut_BlueMe_Sem_Pedido!$H:$H,DRE!$A211)-SUMIFS(Aut_Descontos!$G:$G,Aut_Descontos!$H:$H,$A211,Aut_Descontos!$L:$L,DRE!AI$4)-CMV_Manual!M15-SUMIFS(Aut_Consumo_Cartao_Black!$H:$H,Aut_Consumo_Cartao_Black!$I:$I,DRE!AI$4)+SUMIFS(Aut_Ajustes_Manuais!$G:$G,Aut_Ajustes_Manuais!$I:$I,DRE!AI$4,Aut_Ajustes_Manuais!$F:$F,"  -  Alimentação Funcionário")</f>
        <v>0</v>
      </c>
      <c r="AL211" s="237"/>
      <c r="AM211" s="26">
        <f>-SUMIFS(T_ORCAMENTOS!$E:$E,T_ORCAMENTOS!$C:$C,"  -  Alimentação Funcionário",T_ORCAMENTOS!$H:$H,"11/2026")</f>
        <v>-92360.3</v>
      </c>
      <c r="AN211" s="27">
        <f>SUMIFS(Aut_BlueMe_Sem_Pedido!$J:$J,Aut_BlueMe_Sem_Pedido!$Q:$Q,DRE!AL$4,Aut_BlueMe_Sem_Pedido!$H:$H,DRE!$A211)-SUMIFS(Aut_Descontos!$G:$G,Aut_Descontos!$H:$H,$A211,Aut_Descontos!$L:$L,DRE!AL$4)-CMV_Manual!N15-SUMIFS(Aut_Consumo_Cartao_Black!$H:$H,Aut_Consumo_Cartao_Black!$I:$I,DRE!AL$4)+SUMIFS(Aut_Ajustes_Manuais!$G:$G,Aut_Ajustes_Manuais!$I:$I,DRE!AL$4,Aut_Ajustes_Manuais!$F:$F,"  -  Alimentação Funcionário")</f>
        <v>0</v>
      </c>
      <c r="AO211" s="237"/>
      <c r="AP211" s="26">
        <f>-SUMIFS(T_ORCAMENTOS!$E:$E,T_ORCAMENTOS!$C:$C,"  -  Alimentação Funcionário",T_ORCAMENTOS!$H:$H,"12/2026")</f>
        <v>-93822.48</v>
      </c>
      <c r="AQ211" s="27">
        <f>SUMIFS(Aut_BlueMe_Sem_Pedido!$J:$J,Aut_BlueMe_Sem_Pedido!$Q:$Q,DRE!AO$4,Aut_BlueMe_Sem_Pedido!$H:$H,DRE!$A211)-SUMIFS(Aut_Descontos!$G:$G,Aut_Descontos!$H:$H,$A211,Aut_Descontos!$L:$L,DRE!AO$4)-CMV_Manual!O15-SUMIFS(Aut_Consumo_Cartao_Black!$H:$H,Aut_Consumo_Cartao_Black!$I:$I,DRE!AO$4)+SUMIFS(Aut_Ajustes_Manuais!$G:$G,Aut_Ajustes_Manuais!$I:$I,DRE!AO$4,Aut_Ajustes_Manuais!$F:$F,"  -  Alimentação Funcionário")</f>
        <v>0</v>
      </c>
      <c r="AR211" s="237">
        <f t="shared" ca="1" si="173"/>
        <v>0</v>
      </c>
      <c r="AS211" s="26">
        <f t="shared" ca="1" si="174"/>
        <v>-92700.98</v>
      </c>
      <c r="AT211" s="27">
        <f t="shared" ca="1" si="175"/>
        <v>-9234.49</v>
      </c>
      <c r="AU211" s="237">
        <f t="shared" si="177"/>
        <v>0</v>
      </c>
      <c r="AV211" s="26">
        <f t="shared" si="177"/>
        <v>-464822.85</v>
      </c>
      <c r="AW211" s="27">
        <f t="shared" si="177"/>
        <v>-9234.49</v>
      </c>
      <c r="AX211" s="237">
        <f t="shared" si="178"/>
        <v>0</v>
      </c>
      <c r="AY211" s="26">
        <f t="shared" si="178"/>
        <v>0</v>
      </c>
      <c r="AZ211" s="27">
        <f t="shared" si="178"/>
        <v>0</v>
      </c>
      <c r="BA211" s="237">
        <f t="shared" si="179"/>
        <v>0</v>
      </c>
      <c r="BB211" s="26">
        <f t="shared" si="179"/>
        <v>0</v>
      </c>
      <c r="BC211" s="27">
        <f t="shared" si="179"/>
        <v>-9234.49</v>
      </c>
      <c r="BD211" s="237">
        <f t="shared" si="180"/>
        <v>0</v>
      </c>
      <c r="BE211" s="26">
        <f t="shared" si="180"/>
        <v>-184881.95</v>
      </c>
      <c r="BF211" s="27">
        <f t="shared" si="180"/>
        <v>0</v>
      </c>
      <c r="BG211" s="237">
        <f t="shared" si="181"/>
        <v>0</v>
      </c>
      <c r="BH211" s="26">
        <f t="shared" si="181"/>
        <v>-279940.89999999997</v>
      </c>
      <c r="BI211" s="27">
        <f t="shared" si="181"/>
        <v>0</v>
      </c>
      <c r="BJ211" s="454"/>
    </row>
    <row r="212" spans="1:62" s="28" customFormat="1" hidden="1" outlineLevel="2" x14ac:dyDescent="0.3">
      <c r="A212" s="21" t="s">
        <v>252</v>
      </c>
      <c r="B212" s="2"/>
      <c r="C212" s="23"/>
      <c r="D212" s="53"/>
      <c r="E212" s="97"/>
      <c r="F212" s="39"/>
      <c r="G212" s="32"/>
      <c r="H212" s="237"/>
      <c r="I212" s="26">
        <f>-SUMIFS(T_ORCAMENTOS!$E:$E,T_ORCAMENTOS!$C:$C,"  -  Pro Labore",T_ORCAMENTOS!$H:$H,"1/2026")</f>
        <v>0</v>
      </c>
      <c r="J212" s="27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37"/>
      <c r="L212" s="26">
        <f>-SUMIFS(T_ORCAMENTOS!$E:$E,T_ORCAMENTOS!$C:$C,"  -  Pro Labore",T_ORCAMENTOS!$H:$H,"2/2026")</f>
        <v>0</v>
      </c>
      <c r="M212" s="27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37"/>
      <c r="O212" s="26">
        <f>-SUMIFS(T_ORCAMENTOS!$E:$E,T_ORCAMENTOS!$C:$C,"  -  Pro Labore",T_ORCAMENTOS!$H:$H,"3/2026")</f>
        <v>0</v>
      </c>
      <c r="P212" s="27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37"/>
      <c r="R212" s="26">
        <f>-SUMIFS(T_ORCAMENTOS!$E:$E,T_ORCAMENTOS!$C:$C,"  -  Pro Labore",T_ORCAMENTOS!$H:$H,"4/2026")</f>
        <v>0</v>
      </c>
      <c r="S212" s="27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37"/>
      <c r="U212" s="26">
        <f>-SUMIFS(T_ORCAMENTOS!$E:$E,T_ORCAMENTOS!$C:$C,"  -  Pro Labore",T_ORCAMENTOS!$H:$H,"5/2026")</f>
        <v>0</v>
      </c>
      <c r="V212" s="27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37"/>
      <c r="X212" s="26">
        <f>-SUMIFS(T_ORCAMENTOS!$E:$E,T_ORCAMENTOS!$C:$C,"  -  Pro Labore",T_ORCAMENTOS!$H:$H,"6/2026")</f>
        <v>0</v>
      </c>
      <c r="Y212" s="27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37"/>
      <c r="AA212" s="26">
        <f>-SUMIFS(T_ORCAMENTOS!$E:$E,T_ORCAMENTOS!$C:$C,"  -  Pro Labore",T_ORCAMENTOS!$H:$H,"7/2026")</f>
        <v>0</v>
      </c>
      <c r="AB212" s="27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37"/>
      <c r="AD212" s="26">
        <f>-SUMIFS(T_ORCAMENTOS!$E:$E,T_ORCAMENTOS!$C:$C,"  -  Pro Labore",T_ORCAMENTOS!$H:$H,"8/2026")</f>
        <v>0</v>
      </c>
      <c r="AE212" s="27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37"/>
      <c r="AG212" s="26">
        <f>-SUMIFS(T_ORCAMENTOS!$E:$E,T_ORCAMENTOS!$C:$C,"  -  Pro Labore",T_ORCAMENTOS!$H:$H,"9/2026")</f>
        <v>0</v>
      </c>
      <c r="AH212" s="27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37"/>
      <c r="AJ212" s="26">
        <f>-SUMIFS(T_ORCAMENTOS!$E:$E,T_ORCAMENTOS!$C:$C,"  -  Pro Labore",T_ORCAMENTOS!$H:$H,"10/2026")</f>
        <v>0</v>
      </c>
      <c r="AK212" s="27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37"/>
      <c r="AM212" s="26">
        <f>-SUMIFS(T_ORCAMENTOS!$E:$E,T_ORCAMENTOS!$C:$C,"  -  Pro Labore",T_ORCAMENTOS!$H:$H,"11/2026")</f>
        <v>0</v>
      </c>
      <c r="AN212" s="27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37"/>
      <c r="AP212" s="26">
        <f>-SUMIFS(T_ORCAMENTOS!$E:$E,T_ORCAMENTOS!$C:$C,"  -  Pro Labore",T_ORCAMENTOS!$H:$H,"12/2026")</f>
        <v>0</v>
      </c>
      <c r="AQ212" s="27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37">
        <f t="shared" ca="1" si="173"/>
        <v>0</v>
      </c>
      <c r="AS212" s="26">
        <f t="shared" ca="1" si="174"/>
        <v>0</v>
      </c>
      <c r="AT212" s="27">
        <f t="shared" ca="1" si="175"/>
        <v>0</v>
      </c>
      <c r="AU212" s="237">
        <f t="shared" si="177"/>
        <v>0</v>
      </c>
      <c r="AV212" s="26">
        <f t="shared" si="177"/>
        <v>0</v>
      </c>
      <c r="AW212" s="27">
        <f t="shared" si="177"/>
        <v>0</v>
      </c>
      <c r="AX212" s="237">
        <f t="shared" si="178"/>
        <v>0</v>
      </c>
      <c r="AY212" s="26">
        <f t="shared" si="178"/>
        <v>0</v>
      </c>
      <c r="AZ212" s="27">
        <f t="shared" si="178"/>
        <v>0</v>
      </c>
      <c r="BA212" s="237">
        <f t="shared" si="179"/>
        <v>0</v>
      </c>
      <c r="BB212" s="26">
        <f t="shared" si="179"/>
        <v>0</v>
      </c>
      <c r="BC212" s="27">
        <f t="shared" si="179"/>
        <v>0</v>
      </c>
      <c r="BD212" s="237">
        <f t="shared" si="180"/>
        <v>0</v>
      </c>
      <c r="BE212" s="26">
        <f t="shared" si="180"/>
        <v>0</v>
      </c>
      <c r="BF212" s="27">
        <f t="shared" si="180"/>
        <v>0</v>
      </c>
      <c r="BG212" s="237">
        <f t="shared" si="181"/>
        <v>0</v>
      </c>
      <c r="BH212" s="26">
        <f t="shared" si="181"/>
        <v>0</v>
      </c>
      <c r="BI212" s="27">
        <f t="shared" si="181"/>
        <v>0</v>
      </c>
      <c r="BJ212" s="454"/>
    </row>
    <row r="213" spans="1:62" collapsed="1" x14ac:dyDescent="0.3">
      <c r="A213" s="69" t="s">
        <v>253</v>
      </c>
      <c r="B213" s="57"/>
      <c r="C213" s="23"/>
      <c r="D213" s="53"/>
      <c r="E213" s="85"/>
      <c r="F213" s="61"/>
      <c r="G213" s="57"/>
      <c r="H213" s="241"/>
      <c r="I213" s="48">
        <f>IFERROR(I106/I8,0)</f>
        <v>0</v>
      </c>
      <c r="J213" s="49">
        <f>IFERROR(J106/J8,0)+SUMIFS(Aut_Ajustes_Manuais!$G:$G,Aut_Ajustes_Manuais!$I:$I,DRE!H$4,Aut_Ajustes_Manuais!$F:$F,"% sobre Receita c/ Squad")</f>
        <v>0</v>
      </c>
      <c r="K213" s="241"/>
      <c r="L213" s="48">
        <f>IFERROR(L106/L8,0)</f>
        <v>0</v>
      </c>
      <c r="M213" s="49">
        <f>IFERROR(M106/M8,0)+SUMIFS(Aut_Ajustes_Manuais!$G:$G,Aut_Ajustes_Manuais!$I:$I,DRE!K$4,Aut_Ajustes_Manuais!$F:$F,"% sobre Receita c/ Squad")</f>
        <v>0</v>
      </c>
      <c r="N213" s="241"/>
      <c r="O213" s="48">
        <f>IFERROR(O106/O8,0)</f>
        <v>0</v>
      </c>
      <c r="P213" s="49">
        <f>IFERROR(P106/P8,0)+SUMIFS(Aut_Ajustes_Manuais!$G:$G,Aut_Ajustes_Manuais!$I:$I,DRE!N$4,Aut_Ajustes_Manuais!$F:$F,"% sobre Receita c/ Squad")</f>
        <v>0</v>
      </c>
      <c r="Q213" s="241"/>
      <c r="R213" s="48">
        <f>IFERROR(R106/R8,0)</f>
        <v>0</v>
      </c>
      <c r="S213" s="49">
        <f>IFERROR(S106/S8,0)+SUMIFS(Aut_Ajustes_Manuais!$G:$G,Aut_Ajustes_Manuais!$I:$I,DRE!Q$4,Aut_Ajustes_Manuais!$F:$F,"% sobre Receita c/ Squad")</f>
        <v>0</v>
      </c>
      <c r="T213" s="241"/>
      <c r="U213" s="48">
        <f>IFERROR(U106/U8,0)</f>
        <v>0</v>
      </c>
      <c r="V213" s="49">
        <f>IFERROR(V106/V8,0)+SUMIFS(Aut_Ajustes_Manuais!$G:$G,Aut_Ajustes_Manuais!$I:$I,DRE!T$4,Aut_Ajustes_Manuais!$F:$F,"% sobre Receita c/ Squad")</f>
        <v>0</v>
      </c>
      <c r="W213" s="241"/>
      <c r="X213" s="48">
        <f>IFERROR(X106/X8,0)</f>
        <v>0</v>
      </c>
      <c r="Y213" s="49">
        <f>IFERROR(Y106/Y8,0)+SUMIFS(Aut_Ajustes_Manuais!$G:$G,Aut_Ajustes_Manuais!$I:$I,DRE!W$4,Aut_Ajustes_Manuais!$F:$F,"% sobre Receita c/ Squad")</f>
        <v>0</v>
      </c>
      <c r="Z213" s="241"/>
      <c r="AA213" s="48">
        <f>IFERROR(AA106/AA8,0)</f>
        <v>0</v>
      </c>
      <c r="AB213" s="49">
        <f>IFERROR(AB106/AB8,0)+SUMIFS(Aut_Ajustes_Manuais!$G:$G,Aut_Ajustes_Manuais!$I:$I,DRE!Z$4,Aut_Ajustes_Manuais!$F:$F,"% sobre Receita c/ Squad")</f>
        <v>-0.47952063089225577</v>
      </c>
      <c r="AC213" s="241"/>
      <c r="AD213" s="48">
        <f>IFERROR(AD106/AD8,0)</f>
        <v>-6.9208606930831543E-2</v>
      </c>
      <c r="AE213" s="49">
        <f>IFERROR(AE106/AE8,0)+SUMIFS(Aut_Ajustes_Manuais!$G:$G,Aut_Ajustes_Manuais!$I:$I,DRE!AC$4,Aut_Ajustes_Manuais!$F:$F,"% sobre Receita c/ Squad")</f>
        <v>0</v>
      </c>
      <c r="AF213" s="241"/>
      <c r="AG213" s="48">
        <f>IFERROR(AG106/AG8,0)</f>
        <v>-6.9748673941113712E-2</v>
      </c>
      <c r="AH213" s="49">
        <f>IFERROR(AH106/AH8,0)+SUMIFS(Aut_Ajustes_Manuais!$G:$G,Aut_Ajustes_Manuais!$I:$I,DRE!AF$4,Aut_Ajustes_Manuais!$F:$F,"% sobre Receita c/ Squad")</f>
        <v>0</v>
      </c>
      <c r="AI213" s="241"/>
      <c r="AJ213" s="48">
        <f>IFERROR(AJ106/AJ8,0)</f>
        <v>-6.6406308604677694E-2</v>
      </c>
      <c r="AK213" s="49">
        <f>IFERROR(AK106/AK8,0)+SUMIFS(Aut_Ajustes_Manuais!$G:$G,Aut_Ajustes_Manuais!$I:$I,DRE!AI$4,Aut_Ajustes_Manuais!$F:$F,"% sobre Receita c/ Squad")</f>
        <v>0</v>
      </c>
      <c r="AL213" s="241"/>
      <c r="AM213" s="48">
        <f>IFERROR(AM106/AM8,0)</f>
        <v>-6.9328537328763998E-2</v>
      </c>
      <c r="AN213" s="49">
        <f>IFERROR(AN106/AN8,0)+SUMIFS(Aut_Ajustes_Manuais!$G:$G,Aut_Ajustes_Manuais!$I:$I,DRE!AL$4,Aut_Ajustes_Manuais!$F:$F,"% sobre Receita c/ Squad")</f>
        <v>0</v>
      </c>
      <c r="AO213" s="241"/>
      <c r="AP213" s="48">
        <f>IFERROR(AP106/AP8,0)</f>
        <v>-6.6321261698229855E-2</v>
      </c>
      <c r="AQ213" s="49">
        <f>IFERROR(AQ106/AQ8,0)+SUMIFS(Aut_Ajustes_Manuais!$G:$G,Aut_Ajustes_Manuais!$I:$I,DRE!AO$4,Aut_Ajustes_Manuais!$F:$F,"% sobre Receita c/ Squad")</f>
        <v>0</v>
      </c>
      <c r="AR213" s="241">
        <f t="shared" ref="AR213:BI213" ca="1" si="182">IFERROR(AR106/AR8,0)</f>
        <v>0</v>
      </c>
      <c r="AS213" s="48">
        <f t="shared" ca="1" si="182"/>
        <v>-6.9208606930831543E-2</v>
      </c>
      <c r="AT213" s="49">
        <f t="shared" ca="1" si="182"/>
        <v>-1.5259390573229061</v>
      </c>
      <c r="AU213" s="241">
        <f t="shared" si="182"/>
        <v>0</v>
      </c>
      <c r="AV213" s="48">
        <f t="shared" si="182"/>
        <v>-6.8141351782071258E-2</v>
      </c>
      <c r="AW213" s="49">
        <f t="shared" si="182"/>
        <v>-3.5887409873056568</v>
      </c>
      <c r="AX213" s="241">
        <f t="shared" si="182"/>
        <v>0</v>
      </c>
      <c r="AY213" s="48">
        <f t="shared" si="182"/>
        <v>0</v>
      </c>
      <c r="AZ213" s="49">
        <f t="shared" si="182"/>
        <v>0</v>
      </c>
      <c r="BA213" s="241">
        <f t="shared" si="182"/>
        <v>0</v>
      </c>
      <c r="BB213" s="48">
        <f t="shared" si="182"/>
        <v>0</v>
      </c>
      <c r="BC213" s="49">
        <f t="shared" si="182"/>
        <v>0</v>
      </c>
      <c r="BD213" s="241">
        <f t="shared" si="182"/>
        <v>0</v>
      </c>
      <c r="BE213" s="48">
        <f t="shared" si="182"/>
        <v>-6.947436546760126E-2</v>
      </c>
      <c r="BF213" s="49">
        <f t="shared" si="182"/>
        <v>-1.4387297453405661</v>
      </c>
      <c r="BG213" s="241">
        <f t="shared" si="182"/>
        <v>0</v>
      </c>
      <c r="BH213" s="48">
        <f t="shared" si="182"/>
        <v>-6.7297512824425726E-2</v>
      </c>
      <c r="BI213" s="49">
        <f t="shared" si="182"/>
        <v>0</v>
      </c>
    </row>
    <row r="214" spans="1:62" x14ac:dyDescent="0.3">
      <c r="A214" s="69" t="s">
        <v>254</v>
      </c>
      <c r="B214" s="57"/>
      <c r="C214" s="23"/>
      <c r="D214" s="53"/>
      <c r="E214" s="85"/>
      <c r="F214" s="61"/>
      <c r="G214" s="57"/>
      <c r="H214" s="241"/>
      <c r="I214" s="48">
        <f>IFERROR((I106-I108)/I8,0)</f>
        <v>0</v>
      </c>
      <c r="J214" s="49">
        <f>IFERROR((J106-J108)/J8,0)+SUMIFS(Aut_Ajustes_Manuais!$G:$G,Aut_Ajustes_Manuais!$I:$I,DRE!H$4,Aut_Ajustes_Manuais!$F:$F,"% sobre Receita s/ Squad")</f>
        <v>0</v>
      </c>
      <c r="K214" s="241"/>
      <c r="L214" s="48">
        <f>IFERROR((L106-L108)/L8,0)</f>
        <v>0</v>
      </c>
      <c r="M214" s="49">
        <f>IFERROR((M106-M108)/M8,0)+SUMIFS(Aut_Ajustes_Manuais!$G:$G,Aut_Ajustes_Manuais!$I:$I,DRE!K$4,Aut_Ajustes_Manuais!$F:$F,"% sobre Receita s/ Squad")</f>
        <v>0</v>
      </c>
      <c r="N214" s="241"/>
      <c r="O214" s="48">
        <f>IFERROR((O106-O108)/O8,0)</f>
        <v>0</v>
      </c>
      <c r="P214" s="49">
        <f>IFERROR((P106-P108)/P8,0)+SUMIFS(Aut_Ajustes_Manuais!$G:$G,Aut_Ajustes_Manuais!$I:$I,DRE!N$4,Aut_Ajustes_Manuais!$F:$F,"% sobre Receita s/ Squad")</f>
        <v>0</v>
      </c>
      <c r="Q214" s="241"/>
      <c r="R214" s="48">
        <f>IFERROR((R106-R108)/R8,0)</f>
        <v>0</v>
      </c>
      <c r="S214" s="49">
        <f>IFERROR((S106-S108)/S8,0)+SUMIFS(Aut_Ajustes_Manuais!$G:$G,Aut_Ajustes_Manuais!$I:$I,DRE!Q$4,Aut_Ajustes_Manuais!$F:$F,"% sobre Receita s/ Squad")</f>
        <v>0</v>
      </c>
      <c r="T214" s="241"/>
      <c r="U214" s="48">
        <f>IFERROR((U106-U108)/U8,0)</f>
        <v>0</v>
      </c>
      <c r="V214" s="49">
        <f>IFERROR((V106-V108)/V8,0)+SUMIFS(Aut_Ajustes_Manuais!$G:$G,Aut_Ajustes_Manuais!$I:$I,DRE!T$4,Aut_Ajustes_Manuais!$F:$F,"% sobre Receita s/ Squad")</f>
        <v>0</v>
      </c>
      <c r="W214" s="241"/>
      <c r="X214" s="48">
        <f>IFERROR((X106-X108)/X8,0)</f>
        <v>0</v>
      </c>
      <c r="Y214" s="49">
        <f>IFERROR((Y106-Y108)/Y8,0)+SUMIFS(Aut_Ajustes_Manuais!$G:$G,Aut_Ajustes_Manuais!$I:$I,DRE!W$4,Aut_Ajustes_Manuais!$F:$F,"% sobre Receita s/ Squad")</f>
        <v>0</v>
      </c>
      <c r="Z214" s="241"/>
      <c r="AA214" s="48">
        <f>IFERROR((AA106-AA108)/AA8,0)</f>
        <v>0</v>
      </c>
      <c r="AB214" s="49">
        <f>IFERROR((AB106-AB108)/AB8,0)+SUMIFS(Aut_Ajustes_Manuais!$G:$G,Aut_Ajustes_Manuais!$I:$I,DRE!Z$4,Aut_Ajustes_Manuais!$F:$F,"% sobre Receita s/ Squad")</f>
        <v>-0.4560365585826836</v>
      </c>
      <c r="AC214" s="241"/>
      <c r="AD214" s="48">
        <f>IFERROR((AD106-AD108)/AD8,0)</f>
        <v>-6.9208606930831543E-2</v>
      </c>
      <c r="AE214" s="49">
        <f>IFERROR((AE106-AE108)/AE8,0)+SUMIFS(Aut_Ajustes_Manuais!$G:$G,Aut_Ajustes_Manuais!$I:$I,DRE!AC$4,Aut_Ajustes_Manuais!$F:$F,"% sobre Receita s/ Squad")</f>
        <v>0</v>
      </c>
      <c r="AF214" s="241"/>
      <c r="AG214" s="48">
        <f>IFERROR((AG106-AG108)/AG8,0)</f>
        <v>-6.9748673941113712E-2</v>
      </c>
      <c r="AH214" s="49">
        <f>IFERROR((AH106-AH108)/AH8,0)+SUMIFS(Aut_Ajustes_Manuais!$G:$G,Aut_Ajustes_Manuais!$I:$I,DRE!AF$4,Aut_Ajustes_Manuais!$F:$F,"% sobre Receita s/ Squad")</f>
        <v>0</v>
      </c>
      <c r="AI214" s="241"/>
      <c r="AJ214" s="48">
        <f>IFERROR((AJ106-AJ108)/AJ8,0)</f>
        <v>-6.6406308604677694E-2</v>
      </c>
      <c r="AK214" s="49">
        <f>IFERROR((AK106-AK108)/AK8,0)+SUMIFS(Aut_Ajustes_Manuais!$G:$G,Aut_Ajustes_Manuais!$I:$I,DRE!AI$4,Aut_Ajustes_Manuais!$F:$F,"% sobre Receita s/ Squad")</f>
        <v>0</v>
      </c>
      <c r="AL214" s="241"/>
      <c r="AM214" s="48">
        <f>IFERROR((AM106-AM108)/AM8,0)</f>
        <v>-6.9328537328763998E-2</v>
      </c>
      <c r="AN214" s="49">
        <f>IFERROR((AN106-AN108)/AN8,0)+SUMIFS(Aut_Ajustes_Manuais!$G:$G,Aut_Ajustes_Manuais!$I:$I,DRE!AL$4,Aut_Ajustes_Manuais!$F:$F,"% sobre Receita s/ Squad")</f>
        <v>0</v>
      </c>
      <c r="AO214" s="241"/>
      <c r="AP214" s="48">
        <f>IFERROR((AP106-AP108)/AP8,0)</f>
        <v>-6.6321261698229855E-2</v>
      </c>
      <c r="AQ214" s="49">
        <f>IFERROR((AQ106-AQ108)/AQ8,0)+SUMIFS(Aut_Ajustes_Manuais!$G:$G,Aut_Ajustes_Manuais!$I:$I,DRE!AO$4,Aut_Ajustes_Manuais!$F:$F,"% sobre Receita s/ Squad")</f>
        <v>0</v>
      </c>
      <c r="AR214" s="241">
        <f t="shared" ref="AR214:BH214" ca="1" si="183">IFERROR((AR106-AR108)/AR8,0)</f>
        <v>0</v>
      </c>
      <c r="AS214" s="48">
        <f t="shared" ca="1" si="183"/>
        <v>-6.9208606930831543E-2</v>
      </c>
      <c r="AT214" s="49">
        <f t="shared" ca="1" si="183"/>
        <v>-1.4554868403941894</v>
      </c>
      <c r="AU214" s="241">
        <f t="shared" si="183"/>
        <v>0</v>
      </c>
      <c r="AV214" s="48">
        <f t="shared" si="183"/>
        <v>-6.8141351782071258E-2</v>
      </c>
      <c r="AW214" s="49">
        <f t="shared" si="183"/>
        <v>-3.4243524811386514</v>
      </c>
      <c r="AX214" s="241">
        <f t="shared" si="183"/>
        <v>0</v>
      </c>
      <c r="AY214" s="48">
        <f t="shared" si="183"/>
        <v>0</v>
      </c>
      <c r="AZ214" s="49">
        <f t="shared" si="183"/>
        <v>0</v>
      </c>
      <c r="BA214" s="241">
        <f t="shared" si="183"/>
        <v>0</v>
      </c>
      <c r="BB214" s="48">
        <f t="shared" si="183"/>
        <v>0</v>
      </c>
      <c r="BC214" s="49">
        <f t="shared" si="183"/>
        <v>0</v>
      </c>
      <c r="BD214" s="241">
        <f t="shared" si="183"/>
        <v>0</v>
      </c>
      <c r="BE214" s="48">
        <f t="shared" si="183"/>
        <v>-6.947436546760126E-2</v>
      </c>
      <c r="BF214" s="49">
        <f t="shared" si="183"/>
        <v>-1.3682775284118496</v>
      </c>
      <c r="BG214" s="241">
        <f t="shared" si="183"/>
        <v>0</v>
      </c>
      <c r="BH214" s="48">
        <f t="shared" si="183"/>
        <v>-6.7297512824425726E-2</v>
      </c>
      <c r="BI214" s="49"/>
    </row>
    <row r="215" spans="1:62" x14ac:dyDescent="0.3">
      <c r="A215" s="17"/>
      <c r="E215" s="15"/>
      <c r="F215" s="16"/>
      <c r="H215" s="255"/>
      <c r="I215" s="104"/>
      <c r="J215" s="256"/>
      <c r="K215" s="255"/>
      <c r="L215" s="104"/>
      <c r="M215" s="256"/>
      <c r="N215" s="255"/>
      <c r="O215" s="104"/>
      <c r="P215" s="256"/>
      <c r="Q215" s="255"/>
      <c r="R215" s="458"/>
      <c r="S215" s="459"/>
      <c r="T215" s="255"/>
      <c r="U215" s="104"/>
      <c r="V215" s="256"/>
      <c r="W215" s="255"/>
      <c r="X215" s="104"/>
      <c r="Y215" s="256"/>
      <c r="Z215" s="255"/>
      <c r="AA215" s="104"/>
      <c r="AB215" s="256"/>
      <c r="AC215" s="255"/>
      <c r="AD215" s="104"/>
      <c r="AE215" s="256"/>
      <c r="AF215" s="255"/>
      <c r="AG215" s="104"/>
      <c r="AH215" s="256"/>
      <c r="AI215" s="255"/>
      <c r="AJ215" s="104"/>
      <c r="AK215" s="256"/>
      <c r="AL215" s="255"/>
      <c r="AM215" s="104"/>
      <c r="AN215" s="256"/>
      <c r="AO215" s="255"/>
      <c r="AP215" s="104"/>
      <c r="AQ215" s="256"/>
      <c r="AR215" s="255"/>
      <c r="AS215" s="458"/>
      <c r="AT215" s="459"/>
      <c r="AU215" s="255"/>
      <c r="AV215" s="104"/>
      <c r="AW215" s="256"/>
      <c r="AX215" s="255"/>
      <c r="AY215" s="104"/>
      <c r="AZ215" s="256"/>
      <c r="BA215" s="255"/>
      <c r="BB215" s="104"/>
      <c r="BC215" s="256"/>
      <c r="BD215" s="255"/>
      <c r="BE215" s="104"/>
      <c r="BF215" s="256"/>
      <c r="BG215" s="255"/>
      <c r="BH215" s="104"/>
      <c r="BI215" s="256"/>
    </row>
    <row r="216" spans="1:62" x14ac:dyDescent="0.3">
      <c r="A216" s="37" t="s">
        <v>255</v>
      </c>
      <c r="C216" s="38" t="s">
        <v>35</v>
      </c>
      <c r="D216" s="38" t="s">
        <v>36</v>
      </c>
      <c r="E216" s="38" t="s">
        <v>201</v>
      </c>
      <c r="F216" s="39"/>
      <c r="H216" s="240"/>
      <c r="I216" s="40">
        <f>SUM(I217:I223)</f>
        <v>0</v>
      </c>
      <c r="J216" s="41">
        <f>SUM(J217:J223)+SUMIFS(Aut_Ajustes_Manuais!$G:$G,Aut_Ajustes_Manuais!$I:$I,DRE!H$4,Aut_Ajustes_Manuais!$F:$F,"Custo de Ocupação")</f>
        <v>-99354.83</v>
      </c>
      <c r="K216" s="240"/>
      <c r="L216" s="40">
        <f>SUM(L217:L223)</f>
        <v>0</v>
      </c>
      <c r="M216" s="41">
        <f>SUM(M217:M223)+SUMIFS(Aut_Ajustes_Manuais!$G:$G,Aut_Ajustes_Manuais!$I:$I,DRE!K$4,Aut_Ajustes_Manuais!$F:$F,"Custo de Ocupação")</f>
        <v>-95000</v>
      </c>
      <c r="N216" s="240"/>
      <c r="O216" s="40">
        <f>SUM(O217:O223)</f>
        <v>0</v>
      </c>
      <c r="P216" s="41">
        <f>SUM(P217:P223)+SUMIFS(Aut_Ajustes_Manuais!$G:$G,Aut_Ajustes_Manuais!$I:$I,DRE!N$4,Aut_Ajustes_Manuais!$F:$F,"Custo de Ocupação")</f>
        <v>-140000</v>
      </c>
      <c r="Q216" s="240"/>
      <c r="R216" s="40">
        <f>SUM(R217:R223)</f>
        <v>0</v>
      </c>
      <c r="S216" s="41">
        <f>SUM(S217:S223)+SUMIFS(Aut_Ajustes_Manuais!$G:$G,Aut_Ajustes_Manuais!$I:$I,DRE!Q$4,Aut_Ajustes_Manuais!$F:$F,"Custo de Ocupação")</f>
        <v>-140000</v>
      </c>
      <c r="T216" s="240"/>
      <c r="U216" s="40">
        <f>SUM(U217:U223)</f>
        <v>0</v>
      </c>
      <c r="V216" s="41">
        <f>SUM(V217:V223)+SUMIFS(Aut_Ajustes_Manuais!$G:$G,Aut_Ajustes_Manuais!$I:$I,DRE!T$4,Aut_Ajustes_Manuais!$F:$F,"Custo de Ocupação")</f>
        <v>-140506.88</v>
      </c>
      <c r="W216" s="240"/>
      <c r="X216" s="40">
        <f>SUM(X217:X223)</f>
        <v>0</v>
      </c>
      <c r="Y216" s="41">
        <f>SUM(Y217:Y223)+SUMIFS(Aut_Ajustes_Manuais!$G:$G,Aut_Ajustes_Manuais!$I:$I,DRE!W$4,Aut_Ajustes_Manuais!$F:$F,"Custo de Ocupação")</f>
        <v>-140979.58000000002</v>
      </c>
      <c r="Z216" s="240"/>
      <c r="AA216" s="40">
        <f>SUM(AA217:AA223)</f>
        <v>0</v>
      </c>
      <c r="AB216" s="41">
        <f>SUM(AB217:AB223)+SUMIFS(Aut_Ajustes_Manuais!$G:$G,Aut_Ajustes_Manuais!$I:$I,DRE!Z$4,Aut_Ajustes_Manuais!$F:$F,"Custo de Ocupação")</f>
        <v>-140506.88</v>
      </c>
      <c r="AC216" s="240"/>
      <c r="AD216" s="40">
        <f>SUM(AD217:AD223)</f>
        <v>-149105.91</v>
      </c>
      <c r="AE216" s="41">
        <f>SUM(AE217:AE223)+SUMIFS(Aut_Ajustes_Manuais!$G:$G,Aut_Ajustes_Manuais!$I:$I,DRE!AC$4,Aut_Ajustes_Manuais!$F:$F,"Custo de Ocupação")</f>
        <v>-140506.88</v>
      </c>
      <c r="AF216" s="240"/>
      <c r="AG216" s="40">
        <f>SUM(AG217:AG223)</f>
        <v>-149105.91</v>
      </c>
      <c r="AH216" s="41">
        <f>SUM(AH217:AH223)+SUMIFS(Aut_Ajustes_Manuais!$G:$G,Aut_Ajustes_Manuais!$I:$I,DRE!AF$4,Aut_Ajustes_Manuais!$F:$F,"Custo de Ocupação")</f>
        <v>-140506.88</v>
      </c>
      <c r="AI216" s="240"/>
      <c r="AJ216" s="40">
        <f>SUM(AJ217:AJ223)</f>
        <v>-149105.91</v>
      </c>
      <c r="AK216" s="41">
        <f>SUM(AK217:AK223)+SUMIFS(Aut_Ajustes_Manuais!$G:$G,Aut_Ajustes_Manuais!$I:$I,DRE!AI$4,Aut_Ajustes_Manuais!$F:$F,"Custo de Ocupação")</f>
        <v>-140506.88</v>
      </c>
      <c r="AL216" s="240"/>
      <c r="AM216" s="40">
        <f>SUM(AM217:AM223)</f>
        <v>-149105.91</v>
      </c>
      <c r="AN216" s="41">
        <f>SUM(AN217:AN223)+SUMIFS(Aut_Ajustes_Manuais!$G:$G,Aut_Ajustes_Manuais!$I:$I,DRE!AL$4,Aut_Ajustes_Manuais!$F:$F,"Custo de Ocupação")</f>
        <v>-140506.88</v>
      </c>
      <c r="AO216" s="240"/>
      <c r="AP216" s="40">
        <f>SUM(AP217:AP223)</f>
        <v>-149105.91</v>
      </c>
      <c r="AQ216" s="41">
        <f>SUM(AQ217:AQ223)+SUMIFS(Aut_Ajustes_Manuais!$G:$G,Aut_Ajustes_Manuais!$I:$I,DRE!AO$4,Aut_Ajustes_Manuais!$F:$F,"Custo de Ocupação")</f>
        <v>-140506.88</v>
      </c>
      <c r="AR216" s="240">
        <f t="shared" ref="AR216:BI216" ca="1" si="184">SUM(AR217:AR223)</f>
        <v>0</v>
      </c>
      <c r="AS216" s="40">
        <f t="shared" ca="1" si="184"/>
        <v>-149105.91</v>
      </c>
      <c r="AT216" s="41">
        <f t="shared" ca="1" si="184"/>
        <v>-1036855.05</v>
      </c>
      <c r="AU216" s="240">
        <f t="shared" si="184"/>
        <v>0</v>
      </c>
      <c r="AV216" s="40">
        <f t="shared" si="184"/>
        <v>-745529.55</v>
      </c>
      <c r="AW216" s="41">
        <f t="shared" si="184"/>
        <v>-1598882.57</v>
      </c>
      <c r="AX216" s="240">
        <f t="shared" si="184"/>
        <v>0</v>
      </c>
      <c r="AY216" s="40">
        <f t="shared" si="184"/>
        <v>0</v>
      </c>
      <c r="AZ216" s="41">
        <f t="shared" si="184"/>
        <v>-334354.83</v>
      </c>
      <c r="BA216" s="240">
        <f t="shared" si="184"/>
        <v>0</v>
      </c>
      <c r="BB216" s="40">
        <f t="shared" si="184"/>
        <v>0</v>
      </c>
      <c r="BC216" s="41">
        <f t="shared" si="184"/>
        <v>-421486.46</v>
      </c>
      <c r="BD216" s="240">
        <f t="shared" si="184"/>
        <v>0</v>
      </c>
      <c r="BE216" s="40">
        <f t="shared" si="184"/>
        <v>-298211.82</v>
      </c>
      <c r="BF216" s="41">
        <f t="shared" si="184"/>
        <v>-421520.64000000001</v>
      </c>
      <c r="BG216" s="240">
        <f t="shared" si="184"/>
        <v>0</v>
      </c>
      <c r="BH216" s="40">
        <f t="shared" si="184"/>
        <v>-447317.73000000004</v>
      </c>
      <c r="BI216" s="41">
        <f t="shared" si="184"/>
        <v>-421520.64000000001</v>
      </c>
    </row>
    <row r="217" spans="1:62" s="28" customFormat="1" hidden="1" outlineLevel="1" x14ac:dyDescent="0.3">
      <c r="A217" s="21" t="s">
        <v>256</v>
      </c>
      <c r="B217" s="2"/>
      <c r="C217" s="23" t="s">
        <v>67</v>
      </c>
      <c r="D217" s="105"/>
      <c r="E217" s="24"/>
      <c r="F217" s="39"/>
      <c r="G217" s="32"/>
      <c r="H217" s="237"/>
      <c r="I217" s="26">
        <f>-SUMIFS(T_ORCAMENTOS!$E:$E,T_ORCAMENTOS!$C:$C,"Aluguel de Imoveis",T_ORCAMENTOS!$H:$H,"1/2026")</f>
        <v>0</v>
      </c>
      <c r="J217" s="27">
        <f>SUMIFS(Aut_BlueMe_Sem_Pedido!$J:$J,Aut_BlueMe_Sem_Pedido!$Q:$Q,DRE!H$4,Aut_BlueMe_Sem_Pedido!$H:$H,DRE!$A217)+SUMIFS(Aut_Ajustes_Manuais!$G:$G,Aut_Ajustes_Manuais!$I:$I,DRE!H$4,Aut_Ajustes_Manuais!$F:$F,"Aluguel de Imoveis")</f>
        <v>-99354.83</v>
      </c>
      <c r="K217" s="237"/>
      <c r="L217" s="26">
        <f>-SUMIFS(T_ORCAMENTOS!$E:$E,T_ORCAMENTOS!$C:$C,"Aluguel de Imoveis",T_ORCAMENTOS!$H:$H,"2/2026")</f>
        <v>0</v>
      </c>
      <c r="M217" s="27">
        <f>SUMIFS(Aut_BlueMe_Sem_Pedido!$J:$J,Aut_BlueMe_Sem_Pedido!$Q:$Q,DRE!K$4,Aut_BlueMe_Sem_Pedido!$H:$H,DRE!$A217)+SUMIFS(Aut_Ajustes_Manuais!$G:$G,Aut_Ajustes_Manuais!$I:$I,DRE!K$4,Aut_Ajustes_Manuais!$F:$F,"Aluguel de Imoveis")</f>
        <v>-95000</v>
      </c>
      <c r="N217" s="237"/>
      <c r="O217" s="26">
        <f>-SUMIFS(T_ORCAMENTOS!$E:$E,T_ORCAMENTOS!$C:$C,"Aluguel de Imoveis",T_ORCAMENTOS!$H:$H,"3/2026")</f>
        <v>0</v>
      </c>
      <c r="P217" s="27">
        <f>SUMIFS(Aut_BlueMe_Sem_Pedido!$J:$J,Aut_BlueMe_Sem_Pedido!$Q:$Q,DRE!N$4,Aut_BlueMe_Sem_Pedido!$H:$H,DRE!$A217)+SUMIFS(Aut_Ajustes_Manuais!$G:$G,Aut_Ajustes_Manuais!$I:$I,DRE!N$4,Aut_Ajustes_Manuais!$F:$F,"Aluguel de Imoveis")</f>
        <v>-140000</v>
      </c>
      <c r="Q217" s="237"/>
      <c r="R217" s="26">
        <f>-SUMIFS(T_ORCAMENTOS!$E:$E,T_ORCAMENTOS!$C:$C,"Aluguel de Imoveis",T_ORCAMENTOS!$H:$H,"4/2026")</f>
        <v>0</v>
      </c>
      <c r="S217" s="27">
        <f>SUMIFS(Aut_BlueMe_Sem_Pedido!$J:$J,Aut_BlueMe_Sem_Pedido!$Q:$Q,DRE!Q$4,Aut_BlueMe_Sem_Pedido!$H:$H,DRE!$A217)+SUMIFS(Aut_Ajustes_Manuais!$G:$G,Aut_Ajustes_Manuais!$I:$I,DRE!Q$4,Aut_Ajustes_Manuais!$F:$F,"Aluguel de Imoveis")</f>
        <v>-140000</v>
      </c>
      <c r="T217" s="237"/>
      <c r="U217" s="26">
        <f>-SUMIFS(T_ORCAMENTOS!$E:$E,T_ORCAMENTOS!$C:$C,"Aluguel de Imoveis",T_ORCAMENTOS!$H:$H,"5/2026")</f>
        <v>0</v>
      </c>
      <c r="V217" s="27">
        <f>SUMIFS(Aut_BlueMe_Sem_Pedido!$J:$J,Aut_BlueMe_Sem_Pedido!$Q:$Q,DRE!T$4,Aut_BlueMe_Sem_Pedido!$H:$H,DRE!$A217)+SUMIFS(Aut_Ajustes_Manuais!$G:$G,Aut_Ajustes_Manuais!$I:$I,DRE!T$4,Aut_Ajustes_Manuais!$F:$F,"Aluguel de Imoveis")</f>
        <v>-140000</v>
      </c>
      <c r="W217" s="237"/>
      <c r="X217" s="26">
        <f>-SUMIFS(T_ORCAMENTOS!$E:$E,T_ORCAMENTOS!$C:$C,"Aluguel de Imoveis",T_ORCAMENTOS!$H:$H,"6/2026")</f>
        <v>0</v>
      </c>
      <c r="Y217" s="27">
        <f>SUMIFS(Aut_BlueMe_Sem_Pedido!$J:$J,Aut_BlueMe_Sem_Pedido!$Q:$Q,DRE!W$4,Aut_BlueMe_Sem_Pedido!$H:$H,DRE!$A217)+SUMIFS(Aut_Ajustes_Manuais!$G:$G,Aut_Ajustes_Manuais!$I:$I,DRE!W$4,Aut_Ajustes_Manuais!$F:$F,"Aluguel de Imoveis")</f>
        <v>-140000</v>
      </c>
      <c r="Z217" s="237"/>
      <c r="AA217" s="26">
        <f>-SUMIFS(T_ORCAMENTOS!$E:$E,T_ORCAMENTOS!$C:$C,"Aluguel de Imoveis",T_ORCAMENTOS!$H:$H,"7/2026")</f>
        <v>0</v>
      </c>
      <c r="AB217" s="27">
        <f>SUMIFS(Aut_BlueMe_Sem_Pedido!$J:$J,Aut_BlueMe_Sem_Pedido!$Q:$Q,DRE!Z$4,Aut_BlueMe_Sem_Pedido!$H:$H,DRE!$A217)+SUMIFS(Aut_Ajustes_Manuais!$G:$G,Aut_Ajustes_Manuais!$I:$I,DRE!Z$4,Aut_Ajustes_Manuais!$F:$F,"Aluguel de Imoveis")</f>
        <v>-140000</v>
      </c>
      <c r="AC217" s="237"/>
      <c r="AD217" s="26">
        <f>-SUMIFS(T_ORCAMENTOS!$E:$E,T_ORCAMENTOS!$C:$C,"Aluguel de Imoveis",T_ORCAMENTOS!$H:$H,"8/2026")</f>
        <v>-146000</v>
      </c>
      <c r="AE217" s="27">
        <f>SUMIFS(Aut_BlueMe_Sem_Pedido!$J:$J,Aut_BlueMe_Sem_Pedido!$Q:$Q,DRE!AC$4,Aut_BlueMe_Sem_Pedido!$H:$H,DRE!$A217)+SUMIFS(Aut_Ajustes_Manuais!$G:$G,Aut_Ajustes_Manuais!$I:$I,DRE!AC$4,Aut_Ajustes_Manuais!$F:$F,"Aluguel de Imoveis")</f>
        <v>-140000</v>
      </c>
      <c r="AF217" s="237"/>
      <c r="AG217" s="26">
        <f>-SUMIFS(T_ORCAMENTOS!$E:$E,T_ORCAMENTOS!$C:$C,"Aluguel de Imoveis",T_ORCAMENTOS!$H:$H,"9/2026")</f>
        <v>-146000</v>
      </c>
      <c r="AH217" s="27">
        <f>SUMIFS(Aut_BlueMe_Sem_Pedido!$J:$J,Aut_BlueMe_Sem_Pedido!$Q:$Q,DRE!AF$4,Aut_BlueMe_Sem_Pedido!$H:$H,DRE!$A217)+SUMIFS(Aut_Ajustes_Manuais!$G:$G,Aut_Ajustes_Manuais!$I:$I,DRE!AF$4,Aut_Ajustes_Manuais!$F:$F,"Aluguel de Imoveis")</f>
        <v>-140000</v>
      </c>
      <c r="AI217" s="237"/>
      <c r="AJ217" s="26">
        <f>-SUMIFS(T_ORCAMENTOS!$E:$E,T_ORCAMENTOS!$C:$C,"Aluguel de Imoveis",T_ORCAMENTOS!$H:$H,"10/2026")</f>
        <v>-146000</v>
      </c>
      <c r="AK217" s="27">
        <f>SUMIFS(Aut_BlueMe_Sem_Pedido!$J:$J,Aut_BlueMe_Sem_Pedido!$Q:$Q,DRE!AI$4,Aut_BlueMe_Sem_Pedido!$H:$H,DRE!$A217)+SUMIFS(Aut_Ajustes_Manuais!$G:$G,Aut_Ajustes_Manuais!$I:$I,DRE!AI$4,Aut_Ajustes_Manuais!$F:$F,"Aluguel de Imoveis")</f>
        <v>-140000</v>
      </c>
      <c r="AL217" s="237"/>
      <c r="AM217" s="26">
        <f>-SUMIFS(T_ORCAMENTOS!$E:$E,T_ORCAMENTOS!$C:$C,"Aluguel de Imoveis",T_ORCAMENTOS!$H:$H,"11/2026")</f>
        <v>-146000</v>
      </c>
      <c r="AN217" s="27">
        <f>SUMIFS(Aut_BlueMe_Sem_Pedido!$J:$J,Aut_BlueMe_Sem_Pedido!$Q:$Q,DRE!AL$4,Aut_BlueMe_Sem_Pedido!$H:$H,DRE!$A217)+SUMIFS(Aut_Ajustes_Manuais!$G:$G,Aut_Ajustes_Manuais!$I:$I,DRE!AL$4,Aut_Ajustes_Manuais!$F:$F,"Aluguel de Imoveis")</f>
        <v>-140000</v>
      </c>
      <c r="AO217" s="237"/>
      <c r="AP217" s="26">
        <f>-SUMIFS(T_ORCAMENTOS!$E:$E,T_ORCAMENTOS!$C:$C,"Aluguel de Imoveis",T_ORCAMENTOS!$H:$H,"12/2026")</f>
        <v>-146000</v>
      </c>
      <c r="AQ217" s="27">
        <f>SUMIFS(Aut_BlueMe_Sem_Pedido!$J:$J,Aut_BlueMe_Sem_Pedido!$Q:$Q,DRE!AO$4,Aut_BlueMe_Sem_Pedido!$H:$H,DRE!$A217)+SUMIFS(Aut_Ajustes_Manuais!$G:$G,Aut_Ajustes_Manuais!$I:$I,DRE!AO$4,Aut_Ajustes_Manuais!$F:$F,"Aluguel de Imoveis")</f>
        <v>-140000</v>
      </c>
      <c r="AR217" s="237">
        <f t="shared" ref="AR217:AR223" ca="1" si="185">SUMIFS($H217:$AO217,$H$5:$AO$5,"&lt;"&amp;MONTH(TODAY()),$H$6:$AO$6,"REAL 25")</f>
        <v>0</v>
      </c>
      <c r="AS217" s="26">
        <f t="shared" ref="AS217:AS223" ca="1" si="186">SUMIFS($I217:$AP217,$I$5:$AP$5,"&lt;"&amp;MONTH(TODAY()),$I$6:$AP$6,"ORÇADO ")</f>
        <v>-146000</v>
      </c>
      <c r="AT217" s="27">
        <f t="shared" ref="AT217:AT223" ca="1" si="187">SUMIFS($J217:$AQ217,$J$5:$AQ$5,"&lt;"&amp;MONTH(TODAY()),$J$6:$AQ$6,"REAL 26")</f>
        <v>-1034354.8300000001</v>
      </c>
      <c r="AU217" s="237">
        <f t="shared" ref="AU217:AW223" si="188">SUM(H217,K217,N217,Q217,T217,W217,Z217,AC217,AF217,AI217,AL217,AO217)</f>
        <v>0</v>
      </c>
      <c r="AV217" s="26">
        <f t="shared" si="188"/>
        <v>-730000</v>
      </c>
      <c r="AW217" s="27">
        <f t="shared" si="188"/>
        <v>-1594354.83</v>
      </c>
      <c r="AX217" s="237">
        <f t="shared" ref="AX217:AZ223" si="189">SUM(H217,K217,N217)</f>
        <v>0</v>
      </c>
      <c r="AY217" s="26">
        <f t="shared" si="189"/>
        <v>0</v>
      </c>
      <c r="AZ217" s="27">
        <f t="shared" si="189"/>
        <v>-334354.83</v>
      </c>
      <c r="BA217" s="237">
        <f t="shared" ref="BA217:BC223" si="190">SUM(Q217,T217,W217)</f>
        <v>0</v>
      </c>
      <c r="BB217" s="26">
        <f t="shared" si="190"/>
        <v>0</v>
      </c>
      <c r="BC217" s="27">
        <f t="shared" si="190"/>
        <v>-420000</v>
      </c>
      <c r="BD217" s="237">
        <f t="shared" ref="BD217:BF223" si="191">SUM(Z217,AC217,AF217)</f>
        <v>0</v>
      </c>
      <c r="BE217" s="26">
        <f t="shared" si="191"/>
        <v>-292000</v>
      </c>
      <c r="BF217" s="27">
        <f t="shared" si="191"/>
        <v>-420000</v>
      </c>
      <c r="BG217" s="237">
        <f t="shared" ref="BG217:BI223" si="192">SUM(AI217,AL217,AO217)</f>
        <v>0</v>
      </c>
      <c r="BH217" s="26">
        <f t="shared" si="192"/>
        <v>-438000</v>
      </c>
      <c r="BI217" s="27">
        <f t="shared" si="192"/>
        <v>-420000</v>
      </c>
      <c r="BJ217" s="454"/>
    </row>
    <row r="218" spans="1:62" s="28" customFormat="1" hidden="1" outlineLevel="1" x14ac:dyDescent="0.3">
      <c r="A218" s="21" t="s">
        <v>257</v>
      </c>
      <c r="B218" s="2"/>
      <c r="C218" s="23" t="s">
        <v>67</v>
      </c>
      <c r="D218" s="105"/>
      <c r="E218" s="24"/>
      <c r="F218" s="39"/>
      <c r="G218" s="32"/>
      <c r="H218" s="237"/>
      <c r="I218" s="26">
        <f>-SUMIFS(T_ORCAMENTOS!$E:$E,T_ORCAMENTOS!$C:$C,"Condominio",T_ORCAMENTOS!$H:$H,"1/2026")</f>
        <v>0</v>
      </c>
      <c r="J218" s="27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37"/>
      <c r="L218" s="26">
        <f>-SUMIFS(T_ORCAMENTOS!$E:$E,T_ORCAMENTOS!$C:$C,"Condominio",T_ORCAMENTOS!$H:$H,"2/2026")</f>
        <v>0</v>
      </c>
      <c r="M218" s="27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37"/>
      <c r="O218" s="26">
        <f>-SUMIFS(T_ORCAMENTOS!$E:$E,T_ORCAMENTOS!$C:$C,"Condominio",T_ORCAMENTOS!$H:$H,"3/2026")</f>
        <v>0</v>
      </c>
      <c r="P218" s="27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37"/>
      <c r="R218" s="26">
        <f>-SUMIFS(T_ORCAMENTOS!$E:$E,T_ORCAMENTOS!$C:$C,"Condominio",T_ORCAMENTOS!$H:$H,"4/2026")</f>
        <v>0</v>
      </c>
      <c r="S218" s="27">
        <f>SUMIFS(Aut_BlueMe_Sem_Pedido!$J:$J,Aut_BlueMe_Sem_Pedido!$Q:$Q,DRE!Q$4,Aut_BlueMe_Sem_Pedido!$H:$H,DRE!$A218)+SUMIFS(Aut_Ajustes_Manuais!$G:$G,Aut_Ajustes_Manuais!$I:$I,DRE!Q$4,Aut_Ajustes_Manuais!$F:$F,"Condominio")</f>
        <v>0</v>
      </c>
      <c r="T218" s="237"/>
      <c r="U218" s="26">
        <f>-SUMIFS(T_ORCAMENTOS!$E:$E,T_ORCAMENTOS!$C:$C,"Condominio",T_ORCAMENTOS!$H:$H,"5/2026")</f>
        <v>0</v>
      </c>
      <c r="V218" s="27">
        <f>SUMIFS(Aut_BlueMe_Sem_Pedido!$J:$J,Aut_BlueMe_Sem_Pedido!$Q:$Q,DRE!T$4,Aut_BlueMe_Sem_Pedido!$H:$H,DRE!$A218)+SUMIFS(Aut_Ajustes_Manuais!$G:$G,Aut_Ajustes_Manuais!$I:$I,DRE!T$4,Aut_Ajustes_Manuais!$F:$F,"Condominio")</f>
        <v>0</v>
      </c>
      <c r="W218" s="237"/>
      <c r="X218" s="26">
        <f>-SUMIFS(T_ORCAMENTOS!$E:$E,T_ORCAMENTOS!$C:$C,"Condominio",T_ORCAMENTOS!$H:$H,"6/2026")</f>
        <v>0</v>
      </c>
      <c r="Y218" s="27">
        <f>SUMIFS(Aut_BlueMe_Sem_Pedido!$J:$J,Aut_BlueMe_Sem_Pedido!$Q:$Q,DRE!W$4,Aut_BlueMe_Sem_Pedido!$H:$H,DRE!$A218)+SUMIFS(Aut_Ajustes_Manuais!$G:$G,Aut_Ajustes_Manuais!$I:$I,DRE!W$4,Aut_Ajustes_Manuais!$F:$F,"Condominio")</f>
        <v>0</v>
      </c>
      <c r="Z218" s="237"/>
      <c r="AA218" s="26">
        <f>-SUMIFS(T_ORCAMENTOS!$E:$E,T_ORCAMENTOS!$C:$C,"Condominio",T_ORCAMENTOS!$H:$H,"7/2026")</f>
        <v>0</v>
      </c>
      <c r="AB218" s="27">
        <f>SUMIFS(Aut_BlueMe_Sem_Pedido!$J:$J,Aut_BlueMe_Sem_Pedido!$Q:$Q,DRE!Z$4,Aut_BlueMe_Sem_Pedido!$H:$H,DRE!$A218)+SUMIFS(Aut_Ajustes_Manuais!$G:$G,Aut_Ajustes_Manuais!$I:$I,DRE!Z$4,Aut_Ajustes_Manuais!$F:$F,"Condominio")</f>
        <v>0</v>
      </c>
      <c r="AC218" s="237"/>
      <c r="AD218" s="26">
        <f>-SUMIFS(T_ORCAMENTOS!$E:$E,T_ORCAMENTOS!$C:$C,"Condominio",T_ORCAMENTOS!$H:$H,"8/2026")</f>
        <v>0</v>
      </c>
      <c r="AE218" s="27">
        <f>SUMIFS(Aut_BlueMe_Sem_Pedido!$J:$J,Aut_BlueMe_Sem_Pedido!$Q:$Q,DRE!AC$4,Aut_BlueMe_Sem_Pedido!$H:$H,DRE!$A218)+SUMIFS(Aut_Ajustes_Manuais!$G:$G,Aut_Ajustes_Manuais!$I:$I,DRE!AC$4,Aut_Ajustes_Manuais!$F:$F,"Condominio")</f>
        <v>0</v>
      </c>
      <c r="AF218" s="237"/>
      <c r="AG218" s="26">
        <f>-SUMIFS(T_ORCAMENTOS!$E:$E,T_ORCAMENTOS!$C:$C,"Condominio",T_ORCAMENTOS!$H:$H,"9/2026")</f>
        <v>0</v>
      </c>
      <c r="AH218" s="27">
        <f>SUMIFS(Aut_BlueMe_Sem_Pedido!$J:$J,Aut_BlueMe_Sem_Pedido!$Q:$Q,DRE!AF$4,Aut_BlueMe_Sem_Pedido!$H:$H,DRE!$A218)+SUMIFS(Aut_Ajustes_Manuais!$G:$G,Aut_Ajustes_Manuais!$I:$I,DRE!AF$4,Aut_Ajustes_Manuais!$F:$F,"Condominio")</f>
        <v>0</v>
      </c>
      <c r="AI218" s="237"/>
      <c r="AJ218" s="26">
        <f>-SUMIFS(T_ORCAMENTOS!$E:$E,T_ORCAMENTOS!$C:$C,"Condominio",T_ORCAMENTOS!$H:$H,"10/2026")</f>
        <v>0</v>
      </c>
      <c r="AK218" s="27">
        <f>SUMIFS(Aut_BlueMe_Sem_Pedido!$J:$J,Aut_BlueMe_Sem_Pedido!$Q:$Q,DRE!AI$4,Aut_BlueMe_Sem_Pedido!$H:$H,DRE!$A218)+SUMIFS(Aut_Ajustes_Manuais!$G:$G,Aut_Ajustes_Manuais!$I:$I,DRE!AI$4,Aut_Ajustes_Manuais!$F:$F,"Condominio")</f>
        <v>0</v>
      </c>
      <c r="AL218" s="237"/>
      <c r="AM218" s="26">
        <f>-SUMIFS(T_ORCAMENTOS!$E:$E,T_ORCAMENTOS!$C:$C,"Condominio",T_ORCAMENTOS!$H:$H,"11/2026")</f>
        <v>0</v>
      </c>
      <c r="AN218" s="27">
        <f>SUMIFS(Aut_BlueMe_Sem_Pedido!$J:$J,Aut_BlueMe_Sem_Pedido!$Q:$Q,DRE!AL$4,Aut_BlueMe_Sem_Pedido!$H:$H,DRE!$A218)+SUMIFS(Aut_Ajustes_Manuais!$G:$G,Aut_Ajustes_Manuais!$I:$I,DRE!AL$4,Aut_Ajustes_Manuais!$F:$F,"Condominio")</f>
        <v>0</v>
      </c>
      <c r="AO218" s="237"/>
      <c r="AP218" s="26">
        <f>-SUMIFS(T_ORCAMENTOS!$E:$E,T_ORCAMENTOS!$C:$C,"Condominio",T_ORCAMENTOS!$H:$H,"12/2026")</f>
        <v>0</v>
      </c>
      <c r="AQ218" s="27">
        <f>SUMIFS(Aut_BlueMe_Sem_Pedido!$J:$J,Aut_BlueMe_Sem_Pedido!$Q:$Q,DRE!AO$4,Aut_BlueMe_Sem_Pedido!$H:$H,DRE!$A218)+SUMIFS(Aut_Ajustes_Manuais!$G:$G,Aut_Ajustes_Manuais!$I:$I,DRE!AO$4,Aut_Ajustes_Manuais!$F:$F,"Condominio")</f>
        <v>0</v>
      </c>
      <c r="AR218" s="237">
        <f t="shared" ca="1" si="185"/>
        <v>0</v>
      </c>
      <c r="AS218" s="26">
        <f t="shared" ca="1" si="186"/>
        <v>0</v>
      </c>
      <c r="AT218" s="27">
        <f t="shared" ca="1" si="187"/>
        <v>0</v>
      </c>
      <c r="AU218" s="237">
        <f t="shared" si="188"/>
        <v>0</v>
      </c>
      <c r="AV218" s="26">
        <f t="shared" si="188"/>
        <v>0</v>
      </c>
      <c r="AW218" s="27">
        <f t="shared" si="188"/>
        <v>0</v>
      </c>
      <c r="AX218" s="237">
        <f t="shared" si="189"/>
        <v>0</v>
      </c>
      <c r="AY218" s="26">
        <f t="shared" si="189"/>
        <v>0</v>
      </c>
      <c r="AZ218" s="27">
        <f t="shared" si="189"/>
        <v>0</v>
      </c>
      <c r="BA218" s="237">
        <f t="shared" si="190"/>
        <v>0</v>
      </c>
      <c r="BB218" s="26">
        <f t="shared" si="190"/>
        <v>0</v>
      </c>
      <c r="BC218" s="27">
        <f t="shared" si="190"/>
        <v>0</v>
      </c>
      <c r="BD218" s="237">
        <f t="shared" si="191"/>
        <v>0</v>
      </c>
      <c r="BE218" s="26">
        <f t="shared" si="191"/>
        <v>0</v>
      </c>
      <c r="BF218" s="27">
        <f t="shared" si="191"/>
        <v>0</v>
      </c>
      <c r="BG218" s="237">
        <f t="shared" si="192"/>
        <v>0</v>
      </c>
      <c r="BH218" s="26">
        <f t="shared" si="192"/>
        <v>0</v>
      </c>
      <c r="BI218" s="27">
        <f t="shared" si="192"/>
        <v>0</v>
      </c>
      <c r="BJ218" s="454"/>
    </row>
    <row r="219" spans="1:62" s="28" customFormat="1" hidden="1" outlineLevel="1" x14ac:dyDescent="0.3">
      <c r="A219" s="21" t="s">
        <v>258</v>
      </c>
      <c r="B219" s="2"/>
      <c r="C219" s="23" t="s">
        <v>67</v>
      </c>
      <c r="D219" s="24"/>
      <c r="E219" s="24"/>
      <c r="F219" s="39"/>
      <c r="G219" s="32"/>
      <c r="H219" s="237"/>
      <c r="I219" s="26">
        <f>-SUMIFS(T_ORCAMENTOS!$E:$E,T_ORCAMENTOS!$C:$C,"IPTU",T_ORCAMENTOS!$H:$H,"1/2026")</f>
        <v>0</v>
      </c>
      <c r="J219" s="27">
        <f>SUMIFS(Aut_BlueMe_Sem_Pedido!$J:$J,Aut_BlueMe_Sem_Pedido!$Q:$Q,DRE!H$4,Aut_BlueMe_Sem_Pedido!$H:$H,DRE!$A219)+SUMIFS(Aut_Ajustes_Manuais!$G:$G,Aut_Ajustes_Manuais!$I:$I,DRE!H$4,Aut_Ajustes_Manuais!$F:$F,"IPTU")</f>
        <v>0</v>
      </c>
      <c r="K219" s="237"/>
      <c r="L219" s="26">
        <f>-SUMIFS(T_ORCAMENTOS!$E:$E,T_ORCAMENTOS!$C:$C,"IPTU",T_ORCAMENTOS!$H:$H,"2/2026")</f>
        <v>0</v>
      </c>
      <c r="M219" s="27">
        <f>SUMIFS(Aut_Ajustes_Manuais!$G:$G,Aut_Ajustes_Manuais!$I:$I,DRE!K$4,Aut_Ajustes_Manuais!$F:$F,"IPTU")</f>
        <v>0</v>
      </c>
      <c r="N219" s="237"/>
      <c r="O219" s="26">
        <f>-SUMIFS(T_ORCAMENTOS!$E:$E,T_ORCAMENTOS!$C:$C,"IPTU",T_ORCAMENTOS!$H:$H,"3/2026")</f>
        <v>0</v>
      </c>
      <c r="P219" s="27">
        <f>+SUMIFS(Aut_Ajustes_Manuais!$G:$G,Aut_Ajustes_Manuais!$I:$I,DRE!N$4,Aut_Ajustes_Manuais!$F:$F,"IPTU")</f>
        <v>0</v>
      </c>
      <c r="Q219" s="237"/>
      <c r="R219" s="26">
        <f>-SUMIFS(T_ORCAMENTOS!$E:$E,T_ORCAMENTOS!$C:$C,"IPTU",T_ORCAMENTOS!$H:$H,"4/2026")</f>
        <v>0</v>
      </c>
      <c r="S219" s="27">
        <f>+SUMIFS(Aut_Ajustes_Manuais!$G:$G,Aut_Ajustes_Manuais!$I:$I,DRE!Q$4,Aut_Ajustes_Manuais!$F:$F,"IPTU")</f>
        <v>0</v>
      </c>
      <c r="T219" s="237"/>
      <c r="U219" s="26">
        <f>-SUMIFS(T_ORCAMENTOS!$E:$E,T_ORCAMENTOS!$C:$C,"IPTU",T_ORCAMENTOS!$H:$H,"5/2026")</f>
        <v>0</v>
      </c>
      <c r="V219" s="27">
        <f>SUMIFS(Aut_Ajustes_Manuais!$G:$G,Aut_Ajustes_Manuais!$I:$I,DRE!T$4,Aut_Ajustes_Manuais!$F:$F,"IPTU")</f>
        <v>0</v>
      </c>
      <c r="W219" s="237"/>
      <c r="X219" s="26">
        <f>-SUMIFS(T_ORCAMENTOS!$E:$E,T_ORCAMENTOS!$C:$C,"IPTU",T_ORCAMENTOS!$H:$H,"6/2026")</f>
        <v>0</v>
      </c>
      <c r="Y219" s="27">
        <f>+SUMIFS(Aut_Ajustes_Manuais!$G:$G,Aut_Ajustes_Manuais!$I:$I,DRE!W$4,Aut_Ajustes_Manuais!$F:$F,"IPTU")</f>
        <v>0</v>
      </c>
      <c r="Z219" s="237"/>
      <c r="AA219" s="26">
        <f>-SUMIFS(T_ORCAMENTOS!$E:$E,T_ORCAMENTOS!$C:$C,"IPTU",T_ORCAMENTOS!$H:$H,"7/2026")</f>
        <v>0</v>
      </c>
      <c r="AB219" s="27">
        <f>SUMIFS(Aut_Ajustes_Manuais!$G:$G,Aut_Ajustes_Manuais!$I:$I,DRE!Z$4,Aut_Ajustes_Manuais!$F:$F,"IPTU")</f>
        <v>0</v>
      </c>
      <c r="AC219" s="237"/>
      <c r="AD219" s="26">
        <f>-SUMIFS(T_ORCAMENTOS!$E:$E,T_ORCAMENTOS!$C:$C,"IPTU",T_ORCAMENTOS!$H:$H,"8/2026")</f>
        <v>-2599.0300000000002</v>
      </c>
      <c r="AE219" s="27">
        <f>SUMIFS(Aut_Ajustes_Manuais!$G:$G,Aut_Ajustes_Manuais!$I:$I,DRE!AC$4,Aut_Ajustes_Manuais!$F:$F,"IPTU")</f>
        <v>0</v>
      </c>
      <c r="AF219" s="237"/>
      <c r="AG219" s="26">
        <f>-SUMIFS(T_ORCAMENTOS!$E:$E,T_ORCAMENTOS!$C:$C,"IPTU",T_ORCAMENTOS!$H:$H,"9/2026")</f>
        <v>-2599.0300000000002</v>
      </c>
      <c r="AH219" s="27">
        <f>SUMIFS(Aut_Ajustes_Manuais!$G:$G,Aut_Ajustes_Manuais!$I:$I,DRE!AF$4,Aut_Ajustes_Manuais!$F:$F,"IPTU")</f>
        <v>0</v>
      </c>
      <c r="AI219" s="237"/>
      <c r="AJ219" s="26">
        <f>-SUMIFS(T_ORCAMENTOS!$E:$E,T_ORCAMENTOS!$C:$C,"IPTU",T_ORCAMENTOS!$H:$H,"10/2026")</f>
        <v>-2599.0300000000002</v>
      </c>
      <c r="AK219" s="27">
        <f>SUMIFS(Aut_Ajustes_Manuais!$G:$G,Aut_Ajustes_Manuais!$I:$I,DRE!AI$4,Aut_Ajustes_Manuais!$F:$F,"IPTU")</f>
        <v>0</v>
      </c>
      <c r="AL219" s="237"/>
      <c r="AM219" s="26">
        <f>-SUMIFS(T_ORCAMENTOS!$E:$E,T_ORCAMENTOS!$C:$C,"IPTU",T_ORCAMENTOS!$H:$H,"11/2026")</f>
        <v>-2599.0300000000002</v>
      </c>
      <c r="AN219" s="27">
        <f>SUMIFS(Aut_Ajustes_Manuais!$G:$G,Aut_Ajustes_Manuais!$I:$I,DRE!AL$4,Aut_Ajustes_Manuais!$F:$F,"IPTU")</f>
        <v>0</v>
      </c>
      <c r="AO219" s="237"/>
      <c r="AP219" s="26">
        <f>-SUMIFS(T_ORCAMENTOS!$E:$E,T_ORCAMENTOS!$C:$C,"IPTU",T_ORCAMENTOS!$H:$H,"12/2026")</f>
        <v>-2599.0300000000002</v>
      </c>
      <c r="AQ219" s="27">
        <f>SUMIFS(Aut_Ajustes_Manuais!$G:$G,Aut_Ajustes_Manuais!$I:$I,DRE!AO$4,Aut_Ajustes_Manuais!$F:$F,"IPTU")</f>
        <v>0</v>
      </c>
      <c r="AR219" s="237">
        <f t="shared" ca="1" si="185"/>
        <v>0</v>
      </c>
      <c r="AS219" s="26">
        <f t="shared" ca="1" si="186"/>
        <v>-2599.0300000000002</v>
      </c>
      <c r="AT219" s="27">
        <f t="shared" ca="1" si="187"/>
        <v>0</v>
      </c>
      <c r="AU219" s="237">
        <f t="shared" si="188"/>
        <v>0</v>
      </c>
      <c r="AV219" s="26">
        <f t="shared" si="188"/>
        <v>-12995.150000000001</v>
      </c>
      <c r="AW219" s="27">
        <f t="shared" si="188"/>
        <v>0</v>
      </c>
      <c r="AX219" s="237">
        <f t="shared" si="189"/>
        <v>0</v>
      </c>
      <c r="AY219" s="26">
        <f t="shared" si="189"/>
        <v>0</v>
      </c>
      <c r="AZ219" s="27">
        <f t="shared" si="189"/>
        <v>0</v>
      </c>
      <c r="BA219" s="237">
        <f t="shared" si="190"/>
        <v>0</v>
      </c>
      <c r="BB219" s="26">
        <f t="shared" si="190"/>
        <v>0</v>
      </c>
      <c r="BC219" s="27">
        <f t="shared" si="190"/>
        <v>0</v>
      </c>
      <c r="BD219" s="237">
        <f t="shared" si="191"/>
        <v>0</v>
      </c>
      <c r="BE219" s="26">
        <f t="shared" si="191"/>
        <v>-5198.0600000000004</v>
      </c>
      <c r="BF219" s="27">
        <f t="shared" si="191"/>
        <v>0</v>
      </c>
      <c r="BG219" s="237">
        <f t="shared" si="192"/>
        <v>0</v>
      </c>
      <c r="BH219" s="26">
        <f t="shared" si="192"/>
        <v>-7797.09</v>
      </c>
      <c r="BI219" s="27">
        <f t="shared" si="192"/>
        <v>0</v>
      </c>
      <c r="BJ219" s="454"/>
    </row>
    <row r="220" spans="1:62" s="28" customFormat="1" hidden="1" outlineLevel="1" x14ac:dyDescent="0.3">
      <c r="A220" s="21" t="s">
        <v>259</v>
      </c>
      <c r="B220" s="2"/>
      <c r="C220" s="23" t="s">
        <v>67</v>
      </c>
      <c r="D220" s="24"/>
      <c r="E220" s="24"/>
      <c r="F220" s="39"/>
      <c r="G220" s="32"/>
      <c r="H220" s="237"/>
      <c r="I220" s="26">
        <f>-SUMIFS(T_ORCAMENTOS!$E:$E,T_ORCAMENTOS!$C:$C,"Fundo de Promoção",T_ORCAMENTOS!$H:$H,"1/2026")</f>
        <v>0</v>
      </c>
      <c r="J220" s="27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37"/>
      <c r="L220" s="26">
        <f>-SUMIFS(T_ORCAMENTOS!$E:$E,T_ORCAMENTOS!$C:$C,"Fundo de Promoção",T_ORCAMENTOS!$H:$H,"2/2026")</f>
        <v>0</v>
      </c>
      <c r="M220" s="27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37"/>
      <c r="O220" s="26">
        <f>-SUMIFS(T_ORCAMENTOS!$E:$E,T_ORCAMENTOS!$C:$C,"Fundo de Promoção",T_ORCAMENTOS!$H:$H,"3/2026")</f>
        <v>0</v>
      </c>
      <c r="P220" s="27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37"/>
      <c r="R220" s="26">
        <f>-SUMIFS(T_ORCAMENTOS!$E:$E,T_ORCAMENTOS!$C:$C,"Fundo de Promoção",T_ORCAMENTOS!$H:$H,"4/2026")</f>
        <v>0</v>
      </c>
      <c r="S220" s="27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37"/>
      <c r="U220" s="26">
        <f>-SUMIFS(T_ORCAMENTOS!$E:$E,T_ORCAMENTOS!$C:$C,"Fundo de Promoção",T_ORCAMENTOS!$H:$H,"5/2026")</f>
        <v>0</v>
      </c>
      <c r="V220" s="27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37"/>
      <c r="X220" s="26">
        <f>-SUMIFS(T_ORCAMENTOS!$E:$E,T_ORCAMENTOS!$C:$C,"Fundo de Promoção",T_ORCAMENTOS!$H:$H,"6/2026")</f>
        <v>0</v>
      </c>
      <c r="Y220" s="27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37"/>
      <c r="AA220" s="26">
        <f>-SUMIFS(T_ORCAMENTOS!$E:$E,T_ORCAMENTOS!$C:$C,"Fundo de Promoção",T_ORCAMENTOS!$H:$H,"7/2026")</f>
        <v>0</v>
      </c>
      <c r="AB220" s="27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37"/>
      <c r="AD220" s="26">
        <f>-SUMIFS(T_ORCAMENTOS!$E:$E,T_ORCAMENTOS!$C:$C,"Fundo de Promoção",T_ORCAMENTOS!$H:$H,"8/2026")</f>
        <v>0</v>
      </c>
      <c r="AE220" s="27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37"/>
      <c r="AG220" s="26">
        <f>-SUMIFS(T_ORCAMENTOS!$E:$E,T_ORCAMENTOS!$C:$C,"Fundo de Promoção",T_ORCAMENTOS!$H:$H,"9/2026")</f>
        <v>0</v>
      </c>
      <c r="AH220" s="27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37"/>
      <c r="AJ220" s="26">
        <f>-SUMIFS(T_ORCAMENTOS!$E:$E,T_ORCAMENTOS!$C:$C,"Fundo de Promoção",T_ORCAMENTOS!$H:$H,"10/2026")</f>
        <v>0</v>
      </c>
      <c r="AK220" s="27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37"/>
      <c r="AM220" s="26">
        <f>-SUMIFS(T_ORCAMENTOS!$E:$E,T_ORCAMENTOS!$C:$C,"Fundo de Promoção",T_ORCAMENTOS!$H:$H,"11/2026")</f>
        <v>0</v>
      </c>
      <c r="AN220" s="27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37"/>
      <c r="AP220" s="26">
        <f>-SUMIFS(T_ORCAMENTOS!$E:$E,T_ORCAMENTOS!$C:$C,"Fundo de Promoção",T_ORCAMENTOS!$H:$H,"12/2026")</f>
        <v>0</v>
      </c>
      <c r="AQ220" s="27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37">
        <f t="shared" ca="1" si="185"/>
        <v>0</v>
      </c>
      <c r="AS220" s="26">
        <f t="shared" ca="1" si="186"/>
        <v>0</v>
      </c>
      <c r="AT220" s="27">
        <f t="shared" ca="1" si="187"/>
        <v>0</v>
      </c>
      <c r="AU220" s="237">
        <f t="shared" si="188"/>
        <v>0</v>
      </c>
      <c r="AV220" s="26">
        <f t="shared" si="188"/>
        <v>0</v>
      </c>
      <c r="AW220" s="27">
        <f t="shared" si="188"/>
        <v>0</v>
      </c>
      <c r="AX220" s="237">
        <f t="shared" si="189"/>
        <v>0</v>
      </c>
      <c r="AY220" s="26">
        <f t="shared" si="189"/>
        <v>0</v>
      </c>
      <c r="AZ220" s="27">
        <f t="shared" si="189"/>
        <v>0</v>
      </c>
      <c r="BA220" s="237">
        <f t="shared" si="190"/>
        <v>0</v>
      </c>
      <c r="BB220" s="26">
        <f t="shared" si="190"/>
        <v>0</v>
      </c>
      <c r="BC220" s="27">
        <f t="shared" si="190"/>
        <v>0</v>
      </c>
      <c r="BD220" s="237">
        <f t="shared" si="191"/>
        <v>0</v>
      </c>
      <c r="BE220" s="26">
        <f t="shared" si="191"/>
        <v>0</v>
      </c>
      <c r="BF220" s="27">
        <f t="shared" si="191"/>
        <v>0</v>
      </c>
      <c r="BG220" s="237">
        <f t="shared" si="192"/>
        <v>0</v>
      </c>
      <c r="BH220" s="26">
        <f t="shared" si="192"/>
        <v>0</v>
      </c>
      <c r="BI220" s="27">
        <f t="shared" si="192"/>
        <v>0</v>
      </c>
      <c r="BJ220" s="454"/>
    </row>
    <row r="221" spans="1:62" s="28" customFormat="1" hidden="1" outlineLevel="1" x14ac:dyDescent="0.3">
      <c r="A221" s="21" t="s">
        <v>260</v>
      </c>
      <c r="B221" s="2"/>
      <c r="C221" s="23" t="s">
        <v>60</v>
      </c>
      <c r="D221" s="24"/>
      <c r="E221" s="24"/>
      <c r="F221" s="39"/>
      <c r="G221" s="32"/>
      <c r="H221" s="237"/>
      <c r="I221" s="26">
        <f>-SUMIFS(T_ORCAMENTOS!$E:$E,T_ORCAMENTOS!$C:$C,"Seguro Patrimonial",T_ORCAMENTOS!$H:$H,"1/2026")</f>
        <v>0</v>
      </c>
      <c r="J221" s="27">
        <f>SUMIFS(Aut_BlueMe_Sem_Pedido!$J:$J,Aut_BlueMe_Sem_Pedido!$Q:$Q,DRE!H$4,Aut_BlueMe_Sem_Pedido!$H:$H,DRE!$A221)+SUMIFS(Aut_Ajustes_Manuais!$G:$G,Aut_Ajustes_Manuais!$I:$I,DRE!H$4,Aut_Ajustes_Manuais!$F:$F,"Seguro Patrimonial")</f>
        <v>0</v>
      </c>
      <c r="K221" s="237"/>
      <c r="L221" s="26">
        <f>-SUMIFS(T_ORCAMENTOS!$E:$E,T_ORCAMENTOS!$C:$C,"Seguro Patrimonial",T_ORCAMENTOS!$H:$H,"2/2026")</f>
        <v>0</v>
      </c>
      <c r="M221" s="27">
        <f>SUMIFS(Aut_BlueMe_Sem_Pedido!$J:$J,Aut_BlueMe_Sem_Pedido!$Q:$Q,DRE!K$4,Aut_BlueMe_Sem_Pedido!$H:$H,DRE!$A221)+SUMIFS(Aut_Ajustes_Manuais!$G:$G,Aut_Ajustes_Manuais!$I:$I,DRE!K$4,Aut_Ajustes_Manuais!$F:$F,"Seguro Patrimonial")</f>
        <v>0</v>
      </c>
      <c r="N221" s="237"/>
      <c r="O221" s="26">
        <f>-SUMIFS(T_ORCAMENTOS!$E:$E,T_ORCAMENTOS!$C:$C,"Seguro Patrimonial",T_ORCAMENTOS!$H:$H,"3/2026")</f>
        <v>0</v>
      </c>
      <c r="P221" s="27">
        <f>SUMIFS(Aut_BlueMe_Sem_Pedido!$J:$J,Aut_BlueMe_Sem_Pedido!$Q:$Q,DRE!N$4,Aut_BlueMe_Sem_Pedido!$H:$H,DRE!$A221)+SUMIFS(Aut_Ajustes_Manuais!$G:$G,Aut_Ajustes_Manuais!$I:$I,DRE!N$4,Aut_Ajustes_Manuais!$F:$F,"Seguro Patrimonial")</f>
        <v>0</v>
      </c>
      <c r="Q221" s="237"/>
      <c r="R221" s="26">
        <f>-SUMIFS(T_ORCAMENTOS!$E:$E,T_ORCAMENTOS!$C:$C,"Seguro Patrimonial",T_ORCAMENTOS!$H:$H,"4/2026")</f>
        <v>0</v>
      </c>
      <c r="S221" s="27">
        <f>SUMIFS(Aut_BlueMe_Sem_Pedido!$J:$J,Aut_BlueMe_Sem_Pedido!$Q:$Q,DRE!Q$4,Aut_BlueMe_Sem_Pedido!$H:$H,DRE!$A221)+SUMIFS(Aut_Ajustes_Manuais!$G:$G,Aut_Ajustes_Manuais!$I:$I,DRE!Q$4,Aut_Ajustes_Manuais!$F:$F,"Seguro Patrimonial")</f>
        <v>0</v>
      </c>
      <c r="T221" s="237"/>
      <c r="U221" s="26">
        <f>-SUMIFS(T_ORCAMENTOS!$E:$E,T_ORCAMENTOS!$C:$C,"Seguro Patrimonial",T_ORCAMENTOS!$H:$H,"5/2026")</f>
        <v>0</v>
      </c>
      <c r="V221" s="27">
        <f>SUMIFS(Aut_BlueMe_Sem_Pedido!$J:$J,Aut_BlueMe_Sem_Pedido!$Q:$Q,DRE!T$4,Aut_BlueMe_Sem_Pedido!$H:$H,DRE!$A221)+SUMIFS(Aut_Ajustes_Manuais!$G:$G,Aut_Ajustes_Manuais!$I:$I,DRE!T$4,Aut_Ajustes_Manuais!$F:$F,"Seguro Patrimonial")</f>
        <v>-506.88</v>
      </c>
      <c r="W221" s="237"/>
      <c r="X221" s="26">
        <f>-SUMIFS(T_ORCAMENTOS!$E:$E,T_ORCAMENTOS!$C:$C,"Seguro Patrimonial",T_ORCAMENTOS!$H:$H,"6/2026")</f>
        <v>0</v>
      </c>
      <c r="Y221" s="27">
        <f>SUMIFS(Aut_BlueMe_Sem_Pedido!$J:$J,Aut_BlueMe_Sem_Pedido!$Q:$Q,DRE!W$4,Aut_BlueMe_Sem_Pedido!$H:$H,DRE!$A221)+SUMIFS(Aut_Ajustes_Manuais!$G:$G,Aut_Ajustes_Manuais!$I:$I,DRE!W$4,Aut_Ajustes_Manuais!$F:$F,"Seguro Patrimonial")</f>
        <v>-506.88</v>
      </c>
      <c r="Z221" s="237"/>
      <c r="AA221" s="26">
        <f>-SUMIFS(T_ORCAMENTOS!$E:$E,T_ORCAMENTOS!$C:$C,"Seguro Patrimonial",T_ORCAMENTOS!$H:$H,"7/2026")</f>
        <v>0</v>
      </c>
      <c r="AB221" s="27">
        <f>SUMIFS(Aut_BlueMe_Sem_Pedido!$J:$J,Aut_BlueMe_Sem_Pedido!$Q:$Q,DRE!Z$4,Aut_BlueMe_Sem_Pedido!$H:$H,DRE!$A221)+SUMIFS(Aut_Ajustes_Manuais!$G:$G,Aut_Ajustes_Manuais!$I:$I,DRE!Z$4,Aut_Ajustes_Manuais!$F:$F,"Seguro Patrimonial")</f>
        <v>-506.88</v>
      </c>
      <c r="AC221" s="237"/>
      <c r="AD221" s="26">
        <f>-SUMIFS(T_ORCAMENTOS!$E:$E,T_ORCAMENTOS!$C:$C,"Seguro Patrimonial",T_ORCAMENTOS!$H:$H,"8/2026")</f>
        <v>-506.88</v>
      </c>
      <c r="AE221" s="27">
        <f>SUMIFS(Aut_BlueMe_Sem_Pedido!$J:$J,Aut_BlueMe_Sem_Pedido!$Q:$Q,DRE!AC$4,Aut_BlueMe_Sem_Pedido!$H:$H,DRE!$A221)+SUMIFS(Aut_Ajustes_Manuais!$G:$G,Aut_Ajustes_Manuais!$I:$I,DRE!AC$4,Aut_Ajustes_Manuais!$F:$F,"Seguro Patrimonial")</f>
        <v>-506.88</v>
      </c>
      <c r="AF221" s="237"/>
      <c r="AG221" s="26">
        <f>-SUMIFS(T_ORCAMENTOS!$E:$E,T_ORCAMENTOS!$C:$C,"Seguro Patrimonial",T_ORCAMENTOS!$H:$H,"9/2026")</f>
        <v>-506.88</v>
      </c>
      <c r="AH221" s="27">
        <f>SUMIFS(Aut_BlueMe_Sem_Pedido!$J:$J,Aut_BlueMe_Sem_Pedido!$Q:$Q,DRE!AF$4,Aut_BlueMe_Sem_Pedido!$H:$H,DRE!$A221)+SUMIFS(Aut_Ajustes_Manuais!$G:$G,Aut_Ajustes_Manuais!$I:$I,DRE!AF$4,Aut_Ajustes_Manuais!$F:$F,"Seguro Patrimonial")</f>
        <v>-506.88</v>
      </c>
      <c r="AI221" s="237"/>
      <c r="AJ221" s="26">
        <f>-SUMIFS(T_ORCAMENTOS!$E:$E,T_ORCAMENTOS!$C:$C,"Seguro Patrimonial",T_ORCAMENTOS!$H:$H,"10/2026")</f>
        <v>-506.88</v>
      </c>
      <c r="AK221" s="27">
        <f>SUMIFS(Aut_BlueMe_Sem_Pedido!$J:$J,Aut_BlueMe_Sem_Pedido!$Q:$Q,DRE!AI$4,Aut_BlueMe_Sem_Pedido!$H:$H,DRE!$A221)+SUMIFS(Aut_Ajustes_Manuais!$G:$G,Aut_Ajustes_Manuais!$I:$I,DRE!AI$4,Aut_Ajustes_Manuais!$F:$F,"Seguro Patrimonial")</f>
        <v>-506.88</v>
      </c>
      <c r="AL221" s="237"/>
      <c r="AM221" s="26">
        <f>-SUMIFS(T_ORCAMENTOS!$E:$E,T_ORCAMENTOS!$C:$C,"Seguro Patrimonial",T_ORCAMENTOS!$H:$H,"11/2026")</f>
        <v>-506.88</v>
      </c>
      <c r="AN221" s="27">
        <f>SUMIFS(Aut_BlueMe_Sem_Pedido!$J:$J,Aut_BlueMe_Sem_Pedido!$Q:$Q,DRE!AL$4,Aut_BlueMe_Sem_Pedido!$H:$H,DRE!$A221)+SUMIFS(Aut_Ajustes_Manuais!$G:$G,Aut_Ajustes_Manuais!$I:$I,DRE!AL$4,Aut_Ajustes_Manuais!$F:$F,"Seguro Patrimonial")</f>
        <v>-506.88</v>
      </c>
      <c r="AO221" s="237"/>
      <c r="AP221" s="26">
        <f>-SUMIFS(T_ORCAMENTOS!$E:$E,T_ORCAMENTOS!$C:$C,"Seguro Patrimonial",T_ORCAMENTOS!$H:$H,"12/2026")</f>
        <v>-506.88</v>
      </c>
      <c r="AQ221" s="27">
        <f>SUMIFS(Aut_BlueMe_Sem_Pedido!$J:$J,Aut_BlueMe_Sem_Pedido!$Q:$Q,DRE!AO$4,Aut_BlueMe_Sem_Pedido!$H:$H,DRE!$A221)+SUMIFS(Aut_Ajustes_Manuais!$G:$G,Aut_Ajustes_Manuais!$I:$I,DRE!AO$4,Aut_Ajustes_Manuais!$F:$F,"Seguro Patrimonial")</f>
        <v>-506.88</v>
      </c>
      <c r="AR221" s="237">
        <f t="shared" ca="1" si="185"/>
        <v>0</v>
      </c>
      <c r="AS221" s="26">
        <f t="shared" ca="1" si="186"/>
        <v>-506.88</v>
      </c>
      <c r="AT221" s="27">
        <f t="shared" ca="1" si="187"/>
        <v>-2027.52</v>
      </c>
      <c r="AU221" s="237">
        <f t="shared" si="188"/>
        <v>0</v>
      </c>
      <c r="AV221" s="26">
        <f t="shared" si="188"/>
        <v>-2534.4</v>
      </c>
      <c r="AW221" s="27">
        <f t="shared" si="188"/>
        <v>-4055.0400000000004</v>
      </c>
      <c r="AX221" s="237">
        <f t="shared" si="189"/>
        <v>0</v>
      </c>
      <c r="AY221" s="26">
        <f t="shared" si="189"/>
        <v>0</v>
      </c>
      <c r="AZ221" s="27">
        <f t="shared" si="189"/>
        <v>0</v>
      </c>
      <c r="BA221" s="237">
        <f t="shared" si="190"/>
        <v>0</v>
      </c>
      <c r="BB221" s="26">
        <f t="shared" si="190"/>
        <v>0</v>
      </c>
      <c r="BC221" s="27">
        <f t="shared" si="190"/>
        <v>-1013.76</v>
      </c>
      <c r="BD221" s="237">
        <f t="shared" si="191"/>
        <v>0</v>
      </c>
      <c r="BE221" s="26">
        <f t="shared" si="191"/>
        <v>-1013.76</v>
      </c>
      <c r="BF221" s="27">
        <f t="shared" si="191"/>
        <v>-1520.6399999999999</v>
      </c>
      <c r="BG221" s="237">
        <f t="shared" si="192"/>
        <v>0</v>
      </c>
      <c r="BH221" s="26">
        <f t="shared" si="192"/>
        <v>-1520.6399999999999</v>
      </c>
      <c r="BI221" s="27">
        <f t="shared" si="192"/>
        <v>-1520.6399999999999</v>
      </c>
      <c r="BJ221" s="454"/>
    </row>
    <row r="222" spans="1:62" s="28" customFormat="1" ht="16.2" hidden="1" customHeight="1" outlineLevel="1" x14ac:dyDescent="0.3">
      <c r="A222" s="21" t="s">
        <v>261</v>
      </c>
      <c r="B222" s="2"/>
      <c r="C222" s="23" t="s">
        <v>60</v>
      </c>
      <c r="D222" s="24"/>
      <c r="E222" s="53"/>
      <c r="F222" s="39"/>
      <c r="G222" s="32"/>
      <c r="H222" s="237"/>
      <c r="I222" s="26">
        <f>-SUMIFS(T_ORCAMENTOS!$E:$E,T_ORCAMENTOS!$C:$C,"Arrendamento",T_ORCAMENTOS!$H:$H,"1/2026")</f>
        <v>0</v>
      </c>
      <c r="J222" s="27">
        <f>SUMIFS(Aut_BlueMe_Sem_Pedido!$J:$J,Aut_BlueMe_Sem_Pedido!$Q:$Q,DRE!H$4,Aut_BlueMe_Sem_Pedido!$H:$H,DRE!$A222)+SUMIFS(Aut_Ajustes_Manuais!$G:$G,Aut_Ajustes_Manuais!$I:$I,DRE!H$4,Aut_Ajustes_Manuais!$F:$F,"Arrendamento")</f>
        <v>0</v>
      </c>
      <c r="K222" s="237"/>
      <c r="L222" s="26">
        <f>-SUMIFS(T_ORCAMENTOS!$E:$E,T_ORCAMENTOS!$C:$C,"Arrendamento",T_ORCAMENTOS!$H:$H,"2/2026")</f>
        <v>0</v>
      </c>
      <c r="M222" s="27">
        <f>SUMIFS(Aut_BlueMe_Sem_Pedido!$J:$J,Aut_BlueMe_Sem_Pedido!$Q:$Q,DRE!K$4,Aut_BlueMe_Sem_Pedido!$H:$H,DRE!$A222)+SUMIFS(Aut_Ajustes_Manuais!$G:$G,Aut_Ajustes_Manuais!$I:$I,DRE!K$4,Aut_Ajustes_Manuais!$F:$F,"Arrendamento")</f>
        <v>0</v>
      </c>
      <c r="N222" s="237"/>
      <c r="O222" s="26">
        <f>-SUMIFS(T_ORCAMENTOS!$E:$E,T_ORCAMENTOS!$C:$C,"Arrendamento",T_ORCAMENTOS!$H:$H,"3/2026")</f>
        <v>0</v>
      </c>
      <c r="P222" s="27">
        <f>SUMIFS(Aut_BlueMe_Sem_Pedido!$J:$J,Aut_BlueMe_Sem_Pedido!$Q:$Q,DRE!N$4,Aut_BlueMe_Sem_Pedido!$H:$H,DRE!$A222)+SUMIFS(Aut_Ajustes_Manuais!$G:$G,Aut_Ajustes_Manuais!$I:$I,DRE!N$4,Aut_Ajustes_Manuais!$F:$F,"Arrendamento")</f>
        <v>0</v>
      </c>
      <c r="Q222" s="237"/>
      <c r="R222" s="26">
        <f>-SUMIFS(T_ORCAMENTOS!$E:$E,T_ORCAMENTOS!$C:$C,"Arrendamento",T_ORCAMENTOS!$H:$H,"4/2026")</f>
        <v>0</v>
      </c>
      <c r="S222" s="27">
        <f>SUMIFS(Aut_BlueMe_Sem_Pedido!$J:$J,Aut_BlueMe_Sem_Pedido!$Q:$Q,DRE!Q$4,Aut_BlueMe_Sem_Pedido!$H:$H,DRE!$A222)+SUMIFS(Aut_Ajustes_Manuais!$G:$G,Aut_Ajustes_Manuais!$I:$I,DRE!Q$4,Aut_Ajustes_Manuais!$F:$F,"Arrendamento")</f>
        <v>0</v>
      </c>
      <c r="T222" s="237"/>
      <c r="U222" s="26">
        <f>-SUMIFS(T_ORCAMENTOS!$E:$E,T_ORCAMENTOS!$C:$C,"Arrendamento",T_ORCAMENTOS!$H:$H,"5/2026")</f>
        <v>0</v>
      </c>
      <c r="V222" s="27">
        <f>SUMIFS(Aut_BlueMe_Sem_Pedido!$J:$J,Aut_BlueMe_Sem_Pedido!$Q:$Q,DRE!T$4,Aut_BlueMe_Sem_Pedido!$H:$H,DRE!$A222)+SUMIFS(Aut_Ajustes_Manuais!$G:$G,Aut_Ajustes_Manuais!$I:$I,DRE!T$4,Aut_Ajustes_Manuais!$F:$F,"Arrendamento")</f>
        <v>0</v>
      </c>
      <c r="W222" s="237"/>
      <c r="X222" s="26">
        <f>-SUMIFS(T_ORCAMENTOS!$E:$E,T_ORCAMENTOS!$C:$C,"Arrendamento",T_ORCAMENTOS!$H:$H,"6/2026")</f>
        <v>0</v>
      </c>
      <c r="Y222" s="27">
        <f>SUMIFS(Aut_BlueMe_Sem_Pedido!$J:$J,Aut_BlueMe_Sem_Pedido!$Q:$Q,DRE!W$4,Aut_BlueMe_Sem_Pedido!$H:$H,DRE!$A222)+SUMIFS(Aut_Ajustes_Manuais!$G:$G,Aut_Ajustes_Manuais!$I:$I,DRE!W$4,Aut_Ajustes_Manuais!$F:$F,"Arrendamento")</f>
        <v>0</v>
      </c>
      <c r="Z222" s="237"/>
      <c r="AA222" s="26">
        <f>-SUMIFS(T_ORCAMENTOS!$E:$E,T_ORCAMENTOS!$C:$C,"Arrendamento",T_ORCAMENTOS!$H:$H,"7/2026")</f>
        <v>0</v>
      </c>
      <c r="AB222" s="27">
        <f>SUMIFS(Aut_BlueMe_Sem_Pedido!$J:$J,Aut_BlueMe_Sem_Pedido!$Q:$Q,DRE!Z$4,Aut_BlueMe_Sem_Pedido!$H:$H,DRE!$A222)+SUMIFS(Aut_Ajustes_Manuais!$G:$G,Aut_Ajustes_Manuais!$I:$I,DRE!Z$4,Aut_Ajustes_Manuais!$F:$F,"Arrendamento")</f>
        <v>0</v>
      </c>
      <c r="AC222" s="237"/>
      <c r="AD222" s="26">
        <f>-SUMIFS(T_ORCAMENTOS!$E:$E,T_ORCAMENTOS!$C:$C,"Arrendamento",T_ORCAMENTOS!$H:$H,"8/2026")</f>
        <v>0</v>
      </c>
      <c r="AE222" s="27">
        <f>SUMIFS(Aut_BlueMe_Sem_Pedido!$J:$J,Aut_BlueMe_Sem_Pedido!$Q:$Q,DRE!AC$4,Aut_BlueMe_Sem_Pedido!$H:$H,DRE!$A222)+SUMIFS(Aut_Ajustes_Manuais!$G:$G,Aut_Ajustes_Manuais!$I:$I,DRE!AC$4,Aut_Ajustes_Manuais!$F:$F,"Arrendamento")</f>
        <v>0</v>
      </c>
      <c r="AF222" s="237"/>
      <c r="AG222" s="26">
        <f>-SUMIFS(T_ORCAMENTOS!$E:$E,T_ORCAMENTOS!$C:$C,"Arrendamento",T_ORCAMENTOS!$H:$H,"9/2026")</f>
        <v>0</v>
      </c>
      <c r="AH222" s="27">
        <f>SUMIFS(Aut_BlueMe_Sem_Pedido!$J:$J,Aut_BlueMe_Sem_Pedido!$Q:$Q,DRE!AF$4,Aut_BlueMe_Sem_Pedido!$H:$H,DRE!$A222)+SUMIFS(Aut_Ajustes_Manuais!$G:$G,Aut_Ajustes_Manuais!$I:$I,DRE!AF$4,Aut_Ajustes_Manuais!$F:$F,"Arrendamento")</f>
        <v>0</v>
      </c>
      <c r="AI222" s="237"/>
      <c r="AJ222" s="26">
        <f>-SUMIFS(T_ORCAMENTOS!$E:$E,T_ORCAMENTOS!$C:$C,"Arrendamento",T_ORCAMENTOS!$H:$H,"10/2026")</f>
        <v>0</v>
      </c>
      <c r="AK222" s="27">
        <f>SUMIFS(Aut_BlueMe_Sem_Pedido!$J:$J,Aut_BlueMe_Sem_Pedido!$Q:$Q,DRE!AI$4,Aut_BlueMe_Sem_Pedido!$H:$H,DRE!$A222)+SUMIFS(Aut_Ajustes_Manuais!$G:$G,Aut_Ajustes_Manuais!$I:$I,DRE!AI$4,Aut_Ajustes_Manuais!$F:$F,"Arrendamento")</f>
        <v>0</v>
      </c>
      <c r="AL222" s="237"/>
      <c r="AM222" s="26">
        <f>-SUMIFS(T_ORCAMENTOS!$E:$E,T_ORCAMENTOS!$C:$C,"Arrendamento",T_ORCAMENTOS!$H:$H,"11/2026")</f>
        <v>0</v>
      </c>
      <c r="AN222" s="27">
        <f>SUMIFS(Aut_BlueMe_Sem_Pedido!$J:$J,Aut_BlueMe_Sem_Pedido!$Q:$Q,DRE!AL$4,Aut_BlueMe_Sem_Pedido!$H:$H,DRE!$A222)+SUMIFS(Aut_Ajustes_Manuais!$G:$G,Aut_Ajustes_Manuais!$I:$I,DRE!AL$4,Aut_Ajustes_Manuais!$F:$F,"Arrendamento")</f>
        <v>0</v>
      </c>
      <c r="AO222" s="237"/>
      <c r="AP222" s="26">
        <f>-SUMIFS(T_ORCAMENTOS!$E:$E,T_ORCAMENTOS!$C:$C,"Arrendamento",T_ORCAMENTOS!$H:$H,"12/2026")</f>
        <v>0</v>
      </c>
      <c r="AQ222" s="27">
        <f>SUMIFS(Aut_BlueMe_Sem_Pedido!$J:$J,Aut_BlueMe_Sem_Pedido!$Q:$Q,DRE!AO$4,Aut_BlueMe_Sem_Pedido!$H:$H,DRE!$A222)+SUMIFS(Aut_Ajustes_Manuais!$G:$G,Aut_Ajustes_Manuais!$I:$I,DRE!AO$4,Aut_Ajustes_Manuais!$F:$F,"Arrendamento")</f>
        <v>0</v>
      </c>
      <c r="AR222" s="237">
        <f t="shared" ca="1" si="185"/>
        <v>0</v>
      </c>
      <c r="AS222" s="26">
        <f t="shared" ca="1" si="186"/>
        <v>0</v>
      </c>
      <c r="AT222" s="27">
        <f t="shared" ca="1" si="187"/>
        <v>0</v>
      </c>
      <c r="AU222" s="237">
        <f t="shared" si="188"/>
        <v>0</v>
      </c>
      <c r="AV222" s="26">
        <f t="shared" si="188"/>
        <v>0</v>
      </c>
      <c r="AW222" s="27">
        <f t="shared" si="188"/>
        <v>0</v>
      </c>
      <c r="AX222" s="237">
        <f t="shared" si="189"/>
        <v>0</v>
      </c>
      <c r="AY222" s="26">
        <f t="shared" si="189"/>
        <v>0</v>
      </c>
      <c r="AZ222" s="27">
        <f t="shared" si="189"/>
        <v>0</v>
      </c>
      <c r="BA222" s="237">
        <f t="shared" si="190"/>
        <v>0</v>
      </c>
      <c r="BB222" s="26">
        <f t="shared" si="190"/>
        <v>0</v>
      </c>
      <c r="BC222" s="27">
        <f t="shared" si="190"/>
        <v>0</v>
      </c>
      <c r="BD222" s="237">
        <f t="shared" si="191"/>
        <v>0</v>
      </c>
      <c r="BE222" s="26">
        <f t="shared" si="191"/>
        <v>0</v>
      </c>
      <c r="BF222" s="27">
        <f t="shared" si="191"/>
        <v>0</v>
      </c>
      <c r="BG222" s="237">
        <f t="shared" si="192"/>
        <v>0</v>
      </c>
      <c r="BH222" s="26">
        <f t="shared" si="192"/>
        <v>0</v>
      </c>
      <c r="BI222" s="27">
        <f t="shared" si="192"/>
        <v>0</v>
      </c>
      <c r="BJ222" s="454"/>
    </row>
    <row r="223" spans="1:62" s="28" customFormat="1" hidden="1" outlineLevel="1" x14ac:dyDescent="0.3">
      <c r="A223" s="21" t="s">
        <v>262</v>
      </c>
      <c r="B223" s="2"/>
      <c r="C223" s="23" t="s">
        <v>60</v>
      </c>
      <c r="D223" s="107"/>
      <c r="E223" s="53"/>
      <c r="F223" s="39"/>
      <c r="G223" s="32"/>
      <c r="H223" s="237"/>
      <c r="I223" s="26">
        <f>-SUMIFS(T_ORCAMENTOS!$E:$E,T_ORCAMENTOS!$C:$C,"Taxas publicas administrativas - Ocupação",T_ORCAMENTOS!$H:$H,"1/2026")</f>
        <v>0</v>
      </c>
      <c r="J223" s="27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37"/>
      <c r="L223" s="26">
        <f>-SUMIFS(T_ORCAMENTOS!$E:$E,T_ORCAMENTOS!$C:$C,"Taxas publicas administrativas - Ocupação",T_ORCAMENTOS!$H:$H,"2/2026")</f>
        <v>0</v>
      </c>
      <c r="M223" s="27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37"/>
      <c r="O223" s="26">
        <f>-SUMIFS(T_ORCAMENTOS!$E:$E,T_ORCAMENTOS!$C:$C,"Taxas publicas administrativas - Ocupação",T_ORCAMENTOS!$H:$H,"3/2026")</f>
        <v>0</v>
      </c>
      <c r="P223" s="27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37"/>
      <c r="R223" s="26">
        <f>-SUMIFS(T_ORCAMENTOS!$E:$E,T_ORCAMENTOS!$C:$C,"Taxas publicas administrativas - Ocupação",T_ORCAMENTOS!$H:$H,"4/2026")</f>
        <v>0</v>
      </c>
      <c r="S223" s="27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37"/>
      <c r="U223" s="26">
        <f>-SUMIFS(T_ORCAMENTOS!$E:$E,T_ORCAMENTOS!$C:$C,"Taxas publicas administrativas - Ocupação",T_ORCAMENTOS!$H:$H,"5/2026")</f>
        <v>0</v>
      </c>
      <c r="V223" s="27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37"/>
      <c r="X223" s="26">
        <f>-SUMIFS(T_ORCAMENTOS!$E:$E,T_ORCAMENTOS!$C:$C,"Taxas publicas administrativas - Ocupação",T_ORCAMENTOS!$H:$H,"6/2026")</f>
        <v>0</v>
      </c>
      <c r="Y223" s="27">
        <f>SUMIFS(Aut_BlueMe_Sem_Pedido!$J:$J,Aut_BlueMe_Sem_Pedido!$Q:$Q,DRE!W$4,Aut_BlueMe_Sem_Pedido!$H:$H,DRE!$A223)+SUMIFS(Aut_Ajustes_Manuais!$G:$G,Aut_Ajustes_Manuais!$I:$I,DRE!W$4,Aut_Ajustes_Manuais!$F:$F,"Taxas publicas administrativas - Ocupação")</f>
        <v>-472.7</v>
      </c>
      <c r="Z223" s="237"/>
      <c r="AA223" s="26">
        <f>-SUMIFS(T_ORCAMENTOS!$E:$E,T_ORCAMENTOS!$C:$C,"Taxas publicas administrativas - Ocupação",T_ORCAMENTOS!$H:$H,"7/2026")</f>
        <v>0</v>
      </c>
      <c r="AB223" s="27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37"/>
      <c r="AD223" s="26">
        <f>-SUMIFS(T_ORCAMENTOS!$E:$E,T_ORCAMENTOS!$C:$C,"Taxas publicas administrativas - Ocupação",T_ORCAMENTOS!$H:$H,"8/2026")</f>
        <v>0</v>
      </c>
      <c r="AE223" s="27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37"/>
      <c r="AG223" s="26">
        <f>-SUMIFS(T_ORCAMENTOS!$E:$E,T_ORCAMENTOS!$C:$C,"Taxas publicas administrativas - Ocupação",T_ORCAMENTOS!$H:$H,"9/2026")</f>
        <v>0</v>
      </c>
      <c r="AH223" s="27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37"/>
      <c r="AJ223" s="26">
        <f>-SUMIFS(T_ORCAMENTOS!$E:$E,T_ORCAMENTOS!$C:$C,"Taxas publicas administrativas - Ocupação",T_ORCAMENTOS!$H:$H,"10/2026")</f>
        <v>0</v>
      </c>
      <c r="AK223" s="27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37"/>
      <c r="AM223" s="26">
        <f>-SUMIFS(T_ORCAMENTOS!$E:$E,T_ORCAMENTOS!$C:$C,"Taxas publicas administrativas - Ocupação",T_ORCAMENTOS!$H:$H,"11/2026")</f>
        <v>0</v>
      </c>
      <c r="AN223" s="27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37"/>
      <c r="AP223" s="26">
        <f>-SUMIFS(T_ORCAMENTOS!$E:$E,T_ORCAMENTOS!$C:$C,"Taxas publicas administrativas - Ocupação",T_ORCAMENTOS!$H:$H,"12/2026")</f>
        <v>0</v>
      </c>
      <c r="AQ223" s="27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37">
        <f t="shared" ca="1" si="185"/>
        <v>0</v>
      </c>
      <c r="AS223" s="26">
        <f t="shared" ca="1" si="186"/>
        <v>0</v>
      </c>
      <c r="AT223" s="27">
        <f t="shared" ca="1" si="187"/>
        <v>-472.7</v>
      </c>
      <c r="AU223" s="237">
        <f t="shared" si="188"/>
        <v>0</v>
      </c>
      <c r="AV223" s="26">
        <f t="shared" si="188"/>
        <v>0</v>
      </c>
      <c r="AW223" s="27">
        <f t="shared" si="188"/>
        <v>-472.7</v>
      </c>
      <c r="AX223" s="237">
        <f t="shared" si="189"/>
        <v>0</v>
      </c>
      <c r="AY223" s="26">
        <f t="shared" si="189"/>
        <v>0</v>
      </c>
      <c r="AZ223" s="27">
        <f t="shared" si="189"/>
        <v>0</v>
      </c>
      <c r="BA223" s="237">
        <f t="shared" si="190"/>
        <v>0</v>
      </c>
      <c r="BB223" s="26">
        <f t="shared" si="190"/>
        <v>0</v>
      </c>
      <c r="BC223" s="27">
        <f t="shared" si="190"/>
        <v>-472.7</v>
      </c>
      <c r="BD223" s="237">
        <f t="shared" si="191"/>
        <v>0</v>
      </c>
      <c r="BE223" s="26">
        <f t="shared" si="191"/>
        <v>0</v>
      </c>
      <c r="BF223" s="27">
        <f t="shared" si="191"/>
        <v>0</v>
      </c>
      <c r="BG223" s="237">
        <f t="shared" si="192"/>
        <v>0</v>
      </c>
      <c r="BH223" s="26">
        <f t="shared" si="192"/>
        <v>0</v>
      </c>
      <c r="BI223" s="27">
        <f t="shared" si="192"/>
        <v>0</v>
      </c>
      <c r="BJ223" s="454"/>
    </row>
    <row r="224" spans="1:62" collapsed="1" x14ac:dyDescent="0.3">
      <c r="A224" s="69" t="s">
        <v>44</v>
      </c>
      <c r="B224" s="57"/>
      <c r="C224" s="58"/>
      <c r="D224" s="59"/>
      <c r="E224" s="60"/>
      <c r="F224" s="61"/>
      <c r="G224" s="45"/>
      <c r="H224" s="241"/>
      <c r="I224" s="48">
        <f>IFERROR(I216/I8,0)</f>
        <v>0</v>
      </c>
      <c r="J224" s="49">
        <f>IFERROR(J216/J8,0)+SUMIFS(Aut_Ajustes_Manuais!$G:$G,Aut_Ajustes_Manuais!$I:$I,DRE!H$4,Aut_Ajustes_Manuais!$F:$F,"% sobre Receita Bruta")</f>
        <v>0</v>
      </c>
      <c r="K224" s="241"/>
      <c r="L224" s="48">
        <f>IFERROR(L216/L8,0)</f>
        <v>0</v>
      </c>
      <c r="M224" s="49">
        <f>IFERROR(M216/M8,0)+SUMIFS(Aut_Ajustes_Manuais!$G:$G,Aut_Ajustes_Manuais!$I:$I,DRE!K$4,Aut_Ajustes_Manuais!$F:$F,"% sobre Receita Bruta")</f>
        <v>0</v>
      </c>
      <c r="N224" s="241"/>
      <c r="O224" s="48">
        <f>IFERROR(O216/O8,0)</f>
        <v>0</v>
      </c>
      <c r="P224" s="49">
        <f>IFERROR(P216/P8,0)+SUMIFS(Aut_Ajustes_Manuais!$G:$G,Aut_Ajustes_Manuais!$I:$I,DRE!N$4,Aut_Ajustes_Manuais!$F:$F,"% sobre Receita Bruta")</f>
        <v>0</v>
      </c>
      <c r="Q224" s="241"/>
      <c r="R224" s="48">
        <f>IFERROR(R216/R8,0)</f>
        <v>0</v>
      </c>
      <c r="S224" s="49">
        <f>IFERROR(S216/S8,0)+SUMIFS(Aut_Ajustes_Manuais!$G:$G,Aut_Ajustes_Manuais!$I:$I,DRE!Q$4,Aut_Ajustes_Manuais!$F:$F,"% sobre Receita Bruta")</f>
        <v>0</v>
      </c>
      <c r="T224" s="241"/>
      <c r="U224" s="48">
        <f>IFERROR(U216/U8,0)</f>
        <v>0</v>
      </c>
      <c r="V224" s="49">
        <f>IFERROR(V216/V8,0)+SUMIFS(Aut_Ajustes_Manuais!$G:$G,Aut_Ajustes_Manuais!$I:$I,DRE!T$4,Aut_Ajustes_Manuais!$F:$F,"% sobre Receita Bruta")</f>
        <v>0</v>
      </c>
      <c r="W224" s="241"/>
      <c r="X224" s="48">
        <f>IFERROR(X216/X8,0)</f>
        <v>0</v>
      </c>
      <c r="Y224" s="49">
        <f>IFERROR(Y216/Y8,0)+SUMIFS(Aut_Ajustes_Manuais!$G:$G,Aut_Ajustes_Manuais!$I:$I,DRE!W$4,Aut_Ajustes_Manuais!$F:$F,"% sobre Receita Bruta")</f>
        <v>0</v>
      </c>
      <c r="Z224" s="241"/>
      <c r="AA224" s="48">
        <f>IFERROR(AA216/AA8,0)</f>
        <v>0</v>
      </c>
      <c r="AB224" s="49">
        <f>IFERROR(AB216/AB8,0)+SUMIFS(Aut_Ajustes_Manuais!$G:$G,Aut_Ajustes_Manuais!$I:$I,DRE!Z$4,Aut_Ajustes_Manuais!$F:$F,"% sobre Receita Bruta")</f>
        <v>-0.41245921623904808</v>
      </c>
      <c r="AC224" s="241"/>
      <c r="AD224" s="48">
        <f>IFERROR(AD216/AD8,0)</f>
        <v>-3.113141165236042E-2</v>
      </c>
      <c r="AE224" s="49">
        <f>IFERROR(AE216/AE8,0)+SUMIFS(Aut_Ajustes_Manuais!$G:$G,Aut_Ajustes_Manuais!$I:$I,DRE!AC$4,Aut_Ajustes_Manuais!$F:$F,"% sobre Receita Bruta")</f>
        <v>0</v>
      </c>
      <c r="AF224" s="241"/>
      <c r="AG224" s="48">
        <f>IFERROR(AG216/AG8,0)</f>
        <v>-3.2132965933831123E-2</v>
      </c>
      <c r="AH224" s="49">
        <f>IFERROR(AH216/AH8,0)+SUMIFS(Aut_Ajustes_Manuais!$G:$G,Aut_Ajustes_Manuais!$I:$I,DRE!AF$4,Aut_Ajustes_Manuais!$F:$F,"% sobre Receita Bruta")</f>
        <v>0</v>
      </c>
      <c r="AI224" s="241"/>
      <c r="AJ224" s="48">
        <f>IFERROR(AJ216/AJ8,0)</f>
        <v>-2.9276348280214758E-2</v>
      </c>
      <c r="AK224" s="49">
        <f>IFERROR(AK216/AK8,0)+SUMIFS(Aut_Ajustes_Manuais!$G:$G,Aut_Ajustes_Manuais!$I:$I,DRE!AI$4,Aut_Ajustes_Manuais!$F:$F,"% sobre Receita Bruta")</f>
        <v>0</v>
      </c>
      <c r="AL224" s="241"/>
      <c r="AM224" s="48">
        <f>IFERROR(AM216/AM8,0)</f>
        <v>-3.1780372763199359E-2</v>
      </c>
      <c r="AN224" s="49">
        <f>IFERROR(AN216/AN8,0)+SUMIFS(Aut_Ajustes_Manuais!$G:$G,Aut_Ajustes_Manuais!$I:$I,DRE!AL$4,Aut_Ajustes_Manuais!$F:$F,"% sobre Receita Bruta")</f>
        <v>0</v>
      </c>
      <c r="AO224" s="241"/>
      <c r="AP224" s="48">
        <f>IFERROR(AP216/AP8,0)</f>
        <v>-2.9170524410168625E-2</v>
      </c>
      <c r="AQ224" s="49">
        <f>IFERROR(AQ216/AQ8,0)+SUMIFS(Aut_Ajustes_Manuais!$G:$G,Aut_Ajustes_Manuais!$I:$I,DRE!AO$4,Aut_Ajustes_Manuais!$F:$F,"% sobre Receita Bruta")</f>
        <v>0</v>
      </c>
      <c r="AR224" s="241">
        <f t="shared" ref="AR224:BI224" ca="1" si="193">IFERROR(AR216/AR8,0)</f>
        <v>0</v>
      </c>
      <c r="AS224" s="48">
        <f t="shared" ca="1" si="193"/>
        <v>-3.113141165236042E-2</v>
      </c>
      <c r="AT224" s="49">
        <f t="shared" ca="1" si="193"/>
        <v>-3.0436973710931383</v>
      </c>
      <c r="AU224" s="241">
        <f t="shared" si="193"/>
        <v>0</v>
      </c>
      <c r="AV224" s="48">
        <f t="shared" si="193"/>
        <v>-3.0647209180175151E-2</v>
      </c>
      <c r="AW224" s="49">
        <f t="shared" si="193"/>
        <v>-4.6935342360493308</v>
      </c>
      <c r="AX224" s="241">
        <f t="shared" si="193"/>
        <v>0</v>
      </c>
      <c r="AY224" s="48">
        <f t="shared" si="193"/>
        <v>0</v>
      </c>
      <c r="AZ224" s="49">
        <f t="shared" si="193"/>
        <v>0</v>
      </c>
      <c r="BA224" s="241">
        <f t="shared" si="193"/>
        <v>0</v>
      </c>
      <c r="BB224" s="48">
        <f t="shared" si="193"/>
        <v>0</v>
      </c>
      <c r="BC224" s="49">
        <f t="shared" si="193"/>
        <v>0</v>
      </c>
      <c r="BD224" s="241">
        <f t="shared" si="193"/>
        <v>0</v>
      </c>
      <c r="BE224" s="48">
        <f t="shared" si="193"/>
        <v>-3.162426086416479E-2</v>
      </c>
      <c r="BF224" s="49">
        <f t="shared" si="193"/>
        <v>-1.2373776487171442</v>
      </c>
      <c r="BG224" s="241">
        <f t="shared" si="193"/>
        <v>0</v>
      </c>
      <c r="BH224" s="48">
        <f t="shared" si="193"/>
        <v>-3.0028705196657676E-2</v>
      </c>
      <c r="BI224" s="49">
        <f t="shared" si="193"/>
        <v>0</v>
      </c>
    </row>
    <row r="225" spans="1:62" x14ac:dyDescent="0.3">
      <c r="A225" s="17"/>
      <c r="E225" s="15"/>
      <c r="F225" s="16"/>
      <c r="H225" s="257"/>
      <c r="I225" s="229"/>
      <c r="J225" s="108"/>
      <c r="K225" s="257"/>
      <c r="L225" s="229"/>
      <c r="M225" s="108"/>
      <c r="N225" s="257"/>
      <c r="O225" s="229"/>
      <c r="P225" s="108"/>
      <c r="Q225" s="257"/>
      <c r="R225" s="229"/>
      <c r="S225" s="108"/>
      <c r="T225" s="257"/>
      <c r="U225" s="229"/>
      <c r="V225" s="108"/>
      <c r="W225" s="257"/>
      <c r="X225" s="229"/>
      <c r="Y225" s="108"/>
      <c r="Z225" s="257"/>
      <c r="AA225" s="229"/>
      <c r="AB225" s="108"/>
      <c r="AC225" s="257"/>
      <c r="AD225" s="229"/>
      <c r="AE225" s="108"/>
      <c r="AF225" s="257"/>
      <c r="AG225" s="229"/>
      <c r="AH225" s="108"/>
      <c r="AI225" s="257"/>
      <c r="AJ225" s="229"/>
      <c r="AK225" s="108"/>
      <c r="AL225" s="257"/>
      <c r="AM225" s="229"/>
      <c r="AN225" s="108"/>
      <c r="AO225" s="257"/>
      <c r="AP225" s="229"/>
      <c r="AQ225" s="108"/>
      <c r="AR225" s="257"/>
      <c r="AS225" s="229"/>
      <c r="AT225" s="108"/>
      <c r="AU225" s="257"/>
      <c r="AV225" s="229"/>
      <c r="AW225" s="108"/>
      <c r="AX225" s="257"/>
      <c r="AY225" s="229"/>
      <c r="AZ225" s="108"/>
      <c r="BA225" s="257"/>
      <c r="BB225" s="229"/>
      <c r="BC225" s="108"/>
      <c r="BD225" s="257"/>
      <c r="BE225" s="229"/>
      <c r="BF225" s="108"/>
      <c r="BG225" s="257"/>
      <c r="BH225" s="229"/>
      <c r="BI225" s="108"/>
    </row>
    <row r="226" spans="1:62" x14ac:dyDescent="0.3">
      <c r="A226" s="37" t="s">
        <v>263</v>
      </c>
      <c r="C226" s="38" t="s">
        <v>35</v>
      </c>
      <c r="D226" s="38" t="s">
        <v>36</v>
      </c>
      <c r="E226" s="38" t="s">
        <v>201</v>
      </c>
      <c r="F226" s="39"/>
      <c r="H226" s="240"/>
      <c r="I226" s="40">
        <f>SUM(I227:I240)</f>
        <v>0</v>
      </c>
      <c r="J226" s="41">
        <f>SUM(J227:J240)+SUMIFS(Aut_Ajustes_Manuais!$G:$G,Aut_Ajustes_Manuais!$I:$I,DRE!H$4,Aut_Ajustes_Manuais!$F:$F,"Utilidades")</f>
        <v>-15743.01</v>
      </c>
      <c r="K226" s="240"/>
      <c r="L226" s="40">
        <f>SUM(L227:L240)</f>
        <v>0</v>
      </c>
      <c r="M226" s="41">
        <f>SUM(M227:M240)+SUMIFS(Aut_Ajustes_Manuais!$G:$G,Aut_Ajustes_Manuais!$I:$I,DRE!K$4,Aut_Ajustes_Manuais!$F:$F,"Utilidades")</f>
        <v>-15851.01</v>
      </c>
      <c r="N226" s="240"/>
      <c r="O226" s="40">
        <f>SUM(O227:O240)</f>
        <v>0</v>
      </c>
      <c r="P226" s="41">
        <f>SUM(P227:P240)+SUMIFS(Aut_Ajustes_Manuais!$G:$G,Aut_Ajustes_Manuais!$I:$I,DRE!N$4,Aut_Ajustes_Manuais!$F:$F,"Utilidades")</f>
        <v>-16007.85</v>
      </c>
      <c r="Q226" s="240"/>
      <c r="R226" s="40">
        <f>SUM(R227:R240)</f>
        <v>0</v>
      </c>
      <c r="S226" s="41">
        <f>SUM(S227:S240)+SUMIFS(Aut_Ajustes_Manuais!$G:$G,Aut_Ajustes_Manuais!$I:$I,DRE!Q$4,Aut_Ajustes_Manuais!$F:$F,"Utilidades")</f>
        <v>-1221.55</v>
      </c>
      <c r="T226" s="240"/>
      <c r="U226" s="40">
        <f>SUM(U227:U240)</f>
        <v>0</v>
      </c>
      <c r="V226" s="41">
        <f>SUM(V227:V240)+SUMIFS(Aut_Ajustes_Manuais!$G:$G,Aut_Ajustes_Manuais!$I:$I,DRE!T$4,Aut_Ajustes_Manuais!$F:$F,"Utilidades")</f>
        <v>-5289.88</v>
      </c>
      <c r="W226" s="240"/>
      <c r="X226" s="40">
        <f>SUM(X227:X240)</f>
        <v>0</v>
      </c>
      <c r="Y226" s="41">
        <f>SUM(Y227:Y240)+SUMIFS(Aut_Ajustes_Manuais!$G:$G,Aut_Ajustes_Manuais!$I:$I,DRE!W$4,Aut_Ajustes_Manuais!$F:$F,"Utilidades")</f>
        <v>-15266.279999999995</v>
      </c>
      <c r="Z226" s="240"/>
      <c r="AA226" s="40">
        <f>SUM(AA227:AA240)</f>
        <v>0</v>
      </c>
      <c r="AB226" s="41">
        <f>SUM(AB227:AB240)+SUMIFS(Aut_Ajustes_Manuais!$G:$G,Aut_Ajustes_Manuais!$I:$I,DRE!Z$4,Aut_Ajustes_Manuais!$F:$F,"Utilidades")</f>
        <v>-77121.259999999995</v>
      </c>
      <c r="AC226" s="240"/>
      <c r="AD226" s="40">
        <f>SUM(AD227:AD240)</f>
        <v>-147481.9</v>
      </c>
      <c r="AE226" s="41">
        <f>SUM(AE227:AE240)+SUMIFS(Aut_Ajustes_Manuais!$G:$G,Aut_Ajustes_Manuais!$I:$I,DRE!AC$4,Aut_Ajustes_Manuais!$F:$F,"Utilidades")</f>
        <v>-1500</v>
      </c>
      <c r="AF226" s="240"/>
      <c r="AG226" s="40">
        <f>SUM(AG227:AG240)</f>
        <v>-149348.70000000001</v>
      </c>
      <c r="AH226" s="41">
        <f>SUM(AH227:AH240)+SUMIFS(Aut_Ajustes_Manuais!$G:$G,Aut_Ajustes_Manuais!$I:$I,DRE!AF$4,Aut_Ajustes_Manuais!$F:$F,"Utilidades")</f>
        <v>-1500</v>
      </c>
      <c r="AI226" s="240"/>
      <c r="AJ226" s="40">
        <f>SUM(AJ227:AJ240)</f>
        <v>-148240.65</v>
      </c>
      <c r="AK226" s="41">
        <f>SUM(AK227:AK240)+SUMIFS(Aut_Ajustes_Manuais!$G:$G,Aut_Ajustes_Manuais!$I:$I,DRE!AI$4,Aut_Ajustes_Manuais!$F:$F,"Utilidades")</f>
        <v>-1500</v>
      </c>
      <c r="AL226" s="240"/>
      <c r="AM226" s="40">
        <f>SUM(AM227:AM240)</f>
        <v>-147237.4</v>
      </c>
      <c r="AN226" s="41">
        <f>SUM(AN227:AN240)+SUMIFS(Aut_Ajustes_Manuais!$G:$G,Aut_Ajustes_Manuais!$I:$I,DRE!AL$4,Aut_Ajustes_Manuais!$F:$F,"Utilidades")</f>
        <v>-1500</v>
      </c>
      <c r="AO226" s="240"/>
      <c r="AP226" s="40">
        <f>SUM(AP227:AP240)</f>
        <v>-148286.79999999999</v>
      </c>
      <c r="AQ226" s="41">
        <f>SUM(AQ227:AQ240)+SUMIFS(Aut_Ajustes_Manuais!$G:$G,Aut_Ajustes_Manuais!$I:$I,DRE!AO$4,Aut_Ajustes_Manuais!$F:$F,"Utilidades")</f>
        <v>-1500</v>
      </c>
      <c r="AR226" s="240">
        <f t="shared" ref="AR226:BI226" ca="1" si="194">SUM(AR227:AR240)</f>
        <v>0</v>
      </c>
      <c r="AS226" s="40">
        <f t="shared" ca="1" si="194"/>
        <v>-147481.9</v>
      </c>
      <c r="AT226" s="41">
        <f t="shared" ca="1" si="194"/>
        <v>-148000.84</v>
      </c>
      <c r="AU226" s="240">
        <f t="shared" si="194"/>
        <v>0</v>
      </c>
      <c r="AV226" s="40">
        <f t="shared" si="194"/>
        <v>-740595.45</v>
      </c>
      <c r="AW226" s="41">
        <f t="shared" si="194"/>
        <v>-154000.84</v>
      </c>
      <c r="AX226" s="240">
        <f t="shared" si="194"/>
        <v>0</v>
      </c>
      <c r="AY226" s="40">
        <f t="shared" si="194"/>
        <v>0</v>
      </c>
      <c r="AZ226" s="41">
        <f t="shared" si="194"/>
        <v>-47601.87</v>
      </c>
      <c r="BA226" s="240">
        <f t="shared" si="194"/>
        <v>0</v>
      </c>
      <c r="BB226" s="40">
        <f t="shared" si="194"/>
        <v>0</v>
      </c>
      <c r="BC226" s="41">
        <f t="shared" si="194"/>
        <v>-21777.709999999992</v>
      </c>
      <c r="BD226" s="240">
        <f t="shared" si="194"/>
        <v>0</v>
      </c>
      <c r="BE226" s="40">
        <f t="shared" si="194"/>
        <v>-296830.59999999998</v>
      </c>
      <c r="BF226" s="41">
        <f t="shared" si="194"/>
        <v>-80121.259999999995</v>
      </c>
      <c r="BG226" s="240">
        <f t="shared" si="194"/>
        <v>0</v>
      </c>
      <c r="BH226" s="40">
        <f t="shared" si="194"/>
        <v>-443764.85000000003</v>
      </c>
      <c r="BI226" s="41">
        <f t="shared" si="194"/>
        <v>-4500</v>
      </c>
    </row>
    <row r="227" spans="1:62" s="28" customFormat="1" hidden="1" outlineLevel="1" x14ac:dyDescent="0.3">
      <c r="A227" s="21" t="s">
        <v>264</v>
      </c>
      <c r="B227" s="22"/>
      <c r="C227" s="23" t="s">
        <v>60</v>
      </c>
      <c r="D227" s="109">
        <v>-14800</v>
      </c>
      <c r="E227" s="110">
        <v>-8.0000000000000004E-4</v>
      </c>
      <c r="F227" s="54"/>
      <c r="G227" s="32"/>
      <c r="H227" s="237"/>
      <c r="I227" s="26">
        <f>-SUMIFS(T_ORCAMENTOS!$E:$E,T_ORCAMENTOS!$C:$C,"Agua/Esgoto",T_ORCAMENTOS!$H:$H,"1/2026")</f>
        <v>0</v>
      </c>
      <c r="J227" s="27">
        <f>SUMIFS(Aut_BlueMe_Sem_Pedido!$J:$J,Aut_BlueMe_Sem_Pedido!$Q:$Q,DRE!H$4,Aut_BlueMe_Sem_Pedido!$H:$H,DRE!$A227)+SUMIFS(Aut_Ajustes_Manuais!$G:$G,Aut_Ajustes_Manuais!$I:$I,DRE!H$4,Aut_Ajustes_Manuais!$F:$F,"Agua/Esgoto")</f>
        <v>-15000</v>
      </c>
      <c r="K227" s="237"/>
      <c r="L227" s="26">
        <f>-SUMIFS(T_ORCAMENTOS!$E:$E,T_ORCAMENTOS!$C:$C,"Agua/Esgoto",T_ORCAMENTOS!$H:$H,"2/2026")</f>
        <v>0</v>
      </c>
      <c r="M227" s="27">
        <f>SUMIFS(Aut_BlueMe_Sem_Pedido!$J:$J,Aut_BlueMe_Sem_Pedido!$Q:$Q,DRE!K$4,Aut_BlueMe_Sem_Pedido!$H:$H,DRE!$A227)+SUMIFS(Aut_Ajustes_Manuais!$G:$G,Aut_Ajustes_Manuais!$I:$I,DRE!K$4,Aut_Ajustes_Manuais!$F:$F,"Agua/Esgoto")</f>
        <v>-15000</v>
      </c>
      <c r="N227" s="237"/>
      <c r="O227" s="26">
        <f>-SUMIFS(T_ORCAMENTOS!$E:$E,T_ORCAMENTOS!$C:$C,"Agua/Esgoto",T_ORCAMENTOS!$H:$H,"3/2026")</f>
        <v>0</v>
      </c>
      <c r="P227" s="27">
        <f>SUMIFS(Aut_BlueMe_Sem_Pedido!$J:$J,Aut_BlueMe_Sem_Pedido!$Q:$Q,DRE!N$4,Aut_BlueMe_Sem_Pedido!$H:$H,DRE!$A227)+SUMIFS(Aut_Ajustes_Manuais!$G:$G,Aut_Ajustes_Manuais!$I:$I,DRE!N$4,Aut_Ajustes_Manuais!$F:$F,"Agua/Esgoto")</f>
        <v>-15000</v>
      </c>
      <c r="Q227" s="237"/>
      <c r="R227" s="26">
        <f>-SUMIFS(T_ORCAMENTOS!$E:$E,T_ORCAMENTOS!$C:$C,"Agua/Esgoto",T_ORCAMENTOS!$H:$H,"4/2026")</f>
        <v>0</v>
      </c>
      <c r="S227" s="27">
        <f>SUMIFS(Aut_BlueMe_Sem_Pedido!$J:$J,Aut_BlueMe_Sem_Pedido!$Q:$Q,DRE!Q$4,Aut_BlueMe_Sem_Pedido!$H:$H,DRE!$A227)+SUMIFS(Aut_Ajustes_Manuais!$G:$G,Aut_Ajustes_Manuais!$I:$I,DRE!Q$4,Aut_Ajustes_Manuais!$F:$F,"Agua/Esgoto")</f>
        <v>0</v>
      </c>
      <c r="T227" s="237"/>
      <c r="U227" s="26">
        <f>-SUMIFS(T_ORCAMENTOS!$E:$E,T_ORCAMENTOS!$C:$C,"Agua/Esgoto",T_ORCAMENTOS!$H:$H,"5/2026")</f>
        <v>0</v>
      </c>
      <c r="V227" s="27">
        <f>SUMIFS(Aut_BlueMe_Sem_Pedido!$J:$J,Aut_BlueMe_Sem_Pedido!$Q:$Q,DRE!T$4,Aut_BlueMe_Sem_Pedido!$H:$H,DRE!$A227)+SUMIFS(Aut_Ajustes_Manuais!$G:$G,Aut_Ajustes_Manuais!$I:$I,DRE!T$4,Aut_Ajustes_Manuais!$F:$F,"Agua/Esgoto")</f>
        <v>0</v>
      </c>
      <c r="W227" s="237"/>
      <c r="X227" s="26">
        <f>-SUMIFS(T_ORCAMENTOS!$E:$E,T_ORCAMENTOS!$C:$C,"Agua/Esgoto",T_ORCAMENTOS!$H:$H,"6/2026")</f>
        <v>0</v>
      </c>
      <c r="Y227" s="27">
        <f>SUMIFS(Aut_BlueMe_Sem_Pedido!$J:$J,Aut_BlueMe_Sem_Pedido!$Q:$Q,DRE!W$4,Aut_BlueMe_Sem_Pedido!$H:$H,DRE!$A227)+SUMIFS(Aut_Ajustes_Manuais!$G:$G,Aut_Ajustes_Manuais!$I:$I,DRE!W$4,Aut_Ajustes_Manuais!$F:$F,"Agua/Esgoto")</f>
        <v>-402.94</v>
      </c>
      <c r="Z227" s="237"/>
      <c r="AA227" s="26">
        <f>-SUMIFS(T_ORCAMENTOS!$E:$E,T_ORCAMENTOS!$C:$C,"Agua/Esgoto",T_ORCAMENTOS!$H:$H,"7/2026")</f>
        <v>0</v>
      </c>
      <c r="AB227" s="27">
        <f>SUMIFS(Aut_BlueMe_Sem_Pedido!$J:$J,Aut_BlueMe_Sem_Pedido!$Q:$Q,DRE!Z$4,Aut_BlueMe_Sem_Pedido!$H:$H,DRE!$A227)+SUMIFS(Aut_Ajustes_Manuais!$G:$G,Aut_Ajustes_Manuais!$I:$I,DRE!Z$4,Aut_Ajustes_Manuais!$F:$F,"Agua/Esgoto")</f>
        <v>0</v>
      </c>
      <c r="AC227" s="237"/>
      <c r="AD227" s="26">
        <f>-SUMIFS(T_ORCAMENTOS!$E:$E,T_ORCAMENTOS!$C:$C,"Agua/Esgoto",T_ORCAMENTOS!$H:$H,"8/2026")</f>
        <v>-20294.78</v>
      </c>
      <c r="AE227" s="27">
        <f>SUMIFS(Aut_BlueMe_Sem_Pedido!$J:$J,Aut_BlueMe_Sem_Pedido!$Q:$Q,DRE!AC$4,Aut_BlueMe_Sem_Pedido!$H:$H,DRE!$A227)+SUMIFS(Aut_Ajustes_Manuais!$G:$G,Aut_Ajustes_Manuais!$I:$I,DRE!AC$4,Aut_Ajustes_Manuais!$F:$F,"Agua/Esgoto")</f>
        <v>0</v>
      </c>
      <c r="AF227" s="237"/>
      <c r="AG227" s="26">
        <f>-SUMIFS(T_ORCAMENTOS!$E:$E,T_ORCAMENTOS!$C:$C,"Agua/Esgoto",T_ORCAMENTOS!$H:$H,"9/2026")</f>
        <v>-20220.14</v>
      </c>
      <c r="AH227" s="27">
        <f>SUMIFS(Aut_BlueMe_Sem_Pedido!$J:$J,Aut_BlueMe_Sem_Pedido!$Q:$Q,DRE!AF$4,Aut_BlueMe_Sem_Pedido!$H:$H,DRE!$A227)+SUMIFS(Aut_Ajustes_Manuais!$G:$G,Aut_Ajustes_Manuais!$I:$I,DRE!AF$4,Aut_Ajustes_Manuais!$F:$F,"Agua/Esgoto")</f>
        <v>0</v>
      </c>
      <c r="AI227" s="237"/>
      <c r="AJ227" s="26">
        <f>-SUMIFS(T_ORCAMENTOS!$E:$E,T_ORCAMENTOS!$C:$C,"Agua/Esgoto",T_ORCAMENTOS!$H:$H,"10/2026")</f>
        <v>-20446.53</v>
      </c>
      <c r="AK227" s="27">
        <f>SUMIFS(Aut_BlueMe_Sem_Pedido!$J:$J,Aut_BlueMe_Sem_Pedido!$Q:$Q,DRE!AI$4,Aut_BlueMe_Sem_Pedido!$H:$H,DRE!$A227)+SUMIFS(Aut_Ajustes_Manuais!$G:$G,Aut_Ajustes_Manuais!$I:$I,DRE!AI$4,Aut_Ajustes_Manuais!$F:$F,"Agua/Esgoto")</f>
        <v>0</v>
      </c>
      <c r="AL227" s="237"/>
      <c r="AM227" s="26">
        <f>-SUMIFS(T_ORCAMENTOS!$E:$E,T_ORCAMENTOS!$C:$C,"Agua/Esgoto",T_ORCAMENTOS!$H:$H,"11/2026")</f>
        <v>-20245.88</v>
      </c>
      <c r="AN227" s="27">
        <f>SUMIFS(Aut_BlueMe_Sem_Pedido!$J:$J,Aut_BlueMe_Sem_Pedido!$Q:$Q,DRE!AL$4,Aut_BlueMe_Sem_Pedido!$H:$H,DRE!$A227)+SUMIFS(Aut_Ajustes_Manuais!$G:$G,Aut_Ajustes_Manuais!$I:$I,DRE!AL$4,Aut_Ajustes_Manuais!$F:$F,"Agua/Esgoto")</f>
        <v>0</v>
      </c>
      <c r="AO227" s="237"/>
      <c r="AP227" s="26">
        <f>-SUMIFS(T_ORCAMENTOS!$E:$E,T_ORCAMENTOS!$C:$C,"Agua/Esgoto",T_ORCAMENTOS!$H:$H,"12/2026")</f>
        <v>-20455.759999999998</v>
      </c>
      <c r="AQ227" s="27">
        <f>SUMIFS(Aut_BlueMe_Sem_Pedido!$J:$J,Aut_BlueMe_Sem_Pedido!$Q:$Q,DRE!AO$4,Aut_BlueMe_Sem_Pedido!$H:$H,DRE!$A227)+SUMIFS(Aut_Ajustes_Manuais!$G:$G,Aut_Ajustes_Manuais!$I:$I,DRE!AO$4,Aut_Ajustes_Manuais!$F:$F,"Agua/Esgoto")</f>
        <v>0</v>
      </c>
      <c r="AR227" s="237">
        <f t="shared" ref="AR227:AR240" ca="1" si="195">SUMIFS($H227:$AO227,$H$5:$AO$5,"&lt;"&amp;MONTH(TODAY()),$H$6:$AO$6,"REAL 25")</f>
        <v>0</v>
      </c>
      <c r="AS227" s="26">
        <f t="shared" ref="AS227:AS240" ca="1" si="196">SUMIFS($I227:$AP227,$I$5:$AP$5,"&lt;"&amp;MONTH(TODAY()),$I$6:$AP$6,"ORÇADO ")</f>
        <v>-20294.78</v>
      </c>
      <c r="AT227" s="27">
        <f t="shared" ref="AT227:AT240" ca="1" si="197">SUMIFS($J227:$AQ227,$J$5:$AQ$5,"&lt;"&amp;MONTH(TODAY()),$J$6:$AQ$6,"REAL 26")</f>
        <v>-45402.94</v>
      </c>
      <c r="AU227" s="237">
        <f t="shared" ref="AU227:AU240" si="198">SUM(H227,K227,N227,Q227,T227,W227,Z227,AC227,AF227,AI227,AL227,AO227)</f>
        <v>0</v>
      </c>
      <c r="AV227" s="26">
        <f t="shared" ref="AV227:AV240" si="199">SUM(I227,L227,O227,R227,U227,X227,AA227,AD227,AG227,AJ227,AM227,AP227)</f>
        <v>-101663.09</v>
      </c>
      <c r="AW227" s="27">
        <f t="shared" ref="AW227:AW240" si="200">SUM(J227,M227,P227,S227,V227,Y227,AB227,AE227,AH227,AK227,AN227,AQ227)</f>
        <v>-45402.94</v>
      </c>
      <c r="AX227" s="237">
        <f t="shared" ref="AX227:AX240" si="201">SUM(H227,K227,N227)</f>
        <v>0</v>
      </c>
      <c r="AY227" s="26">
        <f t="shared" ref="AY227:AY240" si="202">SUM(I227,L227,O227)</f>
        <v>0</v>
      </c>
      <c r="AZ227" s="27">
        <f t="shared" ref="AZ227:AZ240" si="203">SUM(J227,M227,P227)</f>
        <v>-45000</v>
      </c>
      <c r="BA227" s="237">
        <f t="shared" ref="BA227:BA240" si="204">SUM(Q227,T227,W227)</f>
        <v>0</v>
      </c>
      <c r="BB227" s="26">
        <f t="shared" ref="BB227:BB240" si="205">SUM(R227,U227,X227)</f>
        <v>0</v>
      </c>
      <c r="BC227" s="27">
        <f t="shared" ref="BC227:BC240" si="206">SUM(S227,V227,Y227)</f>
        <v>-402.94</v>
      </c>
      <c r="BD227" s="237">
        <f t="shared" ref="BD227:BD240" si="207">SUM(Z227,AC227,AF227)</f>
        <v>0</v>
      </c>
      <c r="BE227" s="26">
        <f t="shared" ref="BE227:BE240" si="208">SUM(AA227,AD227,AG227)</f>
        <v>-40514.92</v>
      </c>
      <c r="BF227" s="27">
        <f t="shared" ref="BF227:BF240" si="209">SUM(AB227,AE227,AH227)</f>
        <v>0</v>
      </c>
      <c r="BG227" s="237">
        <f t="shared" ref="BG227:BG240" si="210">SUM(AI227,AL227,AO227)</f>
        <v>0</v>
      </c>
      <c r="BH227" s="26">
        <f t="shared" ref="BH227:BH240" si="211">SUM(AJ227,AM227,AP227)</f>
        <v>-61148.17</v>
      </c>
      <c r="BI227" s="27">
        <f t="shared" ref="BI227:BI240" si="212">SUM(AK227,AN227,AQ227)</f>
        <v>0</v>
      </c>
      <c r="BJ227" s="454"/>
    </row>
    <row r="228" spans="1:62" s="28" customFormat="1" hidden="1" outlineLevel="1" x14ac:dyDescent="0.3">
      <c r="A228" s="21" t="s">
        <v>265</v>
      </c>
      <c r="B228" s="22"/>
      <c r="C228" s="23" t="s">
        <v>60</v>
      </c>
      <c r="D228" s="109">
        <v>-6600</v>
      </c>
      <c r="E228" s="110"/>
      <c r="F228" s="54"/>
      <c r="G228" s="32"/>
      <c r="H228" s="237"/>
      <c r="I228" s="26">
        <f>-SUMIFS(T_ORCAMENTOS!$E:$E,T_ORCAMENTOS!$C:$C,"Energia Eletrica",T_ORCAMENTOS!$H:$H,"1/2026")</f>
        <v>0</v>
      </c>
      <c r="J228" s="27">
        <f>SUMIFS(Aut_BlueMe_Sem_Pedido!$J:$J,Aut_BlueMe_Sem_Pedido!$Q:$Q,DRE!H$4,Aut_BlueMe_Sem_Pedido!$H:$H,DRE!$A228)+SUMIFS(Aut_Ajustes_Manuais!$G:$G,Aut_Ajustes_Manuais!$I:$I,DRE!H$4,Aut_Ajustes_Manuais!$F:$F,"Energia Eletrica")</f>
        <v>-743.01</v>
      </c>
      <c r="K228" s="237"/>
      <c r="L228" s="26">
        <f>-SUMIFS(T_ORCAMENTOS!$E:$E,T_ORCAMENTOS!$C:$C,"Energia Eletrica",T_ORCAMENTOS!$H:$H,"2/2026")</f>
        <v>0</v>
      </c>
      <c r="M228" s="27">
        <f>SUMIFS(Aut_BlueMe_Sem_Pedido!$J:$J,Aut_BlueMe_Sem_Pedido!$Q:$Q,DRE!K$4,Aut_BlueMe_Sem_Pedido!$H:$H,DRE!$A228)+SUMIFS(Aut_Ajustes_Manuais!$G:$G,Aut_Ajustes_Manuais!$I:$I,DRE!K$4,Aut_Ajustes_Manuais!$F:$F,"Energia Eletrica")</f>
        <v>-851.01</v>
      </c>
      <c r="N228" s="237"/>
      <c r="O228" s="26">
        <f>-SUMIFS(T_ORCAMENTOS!$E:$E,T_ORCAMENTOS!$C:$C,"Energia Eletrica",T_ORCAMENTOS!$H:$H,"3/2026")</f>
        <v>0</v>
      </c>
      <c r="P228" s="27">
        <f>SUMIFS(Aut_BlueMe_Sem_Pedido!$J:$J,Aut_BlueMe_Sem_Pedido!$Q:$Q,DRE!N$4,Aut_BlueMe_Sem_Pedido!$H:$H,DRE!$A228)+SUMIFS(Aut_Ajustes_Manuais!$G:$G,Aut_Ajustes_Manuais!$I:$I,DRE!N$4,Aut_Ajustes_Manuais!$F:$F,"Energia Eletrica")</f>
        <v>-1007.85</v>
      </c>
      <c r="Q228" s="237"/>
      <c r="R228" s="26">
        <f>-SUMIFS(T_ORCAMENTOS!$E:$E,T_ORCAMENTOS!$C:$C,"Energia Eletrica",T_ORCAMENTOS!$H:$H,"4/2026")</f>
        <v>0</v>
      </c>
      <c r="S228" s="27">
        <f>SUMIFS(Aut_BlueMe_Sem_Pedido!$J:$J,Aut_BlueMe_Sem_Pedido!$Q:$Q,DRE!Q$4,Aut_BlueMe_Sem_Pedido!$H:$H,DRE!$A228)+SUMIFS(Aut_Ajustes_Manuais!$G:$G,Aut_Ajustes_Manuais!$I:$I,DRE!Q$4,Aut_Ajustes_Manuais!$F:$F,"Energia Eletrica")</f>
        <v>-1221.55</v>
      </c>
      <c r="T228" s="237"/>
      <c r="U228" s="26">
        <f>-SUMIFS(T_ORCAMENTOS!$E:$E,T_ORCAMENTOS!$C:$C,"Energia Eletrica",T_ORCAMENTOS!$H:$H,"5/2026")</f>
        <v>0</v>
      </c>
      <c r="V228" s="27">
        <f>SUMIFS(Aut_BlueMe_Sem_Pedido!$J:$J,Aut_BlueMe_Sem_Pedido!$Q:$Q,DRE!T$4,Aut_BlueMe_Sem_Pedido!$H:$H,DRE!$A228)+SUMIFS(Aut_Ajustes_Manuais!$G:$G,Aut_Ajustes_Manuais!$I:$I,DRE!T$4,Aut_Ajustes_Manuais!$F:$F,"Energia Eletrica")</f>
        <v>-1438.03</v>
      </c>
      <c r="W228" s="237"/>
      <c r="X228" s="26">
        <f>-SUMIFS(T_ORCAMENTOS!$E:$E,T_ORCAMENTOS!$C:$C,"Energia Eletrica",T_ORCAMENTOS!$H:$H,"6/2026")</f>
        <v>0</v>
      </c>
      <c r="Y228" s="27">
        <f>SUMIFS(Aut_BlueMe_Sem_Pedido!$J:$J,Aut_BlueMe_Sem_Pedido!$Q:$Q,DRE!W$4,Aut_BlueMe_Sem_Pedido!$H:$H,DRE!$A228)+SUMIFS(Aut_Ajustes_Manuais!$G:$G,Aut_Ajustes_Manuais!$I:$I,DRE!W$4,Aut_Ajustes_Manuais!$F:$F,"Energia Eletrica")</f>
        <v>-2127.59</v>
      </c>
      <c r="Z228" s="237"/>
      <c r="AA228" s="26">
        <f>-SUMIFS(T_ORCAMENTOS!$E:$E,T_ORCAMENTOS!$C:$C,"Energia Eletrica",T_ORCAMENTOS!$H:$H,"7/2026")</f>
        <v>0</v>
      </c>
      <c r="AB228" s="27">
        <f>SUMIFS(Aut_BlueMe_Sem_Pedido!$J:$J,Aut_BlueMe_Sem_Pedido!$Q:$Q,DRE!Z$4,Aut_BlueMe_Sem_Pedido!$H:$H,DRE!$A228)+SUMIFS(Aut_Ajustes_Manuais!$G:$G,Aut_Ajustes_Manuais!$I:$I,DRE!Z$4,Aut_Ajustes_Manuais!$F:$F,"Energia Eletrica")</f>
        <v>-1500</v>
      </c>
      <c r="AC228" s="237"/>
      <c r="AD228" s="26">
        <f>-SUMIFS(T_ORCAMENTOS!$E:$E,T_ORCAMENTOS!$C:$C,"Energia Eletrica",T_ORCAMENTOS!$H:$H,"8/2026")</f>
        <v>-34394.78</v>
      </c>
      <c r="AE228" s="27">
        <f>SUMIFS(Aut_BlueMe_Sem_Pedido!$J:$J,Aut_BlueMe_Sem_Pedido!$Q:$Q,DRE!AC$4,Aut_BlueMe_Sem_Pedido!$H:$H,DRE!$A228)+SUMIFS(Aut_Ajustes_Manuais!$G:$G,Aut_Ajustes_Manuais!$I:$I,DRE!AC$4,Aut_Ajustes_Manuais!$F:$F,"Energia Eletrica")</f>
        <v>-1500</v>
      </c>
      <c r="AF228" s="237"/>
      <c r="AG228" s="26">
        <f>-SUMIFS(T_ORCAMENTOS!$E:$E,T_ORCAMENTOS!$C:$C,"Energia Eletrica",T_ORCAMENTOS!$H:$H,"9/2026")</f>
        <v>-34320.14</v>
      </c>
      <c r="AH228" s="27">
        <f>SUMIFS(Aut_BlueMe_Sem_Pedido!$J:$J,Aut_BlueMe_Sem_Pedido!$Q:$Q,DRE!AF$4,Aut_BlueMe_Sem_Pedido!$H:$H,DRE!$A228)+SUMIFS(Aut_Ajustes_Manuais!$G:$G,Aut_Ajustes_Manuais!$I:$I,DRE!AF$4,Aut_Ajustes_Manuais!$F:$F,"Energia Eletrica")</f>
        <v>-1500</v>
      </c>
      <c r="AI228" s="237"/>
      <c r="AJ228" s="26">
        <f>-SUMIFS(T_ORCAMENTOS!$E:$E,T_ORCAMENTOS!$C:$C,"Energia Eletrica",T_ORCAMENTOS!$H:$H,"10/2026")</f>
        <v>-34546.53</v>
      </c>
      <c r="AK228" s="27">
        <f>SUMIFS(Aut_BlueMe_Sem_Pedido!$J:$J,Aut_BlueMe_Sem_Pedido!$Q:$Q,DRE!AI$4,Aut_BlueMe_Sem_Pedido!$H:$H,DRE!$A228)+SUMIFS(Aut_Ajustes_Manuais!$G:$G,Aut_Ajustes_Manuais!$I:$I,DRE!AI$4,Aut_Ajustes_Manuais!$F:$F,"Energia Eletrica")</f>
        <v>-1500</v>
      </c>
      <c r="AL228" s="237"/>
      <c r="AM228" s="26">
        <f>-SUMIFS(T_ORCAMENTOS!$E:$E,T_ORCAMENTOS!$C:$C,"Energia Eletrica",T_ORCAMENTOS!$H:$H,"11/2026")</f>
        <v>-34345.879999999997</v>
      </c>
      <c r="AN228" s="27">
        <f>SUMIFS(Aut_BlueMe_Sem_Pedido!$J:$J,Aut_BlueMe_Sem_Pedido!$Q:$Q,DRE!AL$4,Aut_BlueMe_Sem_Pedido!$H:$H,DRE!$A228)+SUMIFS(Aut_Ajustes_Manuais!$G:$G,Aut_Ajustes_Manuais!$I:$I,DRE!AL$4,Aut_Ajustes_Manuais!$F:$F,"Energia Eletrica")</f>
        <v>-1500</v>
      </c>
      <c r="AO228" s="237"/>
      <c r="AP228" s="26">
        <f>-SUMIFS(T_ORCAMENTOS!$E:$E,T_ORCAMENTOS!$C:$C,"Energia Eletrica",T_ORCAMENTOS!$H:$H,"12/2026")</f>
        <v>-34555.760000000002</v>
      </c>
      <c r="AQ228" s="27">
        <f>SUMIFS(Aut_BlueMe_Sem_Pedido!$J:$J,Aut_BlueMe_Sem_Pedido!$Q:$Q,DRE!AO$4,Aut_BlueMe_Sem_Pedido!$H:$H,DRE!$A228)+SUMIFS(Aut_Ajustes_Manuais!$G:$G,Aut_Ajustes_Manuais!$I:$I,DRE!AO$4,Aut_Ajustes_Manuais!$F:$F,"Energia Eletrica")</f>
        <v>-1500</v>
      </c>
      <c r="AR228" s="237">
        <f t="shared" ca="1" si="195"/>
        <v>0</v>
      </c>
      <c r="AS228" s="26">
        <f t="shared" ca="1" si="196"/>
        <v>-34394.78</v>
      </c>
      <c r="AT228" s="27">
        <f t="shared" ca="1" si="197"/>
        <v>-10389.040000000001</v>
      </c>
      <c r="AU228" s="237">
        <f t="shared" si="198"/>
        <v>0</v>
      </c>
      <c r="AV228" s="26">
        <f t="shared" si="199"/>
        <v>-172163.09</v>
      </c>
      <c r="AW228" s="27">
        <f t="shared" si="200"/>
        <v>-16389.04</v>
      </c>
      <c r="AX228" s="237">
        <f t="shared" si="201"/>
        <v>0</v>
      </c>
      <c r="AY228" s="26">
        <f t="shared" si="202"/>
        <v>0</v>
      </c>
      <c r="AZ228" s="27">
        <f t="shared" si="203"/>
        <v>-2601.87</v>
      </c>
      <c r="BA228" s="237">
        <f t="shared" si="204"/>
        <v>0</v>
      </c>
      <c r="BB228" s="26">
        <f t="shared" si="205"/>
        <v>0</v>
      </c>
      <c r="BC228" s="27">
        <f t="shared" si="206"/>
        <v>-4787.17</v>
      </c>
      <c r="BD228" s="237">
        <f t="shared" si="207"/>
        <v>0</v>
      </c>
      <c r="BE228" s="26">
        <f t="shared" si="208"/>
        <v>-68714.92</v>
      </c>
      <c r="BF228" s="27">
        <f t="shared" si="209"/>
        <v>-4500</v>
      </c>
      <c r="BG228" s="237">
        <f t="shared" si="210"/>
        <v>0</v>
      </c>
      <c r="BH228" s="26">
        <f t="shared" si="211"/>
        <v>-103448.17000000001</v>
      </c>
      <c r="BI228" s="27">
        <f t="shared" si="212"/>
        <v>-4500</v>
      </c>
      <c r="BJ228" s="454"/>
    </row>
    <row r="229" spans="1:62" s="28" customFormat="1" hidden="1" outlineLevel="1" x14ac:dyDescent="0.3">
      <c r="A229" s="21" t="s">
        <v>266</v>
      </c>
      <c r="B229" s="22"/>
      <c r="C229" s="23" t="s">
        <v>60</v>
      </c>
      <c r="D229" s="109">
        <v>-6300</v>
      </c>
      <c r="E229" s="110">
        <v>-8.0000000000000004E-4</v>
      </c>
      <c r="F229" s="54"/>
      <c r="G229" s="32"/>
      <c r="H229" s="237"/>
      <c r="I229" s="26">
        <f>-SUMIFS(T_ORCAMENTOS!$E:$E,T_ORCAMENTOS!$C:$C,"Gas de Cozinha",T_ORCAMENTOS!$H:$H,"1/2026")</f>
        <v>0</v>
      </c>
      <c r="J229" s="27">
        <f>SUMIFS(Aut_BlueMe_Sem_Pedido!$J:$J,Aut_BlueMe_Sem_Pedido!$Q:$Q,DRE!H$4,Aut_BlueMe_Sem_Pedido!$H:$H,DRE!$A229)+SUMIFS(Aut_Ajustes_Manuais!$G:$G,Aut_Ajustes_Manuais!$I:$I,DRE!H$4,Aut_Ajustes_Manuais!$F:$F,"Gas de Cozinha")</f>
        <v>0</v>
      </c>
      <c r="K229" s="237"/>
      <c r="L229" s="26">
        <f>-SUMIFS(T_ORCAMENTOS!$E:$E,T_ORCAMENTOS!$C:$C,"Gas de Cozinha",T_ORCAMENTOS!$H:$H,"2/2026")</f>
        <v>0</v>
      </c>
      <c r="M229" s="27">
        <f>SUMIFS(Aut_BlueMe_Sem_Pedido!$J:$J,Aut_BlueMe_Sem_Pedido!$Q:$Q,DRE!K$4,Aut_BlueMe_Sem_Pedido!$H:$H,DRE!$A229)+SUMIFS(Aut_Ajustes_Manuais!$G:$G,Aut_Ajustes_Manuais!$I:$I,DRE!K$4,Aut_Ajustes_Manuais!$F:$F,"Gas de Cozinha")</f>
        <v>0</v>
      </c>
      <c r="N229" s="237"/>
      <c r="O229" s="26">
        <f>-SUMIFS(T_ORCAMENTOS!$E:$E,T_ORCAMENTOS!$C:$C,"Gas de Cozinha",T_ORCAMENTOS!$H:$H,"3/2026")</f>
        <v>0</v>
      </c>
      <c r="P229" s="27">
        <f>SUMIFS(Aut_BlueMe_Sem_Pedido!$J:$J,Aut_BlueMe_Sem_Pedido!$Q:$Q,DRE!N$4,Aut_BlueMe_Sem_Pedido!$H:$H,DRE!$A229)+SUMIFS(Aut_Ajustes_Manuais!$G:$G,Aut_Ajustes_Manuais!$I:$I,DRE!N$4,Aut_Ajustes_Manuais!$F:$F,"Gas de Cozinha")</f>
        <v>0</v>
      </c>
      <c r="Q229" s="237"/>
      <c r="R229" s="26">
        <f>-SUMIFS(T_ORCAMENTOS!$E:$E,T_ORCAMENTOS!$C:$C,"Gas de Cozinha",T_ORCAMENTOS!$H:$H,"4/2026")</f>
        <v>0</v>
      </c>
      <c r="S229" s="27">
        <f>SUMIFS(Aut_BlueMe_Sem_Pedido!$J:$J,Aut_BlueMe_Sem_Pedido!$Q:$Q,DRE!Q$4,Aut_BlueMe_Sem_Pedido!$H:$H,DRE!$A229)+SUMIFS(Aut_Ajustes_Manuais!$G:$G,Aut_Ajustes_Manuais!$I:$I,DRE!Q$4,Aut_Ajustes_Manuais!$F:$F,"Gas de Cozinha")</f>
        <v>0</v>
      </c>
      <c r="T229" s="237"/>
      <c r="U229" s="26">
        <f>-SUMIFS(T_ORCAMENTOS!$E:$E,T_ORCAMENTOS!$C:$C,"Gas de Cozinha",T_ORCAMENTOS!$H:$H,"5/2026")</f>
        <v>0</v>
      </c>
      <c r="V229" s="27">
        <f>SUMIFS(Aut_BlueMe_Sem_Pedido!$J:$J,Aut_BlueMe_Sem_Pedido!$Q:$Q,DRE!T$4,Aut_BlueMe_Sem_Pedido!$H:$H,DRE!$A229)+SUMIFS(Aut_Ajustes_Manuais!$G:$G,Aut_Ajustes_Manuais!$I:$I,DRE!T$4,Aut_Ajustes_Manuais!$F:$F,"Gas de Cozinha")</f>
        <v>0</v>
      </c>
      <c r="W229" s="237"/>
      <c r="X229" s="26">
        <f>-SUMIFS(T_ORCAMENTOS!$E:$E,T_ORCAMENTOS!$C:$C,"Gas de Cozinha",T_ORCAMENTOS!$H:$H,"6/2026")</f>
        <v>0</v>
      </c>
      <c r="Y229" s="27">
        <f>SUMIFS(Aut_BlueMe_Sem_Pedido!$J:$J,Aut_BlueMe_Sem_Pedido!$Q:$Q,DRE!W$4,Aut_BlueMe_Sem_Pedido!$H:$H,DRE!$A229)+SUMIFS(Aut_Ajustes_Manuais!$G:$G,Aut_Ajustes_Manuais!$I:$I,DRE!W$4,Aut_Ajustes_Manuais!$F:$F,"Gas de Cozinha")</f>
        <v>0</v>
      </c>
      <c r="Z229" s="237"/>
      <c r="AA229" s="26">
        <f>-SUMIFS(T_ORCAMENTOS!$E:$E,T_ORCAMENTOS!$C:$C,"Gas de Cozinha",T_ORCAMENTOS!$H:$H,"7/2026")</f>
        <v>0</v>
      </c>
      <c r="AB229" s="27">
        <f>SUMIFS(Aut_BlueMe_Sem_Pedido!$J:$J,Aut_BlueMe_Sem_Pedido!$Q:$Q,DRE!Z$4,Aut_BlueMe_Sem_Pedido!$H:$H,DRE!$A229)+SUMIFS(Aut_Ajustes_Manuais!$G:$G,Aut_Ajustes_Manuais!$I:$I,DRE!Z$4,Aut_Ajustes_Manuais!$F:$F,"Gas de Cozinha")</f>
        <v>-52.56</v>
      </c>
      <c r="AC229" s="237"/>
      <c r="AD229" s="26">
        <f>-SUMIFS(T_ORCAMENTOS!$E:$E,T_ORCAMENTOS!$C:$C,"Gas de Cozinha",T_ORCAMENTOS!$H:$H,"8/2026")</f>
        <v>-24394.78</v>
      </c>
      <c r="AE229" s="27">
        <f>SUMIFS(Aut_BlueMe_Sem_Pedido!$J:$J,Aut_BlueMe_Sem_Pedido!$Q:$Q,DRE!AC$4,Aut_BlueMe_Sem_Pedido!$H:$H,DRE!$A229)+SUMIFS(Aut_Ajustes_Manuais!$G:$G,Aut_Ajustes_Manuais!$I:$I,DRE!AC$4,Aut_Ajustes_Manuais!$F:$F,"Gas de Cozinha")</f>
        <v>0</v>
      </c>
      <c r="AF229" s="237"/>
      <c r="AG229" s="26">
        <f>-SUMIFS(T_ORCAMENTOS!$E:$E,T_ORCAMENTOS!$C:$C,"Gas de Cozinha",T_ORCAMENTOS!$H:$H,"9/2026")</f>
        <v>-24320.14</v>
      </c>
      <c r="AH229" s="27">
        <f>SUMIFS(Aut_BlueMe_Sem_Pedido!$J:$J,Aut_BlueMe_Sem_Pedido!$Q:$Q,DRE!AF$4,Aut_BlueMe_Sem_Pedido!$H:$H,DRE!$A229)+SUMIFS(Aut_Ajustes_Manuais!$G:$G,Aut_Ajustes_Manuais!$I:$I,DRE!AF$4,Aut_Ajustes_Manuais!$F:$F,"Gas de Cozinha")</f>
        <v>0</v>
      </c>
      <c r="AI229" s="237"/>
      <c r="AJ229" s="26">
        <f>-SUMIFS(T_ORCAMENTOS!$E:$E,T_ORCAMENTOS!$C:$C,"Gas de Cozinha",T_ORCAMENTOS!$H:$H,"10/2026")</f>
        <v>-24546.53</v>
      </c>
      <c r="AK229" s="27">
        <f>SUMIFS(Aut_BlueMe_Sem_Pedido!$J:$J,Aut_BlueMe_Sem_Pedido!$Q:$Q,DRE!AI$4,Aut_BlueMe_Sem_Pedido!$H:$H,DRE!$A229)+SUMIFS(Aut_Ajustes_Manuais!$G:$G,Aut_Ajustes_Manuais!$I:$I,DRE!AI$4,Aut_Ajustes_Manuais!$F:$F,"Gas de Cozinha")</f>
        <v>0</v>
      </c>
      <c r="AL229" s="237"/>
      <c r="AM229" s="26">
        <f>-SUMIFS(T_ORCAMENTOS!$E:$E,T_ORCAMENTOS!$C:$C,"Gas de Cozinha",T_ORCAMENTOS!$H:$H,"11/2026")</f>
        <v>-24345.88</v>
      </c>
      <c r="AN229" s="27">
        <f>SUMIFS(Aut_BlueMe_Sem_Pedido!$J:$J,Aut_BlueMe_Sem_Pedido!$Q:$Q,DRE!AL$4,Aut_BlueMe_Sem_Pedido!$H:$H,DRE!$A229)+SUMIFS(Aut_Ajustes_Manuais!$G:$G,Aut_Ajustes_Manuais!$I:$I,DRE!AL$4,Aut_Ajustes_Manuais!$F:$F,"Gas de Cozinha")</f>
        <v>0</v>
      </c>
      <c r="AO229" s="237"/>
      <c r="AP229" s="26">
        <f>-SUMIFS(T_ORCAMENTOS!$E:$E,T_ORCAMENTOS!$C:$C,"Gas de Cozinha",T_ORCAMENTOS!$H:$H,"12/2026")</f>
        <v>-24555.759999999998</v>
      </c>
      <c r="AQ229" s="27">
        <f>SUMIFS(Aut_BlueMe_Sem_Pedido!$J:$J,Aut_BlueMe_Sem_Pedido!$Q:$Q,DRE!AO$4,Aut_BlueMe_Sem_Pedido!$H:$H,DRE!$A229)+SUMIFS(Aut_Ajustes_Manuais!$G:$G,Aut_Ajustes_Manuais!$I:$I,DRE!AO$4,Aut_Ajustes_Manuais!$F:$F,"Gas de Cozinha")</f>
        <v>0</v>
      </c>
      <c r="AR229" s="237">
        <f t="shared" ca="1" si="195"/>
        <v>0</v>
      </c>
      <c r="AS229" s="26">
        <f t="shared" ca="1" si="196"/>
        <v>-24394.78</v>
      </c>
      <c r="AT229" s="27">
        <f t="shared" ca="1" si="197"/>
        <v>-52.56</v>
      </c>
      <c r="AU229" s="237">
        <f t="shared" si="198"/>
        <v>0</v>
      </c>
      <c r="AV229" s="26">
        <f t="shared" si="199"/>
        <v>-122163.09</v>
      </c>
      <c r="AW229" s="27">
        <f t="shared" si="200"/>
        <v>-52.56</v>
      </c>
      <c r="AX229" s="237">
        <f t="shared" si="201"/>
        <v>0</v>
      </c>
      <c r="AY229" s="26">
        <f t="shared" si="202"/>
        <v>0</v>
      </c>
      <c r="AZ229" s="27">
        <f t="shared" si="203"/>
        <v>0</v>
      </c>
      <c r="BA229" s="237">
        <f t="shared" si="204"/>
        <v>0</v>
      </c>
      <c r="BB229" s="26">
        <f t="shared" si="205"/>
        <v>0</v>
      </c>
      <c r="BC229" s="27">
        <f t="shared" si="206"/>
        <v>0</v>
      </c>
      <c r="BD229" s="237">
        <f t="shared" si="207"/>
        <v>0</v>
      </c>
      <c r="BE229" s="26">
        <f t="shared" si="208"/>
        <v>-48714.92</v>
      </c>
      <c r="BF229" s="27">
        <f t="shared" si="209"/>
        <v>-52.56</v>
      </c>
      <c r="BG229" s="237">
        <f t="shared" si="210"/>
        <v>0</v>
      </c>
      <c r="BH229" s="26">
        <f t="shared" si="211"/>
        <v>-73448.17</v>
      </c>
      <c r="BI229" s="27">
        <f t="shared" si="212"/>
        <v>0</v>
      </c>
      <c r="BJ229" s="454"/>
    </row>
    <row r="230" spans="1:62" s="28" customFormat="1" hidden="1" outlineLevel="1" x14ac:dyDescent="0.3">
      <c r="A230" s="21" t="s">
        <v>267</v>
      </c>
      <c r="B230" s="22"/>
      <c r="C230" s="23" t="s">
        <v>60</v>
      </c>
      <c r="D230" s="109">
        <v>-25500</v>
      </c>
      <c r="E230" s="110">
        <v>-8.0000000000000004E-4</v>
      </c>
      <c r="F230" s="54"/>
      <c r="G230" s="32"/>
      <c r="H230" s="237"/>
      <c r="I230" s="26">
        <f>-SUMIFS(T_ORCAMENTOS!$E:$E,T_ORCAMENTOS!$C:$C,"Higiene e Limpeza",T_ORCAMENTOS!$H:$H,"1/2026")</f>
        <v>0</v>
      </c>
      <c r="J230" s="27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0</v>
      </c>
      <c r="K230" s="237"/>
      <c r="L230" s="26">
        <f>-SUMIFS(T_ORCAMENTOS!$E:$E,T_ORCAMENTOS!$C:$C,"Higiene e Limpeza",T_ORCAMENTOS!$H:$H,"2/2026")</f>
        <v>0</v>
      </c>
      <c r="M230" s="27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0</v>
      </c>
      <c r="N230" s="237"/>
      <c r="O230" s="26">
        <f>-SUMIFS(T_ORCAMENTOS!$E:$E,T_ORCAMENTOS!$C:$C,"Higiene e Limpeza",T_ORCAMENTOS!$H:$H,"3/2026")</f>
        <v>0</v>
      </c>
      <c r="P230" s="27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0</v>
      </c>
      <c r="Q230" s="237"/>
      <c r="R230" s="26">
        <f>-SUMIFS(T_ORCAMENTOS!$E:$E,T_ORCAMENTOS!$C:$C,"Higiene e Limpeza",T_ORCAMENTOS!$H:$H,"4/2026")</f>
        <v>0</v>
      </c>
      <c r="S230" s="27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0</v>
      </c>
      <c r="T230" s="237"/>
      <c r="U230" s="26">
        <f>-SUMIFS(T_ORCAMENTOS!$E:$E,T_ORCAMENTOS!$C:$C,"Higiene e Limpeza",T_ORCAMENTOS!$H:$H,"5/2026")</f>
        <v>0</v>
      </c>
      <c r="V230" s="27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0</v>
      </c>
      <c r="W230" s="237"/>
      <c r="X230" s="26">
        <f>-SUMIFS(T_ORCAMENTOS!$E:$E,T_ORCAMENTOS!$C:$C,"Higiene e Limpeza",T_ORCAMENTOS!$H:$H,"6/2026")</f>
        <v>0</v>
      </c>
      <c r="Y230" s="27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-6285.17</v>
      </c>
      <c r="Z230" s="237"/>
      <c r="AA230" s="26">
        <f>-SUMIFS(T_ORCAMENTOS!$E:$E,T_ORCAMENTOS!$C:$C,"Higiene e Limpeza",T_ORCAMENTOS!$H:$H,"7/2026")</f>
        <v>0</v>
      </c>
      <c r="AB230" s="27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-33187.06</v>
      </c>
      <c r="AC230" s="237"/>
      <c r="AD230" s="26">
        <f>-SUMIFS(T_ORCAMENTOS!$E:$E,T_ORCAMENTOS!$C:$C,"Higiene e Limpeza",T_ORCAMENTOS!$H:$H,"8/2026")</f>
        <v>-35394.78</v>
      </c>
      <c r="AE230" s="27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0</v>
      </c>
      <c r="AF230" s="237"/>
      <c r="AG230" s="26">
        <f>-SUMIFS(T_ORCAMENTOS!$E:$E,T_ORCAMENTOS!$C:$C,"Higiene e Limpeza",T_ORCAMENTOS!$H:$H,"9/2026")</f>
        <v>-35320.14</v>
      </c>
      <c r="AH230" s="27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0</v>
      </c>
      <c r="AI230" s="237"/>
      <c r="AJ230" s="26">
        <f>-SUMIFS(T_ORCAMENTOS!$E:$E,T_ORCAMENTOS!$C:$C,"Higiene e Limpeza",T_ORCAMENTOS!$H:$H,"10/2026")</f>
        <v>-35546.53</v>
      </c>
      <c r="AK230" s="27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37"/>
      <c r="AM230" s="26">
        <f>-SUMIFS(T_ORCAMENTOS!$E:$E,T_ORCAMENTOS!$C:$C,"Higiene e Limpeza",T_ORCAMENTOS!$H:$H,"11/2026")</f>
        <v>-35345.879999999997</v>
      </c>
      <c r="AN230" s="27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37"/>
      <c r="AP230" s="26">
        <f>-SUMIFS(T_ORCAMENTOS!$E:$E,T_ORCAMENTOS!$C:$C,"Higiene e Limpeza",T_ORCAMENTOS!$H:$H,"12/2026")</f>
        <v>-35555.760000000002</v>
      </c>
      <c r="AQ230" s="27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37">
        <f t="shared" ca="1" si="195"/>
        <v>0</v>
      </c>
      <c r="AS230" s="26">
        <f t="shared" ca="1" si="196"/>
        <v>-35394.78</v>
      </c>
      <c r="AT230" s="27">
        <f t="shared" ca="1" si="197"/>
        <v>-39472.229999999996</v>
      </c>
      <c r="AU230" s="237">
        <f t="shared" si="198"/>
        <v>0</v>
      </c>
      <c r="AV230" s="26">
        <f t="shared" si="199"/>
        <v>-177163.09</v>
      </c>
      <c r="AW230" s="27">
        <f t="shared" si="200"/>
        <v>-39472.229999999996</v>
      </c>
      <c r="AX230" s="237">
        <f t="shared" si="201"/>
        <v>0</v>
      </c>
      <c r="AY230" s="26">
        <f t="shared" si="202"/>
        <v>0</v>
      </c>
      <c r="AZ230" s="27">
        <f t="shared" si="203"/>
        <v>0</v>
      </c>
      <c r="BA230" s="237">
        <f t="shared" si="204"/>
        <v>0</v>
      </c>
      <c r="BB230" s="26">
        <f t="shared" si="205"/>
        <v>0</v>
      </c>
      <c r="BC230" s="27">
        <f t="shared" si="206"/>
        <v>-6285.17</v>
      </c>
      <c r="BD230" s="237">
        <f t="shared" si="207"/>
        <v>0</v>
      </c>
      <c r="BE230" s="26">
        <f t="shared" si="208"/>
        <v>-70714.92</v>
      </c>
      <c r="BF230" s="27">
        <f t="shared" si="209"/>
        <v>-33187.06</v>
      </c>
      <c r="BG230" s="237">
        <f t="shared" si="210"/>
        <v>0</v>
      </c>
      <c r="BH230" s="26">
        <f t="shared" si="211"/>
        <v>-106448.17000000001</v>
      </c>
      <c r="BI230" s="27">
        <f t="shared" si="212"/>
        <v>0</v>
      </c>
      <c r="BJ230" s="454"/>
    </row>
    <row r="231" spans="1:62" s="28" customFormat="1" hidden="1" outlineLevel="1" x14ac:dyDescent="0.3">
      <c r="A231" s="21" t="s">
        <v>268</v>
      </c>
      <c r="B231" s="22"/>
      <c r="C231" s="23" t="s">
        <v>60</v>
      </c>
      <c r="D231" s="109"/>
      <c r="E231" s="110">
        <v>-4.0000000000000001E-3</v>
      </c>
      <c r="F231" s="54"/>
      <c r="G231" s="32"/>
      <c r="H231" s="237"/>
      <c r="I231" s="26">
        <f>-SUMIFS(T_ORCAMENTOS!$E:$E,T_ORCAMENTOS!$C:$C,"Descartaveis",T_ORCAMENTOS!$H:$H,"1/2026")</f>
        <v>0</v>
      </c>
      <c r="J231" s="27">
        <f>SUMIFS(Aut_BlueMe_Sem_Pedido!$J:$J,Aut_BlueMe_Sem_Pedido!$Q:$Q,DRE!H$4,Aut_BlueMe_Sem_Pedido!$H:$H,DRE!$A231)+SUMIFS(Aut_Ajustes_Manuais!$G:$G,Aut_Ajustes_Manuais!$I:$I,DRE!H$4,Aut_Ajustes_Manuais!$F:$F,"Descartaveis")</f>
        <v>0</v>
      </c>
      <c r="K231" s="237"/>
      <c r="L231" s="26">
        <f>-SUMIFS(T_ORCAMENTOS!$E:$E,T_ORCAMENTOS!$C:$C,"Descartaveis",T_ORCAMENTOS!$H:$H,"2/2026")</f>
        <v>0</v>
      </c>
      <c r="M231" s="27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37"/>
      <c r="O231" s="26">
        <f>-SUMIFS(T_ORCAMENTOS!$E:$E,T_ORCAMENTOS!$C:$C,"Descartaveis",T_ORCAMENTOS!$H:$H,"3/2026")</f>
        <v>0</v>
      </c>
      <c r="P231" s="27">
        <f>SUMIFS(Aut_BlueMe_Sem_Pedido!$J:$J,Aut_BlueMe_Sem_Pedido!$Q:$Q,DRE!N$4,Aut_BlueMe_Sem_Pedido!$H:$H,DRE!$A231)+SUMIFS(Aut_Ajustes_Manuais!$G:$G,Aut_Ajustes_Manuais!$I:$I,DRE!N$4,Aut_Ajustes_Manuais!$F:$F,"Descartaveis")</f>
        <v>0</v>
      </c>
      <c r="Q231" s="237"/>
      <c r="R231" s="26">
        <f>-SUMIFS(T_ORCAMENTOS!$E:$E,T_ORCAMENTOS!$C:$C,"Descartaveis",T_ORCAMENTOS!$H:$H,"4/2026")</f>
        <v>0</v>
      </c>
      <c r="S231" s="27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37"/>
      <c r="U231" s="26">
        <f>-SUMIFS(T_ORCAMENTOS!$E:$E,T_ORCAMENTOS!$C:$C,"Descartaveis",T_ORCAMENTOS!$H:$H,"5/2026")</f>
        <v>0</v>
      </c>
      <c r="V231" s="27">
        <f>SUMIFS(Aut_BlueMe_Sem_Pedido!$J:$J,Aut_BlueMe_Sem_Pedido!$Q:$Q,DRE!T$4,Aut_BlueMe_Sem_Pedido!$H:$H,DRE!$A231)+SUMIFS(Aut_Ajustes_Manuais!$G:$G,Aut_Ajustes_Manuais!$I:$I,DRE!T$4,Aut_Ajustes_Manuais!$F:$F,"Descartaveis")</f>
        <v>0</v>
      </c>
      <c r="W231" s="237"/>
      <c r="X231" s="26">
        <f>-SUMIFS(T_ORCAMENTOS!$E:$E,T_ORCAMENTOS!$C:$C,"Descartaveis",T_ORCAMENTOS!$H:$H,"6/2026")</f>
        <v>0</v>
      </c>
      <c r="Y231" s="27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37"/>
      <c r="AA231" s="26">
        <f>-SUMIFS(T_ORCAMENTOS!$E:$E,T_ORCAMENTOS!$C:$C,"Descartaveis",T_ORCAMENTOS!$H:$H,"7/2026")</f>
        <v>0</v>
      </c>
      <c r="AB231" s="27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37"/>
      <c r="AD231" s="26">
        <f>-SUMIFS(T_ORCAMENTOS!$E:$E,T_ORCAMENTOS!$C:$C,"Descartaveis",T_ORCAMENTOS!$H:$H,"8/2026")</f>
        <v>0</v>
      </c>
      <c r="AE231" s="27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37"/>
      <c r="AG231" s="26">
        <f>-SUMIFS(T_ORCAMENTOS!$E:$E,T_ORCAMENTOS!$C:$C,"Descartaveis",T_ORCAMENTOS!$H:$H,"9/2026")</f>
        <v>0</v>
      </c>
      <c r="AH231" s="27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37"/>
      <c r="AJ231" s="26">
        <f>-SUMIFS(T_ORCAMENTOS!$E:$E,T_ORCAMENTOS!$C:$C,"Descartaveis",T_ORCAMENTOS!$H:$H,"10/2026")</f>
        <v>0</v>
      </c>
      <c r="AK231" s="27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37"/>
      <c r="AM231" s="26">
        <f>-SUMIFS(T_ORCAMENTOS!$E:$E,T_ORCAMENTOS!$C:$C,"Descartaveis",T_ORCAMENTOS!$H:$H,"11/2026")</f>
        <v>0</v>
      </c>
      <c r="AN231" s="27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37"/>
      <c r="AP231" s="26">
        <f>-SUMIFS(T_ORCAMENTOS!$E:$E,T_ORCAMENTOS!$C:$C,"Descartaveis",T_ORCAMENTOS!$H:$H,"12/2026")</f>
        <v>0</v>
      </c>
      <c r="AQ231" s="27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37">
        <f t="shared" ca="1" si="195"/>
        <v>0</v>
      </c>
      <c r="AS231" s="26">
        <f t="shared" ca="1" si="196"/>
        <v>0</v>
      </c>
      <c r="AT231" s="27">
        <f t="shared" ca="1" si="197"/>
        <v>0</v>
      </c>
      <c r="AU231" s="237">
        <f t="shared" si="198"/>
        <v>0</v>
      </c>
      <c r="AV231" s="26">
        <f t="shared" si="199"/>
        <v>0</v>
      </c>
      <c r="AW231" s="27">
        <f t="shared" si="200"/>
        <v>0</v>
      </c>
      <c r="AX231" s="237">
        <f t="shared" si="201"/>
        <v>0</v>
      </c>
      <c r="AY231" s="26">
        <f t="shared" si="202"/>
        <v>0</v>
      </c>
      <c r="AZ231" s="27">
        <f t="shared" si="203"/>
        <v>0</v>
      </c>
      <c r="BA231" s="237">
        <f t="shared" si="204"/>
        <v>0</v>
      </c>
      <c r="BB231" s="26">
        <f t="shared" si="205"/>
        <v>0</v>
      </c>
      <c r="BC231" s="27">
        <f t="shared" si="206"/>
        <v>0</v>
      </c>
      <c r="BD231" s="237">
        <f t="shared" si="207"/>
        <v>0</v>
      </c>
      <c r="BE231" s="26">
        <f t="shared" si="208"/>
        <v>0</v>
      </c>
      <c r="BF231" s="27">
        <f t="shared" si="209"/>
        <v>0</v>
      </c>
      <c r="BG231" s="237">
        <f t="shared" si="210"/>
        <v>0</v>
      </c>
      <c r="BH231" s="26">
        <f t="shared" si="211"/>
        <v>0</v>
      </c>
      <c r="BI231" s="27">
        <f t="shared" si="212"/>
        <v>0</v>
      </c>
      <c r="BJ231" s="454"/>
    </row>
    <row r="232" spans="1:62" s="28" customFormat="1" hidden="1" outlineLevel="1" x14ac:dyDescent="0.3">
      <c r="A232" s="21" t="s">
        <v>269</v>
      </c>
      <c r="B232" s="22"/>
      <c r="C232" s="23" t="s">
        <v>67</v>
      </c>
      <c r="D232" s="79"/>
      <c r="E232" s="111"/>
      <c r="F232" s="54"/>
      <c r="G232" s="32"/>
      <c r="H232" s="237"/>
      <c r="I232" s="26">
        <f>-SUMIFS(T_ORCAMENTOS!$E:$E,T_ORCAMENTOS!$C:$C,"Controle de Pragas",T_ORCAMENTOS!$H:$H,"1/2026")</f>
        <v>0</v>
      </c>
      <c r="J232" s="27">
        <f>SUMIFS(Aut_BlueMe_Sem_Pedido!$J:$J,Aut_BlueMe_Sem_Pedido!$Q:$Q,DRE!H$4,Aut_BlueMe_Sem_Pedido!$H:$H,DRE!$A232)+SUMIFS(Aut_Ajustes_Manuais!$G:$G,Aut_Ajustes_Manuais!$I:$I,DRE!H$4,Aut_Ajustes_Manuais!$F:$F,"Controle de Pragas")</f>
        <v>0</v>
      </c>
      <c r="K232" s="237"/>
      <c r="L232" s="26">
        <f>-SUMIFS(T_ORCAMENTOS!$E:$E,T_ORCAMENTOS!$C:$C,"Controle de Pragas",T_ORCAMENTOS!$H:$H,"2/2026")</f>
        <v>0</v>
      </c>
      <c r="M232" s="27">
        <f>SUMIFS(Aut_BlueMe_Sem_Pedido!$J:$J,Aut_BlueMe_Sem_Pedido!$Q:$Q,DRE!K$4,Aut_BlueMe_Sem_Pedido!$H:$H,DRE!$A232)+SUMIFS(Aut_Ajustes_Manuais!$G:$G,Aut_Ajustes_Manuais!$I:$I,DRE!K$4,Aut_Ajustes_Manuais!$F:$F,"Controle de Pragas")</f>
        <v>0</v>
      </c>
      <c r="N232" s="237"/>
      <c r="O232" s="26">
        <f>-SUMIFS(T_ORCAMENTOS!$E:$E,T_ORCAMENTOS!$C:$C,"Controle de Pragas",T_ORCAMENTOS!$H:$H,"3/2026")</f>
        <v>0</v>
      </c>
      <c r="P232" s="27">
        <f>SUMIFS(Aut_BlueMe_Sem_Pedido!$J:$J,Aut_BlueMe_Sem_Pedido!$Q:$Q,DRE!N$4,Aut_BlueMe_Sem_Pedido!$H:$H,DRE!$A232)+SUMIFS(Aut_Ajustes_Manuais!$G:$G,Aut_Ajustes_Manuais!$I:$I,DRE!N$4,Aut_Ajustes_Manuais!$F:$F,"Controle de Pragas")</f>
        <v>0</v>
      </c>
      <c r="Q232" s="237"/>
      <c r="R232" s="26">
        <f>-SUMIFS(T_ORCAMENTOS!$E:$E,T_ORCAMENTOS!$C:$C,"Controle de Pragas",T_ORCAMENTOS!$H:$H,"4/2026")</f>
        <v>0</v>
      </c>
      <c r="S232" s="27">
        <f>SUMIFS(Aut_BlueMe_Sem_Pedido!$J:$J,Aut_BlueMe_Sem_Pedido!$Q:$Q,DRE!Q$4,Aut_BlueMe_Sem_Pedido!$H:$H,DRE!$A232)+SUMIFS(Aut_Ajustes_Manuais!$G:$G,Aut_Ajustes_Manuais!$I:$I,DRE!Q$4,Aut_Ajustes_Manuais!$F:$F,"Controle de Pragas")</f>
        <v>0</v>
      </c>
      <c r="T232" s="237"/>
      <c r="U232" s="26">
        <f>-SUMIFS(T_ORCAMENTOS!$E:$E,T_ORCAMENTOS!$C:$C,"Controle de Pragas",T_ORCAMENTOS!$H:$H,"5/2026")</f>
        <v>0</v>
      </c>
      <c r="V232" s="27">
        <f>SUMIFS(Aut_BlueMe_Sem_Pedido!$J:$J,Aut_BlueMe_Sem_Pedido!$Q:$Q,DRE!T$4,Aut_BlueMe_Sem_Pedido!$H:$H,DRE!$A232)+SUMIFS(Aut_Ajustes_Manuais!$G:$G,Aut_Ajustes_Manuais!$I:$I,DRE!T$4,Aut_Ajustes_Manuais!$F:$F,"Controle de Pragas")</f>
        <v>0</v>
      </c>
      <c r="W232" s="237"/>
      <c r="X232" s="26">
        <f>-SUMIFS(T_ORCAMENTOS!$E:$E,T_ORCAMENTOS!$C:$C,"Controle de Pragas",T_ORCAMENTOS!$H:$H,"6/2026")</f>
        <v>0</v>
      </c>
      <c r="Y232" s="27">
        <f>SUMIFS(Aut_BlueMe_Sem_Pedido!$J:$J,Aut_BlueMe_Sem_Pedido!$Q:$Q,DRE!W$4,Aut_BlueMe_Sem_Pedido!$H:$H,DRE!$A232)+SUMIFS(Aut_Ajustes_Manuais!$G:$G,Aut_Ajustes_Manuais!$I:$I,DRE!W$4,Aut_Ajustes_Manuais!$F:$F,"Controle de Pragas")</f>
        <v>0</v>
      </c>
      <c r="Z232" s="237"/>
      <c r="AA232" s="26">
        <f>-SUMIFS(T_ORCAMENTOS!$E:$E,T_ORCAMENTOS!$C:$C,"Controle de Pragas",T_ORCAMENTOS!$H:$H,"7/2026")</f>
        <v>0</v>
      </c>
      <c r="AB232" s="27">
        <f>SUMIFS(Aut_BlueMe_Sem_Pedido!$J:$J,Aut_BlueMe_Sem_Pedido!$Q:$Q,DRE!Z$4,Aut_BlueMe_Sem_Pedido!$H:$H,DRE!$A232)+SUMIFS(Aut_Ajustes_Manuais!$G:$G,Aut_Ajustes_Manuais!$I:$I,DRE!Z$4,Aut_Ajustes_Manuais!$F:$F,"Controle de Pragas")</f>
        <v>0</v>
      </c>
      <c r="AC232" s="237"/>
      <c r="AD232" s="26">
        <f>-SUMIFS(T_ORCAMENTOS!$E:$E,T_ORCAMENTOS!$C:$C,"Controle de Pragas",T_ORCAMENTOS!$H:$H,"8/2026")</f>
        <v>-860</v>
      </c>
      <c r="AE232" s="27">
        <f>SUMIFS(Aut_BlueMe_Sem_Pedido!$J:$J,Aut_BlueMe_Sem_Pedido!$Q:$Q,DRE!AC$4,Aut_BlueMe_Sem_Pedido!$H:$H,DRE!$A232)+SUMIFS(Aut_Ajustes_Manuais!$G:$G,Aut_Ajustes_Manuais!$I:$I,DRE!AC$4,Aut_Ajustes_Manuais!$F:$F,"Controle de Pragas")</f>
        <v>0</v>
      </c>
      <c r="AF232" s="237"/>
      <c r="AG232" s="26">
        <f>-SUMIFS(T_ORCAMENTOS!$E:$E,T_ORCAMENTOS!$C:$C,"Controle de Pragas",T_ORCAMENTOS!$H:$H,"9/2026")</f>
        <v>-860</v>
      </c>
      <c r="AH232" s="27">
        <f>SUMIFS(Aut_BlueMe_Sem_Pedido!$J:$J,Aut_BlueMe_Sem_Pedido!$Q:$Q,DRE!AF$4,Aut_BlueMe_Sem_Pedido!$H:$H,DRE!$A232)+SUMIFS(Aut_Ajustes_Manuais!$G:$G,Aut_Ajustes_Manuais!$I:$I,DRE!AF$4,Aut_Ajustes_Manuais!$F:$F,"Controle de Pragas")</f>
        <v>0</v>
      </c>
      <c r="AI232" s="237"/>
      <c r="AJ232" s="26">
        <f>-SUMIFS(T_ORCAMENTOS!$E:$E,T_ORCAMENTOS!$C:$C,"Controle de Pragas",T_ORCAMENTOS!$H:$H,"10/2026")</f>
        <v>-860</v>
      </c>
      <c r="AK232" s="27">
        <f>SUMIFS(Aut_BlueMe_Sem_Pedido!$J:$J,Aut_BlueMe_Sem_Pedido!$Q:$Q,DRE!AI$4,Aut_BlueMe_Sem_Pedido!$H:$H,DRE!$A232)+SUMIFS(Aut_Ajustes_Manuais!$G:$G,Aut_Ajustes_Manuais!$I:$I,DRE!AI$4,Aut_Ajustes_Manuais!$F:$F,"Controle de Pragas")</f>
        <v>0</v>
      </c>
      <c r="AL232" s="237"/>
      <c r="AM232" s="26">
        <f>-SUMIFS(T_ORCAMENTOS!$E:$E,T_ORCAMENTOS!$C:$C,"Controle de Pragas",T_ORCAMENTOS!$H:$H,"11/2026")</f>
        <v>-860</v>
      </c>
      <c r="AN232" s="27">
        <f>SUMIFS(Aut_BlueMe_Sem_Pedido!$J:$J,Aut_BlueMe_Sem_Pedido!$Q:$Q,DRE!AL$4,Aut_BlueMe_Sem_Pedido!$H:$H,DRE!$A232)+SUMIFS(Aut_Ajustes_Manuais!$G:$G,Aut_Ajustes_Manuais!$I:$I,DRE!AL$4,Aut_Ajustes_Manuais!$F:$F,"Controle de Pragas")</f>
        <v>0</v>
      </c>
      <c r="AO232" s="237"/>
      <c r="AP232" s="26">
        <f>-SUMIFS(T_ORCAMENTOS!$E:$E,T_ORCAMENTOS!$C:$C,"Controle de Pragas",T_ORCAMENTOS!$H:$H,"12/2026")</f>
        <v>-860</v>
      </c>
      <c r="AQ232" s="27">
        <f>SUMIFS(Aut_BlueMe_Sem_Pedido!$J:$J,Aut_BlueMe_Sem_Pedido!$Q:$Q,DRE!AO$4,Aut_BlueMe_Sem_Pedido!$H:$H,DRE!$A232)+SUMIFS(Aut_Ajustes_Manuais!$G:$G,Aut_Ajustes_Manuais!$I:$I,DRE!AO$4,Aut_Ajustes_Manuais!$F:$F,"Controle de Pragas")</f>
        <v>0</v>
      </c>
      <c r="AR232" s="237">
        <f t="shared" ca="1" si="195"/>
        <v>0</v>
      </c>
      <c r="AS232" s="26">
        <f t="shared" ca="1" si="196"/>
        <v>-860</v>
      </c>
      <c r="AT232" s="27">
        <f t="shared" ca="1" si="197"/>
        <v>0</v>
      </c>
      <c r="AU232" s="237">
        <f t="shared" si="198"/>
        <v>0</v>
      </c>
      <c r="AV232" s="26">
        <f t="shared" si="199"/>
        <v>-4300</v>
      </c>
      <c r="AW232" s="27">
        <f t="shared" si="200"/>
        <v>0</v>
      </c>
      <c r="AX232" s="237">
        <f t="shared" si="201"/>
        <v>0</v>
      </c>
      <c r="AY232" s="26">
        <f t="shared" si="202"/>
        <v>0</v>
      </c>
      <c r="AZ232" s="27">
        <f t="shared" si="203"/>
        <v>0</v>
      </c>
      <c r="BA232" s="237">
        <f t="shared" si="204"/>
        <v>0</v>
      </c>
      <c r="BB232" s="26">
        <f t="shared" si="205"/>
        <v>0</v>
      </c>
      <c r="BC232" s="27">
        <f t="shared" si="206"/>
        <v>0</v>
      </c>
      <c r="BD232" s="237">
        <f t="shared" si="207"/>
        <v>0</v>
      </c>
      <c r="BE232" s="26">
        <f t="shared" si="208"/>
        <v>-1720</v>
      </c>
      <c r="BF232" s="27">
        <f t="shared" si="209"/>
        <v>0</v>
      </c>
      <c r="BG232" s="237">
        <f t="shared" si="210"/>
        <v>0</v>
      </c>
      <c r="BH232" s="26">
        <f t="shared" si="211"/>
        <v>-2580</v>
      </c>
      <c r="BI232" s="27">
        <f t="shared" si="212"/>
        <v>0</v>
      </c>
      <c r="BJ232" s="454"/>
    </row>
    <row r="233" spans="1:62" s="28" customFormat="1" hidden="1" outlineLevel="1" x14ac:dyDescent="0.3">
      <c r="A233" s="21" t="s">
        <v>270</v>
      </c>
      <c r="B233" s="22"/>
      <c r="C233" s="23" t="s">
        <v>60</v>
      </c>
      <c r="D233" s="109">
        <v>-4000</v>
      </c>
      <c r="E233" s="110">
        <v>-8.0000000000000004E-4</v>
      </c>
      <c r="F233" s="54"/>
      <c r="G233" s="32"/>
      <c r="H233" s="237"/>
      <c r="I233" s="26">
        <f>-SUMIFS(T_ORCAMENTOS!$E:$E,T_ORCAMENTOS!$C:$C,"Coleta de lixo",T_ORCAMENTOS!$H:$H,"1/2026")</f>
        <v>0</v>
      </c>
      <c r="J233" s="27">
        <f>SUMIFS(Aut_BlueMe_Sem_Pedido!$J:$J,Aut_BlueMe_Sem_Pedido!$Q:$Q,DRE!H$4,Aut_BlueMe_Sem_Pedido!$H:$H,DRE!$A233)+SUMIFS(Aut_Ajustes_Manuais!$G:$G,Aut_Ajustes_Manuais!$I:$I,DRE!H$4,Aut_Ajustes_Manuais!$F:$F,"Coleta de lixo")</f>
        <v>0</v>
      </c>
      <c r="K233" s="237"/>
      <c r="L233" s="26">
        <f>-SUMIFS(T_ORCAMENTOS!$E:$E,T_ORCAMENTOS!$C:$C,"Coleta de lixo",T_ORCAMENTOS!$H:$H,"2/2026")</f>
        <v>0</v>
      </c>
      <c r="M233" s="27">
        <f>SUMIFS(Aut_BlueMe_Sem_Pedido!$J:$J,Aut_BlueMe_Sem_Pedido!$Q:$Q,DRE!K$4,Aut_BlueMe_Sem_Pedido!$H:$H,DRE!$A233)+SUMIFS(Aut_Ajustes_Manuais!$G:$G,Aut_Ajustes_Manuais!$I:$I,DRE!K$4,Aut_Ajustes_Manuais!$F:$F,"Coleta de lixo")</f>
        <v>0</v>
      </c>
      <c r="N233" s="237"/>
      <c r="O233" s="26">
        <f>-SUMIFS(T_ORCAMENTOS!$E:$E,T_ORCAMENTOS!$C:$C,"Coleta de lixo",T_ORCAMENTOS!$H:$H,"3/2026")</f>
        <v>0</v>
      </c>
      <c r="P233" s="27">
        <f>SUMIFS(Aut_BlueMe_Sem_Pedido!$J:$J,Aut_BlueMe_Sem_Pedido!$Q:$Q,DRE!N$4,Aut_BlueMe_Sem_Pedido!$H:$H,DRE!$A233)+SUMIFS(Aut_Ajustes_Manuais!$G:$G,Aut_Ajustes_Manuais!$I:$I,DRE!N$4,Aut_Ajustes_Manuais!$F:$F,"Coleta de lixo")</f>
        <v>0</v>
      </c>
      <c r="Q233" s="237"/>
      <c r="R233" s="26">
        <f>-SUMIFS(T_ORCAMENTOS!$E:$E,T_ORCAMENTOS!$C:$C,"Coleta de lixo",T_ORCAMENTOS!$H:$H,"4/2026")</f>
        <v>0</v>
      </c>
      <c r="S233" s="27">
        <f>SUMIFS(Aut_BlueMe_Sem_Pedido!$J:$J,Aut_BlueMe_Sem_Pedido!$Q:$Q,DRE!Q$4,Aut_BlueMe_Sem_Pedido!$H:$H,DRE!$A233)+SUMIFS(Aut_Ajustes_Manuais!$G:$G,Aut_Ajustes_Manuais!$I:$I,DRE!Q$4,Aut_Ajustes_Manuais!$F:$F,"Coleta de lixo")</f>
        <v>0</v>
      </c>
      <c r="T233" s="237"/>
      <c r="U233" s="26">
        <f>-SUMIFS(T_ORCAMENTOS!$E:$E,T_ORCAMENTOS!$C:$C,"Coleta de lixo",T_ORCAMENTOS!$H:$H,"5/2026")</f>
        <v>0</v>
      </c>
      <c r="V233" s="27">
        <f>SUMIFS(Aut_BlueMe_Sem_Pedido!$J:$J,Aut_BlueMe_Sem_Pedido!$Q:$Q,DRE!T$4,Aut_BlueMe_Sem_Pedido!$H:$H,DRE!$A233)+SUMIFS(Aut_Ajustes_Manuais!$G:$G,Aut_Ajustes_Manuais!$I:$I,DRE!T$4,Aut_Ajustes_Manuais!$F:$F,"Coleta de lixo")</f>
        <v>0</v>
      </c>
      <c r="W233" s="237"/>
      <c r="X233" s="26">
        <f>-SUMIFS(T_ORCAMENTOS!$E:$E,T_ORCAMENTOS!$C:$C,"Coleta de lixo",T_ORCAMENTOS!$H:$H,"6/2026")</f>
        <v>0</v>
      </c>
      <c r="Y233" s="27">
        <f>SUMIFS(Aut_BlueMe_Sem_Pedido!$J:$J,Aut_BlueMe_Sem_Pedido!$Q:$Q,DRE!W$4,Aut_BlueMe_Sem_Pedido!$H:$H,DRE!$A233)+SUMIFS(Aut_Ajustes_Manuais!$G:$G,Aut_Ajustes_Manuais!$I:$I,DRE!W$4,Aut_Ajustes_Manuais!$F:$F,"Coleta de lixo")</f>
        <v>0</v>
      </c>
      <c r="Z233" s="237"/>
      <c r="AA233" s="26">
        <f>-SUMIFS(T_ORCAMENTOS!$E:$E,T_ORCAMENTOS!$C:$C,"Coleta de lixo",T_ORCAMENTOS!$H:$H,"7/2026")</f>
        <v>0</v>
      </c>
      <c r="AB233" s="27">
        <f>SUMIFS(Aut_BlueMe_Sem_Pedido!$J:$J,Aut_BlueMe_Sem_Pedido!$Q:$Q,DRE!Z$4,Aut_BlueMe_Sem_Pedido!$H:$H,DRE!$A233)+SUMIFS(Aut_Ajustes_Manuais!$G:$G,Aut_Ajustes_Manuais!$I:$I,DRE!Z$4,Aut_Ajustes_Manuais!$F:$F,"Coleta de lixo")</f>
        <v>0</v>
      </c>
      <c r="AC233" s="237"/>
      <c r="AD233" s="26">
        <f>-SUMIFS(T_ORCAMENTOS!$E:$E,T_ORCAMENTOS!$C:$C,"Coleta de lixo",T_ORCAMENTOS!$H:$H,"8/2026")</f>
        <v>-8194.7800000000007</v>
      </c>
      <c r="AE233" s="27">
        <f>SUMIFS(Aut_BlueMe_Sem_Pedido!$J:$J,Aut_BlueMe_Sem_Pedido!$Q:$Q,DRE!AC$4,Aut_BlueMe_Sem_Pedido!$H:$H,DRE!$A233)+SUMIFS(Aut_Ajustes_Manuais!$G:$G,Aut_Ajustes_Manuais!$I:$I,DRE!AC$4,Aut_Ajustes_Manuais!$F:$F,"Coleta de lixo")</f>
        <v>0</v>
      </c>
      <c r="AF233" s="237"/>
      <c r="AG233" s="26">
        <f>-SUMIFS(T_ORCAMENTOS!$E:$E,T_ORCAMENTOS!$C:$C,"Coleta de lixo",T_ORCAMENTOS!$H:$H,"9/2026")</f>
        <v>-8120.14</v>
      </c>
      <c r="AH233" s="27">
        <f>SUMIFS(Aut_BlueMe_Sem_Pedido!$J:$J,Aut_BlueMe_Sem_Pedido!$Q:$Q,DRE!AF$4,Aut_BlueMe_Sem_Pedido!$H:$H,DRE!$A233)+SUMIFS(Aut_Ajustes_Manuais!$G:$G,Aut_Ajustes_Manuais!$I:$I,DRE!AF$4,Aut_Ajustes_Manuais!$F:$F,"Coleta de lixo")</f>
        <v>0</v>
      </c>
      <c r="AI233" s="237"/>
      <c r="AJ233" s="26">
        <f>-SUMIFS(T_ORCAMENTOS!$E:$E,T_ORCAMENTOS!$C:$C,"Coleta de lixo",T_ORCAMENTOS!$H:$H,"10/2026")</f>
        <v>-8346.5300000000007</v>
      </c>
      <c r="AK233" s="27">
        <f>SUMIFS(Aut_BlueMe_Sem_Pedido!$J:$J,Aut_BlueMe_Sem_Pedido!$Q:$Q,DRE!AI$4,Aut_BlueMe_Sem_Pedido!$H:$H,DRE!$A233)+SUMIFS(Aut_Ajustes_Manuais!$G:$G,Aut_Ajustes_Manuais!$I:$I,DRE!AI$4,Aut_Ajustes_Manuais!$F:$F,"Coleta de lixo")</f>
        <v>0</v>
      </c>
      <c r="AL233" s="237"/>
      <c r="AM233" s="26">
        <f>-SUMIFS(T_ORCAMENTOS!$E:$E,T_ORCAMENTOS!$C:$C,"Coleta de lixo",T_ORCAMENTOS!$H:$H,"11/2026")</f>
        <v>-8145.88</v>
      </c>
      <c r="AN233" s="27">
        <f>SUMIFS(Aut_BlueMe_Sem_Pedido!$J:$J,Aut_BlueMe_Sem_Pedido!$Q:$Q,DRE!AL$4,Aut_BlueMe_Sem_Pedido!$H:$H,DRE!$A233)+SUMIFS(Aut_Ajustes_Manuais!$G:$G,Aut_Ajustes_Manuais!$I:$I,DRE!AL$4,Aut_Ajustes_Manuais!$F:$F,"Coleta de lixo")</f>
        <v>0</v>
      </c>
      <c r="AO233" s="237"/>
      <c r="AP233" s="26">
        <f>-SUMIFS(T_ORCAMENTOS!$E:$E,T_ORCAMENTOS!$C:$C,"Coleta de lixo",T_ORCAMENTOS!$H:$H,"12/2026")</f>
        <v>-8355.76</v>
      </c>
      <c r="AQ233" s="27">
        <f>SUMIFS(Aut_BlueMe_Sem_Pedido!$J:$J,Aut_BlueMe_Sem_Pedido!$Q:$Q,DRE!AO$4,Aut_BlueMe_Sem_Pedido!$H:$H,DRE!$A233)+SUMIFS(Aut_Ajustes_Manuais!$G:$G,Aut_Ajustes_Manuais!$I:$I,DRE!AO$4,Aut_Ajustes_Manuais!$F:$F,"Coleta de lixo")</f>
        <v>0</v>
      </c>
      <c r="AR233" s="237">
        <f t="shared" ca="1" si="195"/>
        <v>0</v>
      </c>
      <c r="AS233" s="26">
        <f t="shared" ca="1" si="196"/>
        <v>-8194.7800000000007</v>
      </c>
      <c r="AT233" s="27">
        <f t="shared" ca="1" si="197"/>
        <v>0</v>
      </c>
      <c r="AU233" s="237">
        <f t="shared" si="198"/>
        <v>0</v>
      </c>
      <c r="AV233" s="26">
        <f t="shared" si="199"/>
        <v>-41163.090000000004</v>
      </c>
      <c r="AW233" s="27">
        <f t="shared" si="200"/>
        <v>0</v>
      </c>
      <c r="AX233" s="237">
        <f t="shared" si="201"/>
        <v>0</v>
      </c>
      <c r="AY233" s="26">
        <f t="shared" si="202"/>
        <v>0</v>
      </c>
      <c r="AZ233" s="27">
        <f t="shared" si="203"/>
        <v>0</v>
      </c>
      <c r="BA233" s="237">
        <f t="shared" si="204"/>
        <v>0</v>
      </c>
      <c r="BB233" s="26">
        <f t="shared" si="205"/>
        <v>0</v>
      </c>
      <c r="BC233" s="27">
        <f t="shared" si="206"/>
        <v>0</v>
      </c>
      <c r="BD233" s="237">
        <f t="shared" si="207"/>
        <v>0</v>
      </c>
      <c r="BE233" s="26">
        <f t="shared" si="208"/>
        <v>-16314.920000000002</v>
      </c>
      <c r="BF233" s="27">
        <f t="shared" si="209"/>
        <v>0</v>
      </c>
      <c r="BG233" s="237">
        <f t="shared" si="210"/>
        <v>0</v>
      </c>
      <c r="BH233" s="26">
        <f t="shared" si="211"/>
        <v>-24848.17</v>
      </c>
      <c r="BI233" s="27">
        <f t="shared" si="212"/>
        <v>0</v>
      </c>
      <c r="BJ233" s="454"/>
    </row>
    <row r="234" spans="1:62" s="28" customFormat="1" hidden="1" outlineLevel="1" x14ac:dyDescent="0.3">
      <c r="A234" s="21" t="s">
        <v>271</v>
      </c>
      <c r="B234" s="22"/>
      <c r="C234" s="23" t="s">
        <v>60</v>
      </c>
      <c r="D234" s="109">
        <v>-6000</v>
      </c>
      <c r="E234" s="110">
        <v>-8.0000000000000004E-4</v>
      </c>
      <c r="F234" s="54"/>
      <c r="G234" s="32"/>
      <c r="H234" s="237"/>
      <c r="I234" s="26">
        <f>-SUMIFS(T_ORCAMENTOS!$E:$E,T_ORCAMENTOS!$C:$C,"Utensilios",T_ORCAMENTOS!$H:$H,"1/2026")</f>
        <v>0</v>
      </c>
      <c r="J234" s="27">
        <f>SUMIFS(Aut_BlueMe_Sem_Pedido!$K:$K,Aut_BlueMe_Sem_Pedido!$Q:$Q,DRE!H$4,Aut_BlueMe_Sem_Pedido!$H:$H,DRE!$A234)-SUMIFS(Aut_BlueMe_Com_Pedido!$O:$O,Aut_BlueMe_Com_Pedido!$Q:$Q,DRE!H$4)+SUMIFS(Aut_Ajustes_Manuais!$G:$G,Aut_Ajustes_Manuais!$I:$I,DRE!H$4,Aut_Ajustes_Manuais!$F:$F,"Utensilios")</f>
        <v>0</v>
      </c>
      <c r="K234" s="237"/>
      <c r="L234" s="26">
        <f>-SUMIFS(T_ORCAMENTOS!$E:$E,T_ORCAMENTOS!$C:$C,"Utensilios",T_ORCAMENTOS!$H:$H,"2/2026")</f>
        <v>0</v>
      </c>
      <c r="M234" s="27">
        <f>SUMIFS(Aut_BlueMe_Sem_Pedido!$K:$K,Aut_BlueMe_Sem_Pedido!$Q:$Q,DRE!K$4,Aut_BlueMe_Sem_Pedido!$H:$H,DRE!$A234)-SUMIFS(Aut_BlueMe_Com_Pedido!$O:$O,Aut_BlueMe_Com_Pedido!$Q:$Q,DRE!K$4)+SUMIFS(Aut_Ajustes_Manuais!$G:$G,Aut_Ajustes_Manuais!$I:$I,DRE!K$4,Aut_Ajustes_Manuais!$F:$F,"Utensilios")</f>
        <v>0</v>
      </c>
      <c r="N234" s="237"/>
      <c r="O234" s="26">
        <f>-SUMIFS(T_ORCAMENTOS!$E:$E,T_ORCAMENTOS!$C:$C,"Utensilios",T_ORCAMENTOS!$H:$H,"3/2026")</f>
        <v>0</v>
      </c>
      <c r="P234" s="27">
        <f>SUMIFS(Aut_BlueMe_Sem_Pedido!$K:$K,Aut_BlueMe_Sem_Pedido!$Q:$Q,DRE!N$4,Aut_BlueMe_Sem_Pedido!$H:$H,DRE!$A234)-SUMIFS(Aut_BlueMe_Com_Pedido!$O:$O,Aut_BlueMe_Com_Pedido!$Q:$Q,DRE!N$4)+SUMIFS(Aut_Ajustes_Manuais!$G:$G,Aut_Ajustes_Manuais!$I:$I,DRE!N$4,Aut_Ajustes_Manuais!$F:$F,"Utensilios")</f>
        <v>0</v>
      </c>
      <c r="Q234" s="237"/>
      <c r="R234" s="26">
        <f>-SUMIFS(T_ORCAMENTOS!$E:$E,T_ORCAMENTOS!$C:$C,"Utensilios",T_ORCAMENTOS!$H:$H,"4/2026")</f>
        <v>0</v>
      </c>
      <c r="S234" s="27">
        <f>SUMIFS(Aut_BlueMe_Sem_Pedido!$K:$K,Aut_BlueMe_Sem_Pedido!$Q:$Q,DRE!Q$4,Aut_BlueMe_Sem_Pedido!$H:$H,DRE!$A234)-SUMIFS(Aut_BlueMe_Com_Pedido!$O:$O,Aut_BlueMe_Com_Pedido!$Q:$Q,DRE!Q$4)+SUMIFS(Aut_Ajustes_Manuais!$G:$G,Aut_Ajustes_Manuais!$I:$I,DRE!Q$4,Aut_Ajustes_Manuais!$F:$F,"Utensilios")</f>
        <v>0</v>
      </c>
      <c r="T234" s="237"/>
      <c r="U234" s="26">
        <f>-SUMIFS(T_ORCAMENTOS!$E:$E,T_ORCAMENTOS!$C:$C,"Utensilios",T_ORCAMENTOS!$H:$H,"5/2026")</f>
        <v>0</v>
      </c>
      <c r="V234" s="27">
        <f>SUMIFS(Aut_BlueMe_Sem_Pedido!$K:$K,Aut_BlueMe_Sem_Pedido!$Q:$Q,DRE!T$4,Aut_BlueMe_Sem_Pedido!$H:$H,DRE!$A234)-SUMIFS(Aut_BlueMe_Com_Pedido!$O:$O,Aut_BlueMe_Com_Pedido!$Q:$Q,DRE!T$4)+SUMIFS(Aut_Ajustes_Manuais!$G:$G,Aut_Ajustes_Manuais!$I:$I,DRE!T$4,Aut_Ajustes_Manuais!$F:$F,"Utensilios")</f>
        <v>0</v>
      </c>
      <c r="W234" s="237"/>
      <c r="X234" s="26">
        <f>-SUMIFS(T_ORCAMENTOS!$E:$E,T_ORCAMENTOS!$C:$C,"Utensilios",T_ORCAMENTOS!$H:$H,"6/2026")</f>
        <v>0</v>
      </c>
      <c r="Y234" s="27">
        <f>SUMIFS(Aut_BlueMe_Sem_Pedido!$K:$K,Aut_BlueMe_Sem_Pedido!$Q:$Q,DRE!W$4,Aut_BlueMe_Sem_Pedido!$H:$H,DRE!$A234)-SUMIFS(Aut_BlueMe_Com_Pedido!$O:$O,Aut_BlueMe_Com_Pedido!$Q:$Q,DRE!W$4)+SUMIFS(Aut_Ajustes_Manuais!$G:$G,Aut_Ajustes_Manuais!$I:$I,DRE!W$4,Aut_Ajustes_Manuais!$F:$F,"Utensilios")</f>
        <v>-1756.5799999999945</v>
      </c>
      <c r="Z234" s="237"/>
      <c r="AA234" s="26">
        <f>-SUMIFS(T_ORCAMENTOS!$E:$E,T_ORCAMENTOS!$C:$C,"Utensilios",T_ORCAMENTOS!$H:$H,"7/2026")</f>
        <v>0</v>
      </c>
      <c r="AB234" s="27">
        <f>SUMIFS(Aut_BlueMe_Sem_Pedido!$K:$K,Aut_BlueMe_Sem_Pedido!$Q:$Q,DRE!Z$4,Aut_BlueMe_Sem_Pedido!$H:$H,DRE!$A234)-SUMIFS(Aut_BlueMe_Com_Pedido!$O:$O,Aut_BlueMe_Com_Pedido!$Q:$Q,DRE!Z$4)+SUMIFS(Aut_Ajustes_Manuais!$G:$G,Aut_Ajustes_Manuais!$I:$I,DRE!Z$4,Aut_Ajustes_Manuais!$F:$F,"Utensilios")</f>
        <v>-34994.380000000005</v>
      </c>
      <c r="AC234" s="237"/>
      <c r="AD234" s="26">
        <f>-SUMIFS(T_ORCAMENTOS!$E:$E,T_ORCAMENTOS!$C:$C,"Utensilios",T_ORCAMENTOS!$H:$H,"8/2026")</f>
        <v>-12000</v>
      </c>
      <c r="AE234" s="27">
        <f>SUMIFS(Aut_BlueMe_Sem_Pedido!$K:$K,Aut_BlueMe_Sem_Pedido!$Q:$Q,DRE!AC$4,Aut_BlueMe_Sem_Pedido!$H:$H,DRE!$A234)-SUMIFS(Aut_BlueMe_Com_Pedido!$O:$O,Aut_BlueMe_Com_Pedido!$Q:$Q,DRE!AC$4)+SUMIFS(Aut_Ajustes_Manuais!$G:$G,Aut_Ajustes_Manuais!$I:$I,DRE!AC$4,Aut_Ajustes_Manuais!$F:$F,"Utensilios")</f>
        <v>0</v>
      </c>
      <c r="AF234" s="237"/>
      <c r="AG234" s="26">
        <f>-SUMIFS(T_ORCAMENTOS!$E:$E,T_ORCAMENTOS!$C:$C,"Utensilios",T_ORCAMENTOS!$H:$H,"9/2026")</f>
        <v>-12000</v>
      </c>
      <c r="AH234" s="27">
        <f>SUMIFS(Aut_BlueMe_Sem_Pedido!$K:$K,Aut_BlueMe_Sem_Pedido!$Q:$Q,DRE!AF$4,Aut_BlueMe_Sem_Pedido!$H:$H,DRE!$A234)-SUMIFS(Aut_BlueMe_Com_Pedido!$O:$O,Aut_BlueMe_Com_Pedido!$Q:$Q,DRE!AF$4)+SUMIFS(Aut_Ajustes_Manuais!$G:$G,Aut_Ajustes_Manuais!$I:$I,DRE!AF$4,Aut_Ajustes_Manuais!$F:$F,"Utensilios")</f>
        <v>0</v>
      </c>
      <c r="AI234" s="237"/>
      <c r="AJ234" s="26">
        <f>-SUMIFS(T_ORCAMENTOS!$E:$E,T_ORCAMENTOS!$C:$C,"Utensilios",T_ORCAMENTOS!$H:$H,"10/2026")</f>
        <v>-12000</v>
      </c>
      <c r="AK234" s="27">
        <f>SUMIFS(Aut_BlueMe_Sem_Pedido!$K:$K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37"/>
      <c r="AM234" s="26">
        <f>-SUMIFS(T_ORCAMENTOS!$E:$E,T_ORCAMENTOS!$C:$C,"Utensilios",T_ORCAMENTOS!$H:$H,"11/2026")</f>
        <v>-12000</v>
      </c>
      <c r="AN234" s="27">
        <f>SUMIFS(Aut_BlueMe_Sem_Pedido!$K:$K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37"/>
      <c r="AP234" s="26">
        <f>-SUMIFS(T_ORCAMENTOS!$E:$E,T_ORCAMENTOS!$C:$C,"Utensilios",T_ORCAMENTOS!$H:$H,"12/2026")</f>
        <v>-12000</v>
      </c>
      <c r="AQ234" s="27">
        <f>SUMIFS(Aut_BlueMe_Sem_Pedido!$K:$K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37">
        <f t="shared" ca="1" si="195"/>
        <v>0</v>
      </c>
      <c r="AS234" s="26">
        <f t="shared" ca="1" si="196"/>
        <v>-12000</v>
      </c>
      <c r="AT234" s="27">
        <f t="shared" ca="1" si="197"/>
        <v>-36750.959999999999</v>
      </c>
      <c r="AU234" s="237">
        <f t="shared" si="198"/>
        <v>0</v>
      </c>
      <c r="AV234" s="26">
        <f t="shared" si="199"/>
        <v>-60000</v>
      </c>
      <c r="AW234" s="27">
        <f t="shared" si="200"/>
        <v>-36750.959999999999</v>
      </c>
      <c r="AX234" s="237">
        <f t="shared" si="201"/>
        <v>0</v>
      </c>
      <c r="AY234" s="26">
        <f t="shared" si="202"/>
        <v>0</v>
      </c>
      <c r="AZ234" s="27">
        <f t="shared" si="203"/>
        <v>0</v>
      </c>
      <c r="BA234" s="237">
        <f t="shared" si="204"/>
        <v>0</v>
      </c>
      <c r="BB234" s="26">
        <f t="shared" si="205"/>
        <v>0</v>
      </c>
      <c r="BC234" s="27">
        <f t="shared" si="206"/>
        <v>-1756.5799999999945</v>
      </c>
      <c r="BD234" s="237">
        <f t="shared" si="207"/>
        <v>0</v>
      </c>
      <c r="BE234" s="26">
        <f t="shared" si="208"/>
        <v>-24000</v>
      </c>
      <c r="BF234" s="27">
        <f t="shared" si="209"/>
        <v>-34994.380000000005</v>
      </c>
      <c r="BG234" s="237">
        <f t="shared" si="210"/>
        <v>0</v>
      </c>
      <c r="BH234" s="26">
        <f t="shared" si="211"/>
        <v>-36000</v>
      </c>
      <c r="BI234" s="27">
        <f t="shared" si="212"/>
        <v>0</v>
      </c>
      <c r="BJ234" s="454"/>
    </row>
    <row r="235" spans="1:62" s="28" customFormat="1" hidden="1" outlineLevel="1" x14ac:dyDescent="0.3">
      <c r="A235" s="21" t="s">
        <v>272</v>
      </c>
      <c r="B235" s="22"/>
      <c r="C235" s="23" t="s">
        <v>60</v>
      </c>
      <c r="D235" s="109">
        <v>-300</v>
      </c>
      <c r="E235" s="110"/>
      <c r="F235" s="54"/>
      <c r="G235" s="32"/>
      <c r="H235" s="237"/>
      <c r="I235" s="26">
        <f>-SUMIFS(T_ORCAMENTOS!$E:$E,T_ORCAMENTOS!$C:$C,"Serviços Graficos",T_ORCAMENTOS!$H:$H,"1/2026")</f>
        <v>0</v>
      </c>
      <c r="J235" s="27">
        <f>SUMIFS(Aut_BlueMe_Sem_Pedido!$J:$J,Aut_BlueMe_Sem_Pedido!$Q:$Q,DRE!H$4,Aut_BlueMe_Sem_Pedido!$H:$H,DRE!$A235)+SUMIFS(Aut_Ajustes_Manuais!$G:$G,Aut_Ajustes_Manuais!$I:$I,DRE!H$4,Aut_Ajustes_Manuais!$F:$F,"Serviços Graficos")</f>
        <v>0</v>
      </c>
      <c r="K235" s="237"/>
      <c r="L235" s="26">
        <f>-SUMIFS(T_ORCAMENTOS!$E:$E,T_ORCAMENTOS!$C:$C,"Serviços Graficos",T_ORCAMENTOS!$H:$H,"2/2026")</f>
        <v>0</v>
      </c>
      <c r="M235" s="27">
        <f>SUMIFS(Aut_BlueMe_Sem_Pedido!$J:$J,Aut_BlueMe_Sem_Pedido!$Q:$Q,DRE!K$4,Aut_BlueMe_Sem_Pedido!$H:$H,DRE!$A235)+SUMIFS(Aut_Ajustes_Manuais!$G:$G,Aut_Ajustes_Manuais!$I:$I,DRE!K$4,Aut_Ajustes_Manuais!$F:$F,"Serviços Graficos")</f>
        <v>0</v>
      </c>
      <c r="N235" s="237"/>
      <c r="O235" s="26">
        <f>-SUMIFS(T_ORCAMENTOS!$E:$E,T_ORCAMENTOS!$C:$C,"Serviços Graficos",T_ORCAMENTOS!$H:$H,"3/2026")</f>
        <v>0</v>
      </c>
      <c r="P235" s="27">
        <f>SUMIFS(Aut_BlueMe_Sem_Pedido!$J:$J,Aut_BlueMe_Sem_Pedido!$Q:$Q,DRE!N$4,Aut_BlueMe_Sem_Pedido!$H:$H,DRE!$A235)+SUMIFS(Aut_Ajustes_Manuais!$G:$G,Aut_Ajustes_Manuais!$I:$I,DRE!N$4,Aut_Ajustes_Manuais!$F:$F,"Serviços Graficos")</f>
        <v>0</v>
      </c>
      <c r="Q235" s="237"/>
      <c r="R235" s="26">
        <f>-SUMIFS(T_ORCAMENTOS!$E:$E,T_ORCAMENTOS!$C:$C,"Serviços Graficos",T_ORCAMENTOS!$H:$H,"4/2026")</f>
        <v>0</v>
      </c>
      <c r="S235" s="27">
        <f>SUMIFS(Aut_BlueMe_Sem_Pedido!$J:$J,Aut_BlueMe_Sem_Pedido!$Q:$Q,DRE!Q$4,Aut_BlueMe_Sem_Pedido!$H:$H,DRE!$A235)+SUMIFS(Aut_Ajustes_Manuais!$G:$G,Aut_Ajustes_Manuais!$I:$I,DRE!Q$4,Aut_Ajustes_Manuais!$F:$F,"Serviços Graficos")</f>
        <v>0</v>
      </c>
      <c r="T235" s="237"/>
      <c r="U235" s="26">
        <f>-SUMIFS(T_ORCAMENTOS!$E:$E,T_ORCAMENTOS!$C:$C,"Serviços Graficos",T_ORCAMENTOS!$H:$H,"5/2026")</f>
        <v>0</v>
      </c>
      <c r="V235" s="27">
        <f>SUMIFS(Aut_BlueMe_Sem_Pedido!$J:$J,Aut_BlueMe_Sem_Pedido!$Q:$Q,DRE!T$4,Aut_BlueMe_Sem_Pedido!$H:$H,DRE!$A235)+SUMIFS(Aut_Ajustes_Manuais!$G:$G,Aut_Ajustes_Manuais!$I:$I,DRE!T$4,Aut_Ajustes_Manuais!$F:$F,"Serviços Graficos")</f>
        <v>0</v>
      </c>
      <c r="W235" s="237"/>
      <c r="X235" s="26">
        <f>-SUMIFS(T_ORCAMENTOS!$E:$E,T_ORCAMENTOS!$C:$C,"Serviços Graficos",T_ORCAMENTOS!$H:$H,"6/2026")</f>
        <v>0</v>
      </c>
      <c r="Y235" s="27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37"/>
      <c r="AA235" s="26">
        <f>-SUMIFS(T_ORCAMENTOS!$E:$E,T_ORCAMENTOS!$C:$C,"Serviços Graficos",T_ORCAMENTOS!$H:$H,"7/2026")</f>
        <v>0</v>
      </c>
      <c r="AB235" s="27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37"/>
      <c r="AD235" s="26">
        <f>-SUMIFS(T_ORCAMENTOS!$E:$E,T_ORCAMENTOS!$C:$C,"Serviços Graficos",T_ORCAMENTOS!$H:$H,"8/2026")</f>
        <v>0</v>
      </c>
      <c r="AE235" s="27">
        <f>SUMIFS(Aut_BlueMe_Sem_Pedido!$J:$J,Aut_BlueMe_Sem_Pedido!$Q:$Q,DRE!AC$4,Aut_BlueMe_Sem_Pedido!$H:$H,DRE!$A235)+SUMIFS(Aut_Ajustes_Manuais!$G:$G,Aut_Ajustes_Manuais!$I:$I,DRE!AC$4,Aut_Ajustes_Manuais!$F:$F,"Serviços Graficos")</f>
        <v>0</v>
      </c>
      <c r="AF235" s="237"/>
      <c r="AG235" s="26">
        <f>-SUMIFS(T_ORCAMENTOS!$E:$E,T_ORCAMENTOS!$C:$C,"Serviços Graficos",T_ORCAMENTOS!$H:$H,"9/2026")</f>
        <v>0</v>
      </c>
      <c r="AH235" s="27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37"/>
      <c r="AJ235" s="26">
        <f>-SUMIFS(T_ORCAMENTOS!$E:$E,T_ORCAMENTOS!$C:$C,"Serviços Graficos",T_ORCAMENTOS!$H:$H,"10/2026")</f>
        <v>0</v>
      </c>
      <c r="AK235" s="27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37"/>
      <c r="AM235" s="26">
        <f>-SUMIFS(T_ORCAMENTOS!$E:$E,T_ORCAMENTOS!$C:$C,"Serviços Graficos",T_ORCAMENTOS!$H:$H,"11/2026")</f>
        <v>0</v>
      </c>
      <c r="AN235" s="27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37"/>
      <c r="AP235" s="26">
        <f>-SUMIFS(T_ORCAMENTOS!$E:$E,T_ORCAMENTOS!$C:$C,"Serviços Graficos",T_ORCAMENTOS!$H:$H,"12/2026")</f>
        <v>0</v>
      </c>
      <c r="AQ235" s="27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37">
        <f t="shared" ca="1" si="195"/>
        <v>0</v>
      </c>
      <c r="AS235" s="26">
        <f t="shared" ca="1" si="196"/>
        <v>0</v>
      </c>
      <c r="AT235" s="27">
        <f t="shared" ca="1" si="197"/>
        <v>0</v>
      </c>
      <c r="AU235" s="237">
        <f t="shared" si="198"/>
        <v>0</v>
      </c>
      <c r="AV235" s="26">
        <f t="shared" si="199"/>
        <v>0</v>
      </c>
      <c r="AW235" s="27">
        <f t="shared" si="200"/>
        <v>0</v>
      </c>
      <c r="AX235" s="237">
        <f t="shared" si="201"/>
        <v>0</v>
      </c>
      <c r="AY235" s="26">
        <f t="shared" si="202"/>
        <v>0</v>
      </c>
      <c r="AZ235" s="27">
        <f t="shared" si="203"/>
        <v>0</v>
      </c>
      <c r="BA235" s="237">
        <f t="shared" si="204"/>
        <v>0</v>
      </c>
      <c r="BB235" s="26">
        <f t="shared" si="205"/>
        <v>0</v>
      </c>
      <c r="BC235" s="27">
        <f t="shared" si="206"/>
        <v>0</v>
      </c>
      <c r="BD235" s="237">
        <f t="shared" si="207"/>
        <v>0</v>
      </c>
      <c r="BE235" s="26">
        <f t="shared" si="208"/>
        <v>0</v>
      </c>
      <c r="BF235" s="27">
        <f t="shared" si="209"/>
        <v>0</v>
      </c>
      <c r="BG235" s="237">
        <f t="shared" si="210"/>
        <v>0</v>
      </c>
      <c r="BH235" s="26">
        <f t="shared" si="211"/>
        <v>0</v>
      </c>
      <c r="BI235" s="27">
        <f t="shared" si="212"/>
        <v>0</v>
      </c>
      <c r="BJ235" s="454"/>
    </row>
    <row r="236" spans="1:62" s="28" customFormat="1" hidden="1" outlineLevel="1" x14ac:dyDescent="0.3">
      <c r="A236" s="21" t="s">
        <v>273</v>
      </c>
      <c r="B236" s="22"/>
      <c r="C236" s="23" t="s">
        <v>60</v>
      </c>
      <c r="D236" s="109">
        <v>-280</v>
      </c>
      <c r="E236" s="110"/>
      <c r="F236" s="54"/>
      <c r="G236" s="32"/>
      <c r="H236" s="237"/>
      <c r="I236" s="26">
        <f>-SUMIFS(T_ORCAMENTOS!$E:$E,T_ORCAMENTOS!$C:$C,"Custas Cartório / Operação",T_ORCAMENTOS!$H:$H,"1/2026")</f>
        <v>0</v>
      </c>
      <c r="J236" s="27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37"/>
      <c r="L236" s="26">
        <f>-SUMIFS(T_ORCAMENTOS!$E:$E,T_ORCAMENTOS!$C:$C,"Custas Cartório / Operação",T_ORCAMENTOS!$H:$H,"2/2026")</f>
        <v>0</v>
      </c>
      <c r="M236" s="27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37"/>
      <c r="O236" s="26">
        <f>-SUMIFS(T_ORCAMENTOS!$E:$E,T_ORCAMENTOS!$C:$C,"Custas Cartório / Operação",T_ORCAMENTOS!$H:$H,"3/2026")</f>
        <v>0</v>
      </c>
      <c r="P236" s="27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37"/>
      <c r="R236" s="26">
        <f>-SUMIFS(T_ORCAMENTOS!$E:$E,T_ORCAMENTOS!$C:$C,"Custas Cartório / Operação",T_ORCAMENTOS!$H:$H,"4/2026")</f>
        <v>0</v>
      </c>
      <c r="S236" s="27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37"/>
      <c r="U236" s="26">
        <f>-SUMIFS(T_ORCAMENTOS!$E:$E,T_ORCAMENTOS!$C:$C,"Custas Cartório / Operação",T_ORCAMENTOS!$H:$H,"5/2026")</f>
        <v>0</v>
      </c>
      <c r="V236" s="27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37"/>
      <c r="X236" s="26">
        <f>-SUMIFS(T_ORCAMENTOS!$E:$E,T_ORCAMENTOS!$C:$C,"Custas Cartório / Operação",T_ORCAMENTOS!$H:$H,"6/2026")</f>
        <v>0</v>
      </c>
      <c r="Y236" s="27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37"/>
      <c r="AA236" s="26">
        <f>-SUMIFS(T_ORCAMENTOS!$E:$E,T_ORCAMENTOS!$C:$C,"Custas Cartório / Operação",T_ORCAMENTOS!$H:$H,"7/2026")</f>
        <v>0</v>
      </c>
      <c r="AB236" s="27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37"/>
      <c r="AD236" s="26">
        <f>-SUMIFS(T_ORCAMENTOS!$E:$E,T_ORCAMENTOS!$C:$C,"Custas Cartório / Operação",T_ORCAMENTOS!$H:$H,"8/2026")</f>
        <v>0</v>
      </c>
      <c r="AE236" s="27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37"/>
      <c r="AG236" s="26">
        <f>-SUMIFS(T_ORCAMENTOS!$E:$E,T_ORCAMENTOS!$C:$C,"Custas Cartório / Operação",T_ORCAMENTOS!$H:$H,"9/2026")</f>
        <v>0</v>
      </c>
      <c r="AH236" s="27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37"/>
      <c r="AJ236" s="26">
        <f>-SUMIFS(T_ORCAMENTOS!$E:$E,T_ORCAMENTOS!$C:$C,"Custas Cartório / Operação",T_ORCAMENTOS!$H:$H,"10/2026")</f>
        <v>0</v>
      </c>
      <c r="AK236" s="27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37"/>
      <c r="AM236" s="26">
        <f>-SUMIFS(T_ORCAMENTOS!$E:$E,T_ORCAMENTOS!$C:$C,"Custas Cartório / Operação",T_ORCAMENTOS!$H:$H,"11/2026")</f>
        <v>0</v>
      </c>
      <c r="AN236" s="27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37"/>
      <c r="AP236" s="26">
        <f>-SUMIFS(T_ORCAMENTOS!$E:$E,T_ORCAMENTOS!$C:$C,"Custas Cartório / Operação",T_ORCAMENTOS!$H:$H,"12/2026")</f>
        <v>0</v>
      </c>
      <c r="AQ236" s="27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37">
        <f t="shared" ca="1" si="195"/>
        <v>0</v>
      </c>
      <c r="AS236" s="26">
        <f t="shared" ca="1" si="196"/>
        <v>0</v>
      </c>
      <c r="AT236" s="27">
        <f t="shared" ca="1" si="197"/>
        <v>0</v>
      </c>
      <c r="AU236" s="237">
        <f t="shared" si="198"/>
        <v>0</v>
      </c>
      <c r="AV236" s="26">
        <f t="shared" si="199"/>
        <v>0</v>
      </c>
      <c r="AW236" s="27">
        <f t="shared" si="200"/>
        <v>0</v>
      </c>
      <c r="AX236" s="237">
        <f t="shared" si="201"/>
        <v>0</v>
      </c>
      <c r="AY236" s="26">
        <f t="shared" si="202"/>
        <v>0</v>
      </c>
      <c r="AZ236" s="27">
        <f t="shared" si="203"/>
        <v>0</v>
      </c>
      <c r="BA236" s="237">
        <f t="shared" si="204"/>
        <v>0</v>
      </c>
      <c r="BB236" s="26">
        <f t="shared" si="205"/>
        <v>0</v>
      </c>
      <c r="BC236" s="27">
        <f t="shared" si="206"/>
        <v>0</v>
      </c>
      <c r="BD236" s="237">
        <f t="shared" si="207"/>
        <v>0</v>
      </c>
      <c r="BE236" s="26">
        <f t="shared" si="208"/>
        <v>0</v>
      </c>
      <c r="BF236" s="27">
        <f t="shared" si="209"/>
        <v>0</v>
      </c>
      <c r="BG236" s="237">
        <f t="shared" si="210"/>
        <v>0</v>
      </c>
      <c r="BH236" s="26">
        <f t="shared" si="211"/>
        <v>0</v>
      </c>
      <c r="BI236" s="27">
        <f t="shared" si="212"/>
        <v>0</v>
      </c>
      <c r="BJ236" s="454"/>
    </row>
    <row r="237" spans="1:62" s="28" customFormat="1" hidden="1" outlineLevel="1" x14ac:dyDescent="0.3">
      <c r="A237" s="21" t="s">
        <v>274</v>
      </c>
      <c r="B237" s="22"/>
      <c r="C237" s="23" t="s">
        <v>60</v>
      </c>
      <c r="D237" s="109"/>
      <c r="E237" s="110">
        <v>-6.9999999999999999E-4</v>
      </c>
      <c r="F237" s="54"/>
      <c r="G237" s="32"/>
      <c r="H237" s="237"/>
      <c r="I237" s="26">
        <f>-SUMIFS(T_ORCAMENTOS!$E:$E,T_ORCAMENTOS!$C:$C,"Material de Escritorio",T_ORCAMENTOS!$H:$H,"1/2026")</f>
        <v>0</v>
      </c>
      <c r="J237" s="27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0</v>
      </c>
      <c r="K237" s="237"/>
      <c r="L237" s="26">
        <f>-SUMIFS(T_ORCAMENTOS!$E:$E,T_ORCAMENTOS!$C:$C,"Material de Escritorio",T_ORCAMENTOS!$H:$H,"2/2026")</f>
        <v>0</v>
      </c>
      <c r="M237" s="27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0</v>
      </c>
      <c r="N237" s="237"/>
      <c r="O237" s="26">
        <f>-SUMIFS(T_ORCAMENTOS!$E:$E,T_ORCAMENTOS!$C:$C,"Material de Escritorio",T_ORCAMENTOS!$H:$H,"3/2026")</f>
        <v>0</v>
      </c>
      <c r="P237" s="27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0</v>
      </c>
      <c r="Q237" s="237"/>
      <c r="R237" s="26">
        <f>-SUMIFS(T_ORCAMENTOS!$E:$E,T_ORCAMENTOS!$C:$C,"Material de Escritorio",T_ORCAMENTOS!$H:$H,"4/2026")</f>
        <v>0</v>
      </c>
      <c r="S237" s="27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0</v>
      </c>
      <c r="T237" s="237"/>
      <c r="U237" s="26">
        <f>-SUMIFS(T_ORCAMENTOS!$E:$E,T_ORCAMENTOS!$C:$C,"Material de Escritorio",T_ORCAMENTOS!$H:$H,"5/2026")</f>
        <v>0</v>
      </c>
      <c r="V237" s="27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-3851.85</v>
      </c>
      <c r="W237" s="237"/>
      <c r="X237" s="26">
        <f>-SUMIFS(T_ORCAMENTOS!$E:$E,T_ORCAMENTOS!$C:$C,"Material de Escritorio",T_ORCAMENTOS!$H:$H,"6/2026")</f>
        <v>0</v>
      </c>
      <c r="Y237" s="27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-4694</v>
      </c>
      <c r="Z237" s="237"/>
      <c r="AA237" s="26">
        <f>-SUMIFS(T_ORCAMENTOS!$E:$E,T_ORCAMENTOS!$C:$C,"Material de Escritorio",T_ORCAMENTOS!$H:$H,"7/2026")</f>
        <v>0</v>
      </c>
      <c r="AB237" s="27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-5472.78</v>
      </c>
      <c r="AC237" s="237"/>
      <c r="AD237" s="26">
        <f>-SUMIFS(T_ORCAMENTOS!$E:$E,T_ORCAMENTOS!$C:$C,"Material de Escritorio",T_ORCAMENTOS!$H:$H,"8/2026")</f>
        <v>-1000</v>
      </c>
      <c r="AE237" s="27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0</v>
      </c>
      <c r="AF237" s="237"/>
      <c r="AG237" s="26">
        <f>-SUMIFS(T_ORCAMENTOS!$E:$E,T_ORCAMENTOS!$C:$C,"Material de Escritorio",T_ORCAMENTOS!$H:$H,"9/2026")</f>
        <v>-1000</v>
      </c>
      <c r="AH237" s="27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0</v>
      </c>
      <c r="AI237" s="237"/>
      <c r="AJ237" s="26">
        <f>-SUMIFS(T_ORCAMENTOS!$E:$E,T_ORCAMENTOS!$C:$C,"Material de Escritorio",T_ORCAMENTOS!$H:$H,"10/2026")</f>
        <v>-1000</v>
      </c>
      <c r="AK237" s="27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37"/>
      <c r="AM237" s="26">
        <f>-SUMIFS(T_ORCAMENTOS!$E:$E,T_ORCAMENTOS!$C:$C,"Material de Escritorio",T_ORCAMENTOS!$H:$H,"11/2026")</f>
        <v>-1000</v>
      </c>
      <c r="AN237" s="27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37"/>
      <c r="AP237" s="26">
        <f>-SUMIFS(T_ORCAMENTOS!$E:$E,T_ORCAMENTOS!$C:$C,"Material de Escritorio",T_ORCAMENTOS!$H:$H,"12/2026")</f>
        <v>-1000</v>
      </c>
      <c r="AQ237" s="27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37">
        <f t="shared" ca="1" si="195"/>
        <v>0</v>
      </c>
      <c r="AS237" s="26">
        <f t="shared" ca="1" si="196"/>
        <v>-1000</v>
      </c>
      <c r="AT237" s="27">
        <f t="shared" ca="1" si="197"/>
        <v>-14018.630000000001</v>
      </c>
      <c r="AU237" s="237">
        <f t="shared" si="198"/>
        <v>0</v>
      </c>
      <c r="AV237" s="26">
        <f t="shared" si="199"/>
        <v>-5000</v>
      </c>
      <c r="AW237" s="27">
        <f t="shared" si="200"/>
        <v>-14018.630000000001</v>
      </c>
      <c r="AX237" s="237">
        <f t="shared" si="201"/>
        <v>0</v>
      </c>
      <c r="AY237" s="26">
        <f t="shared" si="202"/>
        <v>0</v>
      </c>
      <c r="AZ237" s="27">
        <f t="shared" si="203"/>
        <v>0</v>
      </c>
      <c r="BA237" s="237">
        <f t="shared" si="204"/>
        <v>0</v>
      </c>
      <c r="BB237" s="26">
        <f t="shared" si="205"/>
        <v>0</v>
      </c>
      <c r="BC237" s="27">
        <f t="shared" si="206"/>
        <v>-8545.85</v>
      </c>
      <c r="BD237" s="237">
        <f t="shared" si="207"/>
        <v>0</v>
      </c>
      <c r="BE237" s="26">
        <f t="shared" si="208"/>
        <v>-2000</v>
      </c>
      <c r="BF237" s="27">
        <f t="shared" si="209"/>
        <v>-5472.78</v>
      </c>
      <c r="BG237" s="237">
        <f t="shared" si="210"/>
        <v>0</v>
      </c>
      <c r="BH237" s="26">
        <f t="shared" si="211"/>
        <v>-3000</v>
      </c>
      <c r="BI237" s="27">
        <f t="shared" si="212"/>
        <v>0</v>
      </c>
      <c r="BJ237" s="454"/>
    </row>
    <row r="238" spans="1:62" s="28" customFormat="1" hidden="1" outlineLevel="1" x14ac:dyDescent="0.3">
      <c r="A238" s="21" t="s">
        <v>275</v>
      </c>
      <c r="B238" s="22"/>
      <c r="C238" s="23" t="s">
        <v>67</v>
      </c>
      <c r="D238" s="79"/>
      <c r="E238" s="111"/>
      <c r="F238" s="54"/>
      <c r="G238" s="32"/>
      <c r="H238" s="237"/>
      <c r="I238" s="26">
        <f>-SUMIFS(T_ORCAMENTOS!$E:$E,T_ORCAMENTOS!$C:$C,"Serviços de Limpeza",T_ORCAMENTOS!$H:$H,"1/2026")</f>
        <v>0</v>
      </c>
      <c r="J238" s="27">
        <f>SUMIFS(Aut_BlueMe_Sem_Pedido!$J:$J,Aut_BlueMe_Sem_Pedido!$Q:$Q,DRE!H$4,Aut_BlueMe_Sem_Pedido!$H:$H,DRE!$A238)+SUMIFS(Aut_Ajustes_Manuais!$G:$G,Aut_Ajustes_Manuais!$I:$I,DRE!H$4,Aut_Ajustes_Manuais!$F:$F,"Serviços de Limpeza")</f>
        <v>0</v>
      </c>
      <c r="K238" s="237"/>
      <c r="L238" s="26">
        <f>-SUMIFS(T_ORCAMENTOS!$E:$E,T_ORCAMENTOS!$C:$C,"Serviços de Limpeza",T_ORCAMENTOS!$H:$H,"2/2026")</f>
        <v>0</v>
      </c>
      <c r="M238" s="27">
        <f>SUMIFS(Aut_BlueMe_Sem_Pedido!$J:$J,Aut_BlueMe_Sem_Pedido!$Q:$Q,DRE!K$4,Aut_BlueMe_Sem_Pedido!$H:$H,DRE!$A238)+SUMIFS(Aut_Ajustes_Manuais!$G:$G,Aut_Ajustes_Manuais!$I:$I,DRE!K$4,Aut_Ajustes_Manuais!$F:$F,"Serviços de Limpeza")</f>
        <v>0</v>
      </c>
      <c r="N238" s="237"/>
      <c r="O238" s="26">
        <f>-SUMIFS(T_ORCAMENTOS!$E:$E,T_ORCAMENTOS!$C:$C,"Serviços de Limpeza",T_ORCAMENTOS!$H:$H,"3/2026")</f>
        <v>0</v>
      </c>
      <c r="P238" s="27">
        <f>SUMIFS(Aut_BlueMe_Sem_Pedido!$J:$J,Aut_BlueMe_Sem_Pedido!$Q:$Q,DRE!N$4,Aut_BlueMe_Sem_Pedido!$H:$H,DRE!$A238)+SUMIFS(Aut_Ajustes_Manuais!$G:$G,Aut_Ajustes_Manuais!$I:$I,DRE!N$4,Aut_Ajustes_Manuais!$F:$F,"Serviços de Limpeza")</f>
        <v>0</v>
      </c>
      <c r="Q238" s="237"/>
      <c r="R238" s="26">
        <f>-SUMIFS(T_ORCAMENTOS!$E:$E,T_ORCAMENTOS!$C:$C,"Serviços de Limpeza",T_ORCAMENTOS!$H:$H,"4/2026")</f>
        <v>0</v>
      </c>
      <c r="S238" s="27">
        <f>SUMIFS(Aut_BlueMe_Sem_Pedido!$J:$J,Aut_BlueMe_Sem_Pedido!$Q:$Q,DRE!Q$4,Aut_BlueMe_Sem_Pedido!$H:$H,DRE!$A238)+SUMIFS(Aut_Ajustes_Manuais!$G:$G,Aut_Ajustes_Manuais!$I:$I,DRE!Q$4,Aut_Ajustes_Manuais!$F:$F,"Serviços de Limpeza")</f>
        <v>0</v>
      </c>
      <c r="T238" s="237"/>
      <c r="U238" s="26">
        <f>-SUMIFS(T_ORCAMENTOS!$E:$E,T_ORCAMENTOS!$C:$C,"Serviços de Limpeza",T_ORCAMENTOS!$H:$H,"5/2026")</f>
        <v>0</v>
      </c>
      <c r="V238" s="27">
        <f>SUMIFS(Aut_BlueMe_Sem_Pedido!$J:$J,Aut_BlueMe_Sem_Pedido!$Q:$Q,DRE!T$4,Aut_BlueMe_Sem_Pedido!$H:$H,DRE!$A238)+SUMIFS(Aut_Ajustes_Manuais!$G:$G,Aut_Ajustes_Manuais!$I:$I,DRE!T$4,Aut_Ajustes_Manuais!$F:$F,"Serviços de Limpeza")</f>
        <v>0</v>
      </c>
      <c r="W238" s="237"/>
      <c r="X238" s="26">
        <f>-SUMIFS(T_ORCAMENTOS!$E:$E,T_ORCAMENTOS!$C:$C,"Serviços de Limpeza",T_ORCAMENTOS!$H:$H,"6/2026")</f>
        <v>0</v>
      </c>
      <c r="Y238" s="27">
        <f>SUMIFS(Aut_BlueMe_Sem_Pedido!$J:$J,Aut_BlueMe_Sem_Pedido!$Q:$Q,DRE!W$4,Aut_BlueMe_Sem_Pedido!$H:$H,DRE!$A238)+SUMIFS(Aut_Ajustes_Manuais!$G:$G,Aut_Ajustes_Manuais!$I:$I,DRE!W$4,Aut_Ajustes_Manuais!$F:$F,"Serviços de Limpeza")</f>
        <v>0</v>
      </c>
      <c r="Z238" s="237"/>
      <c r="AA238" s="26">
        <f>-SUMIFS(T_ORCAMENTOS!$E:$E,T_ORCAMENTOS!$C:$C,"Serviços de Limpeza",T_ORCAMENTOS!$H:$H,"7/2026")</f>
        <v>0</v>
      </c>
      <c r="AB238" s="27">
        <f>SUMIFS(Aut_BlueMe_Sem_Pedido!$J:$J,Aut_BlueMe_Sem_Pedido!$Q:$Q,DRE!Z$4,Aut_BlueMe_Sem_Pedido!$H:$H,DRE!$A238)+SUMIFS(Aut_Ajustes_Manuais!$G:$G,Aut_Ajustes_Manuais!$I:$I,DRE!Z$4,Aut_Ajustes_Manuais!$F:$F,"Serviços de Limpeza")</f>
        <v>0</v>
      </c>
      <c r="AC238" s="237"/>
      <c r="AD238" s="26">
        <f>-SUMIFS(T_ORCAMENTOS!$E:$E,T_ORCAMENTOS!$C:$C,"Serviços de Limpeza",T_ORCAMENTOS!$H:$H,"8/2026")</f>
        <v>-2248</v>
      </c>
      <c r="AE238" s="27">
        <f>SUMIFS(Aut_BlueMe_Sem_Pedido!$J:$J,Aut_BlueMe_Sem_Pedido!$Q:$Q,DRE!AC$4,Aut_BlueMe_Sem_Pedido!$H:$H,DRE!$A238)+SUMIFS(Aut_Ajustes_Manuais!$G:$G,Aut_Ajustes_Manuais!$I:$I,DRE!AC$4,Aut_Ajustes_Manuais!$F:$F,"Serviços de Limpeza")</f>
        <v>0</v>
      </c>
      <c r="AF238" s="237"/>
      <c r="AG238" s="26">
        <f>-SUMIFS(T_ORCAMENTOS!$E:$E,T_ORCAMENTOS!$C:$C,"Serviços de Limpeza",T_ORCAMENTOS!$H:$H,"9/2026")</f>
        <v>-4488</v>
      </c>
      <c r="AH238" s="27">
        <f>SUMIFS(Aut_BlueMe_Sem_Pedido!$J:$J,Aut_BlueMe_Sem_Pedido!$Q:$Q,DRE!AF$4,Aut_BlueMe_Sem_Pedido!$H:$H,DRE!$A238)+SUMIFS(Aut_Ajustes_Manuais!$G:$G,Aut_Ajustes_Manuais!$I:$I,DRE!AF$4,Aut_Ajustes_Manuais!$F:$F,"Serviços de Limpeza")</f>
        <v>0</v>
      </c>
      <c r="AI238" s="237"/>
      <c r="AJ238" s="26">
        <f>-SUMIFS(T_ORCAMENTOS!$E:$E,T_ORCAMENTOS!$C:$C,"Serviços de Limpeza",T_ORCAMENTOS!$H:$H,"10/2026")</f>
        <v>-2248</v>
      </c>
      <c r="AK238" s="27">
        <f>SUMIFS(Aut_BlueMe_Sem_Pedido!$J:$J,Aut_BlueMe_Sem_Pedido!$Q:$Q,DRE!AI$4,Aut_BlueMe_Sem_Pedido!$H:$H,DRE!$A238)+SUMIFS(Aut_Ajustes_Manuais!$G:$G,Aut_Ajustes_Manuais!$I:$I,DRE!AI$4,Aut_Ajustes_Manuais!$F:$F,"Serviços de Limpeza")</f>
        <v>0</v>
      </c>
      <c r="AL238" s="237"/>
      <c r="AM238" s="26">
        <f>-SUMIFS(T_ORCAMENTOS!$E:$E,T_ORCAMENTOS!$C:$C,"Serviços de Limpeza",T_ORCAMENTOS!$H:$H,"11/2026")</f>
        <v>-2248</v>
      </c>
      <c r="AN238" s="27">
        <f>SUMIFS(Aut_BlueMe_Sem_Pedido!$J:$J,Aut_BlueMe_Sem_Pedido!$Q:$Q,DRE!AL$4,Aut_BlueMe_Sem_Pedido!$H:$H,DRE!$A238)+SUMIFS(Aut_Ajustes_Manuais!$G:$G,Aut_Ajustes_Manuais!$I:$I,DRE!AL$4,Aut_Ajustes_Manuais!$F:$F,"Serviços de Limpeza")</f>
        <v>0</v>
      </c>
      <c r="AO238" s="237"/>
      <c r="AP238" s="26">
        <f>-SUMIFS(T_ORCAMENTOS!$E:$E,T_ORCAMENTOS!$C:$C,"Serviços de Limpeza",T_ORCAMENTOS!$H:$H,"12/2026")</f>
        <v>-2248</v>
      </c>
      <c r="AQ238" s="27">
        <f>SUMIFS(Aut_BlueMe_Sem_Pedido!$J:$J,Aut_BlueMe_Sem_Pedido!$Q:$Q,DRE!AO$4,Aut_BlueMe_Sem_Pedido!$H:$H,DRE!$A238)+SUMIFS(Aut_Ajustes_Manuais!$G:$G,Aut_Ajustes_Manuais!$I:$I,DRE!AO$4,Aut_Ajustes_Manuais!$F:$F,"Serviços de Limpeza")</f>
        <v>0</v>
      </c>
      <c r="AR238" s="237">
        <f t="shared" ca="1" si="195"/>
        <v>0</v>
      </c>
      <c r="AS238" s="26">
        <f t="shared" ca="1" si="196"/>
        <v>-2248</v>
      </c>
      <c r="AT238" s="27">
        <f t="shared" ca="1" si="197"/>
        <v>0</v>
      </c>
      <c r="AU238" s="237">
        <f t="shared" si="198"/>
        <v>0</v>
      </c>
      <c r="AV238" s="26">
        <f t="shared" si="199"/>
        <v>-13480</v>
      </c>
      <c r="AW238" s="27">
        <f t="shared" si="200"/>
        <v>0</v>
      </c>
      <c r="AX238" s="237">
        <f t="shared" si="201"/>
        <v>0</v>
      </c>
      <c r="AY238" s="26">
        <f t="shared" si="202"/>
        <v>0</v>
      </c>
      <c r="AZ238" s="27">
        <f t="shared" si="203"/>
        <v>0</v>
      </c>
      <c r="BA238" s="237">
        <f t="shared" si="204"/>
        <v>0</v>
      </c>
      <c r="BB238" s="26">
        <f t="shared" si="205"/>
        <v>0</v>
      </c>
      <c r="BC238" s="27">
        <f t="shared" si="206"/>
        <v>0</v>
      </c>
      <c r="BD238" s="237">
        <f t="shared" si="207"/>
        <v>0</v>
      </c>
      <c r="BE238" s="26">
        <f t="shared" si="208"/>
        <v>-6736</v>
      </c>
      <c r="BF238" s="27">
        <f t="shared" si="209"/>
        <v>0</v>
      </c>
      <c r="BG238" s="237">
        <f t="shared" si="210"/>
        <v>0</v>
      </c>
      <c r="BH238" s="26">
        <f t="shared" si="211"/>
        <v>-6744</v>
      </c>
      <c r="BI238" s="27">
        <f t="shared" si="212"/>
        <v>0</v>
      </c>
      <c r="BJ238" s="454"/>
    </row>
    <row r="239" spans="1:62" s="28" customFormat="1" hidden="1" outlineLevel="1" x14ac:dyDescent="0.3">
      <c r="A239" s="21" t="s">
        <v>276</v>
      </c>
      <c r="B239" s="22"/>
      <c r="C239" s="23" t="s">
        <v>60</v>
      </c>
      <c r="D239" s="109"/>
      <c r="E239" s="110">
        <v>-5.0000000000000001E-4</v>
      </c>
      <c r="F239" s="54"/>
      <c r="G239" s="32"/>
      <c r="H239" s="237"/>
      <c r="I239" s="26">
        <f>-SUMIFS(T_ORCAMENTOS!$E:$E,T_ORCAMENTOS!$C:$C,"Serviço de Lavanderia",T_ORCAMENTOS!$H:$H,"1/2026")</f>
        <v>0</v>
      </c>
      <c r="J239" s="27">
        <f>SUMIFS(Aut_BlueMe_Sem_Pedido!$J:$J,Aut_BlueMe_Sem_Pedido!$Q:$Q,DRE!H$4,Aut_BlueMe_Sem_Pedido!$H:$H,DRE!$A239)+SUMIFS(Aut_Ajustes_Manuais!$G:$G,Aut_Ajustes_Manuais!$I:$I,DRE!H$4,Aut_Ajustes_Manuais!$F:$F,"Serviço de Lavanderia")</f>
        <v>0</v>
      </c>
      <c r="K239" s="237"/>
      <c r="L239" s="26">
        <f>-SUMIFS(T_ORCAMENTOS!$E:$E,T_ORCAMENTOS!$C:$C,"Serviço de Lavanderia",T_ORCAMENTOS!$H:$H,"2/2026")</f>
        <v>0</v>
      </c>
      <c r="M239" s="27">
        <f>SUMIFS(Aut_BlueMe_Sem_Pedido!$J:$J,Aut_BlueMe_Sem_Pedido!$Q:$Q,DRE!K$4,Aut_BlueMe_Sem_Pedido!$H:$H,DRE!$A239)+SUMIFS(Aut_Ajustes_Manuais!$G:$G,Aut_Ajustes_Manuais!$I:$I,DRE!K$4,Aut_Ajustes_Manuais!$F:$F,"Serviço de Lavanderia")</f>
        <v>0</v>
      </c>
      <c r="N239" s="237"/>
      <c r="O239" s="26">
        <f>-SUMIFS(T_ORCAMENTOS!$E:$E,T_ORCAMENTOS!$C:$C,"Serviço de Lavanderia",T_ORCAMENTOS!$H:$H,"3/2026")</f>
        <v>0</v>
      </c>
      <c r="P239" s="27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37"/>
      <c r="R239" s="26">
        <f>-SUMIFS(T_ORCAMENTOS!$E:$E,T_ORCAMENTOS!$C:$C,"Serviço de Lavanderia",T_ORCAMENTOS!$H:$H,"4/2026")</f>
        <v>0</v>
      </c>
      <c r="S239" s="27">
        <f>SUMIFS(Aut_BlueMe_Sem_Pedido!$J:$J,Aut_BlueMe_Sem_Pedido!$Q:$Q,DRE!Q$4,Aut_BlueMe_Sem_Pedido!$H:$H,DRE!$A239)+SUMIFS(Aut_Ajustes_Manuais!$G:$G,Aut_Ajustes_Manuais!$I:$I,DRE!Q$4,Aut_Ajustes_Manuais!$F:$F,"Serviço de Lavanderia")</f>
        <v>0</v>
      </c>
      <c r="T239" s="237"/>
      <c r="U239" s="26">
        <f>-SUMIFS(T_ORCAMENTOS!$E:$E,T_ORCAMENTOS!$C:$C,"Serviço de Lavanderia",T_ORCAMENTOS!$H:$H,"5/2026")</f>
        <v>0</v>
      </c>
      <c r="V239" s="27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37"/>
      <c r="X239" s="26">
        <f>-SUMIFS(T_ORCAMENTOS!$E:$E,T_ORCAMENTOS!$C:$C,"Serviço de Lavanderia",T_ORCAMENTOS!$H:$H,"6/2026")</f>
        <v>0</v>
      </c>
      <c r="Y239" s="27">
        <f>SUMIFS(Aut_BlueMe_Sem_Pedido!$J:$J,Aut_BlueMe_Sem_Pedido!$Q:$Q,DRE!W$4,Aut_BlueMe_Sem_Pedido!$H:$H,DRE!$A239)+SUMIFS(Aut_Ajustes_Manuais!$G:$G,Aut_Ajustes_Manuais!$I:$I,DRE!W$4,Aut_Ajustes_Manuais!$F:$F,"Serviço de Lavanderia")</f>
        <v>0</v>
      </c>
      <c r="Z239" s="237"/>
      <c r="AA239" s="26">
        <f>-SUMIFS(T_ORCAMENTOS!$E:$E,T_ORCAMENTOS!$C:$C,"Serviço de Lavanderia",T_ORCAMENTOS!$H:$H,"7/2026")</f>
        <v>0</v>
      </c>
      <c r="AB239" s="27">
        <f>SUMIFS(Aut_BlueMe_Sem_Pedido!$J:$J,Aut_BlueMe_Sem_Pedido!$Q:$Q,DRE!Z$4,Aut_BlueMe_Sem_Pedido!$H:$H,DRE!$A239)+SUMIFS(Aut_Ajustes_Manuais!$G:$G,Aut_Ajustes_Manuais!$I:$I,DRE!Z$4,Aut_Ajustes_Manuais!$F:$F,"Serviço de Lavanderia")</f>
        <v>0</v>
      </c>
      <c r="AC239" s="237"/>
      <c r="AD239" s="26">
        <f>-SUMIFS(T_ORCAMENTOS!$E:$E,T_ORCAMENTOS!$C:$C,"Serviço de Lavanderia",T_ORCAMENTOS!$H:$H,"8/2026")</f>
        <v>-2500</v>
      </c>
      <c r="AE239" s="27">
        <f>SUMIFS(Aut_BlueMe_Sem_Pedido!$J:$J,Aut_BlueMe_Sem_Pedido!$Q:$Q,DRE!AC$4,Aut_BlueMe_Sem_Pedido!$H:$H,DRE!$A239)+SUMIFS(Aut_Ajustes_Manuais!$G:$G,Aut_Ajustes_Manuais!$I:$I,DRE!AC$4,Aut_Ajustes_Manuais!$F:$F,"Serviço de Lavanderia")</f>
        <v>0</v>
      </c>
      <c r="AF239" s="237"/>
      <c r="AG239" s="26">
        <f>-SUMIFS(T_ORCAMENTOS!$E:$E,T_ORCAMENTOS!$C:$C,"Serviço de Lavanderia",T_ORCAMENTOS!$H:$H,"9/2026")</f>
        <v>-2500</v>
      </c>
      <c r="AH239" s="27">
        <f>SUMIFS(Aut_BlueMe_Sem_Pedido!$J:$J,Aut_BlueMe_Sem_Pedido!$Q:$Q,DRE!AF$4,Aut_BlueMe_Sem_Pedido!$H:$H,DRE!$A239)+SUMIFS(Aut_Ajustes_Manuais!$G:$G,Aut_Ajustes_Manuais!$I:$I,DRE!AF$4,Aut_Ajustes_Manuais!$F:$F,"Serviço de Lavanderia")</f>
        <v>0</v>
      </c>
      <c r="AI239" s="237"/>
      <c r="AJ239" s="26">
        <f>-SUMIFS(T_ORCAMENTOS!$E:$E,T_ORCAMENTOS!$C:$C,"Serviço de Lavanderia",T_ORCAMENTOS!$H:$H,"10/2026")</f>
        <v>-2500</v>
      </c>
      <c r="AK239" s="27">
        <f>SUMIFS(Aut_BlueMe_Sem_Pedido!$J:$J,Aut_BlueMe_Sem_Pedido!$Q:$Q,DRE!AI$4,Aut_BlueMe_Sem_Pedido!$H:$H,DRE!$A239)+SUMIFS(Aut_Ajustes_Manuais!$G:$G,Aut_Ajustes_Manuais!$I:$I,DRE!AI$4,Aut_Ajustes_Manuais!$F:$F,"Serviço de Lavanderia")</f>
        <v>0</v>
      </c>
      <c r="AL239" s="237"/>
      <c r="AM239" s="26">
        <f>-SUMIFS(T_ORCAMENTOS!$E:$E,T_ORCAMENTOS!$C:$C,"Serviço de Lavanderia",T_ORCAMENTOS!$H:$H,"11/2026")</f>
        <v>-2500</v>
      </c>
      <c r="AN239" s="27">
        <f>SUMIFS(Aut_BlueMe_Sem_Pedido!$J:$J,Aut_BlueMe_Sem_Pedido!$Q:$Q,DRE!AL$4,Aut_BlueMe_Sem_Pedido!$H:$H,DRE!$A239)+SUMIFS(Aut_Ajustes_Manuais!$G:$G,Aut_Ajustes_Manuais!$I:$I,DRE!AL$4,Aut_Ajustes_Manuais!$F:$F,"Serviço de Lavanderia")</f>
        <v>0</v>
      </c>
      <c r="AO239" s="237"/>
      <c r="AP239" s="26">
        <f>-SUMIFS(T_ORCAMENTOS!$E:$E,T_ORCAMENTOS!$C:$C,"Serviço de Lavanderia",T_ORCAMENTOS!$H:$H,"12/2026")</f>
        <v>-2500</v>
      </c>
      <c r="AQ239" s="27">
        <f>SUMIFS(Aut_BlueMe_Sem_Pedido!$J:$J,Aut_BlueMe_Sem_Pedido!$Q:$Q,DRE!AO$4,Aut_BlueMe_Sem_Pedido!$H:$H,DRE!$A239)+SUMIFS(Aut_Ajustes_Manuais!$G:$G,Aut_Ajustes_Manuais!$I:$I,DRE!AO$4,Aut_Ajustes_Manuais!$F:$F,"Serviço de Lavanderia")</f>
        <v>0</v>
      </c>
      <c r="AR239" s="237">
        <f t="shared" ca="1" si="195"/>
        <v>0</v>
      </c>
      <c r="AS239" s="26">
        <f t="shared" ca="1" si="196"/>
        <v>-2500</v>
      </c>
      <c r="AT239" s="27">
        <f t="shared" ca="1" si="197"/>
        <v>0</v>
      </c>
      <c r="AU239" s="237">
        <f t="shared" si="198"/>
        <v>0</v>
      </c>
      <c r="AV239" s="26">
        <f t="shared" si="199"/>
        <v>-12500</v>
      </c>
      <c r="AW239" s="27">
        <f t="shared" si="200"/>
        <v>0</v>
      </c>
      <c r="AX239" s="237">
        <f t="shared" si="201"/>
        <v>0</v>
      </c>
      <c r="AY239" s="26">
        <f t="shared" si="202"/>
        <v>0</v>
      </c>
      <c r="AZ239" s="27">
        <f t="shared" si="203"/>
        <v>0</v>
      </c>
      <c r="BA239" s="237">
        <f t="shared" si="204"/>
        <v>0</v>
      </c>
      <c r="BB239" s="26">
        <f t="shared" si="205"/>
        <v>0</v>
      </c>
      <c r="BC239" s="27">
        <f t="shared" si="206"/>
        <v>0</v>
      </c>
      <c r="BD239" s="237">
        <f t="shared" si="207"/>
        <v>0</v>
      </c>
      <c r="BE239" s="26">
        <f t="shared" si="208"/>
        <v>-5000</v>
      </c>
      <c r="BF239" s="27">
        <f t="shared" si="209"/>
        <v>0</v>
      </c>
      <c r="BG239" s="237">
        <f t="shared" si="210"/>
        <v>0</v>
      </c>
      <c r="BH239" s="26">
        <f t="shared" si="211"/>
        <v>-7500</v>
      </c>
      <c r="BI239" s="27">
        <f t="shared" si="212"/>
        <v>0</v>
      </c>
      <c r="BJ239" s="454"/>
    </row>
    <row r="240" spans="1:62" s="28" customFormat="1" ht="25.2" hidden="1" customHeight="1" outlineLevel="1" x14ac:dyDescent="0.3">
      <c r="A240" s="21" t="s">
        <v>277</v>
      </c>
      <c r="B240" s="22"/>
      <c r="C240" s="23" t="s">
        <v>60</v>
      </c>
      <c r="D240" s="109">
        <v>-550</v>
      </c>
      <c r="E240" s="110">
        <v>-5.0000000000000001E-4</v>
      </c>
      <c r="F240" s="54"/>
      <c r="G240" s="32"/>
      <c r="H240" s="237"/>
      <c r="I240" s="26">
        <f>-SUMIFS(T_ORCAMENTOS!$E:$E,T_ORCAMENTOS!$C:$C,"Material de Consumo - Gelo/ Gas CO2/ Carvao /Velas",T_ORCAMENTOS!$H:$H,"1/2026")</f>
        <v>0</v>
      </c>
      <c r="J240" s="27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0</v>
      </c>
      <c r="K240" s="237"/>
      <c r="L240" s="26">
        <f>-SUMIFS(T_ORCAMENTOS!$E:$E,T_ORCAMENTOS!$C:$C,"Material de Consumo - Gelo/ Gas CO2/ Carvao /Velas",T_ORCAMENTOS!$H:$H,"2/2026")</f>
        <v>0</v>
      </c>
      <c r="M240" s="27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0</v>
      </c>
      <c r="N240" s="237"/>
      <c r="O240" s="26">
        <f>-SUMIFS(T_ORCAMENTOS!$E:$E,T_ORCAMENTOS!$C:$C,"Material de Consumo - Gelo/ Gas CO2/ Carvao /Velas",T_ORCAMENTOS!$H:$H,"3/2026")</f>
        <v>0</v>
      </c>
      <c r="P240" s="27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0</v>
      </c>
      <c r="Q240" s="237"/>
      <c r="R240" s="26">
        <f>-SUMIFS(T_ORCAMENTOS!$E:$E,T_ORCAMENTOS!$C:$C,"Material de Consumo - Gelo/ Gas CO2/ Carvao /Velas",T_ORCAMENTOS!$H:$H,"4/2026")</f>
        <v>0</v>
      </c>
      <c r="S240" s="27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0</v>
      </c>
      <c r="T240" s="237"/>
      <c r="U240" s="26">
        <f>-SUMIFS(T_ORCAMENTOS!$E:$E,T_ORCAMENTOS!$C:$C,"Material de Consumo - Gelo/ Gas CO2/ Carvao /Velas",T_ORCAMENTOS!$H:$H,"5/2026")</f>
        <v>0</v>
      </c>
      <c r="V240" s="27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0</v>
      </c>
      <c r="W240" s="237"/>
      <c r="X240" s="26">
        <f>-SUMIFS(T_ORCAMENTOS!$E:$E,T_ORCAMENTOS!$C:$C,"Material de Consumo - Gelo/ Gas CO2/ Carvao /Velas",T_ORCAMENTOS!$H:$H,"6/2026")</f>
        <v>0</v>
      </c>
      <c r="Y240" s="27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0</v>
      </c>
      <c r="Z240" s="237"/>
      <c r="AA240" s="26">
        <f>-SUMIFS(T_ORCAMENTOS!$E:$E,T_ORCAMENTOS!$C:$C,"Material de Consumo - Gelo/ Gas CO2/ Carvao /Velas",T_ORCAMENTOS!$H:$H,"7/2026")</f>
        <v>0</v>
      </c>
      <c r="AB240" s="27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-1914.48</v>
      </c>
      <c r="AC240" s="237"/>
      <c r="AD240" s="26">
        <f>-SUMIFS(T_ORCAMENTOS!$E:$E,T_ORCAMENTOS!$C:$C,"Material de Consumo - Gelo/ Gas CO2/ Carvao /Velas",T_ORCAMENTOS!$H:$H,"8/2026")</f>
        <v>-6200</v>
      </c>
      <c r="AE240" s="27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0</v>
      </c>
      <c r="AF240" s="237"/>
      <c r="AG240" s="26">
        <f>-SUMIFS(T_ORCAMENTOS!$E:$E,T_ORCAMENTOS!$C:$C,"Material de Consumo - Gelo/ Gas CO2/ Carvao /Velas",T_ORCAMENTOS!$H:$H,"9/2026")</f>
        <v>-6200</v>
      </c>
      <c r="AH240" s="27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37"/>
      <c r="AJ240" s="26">
        <f>-SUMIFS(T_ORCAMENTOS!$E:$E,T_ORCAMENTOS!$C:$C,"Material de Consumo - Gelo/ Gas CO2/ Carvao /Velas",T_ORCAMENTOS!$H:$H,"10/2026")</f>
        <v>-6200</v>
      </c>
      <c r="AK240" s="27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37"/>
      <c r="AM240" s="26">
        <f>-SUMIFS(T_ORCAMENTOS!$E:$E,T_ORCAMENTOS!$C:$C,"Material de Consumo - Gelo/ Gas CO2/ Carvao /Velas",T_ORCAMENTOS!$H:$H,"11/2026")</f>
        <v>-6200</v>
      </c>
      <c r="AN240" s="27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37"/>
      <c r="AP240" s="26">
        <f>-SUMIFS(T_ORCAMENTOS!$E:$E,T_ORCAMENTOS!$C:$C,"Material de Consumo - Gelo/ Gas CO2/ Carvao /Velas",T_ORCAMENTOS!$H:$H,"12/2026")</f>
        <v>-6200</v>
      </c>
      <c r="AQ240" s="27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37">
        <f t="shared" ca="1" si="195"/>
        <v>0</v>
      </c>
      <c r="AS240" s="26">
        <f t="shared" ca="1" si="196"/>
        <v>-6200</v>
      </c>
      <c r="AT240" s="27">
        <f t="shared" ca="1" si="197"/>
        <v>-1914.48</v>
      </c>
      <c r="AU240" s="237">
        <f t="shared" si="198"/>
        <v>0</v>
      </c>
      <c r="AV240" s="26">
        <f t="shared" si="199"/>
        <v>-31000</v>
      </c>
      <c r="AW240" s="27">
        <f t="shared" si="200"/>
        <v>-1914.48</v>
      </c>
      <c r="AX240" s="237">
        <f t="shared" si="201"/>
        <v>0</v>
      </c>
      <c r="AY240" s="26">
        <f t="shared" si="202"/>
        <v>0</v>
      </c>
      <c r="AZ240" s="27">
        <f t="shared" si="203"/>
        <v>0</v>
      </c>
      <c r="BA240" s="237">
        <f t="shared" si="204"/>
        <v>0</v>
      </c>
      <c r="BB240" s="26">
        <f t="shared" si="205"/>
        <v>0</v>
      </c>
      <c r="BC240" s="27">
        <f t="shared" si="206"/>
        <v>0</v>
      </c>
      <c r="BD240" s="237">
        <f t="shared" si="207"/>
        <v>0</v>
      </c>
      <c r="BE240" s="26">
        <f t="shared" si="208"/>
        <v>-12400</v>
      </c>
      <c r="BF240" s="27">
        <f t="shared" si="209"/>
        <v>-1914.48</v>
      </c>
      <c r="BG240" s="237">
        <f t="shared" si="210"/>
        <v>0</v>
      </c>
      <c r="BH240" s="26">
        <f t="shared" si="211"/>
        <v>-18600</v>
      </c>
      <c r="BI240" s="27">
        <f t="shared" si="212"/>
        <v>0</v>
      </c>
      <c r="BJ240" s="454"/>
    </row>
    <row r="241" spans="1:62" collapsed="1" x14ac:dyDescent="0.3">
      <c r="A241" s="69" t="s">
        <v>44</v>
      </c>
      <c r="B241" s="57"/>
      <c r="C241" s="58"/>
      <c r="D241" s="59"/>
      <c r="E241" s="60"/>
      <c r="F241" s="61"/>
      <c r="G241" s="45"/>
      <c r="H241" s="241"/>
      <c r="I241" s="48">
        <f>IFERROR(I226/I8,0)</f>
        <v>0</v>
      </c>
      <c r="J241" s="49">
        <f>IFERROR(J226/J8,0)+SUMIFS(Aut_Ajustes_Manuais!$G:$G,Aut_Ajustes_Manuais!$I:$I,DRE!H$4,Aut_Ajustes_Manuais!$F:$F,"% sobre Receita Bruta")</f>
        <v>0</v>
      </c>
      <c r="K241" s="241"/>
      <c r="L241" s="48">
        <f>IFERROR(L226/L8,0)</f>
        <v>0</v>
      </c>
      <c r="M241" s="49">
        <f>IFERROR(M226/M8,0)+SUMIFS(Aut_Ajustes_Manuais!$G:$G,Aut_Ajustes_Manuais!$I:$I,DRE!K$4,Aut_Ajustes_Manuais!$F:$F,"% sobre Receita Bruta")</f>
        <v>0</v>
      </c>
      <c r="N241" s="241"/>
      <c r="O241" s="48">
        <f>IFERROR(O226/O8,0)</f>
        <v>0</v>
      </c>
      <c r="P241" s="49">
        <f>IFERROR(P226/P8,0)+SUMIFS(Aut_Ajustes_Manuais!$G:$G,Aut_Ajustes_Manuais!$I:$I,DRE!N$4,Aut_Ajustes_Manuais!$F:$F,"% sobre Receita Bruta")</f>
        <v>0</v>
      </c>
      <c r="Q241" s="241"/>
      <c r="R241" s="48">
        <f>IFERROR(R226/R8,0)</f>
        <v>0</v>
      </c>
      <c r="S241" s="49">
        <f>IFERROR(S226/S8,0)+SUMIFS(Aut_Ajustes_Manuais!$G:$G,Aut_Ajustes_Manuais!$I:$I,DRE!Q$4,Aut_Ajustes_Manuais!$F:$F,"% sobre Receita Bruta")</f>
        <v>0</v>
      </c>
      <c r="T241" s="241"/>
      <c r="U241" s="48">
        <f>IFERROR(U226/U8,0)</f>
        <v>0</v>
      </c>
      <c r="V241" s="49">
        <f>IFERROR(V226/V8,0)+SUMIFS(Aut_Ajustes_Manuais!$G:$G,Aut_Ajustes_Manuais!$I:$I,DRE!T$4,Aut_Ajustes_Manuais!$F:$F,"% sobre Receita Bruta")</f>
        <v>0</v>
      </c>
      <c r="W241" s="241"/>
      <c r="X241" s="48">
        <f>IFERROR(X226/X8,0)</f>
        <v>0</v>
      </c>
      <c r="Y241" s="49">
        <f>IFERROR(Y226/Y8,0)+SUMIFS(Aut_Ajustes_Manuais!$G:$G,Aut_Ajustes_Manuais!$I:$I,DRE!W$4,Aut_Ajustes_Manuais!$F:$F,"% sobre Receita Bruta")</f>
        <v>0</v>
      </c>
      <c r="Z241" s="241"/>
      <c r="AA241" s="48">
        <f>IFERROR(AA226/AA8,0)</f>
        <v>0</v>
      </c>
      <c r="AB241" s="49">
        <f>IFERROR(AB226/AB8,0)+SUMIFS(Aut_Ajustes_Manuais!$G:$G,Aut_Ajustes_Manuais!$I:$I,DRE!Z$4,Aut_Ajustes_Manuais!$F:$F,"% sobre Receita Bruta")</f>
        <v>-0.22639015580566479</v>
      </c>
      <c r="AC241" s="241"/>
      <c r="AD241" s="48">
        <f>IFERROR(AD226/AD8,0)</f>
        <v>-3.079233908416007E-2</v>
      </c>
      <c r="AE241" s="49">
        <f>IFERROR(AE226/AE8,0)+SUMIFS(Aut_Ajustes_Manuais!$G:$G,Aut_Ajustes_Manuais!$I:$I,DRE!AC$4,Aut_Ajustes_Manuais!$F:$F,"% sobre Receita Bruta")</f>
        <v>0</v>
      </c>
      <c r="AF241" s="241"/>
      <c r="AG241" s="48">
        <f>IFERROR(AG226/AG8,0)</f>
        <v>-3.218528822473881E-2</v>
      </c>
      <c r="AH241" s="49">
        <f>IFERROR(AH226/AH8,0)+SUMIFS(Aut_Ajustes_Manuais!$G:$G,Aut_Ajustes_Manuais!$I:$I,DRE!AF$4,Aut_Ajustes_Manuais!$F:$F,"% sobre Receita Bruta")</f>
        <v>0</v>
      </c>
      <c r="AI241" s="241"/>
      <c r="AJ241" s="48">
        <f>IFERROR(AJ226/AJ8,0)</f>
        <v>-2.9106457944459867E-2</v>
      </c>
      <c r="AK241" s="49">
        <f>IFERROR(AK226/AK8,0)+SUMIFS(Aut_Ajustes_Manuais!$G:$G,Aut_Ajustes_Manuais!$I:$I,DRE!AI$4,Aut_Ajustes_Manuais!$F:$F,"% sobre Receita Bruta")</f>
        <v>0</v>
      </c>
      <c r="AL241" s="241"/>
      <c r="AM241" s="48">
        <f>IFERROR(AM226/AM8,0)</f>
        <v>-3.1382119304890661E-2</v>
      </c>
      <c r="AN241" s="49">
        <f>IFERROR(AN226/AN8,0)+SUMIFS(Aut_Ajustes_Manuais!$G:$G,Aut_Ajustes_Manuais!$I:$I,DRE!AL$4,Aut_Ajustes_Manuais!$F:$F,"% sobre Receita Bruta")</f>
        <v>0</v>
      </c>
      <c r="AO241" s="241"/>
      <c r="AP241" s="48">
        <f>IFERROR(AP226/AP8,0)</f>
        <v>-2.9010276783165687E-2</v>
      </c>
      <c r="AQ241" s="49">
        <f>IFERROR(AQ226/AQ8,0)+SUMIFS(Aut_Ajustes_Manuais!$G:$G,Aut_Ajustes_Manuais!$I:$I,DRE!AO$4,Aut_Ajustes_Manuais!$F:$F,"% sobre Receita Bruta")</f>
        <v>0</v>
      </c>
      <c r="AR241" s="241">
        <f t="shared" ref="AR241:BI241" ca="1" si="213">IFERROR(AR226/AR8,0)</f>
        <v>0</v>
      </c>
      <c r="AS241" s="48">
        <f t="shared" ca="1" si="213"/>
        <v>-3.079233908416007E-2</v>
      </c>
      <c r="AT241" s="49">
        <f t="shared" ca="1" si="213"/>
        <v>-0.43445780355467828</v>
      </c>
      <c r="AU241" s="241">
        <f t="shared" si="213"/>
        <v>0</v>
      </c>
      <c r="AV241" s="48">
        <f t="shared" si="213"/>
        <v>-3.0444378326836198E-2</v>
      </c>
      <c r="AW241" s="49">
        <f t="shared" si="213"/>
        <v>-0.45207085778685746</v>
      </c>
      <c r="AX241" s="241">
        <f t="shared" si="213"/>
        <v>0</v>
      </c>
      <c r="AY241" s="48">
        <f t="shared" si="213"/>
        <v>0</v>
      </c>
      <c r="AZ241" s="49">
        <f t="shared" si="213"/>
        <v>0</v>
      </c>
      <c r="BA241" s="241">
        <f t="shared" si="213"/>
        <v>0</v>
      </c>
      <c r="BB241" s="48">
        <f t="shared" si="213"/>
        <v>0</v>
      </c>
      <c r="BC241" s="49">
        <f t="shared" si="213"/>
        <v>0</v>
      </c>
      <c r="BD241" s="241">
        <f t="shared" si="213"/>
        <v>0</v>
      </c>
      <c r="BE241" s="48">
        <f t="shared" si="213"/>
        <v>-3.1477787590265711E-2</v>
      </c>
      <c r="BF241" s="49">
        <f t="shared" si="213"/>
        <v>-0.23519668292175439</v>
      </c>
      <c r="BG241" s="241">
        <f t="shared" si="213"/>
        <v>0</v>
      </c>
      <c r="BH241" s="48">
        <f t="shared" si="213"/>
        <v>-2.9790198249662527E-2</v>
      </c>
      <c r="BI241" s="49">
        <f t="shared" si="213"/>
        <v>0</v>
      </c>
    </row>
    <row r="242" spans="1:62" x14ac:dyDescent="0.3">
      <c r="A242" s="17"/>
      <c r="E242" s="15"/>
      <c r="F242" s="16"/>
      <c r="G242" s="45"/>
      <c r="H242" s="243"/>
      <c r="I242" s="16"/>
      <c r="J242" s="55"/>
      <c r="K242" s="243"/>
      <c r="L242" s="16"/>
      <c r="M242" s="55"/>
      <c r="N242" s="243"/>
      <c r="O242" s="16"/>
      <c r="P242" s="55"/>
      <c r="Q242" s="243"/>
      <c r="R242" s="16"/>
      <c r="S242" s="55"/>
      <c r="T242" s="243"/>
      <c r="U242" s="16"/>
      <c r="V242" s="55"/>
      <c r="W242" s="243"/>
      <c r="X242" s="16"/>
      <c r="Y242" s="55"/>
      <c r="Z242" s="243"/>
      <c r="AA242" s="16"/>
      <c r="AB242" s="55"/>
      <c r="AC242" s="243"/>
      <c r="AD242" s="16"/>
      <c r="AE242" s="55"/>
      <c r="AF242" s="243"/>
      <c r="AG242" s="16"/>
      <c r="AH242" s="55"/>
      <c r="AI242" s="243"/>
      <c r="AJ242" s="16"/>
      <c r="AK242" s="55"/>
      <c r="AL242" s="243"/>
      <c r="AM242" s="16"/>
      <c r="AN242" s="55"/>
      <c r="AO242" s="243"/>
      <c r="AP242" s="16"/>
      <c r="AQ242" s="55"/>
      <c r="AR242" s="243"/>
      <c r="AS242" s="16"/>
      <c r="AT242" s="55"/>
      <c r="AU242" s="243"/>
      <c r="AV242" s="16"/>
      <c r="AW242" s="55"/>
      <c r="AX242" s="243"/>
      <c r="AY242" s="16"/>
      <c r="AZ242" s="55"/>
      <c r="BA242" s="243"/>
      <c r="BB242" s="16"/>
      <c r="BC242" s="55"/>
      <c r="BD242" s="243"/>
      <c r="BE242" s="16"/>
      <c r="BF242" s="55"/>
      <c r="BG242" s="243"/>
      <c r="BH242" s="16"/>
      <c r="BI242" s="55"/>
    </row>
    <row r="243" spans="1:62" x14ac:dyDescent="0.3">
      <c r="A243" s="37" t="s">
        <v>278</v>
      </c>
      <c r="C243" s="38" t="s">
        <v>35</v>
      </c>
      <c r="D243" s="38" t="s">
        <v>36</v>
      </c>
      <c r="E243" s="38" t="s">
        <v>201</v>
      </c>
      <c r="F243" s="16"/>
      <c r="G243" s="45"/>
      <c r="H243" s="240"/>
      <c r="I243" s="40">
        <f>SUM(I244:I252)</f>
        <v>0</v>
      </c>
      <c r="J243" s="41">
        <f>SUM(J244:J252)+SUMIFS(Aut_Ajustes_Manuais!$G:$G,Aut_Ajustes_Manuais!$I:$I,DRE!H$4,Aut_Ajustes_Manuais!$F:$F,"Informática e TI")</f>
        <v>0</v>
      </c>
      <c r="K243" s="240"/>
      <c r="L243" s="40">
        <f>SUM(L244:L252)</f>
        <v>0</v>
      </c>
      <c r="M243" s="41">
        <f>SUM(M244:M252)+SUMIFS(Aut_Ajustes_Manuais!$G:$G,Aut_Ajustes_Manuais!$I:$I,DRE!K$4,Aut_Ajustes_Manuais!$F:$F,"Informática e TI")</f>
        <v>-329.9</v>
      </c>
      <c r="N243" s="240"/>
      <c r="O243" s="40">
        <f>SUM(O244:O252)</f>
        <v>0</v>
      </c>
      <c r="P243" s="41">
        <f>SUM(P244:P252)+SUMIFS(Aut_Ajustes_Manuais!$G:$G,Aut_Ajustes_Manuais!$I:$I,DRE!N$4,Aut_Ajustes_Manuais!$F:$F,"Informática e TI")</f>
        <v>0</v>
      </c>
      <c r="Q243" s="240"/>
      <c r="R243" s="40">
        <f>SUM(R244:R252)</f>
        <v>0</v>
      </c>
      <c r="S243" s="41">
        <f>SUM(S244:S252)+SUMIFS(Aut_Ajustes_Manuais!$G:$G,Aut_Ajustes_Manuais!$I:$I,DRE!Q$4,Aut_Ajustes_Manuais!$F:$F,"Informática e TI")</f>
        <v>0</v>
      </c>
      <c r="T243" s="240"/>
      <c r="U243" s="40">
        <f>SUM(U244:U252)</f>
        <v>0</v>
      </c>
      <c r="V243" s="41">
        <f>SUM(V244:V252)+SUMIFS(Aut_Ajustes_Manuais!$G:$G,Aut_Ajustes_Manuais!$I:$I,DRE!T$4,Aut_Ajustes_Manuais!$F:$F,"Informática e TI")</f>
        <v>-39.99</v>
      </c>
      <c r="W243" s="240"/>
      <c r="X243" s="40">
        <f>SUM(X244:X252)</f>
        <v>0</v>
      </c>
      <c r="Y243" s="41">
        <f>SUM(Y244:Y252)+SUMIFS(Aut_Ajustes_Manuais!$G:$G,Aut_Ajustes_Manuais!$I:$I,DRE!W$4,Aut_Ajustes_Manuais!$F:$F,"Informática e TI")</f>
        <v>-647.98</v>
      </c>
      <c r="Z243" s="240"/>
      <c r="AA243" s="40">
        <f>SUM(AA244:AA252)</f>
        <v>0</v>
      </c>
      <c r="AB243" s="41">
        <f>SUM(AB244:AB252)+SUMIFS(Aut_Ajustes_Manuais!$G:$G,Aut_Ajustes_Manuais!$I:$I,DRE!Z$4,Aut_Ajustes_Manuais!$F:$F,"Informática e TI")</f>
        <v>-2264.3900000000003</v>
      </c>
      <c r="AC243" s="240"/>
      <c r="AD243" s="40">
        <f>SUM(AD244:AD252)</f>
        <v>-8063.91</v>
      </c>
      <c r="AE243" s="41">
        <f>SUM(AE244:AE252)+SUMIFS(Aut_Ajustes_Manuais!$G:$G,Aut_Ajustes_Manuais!$I:$I,DRE!AC$4,Aut_Ajustes_Manuais!$F:$F,"Informática e TI")</f>
        <v>-1219</v>
      </c>
      <c r="AF243" s="240"/>
      <c r="AG243" s="40">
        <f>SUM(AG244:AG252)</f>
        <v>-8063.91</v>
      </c>
      <c r="AH243" s="41">
        <f>SUM(AH244:AH252)+SUMIFS(Aut_Ajustes_Manuais!$G:$G,Aut_Ajustes_Manuais!$I:$I,DRE!AF$4,Aut_Ajustes_Manuais!$F:$F,"Informática e TI")</f>
        <v>-1219</v>
      </c>
      <c r="AI243" s="240"/>
      <c r="AJ243" s="40">
        <f>SUM(AJ244:AJ252)</f>
        <v>-8063.91</v>
      </c>
      <c r="AK243" s="41">
        <f>SUM(AK244:AK252)+SUMIFS(Aut_Ajustes_Manuais!$G:$G,Aut_Ajustes_Manuais!$I:$I,DRE!AI$4,Aut_Ajustes_Manuais!$F:$F,"Informática e TI")</f>
        <v>-1219</v>
      </c>
      <c r="AL243" s="240"/>
      <c r="AM243" s="40">
        <f>SUM(AM244:AM252)</f>
        <v>-8063.91</v>
      </c>
      <c r="AN243" s="41">
        <f>SUM(AN244:AN252)+SUMIFS(Aut_Ajustes_Manuais!$G:$G,Aut_Ajustes_Manuais!$I:$I,DRE!AL$4,Aut_Ajustes_Manuais!$F:$F,"Informática e TI")</f>
        <v>-1219</v>
      </c>
      <c r="AO243" s="240"/>
      <c r="AP243" s="40">
        <f>SUM(AP244:AP252)</f>
        <v>-8063.91</v>
      </c>
      <c r="AQ243" s="41">
        <f>SUM(AQ244:AQ252)+SUMIFS(Aut_Ajustes_Manuais!$G:$G,Aut_Ajustes_Manuais!$I:$I,DRE!AO$4,Aut_Ajustes_Manuais!$F:$F,"Informática e TI")</f>
        <v>-1219</v>
      </c>
      <c r="AR243" s="240">
        <f t="shared" ref="AR243:BI243" ca="1" si="214">SUM(AR244:AR252)</f>
        <v>0</v>
      </c>
      <c r="AS243" s="40">
        <f t="shared" ca="1" si="214"/>
        <v>-8063.91</v>
      </c>
      <c r="AT243" s="41">
        <f t="shared" ca="1" si="214"/>
        <v>-4501.26</v>
      </c>
      <c r="AU243" s="240">
        <f t="shared" si="214"/>
        <v>0</v>
      </c>
      <c r="AV243" s="40">
        <f t="shared" si="214"/>
        <v>-40319.550000000003</v>
      </c>
      <c r="AW243" s="41">
        <f t="shared" si="214"/>
        <v>-9377.26</v>
      </c>
      <c r="AX243" s="240">
        <f t="shared" si="214"/>
        <v>0</v>
      </c>
      <c r="AY243" s="40">
        <f t="shared" si="214"/>
        <v>0</v>
      </c>
      <c r="AZ243" s="41">
        <f t="shared" si="214"/>
        <v>-329.9</v>
      </c>
      <c r="BA243" s="240">
        <f t="shared" si="214"/>
        <v>0</v>
      </c>
      <c r="BB243" s="40">
        <f t="shared" si="214"/>
        <v>0</v>
      </c>
      <c r="BC243" s="41">
        <f t="shared" si="214"/>
        <v>-687.97</v>
      </c>
      <c r="BD243" s="240">
        <f t="shared" si="214"/>
        <v>0</v>
      </c>
      <c r="BE243" s="40">
        <f t="shared" si="214"/>
        <v>-16127.82</v>
      </c>
      <c r="BF243" s="41">
        <f t="shared" si="214"/>
        <v>-4702.3899999999994</v>
      </c>
      <c r="BG243" s="240">
        <f t="shared" si="214"/>
        <v>0</v>
      </c>
      <c r="BH243" s="40">
        <f t="shared" si="214"/>
        <v>-24191.73</v>
      </c>
      <c r="BI243" s="41">
        <f t="shared" si="214"/>
        <v>-3657</v>
      </c>
    </row>
    <row r="244" spans="1:62" s="28" customFormat="1" hidden="1" outlineLevel="1" x14ac:dyDescent="0.3">
      <c r="A244" s="21" t="s">
        <v>279</v>
      </c>
      <c r="B244" s="22"/>
      <c r="C244" s="23" t="s">
        <v>67</v>
      </c>
      <c r="D244" s="112">
        <v>-90</v>
      </c>
      <c r="E244" s="111"/>
      <c r="F244" s="113"/>
      <c r="G244" s="32"/>
      <c r="H244" s="237"/>
      <c r="I244" s="26">
        <f>-SUMIFS(T_ORCAMENTOS!$E:$E,T_ORCAMENTOS!$C:$C,"Telefone",T_ORCAMENTOS!$H:$H,"1/2026")</f>
        <v>0</v>
      </c>
      <c r="J244" s="27">
        <f>SUMIFS(Aut_BlueMe_Sem_Pedido!$J:$J,Aut_BlueMe_Sem_Pedido!$Q:$Q,DRE!H$4,Aut_BlueMe_Sem_Pedido!$H:$H,DRE!$A244)+SUMIFS(Aut_Ajustes_Manuais!$G:$G,Aut_Ajustes_Manuais!$I:$I,DRE!H$4,Aut_Ajustes_Manuais!$F:$F,"Telefone")</f>
        <v>0</v>
      </c>
      <c r="K244" s="237"/>
      <c r="L244" s="26">
        <f>-SUMIFS(T_ORCAMENTOS!$E:$E,T_ORCAMENTOS!$C:$C,"Telefone",T_ORCAMENTOS!$H:$H,"2/2026")</f>
        <v>0</v>
      </c>
      <c r="M244" s="27">
        <f>SUMIFS(Aut_BlueMe_Sem_Pedido!$J:$J,Aut_BlueMe_Sem_Pedido!$Q:$Q,DRE!K$4,Aut_BlueMe_Sem_Pedido!$H:$H,DRE!$A244)+SUMIFS(Aut_Ajustes_Manuais!$G:$G,Aut_Ajustes_Manuais!$I:$I,DRE!K$4,Aut_Ajustes_Manuais!$F:$F,"Telefone")</f>
        <v>0</v>
      </c>
      <c r="N244" s="237"/>
      <c r="O244" s="26">
        <f>-SUMIFS(T_ORCAMENTOS!$E:$E,T_ORCAMENTOS!$C:$C,"Telefone",T_ORCAMENTOS!$H:$H,"3/2026")</f>
        <v>0</v>
      </c>
      <c r="P244" s="27">
        <f>SUMIFS(Aut_BlueMe_Sem_Pedido!$J:$J,Aut_BlueMe_Sem_Pedido!$Q:$Q,DRE!N$4,Aut_BlueMe_Sem_Pedido!$H:$H,DRE!$A244)+SUMIFS(Aut_Ajustes_Manuais!$G:$G,Aut_Ajustes_Manuais!$I:$I,DRE!N$4,Aut_Ajustes_Manuais!$F:$F,"Telefone")</f>
        <v>0</v>
      </c>
      <c r="Q244" s="237"/>
      <c r="R244" s="26">
        <f>-SUMIFS(T_ORCAMENTOS!$E:$E,T_ORCAMENTOS!$C:$C,"Telefone",T_ORCAMENTOS!$H:$H,"4/2026")</f>
        <v>0</v>
      </c>
      <c r="S244" s="27">
        <f>SUMIFS(Aut_BlueMe_Sem_Pedido!$J:$J,Aut_BlueMe_Sem_Pedido!$Q:$Q,DRE!Q$4,Aut_BlueMe_Sem_Pedido!$H:$H,DRE!$A244)+SUMIFS(Aut_Ajustes_Manuais!$G:$G,Aut_Ajustes_Manuais!$I:$I,DRE!Q$4,Aut_Ajustes_Manuais!$F:$F,"Telefone")</f>
        <v>0</v>
      </c>
      <c r="T244" s="237"/>
      <c r="U244" s="26">
        <f>-SUMIFS(T_ORCAMENTOS!$E:$E,T_ORCAMENTOS!$C:$C,"Telefone",T_ORCAMENTOS!$H:$H,"5/2026")</f>
        <v>0</v>
      </c>
      <c r="V244" s="27">
        <f>SUMIFS(Aut_BlueMe_Sem_Pedido!$J:$J,Aut_BlueMe_Sem_Pedido!$Q:$Q,DRE!T$4,Aut_BlueMe_Sem_Pedido!$H:$H,DRE!$A244)+SUMIFS(Aut_Ajustes_Manuais!$G:$G,Aut_Ajustes_Manuais!$I:$I,DRE!T$4,Aut_Ajustes_Manuais!$F:$F,"Telefone")</f>
        <v>-39.99</v>
      </c>
      <c r="W244" s="237"/>
      <c r="X244" s="26">
        <f>-SUMIFS(T_ORCAMENTOS!$E:$E,T_ORCAMENTOS!$C:$C,"Telefone",T_ORCAMENTOS!$H:$H,"6/2026")</f>
        <v>0</v>
      </c>
      <c r="Y244" s="27">
        <f>SUMIFS(Aut_BlueMe_Sem_Pedido!$J:$J,Aut_BlueMe_Sem_Pedido!$Q:$Q,DRE!W$4,Aut_BlueMe_Sem_Pedido!$H:$H,DRE!$A244)+SUMIFS(Aut_Ajustes_Manuais!$G:$G,Aut_Ajustes_Manuais!$I:$I,DRE!W$4,Aut_Ajustes_Manuais!$F:$F,"Telefone")</f>
        <v>-79.98</v>
      </c>
      <c r="Z244" s="237"/>
      <c r="AA244" s="26">
        <f>-SUMIFS(T_ORCAMENTOS!$E:$E,T_ORCAMENTOS!$C:$C,"Telefone",T_ORCAMENTOS!$H:$H,"7/2026")</f>
        <v>0</v>
      </c>
      <c r="AB244" s="27">
        <f>SUMIFS(Aut_BlueMe_Sem_Pedido!$J:$J,Aut_BlueMe_Sem_Pedido!$Q:$Q,DRE!Z$4,Aut_BlueMe_Sem_Pedido!$H:$H,DRE!$A244)+SUMIFS(Aut_Ajustes_Manuais!$G:$G,Aut_Ajustes_Manuais!$I:$I,DRE!Z$4,Aut_Ajustes_Manuais!$F:$F,"Telefone")</f>
        <v>-45.39</v>
      </c>
      <c r="AC244" s="237"/>
      <c r="AD244" s="26">
        <f>-SUMIFS(T_ORCAMENTOS!$E:$E,T_ORCAMENTOS!$C:$C,"Telefone",T_ORCAMENTOS!$H:$H,"8/2026")</f>
        <v>0</v>
      </c>
      <c r="AE244" s="27">
        <f>SUMIFS(Aut_BlueMe_Sem_Pedido!$J:$J,Aut_BlueMe_Sem_Pedido!$Q:$Q,DRE!AC$4,Aut_BlueMe_Sem_Pedido!$H:$H,DRE!$A244)+SUMIFS(Aut_Ajustes_Manuais!$G:$G,Aut_Ajustes_Manuais!$I:$I,DRE!AC$4,Aut_Ajustes_Manuais!$F:$F,"Telefone")</f>
        <v>0</v>
      </c>
      <c r="AF244" s="237"/>
      <c r="AG244" s="26">
        <f>-SUMIFS(T_ORCAMENTOS!$E:$E,T_ORCAMENTOS!$C:$C,"Telefone",T_ORCAMENTOS!$H:$H,"9/2026")</f>
        <v>0</v>
      </c>
      <c r="AH244" s="27">
        <f>SUMIFS(Aut_BlueMe_Sem_Pedido!$J:$J,Aut_BlueMe_Sem_Pedido!$Q:$Q,DRE!AF$4,Aut_BlueMe_Sem_Pedido!$H:$H,DRE!$A244)+SUMIFS(Aut_Ajustes_Manuais!$G:$G,Aut_Ajustes_Manuais!$I:$I,DRE!AF$4,Aut_Ajustes_Manuais!$F:$F,"Telefone")</f>
        <v>0</v>
      </c>
      <c r="AI244" s="237"/>
      <c r="AJ244" s="26">
        <f>-SUMIFS(T_ORCAMENTOS!$E:$E,T_ORCAMENTOS!$C:$C,"Telefone",T_ORCAMENTOS!$H:$H,"10/2026")</f>
        <v>0</v>
      </c>
      <c r="AK244" s="27">
        <f>SUMIFS(Aut_BlueMe_Sem_Pedido!$J:$J,Aut_BlueMe_Sem_Pedido!$Q:$Q,DRE!AI$4,Aut_BlueMe_Sem_Pedido!$H:$H,DRE!$A244)+SUMIFS(Aut_Ajustes_Manuais!$G:$G,Aut_Ajustes_Manuais!$I:$I,DRE!AI$4,Aut_Ajustes_Manuais!$F:$F,"Telefone")</f>
        <v>0</v>
      </c>
      <c r="AL244" s="237"/>
      <c r="AM244" s="26">
        <f>-SUMIFS(T_ORCAMENTOS!$E:$E,T_ORCAMENTOS!$C:$C,"Telefone",T_ORCAMENTOS!$H:$H,"11/2026")</f>
        <v>0</v>
      </c>
      <c r="AN244" s="27">
        <f>SUMIFS(Aut_BlueMe_Sem_Pedido!$J:$J,Aut_BlueMe_Sem_Pedido!$Q:$Q,DRE!AL$4,Aut_BlueMe_Sem_Pedido!$H:$H,DRE!$A244)+SUMIFS(Aut_Ajustes_Manuais!$G:$G,Aut_Ajustes_Manuais!$I:$I,DRE!AL$4,Aut_Ajustes_Manuais!$F:$F,"Telefone")</f>
        <v>0</v>
      </c>
      <c r="AO244" s="237"/>
      <c r="AP244" s="26">
        <f>-SUMIFS(T_ORCAMENTOS!$E:$E,T_ORCAMENTOS!$C:$C,"Telefone",T_ORCAMENTOS!$H:$H,"12/2026")</f>
        <v>0</v>
      </c>
      <c r="AQ244" s="27">
        <f>SUMIFS(Aut_BlueMe_Sem_Pedido!$J:$J,Aut_BlueMe_Sem_Pedido!$Q:$Q,DRE!AO$4,Aut_BlueMe_Sem_Pedido!$H:$H,DRE!$A244)+SUMIFS(Aut_Ajustes_Manuais!$G:$G,Aut_Ajustes_Manuais!$I:$I,DRE!AO$4,Aut_Ajustes_Manuais!$F:$F,"Telefone")</f>
        <v>0</v>
      </c>
      <c r="AR244" s="237">
        <f t="shared" ref="AR244:AR252" ca="1" si="215">SUMIFS($H244:$AO244,$H$5:$AO$5,"&lt;"&amp;MONTH(TODAY()),$H$6:$AO$6,"REAL 25")</f>
        <v>0</v>
      </c>
      <c r="AS244" s="26">
        <f t="shared" ref="AS244:AS252" ca="1" si="216">SUMIFS($I244:$AP244,$I$5:$AP$5,"&lt;"&amp;MONTH(TODAY()),$I$6:$AP$6,"ORÇADO ")</f>
        <v>0</v>
      </c>
      <c r="AT244" s="27">
        <f t="shared" ref="AT244:AT252" ca="1" si="217">SUMIFS($J244:$AQ244,$J$5:$AQ$5,"&lt;"&amp;MONTH(TODAY()),$J$6:$AQ$6,"REAL 26")</f>
        <v>-165.36</v>
      </c>
      <c r="AU244" s="237">
        <f t="shared" ref="AU244:AW250" si="218">SUM(H244,K244,N244,Q244,T244,W244,Z244,AC244,AF244,AI244,AL244,AO244)</f>
        <v>0</v>
      </c>
      <c r="AV244" s="26">
        <f t="shared" si="218"/>
        <v>0</v>
      </c>
      <c r="AW244" s="27">
        <f t="shared" si="218"/>
        <v>-165.36</v>
      </c>
      <c r="AX244" s="237">
        <f t="shared" ref="AX244:AZ250" si="219">SUM(H244,K244,N244)</f>
        <v>0</v>
      </c>
      <c r="AY244" s="26">
        <f t="shared" si="219"/>
        <v>0</v>
      </c>
      <c r="AZ244" s="27">
        <f t="shared" si="219"/>
        <v>0</v>
      </c>
      <c r="BA244" s="237">
        <f t="shared" ref="BA244:BC250" si="220">SUM(Q244,T244,W244)</f>
        <v>0</v>
      </c>
      <c r="BB244" s="26">
        <f t="shared" si="220"/>
        <v>0</v>
      </c>
      <c r="BC244" s="27">
        <f t="shared" si="220"/>
        <v>-119.97</v>
      </c>
      <c r="BD244" s="237">
        <f t="shared" ref="BD244:BF250" si="221">SUM(Z244,AC244,AF244)</f>
        <v>0</v>
      </c>
      <c r="BE244" s="26">
        <f t="shared" si="221"/>
        <v>0</v>
      </c>
      <c r="BF244" s="27">
        <f t="shared" si="221"/>
        <v>-45.39</v>
      </c>
      <c r="BG244" s="237">
        <f t="shared" ref="BG244:BI250" si="222">SUM(AI244,AL244,AO244)</f>
        <v>0</v>
      </c>
      <c r="BH244" s="26">
        <f t="shared" si="222"/>
        <v>0</v>
      </c>
      <c r="BI244" s="27">
        <f t="shared" si="222"/>
        <v>0</v>
      </c>
      <c r="BJ244" s="454"/>
    </row>
    <row r="245" spans="1:62" s="28" customFormat="1" hidden="1" outlineLevel="1" x14ac:dyDescent="0.3">
      <c r="A245" s="21" t="s">
        <v>280</v>
      </c>
      <c r="B245" s="22"/>
      <c r="C245" s="23" t="s">
        <v>67</v>
      </c>
      <c r="D245" s="112"/>
      <c r="E245" s="112"/>
      <c r="F245" s="113"/>
      <c r="G245" s="32"/>
      <c r="H245" s="237"/>
      <c r="I245" s="26">
        <f>-SUMIFS(T_ORCAMENTOS!$E:$E,T_ORCAMENTOS!$C:$C,"Internet",T_ORCAMENTOS!$H:$H,"1/2026")</f>
        <v>0</v>
      </c>
      <c r="J245" s="27">
        <f>SUMIFS(Aut_BlueMe_Sem_Pedido!$J:$J,Aut_BlueMe_Sem_Pedido!$Q:$Q,DRE!H$4,Aut_BlueMe_Sem_Pedido!$H:$H,DRE!$A245)+SUMIFS(Aut_Ajustes_Manuais!$G:$G,Aut_Ajustes_Manuais!$I:$I,DRE!H$4,Aut_Ajustes_Manuais!$F:$F,"Internet")</f>
        <v>0</v>
      </c>
      <c r="K245" s="237"/>
      <c r="L245" s="26">
        <f>-SUMIFS(T_ORCAMENTOS!$E:$E,T_ORCAMENTOS!$C:$C,"Internet",T_ORCAMENTOS!$H:$H,"2/2026")</f>
        <v>0</v>
      </c>
      <c r="M245" s="27">
        <f>SUMIFS(Aut_BlueMe_Sem_Pedido!$J:$J,Aut_BlueMe_Sem_Pedido!$Q:$Q,DRE!K$4,Aut_BlueMe_Sem_Pedido!$H:$H,DRE!$A245)+SUMIFS(Aut_Ajustes_Manuais!$G:$G,Aut_Ajustes_Manuais!$I:$I,DRE!K$4,Aut_Ajustes_Manuais!$F:$F,"Internet")</f>
        <v>0</v>
      </c>
      <c r="N245" s="237"/>
      <c r="O245" s="26">
        <f>-SUMIFS(T_ORCAMENTOS!$E:$E,T_ORCAMENTOS!$C:$C,"Internet",T_ORCAMENTOS!$H:$H,"3/2026")</f>
        <v>0</v>
      </c>
      <c r="P245" s="27">
        <f>SUMIFS(Aut_BlueMe_Sem_Pedido!$J:$J,Aut_BlueMe_Sem_Pedido!$Q:$Q,DRE!N$4,Aut_BlueMe_Sem_Pedido!$H:$H,DRE!$A245)+SUMIFS(Aut_Ajustes_Manuais!$G:$G,Aut_Ajustes_Manuais!$I:$I,DRE!N$4,Aut_Ajustes_Manuais!$F:$F,"Internet")</f>
        <v>0</v>
      </c>
      <c r="Q245" s="237"/>
      <c r="R245" s="26">
        <f>-SUMIFS(T_ORCAMENTOS!$E:$E,T_ORCAMENTOS!$C:$C,"Internet",T_ORCAMENTOS!$H:$H,"4/2026")</f>
        <v>0</v>
      </c>
      <c r="S245" s="27">
        <f>SUMIFS(Aut_BlueMe_Sem_Pedido!$J:$J,Aut_BlueMe_Sem_Pedido!$Q:$Q,DRE!Q$4,Aut_BlueMe_Sem_Pedido!$H:$H,DRE!$A245)+SUMIFS(Aut_Ajustes_Manuais!$G:$G,Aut_Ajustes_Manuais!$I:$I,DRE!Q$4,Aut_Ajustes_Manuais!$F:$F,"Internet")</f>
        <v>0</v>
      </c>
      <c r="T245" s="237"/>
      <c r="U245" s="26">
        <f>-SUMIFS(T_ORCAMENTOS!$E:$E,T_ORCAMENTOS!$C:$C,"Internet",T_ORCAMENTOS!$H:$H,"5/2026")</f>
        <v>0</v>
      </c>
      <c r="V245" s="27">
        <f>SUMIFS(Aut_BlueMe_Sem_Pedido!$J:$J,Aut_BlueMe_Sem_Pedido!$Q:$Q,DRE!T$4,Aut_BlueMe_Sem_Pedido!$H:$H,DRE!$A245)+SUMIFS(Aut_Ajustes_Manuais!$G:$G,Aut_Ajustes_Manuais!$I:$I,DRE!T$4,Aut_Ajustes_Manuais!$F:$F,"Internet")</f>
        <v>0</v>
      </c>
      <c r="W245" s="237"/>
      <c r="X245" s="26">
        <f>-SUMIFS(T_ORCAMENTOS!$E:$E,T_ORCAMENTOS!$C:$C,"Internet",T_ORCAMENTOS!$H:$H,"6/2026")</f>
        <v>0</v>
      </c>
      <c r="Y245" s="27">
        <f>SUMIFS(Aut_BlueMe_Sem_Pedido!$J:$J,Aut_BlueMe_Sem_Pedido!$Q:$Q,DRE!W$4,Aut_BlueMe_Sem_Pedido!$H:$H,DRE!$A245)+SUMIFS(Aut_Ajustes_Manuais!$G:$G,Aut_Ajustes_Manuais!$I:$I,DRE!W$4,Aut_Ajustes_Manuais!$F:$F,"Internet")</f>
        <v>0</v>
      </c>
      <c r="Z245" s="237"/>
      <c r="AA245" s="26">
        <f>-SUMIFS(T_ORCAMENTOS!$E:$E,T_ORCAMENTOS!$C:$C,"Internet",T_ORCAMENTOS!$H:$H,"7/2026")</f>
        <v>0</v>
      </c>
      <c r="AB245" s="27">
        <f>SUMIFS(Aut_BlueMe_Sem_Pedido!$J:$J,Aut_BlueMe_Sem_Pedido!$Q:$Q,DRE!Z$4,Aut_BlueMe_Sem_Pedido!$H:$H,DRE!$A245)+SUMIFS(Aut_Ajustes_Manuais!$G:$G,Aut_Ajustes_Manuais!$I:$I,DRE!Z$4,Aut_Ajustes_Manuais!$F:$F,"Internet")</f>
        <v>-2000</v>
      </c>
      <c r="AC245" s="237"/>
      <c r="AD245" s="26">
        <f>-SUMIFS(T_ORCAMENTOS!$E:$E,T_ORCAMENTOS!$C:$C,"Internet",T_ORCAMENTOS!$H:$H,"8/2026")</f>
        <v>-1369.55</v>
      </c>
      <c r="AE245" s="27">
        <f>SUMIFS(Aut_BlueMe_Sem_Pedido!$J:$J,Aut_BlueMe_Sem_Pedido!$Q:$Q,DRE!AC$4,Aut_BlueMe_Sem_Pedido!$H:$H,DRE!$A245)+SUMIFS(Aut_Ajustes_Manuais!$G:$G,Aut_Ajustes_Manuais!$I:$I,DRE!AC$4,Aut_Ajustes_Manuais!$F:$F,"Internet")</f>
        <v>-1000</v>
      </c>
      <c r="AF245" s="237"/>
      <c r="AG245" s="26">
        <f>-SUMIFS(T_ORCAMENTOS!$E:$E,T_ORCAMENTOS!$C:$C,"Internet",T_ORCAMENTOS!$H:$H,"9/2026")</f>
        <v>-1369.55</v>
      </c>
      <c r="AH245" s="27">
        <f>SUMIFS(Aut_BlueMe_Sem_Pedido!$J:$J,Aut_BlueMe_Sem_Pedido!$Q:$Q,DRE!AF$4,Aut_BlueMe_Sem_Pedido!$H:$H,DRE!$A245)+SUMIFS(Aut_Ajustes_Manuais!$G:$G,Aut_Ajustes_Manuais!$I:$I,DRE!AF$4,Aut_Ajustes_Manuais!$F:$F,"Internet")</f>
        <v>-1000</v>
      </c>
      <c r="AI245" s="237"/>
      <c r="AJ245" s="26">
        <f>-SUMIFS(T_ORCAMENTOS!$E:$E,T_ORCAMENTOS!$C:$C,"Internet",T_ORCAMENTOS!$H:$H,"10/2026")</f>
        <v>-1369.55</v>
      </c>
      <c r="AK245" s="27">
        <f>SUMIFS(Aut_BlueMe_Sem_Pedido!$J:$J,Aut_BlueMe_Sem_Pedido!$Q:$Q,DRE!AI$4,Aut_BlueMe_Sem_Pedido!$H:$H,DRE!$A245)+SUMIFS(Aut_Ajustes_Manuais!$G:$G,Aut_Ajustes_Manuais!$I:$I,DRE!AI$4,Aut_Ajustes_Manuais!$F:$F,"Internet")</f>
        <v>-1000</v>
      </c>
      <c r="AL245" s="237"/>
      <c r="AM245" s="26">
        <f>-SUMIFS(T_ORCAMENTOS!$E:$E,T_ORCAMENTOS!$C:$C,"Internet",T_ORCAMENTOS!$H:$H,"11/2026")</f>
        <v>-1369.55</v>
      </c>
      <c r="AN245" s="27">
        <f>SUMIFS(Aut_BlueMe_Sem_Pedido!$J:$J,Aut_BlueMe_Sem_Pedido!$Q:$Q,DRE!AL$4,Aut_BlueMe_Sem_Pedido!$H:$H,DRE!$A245)+SUMIFS(Aut_Ajustes_Manuais!$G:$G,Aut_Ajustes_Manuais!$I:$I,DRE!AL$4,Aut_Ajustes_Manuais!$F:$F,"Internet")</f>
        <v>-1000</v>
      </c>
      <c r="AO245" s="237"/>
      <c r="AP245" s="26">
        <f>-SUMIFS(T_ORCAMENTOS!$E:$E,T_ORCAMENTOS!$C:$C,"Internet",T_ORCAMENTOS!$H:$H,"12/2026")</f>
        <v>-1369.55</v>
      </c>
      <c r="AQ245" s="27">
        <f>SUMIFS(Aut_BlueMe_Sem_Pedido!$J:$J,Aut_BlueMe_Sem_Pedido!$Q:$Q,DRE!AO$4,Aut_BlueMe_Sem_Pedido!$H:$H,DRE!$A245)+SUMIFS(Aut_Ajustes_Manuais!$G:$G,Aut_Ajustes_Manuais!$I:$I,DRE!AO$4,Aut_Ajustes_Manuais!$F:$F,"Internet")</f>
        <v>-1000</v>
      </c>
      <c r="AR245" s="237">
        <f t="shared" ca="1" si="215"/>
        <v>0</v>
      </c>
      <c r="AS245" s="26">
        <f t="shared" ca="1" si="216"/>
        <v>-1369.55</v>
      </c>
      <c r="AT245" s="27">
        <f t="shared" ca="1" si="217"/>
        <v>-3000</v>
      </c>
      <c r="AU245" s="237">
        <f t="shared" si="218"/>
        <v>0</v>
      </c>
      <c r="AV245" s="26">
        <f t="shared" si="218"/>
        <v>-6847.75</v>
      </c>
      <c r="AW245" s="27">
        <f t="shared" si="218"/>
        <v>-7000</v>
      </c>
      <c r="AX245" s="237">
        <f t="shared" si="219"/>
        <v>0</v>
      </c>
      <c r="AY245" s="26">
        <f t="shared" si="219"/>
        <v>0</v>
      </c>
      <c r="AZ245" s="27">
        <f t="shared" si="219"/>
        <v>0</v>
      </c>
      <c r="BA245" s="237">
        <f t="shared" si="220"/>
        <v>0</v>
      </c>
      <c r="BB245" s="26">
        <f t="shared" si="220"/>
        <v>0</v>
      </c>
      <c r="BC245" s="27">
        <f t="shared" si="220"/>
        <v>0</v>
      </c>
      <c r="BD245" s="237">
        <f t="shared" si="221"/>
        <v>0</v>
      </c>
      <c r="BE245" s="26">
        <f t="shared" si="221"/>
        <v>-2739.1</v>
      </c>
      <c r="BF245" s="27">
        <f t="shared" si="221"/>
        <v>-4000</v>
      </c>
      <c r="BG245" s="237">
        <f t="shared" si="222"/>
        <v>0</v>
      </c>
      <c r="BH245" s="26">
        <f t="shared" si="222"/>
        <v>-4108.6499999999996</v>
      </c>
      <c r="BI245" s="27">
        <f t="shared" si="222"/>
        <v>-3000</v>
      </c>
      <c r="BJ245" s="454"/>
    </row>
    <row r="246" spans="1:62" s="28" customFormat="1" hidden="1" outlineLevel="1" x14ac:dyDescent="0.3">
      <c r="A246" s="21" t="s">
        <v>281</v>
      </c>
      <c r="B246" s="22"/>
      <c r="C246" s="23" t="s">
        <v>67</v>
      </c>
      <c r="D246" s="112"/>
      <c r="E246" s="112"/>
      <c r="F246" s="113"/>
      <c r="G246" s="32"/>
      <c r="H246" s="237"/>
      <c r="I246" s="26">
        <f>-SUMIFS(T_ORCAMENTOS!$E:$E,T_ORCAMENTOS!$C:$C,"TV por assinatura/musica ambiente",T_ORCAMENTOS!$H:$H,"1/2026")</f>
        <v>0</v>
      </c>
      <c r="J246" s="27">
        <f>SUMIFS(Aut_BlueMe_Sem_Pedido!$J:$J,Aut_BlueMe_Sem_Pedido!$Q:$Q,DRE!H$4,Aut_BlueMe_Sem_Pedido!$H:$H,DRE!$A246)+SUMIFS(Aut_Ajustes_Manuais!$G:$G,Aut_Ajustes_Manuais!$I:$I,DRE!H$4,Aut_Ajustes_Manuais!$F:$F,"TV por assinatura/musica ambiente")</f>
        <v>0</v>
      </c>
      <c r="K246" s="237"/>
      <c r="L246" s="26">
        <f>-SUMIFS(T_ORCAMENTOS!$E:$E,T_ORCAMENTOS!$C:$C,"TV por assinatura/musica ambiente",T_ORCAMENTOS!$H:$H,"2/2026")</f>
        <v>0</v>
      </c>
      <c r="M246" s="27">
        <f>SUMIFS(Aut_BlueMe_Sem_Pedido!$J:$J,Aut_BlueMe_Sem_Pedido!$Q:$Q,DRE!K$4,Aut_BlueMe_Sem_Pedido!$H:$H,DRE!$A246)+SUMIFS(Aut_Ajustes_Manuais!$G:$G,Aut_Ajustes_Manuais!$I:$I,DRE!K$4,Aut_Ajustes_Manuais!$F:$F,"TV por assinatura/musica ambiente")</f>
        <v>0</v>
      </c>
      <c r="N246" s="237"/>
      <c r="O246" s="26">
        <f>-SUMIFS(T_ORCAMENTOS!$E:$E,T_ORCAMENTOS!$C:$C,"TV por assinatura/musica ambiente",T_ORCAMENTOS!$H:$H,"3/2026")</f>
        <v>0</v>
      </c>
      <c r="P246" s="27">
        <f>SUMIFS(Aut_BlueMe_Sem_Pedido!$J:$J,Aut_BlueMe_Sem_Pedido!$Q:$Q,DRE!N$4,Aut_BlueMe_Sem_Pedido!$H:$H,DRE!$A246)+SUMIFS(Aut_Ajustes_Manuais!$G:$G,Aut_Ajustes_Manuais!$I:$I,DRE!N$4,Aut_Ajustes_Manuais!$F:$F,"TV por assinatura/musica ambiente")</f>
        <v>0</v>
      </c>
      <c r="Q246" s="237"/>
      <c r="R246" s="26">
        <f>-SUMIFS(T_ORCAMENTOS!$E:$E,T_ORCAMENTOS!$C:$C,"TV por assinatura/musica ambiente",T_ORCAMENTOS!$H:$H,"4/2026")</f>
        <v>0</v>
      </c>
      <c r="S246" s="27">
        <f>SUMIFS(Aut_BlueMe_Sem_Pedido!$J:$J,Aut_BlueMe_Sem_Pedido!$Q:$Q,DRE!Q$4,Aut_BlueMe_Sem_Pedido!$H:$H,DRE!$A246)+SUMIFS(Aut_Ajustes_Manuais!$G:$G,Aut_Ajustes_Manuais!$I:$I,DRE!Q$4,Aut_Ajustes_Manuais!$F:$F,"TV por assinatura/musica ambiente")</f>
        <v>0</v>
      </c>
      <c r="T246" s="237"/>
      <c r="U246" s="26">
        <f>-SUMIFS(T_ORCAMENTOS!$E:$E,T_ORCAMENTOS!$C:$C,"TV por assinatura/musica ambiente",T_ORCAMENTOS!$H:$H,"5/2026")</f>
        <v>0</v>
      </c>
      <c r="V246" s="27">
        <f>SUMIFS(Aut_BlueMe_Sem_Pedido!$J:$J,Aut_BlueMe_Sem_Pedido!$Q:$Q,DRE!T$4,Aut_BlueMe_Sem_Pedido!$H:$H,DRE!$A246)+SUMIFS(Aut_Ajustes_Manuais!$G:$G,Aut_Ajustes_Manuais!$I:$I,DRE!T$4,Aut_Ajustes_Manuais!$F:$F,"TV por assinatura/musica ambiente")</f>
        <v>0</v>
      </c>
      <c r="W246" s="237"/>
      <c r="X246" s="26">
        <f>-SUMIFS(T_ORCAMENTOS!$E:$E,T_ORCAMENTOS!$C:$C,"TV por assinatura/musica ambiente",T_ORCAMENTOS!$H:$H,"6/2026")</f>
        <v>0</v>
      </c>
      <c r="Y246" s="27">
        <f>SUMIFS(Aut_BlueMe_Sem_Pedido!$J:$J,Aut_BlueMe_Sem_Pedido!$Q:$Q,DRE!W$4,Aut_BlueMe_Sem_Pedido!$H:$H,DRE!$A246)+SUMIFS(Aut_Ajustes_Manuais!$G:$G,Aut_Ajustes_Manuais!$I:$I,DRE!W$4,Aut_Ajustes_Manuais!$F:$F,"TV por assinatura/musica ambiente")</f>
        <v>0</v>
      </c>
      <c r="Z246" s="237"/>
      <c r="AA246" s="26">
        <f>-SUMIFS(T_ORCAMENTOS!$E:$E,T_ORCAMENTOS!$C:$C,"TV por assinatura/musica ambiente",T_ORCAMENTOS!$H:$H,"7/2026")</f>
        <v>0</v>
      </c>
      <c r="AB246" s="27">
        <f>SUMIFS(Aut_BlueMe_Sem_Pedido!$J:$J,Aut_BlueMe_Sem_Pedido!$Q:$Q,DRE!Z$4,Aut_BlueMe_Sem_Pedido!$H:$H,DRE!$A246)+SUMIFS(Aut_Ajustes_Manuais!$G:$G,Aut_Ajustes_Manuais!$I:$I,DRE!Z$4,Aut_Ajustes_Manuais!$F:$F,"TV por assinatura/musica ambiente")</f>
        <v>0</v>
      </c>
      <c r="AC246" s="237"/>
      <c r="AD246" s="26">
        <f>-SUMIFS(T_ORCAMENTOS!$E:$E,T_ORCAMENTOS!$C:$C,"TV por assinatura/musica ambiente",T_ORCAMENTOS!$H:$H,"8/2026")</f>
        <v>-596.36</v>
      </c>
      <c r="AE246" s="27">
        <f>SUMIFS(Aut_BlueMe_Sem_Pedido!$J:$J,Aut_BlueMe_Sem_Pedido!$Q:$Q,DRE!AC$4,Aut_BlueMe_Sem_Pedido!$H:$H,DRE!$A246)+SUMIFS(Aut_Ajustes_Manuais!$G:$G,Aut_Ajustes_Manuais!$I:$I,DRE!AC$4,Aut_Ajustes_Manuais!$F:$F,"TV por assinatura/musica ambiente")</f>
        <v>0</v>
      </c>
      <c r="AF246" s="237"/>
      <c r="AG246" s="26">
        <f>-SUMIFS(T_ORCAMENTOS!$E:$E,T_ORCAMENTOS!$C:$C,"TV por assinatura/musica ambiente",T_ORCAMENTOS!$H:$H,"9/2026")</f>
        <v>-596.36</v>
      </c>
      <c r="AH246" s="27">
        <f>SUMIFS(Aut_BlueMe_Sem_Pedido!$J:$J,Aut_BlueMe_Sem_Pedido!$Q:$Q,DRE!AF$4,Aut_BlueMe_Sem_Pedido!$H:$H,DRE!$A246)+SUMIFS(Aut_Ajustes_Manuais!$G:$G,Aut_Ajustes_Manuais!$I:$I,DRE!AF$4,Aut_Ajustes_Manuais!$F:$F,"TV por assinatura/musica ambiente")</f>
        <v>0</v>
      </c>
      <c r="AI246" s="237"/>
      <c r="AJ246" s="26">
        <f>-SUMIFS(T_ORCAMENTOS!$E:$E,T_ORCAMENTOS!$C:$C,"TV por assinatura/musica ambiente",T_ORCAMENTOS!$H:$H,"10/2026")</f>
        <v>-596.36</v>
      </c>
      <c r="AK246" s="27">
        <f>SUMIFS(Aut_BlueMe_Sem_Pedido!$J:$J,Aut_BlueMe_Sem_Pedido!$Q:$Q,DRE!AI$4,Aut_BlueMe_Sem_Pedido!$H:$H,DRE!$A246)+SUMIFS(Aut_Ajustes_Manuais!$G:$G,Aut_Ajustes_Manuais!$I:$I,DRE!AI$4,Aut_Ajustes_Manuais!$F:$F,"TV por assinatura/musica ambiente")</f>
        <v>0</v>
      </c>
      <c r="AL246" s="237"/>
      <c r="AM246" s="26">
        <f>-SUMIFS(T_ORCAMENTOS!$E:$E,T_ORCAMENTOS!$C:$C,"TV por assinatura/musica ambiente",T_ORCAMENTOS!$H:$H,"11/2026")</f>
        <v>-596.36</v>
      </c>
      <c r="AN246" s="27">
        <f>SUMIFS(Aut_BlueMe_Sem_Pedido!$J:$J,Aut_BlueMe_Sem_Pedido!$Q:$Q,DRE!AL$4,Aut_BlueMe_Sem_Pedido!$H:$H,DRE!$A246)+SUMIFS(Aut_Ajustes_Manuais!$G:$G,Aut_Ajustes_Manuais!$I:$I,DRE!AL$4,Aut_Ajustes_Manuais!$F:$F,"TV por assinatura/musica ambiente")</f>
        <v>0</v>
      </c>
      <c r="AO246" s="237"/>
      <c r="AP246" s="26">
        <f>-SUMIFS(T_ORCAMENTOS!$E:$E,T_ORCAMENTOS!$C:$C,"TV por assinatura/musica ambiente",T_ORCAMENTOS!$H:$H,"12/2026")</f>
        <v>-596.36</v>
      </c>
      <c r="AQ246" s="27">
        <f>SUMIFS(Aut_BlueMe_Sem_Pedido!$J:$J,Aut_BlueMe_Sem_Pedido!$Q:$Q,DRE!AO$4,Aut_BlueMe_Sem_Pedido!$H:$H,DRE!$A246)+SUMIFS(Aut_Ajustes_Manuais!$G:$G,Aut_Ajustes_Manuais!$I:$I,DRE!AO$4,Aut_Ajustes_Manuais!$F:$F,"TV por assinatura/musica ambiente")</f>
        <v>0</v>
      </c>
      <c r="AR246" s="237">
        <f t="shared" ca="1" si="215"/>
        <v>0</v>
      </c>
      <c r="AS246" s="26">
        <f t="shared" ca="1" si="216"/>
        <v>-596.36</v>
      </c>
      <c r="AT246" s="27">
        <f t="shared" ca="1" si="217"/>
        <v>0</v>
      </c>
      <c r="AU246" s="237">
        <f t="shared" si="218"/>
        <v>0</v>
      </c>
      <c r="AV246" s="26">
        <f t="shared" si="218"/>
        <v>-2981.8</v>
      </c>
      <c r="AW246" s="27">
        <f t="shared" si="218"/>
        <v>0</v>
      </c>
      <c r="AX246" s="237">
        <f t="shared" si="219"/>
        <v>0</v>
      </c>
      <c r="AY246" s="26">
        <f t="shared" si="219"/>
        <v>0</v>
      </c>
      <c r="AZ246" s="27">
        <f t="shared" si="219"/>
        <v>0</v>
      </c>
      <c r="BA246" s="237">
        <f t="shared" si="220"/>
        <v>0</v>
      </c>
      <c r="BB246" s="26">
        <f t="shared" si="220"/>
        <v>0</v>
      </c>
      <c r="BC246" s="27">
        <f t="shared" si="220"/>
        <v>0</v>
      </c>
      <c r="BD246" s="237">
        <f t="shared" si="221"/>
        <v>0</v>
      </c>
      <c r="BE246" s="26">
        <f t="shared" si="221"/>
        <v>-1192.72</v>
      </c>
      <c r="BF246" s="27">
        <f t="shared" si="221"/>
        <v>0</v>
      </c>
      <c r="BG246" s="237">
        <f t="shared" si="222"/>
        <v>0</v>
      </c>
      <c r="BH246" s="26">
        <f t="shared" si="222"/>
        <v>-1789.08</v>
      </c>
      <c r="BI246" s="27">
        <f t="shared" si="222"/>
        <v>0</v>
      </c>
      <c r="BJ246" s="454"/>
    </row>
    <row r="247" spans="1:62" s="28" customFormat="1" hidden="1" outlineLevel="1" x14ac:dyDescent="0.3">
      <c r="A247" s="21" t="s">
        <v>282</v>
      </c>
      <c r="B247" s="22"/>
      <c r="C247" s="23" t="s">
        <v>67</v>
      </c>
      <c r="D247" s="112"/>
      <c r="E247" s="114"/>
      <c r="F247" s="113"/>
      <c r="G247" s="32"/>
      <c r="H247" s="237"/>
      <c r="I247" s="26">
        <f>-SUMIFS(T_ORCAMENTOS!$E:$E,T_ORCAMENTOS!$C:$C,"Sistemas de Segurança e Alarme",T_ORCAMENTOS!$H:$H,"1/2026")</f>
        <v>0</v>
      </c>
      <c r="J247" s="27">
        <f>SUMIFS(Aut_BlueMe_Sem_Pedido!$J:$J,Aut_BlueMe_Sem_Pedido!$Q:$Q,DRE!H$4,Aut_BlueMe_Sem_Pedido!$H:$H,DRE!$A247)+SUMIFS(Aut_Ajustes_Manuais!$G:$G,Aut_Ajustes_Manuais!$I:$I,DRE!H$4,Aut_Ajustes_Manuais!$F:$F,"Sistemas de Segurança e Alarme")</f>
        <v>0</v>
      </c>
      <c r="K247" s="237"/>
      <c r="L247" s="26">
        <f>-SUMIFS(T_ORCAMENTOS!$E:$E,T_ORCAMENTOS!$C:$C,"Sistemas de Segurança e Alarme",T_ORCAMENTOS!$H:$H,"2/2026")</f>
        <v>0</v>
      </c>
      <c r="M247" s="27">
        <f>SUMIFS(Aut_BlueMe_Sem_Pedido!$J:$J,Aut_BlueMe_Sem_Pedido!$Q:$Q,DRE!K$4,Aut_BlueMe_Sem_Pedido!$H:$H,DRE!$A247)+SUMIFS(Aut_Ajustes_Manuais!$G:$G,Aut_Ajustes_Manuais!$I:$I,DRE!K$4,Aut_Ajustes_Manuais!$F:$F,"Sistemas de Segurança e Alarme")</f>
        <v>0</v>
      </c>
      <c r="N247" s="237"/>
      <c r="O247" s="26">
        <f>-SUMIFS(T_ORCAMENTOS!$E:$E,T_ORCAMENTOS!$C:$C,"Sistemas de Segurança e Alarme",T_ORCAMENTOS!$H:$H,"3/2026")</f>
        <v>0</v>
      </c>
      <c r="P247" s="27">
        <f>SUMIFS(Aut_BlueMe_Sem_Pedido!$J:$J,Aut_BlueMe_Sem_Pedido!$Q:$Q,DRE!N$4,Aut_BlueMe_Sem_Pedido!$H:$H,DRE!$A247)+SUMIFS(Aut_Ajustes_Manuais!$G:$G,Aut_Ajustes_Manuais!$I:$I,DRE!N$4,Aut_Ajustes_Manuais!$F:$F,"Sistemas de Segurança e Alarme")</f>
        <v>0</v>
      </c>
      <c r="Q247" s="237"/>
      <c r="R247" s="26">
        <f>-SUMIFS(T_ORCAMENTOS!$E:$E,T_ORCAMENTOS!$C:$C,"Sistemas de Segurança e Alarme",T_ORCAMENTOS!$H:$H,"4/2026")</f>
        <v>0</v>
      </c>
      <c r="S247" s="27">
        <f>SUMIFS(Aut_BlueMe_Sem_Pedido!$J:$J,Aut_BlueMe_Sem_Pedido!$Q:$Q,DRE!Q$4,Aut_BlueMe_Sem_Pedido!$H:$H,DRE!$A247)+SUMIFS(Aut_Ajustes_Manuais!$G:$G,Aut_Ajustes_Manuais!$I:$I,DRE!Q$4,Aut_Ajustes_Manuais!$F:$F,"Sistemas de Segurança e Alarme")</f>
        <v>0</v>
      </c>
      <c r="T247" s="237"/>
      <c r="U247" s="26">
        <f>-SUMIFS(T_ORCAMENTOS!$E:$E,T_ORCAMENTOS!$C:$C,"Sistemas de Segurança e Alarme",T_ORCAMENTOS!$H:$H,"5/2026")</f>
        <v>0</v>
      </c>
      <c r="V247" s="27">
        <f>SUMIFS(Aut_BlueMe_Sem_Pedido!$J:$J,Aut_BlueMe_Sem_Pedido!$Q:$Q,DRE!T$4,Aut_BlueMe_Sem_Pedido!$H:$H,DRE!$A247)+SUMIFS(Aut_Ajustes_Manuais!$G:$G,Aut_Ajustes_Manuais!$I:$I,DRE!T$4,Aut_Ajustes_Manuais!$F:$F,"Sistemas de Segurança e Alarme")</f>
        <v>0</v>
      </c>
      <c r="W247" s="237"/>
      <c r="X247" s="26">
        <f>-SUMIFS(T_ORCAMENTOS!$E:$E,T_ORCAMENTOS!$C:$C,"Sistemas de Segurança e Alarme",T_ORCAMENTOS!$H:$H,"6/2026")</f>
        <v>0</v>
      </c>
      <c r="Y247" s="27">
        <f>SUMIFS(Aut_BlueMe_Sem_Pedido!$J:$J,Aut_BlueMe_Sem_Pedido!$Q:$Q,DRE!W$4,Aut_BlueMe_Sem_Pedido!$H:$H,DRE!$A247)+SUMIFS(Aut_Ajustes_Manuais!$G:$G,Aut_Ajustes_Manuais!$I:$I,DRE!W$4,Aut_Ajustes_Manuais!$F:$F,"Sistemas de Segurança e Alarme")</f>
        <v>0</v>
      </c>
      <c r="Z247" s="237"/>
      <c r="AA247" s="26">
        <f>-SUMIFS(T_ORCAMENTOS!$E:$E,T_ORCAMENTOS!$C:$C,"Sistemas de Segurança e Alarme",T_ORCAMENTOS!$H:$H,"7/2026")</f>
        <v>0</v>
      </c>
      <c r="AB247" s="27">
        <f>SUMIFS(Aut_BlueMe_Sem_Pedido!$J:$J,Aut_BlueMe_Sem_Pedido!$Q:$Q,DRE!Z$4,Aut_BlueMe_Sem_Pedido!$H:$H,DRE!$A247)+SUMIFS(Aut_Ajustes_Manuais!$G:$G,Aut_Ajustes_Manuais!$I:$I,DRE!Z$4,Aut_Ajustes_Manuais!$F:$F,"Sistemas de Segurança e Alarme")</f>
        <v>0</v>
      </c>
      <c r="AC247" s="237"/>
      <c r="AD247" s="26">
        <f>-SUMIFS(T_ORCAMENTOS!$E:$E,T_ORCAMENTOS!$C:$C,"Sistemas de Segurança e Alarme",T_ORCAMENTOS!$H:$H,"8/2026")</f>
        <v>0</v>
      </c>
      <c r="AE247" s="27">
        <f>SUMIFS(Aut_BlueMe_Sem_Pedido!$J:$J,Aut_BlueMe_Sem_Pedido!$Q:$Q,DRE!AC$4,Aut_BlueMe_Sem_Pedido!$H:$H,DRE!$A247)+SUMIFS(Aut_Ajustes_Manuais!$G:$G,Aut_Ajustes_Manuais!$I:$I,DRE!AC$4,Aut_Ajustes_Manuais!$F:$F,"Sistemas de Segurança e Alarme")</f>
        <v>0</v>
      </c>
      <c r="AF247" s="237"/>
      <c r="AG247" s="26">
        <f>-SUMIFS(T_ORCAMENTOS!$E:$E,T_ORCAMENTOS!$C:$C,"Sistemas de Segurança e Alarme",T_ORCAMENTOS!$H:$H,"9/2026")</f>
        <v>0</v>
      </c>
      <c r="AH247" s="27">
        <f>SUMIFS(Aut_BlueMe_Sem_Pedido!$J:$J,Aut_BlueMe_Sem_Pedido!$Q:$Q,DRE!AF$4,Aut_BlueMe_Sem_Pedido!$H:$H,DRE!$A247)+SUMIFS(Aut_Ajustes_Manuais!$G:$G,Aut_Ajustes_Manuais!$I:$I,DRE!AF$4,Aut_Ajustes_Manuais!$F:$F,"Sistemas de Segurança e Alarme")</f>
        <v>0</v>
      </c>
      <c r="AI247" s="237"/>
      <c r="AJ247" s="26">
        <f>-SUMIFS(T_ORCAMENTOS!$E:$E,T_ORCAMENTOS!$C:$C,"Sistemas de Segurança e Alarme",T_ORCAMENTOS!$H:$H,"10/2026")</f>
        <v>0</v>
      </c>
      <c r="AK247" s="27">
        <f>SUMIFS(Aut_BlueMe_Sem_Pedido!$J:$J,Aut_BlueMe_Sem_Pedido!$Q:$Q,DRE!AI$4,Aut_BlueMe_Sem_Pedido!$H:$H,DRE!$A247)+SUMIFS(Aut_Ajustes_Manuais!$G:$G,Aut_Ajustes_Manuais!$I:$I,DRE!AI$4,Aut_Ajustes_Manuais!$F:$F,"Sistemas de Segurança e Alarme")</f>
        <v>0</v>
      </c>
      <c r="AL247" s="237"/>
      <c r="AM247" s="26">
        <f>-SUMIFS(T_ORCAMENTOS!$E:$E,T_ORCAMENTOS!$C:$C,"Sistemas de Segurança e Alarme",T_ORCAMENTOS!$H:$H,"11/2026")</f>
        <v>0</v>
      </c>
      <c r="AN247" s="27">
        <f>SUMIFS(Aut_BlueMe_Sem_Pedido!$J:$J,Aut_BlueMe_Sem_Pedido!$Q:$Q,DRE!AL$4,Aut_BlueMe_Sem_Pedido!$H:$H,DRE!$A247)+SUMIFS(Aut_Ajustes_Manuais!$G:$G,Aut_Ajustes_Manuais!$I:$I,DRE!AL$4,Aut_Ajustes_Manuais!$F:$F,"Sistemas de Segurança e Alarme")</f>
        <v>0</v>
      </c>
      <c r="AO247" s="237"/>
      <c r="AP247" s="26">
        <f>-SUMIFS(T_ORCAMENTOS!$E:$E,T_ORCAMENTOS!$C:$C,"Sistemas de Segurança e Alarme",T_ORCAMENTOS!$H:$H,"12/2026")</f>
        <v>0</v>
      </c>
      <c r="AQ247" s="27">
        <f>SUMIFS(Aut_BlueMe_Sem_Pedido!$J:$J,Aut_BlueMe_Sem_Pedido!$Q:$Q,DRE!AO$4,Aut_BlueMe_Sem_Pedido!$H:$H,DRE!$A247)+SUMIFS(Aut_Ajustes_Manuais!$G:$G,Aut_Ajustes_Manuais!$I:$I,DRE!AO$4,Aut_Ajustes_Manuais!$F:$F,"Sistemas de Segurança e Alarme")</f>
        <v>0</v>
      </c>
      <c r="AR247" s="237">
        <f t="shared" ca="1" si="215"/>
        <v>0</v>
      </c>
      <c r="AS247" s="26">
        <f t="shared" ca="1" si="216"/>
        <v>0</v>
      </c>
      <c r="AT247" s="27">
        <f t="shared" ca="1" si="217"/>
        <v>0</v>
      </c>
      <c r="AU247" s="237">
        <f t="shared" si="218"/>
        <v>0</v>
      </c>
      <c r="AV247" s="26">
        <f t="shared" si="218"/>
        <v>0</v>
      </c>
      <c r="AW247" s="27">
        <f t="shared" si="218"/>
        <v>0</v>
      </c>
      <c r="AX247" s="237">
        <f t="shared" si="219"/>
        <v>0</v>
      </c>
      <c r="AY247" s="26">
        <f t="shared" si="219"/>
        <v>0</v>
      </c>
      <c r="AZ247" s="27">
        <f t="shared" si="219"/>
        <v>0</v>
      </c>
      <c r="BA247" s="237">
        <f t="shared" si="220"/>
        <v>0</v>
      </c>
      <c r="BB247" s="26">
        <f t="shared" si="220"/>
        <v>0</v>
      </c>
      <c r="BC247" s="27">
        <f t="shared" si="220"/>
        <v>0</v>
      </c>
      <c r="BD247" s="237">
        <f t="shared" si="221"/>
        <v>0</v>
      </c>
      <c r="BE247" s="26">
        <f t="shared" si="221"/>
        <v>0</v>
      </c>
      <c r="BF247" s="27">
        <f t="shared" si="221"/>
        <v>0</v>
      </c>
      <c r="BG247" s="237">
        <f t="shared" si="222"/>
        <v>0</v>
      </c>
      <c r="BH247" s="26">
        <f t="shared" si="222"/>
        <v>0</v>
      </c>
      <c r="BI247" s="27">
        <f t="shared" si="222"/>
        <v>0</v>
      </c>
      <c r="BJ247" s="454"/>
    </row>
    <row r="248" spans="1:62" s="28" customFormat="1" hidden="1" outlineLevel="1" x14ac:dyDescent="0.3">
      <c r="A248" s="21" t="s">
        <v>283</v>
      </c>
      <c r="B248" s="22"/>
      <c r="C248" s="23" t="s">
        <v>67</v>
      </c>
      <c r="D248" s="24"/>
      <c r="E248" s="115"/>
      <c r="F248" s="113"/>
      <c r="G248" s="32"/>
      <c r="H248" s="237"/>
      <c r="I248" s="26">
        <f>-SUMIFS(T_ORCAMENTOS!$E:$E,T_ORCAMENTOS!$C:$C,"Sistemas Gerais - Operacionais",T_ORCAMENTOS!$H:$H,"1/2026")</f>
        <v>0</v>
      </c>
      <c r="J248" s="27">
        <f>SUMIFS(Aut_BlueMe_Sem_Pedido!$J:$J,Aut_BlueMe_Sem_Pedido!$Q:$Q,DRE!H$4,Aut_BlueMe_Sem_Pedido!$H:$H,DRE!$A248)-SUMIFS(Aut_Descontos!$G:$G,Aut_Descontos!$H:$H,A248,Aut_Descontos!$L:$L,H$4)+SUMIFS(Aut_Ajustes_Manuais!$G:$G,Aut_Ajustes_Manuais!$I:$I,DRE!H$4,Aut_Ajustes_Manuais!$F:$F,"Sistemas Gerais - Operacionais")</f>
        <v>0</v>
      </c>
      <c r="K248" s="237"/>
      <c r="L248" s="26">
        <f>-SUMIFS(T_ORCAMENTOS!$E:$E,T_ORCAMENTOS!$C:$C,"Sistemas Gerais - Operacionais",T_ORCAMENTOS!$H:$H,"2/2026")</f>
        <v>0</v>
      </c>
      <c r="M248" s="27">
        <f>SUMIFS(Aut_BlueMe_Sem_Pedido!$J:$J,Aut_BlueMe_Sem_Pedido!$Q:$Q,DRE!K$4,Aut_BlueMe_Sem_Pedido!$H:$H,DRE!$A248)-SUMIFS(Aut_Descontos!$G:$G,Aut_Descontos!$H:$H,A248,Aut_Descontos!$L:$L,K$4)+SUMIFS(Aut_Ajustes_Manuais!$G:$G,Aut_Ajustes_Manuais!$I:$I,DRE!K$4,Aut_Ajustes_Manuais!$F:$F,"Sistemas Gerais - Operacionais")</f>
        <v>-329.9</v>
      </c>
      <c r="N248" s="237"/>
      <c r="O248" s="26">
        <f>-SUMIFS(T_ORCAMENTOS!$E:$E,T_ORCAMENTOS!$C:$C,"Sistemas Gerais - Operacionais",T_ORCAMENTOS!$H:$H,"3/2026")</f>
        <v>0</v>
      </c>
      <c r="P248" s="27">
        <f>SUMIFS(Aut_BlueMe_Sem_Pedido!$J:$J,Aut_BlueMe_Sem_Pedido!$Q:$Q,DRE!N$4,Aut_BlueMe_Sem_Pedido!$H:$H,DRE!$A248)-SUMIFS(Aut_Descontos!$G:$G,Aut_Descontos!$H:$H,A248,Aut_Descontos!$L:$L,N$4)+SUMIFS(Aut_Ajustes_Manuais!$G:$G,Aut_Ajustes_Manuais!$I:$I,DRE!N$4,Aut_Ajustes_Manuais!$F:$F,"Sistemas Gerais - Operacionais")</f>
        <v>0</v>
      </c>
      <c r="Q248" s="237"/>
      <c r="R248" s="26">
        <f>-SUMIFS(T_ORCAMENTOS!$E:$E,T_ORCAMENTOS!$C:$C,"Sistemas Gerais - Operacionais",T_ORCAMENTOS!$H:$H,"4/2026")</f>
        <v>0</v>
      </c>
      <c r="S248" s="27">
        <f>SUMIFS(Aut_BlueMe_Sem_Pedido!$J:$J,Aut_BlueMe_Sem_Pedido!$Q:$Q,DRE!Q$4,Aut_BlueMe_Sem_Pedido!$H:$H,DRE!$A248)-SUMIFS(Aut_Descontos!$G:$G,Aut_Descontos!$H:$H,A248,Aut_Descontos!$L:$L,Q$4)+SUMIFS(Aut_Ajustes_Manuais!$G:$G,Aut_Ajustes_Manuais!$I:$I,DRE!Q$4,Aut_Ajustes_Manuais!$F:$F,"Sistemas Gerais - Operacionais")</f>
        <v>0</v>
      </c>
      <c r="T248" s="237"/>
      <c r="U248" s="26">
        <f>-SUMIFS(T_ORCAMENTOS!$E:$E,T_ORCAMENTOS!$C:$C,"Sistemas Gerais - Operacionais",T_ORCAMENTOS!$H:$H,"5/2026")</f>
        <v>0</v>
      </c>
      <c r="V248" s="27">
        <f>SUMIFS(Aut_BlueMe_Sem_Pedido!$J:$J,Aut_BlueMe_Sem_Pedido!$Q:$Q,DRE!T$4,Aut_BlueMe_Sem_Pedido!$H:$H,DRE!$A248)-SUMIFS(Aut_Descontos!$G:$G,Aut_Descontos!$H:$H,A248,Aut_Descontos!$L:$L,T$4)+SUMIFS(Aut_Ajustes_Manuais!$G:$G,Aut_Ajustes_Manuais!$I:$I,DRE!T$4,Aut_Ajustes_Manuais!$F:$F,"Sistemas Gerais - Operacionais")</f>
        <v>0</v>
      </c>
      <c r="W248" s="237"/>
      <c r="X248" s="26">
        <f>-SUMIFS(T_ORCAMENTOS!$E:$E,T_ORCAMENTOS!$C:$C,"Sistemas Gerais - Operacionais",T_ORCAMENTOS!$H:$H,"6/2026")</f>
        <v>0</v>
      </c>
      <c r="Y248" s="27">
        <f>SUMIFS(Aut_BlueMe_Sem_Pedido!$J:$J,Aut_BlueMe_Sem_Pedido!$Q:$Q,DRE!W$4,Aut_BlueMe_Sem_Pedido!$H:$H,DRE!$A248)-SUMIFS(Aut_Descontos!$G:$G,Aut_Descontos!$H:$H,A248,Aut_Descontos!$L:$L,W$4)+SUMIFS(Aut_Ajustes_Manuais!$G:$G,Aut_Ajustes_Manuais!$I:$I,DRE!W$4,Aut_Ajustes_Manuais!$F:$F,"Sistemas Gerais - Operacionais")</f>
        <v>-219</v>
      </c>
      <c r="Z248" s="237"/>
      <c r="AA248" s="26">
        <f>-SUMIFS(T_ORCAMENTOS!$E:$E,T_ORCAMENTOS!$C:$C,"Sistemas Gerais - Operacionais",T_ORCAMENTOS!$H:$H,"7/2026")</f>
        <v>0</v>
      </c>
      <c r="AB248" s="27">
        <f>SUMIFS(Aut_BlueMe_Sem_Pedido!$J:$J,Aut_BlueMe_Sem_Pedido!$Q:$Q,DRE!Z$4,Aut_BlueMe_Sem_Pedido!$H:$H,DRE!$A248)-SUMIFS(Aut_Descontos!$G:$G,Aut_Descontos!$H:$H,A248,Aut_Descontos!$L:$L,Z$4)+SUMIFS(Aut_Ajustes_Manuais!$G:$G,Aut_Ajustes_Manuais!$I:$I,DRE!Z$4,Aut_Ajustes_Manuais!$F:$F,"Sistemas Gerais - Operacionais")</f>
        <v>-219</v>
      </c>
      <c r="AC248" s="237"/>
      <c r="AD248" s="26">
        <f>-SUMIFS(T_ORCAMENTOS!$E:$E,T_ORCAMENTOS!$C:$C,"Sistemas Gerais - Operacionais",T_ORCAMENTOS!$H:$H,"8/2026")</f>
        <v>-4640</v>
      </c>
      <c r="AE248" s="27">
        <f>SUMIFS(Aut_BlueMe_Sem_Pedido!$J:$J,Aut_BlueMe_Sem_Pedido!$Q:$Q,DRE!AC$4,Aut_BlueMe_Sem_Pedido!$H:$H,DRE!$A248)-SUMIFS(Aut_Descontos!$G:$G,Aut_Descontos!$H:$H,A248,Aut_Descontos!$L:$L,AC$4)+SUMIFS(Aut_Ajustes_Manuais!$G:$G,Aut_Ajustes_Manuais!$I:$I,DRE!AC$4,Aut_Ajustes_Manuais!$F:$F,"Sistemas Gerais - Operacionais")</f>
        <v>-219</v>
      </c>
      <c r="AF248" s="237"/>
      <c r="AG248" s="26">
        <f>-SUMIFS(T_ORCAMENTOS!$E:$E,T_ORCAMENTOS!$C:$C,"Sistemas Gerais - Operacionais",T_ORCAMENTOS!$H:$H,"9/2026")</f>
        <v>-4640</v>
      </c>
      <c r="AH248" s="27">
        <f>SUMIFS(Aut_BlueMe_Sem_Pedido!$J:$J,Aut_BlueMe_Sem_Pedido!$Q:$Q,DRE!AF$4,Aut_BlueMe_Sem_Pedido!$H:$H,DRE!$A248)-SUMIFS(Aut_Descontos!$G:$G,Aut_Descontos!$H:$H,A248,Aut_Descontos!$L:$L,AF$4)+SUMIFS(Aut_Ajustes_Manuais!$G:$G,Aut_Ajustes_Manuais!$I:$I,DRE!AF$4,Aut_Ajustes_Manuais!$F:$F,"Sistemas Gerais - Operacionais")</f>
        <v>-219</v>
      </c>
      <c r="AI248" s="237"/>
      <c r="AJ248" s="26">
        <f>-SUMIFS(T_ORCAMENTOS!$E:$E,T_ORCAMENTOS!$C:$C,"Sistemas Gerais - Operacionais",T_ORCAMENTOS!$H:$H,"10/2026")</f>
        <v>-4640</v>
      </c>
      <c r="AK248" s="27">
        <f>SUMIFS(Aut_BlueMe_Sem_Pedido!$J:$J,Aut_BlueMe_Sem_Pedido!$Q:$Q,DRE!AI$4,Aut_BlueMe_Sem_Pedido!$H:$H,DRE!$A248)-SUMIFS(Aut_Descontos!$G:$G,Aut_Descontos!$H:$H,A248,Aut_Descontos!$L:$L,AI$4)+SUMIFS(Aut_Ajustes_Manuais!$G:$G,Aut_Ajustes_Manuais!$I:$I,DRE!AI$4,Aut_Ajustes_Manuais!$F:$F,"Sistemas Gerais - Operacionais")</f>
        <v>-219</v>
      </c>
      <c r="AL248" s="237"/>
      <c r="AM248" s="26">
        <f>-SUMIFS(T_ORCAMENTOS!$E:$E,T_ORCAMENTOS!$C:$C,"Sistemas Gerais - Operacionais",T_ORCAMENTOS!$H:$H,"11/2026")</f>
        <v>-4640</v>
      </c>
      <c r="AN248" s="27">
        <f>SUMIFS(Aut_BlueMe_Sem_Pedido!$J:$J,Aut_BlueMe_Sem_Pedido!$Q:$Q,DRE!AL$4,Aut_BlueMe_Sem_Pedido!$H:$H,DRE!$A248)-SUMIFS(Aut_Descontos!$G:$G,Aut_Descontos!$H:$H,A248,Aut_Descontos!$L:$L,AL$4)+SUMIFS(Aut_Ajustes_Manuais!$G:$G,Aut_Ajustes_Manuais!$I:$I,DRE!AL$4,Aut_Ajustes_Manuais!$F:$F,"Sistemas Gerais - Operacionais")</f>
        <v>-219</v>
      </c>
      <c r="AO248" s="237"/>
      <c r="AP248" s="26">
        <f>-SUMIFS(T_ORCAMENTOS!$E:$E,T_ORCAMENTOS!$C:$C,"Sistemas Gerais - Operacionais",T_ORCAMENTOS!$H:$H,"12/2026")</f>
        <v>-4640</v>
      </c>
      <c r="AQ248" s="27">
        <f>SUMIFS(Aut_BlueMe_Sem_Pedido!$J:$J,Aut_BlueMe_Sem_Pedido!$Q:$Q,DRE!AO$4,Aut_BlueMe_Sem_Pedido!$H:$H,DRE!$A248)-SUMIFS(Aut_Descontos!$G:$G,Aut_Descontos!$H:$H,A248,Aut_Descontos!$L:$L,AO$4)+SUMIFS(Aut_Ajustes_Manuais!$G:$G,Aut_Ajustes_Manuais!$I:$I,DRE!AO$4,Aut_Ajustes_Manuais!$F:$F,"Sistemas Gerais - Operacionais")</f>
        <v>-219</v>
      </c>
      <c r="AR248" s="237">
        <f t="shared" ca="1" si="215"/>
        <v>0</v>
      </c>
      <c r="AS248" s="26">
        <f t="shared" ca="1" si="216"/>
        <v>-4640</v>
      </c>
      <c r="AT248" s="27">
        <f t="shared" ca="1" si="217"/>
        <v>-986.9</v>
      </c>
      <c r="AU248" s="237">
        <f t="shared" si="218"/>
        <v>0</v>
      </c>
      <c r="AV248" s="26">
        <f t="shared" si="218"/>
        <v>-23200</v>
      </c>
      <c r="AW248" s="27">
        <f t="shared" si="218"/>
        <v>-1862.9</v>
      </c>
      <c r="AX248" s="237">
        <f t="shared" si="219"/>
        <v>0</v>
      </c>
      <c r="AY248" s="26">
        <f t="shared" si="219"/>
        <v>0</v>
      </c>
      <c r="AZ248" s="27">
        <f t="shared" si="219"/>
        <v>-329.9</v>
      </c>
      <c r="BA248" s="237">
        <f t="shared" si="220"/>
        <v>0</v>
      </c>
      <c r="BB248" s="26">
        <f t="shared" si="220"/>
        <v>0</v>
      </c>
      <c r="BC248" s="27">
        <f t="shared" si="220"/>
        <v>-219</v>
      </c>
      <c r="BD248" s="237">
        <f t="shared" si="221"/>
        <v>0</v>
      </c>
      <c r="BE248" s="26">
        <f t="shared" si="221"/>
        <v>-9280</v>
      </c>
      <c r="BF248" s="27">
        <f t="shared" si="221"/>
        <v>-657</v>
      </c>
      <c r="BG248" s="237">
        <f t="shared" si="222"/>
        <v>0</v>
      </c>
      <c r="BH248" s="26">
        <f t="shared" si="222"/>
        <v>-13920</v>
      </c>
      <c r="BI248" s="27">
        <f t="shared" si="222"/>
        <v>-657</v>
      </c>
      <c r="BJ248" s="454"/>
    </row>
    <row r="249" spans="1:62" s="28" customFormat="1" hidden="1" outlineLevel="1" x14ac:dyDescent="0.3">
      <c r="A249" s="21" t="s">
        <v>284</v>
      </c>
      <c r="B249" s="22"/>
      <c r="C249" s="23" t="s">
        <v>67</v>
      </c>
      <c r="D249" s="24"/>
      <c r="E249" s="116"/>
      <c r="F249" s="113"/>
      <c r="G249" s="32"/>
      <c r="H249" s="237"/>
      <c r="I249" s="26">
        <f>-SUMIFS(T_ORCAMENTOS!$E:$E,T_ORCAMENTOS!$C:$C,"Sistemas Gerais - Financeiros",T_ORCAMENTOS!$H:$H,"1/2026")</f>
        <v>0</v>
      </c>
      <c r="J249" s="27">
        <f>SUMIFS(Aut_BlueMe_Sem_Pedido!$J:$J,Aut_BlueMe_Sem_Pedido!$Q:$Q,DRE!H$4,Aut_BlueMe_Sem_Pedido!$H:$H,DRE!$A249)+SUMIFS(Aut_Ajustes_Manuais!$G:$G,Aut_Ajustes_Manuais!$I:$I,DRE!H$4,Aut_Ajustes_Manuais!$F:$F,"Sistemas Gerais - Financeiros")</f>
        <v>0</v>
      </c>
      <c r="K249" s="237"/>
      <c r="L249" s="26">
        <f>-SUMIFS(T_ORCAMENTOS!$E:$E,T_ORCAMENTOS!$C:$C,"Sistemas Gerais - Financeiros",T_ORCAMENTOS!$H:$H,"2/2026")</f>
        <v>0</v>
      </c>
      <c r="M249" s="27">
        <f>SUMIFS(Aut_BlueMe_Sem_Pedido!$J:$J,Aut_BlueMe_Sem_Pedido!$Q:$Q,DRE!K$4,Aut_BlueMe_Sem_Pedido!$H:$H,DRE!$A249)+SUMIFS(Aut_Ajustes_Manuais!$G:$G,Aut_Ajustes_Manuais!$I:$I,DRE!K$4,Aut_Ajustes_Manuais!$F:$F,"Sistemas Gerais - Financeiros")</f>
        <v>0</v>
      </c>
      <c r="N249" s="237"/>
      <c r="O249" s="26">
        <f>-SUMIFS(T_ORCAMENTOS!$E:$E,T_ORCAMENTOS!$C:$C,"Sistemas Gerais - Financeiros",T_ORCAMENTOS!$H:$H,"3/2026")</f>
        <v>0</v>
      </c>
      <c r="P249" s="27">
        <f>SUMIFS(Aut_BlueMe_Sem_Pedido!$J:$J,Aut_BlueMe_Sem_Pedido!$Q:$Q,DRE!N$4,Aut_BlueMe_Sem_Pedido!$H:$H,DRE!$A249)+SUMIFS(Aut_Ajustes_Manuais!$G:$G,Aut_Ajustes_Manuais!$I:$I,DRE!N$4,Aut_Ajustes_Manuais!$F:$F,"Sistemas Gerais - Financeiros")</f>
        <v>0</v>
      </c>
      <c r="Q249" s="237"/>
      <c r="R249" s="26">
        <f>-SUMIFS(T_ORCAMENTOS!$E:$E,T_ORCAMENTOS!$C:$C,"Sistemas Gerais - Financeiros",T_ORCAMENTOS!$H:$H,"4/2026")</f>
        <v>0</v>
      </c>
      <c r="S249" s="27">
        <f>SUMIFS(Aut_BlueMe_Sem_Pedido!$J:$J,Aut_BlueMe_Sem_Pedido!$Q:$Q,DRE!Q$4,Aut_BlueMe_Sem_Pedido!$H:$H,DRE!$A249)+SUMIFS(Aut_Ajustes_Manuais!$G:$G,Aut_Ajustes_Manuais!$I:$I,DRE!Q$4,Aut_Ajustes_Manuais!$F:$F,"Sistemas Gerais - Financeiros")</f>
        <v>0</v>
      </c>
      <c r="T249" s="237"/>
      <c r="U249" s="26">
        <f>-SUMIFS(T_ORCAMENTOS!$E:$E,T_ORCAMENTOS!$C:$C,"Sistemas Gerais - Financeiros",T_ORCAMENTOS!$H:$H,"5/2026")</f>
        <v>0</v>
      </c>
      <c r="V249" s="27">
        <f>SUMIFS(Aut_BlueMe_Sem_Pedido!$J:$J,Aut_BlueMe_Sem_Pedido!$Q:$Q,DRE!T$4,Aut_BlueMe_Sem_Pedido!$H:$H,DRE!$A249)+SUMIFS(Aut_Ajustes_Manuais!$G:$G,Aut_Ajustes_Manuais!$I:$I,DRE!T$4,Aut_Ajustes_Manuais!$F:$F,"Sistemas Gerais - Financeiros")</f>
        <v>0</v>
      </c>
      <c r="W249" s="237"/>
      <c r="X249" s="26">
        <f>-SUMIFS(T_ORCAMENTOS!$E:$E,T_ORCAMENTOS!$C:$C,"Sistemas Gerais - Financeiros",T_ORCAMENTOS!$H:$H,"6/2026")</f>
        <v>0</v>
      </c>
      <c r="Y249" s="27">
        <f>SUMIFS(Aut_BlueMe_Sem_Pedido!$J:$J,Aut_BlueMe_Sem_Pedido!$Q:$Q,DRE!W$4,Aut_BlueMe_Sem_Pedido!$H:$H,DRE!$A249)+SUMIFS(Aut_Ajustes_Manuais!$G:$G,Aut_Ajustes_Manuais!$I:$I,DRE!W$4,Aut_Ajustes_Manuais!$F:$F,"Sistemas Gerais - Financeiros")</f>
        <v>0</v>
      </c>
      <c r="Z249" s="237"/>
      <c r="AA249" s="26">
        <f>-SUMIFS(T_ORCAMENTOS!$E:$E,T_ORCAMENTOS!$C:$C,"Sistemas Gerais - Financeiros",T_ORCAMENTOS!$H:$H,"7/2026")</f>
        <v>0</v>
      </c>
      <c r="AB249" s="27">
        <f>SUMIFS(Aut_BlueMe_Sem_Pedido!$J:$J,Aut_BlueMe_Sem_Pedido!$Q:$Q,DRE!Z$4,Aut_BlueMe_Sem_Pedido!$H:$H,DRE!$A249)+SUMIFS(Aut_Ajustes_Manuais!$G:$G,Aut_Ajustes_Manuais!$I:$I,DRE!Z$4,Aut_Ajustes_Manuais!$F:$F,"Sistemas Gerais - Financeiros")</f>
        <v>0</v>
      </c>
      <c r="AC249" s="237"/>
      <c r="AD249" s="26">
        <f>-SUMIFS(T_ORCAMENTOS!$E:$E,T_ORCAMENTOS!$C:$C,"Sistemas Gerais - Financeiros",T_ORCAMENTOS!$H:$H,"8/2026")</f>
        <v>-489</v>
      </c>
      <c r="AE249" s="27">
        <f>SUMIFS(Aut_BlueMe_Sem_Pedido!$J:$J,Aut_BlueMe_Sem_Pedido!$Q:$Q,DRE!AC$4,Aut_BlueMe_Sem_Pedido!$H:$H,DRE!$A249)+SUMIFS(Aut_Ajustes_Manuais!$G:$G,Aut_Ajustes_Manuais!$I:$I,DRE!AC$4,Aut_Ajustes_Manuais!$F:$F,"Sistemas Gerais - Financeiros")</f>
        <v>0</v>
      </c>
      <c r="AF249" s="237"/>
      <c r="AG249" s="26">
        <f>-SUMIFS(T_ORCAMENTOS!$E:$E,T_ORCAMENTOS!$C:$C,"Sistemas Gerais - Financeiros",T_ORCAMENTOS!$H:$H,"9/2026")</f>
        <v>-489</v>
      </c>
      <c r="AH249" s="27">
        <f>SUMIFS(Aut_BlueMe_Sem_Pedido!$J:$J,Aut_BlueMe_Sem_Pedido!$Q:$Q,DRE!AF$4,Aut_BlueMe_Sem_Pedido!$H:$H,DRE!$A249)+SUMIFS(Aut_Ajustes_Manuais!$G:$G,Aut_Ajustes_Manuais!$I:$I,DRE!AF$4,Aut_Ajustes_Manuais!$F:$F,"Sistemas Gerais - Financeiros")</f>
        <v>0</v>
      </c>
      <c r="AI249" s="237"/>
      <c r="AJ249" s="26">
        <f>-SUMIFS(T_ORCAMENTOS!$E:$E,T_ORCAMENTOS!$C:$C,"Sistemas Gerais - Financeiros",T_ORCAMENTOS!$H:$H,"10/2026")</f>
        <v>-489</v>
      </c>
      <c r="AK249" s="27">
        <f>SUMIFS(Aut_BlueMe_Sem_Pedido!$J:$J,Aut_BlueMe_Sem_Pedido!$Q:$Q,DRE!AI$4,Aut_BlueMe_Sem_Pedido!$H:$H,DRE!$A249)+SUMIFS(Aut_Ajustes_Manuais!$G:$G,Aut_Ajustes_Manuais!$I:$I,DRE!AI$4,Aut_Ajustes_Manuais!$F:$F,"Sistemas Gerais - Financeiros")</f>
        <v>0</v>
      </c>
      <c r="AL249" s="237"/>
      <c r="AM249" s="26">
        <f>-SUMIFS(T_ORCAMENTOS!$E:$E,T_ORCAMENTOS!$C:$C,"Sistemas Gerais - Financeiros",T_ORCAMENTOS!$H:$H,"11/2026")</f>
        <v>-489</v>
      </c>
      <c r="AN249" s="27">
        <f>SUMIFS(Aut_BlueMe_Sem_Pedido!$J:$J,Aut_BlueMe_Sem_Pedido!$Q:$Q,DRE!AL$4,Aut_BlueMe_Sem_Pedido!$H:$H,DRE!$A249)+SUMIFS(Aut_Ajustes_Manuais!$G:$G,Aut_Ajustes_Manuais!$I:$I,DRE!AL$4,Aut_Ajustes_Manuais!$F:$F,"Sistemas Gerais - Financeiros")</f>
        <v>0</v>
      </c>
      <c r="AO249" s="237"/>
      <c r="AP249" s="26">
        <f>-SUMIFS(T_ORCAMENTOS!$E:$E,T_ORCAMENTOS!$C:$C,"Sistemas Gerais - Financeiros",T_ORCAMENTOS!$H:$H,"12/2026")</f>
        <v>-489</v>
      </c>
      <c r="AQ249" s="27">
        <f>SUMIFS(Aut_BlueMe_Sem_Pedido!$J:$J,Aut_BlueMe_Sem_Pedido!$Q:$Q,DRE!AO$4,Aut_BlueMe_Sem_Pedido!$H:$H,DRE!$A249)+SUMIFS(Aut_Ajustes_Manuais!$G:$G,Aut_Ajustes_Manuais!$I:$I,DRE!AO$4,Aut_Ajustes_Manuais!$F:$F,"Sistemas Gerais - Financeiros")</f>
        <v>0</v>
      </c>
      <c r="AR249" s="237">
        <f t="shared" ca="1" si="215"/>
        <v>0</v>
      </c>
      <c r="AS249" s="26">
        <f t="shared" ca="1" si="216"/>
        <v>-489</v>
      </c>
      <c r="AT249" s="27">
        <f t="shared" ca="1" si="217"/>
        <v>0</v>
      </c>
      <c r="AU249" s="237">
        <f t="shared" si="218"/>
        <v>0</v>
      </c>
      <c r="AV249" s="26">
        <f t="shared" si="218"/>
        <v>-2445</v>
      </c>
      <c r="AW249" s="27">
        <f t="shared" si="218"/>
        <v>0</v>
      </c>
      <c r="AX249" s="237">
        <f t="shared" si="219"/>
        <v>0</v>
      </c>
      <c r="AY249" s="26">
        <f t="shared" si="219"/>
        <v>0</v>
      </c>
      <c r="AZ249" s="27">
        <f t="shared" si="219"/>
        <v>0</v>
      </c>
      <c r="BA249" s="237">
        <f t="shared" si="220"/>
        <v>0</v>
      </c>
      <c r="BB249" s="26">
        <f t="shared" si="220"/>
        <v>0</v>
      </c>
      <c r="BC249" s="27">
        <f t="shared" si="220"/>
        <v>0</v>
      </c>
      <c r="BD249" s="237">
        <f t="shared" si="221"/>
        <v>0</v>
      </c>
      <c r="BE249" s="26">
        <f t="shared" si="221"/>
        <v>-978</v>
      </c>
      <c r="BF249" s="27">
        <f t="shared" si="221"/>
        <v>0</v>
      </c>
      <c r="BG249" s="237">
        <f t="shared" si="222"/>
        <v>0</v>
      </c>
      <c r="BH249" s="26">
        <f t="shared" si="222"/>
        <v>-1467</v>
      </c>
      <c r="BI249" s="27">
        <f t="shared" si="222"/>
        <v>0</v>
      </c>
      <c r="BJ249" s="454"/>
    </row>
    <row r="250" spans="1:62" s="28" customFormat="1" ht="25.2" hidden="1" customHeight="1" outlineLevel="1" x14ac:dyDescent="0.3">
      <c r="A250" s="21" t="s">
        <v>285</v>
      </c>
      <c r="B250" s="22"/>
      <c r="C250" s="23" t="s">
        <v>67</v>
      </c>
      <c r="D250" s="24"/>
      <c r="E250" s="116"/>
      <c r="F250" s="113"/>
      <c r="G250" s="32"/>
      <c r="H250" s="237"/>
      <c r="I250" s="26">
        <f>-SUMIFS(T_ORCAMENTOS!$E:$E,T_ORCAMENTOS!$C:$C,"Sistemas Gerais - Comunicação e Marketing",T_ORCAMENTOS!$H:$H,"1/2026")</f>
        <v>0</v>
      </c>
      <c r="J250" s="27">
        <f>SUMIFS(Aut_BlueMe_Sem_Pedido!$J:$J,Aut_BlueMe_Sem_Pedido!$Q:$Q,DRE!H$4,Aut_BlueMe_Sem_Pedido!$H:$H,DRE!$A250)+SUMIFS(Aut_Ajustes_Manuais!$G:$G,Aut_Ajustes_Manuais!$I:$I,DRE!H$4,Aut_Ajustes_Manuais!$F:$F,"Sistemas Gerais - Comunicação e Marketing")</f>
        <v>0</v>
      </c>
      <c r="K250" s="237"/>
      <c r="L250" s="26">
        <f>-SUMIFS(T_ORCAMENTOS!$E:$E,T_ORCAMENTOS!$C:$C,"Sistemas Gerais - Comunicação e Marketing",T_ORCAMENTOS!$H:$H,"2/2026")</f>
        <v>0</v>
      </c>
      <c r="M250" s="27">
        <f>SUMIFS(Aut_BlueMe_Sem_Pedido!$J:$J,Aut_BlueMe_Sem_Pedido!$Q:$Q,DRE!K$4,Aut_BlueMe_Sem_Pedido!$H:$H,DRE!$A250)+SUMIFS(Aut_Ajustes_Manuais!$G:$G,Aut_Ajustes_Manuais!$I:$I,DRE!K$4,Aut_Ajustes_Manuais!$F:$F,"Sistemas Gerais - Comunicação e Marketing")</f>
        <v>0</v>
      </c>
      <c r="N250" s="237"/>
      <c r="O250" s="26">
        <f>-SUMIFS(T_ORCAMENTOS!$E:$E,T_ORCAMENTOS!$C:$C,"Sistemas Gerais - Comunicação e Marketing",T_ORCAMENTOS!$H:$H,"3/2026")</f>
        <v>0</v>
      </c>
      <c r="P250" s="27">
        <f>SUMIFS(Aut_BlueMe_Sem_Pedido!$J:$J,Aut_BlueMe_Sem_Pedido!$Q:$Q,DRE!N$4,Aut_BlueMe_Sem_Pedido!$H:$H,DRE!$A250)+SUMIFS(Aut_Ajustes_Manuais!$G:$G,Aut_Ajustes_Manuais!$I:$I,DRE!N$4,Aut_Ajustes_Manuais!$F:$F,"Sistemas Gerais - Comunicação e Marketing")</f>
        <v>0</v>
      </c>
      <c r="Q250" s="237"/>
      <c r="R250" s="26">
        <f>-SUMIFS(T_ORCAMENTOS!$E:$E,T_ORCAMENTOS!$C:$C,"Sistemas Gerais - Comunicação e Marketing",T_ORCAMENTOS!$H:$H,"4/2026")</f>
        <v>0</v>
      </c>
      <c r="S250" s="27">
        <f>SUMIFS(Aut_BlueMe_Sem_Pedido!$J:$J,Aut_BlueMe_Sem_Pedido!$Q:$Q,DRE!Q$4,Aut_BlueMe_Sem_Pedido!$H:$H,DRE!$A250)+SUMIFS(Aut_Ajustes_Manuais!$G:$G,Aut_Ajustes_Manuais!$I:$I,DRE!Q$4,Aut_Ajustes_Manuais!$F:$F,"Sistemas Gerais - Comunicação e Marketing")</f>
        <v>0</v>
      </c>
      <c r="T250" s="237"/>
      <c r="U250" s="26">
        <f>-SUMIFS(T_ORCAMENTOS!$E:$E,T_ORCAMENTOS!$C:$C,"Sistemas Gerais - Comunicação e Marketing",T_ORCAMENTOS!$H:$H,"5/2026")</f>
        <v>0</v>
      </c>
      <c r="V250" s="27">
        <f>SUMIFS(Aut_BlueMe_Sem_Pedido!$J:$J,Aut_BlueMe_Sem_Pedido!$Q:$Q,DRE!T$4,Aut_BlueMe_Sem_Pedido!$H:$H,DRE!$A250)+SUMIFS(Aut_Ajustes_Manuais!$G:$G,Aut_Ajustes_Manuais!$I:$I,DRE!T$4,Aut_Ajustes_Manuais!$F:$F,"Sistemas Gerais - Comunicação e Marketing")</f>
        <v>0</v>
      </c>
      <c r="W250" s="237"/>
      <c r="X250" s="26">
        <f>-SUMIFS(T_ORCAMENTOS!$E:$E,T_ORCAMENTOS!$C:$C,"Sistemas Gerais - Comunicação e Marketing",T_ORCAMENTOS!$H:$H,"6/2026")</f>
        <v>0</v>
      </c>
      <c r="Y250" s="27">
        <f>SUMIFS(Aut_BlueMe_Sem_Pedido!$J:$J,Aut_BlueMe_Sem_Pedido!$Q:$Q,DRE!W$4,Aut_BlueMe_Sem_Pedido!$H:$H,DRE!$A250)+SUMIFS(Aut_Ajustes_Manuais!$G:$G,Aut_Ajustes_Manuais!$I:$I,DRE!W$4,Aut_Ajustes_Manuais!$F:$F,"Sistemas Gerais - Comunicação e Marketing")</f>
        <v>-349</v>
      </c>
      <c r="Z250" s="237"/>
      <c r="AA250" s="26">
        <f>-SUMIFS(T_ORCAMENTOS!$E:$E,T_ORCAMENTOS!$C:$C,"Sistemas Gerais - Comunicação e Marketing",T_ORCAMENTOS!$H:$H,"7/2026")</f>
        <v>0</v>
      </c>
      <c r="AB250" s="27">
        <f>SUMIFS(Aut_BlueMe_Sem_Pedido!$J:$J,Aut_BlueMe_Sem_Pedido!$Q:$Q,DRE!Z$4,Aut_BlueMe_Sem_Pedido!$H:$H,DRE!$A250)+SUMIFS(Aut_Ajustes_Manuais!$G:$G,Aut_Ajustes_Manuais!$I:$I,DRE!Z$4,Aut_Ajustes_Manuais!$F:$F,"Sistemas Gerais - Comunicação e Marketing")</f>
        <v>0</v>
      </c>
      <c r="AC250" s="237"/>
      <c r="AD250" s="26">
        <f>-SUMIFS(T_ORCAMENTOS!$E:$E,T_ORCAMENTOS!$C:$C,"Sistemas Gerais - Comunicação e Marketing",T_ORCAMENTOS!$H:$H,"8/2026")</f>
        <v>-969</v>
      </c>
      <c r="AE250" s="27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0</v>
      </c>
      <c r="AF250" s="237"/>
      <c r="AG250" s="26">
        <f>-SUMIFS(T_ORCAMENTOS!$E:$E,T_ORCAMENTOS!$C:$C,"Sistemas Gerais - Comunicação e Marketing",T_ORCAMENTOS!$H:$H,"9/2026")</f>
        <v>-969</v>
      </c>
      <c r="AH250" s="27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0</v>
      </c>
      <c r="AI250" s="237"/>
      <c r="AJ250" s="26">
        <f>-SUMIFS(T_ORCAMENTOS!$E:$E,T_ORCAMENTOS!$C:$C,"Sistemas Gerais - Comunicação e Marketing",T_ORCAMENTOS!$H:$H,"10/2026")</f>
        <v>-969</v>
      </c>
      <c r="AK250" s="27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0</v>
      </c>
      <c r="AL250" s="237"/>
      <c r="AM250" s="26">
        <f>-SUMIFS(T_ORCAMENTOS!$E:$E,T_ORCAMENTOS!$C:$C,"Sistemas Gerais - Comunicação e Marketing",T_ORCAMENTOS!$H:$H,"11/2026")</f>
        <v>-969</v>
      </c>
      <c r="AN250" s="27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0</v>
      </c>
      <c r="AO250" s="237"/>
      <c r="AP250" s="26">
        <f>-SUMIFS(T_ORCAMENTOS!$E:$E,T_ORCAMENTOS!$C:$C,"Sistemas Gerais - Comunicação e Marketing",T_ORCAMENTOS!$H:$H,"12/2026")</f>
        <v>-969</v>
      </c>
      <c r="AQ250" s="27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0</v>
      </c>
      <c r="AR250" s="237">
        <f t="shared" ca="1" si="215"/>
        <v>0</v>
      </c>
      <c r="AS250" s="26">
        <f t="shared" ca="1" si="216"/>
        <v>-969</v>
      </c>
      <c r="AT250" s="27">
        <f t="shared" ca="1" si="217"/>
        <v>-349</v>
      </c>
      <c r="AU250" s="237">
        <f t="shared" si="218"/>
        <v>0</v>
      </c>
      <c r="AV250" s="26">
        <f t="shared" si="218"/>
        <v>-4845</v>
      </c>
      <c r="AW250" s="27">
        <f t="shared" si="218"/>
        <v>-349</v>
      </c>
      <c r="AX250" s="237">
        <f t="shared" si="219"/>
        <v>0</v>
      </c>
      <c r="AY250" s="26">
        <f t="shared" si="219"/>
        <v>0</v>
      </c>
      <c r="AZ250" s="27">
        <f t="shared" si="219"/>
        <v>0</v>
      </c>
      <c r="BA250" s="237">
        <f t="shared" si="220"/>
        <v>0</v>
      </c>
      <c r="BB250" s="26">
        <f t="shared" si="220"/>
        <v>0</v>
      </c>
      <c r="BC250" s="27">
        <f t="shared" si="220"/>
        <v>-349</v>
      </c>
      <c r="BD250" s="237">
        <f t="shared" si="221"/>
        <v>0</v>
      </c>
      <c r="BE250" s="26">
        <f t="shared" si="221"/>
        <v>-1938</v>
      </c>
      <c r="BF250" s="27">
        <f t="shared" si="221"/>
        <v>0</v>
      </c>
      <c r="BG250" s="237">
        <f t="shared" si="222"/>
        <v>0</v>
      </c>
      <c r="BH250" s="26">
        <f t="shared" si="222"/>
        <v>-2907</v>
      </c>
      <c r="BI250" s="27">
        <f t="shared" si="222"/>
        <v>0</v>
      </c>
      <c r="BJ250" s="454"/>
    </row>
    <row r="251" spans="1:62" s="28" customFormat="1" hidden="1" outlineLevel="1" x14ac:dyDescent="0.3">
      <c r="A251" s="21"/>
      <c r="B251" s="22"/>
      <c r="C251" s="23"/>
      <c r="D251" s="112"/>
      <c r="E251" s="114"/>
      <c r="F251" s="113"/>
      <c r="G251" s="32"/>
      <c r="H251" s="250"/>
      <c r="I251" s="79"/>
      <c r="J251" s="80"/>
      <c r="K251" s="250"/>
      <c r="L251" s="79"/>
      <c r="M251" s="80"/>
      <c r="N251" s="250"/>
      <c r="O251" s="79"/>
      <c r="P251" s="80"/>
      <c r="Q251" s="250"/>
      <c r="R251" s="79"/>
      <c r="S251" s="80"/>
      <c r="T251" s="250"/>
      <c r="U251" s="79"/>
      <c r="V251" s="80"/>
      <c r="W251" s="250"/>
      <c r="X251" s="79"/>
      <c r="Y251" s="80"/>
      <c r="Z251" s="250"/>
      <c r="AA251" s="79"/>
      <c r="AB251" s="80"/>
      <c r="AC251" s="250"/>
      <c r="AD251" s="79"/>
      <c r="AE251" s="80"/>
      <c r="AF251" s="250"/>
      <c r="AG251" s="79"/>
      <c r="AH251" s="80"/>
      <c r="AI251" s="250"/>
      <c r="AJ251" s="79"/>
      <c r="AK251" s="80"/>
      <c r="AL251" s="250"/>
      <c r="AM251" s="79"/>
      <c r="AN251" s="80"/>
      <c r="AO251" s="250"/>
      <c r="AP251" s="79"/>
      <c r="AQ251" s="80"/>
      <c r="AR251" s="237">
        <f t="shared" ca="1" si="215"/>
        <v>0</v>
      </c>
      <c r="AS251" s="26">
        <f t="shared" ca="1" si="216"/>
        <v>0</v>
      </c>
      <c r="AT251" s="80">
        <f t="shared" ca="1" si="217"/>
        <v>0</v>
      </c>
      <c r="AU251" s="250"/>
      <c r="AV251" s="79"/>
      <c r="AW251" s="80"/>
      <c r="AX251" s="250"/>
      <c r="AY251" s="79">
        <v>0</v>
      </c>
      <c r="AZ251" s="80"/>
      <c r="BA251" s="250"/>
      <c r="BB251" s="79">
        <v>0</v>
      </c>
      <c r="BC251" s="80"/>
      <c r="BD251" s="250"/>
      <c r="BE251" s="79">
        <v>0</v>
      </c>
      <c r="BF251" s="80"/>
      <c r="BG251" s="250"/>
      <c r="BH251" s="79">
        <v>0</v>
      </c>
      <c r="BI251" s="80"/>
      <c r="BJ251" s="454"/>
    </row>
    <row r="252" spans="1:62" s="28" customFormat="1" hidden="1" outlineLevel="1" x14ac:dyDescent="0.3">
      <c r="A252" s="21"/>
      <c r="B252" s="22"/>
      <c r="C252" s="23"/>
      <c r="D252" s="112"/>
      <c r="E252" s="116"/>
      <c r="F252" s="113"/>
      <c r="G252" s="32"/>
      <c r="H252" s="250"/>
      <c r="I252" s="79"/>
      <c r="J252" s="80"/>
      <c r="K252" s="250"/>
      <c r="L252" s="79"/>
      <c r="M252" s="80"/>
      <c r="N252" s="250"/>
      <c r="O252" s="79"/>
      <c r="P252" s="80"/>
      <c r="Q252" s="250"/>
      <c r="R252" s="79"/>
      <c r="S252" s="80"/>
      <c r="T252" s="250"/>
      <c r="U252" s="79"/>
      <c r="V252" s="80"/>
      <c r="W252" s="250"/>
      <c r="X252" s="79"/>
      <c r="Y252" s="80"/>
      <c r="Z252" s="250"/>
      <c r="AA252" s="79"/>
      <c r="AB252" s="80"/>
      <c r="AC252" s="250"/>
      <c r="AD252" s="79"/>
      <c r="AE252" s="80"/>
      <c r="AF252" s="250"/>
      <c r="AG252" s="79"/>
      <c r="AH252" s="80"/>
      <c r="AI252" s="250"/>
      <c r="AJ252" s="79"/>
      <c r="AK252" s="80"/>
      <c r="AL252" s="250"/>
      <c r="AM252" s="79"/>
      <c r="AN252" s="80"/>
      <c r="AO252" s="250"/>
      <c r="AP252" s="79"/>
      <c r="AQ252" s="80"/>
      <c r="AR252" s="237">
        <f t="shared" ca="1" si="215"/>
        <v>0</v>
      </c>
      <c r="AS252" s="26">
        <f t="shared" ca="1" si="216"/>
        <v>0</v>
      </c>
      <c r="AT252" s="80">
        <f t="shared" ca="1" si="217"/>
        <v>0</v>
      </c>
      <c r="AU252" s="250"/>
      <c r="AV252" s="79"/>
      <c r="AW252" s="80"/>
      <c r="AX252" s="250"/>
      <c r="AY252" s="79">
        <v>0</v>
      </c>
      <c r="AZ252" s="80"/>
      <c r="BA252" s="250"/>
      <c r="BB252" s="79">
        <v>0</v>
      </c>
      <c r="BC252" s="80"/>
      <c r="BD252" s="250"/>
      <c r="BE252" s="79">
        <v>0</v>
      </c>
      <c r="BF252" s="80"/>
      <c r="BG252" s="250"/>
      <c r="BH252" s="79">
        <v>0</v>
      </c>
      <c r="BI252" s="80"/>
      <c r="BJ252" s="454"/>
    </row>
    <row r="253" spans="1:62" collapsed="1" x14ac:dyDescent="0.3">
      <c r="A253" s="69" t="s">
        <v>44</v>
      </c>
      <c r="C253" s="23"/>
      <c r="D253" s="112"/>
      <c r="E253" s="116"/>
      <c r="F253" s="16"/>
      <c r="G253" s="45"/>
      <c r="H253" s="241"/>
      <c r="I253" s="48">
        <f>IFERROR(I243/I8,0)</f>
        <v>0</v>
      </c>
      <c r="J253" s="49">
        <f>IFERROR(J243/J8,0)+SUMIFS(Aut_Ajustes_Manuais!$G:$G,Aut_Ajustes_Manuais!$I:$I,DRE!H$4,Aut_Ajustes_Manuais!$F:$F,"% sobre Receita Bruta")</f>
        <v>0</v>
      </c>
      <c r="K253" s="241"/>
      <c r="L253" s="48">
        <f>IFERROR(L243/L8,0)</f>
        <v>0</v>
      </c>
      <c r="M253" s="49">
        <f>IFERROR(M243/M8,0)+SUMIFS(Aut_Ajustes_Manuais!$G:$G,Aut_Ajustes_Manuais!$I:$I,DRE!K$4,Aut_Ajustes_Manuais!$F:$F,"% sobre Receita Bruta")</f>
        <v>0</v>
      </c>
      <c r="N253" s="241"/>
      <c r="O253" s="48">
        <f>IFERROR(O243/O8,0)</f>
        <v>0</v>
      </c>
      <c r="P253" s="49">
        <f>IFERROR(P243/P8,0)+SUMIFS(Aut_Ajustes_Manuais!$G:$G,Aut_Ajustes_Manuais!$I:$I,DRE!N$4,Aut_Ajustes_Manuais!$F:$F,"% sobre Receita Bruta")</f>
        <v>0</v>
      </c>
      <c r="Q253" s="241"/>
      <c r="R253" s="48">
        <f>IFERROR(R243/R8,0)</f>
        <v>0</v>
      </c>
      <c r="S253" s="49">
        <f>IFERROR(S243/S8,0)+SUMIFS(Aut_Ajustes_Manuais!$G:$G,Aut_Ajustes_Manuais!$I:$I,DRE!Q$4,Aut_Ajustes_Manuais!$F:$F,"% sobre Receita Bruta")</f>
        <v>0</v>
      </c>
      <c r="T253" s="241"/>
      <c r="U253" s="48">
        <f>IFERROR(U243/U8,0)</f>
        <v>0</v>
      </c>
      <c r="V253" s="49">
        <f>IFERROR(V243/V8,0)+SUMIFS(Aut_Ajustes_Manuais!$G:$G,Aut_Ajustes_Manuais!$I:$I,DRE!T$4,Aut_Ajustes_Manuais!$F:$F,"% sobre Receita Bruta")</f>
        <v>0</v>
      </c>
      <c r="W253" s="241"/>
      <c r="X253" s="48">
        <f>IFERROR(X243/X8,0)</f>
        <v>0</v>
      </c>
      <c r="Y253" s="49">
        <f>IFERROR(Y243/Y8,0)+SUMIFS(Aut_Ajustes_Manuais!$G:$G,Aut_Ajustes_Manuais!$I:$I,DRE!W$4,Aut_Ajustes_Manuais!$F:$F,"% sobre Receita Bruta")</f>
        <v>0</v>
      </c>
      <c r="Z253" s="241"/>
      <c r="AA253" s="48">
        <f>IFERROR(AA243/AA8,0)</f>
        <v>0</v>
      </c>
      <c r="AB253" s="49">
        <f>IFERROR(AB243/AB8,0)+SUMIFS(Aut_Ajustes_Manuais!$G:$G,Aut_Ajustes_Manuais!$I:$I,DRE!Z$4,Aut_Ajustes_Manuais!$F:$F,"% sobre Receita Bruta")</f>
        <v>-6.647137312134027E-3</v>
      </c>
      <c r="AC253" s="241"/>
      <c r="AD253" s="48">
        <f>IFERROR(AD243/AD8,0)</f>
        <v>-1.6836415252593656E-3</v>
      </c>
      <c r="AE253" s="49">
        <f>IFERROR(AE243/AE8,0)+SUMIFS(Aut_Ajustes_Manuais!$G:$G,Aut_Ajustes_Manuais!$I:$I,DRE!AC$4,Aut_Ajustes_Manuais!$F:$F,"% sobre Receita Bruta")</f>
        <v>0</v>
      </c>
      <c r="AF253" s="241"/>
      <c r="AG253" s="48">
        <f>IFERROR(AG243/AG8,0)</f>
        <v>-1.7378073432735171E-3</v>
      </c>
      <c r="AH253" s="49">
        <f>IFERROR(AH243/AH8,0)+SUMIFS(Aut_Ajustes_Manuais!$G:$G,Aut_Ajustes_Manuais!$I:$I,DRE!AF$4,Aut_Ajustes_Manuais!$F:$F,"% sobre Receita Bruta")</f>
        <v>0</v>
      </c>
      <c r="AI253" s="241"/>
      <c r="AJ253" s="48">
        <f>IFERROR(AJ243/AJ8,0)</f>
        <v>-1.5833164336699101E-3</v>
      </c>
      <c r="AK253" s="49">
        <f>IFERROR(AK243/AK8,0)+SUMIFS(Aut_Ajustes_Manuais!$G:$G,Aut_Ajustes_Manuais!$I:$I,DRE!AI$4,Aut_Ajustes_Manuais!$F:$F,"% sobre Receita Bruta")</f>
        <v>0</v>
      </c>
      <c r="AL253" s="241"/>
      <c r="AM253" s="48">
        <f>IFERROR(AM243/AM8,0)</f>
        <v>-1.7187384841344715E-3</v>
      </c>
      <c r="AN253" s="49">
        <f>IFERROR(AN243/AN8,0)+SUMIFS(Aut_Ajustes_Manuais!$G:$G,Aut_Ajustes_Manuais!$I:$I,DRE!AL$4,Aut_Ajustes_Manuais!$F:$F,"% sobre Receita Bruta")</f>
        <v>0</v>
      </c>
      <c r="AO253" s="241"/>
      <c r="AP253" s="48">
        <f>IFERROR(AP243/AP8,0)</f>
        <v>-1.5775932925556262E-3</v>
      </c>
      <c r="AQ253" s="49">
        <f>IFERROR(AQ243/AQ8,0)+SUMIFS(Aut_Ajustes_Manuais!$G:$G,Aut_Ajustes_Manuais!$I:$I,DRE!AO$4,Aut_Ajustes_Manuais!$F:$F,"% sobre Receita Bruta")</f>
        <v>0</v>
      </c>
      <c r="AR253" s="241">
        <f t="shared" ref="AR253:BI253" ca="1" si="223">IFERROR(AR243/AR8,0)</f>
        <v>0</v>
      </c>
      <c r="AS253" s="48">
        <f t="shared" ca="1" si="223"/>
        <v>-1.6836415252593656E-3</v>
      </c>
      <c r="AT253" s="49">
        <f t="shared" ca="1" si="223"/>
        <v>-1.3213489415523123E-2</v>
      </c>
      <c r="AU253" s="241">
        <f t="shared" si="223"/>
        <v>0</v>
      </c>
      <c r="AV253" s="48">
        <f t="shared" si="223"/>
        <v>-1.6574550034945375E-3</v>
      </c>
      <c r="AW253" s="49">
        <f t="shared" si="223"/>
        <v>-2.7527031488207381E-2</v>
      </c>
      <c r="AX253" s="241">
        <f t="shared" si="223"/>
        <v>0</v>
      </c>
      <c r="AY253" s="48">
        <f t="shared" si="223"/>
        <v>0</v>
      </c>
      <c r="AZ253" s="49">
        <f t="shared" si="223"/>
        <v>0</v>
      </c>
      <c r="BA253" s="241">
        <f t="shared" si="223"/>
        <v>0</v>
      </c>
      <c r="BB253" s="48">
        <f t="shared" si="223"/>
        <v>0</v>
      </c>
      <c r="BC253" s="49">
        <f t="shared" si="223"/>
        <v>0</v>
      </c>
      <c r="BD253" s="241">
        <f t="shared" si="223"/>
        <v>0</v>
      </c>
      <c r="BE253" s="48">
        <f t="shared" si="223"/>
        <v>-1.7102956779187831E-3</v>
      </c>
      <c r="BF253" s="49">
        <f t="shared" si="223"/>
        <v>-1.3803908348476153E-2</v>
      </c>
      <c r="BG253" s="241">
        <f t="shared" si="223"/>
        <v>0</v>
      </c>
      <c r="BH253" s="48">
        <f t="shared" si="223"/>
        <v>-1.6240052196615129E-3</v>
      </c>
      <c r="BI253" s="49">
        <f t="shared" si="223"/>
        <v>0</v>
      </c>
    </row>
    <row r="254" spans="1:62" x14ac:dyDescent="0.3">
      <c r="A254" s="17"/>
      <c r="E254" s="15"/>
      <c r="F254" s="16"/>
      <c r="G254" s="45"/>
      <c r="H254" s="243"/>
      <c r="I254" s="16"/>
      <c r="J254" s="55"/>
      <c r="K254" s="243"/>
      <c r="L254" s="16"/>
      <c r="M254" s="55"/>
      <c r="N254" s="243"/>
      <c r="O254" s="16"/>
      <c r="P254" s="55"/>
      <c r="Q254" s="243"/>
      <c r="R254" s="16"/>
      <c r="S254" s="55"/>
      <c r="T254" s="243"/>
      <c r="U254" s="16"/>
      <c r="V254" s="55"/>
      <c r="W254" s="243"/>
      <c r="X254" s="16"/>
      <c r="Y254" s="55"/>
      <c r="Z254" s="243"/>
      <c r="AA254" s="16"/>
      <c r="AB254" s="55"/>
      <c r="AC254" s="243"/>
      <c r="AD254" s="16"/>
      <c r="AE254" s="55"/>
      <c r="AF254" s="243"/>
      <c r="AG254" s="16"/>
      <c r="AH254" s="55"/>
      <c r="AI254" s="243"/>
      <c r="AJ254" s="16"/>
      <c r="AK254" s="55"/>
      <c r="AL254" s="243"/>
      <c r="AM254" s="16"/>
      <c r="AN254" s="55"/>
      <c r="AO254" s="243"/>
      <c r="AP254" s="16"/>
      <c r="AQ254" s="55"/>
      <c r="AR254" s="243"/>
      <c r="AS254" s="16"/>
      <c r="AT254" s="55"/>
      <c r="AU254" s="243"/>
      <c r="AV254" s="16"/>
      <c r="AW254" s="55"/>
      <c r="AX254" s="243"/>
      <c r="AY254" s="16"/>
      <c r="AZ254" s="55"/>
      <c r="BA254" s="243"/>
      <c r="BB254" s="16"/>
      <c r="BC254" s="55"/>
      <c r="BD254" s="243"/>
      <c r="BE254" s="16"/>
      <c r="BF254" s="55"/>
      <c r="BG254" s="243"/>
      <c r="BH254" s="16"/>
      <c r="BI254" s="55"/>
    </row>
    <row r="255" spans="1:62" x14ac:dyDescent="0.3">
      <c r="A255" s="37" t="s">
        <v>286</v>
      </c>
      <c r="C255" s="38" t="s">
        <v>35</v>
      </c>
      <c r="D255" s="38" t="s">
        <v>36</v>
      </c>
      <c r="E255" s="38" t="s">
        <v>201</v>
      </c>
      <c r="F255" s="16"/>
      <c r="G255" s="45"/>
      <c r="H255" s="240"/>
      <c r="I255" s="40">
        <f>SUM(I256:I263)</f>
        <v>0</v>
      </c>
      <c r="J255" s="41">
        <f>SUM(J256:J263)+SUMIFS(Aut_Ajustes_Manuais!$G:$G,Aut_Ajustes_Manuais!$I:$I,DRE!H$4,Aut_Ajustes_Manuais!$F:$F,"Despesas Gerais")</f>
        <v>0</v>
      </c>
      <c r="K255" s="240"/>
      <c r="L255" s="40">
        <f>SUM(L256:L263)</f>
        <v>0</v>
      </c>
      <c r="M255" s="41">
        <f>SUM(M256:M263)+SUMIFS(Aut_Ajustes_Manuais!$G:$G,Aut_Ajustes_Manuais!$I:$I,DRE!K$4,Aut_Ajustes_Manuais!$F:$F,"Despesas Gerais")</f>
        <v>0</v>
      </c>
      <c r="N255" s="240"/>
      <c r="O255" s="40">
        <f>SUM(O256:O263)</f>
        <v>0</v>
      </c>
      <c r="P255" s="41">
        <f>SUM(P256:P263)+SUMIFS(Aut_Ajustes_Manuais!$G:$G,Aut_Ajustes_Manuais!$I:$I,DRE!N$4,Aut_Ajustes_Manuais!$F:$F,"Despesas Gerais")</f>
        <v>0</v>
      </c>
      <c r="Q255" s="240"/>
      <c r="R255" s="40">
        <f>SUM(R256:R263)</f>
        <v>0</v>
      </c>
      <c r="S255" s="41">
        <f>SUM(S256:S263)+SUMIFS(Aut_Ajustes_Manuais!$G:$G,Aut_Ajustes_Manuais!$I:$I,DRE!Q$4,Aut_Ajustes_Manuais!$F:$F,"Despesas Gerais")</f>
        <v>0</v>
      </c>
      <c r="T255" s="240"/>
      <c r="U255" s="40">
        <f>SUM(U256:U263)</f>
        <v>0</v>
      </c>
      <c r="V255" s="41">
        <f>SUM(V256:V263)+SUMIFS(Aut_Ajustes_Manuais!$G:$G,Aut_Ajustes_Manuais!$I:$I,DRE!T$4,Aut_Ajustes_Manuais!$F:$F,"Despesas Gerais")</f>
        <v>0</v>
      </c>
      <c r="W255" s="240"/>
      <c r="X255" s="40">
        <f>SUM(X256:X263)</f>
        <v>0</v>
      </c>
      <c r="Y255" s="41">
        <f>SUM(Y256:Y263)+SUMIFS(Aut_Ajustes_Manuais!$G:$G,Aut_Ajustes_Manuais!$I:$I,DRE!W$4,Aut_Ajustes_Manuais!$F:$F,"Despesas Gerais")</f>
        <v>-19864.53</v>
      </c>
      <c r="Z255" s="240"/>
      <c r="AA255" s="40">
        <f>SUM(AA256:AA263)</f>
        <v>0</v>
      </c>
      <c r="AB255" s="41">
        <f>SUM(AB256:AB263)+SUMIFS(Aut_Ajustes_Manuais!$G:$G,Aut_Ajustes_Manuais!$I:$I,DRE!Z$4,Aut_Ajustes_Manuais!$F:$F,"Despesas Gerais")</f>
        <v>-26343.54</v>
      </c>
      <c r="AC255" s="240"/>
      <c r="AD255" s="40">
        <f>SUM(AD256:AD263)</f>
        <v>-19557.91</v>
      </c>
      <c r="AE255" s="41">
        <f>SUM(AE256:AE263)+SUMIFS(Aut_Ajustes_Manuais!$G:$G,Aut_Ajustes_Manuais!$I:$I,DRE!AC$4,Aut_Ajustes_Manuais!$F:$F,"Despesas Gerais")</f>
        <v>0</v>
      </c>
      <c r="AF255" s="240"/>
      <c r="AG255" s="40">
        <f>SUM(AG256:AG263)</f>
        <v>-19528.060000000001</v>
      </c>
      <c r="AH255" s="41">
        <f>SUM(AH256:AH263)+SUMIFS(Aut_Ajustes_Manuais!$G:$G,Aut_Ajustes_Manuais!$I:$I,DRE!AF$4,Aut_Ajustes_Manuais!$F:$F,"Despesas Gerais")</f>
        <v>0</v>
      </c>
      <c r="AI255" s="240"/>
      <c r="AJ255" s="40">
        <f>SUM(AJ256:AJ263)</f>
        <v>-19618.61</v>
      </c>
      <c r="AK255" s="41">
        <f>SUM(AK256:AK263)+SUMIFS(Aut_Ajustes_Manuais!$G:$G,Aut_Ajustes_Manuais!$I:$I,DRE!AI$4,Aut_Ajustes_Manuais!$F:$F,"Despesas Gerais")</f>
        <v>0</v>
      </c>
      <c r="AL255" s="240"/>
      <c r="AM255" s="40">
        <f>SUM(AM256:AM263)</f>
        <v>-19538.349999999999</v>
      </c>
      <c r="AN255" s="41">
        <f>SUM(AN256:AN263)+SUMIFS(Aut_Ajustes_Manuais!$G:$G,Aut_Ajustes_Manuais!$I:$I,DRE!AL$4,Aut_Ajustes_Manuais!$F:$F,"Despesas Gerais")</f>
        <v>0</v>
      </c>
      <c r="AO255" s="240"/>
      <c r="AP255" s="40">
        <f>SUM(AP256:AP263)</f>
        <v>-19622.310000000001</v>
      </c>
      <c r="AQ255" s="41">
        <f>SUM(AQ256:AQ263)+SUMIFS(Aut_Ajustes_Manuais!$G:$G,Aut_Ajustes_Manuais!$I:$I,DRE!AO$4,Aut_Ajustes_Manuais!$F:$F,"Despesas Gerais")</f>
        <v>0</v>
      </c>
      <c r="AR255" s="240">
        <f t="shared" ref="AR255:BI255" ca="1" si="224">SUM(AR256:AR263)</f>
        <v>0</v>
      </c>
      <c r="AS255" s="40">
        <f t="shared" ca="1" si="224"/>
        <v>-19557.91</v>
      </c>
      <c r="AT255" s="41">
        <f t="shared" ca="1" si="224"/>
        <v>-46208.069999999992</v>
      </c>
      <c r="AU255" s="240">
        <f t="shared" si="224"/>
        <v>0</v>
      </c>
      <c r="AV255" s="40">
        <f t="shared" si="224"/>
        <v>-97865.24</v>
      </c>
      <c r="AW255" s="41">
        <f t="shared" si="224"/>
        <v>-46208.069999999992</v>
      </c>
      <c r="AX255" s="240">
        <f t="shared" si="224"/>
        <v>0</v>
      </c>
      <c r="AY255" s="40">
        <f t="shared" si="224"/>
        <v>0</v>
      </c>
      <c r="AZ255" s="41">
        <f t="shared" si="224"/>
        <v>0</v>
      </c>
      <c r="BA255" s="240">
        <f t="shared" si="224"/>
        <v>0</v>
      </c>
      <c r="BB255" s="40">
        <f t="shared" si="224"/>
        <v>0</v>
      </c>
      <c r="BC255" s="41">
        <f t="shared" si="224"/>
        <v>-19864.53</v>
      </c>
      <c r="BD255" s="240">
        <f t="shared" si="224"/>
        <v>0</v>
      </c>
      <c r="BE255" s="40">
        <f t="shared" si="224"/>
        <v>-39085.97</v>
      </c>
      <c r="BF255" s="41">
        <f t="shared" si="224"/>
        <v>-26343.54</v>
      </c>
      <c r="BG255" s="240">
        <f t="shared" si="224"/>
        <v>0</v>
      </c>
      <c r="BH255" s="40">
        <f t="shared" si="224"/>
        <v>-58779.270000000004</v>
      </c>
      <c r="BI255" s="41">
        <f t="shared" si="224"/>
        <v>0</v>
      </c>
    </row>
    <row r="256" spans="1:62" s="28" customFormat="1" hidden="1" outlineLevel="1" x14ac:dyDescent="0.3">
      <c r="A256" s="21" t="s">
        <v>287</v>
      </c>
      <c r="B256" s="22"/>
      <c r="C256" s="23" t="s">
        <v>60</v>
      </c>
      <c r="D256" s="117">
        <v>-7300</v>
      </c>
      <c r="E256" s="110"/>
      <c r="F256" s="54"/>
      <c r="G256" s="32"/>
      <c r="H256" s="237"/>
      <c r="I256" s="26">
        <f>-SUMIFS(T_ORCAMENTOS!$E:$E,T_ORCAMENTOS!$C:$C,"Manutenção Predial",T_ORCAMENTOS!$H:$H,"1/2026")</f>
        <v>0</v>
      </c>
      <c r="J256" s="27">
        <f>SUMIFS(Aut_BlueMe_Sem_Pedido!$J:$J,Aut_BlueMe_Sem_Pedido!$Q:$Q,DRE!H$4,Aut_BlueMe_Sem_Pedido!$H:$H,DRE!$A256)+SUMIFS(Aut_Ajustes_Manuais!$G:$G,Aut_Ajustes_Manuais!$I:$I,DRE!H$4,Aut_Ajustes_Manuais!$F:$F,"Manutenção Predial")</f>
        <v>0</v>
      </c>
      <c r="K256" s="237"/>
      <c r="L256" s="26">
        <f>-SUMIFS(T_ORCAMENTOS!$E:$E,T_ORCAMENTOS!$C:$C,"Manutenção Predial",T_ORCAMENTOS!$H:$H,"2/2026")</f>
        <v>0</v>
      </c>
      <c r="M256" s="27">
        <f>SUMIFS(Aut_BlueMe_Sem_Pedido!$J:$J,Aut_BlueMe_Sem_Pedido!$Q:$Q,DRE!K$4,Aut_BlueMe_Sem_Pedido!$H:$H,DRE!$A256)+SUMIFS(Aut_Ajustes_Manuais!$G:$G,Aut_Ajustes_Manuais!$I:$I,DRE!K$4,Aut_Ajustes_Manuais!$F:$F,"Manutenção Predial")</f>
        <v>0</v>
      </c>
      <c r="N256" s="237"/>
      <c r="O256" s="26">
        <f>-SUMIFS(T_ORCAMENTOS!$E:$E,T_ORCAMENTOS!$C:$C,"Manutenção Predial",T_ORCAMENTOS!$H:$H,"3/2026")</f>
        <v>0</v>
      </c>
      <c r="P256" s="27">
        <f>SUMIFS(Aut_BlueMe_Sem_Pedido!$J:$J,Aut_BlueMe_Sem_Pedido!$Q:$Q,DRE!N$4,Aut_BlueMe_Sem_Pedido!$H:$H,DRE!$A256)+SUMIFS(Aut_Ajustes_Manuais!$G:$G,Aut_Ajustes_Manuais!$I:$I,DRE!N$4,Aut_Ajustes_Manuais!$F:$F,"Manutenção Predial")</f>
        <v>0</v>
      </c>
      <c r="Q256" s="237"/>
      <c r="R256" s="26">
        <f>-SUMIFS(T_ORCAMENTOS!$E:$E,T_ORCAMENTOS!$C:$C,"Manutenção Predial",T_ORCAMENTOS!$H:$H,"4/2026")</f>
        <v>0</v>
      </c>
      <c r="S256" s="27">
        <f>SUMIFS(Aut_BlueMe_Sem_Pedido!$J:$J,Aut_BlueMe_Sem_Pedido!$Q:$Q,DRE!Q$4,Aut_BlueMe_Sem_Pedido!$H:$H,DRE!$A256)+SUMIFS(Aut_Ajustes_Manuais!$G:$G,Aut_Ajustes_Manuais!$I:$I,DRE!Q$4,Aut_Ajustes_Manuais!$F:$F,"Manutenção Predial")</f>
        <v>0</v>
      </c>
      <c r="T256" s="237"/>
      <c r="U256" s="26">
        <f>-SUMIFS(T_ORCAMENTOS!$E:$E,T_ORCAMENTOS!$C:$C,"Manutenção Predial",T_ORCAMENTOS!$H:$H,"5/2026")</f>
        <v>0</v>
      </c>
      <c r="V256" s="27">
        <f>SUMIFS(Aut_BlueMe_Sem_Pedido!$J:$J,Aut_BlueMe_Sem_Pedido!$Q:$Q,DRE!T$4,Aut_BlueMe_Sem_Pedido!$H:$H,DRE!$A256)+SUMIFS(Aut_Ajustes_Manuais!$G:$G,Aut_Ajustes_Manuais!$I:$I,DRE!T$4,Aut_Ajustes_Manuais!$F:$F,"Manutenção Predial")</f>
        <v>0</v>
      </c>
      <c r="W256" s="237"/>
      <c r="X256" s="26">
        <f>-SUMIFS(T_ORCAMENTOS!$E:$E,T_ORCAMENTOS!$C:$C,"Manutenção Predial",T_ORCAMENTOS!$H:$H,"6/2026")</f>
        <v>0</v>
      </c>
      <c r="Y256" s="27">
        <f>SUMIFS(Aut_BlueMe_Sem_Pedido!$J:$J,Aut_BlueMe_Sem_Pedido!$Q:$Q,DRE!W$4,Aut_BlueMe_Sem_Pedido!$H:$H,DRE!$A256)+SUMIFS(Aut_Ajustes_Manuais!$G:$G,Aut_Ajustes_Manuais!$I:$I,DRE!W$4,Aut_Ajustes_Manuais!$F:$F,"Manutenção Predial")</f>
        <v>0</v>
      </c>
      <c r="Z256" s="237"/>
      <c r="AA256" s="26">
        <f>-SUMIFS(T_ORCAMENTOS!$E:$E,T_ORCAMENTOS!$C:$C,"Manutenção Predial",T_ORCAMENTOS!$H:$H,"7/2026")</f>
        <v>0</v>
      </c>
      <c r="AB256" s="27">
        <f>SUMIFS(Aut_BlueMe_Sem_Pedido!$J:$J,Aut_BlueMe_Sem_Pedido!$Q:$Q,DRE!Z$4,Aut_BlueMe_Sem_Pedido!$H:$H,DRE!$A256)+SUMIFS(Aut_Ajustes_Manuais!$G:$G,Aut_Ajustes_Manuais!$I:$I,DRE!Z$4,Aut_Ajustes_Manuais!$F:$F,"Manutenção Predial")</f>
        <v>0</v>
      </c>
      <c r="AC256" s="237"/>
      <c r="AD256" s="26">
        <f>-SUMIFS(T_ORCAMENTOS!$E:$E,T_ORCAMENTOS!$C:$C,"Manutenção Predial",T_ORCAMENTOS!$H:$H,"8/2026")</f>
        <v>-12000</v>
      </c>
      <c r="AE256" s="27">
        <f>SUMIFS(Aut_BlueMe_Sem_Pedido!$J:$J,Aut_BlueMe_Sem_Pedido!$Q:$Q,DRE!AC$4,Aut_BlueMe_Sem_Pedido!$H:$H,DRE!$A256)+SUMIFS(Aut_Ajustes_Manuais!$G:$G,Aut_Ajustes_Manuais!$I:$I,DRE!AC$4,Aut_Ajustes_Manuais!$F:$F,"Manutenção Predial")</f>
        <v>0</v>
      </c>
      <c r="AF256" s="237"/>
      <c r="AG256" s="26">
        <f>-SUMIFS(T_ORCAMENTOS!$E:$E,T_ORCAMENTOS!$C:$C,"Manutenção Predial",T_ORCAMENTOS!$H:$H,"9/2026")</f>
        <v>-12000</v>
      </c>
      <c r="AH256" s="27">
        <f>SUMIFS(Aut_BlueMe_Sem_Pedido!$J:$J,Aut_BlueMe_Sem_Pedido!$Q:$Q,DRE!AF$4,Aut_BlueMe_Sem_Pedido!$H:$H,DRE!$A256)+SUMIFS(Aut_Ajustes_Manuais!$G:$G,Aut_Ajustes_Manuais!$I:$I,DRE!AF$4,Aut_Ajustes_Manuais!$F:$F,"Manutenção Predial")</f>
        <v>0</v>
      </c>
      <c r="AI256" s="237"/>
      <c r="AJ256" s="26">
        <f>-SUMIFS(T_ORCAMENTOS!$E:$E,T_ORCAMENTOS!$C:$C,"Manutenção Predial",T_ORCAMENTOS!$H:$H,"10/2026")</f>
        <v>-12000</v>
      </c>
      <c r="AK256" s="27">
        <f>SUMIFS(Aut_BlueMe_Sem_Pedido!$J:$J,Aut_BlueMe_Sem_Pedido!$Q:$Q,DRE!AI$4,Aut_BlueMe_Sem_Pedido!$H:$H,DRE!$A256)+SUMIFS(Aut_Ajustes_Manuais!$G:$G,Aut_Ajustes_Manuais!$I:$I,DRE!AI$4,Aut_Ajustes_Manuais!$F:$F,"Manutenção Predial")</f>
        <v>0</v>
      </c>
      <c r="AL256" s="237"/>
      <c r="AM256" s="26">
        <f>-SUMIFS(T_ORCAMENTOS!$E:$E,T_ORCAMENTOS!$C:$C,"Manutenção Predial",T_ORCAMENTOS!$H:$H,"11/2026")</f>
        <v>-12000</v>
      </c>
      <c r="AN256" s="27">
        <f>SUMIFS(Aut_BlueMe_Sem_Pedido!$J:$J,Aut_BlueMe_Sem_Pedido!$Q:$Q,DRE!AL$4,Aut_BlueMe_Sem_Pedido!$H:$H,DRE!$A256)+SUMIFS(Aut_Ajustes_Manuais!$G:$G,Aut_Ajustes_Manuais!$I:$I,DRE!AL$4,Aut_Ajustes_Manuais!$F:$F,"Manutenção Predial")</f>
        <v>0</v>
      </c>
      <c r="AO256" s="237"/>
      <c r="AP256" s="26">
        <f>-SUMIFS(T_ORCAMENTOS!$E:$E,T_ORCAMENTOS!$C:$C,"Manutenção Predial",T_ORCAMENTOS!$H:$H,"12/2026")</f>
        <v>-12000</v>
      </c>
      <c r="AQ256" s="27">
        <f>SUMIFS(Aut_BlueMe_Sem_Pedido!$J:$J,Aut_BlueMe_Sem_Pedido!$Q:$Q,DRE!AO$4,Aut_BlueMe_Sem_Pedido!$H:$H,DRE!$A256)+SUMIFS(Aut_Ajustes_Manuais!$G:$G,Aut_Ajustes_Manuais!$I:$I,DRE!AO$4,Aut_Ajustes_Manuais!$F:$F,"Manutenção Predial")</f>
        <v>0</v>
      </c>
      <c r="AR256" s="237">
        <f t="shared" ref="AR256:AR263" ca="1" si="225">SUMIFS($H256:$AO256,$H$5:$AO$5,"&lt;"&amp;MONTH(TODAY()),$H$6:$AO$6,"REAL 25")</f>
        <v>0</v>
      </c>
      <c r="AS256" s="26">
        <f t="shared" ref="AS256:AS263" ca="1" si="226">SUMIFS($I256:$AP256,$I$5:$AP$5,"&lt;"&amp;MONTH(TODAY()),$I$6:$AP$6,"ORÇADO ")</f>
        <v>-12000</v>
      </c>
      <c r="AT256" s="27">
        <f t="shared" ref="AT256:AT263" ca="1" si="227">SUMIFS($J256:$AQ256,$J$5:$AQ$5,"&lt;"&amp;MONTH(TODAY()),$J$6:$AQ$6,"REAL 26")</f>
        <v>0</v>
      </c>
      <c r="AU256" s="237">
        <f t="shared" ref="AU256:AW263" si="228">SUM(H256,K256,N256,Q256,T256,W256,Z256,AC256,AF256,AI256,AL256,AO256)</f>
        <v>0</v>
      </c>
      <c r="AV256" s="26">
        <f t="shared" si="228"/>
        <v>-60000</v>
      </c>
      <c r="AW256" s="27">
        <f t="shared" si="228"/>
        <v>0</v>
      </c>
      <c r="AX256" s="237">
        <f t="shared" ref="AX256:AZ263" si="229">SUM(H256,K256,N256)</f>
        <v>0</v>
      </c>
      <c r="AY256" s="26">
        <f t="shared" si="229"/>
        <v>0</v>
      </c>
      <c r="AZ256" s="27">
        <f t="shared" si="229"/>
        <v>0</v>
      </c>
      <c r="BA256" s="237">
        <f t="shared" ref="BA256:BC263" si="230">SUM(Q256,T256,W256)</f>
        <v>0</v>
      </c>
      <c r="BB256" s="26">
        <f t="shared" si="230"/>
        <v>0</v>
      </c>
      <c r="BC256" s="27">
        <f t="shared" si="230"/>
        <v>0</v>
      </c>
      <c r="BD256" s="237">
        <f t="shared" ref="BD256:BF263" si="231">SUM(Z256,AC256,AF256)</f>
        <v>0</v>
      </c>
      <c r="BE256" s="26">
        <f t="shared" si="231"/>
        <v>-24000</v>
      </c>
      <c r="BF256" s="27">
        <f t="shared" si="231"/>
        <v>0</v>
      </c>
      <c r="BG256" s="237">
        <f t="shared" ref="BG256:BI263" si="232">SUM(AI256,AL256,AO256)</f>
        <v>0</v>
      </c>
      <c r="BH256" s="26">
        <f t="shared" si="232"/>
        <v>-36000</v>
      </c>
      <c r="BI256" s="27">
        <f t="shared" si="232"/>
        <v>0</v>
      </c>
      <c r="BJ256" s="454"/>
    </row>
    <row r="257" spans="1:62" s="28" customFormat="1" hidden="1" outlineLevel="1" x14ac:dyDescent="0.3">
      <c r="A257" s="21" t="s">
        <v>288</v>
      </c>
      <c r="B257" s="22"/>
      <c r="C257" s="23" t="s">
        <v>60</v>
      </c>
      <c r="D257" s="117"/>
      <c r="E257" s="110"/>
      <c r="F257" s="54"/>
      <c r="G257" s="32"/>
      <c r="H257" s="237"/>
      <c r="I257" s="26">
        <f>-SUMIFS(T_ORCAMENTOS!$E:$E,T_ORCAMENTOS!$C:$C,"Manutenção de Equipamentos",T_ORCAMENTOS!$H:$H,"1/2026")</f>
        <v>0</v>
      </c>
      <c r="J257" s="27">
        <f>SUMIFS(Aut_BlueMe_Sem_Pedido!$J:$J,Aut_BlueMe_Sem_Pedido!$Q:$Q,DRE!H$4,Aut_BlueMe_Sem_Pedido!$H:$H,DRE!$A257)+SUMIFS(Aut_Ajustes_Manuais!$G:$G,Aut_Ajustes_Manuais!$I:$I,DRE!H$4,Aut_Ajustes_Manuais!$F:$F,"Manutenção de Equipamentos")</f>
        <v>0</v>
      </c>
      <c r="K257" s="237"/>
      <c r="L257" s="26">
        <f>-SUMIFS(T_ORCAMENTOS!$E:$E,T_ORCAMENTOS!$C:$C,"Manutenção de Equipamentos",T_ORCAMENTOS!$H:$H,"2/2026")</f>
        <v>0</v>
      </c>
      <c r="M257" s="27">
        <f>SUMIFS(Aut_BlueMe_Sem_Pedido!$J:$J,Aut_BlueMe_Sem_Pedido!$Q:$Q,DRE!K$4,Aut_BlueMe_Sem_Pedido!$H:$H,DRE!$A257)+SUMIFS(Aut_Ajustes_Manuais!$G:$G,Aut_Ajustes_Manuais!$I:$I,DRE!K$4,Aut_Ajustes_Manuais!$F:$F,"Manutenção de Equipamentos")</f>
        <v>0</v>
      </c>
      <c r="N257" s="237"/>
      <c r="O257" s="26">
        <f>-SUMIFS(T_ORCAMENTOS!$E:$E,T_ORCAMENTOS!$C:$C,"Manutenção de Equipamentos",T_ORCAMENTOS!$H:$H,"3/2026")</f>
        <v>0</v>
      </c>
      <c r="P257" s="26">
        <f>SUMIFS(Aut_BlueMe_Sem_Pedido!$J:$J,Aut_BlueMe_Sem_Pedido!$Q:$Q,DRE!N$4,Aut_BlueMe_Sem_Pedido!$H:$H,DRE!$A257)+SUMIFS(Aut_Ajustes_Manuais!$G:$G,Aut_Ajustes_Manuais!$I:$I,DRE!N$4,Aut_Ajustes_Manuais!$F:$F,"Manutenção de Equipamentos")</f>
        <v>0</v>
      </c>
      <c r="Q257" s="237"/>
      <c r="R257" s="26">
        <f>-SUMIFS(T_ORCAMENTOS!$E:$E,T_ORCAMENTOS!$C:$C,"Manutenção de Equipamentos",T_ORCAMENTOS!$H:$H,"4/2026")</f>
        <v>0</v>
      </c>
      <c r="S257" s="27">
        <f>SUMIFS(Aut_BlueMe_Sem_Pedido!$J:$J,Aut_BlueMe_Sem_Pedido!$Q:$Q,DRE!Q$4,Aut_BlueMe_Sem_Pedido!$H:$H,DRE!$A257)+SUMIFS(Aut_Ajustes_Manuais!$G:$G,Aut_Ajustes_Manuais!$I:$I,DRE!Q$4,Aut_Ajustes_Manuais!$F:$F,"Manutenção de Equipamentos")</f>
        <v>0</v>
      </c>
      <c r="T257" s="237"/>
      <c r="U257" s="26">
        <f>-SUMIFS(T_ORCAMENTOS!$E:$E,T_ORCAMENTOS!$C:$C,"Manutenção de Equipamentos",T_ORCAMENTOS!$H:$H,"5/2026")</f>
        <v>0</v>
      </c>
      <c r="V257" s="27">
        <f>SUMIFS(Aut_BlueMe_Sem_Pedido!$J:$J,Aut_BlueMe_Sem_Pedido!$Q:$Q,DRE!T$4,Aut_BlueMe_Sem_Pedido!$H:$H,DRE!$A257)+SUMIFS(Aut_Ajustes_Manuais!$G:$G,Aut_Ajustes_Manuais!$I:$I,DRE!T$4,Aut_Ajustes_Manuais!$F:$F,"Manutenção de Equipamentos")</f>
        <v>0</v>
      </c>
      <c r="W257" s="237"/>
      <c r="X257" s="26">
        <f>-SUMIFS(T_ORCAMENTOS!$E:$E,T_ORCAMENTOS!$C:$C,"Manutenção de Equipamentos",T_ORCAMENTOS!$H:$H,"6/2026")</f>
        <v>0</v>
      </c>
      <c r="Y257" s="27">
        <f>SUMIFS(Aut_BlueMe_Sem_Pedido!$J:$J,Aut_BlueMe_Sem_Pedido!$Q:$Q,DRE!W$4,Aut_BlueMe_Sem_Pedido!$H:$H,DRE!$A257)+SUMIFS(Aut_Ajustes_Manuais!$G:$G,Aut_Ajustes_Manuais!$I:$I,DRE!W$4,Aut_Ajustes_Manuais!$F:$F,"Manutenção de Equipamentos")</f>
        <v>-2400</v>
      </c>
      <c r="Z257" s="237"/>
      <c r="AA257" s="26">
        <f>-SUMIFS(T_ORCAMENTOS!$E:$E,T_ORCAMENTOS!$C:$C,"Manutenção de Equipamentos",T_ORCAMENTOS!$H:$H,"7/2026")</f>
        <v>0</v>
      </c>
      <c r="AB257" s="27">
        <f>SUMIFS(Aut_BlueMe_Sem_Pedido!$J:$J,Aut_BlueMe_Sem_Pedido!$Q:$Q,DRE!Z$4,Aut_BlueMe_Sem_Pedido!$H:$H,DRE!$A257)+SUMIFS(Aut_Ajustes_Manuais!$G:$G,Aut_Ajustes_Manuais!$I:$I,DRE!Z$4,Aut_Ajustes_Manuais!$F:$F,"Manutenção de Equipamentos")</f>
        <v>-1389.0900000000001</v>
      </c>
      <c r="AC257" s="237"/>
      <c r="AD257" s="26">
        <f>-SUMIFS(T_ORCAMENTOS!$E:$E,T_ORCAMENTOS!$C:$C,"Manutenção de Equipamentos",T_ORCAMENTOS!$H:$H,"8/2026")</f>
        <v>-2500</v>
      </c>
      <c r="AE257" s="27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37"/>
      <c r="AG257" s="26">
        <f>-SUMIFS(T_ORCAMENTOS!$E:$E,T_ORCAMENTOS!$C:$C,"Manutenção de Equipamentos",T_ORCAMENTOS!$H:$H,"9/2026")</f>
        <v>-2500</v>
      </c>
      <c r="AH257" s="27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37"/>
      <c r="AJ257" s="26">
        <f>-SUMIFS(T_ORCAMENTOS!$E:$E,T_ORCAMENTOS!$C:$C,"Manutenção de Equipamentos",T_ORCAMENTOS!$H:$H,"10/2026")</f>
        <v>-2500</v>
      </c>
      <c r="AK257" s="27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37"/>
      <c r="AM257" s="26">
        <f>-SUMIFS(T_ORCAMENTOS!$E:$E,T_ORCAMENTOS!$C:$C,"Manutenção de Equipamentos",T_ORCAMENTOS!$H:$H,"11/2026")</f>
        <v>-2500</v>
      </c>
      <c r="AN257" s="27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37"/>
      <c r="AP257" s="26">
        <f>-SUMIFS(T_ORCAMENTOS!$E:$E,T_ORCAMENTOS!$C:$C,"Manutenção de Equipamentos",T_ORCAMENTOS!$H:$H,"12/2026")</f>
        <v>-2500</v>
      </c>
      <c r="AQ257" s="27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37">
        <f t="shared" ca="1" si="225"/>
        <v>0</v>
      </c>
      <c r="AS257" s="26">
        <f t="shared" ca="1" si="226"/>
        <v>-2500</v>
      </c>
      <c r="AT257" s="27">
        <f t="shared" ca="1" si="227"/>
        <v>-3789.09</v>
      </c>
      <c r="AU257" s="237">
        <f t="shared" si="228"/>
        <v>0</v>
      </c>
      <c r="AV257" s="26">
        <f t="shared" si="228"/>
        <v>-12500</v>
      </c>
      <c r="AW257" s="27">
        <f t="shared" si="228"/>
        <v>-3789.09</v>
      </c>
      <c r="AX257" s="237">
        <f t="shared" si="229"/>
        <v>0</v>
      </c>
      <c r="AY257" s="26">
        <f t="shared" si="229"/>
        <v>0</v>
      </c>
      <c r="AZ257" s="27">
        <f t="shared" si="229"/>
        <v>0</v>
      </c>
      <c r="BA257" s="237">
        <f t="shared" si="230"/>
        <v>0</v>
      </c>
      <c r="BB257" s="26">
        <f t="shared" si="230"/>
        <v>0</v>
      </c>
      <c r="BC257" s="27">
        <f t="shared" si="230"/>
        <v>-2400</v>
      </c>
      <c r="BD257" s="237">
        <f t="shared" si="231"/>
        <v>0</v>
      </c>
      <c r="BE257" s="26">
        <f t="shared" si="231"/>
        <v>-5000</v>
      </c>
      <c r="BF257" s="27">
        <f t="shared" si="231"/>
        <v>-1389.0900000000001</v>
      </c>
      <c r="BG257" s="237">
        <f t="shared" si="232"/>
        <v>0</v>
      </c>
      <c r="BH257" s="26">
        <f t="shared" si="232"/>
        <v>-7500</v>
      </c>
      <c r="BI257" s="27">
        <f t="shared" si="232"/>
        <v>0</v>
      </c>
      <c r="BJ257" s="454"/>
    </row>
    <row r="258" spans="1:62" s="28" customFormat="1" hidden="1" outlineLevel="1" x14ac:dyDescent="0.3">
      <c r="A258" s="21" t="s">
        <v>289</v>
      </c>
      <c r="B258" s="22"/>
      <c r="C258" s="23" t="s">
        <v>60</v>
      </c>
      <c r="D258" s="117"/>
      <c r="E258" s="110"/>
      <c r="F258" s="54"/>
      <c r="G258" s="32"/>
      <c r="H258" s="237"/>
      <c r="I258" s="26">
        <f>-SUMIFS(T_ORCAMENTOS!$E:$E,T_ORCAMENTOS!$C:$C,"Manutenção de Mobiliário",T_ORCAMENTOS!$H:$H,"1/2026")</f>
        <v>0</v>
      </c>
      <c r="J258" s="27">
        <f>SUMIFS(Aut_BlueMe_Sem_Pedido!$J:$J,Aut_BlueMe_Sem_Pedido!$Q:$Q,DRE!H$4,Aut_BlueMe_Sem_Pedido!$H:$H,DRE!$A258)+SUMIFS(Aut_Ajustes_Manuais!$G:$G,Aut_Ajustes_Manuais!$I:$I,DRE!H$4,Aut_Ajustes_Manuais!$F:$F,"Manutenção de Mobiliário")</f>
        <v>0</v>
      </c>
      <c r="K258" s="237"/>
      <c r="L258" s="26">
        <f>-SUMIFS(T_ORCAMENTOS!$E:$E,T_ORCAMENTOS!$C:$C,"Manutenção de Mobiliário",T_ORCAMENTOS!$H:$H,"2/2026")</f>
        <v>0</v>
      </c>
      <c r="M258" s="27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37"/>
      <c r="O258" s="26">
        <f>-SUMIFS(T_ORCAMENTOS!$E:$E,T_ORCAMENTOS!$C:$C,"Manutenção de Mobiliário",T_ORCAMENTOS!$H:$H,"3/2026")</f>
        <v>0</v>
      </c>
      <c r="P258" s="26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37"/>
      <c r="R258" s="26">
        <f>-SUMIFS(T_ORCAMENTOS!$E:$E,T_ORCAMENTOS!$C:$C,"Manutenção de Mobiliário",T_ORCAMENTOS!$H:$H,"4/2026")</f>
        <v>0</v>
      </c>
      <c r="S258" s="27">
        <f>SUMIFS(Aut_BlueMe_Sem_Pedido!$J:$J,Aut_BlueMe_Sem_Pedido!$Q:$Q,DRE!Q$4,Aut_BlueMe_Sem_Pedido!$H:$H,DRE!$A258)+SUMIFS(Aut_Ajustes_Manuais!$G:$G,Aut_Ajustes_Manuais!$I:$I,DRE!Q$4,Aut_Ajustes_Manuais!$F:$F,"Manutenção de Mobiliário")</f>
        <v>0</v>
      </c>
      <c r="T258" s="237"/>
      <c r="U258" s="26">
        <f>-SUMIFS(T_ORCAMENTOS!$E:$E,T_ORCAMENTOS!$C:$C,"Manutenção de Mobiliário",T_ORCAMENTOS!$H:$H,"5/2026")</f>
        <v>0</v>
      </c>
      <c r="V258" s="26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37"/>
      <c r="X258" s="26">
        <f>-SUMIFS(T_ORCAMENTOS!$E:$E,T_ORCAMENTOS!$C:$C,"Manutenção de Mobiliário",T_ORCAMENTOS!$H:$H,"6/2026")</f>
        <v>0</v>
      </c>
      <c r="Y258" s="27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37"/>
      <c r="AA258" s="26">
        <f>-SUMIFS(T_ORCAMENTOS!$E:$E,T_ORCAMENTOS!$C:$C,"Manutenção de Mobiliário",T_ORCAMENTOS!$H:$H,"7/2026")</f>
        <v>0</v>
      </c>
      <c r="AB258" s="27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37"/>
      <c r="AD258" s="26">
        <f>-SUMIFS(T_ORCAMENTOS!$E:$E,T_ORCAMENTOS!$C:$C,"Manutenção de Mobiliário",T_ORCAMENTOS!$H:$H,"8/2026")</f>
        <v>0</v>
      </c>
      <c r="AE258" s="27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37"/>
      <c r="AG258" s="26">
        <f>-SUMIFS(T_ORCAMENTOS!$E:$E,T_ORCAMENTOS!$C:$C,"Manutenção de Mobiliário",T_ORCAMENTOS!$H:$H,"9/2026")</f>
        <v>0</v>
      </c>
      <c r="AH258" s="27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37"/>
      <c r="AJ258" s="26">
        <f>-SUMIFS(T_ORCAMENTOS!$E:$E,T_ORCAMENTOS!$C:$C,"Manutenção de Mobiliário",T_ORCAMENTOS!$H:$H,"10/2026")</f>
        <v>0</v>
      </c>
      <c r="AK258" s="27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37"/>
      <c r="AM258" s="26">
        <f>-SUMIFS(T_ORCAMENTOS!$E:$E,T_ORCAMENTOS!$C:$C,"Manutenção de Mobiliário",T_ORCAMENTOS!$H:$H,"11/2026")</f>
        <v>0</v>
      </c>
      <c r="AN258" s="27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37"/>
      <c r="AP258" s="26">
        <f>-SUMIFS(T_ORCAMENTOS!$E:$E,T_ORCAMENTOS!$C:$C,"Manutenção de Mobiliário",T_ORCAMENTOS!$H:$H,"12/2026")</f>
        <v>0</v>
      </c>
      <c r="AQ258" s="27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37">
        <f t="shared" ca="1" si="225"/>
        <v>0</v>
      </c>
      <c r="AS258" s="26">
        <f t="shared" ca="1" si="226"/>
        <v>0</v>
      </c>
      <c r="AT258" s="27">
        <f t="shared" ca="1" si="227"/>
        <v>0</v>
      </c>
      <c r="AU258" s="237">
        <f t="shared" si="228"/>
        <v>0</v>
      </c>
      <c r="AV258" s="26">
        <f t="shared" si="228"/>
        <v>0</v>
      </c>
      <c r="AW258" s="27">
        <f t="shared" si="228"/>
        <v>0</v>
      </c>
      <c r="AX258" s="237">
        <f t="shared" si="229"/>
        <v>0</v>
      </c>
      <c r="AY258" s="26">
        <f t="shared" si="229"/>
        <v>0</v>
      </c>
      <c r="AZ258" s="27">
        <f t="shared" si="229"/>
        <v>0</v>
      </c>
      <c r="BA258" s="237">
        <f t="shared" si="230"/>
        <v>0</v>
      </c>
      <c r="BB258" s="26">
        <f t="shared" si="230"/>
        <v>0</v>
      </c>
      <c r="BC258" s="27">
        <f t="shared" si="230"/>
        <v>0</v>
      </c>
      <c r="BD258" s="237">
        <f t="shared" si="231"/>
        <v>0</v>
      </c>
      <c r="BE258" s="26">
        <f t="shared" si="231"/>
        <v>0</v>
      </c>
      <c r="BF258" s="27">
        <f t="shared" si="231"/>
        <v>0</v>
      </c>
      <c r="BG258" s="237">
        <f t="shared" si="232"/>
        <v>0</v>
      </c>
      <c r="BH258" s="26">
        <f t="shared" si="232"/>
        <v>0</v>
      </c>
      <c r="BI258" s="27">
        <f t="shared" si="232"/>
        <v>0</v>
      </c>
      <c r="BJ258" s="454"/>
    </row>
    <row r="259" spans="1:62" s="28" customFormat="1" hidden="1" outlineLevel="1" x14ac:dyDescent="0.3">
      <c r="A259" s="21" t="s">
        <v>290</v>
      </c>
      <c r="B259" s="22"/>
      <c r="C259" s="23" t="s">
        <v>60</v>
      </c>
      <c r="D259" s="117"/>
      <c r="E259" s="110">
        <v>-1.5E-3</v>
      </c>
      <c r="F259" s="54"/>
      <c r="G259" s="32"/>
      <c r="H259" s="237"/>
      <c r="I259" s="26">
        <f>-SUMIFS(T_ORCAMENTOS!$E:$E,T_ORCAMENTOS!$C:$C,"Material de Manutenção",T_ORCAMENTOS!$H:$H,"1/2026")</f>
        <v>0</v>
      </c>
      <c r="J259" s="27">
        <f>SUMIFS(Aut_BlueMe_Sem_Pedido!$J:$J,Aut_BlueMe_Sem_Pedido!$Q:$Q,DRE!H$4,Aut_BlueMe_Sem_Pedido!$H:$H,DRE!$A259)+SUMIFS(Aut_Ajustes_Manuais!$G:$G,Aut_Ajustes_Manuais!$I:$I,DRE!H$4,Aut_Ajustes_Manuais!$F:$F,"Material de Manutenção")</f>
        <v>0</v>
      </c>
      <c r="K259" s="237"/>
      <c r="L259" s="26">
        <f>-SUMIFS(T_ORCAMENTOS!$E:$E,T_ORCAMENTOS!$C:$C,"Material de Manutenção",T_ORCAMENTOS!$H:$H,"2/2026")</f>
        <v>0</v>
      </c>
      <c r="M259" s="27">
        <f>SUMIFS(Aut_BlueMe_Sem_Pedido!$J:$J,Aut_BlueMe_Sem_Pedido!$Q:$Q,DRE!K$4,Aut_BlueMe_Sem_Pedido!$H:$H,DRE!$A259)+SUMIFS(Aut_Ajustes_Manuais!$G:$G,Aut_Ajustes_Manuais!$I:$I,DRE!K$4,Aut_Ajustes_Manuais!$F:$F,"Material de Manutenção")</f>
        <v>0</v>
      </c>
      <c r="N259" s="237"/>
      <c r="O259" s="26">
        <f>-SUMIFS(T_ORCAMENTOS!$E:$E,T_ORCAMENTOS!$C:$C,"Material de Manutenção",T_ORCAMENTOS!$H:$H,"3/2026")</f>
        <v>0</v>
      </c>
      <c r="P259" s="26">
        <f>SUMIFS(Aut_BlueMe_Sem_Pedido!$J:$J,Aut_BlueMe_Sem_Pedido!$Q:$Q,DRE!N$4,Aut_BlueMe_Sem_Pedido!$H:$H,DRE!$A259)+SUMIFS(Aut_Ajustes_Manuais!$G:$G,Aut_Ajustes_Manuais!$I:$I,DRE!N$4,Aut_Ajustes_Manuais!$F:$F,"Material de Manutenção")</f>
        <v>0</v>
      </c>
      <c r="Q259" s="237"/>
      <c r="R259" s="26">
        <f>-SUMIFS(T_ORCAMENTOS!$E:$E,T_ORCAMENTOS!$C:$C,"Material de Manutenção",T_ORCAMENTOS!$H:$H,"4/2026")</f>
        <v>0</v>
      </c>
      <c r="S259" s="27">
        <f>SUMIFS(Aut_BlueMe_Sem_Pedido!$J:$J,Aut_BlueMe_Sem_Pedido!$Q:$Q,DRE!Q$4,Aut_BlueMe_Sem_Pedido!$H:$H,DRE!$A259)+SUMIFS(Aut_Ajustes_Manuais!$G:$G,Aut_Ajustes_Manuais!$I:$I,DRE!Q$4,Aut_Ajustes_Manuais!$F:$F,"Material de Manutenção")</f>
        <v>0</v>
      </c>
      <c r="T259" s="237"/>
      <c r="U259" s="26">
        <f>-SUMIFS(T_ORCAMENTOS!$E:$E,T_ORCAMENTOS!$C:$C,"Material de Manutenção",T_ORCAMENTOS!$H:$H,"5/2026")</f>
        <v>0</v>
      </c>
      <c r="V259" s="27">
        <f>SUMIFS(Aut_BlueMe_Sem_Pedido!$J:$J,Aut_BlueMe_Sem_Pedido!$Q:$Q,DRE!T$4,Aut_BlueMe_Sem_Pedido!$H:$H,DRE!$A259)+SUMIFS(Aut_Ajustes_Manuais!$G:$G,Aut_Ajustes_Manuais!$I:$I,DRE!T$4,Aut_Ajustes_Manuais!$F:$F,"Material de Manutenção")</f>
        <v>0</v>
      </c>
      <c r="W259" s="237"/>
      <c r="X259" s="26">
        <f>-SUMIFS(T_ORCAMENTOS!$E:$E,T_ORCAMENTOS!$C:$C,"Material de Manutenção",T_ORCAMENTOS!$H:$H,"6/2026")</f>
        <v>0</v>
      </c>
      <c r="Y259" s="27">
        <f>SUMIFS(Aut_BlueMe_Sem_Pedido!$J:$J,Aut_BlueMe_Sem_Pedido!$Q:$Q,DRE!W$4,Aut_BlueMe_Sem_Pedido!$H:$H,DRE!$A259)+SUMIFS(Aut_Ajustes_Manuais!$G:$G,Aut_Ajustes_Manuais!$I:$I,DRE!W$4,Aut_Ajustes_Manuais!$F:$F,"Material de Manutenção")</f>
        <v>-17155.86</v>
      </c>
      <c r="Z259" s="237"/>
      <c r="AA259" s="26">
        <f>-SUMIFS(T_ORCAMENTOS!$E:$E,T_ORCAMENTOS!$C:$C,"Material de Manutenção",T_ORCAMENTOS!$H:$H,"7/2026")</f>
        <v>0</v>
      </c>
      <c r="AB259" s="27">
        <f>SUMIFS(Aut_BlueMe_Sem_Pedido!$J:$J,Aut_BlueMe_Sem_Pedido!$Q:$Q,DRE!Z$4,Aut_BlueMe_Sem_Pedido!$H:$H,DRE!$A259)+SUMIFS(Aut_Ajustes_Manuais!$G:$G,Aut_Ajustes_Manuais!$I:$I,DRE!Z$4,Aut_Ajustes_Manuais!$F:$F,"Material de Manutenção")</f>
        <v>-17155.86</v>
      </c>
      <c r="AC259" s="237"/>
      <c r="AD259" s="26">
        <f>-SUMIFS(T_ORCAMENTOS!$E:$E,T_ORCAMENTOS!$C:$C,"Material de Manutenção",T_ORCAMENTOS!$H:$H,"8/2026")</f>
        <v>-1500</v>
      </c>
      <c r="AE259" s="27">
        <f>SUMIFS(Aut_BlueMe_Sem_Pedido!$J:$J,Aut_BlueMe_Sem_Pedido!$Q:$Q,DRE!AC$4,Aut_BlueMe_Sem_Pedido!$H:$H,DRE!$A259)+SUMIFS(Aut_Ajustes_Manuais!$G:$G,Aut_Ajustes_Manuais!$I:$I,DRE!AC$4,Aut_Ajustes_Manuais!$F:$F,"Material de Manutenção")</f>
        <v>0</v>
      </c>
      <c r="AF259" s="237"/>
      <c r="AG259" s="26">
        <f>-SUMIFS(T_ORCAMENTOS!$E:$E,T_ORCAMENTOS!$C:$C,"Material de Manutenção",T_ORCAMENTOS!$H:$H,"9/2026")</f>
        <v>-1500</v>
      </c>
      <c r="AH259" s="27">
        <f>SUMIFS(Aut_BlueMe_Sem_Pedido!$J:$J,Aut_BlueMe_Sem_Pedido!$Q:$Q,DRE!AF$4,Aut_BlueMe_Sem_Pedido!$H:$H,DRE!$A259)+SUMIFS(Aut_Ajustes_Manuais!$G:$G,Aut_Ajustes_Manuais!$I:$I,DRE!AF$4,Aut_Ajustes_Manuais!$F:$F,"Material de Manutenção")</f>
        <v>0</v>
      </c>
      <c r="AI259" s="237"/>
      <c r="AJ259" s="26">
        <f>-SUMIFS(T_ORCAMENTOS!$E:$E,T_ORCAMENTOS!$C:$C,"Material de Manutenção",T_ORCAMENTOS!$H:$H,"10/2026")</f>
        <v>-1500</v>
      </c>
      <c r="AK259" s="27">
        <f>SUMIFS(Aut_BlueMe_Sem_Pedido!$J:$J,Aut_BlueMe_Sem_Pedido!$Q:$Q,DRE!AI$4,Aut_BlueMe_Sem_Pedido!$H:$H,DRE!$A259)+SUMIFS(Aut_Ajustes_Manuais!$G:$G,Aut_Ajustes_Manuais!$I:$I,DRE!AI$4,Aut_Ajustes_Manuais!$F:$F,"Material de Manutenção")</f>
        <v>0</v>
      </c>
      <c r="AL259" s="237"/>
      <c r="AM259" s="26">
        <f>-SUMIFS(T_ORCAMENTOS!$E:$E,T_ORCAMENTOS!$C:$C,"Material de Manutenção",T_ORCAMENTOS!$H:$H,"11/2026")</f>
        <v>-1500</v>
      </c>
      <c r="AN259" s="27">
        <f>SUMIFS(Aut_BlueMe_Sem_Pedido!$J:$J,Aut_BlueMe_Sem_Pedido!$Q:$Q,DRE!AL$4,Aut_BlueMe_Sem_Pedido!$H:$H,DRE!$A259)+SUMIFS(Aut_Ajustes_Manuais!$G:$G,Aut_Ajustes_Manuais!$I:$I,DRE!AL$4,Aut_Ajustes_Manuais!$F:$F,"Material de Manutenção")</f>
        <v>0</v>
      </c>
      <c r="AO259" s="237"/>
      <c r="AP259" s="26">
        <f>-SUMIFS(T_ORCAMENTOS!$E:$E,T_ORCAMENTOS!$C:$C,"Material de Manutenção",T_ORCAMENTOS!$H:$H,"12/2026")</f>
        <v>-1500</v>
      </c>
      <c r="AQ259" s="27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37">
        <f t="shared" ca="1" si="225"/>
        <v>0</v>
      </c>
      <c r="AS259" s="26">
        <f t="shared" ca="1" si="226"/>
        <v>-1500</v>
      </c>
      <c r="AT259" s="27">
        <f t="shared" ca="1" si="227"/>
        <v>-34311.72</v>
      </c>
      <c r="AU259" s="237">
        <f t="shared" si="228"/>
        <v>0</v>
      </c>
      <c r="AV259" s="26">
        <f t="shared" si="228"/>
        <v>-7500</v>
      </c>
      <c r="AW259" s="27">
        <f t="shared" si="228"/>
        <v>-34311.72</v>
      </c>
      <c r="AX259" s="237">
        <f t="shared" si="229"/>
        <v>0</v>
      </c>
      <c r="AY259" s="26">
        <f t="shared" si="229"/>
        <v>0</v>
      </c>
      <c r="AZ259" s="27">
        <f t="shared" si="229"/>
        <v>0</v>
      </c>
      <c r="BA259" s="237">
        <f t="shared" si="230"/>
        <v>0</v>
      </c>
      <c r="BB259" s="26">
        <f t="shared" si="230"/>
        <v>0</v>
      </c>
      <c r="BC259" s="27">
        <f t="shared" si="230"/>
        <v>-17155.86</v>
      </c>
      <c r="BD259" s="237">
        <f t="shared" si="231"/>
        <v>0</v>
      </c>
      <c r="BE259" s="26">
        <f t="shared" si="231"/>
        <v>-3000</v>
      </c>
      <c r="BF259" s="27">
        <f t="shared" si="231"/>
        <v>-17155.86</v>
      </c>
      <c r="BG259" s="237">
        <f t="shared" si="232"/>
        <v>0</v>
      </c>
      <c r="BH259" s="26">
        <f t="shared" si="232"/>
        <v>-4500</v>
      </c>
      <c r="BI259" s="27">
        <f t="shared" si="232"/>
        <v>0</v>
      </c>
      <c r="BJ259" s="454"/>
    </row>
    <row r="260" spans="1:62" s="28" customFormat="1" hidden="1" outlineLevel="1" x14ac:dyDescent="0.3">
      <c r="A260" s="21" t="s">
        <v>291</v>
      </c>
      <c r="B260" s="22"/>
      <c r="C260" s="23" t="s">
        <v>60</v>
      </c>
      <c r="D260" s="117"/>
      <c r="E260" s="110">
        <v>-2.7000000000000001E-3</v>
      </c>
      <c r="F260" s="54"/>
      <c r="G260" s="32"/>
      <c r="H260" s="237"/>
      <c r="I260" s="26">
        <f>-SUMIFS(T_ORCAMENTOS!$E:$E,T_ORCAMENTOS!$C:$C,"Decoração/Paisagismo e Jardinagem",T_ORCAMENTOS!$H:$H,"1/2026")</f>
        <v>0</v>
      </c>
      <c r="J260" s="27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37"/>
      <c r="L260" s="26">
        <f>-SUMIFS(T_ORCAMENTOS!$E:$E,T_ORCAMENTOS!$C:$C,"Decoração/Paisagismo e Jardinagem",T_ORCAMENTOS!$H:$H,"2/2026")</f>
        <v>0</v>
      </c>
      <c r="M260" s="27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37"/>
      <c r="O260" s="26">
        <f>-SUMIFS(T_ORCAMENTOS!$E:$E,T_ORCAMENTOS!$C:$C,"Decoração/Paisagismo e Jardinagem",T_ORCAMENTOS!$H:$H,"3/2026")</f>
        <v>0</v>
      </c>
      <c r="P260" s="27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37"/>
      <c r="R260" s="26">
        <f>-SUMIFS(T_ORCAMENTOS!$E:$E,T_ORCAMENTOS!$C:$C,"Decoração/Paisagismo e Jardinagem",T_ORCAMENTOS!$H:$H,"4/2026")</f>
        <v>0</v>
      </c>
      <c r="S260" s="27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37"/>
      <c r="U260" s="26">
        <f>-SUMIFS(T_ORCAMENTOS!$E:$E,T_ORCAMENTOS!$C:$C,"Decoração/Paisagismo e Jardinagem",T_ORCAMENTOS!$H:$H,"5/2026")</f>
        <v>0</v>
      </c>
      <c r="V260" s="27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37"/>
      <c r="X260" s="26">
        <f>-SUMIFS(T_ORCAMENTOS!$E:$E,T_ORCAMENTOS!$C:$C,"Decoração/Paisagismo e Jardinagem",T_ORCAMENTOS!$H:$H,"6/2026")</f>
        <v>0</v>
      </c>
      <c r="Y260" s="27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37"/>
      <c r="AA260" s="26">
        <f>-SUMIFS(T_ORCAMENTOS!$E:$E,T_ORCAMENTOS!$C:$C,"Decoração/Paisagismo e Jardinagem",T_ORCAMENTOS!$H:$H,"7/2026")</f>
        <v>0</v>
      </c>
      <c r="AB260" s="27">
        <f>SUMIFS(Aut_BlueMe_Sem_Pedido!$J:$J,Aut_BlueMe_Sem_Pedido!$Q:$Q,DRE!Z$4,Aut_BlueMe_Sem_Pedido!$H:$H,DRE!$A260)+SUMIFS(Aut_Ajustes_Manuais!$G:$G,Aut_Ajustes_Manuais!$I:$I,DRE!Z$4,Aut_Ajustes_Manuais!$F:$F,"Decoração/Paisagismo e Jardinagem")</f>
        <v>-5798.59</v>
      </c>
      <c r="AC260" s="237"/>
      <c r="AD260" s="26">
        <f>-SUMIFS(T_ORCAMENTOS!$E:$E,T_ORCAMENTOS!$C:$C,"Decoração/Paisagismo e Jardinagem",T_ORCAMENTOS!$H:$H,"8/2026")</f>
        <v>-1100</v>
      </c>
      <c r="AE260" s="27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37"/>
      <c r="AG260" s="26">
        <f>-SUMIFS(T_ORCAMENTOS!$E:$E,T_ORCAMENTOS!$C:$C,"Decoração/Paisagismo e Jardinagem",T_ORCAMENTOS!$H:$H,"9/2026")</f>
        <v>-1100</v>
      </c>
      <c r="AH260" s="27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37"/>
      <c r="AJ260" s="26">
        <f>-SUMIFS(T_ORCAMENTOS!$E:$E,T_ORCAMENTOS!$C:$C,"Decoração/Paisagismo e Jardinagem",T_ORCAMENTOS!$H:$H,"10/2026")</f>
        <v>-1100</v>
      </c>
      <c r="AK260" s="27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37"/>
      <c r="AM260" s="26">
        <f>-SUMIFS(T_ORCAMENTOS!$E:$E,T_ORCAMENTOS!$C:$C,"Decoração/Paisagismo e Jardinagem",T_ORCAMENTOS!$H:$H,"11/2026")</f>
        <v>-1100</v>
      </c>
      <c r="AN260" s="27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37"/>
      <c r="AP260" s="26">
        <f>-SUMIFS(T_ORCAMENTOS!$E:$E,T_ORCAMENTOS!$C:$C,"Decoração/Paisagismo e Jardinagem",T_ORCAMENTOS!$H:$H,"12/2026")</f>
        <v>-1100</v>
      </c>
      <c r="AQ260" s="27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37">
        <f t="shared" ca="1" si="225"/>
        <v>0</v>
      </c>
      <c r="AS260" s="26">
        <f t="shared" ca="1" si="226"/>
        <v>-1100</v>
      </c>
      <c r="AT260" s="27">
        <f t="shared" ca="1" si="227"/>
        <v>-5798.59</v>
      </c>
      <c r="AU260" s="237">
        <f t="shared" si="228"/>
        <v>0</v>
      </c>
      <c r="AV260" s="26">
        <f t="shared" si="228"/>
        <v>-5500</v>
      </c>
      <c r="AW260" s="27">
        <f t="shared" si="228"/>
        <v>-5798.59</v>
      </c>
      <c r="AX260" s="237">
        <f t="shared" si="229"/>
        <v>0</v>
      </c>
      <c r="AY260" s="26">
        <f t="shared" si="229"/>
        <v>0</v>
      </c>
      <c r="AZ260" s="27">
        <f t="shared" si="229"/>
        <v>0</v>
      </c>
      <c r="BA260" s="237">
        <f t="shared" si="230"/>
        <v>0</v>
      </c>
      <c r="BB260" s="26">
        <f t="shared" si="230"/>
        <v>0</v>
      </c>
      <c r="BC260" s="27">
        <f t="shared" si="230"/>
        <v>0</v>
      </c>
      <c r="BD260" s="237">
        <f t="shared" si="231"/>
        <v>0</v>
      </c>
      <c r="BE260" s="26">
        <f t="shared" si="231"/>
        <v>-2200</v>
      </c>
      <c r="BF260" s="27">
        <f t="shared" si="231"/>
        <v>-5798.59</v>
      </c>
      <c r="BG260" s="237">
        <f t="shared" si="232"/>
        <v>0</v>
      </c>
      <c r="BH260" s="26">
        <f t="shared" si="232"/>
        <v>-3300</v>
      </c>
      <c r="BI260" s="27">
        <f t="shared" si="232"/>
        <v>0</v>
      </c>
      <c r="BJ260" s="454"/>
    </row>
    <row r="261" spans="1:62" s="28" customFormat="1" hidden="1" outlineLevel="1" x14ac:dyDescent="0.3">
      <c r="A261" s="21" t="s">
        <v>292</v>
      </c>
      <c r="B261" s="22"/>
      <c r="C261" s="23" t="s">
        <v>60</v>
      </c>
      <c r="D261" s="117"/>
      <c r="E261" s="110">
        <v>-2.0000000000000001E-4</v>
      </c>
      <c r="F261" s="54"/>
      <c r="G261" s="32"/>
      <c r="H261" s="237"/>
      <c r="I261" s="26">
        <f>-SUMIFS(T_ORCAMENTOS!$E:$E,T_ORCAMENTOS!$C:$C,"Fretes e Carretos",T_ORCAMENTOS!$H:$H,"1/2026")</f>
        <v>0</v>
      </c>
      <c r="J261" s="27">
        <f>SUMIFS(Aut_BlueMe_Sem_Pedido!$J:$J,Aut_BlueMe_Sem_Pedido!$Q:$Q,DRE!H$4,Aut_BlueMe_Sem_Pedido!$H:$H,DRE!$A261)+SUMIFS(Aut_Ajustes_Manuais!$G:$G,Aut_Ajustes_Manuais!$I:$I,DRE!H$4,Aut_Ajustes_Manuais!$F:$F,"Fretes e Carretos")</f>
        <v>0</v>
      </c>
      <c r="K261" s="237"/>
      <c r="L261" s="26">
        <f>-SUMIFS(T_ORCAMENTOS!$E:$E,T_ORCAMENTOS!$C:$C,"Fretes e Carretos",T_ORCAMENTOS!$H:$H,"2/2026")</f>
        <v>0</v>
      </c>
      <c r="M261" s="27">
        <f>SUMIFS(Aut_BlueMe_Sem_Pedido!$J:$J,Aut_BlueMe_Sem_Pedido!$Q:$Q,DRE!K$4,Aut_BlueMe_Sem_Pedido!$H:$H,DRE!$A261)+SUMIFS(Aut_Ajustes_Manuais!$G:$G,Aut_Ajustes_Manuais!$I:$I,DRE!K$4,Aut_Ajustes_Manuais!$F:$F,"Fretes e Carretos")</f>
        <v>0</v>
      </c>
      <c r="N261" s="237"/>
      <c r="O261" s="26">
        <f>-SUMIFS(T_ORCAMENTOS!$E:$E,T_ORCAMENTOS!$C:$C,"Fretes e Carretos",T_ORCAMENTOS!$H:$H,"3/2026")</f>
        <v>0</v>
      </c>
      <c r="P261" s="27">
        <f>SUMIFS(Aut_BlueMe_Sem_Pedido!$J:$J,Aut_BlueMe_Sem_Pedido!$Q:$Q,DRE!N$4,Aut_BlueMe_Sem_Pedido!$H:$H,DRE!$A261)+SUMIFS(Aut_Ajustes_Manuais!$G:$G,Aut_Ajustes_Manuais!$I:$I,DRE!N$4,Aut_Ajustes_Manuais!$F:$F,"Fretes e Carretos")</f>
        <v>0</v>
      </c>
      <c r="Q261" s="237"/>
      <c r="R261" s="26">
        <f>-SUMIFS(T_ORCAMENTOS!$E:$E,T_ORCAMENTOS!$C:$C,"Fretes e Carretos",T_ORCAMENTOS!$H:$H,"4/2026")</f>
        <v>0</v>
      </c>
      <c r="S261" s="27">
        <f>SUMIFS(Aut_BlueMe_Sem_Pedido!$J:$J,Aut_BlueMe_Sem_Pedido!$Q:$Q,DRE!Q$4,Aut_BlueMe_Sem_Pedido!$H:$H,DRE!$A261)+SUMIFS(Aut_Ajustes_Manuais!$G:$G,Aut_Ajustes_Manuais!$I:$I,DRE!Q$4,Aut_Ajustes_Manuais!$F:$F,"Fretes e Carretos")</f>
        <v>0</v>
      </c>
      <c r="T261" s="237"/>
      <c r="U261" s="26">
        <f>-SUMIFS(T_ORCAMENTOS!$E:$E,T_ORCAMENTOS!$C:$C,"Fretes e Carretos",T_ORCAMENTOS!$H:$H,"5/2026")</f>
        <v>0</v>
      </c>
      <c r="V261" s="27">
        <f>SUMIFS(Aut_BlueMe_Sem_Pedido!$J:$J,Aut_BlueMe_Sem_Pedido!$Q:$Q,DRE!T$4,Aut_BlueMe_Sem_Pedido!$H:$H,DRE!$A261)+SUMIFS(Aut_Ajustes_Manuais!$G:$G,Aut_Ajustes_Manuais!$I:$I,DRE!T$4,Aut_Ajustes_Manuais!$F:$F,"Fretes e Carretos")</f>
        <v>0</v>
      </c>
      <c r="W261" s="237"/>
      <c r="X261" s="26">
        <f>-SUMIFS(T_ORCAMENTOS!$E:$E,T_ORCAMENTOS!$C:$C,"Fretes e Carretos",T_ORCAMENTOS!$H:$H,"6/2026")</f>
        <v>0</v>
      </c>
      <c r="Y261" s="27">
        <f>SUMIFS(Aut_BlueMe_Sem_Pedido!$J:$J,Aut_BlueMe_Sem_Pedido!$Q:$Q,DRE!W$4,Aut_BlueMe_Sem_Pedido!$H:$H,DRE!$A261)+SUMIFS(Aut_Ajustes_Manuais!$G:$G,Aut_Ajustes_Manuais!$I:$I,DRE!W$4,Aut_Ajustes_Manuais!$F:$F,"Fretes e Carretos")</f>
        <v>-308.67</v>
      </c>
      <c r="Z261" s="237"/>
      <c r="AA261" s="26">
        <f>-SUMIFS(T_ORCAMENTOS!$E:$E,T_ORCAMENTOS!$C:$C,"Fretes e Carretos",T_ORCAMENTOS!$H:$H,"7/2026")</f>
        <v>0</v>
      </c>
      <c r="AB261" s="27">
        <f>SUMIFS(Aut_BlueMe_Sem_Pedido!$J:$J,Aut_BlueMe_Sem_Pedido!$Q:$Q,DRE!Z$4,Aut_BlueMe_Sem_Pedido!$H:$H,DRE!$A261)+SUMIFS(Aut_Ajustes_Manuais!$G:$G,Aut_Ajustes_Manuais!$I:$I,DRE!Z$4,Aut_Ajustes_Manuais!$F:$F,"Fretes e Carretos")</f>
        <v>-2000</v>
      </c>
      <c r="AC261" s="237"/>
      <c r="AD261" s="26">
        <f>-SUMIFS(T_ORCAMENTOS!$E:$E,T_ORCAMENTOS!$C:$C,"Fretes e Carretos",T_ORCAMENTOS!$H:$H,"8/2026")</f>
        <v>-2157.91</v>
      </c>
      <c r="AE261" s="27">
        <f>SUMIFS(Aut_BlueMe_Sem_Pedido!$J:$J,Aut_BlueMe_Sem_Pedido!$Q:$Q,DRE!AC$4,Aut_BlueMe_Sem_Pedido!$H:$H,DRE!$A261)+SUMIFS(Aut_Ajustes_Manuais!$G:$G,Aut_Ajustes_Manuais!$I:$I,DRE!AC$4,Aut_Ajustes_Manuais!$F:$F,"Fretes e Carretos")</f>
        <v>0</v>
      </c>
      <c r="AF261" s="237"/>
      <c r="AG261" s="26">
        <f>-SUMIFS(T_ORCAMENTOS!$E:$E,T_ORCAMENTOS!$C:$C,"Fretes e Carretos",T_ORCAMENTOS!$H:$H,"9/2026")</f>
        <v>-2128.06</v>
      </c>
      <c r="AH261" s="27">
        <f>SUMIFS(Aut_BlueMe_Sem_Pedido!$J:$J,Aut_BlueMe_Sem_Pedido!$Q:$Q,DRE!AF$4,Aut_BlueMe_Sem_Pedido!$H:$H,DRE!$A261)+SUMIFS(Aut_Ajustes_Manuais!$G:$G,Aut_Ajustes_Manuais!$I:$I,DRE!AF$4,Aut_Ajustes_Manuais!$F:$F,"Fretes e Carretos")</f>
        <v>0</v>
      </c>
      <c r="AI261" s="237"/>
      <c r="AJ261" s="26">
        <f>-SUMIFS(T_ORCAMENTOS!$E:$E,T_ORCAMENTOS!$C:$C,"Fretes e Carretos",T_ORCAMENTOS!$H:$H,"10/2026")</f>
        <v>-2218.61</v>
      </c>
      <c r="AK261" s="27">
        <f>SUMIFS(Aut_BlueMe_Sem_Pedido!$J:$J,Aut_BlueMe_Sem_Pedido!$Q:$Q,DRE!AI$4,Aut_BlueMe_Sem_Pedido!$H:$H,DRE!$A261)+SUMIFS(Aut_Ajustes_Manuais!$G:$G,Aut_Ajustes_Manuais!$I:$I,DRE!AI$4,Aut_Ajustes_Manuais!$F:$F,"Fretes e Carretos")</f>
        <v>0</v>
      </c>
      <c r="AL261" s="237"/>
      <c r="AM261" s="26">
        <f>-SUMIFS(T_ORCAMENTOS!$E:$E,T_ORCAMENTOS!$C:$C,"Fretes e Carretos",T_ORCAMENTOS!$H:$H,"11/2026")</f>
        <v>-2138.35</v>
      </c>
      <c r="AN261" s="27">
        <f>SUMIFS(Aut_BlueMe_Sem_Pedido!$J:$J,Aut_BlueMe_Sem_Pedido!$Q:$Q,DRE!AL$4,Aut_BlueMe_Sem_Pedido!$H:$H,DRE!$A261)+SUMIFS(Aut_Ajustes_Manuais!$G:$G,Aut_Ajustes_Manuais!$I:$I,DRE!AL$4,Aut_Ajustes_Manuais!$F:$F,"Fretes e Carretos")</f>
        <v>0</v>
      </c>
      <c r="AO261" s="237"/>
      <c r="AP261" s="26">
        <f>-SUMIFS(T_ORCAMENTOS!$E:$E,T_ORCAMENTOS!$C:$C,"Fretes e Carretos",T_ORCAMENTOS!$H:$H,"12/2026")</f>
        <v>-2222.31</v>
      </c>
      <c r="AQ261" s="27">
        <f>SUMIFS(Aut_BlueMe_Sem_Pedido!$J:$J,Aut_BlueMe_Sem_Pedido!$Q:$Q,DRE!AO$4,Aut_BlueMe_Sem_Pedido!$H:$H,DRE!$A261)+SUMIFS(Aut_Ajustes_Manuais!$G:$G,Aut_Ajustes_Manuais!$I:$I,DRE!AO$4,Aut_Ajustes_Manuais!$F:$F,"Fretes e Carretos")</f>
        <v>0</v>
      </c>
      <c r="AR261" s="237">
        <f t="shared" ca="1" si="225"/>
        <v>0</v>
      </c>
      <c r="AS261" s="26">
        <f t="shared" ca="1" si="226"/>
        <v>-2157.91</v>
      </c>
      <c r="AT261" s="27">
        <f t="shared" ca="1" si="227"/>
        <v>-2308.67</v>
      </c>
      <c r="AU261" s="237">
        <f t="shared" si="228"/>
        <v>0</v>
      </c>
      <c r="AV261" s="26">
        <f t="shared" si="228"/>
        <v>-10865.24</v>
      </c>
      <c r="AW261" s="27">
        <f t="shared" si="228"/>
        <v>-2308.67</v>
      </c>
      <c r="AX261" s="237">
        <f t="shared" si="229"/>
        <v>0</v>
      </c>
      <c r="AY261" s="26">
        <f t="shared" si="229"/>
        <v>0</v>
      </c>
      <c r="AZ261" s="27">
        <f t="shared" si="229"/>
        <v>0</v>
      </c>
      <c r="BA261" s="237">
        <f t="shared" si="230"/>
        <v>0</v>
      </c>
      <c r="BB261" s="26">
        <f t="shared" si="230"/>
        <v>0</v>
      </c>
      <c r="BC261" s="27">
        <f t="shared" si="230"/>
        <v>-308.67</v>
      </c>
      <c r="BD261" s="237">
        <f t="shared" si="231"/>
        <v>0</v>
      </c>
      <c r="BE261" s="26">
        <f t="shared" si="231"/>
        <v>-4285.9699999999993</v>
      </c>
      <c r="BF261" s="27">
        <f t="shared" si="231"/>
        <v>-2000</v>
      </c>
      <c r="BG261" s="237">
        <f t="shared" si="232"/>
        <v>0</v>
      </c>
      <c r="BH261" s="26">
        <f t="shared" si="232"/>
        <v>-6579.27</v>
      </c>
      <c r="BI261" s="27">
        <f t="shared" si="232"/>
        <v>0</v>
      </c>
      <c r="BJ261" s="454"/>
    </row>
    <row r="262" spans="1:62" s="28" customFormat="1" hidden="1" outlineLevel="1" x14ac:dyDescent="0.3">
      <c r="A262" s="21" t="s">
        <v>293</v>
      </c>
      <c r="B262" s="22"/>
      <c r="C262" s="23"/>
      <c r="D262" s="117">
        <v>-300</v>
      </c>
      <c r="E262" s="110"/>
      <c r="F262" s="54"/>
      <c r="G262" s="32"/>
      <c r="H262" s="237"/>
      <c r="I262" s="26">
        <f>-SUMIFS(T_ORCAMENTOS!$E:$E,T_ORCAMENTOS!$C:$C,"Conduções/Taxi/Uber",T_ORCAMENTOS!$H:$H,"1/2026")</f>
        <v>0</v>
      </c>
      <c r="J262" s="27">
        <f>SUMIFS(Aut_BlueMe_Sem_Pedido!$J:$J,Aut_BlueMe_Sem_Pedido!$Q:$Q,DRE!H$4,Aut_BlueMe_Sem_Pedido!$H:$H,DRE!$A262)+SUMIFS(Aut_Ajustes_Manuais!$G:$G,Aut_Ajustes_Manuais!$I:$I,DRE!H$4,Aut_Ajustes_Manuais!$F:$F,"Conduções/Taxi/Uber")</f>
        <v>0</v>
      </c>
      <c r="K262" s="237"/>
      <c r="L262" s="26">
        <f>-SUMIFS(T_ORCAMENTOS!$E:$E,T_ORCAMENTOS!$C:$C,"Conduções/Taxi/Uber",T_ORCAMENTOS!$H:$H,"2/2026")</f>
        <v>0</v>
      </c>
      <c r="M262" s="27">
        <f>SUMIFS(Aut_BlueMe_Sem_Pedido!$J:$J,Aut_BlueMe_Sem_Pedido!$Q:$Q,DRE!K$4,Aut_BlueMe_Sem_Pedido!$H:$H,DRE!$A262)+SUMIFS(Aut_Ajustes_Manuais!$G:$G,Aut_Ajustes_Manuais!$I:$I,DRE!K$4,Aut_Ajustes_Manuais!$F:$F,"Conduções/Taxi/Uber")</f>
        <v>0</v>
      </c>
      <c r="N262" s="237"/>
      <c r="O262" s="26">
        <f>-SUMIFS(T_ORCAMENTOS!$E:$E,T_ORCAMENTOS!$C:$C,"Conduções/Taxi/Uber",T_ORCAMENTOS!$H:$H,"3/2026")</f>
        <v>0</v>
      </c>
      <c r="P262" s="27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37"/>
      <c r="R262" s="26">
        <f>-SUMIFS(T_ORCAMENTOS!$E:$E,T_ORCAMENTOS!$C:$C,"Conduções/Taxi/Uber",T_ORCAMENTOS!$H:$H,"4/2026")</f>
        <v>0</v>
      </c>
      <c r="S262" s="27">
        <f>SUMIFS(Aut_BlueMe_Sem_Pedido!$J:$J,Aut_BlueMe_Sem_Pedido!$Q:$Q,DRE!Q$4,Aut_BlueMe_Sem_Pedido!$H:$H,DRE!$A262)+SUMIFS(Aut_Ajustes_Manuais!$G:$G,Aut_Ajustes_Manuais!$I:$I,DRE!Q$4,Aut_Ajustes_Manuais!$F:$F,"Conduções/Taxi/Uber")</f>
        <v>0</v>
      </c>
      <c r="T262" s="237"/>
      <c r="U262" s="26">
        <f>-SUMIFS(T_ORCAMENTOS!$E:$E,T_ORCAMENTOS!$C:$C,"Conduções/Taxi/Uber",T_ORCAMENTOS!$H:$H,"5/2026")</f>
        <v>0</v>
      </c>
      <c r="V262" s="27">
        <f>SUMIFS(Aut_BlueMe_Sem_Pedido!$J:$J,Aut_BlueMe_Sem_Pedido!$Q:$Q,DRE!T$4,Aut_BlueMe_Sem_Pedido!$H:$H,DRE!$A262)+SUMIFS(Aut_Ajustes_Manuais!$G:$G,Aut_Ajustes_Manuais!$I:$I,DRE!T$4,Aut_Ajustes_Manuais!$F:$F,"Conduções/Taxi/Uber")</f>
        <v>0</v>
      </c>
      <c r="W262" s="237"/>
      <c r="X262" s="26">
        <f>-SUMIFS(T_ORCAMENTOS!$E:$E,T_ORCAMENTOS!$C:$C,"Conduções/Taxi/Uber",T_ORCAMENTOS!$H:$H,"6/2026")</f>
        <v>0</v>
      </c>
      <c r="Y262" s="27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37"/>
      <c r="AA262" s="26">
        <f>-SUMIFS(T_ORCAMENTOS!$E:$E,T_ORCAMENTOS!$C:$C,"Conduções/Taxi/Uber",T_ORCAMENTOS!$H:$H,"7/2026")</f>
        <v>0</v>
      </c>
      <c r="AB262" s="27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37"/>
      <c r="AD262" s="26">
        <f>-SUMIFS(T_ORCAMENTOS!$E:$E,T_ORCAMENTOS!$C:$C,"Conduções/Taxi/Uber",T_ORCAMENTOS!$H:$H,"8/2026")</f>
        <v>-300</v>
      </c>
      <c r="AE262" s="27">
        <f>SUMIFS(Aut_BlueMe_Sem_Pedido!$J:$J,Aut_BlueMe_Sem_Pedido!$Q:$Q,DRE!AC$4,Aut_BlueMe_Sem_Pedido!$H:$H,DRE!$A262)+SUMIFS(Aut_Ajustes_Manuais!$G:$G,Aut_Ajustes_Manuais!$I:$I,DRE!AC$4,Aut_Ajustes_Manuais!$F:$F,"Conduções/Taxi/Uber")</f>
        <v>0</v>
      </c>
      <c r="AF262" s="237"/>
      <c r="AG262" s="26">
        <f>-SUMIFS(T_ORCAMENTOS!$E:$E,T_ORCAMENTOS!$C:$C,"Conduções/Taxi/Uber",T_ORCAMENTOS!$H:$H,"9/2026")</f>
        <v>-300</v>
      </c>
      <c r="AH262" s="27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37"/>
      <c r="AJ262" s="26">
        <f>-SUMIFS(T_ORCAMENTOS!$E:$E,T_ORCAMENTOS!$C:$C,"Conduções/Taxi/Uber",T_ORCAMENTOS!$H:$H,"10/2026")</f>
        <v>-300</v>
      </c>
      <c r="AK262" s="27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37"/>
      <c r="AM262" s="26">
        <f>-SUMIFS(T_ORCAMENTOS!$E:$E,T_ORCAMENTOS!$C:$C,"Conduções/Taxi/Uber",T_ORCAMENTOS!$H:$H,"11/2026")</f>
        <v>-300</v>
      </c>
      <c r="AN262" s="27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37"/>
      <c r="AP262" s="26">
        <f>-SUMIFS(T_ORCAMENTOS!$E:$E,T_ORCAMENTOS!$C:$C,"Conduções/Taxi/Uber",T_ORCAMENTOS!$H:$H,"12/2026")</f>
        <v>-300</v>
      </c>
      <c r="AQ262" s="27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37">
        <f t="shared" ca="1" si="225"/>
        <v>0</v>
      </c>
      <c r="AS262" s="26">
        <f t="shared" ca="1" si="226"/>
        <v>-300</v>
      </c>
      <c r="AT262" s="27">
        <f t="shared" ca="1" si="227"/>
        <v>0</v>
      </c>
      <c r="AU262" s="237">
        <f t="shared" si="228"/>
        <v>0</v>
      </c>
      <c r="AV262" s="26">
        <f t="shared" si="228"/>
        <v>-1500</v>
      </c>
      <c r="AW262" s="27">
        <f t="shared" si="228"/>
        <v>0</v>
      </c>
      <c r="AX262" s="237">
        <f t="shared" si="229"/>
        <v>0</v>
      </c>
      <c r="AY262" s="26">
        <f t="shared" si="229"/>
        <v>0</v>
      </c>
      <c r="AZ262" s="27">
        <f t="shared" si="229"/>
        <v>0</v>
      </c>
      <c r="BA262" s="237">
        <f t="shared" si="230"/>
        <v>0</v>
      </c>
      <c r="BB262" s="26">
        <f t="shared" si="230"/>
        <v>0</v>
      </c>
      <c r="BC262" s="27">
        <f t="shared" si="230"/>
        <v>0</v>
      </c>
      <c r="BD262" s="237">
        <f t="shared" si="231"/>
        <v>0</v>
      </c>
      <c r="BE262" s="26">
        <f t="shared" si="231"/>
        <v>-600</v>
      </c>
      <c r="BF262" s="27">
        <f t="shared" si="231"/>
        <v>0</v>
      </c>
      <c r="BG262" s="237">
        <f t="shared" si="232"/>
        <v>0</v>
      </c>
      <c r="BH262" s="26">
        <f t="shared" si="232"/>
        <v>-900</v>
      </c>
      <c r="BI262" s="27">
        <f t="shared" si="232"/>
        <v>0</v>
      </c>
      <c r="BJ262" s="454"/>
    </row>
    <row r="263" spans="1:62" s="28" customFormat="1" hidden="1" outlineLevel="1" x14ac:dyDescent="0.3">
      <c r="A263" s="21" t="s">
        <v>294</v>
      </c>
      <c r="B263" s="22"/>
      <c r="C263" s="23"/>
      <c r="D263" s="117"/>
      <c r="E263" s="110"/>
      <c r="F263" s="54"/>
      <c r="G263" s="32"/>
      <c r="H263" s="237"/>
      <c r="I263" s="26">
        <f>-SUMIFS(T_ORCAMENTOS!$E:$E,T_ORCAMENTOS!$C:$C,"Viagens e Estadias - Operação",T_ORCAMENTOS!$H:$H,"1/2026")</f>
        <v>0</v>
      </c>
      <c r="J263" s="27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37"/>
      <c r="L263" s="26">
        <f>-SUMIFS(T_ORCAMENTOS!$E:$E,T_ORCAMENTOS!$C:$C,"Viagens e Estadias - Operação",T_ORCAMENTOS!$H:$H,"2/2026")</f>
        <v>0</v>
      </c>
      <c r="M263" s="27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37"/>
      <c r="O263" s="26">
        <f>-SUMIFS(T_ORCAMENTOS!$E:$E,T_ORCAMENTOS!$C:$C,"Viagens e Estadias - Operação",T_ORCAMENTOS!$H:$H,"3/2026")</f>
        <v>0</v>
      </c>
      <c r="P263" s="27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37"/>
      <c r="R263" s="26">
        <f>-SUMIFS(T_ORCAMENTOS!$E:$E,T_ORCAMENTOS!$C:$C,"Viagens e Estadias - Operação",T_ORCAMENTOS!$H:$H,"4/2026")</f>
        <v>0</v>
      </c>
      <c r="S263" s="27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37"/>
      <c r="U263" s="26">
        <f>-SUMIFS(T_ORCAMENTOS!$E:$E,T_ORCAMENTOS!$C:$C,"Viagens e Estadias - Operação",T_ORCAMENTOS!$H:$H,"5/2026")</f>
        <v>0</v>
      </c>
      <c r="V263" s="27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37"/>
      <c r="X263" s="26">
        <f>-SUMIFS(T_ORCAMENTOS!$E:$E,T_ORCAMENTOS!$C:$C,"Viagens e Estadias - Operação",T_ORCAMENTOS!$H:$H,"6/2026")</f>
        <v>0</v>
      </c>
      <c r="Y263" s="27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37"/>
      <c r="AA263" s="26">
        <f>-SUMIFS(T_ORCAMENTOS!$E:$E,T_ORCAMENTOS!$C:$C,"Viagens e Estadias - Operação",T_ORCAMENTOS!$H:$H,"7/2026")</f>
        <v>0</v>
      </c>
      <c r="AB263" s="27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37"/>
      <c r="AD263" s="26">
        <f>-SUMIFS(T_ORCAMENTOS!$E:$E,T_ORCAMENTOS!$C:$C,"Viagens e Estadias - Operação",T_ORCAMENTOS!$H:$H,"8/2026")</f>
        <v>0</v>
      </c>
      <c r="AE263" s="27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37"/>
      <c r="AG263" s="26">
        <f>-SUMIFS(T_ORCAMENTOS!$E:$E,T_ORCAMENTOS!$C:$C,"Viagens e Estadias - Operação",T_ORCAMENTOS!$H:$H,"9/2026")</f>
        <v>0</v>
      </c>
      <c r="AH263" s="27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37"/>
      <c r="AJ263" s="26">
        <f>-SUMIFS(T_ORCAMENTOS!$E:$E,T_ORCAMENTOS!$C:$C,"Viagens e Estadias - Operação",T_ORCAMENTOS!$H:$H,"10/2026")</f>
        <v>0</v>
      </c>
      <c r="AK263" s="27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37"/>
      <c r="AM263" s="26">
        <f>-SUMIFS(T_ORCAMENTOS!$E:$E,T_ORCAMENTOS!$C:$C,"Viagens e Estadias - Operação",T_ORCAMENTOS!$H:$H,"11/2026")</f>
        <v>0</v>
      </c>
      <c r="AN263" s="27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37"/>
      <c r="AP263" s="26">
        <f>-SUMIFS(T_ORCAMENTOS!$E:$E,T_ORCAMENTOS!$C:$C,"Viagens e Estadias - Operação",T_ORCAMENTOS!$H:$H,"12/2026")</f>
        <v>0</v>
      </c>
      <c r="AQ263" s="27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37">
        <f t="shared" ca="1" si="225"/>
        <v>0</v>
      </c>
      <c r="AS263" s="26">
        <f t="shared" ca="1" si="226"/>
        <v>0</v>
      </c>
      <c r="AT263" s="27">
        <f t="shared" ca="1" si="227"/>
        <v>0</v>
      </c>
      <c r="AU263" s="237">
        <f t="shared" si="228"/>
        <v>0</v>
      </c>
      <c r="AV263" s="26">
        <f t="shared" si="228"/>
        <v>0</v>
      </c>
      <c r="AW263" s="27">
        <f t="shared" si="228"/>
        <v>0</v>
      </c>
      <c r="AX263" s="237">
        <f t="shared" si="229"/>
        <v>0</v>
      </c>
      <c r="AY263" s="26">
        <f t="shared" si="229"/>
        <v>0</v>
      </c>
      <c r="AZ263" s="27">
        <f t="shared" si="229"/>
        <v>0</v>
      </c>
      <c r="BA263" s="237">
        <f t="shared" si="230"/>
        <v>0</v>
      </c>
      <c r="BB263" s="26">
        <f t="shared" si="230"/>
        <v>0</v>
      </c>
      <c r="BC263" s="27">
        <f t="shared" si="230"/>
        <v>0</v>
      </c>
      <c r="BD263" s="237">
        <f t="shared" si="231"/>
        <v>0</v>
      </c>
      <c r="BE263" s="26">
        <f t="shared" si="231"/>
        <v>0</v>
      </c>
      <c r="BF263" s="27">
        <f t="shared" si="231"/>
        <v>0</v>
      </c>
      <c r="BG263" s="237">
        <f t="shared" si="232"/>
        <v>0</v>
      </c>
      <c r="BH263" s="26">
        <f t="shared" si="232"/>
        <v>0</v>
      </c>
      <c r="BI263" s="27">
        <f t="shared" si="232"/>
        <v>0</v>
      </c>
      <c r="BJ263" s="454"/>
    </row>
    <row r="264" spans="1:62" collapsed="1" x14ac:dyDescent="0.3">
      <c r="A264" s="69" t="s">
        <v>44</v>
      </c>
      <c r="B264" s="57"/>
      <c r="C264" s="58"/>
      <c r="D264" s="59"/>
      <c r="E264" s="60"/>
      <c r="F264" s="61"/>
      <c r="G264" s="45"/>
      <c r="H264" s="241"/>
      <c r="I264" s="48">
        <f>IFERROR(I255/I8,0)</f>
        <v>0</v>
      </c>
      <c r="J264" s="49">
        <f>IFERROR(J255/J8,0)+SUMIFS(Aut_Ajustes_Manuais!$G:$G,Aut_Ajustes_Manuais!$I:$I,DRE!H$4,Aut_Ajustes_Manuais!$F:$F,"% sobre Receita Bruta")</f>
        <v>0</v>
      </c>
      <c r="K264" s="241"/>
      <c r="L264" s="48">
        <f>IFERROR(L255/L8,0)</f>
        <v>0</v>
      </c>
      <c r="M264" s="49">
        <f>IFERROR(M255/M8,0)+SUMIFS(Aut_Ajustes_Manuais!$G:$G,Aut_Ajustes_Manuais!$I:$I,DRE!K$4,Aut_Ajustes_Manuais!$F:$F,"% sobre Receita Bruta")</f>
        <v>0</v>
      </c>
      <c r="N264" s="241"/>
      <c r="O264" s="48">
        <f>IFERROR(O255/O8,0)</f>
        <v>0</v>
      </c>
      <c r="P264" s="49">
        <f>IFERROR(P255/P8,0)+SUMIFS(Aut_Ajustes_Manuais!$G:$G,Aut_Ajustes_Manuais!$I:$I,DRE!N$4,Aut_Ajustes_Manuais!$F:$F,"% sobre Receita Bruta")</f>
        <v>0</v>
      </c>
      <c r="Q264" s="241"/>
      <c r="R264" s="48">
        <f>IFERROR(R255/R8,0)</f>
        <v>0</v>
      </c>
      <c r="S264" s="49">
        <f>IFERROR(S255/S8,0)+SUMIFS(Aut_Ajustes_Manuais!$G:$G,Aut_Ajustes_Manuais!$I:$I,DRE!Q$4,Aut_Ajustes_Manuais!$F:$F,"% sobre Receita Bruta")</f>
        <v>0</v>
      </c>
      <c r="T264" s="241"/>
      <c r="U264" s="48">
        <f>IFERROR(U255/U8,0)</f>
        <v>0</v>
      </c>
      <c r="V264" s="49">
        <f>IFERROR(V255/V8,0)+SUMIFS(Aut_Ajustes_Manuais!$G:$G,Aut_Ajustes_Manuais!$I:$I,DRE!T$4,Aut_Ajustes_Manuais!$F:$F,"% sobre Receita Bruta")</f>
        <v>0</v>
      </c>
      <c r="W264" s="241"/>
      <c r="X264" s="48">
        <f>IFERROR(X255/X8,0)</f>
        <v>0</v>
      </c>
      <c r="Y264" s="49">
        <f>IFERROR(Y255/Y8,0)+SUMIFS(Aut_Ajustes_Manuais!$G:$G,Aut_Ajustes_Manuais!$I:$I,DRE!W$4,Aut_Ajustes_Manuais!$F:$F,"% sobre Receita Bruta")</f>
        <v>0</v>
      </c>
      <c r="Z264" s="241"/>
      <c r="AA264" s="48">
        <f>IFERROR(AA255/AA8,0)</f>
        <v>0</v>
      </c>
      <c r="AB264" s="49">
        <f>IFERROR(AB255/AB8,0)+SUMIFS(Aut_Ajustes_Manuais!$G:$G,Aut_Ajustes_Manuais!$I:$I,DRE!Z$4,Aut_Ajustes_Manuais!$F:$F,"% sobre Receita Bruta")</f>
        <v>-7.7331699781263474E-2</v>
      </c>
      <c r="AC264" s="241"/>
      <c r="AD264" s="48">
        <f>IFERROR(AD255/AD8,0)</f>
        <v>-4.0834420799941221E-3</v>
      </c>
      <c r="AE264" s="49">
        <f>IFERROR(AE255/AE8,0)+SUMIFS(Aut_Ajustes_Manuais!$G:$G,Aut_Ajustes_Manuais!$I:$I,DRE!AC$4,Aut_Ajustes_Manuais!$F:$F,"% sobre Receita Bruta")</f>
        <v>0</v>
      </c>
      <c r="AF264" s="241"/>
      <c r="AG264" s="48">
        <f>IFERROR(AG255/AG8,0)</f>
        <v>-4.2083810543378881E-3</v>
      </c>
      <c r="AH264" s="49">
        <f>IFERROR(AH255/AH8,0)+SUMIFS(Aut_Ajustes_Manuais!$G:$G,Aut_Ajustes_Manuais!$I:$I,DRE!AF$4,Aut_Ajustes_Manuais!$F:$F,"% sobre Receita Bruta")</f>
        <v>0</v>
      </c>
      <c r="AI264" s="241"/>
      <c r="AJ264" s="48">
        <f>IFERROR(AJ255/AJ8,0)</f>
        <v>-3.8520355037148031E-3</v>
      </c>
      <c r="AK264" s="49">
        <f>IFERROR(AK255/AK8,0)+SUMIFS(Aut_Ajustes_Manuais!$G:$G,Aut_Ajustes_Manuais!$I:$I,DRE!AI$4,Aut_Ajustes_Manuais!$F:$F,"% sobre Receita Bruta")</f>
        <v>0</v>
      </c>
      <c r="AL264" s="241"/>
      <c r="AM264" s="48">
        <f>IFERROR(AM255/AM8,0)</f>
        <v>-4.1643959396234272E-3</v>
      </c>
      <c r="AN264" s="49">
        <f>IFERROR(AN255/AN8,0)+SUMIFS(Aut_Ajustes_Manuais!$G:$G,Aut_Ajustes_Manuais!$I:$I,DRE!AL$4,Aut_Ajustes_Manuais!$F:$F,"% sobre Receita Bruta")</f>
        <v>0</v>
      </c>
      <c r="AO264" s="241"/>
      <c r="AP264" s="48">
        <f>IFERROR(AP255/AP8,0)</f>
        <v>-3.8388355822978172E-3</v>
      </c>
      <c r="AQ264" s="49">
        <f>IFERROR(AQ255/AQ8,0)+SUMIFS(Aut_Ajustes_Manuais!$G:$G,Aut_Ajustes_Manuais!$I:$I,DRE!AO$4,Aut_Ajustes_Manuais!$F:$F,"% sobre Receita Bruta")</f>
        <v>0</v>
      </c>
      <c r="AR264" s="241">
        <f t="shared" ref="AR264:BI264" ca="1" si="233">IFERROR(AR255/AR8,0)</f>
        <v>0</v>
      </c>
      <c r="AS264" s="48">
        <f t="shared" ca="1" si="233"/>
        <v>-4.0834420799941221E-3</v>
      </c>
      <c r="AT264" s="49">
        <f t="shared" ca="1" si="233"/>
        <v>-0.13564420714572173</v>
      </c>
      <c r="AU264" s="241">
        <f t="shared" si="233"/>
        <v>0</v>
      </c>
      <c r="AV264" s="48">
        <f t="shared" si="233"/>
        <v>-4.0230417181291401E-3</v>
      </c>
      <c r="AW264" s="49">
        <f t="shared" si="233"/>
        <v>-0.13564420714572173</v>
      </c>
      <c r="AX264" s="241">
        <f t="shared" si="233"/>
        <v>0</v>
      </c>
      <c r="AY264" s="48">
        <f t="shared" si="233"/>
        <v>0</v>
      </c>
      <c r="AZ264" s="49">
        <f t="shared" si="233"/>
        <v>0</v>
      </c>
      <c r="BA264" s="241">
        <f t="shared" si="233"/>
        <v>0</v>
      </c>
      <c r="BB264" s="48">
        <f t="shared" si="233"/>
        <v>0</v>
      </c>
      <c r="BC264" s="49">
        <f t="shared" si="233"/>
        <v>0</v>
      </c>
      <c r="BD264" s="241">
        <f t="shared" si="233"/>
        <v>0</v>
      </c>
      <c r="BE264" s="48">
        <f t="shared" si="233"/>
        <v>-4.1449225969947094E-3</v>
      </c>
      <c r="BF264" s="49">
        <f t="shared" si="233"/>
        <v>-7.7331699781263474E-2</v>
      </c>
      <c r="BG264" s="241">
        <f t="shared" si="233"/>
        <v>0</v>
      </c>
      <c r="BH264" s="48">
        <f t="shared" si="233"/>
        <v>-3.9458873461258618E-3</v>
      </c>
      <c r="BI264" s="49">
        <f t="shared" si="233"/>
        <v>0</v>
      </c>
    </row>
    <row r="265" spans="1:62" x14ac:dyDescent="0.3">
      <c r="A265" s="17"/>
      <c r="E265" s="15"/>
      <c r="F265" s="16"/>
      <c r="G265" s="45"/>
      <c r="H265" s="243"/>
      <c r="I265" s="16"/>
      <c r="J265" s="55"/>
      <c r="K265" s="243"/>
      <c r="L265" s="16"/>
      <c r="M265" s="55"/>
      <c r="N265" s="243"/>
      <c r="O265" s="16"/>
      <c r="P265" s="55"/>
      <c r="Q265" s="243"/>
      <c r="R265" s="16"/>
      <c r="S265" s="55"/>
      <c r="T265" s="243"/>
      <c r="U265" s="16"/>
      <c r="V265" s="55"/>
      <c r="W265" s="243"/>
      <c r="X265" s="16"/>
      <c r="Y265" s="55"/>
      <c r="Z265" s="243"/>
      <c r="AA265" s="16"/>
      <c r="AB265" s="55"/>
      <c r="AC265" s="243"/>
      <c r="AD265" s="16"/>
      <c r="AE265" s="55"/>
      <c r="AF265" s="243"/>
      <c r="AG265" s="16"/>
      <c r="AH265" s="55"/>
      <c r="AI265" s="243"/>
      <c r="AJ265" s="16"/>
      <c r="AK265" s="55"/>
      <c r="AL265" s="243"/>
      <c r="AM265" s="16"/>
      <c r="AN265" s="55"/>
      <c r="AO265" s="243"/>
      <c r="AP265" s="16"/>
      <c r="AQ265" s="55"/>
      <c r="AR265" s="243"/>
      <c r="AS265" s="16"/>
      <c r="AT265" s="55"/>
      <c r="AU265" s="243"/>
      <c r="AV265" s="16"/>
      <c r="AW265" s="55"/>
      <c r="AX265" s="243"/>
      <c r="AY265" s="16"/>
      <c r="AZ265" s="55"/>
      <c r="BA265" s="243"/>
      <c r="BB265" s="16"/>
      <c r="BC265" s="55"/>
      <c r="BD265" s="243"/>
      <c r="BE265" s="16"/>
      <c r="BF265" s="55"/>
      <c r="BG265" s="243"/>
      <c r="BH265" s="16"/>
      <c r="BI265" s="55"/>
    </row>
    <row r="266" spans="1:62" x14ac:dyDescent="0.3">
      <c r="A266" s="37" t="s">
        <v>295</v>
      </c>
      <c r="C266" s="38" t="s">
        <v>35</v>
      </c>
      <c r="D266" s="38" t="s">
        <v>36</v>
      </c>
      <c r="E266" s="38" t="s">
        <v>201</v>
      </c>
      <c r="F266" s="16"/>
      <c r="G266" s="45"/>
      <c r="H266" s="240"/>
      <c r="I266" s="40">
        <f>SUM(I267:I277)</f>
        <v>0</v>
      </c>
      <c r="J266" s="41">
        <f>SUM(J267:J277)+SUMIFS(Aut_Ajustes_Manuais!$G:$G,Aut_Ajustes_Manuais!$I:$I,DRE!H$4,Aut_Ajustes_Manuais!$F:$F,"Marketing")</f>
        <v>0</v>
      </c>
      <c r="K266" s="240"/>
      <c r="L266" s="40">
        <f>SUM(L267:L277)</f>
        <v>0</v>
      </c>
      <c r="M266" s="41">
        <f>SUM(M267:M277)+SUMIFS(Aut_Ajustes_Manuais!$G:$G,Aut_Ajustes_Manuais!$I:$I,DRE!K$4,Aut_Ajustes_Manuais!$F:$F,"Marketing")</f>
        <v>-754.69</v>
      </c>
      <c r="N266" s="240"/>
      <c r="O266" s="40">
        <f>SUM(O267:O277)</f>
        <v>0</v>
      </c>
      <c r="P266" s="41">
        <f>SUM(P267:P277)+SUMIFS(Aut_Ajustes_Manuais!$G:$G,Aut_Ajustes_Manuais!$I:$I,DRE!N$4,Aut_Ajustes_Manuais!$F:$F,"Marketing")</f>
        <v>-440.71</v>
      </c>
      <c r="Q266" s="240"/>
      <c r="R266" s="40">
        <f>SUM(R267:R277)</f>
        <v>0</v>
      </c>
      <c r="S266" s="41">
        <f>SUM(S267:S277)+SUMIFS(Aut_Ajustes_Manuais!$G:$G,Aut_Ajustes_Manuais!$I:$I,DRE!Q$4,Aut_Ajustes_Manuais!$F:$F,"Marketing")</f>
        <v>-431.79</v>
      </c>
      <c r="T266" s="240"/>
      <c r="U266" s="40">
        <f>SUM(U267:U277)</f>
        <v>0</v>
      </c>
      <c r="V266" s="41">
        <f>SUM(V267:V277)+SUMIFS(Aut_Ajustes_Manuais!$G:$G,Aut_Ajustes_Manuais!$I:$I,DRE!T$4,Aut_Ajustes_Manuais!$F:$F,"Marketing")</f>
        <v>-14468.29</v>
      </c>
      <c r="W266" s="240"/>
      <c r="X266" s="40">
        <f>SUM(X267:X277)</f>
        <v>0</v>
      </c>
      <c r="Y266" s="41">
        <f>SUM(Y267:Y277)+SUMIFS(Aut_Ajustes_Manuais!$G:$G,Aut_Ajustes_Manuais!$I:$I,DRE!W$4,Aut_Ajustes_Manuais!$F:$F,"Marketing")</f>
        <v>-1826.31</v>
      </c>
      <c r="Z266" s="240"/>
      <c r="AA266" s="40">
        <f>SUM(AA267:AA277)</f>
        <v>0</v>
      </c>
      <c r="AB266" s="41">
        <f>SUM(AB267:AB277)+SUMIFS(Aut_Ajustes_Manuais!$G:$G,Aut_Ajustes_Manuais!$I:$I,DRE!Z$4,Aut_Ajustes_Manuais!$F:$F,"Marketing")</f>
        <v>-7290.73</v>
      </c>
      <c r="AC266" s="240"/>
      <c r="AD266" s="40">
        <f>SUM(AD267:AD277)</f>
        <v>-37917.730000000003</v>
      </c>
      <c r="AE266" s="41">
        <f>SUM(AE267:AE277)+SUMIFS(Aut_Ajustes_Manuais!$G:$G,Aut_Ajustes_Manuais!$I:$I,DRE!AC$4,Aut_Ajustes_Manuais!$F:$F,"Marketing")</f>
        <v>-1000</v>
      </c>
      <c r="AF266" s="240"/>
      <c r="AG266" s="40">
        <f>SUM(AG267:AG277)</f>
        <v>-37917.730000000003</v>
      </c>
      <c r="AH266" s="41">
        <f>SUM(AH267:AH277)+SUMIFS(Aut_Ajustes_Manuais!$G:$G,Aut_Ajustes_Manuais!$I:$I,DRE!AF$4,Aut_Ajustes_Manuais!$F:$F,"Marketing")</f>
        <v>-1000</v>
      </c>
      <c r="AI266" s="240"/>
      <c r="AJ266" s="40">
        <f>SUM(AJ267:AJ277)</f>
        <v>-37917.730000000003</v>
      </c>
      <c r="AK266" s="41">
        <f>SUM(AK267:AK277)+SUMIFS(Aut_Ajustes_Manuais!$G:$G,Aut_Ajustes_Manuais!$I:$I,DRE!AI$4,Aut_Ajustes_Manuais!$F:$F,"Marketing")</f>
        <v>-1000</v>
      </c>
      <c r="AL266" s="240"/>
      <c r="AM266" s="40">
        <f>SUM(AM267:AM277)</f>
        <v>-37917.730000000003</v>
      </c>
      <c r="AN266" s="41">
        <f>SUM(AN267:AN277)+SUMIFS(Aut_Ajustes_Manuais!$G:$G,Aut_Ajustes_Manuais!$I:$I,DRE!AL$4,Aut_Ajustes_Manuais!$F:$F,"Marketing")</f>
        <v>-1000</v>
      </c>
      <c r="AO266" s="240"/>
      <c r="AP266" s="40">
        <f>SUM(AP267:AP277)</f>
        <v>-37917.730000000003</v>
      </c>
      <c r="AQ266" s="41">
        <f>SUM(AQ267:AQ277)+SUMIFS(Aut_Ajustes_Manuais!$G:$G,Aut_Ajustes_Manuais!$I:$I,DRE!AO$4,Aut_Ajustes_Manuais!$F:$F,"Marketing")</f>
        <v>-1000</v>
      </c>
      <c r="AR266" s="240">
        <f t="shared" ref="AR266:BI266" ca="1" si="234">SUM(AR267:AR277)</f>
        <v>0</v>
      </c>
      <c r="AS266" s="40">
        <f t="shared" ca="1" si="234"/>
        <v>-37917.730000000003</v>
      </c>
      <c r="AT266" s="41">
        <f t="shared" ca="1" si="234"/>
        <v>-26212.52</v>
      </c>
      <c r="AU266" s="240">
        <f t="shared" si="234"/>
        <v>0</v>
      </c>
      <c r="AV266" s="40">
        <f t="shared" si="234"/>
        <v>-189588.65</v>
      </c>
      <c r="AW266" s="41">
        <f t="shared" si="234"/>
        <v>-30212.52</v>
      </c>
      <c r="AX266" s="240">
        <f t="shared" si="234"/>
        <v>0</v>
      </c>
      <c r="AY266" s="40">
        <f t="shared" si="234"/>
        <v>0</v>
      </c>
      <c r="AZ266" s="41">
        <f t="shared" si="234"/>
        <v>-1195.4000000000001</v>
      </c>
      <c r="BA266" s="240">
        <f t="shared" si="234"/>
        <v>0</v>
      </c>
      <c r="BB266" s="40">
        <f t="shared" si="234"/>
        <v>0</v>
      </c>
      <c r="BC266" s="41">
        <f t="shared" si="234"/>
        <v>-16726.39</v>
      </c>
      <c r="BD266" s="240">
        <f t="shared" si="234"/>
        <v>0</v>
      </c>
      <c r="BE266" s="40">
        <f t="shared" si="234"/>
        <v>-75835.460000000006</v>
      </c>
      <c r="BF266" s="41">
        <f t="shared" si="234"/>
        <v>-9290.73</v>
      </c>
      <c r="BG266" s="240">
        <f t="shared" si="234"/>
        <v>0</v>
      </c>
      <c r="BH266" s="40">
        <f t="shared" si="234"/>
        <v>-113753.19</v>
      </c>
      <c r="BI266" s="41">
        <f t="shared" si="234"/>
        <v>-3000</v>
      </c>
    </row>
    <row r="267" spans="1:62" s="28" customFormat="1" hidden="1" outlineLevel="1" x14ac:dyDescent="0.3">
      <c r="A267" s="21" t="s">
        <v>296</v>
      </c>
      <c r="B267" s="22"/>
      <c r="C267" s="23" t="s">
        <v>67</v>
      </c>
      <c r="D267" s="112"/>
      <c r="E267" s="111"/>
      <c r="F267" s="54"/>
      <c r="G267" s="32"/>
      <c r="H267" s="237"/>
      <c r="I267" s="26">
        <f>-SUMIFS(T_ORCAMENTOS!$E:$E,T_ORCAMENTOS!$C:$C,"Agência de Propaganda",T_ORCAMENTOS!$H:$H,"1/2026")</f>
        <v>0</v>
      </c>
      <c r="J267" s="27">
        <f>SUMIFS(Aut_BlueMe_Sem_Pedido!$J:$J,Aut_BlueMe_Sem_Pedido!$Q:$Q,DRE!H$4,Aut_BlueMe_Sem_Pedido!$H:$H,DRE!$A267)+SUMIFS(Aut_Ajustes_Manuais!$G:$G,Aut_Ajustes_Manuais!$I:$I,DRE!H$4,Aut_Ajustes_Manuais!$F:$F,"Agência de Propaganda")</f>
        <v>0</v>
      </c>
      <c r="K267" s="237"/>
      <c r="L267" s="26">
        <f>-SUMIFS(T_ORCAMENTOS!$E:$E,T_ORCAMENTOS!$C:$C,"Agência de Propaganda",T_ORCAMENTOS!$H:$H,"2/2026")</f>
        <v>0</v>
      </c>
      <c r="M267" s="27">
        <f>SUMIFS(Aut_BlueMe_Sem_Pedido!$J:$J,Aut_BlueMe_Sem_Pedido!$Q:$Q,DRE!K$4,Aut_BlueMe_Sem_Pedido!$H:$H,DRE!$A267)+SUMIFS(Aut_Ajustes_Manuais!$G:$G,Aut_Ajustes_Manuais!$I:$I,DRE!K$4,Aut_Ajustes_Manuais!$F:$F,"Agência de Propaganda")</f>
        <v>0</v>
      </c>
      <c r="N267" s="237"/>
      <c r="O267" s="26">
        <f>-SUMIFS(T_ORCAMENTOS!$E:$E,T_ORCAMENTOS!$C:$C,"Agência de Propaganda",T_ORCAMENTOS!$H:$H,"3/2026")</f>
        <v>0</v>
      </c>
      <c r="P267" s="27">
        <f>SUMIFS(Aut_BlueMe_Sem_Pedido!$J:$J,Aut_BlueMe_Sem_Pedido!$Q:$Q,DRE!N$4,Aut_BlueMe_Sem_Pedido!$H:$H,DRE!$A267)+SUMIFS(Aut_Ajustes_Manuais!$G:$G,Aut_Ajustes_Manuais!$I:$I,DRE!N$4,Aut_Ajustes_Manuais!$F:$F,"Agência de Propaganda")</f>
        <v>0</v>
      </c>
      <c r="Q267" s="237"/>
      <c r="R267" s="26">
        <f>-SUMIFS(T_ORCAMENTOS!$E:$E,T_ORCAMENTOS!$C:$C,"Agência de Propaganda",T_ORCAMENTOS!$H:$H,"4/2026")</f>
        <v>0</v>
      </c>
      <c r="S267" s="27">
        <f>SUMIFS(Aut_BlueMe_Sem_Pedido!$J:$J,Aut_BlueMe_Sem_Pedido!$Q:$Q,DRE!Q$4,Aut_BlueMe_Sem_Pedido!$H:$H,DRE!$A267)+SUMIFS(Aut_Ajustes_Manuais!$G:$G,Aut_Ajustes_Manuais!$I:$I,DRE!Q$4,Aut_Ajustes_Manuais!$F:$F,"Agência de Propaganda")</f>
        <v>0</v>
      </c>
      <c r="T267" s="237"/>
      <c r="U267" s="26">
        <f>-SUMIFS(T_ORCAMENTOS!$E:$E,T_ORCAMENTOS!$C:$C,"Agência de Propaganda",T_ORCAMENTOS!$H:$H,"5/2026")</f>
        <v>0</v>
      </c>
      <c r="V267" s="26">
        <f>SUMIFS(Aut_BlueMe_Sem_Pedido!$J:$J,Aut_BlueMe_Sem_Pedido!$Q:$Q,DRE!T$4,Aut_BlueMe_Sem_Pedido!$H:$H,DRE!$A267)+SUMIFS(Aut_Ajustes_Manuais!$G:$G,Aut_Ajustes_Manuais!$I:$I,DRE!T$4,Aut_Ajustes_Manuais!$F:$F,"Agência de Propaganda")</f>
        <v>-12000</v>
      </c>
      <c r="W267" s="237"/>
      <c r="X267" s="26">
        <f>-SUMIFS(T_ORCAMENTOS!$E:$E,T_ORCAMENTOS!$C:$C,"Agência de Propaganda",T_ORCAMENTOS!$H:$H,"6/2026")</f>
        <v>0</v>
      </c>
      <c r="Y267" s="27">
        <f>SUMIFS(Aut_BlueMe_Sem_Pedido!$J:$J,Aut_BlueMe_Sem_Pedido!$Q:$Q,DRE!W$4,Aut_BlueMe_Sem_Pedido!$H:$H,DRE!$A267)+SUMIFS(Aut_Ajustes_Manuais!$G:$G,Aut_Ajustes_Manuais!$I:$I,DRE!W$4,Aut_Ajustes_Manuais!$F:$F,"Agência de Propaganda")</f>
        <v>0</v>
      </c>
      <c r="Z267" s="237"/>
      <c r="AA267" s="26">
        <f>-SUMIFS(T_ORCAMENTOS!$E:$E,T_ORCAMENTOS!$C:$C,"Agência de Propaganda",T_ORCAMENTOS!$H:$H,"7/2026")</f>
        <v>0</v>
      </c>
      <c r="AB267" s="27">
        <f>SUMIFS(Aut_BlueMe_Sem_Pedido!$J:$J,Aut_BlueMe_Sem_Pedido!$Q:$Q,DRE!Z$4,Aut_BlueMe_Sem_Pedido!$H:$H,DRE!$A267)+SUMIFS(Aut_Ajustes_Manuais!$G:$G,Aut_Ajustes_Manuais!$I:$I,DRE!Z$4,Aut_Ajustes_Manuais!$F:$F,"Agência de Propaganda")</f>
        <v>0</v>
      </c>
      <c r="AC267" s="237"/>
      <c r="AD267" s="26">
        <f>-SUMIFS(T_ORCAMENTOS!$E:$E,T_ORCAMENTOS!$C:$C,"Agência de Propaganda",T_ORCAMENTOS!$H:$H,"8/2026")</f>
        <v>-12000</v>
      </c>
      <c r="AE267" s="27">
        <f>SUMIFS(Aut_BlueMe_Sem_Pedido!$J:$J,Aut_BlueMe_Sem_Pedido!$Q:$Q,DRE!AC$4,Aut_BlueMe_Sem_Pedido!$H:$H,DRE!$A267)+SUMIFS(Aut_Ajustes_Manuais!$G:$G,Aut_Ajustes_Manuais!$I:$I,DRE!AC$4,Aut_Ajustes_Manuais!$F:$F,"Agência de Propaganda")</f>
        <v>0</v>
      </c>
      <c r="AF267" s="237"/>
      <c r="AG267" s="26">
        <f>-SUMIFS(T_ORCAMENTOS!$E:$E,T_ORCAMENTOS!$C:$C,"Agência de Propaganda",T_ORCAMENTOS!$H:$H,"9/2026")</f>
        <v>-12000</v>
      </c>
      <c r="AH267" s="27">
        <f>SUMIFS(Aut_BlueMe_Sem_Pedido!$J:$J,Aut_BlueMe_Sem_Pedido!$Q:$Q,DRE!AF$4,Aut_BlueMe_Sem_Pedido!$H:$H,DRE!$A267)+SUMIFS(Aut_Ajustes_Manuais!$G:$G,Aut_Ajustes_Manuais!$I:$I,DRE!AF$4,Aut_Ajustes_Manuais!$F:$F,"Agência de Propaganda")</f>
        <v>0</v>
      </c>
      <c r="AI267" s="237"/>
      <c r="AJ267" s="26">
        <f>-SUMIFS(T_ORCAMENTOS!$E:$E,T_ORCAMENTOS!$C:$C,"Agência de Propaganda",T_ORCAMENTOS!$H:$H,"10/2026")</f>
        <v>-12000</v>
      </c>
      <c r="AK267" s="27">
        <f>SUMIFS(Aut_BlueMe_Sem_Pedido!$J:$J,Aut_BlueMe_Sem_Pedido!$Q:$Q,DRE!AI$4,Aut_BlueMe_Sem_Pedido!$H:$H,DRE!$A267)+SUMIFS(Aut_Ajustes_Manuais!$G:$G,Aut_Ajustes_Manuais!$I:$I,DRE!AI$4,Aut_Ajustes_Manuais!$F:$F,"Agência de Propaganda")</f>
        <v>0</v>
      </c>
      <c r="AL267" s="237"/>
      <c r="AM267" s="26">
        <f>-SUMIFS(T_ORCAMENTOS!$E:$E,T_ORCAMENTOS!$C:$C,"Agência de Propaganda",T_ORCAMENTOS!$H:$H,"11/2026")</f>
        <v>-12000</v>
      </c>
      <c r="AN267" s="27">
        <f>SUMIFS(Aut_BlueMe_Sem_Pedido!$J:$J,Aut_BlueMe_Sem_Pedido!$Q:$Q,DRE!AL$4,Aut_BlueMe_Sem_Pedido!$H:$H,DRE!$A267)+SUMIFS(Aut_Ajustes_Manuais!$G:$G,Aut_Ajustes_Manuais!$I:$I,DRE!AL$4,Aut_Ajustes_Manuais!$F:$F,"Agência de Propaganda")</f>
        <v>0</v>
      </c>
      <c r="AO267" s="237"/>
      <c r="AP267" s="26">
        <f>-SUMIFS(T_ORCAMENTOS!$E:$E,T_ORCAMENTOS!$C:$C,"Agência de Propaganda",T_ORCAMENTOS!$H:$H,"12/2026")</f>
        <v>-12000</v>
      </c>
      <c r="AQ267" s="27">
        <f>SUMIFS(Aut_BlueMe_Sem_Pedido!$J:$J,Aut_BlueMe_Sem_Pedido!$Q:$Q,DRE!AO$4,Aut_BlueMe_Sem_Pedido!$H:$H,DRE!$A267)+SUMIFS(Aut_Ajustes_Manuais!$G:$G,Aut_Ajustes_Manuais!$I:$I,DRE!AO$4,Aut_Ajustes_Manuais!$F:$F,"Agência de Propaganda")</f>
        <v>0</v>
      </c>
      <c r="AR267" s="237">
        <f t="shared" ref="AR267:AR277" ca="1" si="235">SUMIFS($H267:$AO267,$H$5:$AO$5,"&lt;"&amp;MONTH(TODAY()),$H$6:$AO$6,"REAL 25")</f>
        <v>0</v>
      </c>
      <c r="AS267" s="26">
        <f t="shared" ref="AS267:AS277" ca="1" si="236">SUMIFS($I267:$AP267,$I$5:$AP$5,"&lt;"&amp;MONTH(TODAY()),$I$6:$AP$6,"ORÇADO ")</f>
        <v>-12000</v>
      </c>
      <c r="AT267" s="27">
        <f t="shared" ref="AT267:AT277" ca="1" si="237">SUMIFS($J267:$AQ267,$J$5:$AQ$5,"&lt;"&amp;MONTH(TODAY()),$J$6:$AQ$6,"REAL 26")</f>
        <v>-12000</v>
      </c>
      <c r="AU267" s="237">
        <f t="shared" ref="AU267:AU277" si="238">SUM(H267,K267,N267,Q267,T267,W267,Z267,AC267,AF267,AI267,AL267,AO267)</f>
        <v>0</v>
      </c>
      <c r="AV267" s="26">
        <f t="shared" ref="AV267:AV277" si="239">SUM(I267,L267,O267,R267,U267,X267,AA267,AD267,AG267,AJ267,AM267,AP267)</f>
        <v>-60000</v>
      </c>
      <c r="AW267" s="27">
        <f t="shared" ref="AW267:AW277" si="240">SUM(J267,M267,P267,S267,V267,Y267,AB267,AE267,AH267,AK267,AN267,AQ267)</f>
        <v>-12000</v>
      </c>
      <c r="AX267" s="237">
        <f t="shared" ref="AX267:AX277" si="241">SUM(H267,K267,N267)</f>
        <v>0</v>
      </c>
      <c r="AY267" s="26">
        <f t="shared" ref="AY267:AY277" si="242">SUM(I267,L267,O267)</f>
        <v>0</v>
      </c>
      <c r="AZ267" s="27">
        <f t="shared" ref="AZ267:AZ277" si="243">SUM(J267,M267,P267)</f>
        <v>0</v>
      </c>
      <c r="BA267" s="237">
        <f t="shared" ref="BA267:BA277" si="244">SUM(Q267,T267,W267)</f>
        <v>0</v>
      </c>
      <c r="BB267" s="26">
        <f t="shared" ref="BB267:BB277" si="245">SUM(R267,U267,X267)</f>
        <v>0</v>
      </c>
      <c r="BC267" s="27">
        <f t="shared" ref="BC267:BC277" si="246">SUM(S267,V267,Y267)</f>
        <v>-12000</v>
      </c>
      <c r="BD267" s="237">
        <f t="shared" ref="BD267:BD277" si="247">SUM(Z267,AC267,AF267)</f>
        <v>0</v>
      </c>
      <c r="BE267" s="26">
        <f t="shared" ref="BE267:BE277" si="248">SUM(AA267,AD267,AG267)</f>
        <v>-24000</v>
      </c>
      <c r="BF267" s="27">
        <f t="shared" ref="BF267:BF277" si="249">SUM(AB267,AE267,AH267)</f>
        <v>0</v>
      </c>
      <c r="BG267" s="237">
        <f t="shared" ref="BG267:BG277" si="250">SUM(AI267,AL267,AO267)</f>
        <v>0</v>
      </c>
      <c r="BH267" s="26">
        <f t="shared" ref="BH267:BH277" si="251">SUM(AJ267,AM267,AP267)</f>
        <v>-36000</v>
      </c>
      <c r="BI267" s="27">
        <f t="shared" ref="BI267:BI277" si="252">SUM(AK267,AN267,AQ267)</f>
        <v>0</v>
      </c>
      <c r="BJ267" s="454"/>
    </row>
    <row r="268" spans="1:62" s="28" customFormat="1" hidden="1" outlineLevel="1" x14ac:dyDescent="0.3">
      <c r="A268" s="21" t="s">
        <v>297</v>
      </c>
      <c r="B268" s="22"/>
      <c r="C268" s="23" t="s">
        <v>67</v>
      </c>
      <c r="D268" s="112"/>
      <c r="E268" s="111"/>
      <c r="F268" s="54"/>
      <c r="G268" s="32"/>
      <c r="H268" s="237"/>
      <c r="I268" s="26">
        <f>-SUMIFS(T_ORCAMENTOS!$E:$E,T_ORCAMENTOS!$C:$C,"Assessoria de Imprensa",T_ORCAMENTOS!$H:$H,"1/2026")</f>
        <v>0</v>
      </c>
      <c r="J268" s="27">
        <f>SUMIFS(Aut_BlueMe_Sem_Pedido!$J:$J,Aut_BlueMe_Sem_Pedido!$Q:$Q,DRE!H$4,Aut_BlueMe_Sem_Pedido!$H:$H,DRE!$A268)+SUMIFS(Aut_Ajustes_Manuais!$G:$G,Aut_Ajustes_Manuais!$I:$I,DRE!H$4,Aut_Ajustes_Manuais!$F:$F,"Assessoria de Imprensa")</f>
        <v>0</v>
      </c>
      <c r="K268" s="237"/>
      <c r="L268" s="26">
        <f>-SUMIFS(T_ORCAMENTOS!$E:$E,T_ORCAMENTOS!$C:$C,"Assessoria de Imprensa",T_ORCAMENTOS!$H:$H,"2/2026")</f>
        <v>0</v>
      </c>
      <c r="M268" s="27">
        <f>SUMIFS(Aut_BlueMe_Sem_Pedido!$J:$J,Aut_BlueMe_Sem_Pedido!$Q:$Q,DRE!K$4,Aut_BlueMe_Sem_Pedido!$H:$H,DRE!$A268)+SUMIFS(Aut_Ajustes_Manuais!$G:$G,Aut_Ajustes_Manuais!$I:$I,DRE!K$4,Aut_Ajustes_Manuais!$F:$F,"Assessoria de Imprensa")</f>
        <v>0</v>
      </c>
      <c r="N268" s="237"/>
      <c r="O268" s="26">
        <f>-SUMIFS(T_ORCAMENTOS!$E:$E,T_ORCAMENTOS!$C:$C,"Assessoria de Imprensa",T_ORCAMENTOS!$H:$H,"3/2026")</f>
        <v>0</v>
      </c>
      <c r="P268" s="27">
        <f>SUMIFS(Aut_BlueMe_Sem_Pedido!$J:$J,Aut_BlueMe_Sem_Pedido!$Q:$Q,DRE!N$4,Aut_BlueMe_Sem_Pedido!$H:$H,DRE!$A268)+SUMIFS(Aut_Ajustes_Manuais!$G:$G,Aut_Ajustes_Manuais!$I:$I,DRE!N$4,Aut_Ajustes_Manuais!$F:$F,"Assessoria de Imprensa")</f>
        <v>0</v>
      </c>
      <c r="Q268" s="237"/>
      <c r="R268" s="26">
        <f>-SUMIFS(T_ORCAMENTOS!$E:$E,T_ORCAMENTOS!$C:$C,"Assessoria de Imprensa",T_ORCAMENTOS!$H:$H,"4/2026")</f>
        <v>0</v>
      </c>
      <c r="S268" s="27">
        <f>SUMIFS(Aut_BlueMe_Sem_Pedido!$J:$J,Aut_BlueMe_Sem_Pedido!$Q:$Q,DRE!Q$4,Aut_BlueMe_Sem_Pedido!$H:$H,DRE!$A268)+SUMIFS(Aut_Ajustes_Manuais!$G:$G,Aut_Ajustes_Manuais!$I:$I,DRE!Q$4,Aut_Ajustes_Manuais!$F:$F,"Assessoria de Imprensa")</f>
        <v>0</v>
      </c>
      <c r="T268" s="237"/>
      <c r="U268" s="26">
        <f>-SUMIFS(T_ORCAMENTOS!$E:$E,T_ORCAMENTOS!$C:$C,"Assessoria de Imprensa",T_ORCAMENTOS!$H:$H,"5/2026")</f>
        <v>0</v>
      </c>
      <c r="V268" s="27">
        <f>SUMIFS(Aut_BlueMe_Sem_Pedido!$J:$J,Aut_BlueMe_Sem_Pedido!$Q:$Q,DRE!T$4,Aut_BlueMe_Sem_Pedido!$H:$H,DRE!$A268)+SUMIFS(Aut_Ajustes_Manuais!$G:$G,Aut_Ajustes_Manuais!$I:$I,DRE!T$4,Aut_Ajustes_Manuais!$F:$F,"Assessoria de Imprensa")</f>
        <v>-2000</v>
      </c>
      <c r="W268" s="237"/>
      <c r="X268" s="26">
        <f>-SUMIFS(T_ORCAMENTOS!$E:$E,T_ORCAMENTOS!$C:$C,"Assessoria de Imprensa",T_ORCAMENTOS!$H:$H,"6/2026")</f>
        <v>0</v>
      </c>
      <c r="Y268" s="27">
        <f>SUMIFS(Aut_BlueMe_Sem_Pedido!$J:$J,Aut_BlueMe_Sem_Pedido!$Q:$Q,DRE!W$4,Aut_BlueMe_Sem_Pedido!$H:$H,DRE!$A268)+SUMIFS(Aut_Ajustes_Manuais!$G:$G,Aut_Ajustes_Manuais!$I:$I,DRE!W$4,Aut_Ajustes_Manuais!$F:$F,"Assessoria de Imprensa")</f>
        <v>-1000</v>
      </c>
      <c r="Z268" s="237"/>
      <c r="AA268" s="26">
        <f>-SUMIFS(T_ORCAMENTOS!$E:$E,T_ORCAMENTOS!$C:$C,"Assessoria de Imprensa",T_ORCAMENTOS!$H:$H,"7/2026")</f>
        <v>0</v>
      </c>
      <c r="AB268" s="27">
        <f>SUMIFS(Aut_BlueMe_Sem_Pedido!$J:$J,Aut_BlueMe_Sem_Pedido!$Q:$Q,DRE!Z$4,Aut_BlueMe_Sem_Pedido!$H:$H,DRE!$A268)+SUMIFS(Aut_Ajustes_Manuais!$G:$G,Aut_Ajustes_Manuais!$I:$I,DRE!Z$4,Aut_Ajustes_Manuais!$F:$F,"Assessoria de Imprensa")</f>
        <v>-1000</v>
      </c>
      <c r="AC268" s="237"/>
      <c r="AD268" s="26">
        <f>-SUMIFS(T_ORCAMENTOS!$E:$E,T_ORCAMENTOS!$C:$C,"Assessoria de Imprensa",T_ORCAMENTOS!$H:$H,"8/2026")</f>
        <v>-1000</v>
      </c>
      <c r="AE268" s="27">
        <f>SUMIFS(Aut_BlueMe_Sem_Pedido!$J:$J,Aut_BlueMe_Sem_Pedido!$Q:$Q,DRE!AC$4,Aut_BlueMe_Sem_Pedido!$H:$H,DRE!$A268)+SUMIFS(Aut_Ajustes_Manuais!$G:$G,Aut_Ajustes_Manuais!$I:$I,DRE!AC$4,Aut_Ajustes_Manuais!$F:$F,"Assessoria de Imprensa")</f>
        <v>-1000</v>
      </c>
      <c r="AF268" s="237"/>
      <c r="AG268" s="26">
        <f>-SUMIFS(T_ORCAMENTOS!$E:$E,T_ORCAMENTOS!$C:$C,"Assessoria de Imprensa",T_ORCAMENTOS!$H:$H,"9/2026")</f>
        <v>-1000</v>
      </c>
      <c r="AH268" s="27">
        <f>SUMIFS(Aut_BlueMe_Sem_Pedido!$J:$J,Aut_BlueMe_Sem_Pedido!$Q:$Q,DRE!AF$4,Aut_BlueMe_Sem_Pedido!$H:$H,DRE!$A268)+SUMIFS(Aut_Ajustes_Manuais!$G:$G,Aut_Ajustes_Manuais!$I:$I,DRE!AF$4,Aut_Ajustes_Manuais!$F:$F,"Assessoria de Imprensa")</f>
        <v>-1000</v>
      </c>
      <c r="AI268" s="237"/>
      <c r="AJ268" s="26">
        <f>-SUMIFS(T_ORCAMENTOS!$E:$E,T_ORCAMENTOS!$C:$C,"Assessoria de Imprensa",T_ORCAMENTOS!$H:$H,"10/2026")</f>
        <v>-1000</v>
      </c>
      <c r="AK268" s="27">
        <f>SUMIFS(Aut_BlueMe_Sem_Pedido!$J:$J,Aut_BlueMe_Sem_Pedido!$Q:$Q,DRE!AI$4,Aut_BlueMe_Sem_Pedido!$H:$H,DRE!$A268)+SUMIFS(Aut_Ajustes_Manuais!$G:$G,Aut_Ajustes_Manuais!$I:$I,DRE!AI$4,Aut_Ajustes_Manuais!$F:$F,"Assessoria de Imprensa")</f>
        <v>-1000</v>
      </c>
      <c r="AL268" s="237"/>
      <c r="AM268" s="26">
        <f>-SUMIFS(T_ORCAMENTOS!$E:$E,T_ORCAMENTOS!$C:$C,"Assessoria de Imprensa",T_ORCAMENTOS!$H:$H,"11/2026")</f>
        <v>-1000</v>
      </c>
      <c r="AN268" s="27">
        <f>SUMIFS(Aut_BlueMe_Sem_Pedido!$J:$J,Aut_BlueMe_Sem_Pedido!$Q:$Q,DRE!AL$4,Aut_BlueMe_Sem_Pedido!$H:$H,DRE!$A268)+SUMIFS(Aut_Ajustes_Manuais!$G:$G,Aut_Ajustes_Manuais!$I:$I,DRE!AL$4,Aut_Ajustes_Manuais!$F:$F,"Assessoria de Imprensa")</f>
        <v>-1000</v>
      </c>
      <c r="AO268" s="237"/>
      <c r="AP268" s="26">
        <f>-SUMIFS(T_ORCAMENTOS!$E:$E,T_ORCAMENTOS!$C:$C,"Assessoria de Imprensa",T_ORCAMENTOS!$H:$H,"12/2026")</f>
        <v>-1000</v>
      </c>
      <c r="AQ268" s="27">
        <f>SUMIFS(Aut_BlueMe_Sem_Pedido!$J:$J,Aut_BlueMe_Sem_Pedido!$Q:$Q,DRE!AO$4,Aut_BlueMe_Sem_Pedido!$H:$H,DRE!$A268)+SUMIFS(Aut_Ajustes_Manuais!$G:$G,Aut_Ajustes_Manuais!$I:$I,DRE!AO$4,Aut_Ajustes_Manuais!$F:$F,"Assessoria de Imprensa")</f>
        <v>-1000</v>
      </c>
      <c r="AR268" s="237">
        <f t="shared" ca="1" si="235"/>
        <v>0</v>
      </c>
      <c r="AS268" s="26">
        <f t="shared" ca="1" si="236"/>
        <v>-1000</v>
      </c>
      <c r="AT268" s="27">
        <f t="shared" ca="1" si="237"/>
        <v>-5000</v>
      </c>
      <c r="AU268" s="237">
        <f t="shared" si="238"/>
        <v>0</v>
      </c>
      <c r="AV268" s="26">
        <f t="shared" si="239"/>
        <v>-5000</v>
      </c>
      <c r="AW268" s="27">
        <f t="shared" si="240"/>
        <v>-9000</v>
      </c>
      <c r="AX268" s="237">
        <f t="shared" si="241"/>
        <v>0</v>
      </c>
      <c r="AY268" s="26">
        <f t="shared" si="242"/>
        <v>0</v>
      </c>
      <c r="AZ268" s="27">
        <f t="shared" si="243"/>
        <v>0</v>
      </c>
      <c r="BA268" s="237">
        <f t="shared" si="244"/>
        <v>0</v>
      </c>
      <c r="BB268" s="26">
        <f t="shared" si="245"/>
        <v>0</v>
      </c>
      <c r="BC268" s="27">
        <f t="shared" si="246"/>
        <v>-3000</v>
      </c>
      <c r="BD268" s="237">
        <f t="shared" si="247"/>
        <v>0</v>
      </c>
      <c r="BE268" s="26">
        <f t="shared" si="248"/>
        <v>-2000</v>
      </c>
      <c r="BF268" s="27">
        <f t="shared" si="249"/>
        <v>-3000</v>
      </c>
      <c r="BG268" s="237">
        <f t="shared" si="250"/>
        <v>0</v>
      </c>
      <c r="BH268" s="26">
        <f t="shared" si="251"/>
        <v>-3000</v>
      </c>
      <c r="BI268" s="27">
        <f t="shared" si="252"/>
        <v>-3000</v>
      </c>
      <c r="BJ268" s="454"/>
    </row>
    <row r="269" spans="1:62" s="28" customFormat="1" hidden="1" outlineLevel="1" x14ac:dyDescent="0.3">
      <c r="A269" s="21" t="s">
        <v>298</v>
      </c>
      <c r="B269" s="22"/>
      <c r="C269" s="23" t="s">
        <v>67</v>
      </c>
      <c r="D269" s="112"/>
      <c r="E269" s="111"/>
      <c r="F269" s="54"/>
      <c r="G269" s="32"/>
      <c r="H269" s="237"/>
      <c r="I269" s="26">
        <f>-SUMIFS(T_ORCAMENTOS!$E:$E,T_ORCAMENTOS!$C:$C,"Assessoria de Relações Públicas",T_ORCAMENTOS!$H:$H,"1/2026")</f>
        <v>0</v>
      </c>
      <c r="J269" s="27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37"/>
      <c r="L269" s="26">
        <f>-SUMIFS(T_ORCAMENTOS!$E:$E,T_ORCAMENTOS!$C:$C,"Assessoria de Relações Públicas",T_ORCAMENTOS!$H:$H,"2/2026")</f>
        <v>0</v>
      </c>
      <c r="M269" s="27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37"/>
      <c r="O269" s="26">
        <f>-SUMIFS(T_ORCAMENTOS!$E:$E,T_ORCAMENTOS!$C:$C,"Assessoria de Relações Públicas",T_ORCAMENTOS!$H:$H,"3/2026")</f>
        <v>0</v>
      </c>
      <c r="P269" s="27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37"/>
      <c r="R269" s="26">
        <f>-SUMIFS(T_ORCAMENTOS!$E:$E,T_ORCAMENTOS!$C:$C,"Assessoria de Relações Públicas",T_ORCAMENTOS!$H:$H,"4/2026")</f>
        <v>0</v>
      </c>
      <c r="S269" s="27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37"/>
      <c r="U269" s="26">
        <f>-SUMIFS(T_ORCAMENTOS!$E:$E,T_ORCAMENTOS!$C:$C,"Assessoria de Relações Públicas",T_ORCAMENTOS!$H:$H,"5/2026")</f>
        <v>0</v>
      </c>
      <c r="V269" s="27">
        <f>SUMIFS(Aut_BlueMe_Sem_Pedido!$J:$J,Aut_BlueMe_Sem_Pedido!$Q:$Q,DRE!T$4,Aut_BlueMe_Sem_Pedido!$H:$H,DRE!$A269)+SUMIFS(Aut_Ajustes_Manuais!$G:$G,Aut_Ajustes_Manuais!$I:$I,DRE!T$4,Aut_Ajustes_Manuais!$F:$F,"Assessoria de Relações Públicas")</f>
        <v>0</v>
      </c>
      <c r="W269" s="237"/>
      <c r="X269" s="26">
        <f>-SUMIFS(T_ORCAMENTOS!$E:$E,T_ORCAMENTOS!$C:$C,"Assessoria de Relações Públicas",T_ORCAMENTOS!$H:$H,"6/2026")</f>
        <v>0</v>
      </c>
      <c r="Y269" s="27">
        <f>SUMIFS(Aut_BlueMe_Sem_Pedido!$J:$J,Aut_BlueMe_Sem_Pedido!$Q:$Q,DRE!W$4,Aut_BlueMe_Sem_Pedido!$H:$H,DRE!$A269)+SUMIFS(Aut_Ajustes_Manuais!$G:$G,Aut_Ajustes_Manuais!$I:$I,DRE!W$4,Aut_Ajustes_Manuais!$F:$F,"Assessoria de Relações Públicas")</f>
        <v>0</v>
      </c>
      <c r="Z269" s="237"/>
      <c r="AA269" s="26">
        <f>-SUMIFS(T_ORCAMENTOS!$E:$E,T_ORCAMENTOS!$C:$C,"Assessoria de Relações Públicas",T_ORCAMENTOS!$H:$H,"7/2026")</f>
        <v>0</v>
      </c>
      <c r="AB269" s="27">
        <f>SUMIFS(Aut_BlueMe_Sem_Pedido!$J:$J,Aut_BlueMe_Sem_Pedido!$Q:$Q,DRE!Z$4,Aut_BlueMe_Sem_Pedido!$H:$H,DRE!$A269)+SUMIFS(Aut_Ajustes_Manuais!$G:$G,Aut_Ajustes_Manuais!$I:$I,DRE!Z$4,Aut_Ajustes_Manuais!$F:$F,"Assessoria de Relações Públicas")</f>
        <v>0</v>
      </c>
      <c r="AC269" s="237"/>
      <c r="AD269" s="26">
        <f>-SUMIFS(T_ORCAMENTOS!$E:$E,T_ORCAMENTOS!$C:$C,"Assessoria de Relações Públicas",T_ORCAMENTOS!$H:$H,"8/2026")</f>
        <v>0</v>
      </c>
      <c r="AE269" s="27">
        <f>SUMIFS(Aut_BlueMe_Sem_Pedido!$J:$J,Aut_BlueMe_Sem_Pedido!$Q:$Q,DRE!AC$4,Aut_BlueMe_Sem_Pedido!$H:$H,DRE!$A269)+SUMIFS(Aut_Ajustes_Manuais!$G:$G,Aut_Ajustes_Manuais!$I:$I,DRE!AC$4,Aut_Ajustes_Manuais!$F:$F,"Assessoria de Relações Públicas")</f>
        <v>0</v>
      </c>
      <c r="AF269" s="237"/>
      <c r="AG269" s="26">
        <f>-SUMIFS(T_ORCAMENTOS!$E:$E,T_ORCAMENTOS!$C:$C,"Assessoria de Relações Públicas",T_ORCAMENTOS!$H:$H,"9/2026")</f>
        <v>0</v>
      </c>
      <c r="AH269" s="27">
        <f>SUMIFS(Aut_BlueMe_Sem_Pedido!$J:$J,Aut_BlueMe_Sem_Pedido!$Q:$Q,DRE!AF$4,Aut_BlueMe_Sem_Pedido!$H:$H,DRE!$A269)+SUMIFS(Aut_Ajustes_Manuais!$G:$G,Aut_Ajustes_Manuais!$I:$I,DRE!AF$4,Aut_Ajustes_Manuais!$F:$F,"Assessoria de Relações Públicas")</f>
        <v>0</v>
      </c>
      <c r="AI269" s="237"/>
      <c r="AJ269" s="26">
        <f>-SUMIFS(T_ORCAMENTOS!$E:$E,T_ORCAMENTOS!$C:$C,"Assessoria de Relações Públicas",T_ORCAMENTOS!$H:$H,"10/2026")</f>
        <v>0</v>
      </c>
      <c r="AK269" s="27">
        <f>SUMIFS(Aut_BlueMe_Sem_Pedido!$J:$J,Aut_BlueMe_Sem_Pedido!$Q:$Q,DRE!AI$4,Aut_BlueMe_Sem_Pedido!$H:$H,DRE!$A269)+SUMIFS(Aut_Ajustes_Manuais!$G:$G,Aut_Ajustes_Manuais!$I:$I,DRE!AI$4,Aut_Ajustes_Manuais!$F:$F,"Assessoria de Relações Públicas")</f>
        <v>0</v>
      </c>
      <c r="AL269" s="237"/>
      <c r="AM269" s="26">
        <f>-SUMIFS(T_ORCAMENTOS!$E:$E,T_ORCAMENTOS!$C:$C,"Assessoria de Relações Públicas",T_ORCAMENTOS!$H:$H,"11/2026")</f>
        <v>0</v>
      </c>
      <c r="AN269" s="27">
        <f>SUMIFS(Aut_BlueMe_Sem_Pedido!$J:$J,Aut_BlueMe_Sem_Pedido!$Q:$Q,DRE!AL$4,Aut_BlueMe_Sem_Pedido!$H:$H,DRE!$A269)+SUMIFS(Aut_Ajustes_Manuais!$G:$G,Aut_Ajustes_Manuais!$I:$I,DRE!AL$4,Aut_Ajustes_Manuais!$F:$F,"Assessoria de Relações Públicas")</f>
        <v>0</v>
      </c>
      <c r="AO269" s="237"/>
      <c r="AP269" s="26">
        <f>-SUMIFS(T_ORCAMENTOS!$E:$E,T_ORCAMENTOS!$C:$C,"Assessoria de Relações Públicas",T_ORCAMENTOS!$H:$H,"12/2026")</f>
        <v>0</v>
      </c>
      <c r="AQ269" s="27">
        <f>SUMIFS(Aut_BlueMe_Sem_Pedido!$J:$J,Aut_BlueMe_Sem_Pedido!$Q:$Q,DRE!AO$4,Aut_BlueMe_Sem_Pedido!$H:$H,DRE!$A269)+SUMIFS(Aut_Ajustes_Manuais!$G:$G,Aut_Ajustes_Manuais!$I:$I,DRE!AO$4,Aut_Ajustes_Manuais!$F:$F,"Assessoria de Relações Públicas")</f>
        <v>0</v>
      </c>
      <c r="AR269" s="237">
        <f t="shared" ca="1" si="235"/>
        <v>0</v>
      </c>
      <c r="AS269" s="26">
        <f t="shared" ca="1" si="236"/>
        <v>0</v>
      </c>
      <c r="AT269" s="27">
        <f t="shared" ca="1" si="237"/>
        <v>0</v>
      </c>
      <c r="AU269" s="237">
        <f t="shared" si="238"/>
        <v>0</v>
      </c>
      <c r="AV269" s="26">
        <f t="shared" si="239"/>
        <v>0</v>
      </c>
      <c r="AW269" s="27">
        <f t="shared" si="240"/>
        <v>0</v>
      </c>
      <c r="AX269" s="237">
        <f t="shared" si="241"/>
        <v>0</v>
      </c>
      <c r="AY269" s="26">
        <f t="shared" si="242"/>
        <v>0</v>
      </c>
      <c r="AZ269" s="27">
        <f t="shared" si="243"/>
        <v>0</v>
      </c>
      <c r="BA269" s="237">
        <f t="shared" si="244"/>
        <v>0</v>
      </c>
      <c r="BB269" s="26">
        <f t="shared" si="245"/>
        <v>0</v>
      </c>
      <c r="BC269" s="27">
        <f t="shared" si="246"/>
        <v>0</v>
      </c>
      <c r="BD269" s="237">
        <f t="shared" si="247"/>
        <v>0</v>
      </c>
      <c r="BE269" s="26">
        <f t="shared" si="248"/>
        <v>0</v>
      </c>
      <c r="BF269" s="27">
        <f t="shared" si="249"/>
        <v>0</v>
      </c>
      <c r="BG269" s="237">
        <f t="shared" si="250"/>
        <v>0</v>
      </c>
      <c r="BH269" s="26">
        <f t="shared" si="251"/>
        <v>0</v>
      </c>
      <c r="BI269" s="27">
        <f t="shared" si="252"/>
        <v>0</v>
      </c>
      <c r="BJ269" s="454"/>
    </row>
    <row r="270" spans="1:62" s="28" customFormat="1" hidden="1" outlineLevel="1" x14ac:dyDescent="0.3">
      <c r="A270" s="21" t="s">
        <v>299</v>
      </c>
      <c r="B270" s="22"/>
      <c r="C270" s="23" t="s">
        <v>60</v>
      </c>
      <c r="D270" s="117"/>
      <c r="E270" s="110"/>
      <c r="F270" s="54"/>
      <c r="G270" s="32"/>
      <c r="H270" s="237"/>
      <c r="I270" s="26">
        <f>-SUMIFS(T_ORCAMENTOS!$E:$E,T_ORCAMENTOS!$C:$C,"Influenciadores",T_ORCAMENTOS!$H:$H,"1/2026")</f>
        <v>0</v>
      </c>
      <c r="J270" s="27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37"/>
      <c r="L270" s="26">
        <f>-SUMIFS(T_ORCAMENTOS!$E:$E,T_ORCAMENTOS!$C:$C,"Influenciadores",T_ORCAMENTOS!$H:$H,"2/2026")</f>
        <v>0</v>
      </c>
      <c r="M270" s="27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37"/>
      <c r="O270" s="26">
        <f>-SUMIFS(T_ORCAMENTOS!$E:$E,T_ORCAMENTOS!$C:$C,"Influenciadores",T_ORCAMENTOS!$H:$H,"3/2026")</f>
        <v>0</v>
      </c>
      <c r="P270" s="27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37"/>
      <c r="R270" s="26">
        <f>-SUMIFS(T_ORCAMENTOS!$E:$E,T_ORCAMENTOS!$C:$C,"Influenciadores",T_ORCAMENTOS!$H:$H,"4/2026")</f>
        <v>0</v>
      </c>
      <c r="S270" s="27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37"/>
      <c r="U270" s="26">
        <f>-SUMIFS(T_ORCAMENTOS!$E:$E,T_ORCAMENTOS!$C:$C,"Influenciadores",T_ORCAMENTOS!$H:$H,"5/2026")</f>
        <v>0</v>
      </c>
      <c r="V270" s="27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37"/>
      <c r="X270" s="26">
        <f>-SUMIFS(T_ORCAMENTOS!$E:$E,T_ORCAMENTOS!$C:$C,"Influenciadores",T_ORCAMENTOS!$H:$H,"6/2026")</f>
        <v>0</v>
      </c>
      <c r="Y270" s="27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37"/>
      <c r="AA270" s="26">
        <f>-SUMIFS(T_ORCAMENTOS!$E:$E,T_ORCAMENTOS!$C:$C,"Influenciadores",T_ORCAMENTOS!$H:$H,"7/2026")</f>
        <v>0</v>
      </c>
      <c r="AB270" s="27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37"/>
      <c r="AD270" s="26">
        <f>-SUMIFS(T_ORCAMENTOS!$E:$E,T_ORCAMENTOS!$C:$C,"Influenciadores",T_ORCAMENTOS!$H:$H,"8/2026")</f>
        <v>0</v>
      </c>
      <c r="AE270" s="27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37"/>
      <c r="AG270" s="26">
        <f>-SUMIFS(T_ORCAMENTOS!$E:$E,T_ORCAMENTOS!$C:$C,"Influenciadores",T_ORCAMENTOS!$H:$H,"9/2026")</f>
        <v>0</v>
      </c>
      <c r="AH270" s="27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37"/>
      <c r="AJ270" s="26">
        <f>-SUMIFS(T_ORCAMENTOS!$E:$E,T_ORCAMENTOS!$C:$C,"Influenciadores",T_ORCAMENTOS!$H:$H,"10/2026")</f>
        <v>0</v>
      </c>
      <c r="AK270" s="27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37"/>
      <c r="AM270" s="26">
        <f>-SUMIFS(T_ORCAMENTOS!$E:$E,T_ORCAMENTOS!$C:$C,"Influenciadores",T_ORCAMENTOS!$H:$H,"11/2026")</f>
        <v>0</v>
      </c>
      <c r="AN270" s="27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37"/>
      <c r="AP270" s="26">
        <f>-SUMIFS(T_ORCAMENTOS!$E:$E,T_ORCAMENTOS!$C:$C,"Influenciadores",T_ORCAMENTOS!$H:$H,"12/2026")</f>
        <v>0</v>
      </c>
      <c r="AQ270" s="27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37">
        <f t="shared" ca="1" si="235"/>
        <v>0</v>
      </c>
      <c r="AS270" s="26">
        <f t="shared" ca="1" si="236"/>
        <v>0</v>
      </c>
      <c r="AT270" s="27">
        <f t="shared" ca="1" si="237"/>
        <v>0</v>
      </c>
      <c r="AU270" s="237">
        <f t="shared" si="238"/>
        <v>0</v>
      </c>
      <c r="AV270" s="26">
        <f t="shared" si="239"/>
        <v>0</v>
      </c>
      <c r="AW270" s="27">
        <f t="shared" si="240"/>
        <v>0</v>
      </c>
      <c r="AX270" s="237">
        <f t="shared" si="241"/>
        <v>0</v>
      </c>
      <c r="AY270" s="26">
        <f t="shared" si="242"/>
        <v>0</v>
      </c>
      <c r="AZ270" s="27">
        <f t="shared" si="243"/>
        <v>0</v>
      </c>
      <c r="BA270" s="237">
        <f t="shared" si="244"/>
        <v>0</v>
      </c>
      <c r="BB270" s="26">
        <f t="shared" si="245"/>
        <v>0</v>
      </c>
      <c r="BC270" s="27">
        <f t="shared" si="246"/>
        <v>0</v>
      </c>
      <c r="BD270" s="237">
        <f t="shared" si="247"/>
        <v>0</v>
      </c>
      <c r="BE270" s="26">
        <f t="shared" si="248"/>
        <v>0</v>
      </c>
      <c r="BF270" s="27">
        <f t="shared" si="249"/>
        <v>0</v>
      </c>
      <c r="BG270" s="237">
        <f t="shared" si="250"/>
        <v>0</v>
      </c>
      <c r="BH270" s="26">
        <f t="shared" si="251"/>
        <v>0</v>
      </c>
      <c r="BI270" s="27">
        <f t="shared" si="252"/>
        <v>0</v>
      </c>
      <c r="BJ270" s="454"/>
    </row>
    <row r="271" spans="1:62" s="28" customFormat="1" hidden="1" outlineLevel="1" x14ac:dyDescent="0.3">
      <c r="A271" s="21" t="s">
        <v>300</v>
      </c>
      <c r="B271" s="22"/>
      <c r="C271" s="23" t="s">
        <v>60</v>
      </c>
      <c r="D271" s="117">
        <v>-11000</v>
      </c>
      <c r="E271" s="110"/>
      <c r="F271" s="54"/>
      <c r="G271" s="32"/>
      <c r="H271" s="237"/>
      <c r="I271" s="26">
        <f>-SUMIFS(T_ORCAMENTOS!$E:$E,T_ORCAMENTOS!$C:$C,"Publicidade e Propaganda",T_ORCAMENTOS!$H:$H,"1/2026")</f>
        <v>0</v>
      </c>
      <c r="J271" s="27">
        <f>SUMIFS(Aut_BlueMe_Sem_Pedido!$J:$J,Aut_BlueMe_Sem_Pedido!$Q:$Q,DRE!H$4,Aut_BlueMe_Sem_Pedido!$H:$H,DRE!$A271)+SUMIFS(Aut_Ajustes_Manuais!$G:$G,Aut_Ajustes_Manuais!$I:$I,DRE!H$4,Aut_Ajustes_Manuais!$F:$F,"Publicidade e Propaganda")</f>
        <v>0</v>
      </c>
      <c r="K271" s="237"/>
      <c r="L271" s="26">
        <f>-SUMIFS(T_ORCAMENTOS!$E:$E,T_ORCAMENTOS!$C:$C,"Publicidade e Propaganda",T_ORCAMENTOS!$H:$H,"2/2026")</f>
        <v>0</v>
      </c>
      <c r="M271" s="27">
        <f>SUMIFS(Aut_BlueMe_Sem_Pedido!$J:$J,Aut_BlueMe_Sem_Pedido!$Q:$Q,DRE!K$4,Aut_BlueMe_Sem_Pedido!$H:$H,DRE!$A271)+SUMIFS(Aut_Ajustes_Manuais!$G:$G,Aut_Ajustes_Manuais!$I:$I,DRE!K$4,Aut_Ajustes_Manuais!$F:$F,"Publicidade e Propaganda")</f>
        <v>0</v>
      </c>
      <c r="N271" s="237"/>
      <c r="O271" s="26">
        <f>-SUMIFS(T_ORCAMENTOS!$E:$E,T_ORCAMENTOS!$C:$C,"Publicidade e Propaganda",T_ORCAMENTOS!$H:$H,"3/2026")</f>
        <v>0</v>
      </c>
      <c r="P271" s="27">
        <f>SUMIFS(Aut_BlueMe_Sem_Pedido!$J:$J,Aut_BlueMe_Sem_Pedido!$Q:$Q,DRE!N$4,Aut_BlueMe_Sem_Pedido!$H:$H,DRE!$A271)+SUMIFS(Aut_Ajustes_Manuais!$G:$G,Aut_Ajustes_Manuais!$I:$I,DRE!N$4,Aut_Ajustes_Manuais!$F:$F,"Publicidade e Propaganda")</f>
        <v>0</v>
      </c>
      <c r="Q271" s="237"/>
      <c r="R271" s="26">
        <f>-SUMIFS(T_ORCAMENTOS!$E:$E,T_ORCAMENTOS!$C:$C,"Publicidade e Propaganda",T_ORCAMENTOS!$H:$H,"4/2026")</f>
        <v>0</v>
      </c>
      <c r="S271" s="27">
        <f>SUMIFS(Aut_BlueMe_Sem_Pedido!$J:$J,Aut_BlueMe_Sem_Pedido!$Q:$Q,DRE!Q$4,Aut_BlueMe_Sem_Pedido!$H:$H,DRE!$A271)+SUMIFS(Aut_Ajustes_Manuais!$G:$G,Aut_Ajustes_Manuais!$I:$I,DRE!Q$4,Aut_Ajustes_Manuais!$F:$F,"Publicidade e Propaganda")</f>
        <v>0</v>
      </c>
      <c r="T271" s="237"/>
      <c r="U271" s="26">
        <f>-SUMIFS(T_ORCAMENTOS!$E:$E,T_ORCAMENTOS!$C:$C,"Publicidade e Propaganda",T_ORCAMENTOS!$H:$H,"5/2026")</f>
        <v>0</v>
      </c>
      <c r="V271" s="27">
        <f>SUMIFS(Aut_BlueMe_Sem_Pedido!$J:$J,Aut_BlueMe_Sem_Pedido!$Q:$Q,DRE!T$4,Aut_BlueMe_Sem_Pedido!$H:$H,DRE!$A271)+SUMIFS(Aut_Ajustes_Manuais!$G:$G,Aut_Ajustes_Manuais!$I:$I,DRE!T$4,Aut_Ajustes_Manuais!$F:$F,"Publicidade e Propaganda")</f>
        <v>0</v>
      </c>
      <c r="W271" s="237"/>
      <c r="X271" s="26">
        <f>-SUMIFS(T_ORCAMENTOS!$E:$E,T_ORCAMENTOS!$C:$C,"Publicidade e Propaganda",T_ORCAMENTOS!$H:$H,"6/2026")</f>
        <v>0</v>
      </c>
      <c r="Y271" s="27">
        <f>SUMIFS(Aut_BlueMe_Sem_Pedido!$J:$J,Aut_BlueMe_Sem_Pedido!$Q:$Q,DRE!W$4,Aut_BlueMe_Sem_Pedido!$H:$H,DRE!$A271)+SUMIFS(Aut_Ajustes_Manuais!$G:$G,Aut_Ajustes_Manuais!$I:$I,DRE!W$4,Aut_Ajustes_Manuais!$F:$F,"Publicidade e Propaganda")</f>
        <v>0</v>
      </c>
      <c r="Z271" s="237"/>
      <c r="AA271" s="26">
        <f>-SUMIFS(T_ORCAMENTOS!$E:$E,T_ORCAMENTOS!$C:$C,"Publicidade e Propaganda",T_ORCAMENTOS!$H:$H,"7/2026")</f>
        <v>0</v>
      </c>
      <c r="AB271" s="27">
        <f>SUMIFS(Aut_BlueMe_Sem_Pedido!$J:$J,Aut_BlueMe_Sem_Pedido!$Q:$Q,DRE!Z$4,Aut_BlueMe_Sem_Pedido!$H:$H,DRE!$A271)+SUMIFS(Aut_Ajustes_Manuais!$G:$G,Aut_Ajustes_Manuais!$I:$I,DRE!Z$4,Aut_Ajustes_Manuais!$F:$F,"Publicidade e Propaganda")</f>
        <v>0</v>
      </c>
      <c r="AC271" s="237"/>
      <c r="AD271" s="26">
        <f>-SUMIFS(T_ORCAMENTOS!$E:$E,T_ORCAMENTOS!$C:$C,"Publicidade e Propaganda",T_ORCAMENTOS!$H:$H,"8/2026")</f>
        <v>-14600</v>
      </c>
      <c r="AE271" s="27">
        <f>SUMIFS(Aut_BlueMe_Sem_Pedido!$J:$J,Aut_BlueMe_Sem_Pedido!$Q:$Q,DRE!AC$4,Aut_BlueMe_Sem_Pedido!$H:$H,DRE!$A271)+SUMIFS(Aut_Ajustes_Manuais!$G:$G,Aut_Ajustes_Manuais!$I:$I,DRE!AC$4,Aut_Ajustes_Manuais!$F:$F,"Publicidade e Propaganda")</f>
        <v>0</v>
      </c>
      <c r="AF271" s="237"/>
      <c r="AG271" s="26">
        <f>-SUMIFS(T_ORCAMENTOS!$E:$E,T_ORCAMENTOS!$C:$C,"Publicidade e Propaganda",T_ORCAMENTOS!$H:$H,"9/2026")</f>
        <v>-14600</v>
      </c>
      <c r="AH271" s="27">
        <f>SUMIFS(Aut_BlueMe_Sem_Pedido!$J:$J,Aut_BlueMe_Sem_Pedido!$Q:$Q,DRE!AF$4,Aut_BlueMe_Sem_Pedido!$H:$H,DRE!$A271)+SUMIFS(Aut_Ajustes_Manuais!$G:$G,Aut_Ajustes_Manuais!$I:$I,DRE!AF$4,Aut_Ajustes_Manuais!$F:$F,"Publicidade e Propaganda")</f>
        <v>0</v>
      </c>
      <c r="AI271" s="237"/>
      <c r="AJ271" s="26">
        <f>-SUMIFS(T_ORCAMENTOS!$E:$E,T_ORCAMENTOS!$C:$C,"Publicidade e Propaganda",T_ORCAMENTOS!$H:$H,"10/2026")</f>
        <v>-14600</v>
      </c>
      <c r="AK271" s="27">
        <f>SUMIFS(Aut_BlueMe_Sem_Pedido!$J:$J,Aut_BlueMe_Sem_Pedido!$Q:$Q,DRE!AI$4,Aut_BlueMe_Sem_Pedido!$H:$H,DRE!$A271)+SUMIFS(Aut_Ajustes_Manuais!$G:$G,Aut_Ajustes_Manuais!$I:$I,DRE!AI$4,Aut_Ajustes_Manuais!$F:$F,"Publicidade e Propaganda")</f>
        <v>0</v>
      </c>
      <c r="AL271" s="237"/>
      <c r="AM271" s="26">
        <f>-SUMIFS(T_ORCAMENTOS!$E:$E,T_ORCAMENTOS!$C:$C,"Publicidade e Propaganda",T_ORCAMENTOS!$H:$H,"11/2026")</f>
        <v>-14600</v>
      </c>
      <c r="AN271" s="27">
        <f>SUMIFS(Aut_BlueMe_Sem_Pedido!$J:$J,Aut_BlueMe_Sem_Pedido!$Q:$Q,DRE!AL$4,Aut_BlueMe_Sem_Pedido!$H:$H,DRE!$A271)+SUMIFS(Aut_Ajustes_Manuais!$G:$G,Aut_Ajustes_Manuais!$I:$I,DRE!AL$4,Aut_Ajustes_Manuais!$F:$F,"Publicidade e Propaganda")</f>
        <v>0</v>
      </c>
      <c r="AO271" s="237"/>
      <c r="AP271" s="26">
        <f>-SUMIFS(T_ORCAMENTOS!$E:$E,T_ORCAMENTOS!$C:$C,"Publicidade e Propaganda",T_ORCAMENTOS!$H:$H,"12/2026")</f>
        <v>-14600</v>
      </c>
      <c r="AQ271" s="27">
        <f>SUMIFS(Aut_BlueMe_Sem_Pedido!$J:$J,Aut_BlueMe_Sem_Pedido!$Q:$Q,DRE!AO$4,Aut_BlueMe_Sem_Pedido!$H:$H,DRE!$A271)+SUMIFS(Aut_Ajustes_Manuais!$G:$G,Aut_Ajustes_Manuais!$I:$I,DRE!AO$4,Aut_Ajustes_Manuais!$F:$F,"Publicidade e Propaganda")</f>
        <v>0</v>
      </c>
      <c r="AR271" s="237">
        <f t="shared" ca="1" si="235"/>
        <v>0</v>
      </c>
      <c r="AS271" s="26">
        <f t="shared" ca="1" si="236"/>
        <v>-14600</v>
      </c>
      <c r="AT271" s="27">
        <f t="shared" ca="1" si="237"/>
        <v>0</v>
      </c>
      <c r="AU271" s="237">
        <f t="shared" si="238"/>
        <v>0</v>
      </c>
      <c r="AV271" s="26">
        <f t="shared" si="239"/>
        <v>-73000</v>
      </c>
      <c r="AW271" s="27">
        <f t="shared" si="240"/>
        <v>0</v>
      </c>
      <c r="AX271" s="237">
        <f t="shared" si="241"/>
        <v>0</v>
      </c>
      <c r="AY271" s="26">
        <f t="shared" si="242"/>
        <v>0</v>
      </c>
      <c r="AZ271" s="27">
        <f t="shared" si="243"/>
        <v>0</v>
      </c>
      <c r="BA271" s="237">
        <f t="shared" si="244"/>
        <v>0</v>
      </c>
      <c r="BB271" s="26">
        <f t="shared" si="245"/>
        <v>0</v>
      </c>
      <c r="BC271" s="27">
        <f t="shared" si="246"/>
        <v>0</v>
      </c>
      <c r="BD271" s="237">
        <f t="shared" si="247"/>
        <v>0</v>
      </c>
      <c r="BE271" s="26">
        <f t="shared" si="248"/>
        <v>-29200</v>
      </c>
      <c r="BF271" s="27">
        <f t="shared" si="249"/>
        <v>0</v>
      </c>
      <c r="BG271" s="237">
        <f t="shared" si="250"/>
        <v>0</v>
      </c>
      <c r="BH271" s="26">
        <f t="shared" si="251"/>
        <v>-43800</v>
      </c>
      <c r="BI271" s="27">
        <f t="shared" si="252"/>
        <v>0</v>
      </c>
      <c r="BJ271" s="454"/>
    </row>
    <row r="272" spans="1:62" s="28" customFormat="1" hidden="1" outlineLevel="1" x14ac:dyDescent="0.3">
      <c r="A272" s="21" t="s">
        <v>301</v>
      </c>
      <c r="B272" s="22"/>
      <c r="C272" s="23" t="s">
        <v>60</v>
      </c>
      <c r="D272" s="117"/>
      <c r="E272" s="110"/>
      <c r="F272" s="54"/>
      <c r="G272" s="32"/>
      <c r="H272" s="237"/>
      <c r="I272" s="26">
        <f>-SUMIFS(T_ORCAMENTOS!$E:$E,T_ORCAMENTOS!$C:$C,"Pesquisa de Mercado",T_ORCAMENTOS!$H:$H,"1/2026")</f>
        <v>0</v>
      </c>
      <c r="J272" s="27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37"/>
      <c r="L272" s="26">
        <f>-SUMIFS(T_ORCAMENTOS!$E:$E,T_ORCAMENTOS!$C:$C,"Pesquisa de Mercado",T_ORCAMENTOS!$H:$H,"2/2026")</f>
        <v>0</v>
      </c>
      <c r="M272" s="27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37"/>
      <c r="O272" s="26">
        <f>-SUMIFS(T_ORCAMENTOS!$E:$E,T_ORCAMENTOS!$C:$C,"Pesquisa de Mercado",T_ORCAMENTOS!$H:$H,"3/2026")</f>
        <v>0</v>
      </c>
      <c r="P272" s="27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37"/>
      <c r="R272" s="26">
        <f>-SUMIFS(T_ORCAMENTOS!$E:$E,T_ORCAMENTOS!$C:$C,"Pesquisa de Mercado",T_ORCAMENTOS!$H:$H,"4/2026")</f>
        <v>0</v>
      </c>
      <c r="S272" s="27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37"/>
      <c r="U272" s="26">
        <f>-SUMIFS(T_ORCAMENTOS!$E:$E,T_ORCAMENTOS!$C:$C,"Pesquisa de Mercado",T_ORCAMENTOS!$H:$H,"5/2026")</f>
        <v>0</v>
      </c>
      <c r="V272" s="27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37"/>
      <c r="X272" s="26">
        <f>-SUMIFS(T_ORCAMENTOS!$E:$E,T_ORCAMENTOS!$C:$C,"Pesquisa de Mercado",T_ORCAMENTOS!$H:$H,"6/2026")</f>
        <v>0</v>
      </c>
      <c r="Y272" s="27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37"/>
      <c r="AA272" s="26">
        <f>-SUMIFS(T_ORCAMENTOS!$E:$E,T_ORCAMENTOS!$C:$C,"Pesquisa de Mercado",T_ORCAMENTOS!$H:$H,"7/2026")</f>
        <v>0</v>
      </c>
      <c r="AB272" s="27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37"/>
      <c r="AD272" s="26">
        <f>-SUMIFS(T_ORCAMENTOS!$E:$E,T_ORCAMENTOS!$C:$C,"Pesquisa de Mercado",T_ORCAMENTOS!$H:$H,"8/2026")</f>
        <v>0</v>
      </c>
      <c r="AE272" s="27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37"/>
      <c r="AG272" s="26">
        <f>-SUMIFS(T_ORCAMENTOS!$E:$E,T_ORCAMENTOS!$C:$C,"Pesquisa de Mercado",T_ORCAMENTOS!$H:$H,"9/2026")</f>
        <v>0</v>
      </c>
      <c r="AH272" s="27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37"/>
      <c r="AJ272" s="26">
        <f>-SUMIFS(T_ORCAMENTOS!$E:$E,T_ORCAMENTOS!$C:$C,"Pesquisa de Mercado",T_ORCAMENTOS!$H:$H,"10/2026")</f>
        <v>0</v>
      </c>
      <c r="AK272" s="27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37"/>
      <c r="AM272" s="26">
        <f>-SUMIFS(T_ORCAMENTOS!$E:$E,T_ORCAMENTOS!$C:$C,"Pesquisa de Mercado",T_ORCAMENTOS!$H:$H,"11/2026")</f>
        <v>0</v>
      </c>
      <c r="AN272" s="27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37"/>
      <c r="AP272" s="26">
        <f>-SUMIFS(T_ORCAMENTOS!$E:$E,T_ORCAMENTOS!$C:$C,"Pesquisa de Mercado",T_ORCAMENTOS!$H:$H,"12/2026")</f>
        <v>0</v>
      </c>
      <c r="AQ272" s="27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37">
        <f t="shared" ca="1" si="235"/>
        <v>0</v>
      </c>
      <c r="AS272" s="26">
        <f t="shared" ca="1" si="236"/>
        <v>0</v>
      </c>
      <c r="AT272" s="27">
        <f t="shared" ca="1" si="237"/>
        <v>0</v>
      </c>
      <c r="AU272" s="237">
        <f t="shared" si="238"/>
        <v>0</v>
      </c>
      <c r="AV272" s="26">
        <f t="shared" si="239"/>
        <v>0</v>
      </c>
      <c r="AW272" s="27">
        <f t="shared" si="240"/>
        <v>0</v>
      </c>
      <c r="AX272" s="237">
        <f t="shared" si="241"/>
        <v>0</v>
      </c>
      <c r="AY272" s="26">
        <f t="shared" si="242"/>
        <v>0</v>
      </c>
      <c r="AZ272" s="27">
        <f t="shared" si="243"/>
        <v>0</v>
      </c>
      <c r="BA272" s="237">
        <f t="shared" si="244"/>
        <v>0</v>
      </c>
      <c r="BB272" s="26">
        <f t="shared" si="245"/>
        <v>0</v>
      </c>
      <c r="BC272" s="27">
        <f t="shared" si="246"/>
        <v>0</v>
      </c>
      <c r="BD272" s="237">
        <f t="shared" si="247"/>
        <v>0</v>
      </c>
      <c r="BE272" s="26">
        <f t="shared" si="248"/>
        <v>0</v>
      </c>
      <c r="BF272" s="27">
        <f t="shared" si="249"/>
        <v>0</v>
      </c>
      <c r="BG272" s="237">
        <f t="shared" si="250"/>
        <v>0</v>
      </c>
      <c r="BH272" s="26">
        <f t="shared" si="251"/>
        <v>0</v>
      </c>
      <c r="BI272" s="27">
        <f t="shared" si="252"/>
        <v>0</v>
      </c>
      <c r="BJ272" s="454"/>
    </row>
    <row r="273" spans="1:62" s="28" customFormat="1" hidden="1" outlineLevel="1" x14ac:dyDescent="0.3">
      <c r="A273" s="21" t="s">
        <v>302</v>
      </c>
      <c r="B273" s="22"/>
      <c r="C273" s="23" t="s">
        <v>60</v>
      </c>
      <c r="D273" s="117"/>
      <c r="E273" s="110"/>
      <c r="F273" s="54"/>
      <c r="G273" s="32"/>
      <c r="H273" s="237"/>
      <c r="I273" s="26">
        <f>-SUMIFS(T_ORCAMENTOS!$E:$E,T_ORCAMENTOS!$C:$C,"Sessão de Fotos/Captação de Vídeo",T_ORCAMENTOS!$H:$H,"1/2026")</f>
        <v>0</v>
      </c>
      <c r="J273" s="27">
        <f>SUMIFS(Aut_BlueMe_Sem_Pedido!$J:$J,Aut_BlueMe_Sem_Pedido!$Q:$Q,DRE!H$4,Aut_BlueMe_Sem_Pedido!$H:$H,DRE!$A273)+SUMIFS(Aut_Ajustes_Manuais!$G:$G,Aut_Ajustes_Manuais!$I:$I,DRE!H$4,Aut_Ajustes_Manuais!$F:$F,"Sessão de Fotos/Captação de Vídeo")</f>
        <v>0</v>
      </c>
      <c r="K273" s="237"/>
      <c r="L273" s="26">
        <f>-SUMIFS(T_ORCAMENTOS!$E:$E,T_ORCAMENTOS!$C:$C,"Sessão de Fotos/Captação de Vídeo",T_ORCAMENTOS!$H:$H,"2/2026")</f>
        <v>0</v>
      </c>
      <c r="M273" s="27">
        <f>SUMIFS(Aut_BlueMe_Sem_Pedido!$J:$J,Aut_BlueMe_Sem_Pedido!$Q:$Q,DRE!K$4,Aut_BlueMe_Sem_Pedido!$H:$H,DRE!$A273)+SUMIFS(Aut_Ajustes_Manuais!$G:$G,Aut_Ajustes_Manuais!$I:$I,DRE!K$4,Aut_Ajustes_Manuais!$F:$F,"Sessão de Fotos/Captação de Vídeo")</f>
        <v>0</v>
      </c>
      <c r="N273" s="237"/>
      <c r="O273" s="26">
        <f>-SUMIFS(T_ORCAMENTOS!$E:$E,T_ORCAMENTOS!$C:$C,"Sessão de Fotos/Captação de Vídeo",T_ORCAMENTOS!$H:$H,"3/2026")</f>
        <v>0</v>
      </c>
      <c r="P273" s="27">
        <f>SUMIFS(Aut_BlueMe_Sem_Pedido!$J:$J,Aut_BlueMe_Sem_Pedido!$Q:$Q,DRE!N$4,Aut_BlueMe_Sem_Pedido!$H:$H,DRE!$A273)+SUMIFS(Aut_Ajustes_Manuais!$G:$G,Aut_Ajustes_Manuais!$I:$I,DRE!N$4,Aut_Ajustes_Manuais!$F:$F,"Sessão de Fotos/Captação de Vídeo")</f>
        <v>0</v>
      </c>
      <c r="Q273" s="237"/>
      <c r="R273" s="26">
        <f>-SUMIFS(T_ORCAMENTOS!$E:$E,T_ORCAMENTOS!$C:$C,"Sessão de Fotos/Captação de Vídeo",T_ORCAMENTOS!$H:$H,"4/2026")</f>
        <v>0</v>
      </c>
      <c r="S273" s="27">
        <f>SUMIFS(Aut_BlueMe_Sem_Pedido!$J:$J,Aut_BlueMe_Sem_Pedido!$Q:$Q,DRE!Q$4,Aut_BlueMe_Sem_Pedido!$H:$H,DRE!$A273)+SUMIFS(Aut_Ajustes_Manuais!$G:$G,Aut_Ajustes_Manuais!$I:$I,DRE!Q$4,Aut_Ajustes_Manuais!$F:$F,"Sessão de Fotos/Captação de Vídeo")</f>
        <v>0</v>
      </c>
      <c r="T273" s="237"/>
      <c r="U273" s="26">
        <f>-SUMIFS(T_ORCAMENTOS!$E:$E,T_ORCAMENTOS!$C:$C,"Sessão de Fotos/Captação de Vídeo",T_ORCAMENTOS!$H:$H,"5/2026")</f>
        <v>0</v>
      </c>
      <c r="V273" s="27">
        <f>SUMIFS(Aut_BlueMe_Sem_Pedido!$J:$J,Aut_BlueMe_Sem_Pedido!$Q:$Q,DRE!T$4,Aut_BlueMe_Sem_Pedido!$H:$H,DRE!$A273)+SUMIFS(Aut_Ajustes_Manuais!$G:$G,Aut_Ajustes_Manuais!$I:$I,DRE!T$4,Aut_Ajustes_Manuais!$F:$F,"Sessão de Fotos/Captação de Vídeo")</f>
        <v>0</v>
      </c>
      <c r="W273" s="237"/>
      <c r="X273" s="26">
        <f>-SUMIFS(T_ORCAMENTOS!$E:$E,T_ORCAMENTOS!$C:$C,"Sessão de Fotos/Captação de Vídeo",T_ORCAMENTOS!$H:$H,"6/2026")</f>
        <v>0</v>
      </c>
      <c r="Y273" s="27">
        <f>SUMIFS(Aut_BlueMe_Sem_Pedido!$J:$J,Aut_BlueMe_Sem_Pedido!$Q:$Q,DRE!W$4,Aut_BlueMe_Sem_Pedido!$H:$H,DRE!$A273)+SUMIFS(Aut_Ajustes_Manuais!$G:$G,Aut_Ajustes_Manuais!$I:$I,DRE!W$4,Aut_Ajustes_Manuais!$F:$F,"Sessão de Fotos/Captação de Vídeo")</f>
        <v>0</v>
      </c>
      <c r="Z273" s="237"/>
      <c r="AA273" s="26">
        <f>-SUMIFS(T_ORCAMENTOS!$E:$E,T_ORCAMENTOS!$C:$C,"Sessão de Fotos/Captação de Vídeo",T_ORCAMENTOS!$H:$H,"7/2026")</f>
        <v>0</v>
      </c>
      <c r="AB273" s="27">
        <f>SUMIFS(Aut_BlueMe_Sem_Pedido!$J:$J,Aut_BlueMe_Sem_Pedido!$Q:$Q,DRE!Z$4,Aut_BlueMe_Sem_Pedido!$H:$H,DRE!$A273)+SUMIFS(Aut_Ajustes_Manuais!$G:$G,Aut_Ajustes_Manuais!$I:$I,DRE!Z$4,Aut_Ajustes_Manuais!$F:$F,"Sessão de Fotos/Captação de Vídeo")</f>
        <v>0</v>
      </c>
      <c r="AC273" s="237"/>
      <c r="AD273" s="26">
        <f>-SUMIFS(T_ORCAMENTOS!$E:$E,T_ORCAMENTOS!$C:$C,"Sessão de Fotos/Captação de Vídeo",T_ORCAMENTOS!$H:$H,"8/2026")</f>
        <v>-2100</v>
      </c>
      <c r="AE273" s="27">
        <f>SUMIFS(Aut_BlueMe_Sem_Pedido!$J:$J,Aut_BlueMe_Sem_Pedido!$Q:$Q,DRE!AC$4,Aut_BlueMe_Sem_Pedido!$H:$H,DRE!$A273)+SUMIFS(Aut_Ajustes_Manuais!$G:$G,Aut_Ajustes_Manuais!$I:$I,DRE!AC$4,Aut_Ajustes_Manuais!$F:$F,"Sessão de Fotos/Captação de Vídeo")</f>
        <v>0</v>
      </c>
      <c r="AF273" s="237"/>
      <c r="AG273" s="26">
        <f>-SUMIFS(T_ORCAMENTOS!$E:$E,T_ORCAMENTOS!$C:$C,"Sessão de Fotos/Captação de Vídeo",T_ORCAMENTOS!$H:$H,"9/2026")</f>
        <v>-2100</v>
      </c>
      <c r="AH273" s="27">
        <f>SUMIFS(Aut_BlueMe_Sem_Pedido!$J:$J,Aut_BlueMe_Sem_Pedido!$Q:$Q,DRE!AF$4,Aut_BlueMe_Sem_Pedido!$H:$H,DRE!$A273)+SUMIFS(Aut_Ajustes_Manuais!$G:$G,Aut_Ajustes_Manuais!$I:$I,DRE!AF$4,Aut_Ajustes_Manuais!$F:$F,"Sessão de Fotos/Captação de Vídeo")</f>
        <v>0</v>
      </c>
      <c r="AI273" s="237"/>
      <c r="AJ273" s="26">
        <f>-SUMIFS(T_ORCAMENTOS!$E:$E,T_ORCAMENTOS!$C:$C,"Sessão de Fotos/Captação de Vídeo",T_ORCAMENTOS!$H:$H,"10/2026")</f>
        <v>-2100</v>
      </c>
      <c r="AK273" s="27">
        <f>SUMIFS(Aut_BlueMe_Sem_Pedido!$J:$J,Aut_BlueMe_Sem_Pedido!$Q:$Q,DRE!AI$4,Aut_BlueMe_Sem_Pedido!$H:$H,DRE!$A273)+SUMIFS(Aut_Ajustes_Manuais!$G:$G,Aut_Ajustes_Manuais!$I:$I,DRE!AI$4,Aut_Ajustes_Manuais!$F:$F,"Sessão de Fotos/Captação de Vídeo")</f>
        <v>0</v>
      </c>
      <c r="AL273" s="237"/>
      <c r="AM273" s="26">
        <f>-SUMIFS(T_ORCAMENTOS!$E:$E,T_ORCAMENTOS!$C:$C,"Sessão de Fotos/Captação de Vídeo",T_ORCAMENTOS!$H:$H,"11/2026")</f>
        <v>-2100</v>
      </c>
      <c r="AN273" s="27">
        <f>SUMIFS(Aut_BlueMe_Sem_Pedido!$J:$J,Aut_BlueMe_Sem_Pedido!$Q:$Q,DRE!AL$4,Aut_BlueMe_Sem_Pedido!$H:$H,DRE!$A273)+SUMIFS(Aut_Ajustes_Manuais!$G:$G,Aut_Ajustes_Manuais!$I:$I,DRE!AL$4,Aut_Ajustes_Manuais!$F:$F,"Sessão de Fotos/Captação de Vídeo")</f>
        <v>0</v>
      </c>
      <c r="AO273" s="237"/>
      <c r="AP273" s="26">
        <f>-SUMIFS(T_ORCAMENTOS!$E:$E,T_ORCAMENTOS!$C:$C,"Sessão de Fotos/Captação de Vídeo",T_ORCAMENTOS!$H:$H,"12/2026")</f>
        <v>-2100</v>
      </c>
      <c r="AQ273" s="27">
        <f>SUMIFS(Aut_BlueMe_Sem_Pedido!$J:$J,Aut_BlueMe_Sem_Pedido!$Q:$Q,DRE!AO$4,Aut_BlueMe_Sem_Pedido!$H:$H,DRE!$A273)+SUMIFS(Aut_Ajustes_Manuais!$G:$G,Aut_Ajustes_Manuais!$I:$I,DRE!AO$4,Aut_Ajustes_Manuais!$F:$F,"Sessão de Fotos/Captação de Vídeo")</f>
        <v>0</v>
      </c>
      <c r="AR273" s="237">
        <f t="shared" ca="1" si="235"/>
        <v>0</v>
      </c>
      <c r="AS273" s="26">
        <f t="shared" ca="1" si="236"/>
        <v>-2100</v>
      </c>
      <c r="AT273" s="27">
        <f t="shared" ca="1" si="237"/>
        <v>0</v>
      </c>
      <c r="AU273" s="237">
        <f t="shared" si="238"/>
        <v>0</v>
      </c>
      <c r="AV273" s="26">
        <f t="shared" si="239"/>
        <v>-10500</v>
      </c>
      <c r="AW273" s="27">
        <f t="shared" si="240"/>
        <v>0</v>
      </c>
      <c r="AX273" s="237">
        <f t="shared" si="241"/>
        <v>0</v>
      </c>
      <c r="AY273" s="26">
        <f t="shared" si="242"/>
        <v>0</v>
      </c>
      <c r="AZ273" s="27">
        <f t="shared" si="243"/>
        <v>0</v>
      </c>
      <c r="BA273" s="237">
        <f t="shared" si="244"/>
        <v>0</v>
      </c>
      <c r="BB273" s="26">
        <f t="shared" si="245"/>
        <v>0</v>
      </c>
      <c r="BC273" s="27">
        <f t="shared" si="246"/>
        <v>0</v>
      </c>
      <c r="BD273" s="237">
        <f t="shared" si="247"/>
        <v>0</v>
      </c>
      <c r="BE273" s="26">
        <f t="shared" si="248"/>
        <v>-4200</v>
      </c>
      <c r="BF273" s="27">
        <f t="shared" si="249"/>
        <v>0</v>
      </c>
      <c r="BG273" s="237">
        <f t="shared" si="250"/>
        <v>0</v>
      </c>
      <c r="BH273" s="26">
        <f t="shared" si="251"/>
        <v>-6300</v>
      </c>
      <c r="BI273" s="27">
        <f t="shared" si="252"/>
        <v>0</v>
      </c>
      <c r="BJ273" s="454"/>
    </row>
    <row r="274" spans="1:62" s="28" customFormat="1" hidden="1" outlineLevel="1" x14ac:dyDescent="0.3">
      <c r="A274" s="21" t="s">
        <v>303</v>
      </c>
      <c r="B274" s="22"/>
      <c r="C274" s="23" t="s">
        <v>60</v>
      </c>
      <c r="D274" s="117"/>
      <c r="E274" s="110"/>
      <c r="F274" s="54"/>
      <c r="G274" s="32"/>
      <c r="H274" s="237"/>
      <c r="I274" s="26">
        <f>-SUMIFS(T_ORCAMENTOS!$E:$E,T_ORCAMENTOS!$C:$C,"Produção Gráfica e Material Institucional",T_ORCAMENTOS!$H:$H,"1/2026")</f>
        <v>0</v>
      </c>
      <c r="J274" s="27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0</v>
      </c>
      <c r="K274" s="237"/>
      <c r="L274" s="26">
        <f>-SUMIFS(T_ORCAMENTOS!$E:$E,T_ORCAMENTOS!$C:$C,"Produção Gráfica e Material Institucional",T_ORCAMENTOS!$H:$H,"2/2026")</f>
        <v>0</v>
      </c>
      <c r="M274" s="27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0</v>
      </c>
      <c r="N274" s="237"/>
      <c r="O274" s="26">
        <f>-SUMIFS(T_ORCAMENTOS!$E:$E,T_ORCAMENTOS!$C:$C,"Produção Gráfica e Material Institucional",T_ORCAMENTOS!$H:$H,"3/2026")</f>
        <v>0</v>
      </c>
      <c r="P274" s="27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0</v>
      </c>
      <c r="Q274" s="237"/>
      <c r="R274" s="26">
        <f>-SUMIFS(T_ORCAMENTOS!$E:$E,T_ORCAMENTOS!$C:$C,"Produção Gráfica e Material Institucional",T_ORCAMENTOS!$H:$H,"4/2026")</f>
        <v>0</v>
      </c>
      <c r="S274" s="27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0</v>
      </c>
      <c r="T274" s="237"/>
      <c r="U274" s="26">
        <f>-SUMIFS(T_ORCAMENTOS!$E:$E,T_ORCAMENTOS!$C:$C,"Produção Gráfica e Material Institucional",T_ORCAMENTOS!$H:$H,"5/2026")</f>
        <v>0</v>
      </c>
      <c r="V274" s="27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0</v>
      </c>
      <c r="W274" s="237"/>
      <c r="X274" s="26">
        <f>-SUMIFS(T_ORCAMENTOS!$E:$E,T_ORCAMENTOS!$C:$C,"Produção Gráfica e Material Institucional",T_ORCAMENTOS!$H:$H,"6/2026")</f>
        <v>0</v>
      </c>
      <c r="Y274" s="27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0</v>
      </c>
      <c r="Z274" s="237"/>
      <c r="AA274" s="26">
        <f>-SUMIFS(T_ORCAMENTOS!$E:$E,T_ORCAMENTOS!$C:$C,"Produção Gráfica e Material Institucional",T_ORCAMENTOS!$H:$H,"7/2026")</f>
        <v>0</v>
      </c>
      <c r="AB274" s="27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-3119</v>
      </c>
      <c r="AC274" s="237"/>
      <c r="AD274" s="26">
        <f>-SUMIFS(T_ORCAMENTOS!$E:$E,T_ORCAMENTOS!$C:$C,"Produção Gráfica e Material Institucional",T_ORCAMENTOS!$H:$H,"8/2026")</f>
        <v>-5400</v>
      </c>
      <c r="AE274" s="27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0</v>
      </c>
      <c r="AF274" s="237"/>
      <c r="AG274" s="26">
        <f>-SUMIFS(T_ORCAMENTOS!$E:$E,T_ORCAMENTOS!$C:$C,"Produção Gráfica e Material Institucional",T_ORCAMENTOS!$H:$H,"9/2026")</f>
        <v>-5400</v>
      </c>
      <c r="AH274" s="27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37"/>
      <c r="AJ274" s="26">
        <f>-SUMIFS(T_ORCAMENTOS!$E:$E,T_ORCAMENTOS!$C:$C,"Produção Gráfica e Material Institucional",T_ORCAMENTOS!$H:$H,"10/2026")</f>
        <v>-5400</v>
      </c>
      <c r="AK274" s="27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>0</v>
      </c>
      <c r="AL274" s="237"/>
      <c r="AM274" s="26">
        <f>-SUMIFS(T_ORCAMENTOS!$E:$E,T_ORCAMENTOS!$C:$C,"Produção Gráfica e Material Institucional",T_ORCAMENTOS!$H:$H,"11/2026")</f>
        <v>-5400</v>
      </c>
      <c r="AN274" s="27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37"/>
      <c r="AP274" s="26">
        <f>-SUMIFS(T_ORCAMENTOS!$E:$E,T_ORCAMENTOS!$C:$C,"Produção Gráfica e Material Institucional",T_ORCAMENTOS!$H:$H,"12/2026")</f>
        <v>-5400</v>
      </c>
      <c r="AQ274" s="27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37">
        <f t="shared" ca="1" si="235"/>
        <v>0</v>
      </c>
      <c r="AS274" s="26">
        <f t="shared" ca="1" si="236"/>
        <v>-5400</v>
      </c>
      <c r="AT274" s="27">
        <f t="shared" ca="1" si="237"/>
        <v>-3119</v>
      </c>
      <c r="AU274" s="237">
        <f t="shared" si="238"/>
        <v>0</v>
      </c>
      <c r="AV274" s="26">
        <f t="shared" si="239"/>
        <v>-27000</v>
      </c>
      <c r="AW274" s="27">
        <f t="shared" si="240"/>
        <v>-3119</v>
      </c>
      <c r="AX274" s="237">
        <f t="shared" si="241"/>
        <v>0</v>
      </c>
      <c r="AY274" s="26">
        <f t="shared" si="242"/>
        <v>0</v>
      </c>
      <c r="AZ274" s="27">
        <f t="shared" si="243"/>
        <v>0</v>
      </c>
      <c r="BA274" s="237">
        <f t="shared" si="244"/>
        <v>0</v>
      </c>
      <c r="BB274" s="26">
        <f t="shared" si="245"/>
        <v>0</v>
      </c>
      <c r="BC274" s="27">
        <f t="shared" si="246"/>
        <v>0</v>
      </c>
      <c r="BD274" s="237">
        <f t="shared" si="247"/>
        <v>0</v>
      </c>
      <c r="BE274" s="26">
        <f t="shared" si="248"/>
        <v>-10800</v>
      </c>
      <c r="BF274" s="27">
        <f t="shared" si="249"/>
        <v>-3119</v>
      </c>
      <c r="BG274" s="237">
        <f t="shared" si="250"/>
        <v>0</v>
      </c>
      <c r="BH274" s="26">
        <f t="shared" si="251"/>
        <v>-16200</v>
      </c>
      <c r="BI274" s="27">
        <f t="shared" si="252"/>
        <v>0</v>
      </c>
      <c r="BJ274" s="454"/>
    </row>
    <row r="275" spans="1:62" s="28" customFormat="1" hidden="1" outlineLevel="1" x14ac:dyDescent="0.3">
      <c r="A275" s="21" t="s">
        <v>304</v>
      </c>
      <c r="B275" s="22"/>
      <c r="C275" s="23" t="s">
        <v>60</v>
      </c>
      <c r="D275" s="117"/>
      <c r="E275" s="110"/>
      <c r="F275" s="54"/>
      <c r="G275" s="32"/>
      <c r="H275" s="237"/>
      <c r="I275" s="26">
        <f>-SUMIFS(T_ORCAMENTOS!$E:$E,T_ORCAMENTOS!$C:$C,"Eventos de Marketing",T_ORCAMENTOS!$H:$H,"1/2026")</f>
        <v>0</v>
      </c>
      <c r="J275" s="27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0</v>
      </c>
      <c r="K275" s="237"/>
      <c r="L275" s="26">
        <f>-SUMIFS(T_ORCAMENTOS!$E:$E,T_ORCAMENTOS!$C:$C,"Eventos de Marketing",T_ORCAMENTOS!$H:$H,"2/2026")</f>
        <v>0</v>
      </c>
      <c r="M275" s="27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0</v>
      </c>
      <c r="N275" s="237"/>
      <c r="O275" s="26">
        <f>-SUMIFS(T_ORCAMENTOS!$E:$E,T_ORCAMENTOS!$C:$C,"Eventos de Marketing",T_ORCAMENTOS!$H:$H,"3/2026")</f>
        <v>0</v>
      </c>
      <c r="P275" s="27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37"/>
      <c r="R275" s="26">
        <f>-SUMIFS(T_ORCAMENTOS!$E:$E,T_ORCAMENTOS!$C:$C,"Eventos de Marketing",T_ORCAMENTOS!$H:$H,"4/2026")</f>
        <v>0</v>
      </c>
      <c r="S275" s="27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0</v>
      </c>
      <c r="T275" s="237"/>
      <c r="U275" s="26">
        <f>-SUMIFS(T_ORCAMENTOS!$E:$E,T_ORCAMENTOS!$C:$C,"Eventos de Marketing",T_ORCAMENTOS!$H:$H,"5/2026")</f>
        <v>0</v>
      </c>
      <c r="V275" s="27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0</v>
      </c>
      <c r="W275" s="237"/>
      <c r="X275" s="26">
        <f>-SUMIFS(T_ORCAMENTOS!$E:$E,T_ORCAMENTOS!$C:$C,"Eventos de Marketing",T_ORCAMENTOS!$H:$H,"6/2026")</f>
        <v>0</v>
      </c>
      <c r="Y275" s="27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0</v>
      </c>
      <c r="Z275" s="237"/>
      <c r="AA275" s="26">
        <f>-SUMIFS(T_ORCAMENTOS!$E:$E,T_ORCAMENTOS!$C:$C,"Eventos de Marketing",T_ORCAMENTOS!$H:$H,"7/2026")</f>
        <v>0</v>
      </c>
      <c r="AB275" s="27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37"/>
      <c r="AD275" s="26">
        <f>-SUMIFS(T_ORCAMENTOS!$E:$E,T_ORCAMENTOS!$C:$C,"Eventos de Marketing",T_ORCAMENTOS!$H:$H,"8/2026")</f>
        <v>-700</v>
      </c>
      <c r="AE275" s="27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37"/>
      <c r="AG275" s="26">
        <f>-SUMIFS(T_ORCAMENTOS!$E:$E,T_ORCAMENTOS!$C:$C,"Eventos de Marketing",T_ORCAMENTOS!$H:$H,"9/2026")</f>
        <v>-700</v>
      </c>
      <c r="AH275" s="27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37"/>
      <c r="AJ275" s="26">
        <f>-SUMIFS(T_ORCAMENTOS!$E:$E,T_ORCAMENTOS!$C:$C,"Eventos de Marketing",T_ORCAMENTOS!$H:$H,"10/2026")</f>
        <v>-700</v>
      </c>
      <c r="AK275" s="27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37"/>
      <c r="AM275" s="26">
        <f>-SUMIFS(T_ORCAMENTOS!$E:$E,T_ORCAMENTOS!$C:$C,"Eventos de Marketing",T_ORCAMENTOS!$H:$H,"11/2026")</f>
        <v>-700</v>
      </c>
      <c r="AN275" s="27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37"/>
      <c r="AP275" s="26">
        <f>-SUMIFS(T_ORCAMENTOS!$E:$E,T_ORCAMENTOS!$C:$C,"Eventos de Marketing",T_ORCAMENTOS!$H:$H,"12/2026")</f>
        <v>-700</v>
      </c>
      <c r="AQ275" s="27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37">
        <f t="shared" ca="1" si="235"/>
        <v>0</v>
      </c>
      <c r="AS275" s="26">
        <f t="shared" ca="1" si="236"/>
        <v>-700</v>
      </c>
      <c r="AT275" s="27">
        <f t="shared" ca="1" si="237"/>
        <v>0</v>
      </c>
      <c r="AU275" s="237">
        <f t="shared" si="238"/>
        <v>0</v>
      </c>
      <c r="AV275" s="26">
        <f t="shared" si="239"/>
        <v>-3500</v>
      </c>
      <c r="AW275" s="27">
        <f t="shared" si="240"/>
        <v>0</v>
      </c>
      <c r="AX275" s="237">
        <f t="shared" si="241"/>
        <v>0</v>
      </c>
      <c r="AY275" s="26">
        <f t="shared" si="242"/>
        <v>0</v>
      </c>
      <c r="AZ275" s="27">
        <f t="shared" si="243"/>
        <v>0</v>
      </c>
      <c r="BA275" s="237">
        <f t="shared" si="244"/>
        <v>0</v>
      </c>
      <c r="BB275" s="26">
        <f t="shared" si="245"/>
        <v>0</v>
      </c>
      <c r="BC275" s="27">
        <f t="shared" si="246"/>
        <v>0</v>
      </c>
      <c r="BD275" s="237">
        <f t="shared" si="247"/>
        <v>0</v>
      </c>
      <c r="BE275" s="26">
        <f t="shared" si="248"/>
        <v>-1400</v>
      </c>
      <c r="BF275" s="27">
        <f t="shared" si="249"/>
        <v>0</v>
      </c>
      <c r="BG275" s="237">
        <f t="shared" si="250"/>
        <v>0</v>
      </c>
      <c r="BH275" s="26">
        <f t="shared" si="251"/>
        <v>-2100</v>
      </c>
      <c r="BI275" s="27">
        <f t="shared" si="252"/>
        <v>0</v>
      </c>
      <c r="BJ275" s="454"/>
    </row>
    <row r="276" spans="1:62" s="28" customFormat="1" hidden="1" outlineLevel="1" x14ac:dyDescent="0.3">
      <c r="A276" s="21" t="s">
        <v>305</v>
      </c>
      <c r="B276" s="22"/>
      <c r="C276" s="23" t="s">
        <v>60</v>
      </c>
      <c r="D276" s="117"/>
      <c r="E276" s="110"/>
      <c r="F276" s="54"/>
      <c r="G276" s="32"/>
      <c r="H276" s="237"/>
      <c r="I276" s="26">
        <f>-SUMIFS(T_ORCAMENTOS!$E:$E,T_ORCAMENTOS!$C:$C,"Brindes e Confraternizações - Marketing",T_ORCAMENTOS!$H:$H,"1/2026")</f>
        <v>0</v>
      </c>
      <c r="J276" s="27">
        <f>SUMIFS(Aut_BlueMe_Sem_Pedido!$J:$J,Aut_BlueMe_Sem_Pedido!$Q:$Q,DRE!H$4,Aut_BlueMe_Sem_Pedido!$H:$H,DRE!$A276)+SUMIFS(Aut_Ajustes_Manuais!$G:$G,Aut_Ajustes_Manuais!$I:$I,DRE!H$4,Aut_Ajustes_Manuais!$F:$F,"Brindes e Confraternizações")</f>
        <v>0</v>
      </c>
      <c r="K276" s="237"/>
      <c r="L276" s="26">
        <f>-SUMIFS(T_ORCAMENTOS!$E:$E,T_ORCAMENTOS!$C:$C,"Brindes e Confraternizações - Marketing",T_ORCAMENTOS!$H:$H,"2/2026")</f>
        <v>0</v>
      </c>
      <c r="M276" s="27">
        <f>SUMIFS(Aut_BlueMe_Sem_Pedido!$J:$J,Aut_BlueMe_Sem_Pedido!$Q:$Q,DRE!K$4,Aut_BlueMe_Sem_Pedido!$H:$H,DRE!$A276)+SUMIFS(Aut_Ajustes_Manuais!$G:$G,Aut_Ajustes_Manuais!$I:$I,DRE!K$4,Aut_Ajustes_Manuais!$F:$F,"Brindes e Confraternizações")</f>
        <v>0</v>
      </c>
      <c r="N276" s="237"/>
      <c r="O276" s="26">
        <f>-SUMIFS(T_ORCAMENTOS!$E:$E,T_ORCAMENTOS!$C:$C,"Brindes e Confraternizações - Marketing",T_ORCAMENTOS!$H:$H,"3/2026")</f>
        <v>0</v>
      </c>
      <c r="P276" s="27">
        <f>SUMIFS(Aut_BlueMe_Sem_Pedido!$J:$J,Aut_BlueMe_Sem_Pedido!$Q:$Q,DRE!N$4,Aut_BlueMe_Sem_Pedido!$H:$H,DRE!$A276)+SUMIFS(Aut_Ajustes_Manuais!$G:$G,Aut_Ajustes_Manuais!$I:$I,DRE!N$4,Aut_Ajustes_Manuais!$F:$F,"Brindes e Confraternizações")</f>
        <v>0</v>
      </c>
      <c r="Q276" s="237"/>
      <c r="R276" s="26">
        <f>-SUMIFS(T_ORCAMENTOS!$E:$E,T_ORCAMENTOS!$C:$C,"Brindes e Confraternizações - Marketing",T_ORCAMENTOS!$H:$H,"4/2026")</f>
        <v>0</v>
      </c>
      <c r="S276" s="27">
        <f>SUMIFS(Aut_BlueMe_Sem_Pedido!$J:$J,Aut_BlueMe_Sem_Pedido!$Q:$Q,DRE!Q$4,Aut_BlueMe_Sem_Pedido!$H:$H,DRE!$A276)+SUMIFS(Aut_Ajustes_Manuais!$G:$G,Aut_Ajustes_Manuais!$I:$I,DRE!Q$4,Aut_Ajustes_Manuais!$F:$F,"Brindes e Confraternizações")</f>
        <v>0</v>
      </c>
      <c r="T276" s="237"/>
      <c r="U276" s="26">
        <f>-SUMIFS(T_ORCAMENTOS!$E:$E,T_ORCAMENTOS!$C:$C,"Brindes e Confraternizações - Marketing",T_ORCAMENTOS!$H:$H,"5/2026")</f>
        <v>0</v>
      </c>
      <c r="V276" s="27">
        <f>SUMIFS(Aut_BlueMe_Sem_Pedido!$J:$J,Aut_BlueMe_Sem_Pedido!$Q:$Q,DRE!T$4,Aut_BlueMe_Sem_Pedido!$H:$H,DRE!$A276)+SUMIFS(Aut_Ajustes_Manuais!$G:$G,Aut_Ajustes_Manuais!$I:$I,DRE!T$4,Aut_Ajustes_Manuais!$F:$F,"Brindes e Confraternizações")</f>
        <v>0</v>
      </c>
      <c r="W276" s="237"/>
      <c r="X276" s="26">
        <f>-SUMIFS(T_ORCAMENTOS!$E:$E,T_ORCAMENTOS!$C:$C,"Brindes e Confraternizações - Marketing",T_ORCAMENTOS!$H:$H,"6/2026")</f>
        <v>0</v>
      </c>
      <c r="Y276" s="27">
        <f>SUMIFS(Aut_BlueMe_Sem_Pedido!$J:$J,Aut_BlueMe_Sem_Pedido!$Q:$Q,DRE!W$4,Aut_BlueMe_Sem_Pedido!$H:$H,DRE!$A276)+SUMIFS(Aut_Ajustes_Manuais!$G:$G,Aut_Ajustes_Manuais!$I:$I,DRE!W$4,Aut_Ajustes_Manuais!$F:$F,"Brindes e Confraternizações")</f>
        <v>0</v>
      </c>
      <c r="Z276" s="237"/>
      <c r="AA276" s="26">
        <f>-SUMIFS(T_ORCAMENTOS!$E:$E,T_ORCAMENTOS!$C:$C,"Brindes e Confraternizações - Marketing",T_ORCAMENTOS!$H:$H,"7/2026")</f>
        <v>0</v>
      </c>
      <c r="AB276" s="27">
        <f>SUMIFS(Aut_BlueMe_Sem_Pedido!$J:$J,Aut_BlueMe_Sem_Pedido!$Q:$Q,DRE!Z$4,Aut_BlueMe_Sem_Pedido!$H:$H,DRE!$A276)+SUMIFS(Aut_Ajustes_Manuais!$G:$G,Aut_Ajustes_Manuais!$I:$I,DRE!Z$4,Aut_Ajustes_Manuais!$F:$F,"Brindes e Confraternizações")</f>
        <v>0</v>
      </c>
      <c r="AC276" s="237"/>
      <c r="AD276" s="26">
        <f>-SUMIFS(T_ORCAMENTOS!$E:$E,T_ORCAMENTOS!$C:$C,"Brindes e Confraternizações - Marketing",T_ORCAMENTOS!$H:$H,"8/2026")</f>
        <v>-1500</v>
      </c>
      <c r="AE276" s="27">
        <f>SUMIFS(Aut_BlueMe_Sem_Pedido!$J:$J,Aut_BlueMe_Sem_Pedido!$Q:$Q,DRE!AC$4,Aut_BlueMe_Sem_Pedido!$H:$H,DRE!$A276)+SUMIFS(Aut_Ajustes_Manuais!$G:$G,Aut_Ajustes_Manuais!$I:$I,DRE!AC$4,Aut_Ajustes_Manuais!$F:$F,"Brindes e Confraternizações")</f>
        <v>0</v>
      </c>
      <c r="AF276" s="237"/>
      <c r="AG276" s="26">
        <f>-SUMIFS(T_ORCAMENTOS!$E:$E,T_ORCAMENTOS!$C:$C,"Brindes e Confraternizações - Marketing",T_ORCAMENTOS!$H:$H,"9/2026")</f>
        <v>-1500</v>
      </c>
      <c r="AH276" s="27">
        <f>SUMIFS(Aut_BlueMe_Sem_Pedido!$J:$J,Aut_BlueMe_Sem_Pedido!$Q:$Q,DRE!AF$4,Aut_BlueMe_Sem_Pedido!$H:$H,DRE!$A276)+SUMIFS(Aut_Ajustes_Manuais!$G:$G,Aut_Ajustes_Manuais!$I:$I,DRE!AF$4,Aut_Ajustes_Manuais!$F:$F,"Brindes e Confraternizações")</f>
        <v>0</v>
      </c>
      <c r="AI276" s="237"/>
      <c r="AJ276" s="26">
        <f>-SUMIFS(T_ORCAMENTOS!$E:$E,T_ORCAMENTOS!$C:$C,"Brindes e Confraternizações - Marketing",T_ORCAMENTOS!$H:$H,"10/2026")</f>
        <v>-1500</v>
      </c>
      <c r="AK276" s="27">
        <f>SUMIFS(Aut_BlueMe_Sem_Pedido!$J:$J,Aut_BlueMe_Sem_Pedido!$Q:$Q,DRE!AI$4,Aut_BlueMe_Sem_Pedido!$H:$H,DRE!$A276)+SUMIFS(Aut_Ajustes_Manuais!$G:$G,Aut_Ajustes_Manuais!$I:$I,DRE!AI$4,Aut_Ajustes_Manuais!$F:$F,"Brindes e Confraternizações")</f>
        <v>0</v>
      </c>
      <c r="AL276" s="237"/>
      <c r="AM276" s="26">
        <f>-SUMIFS(T_ORCAMENTOS!$E:$E,T_ORCAMENTOS!$C:$C,"Brindes e Confraternizações - Marketing",T_ORCAMENTOS!$H:$H,"11/2026")</f>
        <v>-1500</v>
      </c>
      <c r="AN276" s="27">
        <f>SUMIFS(Aut_BlueMe_Sem_Pedido!$J:$J,Aut_BlueMe_Sem_Pedido!$Q:$Q,DRE!AL$4,Aut_BlueMe_Sem_Pedido!$H:$H,DRE!$A276)+SUMIFS(Aut_Ajustes_Manuais!$G:$G,Aut_Ajustes_Manuais!$I:$I,DRE!AL$4,Aut_Ajustes_Manuais!$F:$F,"Brindes e Confraternizações")</f>
        <v>0</v>
      </c>
      <c r="AO276" s="237"/>
      <c r="AP276" s="26">
        <f>-SUMIFS(T_ORCAMENTOS!$E:$E,T_ORCAMENTOS!$C:$C,"Brindes e Confraternizações - Marketing",T_ORCAMENTOS!$H:$H,"12/2026")</f>
        <v>-1500</v>
      </c>
      <c r="AQ276" s="27">
        <f>SUMIFS(Aut_BlueMe_Sem_Pedido!$J:$J,Aut_BlueMe_Sem_Pedido!$Q:$Q,DRE!AO$4,Aut_BlueMe_Sem_Pedido!$H:$H,DRE!$A276)+SUMIFS(Aut_Ajustes_Manuais!$G:$G,Aut_Ajustes_Manuais!$I:$I,DRE!AO$4,Aut_Ajustes_Manuais!$F:$F,"Brindes e Confraternizações")</f>
        <v>0</v>
      </c>
      <c r="AR276" s="237">
        <f t="shared" ca="1" si="235"/>
        <v>0</v>
      </c>
      <c r="AS276" s="26">
        <f t="shared" ca="1" si="236"/>
        <v>-1500</v>
      </c>
      <c r="AT276" s="27">
        <f t="shared" ca="1" si="237"/>
        <v>0</v>
      </c>
      <c r="AU276" s="237">
        <f t="shared" si="238"/>
        <v>0</v>
      </c>
      <c r="AV276" s="26">
        <f t="shared" si="239"/>
        <v>-7500</v>
      </c>
      <c r="AW276" s="27">
        <f t="shared" si="240"/>
        <v>0</v>
      </c>
      <c r="AX276" s="237">
        <f t="shared" si="241"/>
        <v>0</v>
      </c>
      <c r="AY276" s="26">
        <f t="shared" si="242"/>
        <v>0</v>
      </c>
      <c r="AZ276" s="27">
        <f t="shared" si="243"/>
        <v>0</v>
      </c>
      <c r="BA276" s="237">
        <f t="shared" si="244"/>
        <v>0</v>
      </c>
      <c r="BB276" s="26">
        <f t="shared" si="245"/>
        <v>0</v>
      </c>
      <c r="BC276" s="27">
        <f t="shared" si="246"/>
        <v>0</v>
      </c>
      <c r="BD276" s="237">
        <f t="shared" si="247"/>
        <v>0</v>
      </c>
      <c r="BE276" s="26">
        <f t="shared" si="248"/>
        <v>-3000</v>
      </c>
      <c r="BF276" s="27">
        <f t="shared" si="249"/>
        <v>0</v>
      </c>
      <c r="BG276" s="237">
        <f t="shared" si="250"/>
        <v>0</v>
      </c>
      <c r="BH276" s="26">
        <f t="shared" si="251"/>
        <v>-4500</v>
      </c>
      <c r="BI276" s="27">
        <f t="shared" si="252"/>
        <v>0</v>
      </c>
      <c r="BJ276" s="454"/>
    </row>
    <row r="277" spans="1:62" s="28" customFormat="1" hidden="1" outlineLevel="1" x14ac:dyDescent="0.3">
      <c r="A277" s="21" t="s">
        <v>306</v>
      </c>
      <c r="B277" s="22"/>
      <c r="C277" s="23" t="s">
        <v>67</v>
      </c>
      <c r="D277" s="112"/>
      <c r="E277" s="111"/>
      <c r="F277" s="54"/>
      <c r="G277" s="32"/>
      <c r="H277" s="237"/>
      <c r="I277" s="26">
        <f>-SUMIFS(T_ORCAMENTOS!$E:$E,T_ORCAMENTOS!$C:$C,"Ferramentas de Marketing",T_ORCAMENTOS!$H:$H,"1/2026")</f>
        <v>0</v>
      </c>
      <c r="J277" s="27">
        <f>SUMIFS(Aut_BlueMe_Sem_Pedido!$J:$J,Aut_BlueMe_Sem_Pedido!$Q:$Q,DRE!H$4,Aut_BlueMe_Sem_Pedido!$H:$H,DRE!$A277)-SUMIFS(Aut_Descontos!$G:$G,Aut_Descontos!$H:$H,A277,Aut_Descontos!$L:$L,DRE!H$4)+SUMIFS(Aut_Ajustes_Manuais!$G:$G,Aut_Ajustes_Manuais!$I:$I,DRE!H$4,Aut_Ajustes_Manuais!$F:$F,"Ferramentas de Marketing")</f>
        <v>0</v>
      </c>
      <c r="K277" s="237"/>
      <c r="L277" s="26">
        <f>-SUMIFS(T_ORCAMENTOS!$E:$E,T_ORCAMENTOS!$C:$C,"Ferramentas de Marketing",T_ORCAMENTOS!$H:$H,"2/2026")</f>
        <v>0</v>
      </c>
      <c r="M277" s="27">
        <f>SUMIFS(Aut_BlueMe_Sem_Pedido!$J:$J,Aut_BlueMe_Sem_Pedido!$Q:$Q,DRE!K$4,Aut_BlueMe_Sem_Pedido!$H:$H,DRE!$A277)-SUMIFS(Aut_Descontos!$G:$G,Aut_Descontos!$H:$H,A277,Aut_Descontos!$L:$L,DRE!K$4)+SUMIFS(Aut_Ajustes_Manuais!$G:$G,Aut_Ajustes_Manuais!$I:$I,DRE!K$4,Aut_Ajustes_Manuais!$F:$F,"Ferramentas de Marketing")</f>
        <v>-754.69</v>
      </c>
      <c r="N277" s="237"/>
      <c r="O277" s="26">
        <f>-SUMIFS(T_ORCAMENTOS!$E:$E,T_ORCAMENTOS!$C:$C,"Ferramentas de Marketing",T_ORCAMENTOS!$H:$H,"3/2026")</f>
        <v>0</v>
      </c>
      <c r="P277" s="27">
        <f>SUMIFS(Aut_BlueMe_Sem_Pedido!$J:$J,Aut_BlueMe_Sem_Pedido!$Q:$Q,DRE!N$4,Aut_BlueMe_Sem_Pedido!$H:$H,DRE!$A277)-SUMIFS(Aut_Descontos!$G:$G,Aut_Descontos!$H:$H,A277,Aut_Descontos!$L:$L,DRE!N$4)+SUMIFS(Aut_Ajustes_Manuais!$G:$G,Aut_Ajustes_Manuais!$I:$I,DRE!N$4,Aut_Ajustes_Manuais!$F:$F,"Ferramentas de Marketing")</f>
        <v>-440.71</v>
      </c>
      <c r="Q277" s="237"/>
      <c r="R277" s="26">
        <f>-SUMIFS(T_ORCAMENTOS!$E:$E,T_ORCAMENTOS!$C:$C,"Ferramentas de Marketing",T_ORCAMENTOS!$H:$H,"4/2026")</f>
        <v>0</v>
      </c>
      <c r="S277" s="27">
        <f>SUMIFS(Aut_BlueMe_Sem_Pedido!$J:$J,Aut_BlueMe_Sem_Pedido!$Q:$Q,DRE!Q$4,Aut_BlueMe_Sem_Pedido!$H:$H,DRE!$A277)-SUMIFS(Aut_Descontos!$G:$G,Aut_Descontos!$H:$H,A277,Aut_Descontos!$L:$L,DRE!Q$4)+SUMIFS(Aut_Ajustes_Manuais!$G:$G,Aut_Ajustes_Manuais!$I:$I,DRE!Q$4,Aut_Ajustes_Manuais!$F:$F,"Ferramentas de Marketing")</f>
        <v>-431.79</v>
      </c>
      <c r="T277" s="237"/>
      <c r="U277" s="26">
        <f>-SUMIFS(T_ORCAMENTOS!$E:$E,T_ORCAMENTOS!$C:$C,"Ferramentas de Marketing",T_ORCAMENTOS!$H:$H,"5/2026")</f>
        <v>0</v>
      </c>
      <c r="V277" s="27">
        <f>SUMIFS(Aut_BlueMe_Sem_Pedido!$J:$J,Aut_BlueMe_Sem_Pedido!$Q:$Q,DRE!T$4,Aut_BlueMe_Sem_Pedido!$H:$H,DRE!$A277)-SUMIFS(Aut_Descontos!$G:$G,Aut_Descontos!$H:$H,A277,Aut_Descontos!$L:$L,DRE!T$4)+SUMIFS(Aut_Ajustes_Manuais!$G:$G,Aut_Ajustes_Manuais!$I:$I,DRE!T$4,Aut_Ajustes_Manuais!$F:$F,"Ferramentas de Marketing")</f>
        <v>-468.29</v>
      </c>
      <c r="W277" s="237"/>
      <c r="X277" s="26">
        <f>-SUMIFS(T_ORCAMENTOS!$E:$E,T_ORCAMENTOS!$C:$C,"Ferramentas de Marketing",T_ORCAMENTOS!$H:$H,"6/2026")</f>
        <v>0</v>
      </c>
      <c r="Y277" s="27">
        <f>SUMIFS(Aut_BlueMe_Sem_Pedido!$J:$J,Aut_BlueMe_Sem_Pedido!$Q:$Q,DRE!W$4,Aut_BlueMe_Sem_Pedido!$H:$H,DRE!$A277)-SUMIFS(Aut_Descontos!$G:$G,Aut_Descontos!$H:$H,A277,Aut_Descontos!$L:$L,DRE!W$4)+SUMIFS(Aut_Ajustes_Manuais!$G:$G,Aut_Ajustes_Manuais!$I:$I,DRE!W$4,Aut_Ajustes_Manuais!$F:$F,"Ferramentas de Marketing")</f>
        <v>-826.31000000000006</v>
      </c>
      <c r="Z277" s="237"/>
      <c r="AA277" s="26">
        <f>-SUMIFS(T_ORCAMENTOS!$E:$E,T_ORCAMENTOS!$C:$C,"Ferramentas de Marketing",T_ORCAMENTOS!$H:$H,"7/2026")</f>
        <v>0</v>
      </c>
      <c r="AB277" s="27">
        <f>SUMIFS(Aut_BlueMe_Sem_Pedido!$J:$J,Aut_BlueMe_Sem_Pedido!$Q:$Q,DRE!Z$4,Aut_BlueMe_Sem_Pedido!$H:$H,DRE!$A277)-SUMIFS(Aut_Descontos!$G:$G,Aut_Descontos!$H:$H,A277,Aut_Descontos!$L:$L,DRE!Z$4)+SUMIFS(Aut_Ajustes_Manuais!$G:$G,Aut_Ajustes_Manuais!$I:$I,DRE!Z$4,Aut_Ajustes_Manuais!$F:$F,"Ferramentas de Marketing")</f>
        <v>-3171.73</v>
      </c>
      <c r="AC277" s="237"/>
      <c r="AD277" s="26">
        <f>-SUMIFS(T_ORCAMENTOS!$E:$E,T_ORCAMENTOS!$C:$C,"Ferramentas de Marketing",T_ORCAMENTOS!$H:$H,"8/2026")</f>
        <v>-617.73</v>
      </c>
      <c r="AE277" s="27">
        <f>SUMIFS(Aut_BlueMe_Sem_Pedido!$J:$J,Aut_BlueMe_Sem_Pedido!$Q:$Q,DRE!AC$4,Aut_BlueMe_Sem_Pedido!$H:$H,DRE!$A277)-SUMIFS(Aut_Descontos!$G:$G,Aut_Descontos!$H:$H,A277,Aut_Descontos!$L:$L,DRE!AC$4)+SUMIFS(Aut_Ajustes_Manuais!$G:$G,Aut_Ajustes_Manuais!$I:$I,DRE!AC$4,Aut_Ajustes_Manuais!$F:$F,"Ferramentas de Marketing")</f>
        <v>0</v>
      </c>
      <c r="AF277" s="237"/>
      <c r="AG277" s="26">
        <f>-SUMIFS(T_ORCAMENTOS!$E:$E,T_ORCAMENTOS!$C:$C,"Ferramentas de Marketing",T_ORCAMENTOS!$H:$H,"9/2026")</f>
        <v>-617.73</v>
      </c>
      <c r="AH277" s="27">
        <f>SUMIFS(Aut_BlueMe_Sem_Pedido!$J:$J,Aut_BlueMe_Sem_Pedido!$Q:$Q,DRE!AF$4,Aut_BlueMe_Sem_Pedido!$H:$H,DRE!$A277)-SUMIFS(Aut_Descontos!$G:$G,Aut_Descontos!$H:$H,A277,Aut_Descontos!$L:$L,DRE!AF$4)+SUMIFS(Aut_Ajustes_Manuais!$G:$G,Aut_Ajustes_Manuais!$I:$I,DRE!AF$4,Aut_Ajustes_Manuais!$F:$F,"Ferramentas de Marketing")</f>
        <v>0</v>
      </c>
      <c r="AI277" s="237"/>
      <c r="AJ277" s="26">
        <f>-SUMIFS(T_ORCAMENTOS!$E:$E,T_ORCAMENTOS!$C:$C,"Ferramentas de Marketing",T_ORCAMENTOS!$H:$H,"10/2026")</f>
        <v>-617.73</v>
      </c>
      <c r="AK277" s="27">
        <f>SUMIFS(Aut_BlueMe_Sem_Pedido!$J:$J,Aut_BlueMe_Sem_Pedido!$Q:$Q,DRE!AI$4,Aut_BlueMe_Sem_Pedido!$H:$H,DRE!$A277)-SUMIFS(Aut_Descontos!$G:$G,Aut_Descontos!$H:$H,A277,Aut_Descontos!$L:$L,DRE!AI$4)+SUMIFS(Aut_Ajustes_Manuais!$G:$G,Aut_Ajustes_Manuais!$I:$I,DRE!AI$4,Aut_Ajustes_Manuais!$F:$F,"Ferramentas de Marketing")</f>
        <v>0</v>
      </c>
      <c r="AL277" s="237"/>
      <c r="AM277" s="26">
        <f>-SUMIFS(T_ORCAMENTOS!$E:$E,T_ORCAMENTOS!$C:$C,"Ferramentas de Marketing",T_ORCAMENTOS!$H:$H,"11/2026")</f>
        <v>-617.73</v>
      </c>
      <c r="AN277" s="27">
        <f>SUMIFS(Aut_BlueMe_Sem_Pedido!$J:$J,Aut_BlueMe_Sem_Pedido!$Q:$Q,DRE!AL$4,Aut_BlueMe_Sem_Pedido!$H:$H,DRE!$A277)-SUMIFS(Aut_Descontos!$G:$G,Aut_Descontos!$H:$H,A277,Aut_Descontos!$L:$L,DRE!AL$4)+SUMIFS(Aut_Ajustes_Manuais!$G:$G,Aut_Ajustes_Manuais!$I:$I,DRE!AL$4,Aut_Ajustes_Manuais!$F:$F,"Ferramentas de Marketing")</f>
        <v>0</v>
      </c>
      <c r="AO277" s="237"/>
      <c r="AP277" s="26">
        <f>-SUMIFS(T_ORCAMENTOS!$E:$E,T_ORCAMENTOS!$C:$C,"Ferramentas de Marketing",T_ORCAMENTOS!$H:$H,"12/2026")</f>
        <v>-617.73</v>
      </c>
      <c r="AQ277" s="27">
        <f>SUMIFS(Aut_BlueMe_Sem_Pedido!$J:$J,Aut_BlueMe_Sem_Pedido!$Q:$Q,DRE!AO$4,Aut_BlueMe_Sem_Pedido!$H:$H,DRE!$A277)-SUMIFS(Aut_Descontos!$G:$G,Aut_Descontos!$H:$H,A277,Aut_Descontos!$L:$L,DRE!AO$4)+SUMIFS(Aut_Ajustes_Manuais!$G:$G,Aut_Ajustes_Manuais!$I:$I,DRE!AO$4,Aut_Ajustes_Manuais!$F:$F,"Ferramentas de Marketing")</f>
        <v>0</v>
      </c>
      <c r="AR277" s="237">
        <f t="shared" ca="1" si="235"/>
        <v>0</v>
      </c>
      <c r="AS277" s="26">
        <f t="shared" ca="1" si="236"/>
        <v>-617.73</v>
      </c>
      <c r="AT277" s="27">
        <f t="shared" ca="1" si="237"/>
        <v>-6093.52</v>
      </c>
      <c r="AU277" s="237">
        <f t="shared" si="238"/>
        <v>0</v>
      </c>
      <c r="AV277" s="26">
        <f t="shared" si="239"/>
        <v>-3088.65</v>
      </c>
      <c r="AW277" s="27">
        <f t="shared" si="240"/>
        <v>-6093.52</v>
      </c>
      <c r="AX277" s="237">
        <f t="shared" si="241"/>
        <v>0</v>
      </c>
      <c r="AY277" s="26">
        <f t="shared" si="242"/>
        <v>0</v>
      </c>
      <c r="AZ277" s="27">
        <f t="shared" si="243"/>
        <v>-1195.4000000000001</v>
      </c>
      <c r="BA277" s="237">
        <f t="shared" si="244"/>
        <v>0</v>
      </c>
      <c r="BB277" s="26">
        <f t="shared" si="245"/>
        <v>0</v>
      </c>
      <c r="BC277" s="27">
        <f t="shared" si="246"/>
        <v>-1726.39</v>
      </c>
      <c r="BD277" s="237">
        <f t="shared" si="247"/>
        <v>0</v>
      </c>
      <c r="BE277" s="26">
        <f t="shared" si="248"/>
        <v>-1235.46</v>
      </c>
      <c r="BF277" s="27">
        <f t="shared" si="249"/>
        <v>-3171.73</v>
      </c>
      <c r="BG277" s="237">
        <f t="shared" si="250"/>
        <v>0</v>
      </c>
      <c r="BH277" s="26">
        <f t="shared" si="251"/>
        <v>-1853.19</v>
      </c>
      <c r="BI277" s="27">
        <f t="shared" si="252"/>
        <v>0</v>
      </c>
      <c r="BJ277" s="454"/>
    </row>
    <row r="278" spans="1:62" collapsed="1" x14ac:dyDescent="0.3">
      <c r="A278" s="69" t="s">
        <v>44</v>
      </c>
      <c r="B278" s="57"/>
      <c r="C278" s="58"/>
      <c r="D278" s="59"/>
      <c r="E278" s="60"/>
      <c r="F278" s="61"/>
      <c r="G278" s="45"/>
      <c r="H278" s="241"/>
      <c r="I278" s="48">
        <f>IFERROR(I266/I8,0)</f>
        <v>0</v>
      </c>
      <c r="J278" s="49">
        <f>IFERROR(J266/J8,0)+SUMIFS(Aut_Ajustes_Manuais!$G:$G,Aut_Ajustes_Manuais!$I:$I,DRE!H$4,Aut_Ajustes_Manuais!$F:$F,"% sobre Receita Bruta")</f>
        <v>0</v>
      </c>
      <c r="K278" s="241"/>
      <c r="L278" s="48">
        <f>IFERROR(L266/L8,0)</f>
        <v>0</v>
      </c>
      <c r="M278" s="49">
        <f>IFERROR(M266/M8,0)+SUMIFS(Aut_Ajustes_Manuais!$G:$G,Aut_Ajustes_Manuais!$I:$I,DRE!K$4,Aut_Ajustes_Manuais!$F:$F,"% sobre Receita Bruta")</f>
        <v>0</v>
      </c>
      <c r="N278" s="241"/>
      <c r="O278" s="48">
        <f>IFERROR(O266/O8,0)</f>
        <v>0</v>
      </c>
      <c r="P278" s="49">
        <f>IFERROR(P266/P8,0)+SUMIFS(Aut_Ajustes_Manuais!$G:$G,Aut_Ajustes_Manuais!$I:$I,DRE!N$4,Aut_Ajustes_Manuais!$F:$F,"% sobre Receita Bruta")</f>
        <v>0</v>
      </c>
      <c r="Q278" s="241"/>
      <c r="R278" s="48">
        <f>IFERROR(R266/R8,0)</f>
        <v>0</v>
      </c>
      <c r="S278" s="49">
        <f>IFERROR(S266/S8,0)+SUMIFS(Aut_Ajustes_Manuais!$G:$G,Aut_Ajustes_Manuais!$I:$I,DRE!Q$4,Aut_Ajustes_Manuais!$F:$F,"% sobre Receita Bruta")</f>
        <v>0</v>
      </c>
      <c r="T278" s="241"/>
      <c r="U278" s="48">
        <f>IFERROR(U266/U8,0)</f>
        <v>0</v>
      </c>
      <c r="V278" s="49">
        <f>IFERROR(V266/V8,0)+SUMIFS(Aut_Ajustes_Manuais!$G:$G,Aut_Ajustes_Manuais!$I:$I,DRE!T$4,Aut_Ajustes_Manuais!$F:$F,"% sobre Receita Bruta")</f>
        <v>0</v>
      </c>
      <c r="W278" s="241"/>
      <c r="X278" s="48">
        <f>IFERROR(X266/X8,0)</f>
        <v>0</v>
      </c>
      <c r="Y278" s="49">
        <f>IFERROR(Y266/Y8,0)+SUMIFS(Aut_Ajustes_Manuais!$G:$G,Aut_Ajustes_Manuais!$I:$I,DRE!W$4,Aut_Ajustes_Manuais!$F:$F,"% sobre Receita Bruta")</f>
        <v>0</v>
      </c>
      <c r="Z278" s="241"/>
      <c r="AA278" s="48">
        <f>IFERROR(AA266/AA8,0)</f>
        <v>0</v>
      </c>
      <c r="AB278" s="49">
        <f>IFERROR(AB266/AB8,0)+SUMIFS(Aut_Ajustes_Manuais!$G:$G,Aut_Ajustes_Manuais!$I:$I,DRE!Z$4,Aut_Ajustes_Manuais!$F:$F,"% sobre Receita Bruta")</f>
        <v>-2.1402003813695919E-2</v>
      </c>
      <c r="AC278" s="241"/>
      <c r="AD278" s="48">
        <f>IFERROR(AD266/AD8,0)</f>
        <v>-7.9167382537221782E-3</v>
      </c>
      <c r="AE278" s="49">
        <f>IFERROR(AE266/AE8,0)+SUMIFS(Aut_Ajustes_Manuais!$G:$G,Aut_Ajustes_Manuais!$I:$I,DRE!AC$4,Aut_Ajustes_Manuais!$F:$F,"% sobre Receita Bruta")</f>
        <v>0</v>
      </c>
      <c r="AF278" s="241"/>
      <c r="AG278" s="48">
        <f>IFERROR(AG266/AG8,0)</f>
        <v>-8.1714341596399939E-3</v>
      </c>
      <c r="AH278" s="49">
        <f>IFERROR(AH266/AH8,0)+SUMIFS(Aut_Ajustes_Manuais!$G:$G,Aut_Ajustes_Manuais!$I:$I,DRE!AF$4,Aut_Ajustes_Manuais!$F:$F,"% sobre Receita Bruta")</f>
        <v>0</v>
      </c>
      <c r="AI278" s="241"/>
      <c r="AJ278" s="48">
        <f>IFERROR(AJ266/AJ8,0)</f>
        <v>-7.4449944303022434E-3</v>
      </c>
      <c r="AK278" s="49">
        <f>IFERROR(AK266/AK8,0)+SUMIFS(Aut_Ajustes_Manuais!$G:$G,Aut_Ajustes_Manuais!$I:$I,DRE!AI$4,Aut_Ajustes_Manuais!$F:$F,"% sobre Receita Bruta")</f>
        <v>0</v>
      </c>
      <c r="AL278" s="241"/>
      <c r="AM278" s="48">
        <f>IFERROR(AM266/AM8,0)</f>
        <v>-8.0817694867651273E-3</v>
      </c>
      <c r="AN278" s="49">
        <f>IFERROR(AN266/AN8,0)+SUMIFS(Aut_Ajustes_Manuais!$G:$G,Aut_Ajustes_Manuais!$I:$I,DRE!AL$4,Aut_Ajustes_Manuais!$F:$F,"% sobre Receita Bruta")</f>
        <v>0</v>
      </c>
      <c r="AO278" s="241"/>
      <c r="AP278" s="48">
        <f>IFERROR(AP266/AP8,0)</f>
        <v>-7.4180833512446503E-3</v>
      </c>
      <c r="AQ278" s="49">
        <f>IFERROR(AQ266/AQ8,0)+SUMIFS(Aut_Ajustes_Manuais!$G:$G,Aut_Ajustes_Manuais!$I:$I,DRE!AO$4,Aut_Ajustes_Manuais!$F:$F,"% sobre Receita Bruta")</f>
        <v>0</v>
      </c>
      <c r="AR278" s="241">
        <f t="shared" ref="AR278:BI278" ca="1" si="253">IFERROR(AR266/AR8,0)</f>
        <v>0</v>
      </c>
      <c r="AS278" s="48">
        <f t="shared" ca="1" si="253"/>
        <v>-7.9167382537221782E-3</v>
      </c>
      <c r="AT278" s="49">
        <f t="shared" ca="1" si="253"/>
        <v>-7.6947089387013459E-2</v>
      </c>
      <c r="AU278" s="241">
        <f t="shared" si="253"/>
        <v>0</v>
      </c>
      <c r="AV278" s="48">
        <f t="shared" si="253"/>
        <v>-7.7936052497677832E-3</v>
      </c>
      <c r="AW278" s="49">
        <f t="shared" si="253"/>
        <v>-8.8689125541799557E-2</v>
      </c>
      <c r="AX278" s="241">
        <f t="shared" si="253"/>
        <v>0</v>
      </c>
      <c r="AY278" s="48">
        <f t="shared" si="253"/>
        <v>0</v>
      </c>
      <c r="AZ278" s="49">
        <f t="shared" si="253"/>
        <v>0</v>
      </c>
      <c r="BA278" s="241">
        <f t="shared" si="253"/>
        <v>0</v>
      </c>
      <c r="BB278" s="48">
        <f t="shared" si="253"/>
        <v>0</v>
      </c>
      <c r="BC278" s="49">
        <f t="shared" si="253"/>
        <v>0</v>
      </c>
      <c r="BD278" s="241">
        <f t="shared" si="253"/>
        <v>0</v>
      </c>
      <c r="BE278" s="48">
        <f t="shared" si="253"/>
        <v>-8.0420701291918414E-3</v>
      </c>
      <c r="BF278" s="49">
        <f t="shared" si="253"/>
        <v>-2.7273021891088971E-2</v>
      </c>
      <c r="BG278" s="241">
        <f t="shared" si="253"/>
        <v>0</v>
      </c>
      <c r="BH278" s="48">
        <f t="shared" si="253"/>
        <v>-7.636319284034165E-3</v>
      </c>
      <c r="BI278" s="49">
        <f t="shared" si="253"/>
        <v>0</v>
      </c>
    </row>
    <row r="279" spans="1:62" ht="13.95" customHeight="1" x14ac:dyDescent="0.3">
      <c r="A279" s="17"/>
      <c r="E279" s="15"/>
      <c r="F279" s="16"/>
      <c r="G279" s="45"/>
      <c r="H279" s="243"/>
      <c r="I279" s="16"/>
      <c r="J279" s="55"/>
      <c r="K279" s="243"/>
      <c r="L279" s="16"/>
      <c r="M279" s="55"/>
      <c r="N279" s="243"/>
      <c r="O279" s="16"/>
      <c r="P279" s="55"/>
      <c r="Q279" s="243"/>
      <c r="R279" s="16"/>
      <c r="S279" s="55"/>
      <c r="T279" s="243"/>
      <c r="U279" s="16"/>
      <c r="V279" s="55"/>
      <c r="W279" s="243"/>
      <c r="X279" s="16"/>
      <c r="Y279" s="55"/>
      <c r="Z279" s="243"/>
      <c r="AA279" s="16"/>
      <c r="AB279" s="55"/>
      <c r="AC279" s="243"/>
      <c r="AD279" s="16"/>
      <c r="AE279" s="55"/>
      <c r="AF279" s="243"/>
      <c r="AG279" s="16"/>
      <c r="AH279" s="55"/>
      <c r="AI279" s="243"/>
      <c r="AJ279" s="16"/>
      <c r="AK279" s="55"/>
      <c r="AL279" s="243"/>
      <c r="AM279" s="16"/>
      <c r="AN279" s="55"/>
      <c r="AO279" s="243"/>
      <c r="AP279" s="16"/>
      <c r="AQ279" s="55"/>
      <c r="AR279" s="243"/>
      <c r="AS279" s="16"/>
      <c r="AT279" s="55"/>
      <c r="AU279" s="243"/>
      <c r="AV279" s="16"/>
      <c r="AW279" s="55"/>
      <c r="AX279" s="243"/>
      <c r="AY279" s="16"/>
      <c r="AZ279" s="55"/>
      <c r="BA279" s="243"/>
      <c r="BB279" s="16"/>
      <c r="BC279" s="55"/>
      <c r="BD279" s="243"/>
      <c r="BE279" s="16"/>
      <c r="BF279" s="55"/>
      <c r="BG279" s="243"/>
      <c r="BH279" s="16"/>
      <c r="BI279" s="55"/>
    </row>
    <row r="280" spans="1:62" x14ac:dyDescent="0.3">
      <c r="A280" s="37" t="s">
        <v>307</v>
      </c>
      <c r="C280" s="38" t="s">
        <v>35</v>
      </c>
      <c r="D280" s="38" t="s">
        <v>36</v>
      </c>
      <c r="E280" s="38" t="s">
        <v>201</v>
      </c>
      <c r="F280" s="39"/>
      <c r="G280" s="45"/>
      <c r="H280" s="240"/>
      <c r="I280" s="40">
        <f>SUM(I281:I288)</f>
        <v>0</v>
      </c>
      <c r="J280" s="41">
        <f>SUM(J281:J288)+SUMIFS(Aut_Ajustes_Manuais!$G:$G,Aut_Ajustes_Manuais!$I:$I,DRE!H$4,Aut_Ajustes_Manuais!$F:$F,"Serviços de Terceiros")</f>
        <v>-23355.75</v>
      </c>
      <c r="K280" s="240"/>
      <c r="L280" s="40">
        <f>SUM(L281:L288)</f>
        <v>0</v>
      </c>
      <c r="M280" s="41">
        <f>SUM(M281:M288)+SUMIFS(Aut_Ajustes_Manuais!$G:$G,Aut_Ajustes_Manuais!$I:$I,DRE!K$4,Aut_Ajustes_Manuais!$F:$F,"Serviços de Terceiros")</f>
        <v>-20950.599999999999</v>
      </c>
      <c r="N280" s="240"/>
      <c r="O280" s="40">
        <f>SUM(O281:O288)</f>
        <v>0</v>
      </c>
      <c r="P280" s="41">
        <f>SUM(P281:P288)+SUMIFS(Aut_Ajustes_Manuais!$G:$G,Aut_Ajustes_Manuais!$I:$I,DRE!N$4,Aut_Ajustes_Manuais!$F:$F,"Serviços de Terceiros")</f>
        <v>-13300</v>
      </c>
      <c r="Q280" s="240"/>
      <c r="R280" s="40">
        <f>SUM(R281:R288)</f>
        <v>0</v>
      </c>
      <c r="S280" s="41">
        <f>SUM(S281:S288)+SUMIFS(Aut_Ajustes_Manuais!$G:$G,Aut_Ajustes_Manuais!$I:$I,DRE!Q$4,Aut_Ajustes_Manuais!$F:$F,"Serviços de Terceiros")</f>
        <v>-12829.6</v>
      </c>
      <c r="T280" s="240"/>
      <c r="U280" s="40">
        <f>SUM(U281:U288)</f>
        <v>0</v>
      </c>
      <c r="V280" s="41">
        <f>SUM(V281:V288)+SUMIFS(Aut_Ajustes_Manuais!$G:$G,Aut_Ajustes_Manuais!$I:$I,DRE!T$4,Aut_Ajustes_Manuais!$F:$F,"Serviços de Terceiros")</f>
        <v>-13600</v>
      </c>
      <c r="W280" s="240"/>
      <c r="X280" s="40">
        <f>SUM(X281:X288)</f>
        <v>0</v>
      </c>
      <c r="Y280" s="41">
        <f>SUM(Y281:Y288)+SUMIFS(Aut_Ajustes_Manuais!$G:$G,Aut_Ajustes_Manuais!$I:$I,DRE!W$4,Aut_Ajustes_Manuais!$F:$F,"Serviços de Terceiros")</f>
        <v>-14124.029999999999</v>
      </c>
      <c r="Z280" s="240"/>
      <c r="AA280" s="40">
        <f>SUM(AA281:AA288)</f>
        <v>0</v>
      </c>
      <c r="AB280" s="41">
        <f>SUM(AB281:AB288)+SUMIFS(Aut_Ajustes_Manuais!$G:$G,Aut_Ajustes_Manuais!$I:$I,DRE!Z$4,Aut_Ajustes_Manuais!$F:$F,"Serviços de Terceiros")</f>
        <v>-39190</v>
      </c>
      <c r="AC280" s="240"/>
      <c r="AD280" s="40">
        <f>SUM(AD281:AD288)</f>
        <v>-54354</v>
      </c>
      <c r="AE280" s="41">
        <f>SUM(AE281:AE288)+SUMIFS(Aut_Ajustes_Manuais!$G:$G,Aut_Ajustes_Manuais!$I:$I,DRE!AC$4,Aut_Ajustes_Manuais!$F:$F,"Serviços de Terceiros")</f>
        <v>-12200</v>
      </c>
      <c r="AF280" s="240"/>
      <c r="AG280" s="40">
        <f>SUM(AG281:AG288)</f>
        <v>-54354</v>
      </c>
      <c r="AH280" s="41">
        <f>SUM(AH281:AH288)+SUMIFS(Aut_Ajustes_Manuais!$G:$G,Aut_Ajustes_Manuais!$I:$I,DRE!AF$4,Aut_Ajustes_Manuais!$F:$F,"Serviços de Terceiros")</f>
        <v>-12200</v>
      </c>
      <c r="AI280" s="240"/>
      <c r="AJ280" s="40">
        <f>SUM(AJ281:AJ288)</f>
        <v>-54354</v>
      </c>
      <c r="AK280" s="41">
        <f>SUM(AK281:AK288)+SUMIFS(Aut_Ajustes_Manuais!$G:$G,Aut_Ajustes_Manuais!$I:$I,DRE!AI$4,Aut_Ajustes_Manuais!$F:$F,"Serviços de Terceiros")</f>
        <v>-12200</v>
      </c>
      <c r="AL280" s="240"/>
      <c r="AM280" s="40">
        <f>SUM(AM281:AM288)</f>
        <v>-54354</v>
      </c>
      <c r="AN280" s="41">
        <f>SUM(AN281:AN288)+SUMIFS(Aut_Ajustes_Manuais!$G:$G,Aut_Ajustes_Manuais!$I:$I,DRE!AL$4,Aut_Ajustes_Manuais!$F:$F,"Serviços de Terceiros")</f>
        <v>-12200</v>
      </c>
      <c r="AO280" s="240"/>
      <c r="AP280" s="40">
        <f>SUM(AP281:AP288)</f>
        <v>-54354</v>
      </c>
      <c r="AQ280" s="41">
        <f>SUM(AQ281:AQ288)+SUMIFS(Aut_Ajustes_Manuais!$G:$G,Aut_Ajustes_Manuais!$I:$I,DRE!AO$4,Aut_Ajustes_Manuais!$F:$F,"Serviços de Terceiros")</f>
        <v>-12200</v>
      </c>
      <c r="AR280" s="240">
        <f ca="1">SUM(AR281:AR289)</f>
        <v>0</v>
      </c>
      <c r="AS280" s="40">
        <f ca="1">SUM(AS281:AS289)</f>
        <v>-54354</v>
      </c>
      <c r="AT280" s="41">
        <f ca="1">SUM(AT281:AT289)</f>
        <v>-149549.97999999998</v>
      </c>
      <c r="AU280" s="240">
        <f t="shared" ref="AU280:BI280" si="254">SUM(AU281:AU288)</f>
        <v>0</v>
      </c>
      <c r="AV280" s="40">
        <f t="shared" si="254"/>
        <v>-271770</v>
      </c>
      <c r="AW280" s="41">
        <f t="shared" si="254"/>
        <v>-198349.97999999998</v>
      </c>
      <c r="AX280" s="240">
        <f t="shared" si="254"/>
        <v>0</v>
      </c>
      <c r="AY280" s="40">
        <f t="shared" si="254"/>
        <v>0</v>
      </c>
      <c r="AZ280" s="41">
        <f t="shared" si="254"/>
        <v>-57606.35</v>
      </c>
      <c r="BA280" s="240">
        <f t="shared" si="254"/>
        <v>0</v>
      </c>
      <c r="BB280" s="40">
        <f t="shared" si="254"/>
        <v>0</v>
      </c>
      <c r="BC280" s="41">
        <f t="shared" si="254"/>
        <v>-40553.629999999997</v>
      </c>
      <c r="BD280" s="240">
        <f t="shared" si="254"/>
        <v>0</v>
      </c>
      <c r="BE280" s="40">
        <f t="shared" si="254"/>
        <v>-108708</v>
      </c>
      <c r="BF280" s="41">
        <f t="shared" si="254"/>
        <v>-63590</v>
      </c>
      <c r="BG280" s="240">
        <f t="shared" si="254"/>
        <v>0</v>
      </c>
      <c r="BH280" s="40">
        <f t="shared" si="254"/>
        <v>-163062</v>
      </c>
      <c r="BI280" s="41">
        <f t="shared" si="254"/>
        <v>-36600</v>
      </c>
    </row>
    <row r="281" spans="1:62" s="28" customFormat="1" hidden="1" outlineLevel="1" x14ac:dyDescent="0.3">
      <c r="A281" s="21" t="s">
        <v>308</v>
      </c>
      <c r="B281" s="22"/>
      <c r="C281" s="23" t="s">
        <v>67</v>
      </c>
      <c r="D281" s="112"/>
      <c r="E281" s="111"/>
      <c r="F281" s="54"/>
      <c r="G281" s="32"/>
      <c r="H281" s="237"/>
      <c r="I281" s="26">
        <f>-SUMIFS(T_ORCAMENTOS!$E:$E,T_ORCAMENTOS!$C:$C,"Assessoria Contabil",T_ORCAMENTOS!$H:$H,"1/2026")</f>
        <v>0</v>
      </c>
      <c r="J281" s="27">
        <f>SUMIFS(Aut_BlueMe_Sem_Pedido!$J:$J,Aut_BlueMe_Sem_Pedido!$Q:$Q,DRE!H$4,Aut_BlueMe_Sem_Pedido!$H:$H,DRE!$A281)+SUMIFS(Aut_Ajustes_Manuais!$G:$G,Aut_Ajustes_Manuais!$I:$I,DRE!H$4,Aut_Ajustes_Manuais!$F:$F,"Assessoria Contabil")</f>
        <v>-2255.75</v>
      </c>
      <c r="K281" s="237"/>
      <c r="L281" s="26">
        <f>-SUMIFS(T_ORCAMENTOS!$E:$E,T_ORCAMENTOS!$C:$C,"Assessoria Contabil",T_ORCAMENTOS!$H:$H,"2/2026")</f>
        <v>0</v>
      </c>
      <c r="M281" s="27">
        <f>SUMIFS(Aut_BlueMe_Sem_Pedido!$J:$J,Aut_BlueMe_Sem_Pedido!$Q:$Q,DRE!K$4,Aut_BlueMe_Sem_Pedido!$H:$H,DRE!$A281)+SUMIFS(Aut_Ajustes_Manuais!$G:$G,Aut_Ajustes_Manuais!$I:$I,DRE!K$4,Aut_Ajustes_Manuais!$F:$F,"Assessoria Contabil")</f>
        <v>-2010.6</v>
      </c>
      <c r="N281" s="237"/>
      <c r="O281" s="26">
        <f>-SUMIFS(T_ORCAMENTOS!$E:$E,T_ORCAMENTOS!$C:$C,"Assessoria Contabil",T_ORCAMENTOS!$H:$H,"3/2026")</f>
        <v>0</v>
      </c>
      <c r="P281" s="27">
        <f>SUMIFS(Aut_BlueMe_Sem_Pedido!$J:$J,Aut_BlueMe_Sem_Pedido!$Q:$Q,DRE!N$4,Aut_BlueMe_Sem_Pedido!$H:$H,DRE!$A281)+SUMIFS(Aut_Ajustes_Manuais!$G:$G,Aut_Ajustes_Manuais!$I:$I,DRE!N$4,Aut_Ajustes_Manuais!$F:$F,"Assessoria Contabil")</f>
        <v>-1200</v>
      </c>
      <c r="Q281" s="237"/>
      <c r="R281" s="26">
        <f>-SUMIFS(T_ORCAMENTOS!$E:$E,T_ORCAMENTOS!$C:$C,"Assessoria Contabil",T_ORCAMENTOS!$H:$H,"4/2026")</f>
        <v>0</v>
      </c>
      <c r="S281" s="27">
        <f>SUMIFS(Aut_BlueMe_Sem_Pedido!$J:$J,Aut_BlueMe_Sem_Pedido!$Q:$Q,DRE!Q$4,Aut_BlueMe_Sem_Pedido!$H:$H,DRE!$A281)+SUMIFS(Aut_Ajustes_Manuais!$G:$G,Aut_Ajustes_Manuais!$I:$I,DRE!Q$4,Aut_Ajustes_Manuais!$F:$F,"Assessoria Contabil")</f>
        <v>-510.6</v>
      </c>
      <c r="T281" s="237"/>
      <c r="U281" s="26">
        <f>-SUMIFS(T_ORCAMENTOS!$E:$E,T_ORCAMENTOS!$C:$C,"Assessoria Contabil",T_ORCAMENTOS!$H:$H,"5/2026")</f>
        <v>0</v>
      </c>
      <c r="V281" s="27">
        <f>SUMIFS(Aut_BlueMe_Sem_Pedido!$J:$J,Aut_BlueMe_Sem_Pedido!$Q:$Q,DRE!T$4,Aut_BlueMe_Sem_Pedido!$H:$H,DRE!$A281)+SUMIFS(Aut_Ajustes_Manuais!$G:$G,Aut_Ajustes_Manuais!$I:$I,DRE!T$4,Aut_Ajustes_Manuais!$F:$F,"Assessoria Contabil")</f>
        <v>0</v>
      </c>
      <c r="W281" s="237"/>
      <c r="X281" s="26">
        <f>-SUMIFS(T_ORCAMENTOS!$E:$E,T_ORCAMENTOS!$C:$C,"Assessoria Contabil",T_ORCAMENTOS!$H:$H,"6/2026")</f>
        <v>0</v>
      </c>
      <c r="Y281" s="27">
        <f>SUMIFS(Aut_BlueMe_Sem_Pedido!$J:$J,Aut_BlueMe_Sem_Pedido!$Q:$Q,DRE!W$4,Aut_BlueMe_Sem_Pedido!$H:$H,DRE!$A281)+SUMIFS(Aut_Ajustes_Manuais!$G:$G,Aut_Ajustes_Manuais!$I:$I,DRE!W$4,Aut_Ajustes_Manuais!$F:$F,"Assessoria Contabil")</f>
        <v>0</v>
      </c>
      <c r="Z281" s="237"/>
      <c r="AA281" s="26">
        <f>-SUMIFS(T_ORCAMENTOS!$E:$E,T_ORCAMENTOS!$C:$C,"Assessoria Contabil",T_ORCAMENTOS!$H:$H,"7/2026")</f>
        <v>0</v>
      </c>
      <c r="AB281" s="27">
        <f>SUMIFS(Aut_BlueMe_Sem_Pedido!$J:$J,Aut_BlueMe_Sem_Pedido!$Q:$Q,DRE!Z$4,Aut_BlueMe_Sem_Pedido!$H:$H,DRE!$A281)+SUMIFS(Aut_Ajustes_Manuais!$G:$G,Aut_Ajustes_Manuais!$I:$I,DRE!Z$4,Aut_Ajustes_Manuais!$F:$F,"Assessoria Contabil")</f>
        <v>0</v>
      </c>
      <c r="AC281" s="237"/>
      <c r="AD281" s="26">
        <f>-SUMIFS(T_ORCAMENTOS!$E:$E,T_ORCAMENTOS!$C:$C,"Assessoria Contabil",T_ORCAMENTOS!$H:$H,"8/2026")</f>
        <v>-3791</v>
      </c>
      <c r="AE281" s="27">
        <f>SUMIFS(Aut_BlueMe_Sem_Pedido!$J:$J,Aut_BlueMe_Sem_Pedido!$Q:$Q,DRE!AC$4,Aut_BlueMe_Sem_Pedido!$H:$H,DRE!$A281)+SUMIFS(Aut_Ajustes_Manuais!$G:$G,Aut_Ajustes_Manuais!$I:$I,DRE!AC$4,Aut_Ajustes_Manuais!$F:$F,"Assessoria Contabil")</f>
        <v>0</v>
      </c>
      <c r="AF281" s="237"/>
      <c r="AG281" s="26">
        <f>-SUMIFS(T_ORCAMENTOS!$E:$E,T_ORCAMENTOS!$C:$C,"Assessoria Contabil",T_ORCAMENTOS!$H:$H,"9/2026")</f>
        <v>-3791</v>
      </c>
      <c r="AH281" s="27">
        <f>SUMIFS(Aut_BlueMe_Sem_Pedido!$J:$J,Aut_BlueMe_Sem_Pedido!$Q:$Q,DRE!AF$4,Aut_BlueMe_Sem_Pedido!$H:$H,DRE!$A281)+SUMIFS(Aut_Ajustes_Manuais!$G:$G,Aut_Ajustes_Manuais!$I:$I,DRE!AF$4,Aut_Ajustes_Manuais!$F:$F,"Assessoria Contabil")</f>
        <v>0</v>
      </c>
      <c r="AI281" s="237"/>
      <c r="AJ281" s="26">
        <f>-SUMIFS(T_ORCAMENTOS!$E:$E,T_ORCAMENTOS!$C:$C,"Assessoria Contabil",T_ORCAMENTOS!$H:$H,"10/2026")</f>
        <v>-3791</v>
      </c>
      <c r="AK281" s="27">
        <f>SUMIFS(Aut_BlueMe_Sem_Pedido!$J:$J,Aut_BlueMe_Sem_Pedido!$Q:$Q,DRE!AI$4,Aut_BlueMe_Sem_Pedido!$H:$H,DRE!$A281)+SUMIFS(Aut_Ajustes_Manuais!$G:$G,Aut_Ajustes_Manuais!$I:$I,DRE!AI$4,Aut_Ajustes_Manuais!$F:$F,"Assessoria Contabil")</f>
        <v>0</v>
      </c>
      <c r="AL281" s="237"/>
      <c r="AM281" s="26">
        <f>-SUMIFS(T_ORCAMENTOS!$E:$E,T_ORCAMENTOS!$C:$C,"Assessoria Contabil",T_ORCAMENTOS!$H:$H,"11/2026")</f>
        <v>-3791</v>
      </c>
      <c r="AN281" s="27">
        <f>SUMIFS(Aut_BlueMe_Sem_Pedido!$J:$J,Aut_BlueMe_Sem_Pedido!$Q:$Q,DRE!AL$4,Aut_BlueMe_Sem_Pedido!$H:$H,DRE!$A281)+SUMIFS(Aut_Ajustes_Manuais!$G:$G,Aut_Ajustes_Manuais!$I:$I,DRE!AL$4,Aut_Ajustes_Manuais!$F:$F,"Assessoria Contabil")</f>
        <v>0</v>
      </c>
      <c r="AO281" s="237"/>
      <c r="AP281" s="26">
        <f>-SUMIFS(T_ORCAMENTOS!$E:$E,T_ORCAMENTOS!$C:$C,"Assessoria Contabil",T_ORCAMENTOS!$H:$H,"12/2026")</f>
        <v>-3791</v>
      </c>
      <c r="AQ281" s="27">
        <f>SUMIFS(Aut_BlueMe_Sem_Pedido!$J:$J,Aut_BlueMe_Sem_Pedido!$Q:$Q,DRE!AO$4,Aut_BlueMe_Sem_Pedido!$H:$H,DRE!$A281)+SUMIFS(Aut_Ajustes_Manuais!$G:$G,Aut_Ajustes_Manuais!$I:$I,DRE!AO$4,Aut_Ajustes_Manuais!$F:$F,"Assessoria Contabil")</f>
        <v>0</v>
      </c>
      <c r="AR281" s="237">
        <f t="shared" ref="AR281:AR291" ca="1" si="255">SUMIFS($H281:$AO281,$H$5:$AO$5,"&lt;"&amp;MONTH(TODAY()),$H$6:$AO$6,"REAL 25")</f>
        <v>0</v>
      </c>
      <c r="AS281" s="26">
        <f t="shared" ref="AS281:AS291" ca="1" si="256">SUMIFS($I281:$AP281,$I$5:$AP$5,"&lt;"&amp;MONTH(TODAY()),$I$6:$AP$6,"ORÇADO ")</f>
        <v>-3791</v>
      </c>
      <c r="AT281" s="27">
        <f t="shared" ref="AT281:AT291" ca="1" si="257">SUMIFS($J281:$AQ281,$J$5:$AQ$5,"&lt;"&amp;MONTH(TODAY()),$J$6:$AQ$6,"REAL 26")</f>
        <v>-5976.9500000000007</v>
      </c>
      <c r="AU281" s="237">
        <f t="shared" ref="AU281:AW288" si="258">SUM(H281,K281,N281,Q281,T281,W281,Z281,AC281,AF281,AI281,AL281,AO281)</f>
        <v>0</v>
      </c>
      <c r="AV281" s="26">
        <f t="shared" si="258"/>
        <v>-18955</v>
      </c>
      <c r="AW281" s="27">
        <f t="shared" si="258"/>
        <v>-5976.9500000000007</v>
      </c>
      <c r="AX281" s="237">
        <f t="shared" ref="AX281:AZ288" si="259">SUM(H281,K281,N281)</f>
        <v>0</v>
      </c>
      <c r="AY281" s="26">
        <f t="shared" si="259"/>
        <v>0</v>
      </c>
      <c r="AZ281" s="27">
        <f t="shared" si="259"/>
        <v>-5466.35</v>
      </c>
      <c r="BA281" s="237">
        <f t="shared" ref="BA281:BC288" si="260">SUM(Q281,T281,W281)</f>
        <v>0</v>
      </c>
      <c r="BB281" s="26">
        <f t="shared" si="260"/>
        <v>0</v>
      </c>
      <c r="BC281" s="27">
        <f t="shared" si="260"/>
        <v>-510.6</v>
      </c>
      <c r="BD281" s="237">
        <f t="shared" ref="BD281:BF288" si="261">SUM(Z281,AC281,AF281)</f>
        <v>0</v>
      </c>
      <c r="BE281" s="26">
        <f t="shared" si="261"/>
        <v>-7582</v>
      </c>
      <c r="BF281" s="27">
        <f t="shared" si="261"/>
        <v>0</v>
      </c>
      <c r="BG281" s="237">
        <f t="shared" ref="BG281:BI288" si="262">SUM(AI281,AL281,AO281)</f>
        <v>0</v>
      </c>
      <c r="BH281" s="26">
        <f t="shared" si="262"/>
        <v>-11373</v>
      </c>
      <c r="BI281" s="27">
        <f t="shared" si="262"/>
        <v>0</v>
      </c>
      <c r="BJ281" s="454"/>
    </row>
    <row r="282" spans="1:62" s="28" customFormat="1" hidden="1" outlineLevel="1" x14ac:dyDescent="0.3">
      <c r="A282" s="21" t="s">
        <v>309</v>
      </c>
      <c r="B282" s="22"/>
      <c r="C282" s="23" t="s">
        <v>67</v>
      </c>
      <c r="D282" s="112"/>
      <c r="E282" s="118"/>
      <c r="F282" s="54"/>
      <c r="G282" s="32"/>
      <c r="H282" s="237"/>
      <c r="I282" s="26">
        <f>-SUMIFS(T_ORCAMENTOS!$E:$E,T_ORCAMENTOS!$C:$C,"Assessoria RH",T_ORCAMENTOS!$H:$H,"1/2026")</f>
        <v>0</v>
      </c>
      <c r="J282" s="27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37"/>
      <c r="L282" s="26">
        <f>-SUMIFS(T_ORCAMENTOS!$E:$E,T_ORCAMENTOS!$C:$C,"Assessoria RH",T_ORCAMENTOS!$H:$H,"2/2026")</f>
        <v>0</v>
      </c>
      <c r="M282" s="27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37"/>
      <c r="O282" s="26">
        <f>-SUMIFS(T_ORCAMENTOS!$E:$E,T_ORCAMENTOS!$C:$C,"Assessoria RH",T_ORCAMENTOS!$H:$H,"3/2026")</f>
        <v>0</v>
      </c>
      <c r="P282" s="27">
        <f>SUMIFS(Aut_BlueMe_Sem_Pedido!$J:$J,Aut_BlueMe_Sem_Pedido!$Q:$Q,DRE!N$4,Aut_BlueMe_Sem_Pedido!$H:$H,DRE!$A282)+SUMIFS(Aut_Ajustes_Manuais!$G:$G,Aut_Ajustes_Manuais!$I:$I,DRE!N$4,Aut_Ajustes_Manuais!$F:$F,"Assessoria RH")</f>
        <v>0</v>
      </c>
      <c r="Q282" s="237"/>
      <c r="R282" s="26">
        <f>-SUMIFS(T_ORCAMENTOS!$E:$E,T_ORCAMENTOS!$C:$C,"Assessoria RH",T_ORCAMENTOS!$H:$H,"4/2026")</f>
        <v>0</v>
      </c>
      <c r="S282" s="27">
        <f>SUMIFS(Aut_BlueMe_Sem_Pedido!$J:$J,Aut_BlueMe_Sem_Pedido!$Q:$Q,DRE!Q$4,Aut_BlueMe_Sem_Pedido!$H:$H,DRE!$A282)+SUMIFS(Aut_Ajustes_Manuais!$G:$G,Aut_Ajustes_Manuais!$I:$I,DRE!Q$4,Aut_Ajustes_Manuais!$F:$F,"Assessoria RH")</f>
        <v>0</v>
      </c>
      <c r="T282" s="237"/>
      <c r="U282" s="26">
        <f>-SUMIFS(T_ORCAMENTOS!$E:$E,T_ORCAMENTOS!$C:$C,"Assessoria RH",T_ORCAMENTOS!$H:$H,"5/2026")</f>
        <v>0</v>
      </c>
      <c r="V282" s="27">
        <f>SUMIFS(Aut_BlueMe_Sem_Pedido!$J:$J,Aut_BlueMe_Sem_Pedido!$Q:$Q,DRE!T$4,Aut_BlueMe_Sem_Pedido!$H:$H,DRE!$A282)+SUMIFS(Aut_Ajustes_Manuais!$G:$G,Aut_Ajustes_Manuais!$I:$I,DRE!T$4,Aut_Ajustes_Manuais!$F:$F,"Assessoria RH")</f>
        <v>-1500</v>
      </c>
      <c r="W282" s="237"/>
      <c r="X282" s="26">
        <f>-SUMIFS(T_ORCAMENTOS!$E:$E,T_ORCAMENTOS!$C:$C,"Assessoria RH",T_ORCAMENTOS!$H:$H,"6/2026")</f>
        <v>0</v>
      </c>
      <c r="Y282" s="27">
        <f>SUMIFS(Aut_BlueMe_Sem_Pedido!$J:$J,Aut_BlueMe_Sem_Pedido!$Q:$Q,DRE!W$4,Aut_BlueMe_Sem_Pedido!$H:$H,DRE!$A282)+SUMIFS(Aut_Ajustes_Manuais!$G:$G,Aut_Ajustes_Manuais!$I:$I,DRE!W$4,Aut_Ajustes_Manuais!$F:$F,"Assessoria RH")</f>
        <v>-1839.0299999999997</v>
      </c>
      <c r="Z282" s="237"/>
      <c r="AA282" s="26">
        <f>-SUMIFS(T_ORCAMENTOS!$E:$E,T_ORCAMENTOS!$C:$C,"Assessoria RH",T_ORCAMENTOS!$H:$H,"7/2026")</f>
        <v>0</v>
      </c>
      <c r="AB282" s="27">
        <f>SUMIFS(Aut_BlueMe_Sem_Pedido!$J:$J,Aut_BlueMe_Sem_Pedido!$Q:$Q,DRE!Z$4,Aut_BlueMe_Sem_Pedido!$H:$H,DRE!$A282)+SUMIFS(Aut_Ajustes_Manuais!$G:$G,Aut_Ajustes_Manuais!$I:$I,DRE!Z$4,Aut_Ajustes_Manuais!$F:$F,"Assessoria RH")</f>
        <v>0</v>
      </c>
      <c r="AC282" s="237"/>
      <c r="AD282" s="26">
        <f>-SUMIFS(T_ORCAMENTOS!$E:$E,T_ORCAMENTOS!$C:$C,"Assessoria RH",T_ORCAMENTOS!$H:$H,"8/2026")</f>
        <v>0</v>
      </c>
      <c r="AE282" s="27">
        <f>SUMIFS(Aut_BlueMe_Sem_Pedido!$J:$J,Aut_BlueMe_Sem_Pedido!$Q:$Q,DRE!AC$4,Aut_BlueMe_Sem_Pedido!$H:$H,DRE!$A282)+SUMIFS(Aut_Ajustes_Manuais!$G:$G,Aut_Ajustes_Manuais!$I:$I,DRE!AC$4,Aut_Ajustes_Manuais!$F:$F,"Assessoria RH")</f>
        <v>0</v>
      </c>
      <c r="AF282" s="237"/>
      <c r="AG282" s="26">
        <f>-SUMIFS(T_ORCAMENTOS!$E:$E,T_ORCAMENTOS!$C:$C,"Assessoria RH",T_ORCAMENTOS!$H:$H,"9/2026")</f>
        <v>0</v>
      </c>
      <c r="AH282" s="27">
        <f>SUMIFS(Aut_BlueMe_Sem_Pedido!$J:$J,Aut_BlueMe_Sem_Pedido!$Q:$Q,DRE!AF$4,Aut_BlueMe_Sem_Pedido!$H:$H,DRE!$A282)+SUMIFS(Aut_Ajustes_Manuais!$G:$G,Aut_Ajustes_Manuais!$I:$I,DRE!AF$4,Aut_Ajustes_Manuais!$F:$F,"Assessoria RH")</f>
        <v>0</v>
      </c>
      <c r="AI282" s="237"/>
      <c r="AJ282" s="26">
        <f>-SUMIFS(T_ORCAMENTOS!$E:$E,T_ORCAMENTOS!$C:$C,"Assessoria RH",T_ORCAMENTOS!$H:$H,"10/2026")</f>
        <v>0</v>
      </c>
      <c r="AK282" s="27">
        <f>SUMIFS(Aut_BlueMe_Sem_Pedido!$J:$J,Aut_BlueMe_Sem_Pedido!$Q:$Q,DRE!AI$4,Aut_BlueMe_Sem_Pedido!$H:$H,DRE!$A282)+SUMIFS(Aut_Ajustes_Manuais!$G:$G,Aut_Ajustes_Manuais!$I:$I,DRE!AI$4,Aut_Ajustes_Manuais!$F:$F,"Assessoria RH")</f>
        <v>0</v>
      </c>
      <c r="AL282" s="237"/>
      <c r="AM282" s="26">
        <f>-SUMIFS(T_ORCAMENTOS!$E:$E,T_ORCAMENTOS!$C:$C,"Assessoria RH",T_ORCAMENTOS!$H:$H,"11/2026")</f>
        <v>0</v>
      </c>
      <c r="AN282" s="27">
        <f>SUMIFS(Aut_BlueMe_Sem_Pedido!$J:$J,Aut_BlueMe_Sem_Pedido!$Q:$Q,DRE!AL$4,Aut_BlueMe_Sem_Pedido!$H:$H,DRE!$A282)+SUMIFS(Aut_Ajustes_Manuais!$G:$G,Aut_Ajustes_Manuais!$I:$I,DRE!AL$4,Aut_Ajustes_Manuais!$F:$F,"Assessoria RH")</f>
        <v>0</v>
      </c>
      <c r="AO282" s="237"/>
      <c r="AP282" s="26">
        <f>-SUMIFS(T_ORCAMENTOS!$E:$E,T_ORCAMENTOS!$C:$C,"Assessoria RH",T_ORCAMENTOS!$H:$H,"12/2026")</f>
        <v>0</v>
      </c>
      <c r="AQ282" s="27">
        <f>SUMIFS(Aut_BlueMe_Sem_Pedido!$J:$J,Aut_BlueMe_Sem_Pedido!$Q:$Q,DRE!AO$4,Aut_BlueMe_Sem_Pedido!$H:$H,DRE!$A282)+SUMIFS(Aut_Ajustes_Manuais!$G:$G,Aut_Ajustes_Manuais!$I:$I,DRE!AO$4,Aut_Ajustes_Manuais!$F:$F,"Assessoria RH")</f>
        <v>0</v>
      </c>
      <c r="AR282" s="237">
        <f t="shared" ca="1" si="255"/>
        <v>0</v>
      </c>
      <c r="AS282" s="26">
        <f t="shared" ca="1" si="256"/>
        <v>0</v>
      </c>
      <c r="AT282" s="27">
        <f t="shared" ca="1" si="257"/>
        <v>-3339.0299999999997</v>
      </c>
      <c r="AU282" s="237">
        <f t="shared" si="258"/>
        <v>0</v>
      </c>
      <c r="AV282" s="26">
        <f t="shared" si="258"/>
        <v>0</v>
      </c>
      <c r="AW282" s="27">
        <f t="shared" si="258"/>
        <v>-3339.0299999999997</v>
      </c>
      <c r="AX282" s="237">
        <f t="shared" si="259"/>
        <v>0</v>
      </c>
      <c r="AY282" s="26">
        <f t="shared" si="259"/>
        <v>0</v>
      </c>
      <c r="AZ282" s="27">
        <f t="shared" si="259"/>
        <v>0</v>
      </c>
      <c r="BA282" s="237">
        <f t="shared" si="260"/>
        <v>0</v>
      </c>
      <c r="BB282" s="26">
        <f t="shared" si="260"/>
        <v>0</v>
      </c>
      <c r="BC282" s="27">
        <f t="shared" si="260"/>
        <v>-3339.0299999999997</v>
      </c>
      <c r="BD282" s="237">
        <f t="shared" si="261"/>
        <v>0</v>
      </c>
      <c r="BE282" s="26">
        <f t="shared" si="261"/>
        <v>0</v>
      </c>
      <c r="BF282" s="27">
        <f t="shared" si="261"/>
        <v>0</v>
      </c>
      <c r="BG282" s="237">
        <f t="shared" si="262"/>
        <v>0</v>
      </c>
      <c r="BH282" s="26">
        <f t="shared" si="262"/>
        <v>0</v>
      </c>
      <c r="BI282" s="27">
        <f t="shared" si="262"/>
        <v>0</v>
      </c>
      <c r="BJ282" s="454"/>
    </row>
    <row r="283" spans="1:62" s="28" customFormat="1" hidden="1" outlineLevel="1" x14ac:dyDescent="0.3">
      <c r="A283" s="21" t="s">
        <v>310</v>
      </c>
      <c r="B283" s="22"/>
      <c r="C283" s="23" t="s">
        <v>67</v>
      </c>
      <c r="D283" s="112"/>
      <c r="E283" s="118"/>
      <c r="F283" s="54"/>
      <c r="G283" s="32"/>
      <c r="H283" s="237"/>
      <c r="I283" s="26">
        <f>-SUMIFS(T_ORCAMENTOS!$E:$E,T_ORCAMENTOS!$C:$C,"Assessoria em Geral",T_ORCAMENTOS!$H:$H,"1/2026")</f>
        <v>0</v>
      </c>
      <c r="J283" s="27">
        <f>SUMIFS(Aut_BlueMe_Sem_Pedido!$J:$J,Aut_BlueMe_Sem_Pedido!$Q:$Q,DRE!H$4,Aut_BlueMe_Sem_Pedido!$H:$H,DRE!$A283)+SUMIFS(Aut_Ajustes_Manuais!$G:$G,Aut_Ajustes_Manuais!$I:$I,DRE!H$4,Aut_Ajustes_Manuais!$F:$F,"Assessoria em Geral")</f>
        <v>0</v>
      </c>
      <c r="K283" s="237"/>
      <c r="L283" s="26">
        <f>-SUMIFS(T_ORCAMENTOS!$E:$E,T_ORCAMENTOS!$C:$C,"Assessoria em Geral",T_ORCAMENTOS!$H:$H,"2/2026")</f>
        <v>0</v>
      </c>
      <c r="M283" s="27">
        <f>SUMIFS(Aut_BlueMe_Sem_Pedido!$J:$J,Aut_BlueMe_Sem_Pedido!$Q:$Q,DRE!K$4,Aut_BlueMe_Sem_Pedido!$H:$H,DRE!$A283)+SUMIFS(Aut_Ajustes_Manuais!$G:$G,Aut_Ajustes_Manuais!$I:$I,DRE!K$4,Aut_Ajustes_Manuais!$F:$F,"Assessoria em Geral")</f>
        <v>0</v>
      </c>
      <c r="N283" s="237"/>
      <c r="O283" s="26">
        <f>-SUMIFS(T_ORCAMENTOS!$E:$E,T_ORCAMENTOS!$C:$C,"Assessoria em Geral",T_ORCAMENTOS!$H:$H,"3/2026")</f>
        <v>0</v>
      </c>
      <c r="P283" s="27">
        <f>SUMIFS(Aut_BlueMe_Sem_Pedido!$J:$J,Aut_BlueMe_Sem_Pedido!$Q:$Q,DRE!N$4,Aut_BlueMe_Sem_Pedido!$H:$H,DRE!$A283)+SUMIFS(Aut_Ajustes_Manuais!$G:$G,Aut_Ajustes_Manuais!$I:$I,DRE!N$4,Aut_Ajustes_Manuais!$F:$F,"Assessoria em Geral")</f>
        <v>0</v>
      </c>
      <c r="Q283" s="237"/>
      <c r="R283" s="26">
        <f>-SUMIFS(T_ORCAMENTOS!$E:$E,T_ORCAMENTOS!$C:$C,"Assessoria em Geral",T_ORCAMENTOS!$H:$H,"4/2026")</f>
        <v>0</v>
      </c>
      <c r="S283" s="27">
        <f>SUMIFS(Aut_BlueMe_Sem_Pedido!$J:$J,Aut_BlueMe_Sem_Pedido!$Q:$Q,DRE!Q$4,Aut_BlueMe_Sem_Pedido!$H:$H,DRE!$A283)+SUMIFS(Aut_Ajustes_Manuais!$G:$G,Aut_Ajustes_Manuais!$I:$I,DRE!Q$4,Aut_Ajustes_Manuais!$F:$F,"Assessoria em Geral")</f>
        <v>-219</v>
      </c>
      <c r="T283" s="237"/>
      <c r="U283" s="26">
        <f>-SUMIFS(T_ORCAMENTOS!$E:$E,T_ORCAMENTOS!$C:$C,"Assessoria em Geral",T_ORCAMENTOS!$H:$H,"5/2026")</f>
        <v>0</v>
      </c>
      <c r="V283" s="27">
        <f>SUMIFS(Aut_BlueMe_Sem_Pedido!$J:$J,Aut_BlueMe_Sem_Pedido!$Q:$Q,DRE!T$4,Aut_BlueMe_Sem_Pedido!$H:$H,DRE!$A283)+SUMIFS(Aut_Ajustes_Manuais!$G:$G,Aut_Ajustes_Manuais!$I:$I,DRE!T$4,Aut_Ajustes_Manuais!$F:$F,"Assessoria em Geral")</f>
        <v>0</v>
      </c>
      <c r="W283" s="237"/>
      <c r="X283" s="26">
        <f>-SUMIFS(T_ORCAMENTOS!$E:$E,T_ORCAMENTOS!$C:$C,"Assessoria em Geral",T_ORCAMENTOS!$H:$H,"6/2026")</f>
        <v>0</v>
      </c>
      <c r="Y283" s="27">
        <f>SUMIFS(Aut_BlueMe_Sem_Pedido!$J:$J,Aut_BlueMe_Sem_Pedido!$Q:$Q,DRE!W$4,Aut_BlueMe_Sem_Pedido!$H:$H,DRE!$A283)+SUMIFS(Aut_Ajustes_Manuais!$G:$G,Aut_Ajustes_Manuais!$I:$I,DRE!W$4,Aut_Ajustes_Manuais!$F:$F,"Assessoria em Geral")</f>
        <v>0</v>
      </c>
      <c r="Z283" s="237"/>
      <c r="AA283" s="26">
        <f>-SUMIFS(T_ORCAMENTOS!$E:$E,T_ORCAMENTOS!$C:$C,"Assessoria em Geral",T_ORCAMENTOS!$H:$H,"7/2026")</f>
        <v>0</v>
      </c>
      <c r="AB283" s="27">
        <f>SUMIFS(Aut_BlueMe_Sem_Pedido!$J:$J,Aut_BlueMe_Sem_Pedido!$Q:$Q,DRE!Z$4,Aut_BlueMe_Sem_Pedido!$H:$H,DRE!$A283)+SUMIFS(Aut_Ajustes_Manuais!$G:$G,Aut_Ajustes_Manuais!$I:$I,DRE!Z$4,Aut_Ajustes_Manuais!$F:$F,"Assessoria em Geral")</f>
        <v>0</v>
      </c>
      <c r="AC283" s="237"/>
      <c r="AD283" s="26">
        <f>-SUMIFS(T_ORCAMENTOS!$E:$E,T_ORCAMENTOS!$C:$C,"Assessoria em Geral",T_ORCAMENTOS!$H:$H,"8/2026")</f>
        <v>-1550</v>
      </c>
      <c r="AE283" s="27">
        <f>SUMIFS(Aut_BlueMe_Sem_Pedido!$J:$J,Aut_BlueMe_Sem_Pedido!$Q:$Q,DRE!AC$4,Aut_BlueMe_Sem_Pedido!$H:$H,DRE!$A283)+SUMIFS(Aut_Ajustes_Manuais!$G:$G,Aut_Ajustes_Manuais!$I:$I,DRE!AC$4,Aut_Ajustes_Manuais!$F:$F,"Assessoria em Geral")</f>
        <v>0</v>
      </c>
      <c r="AF283" s="237"/>
      <c r="AG283" s="26">
        <f>-SUMIFS(T_ORCAMENTOS!$E:$E,T_ORCAMENTOS!$C:$C,"Assessoria em Geral",T_ORCAMENTOS!$H:$H,"9/2026")</f>
        <v>-1550</v>
      </c>
      <c r="AH283" s="27">
        <f>SUMIFS(Aut_BlueMe_Sem_Pedido!$J:$J,Aut_BlueMe_Sem_Pedido!$Q:$Q,DRE!AF$4,Aut_BlueMe_Sem_Pedido!$H:$H,DRE!$A283)+SUMIFS(Aut_Ajustes_Manuais!$G:$G,Aut_Ajustes_Manuais!$I:$I,DRE!AF$4,Aut_Ajustes_Manuais!$F:$F,"Assessoria em Geral")</f>
        <v>0</v>
      </c>
      <c r="AI283" s="237"/>
      <c r="AJ283" s="26">
        <f>-SUMIFS(T_ORCAMENTOS!$E:$E,T_ORCAMENTOS!$C:$C,"Assessoria em Geral",T_ORCAMENTOS!$H:$H,"10/2026")</f>
        <v>-1550</v>
      </c>
      <c r="AK283" s="27">
        <f>SUMIFS(Aut_BlueMe_Sem_Pedido!$J:$J,Aut_BlueMe_Sem_Pedido!$Q:$Q,DRE!AI$4,Aut_BlueMe_Sem_Pedido!$H:$H,DRE!$A283)+SUMIFS(Aut_Ajustes_Manuais!$G:$G,Aut_Ajustes_Manuais!$I:$I,DRE!AI$4,Aut_Ajustes_Manuais!$F:$F,"Assessoria em Geral")</f>
        <v>0</v>
      </c>
      <c r="AL283" s="237"/>
      <c r="AM283" s="26">
        <f>-SUMIFS(T_ORCAMENTOS!$E:$E,T_ORCAMENTOS!$C:$C,"Assessoria em Geral",T_ORCAMENTOS!$H:$H,"11/2026")</f>
        <v>-1550</v>
      </c>
      <c r="AN283" s="27">
        <f>SUMIFS(Aut_BlueMe_Sem_Pedido!$J:$J,Aut_BlueMe_Sem_Pedido!$Q:$Q,DRE!AL$4,Aut_BlueMe_Sem_Pedido!$H:$H,DRE!$A283)+SUMIFS(Aut_Ajustes_Manuais!$G:$G,Aut_Ajustes_Manuais!$I:$I,DRE!AL$4,Aut_Ajustes_Manuais!$F:$F,"Assessoria em Geral")</f>
        <v>0</v>
      </c>
      <c r="AO283" s="237"/>
      <c r="AP283" s="26">
        <f>-SUMIFS(T_ORCAMENTOS!$E:$E,T_ORCAMENTOS!$C:$C,"Assessoria em Geral",T_ORCAMENTOS!$H:$H,"12/2026")</f>
        <v>-1550</v>
      </c>
      <c r="AQ283" s="27">
        <f>SUMIFS(Aut_BlueMe_Sem_Pedido!$J:$J,Aut_BlueMe_Sem_Pedido!$Q:$Q,DRE!AO$4,Aut_BlueMe_Sem_Pedido!$H:$H,DRE!$A283)+SUMIFS(Aut_Ajustes_Manuais!$G:$G,Aut_Ajustes_Manuais!$I:$I,DRE!AO$4,Aut_Ajustes_Manuais!$F:$F,"Assessoria em Geral")</f>
        <v>0</v>
      </c>
      <c r="AR283" s="237">
        <f t="shared" ca="1" si="255"/>
        <v>0</v>
      </c>
      <c r="AS283" s="26">
        <f t="shared" ca="1" si="256"/>
        <v>-1550</v>
      </c>
      <c r="AT283" s="27">
        <f t="shared" ca="1" si="257"/>
        <v>-219</v>
      </c>
      <c r="AU283" s="237">
        <f t="shared" si="258"/>
        <v>0</v>
      </c>
      <c r="AV283" s="26">
        <f t="shared" si="258"/>
        <v>-7750</v>
      </c>
      <c r="AW283" s="27">
        <f t="shared" si="258"/>
        <v>-219</v>
      </c>
      <c r="AX283" s="237">
        <f t="shared" si="259"/>
        <v>0</v>
      </c>
      <c r="AY283" s="26">
        <f t="shared" si="259"/>
        <v>0</v>
      </c>
      <c r="AZ283" s="27">
        <f t="shared" si="259"/>
        <v>0</v>
      </c>
      <c r="BA283" s="237">
        <f t="shared" si="260"/>
        <v>0</v>
      </c>
      <c r="BB283" s="26">
        <f t="shared" si="260"/>
        <v>0</v>
      </c>
      <c r="BC283" s="27">
        <f t="shared" si="260"/>
        <v>-219</v>
      </c>
      <c r="BD283" s="237">
        <f t="shared" si="261"/>
        <v>0</v>
      </c>
      <c r="BE283" s="26">
        <f t="shared" si="261"/>
        <v>-3100</v>
      </c>
      <c r="BF283" s="27">
        <f t="shared" si="261"/>
        <v>0</v>
      </c>
      <c r="BG283" s="237">
        <f t="shared" si="262"/>
        <v>0</v>
      </c>
      <c r="BH283" s="26">
        <f t="shared" si="262"/>
        <v>-4650</v>
      </c>
      <c r="BI283" s="27">
        <f t="shared" si="262"/>
        <v>0</v>
      </c>
      <c r="BJ283" s="454"/>
    </row>
    <row r="284" spans="1:62" s="28" customFormat="1" hidden="1" outlineLevel="1" x14ac:dyDescent="0.3">
      <c r="A284" s="21" t="s">
        <v>311</v>
      </c>
      <c r="B284" s="22"/>
      <c r="C284" s="23" t="s">
        <v>67</v>
      </c>
      <c r="D284" s="112"/>
      <c r="E284" s="118"/>
      <c r="F284" s="54"/>
      <c r="G284" s="32"/>
      <c r="H284" s="237"/>
      <c r="I284" s="26">
        <f>-SUMIFS(T_ORCAMENTOS!$E:$E,T_ORCAMENTOS!$C:$C,"Assessoria Financeira",T_ORCAMENTOS!$H:$H,"1/2026")</f>
        <v>0</v>
      </c>
      <c r="J284" s="27">
        <f>SUMIFS(Aut_BlueMe_Sem_Pedido!$J:$J,Aut_BlueMe_Sem_Pedido!$Q:$Q,DRE!H$4,Aut_BlueMe_Sem_Pedido!$H:$H,DRE!$A284)+SUMIFS(Aut_Ajustes_Manuais!$G:$G,Aut_Ajustes_Manuais!$I:$I,DRE!H$4,Aut_Ajustes_Manuais!$F:$F,"Assessoria Financeira")</f>
        <v>0</v>
      </c>
      <c r="K284" s="237"/>
      <c r="L284" s="26">
        <f>-SUMIFS(T_ORCAMENTOS!$E:$E,T_ORCAMENTOS!$C:$C,"Assessoria Financeira",T_ORCAMENTOS!$H:$H,"2/2026")</f>
        <v>0</v>
      </c>
      <c r="M284" s="27">
        <f>SUMIFS(Aut_BlueMe_Sem_Pedido!$J:$J,Aut_BlueMe_Sem_Pedido!$Q:$Q,DRE!K$4,Aut_BlueMe_Sem_Pedido!$H:$H,DRE!$A284)+SUMIFS(Aut_Ajustes_Manuais!$G:$G,Aut_Ajustes_Manuais!$I:$I,DRE!K$4,Aut_Ajustes_Manuais!$F:$F,"Assessoria Financeira")</f>
        <v>0</v>
      </c>
      <c r="N284" s="237"/>
      <c r="O284" s="26">
        <f>-SUMIFS(T_ORCAMENTOS!$E:$E,T_ORCAMENTOS!$C:$C,"Assessoria Financeira",T_ORCAMENTOS!$H:$H,"3/2026")</f>
        <v>0</v>
      </c>
      <c r="P284" s="27">
        <f>SUMIFS(Aut_BlueMe_Sem_Pedido!$J:$J,Aut_BlueMe_Sem_Pedido!$Q:$Q,DRE!N$4,Aut_BlueMe_Sem_Pedido!$H:$H,DRE!$A284)+SUMIFS(Aut_Ajustes_Manuais!$G:$G,Aut_Ajustes_Manuais!$I:$I,DRE!N$4,Aut_Ajustes_Manuais!$F:$F,"Assessoria Financeira")</f>
        <v>0</v>
      </c>
      <c r="Q284" s="237"/>
      <c r="R284" s="26">
        <f>-SUMIFS(T_ORCAMENTOS!$E:$E,T_ORCAMENTOS!$C:$C,"Assessoria Financeira",T_ORCAMENTOS!$H:$H,"4/2026")</f>
        <v>0</v>
      </c>
      <c r="S284" s="27">
        <f>SUMIFS(Aut_BlueMe_Sem_Pedido!$J:$J,Aut_BlueMe_Sem_Pedido!$Q:$Q,DRE!Q$4,Aut_BlueMe_Sem_Pedido!$H:$H,DRE!$A284)+SUMIFS(Aut_Ajustes_Manuais!$G:$G,Aut_Ajustes_Manuais!$I:$I,DRE!Q$4,Aut_Ajustes_Manuais!$F:$F,"Assessoria Financeira")</f>
        <v>0</v>
      </c>
      <c r="T284" s="237"/>
      <c r="U284" s="26">
        <f>-SUMIFS(T_ORCAMENTOS!$E:$E,T_ORCAMENTOS!$C:$C,"Assessoria Financeira",T_ORCAMENTOS!$H:$H,"5/2026")</f>
        <v>0</v>
      </c>
      <c r="V284" s="27">
        <f>SUMIFS(Aut_BlueMe_Sem_Pedido!$J:$J,Aut_BlueMe_Sem_Pedido!$Q:$Q,DRE!T$4,Aut_BlueMe_Sem_Pedido!$H:$H,DRE!$A284)+SUMIFS(Aut_Ajustes_Manuais!$G:$G,Aut_Ajustes_Manuais!$I:$I,DRE!T$4,Aut_Ajustes_Manuais!$F:$F,"Assessoria Financeira")</f>
        <v>0</v>
      </c>
      <c r="W284" s="237"/>
      <c r="X284" s="26">
        <f>-SUMIFS(T_ORCAMENTOS!$E:$E,T_ORCAMENTOS!$C:$C,"Assessoria Financeira",T_ORCAMENTOS!$H:$H,"6/2026")</f>
        <v>0</v>
      </c>
      <c r="Y284" s="27">
        <f>SUMIFS(Aut_BlueMe_Sem_Pedido!$J:$J,Aut_BlueMe_Sem_Pedido!$Q:$Q,DRE!W$4,Aut_BlueMe_Sem_Pedido!$H:$H,DRE!$A284)+SUMIFS(Aut_Ajustes_Manuais!$G:$G,Aut_Ajustes_Manuais!$I:$I,DRE!W$4,Aut_Ajustes_Manuais!$F:$F,"Assessoria Financeira")</f>
        <v>-185</v>
      </c>
      <c r="Z284" s="237"/>
      <c r="AA284" s="26">
        <f>-SUMIFS(T_ORCAMENTOS!$E:$E,T_ORCAMENTOS!$C:$C,"Assessoria Financeira",T_ORCAMENTOS!$H:$H,"7/2026")</f>
        <v>0</v>
      </c>
      <c r="AB284" s="27">
        <f>SUMIFS(Aut_BlueMe_Sem_Pedido!$J:$J,Aut_BlueMe_Sem_Pedido!$Q:$Q,DRE!Z$4,Aut_BlueMe_Sem_Pedido!$H:$H,DRE!$A284)+SUMIFS(Aut_Ajustes_Manuais!$G:$G,Aut_Ajustes_Manuais!$I:$I,DRE!Z$4,Aut_Ajustes_Manuais!$F:$F,"Assessoria Financeira")</f>
        <v>0</v>
      </c>
      <c r="AC284" s="237"/>
      <c r="AD284" s="26">
        <f>-SUMIFS(T_ORCAMENTOS!$E:$E,T_ORCAMENTOS!$C:$C,"Assessoria Financeira",T_ORCAMENTOS!$H:$H,"8/2026")</f>
        <v>-185</v>
      </c>
      <c r="AE284" s="27">
        <f>SUMIFS(Aut_BlueMe_Sem_Pedido!$J:$J,Aut_BlueMe_Sem_Pedido!$Q:$Q,DRE!AC$4,Aut_BlueMe_Sem_Pedido!$H:$H,DRE!$A284)+SUMIFS(Aut_Ajustes_Manuais!$G:$G,Aut_Ajustes_Manuais!$I:$I,DRE!AC$4,Aut_Ajustes_Manuais!$F:$F,"Assessoria Financeira")</f>
        <v>0</v>
      </c>
      <c r="AF284" s="237"/>
      <c r="AG284" s="26">
        <f>-SUMIFS(T_ORCAMENTOS!$E:$E,T_ORCAMENTOS!$C:$C,"Assessoria Financeira",T_ORCAMENTOS!$H:$H,"9/2026")</f>
        <v>-185</v>
      </c>
      <c r="AH284" s="27">
        <f>SUMIFS(Aut_BlueMe_Sem_Pedido!$J:$J,Aut_BlueMe_Sem_Pedido!$Q:$Q,DRE!AF$4,Aut_BlueMe_Sem_Pedido!$H:$H,DRE!$A284)+SUMIFS(Aut_Ajustes_Manuais!$G:$G,Aut_Ajustes_Manuais!$I:$I,DRE!AF$4,Aut_Ajustes_Manuais!$F:$F,"Assessoria Financeira")</f>
        <v>0</v>
      </c>
      <c r="AI284" s="237"/>
      <c r="AJ284" s="26">
        <f>-SUMIFS(T_ORCAMENTOS!$E:$E,T_ORCAMENTOS!$C:$C,"Assessoria Financeira",T_ORCAMENTOS!$H:$H,"10/2026")</f>
        <v>-185</v>
      </c>
      <c r="AK284" s="27">
        <f>SUMIFS(Aut_BlueMe_Sem_Pedido!$J:$J,Aut_BlueMe_Sem_Pedido!$Q:$Q,DRE!AI$4,Aut_BlueMe_Sem_Pedido!$H:$H,DRE!$A284)+SUMIFS(Aut_Ajustes_Manuais!$G:$G,Aut_Ajustes_Manuais!$I:$I,DRE!AI$4,Aut_Ajustes_Manuais!$F:$F,"Assessoria Financeira")</f>
        <v>0</v>
      </c>
      <c r="AL284" s="237"/>
      <c r="AM284" s="26">
        <f>-SUMIFS(T_ORCAMENTOS!$E:$E,T_ORCAMENTOS!$C:$C,"Assessoria Financeira",T_ORCAMENTOS!$H:$H,"11/2026")</f>
        <v>-185</v>
      </c>
      <c r="AN284" s="27">
        <f>SUMIFS(Aut_BlueMe_Sem_Pedido!$J:$J,Aut_BlueMe_Sem_Pedido!$Q:$Q,DRE!AL$4,Aut_BlueMe_Sem_Pedido!$H:$H,DRE!$A284)+SUMIFS(Aut_Ajustes_Manuais!$G:$G,Aut_Ajustes_Manuais!$I:$I,DRE!AL$4,Aut_Ajustes_Manuais!$F:$F,"Assessoria Financeira")</f>
        <v>0</v>
      </c>
      <c r="AO284" s="237"/>
      <c r="AP284" s="26">
        <f>-SUMIFS(T_ORCAMENTOS!$E:$E,T_ORCAMENTOS!$C:$C,"Assessoria Financeira",T_ORCAMENTOS!$H:$H,"12/2026")</f>
        <v>-185</v>
      </c>
      <c r="AQ284" s="27">
        <f>SUMIFS(Aut_BlueMe_Sem_Pedido!$J:$J,Aut_BlueMe_Sem_Pedido!$Q:$Q,DRE!AO$4,Aut_BlueMe_Sem_Pedido!$H:$H,DRE!$A284)+SUMIFS(Aut_Ajustes_Manuais!$G:$G,Aut_Ajustes_Manuais!$I:$I,DRE!AO$4,Aut_Ajustes_Manuais!$F:$F,"Assessoria Financeira")</f>
        <v>0</v>
      </c>
      <c r="AR284" s="237">
        <f t="shared" ca="1" si="255"/>
        <v>0</v>
      </c>
      <c r="AS284" s="26">
        <f t="shared" ca="1" si="256"/>
        <v>-185</v>
      </c>
      <c r="AT284" s="27">
        <f t="shared" ca="1" si="257"/>
        <v>-185</v>
      </c>
      <c r="AU284" s="237">
        <f t="shared" si="258"/>
        <v>0</v>
      </c>
      <c r="AV284" s="26">
        <f t="shared" si="258"/>
        <v>-925</v>
      </c>
      <c r="AW284" s="27">
        <f t="shared" si="258"/>
        <v>-185</v>
      </c>
      <c r="AX284" s="237">
        <f t="shared" si="259"/>
        <v>0</v>
      </c>
      <c r="AY284" s="26">
        <f t="shared" si="259"/>
        <v>0</v>
      </c>
      <c r="AZ284" s="27">
        <f t="shared" si="259"/>
        <v>0</v>
      </c>
      <c r="BA284" s="237">
        <f t="shared" si="260"/>
        <v>0</v>
      </c>
      <c r="BB284" s="26">
        <f t="shared" si="260"/>
        <v>0</v>
      </c>
      <c r="BC284" s="27">
        <f t="shared" si="260"/>
        <v>-185</v>
      </c>
      <c r="BD284" s="237">
        <f t="shared" si="261"/>
        <v>0</v>
      </c>
      <c r="BE284" s="26">
        <f t="shared" si="261"/>
        <v>-370</v>
      </c>
      <c r="BF284" s="27">
        <f t="shared" si="261"/>
        <v>0</v>
      </c>
      <c r="BG284" s="237">
        <f t="shared" si="262"/>
        <v>0</v>
      </c>
      <c r="BH284" s="26">
        <f t="shared" si="262"/>
        <v>-555</v>
      </c>
      <c r="BI284" s="27">
        <f t="shared" si="262"/>
        <v>0</v>
      </c>
      <c r="BJ284" s="454"/>
    </row>
    <row r="285" spans="1:62" s="28" customFormat="1" hidden="1" outlineLevel="1" x14ac:dyDescent="0.3">
      <c r="A285" s="21" t="s">
        <v>312</v>
      </c>
      <c r="B285" s="22"/>
      <c r="C285" s="23" t="s">
        <v>67</v>
      </c>
      <c r="D285" s="112"/>
      <c r="E285" s="118"/>
      <c r="F285" s="54"/>
      <c r="G285" s="32"/>
      <c r="H285" s="237"/>
      <c r="I285" s="26">
        <f>-SUMIFS(T_ORCAMENTOS!$E:$E,T_ORCAMENTOS!$C:$C,"Assessoria Jurídica",T_ORCAMENTOS!$H:$H,"1/2026")</f>
        <v>0</v>
      </c>
      <c r="J285" s="27">
        <f>SUMIFS(Aut_BlueMe_Sem_Pedido!$J:$J,Aut_BlueMe_Sem_Pedido!$Q:$Q,DRE!H$4,Aut_BlueMe_Sem_Pedido!$H:$H,DRE!$A285)+SUMIFS(Aut_Ajustes_Manuais!$G:$G,Aut_Ajustes_Manuais!$I:$I,DRE!H$4,Aut_Ajustes_Manuais!$F:$F,"Assessoria Jurídica")</f>
        <v>-2100</v>
      </c>
      <c r="K285" s="237"/>
      <c r="L285" s="26">
        <f>-SUMIFS(T_ORCAMENTOS!$E:$E,T_ORCAMENTOS!$C:$C,"Assessoria Jurídica",T_ORCAMENTOS!$H:$H,"2/2026")</f>
        <v>0</v>
      </c>
      <c r="M285" s="27">
        <f>SUMIFS(Aut_BlueMe_Sem_Pedido!$J:$J,Aut_BlueMe_Sem_Pedido!$Q:$Q,DRE!K$4,Aut_BlueMe_Sem_Pedido!$H:$H,DRE!$A285)+SUMIFS(Aut_Ajustes_Manuais!$G:$G,Aut_Ajustes_Manuais!$I:$I,DRE!K$4,Aut_Ajustes_Manuais!$F:$F,"Assessoria Jurídica")</f>
        <v>-2100</v>
      </c>
      <c r="N285" s="237"/>
      <c r="O285" s="26">
        <f>-SUMIFS(T_ORCAMENTOS!$E:$E,T_ORCAMENTOS!$C:$C,"Assessoria Jurídica",T_ORCAMENTOS!$H:$H,"3/2026")</f>
        <v>0</v>
      </c>
      <c r="P285" s="27">
        <f>SUMIFS(Aut_BlueMe_Sem_Pedido!$J:$J,Aut_BlueMe_Sem_Pedido!$Q:$Q,DRE!N$4,Aut_BlueMe_Sem_Pedido!$H:$H,DRE!$A285)+SUMIFS(Aut_Ajustes_Manuais!$G:$G,Aut_Ajustes_Manuais!$I:$I,DRE!N$4,Aut_Ajustes_Manuais!$F:$F,"Assessoria Jurídica")</f>
        <v>-2100</v>
      </c>
      <c r="Q285" s="237"/>
      <c r="R285" s="26">
        <f>-SUMIFS(T_ORCAMENTOS!$E:$E,T_ORCAMENTOS!$C:$C,"Assessoria Jurídica",T_ORCAMENTOS!$H:$H,"4/2026")</f>
        <v>0</v>
      </c>
      <c r="S285" s="27">
        <f>SUMIFS(Aut_BlueMe_Sem_Pedido!$J:$J,Aut_BlueMe_Sem_Pedido!$Q:$Q,DRE!Q$4,Aut_BlueMe_Sem_Pedido!$H:$H,DRE!$A285)+SUMIFS(Aut_Ajustes_Manuais!$G:$G,Aut_Ajustes_Manuais!$I:$I,DRE!Q$4,Aut_Ajustes_Manuais!$F:$F,"Assessoria Jurídica")</f>
        <v>-2100</v>
      </c>
      <c r="T285" s="237"/>
      <c r="U285" s="26">
        <f>-SUMIFS(T_ORCAMENTOS!$E:$E,T_ORCAMENTOS!$C:$C,"Assessoria Jurídica",T_ORCAMENTOS!$H:$H,"5/2026")</f>
        <v>0</v>
      </c>
      <c r="V285" s="27">
        <f>SUMIFS(Aut_BlueMe_Sem_Pedido!$J:$J,Aut_BlueMe_Sem_Pedido!$Q:$Q,DRE!T$4,Aut_BlueMe_Sem_Pedido!$H:$H,DRE!$A285)+SUMIFS(Aut_Ajustes_Manuais!$G:$G,Aut_Ajustes_Manuais!$I:$I,DRE!T$4,Aut_Ajustes_Manuais!$F:$F,"Assessoria Jurídica")</f>
        <v>-2100</v>
      </c>
      <c r="W285" s="237"/>
      <c r="X285" s="26">
        <f>-SUMIFS(T_ORCAMENTOS!$E:$E,T_ORCAMENTOS!$C:$C,"Assessoria Jurídica",T_ORCAMENTOS!$H:$H,"6/2026")</f>
        <v>0</v>
      </c>
      <c r="Y285" s="27">
        <f>SUMIFS(Aut_BlueMe_Sem_Pedido!$J:$J,Aut_BlueMe_Sem_Pedido!$Q:$Q,DRE!W$4,Aut_BlueMe_Sem_Pedido!$H:$H,DRE!$A285)+SUMIFS(Aut_Ajustes_Manuais!$G:$G,Aut_Ajustes_Manuais!$I:$I,DRE!W$4,Aut_Ajustes_Manuais!$F:$F,"Assessoria Jurídica")</f>
        <v>-2100</v>
      </c>
      <c r="Z285" s="237"/>
      <c r="AA285" s="26">
        <f>-SUMIFS(T_ORCAMENTOS!$E:$E,T_ORCAMENTOS!$C:$C,"Assessoria Jurídica",T_ORCAMENTOS!$H:$H,"7/2026")</f>
        <v>0</v>
      </c>
      <c r="AB285" s="27">
        <f>SUMIFS(Aut_BlueMe_Sem_Pedido!$J:$J,Aut_BlueMe_Sem_Pedido!$Q:$Q,DRE!Z$4,Aut_BlueMe_Sem_Pedido!$H:$H,DRE!$A285)+SUMIFS(Aut_Ajustes_Manuais!$G:$G,Aut_Ajustes_Manuais!$I:$I,DRE!Z$4,Aut_Ajustes_Manuais!$F:$F,"Assessoria Jurídica")</f>
        <v>-4300</v>
      </c>
      <c r="AC285" s="237"/>
      <c r="AD285" s="26">
        <f>-SUMIFS(T_ORCAMENTOS!$E:$E,T_ORCAMENTOS!$C:$C,"Assessoria Jurídica",T_ORCAMENTOS!$H:$H,"8/2026")</f>
        <v>-2100</v>
      </c>
      <c r="AE285" s="27">
        <f>SUMIFS(Aut_BlueMe_Sem_Pedido!$J:$J,Aut_BlueMe_Sem_Pedido!$Q:$Q,DRE!AC$4,Aut_BlueMe_Sem_Pedido!$H:$H,DRE!$A285)+SUMIFS(Aut_Ajustes_Manuais!$G:$G,Aut_Ajustes_Manuais!$I:$I,DRE!AC$4,Aut_Ajustes_Manuais!$F:$F,"Assessoria Jurídica")</f>
        <v>-2200</v>
      </c>
      <c r="AF285" s="237"/>
      <c r="AG285" s="26">
        <f>-SUMIFS(T_ORCAMENTOS!$E:$E,T_ORCAMENTOS!$C:$C,"Assessoria Jurídica",T_ORCAMENTOS!$H:$H,"9/2026")</f>
        <v>-2100</v>
      </c>
      <c r="AH285" s="27">
        <f>SUMIFS(Aut_BlueMe_Sem_Pedido!$J:$J,Aut_BlueMe_Sem_Pedido!$Q:$Q,DRE!AF$4,Aut_BlueMe_Sem_Pedido!$H:$H,DRE!$A285)+SUMIFS(Aut_Ajustes_Manuais!$G:$G,Aut_Ajustes_Manuais!$I:$I,DRE!AF$4,Aut_Ajustes_Manuais!$F:$F,"Assessoria Jurídica")</f>
        <v>-2200</v>
      </c>
      <c r="AI285" s="237"/>
      <c r="AJ285" s="26">
        <f>-SUMIFS(T_ORCAMENTOS!$E:$E,T_ORCAMENTOS!$C:$C,"Assessoria Jurídica",T_ORCAMENTOS!$H:$H,"10/2026")</f>
        <v>-2100</v>
      </c>
      <c r="AK285" s="27">
        <f>SUMIFS(Aut_BlueMe_Sem_Pedido!$J:$J,Aut_BlueMe_Sem_Pedido!$Q:$Q,DRE!AI$4,Aut_BlueMe_Sem_Pedido!$H:$H,DRE!$A285)+SUMIFS(Aut_Ajustes_Manuais!$G:$G,Aut_Ajustes_Manuais!$I:$I,DRE!AI$4,Aut_Ajustes_Manuais!$F:$F,"Assessoria Jurídica")</f>
        <v>-2200</v>
      </c>
      <c r="AL285" s="237"/>
      <c r="AM285" s="26">
        <f>-SUMIFS(T_ORCAMENTOS!$E:$E,T_ORCAMENTOS!$C:$C,"Assessoria Jurídica",T_ORCAMENTOS!$H:$H,"11/2026")</f>
        <v>-2100</v>
      </c>
      <c r="AN285" s="27">
        <f>SUMIFS(Aut_BlueMe_Sem_Pedido!$J:$J,Aut_BlueMe_Sem_Pedido!$Q:$Q,DRE!AL$4,Aut_BlueMe_Sem_Pedido!$H:$H,DRE!$A285)+SUMIFS(Aut_Ajustes_Manuais!$G:$G,Aut_Ajustes_Manuais!$I:$I,DRE!AL$4,Aut_Ajustes_Manuais!$F:$F,"Assessoria Jurídica")</f>
        <v>-2200</v>
      </c>
      <c r="AO285" s="237"/>
      <c r="AP285" s="26">
        <f>-SUMIFS(T_ORCAMENTOS!$E:$E,T_ORCAMENTOS!$C:$C,"Assessoria Jurídica",T_ORCAMENTOS!$H:$H,"12/2026")</f>
        <v>-2100</v>
      </c>
      <c r="AQ285" s="27">
        <f>SUMIFS(Aut_BlueMe_Sem_Pedido!$J:$J,Aut_BlueMe_Sem_Pedido!$Q:$Q,DRE!AO$4,Aut_BlueMe_Sem_Pedido!$H:$H,DRE!$A285)+SUMIFS(Aut_Ajustes_Manuais!$G:$G,Aut_Ajustes_Manuais!$I:$I,DRE!AO$4,Aut_Ajustes_Manuais!$F:$F,"Assessoria Jurídica")</f>
        <v>-2200</v>
      </c>
      <c r="AR285" s="237">
        <f t="shared" ca="1" si="255"/>
        <v>0</v>
      </c>
      <c r="AS285" s="26">
        <f t="shared" ca="1" si="256"/>
        <v>-2100</v>
      </c>
      <c r="AT285" s="27">
        <f t="shared" ca="1" si="257"/>
        <v>-19100</v>
      </c>
      <c r="AU285" s="237">
        <f t="shared" si="258"/>
        <v>0</v>
      </c>
      <c r="AV285" s="26">
        <f t="shared" si="258"/>
        <v>-10500</v>
      </c>
      <c r="AW285" s="27">
        <f t="shared" si="258"/>
        <v>-27900</v>
      </c>
      <c r="AX285" s="237">
        <f t="shared" si="259"/>
        <v>0</v>
      </c>
      <c r="AY285" s="26">
        <f t="shared" si="259"/>
        <v>0</v>
      </c>
      <c r="AZ285" s="27">
        <f t="shared" si="259"/>
        <v>-6300</v>
      </c>
      <c r="BA285" s="237">
        <f t="shared" si="260"/>
        <v>0</v>
      </c>
      <c r="BB285" s="26">
        <f t="shared" si="260"/>
        <v>0</v>
      </c>
      <c r="BC285" s="27">
        <f t="shared" si="260"/>
        <v>-6300</v>
      </c>
      <c r="BD285" s="237">
        <f t="shared" si="261"/>
        <v>0</v>
      </c>
      <c r="BE285" s="26">
        <f t="shared" si="261"/>
        <v>-4200</v>
      </c>
      <c r="BF285" s="27">
        <f t="shared" si="261"/>
        <v>-8700</v>
      </c>
      <c r="BG285" s="237">
        <f t="shared" si="262"/>
        <v>0</v>
      </c>
      <c r="BH285" s="26">
        <f t="shared" si="262"/>
        <v>-6300</v>
      </c>
      <c r="BI285" s="27">
        <f t="shared" si="262"/>
        <v>-6600</v>
      </c>
      <c r="BJ285" s="454"/>
    </row>
    <row r="286" spans="1:62" s="28" customFormat="1" hidden="1" outlineLevel="1" x14ac:dyDescent="0.3">
      <c r="A286" s="21" t="s">
        <v>313</v>
      </c>
      <c r="B286" s="22"/>
      <c r="C286" s="23" t="s">
        <v>67</v>
      </c>
      <c r="D286" s="112"/>
      <c r="E286" s="118"/>
      <c r="F286" s="54"/>
      <c r="G286" s="32"/>
      <c r="H286" s="237"/>
      <c r="I286" s="26">
        <f>-SUMIFS(T_ORCAMENTOS!$E:$E,T_ORCAMENTOS!$C:$C,"Assessoria de Alimentos e Bebidas",T_ORCAMENTOS!$H:$H,"1/2026")</f>
        <v>0</v>
      </c>
      <c r="J286" s="27">
        <f>SUMIFS(Aut_BlueMe_Sem_Pedido!$J:$J,Aut_BlueMe_Sem_Pedido!$Q:$Q,DRE!H$4,Aut_BlueMe_Sem_Pedido!$H:$H,DRE!$A286)+SUMIFS(Aut_Ajustes_Manuais!$G:$G,Aut_Ajustes_Manuais!$I:$I,DRE!H$4,Aut_Ajustes_Manuais!$F:$F,"Assessoria de Alimentos e Bebidas")</f>
        <v>-10000</v>
      </c>
      <c r="K286" s="237"/>
      <c r="L286" s="26">
        <f>-SUMIFS(T_ORCAMENTOS!$E:$E,T_ORCAMENTOS!$C:$C,"Assessoria de Alimentos e Bebidas",T_ORCAMENTOS!$H:$H,"2/2026")</f>
        <v>0</v>
      </c>
      <c r="M286" s="27">
        <f>SUMIFS(Aut_BlueMe_Sem_Pedido!$J:$J,Aut_BlueMe_Sem_Pedido!$Q:$Q,DRE!K$4,Aut_BlueMe_Sem_Pedido!$H:$H,DRE!$A286)+SUMIFS(Aut_Ajustes_Manuais!$G:$G,Aut_Ajustes_Manuais!$I:$I,DRE!K$4,Aut_Ajustes_Manuais!$F:$F,"Assessoria de Alimentos e Bebidas")</f>
        <v>-10000</v>
      </c>
      <c r="N286" s="237"/>
      <c r="O286" s="26">
        <f>-SUMIFS(T_ORCAMENTOS!$E:$E,T_ORCAMENTOS!$C:$C,"Assessoria de Alimentos e Bebidas",T_ORCAMENTOS!$H:$H,"3/2026")</f>
        <v>0</v>
      </c>
      <c r="P286" s="27">
        <f>SUMIFS(Aut_BlueMe_Sem_Pedido!$J:$J,Aut_BlueMe_Sem_Pedido!$Q:$Q,DRE!N$4,Aut_BlueMe_Sem_Pedido!$H:$H,DRE!$A286)+SUMIFS(Aut_Ajustes_Manuais!$G:$G,Aut_Ajustes_Manuais!$I:$I,DRE!N$4,Aut_Ajustes_Manuais!$F:$F,"Assessoria de Alimentos e Bebidas")</f>
        <v>-10000</v>
      </c>
      <c r="Q286" s="237"/>
      <c r="R286" s="26">
        <f>-SUMIFS(T_ORCAMENTOS!$E:$E,T_ORCAMENTOS!$C:$C,"Assessoria de Alimentos e Bebidas",T_ORCAMENTOS!$H:$H,"4/2026")</f>
        <v>0</v>
      </c>
      <c r="S286" s="27">
        <f>SUMIFS(Aut_BlueMe_Sem_Pedido!$J:$J,Aut_BlueMe_Sem_Pedido!$Q:$Q,DRE!Q$4,Aut_BlueMe_Sem_Pedido!$H:$H,DRE!$A286)+SUMIFS(Aut_Ajustes_Manuais!$G:$G,Aut_Ajustes_Manuais!$I:$I,DRE!Q$4,Aut_Ajustes_Manuais!$F:$F,"Assessoria de Alimentos e Bebidas")</f>
        <v>-10000</v>
      </c>
      <c r="T286" s="237"/>
      <c r="U286" s="26">
        <f>-SUMIFS(T_ORCAMENTOS!$E:$E,T_ORCAMENTOS!$C:$C,"Assessoria de Alimentos e Bebidas",T_ORCAMENTOS!$H:$H,"5/2026")</f>
        <v>0</v>
      </c>
      <c r="V286" s="26">
        <f>SUMIFS(Aut_BlueMe_Sem_Pedido!$J:$J,Aut_BlueMe_Sem_Pedido!$Q:$Q,DRE!T$4,Aut_BlueMe_Sem_Pedido!$H:$H,DRE!$A286)+SUMIFS(Aut_Ajustes_Manuais!$G:$G,Aut_Ajustes_Manuais!$I:$I,DRE!T$4,Aut_Ajustes_Manuais!$F:$F,"Assessoria de Alimentos e Bebidas")</f>
        <v>-10000</v>
      </c>
      <c r="W286" s="237"/>
      <c r="X286" s="26">
        <f>-SUMIFS(T_ORCAMENTOS!$E:$E,T_ORCAMENTOS!$C:$C,"Assessoria de Alimentos e Bebidas",T_ORCAMENTOS!$H:$H,"6/2026")</f>
        <v>0</v>
      </c>
      <c r="Y286" s="27">
        <f>SUMIFS(Aut_BlueMe_Sem_Pedido!$J:$J,Aut_BlueMe_Sem_Pedido!$Q:$Q,DRE!W$4,Aut_BlueMe_Sem_Pedido!$H:$H,DRE!$A286)+SUMIFS(Aut_Ajustes_Manuais!$G:$G,Aut_Ajustes_Manuais!$I:$I,DRE!W$4,Aut_Ajustes_Manuais!$F:$F,"Assessoria de Alimentos e Bebidas")</f>
        <v>-10000</v>
      </c>
      <c r="Z286" s="237"/>
      <c r="AA286" s="26">
        <f>-SUMIFS(T_ORCAMENTOS!$E:$E,T_ORCAMENTOS!$C:$C,"Assessoria de Alimentos e Bebidas",T_ORCAMENTOS!$H:$H,"7/2026")</f>
        <v>0</v>
      </c>
      <c r="AB286" s="27">
        <f>SUMIFS(Aut_BlueMe_Sem_Pedido!$J:$J,Aut_BlueMe_Sem_Pedido!$Q:$Q,DRE!Z$4,Aut_BlueMe_Sem_Pedido!$H:$H,DRE!$A286)+SUMIFS(Aut_Ajustes_Manuais!$G:$G,Aut_Ajustes_Manuais!$I:$I,DRE!Z$4,Aut_Ajustes_Manuais!$F:$F,"Assessoria de Alimentos e Bebidas")</f>
        <v>-10000</v>
      </c>
      <c r="AC286" s="237"/>
      <c r="AD286" s="26">
        <f>-SUMIFS(T_ORCAMENTOS!$E:$E,T_ORCAMENTOS!$C:$C,"Assessoria de Alimentos e Bebidas",T_ORCAMENTOS!$H:$H,"8/2026")</f>
        <v>-12528</v>
      </c>
      <c r="AE286" s="27">
        <f>SUMIFS(Aut_BlueMe_Sem_Pedido!$J:$J,Aut_BlueMe_Sem_Pedido!$Q:$Q,DRE!AC$4,Aut_BlueMe_Sem_Pedido!$H:$H,DRE!$A286)+SUMIFS(Aut_Ajustes_Manuais!$G:$G,Aut_Ajustes_Manuais!$I:$I,DRE!AC$4,Aut_Ajustes_Manuais!$F:$F,"Assessoria de Alimentos e Bebidas")</f>
        <v>-10000</v>
      </c>
      <c r="AF286" s="237"/>
      <c r="AG286" s="26">
        <f>-SUMIFS(T_ORCAMENTOS!$E:$E,T_ORCAMENTOS!$C:$C,"Assessoria de Alimentos e Bebidas",T_ORCAMENTOS!$H:$H,"9/2026")</f>
        <v>-12528</v>
      </c>
      <c r="AH286" s="27">
        <f>SUMIFS(Aut_BlueMe_Sem_Pedido!$J:$J,Aut_BlueMe_Sem_Pedido!$Q:$Q,DRE!AF$4,Aut_BlueMe_Sem_Pedido!$H:$H,DRE!$A286)+SUMIFS(Aut_Ajustes_Manuais!$G:$G,Aut_Ajustes_Manuais!$I:$I,DRE!AF$4,Aut_Ajustes_Manuais!$F:$F,"Assessoria de Alimentos e Bebidas")</f>
        <v>-10000</v>
      </c>
      <c r="AI286" s="237"/>
      <c r="AJ286" s="26">
        <f>-SUMIFS(T_ORCAMENTOS!$E:$E,T_ORCAMENTOS!$C:$C,"Assessoria de Alimentos e Bebidas",T_ORCAMENTOS!$H:$H,"10/2026")</f>
        <v>-12528</v>
      </c>
      <c r="AK286" s="27">
        <f>SUMIFS(Aut_BlueMe_Sem_Pedido!$J:$J,Aut_BlueMe_Sem_Pedido!$Q:$Q,DRE!AI$4,Aut_BlueMe_Sem_Pedido!$H:$H,DRE!$A286)+SUMIFS(Aut_Ajustes_Manuais!$G:$G,Aut_Ajustes_Manuais!$I:$I,DRE!AI$4,Aut_Ajustes_Manuais!$F:$F,"Assessoria de Alimentos e Bebidas")</f>
        <v>-10000</v>
      </c>
      <c r="AL286" s="237"/>
      <c r="AM286" s="26">
        <f>-SUMIFS(T_ORCAMENTOS!$E:$E,T_ORCAMENTOS!$C:$C,"Assessoria de Alimentos e Bebidas",T_ORCAMENTOS!$H:$H,"11/2026")</f>
        <v>-12528</v>
      </c>
      <c r="AN286" s="27">
        <f>SUMIFS(Aut_BlueMe_Sem_Pedido!$J:$J,Aut_BlueMe_Sem_Pedido!$Q:$Q,DRE!AL$4,Aut_BlueMe_Sem_Pedido!$H:$H,DRE!$A286)+SUMIFS(Aut_Ajustes_Manuais!$G:$G,Aut_Ajustes_Manuais!$I:$I,DRE!AL$4,Aut_Ajustes_Manuais!$F:$F,"Assessoria de Alimentos e Bebidas")</f>
        <v>-10000</v>
      </c>
      <c r="AO286" s="237"/>
      <c r="AP286" s="26">
        <f>-SUMIFS(T_ORCAMENTOS!$E:$E,T_ORCAMENTOS!$C:$C,"Assessoria de Alimentos e Bebidas",T_ORCAMENTOS!$H:$H,"12/2026")</f>
        <v>-12528</v>
      </c>
      <c r="AQ286" s="27">
        <f>SUMIFS(Aut_BlueMe_Sem_Pedido!$J:$J,Aut_BlueMe_Sem_Pedido!$Q:$Q,DRE!AO$4,Aut_BlueMe_Sem_Pedido!$H:$H,DRE!$A286)+SUMIFS(Aut_Ajustes_Manuais!$G:$G,Aut_Ajustes_Manuais!$I:$I,DRE!AO$4,Aut_Ajustes_Manuais!$F:$F,"Assessoria de Alimentos e Bebidas")</f>
        <v>-10000</v>
      </c>
      <c r="AR286" s="237">
        <f t="shared" ca="1" si="255"/>
        <v>0</v>
      </c>
      <c r="AS286" s="26">
        <f t="shared" ca="1" si="256"/>
        <v>-12528</v>
      </c>
      <c r="AT286" s="27">
        <f t="shared" ca="1" si="257"/>
        <v>-80000</v>
      </c>
      <c r="AU286" s="237">
        <f t="shared" si="258"/>
        <v>0</v>
      </c>
      <c r="AV286" s="26">
        <f t="shared" si="258"/>
        <v>-62640</v>
      </c>
      <c r="AW286" s="27">
        <f t="shared" si="258"/>
        <v>-120000</v>
      </c>
      <c r="AX286" s="237">
        <f t="shared" si="259"/>
        <v>0</v>
      </c>
      <c r="AY286" s="26">
        <f t="shared" si="259"/>
        <v>0</v>
      </c>
      <c r="AZ286" s="27">
        <f t="shared" si="259"/>
        <v>-30000</v>
      </c>
      <c r="BA286" s="237">
        <f t="shared" si="260"/>
        <v>0</v>
      </c>
      <c r="BB286" s="26">
        <f t="shared" si="260"/>
        <v>0</v>
      </c>
      <c r="BC286" s="27">
        <f t="shared" si="260"/>
        <v>-30000</v>
      </c>
      <c r="BD286" s="237">
        <f t="shared" si="261"/>
        <v>0</v>
      </c>
      <c r="BE286" s="26">
        <f t="shared" si="261"/>
        <v>-25056</v>
      </c>
      <c r="BF286" s="27">
        <f t="shared" si="261"/>
        <v>-30000</v>
      </c>
      <c r="BG286" s="237">
        <f t="shared" si="262"/>
        <v>0</v>
      </c>
      <c r="BH286" s="26">
        <f t="shared" si="262"/>
        <v>-37584</v>
      </c>
      <c r="BI286" s="27">
        <f t="shared" si="262"/>
        <v>-30000</v>
      </c>
      <c r="BJ286" s="454"/>
    </row>
    <row r="287" spans="1:62" s="28" customFormat="1" hidden="1" outlineLevel="1" x14ac:dyDescent="0.3">
      <c r="A287" s="21" t="s">
        <v>314</v>
      </c>
      <c r="B287" s="22"/>
      <c r="C287" s="23" t="s">
        <v>67</v>
      </c>
      <c r="D287" s="112"/>
      <c r="E287" s="118"/>
      <c r="F287" s="54"/>
      <c r="G287" s="32"/>
      <c r="H287" s="237"/>
      <c r="I287" s="26">
        <f>-SUMIFS(T_ORCAMENTOS!$E:$E,T_ORCAMENTOS!$C:$C,"Assessoria de Projetos",T_ORCAMENTOS!$H:$H,"1/2026")</f>
        <v>0</v>
      </c>
      <c r="J287" s="27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37"/>
      <c r="L287" s="26">
        <f>-SUMIFS(T_ORCAMENTOS!$E:$E,T_ORCAMENTOS!$C:$C,"Assessoria de Projetos",T_ORCAMENTOS!$H:$H,"2/2026")</f>
        <v>0</v>
      </c>
      <c r="M287" s="27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37"/>
      <c r="O287" s="26">
        <f>-SUMIFS(T_ORCAMENTOS!$E:$E,T_ORCAMENTOS!$C:$C,"Assessoria de Projetos",T_ORCAMENTOS!$H:$H,"3/2026")</f>
        <v>0</v>
      </c>
      <c r="P287" s="27">
        <f>SUMIFS(Aut_BlueMe_Sem_Pedido!$J:$J,Aut_BlueMe_Sem_Pedido!$Q:$Q,DRE!N$4,Aut_BlueMe_Sem_Pedido!$H:$H,DRE!$A287)+SUMIFS(Aut_Ajustes_Manuais!$G:$G,Aut_Ajustes_Manuais!$I:$I,DRE!N$4,Aut_Ajustes_Manuais!$F:$F,"Assessoria de Projetos")</f>
        <v>0</v>
      </c>
      <c r="Q287" s="237"/>
      <c r="R287" s="26">
        <f>-SUMIFS(T_ORCAMENTOS!$E:$E,T_ORCAMENTOS!$C:$C,"Assessoria de Projetos",T_ORCAMENTOS!$H:$H,"4/2026")</f>
        <v>0</v>
      </c>
      <c r="S287" s="27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37"/>
      <c r="U287" s="26">
        <f>-SUMIFS(T_ORCAMENTOS!$E:$E,T_ORCAMENTOS!$C:$C,"Assessoria de Projetos",T_ORCAMENTOS!$H:$H,"5/2026")</f>
        <v>0</v>
      </c>
      <c r="V287" s="27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37"/>
      <c r="X287" s="26">
        <f>-SUMIFS(T_ORCAMENTOS!$E:$E,T_ORCAMENTOS!$C:$C,"Assessoria de Projetos",T_ORCAMENTOS!$H:$H,"6/2026")</f>
        <v>0</v>
      </c>
      <c r="Y287" s="27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37"/>
      <c r="AA287" s="26">
        <f>-SUMIFS(T_ORCAMENTOS!$E:$E,T_ORCAMENTOS!$C:$C,"Assessoria de Projetos",T_ORCAMENTOS!$H:$H,"7/2026")</f>
        <v>0</v>
      </c>
      <c r="AB287" s="27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37"/>
      <c r="AD287" s="26">
        <f>-SUMIFS(T_ORCAMENTOS!$E:$E,T_ORCAMENTOS!$C:$C,"Assessoria de Projetos",T_ORCAMENTOS!$H:$H,"8/2026")</f>
        <v>0</v>
      </c>
      <c r="AE287" s="27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37"/>
      <c r="AG287" s="26">
        <f>-SUMIFS(T_ORCAMENTOS!$E:$E,T_ORCAMENTOS!$C:$C,"Assessoria de Projetos",T_ORCAMENTOS!$H:$H,"9/2026")</f>
        <v>0</v>
      </c>
      <c r="AH287" s="27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37"/>
      <c r="AJ287" s="26">
        <f>-SUMIFS(T_ORCAMENTOS!$E:$E,T_ORCAMENTOS!$C:$C,"Assessoria de Projetos",T_ORCAMENTOS!$H:$H,"10/2026")</f>
        <v>0</v>
      </c>
      <c r="AK287" s="27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37"/>
      <c r="AM287" s="26">
        <f>-SUMIFS(T_ORCAMENTOS!$E:$E,T_ORCAMENTOS!$C:$C,"Assessoria de Projetos",T_ORCAMENTOS!$H:$H,"11/2026")</f>
        <v>0</v>
      </c>
      <c r="AN287" s="27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37"/>
      <c r="AP287" s="26">
        <f>-SUMIFS(T_ORCAMENTOS!$E:$E,T_ORCAMENTOS!$C:$C,"Assessoria de Projetos",T_ORCAMENTOS!$H:$H,"12/2026")</f>
        <v>0</v>
      </c>
      <c r="AQ287" s="27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37">
        <f t="shared" ca="1" si="255"/>
        <v>0</v>
      </c>
      <c r="AS287" s="26">
        <f t="shared" ca="1" si="256"/>
        <v>0</v>
      </c>
      <c r="AT287" s="27">
        <f t="shared" ca="1" si="257"/>
        <v>0</v>
      </c>
      <c r="AU287" s="237">
        <f t="shared" si="258"/>
        <v>0</v>
      </c>
      <c r="AV287" s="26">
        <f t="shared" si="258"/>
        <v>0</v>
      </c>
      <c r="AW287" s="27">
        <f t="shared" si="258"/>
        <v>0</v>
      </c>
      <c r="AX287" s="237">
        <f t="shared" si="259"/>
        <v>0</v>
      </c>
      <c r="AY287" s="26">
        <f t="shared" si="259"/>
        <v>0</v>
      </c>
      <c r="AZ287" s="27">
        <f t="shared" si="259"/>
        <v>0</v>
      </c>
      <c r="BA287" s="237">
        <f t="shared" si="260"/>
        <v>0</v>
      </c>
      <c r="BB287" s="26">
        <f t="shared" si="260"/>
        <v>0</v>
      </c>
      <c r="BC287" s="27">
        <f t="shared" si="260"/>
        <v>0</v>
      </c>
      <c r="BD287" s="237">
        <f t="shared" si="261"/>
        <v>0</v>
      </c>
      <c r="BE287" s="26">
        <f t="shared" si="261"/>
        <v>0</v>
      </c>
      <c r="BF287" s="27">
        <f t="shared" si="261"/>
        <v>0</v>
      </c>
      <c r="BG287" s="237">
        <f t="shared" si="262"/>
        <v>0</v>
      </c>
      <c r="BH287" s="26">
        <f t="shared" si="262"/>
        <v>0</v>
      </c>
      <c r="BI287" s="27">
        <f t="shared" si="262"/>
        <v>0</v>
      </c>
      <c r="BJ287" s="454"/>
    </row>
    <row r="288" spans="1:62" s="28" customFormat="1" hidden="1" outlineLevel="1" x14ac:dyDescent="0.3">
      <c r="A288" s="21" t="s">
        <v>315</v>
      </c>
      <c r="B288" s="22"/>
      <c r="C288" s="23" t="s">
        <v>60</v>
      </c>
      <c r="D288" s="117">
        <v>-21160</v>
      </c>
      <c r="E288" s="119"/>
      <c r="F288" s="54"/>
      <c r="G288" s="32"/>
      <c r="H288" s="237"/>
      <c r="I288" s="26">
        <f>-SUMIFS(T_ORCAMENTOS!$E:$E,T_ORCAMENTOS!$C:$C,"Serviços de Segurança",T_ORCAMENTOS!$H:$H,"1/2026")</f>
        <v>0</v>
      </c>
      <c r="J288" s="27">
        <f>SUMIFS(Aut_BlueMe_Sem_Pedido!$J:$J,Aut_BlueMe_Sem_Pedido!$Q:$Q,DRE!H$4,Aut_BlueMe_Sem_Pedido!$H:$H,DRE!$A288)+SUMIFS(Aut_Ajustes_Manuais!$G:$G,Aut_Ajustes_Manuais!$I:$I,DRE!H$4,Aut_Ajustes_Manuais!$F:$F,"Serviços de Segurança")</f>
        <v>-9000</v>
      </c>
      <c r="K288" s="237"/>
      <c r="L288" s="26">
        <f>-SUMIFS(T_ORCAMENTOS!$E:$E,T_ORCAMENTOS!$C:$C,"Serviços de Segurança",T_ORCAMENTOS!$H:$H,"2/2026")</f>
        <v>0</v>
      </c>
      <c r="M288" s="26">
        <f>SUMIFS(Aut_BlueMe_Sem_Pedido!$J:$J,Aut_BlueMe_Sem_Pedido!$Q:$Q,DRE!K$4,Aut_BlueMe_Sem_Pedido!$H:$H,DRE!$A288)+SUMIFS(Aut_Ajustes_Manuais!$G:$G,Aut_Ajustes_Manuais!$I:$I,DRE!K$4,Aut_Ajustes_Manuais!$F:$F,"Serviços de Segurança")</f>
        <v>-6840</v>
      </c>
      <c r="N288" s="237"/>
      <c r="O288" s="26">
        <f>-SUMIFS(T_ORCAMENTOS!$E:$E,T_ORCAMENTOS!$C:$C,"Serviços de Segurança",T_ORCAMENTOS!$H:$H,"3/2026")</f>
        <v>0</v>
      </c>
      <c r="P288" s="26">
        <f>SUMIFS(Aut_BlueMe_Sem_Pedido!$J:$J,Aut_BlueMe_Sem_Pedido!$Q:$Q,DRE!N$4,Aut_BlueMe_Sem_Pedido!$H:$H,DRE!$A288)+SUMIFS(Aut_Ajustes_Manuais!$G:$G,Aut_Ajustes_Manuais!$I:$I,DRE!N$4,Aut_Ajustes_Manuais!$F:$F,"Serviços de Segurança")</f>
        <v>0</v>
      </c>
      <c r="Q288" s="237"/>
      <c r="R288" s="26">
        <f>-SUMIFS(T_ORCAMENTOS!$E:$E,T_ORCAMENTOS!$C:$C,"Serviços de Segurança",T_ORCAMENTOS!$H:$H,"4/2026")</f>
        <v>0</v>
      </c>
      <c r="S288" s="26">
        <f>SUMIFS(Aut_BlueMe_Sem_Pedido!$J:$J,Aut_BlueMe_Sem_Pedido!$Q:$Q,DRE!Q$4,Aut_BlueMe_Sem_Pedido!$H:$H,DRE!$A288)+SUMIFS(Aut_Ajustes_Manuais!$G:$G,Aut_Ajustes_Manuais!$I:$I,DRE!Q$4,Aut_Ajustes_Manuais!$F:$F,"Serviços de Segurança")</f>
        <v>0</v>
      </c>
      <c r="T288" s="237"/>
      <c r="U288" s="26">
        <f>-SUMIFS(T_ORCAMENTOS!$E:$E,T_ORCAMENTOS!$C:$C,"Serviços de Segurança",T_ORCAMENTOS!$H:$H,"5/2026")</f>
        <v>0</v>
      </c>
      <c r="V288" s="27">
        <f>SUMIFS(Aut_BlueMe_Sem_Pedido!$J:$J,Aut_BlueMe_Sem_Pedido!$Q:$Q,DRE!T$4,Aut_BlueMe_Sem_Pedido!$H:$H,DRE!$A288)+SUMIFS(Aut_Ajustes_Manuais!$G:$G,Aut_Ajustes_Manuais!$I:$I,DRE!T$4,Aut_Ajustes_Manuais!$F:$F,"Serviços de Segurança")</f>
        <v>0</v>
      </c>
      <c r="W288" s="237"/>
      <c r="X288" s="26">
        <f>-SUMIFS(T_ORCAMENTOS!$E:$E,T_ORCAMENTOS!$C:$C,"Serviços de Segurança",T_ORCAMENTOS!$H:$H,"6/2026")</f>
        <v>0</v>
      </c>
      <c r="Y288" s="27">
        <f>SUMIFS(Aut_BlueMe_Sem_Pedido!$J:$J,Aut_BlueMe_Sem_Pedido!$Q:$Q,DRE!W$4,Aut_BlueMe_Sem_Pedido!$H:$H,DRE!$A288)+SUMIFS(Aut_Ajustes_Manuais!$G:$G,Aut_Ajustes_Manuais!$I:$I,DRE!W$4,Aut_Ajustes_Manuais!$F:$F,"Serviços de Segurança")</f>
        <v>0</v>
      </c>
      <c r="Z288" s="237"/>
      <c r="AA288" s="26">
        <f>-SUMIFS(T_ORCAMENTOS!$E:$E,T_ORCAMENTOS!$C:$C,"Serviços de Segurança",T_ORCAMENTOS!$H:$H,"7/2026")</f>
        <v>0</v>
      </c>
      <c r="AB288" s="27">
        <f>SUMIFS(Aut_BlueMe_Sem_Pedido!$J:$J,Aut_BlueMe_Sem_Pedido!$Q:$Q,DRE!Z$4,Aut_BlueMe_Sem_Pedido!$H:$H,DRE!$A288)+SUMIFS(Aut_Ajustes_Manuais!$G:$G,Aut_Ajustes_Manuais!$I:$I,DRE!Z$4,Aut_Ajustes_Manuais!$F:$F,"Serviços de Segurança")</f>
        <v>-24890</v>
      </c>
      <c r="AC288" s="237"/>
      <c r="AD288" s="26">
        <f>-SUMIFS(T_ORCAMENTOS!$E:$E,T_ORCAMENTOS!$C:$C,"Serviços de Segurança",T_ORCAMENTOS!$H:$H,"8/2026")</f>
        <v>-34200</v>
      </c>
      <c r="AE288" s="27">
        <f>SUMIFS(Aut_BlueMe_Sem_Pedido!$J:$J,Aut_BlueMe_Sem_Pedido!$Q:$Q,DRE!AC$4,Aut_BlueMe_Sem_Pedido!$H:$H,DRE!$A288)+SUMIFS(Aut_Ajustes_Manuais!$G:$G,Aut_Ajustes_Manuais!$I:$I,DRE!AC$4,Aut_Ajustes_Manuais!$F:$F,"Serviços de Segurança")</f>
        <v>0</v>
      </c>
      <c r="AF288" s="237"/>
      <c r="AG288" s="26">
        <f>-SUMIFS(T_ORCAMENTOS!$E:$E,T_ORCAMENTOS!$C:$C,"Serviços de Segurança",T_ORCAMENTOS!$H:$H,"9/2026")</f>
        <v>-34200</v>
      </c>
      <c r="AH288" s="27">
        <f>SUMIFS(Aut_BlueMe_Sem_Pedido!$J:$J,Aut_BlueMe_Sem_Pedido!$Q:$Q,DRE!AF$4,Aut_BlueMe_Sem_Pedido!$H:$H,DRE!$A288)+SUMIFS(Aut_Ajustes_Manuais!$G:$G,Aut_Ajustes_Manuais!$I:$I,DRE!AF$4,Aut_Ajustes_Manuais!$F:$F,"Serviços de Segurança")</f>
        <v>0</v>
      </c>
      <c r="AI288" s="237"/>
      <c r="AJ288" s="26">
        <f>-SUMIFS(T_ORCAMENTOS!$E:$E,T_ORCAMENTOS!$C:$C,"Serviços de Segurança",T_ORCAMENTOS!$H:$H,"10/2026")</f>
        <v>-34200</v>
      </c>
      <c r="AK288" s="27">
        <f>SUMIFS(Aut_BlueMe_Sem_Pedido!$J:$J,Aut_BlueMe_Sem_Pedido!$Q:$Q,DRE!AI$4,Aut_BlueMe_Sem_Pedido!$H:$H,DRE!$A288)+SUMIFS(Aut_Ajustes_Manuais!$G:$G,Aut_Ajustes_Manuais!$I:$I,DRE!AI$4,Aut_Ajustes_Manuais!$F:$F,"Serviços de Segurança")</f>
        <v>0</v>
      </c>
      <c r="AL288" s="237"/>
      <c r="AM288" s="26">
        <f>-SUMIFS(T_ORCAMENTOS!$E:$E,T_ORCAMENTOS!$C:$C,"Serviços de Segurança",T_ORCAMENTOS!$H:$H,"11/2026")</f>
        <v>-34200</v>
      </c>
      <c r="AN288" s="27">
        <f>SUMIFS(Aut_BlueMe_Sem_Pedido!$J:$J,Aut_BlueMe_Sem_Pedido!$Q:$Q,DRE!AL$4,Aut_BlueMe_Sem_Pedido!$H:$H,DRE!$A288)+SUMIFS(Aut_Ajustes_Manuais!$G:$G,Aut_Ajustes_Manuais!$I:$I,DRE!AL$4,Aut_Ajustes_Manuais!$F:$F,"Serviços de Segurança")</f>
        <v>0</v>
      </c>
      <c r="AO288" s="237"/>
      <c r="AP288" s="26">
        <f>-SUMIFS(T_ORCAMENTOS!$E:$E,T_ORCAMENTOS!$C:$C,"Serviços de Segurança",T_ORCAMENTOS!$H:$H,"12/2026")</f>
        <v>-34200</v>
      </c>
      <c r="AQ288" s="27">
        <f>SUMIFS(Aut_BlueMe_Sem_Pedido!$J:$J,Aut_BlueMe_Sem_Pedido!$Q:$Q,DRE!AO$4,Aut_BlueMe_Sem_Pedido!$H:$H,DRE!$A288)+SUMIFS(Aut_Ajustes_Manuais!$G:$G,Aut_Ajustes_Manuais!$I:$I,DRE!AO$4,Aut_Ajustes_Manuais!$F:$F,"Serviços de Segurança")</f>
        <v>0</v>
      </c>
      <c r="AR288" s="237">
        <f t="shared" ca="1" si="255"/>
        <v>0</v>
      </c>
      <c r="AS288" s="26">
        <f t="shared" ca="1" si="256"/>
        <v>-34200</v>
      </c>
      <c r="AT288" s="27">
        <f t="shared" ca="1" si="257"/>
        <v>-40730</v>
      </c>
      <c r="AU288" s="237">
        <f t="shared" si="258"/>
        <v>0</v>
      </c>
      <c r="AV288" s="26">
        <f t="shared" si="258"/>
        <v>-171000</v>
      </c>
      <c r="AW288" s="27">
        <f t="shared" si="258"/>
        <v>-40730</v>
      </c>
      <c r="AX288" s="237">
        <f t="shared" si="259"/>
        <v>0</v>
      </c>
      <c r="AY288" s="26">
        <f t="shared" si="259"/>
        <v>0</v>
      </c>
      <c r="AZ288" s="27">
        <f t="shared" si="259"/>
        <v>-15840</v>
      </c>
      <c r="BA288" s="237">
        <f t="shared" si="260"/>
        <v>0</v>
      </c>
      <c r="BB288" s="26">
        <f t="shared" si="260"/>
        <v>0</v>
      </c>
      <c r="BC288" s="27">
        <f t="shared" si="260"/>
        <v>0</v>
      </c>
      <c r="BD288" s="237">
        <f t="shared" si="261"/>
        <v>0</v>
      </c>
      <c r="BE288" s="26">
        <f t="shared" si="261"/>
        <v>-68400</v>
      </c>
      <c r="BF288" s="27">
        <f t="shared" si="261"/>
        <v>-24890</v>
      </c>
      <c r="BG288" s="237">
        <f t="shared" si="262"/>
        <v>0</v>
      </c>
      <c r="BH288" s="26">
        <f t="shared" si="262"/>
        <v>-102600</v>
      </c>
      <c r="BI288" s="27">
        <f t="shared" si="262"/>
        <v>0</v>
      </c>
      <c r="BJ288" s="454"/>
    </row>
    <row r="289" spans="1:62" s="28" customFormat="1" hidden="1" outlineLevel="1" x14ac:dyDescent="0.3">
      <c r="A289" s="21" t="s">
        <v>316</v>
      </c>
      <c r="B289" s="22"/>
      <c r="C289" s="23" t="s">
        <v>60</v>
      </c>
      <c r="D289" s="117"/>
      <c r="E289" s="119"/>
      <c r="F289" s="54"/>
      <c r="G289" s="32"/>
      <c r="H289" s="237"/>
      <c r="I289" s="26">
        <f>-SUMIFS(T_ORCAMENTOS!$E:$E,T_ORCAMENTOS!$C:$C,"Valet/Motoboy",T_ORCAMENTOS!$H:$H,"1/2026")</f>
        <v>0</v>
      </c>
      <c r="J289" s="27"/>
      <c r="K289" s="237"/>
      <c r="L289" s="26">
        <f>-SUMIFS(T_ORCAMENTOS!$E:$E,T_ORCAMENTOS!$C:$C,"Valet/Motoboy",T_ORCAMENTOS!$H:$H,"2/2026")</f>
        <v>0</v>
      </c>
      <c r="M289" s="27"/>
      <c r="N289" s="237"/>
      <c r="O289" s="26">
        <f>-SUMIFS(T_ORCAMENTOS!$E:$E,T_ORCAMENTOS!$C:$C,"Valet/Motoboy",T_ORCAMENTOS!$H:$H,"3/2026")</f>
        <v>0</v>
      </c>
      <c r="P289" s="27"/>
      <c r="Q289" s="237"/>
      <c r="R289" s="26">
        <f>-SUMIFS(T_ORCAMENTOS!$E:$E,T_ORCAMENTOS!$C:$C,"Valet/Motoboy",T_ORCAMENTOS!$H:$H,"4/2026")</f>
        <v>0</v>
      </c>
      <c r="S289" s="27"/>
      <c r="T289" s="237"/>
      <c r="U289" s="26">
        <f>-SUMIFS(T_ORCAMENTOS!$E:$E,T_ORCAMENTOS!$C:$C,"Valet/Motoboy",T_ORCAMENTOS!$H:$H,"5/2026")</f>
        <v>0</v>
      </c>
      <c r="V289" s="27"/>
      <c r="W289" s="237"/>
      <c r="X289" s="26">
        <f>-SUMIFS(T_ORCAMENTOS!$E:$E,T_ORCAMENTOS!$C:$C,"Valet/Motoboy",T_ORCAMENTOS!$H:$H,"6/2026")</f>
        <v>0</v>
      </c>
      <c r="Y289" s="27"/>
      <c r="Z289" s="237"/>
      <c r="AA289" s="26">
        <f>-SUMIFS(T_ORCAMENTOS!$E:$E,T_ORCAMENTOS!$C:$C,"Valet/Motoboy",T_ORCAMENTOS!$H:$H,"7/2026")</f>
        <v>0</v>
      </c>
      <c r="AB289" s="27"/>
      <c r="AC289" s="237"/>
      <c r="AD289" s="26">
        <f>-SUMIFS(T_ORCAMENTOS!$E:$E,T_ORCAMENTOS!$C:$C,"Valet/Motoboy",T_ORCAMENTOS!$H:$H,"8/2026")</f>
        <v>0</v>
      </c>
      <c r="AE289" s="27"/>
      <c r="AF289" s="237"/>
      <c r="AG289" s="26">
        <f>-SUMIFS(T_ORCAMENTOS!$E:$E,T_ORCAMENTOS!$C:$C,"Valet/Motoboy",T_ORCAMENTOS!$H:$H,"9/2026")</f>
        <v>0</v>
      </c>
      <c r="AH289" s="27"/>
      <c r="AI289" s="237"/>
      <c r="AJ289" s="26">
        <f>-SUMIFS(T_ORCAMENTOS!$E:$E,T_ORCAMENTOS!$C:$C,"Valet/Motoboy",T_ORCAMENTOS!$H:$H,"10/2026")</f>
        <v>0</v>
      </c>
      <c r="AK289" s="27"/>
      <c r="AL289" s="237"/>
      <c r="AM289" s="26">
        <f>-SUMIFS(T_ORCAMENTOS!$E:$E,T_ORCAMENTOS!$C:$C,"Valet/Motoboy",T_ORCAMENTOS!$H:$H,"11/2026")</f>
        <v>0</v>
      </c>
      <c r="AN289" s="27"/>
      <c r="AO289" s="237"/>
      <c r="AP289" s="26">
        <f>-SUMIFS(T_ORCAMENTOS!$E:$E,T_ORCAMENTOS!$C:$C,"Valet/Motoboy",T_ORCAMENTOS!$H:$H,"12/2026")</f>
        <v>0</v>
      </c>
      <c r="AQ289" s="27"/>
      <c r="AR289" s="237">
        <f t="shared" ca="1" si="255"/>
        <v>0</v>
      </c>
      <c r="AS289" s="26">
        <f t="shared" ca="1" si="256"/>
        <v>0</v>
      </c>
      <c r="AT289" s="27">
        <f t="shared" ca="1" si="257"/>
        <v>0</v>
      </c>
      <c r="AU289" s="237"/>
      <c r="AV289" s="26"/>
      <c r="AW289" s="27"/>
      <c r="AX289" s="237"/>
      <c r="AY289" s="26">
        <v>0</v>
      </c>
      <c r="AZ289" s="27"/>
      <c r="BA289" s="237"/>
      <c r="BB289" s="26">
        <v>0</v>
      </c>
      <c r="BC289" s="27"/>
      <c r="BD289" s="237"/>
      <c r="BE289" s="26">
        <v>0</v>
      </c>
      <c r="BF289" s="27"/>
      <c r="BG289" s="237"/>
      <c r="BH289" s="26">
        <v>0</v>
      </c>
      <c r="BI289" s="27"/>
      <c r="BJ289" s="454"/>
    </row>
    <row r="290" spans="1:62" s="28" customFormat="1" hidden="1" outlineLevel="1" x14ac:dyDescent="0.3">
      <c r="A290" s="21"/>
      <c r="B290" s="22"/>
      <c r="C290" s="23"/>
      <c r="D290" s="117"/>
      <c r="E290" s="119"/>
      <c r="F290" s="54"/>
      <c r="G290" s="32"/>
      <c r="H290" s="237"/>
      <c r="I290" s="26"/>
      <c r="J290" s="27"/>
      <c r="K290" s="237"/>
      <c r="L290" s="26"/>
      <c r="M290" s="27"/>
      <c r="N290" s="237"/>
      <c r="O290" s="26"/>
      <c r="P290" s="27"/>
      <c r="Q290" s="237"/>
      <c r="R290" s="26"/>
      <c r="S290" s="27"/>
      <c r="T290" s="237"/>
      <c r="U290" s="26"/>
      <c r="V290" s="27"/>
      <c r="W290" s="237"/>
      <c r="X290" s="26"/>
      <c r="Y290" s="27"/>
      <c r="Z290" s="237"/>
      <c r="AA290" s="26"/>
      <c r="AB290" s="27"/>
      <c r="AC290" s="237"/>
      <c r="AD290" s="26"/>
      <c r="AE290" s="27"/>
      <c r="AF290" s="237"/>
      <c r="AG290" s="26"/>
      <c r="AH290" s="27"/>
      <c r="AI290" s="237"/>
      <c r="AJ290" s="26"/>
      <c r="AK290" s="27"/>
      <c r="AL290" s="237"/>
      <c r="AM290" s="26"/>
      <c r="AN290" s="27"/>
      <c r="AO290" s="237"/>
      <c r="AP290" s="26"/>
      <c r="AQ290" s="27"/>
      <c r="AR290" s="237">
        <f t="shared" ca="1" si="255"/>
        <v>0</v>
      </c>
      <c r="AS290" s="26">
        <f t="shared" ca="1" si="256"/>
        <v>0</v>
      </c>
      <c r="AT290" s="27">
        <f t="shared" ca="1" si="257"/>
        <v>0</v>
      </c>
      <c r="AU290" s="237"/>
      <c r="AV290" s="26"/>
      <c r="AW290" s="27"/>
      <c r="AX290" s="237"/>
      <c r="AY290" s="26">
        <v>0</v>
      </c>
      <c r="AZ290" s="27"/>
      <c r="BA290" s="237"/>
      <c r="BB290" s="26">
        <v>0</v>
      </c>
      <c r="BC290" s="27"/>
      <c r="BD290" s="237"/>
      <c r="BE290" s="26">
        <v>0</v>
      </c>
      <c r="BF290" s="27"/>
      <c r="BG290" s="237"/>
      <c r="BH290" s="26">
        <v>0</v>
      </c>
      <c r="BI290" s="27"/>
      <c r="BJ290" s="454"/>
    </row>
    <row r="291" spans="1:62" s="28" customFormat="1" hidden="1" outlineLevel="1" x14ac:dyDescent="0.3">
      <c r="A291" s="21"/>
      <c r="B291" s="22"/>
      <c r="C291" s="23"/>
      <c r="D291" s="117"/>
      <c r="E291" s="119"/>
      <c r="F291" s="54"/>
      <c r="G291" s="32"/>
      <c r="H291" s="237"/>
      <c r="I291" s="26"/>
      <c r="J291" s="27"/>
      <c r="K291" s="237"/>
      <c r="L291" s="26"/>
      <c r="M291" s="27"/>
      <c r="N291" s="237"/>
      <c r="O291" s="26"/>
      <c r="P291" s="27"/>
      <c r="Q291" s="237"/>
      <c r="R291" s="26"/>
      <c r="S291" s="27"/>
      <c r="T291" s="237"/>
      <c r="U291" s="26"/>
      <c r="V291" s="27"/>
      <c r="W291" s="237"/>
      <c r="X291" s="26"/>
      <c r="Y291" s="27"/>
      <c r="Z291" s="237"/>
      <c r="AA291" s="26"/>
      <c r="AB291" s="27"/>
      <c r="AC291" s="237"/>
      <c r="AD291" s="26"/>
      <c r="AE291" s="27"/>
      <c r="AF291" s="237"/>
      <c r="AG291" s="26"/>
      <c r="AH291" s="27"/>
      <c r="AI291" s="237"/>
      <c r="AJ291" s="26"/>
      <c r="AK291" s="27"/>
      <c r="AL291" s="237"/>
      <c r="AM291" s="26"/>
      <c r="AN291" s="27"/>
      <c r="AO291" s="237"/>
      <c r="AP291" s="26"/>
      <c r="AQ291" s="27"/>
      <c r="AR291" s="237">
        <f t="shared" ca="1" si="255"/>
        <v>0</v>
      </c>
      <c r="AS291" s="26">
        <f t="shared" ca="1" si="256"/>
        <v>0</v>
      </c>
      <c r="AT291" s="27">
        <f t="shared" ca="1" si="257"/>
        <v>0</v>
      </c>
      <c r="AU291" s="237"/>
      <c r="AV291" s="26"/>
      <c r="AW291" s="27"/>
      <c r="AX291" s="237"/>
      <c r="AY291" s="26">
        <v>0</v>
      </c>
      <c r="AZ291" s="27"/>
      <c r="BA291" s="237"/>
      <c r="BB291" s="26">
        <v>0</v>
      </c>
      <c r="BC291" s="27"/>
      <c r="BD291" s="237"/>
      <c r="BE291" s="26">
        <v>0</v>
      </c>
      <c r="BF291" s="27"/>
      <c r="BG291" s="237"/>
      <c r="BH291" s="26">
        <v>0</v>
      </c>
      <c r="BI291" s="27"/>
      <c r="BJ291" s="454"/>
    </row>
    <row r="292" spans="1:62" collapsed="1" x14ac:dyDescent="0.3">
      <c r="A292" s="69" t="s">
        <v>44</v>
      </c>
      <c r="B292" s="57"/>
      <c r="C292" s="58"/>
      <c r="D292" s="59"/>
      <c r="E292" s="60"/>
      <c r="F292" s="61"/>
      <c r="G292" s="45"/>
      <c r="H292" s="241"/>
      <c r="I292" s="48">
        <f>IFERROR(I280/I8,0)</f>
        <v>0</v>
      </c>
      <c r="J292" s="49">
        <f>IFERROR(J280/J8,0)+SUMIFS(Aut_Ajustes_Manuais!$G:$G,Aut_Ajustes_Manuais!$I:$I,DRE!H$4,Aut_Ajustes_Manuais!$F:$F,"% sobre Receita Bruta")</f>
        <v>0</v>
      </c>
      <c r="K292" s="241"/>
      <c r="L292" s="48">
        <f>IFERROR(L280/L8,0)</f>
        <v>0</v>
      </c>
      <c r="M292" s="49">
        <f>IFERROR(M280/M8,0)+SUMIFS(Aut_Ajustes_Manuais!$G:$G,Aut_Ajustes_Manuais!$I:$I,DRE!K$4,Aut_Ajustes_Manuais!$F:$F,"% sobre Receita Bruta")</f>
        <v>0</v>
      </c>
      <c r="N292" s="241"/>
      <c r="O292" s="48">
        <f>IFERROR(O280/O8,0)</f>
        <v>0</v>
      </c>
      <c r="P292" s="49">
        <f>IFERROR(P280/P8,0)+SUMIFS(Aut_Ajustes_Manuais!$G:$G,Aut_Ajustes_Manuais!$I:$I,DRE!N$4,Aut_Ajustes_Manuais!$F:$F,"% sobre Receita Bruta")</f>
        <v>0</v>
      </c>
      <c r="Q292" s="241"/>
      <c r="R292" s="48">
        <f>IFERROR(R280/R8,0)</f>
        <v>0</v>
      </c>
      <c r="S292" s="49">
        <f>IFERROR(S280/S8,0)+SUMIFS(Aut_Ajustes_Manuais!$G:$G,Aut_Ajustes_Manuais!$I:$I,DRE!Q$4,Aut_Ajustes_Manuais!$F:$F,"% sobre Receita Bruta")</f>
        <v>0</v>
      </c>
      <c r="T292" s="241"/>
      <c r="U292" s="48">
        <f>IFERROR(U280/U8,0)</f>
        <v>0</v>
      </c>
      <c r="V292" s="49">
        <f>IFERROR(V280/V8,0)+SUMIFS(Aut_Ajustes_Manuais!$G:$G,Aut_Ajustes_Manuais!$I:$I,DRE!T$4,Aut_Ajustes_Manuais!$F:$F,"% sobre Receita Bruta")</f>
        <v>0</v>
      </c>
      <c r="W292" s="241"/>
      <c r="X292" s="48">
        <f>IFERROR(X280/X8,0)</f>
        <v>0</v>
      </c>
      <c r="Y292" s="49">
        <f>IFERROR(Y280/Y8,0)+SUMIFS(Aut_Ajustes_Manuais!$G:$G,Aut_Ajustes_Manuais!$I:$I,DRE!W$4,Aut_Ajustes_Manuais!$F:$F,"% sobre Receita Bruta")</f>
        <v>0</v>
      </c>
      <c r="Z292" s="241"/>
      <c r="AA292" s="48">
        <f>IFERROR(AA280/AA8,0)</f>
        <v>0</v>
      </c>
      <c r="AB292" s="49">
        <f>IFERROR(AB280/AB8,0)+SUMIFS(Aut_Ajustes_Manuais!$G:$G,Aut_Ajustes_Manuais!$I:$I,DRE!Z$4,Aut_Ajustes_Manuais!$F:$F,"% sobre Receita Bruta")</f>
        <v>-0.11504259922651684</v>
      </c>
      <c r="AC292" s="241"/>
      <c r="AD292" s="48">
        <f>IFERROR(AD280/AD8,0)</f>
        <v>-1.1348421728906643E-2</v>
      </c>
      <c r="AE292" s="49">
        <f>IFERROR(AE280/AE8,0)+SUMIFS(Aut_Ajustes_Manuais!$G:$G,Aut_Ajustes_Manuais!$I:$I,DRE!AC$4,Aut_Ajustes_Manuais!$F:$F,"% sobre Receita Bruta")</f>
        <v>0</v>
      </c>
      <c r="AF292" s="241"/>
      <c r="AG292" s="48">
        <f>IFERROR(AG280/AG8,0)</f>
        <v>-1.1713521149949434E-2</v>
      </c>
      <c r="AH292" s="49">
        <f>IFERROR(AH280/AH8,0)+SUMIFS(Aut_Ajustes_Manuais!$G:$G,Aut_Ajustes_Manuais!$I:$I,DRE!AF$4,Aut_Ajustes_Manuais!$F:$F,"% sobre Receita Bruta")</f>
        <v>0</v>
      </c>
      <c r="AI292" s="241"/>
      <c r="AJ292" s="48">
        <f>IFERROR(AJ280/AJ8,0)</f>
        <v>-1.0672190219843017E-2</v>
      </c>
      <c r="AK292" s="49">
        <f>IFERROR(AK280/AK8,0)+SUMIFS(Aut_Ajustes_Manuais!$G:$G,Aut_Ajustes_Manuais!$I:$I,DRE!AI$4,Aut_Ajustes_Manuais!$F:$F,"% sobre Receita Bruta")</f>
        <v>0</v>
      </c>
      <c r="AL292" s="241"/>
      <c r="AM292" s="48">
        <f>IFERROR(AM280/AM8,0)</f>
        <v>-1.1584989362064441E-2</v>
      </c>
      <c r="AN292" s="49">
        <f>IFERROR(AN280/AN8,0)+SUMIFS(Aut_Ajustes_Manuais!$G:$G,Aut_Ajustes_Manuais!$I:$I,DRE!AL$4,Aut_Ajustes_Manuais!$F:$F,"% sobre Receita Bruta")</f>
        <v>0</v>
      </c>
      <c r="AO292" s="241"/>
      <c r="AP292" s="48">
        <f>IFERROR(AP280/AP8,0)</f>
        <v>-1.0633613944546566E-2</v>
      </c>
      <c r="AQ292" s="49">
        <f>IFERROR(AQ280/AQ8,0)+SUMIFS(Aut_Ajustes_Manuais!$G:$G,Aut_Ajustes_Manuais!$I:$I,DRE!AO$4,Aut_Ajustes_Manuais!$F:$F,"% sobre Receita Bruta")</f>
        <v>0</v>
      </c>
      <c r="AR292" s="241">
        <f t="shared" ref="AR292:BI292" ca="1" si="263">IFERROR(AR280/AR8,0)</f>
        <v>0</v>
      </c>
      <c r="AS292" s="48">
        <f t="shared" ca="1" si="263"/>
        <v>-1.1348421728906643E-2</v>
      </c>
      <c r="AT292" s="49">
        <f t="shared" ca="1" si="263"/>
        <v>-0.43900531802688458</v>
      </c>
      <c r="AU292" s="241">
        <f t="shared" si="263"/>
        <v>0</v>
      </c>
      <c r="AV292" s="48">
        <f t="shared" si="263"/>
        <v>-1.117191402929126E-2</v>
      </c>
      <c r="AW292" s="49">
        <f t="shared" si="263"/>
        <v>-0.58225815911527501</v>
      </c>
      <c r="AX292" s="241">
        <f t="shared" si="263"/>
        <v>0</v>
      </c>
      <c r="AY292" s="48">
        <f t="shared" si="263"/>
        <v>0</v>
      </c>
      <c r="AZ292" s="49">
        <f t="shared" si="263"/>
        <v>0</v>
      </c>
      <c r="BA292" s="241">
        <f t="shared" si="263"/>
        <v>0</v>
      </c>
      <c r="BB292" s="48">
        <f t="shared" si="263"/>
        <v>0</v>
      </c>
      <c r="BC292" s="49">
        <f t="shared" si="263"/>
        <v>0</v>
      </c>
      <c r="BD292" s="241">
        <f t="shared" si="263"/>
        <v>0</v>
      </c>
      <c r="BE292" s="48">
        <f t="shared" si="263"/>
        <v>-1.1528081449023803E-2</v>
      </c>
      <c r="BF292" s="49">
        <f t="shared" si="263"/>
        <v>-0.18666901977071207</v>
      </c>
      <c r="BG292" s="241">
        <f t="shared" si="263"/>
        <v>0</v>
      </c>
      <c r="BH292" s="48">
        <f t="shared" si="263"/>
        <v>-1.0946449019084026E-2</v>
      </c>
      <c r="BI292" s="49">
        <f t="shared" si="263"/>
        <v>0</v>
      </c>
    </row>
    <row r="293" spans="1:62" x14ac:dyDescent="0.3">
      <c r="A293" s="17"/>
      <c r="E293" s="15"/>
      <c r="F293" s="16"/>
      <c r="G293" s="45"/>
      <c r="H293" s="252"/>
      <c r="I293" s="228"/>
      <c r="J293" s="83"/>
      <c r="K293" s="252"/>
      <c r="L293" s="228"/>
      <c r="M293" s="83"/>
      <c r="N293" s="252"/>
      <c r="O293" s="228"/>
      <c r="P293" s="83"/>
      <c r="Q293" s="252"/>
      <c r="R293" s="228"/>
      <c r="S293" s="83"/>
      <c r="T293" s="252"/>
      <c r="U293" s="228"/>
      <c r="V293" s="83"/>
      <c r="W293" s="252"/>
      <c r="X293" s="228"/>
      <c r="Y293" s="83"/>
      <c r="Z293" s="252"/>
      <c r="AA293" s="228"/>
      <c r="AB293" s="83"/>
      <c r="AC293" s="252"/>
      <c r="AD293" s="228"/>
      <c r="AE293" s="83"/>
      <c r="AF293" s="252"/>
      <c r="AG293" s="228"/>
      <c r="AH293" s="83"/>
      <c r="AI293" s="252"/>
      <c r="AJ293" s="228"/>
      <c r="AK293" s="83"/>
      <c r="AL293" s="252"/>
      <c r="AM293" s="228"/>
      <c r="AN293" s="83"/>
      <c r="AO293" s="252"/>
      <c r="AP293" s="228"/>
      <c r="AQ293" s="83"/>
      <c r="AR293" s="252"/>
      <c r="AS293" s="228"/>
      <c r="AT293" s="83"/>
      <c r="AU293" s="252"/>
      <c r="AV293" s="228"/>
      <c r="AW293" s="83"/>
      <c r="AX293" s="252"/>
      <c r="AY293" s="228"/>
      <c r="AZ293" s="83"/>
      <c r="BA293" s="252"/>
      <c r="BB293" s="228"/>
      <c r="BC293" s="83"/>
      <c r="BD293" s="252"/>
      <c r="BE293" s="228"/>
      <c r="BF293" s="83"/>
      <c r="BG293" s="252"/>
      <c r="BH293" s="228"/>
      <c r="BI293" s="83"/>
    </row>
    <row r="294" spans="1:62" x14ac:dyDescent="0.3">
      <c r="A294" s="37" t="s">
        <v>317</v>
      </c>
      <c r="C294" s="38" t="s">
        <v>35</v>
      </c>
      <c r="D294" s="38" t="s">
        <v>36</v>
      </c>
      <c r="E294" s="38" t="s">
        <v>201</v>
      </c>
      <c r="F294" s="39"/>
      <c r="G294" s="45"/>
      <c r="H294" s="240"/>
      <c r="I294" s="40">
        <f>SUM(I295:I298)</f>
        <v>0</v>
      </c>
      <c r="J294" s="41">
        <f>SUM(J295:J298)+SUMIFS(Aut_Ajustes_Manuais!$G:$G,Aut_Ajustes_Manuais!$I:$I,DRE!H$4,Aut_Ajustes_Manuais!$F:$F,"Locação de Equipamentos")</f>
        <v>0</v>
      </c>
      <c r="K294" s="240"/>
      <c r="L294" s="40">
        <f>SUM(L295:L298)</f>
        <v>0</v>
      </c>
      <c r="M294" s="41">
        <f>SUM(M295:M298)+SUMIFS(Aut_Ajustes_Manuais!$G:$G,Aut_Ajustes_Manuais!$I:$I,DRE!K$4,Aut_Ajustes_Manuais!$F:$F,"Locação de Equipamentos")</f>
        <v>0</v>
      </c>
      <c r="N294" s="240"/>
      <c r="O294" s="40">
        <f>SUM(O295:O298)</f>
        <v>0</v>
      </c>
      <c r="P294" s="41">
        <f>SUM(P295:P298)+SUMIFS(Aut_Ajustes_Manuais!$G:$G,Aut_Ajustes_Manuais!$I:$I,DRE!N$4,Aut_Ajustes_Manuais!$F:$F,"Locação de Equipamentos")</f>
        <v>0</v>
      </c>
      <c r="Q294" s="240"/>
      <c r="R294" s="40">
        <f>SUM(R295:R298)</f>
        <v>0</v>
      </c>
      <c r="S294" s="41">
        <f>SUM(S295:S298)+SUMIFS(Aut_Ajustes_Manuais!$G:$G,Aut_Ajustes_Manuais!$I:$I,DRE!Q$4,Aut_Ajustes_Manuais!$F:$F,"Locação de Equipamentos")</f>
        <v>0</v>
      </c>
      <c r="T294" s="240"/>
      <c r="U294" s="40">
        <f>SUM(U295:U298)</f>
        <v>0</v>
      </c>
      <c r="V294" s="41">
        <f>SUM(V295:V298)+SUMIFS(Aut_Ajustes_Manuais!$G:$G,Aut_Ajustes_Manuais!$I:$I,DRE!T$4,Aut_Ajustes_Manuais!$F:$F,"Locação de Equipamentos")</f>
        <v>0</v>
      </c>
      <c r="W294" s="240"/>
      <c r="X294" s="40">
        <f>SUM(X295:X298)</f>
        <v>0</v>
      </c>
      <c r="Y294" s="41">
        <f>SUM(Y295:Y298)+SUMIFS(Aut_Ajustes_Manuais!$G:$G,Aut_Ajustes_Manuais!$I:$I,DRE!W$4,Aut_Ajustes_Manuais!$F:$F,"Locação de Equipamentos")</f>
        <v>0</v>
      </c>
      <c r="Z294" s="240"/>
      <c r="AA294" s="40">
        <f>SUM(AA295:AA298)</f>
        <v>0</v>
      </c>
      <c r="AB294" s="41">
        <f>SUM(AB295:AB298)+SUMIFS(Aut_Ajustes_Manuais!$G:$G,Aut_Ajustes_Manuais!$I:$I,DRE!Z$4,Aut_Ajustes_Manuais!$F:$F,"Locação de Equipamentos")</f>
        <v>0</v>
      </c>
      <c r="AC294" s="240"/>
      <c r="AD294" s="40">
        <f>SUM(AD295:AD298)</f>
        <v>-5362.38</v>
      </c>
      <c r="AE294" s="41">
        <f>SUM(AE295:AE298)+SUMIFS(Aut_Ajustes_Manuais!$G:$G,Aut_Ajustes_Manuais!$I:$I,DRE!AC$4,Aut_Ajustes_Manuais!$F:$F,"Locação de Equipamentos")</f>
        <v>0</v>
      </c>
      <c r="AF294" s="240"/>
      <c r="AG294" s="40">
        <f>SUM(AG295:AG298)</f>
        <v>-5362.38</v>
      </c>
      <c r="AH294" s="41">
        <f>SUM(AH295:AH298)+SUMIFS(Aut_Ajustes_Manuais!$G:$G,Aut_Ajustes_Manuais!$I:$I,DRE!AF$4,Aut_Ajustes_Manuais!$F:$F,"Locação de Equipamentos")</f>
        <v>0</v>
      </c>
      <c r="AI294" s="240"/>
      <c r="AJ294" s="40">
        <f>SUM(AJ295:AJ298)</f>
        <v>-5362.38</v>
      </c>
      <c r="AK294" s="41">
        <f>SUM(AK295:AK298)+SUMIFS(Aut_Ajustes_Manuais!$G:$G,Aut_Ajustes_Manuais!$I:$I,DRE!AI$4,Aut_Ajustes_Manuais!$F:$F,"Locação de Equipamentos")</f>
        <v>0</v>
      </c>
      <c r="AL294" s="240"/>
      <c r="AM294" s="40">
        <f>SUM(AM295:AM298)</f>
        <v>-5362.38</v>
      </c>
      <c r="AN294" s="41">
        <f>SUM(AN295:AN298)+SUMIFS(Aut_Ajustes_Manuais!$G:$G,Aut_Ajustes_Manuais!$I:$I,DRE!AL$4,Aut_Ajustes_Manuais!$F:$F,"Locação de Equipamentos")</f>
        <v>0</v>
      </c>
      <c r="AO294" s="240"/>
      <c r="AP294" s="40">
        <f>SUM(AP295:AP298)</f>
        <v>-5362.38</v>
      </c>
      <c r="AQ294" s="41">
        <f>SUM(AQ295:AQ298)+SUMIFS(Aut_Ajustes_Manuais!$G:$G,Aut_Ajustes_Manuais!$I:$I,DRE!AO$4,Aut_Ajustes_Manuais!$F:$F,"Locação de Equipamentos")</f>
        <v>0</v>
      </c>
      <c r="AR294" s="240">
        <f t="shared" ref="AR294:BI294" ca="1" si="264">SUM(AR295:AR298)</f>
        <v>0</v>
      </c>
      <c r="AS294" s="40">
        <f t="shared" ca="1" si="264"/>
        <v>-5362.38</v>
      </c>
      <c r="AT294" s="41">
        <f t="shared" ca="1" si="264"/>
        <v>0</v>
      </c>
      <c r="AU294" s="240">
        <f t="shared" si="264"/>
        <v>0</v>
      </c>
      <c r="AV294" s="40">
        <f t="shared" si="264"/>
        <v>-26811.899999999998</v>
      </c>
      <c r="AW294" s="41">
        <f t="shared" si="264"/>
        <v>0</v>
      </c>
      <c r="AX294" s="240">
        <f t="shared" si="264"/>
        <v>0</v>
      </c>
      <c r="AY294" s="40">
        <f t="shared" si="264"/>
        <v>0</v>
      </c>
      <c r="AZ294" s="41">
        <f t="shared" si="264"/>
        <v>0</v>
      </c>
      <c r="BA294" s="240">
        <f t="shared" si="264"/>
        <v>0</v>
      </c>
      <c r="BB294" s="40">
        <f t="shared" si="264"/>
        <v>0</v>
      </c>
      <c r="BC294" s="41">
        <f t="shared" si="264"/>
        <v>0</v>
      </c>
      <c r="BD294" s="240">
        <f t="shared" si="264"/>
        <v>0</v>
      </c>
      <c r="BE294" s="40">
        <f t="shared" si="264"/>
        <v>-10724.76</v>
      </c>
      <c r="BF294" s="41">
        <f t="shared" si="264"/>
        <v>0</v>
      </c>
      <c r="BG294" s="240">
        <f t="shared" si="264"/>
        <v>0</v>
      </c>
      <c r="BH294" s="40">
        <f t="shared" si="264"/>
        <v>-16087.14</v>
      </c>
      <c r="BI294" s="41">
        <f t="shared" si="264"/>
        <v>0</v>
      </c>
    </row>
    <row r="295" spans="1:62" s="28" customFormat="1" hidden="1" outlineLevel="1" x14ac:dyDescent="0.3">
      <c r="A295" s="21" t="s">
        <v>318</v>
      </c>
      <c r="B295" s="22"/>
      <c r="C295" s="23" t="s">
        <v>67</v>
      </c>
      <c r="D295" s="112"/>
      <c r="E295" s="112"/>
      <c r="F295" s="54"/>
      <c r="G295" s="32"/>
      <c r="H295" s="237"/>
      <c r="I295" s="26">
        <f>-SUMIFS(T_ORCAMENTOS!$E:$E,T_ORCAMENTOS!$C:$C,"Locações de Equipamentos - Operacionais",T_ORCAMENTOS!$H:$H,"1/2026")</f>
        <v>0</v>
      </c>
      <c r="J295" s="27">
        <f>SUMIFS(Aut_BlueMe_Sem_Pedido!$J:$J,Aut_BlueMe_Sem_Pedido!$Q:$Q,DRE!H$4,Aut_BlueMe_Sem_Pedido!$H:$H,DRE!$A295)+SUMIFS(Aut_Ajustes_Manuais!$G:$G,Aut_Ajustes_Manuais!$I:$I,DRE!H$4,Aut_Ajustes_Manuais!$F:$F,"Locações de Equipamentos - Operacionais")</f>
        <v>0</v>
      </c>
      <c r="K295" s="237"/>
      <c r="L295" s="26">
        <f>-SUMIFS(T_ORCAMENTOS!$E:$E,T_ORCAMENTOS!$C:$C,"Locações de Equipamentos - Operacionais",T_ORCAMENTOS!$H:$H,"2/2026")</f>
        <v>0</v>
      </c>
      <c r="M295" s="27">
        <f>SUMIFS(Aut_BlueMe_Sem_Pedido!$J:$J,Aut_BlueMe_Sem_Pedido!$Q:$Q,DRE!K$4,Aut_BlueMe_Sem_Pedido!$H:$H,DRE!$A295)+SUMIFS(Aut_Ajustes_Manuais!$G:$G,Aut_Ajustes_Manuais!$I:$I,DRE!K$4,Aut_Ajustes_Manuais!$F:$F,"Locações de Equipamentos - Operacionais")</f>
        <v>0</v>
      </c>
      <c r="N295" s="237"/>
      <c r="O295" s="26">
        <f>-SUMIFS(T_ORCAMENTOS!$E:$E,T_ORCAMENTOS!$C:$C,"Locações de Equipamentos - Operacionais",T_ORCAMENTOS!$H:$H,"3/2026")</f>
        <v>0</v>
      </c>
      <c r="P295" s="27">
        <f>SUMIFS(Aut_BlueMe_Sem_Pedido!$J:$J,Aut_BlueMe_Sem_Pedido!$Q:$Q,DRE!N$4,Aut_BlueMe_Sem_Pedido!$H:$H,DRE!$A295)+SUMIFS(Aut_Ajustes_Manuais!$G:$G,Aut_Ajustes_Manuais!$I:$I,DRE!N$4,Aut_Ajustes_Manuais!$F:$F,"Locações de Equipamentos - Operacionais")</f>
        <v>0</v>
      </c>
      <c r="Q295" s="237"/>
      <c r="R295" s="26">
        <f>-SUMIFS(T_ORCAMENTOS!$E:$E,T_ORCAMENTOS!$C:$C,"Locações de Equipamentos - Operacionais",T_ORCAMENTOS!$H:$H,"4/2026")</f>
        <v>0</v>
      </c>
      <c r="S295" s="27">
        <f>SUMIFS(Aut_BlueMe_Sem_Pedido!$J:$J,Aut_BlueMe_Sem_Pedido!$Q:$Q,DRE!Q$4,Aut_BlueMe_Sem_Pedido!$H:$H,DRE!$A295)+SUMIFS(Aut_Ajustes_Manuais!$G:$G,Aut_Ajustes_Manuais!$I:$I,DRE!Q$4,Aut_Ajustes_Manuais!$F:$F,"Locações de Equipamentos - Operacionais")</f>
        <v>0</v>
      </c>
      <c r="T295" s="237"/>
      <c r="U295" s="26">
        <f>-SUMIFS(T_ORCAMENTOS!$E:$E,T_ORCAMENTOS!$C:$C,"Locações de Equipamentos - Operacionais",T_ORCAMENTOS!$H:$H,"5/2026")</f>
        <v>0</v>
      </c>
      <c r="V295" s="27">
        <f>SUMIFS(Aut_BlueMe_Sem_Pedido!$J:$J,Aut_BlueMe_Sem_Pedido!$Q:$Q,DRE!T$4,Aut_BlueMe_Sem_Pedido!$H:$H,DRE!$A295)+SUMIFS(Aut_Ajustes_Manuais!$G:$G,Aut_Ajustes_Manuais!$I:$I,DRE!T$4,Aut_Ajustes_Manuais!$F:$F,"Locações de Equipamentos - Operacionais")</f>
        <v>0</v>
      </c>
      <c r="W295" s="237"/>
      <c r="X295" s="26">
        <f>-SUMIFS(T_ORCAMENTOS!$E:$E,T_ORCAMENTOS!$C:$C,"Locações de Equipamentos - Operacionais",T_ORCAMENTOS!$H:$H,"6/2026")</f>
        <v>0</v>
      </c>
      <c r="Y295" s="27">
        <f>SUMIFS(Aut_BlueMe_Sem_Pedido!$J:$J,Aut_BlueMe_Sem_Pedido!$Q:$Q,DRE!W$4,Aut_BlueMe_Sem_Pedido!$H:$H,DRE!$A295)+SUMIFS(Aut_Ajustes_Manuais!$G:$G,Aut_Ajustes_Manuais!$I:$I,DRE!W$4,Aut_Ajustes_Manuais!$F:$F,"Locações de Equipamentos - Operacionais")</f>
        <v>0</v>
      </c>
      <c r="Z295" s="237"/>
      <c r="AA295" s="26">
        <f>-SUMIFS(T_ORCAMENTOS!$E:$E,T_ORCAMENTOS!$C:$C,"Locações de Equipamentos - Operacionais",T_ORCAMENTOS!$H:$H,"7/2026")</f>
        <v>0</v>
      </c>
      <c r="AB295" s="27">
        <f>SUMIFS(Aut_BlueMe_Sem_Pedido!$J:$J,Aut_BlueMe_Sem_Pedido!$Q:$Q,DRE!Z$4,Aut_BlueMe_Sem_Pedido!$H:$H,DRE!$A295)+SUMIFS(Aut_Ajustes_Manuais!$G:$G,Aut_Ajustes_Manuais!$I:$I,DRE!Z$4,Aut_Ajustes_Manuais!$F:$F,"Locações de Equipamentos - Operacionais")</f>
        <v>0</v>
      </c>
      <c r="AC295" s="237"/>
      <c r="AD295" s="26">
        <f>-SUMIFS(T_ORCAMENTOS!$E:$E,T_ORCAMENTOS!$C:$C,"Locações de Equipamentos - Operacionais",T_ORCAMENTOS!$H:$H,"8/2026")</f>
        <v>-4790.28</v>
      </c>
      <c r="AE295" s="27">
        <f>SUMIFS(Aut_BlueMe_Sem_Pedido!$J:$J,Aut_BlueMe_Sem_Pedido!$Q:$Q,DRE!AC$4,Aut_BlueMe_Sem_Pedido!$H:$H,DRE!$A295)+SUMIFS(Aut_Ajustes_Manuais!$G:$G,Aut_Ajustes_Manuais!$I:$I,DRE!AC$4,Aut_Ajustes_Manuais!$F:$F,"Locações de Equipamentos - Operacionais")</f>
        <v>0</v>
      </c>
      <c r="AF295" s="237"/>
      <c r="AG295" s="26">
        <f>-SUMIFS(T_ORCAMENTOS!$E:$E,T_ORCAMENTOS!$C:$C,"Locações de Equipamentos - Operacionais",T_ORCAMENTOS!$H:$H,"9/2026")</f>
        <v>-4790.28</v>
      </c>
      <c r="AH295" s="27">
        <f>SUMIFS(Aut_BlueMe_Sem_Pedido!$J:$J,Aut_BlueMe_Sem_Pedido!$Q:$Q,DRE!AF$4,Aut_BlueMe_Sem_Pedido!$H:$H,DRE!$A295)+SUMIFS(Aut_Ajustes_Manuais!$G:$G,Aut_Ajustes_Manuais!$I:$I,DRE!AF$4,Aut_Ajustes_Manuais!$F:$F,"Locações de Equipamentos - Operacionais")</f>
        <v>0</v>
      </c>
      <c r="AI295" s="237"/>
      <c r="AJ295" s="26">
        <f>-SUMIFS(T_ORCAMENTOS!$E:$E,T_ORCAMENTOS!$C:$C,"Locações de Equipamentos - Operacionais",T_ORCAMENTOS!$H:$H,"10/2026")</f>
        <v>-4790.28</v>
      </c>
      <c r="AK295" s="27">
        <f>SUMIFS(Aut_BlueMe_Sem_Pedido!$J:$J,Aut_BlueMe_Sem_Pedido!$Q:$Q,DRE!AI$4,Aut_BlueMe_Sem_Pedido!$H:$H,DRE!$A295)+SUMIFS(Aut_Ajustes_Manuais!$G:$G,Aut_Ajustes_Manuais!$I:$I,DRE!AI$4,Aut_Ajustes_Manuais!$F:$F,"Locações de Equipamentos - Operacionais")</f>
        <v>0</v>
      </c>
      <c r="AL295" s="237"/>
      <c r="AM295" s="26">
        <f>-SUMIFS(T_ORCAMENTOS!$E:$E,T_ORCAMENTOS!$C:$C,"Locações de Equipamentos - Operacionais",T_ORCAMENTOS!$H:$H,"11/2026")</f>
        <v>-4790.28</v>
      </c>
      <c r="AN295" s="27">
        <f>SUMIFS(Aut_BlueMe_Sem_Pedido!$J:$J,Aut_BlueMe_Sem_Pedido!$Q:$Q,DRE!AL$4,Aut_BlueMe_Sem_Pedido!$H:$H,DRE!$A295)+SUMIFS(Aut_Ajustes_Manuais!$G:$G,Aut_Ajustes_Manuais!$I:$I,DRE!AL$4,Aut_Ajustes_Manuais!$F:$F,"Locações de Equipamentos - Operacionais")</f>
        <v>0</v>
      </c>
      <c r="AO295" s="237"/>
      <c r="AP295" s="26">
        <f>-SUMIFS(T_ORCAMENTOS!$E:$E,T_ORCAMENTOS!$C:$C,"Locações de Equipamentos - Operacionais",T_ORCAMENTOS!$H:$H,"12/2026")</f>
        <v>-4790.28</v>
      </c>
      <c r="AQ295" s="27">
        <f>SUMIFS(Aut_BlueMe_Sem_Pedido!$J:$J,Aut_BlueMe_Sem_Pedido!$Q:$Q,DRE!AO$4,Aut_BlueMe_Sem_Pedido!$H:$H,DRE!$A295)+SUMIFS(Aut_Ajustes_Manuais!$G:$G,Aut_Ajustes_Manuais!$I:$I,DRE!AO$4,Aut_Ajustes_Manuais!$F:$F,"Locações de Equipamentos - Operacionais")</f>
        <v>0</v>
      </c>
      <c r="AR295" s="237">
        <f ca="1">SUMIFS($H295:$AO295,$H$5:$AO$5,"&lt;"&amp;MONTH(TODAY()),$H$6:$AO$6,"REAL 25")</f>
        <v>0</v>
      </c>
      <c r="AS295" s="26">
        <f ca="1">SUMIFS($I295:$AP295,$I$5:$AP$5,"&lt;"&amp;MONTH(TODAY()),$I$6:$AP$6,"ORÇADO ")</f>
        <v>-4790.28</v>
      </c>
      <c r="AT295" s="27">
        <f ca="1">SUMIFS($J295:$AQ295,$J$5:$AQ$5,"&lt;"&amp;MONTH(TODAY()),$J$6:$AQ$6,"REAL 26")</f>
        <v>0</v>
      </c>
      <c r="AU295" s="237">
        <f t="shared" ref="AU295:AW299" si="265">SUM(H295,K295,N295,Q295,T295,W295,Z295,AC295,AF295,AI295,AL295,AO295)</f>
        <v>0</v>
      </c>
      <c r="AV295" s="26">
        <f t="shared" si="265"/>
        <v>-23951.399999999998</v>
      </c>
      <c r="AW295" s="27">
        <f t="shared" si="265"/>
        <v>0</v>
      </c>
      <c r="AX295" s="237">
        <f t="shared" ref="AX295:AZ299" si="266">SUM(H295,K295,N295)</f>
        <v>0</v>
      </c>
      <c r="AY295" s="26">
        <f t="shared" si="266"/>
        <v>0</v>
      </c>
      <c r="AZ295" s="27">
        <f t="shared" si="266"/>
        <v>0</v>
      </c>
      <c r="BA295" s="237">
        <f t="shared" ref="BA295:BC299" si="267">SUM(Q295,T295,W295)</f>
        <v>0</v>
      </c>
      <c r="BB295" s="26">
        <f t="shared" si="267"/>
        <v>0</v>
      </c>
      <c r="BC295" s="27">
        <f t="shared" si="267"/>
        <v>0</v>
      </c>
      <c r="BD295" s="237">
        <f t="shared" ref="BD295:BF299" si="268">SUM(Z295,AC295,AF295)</f>
        <v>0</v>
      </c>
      <c r="BE295" s="26">
        <f t="shared" si="268"/>
        <v>-9580.56</v>
      </c>
      <c r="BF295" s="27">
        <f t="shared" si="268"/>
        <v>0</v>
      </c>
      <c r="BG295" s="237">
        <f t="shared" ref="BG295:BI299" si="269">SUM(AI295,AL295,AO295)</f>
        <v>0</v>
      </c>
      <c r="BH295" s="26">
        <f t="shared" si="269"/>
        <v>-14370.84</v>
      </c>
      <c r="BI295" s="27">
        <f t="shared" si="269"/>
        <v>0</v>
      </c>
      <c r="BJ295" s="454"/>
    </row>
    <row r="296" spans="1:62" s="28" customFormat="1" ht="25.2" hidden="1" customHeight="1" outlineLevel="1" x14ac:dyDescent="0.3">
      <c r="A296" s="21" t="s">
        <v>319</v>
      </c>
      <c r="B296" s="22"/>
      <c r="C296" s="23" t="s">
        <v>67</v>
      </c>
      <c r="D296" s="112"/>
      <c r="E296" s="112"/>
      <c r="F296" s="54"/>
      <c r="G296" s="32"/>
      <c r="H296" s="237"/>
      <c r="I296" s="26">
        <f>-SUMIFS(T_ORCAMENTOS!$E:$E,T_ORCAMENTOS!$C:$C,"Locação de Equipamentos - Informatica e TI",T_ORCAMENTOS!$H:$H,"1/2026")</f>
        <v>0</v>
      </c>
      <c r="J296" s="27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0</v>
      </c>
      <c r="K296" s="237"/>
      <c r="L296" s="26">
        <f>-SUMIFS(T_ORCAMENTOS!$E:$E,T_ORCAMENTOS!$C:$C,"Locação de Equipamentos - Informatica e TI",T_ORCAMENTOS!$H:$H,"2/2026")</f>
        <v>0</v>
      </c>
      <c r="M296" s="27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0</v>
      </c>
      <c r="N296" s="237"/>
      <c r="O296" s="26">
        <f>-SUMIFS(T_ORCAMENTOS!$E:$E,T_ORCAMENTOS!$C:$C,"Locação de Equipamentos - Informatica e TI",T_ORCAMENTOS!$H:$H,"3/2026")</f>
        <v>0</v>
      </c>
      <c r="P296" s="27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0</v>
      </c>
      <c r="Q296" s="237"/>
      <c r="R296" s="26">
        <f>-SUMIFS(T_ORCAMENTOS!$E:$E,T_ORCAMENTOS!$C:$C,"Locação de Equipamentos - Informatica e TI",T_ORCAMENTOS!$H:$H,"4/2026")</f>
        <v>0</v>
      </c>
      <c r="S296" s="27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0</v>
      </c>
      <c r="T296" s="237"/>
      <c r="U296" s="26">
        <f>-SUMIFS(T_ORCAMENTOS!$E:$E,T_ORCAMENTOS!$C:$C,"Locação de Equipamentos - Informatica e TI",T_ORCAMENTOS!$H:$H,"5/2026")</f>
        <v>0</v>
      </c>
      <c r="V296" s="27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0</v>
      </c>
      <c r="W296" s="237"/>
      <c r="X296" s="26">
        <f>-SUMIFS(T_ORCAMENTOS!$E:$E,T_ORCAMENTOS!$C:$C,"Locação de Equipamentos - Informatica e TI",T_ORCAMENTOS!$H:$H,"6/2026")</f>
        <v>0</v>
      </c>
      <c r="Y296" s="27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0</v>
      </c>
      <c r="Z296" s="237"/>
      <c r="AA296" s="26">
        <f>-SUMIFS(T_ORCAMENTOS!$E:$E,T_ORCAMENTOS!$C:$C,"Locação de Equipamentos - Informatica e TI",T_ORCAMENTOS!$H:$H,"7/2026")</f>
        <v>0</v>
      </c>
      <c r="AB296" s="27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0</v>
      </c>
      <c r="AC296" s="237"/>
      <c r="AD296" s="26">
        <f>-SUMIFS(T_ORCAMENTOS!$E:$E,T_ORCAMENTOS!$C:$C,"Locação de Equipamentos - Informatica e TI",T_ORCAMENTOS!$H:$H,"8/2026")</f>
        <v>0</v>
      </c>
      <c r="AE296" s="27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0</v>
      </c>
      <c r="AF296" s="237"/>
      <c r="AG296" s="26">
        <f>-SUMIFS(T_ORCAMENTOS!$E:$E,T_ORCAMENTOS!$C:$C,"Locação de Equipamentos - Informatica e TI",T_ORCAMENTOS!$H:$H,"9/2026")</f>
        <v>0</v>
      </c>
      <c r="AH296" s="27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0</v>
      </c>
      <c r="AI296" s="237"/>
      <c r="AJ296" s="26">
        <f>-SUMIFS(T_ORCAMENTOS!$E:$E,T_ORCAMENTOS!$C:$C,"Locação de Equipamentos - Informatica e TI",T_ORCAMENTOS!$H:$H,"10/2026")</f>
        <v>0</v>
      </c>
      <c r="AK296" s="27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0</v>
      </c>
      <c r="AL296" s="237"/>
      <c r="AM296" s="26">
        <f>-SUMIFS(T_ORCAMENTOS!$E:$E,T_ORCAMENTOS!$C:$C,"Locação de Equipamentos - Informatica e TI",T_ORCAMENTOS!$H:$H,"11/2026")</f>
        <v>0</v>
      </c>
      <c r="AN296" s="27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0</v>
      </c>
      <c r="AO296" s="237"/>
      <c r="AP296" s="26">
        <f>-SUMIFS(T_ORCAMENTOS!$E:$E,T_ORCAMENTOS!$C:$C,"Locação de Equipamentos - Informatica e TI",T_ORCAMENTOS!$H:$H,"12/2026")</f>
        <v>0</v>
      </c>
      <c r="AQ296" s="27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0</v>
      </c>
      <c r="AR296" s="237">
        <f ca="1">SUMIFS($H296:$AO296,$H$5:$AO$5,"&lt;"&amp;MONTH(TODAY()),$H$6:$AO$6,"REAL 25")</f>
        <v>0</v>
      </c>
      <c r="AS296" s="26">
        <f ca="1">SUMIFS($I296:$AP296,$I$5:$AP$5,"&lt;"&amp;MONTH(TODAY()),$I$6:$AP$6,"ORÇADO ")</f>
        <v>0</v>
      </c>
      <c r="AT296" s="27">
        <f ca="1">SUMIFS($J296:$AQ296,$J$5:$AQ$5,"&lt;"&amp;MONTH(TODAY()),$J$6:$AQ$6,"REAL 26")</f>
        <v>0</v>
      </c>
      <c r="AU296" s="237">
        <f t="shared" si="265"/>
        <v>0</v>
      </c>
      <c r="AV296" s="26">
        <f t="shared" si="265"/>
        <v>0</v>
      </c>
      <c r="AW296" s="27">
        <f t="shared" si="265"/>
        <v>0</v>
      </c>
      <c r="AX296" s="237">
        <f t="shared" si="266"/>
        <v>0</v>
      </c>
      <c r="AY296" s="26">
        <f t="shared" si="266"/>
        <v>0</v>
      </c>
      <c r="AZ296" s="27">
        <f t="shared" si="266"/>
        <v>0</v>
      </c>
      <c r="BA296" s="237">
        <f t="shared" si="267"/>
        <v>0</v>
      </c>
      <c r="BB296" s="26">
        <f t="shared" si="267"/>
        <v>0</v>
      </c>
      <c r="BC296" s="27">
        <f t="shared" si="267"/>
        <v>0</v>
      </c>
      <c r="BD296" s="237">
        <f t="shared" si="268"/>
        <v>0</v>
      </c>
      <c r="BE296" s="26">
        <f t="shared" si="268"/>
        <v>0</v>
      </c>
      <c r="BF296" s="27">
        <f t="shared" si="268"/>
        <v>0</v>
      </c>
      <c r="BG296" s="237">
        <f t="shared" si="269"/>
        <v>0</v>
      </c>
      <c r="BH296" s="26">
        <f t="shared" si="269"/>
        <v>0</v>
      </c>
      <c r="BI296" s="27">
        <f t="shared" si="269"/>
        <v>0</v>
      </c>
      <c r="BJ296" s="454"/>
    </row>
    <row r="297" spans="1:62" s="28" customFormat="1" ht="25.2" hidden="1" customHeight="1" outlineLevel="1" x14ac:dyDescent="0.3">
      <c r="A297" s="21" t="s">
        <v>320</v>
      </c>
      <c r="B297" s="22"/>
      <c r="C297" s="23" t="s">
        <v>67</v>
      </c>
      <c r="D297" s="112"/>
      <c r="E297" s="112"/>
      <c r="F297" s="54"/>
      <c r="G297" s="32"/>
      <c r="H297" s="237"/>
      <c r="I297" s="26">
        <f>-SUMIFS(T_ORCAMENTOS!$E:$E,T_ORCAMENTOS!$C:$C,"Locações de Equipamentos - Comunicação e Marketing",T_ORCAMENTOS!$H:$H,"1/2026")</f>
        <v>0</v>
      </c>
      <c r="J297" s="27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0</v>
      </c>
      <c r="K297" s="237"/>
      <c r="L297" s="26">
        <f>-SUMIFS(T_ORCAMENTOS!$E:$E,T_ORCAMENTOS!$C:$C,"Locações de Equipamentos - Comunicação e Marketing",T_ORCAMENTOS!$H:$H,"2/2026")</f>
        <v>0</v>
      </c>
      <c r="M297" s="27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0</v>
      </c>
      <c r="N297" s="237"/>
      <c r="O297" s="26">
        <f>-SUMIFS(T_ORCAMENTOS!$E:$E,T_ORCAMENTOS!$C:$C,"Locações de Equipamentos - Comunicação e Marketing",T_ORCAMENTOS!$H:$H,"3/2026")</f>
        <v>0</v>
      </c>
      <c r="P297" s="27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0</v>
      </c>
      <c r="Q297" s="237"/>
      <c r="R297" s="26">
        <f>-SUMIFS(T_ORCAMENTOS!$E:$E,T_ORCAMENTOS!$C:$C,"Locações de Equipamentos - Comunicação e Marketing",T_ORCAMENTOS!$H:$H,"4/2026")</f>
        <v>0</v>
      </c>
      <c r="S297" s="27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0</v>
      </c>
      <c r="T297" s="237"/>
      <c r="U297" s="26">
        <f>-SUMIFS(T_ORCAMENTOS!$E:$E,T_ORCAMENTOS!$C:$C,"Locações de Equipamentos - Comunicação e Marketing",T_ORCAMENTOS!$H:$H,"5/2026")</f>
        <v>0</v>
      </c>
      <c r="V297" s="27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0</v>
      </c>
      <c r="W297" s="237"/>
      <c r="X297" s="26">
        <f>-SUMIFS(T_ORCAMENTOS!$E:$E,T_ORCAMENTOS!$C:$C,"Locações de Equipamentos - Comunicação e Marketing",T_ORCAMENTOS!$H:$H,"6/2026")</f>
        <v>0</v>
      </c>
      <c r="Y297" s="27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0</v>
      </c>
      <c r="Z297" s="237"/>
      <c r="AA297" s="26">
        <f>-SUMIFS(T_ORCAMENTOS!$E:$E,T_ORCAMENTOS!$C:$C,"Locações de Equipamentos - Comunicação e Marketing",T_ORCAMENTOS!$H:$H,"7/2026")</f>
        <v>0</v>
      </c>
      <c r="AB297" s="27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0</v>
      </c>
      <c r="AC297" s="237"/>
      <c r="AD297" s="26">
        <f>-SUMIFS(T_ORCAMENTOS!$E:$E,T_ORCAMENTOS!$C:$C,"Locações de Equipamentos - Comunicação e Marketing",T_ORCAMENTOS!$H:$H,"8/2026")</f>
        <v>-572.1</v>
      </c>
      <c r="AE297" s="27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0</v>
      </c>
      <c r="AF297" s="237"/>
      <c r="AG297" s="26">
        <f>-SUMIFS(T_ORCAMENTOS!$E:$E,T_ORCAMENTOS!$C:$C,"Locações de Equipamentos - Comunicação e Marketing",T_ORCAMENTOS!$H:$H,"9/2026")</f>
        <v>-572.1</v>
      </c>
      <c r="AH297" s="27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0</v>
      </c>
      <c r="AI297" s="237"/>
      <c r="AJ297" s="26">
        <f>-SUMIFS(T_ORCAMENTOS!$E:$E,T_ORCAMENTOS!$C:$C,"Locações de Equipamentos - Comunicação e Marketing",T_ORCAMENTOS!$H:$H,"10/2026")</f>
        <v>-572.1</v>
      </c>
      <c r="AK297" s="27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0</v>
      </c>
      <c r="AL297" s="237"/>
      <c r="AM297" s="26">
        <f>-SUMIFS(T_ORCAMENTOS!$E:$E,T_ORCAMENTOS!$C:$C,"Locações de Equipamentos - Comunicação e Marketing",T_ORCAMENTOS!$H:$H,"11/2026")</f>
        <v>-572.1</v>
      </c>
      <c r="AN297" s="27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0</v>
      </c>
      <c r="AO297" s="237"/>
      <c r="AP297" s="26">
        <f>-SUMIFS(T_ORCAMENTOS!$E:$E,T_ORCAMENTOS!$C:$C,"Locações de Equipamentos - Comunicação e Marketing",T_ORCAMENTOS!$H:$H,"12/2026")</f>
        <v>-572.1</v>
      </c>
      <c r="AQ297" s="27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0</v>
      </c>
      <c r="AR297" s="237">
        <f ca="1">SUMIFS($H297:$AO297,$H$5:$AO$5,"&lt;"&amp;MONTH(TODAY()),$H$6:$AO$6,"REAL 25")</f>
        <v>0</v>
      </c>
      <c r="AS297" s="26">
        <f ca="1">SUMIFS($I297:$AP297,$I$5:$AP$5,"&lt;"&amp;MONTH(TODAY()),$I$6:$AP$6,"ORÇADO ")</f>
        <v>-572.1</v>
      </c>
      <c r="AT297" s="27">
        <f ca="1">SUMIFS($J297:$AQ297,$J$5:$AQ$5,"&lt;"&amp;MONTH(TODAY()),$J$6:$AQ$6,"REAL 26")</f>
        <v>0</v>
      </c>
      <c r="AU297" s="237">
        <f t="shared" si="265"/>
        <v>0</v>
      </c>
      <c r="AV297" s="26">
        <f t="shared" si="265"/>
        <v>-2860.5</v>
      </c>
      <c r="AW297" s="27">
        <f t="shared" si="265"/>
        <v>0</v>
      </c>
      <c r="AX297" s="237">
        <f t="shared" si="266"/>
        <v>0</v>
      </c>
      <c r="AY297" s="26">
        <f t="shared" si="266"/>
        <v>0</v>
      </c>
      <c r="AZ297" s="27">
        <f t="shared" si="266"/>
        <v>0</v>
      </c>
      <c r="BA297" s="237">
        <f t="shared" si="267"/>
        <v>0</v>
      </c>
      <c r="BB297" s="26">
        <f t="shared" si="267"/>
        <v>0</v>
      </c>
      <c r="BC297" s="27">
        <f t="shared" si="267"/>
        <v>0</v>
      </c>
      <c r="BD297" s="237">
        <f t="shared" si="268"/>
        <v>0</v>
      </c>
      <c r="BE297" s="26">
        <f t="shared" si="268"/>
        <v>-1144.2</v>
      </c>
      <c r="BF297" s="27">
        <f t="shared" si="268"/>
        <v>0</v>
      </c>
      <c r="BG297" s="237">
        <f t="shared" si="269"/>
        <v>0</v>
      </c>
      <c r="BH297" s="26">
        <f t="shared" si="269"/>
        <v>-1716.3000000000002</v>
      </c>
      <c r="BI297" s="27">
        <f t="shared" si="269"/>
        <v>0</v>
      </c>
      <c r="BJ297" s="454"/>
    </row>
    <row r="298" spans="1:62" s="28" customFormat="1" hidden="1" outlineLevel="1" x14ac:dyDescent="0.3">
      <c r="A298" s="21" t="s">
        <v>321</v>
      </c>
      <c r="B298" s="22"/>
      <c r="C298" s="23" t="s">
        <v>67</v>
      </c>
      <c r="D298" s="112"/>
      <c r="E298" s="111"/>
      <c r="F298" s="54"/>
      <c r="G298" s="32"/>
      <c r="H298" s="237"/>
      <c r="I298" s="26">
        <f>-SUMIFS(T_ORCAMENTOS!$E:$E,T_ORCAMENTOS!$C:$C,"Locação de Utensílios",T_ORCAMENTOS!$H:$H,"1/2026")</f>
        <v>0</v>
      </c>
      <c r="J298" s="27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37"/>
      <c r="L298" s="26">
        <f>-SUMIFS(T_ORCAMENTOS!$E:$E,T_ORCAMENTOS!$C:$C,"Locação de Utensílios",T_ORCAMENTOS!$H:$H,"2/2026")</f>
        <v>0</v>
      </c>
      <c r="M298" s="27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37"/>
      <c r="O298" s="26">
        <f>-SUMIFS(T_ORCAMENTOS!$E:$E,T_ORCAMENTOS!$C:$C,"Locação de Utensílios",T_ORCAMENTOS!$H:$H,"3/2026")</f>
        <v>0</v>
      </c>
      <c r="P298" s="27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37"/>
      <c r="R298" s="26">
        <f>-SUMIFS(T_ORCAMENTOS!$E:$E,T_ORCAMENTOS!$C:$C,"Locação de Utensílios",T_ORCAMENTOS!$H:$H,"4/2026")</f>
        <v>0</v>
      </c>
      <c r="S298" s="27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37"/>
      <c r="U298" s="26">
        <f>-SUMIFS(T_ORCAMENTOS!$E:$E,T_ORCAMENTOS!$C:$C,"Locação de Utensílios",T_ORCAMENTOS!$H:$H,"5/2026")</f>
        <v>0</v>
      </c>
      <c r="V298" s="27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37"/>
      <c r="X298" s="26">
        <f>-SUMIFS(T_ORCAMENTOS!$E:$E,T_ORCAMENTOS!$C:$C,"Locação de Utensílios",T_ORCAMENTOS!$H:$H,"6/2026")</f>
        <v>0</v>
      </c>
      <c r="Y298" s="27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37"/>
      <c r="AA298" s="26">
        <f>-SUMIFS(T_ORCAMENTOS!$E:$E,T_ORCAMENTOS!$C:$C,"Locação de Utensílios",T_ORCAMENTOS!$H:$H,"7/2026")</f>
        <v>0</v>
      </c>
      <c r="AB298" s="27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37"/>
      <c r="AD298" s="26">
        <f>-SUMIFS(T_ORCAMENTOS!$E:$E,T_ORCAMENTOS!$C:$C,"Locação de Utensílios",T_ORCAMENTOS!$H:$H,"8/2026")</f>
        <v>0</v>
      </c>
      <c r="AE298" s="27">
        <f>SUMIFS(Aut_BlueMe_Sem_Pedido!$J:$J,Aut_BlueMe_Sem_Pedido!$Q:$Q,DRE!AC$4,Aut_BlueMe_Sem_Pedido!$H:$H,DRE!$A298)+SUMIFS(Aut_Ajustes_Manuais!$G:$G,Aut_Ajustes_Manuais!$I:$I,DRE!AC$4,Aut_Ajustes_Manuais!$F:$F,"Locação de Utensílios")</f>
        <v>0</v>
      </c>
      <c r="AF298" s="237"/>
      <c r="AG298" s="26">
        <f>-SUMIFS(T_ORCAMENTOS!$E:$E,T_ORCAMENTOS!$C:$C,"Locação de Utensílios",T_ORCAMENTOS!$H:$H,"9/2026")</f>
        <v>0</v>
      </c>
      <c r="AH298" s="27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37"/>
      <c r="AJ298" s="26">
        <f>-SUMIFS(T_ORCAMENTOS!$E:$E,T_ORCAMENTOS!$C:$C,"Locação de Utensílios",T_ORCAMENTOS!$H:$H,"10/2026")</f>
        <v>0</v>
      </c>
      <c r="AK298" s="27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37"/>
      <c r="AM298" s="26">
        <f>-SUMIFS(T_ORCAMENTOS!$E:$E,T_ORCAMENTOS!$C:$C,"Locação de Utensílios",T_ORCAMENTOS!$H:$H,"11/2026")</f>
        <v>0</v>
      </c>
      <c r="AN298" s="27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37"/>
      <c r="AP298" s="26">
        <f>-SUMIFS(T_ORCAMENTOS!$E:$E,T_ORCAMENTOS!$C:$C,"Locação de Utensílios",T_ORCAMENTOS!$H:$H,"12/2026")</f>
        <v>0</v>
      </c>
      <c r="AQ298" s="27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37">
        <f ca="1">SUMIFS($H298:$AO298,$H$5:$AO$5,"&lt;"&amp;MONTH(TODAY()),$H$6:$AO$6,"REAL 25")</f>
        <v>0</v>
      </c>
      <c r="AS298" s="26">
        <f ca="1">SUMIFS($I298:$AP298,$I$5:$AP$5,"&lt;"&amp;MONTH(TODAY()),$I$6:$AP$6,"ORÇADO ")</f>
        <v>0</v>
      </c>
      <c r="AT298" s="27">
        <f ca="1">SUMIFS($J298:$AQ298,$J$5:$AQ$5,"&lt;"&amp;MONTH(TODAY()),$J$6:$AQ$6,"REAL 26")</f>
        <v>0</v>
      </c>
      <c r="AU298" s="237">
        <f t="shared" si="265"/>
        <v>0</v>
      </c>
      <c r="AV298" s="26">
        <f t="shared" si="265"/>
        <v>0</v>
      </c>
      <c r="AW298" s="27">
        <f t="shared" si="265"/>
        <v>0</v>
      </c>
      <c r="AX298" s="237">
        <f t="shared" si="266"/>
        <v>0</v>
      </c>
      <c r="AY298" s="26">
        <f t="shared" si="266"/>
        <v>0</v>
      </c>
      <c r="AZ298" s="27">
        <f t="shared" si="266"/>
        <v>0</v>
      </c>
      <c r="BA298" s="237">
        <f t="shared" si="267"/>
        <v>0</v>
      </c>
      <c r="BB298" s="26">
        <f t="shared" si="267"/>
        <v>0</v>
      </c>
      <c r="BC298" s="27">
        <f t="shared" si="267"/>
        <v>0</v>
      </c>
      <c r="BD298" s="237">
        <f t="shared" si="268"/>
        <v>0</v>
      </c>
      <c r="BE298" s="26">
        <f t="shared" si="268"/>
        <v>0</v>
      </c>
      <c r="BF298" s="27">
        <f t="shared" si="268"/>
        <v>0</v>
      </c>
      <c r="BG298" s="237">
        <f t="shared" si="269"/>
        <v>0</v>
      </c>
      <c r="BH298" s="26">
        <f t="shared" si="269"/>
        <v>0</v>
      </c>
      <c r="BI298" s="27">
        <f t="shared" si="269"/>
        <v>0</v>
      </c>
      <c r="BJ298" s="454"/>
    </row>
    <row r="299" spans="1:62" s="28" customFormat="1" hidden="1" outlineLevel="1" x14ac:dyDescent="0.3">
      <c r="A299" s="21"/>
      <c r="B299" s="22"/>
      <c r="C299" s="23"/>
      <c r="D299" s="112"/>
      <c r="E299" s="112"/>
      <c r="F299" s="54"/>
      <c r="G299" s="32"/>
      <c r="H299" s="237"/>
      <c r="I299" s="26"/>
      <c r="J299" s="27"/>
      <c r="K299" s="237"/>
      <c r="L299" s="26"/>
      <c r="M299" s="27"/>
      <c r="N299" s="237"/>
      <c r="O299" s="26"/>
      <c r="P299" s="27"/>
      <c r="Q299" s="237"/>
      <c r="R299" s="26"/>
      <c r="S299" s="27"/>
      <c r="T299" s="237"/>
      <c r="U299" s="26"/>
      <c r="V299" s="27"/>
      <c r="W299" s="237"/>
      <c r="X299" s="26"/>
      <c r="Y299" s="27"/>
      <c r="Z299" s="237"/>
      <c r="AA299" s="26"/>
      <c r="AB299" s="27"/>
      <c r="AC299" s="237"/>
      <c r="AD299" s="26"/>
      <c r="AE299" s="27"/>
      <c r="AF299" s="237"/>
      <c r="AG299" s="26"/>
      <c r="AH299" s="27"/>
      <c r="AI299" s="237"/>
      <c r="AJ299" s="26"/>
      <c r="AK299" s="27"/>
      <c r="AL299" s="237"/>
      <c r="AM299" s="26"/>
      <c r="AN299" s="27"/>
      <c r="AO299" s="237"/>
      <c r="AP299" s="26"/>
      <c r="AQ299" s="27"/>
      <c r="AR299" s="237">
        <f ca="1">SUMIFS($H299:$AO299,$H$5:$AO$5,"&lt;"&amp;MONTH(TODAY()),$H$6:$AO$6,"REAL 25")</f>
        <v>0</v>
      </c>
      <c r="AS299" s="26">
        <f ca="1">SUMIFS($I299:$AP299,$I$5:$AP$5,"&lt;"&amp;MONTH(TODAY()),$I$6:$AP$6,"ORÇADO ")</f>
        <v>0</v>
      </c>
      <c r="AT299" s="27">
        <f ca="1">SUMIFS($J299:$AQ299,$J$5:$AQ$5,"&lt;"&amp;MONTH(TODAY()),$J$6:$AQ$6,"REAL 26")</f>
        <v>0</v>
      </c>
      <c r="AU299" s="237">
        <f t="shared" si="265"/>
        <v>0</v>
      </c>
      <c r="AV299" s="26">
        <f t="shared" si="265"/>
        <v>0</v>
      </c>
      <c r="AW299" s="27">
        <f t="shared" si="265"/>
        <v>0</v>
      </c>
      <c r="AX299" s="237">
        <f t="shared" si="266"/>
        <v>0</v>
      </c>
      <c r="AY299" s="26">
        <f t="shared" si="266"/>
        <v>0</v>
      </c>
      <c r="AZ299" s="27">
        <f t="shared" si="266"/>
        <v>0</v>
      </c>
      <c r="BA299" s="237">
        <f t="shared" si="267"/>
        <v>0</v>
      </c>
      <c r="BB299" s="26">
        <f t="shared" si="267"/>
        <v>0</v>
      </c>
      <c r="BC299" s="27">
        <f t="shared" si="267"/>
        <v>0</v>
      </c>
      <c r="BD299" s="237">
        <f t="shared" si="268"/>
        <v>0</v>
      </c>
      <c r="BE299" s="26">
        <f t="shared" si="268"/>
        <v>0</v>
      </c>
      <c r="BF299" s="27">
        <f t="shared" si="268"/>
        <v>0</v>
      </c>
      <c r="BG299" s="237">
        <f t="shared" si="269"/>
        <v>0</v>
      </c>
      <c r="BH299" s="26">
        <f t="shared" si="269"/>
        <v>0</v>
      </c>
      <c r="BI299" s="27">
        <f t="shared" si="269"/>
        <v>0</v>
      </c>
      <c r="BJ299" s="454"/>
    </row>
    <row r="300" spans="1:62" collapsed="1" x14ac:dyDescent="0.3">
      <c r="A300" s="69" t="s">
        <v>44</v>
      </c>
      <c r="B300" s="57"/>
      <c r="C300" s="58"/>
      <c r="D300" s="59"/>
      <c r="E300" s="60"/>
      <c r="F300" s="61"/>
      <c r="G300" s="45"/>
      <c r="H300" s="241"/>
      <c r="I300" s="48">
        <f>IFERROR(I294/I8,0)</f>
        <v>0</v>
      </c>
      <c r="J300" s="49">
        <f>IFERROR(J294/J8,0)+SUMIFS(Aut_Ajustes_Manuais!$G:$G,Aut_Ajustes_Manuais!$I:$I,DRE!H$4,Aut_Ajustes_Manuais!$F:$F,"% sobre Receita Bruta")</f>
        <v>0</v>
      </c>
      <c r="K300" s="241"/>
      <c r="L300" s="48">
        <f>IFERROR(L294/L8,0)</f>
        <v>0</v>
      </c>
      <c r="M300" s="49">
        <f>IFERROR(M294/M8,0)+SUMIFS(Aut_Ajustes_Manuais!$G:$G,Aut_Ajustes_Manuais!$I:$I,DRE!K$4,Aut_Ajustes_Manuais!$F:$F,"% sobre Receita Bruta")</f>
        <v>0</v>
      </c>
      <c r="N300" s="241"/>
      <c r="O300" s="48">
        <f>IFERROR(O294/O8,0)</f>
        <v>0</v>
      </c>
      <c r="P300" s="49">
        <f>IFERROR(P294/P8,0)+SUMIFS(Aut_Ajustes_Manuais!$G:$G,Aut_Ajustes_Manuais!$I:$I,DRE!N$4,Aut_Ajustes_Manuais!$F:$F,"% sobre Receita Bruta")</f>
        <v>0</v>
      </c>
      <c r="Q300" s="241"/>
      <c r="R300" s="48">
        <f>IFERROR(R294/R8,0)</f>
        <v>0</v>
      </c>
      <c r="S300" s="49">
        <f>IFERROR(S294/S8,0)+SUMIFS(Aut_Ajustes_Manuais!$G:$G,Aut_Ajustes_Manuais!$I:$I,DRE!Q$4,Aut_Ajustes_Manuais!$F:$F,"% sobre Receita Bruta")</f>
        <v>0</v>
      </c>
      <c r="T300" s="241"/>
      <c r="U300" s="48">
        <f>IFERROR(U294/U8,0)</f>
        <v>0</v>
      </c>
      <c r="V300" s="49">
        <f>IFERROR(V294/V8,0)+SUMIFS(Aut_Ajustes_Manuais!$G:$G,Aut_Ajustes_Manuais!$I:$I,DRE!T$4,Aut_Ajustes_Manuais!$F:$F,"% sobre Receita Bruta")</f>
        <v>0</v>
      </c>
      <c r="W300" s="241"/>
      <c r="X300" s="48">
        <f>IFERROR(X294/X8,0)</f>
        <v>0</v>
      </c>
      <c r="Y300" s="49">
        <f>IFERROR(Y294/Y8,0)+SUMIFS(Aut_Ajustes_Manuais!$G:$G,Aut_Ajustes_Manuais!$I:$I,DRE!W$4,Aut_Ajustes_Manuais!$F:$F,"% sobre Receita Bruta")</f>
        <v>0</v>
      </c>
      <c r="Z300" s="241"/>
      <c r="AA300" s="48">
        <f>IFERROR(AA294/AA8,0)</f>
        <v>0</v>
      </c>
      <c r="AB300" s="49">
        <f>IFERROR(AB294/AB8,0)+SUMIFS(Aut_Ajustes_Manuais!$G:$G,Aut_Ajustes_Manuais!$I:$I,DRE!Z$4,Aut_Ajustes_Manuais!$F:$F,"% sobre Receita Bruta")</f>
        <v>0</v>
      </c>
      <c r="AC300" s="241"/>
      <c r="AD300" s="48">
        <f>IFERROR(AD294/AD8,0)</f>
        <v>-1.1195965285104022E-3</v>
      </c>
      <c r="AE300" s="49">
        <f>IFERROR(AE294/AE8,0)+SUMIFS(Aut_Ajustes_Manuais!$G:$G,Aut_Ajustes_Manuais!$I:$I,DRE!AC$4,Aut_Ajustes_Manuais!$F:$F,"% sobre Receita Bruta")</f>
        <v>0</v>
      </c>
      <c r="AF300" s="241"/>
      <c r="AG300" s="48">
        <f>IFERROR(AG294/AG8,0)</f>
        <v>-1.1556159904342984E-3</v>
      </c>
      <c r="AH300" s="49">
        <f>IFERROR(AH294/AH8,0)+SUMIFS(Aut_Ajustes_Manuais!$G:$G,Aut_Ajustes_Manuais!$I:$I,DRE!AF$4,Aut_Ajustes_Manuais!$F:$F,"% sobre Receita Bruta")</f>
        <v>0</v>
      </c>
      <c r="AI300" s="241"/>
      <c r="AJ300" s="48">
        <f>IFERROR(AJ294/AJ8,0)</f>
        <v>-1.0528818374191742E-3</v>
      </c>
      <c r="AK300" s="49">
        <f>IFERROR(AK294/AK8,0)+SUMIFS(Aut_Ajustes_Manuais!$G:$G,Aut_Ajustes_Manuais!$I:$I,DRE!AI$4,Aut_Ajustes_Manuais!$F:$F,"% sobre Receita Bruta")</f>
        <v>0</v>
      </c>
      <c r="AL300" s="241"/>
      <c r="AM300" s="48">
        <f>IFERROR(AM294/AM8,0)</f>
        <v>-1.1429354832274924E-3</v>
      </c>
      <c r="AN300" s="49">
        <f>IFERROR(AN294/AN8,0)+SUMIFS(Aut_Ajustes_Manuais!$G:$G,Aut_Ajustes_Manuais!$I:$I,DRE!AL$4,Aut_Ajustes_Manuais!$F:$F,"% sobre Receita Bruta")</f>
        <v>0</v>
      </c>
      <c r="AO300" s="241"/>
      <c r="AP300" s="48">
        <f>IFERROR(AP294/AP8,0)</f>
        <v>-1.0490760338513747E-3</v>
      </c>
      <c r="AQ300" s="49">
        <f>IFERROR(AQ294/AQ8,0)+SUMIFS(Aut_Ajustes_Manuais!$G:$G,Aut_Ajustes_Manuais!$I:$I,DRE!AO$4,Aut_Ajustes_Manuais!$F:$F,"% sobre Receita Bruta")</f>
        <v>0</v>
      </c>
      <c r="AR300" s="241">
        <f t="shared" ref="AR300:BI300" ca="1" si="270">IFERROR(AR294/AR8,0)</f>
        <v>0</v>
      </c>
      <c r="AS300" s="48">
        <f t="shared" ca="1" si="270"/>
        <v>-1.1195965285104022E-3</v>
      </c>
      <c r="AT300" s="49">
        <f t="shared" ca="1" si="270"/>
        <v>0</v>
      </c>
      <c r="AU300" s="241">
        <f t="shared" si="270"/>
        <v>0</v>
      </c>
      <c r="AV300" s="48">
        <f t="shared" si="270"/>
        <v>-1.1021828817086299E-3</v>
      </c>
      <c r="AW300" s="49">
        <f t="shared" si="270"/>
        <v>0</v>
      </c>
      <c r="AX300" s="241">
        <f t="shared" si="270"/>
        <v>0</v>
      </c>
      <c r="AY300" s="48">
        <f t="shared" si="270"/>
        <v>0</v>
      </c>
      <c r="AZ300" s="49">
        <f t="shared" si="270"/>
        <v>0</v>
      </c>
      <c r="BA300" s="241">
        <f t="shared" si="270"/>
        <v>0</v>
      </c>
      <c r="BB300" s="48">
        <f t="shared" si="270"/>
        <v>0</v>
      </c>
      <c r="BC300" s="49">
        <f t="shared" si="270"/>
        <v>0</v>
      </c>
      <c r="BD300" s="241">
        <f t="shared" si="270"/>
        <v>0</v>
      </c>
      <c r="BE300" s="48">
        <f t="shared" si="270"/>
        <v>-1.137321142889507E-3</v>
      </c>
      <c r="BF300" s="49">
        <f t="shared" si="270"/>
        <v>0</v>
      </c>
      <c r="BG300" s="241">
        <f t="shared" si="270"/>
        <v>0</v>
      </c>
      <c r="BH300" s="48">
        <f t="shared" si="270"/>
        <v>-1.0799392738520771E-3</v>
      </c>
      <c r="BI300" s="49">
        <f t="shared" si="270"/>
        <v>0</v>
      </c>
    </row>
    <row r="301" spans="1:62" x14ac:dyDescent="0.3">
      <c r="A301" s="17"/>
      <c r="E301" s="15"/>
      <c r="F301" s="16"/>
      <c r="G301" s="45"/>
      <c r="H301" s="252"/>
      <c r="I301" s="228"/>
      <c r="J301" s="83"/>
      <c r="K301" s="252"/>
      <c r="L301" s="228"/>
      <c r="M301" s="83"/>
      <c r="N301" s="252"/>
      <c r="O301" s="228"/>
      <c r="P301" s="83"/>
      <c r="Q301" s="252"/>
      <c r="R301" s="228"/>
      <c r="S301" s="83"/>
      <c r="T301" s="252"/>
      <c r="U301" s="228"/>
      <c r="V301" s="83"/>
      <c r="W301" s="252"/>
      <c r="X301" s="228"/>
      <c r="Y301" s="83"/>
      <c r="Z301" s="252"/>
      <c r="AA301" s="228"/>
      <c r="AB301" s="83"/>
      <c r="AC301" s="252"/>
      <c r="AD301" s="228"/>
      <c r="AE301" s="83"/>
      <c r="AF301" s="252"/>
      <c r="AG301" s="228"/>
      <c r="AH301" s="83"/>
      <c r="AI301" s="252"/>
      <c r="AJ301" s="228"/>
      <c r="AK301" s="83"/>
      <c r="AL301" s="252"/>
      <c r="AM301" s="228"/>
      <c r="AN301" s="83"/>
      <c r="AO301" s="252"/>
      <c r="AP301" s="228"/>
      <c r="AQ301" s="83"/>
      <c r="AR301" s="252"/>
      <c r="AS301" s="228"/>
      <c r="AT301" s="83"/>
      <c r="AU301" s="252"/>
      <c r="AV301" s="228"/>
      <c r="AW301" s="83"/>
      <c r="AX301" s="252"/>
      <c r="AY301" s="228"/>
      <c r="AZ301" s="83"/>
      <c r="BA301" s="252"/>
      <c r="BB301" s="228"/>
      <c r="BC301" s="83"/>
      <c r="BD301" s="252"/>
      <c r="BE301" s="228"/>
      <c r="BF301" s="83"/>
      <c r="BG301" s="252"/>
      <c r="BH301" s="228"/>
      <c r="BI301" s="83"/>
    </row>
    <row r="302" spans="1:62" x14ac:dyDescent="0.3">
      <c r="A302" s="37" t="s">
        <v>322</v>
      </c>
      <c r="C302" s="38" t="s">
        <v>35</v>
      </c>
      <c r="D302" s="38" t="s">
        <v>36</v>
      </c>
      <c r="E302" s="38" t="s">
        <v>201</v>
      </c>
      <c r="F302" s="39"/>
      <c r="G302" s="45"/>
      <c r="H302" s="240"/>
      <c r="I302" s="40">
        <f>SUM(I303:I305)</f>
        <v>0</v>
      </c>
      <c r="J302" s="41">
        <f>SUM(J303:J305)+SUMIFS(Aut_Ajustes_Manuais!$G:$G,Aut_Ajustes_Manuais!$I:$I,DRE!H$4,Aut_Ajustes_Manuais!$F:$F,"Sistema de Franquias")</f>
        <v>0</v>
      </c>
      <c r="K302" s="240"/>
      <c r="L302" s="40">
        <f>SUM(L303:L305)</f>
        <v>0</v>
      </c>
      <c r="M302" s="41">
        <f>SUM(M303:M305)+SUMIFS(Aut_Ajustes_Manuais!$G:$G,Aut_Ajustes_Manuais!$I:$I,DRE!K$4,Aut_Ajustes_Manuais!$F:$F,"Sistema de Franquias")</f>
        <v>0</v>
      </c>
      <c r="N302" s="240"/>
      <c r="O302" s="40">
        <f>SUM(O303:O305)</f>
        <v>0</v>
      </c>
      <c r="P302" s="41">
        <f>SUM(P303:P305)+SUMIFS(Aut_Ajustes_Manuais!$G:$G,Aut_Ajustes_Manuais!$I:$I,DRE!N$4,Aut_Ajustes_Manuais!$F:$F,"Sistema de Franquias")</f>
        <v>0</v>
      </c>
      <c r="Q302" s="240"/>
      <c r="R302" s="40">
        <f>SUM(R303:R305)</f>
        <v>0</v>
      </c>
      <c r="S302" s="41">
        <f>SUM(S303:S305)+SUMIFS(Aut_Ajustes_Manuais!$G:$G,Aut_Ajustes_Manuais!$I:$I,DRE!Q$4,Aut_Ajustes_Manuais!$F:$F,"Sistema de Franquias")</f>
        <v>0</v>
      </c>
      <c r="T302" s="240"/>
      <c r="U302" s="40">
        <f>SUM(U303:U305)</f>
        <v>0</v>
      </c>
      <c r="V302" s="41">
        <f>SUM(V303:V305)+SUMIFS(Aut_Ajustes_Manuais!$G:$G,Aut_Ajustes_Manuais!$I:$I,DRE!T$4,Aut_Ajustes_Manuais!$F:$F,"Sistema de Franquias")</f>
        <v>0</v>
      </c>
      <c r="W302" s="240"/>
      <c r="X302" s="40">
        <f>SUM(X303:X305)</f>
        <v>0</v>
      </c>
      <c r="Y302" s="41">
        <f>SUM(Y303:Y305)+SUMIFS(Aut_Ajustes_Manuais!$G:$G,Aut_Ajustes_Manuais!$I:$I,DRE!W$4,Aut_Ajustes_Manuais!$F:$F,"Sistema de Franquias")</f>
        <v>0</v>
      </c>
      <c r="Z302" s="240"/>
      <c r="AA302" s="40">
        <f>SUM(AA303:AA305)</f>
        <v>0</v>
      </c>
      <c r="AB302" s="41">
        <f>SUM(AB303:AB305)+SUMIFS(Aut_Ajustes_Manuais!$G:$G,Aut_Ajustes_Manuais!$I:$I,DRE!Z$4,Aut_Ajustes_Manuais!$F:$F,"Sistema de Franquias")</f>
        <v>-17032.821000000004</v>
      </c>
      <c r="AC302" s="240"/>
      <c r="AD302" s="40">
        <f>SUM(AD303:AD305)</f>
        <v>-239478.23</v>
      </c>
      <c r="AE302" s="41">
        <f>SUM(AE303:AE305)+SUMIFS(Aut_Ajustes_Manuais!$G:$G,Aut_Ajustes_Manuais!$I:$I,DRE!AC$4,Aut_Ajustes_Manuais!$F:$F,"Sistema de Franquias")</f>
        <v>0</v>
      </c>
      <c r="AF302" s="240"/>
      <c r="AG302" s="40">
        <f>SUM(AG303:AG305)</f>
        <v>-232013.92</v>
      </c>
      <c r="AH302" s="41">
        <f>SUM(AH303:AH305)+SUMIFS(Aut_Ajustes_Manuais!$G:$G,Aut_Ajustes_Manuais!$I:$I,DRE!AF$4,Aut_Ajustes_Manuais!$F:$F,"Sistema de Franquias")</f>
        <v>0</v>
      </c>
      <c r="AI302" s="240"/>
      <c r="AJ302" s="40">
        <f>SUM(AJ303:AJ305)</f>
        <v>-254652.51</v>
      </c>
      <c r="AK302" s="41">
        <f>SUM(AK303:AK305)+SUMIFS(Aut_Ajustes_Manuais!$G:$G,Aut_Ajustes_Manuais!$I:$I,DRE!AI$4,Aut_Ajustes_Manuais!$F:$F,"Sistema de Franquias")</f>
        <v>0</v>
      </c>
      <c r="AL302" s="240"/>
      <c r="AM302" s="40">
        <f>SUM(AM303:AM305)</f>
        <v>-234588.04</v>
      </c>
      <c r="AN302" s="41">
        <f>SUM(AN303:AN305)+SUMIFS(Aut_Ajustes_Manuais!$G:$G,Aut_Ajustes_Manuais!$I:$I,DRE!AL$4,Aut_Ajustes_Manuais!$F:$F,"Sistema de Franquias")</f>
        <v>0</v>
      </c>
      <c r="AO302" s="240"/>
      <c r="AP302" s="40">
        <f>SUM(AP303:AP305)</f>
        <v>-255576.33</v>
      </c>
      <c r="AQ302" s="41">
        <f>SUM(AQ303:AQ305)+SUMIFS(Aut_Ajustes_Manuais!$G:$G,Aut_Ajustes_Manuais!$I:$I,DRE!AO$4,Aut_Ajustes_Manuais!$F:$F,"Sistema de Franquias")</f>
        <v>0</v>
      </c>
      <c r="AR302" s="240">
        <f t="shared" ref="AR302:BI302" ca="1" si="271">SUM(AR303:AR305)</f>
        <v>0</v>
      </c>
      <c r="AS302" s="40">
        <f t="shared" ca="1" si="271"/>
        <v>-239478.23</v>
      </c>
      <c r="AT302" s="41">
        <f t="shared" ca="1" si="271"/>
        <v>-17032.821000000004</v>
      </c>
      <c r="AU302" s="240">
        <f t="shared" si="271"/>
        <v>0</v>
      </c>
      <c r="AV302" s="40">
        <f t="shared" si="271"/>
        <v>-1216309.03</v>
      </c>
      <c r="AW302" s="41">
        <f t="shared" si="271"/>
        <v>-17032.821000000004</v>
      </c>
      <c r="AX302" s="240">
        <f t="shared" si="271"/>
        <v>0</v>
      </c>
      <c r="AY302" s="40">
        <f t="shared" si="271"/>
        <v>0</v>
      </c>
      <c r="AZ302" s="41">
        <f t="shared" si="271"/>
        <v>0</v>
      </c>
      <c r="BA302" s="240">
        <f t="shared" si="271"/>
        <v>0</v>
      </c>
      <c r="BB302" s="40">
        <f t="shared" si="271"/>
        <v>0</v>
      </c>
      <c r="BC302" s="41">
        <f t="shared" si="271"/>
        <v>0</v>
      </c>
      <c r="BD302" s="240">
        <f t="shared" si="271"/>
        <v>0</v>
      </c>
      <c r="BE302" s="40">
        <f t="shared" si="271"/>
        <v>-471492.15</v>
      </c>
      <c r="BF302" s="41">
        <f t="shared" si="271"/>
        <v>-17032.821000000004</v>
      </c>
      <c r="BG302" s="240">
        <f t="shared" si="271"/>
        <v>0</v>
      </c>
      <c r="BH302" s="40">
        <f t="shared" si="271"/>
        <v>-744816.88</v>
      </c>
      <c r="BI302" s="41">
        <f t="shared" si="271"/>
        <v>0</v>
      </c>
    </row>
    <row r="303" spans="1:62" s="28" customFormat="1" hidden="1" outlineLevel="1" x14ac:dyDescent="0.3">
      <c r="A303" s="21" t="s">
        <v>323</v>
      </c>
      <c r="B303" s="22"/>
      <c r="C303" s="23" t="s">
        <v>60</v>
      </c>
      <c r="D303" s="24"/>
      <c r="E303" s="120"/>
      <c r="F303" s="54"/>
      <c r="G303" s="32"/>
      <c r="H303" s="237"/>
      <c r="I303" s="26">
        <f>-SUMIFS(T_ORCAMENTOS!$E:$E,T_ORCAMENTOS!$C:$C,"Royalties",T_ORCAMENTOS!$H:$H,"1/2026")</f>
        <v>0</v>
      </c>
      <c r="J303" s="27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37"/>
      <c r="L303" s="26">
        <f>-SUMIFS(T_ORCAMENTOS!$E:$E,T_ORCAMENTOS!$C:$C,"Royalties",T_ORCAMENTOS!$H:$H,"2/2026")</f>
        <v>0</v>
      </c>
      <c r="M303" s="27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37"/>
      <c r="O303" s="26">
        <f>-SUMIFS(T_ORCAMENTOS!$E:$E,T_ORCAMENTOS!$C:$C,"Royalties",T_ORCAMENTOS!$H:$H,"3/2026")</f>
        <v>0</v>
      </c>
      <c r="P303" s="27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37"/>
      <c r="R303" s="26">
        <f>-SUMIFS(T_ORCAMENTOS!$E:$E,T_ORCAMENTOS!$C:$C,"Royalties",T_ORCAMENTOS!$H:$H,"4/2026")</f>
        <v>0</v>
      </c>
      <c r="S303" s="27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37"/>
      <c r="U303" s="26">
        <f>-SUMIFS(T_ORCAMENTOS!$E:$E,T_ORCAMENTOS!$C:$C,"Royalties",T_ORCAMENTOS!$H:$H,"5/2026")</f>
        <v>0</v>
      </c>
      <c r="V303" s="27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37"/>
      <c r="X303" s="26">
        <f>-SUMIFS(T_ORCAMENTOS!$E:$E,T_ORCAMENTOS!$C:$C,"Royalties",T_ORCAMENTOS!$H:$H,"6/2026")</f>
        <v>0</v>
      </c>
      <c r="Y303" s="27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37"/>
      <c r="AA303" s="26">
        <f>-SUMIFS(T_ORCAMENTOS!$E:$E,T_ORCAMENTOS!$C:$C,"Royalties",T_ORCAMENTOS!$H:$H,"7/2026")</f>
        <v>0</v>
      </c>
      <c r="AB303" s="27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37"/>
      <c r="AD303" s="26">
        <f>-SUMIFS(T_ORCAMENTOS!$E:$E,T_ORCAMENTOS!$C:$C,"Royalties",T_ORCAMENTOS!$H:$H,"8/2026")</f>
        <v>0</v>
      </c>
      <c r="AE303" s="27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37"/>
      <c r="AG303" s="26">
        <f>-SUMIFS(T_ORCAMENTOS!$E:$E,T_ORCAMENTOS!$C:$C,"Royalties",T_ORCAMENTOS!$H:$H,"9/2026")</f>
        <v>0</v>
      </c>
      <c r="AH303" s="27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37"/>
      <c r="AJ303" s="26">
        <f>-SUMIFS(T_ORCAMENTOS!$E:$E,T_ORCAMENTOS!$C:$C,"Royalties",T_ORCAMENTOS!$H:$H,"10/2026")</f>
        <v>0</v>
      </c>
      <c r="AK303" s="27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37"/>
      <c r="AM303" s="26">
        <f>-SUMIFS(T_ORCAMENTOS!$E:$E,T_ORCAMENTOS!$C:$C,"Royalties",T_ORCAMENTOS!$H:$H,"11/2026")</f>
        <v>0</v>
      </c>
      <c r="AN303" s="27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37"/>
      <c r="AP303" s="26">
        <f>-SUMIFS(T_ORCAMENTOS!$E:$E,T_ORCAMENTOS!$C:$C,"Royalties",T_ORCAMENTOS!$H:$H,"12/2026")</f>
        <v>0</v>
      </c>
      <c r="AQ303" s="27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37">
        <f ca="1">SUMIFS($H303:$AO303,$H$5:$AO$5,"&lt;"&amp;MONTH(TODAY()),$H$6:$AO$6,"REAL 25")</f>
        <v>0</v>
      </c>
      <c r="AS303" s="26">
        <f ca="1">SUMIFS($I303:$AP303,$I$5:$AP$5,"&lt;"&amp;MONTH(TODAY()),$I$6:$AP$6,"ORÇADO ")</f>
        <v>0</v>
      </c>
      <c r="AT303" s="27">
        <f ca="1">SUMIFS($J303:$AQ303,$J$5:$AQ$5,"&lt;"&amp;MONTH(TODAY()),$J$6:$AQ$6,"REAL 26")</f>
        <v>0</v>
      </c>
      <c r="AU303" s="237">
        <f t="shared" ref="AU303:AW305" si="272">SUM(H303,K303,N303,Q303,T303,W303,Z303,AC303,AF303,AI303,AL303,AO303)</f>
        <v>0</v>
      </c>
      <c r="AV303" s="26">
        <f t="shared" si="272"/>
        <v>0</v>
      </c>
      <c r="AW303" s="27">
        <f t="shared" si="272"/>
        <v>0</v>
      </c>
      <c r="AX303" s="237">
        <f t="shared" ref="AX303:AZ305" si="273">SUM(H303,K303,N303)</f>
        <v>0</v>
      </c>
      <c r="AY303" s="26">
        <f t="shared" si="273"/>
        <v>0</v>
      </c>
      <c r="AZ303" s="27">
        <f t="shared" si="273"/>
        <v>0</v>
      </c>
      <c r="BA303" s="237">
        <f t="shared" ref="BA303:BC305" si="274">SUM(Q303,T303,W303)</f>
        <v>0</v>
      </c>
      <c r="BB303" s="26">
        <f t="shared" si="274"/>
        <v>0</v>
      </c>
      <c r="BC303" s="27">
        <f t="shared" si="274"/>
        <v>0</v>
      </c>
      <c r="BD303" s="237">
        <f t="shared" ref="BD303:BF305" si="275">SUM(Z303,AC303,AF303)</f>
        <v>0</v>
      </c>
      <c r="BE303" s="26">
        <f t="shared" si="275"/>
        <v>0</v>
      </c>
      <c r="BF303" s="27">
        <f t="shared" si="275"/>
        <v>0</v>
      </c>
      <c r="BG303" s="237">
        <f t="shared" ref="BG303:BI305" si="276">SUM(AI303,AL303,AO303)</f>
        <v>0</v>
      </c>
      <c r="BH303" s="26">
        <f t="shared" si="276"/>
        <v>0</v>
      </c>
      <c r="BI303" s="27">
        <f t="shared" si="276"/>
        <v>0</v>
      </c>
      <c r="BJ303" s="454"/>
    </row>
    <row r="304" spans="1:62" s="28" customFormat="1" hidden="1" outlineLevel="1" x14ac:dyDescent="0.3">
      <c r="A304" s="21" t="s">
        <v>324</v>
      </c>
      <c r="B304" s="22"/>
      <c r="C304" s="23" t="s">
        <v>60</v>
      </c>
      <c r="D304" s="24"/>
      <c r="E304" s="120"/>
      <c r="F304" s="54"/>
      <c r="G304" s="32"/>
      <c r="H304" s="237"/>
      <c r="I304" s="26">
        <f>-SUMIFS(T_ORCAMENTOS!$E:$E,T_ORCAMENTOS!$C:$C,"Fundo de Propaganda",T_ORCAMENTOS!$H:$H,"1/2026")</f>
        <v>0</v>
      </c>
      <c r="J304" s="27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37"/>
      <c r="L304" s="26">
        <f>-SUMIFS(T_ORCAMENTOS!$E:$E,T_ORCAMENTOS!$C:$C,"Fundo de Propaganda",T_ORCAMENTOS!$H:$H,"2/2026")</f>
        <v>0</v>
      </c>
      <c r="M304" s="27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37"/>
      <c r="O304" s="26">
        <f>-SUMIFS(T_ORCAMENTOS!$E:$E,T_ORCAMENTOS!$C:$C,"Fundo de Propaganda",T_ORCAMENTOS!$H:$H,"3/2026")</f>
        <v>0</v>
      </c>
      <c r="P304" s="27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37"/>
      <c r="R304" s="26">
        <f>-SUMIFS(T_ORCAMENTOS!$E:$E,T_ORCAMENTOS!$C:$C,"Fundo de Propaganda",T_ORCAMENTOS!$H:$H,"4/2026")</f>
        <v>0</v>
      </c>
      <c r="S304" s="27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37"/>
      <c r="U304" s="26">
        <f>-SUMIFS(T_ORCAMENTOS!$E:$E,T_ORCAMENTOS!$C:$C,"Fundo de Propaganda",T_ORCAMENTOS!$H:$H,"5/2026")</f>
        <v>0</v>
      </c>
      <c r="V304" s="27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37"/>
      <c r="X304" s="26">
        <f>-SUMIFS(T_ORCAMENTOS!$E:$E,T_ORCAMENTOS!$C:$C,"Fundo de Propaganda",T_ORCAMENTOS!$H:$H,"6/2026")</f>
        <v>0</v>
      </c>
      <c r="Y304" s="27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37"/>
      <c r="AA304" s="26">
        <f>-SUMIFS(T_ORCAMENTOS!$E:$E,T_ORCAMENTOS!$C:$C,"Fundo de Propaganda",T_ORCAMENTOS!$H:$H,"7/2026")</f>
        <v>0</v>
      </c>
      <c r="AB304" s="27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37"/>
      <c r="AD304" s="26">
        <f>-SUMIFS(T_ORCAMENTOS!$E:$E,T_ORCAMENTOS!$C:$C,"Fundo de Propaganda",T_ORCAMENTOS!$H:$H,"8/2026")</f>
        <v>0</v>
      </c>
      <c r="AE304" s="27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37"/>
      <c r="AG304" s="26">
        <f>-SUMIFS(T_ORCAMENTOS!$E:$E,T_ORCAMENTOS!$C:$C,"Fundo de Propaganda",T_ORCAMENTOS!$H:$H,"9/2026")</f>
        <v>0</v>
      </c>
      <c r="AH304" s="27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37"/>
      <c r="AJ304" s="26">
        <f>-SUMIFS(T_ORCAMENTOS!$E:$E,T_ORCAMENTOS!$C:$C,"Fundo de Propaganda",T_ORCAMENTOS!$H:$H,"10/2026")</f>
        <v>0</v>
      </c>
      <c r="AK304" s="27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37"/>
      <c r="AM304" s="26">
        <f>-SUMIFS(T_ORCAMENTOS!$E:$E,T_ORCAMENTOS!$C:$C,"Fundo de Propaganda",T_ORCAMENTOS!$H:$H,"11/2026")</f>
        <v>0</v>
      </c>
      <c r="AN304" s="27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37"/>
      <c r="AP304" s="26">
        <f>-SUMIFS(T_ORCAMENTOS!$E:$E,T_ORCAMENTOS!$C:$C,"Fundo de Propaganda",T_ORCAMENTOS!$H:$H,"12/2026")</f>
        <v>0</v>
      </c>
      <c r="AQ304" s="27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37">
        <f ca="1">SUMIFS($H304:$AO304,$H$5:$AO$5,"&lt;"&amp;MONTH(TODAY()),$H$6:$AO$6,"REAL 25")</f>
        <v>0</v>
      </c>
      <c r="AS304" s="26">
        <f ca="1">SUMIFS($I304:$AP304,$I$5:$AP$5,"&lt;"&amp;MONTH(TODAY()),$I$6:$AP$6,"ORÇADO ")</f>
        <v>0</v>
      </c>
      <c r="AT304" s="27">
        <f ca="1">SUMIFS($J304:$AQ304,$J$5:$AQ$5,"&lt;"&amp;MONTH(TODAY()),$J$6:$AQ$6,"REAL 26")</f>
        <v>0</v>
      </c>
      <c r="AU304" s="237">
        <f t="shared" si="272"/>
        <v>0</v>
      </c>
      <c r="AV304" s="26">
        <f t="shared" si="272"/>
        <v>0</v>
      </c>
      <c r="AW304" s="27">
        <f t="shared" si="272"/>
        <v>0</v>
      </c>
      <c r="AX304" s="237">
        <f t="shared" si="273"/>
        <v>0</v>
      </c>
      <c r="AY304" s="26">
        <f t="shared" si="273"/>
        <v>0</v>
      </c>
      <c r="AZ304" s="27">
        <f t="shared" si="273"/>
        <v>0</v>
      </c>
      <c r="BA304" s="237">
        <f t="shared" si="274"/>
        <v>0</v>
      </c>
      <c r="BB304" s="26">
        <f t="shared" si="274"/>
        <v>0</v>
      </c>
      <c r="BC304" s="27">
        <f t="shared" si="274"/>
        <v>0</v>
      </c>
      <c r="BD304" s="237">
        <f t="shared" si="275"/>
        <v>0</v>
      </c>
      <c r="BE304" s="26">
        <f t="shared" si="275"/>
        <v>0</v>
      </c>
      <c r="BF304" s="27">
        <f t="shared" si="275"/>
        <v>0</v>
      </c>
      <c r="BG304" s="237">
        <f t="shared" si="276"/>
        <v>0</v>
      </c>
      <c r="BH304" s="26">
        <f t="shared" si="276"/>
        <v>0</v>
      </c>
      <c r="BI304" s="27">
        <f t="shared" si="276"/>
        <v>0</v>
      </c>
      <c r="BJ304" s="454"/>
    </row>
    <row r="305" spans="1:62" s="28" customFormat="1" hidden="1" outlineLevel="1" x14ac:dyDescent="0.3">
      <c r="A305" s="21" t="s">
        <v>325</v>
      </c>
      <c r="B305" s="22"/>
      <c r="C305" s="23" t="s">
        <v>326</v>
      </c>
      <c r="D305" s="24">
        <v>-20000</v>
      </c>
      <c r="E305" s="120">
        <v>0</v>
      </c>
      <c r="F305" s="54"/>
      <c r="G305" s="32"/>
      <c r="H305" s="237"/>
      <c r="I305" s="26">
        <f>-SUMIFS(T_ORCAMENTOS!$E:$E,T_ORCAMENTOS!$C:$C,"Fee Gestão FB",T_ORCAMENTOS!$H:$H,"1/2026")</f>
        <v>0</v>
      </c>
      <c r="J305" s="27">
        <f>-5%*J8+SUMIFS(Aut_Ajustes_Manuais!$G:$G,Aut_Ajustes_Manuais!$I:$I,DRE!H$4,Aut_Ajustes_Manuais!$F:$F,"Fee Gestão FB")</f>
        <v>0</v>
      </c>
      <c r="K305" s="237"/>
      <c r="L305" s="26">
        <f>-SUMIFS(T_ORCAMENTOS!$E:$E,T_ORCAMENTOS!$C:$C,"Fee Gestão FB",T_ORCAMENTOS!$H:$H,"2/2026")</f>
        <v>0</v>
      </c>
      <c r="M305" s="27">
        <f>-5%*M8+SUMIFS(Aut_Ajustes_Manuais!$G:$G,Aut_Ajustes_Manuais!$I:$I,DRE!K$4,Aut_Ajustes_Manuais!$F:$F,"Fee Gestão FB")</f>
        <v>0</v>
      </c>
      <c r="N305" s="237"/>
      <c r="O305" s="26">
        <f>-SUMIFS(T_ORCAMENTOS!$E:$E,T_ORCAMENTOS!$C:$C,"Fee Gestão FB",T_ORCAMENTOS!$H:$H,"3/2026")</f>
        <v>0</v>
      </c>
      <c r="P305" s="27">
        <f>-5%*P8+SUMIFS(Aut_Ajustes_Manuais!$G:$G,Aut_Ajustes_Manuais!$I:$I,DRE!N$4,Aut_Ajustes_Manuais!$F:$F,"Fee Gestão FB")</f>
        <v>0</v>
      </c>
      <c r="Q305" s="237"/>
      <c r="R305" s="26">
        <f>-SUMIFS(T_ORCAMENTOS!$E:$E,T_ORCAMENTOS!$C:$C,"Fee Gestão FB",T_ORCAMENTOS!$H:$H,"4/2026")</f>
        <v>0</v>
      </c>
      <c r="S305" s="27">
        <f>-5%*S8+SUMIFS(Aut_Ajustes_Manuais!$G:$G,Aut_Ajustes_Manuais!$I:$I,DRE!Q$4,Aut_Ajustes_Manuais!$F:$F,"Fee Gestão FB")</f>
        <v>0</v>
      </c>
      <c r="T305" s="237"/>
      <c r="U305" s="26">
        <f>-SUMIFS(T_ORCAMENTOS!$E:$E,T_ORCAMENTOS!$C:$C,"Fee Gestão FB",T_ORCAMENTOS!$H:$H,"5/2026")</f>
        <v>0</v>
      </c>
      <c r="V305" s="27">
        <f>-5%*V8+SUMIFS(Aut_Ajustes_Manuais!$G:$G,Aut_Ajustes_Manuais!$I:$I,DRE!T$4,Aut_Ajustes_Manuais!$F:$F,"Fee Gestão FB")</f>
        <v>0</v>
      </c>
      <c r="W305" s="237"/>
      <c r="X305" s="26">
        <f>-SUMIFS(T_ORCAMENTOS!$E:$E,T_ORCAMENTOS!$C:$C,"Fee Gestão FB",T_ORCAMENTOS!$H:$H,"6/2026")</f>
        <v>0</v>
      </c>
      <c r="Y305" s="27">
        <f>-5%*Y8+SUMIFS(Aut_Ajustes_Manuais!$G:$G,Aut_Ajustes_Manuais!$I:$I,DRE!W$4,Aut_Ajustes_Manuais!$F:$F,"Fee Gestão FB")</f>
        <v>0</v>
      </c>
      <c r="Z305" s="237"/>
      <c r="AA305" s="26">
        <f>-SUMIFS(T_ORCAMENTOS!$E:$E,T_ORCAMENTOS!$C:$C,"Fee Gestão FB",T_ORCAMENTOS!$H:$H,"7/2026")</f>
        <v>0</v>
      </c>
      <c r="AB305" s="27">
        <f>-5%*AB8+SUMIFS(Aut_Ajustes_Manuais!$G:$G,Aut_Ajustes_Manuais!$I:$I,DRE!Z$4,Aut_Ajustes_Manuais!$F:$F,"Fee Gestão FB")</f>
        <v>-17032.821000000004</v>
      </c>
      <c r="AC305" s="237"/>
      <c r="AD305" s="26">
        <f>-SUMIFS(T_ORCAMENTOS!$E:$E,T_ORCAMENTOS!$C:$C,"Fee Gestão FB",T_ORCAMENTOS!$H:$H,"8/2026")</f>
        <v>-239478.23</v>
      </c>
      <c r="AE305" s="27">
        <f>-5%*AE8+SUMIFS(Aut_Ajustes_Manuais!$G:$G,Aut_Ajustes_Manuais!$I:$I,DRE!AC$4,Aut_Ajustes_Manuais!$F:$F,"Fee Gestão FB")</f>
        <v>0</v>
      </c>
      <c r="AF305" s="237"/>
      <c r="AG305" s="26">
        <f>-SUMIFS(T_ORCAMENTOS!$E:$E,T_ORCAMENTOS!$C:$C,"Fee Gestão FB",T_ORCAMENTOS!$H:$H,"9/2026")</f>
        <v>-232013.92</v>
      </c>
      <c r="AH305" s="27">
        <f>-5%*AH8+SUMIFS(Aut_Ajustes_Manuais!$G:$G,Aut_Ajustes_Manuais!$I:$I,DRE!AF$4,Aut_Ajustes_Manuais!$F:$F,"Fee Gestão FB")</f>
        <v>0</v>
      </c>
      <c r="AI305" s="237"/>
      <c r="AJ305" s="26">
        <f>-SUMIFS(T_ORCAMENTOS!$E:$E,T_ORCAMENTOS!$C:$C,"Fee Gestão FB",T_ORCAMENTOS!$H:$H,"10/2026")</f>
        <v>-254652.51</v>
      </c>
      <c r="AK305" s="27">
        <f>-5%*AK8+SUMIFS(Aut_Ajustes_Manuais!$G:$G,Aut_Ajustes_Manuais!$I:$I,DRE!AI$4,Aut_Ajustes_Manuais!$F:$F,"Fee Gestão FB")</f>
        <v>0</v>
      </c>
      <c r="AL305" s="237"/>
      <c r="AM305" s="26">
        <f>-SUMIFS(T_ORCAMENTOS!$E:$E,T_ORCAMENTOS!$C:$C,"Fee Gestão FB",T_ORCAMENTOS!$H:$H,"11/2026")</f>
        <v>-234588.04</v>
      </c>
      <c r="AN305" s="27">
        <f>-5%*AN8+SUMIFS(Aut_Ajustes_Manuais!$G:$G,Aut_Ajustes_Manuais!$I:$I,DRE!AL$4,Aut_Ajustes_Manuais!$F:$F,"Fee Gestão FB")</f>
        <v>0</v>
      </c>
      <c r="AO305" s="237"/>
      <c r="AP305" s="26">
        <f>-SUMIFS(T_ORCAMENTOS!$E:$E,T_ORCAMENTOS!$C:$C,"Fee Gestão FB",T_ORCAMENTOS!$H:$H,"12/2026")</f>
        <v>-255576.33</v>
      </c>
      <c r="AQ305" s="27">
        <f>-5%*AQ8+SUMIFS(Aut_Ajustes_Manuais!$G:$G,Aut_Ajustes_Manuais!$I:$I,DRE!AO$4,Aut_Ajustes_Manuais!$F:$F,"Fee Gestão FB")</f>
        <v>0</v>
      </c>
      <c r="AR305" s="237">
        <f ca="1">SUMIFS($H305:$AO305,$H$5:$AO$5,"&lt;"&amp;MONTH(TODAY()),$H$6:$AO$6,"REAL 25")</f>
        <v>0</v>
      </c>
      <c r="AS305" s="26">
        <f ca="1">SUMIFS($I305:$AP305,$I$5:$AP$5,"&lt;"&amp;MONTH(TODAY()),$I$6:$AP$6,"ORÇADO ")</f>
        <v>-239478.23</v>
      </c>
      <c r="AT305" s="27">
        <f ca="1">SUMIFS($J305:$AQ305,$J$5:$AQ$5,"&lt;"&amp;MONTH(TODAY()),$J$6:$AQ$6,"REAL 26")</f>
        <v>-17032.821000000004</v>
      </c>
      <c r="AU305" s="237">
        <f t="shared" si="272"/>
        <v>0</v>
      </c>
      <c r="AV305" s="26">
        <f t="shared" si="272"/>
        <v>-1216309.03</v>
      </c>
      <c r="AW305" s="27">
        <f t="shared" si="272"/>
        <v>-17032.821000000004</v>
      </c>
      <c r="AX305" s="237">
        <f t="shared" si="273"/>
        <v>0</v>
      </c>
      <c r="AY305" s="26">
        <f t="shared" si="273"/>
        <v>0</v>
      </c>
      <c r="AZ305" s="27">
        <f t="shared" si="273"/>
        <v>0</v>
      </c>
      <c r="BA305" s="237">
        <f t="shared" si="274"/>
        <v>0</v>
      </c>
      <c r="BB305" s="26">
        <f t="shared" si="274"/>
        <v>0</v>
      </c>
      <c r="BC305" s="27">
        <f t="shared" si="274"/>
        <v>0</v>
      </c>
      <c r="BD305" s="237">
        <f t="shared" si="275"/>
        <v>0</v>
      </c>
      <c r="BE305" s="26">
        <f t="shared" si="275"/>
        <v>-471492.15</v>
      </c>
      <c r="BF305" s="27">
        <f t="shared" si="275"/>
        <v>-17032.821000000004</v>
      </c>
      <c r="BG305" s="237">
        <f t="shared" si="276"/>
        <v>0</v>
      </c>
      <c r="BH305" s="26">
        <f t="shared" si="276"/>
        <v>-744816.88</v>
      </c>
      <c r="BI305" s="27">
        <f t="shared" si="276"/>
        <v>0</v>
      </c>
      <c r="BJ305" s="454"/>
    </row>
    <row r="306" spans="1:62" collapsed="1" x14ac:dyDescent="0.3">
      <c r="A306" s="69" t="s">
        <v>44</v>
      </c>
      <c r="B306" s="57"/>
      <c r="C306" s="58"/>
      <c r="D306" s="59"/>
      <c r="E306" s="60"/>
      <c r="F306" s="61"/>
      <c r="G306" s="45"/>
      <c r="H306" s="241"/>
      <c r="I306" s="48">
        <f>IFERROR(I302/I8,0)</f>
        <v>0</v>
      </c>
      <c r="J306" s="49">
        <f>IFERROR(J302/J8,0)+SUMIFS(Aut_Ajustes_Manuais!$G:$G,Aut_Ajustes_Manuais!$I:$I,DRE!H$4,Aut_Ajustes_Manuais!$F:$F,"% sobre Receita Bruta")</f>
        <v>0</v>
      </c>
      <c r="K306" s="241"/>
      <c r="L306" s="48">
        <f>IFERROR(L302/L8,0)</f>
        <v>0</v>
      </c>
      <c r="M306" s="49">
        <f>IFERROR(M302/M8,0)+SUMIFS(Aut_Ajustes_Manuais!$G:$G,Aut_Ajustes_Manuais!$I:$I,DRE!K$4,Aut_Ajustes_Manuais!$F:$F,"% sobre Receita Bruta")</f>
        <v>0</v>
      </c>
      <c r="N306" s="241"/>
      <c r="O306" s="48">
        <f>IFERROR(O302/O8,0)</f>
        <v>0</v>
      </c>
      <c r="P306" s="49">
        <f>IFERROR(P302/P8,0)+SUMIFS(Aut_Ajustes_Manuais!$G:$G,Aut_Ajustes_Manuais!$I:$I,DRE!N$4,Aut_Ajustes_Manuais!$F:$F,"% sobre Receita Bruta")</f>
        <v>0</v>
      </c>
      <c r="Q306" s="241"/>
      <c r="R306" s="48">
        <f>IFERROR(R302/R8,0)</f>
        <v>0</v>
      </c>
      <c r="S306" s="49">
        <f>IFERROR(S302/S8,0)+SUMIFS(Aut_Ajustes_Manuais!$G:$G,Aut_Ajustes_Manuais!$I:$I,DRE!Q$4,Aut_Ajustes_Manuais!$F:$F,"% sobre Receita Bruta")</f>
        <v>0</v>
      </c>
      <c r="T306" s="241"/>
      <c r="U306" s="48">
        <f>IFERROR(U302/U8,0)</f>
        <v>0</v>
      </c>
      <c r="V306" s="49">
        <f>IFERROR(V302/V8,0)+SUMIFS(Aut_Ajustes_Manuais!$G:$G,Aut_Ajustes_Manuais!$I:$I,DRE!T$4,Aut_Ajustes_Manuais!$F:$F,"% sobre Receita Bruta")</f>
        <v>0</v>
      </c>
      <c r="W306" s="241"/>
      <c r="X306" s="48">
        <f>IFERROR(X302/X8,0)</f>
        <v>0</v>
      </c>
      <c r="Y306" s="49">
        <f>IFERROR(Y302/Y8,0)+SUMIFS(Aut_Ajustes_Manuais!$G:$G,Aut_Ajustes_Manuais!$I:$I,DRE!W$4,Aut_Ajustes_Manuais!$F:$F,"% sobre Receita Bruta")</f>
        <v>0</v>
      </c>
      <c r="Z306" s="241"/>
      <c r="AA306" s="48">
        <f>IFERROR(AA302/AA8,0)</f>
        <v>0</v>
      </c>
      <c r="AB306" s="49">
        <f>IFERROR(AB302/AB8,0)+SUMIFS(Aut_Ajustes_Manuais!$G:$G,Aut_Ajustes_Manuais!$I:$I,DRE!Z$4,Aut_Ajustes_Manuais!$F:$F,"% sobre Receita Bruta")</f>
        <v>-0.05</v>
      </c>
      <c r="AC306" s="241"/>
      <c r="AD306" s="48">
        <f>IFERROR(AD302/AD8,0)</f>
        <v>-4.999999906045742E-2</v>
      </c>
      <c r="AE306" s="49">
        <f>IFERROR(AE302/AE8,0)+SUMIFS(Aut_Ajustes_Manuais!$G:$G,Aut_Ajustes_Manuais!$I:$I,DRE!AC$4,Aut_Ajustes_Manuais!$F:$F,"% sobre Receita Bruta")</f>
        <v>0</v>
      </c>
      <c r="AF306" s="241"/>
      <c r="AG306" s="48">
        <f>IFERROR(AG302/AG8,0)</f>
        <v>-4.9999999245734929E-2</v>
      </c>
      <c r="AH306" s="49">
        <f>IFERROR(AH302/AH8,0)+SUMIFS(Aut_Ajustes_Manuais!$G:$G,Aut_Ajustes_Manuais!$I:$I,DRE!AF$4,Aut_Ajustes_Manuais!$F:$F,"% sobre Receita Bruta")</f>
        <v>0</v>
      </c>
      <c r="AI306" s="241"/>
      <c r="AJ306" s="48">
        <f>IFERROR(AJ302/AJ8,0)</f>
        <v>-5.0000000490864997E-2</v>
      </c>
      <c r="AK306" s="49">
        <f>IFERROR(AK302/AK8,0)+SUMIFS(Aut_Ajustes_Manuais!$G:$G,Aut_Ajustes_Manuais!$I:$I,DRE!AI$4,Aut_Ajustes_Manuais!$F:$F,"% sobre Receita Bruta")</f>
        <v>0</v>
      </c>
      <c r="AL306" s="241"/>
      <c r="AM306" s="48">
        <f>IFERROR(AM302/AM8,0)</f>
        <v>-4.999999904087183E-2</v>
      </c>
      <c r="AN306" s="49">
        <f>IFERROR(AN302/AN8,0)+SUMIFS(Aut_Ajustes_Manuais!$G:$G,Aut_Ajustes_Manuais!$I:$I,DRE!AL$4,Aut_Ajustes_Manuais!$F:$F,"% sobre Receita Bruta")</f>
        <v>0</v>
      </c>
      <c r="AO306" s="241"/>
      <c r="AP306" s="48">
        <f>IFERROR(AP302/AP8,0)</f>
        <v>-5.000000048909068E-2</v>
      </c>
      <c r="AQ306" s="49">
        <f>IFERROR(AQ302/AQ8,0)+SUMIFS(Aut_Ajustes_Manuais!$G:$G,Aut_Ajustes_Manuais!$I:$I,DRE!AO$4,Aut_Ajustes_Manuais!$F:$F,"% sobre Receita Bruta")</f>
        <v>0</v>
      </c>
      <c r="AR306" s="241">
        <f t="shared" ref="AR306:BI306" ca="1" si="277">IFERROR(AR302/AR8,0)</f>
        <v>0</v>
      </c>
      <c r="AS306" s="48">
        <f t="shared" ca="1" si="277"/>
        <v>-4.999999906045742E-2</v>
      </c>
      <c r="AT306" s="49">
        <f t="shared" ca="1" si="277"/>
        <v>-0.05</v>
      </c>
      <c r="AU306" s="241">
        <f t="shared" si="277"/>
        <v>0</v>
      </c>
      <c r="AV306" s="48">
        <f t="shared" si="277"/>
        <v>-4.9999999691690195E-2</v>
      </c>
      <c r="AW306" s="49">
        <f t="shared" si="277"/>
        <v>-0.05</v>
      </c>
      <c r="AX306" s="241">
        <f t="shared" si="277"/>
        <v>0</v>
      </c>
      <c r="AY306" s="48">
        <f t="shared" si="277"/>
        <v>0</v>
      </c>
      <c r="AZ306" s="49">
        <f t="shared" si="277"/>
        <v>0</v>
      </c>
      <c r="BA306" s="241">
        <f t="shared" si="277"/>
        <v>0</v>
      </c>
      <c r="BB306" s="48">
        <f t="shared" si="277"/>
        <v>0</v>
      </c>
      <c r="BC306" s="49">
        <f t="shared" si="277"/>
        <v>0</v>
      </c>
      <c r="BD306" s="241">
        <f t="shared" si="277"/>
        <v>0</v>
      </c>
      <c r="BE306" s="48">
        <f t="shared" si="277"/>
        <v>-4.999999915162958E-2</v>
      </c>
      <c r="BF306" s="49">
        <f t="shared" si="277"/>
        <v>-0.05</v>
      </c>
      <c r="BG306" s="241">
        <f t="shared" si="277"/>
        <v>0</v>
      </c>
      <c r="BH306" s="48">
        <f t="shared" si="277"/>
        <v>-5.0000000033565306E-2</v>
      </c>
      <c r="BI306" s="49">
        <f t="shared" si="277"/>
        <v>0</v>
      </c>
    </row>
    <row r="307" spans="1:62" x14ac:dyDescent="0.3">
      <c r="A307" s="17"/>
      <c r="E307" s="15"/>
      <c r="F307" s="16"/>
      <c r="G307" s="45"/>
      <c r="H307" s="243"/>
      <c r="I307" s="16"/>
      <c r="J307" s="55"/>
      <c r="K307" s="243"/>
      <c r="L307" s="16"/>
      <c r="M307" s="55"/>
      <c r="N307" s="243"/>
      <c r="O307" s="16"/>
      <c r="P307" s="55"/>
      <c r="Q307" s="243"/>
      <c r="R307" s="16"/>
      <c r="S307" s="55"/>
      <c r="T307" s="243"/>
      <c r="U307" s="16"/>
      <c r="V307" s="55"/>
      <c r="W307" s="243"/>
      <c r="X307" s="16"/>
      <c r="Y307" s="55"/>
      <c r="Z307" s="243"/>
      <c r="AA307" s="16"/>
      <c r="AB307" s="55"/>
      <c r="AC307" s="243"/>
      <c r="AD307" s="16"/>
      <c r="AE307" s="55"/>
      <c r="AF307" s="243"/>
      <c r="AG307" s="16"/>
      <c r="AH307" s="55"/>
      <c r="AI307" s="243"/>
      <c r="AJ307" s="16"/>
      <c r="AK307" s="55"/>
      <c r="AL307" s="243"/>
      <c r="AM307" s="16"/>
      <c r="AN307" s="55"/>
      <c r="AO307" s="243"/>
      <c r="AP307" s="16"/>
      <c r="AQ307" s="55"/>
      <c r="AR307" s="243"/>
      <c r="AS307" s="16"/>
      <c r="AT307" s="55"/>
      <c r="AU307" s="243"/>
      <c r="AV307" s="16"/>
      <c r="AW307" s="55"/>
      <c r="AX307" s="243"/>
      <c r="AY307" s="16"/>
      <c r="AZ307" s="55"/>
      <c r="BA307" s="243"/>
      <c r="BB307" s="16"/>
      <c r="BC307" s="55"/>
      <c r="BD307" s="243"/>
      <c r="BE307" s="16"/>
      <c r="BF307" s="55"/>
      <c r="BG307" s="243"/>
      <c r="BH307" s="16"/>
      <c r="BI307" s="55"/>
    </row>
    <row r="308" spans="1:62" x14ac:dyDescent="0.3">
      <c r="A308" s="37" t="s">
        <v>327</v>
      </c>
      <c r="B308" s="57"/>
      <c r="C308" s="58"/>
      <c r="D308" s="121"/>
      <c r="E308" s="60"/>
      <c r="F308" s="61"/>
      <c r="G308" s="45"/>
      <c r="H308" s="240"/>
      <c r="I308" s="40">
        <f>SUM(I106,I216,I226,I243,I255,I266,I280,I294,I302)</f>
        <v>0</v>
      </c>
      <c r="J308" s="41">
        <f>SUM(J106,J216,J226,J243,J255,J266,J280,J294,J302)+SUMIFS(Aut_Ajustes_Manuais!$G:$G,Aut_Ajustes_Manuais!$I:$I,DRE!H$4,Aut_Ajustes_Manuais!$F:$F,"TOTAL - DESPESAS OPERATIVAS")</f>
        <v>-139063.69473939395</v>
      </c>
      <c r="K308" s="240"/>
      <c r="L308" s="40">
        <f>SUM(L106,L216,L226,L243,L255,L266,L280,L294,L302)</f>
        <v>0</v>
      </c>
      <c r="M308" s="41">
        <f>SUM(M106,M216,M226,M243,M255,M266,M280,M294,M302)+SUMIFS(Aut_Ajustes_Manuais!$G:$G,Aut_Ajustes_Manuais!$I:$I,DRE!K$4,Aut_Ajustes_Manuais!$F:$F,"TOTAL - DESPESAS OPERATIVAS")</f>
        <v>-133496.30473939393</v>
      </c>
      <c r="N308" s="240"/>
      <c r="O308" s="40">
        <f>SUM(O106,O216,O226,O243,O255,O266,O280,O294,O302)</f>
        <v>0</v>
      </c>
      <c r="P308" s="41">
        <f>SUM(P106,P216,P226,P243,P255,P266,P280,P294,P302)+SUMIFS(Aut_Ajustes_Manuais!$G:$G,Aut_Ajustes_Manuais!$I:$I,DRE!N$4,Aut_Ajustes_Manuais!$F:$F,"TOTAL - DESPESAS OPERATIVAS")</f>
        <v>-170358.66473939395</v>
      </c>
      <c r="Q308" s="240"/>
      <c r="R308" s="40">
        <f>SUM(R106,R216,R226,R243,R255,R266,R280,R294,R302)</f>
        <v>0</v>
      </c>
      <c r="S308" s="41">
        <f>SUM(S106,S216,S226,S243,S255,S266,S280,S294,S302)+SUMIFS(Aut_Ajustes_Manuais!$G:$G,Aut_Ajustes_Manuais!$I:$I,DRE!Q$4,Aut_Ajustes_Manuais!$F:$F,"TOTAL - DESPESAS OPERATIVAS")</f>
        <v>-158720.08000000002</v>
      </c>
      <c r="T308" s="240"/>
      <c r="U308" s="40">
        <f>SUM(U106,U216,U226,U243,U255,U266,U280,U294,U302)</f>
        <v>0</v>
      </c>
      <c r="V308" s="41">
        <f>SUM(V106,V216,V226,V243,V255,V266,V280,V294,V302)+SUMIFS(Aut_Ajustes_Manuais!$G:$G,Aut_Ajustes_Manuais!$I:$I,DRE!T$4,Aut_Ajustes_Manuais!$F:$F,"TOTAL - DESPESAS OPERATIVAS")</f>
        <v>-231315.11512296344</v>
      </c>
      <c r="W308" s="240"/>
      <c r="X308" s="40">
        <f>SUM(X106,X216,X226,X243,X255,X266,X280,X294,X302)</f>
        <v>0</v>
      </c>
      <c r="Y308" s="41">
        <f>SUM(Y106,Y216,Y226,Y243,Y255,Y266,Y280,Y294,Y302)+SUMIFS(Aut_Ajustes_Manuais!$G:$G,Aut_Ajustes_Manuais!$I:$I,DRE!W$4,Aut_Ajustes_Manuais!$F:$F,"TOTAL - DESPESAS OPERATIVAS")</f>
        <v>-334616.27282867546</v>
      </c>
      <c r="Z308" s="240"/>
      <c r="AA308" s="40">
        <f>SUM(AA106,AA216,AA226,AA243,AA255,AA266,AA280,AA294,AA302)</f>
        <v>0</v>
      </c>
      <c r="AB308" s="41">
        <f>SUM(AB106,AB216,AB226,AB243,AB255,AB266,AB280,AB294,AB302)+SUMIFS(Aut_Ajustes_Manuais!$G:$G,Aut_Ajustes_Manuais!$I:$I,DRE!Z$4,Aut_Ajustes_Manuais!$F:$F,"TOTAL - DESPESAS OPERATIVAS")</f>
        <v>-473101.40243589727</v>
      </c>
      <c r="AC308" s="240"/>
      <c r="AD308" s="40">
        <f>SUM(AD106,AD216,AD226,AD243,AD255,AD266,AD280,AD294,AD302)</f>
        <v>-992801.07000000007</v>
      </c>
      <c r="AE308" s="41">
        <f>SUM(AE106,AE216,AE226,AE243,AE255,AE266,AE280,AE294,AE302)+SUMIFS(Aut_Ajustes_Manuais!$G:$G,Aut_Ajustes_Manuais!$I:$I,DRE!AC$4,Aut_Ajustes_Manuais!$F:$F,"TOTAL - DESPESAS OPERATIVAS")</f>
        <v>-307509.94280007796</v>
      </c>
      <c r="AF308" s="240"/>
      <c r="AG308" s="40">
        <f>SUM(AG106,AG216,AG226,AG243,AG255,AG266,AG280,AG294,AG302)</f>
        <v>-979347.88000000024</v>
      </c>
      <c r="AH308" s="41">
        <f>SUM(AH106,AH216,AH226,AH243,AH255,AH266,AH280,AH294,AH302)+SUMIFS(Aut_Ajustes_Manuais!$G:$G,Aut_Ajustes_Manuais!$I:$I,DRE!AF$4,Aut_Ajustes_Manuais!$F:$F,"TOTAL - DESPESAS OPERATIVAS")</f>
        <v>-332102.56015925366</v>
      </c>
      <c r="AI308" s="240"/>
      <c r="AJ308" s="40">
        <f>SUM(AJ106,AJ216,AJ226,AJ243,AJ255,AJ266,AJ280,AJ294,AJ302)</f>
        <v>-1015526.36</v>
      </c>
      <c r="AK308" s="41">
        <f>SUM(AK106,AK216,AK226,AK243,AK255,AK266,AK280,AK294,AK302)+SUMIFS(Aut_Ajustes_Manuais!$G:$G,Aut_Ajustes_Manuais!$I:$I,DRE!AI$4,Aut_Ajustes_Manuais!$F:$F,"TOTAL - DESPESAS OPERATIVAS")</f>
        <v>-332102.56015925366</v>
      </c>
      <c r="AL308" s="240"/>
      <c r="AM308" s="40">
        <f>SUM(AM106,AM216,AM226,AM243,AM255,AM266,AM280,AM294,AM302)</f>
        <v>-981440.64000000013</v>
      </c>
      <c r="AN308" s="41">
        <f>SUM(AN106,AN216,AN226,AN243,AN255,AN266,AN280,AN294,AN302)+SUMIFS(Aut_Ajustes_Manuais!$G:$G,Aut_Ajustes_Manuais!$I:$I,DRE!AL$4,Aut_Ajustes_Manuais!$F:$F,"TOTAL - DESPESAS OPERATIVAS")</f>
        <v>-332102.56015925366</v>
      </c>
      <c r="AO308" s="240"/>
      <c r="AP308" s="40">
        <f>SUM(AP106,AP216,AP226,AP243,AP255,AP266,AP280,AP294,AP302)</f>
        <v>-1017292.2600000001</v>
      </c>
      <c r="AQ308" s="41">
        <f>SUM(AQ106,AQ216,AQ226,AQ243,AQ255,AQ266,AQ280,AQ294,AQ302)+SUMIFS(Aut_Ajustes_Manuais!$G:$G,Aut_Ajustes_Manuais!$I:$I,DRE!AO$4,Aut_Ajustes_Manuais!$F:$F,"TOTAL - DESPESAS OPERATIVAS")</f>
        <v>-332102.56015925366</v>
      </c>
      <c r="AR308" s="240">
        <f ca="1">SUM(AR302,AR294,AR280,AR266,AR255,AR243,AR226,AR216,,AR106)</f>
        <v>0</v>
      </c>
      <c r="AS308" s="40">
        <f ca="1">SUM(AS302,AS294,AS280,AS266,AS255,AS243,AS226,AS216,,AS106)</f>
        <v>-992801.07</v>
      </c>
      <c r="AT308" s="41">
        <f ca="1">SUM(AT302,AT294,AT280,AT266,AT255,AT243,AT226,AT216,,AT106)</f>
        <v>-1948181.4774057961</v>
      </c>
      <c r="AU308" s="240">
        <f t="shared" ref="AU308:BI308" si="278">SUM(AU106,AU216,AU226,AU243,AU255,AU266,AU280,AU294,AU302)</f>
        <v>0</v>
      </c>
      <c r="AV308" s="40">
        <f t="shared" si="278"/>
        <v>-4986408.21</v>
      </c>
      <c r="AW308" s="41">
        <f t="shared" si="278"/>
        <v>-3276591.7180428104</v>
      </c>
      <c r="AX308" s="240">
        <f t="shared" si="278"/>
        <v>0</v>
      </c>
      <c r="AY308" s="40">
        <f t="shared" si="278"/>
        <v>0</v>
      </c>
      <c r="AZ308" s="41">
        <f t="shared" si="278"/>
        <v>-442918.66421818186</v>
      </c>
      <c r="BA308" s="240">
        <f t="shared" si="278"/>
        <v>0</v>
      </c>
      <c r="BB308" s="40">
        <f t="shared" si="278"/>
        <v>0</v>
      </c>
      <c r="BC308" s="41">
        <f t="shared" si="278"/>
        <v>-724651.46795163897</v>
      </c>
      <c r="BD308" s="240">
        <f t="shared" si="278"/>
        <v>0</v>
      </c>
      <c r="BE308" s="40">
        <f t="shared" si="278"/>
        <v>-1972148.9500000002</v>
      </c>
      <c r="BF308" s="41">
        <f t="shared" si="278"/>
        <v>-1112713.9053952289</v>
      </c>
      <c r="BG308" s="240">
        <f t="shared" si="278"/>
        <v>0</v>
      </c>
      <c r="BH308" s="40">
        <f t="shared" si="278"/>
        <v>-3014259.2600000002</v>
      </c>
      <c r="BI308" s="41">
        <f t="shared" si="278"/>
        <v>-996307.68047776085</v>
      </c>
    </row>
    <row r="309" spans="1:62" x14ac:dyDescent="0.3">
      <c r="A309" s="69" t="s">
        <v>44</v>
      </c>
      <c r="B309" s="57"/>
      <c r="C309" s="58"/>
      <c r="D309" s="60"/>
      <c r="E309" s="60"/>
      <c r="F309" s="61"/>
      <c r="G309" s="45"/>
      <c r="H309" s="241"/>
      <c r="I309" s="48">
        <f>IFERROR(I308/I8,0)</f>
        <v>0</v>
      </c>
      <c r="J309" s="49">
        <f>IFERROR(J308/J8,0)+SUMIFS(Aut_Ajustes_Manuais!$G:$G,Aut_Ajustes_Manuais!$I:$I,DRE!H$4,Aut_Ajustes_Manuais!$F:$F,"% sobre Receita Bruta")</f>
        <v>0</v>
      </c>
      <c r="K309" s="241"/>
      <c r="L309" s="48">
        <f>IFERROR(L308/L8,0)</f>
        <v>0</v>
      </c>
      <c r="M309" s="49">
        <f>IFERROR(M308/M8,0)+SUMIFS(Aut_Ajustes_Manuais!$G:$G,Aut_Ajustes_Manuais!$I:$I,DRE!K$4,Aut_Ajustes_Manuais!$F:$F,"% sobre Receita Bruta")</f>
        <v>0</v>
      </c>
      <c r="N309" s="241"/>
      <c r="O309" s="48">
        <f>IFERROR(O308/O8,0)</f>
        <v>0</v>
      </c>
      <c r="P309" s="49">
        <f>IFERROR(P308/P8,0)+SUMIFS(Aut_Ajustes_Manuais!$G:$G,Aut_Ajustes_Manuais!$I:$I,DRE!N$4,Aut_Ajustes_Manuais!$F:$F,"% sobre Receita Bruta")</f>
        <v>0</v>
      </c>
      <c r="Q309" s="241"/>
      <c r="R309" s="48">
        <f>IFERROR(R308/R8,0)</f>
        <v>0</v>
      </c>
      <c r="S309" s="49">
        <f>IFERROR(S308/S8,0)+SUMIFS(Aut_Ajustes_Manuais!$G:$G,Aut_Ajustes_Manuais!$I:$I,DRE!Q$4,Aut_Ajustes_Manuais!$F:$F,"% sobre Receita Bruta")</f>
        <v>0</v>
      </c>
      <c r="T309" s="241"/>
      <c r="U309" s="48">
        <f>IFERROR(U308/U8,0)</f>
        <v>0</v>
      </c>
      <c r="V309" s="49">
        <f>IFERROR(V308/V8,0)+SUMIFS(Aut_Ajustes_Manuais!$G:$G,Aut_Ajustes_Manuais!$I:$I,DRE!T$4,Aut_Ajustes_Manuais!$F:$F,"% sobre Receita Bruta")</f>
        <v>0</v>
      </c>
      <c r="W309" s="241"/>
      <c r="X309" s="48">
        <f>IFERROR(X308/X8,0)</f>
        <v>0</v>
      </c>
      <c r="Y309" s="49">
        <f>IFERROR(Y308/Y8,0)+SUMIFS(Aut_Ajustes_Manuais!$G:$G,Aut_Ajustes_Manuais!$I:$I,DRE!W$4,Aut_Ajustes_Manuais!$F:$F,"% sobre Receita Bruta")</f>
        <v>0</v>
      </c>
      <c r="Z309" s="241"/>
      <c r="AA309" s="48">
        <f>IFERROR(AA308/AA8,0)</f>
        <v>0</v>
      </c>
      <c r="AB309" s="49">
        <f>IFERROR(AB308/AB8,0)+SUMIFS(Aut_Ajustes_Manuais!$G:$G,Aut_Ajustes_Manuais!$I:$I,DRE!Z$4,Aut_Ajustes_Manuais!$F:$F,"% sobre Receita Bruta")</f>
        <v>-1.3887934430705788</v>
      </c>
      <c r="AC309" s="241"/>
      <c r="AD309" s="48">
        <f>IFERROR(AD308/AD8,0)</f>
        <v>-0.20728419684420218</v>
      </c>
      <c r="AE309" s="49">
        <f>IFERROR(AE308/AE8,0)+SUMIFS(Aut_Ajustes_Manuais!$G:$G,Aut_Ajustes_Manuais!$I:$I,DRE!AC$4,Aut_Ajustes_Manuais!$F:$F,"% sobre Receita Bruta")</f>
        <v>0</v>
      </c>
      <c r="AF309" s="241"/>
      <c r="AG309" s="48">
        <f>IFERROR(AG308/AG8,0)</f>
        <v>-0.21105368704305374</v>
      </c>
      <c r="AH309" s="49">
        <f>IFERROR(AH308/AH8,0)+SUMIFS(Aut_Ajustes_Manuais!$G:$G,Aut_Ajustes_Manuais!$I:$I,DRE!AF$4,Aut_Ajustes_Manuais!$F:$F,"% sobre Receita Bruta")</f>
        <v>0</v>
      </c>
      <c r="AI309" s="241"/>
      <c r="AJ309" s="48">
        <f>IFERROR(AJ308/AJ8,0)</f>
        <v>-0.19939453374516647</v>
      </c>
      <c r="AK309" s="49">
        <f>IFERROR(AK308/AK8,0)+SUMIFS(Aut_Ajustes_Manuais!$G:$G,Aut_Ajustes_Manuais!$I:$I,DRE!AI$4,Aut_Ajustes_Manuais!$F:$F,"% sobre Receita Bruta")</f>
        <v>0</v>
      </c>
      <c r="AL309" s="241"/>
      <c r="AM309" s="48">
        <f>IFERROR(AM308/AM8,0)</f>
        <v>-0.20918385719354082</v>
      </c>
      <c r="AN309" s="49">
        <f>IFERROR(AN308/AN8,0)+SUMIFS(Aut_Ajustes_Manuais!$G:$G,Aut_Ajustes_Manuais!$I:$I,DRE!AL$4,Aut_Ajustes_Manuais!$F:$F,"% sobre Receita Bruta")</f>
        <v>0</v>
      </c>
      <c r="AO309" s="241"/>
      <c r="AP309" s="48">
        <f>IFERROR(AP308/AP8,0)</f>
        <v>-0.1990192655851509</v>
      </c>
      <c r="AQ309" s="49">
        <f>IFERROR(AQ308/AQ8,0)+SUMIFS(Aut_Ajustes_Manuais!$G:$G,Aut_Ajustes_Manuais!$I:$I,DRE!AO$4,Aut_Ajustes_Manuais!$F:$F,"% sobre Receita Bruta")</f>
        <v>0</v>
      </c>
      <c r="AR309" s="241">
        <f t="shared" ref="AR309:BI309" ca="1" si="279">IFERROR(AR308/AR8,0)</f>
        <v>0</v>
      </c>
      <c r="AS309" s="48">
        <f t="shared" ca="1" si="279"/>
        <v>-0.20728419684420216</v>
      </c>
      <c r="AT309" s="49">
        <f t="shared" ca="1" si="279"/>
        <v>-5.7189043359458651</v>
      </c>
      <c r="AU309" s="241">
        <f t="shared" si="279"/>
        <v>0</v>
      </c>
      <c r="AV309" s="48">
        <f t="shared" si="279"/>
        <v>-0.20498113786316416</v>
      </c>
      <c r="AW309" s="49">
        <f t="shared" si="279"/>
        <v>-9.6184646044328481</v>
      </c>
      <c r="AX309" s="241">
        <f t="shared" si="279"/>
        <v>0</v>
      </c>
      <c r="AY309" s="48">
        <f t="shared" si="279"/>
        <v>0</v>
      </c>
      <c r="AZ309" s="49">
        <f t="shared" si="279"/>
        <v>0</v>
      </c>
      <c r="BA309" s="241">
        <f t="shared" si="279"/>
        <v>0</v>
      </c>
      <c r="BB309" s="48">
        <f t="shared" si="279"/>
        <v>0</v>
      </c>
      <c r="BC309" s="49">
        <f t="shared" si="279"/>
        <v>0</v>
      </c>
      <c r="BD309" s="241">
        <f t="shared" si="279"/>
        <v>0</v>
      </c>
      <c r="BE309" s="48">
        <f t="shared" si="279"/>
        <v>-0.20913910406968</v>
      </c>
      <c r="BF309" s="49">
        <f t="shared" si="279"/>
        <v>-3.2663817267710051</v>
      </c>
      <c r="BG309" s="241">
        <f t="shared" si="279"/>
        <v>0</v>
      </c>
      <c r="BH309" s="48">
        <f t="shared" si="279"/>
        <v>-0.2023490164470689</v>
      </c>
      <c r="BI309" s="49">
        <f t="shared" si="279"/>
        <v>0</v>
      </c>
    </row>
    <row r="310" spans="1:62" x14ac:dyDescent="0.3">
      <c r="A310" s="17"/>
      <c r="E310" s="15"/>
      <c r="F310" s="16"/>
      <c r="G310" s="45"/>
      <c r="H310" s="243"/>
      <c r="I310" s="16"/>
      <c r="J310" s="55"/>
      <c r="K310" s="243"/>
      <c r="L310" s="16"/>
      <c r="M310" s="55"/>
      <c r="N310" s="243"/>
      <c r="O310" s="16"/>
      <c r="P310" s="55"/>
      <c r="Q310" s="243"/>
      <c r="R310" s="16"/>
      <c r="S310" s="55"/>
      <c r="T310" s="243"/>
      <c r="U310" s="16"/>
      <c r="V310" s="55"/>
      <c r="W310" s="243"/>
      <c r="X310" s="16"/>
      <c r="Y310" s="55"/>
      <c r="Z310" s="243"/>
      <c r="AA310" s="16"/>
      <c r="AB310" s="55"/>
      <c r="AC310" s="243"/>
      <c r="AD310" s="16"/>
      <c r="AE310" s="55"/>
      <c r="AF310" s="243"/>
      <c r="AG310" s="16"/>
      <c r="AH310" s="55"/>
      <c r="AI310" s="243"/>
      <c r="AJ310" s="16"/>
      <c r="AK310" s="55"/>
      <c r="AL310" s="243"/>
      <c r="AM310" s="16"/>
      <c r="AN310" s="55"/>
      <c r="AO310" s="243"/>
      <c r="AP310" s="16"/>
      <c r="AQ310" s="55"/>
      <c r="AR310" s="243"/>
      <c r="AS310" s="16"/>
      <c r="AT310" s="449"/>
      <c r="AU310" s="243"/>
      <c r="AV310" s="16"/>
      <c r="AW310" s="55"/>
      <c r="AX310" s="243"/>
      <c r="AY310" s="16"/>
      <c r="AZ310" s="55"/>
      <c r="BA310" s="243"/>
      <c r="BB310" s="16"/>
      <c r="BC310" s="55"/>
      <c r="BD310" s="243"/>
      <c r="BE310" s="16"/>
      <c r="BF310" s="55"/>
      <c r="BG310" s="243"/>
      <c r="BH310" s="16"/>
      <c r="BI310" s="55"/>
    </row>
    <row r="311" spans="1:62" x14ac:dyDescent="0.3">
      <c r="A311" s="56" t="s">
        <v>328</v>
      </c>
      <c r="B311" s="57"/>
      <c r="C311" s="58"/>
      <c r="D311" s="59"/>
      <c r="E311" s="60"/>
      <c r="F311" s="61"/>
      <c r="G311" s="45"/>
      <c r="H311" s="244"/>
      <c r="I311" s="62">
        <f>SUM(I308,I102)</f>
        <v>0</v>
      </c>
      <c r="J311" s="63">
        <f>SUM(J308,J102)+SUMIFS(Aut_Ajustes_Manuais!$G:$G,Aut_Ajustes_Manuais!$I:$I,DRE!H$4,Aut_Ajustes_Manuais!$F:$F,"EBITDA")</f>
        <v>-143063.69473939395</v>
      </c>
      <c r="K311" s="244"/>
      <c r="L311" s="62">
        <f>SUM(L308,L102)</f>
        <v>0</v>
      </c>
      <c r="M311" s="63">
        <f>SUM(M308,M102)+SUMIFS(Aut_Ajustes_Manuais!$G:$G,Aut_Ajustes_Manuais!$I:$I,DRE!K$4,Aut_Ajustes_Manuais!$F:$F,"EBITDA")</f>
        <v>-137496.30473939393</v>
      </c>
      <c r="N311" s="244"/>
      <c r="O311" s="62">
        <f>SUM(O308,O102)</f>
        <v>0</v>
      </c>
      <c r="P311" s="63">
        <f>SUM(P308,P102)+SUMIFS(Aut_Ajustes_Manuais!$G:$G,Aut_Ajustes_Manuais!$I:$I,DRE!N$4,Aut_Ajustes_Manuais!$F:$F,"EBITDA")</f>
        <v>-174358.66473939395</v>
      </c>
      <c r="Q311" s="244"/>
      <c r="R311" s="62">
        <f>SUM(R308,R102)</f>
        <v>0</v>
      </c>
      <c r="S311" s="63">
        <f>SUM(S308,S102)+SUMIFS(Aut_Ajustes_Manuais!$G:$G,Aut_Ajustes_Manuais!$I:$I,DRE!Q$4,Aut_Ajustes_Manuais!$F:$F,"EBITDA")</f>
        <v>-161555.00000000003</v>
      </c>
      <c r="T311" s="244"/>
      <c r="U311" s="62">
        <f>SUM(U308,U102)</f>
        <v>0</v>
      </c>
      <c r="V311" s="63">
        <f>SUM(V308,V102)+SUMIFS(Aut_Ajustes_Manuais!$G:$G,Aut_Ajustes_Manuais!$I:$I,DRE!T$4,Aut_Ajustes_Manuais!$F:$F,"EBITDA")</f>
        <v>-273892.07512296346</v>
      </c>
      <c r="W311" s="244"/>
      <c r="X311" s="62">
        <f>SUM(X308,X102)</f>
        <v>0</v>
      </c>
      <c r="Y311" s="63">
        <f>SUM(Y308,Y102)+SUMIFS(Aut_Ajustes_Manuais!$G:$G,Aut_Ajustes_Manuais!$I:$I,DRE!W$4,Aut_Ajustes_Manuais!$F:$F,"EBITDA")</f>
        <v>-516523.79282867548</v>
      </c>
      <c r="Z311" s="244"/>
      <c r="AA311" s="62">
        <f>SUM(AA308,AA102)</f>
        <v>0</v>
      </c>
      <c r="AB311" s="63">
        <f>SUM(AB308,AB102)+SUMIFS(Aut_Ajustes_Manuais!$G:$G,Aut_Ajustes_Manuais!$I:$I,DRE!Z$4,Aut_Ajustes_Manuais!$F:$F,"EBITDA")</f>
        <v>-423828.31056389719</v>
      </c>
      <c r="AC311" s="244"/>
      <c r="AD311" s="62">
        <f>SUM(AD308,AD102)</f>
        <v>1226294.7399999986</v>
      </c>
      <c r="AE311" s="63">
        <f>SUM(AE308,AE102)+SUMIFS(Aut_Ajustes_Manuais!$G:$G,Aut_Ajustes_Manuais!$I:$I,DRE!AC$4,Aut_Ajustes_Manuais!$F:$F,"EBITDA")</f>
        <v>-307509.94280007796</v>
      </c>
      <c r="AF311" s="244"/>
      <c r="AG311" s="62">
        <f>SUM(AG308,AG102)</f>
        <v>1213771.52</v>
      </c>
      <c r="AH311" s="63">
        <f>SUM(AH308,AH102)+SUMIFS(Aut_Ajustes_Manuais!$G:$G,Aut_Ajustes_Manuais!$I:$I,DRE!AF$4,Aut_Ajustes_Manuais!$F:$F,"EBITDA")</f>
        <v>-332102.56015925366</v>
      </c>
      <c r="AI311" s="244"/>
      <c r="AJ311" s="62">
        <f>SUM(AJ308,AJ102)</f>
        <v>1462659.04</v>
      </c>
      <c r="AK311" s="63">
        <f>SUM(AK308,AK102)+SUMIFS(Aut_Ajustes_Manuais!$G:$G,Aut_Ajustes_Manuais!$I:$I,DRE!AI$4,Aut_Ajustes_Manuais!$F:$F,"EBITDA")</f>
        <v>-332102.56015925366</v>
      </c>
      <c r="AL311" s="244"/>
      <c r="AM311" s="62">
        <f>SUM(AM308,AM102)</f>
        <v>1243396.4400000004</v>
      </c>
      <c r="AN311" s="63">
        <f>SUM(AN308,AN102)+SUMIFS(Aut_Ajustes_Manuais!$G:$G,Aut_Ajustes_Manuais!$I:$I,DRE!AL$4,Aut_Ajustes_Manuais!$F:$F,"EBITDA")</f>
        <v>-332102.56015925366</v>
      </c>
      <c r="AO311" s="244"/>
      <c r="AP311" s="62">
        <f>SUM(AP308,AP102)</f>
        <v>1484379.7399999998</v>
      </c>
      <c r="AQ311" s="63">
        <f>SUM(AQ308,AQ102)+SUMIFS(Aut_Ajustes_Manuais!$G:$G,Aut_Ajustes_Manuais!$I:$I,DRE!AO$4,Aut_Ajustes_Manuais!$F:$F,"EBITDA")</f>
        <v>-332102.56015925366</v>
      </c>
      <c r="AR311" s="244">
        <f t="shared" ref="AR311:BI311" ca="1" si="280">SUM(AR308,AR102)</f>
        <v>0</v>
      </c>
      <c r="AS311" s="62">
        <f t="shared" ca="1" si="280"/>
        <v>1226294.7399999988</v>
      </c>
      <c r="AT311" s="63">
        <f t="shared" ca="1" si="280"/>
        <v>-2138227.7855337961</v>
      </c>
      <c r="AU311" s="244">
        <f t="shared" si="280"/>
        <v>0</v>
      </c>
      <c r="AV311" s="62">
        <f t="shared" si="280"/>
        <v>6630501.4800000032</v>
      </c>
      <c r="AW311" s="63">
        <f t="shared" si="280"/>
        <v>-3466638.0261708102</v>
      </c>
      <c r="AX311" s="244">
        <f t="shared" si="280"/>
        <v>0</v>
      </c>
      <c r="AY311" s="62">
        <f t="shared" si="280"/>
        <v>0</v>
      </c>
      <c r="AZ311" s="63">
        <f t="shared" si="280"/>
        <v>-454918.66421818186</v>
      </c>
      <c r="BA311" s="244">
        <f t="shared" si="280"/>
        <v>0</v>
      </c>
      <c r="BB311" s="62">
        <f t="shared" si="280"/>
        <v>0</v>
      </c>
      <c r="BC311" s="63">
        <f t="shared" si="280"/>
        <v>-951970.867951639</v>
      </c>
      <c r="BD311" s="244">
        <f t="shared" si="280"/>
        <v>0</v>
      </c>
      <c r="BE311" s="62">
        <f t="shared" si="280"/>
        <v>2440066.2599999998</v>
      </c>
      <c r="BF311" s="63">
        <f t="shared" si="280"/>
        <v>-1063440.8135232287</v>
      </c>
      <c r="BG311" s="244">
        <f t="shared" si="280"/>
        <v>0</v>
      </c>
      <c r="BH311" s="62">
        <f t="shared" si="280"/>
        <v>4190435.2199999974</v>
      </c>
      <c r="BI311" s="63">
        <f t="shared" si="280"/>
        <v>-996307.68047776085</v>
      </c>
    </row>
    <row r="312" spans="1:62" ht="15" customHeight="1" thickBot="1" x14ac:dyDescent="0.35">
      <c r="A312" s="122" t="s">
        <v>44</v>
      </c>
      <c r="B312" s="123"/>
      <c r="C312" s="124"/>
      <c r="D312" s="125"/>
      <c r="E312" s="126"/>
      <c r="F312" s="127"/>
      <c r="G312" s="128"/>
      <c r="H312" s="258"/>
      <c r="I312" s="129">
        <f>IFERROR(I311/I8,0)</f>
        <v>0</v>
      </c>
      <c r="J312" s="130">
        <f>IFERROR(J311/J8,0)+SUMIFS(Aut_Ajustes_Manuais!$G:$G,Aut_Ajustes_Manuais!$I:$I,DRE!H$4,Aut_Ajustes_Manuais!$F:$F,"% sobre Receita Bruta")</f>
        <v>0</v>
      </c>
      <c r="K312" s="258"/>
      <c r="L312" s="129">
        <f>IFERROR(L311/L8,0)</f>
        <v>0</v>
      </c>
      <c r="M312" s="130">
        <f>IFERROR(M311/M8,0)+SUMIFS(Aut_Ajustes_Manuais!$G:$G,Aut_Ajustes_Manuais!$I:$I,DRE!K$4,Aut_Ajustes_Manuais!$F:$F,"% sobre Receita Bruta")</f>
        <v>0</v>
      </c>
      <c r="N312" s="258"/>
      <c r="O312" s="129">
        <f>IFERROR(O311/O8,0)</f>
        <v>0</v>
      </c>
      <c r="P312" s="130">
        <f>IFERROR(P311/P8,0)+SUMIFS(Aut_Ajustes_Manuais!$G:$G,Aut_Ajustes_Manuais!$I:$I,DRE!N$4,Aut_Ajustes_Manuais!$F:$F,"% sobre Receita Bruta")</f>
        <v>0</v>
      </c>
      <c r="Q312" s="258"/>
      <c r="R312" s="129">
        <f>IFERROR(R311/R8,0)</f>
        <v>0</v>
      </c>
      <c r="S312" s="130">
        <f>IFERROR(S311/S8,0)+SUMIFS(Aut_Ajustes_Manuais!$G:$G,Aut_Ajustes_Manuais!$I:$I,DRE!Q$4,Aut_Ajustes_Manuais!$F:$F,"% sobre Receita Bruta")</f>
        <v>0</v>
      </c>
      <c r="T312" s="258"/>
      <c r="U312" s="129">
        <f>IFERROR(U311/U8,0)</f>
        <v>0</v>
      </c>
      <c r="V312" s="130">
        <f>IFERROR(V311/V8,0)+SUMIFS(Aut_Ajustes_Manuais!$G:$G,Aut_Ajustes_Manuais!$I:$I,DRE!T$4,Aut_Ajustes_Manuais!$F:$F,"% sobre Receita Bruta")</f>
        <v>0</v>
      </c>
      <c r="W312" s="258"/>
      <c r="X312" s="129">
        <f>IFERROR(X311/X8,0)</f>
        <v>0</v>
      </c>
      <c r="Y312" s="130">
        <f>IFERROR(Y311/Y8,0)+SUMIFS(Aut_Ajustes_Manuais!$G:$G,Aut_Ajustes_Manuais!$I:$I,DRE!W$4,Aut_Ajustes_Manuais!$F:$F,"% sobre Receita Bruta")</f>
        <v>0</v>
      </c>
      <c r="Z312" s="258"/>
      <c r="AA312" s="129">
        <f>IFERROR(AA311/AA8,0)</f>
        <v>0</v>
      </c>
      <c r="AB312" s="130">
        <f>IFERROR(AB311/AB8,0)+SUMIFS(Aut_Ajustes_Manuais!$G:$G,Aut_Ajustes_Manuais!$I:$I,DRE!Z$4,Aut_Ajustes_Manuais!$F:$F,"% sobre Receita Bruta")</f>
        <v>-1.2441518365157984</v>
      </c>
      <c r="AC312" s="258"/>
      <c r="AD312" s="129">
        <f>IFERROR(AD311/AD8,0)</f>
        <v>0.25603469613018187</v>
      </c>
      <c r="AE312" s="130">
        <f>IFERROR(AE311/AE8,0)+SUMIFS(Aut_Ajustes_Manuais!$G:$G,Aut_Ajustes_Manuais!$I:$I,DRE!AC$4,Aut_Ajustes_Manuais!$F:$F,"% sobre Receita Bruta")</f>
        <v>0</v>
      </c>
      <c r="AF312" s="258"/>
      <c r="AG312" s="129">
        <f>IFERROR(AG311/AG8,0)</f>
        <v>0.26157299132954842</v>
      </c>
      <c r="AH312" s="130">
        <f>IFERROR(AH311/AH8,0)+SUMIFS(Aut_Ajustes_Manuais!$G:$G,Aut_Ajustes_Manuais!$I:$I,DRE!AF$4,Aut_Ajustes_Manuais!$F:$F,"% sobre Receita Bruta")</f>
        <v>0</v>
      </c>
      <c r="AI312" s="258"/>
      <c r="AJ312" s="129">
        <f>IFERROR(AJ311/AJ8,0)</f>
        <v>0.2871872447594101</v>
      </c>
      <c r="AK312" s="130">
        <f>IFERROR(AK311/AK8,0)+SUMIFS(Aut_Ajustes_Manuais!$G:$G,Aut_Ajustes_Manuais!$I:$I,DRE!AI$4,Aut_Ajustes_Manuais!$F:$F,"% sobre Receita Bruta")</f>
        <v>0</v>
      </c>
      <c r="AL312" s="258"/>
      <c r="AM312" s="129">
        <f>IFERROR(AM311/AM8,0)</f>
        <v>0.26501700942393941</v>
      </c>
      <c r="AN312" s="130">
        <f>IFERROR(AN311/AN8,0)+SUMIFS(Aut_Ajustes_Manuais!$G:$G,Aut_Ajustes_Manuais!$I:$I,DRE!AL$4,Aut_Ajustes_Manuais!$F:$F,"% sobre Receita Bruta")</f>
        <v>0</v>
      </c>
      <c r="AO312" s="258"/>
      <c r="AP312" s="129">
        <f>IFERROR(AP311/AP8,0)</f>
        <v>0.29039851900994229</v>
      </c>
      <c r="AQ312" s="130">
        <f>IFERROR(AQ311/AQ8,0)+SUMIFS(Aut_Ajustes_Manuais!$G:$G,Aut_Ajustes_Manuais!$I:$I,DRE!AO$4,Aut_Ajustes_Manuais!$F:$F,"% sobre Receita Bruta")</f>
        <v>0</v>
      </c>
      <c r="AR312" s="258">
        <f t="shared" ref="AR312:BI312" ca="1" si="281">IFERROR(AR311/AR8,0)</f>
        <v>0</v>
      </c>
      <c r="AS312" s="129">
        <f t="shared" ca="1" si="281"/>
        <v>0.25603469613018193</v>
      </c>
      <c r="AT312" s="130">
        <f t="shared" ca="1" si="281"/>
        <v>-6.2767869912265146</v>
      </c>
      <c r="AU312" s="258">
        <f t="shared" si="281"/>
        <v>0</v>
      </c>
      <c r="AV312" s="129">
        <f t="shared" si="281"/>
        <v>0.27256648086855984</v>
      </c>
      <c r="AW312" s="130">
        <f t="shared" si="281"/>
        <v>-10.176347259713497</v>
      </c>
      <c r="AX312" s="258">
        <f t="shared" si="281"/>
        <v>0</v>
      </c>
      <c r="AY312" s="129">
        <f t="shared" si="281"/>
        <v>0</v>
      </c>
      <c r="AZ312" s="130">
        <f t="shared" si="281"/>
        <v>0</v>
      </c>
      <c r="BA312" s="258">
        <f t="shared" si="281"/>
        <v>0</v>
      </c>
      <c r="BB312" s="129">
        <f t="shared" si="281"/>
        <v>0</v>
      </c>
      <c r="BC312" s="130">
        <f t="shared" si="281"/>
        <v>0</v>
      </c>
      <c r="BD312" s="258">
        <f t="shared" si="281"/>
        <v>0</v>
      </c>
      <c r="BE312" s="129">
        <f t="shared" si="281"/>
        <v>0.25876000465738391</v>
      </c>
      <c r="BF312" s="130">
        <f t="shared" si="281"/>
        <v>-3.1217401202162245</v>
      </c>
      <c r="BG312" s="258">
        <f t="shared" si="281"/>
        <v>0</v>
      </c>
      <c r="BH312" s="129">
        <f t="shared" si="281"/>
        <v>0.28130640801354168</v>
      </c>
      <c r="BI312" s="130">
        <f t="shared" si="281"/>
        <v>0</v>
      </c>
    </row>
    <row r="313" spans="1:62" x14ac:dyDescent="0.3">
      <c r="A313" s="17"/>
      <c r="E313" s="15"/>
      <c r="F313" s="16"/>
      <c r="G313" s="45"/>
      <c r="H313" s="243"/>
      <c r="I313" s="16"/>
      <c r="J313" s="423"/>
      <c r="K313" s="243"/>
      <c r="L313" s="16"/>
      <c r="M313" s="55"/>
      <c r="N313" s="243"/>
      <c r="O313" s="16"/>
      <c r="P313" s="55"/>
      <c r="Q313" s="243"/>
      <c r="R313" s="16"/>
      <c r="S313" s="55"/>
      <c r="T313" s="243"/>
      <c r="U313" s="16"/>
      <c r="V313" s="55"/>
      <c r="W313" s="243"/>
      <c r="X313" s="16"/>
      <c r="Y313" s="55"/>
      <c r="Z313" s="243"/>
      <c r="AA313" s="16"/>
      <c r="AB313" s="55"/>
      <c r="AC313" s="243"/>
      <c r="AD313" s="16"/>
      <c r="AE313" s="55"/>
      <c r="AF313" s="243"/>
      <c r="AG313" s="16"/>
      <c r="AH313" s="55"/>
      <c r="AI313" s="243"/>
      <c r="AJ313" s="16"/>
      <c r="AK313" s="55"/>
      <c r="AL313" s="243"/>
      <c r="AM313" s="16"/>
      <c r="AN313" s="55"/>
      <c r="AO313" s="243"/>
      <c r="AP313" s="16"/>
      <c r="AQ313" s="55"/>
      <c r="AR313" s="243"/>
      <c r="AS313" s="16"/>
      <c r="AT313" s="55"/>
      <c r="AU313" s="243"/>
      <c r="AV313" s="16"/>
      <c r="AW313" s="55"/>
      <c r="AX313" s="243"/>
      <c r="AY313" s="16"/>
      <c r="AZ313" s="55"/>
      <c r="BA313" s="243"/>
      <c r="BB313" s="16"/>
      <c r="BC313" s="55"/>
      <c r="BD313" s="243"/>
      <c r="BE313" s="16"/>
      <c r="BF313" s="55"/>
      <c r="BG313" s="243"/>
      <c r="BH313" s="16"/>
      <c r="BI313" s="55"/>
    </row>
    <row r="314" spans="1:62" x14ac:dyDescent="0.3">
      <c r="A314" s="37" t="s">
        <v>329</v>
      </c>
      <c r="B314" s="57"/>
      <c r="C314" s="131" t="s">
        <v>330</v>
      </c>
      <c r="D314" s="59"/>
      <c r="E314" s="60"/>
      <c r="F314" s="61"/>
      <c r="G314" s="45"/>
      <c r="H314" s="240"/>
      <c r="I314" s="40"/>
      <c r="J314" s="41"/>
      <c r="K314" s="240"/>
      <c r="L314" s="40"/>
      <c r="M314" s="41"/>
      <c r="N314" s="240"/>
      <c r="O314" s="40"/>
      <c r="P314" s="41"/>
      <c r="Q314" s="240"/>
      <c r="R314" s="40"/>
      <c r="S314" s="41"/>
      <c r="T314" s="240"/>
      <c r="U314" s="40"/>
      <c r="V314" s="41"/>
      <c r="W314" s="240"/>
      <c r="X314" s="40"/>
      <c r="Y314" s="41"/>
      <c r="Z314" s="240"/>
      <c r="AA314" s="40"/>
      <c r="AB314" s="41"/>
      <c r="AC314" s="240"/>
      <c r="AD314" s="40"/>
      <c r="AE314" s="41"/>
      <c r="AF314" s="240"/>
      <c r="AG314" s="40"/>
      <c r="AH314" s="41"/>
      <c r="AI314" s="240"/>
      <c r="AJ314" s="40"/>
      <c r="AK314" s="41"/>
      <c r="AL314" s="240"/>
      <c r="AM314" s="40"/>
      <c r="AN314" s="41"/>
      <c r="AO314" s="240"/>
      <c r="AP314" s="40"/>
      <c r="AQ314" s="41"/>
      <c r="AR314" s="240">
        <f ca="1">SUMIFS($H314:$AO314,$H$5:$AO$5,"&lt;"&amp;MONTH(TODAY()),$H$6:$AO$6,"REAL 25")</f>
        <v>0</v>
      </c>
      <c r="AS314" s="40">
        <f ca="1">SUMIFS($I314:$AP314,$I$5:$AP$5,"&lt;"&amp;MONTH(TODAY()),$I$6:$AP$6,"ORÇADO ")</f>
        <v>0</v>
      </c>
      <c r="AT314" s="41">
        <f ca="1">SUMIFS($J314:$AQ314,$J$5:$AQ$5,"&lt;"&amp;MONTH(TODAY()),$J$6:$AQ$6,"REAL 26")</f>
        <v>0</v>
      </c>
      <c r="AU314" s="240">
        <f>SUM(H314,K314,N314,Q314,T314,W314,Z314,AC314,AF314,AI314,AL314,AO314)</f>
        <v>0</v>
      </c>
      <c r="AV314" s="40">
        <f>SUM(I314,L314,O314,R314,U314,X314,AA314,AD314,AG314,AJ314,AM314,AP314)</f>
        <v>0</v>
      </c>
      <c r="AW314" s="41">
        <f>SUM(J314,M314,P314,S314,V314,Y314,AB314,AE314,AH314,AK314,AN314,AQ314)</f>
        <v>0</v>
      </c>
      <c r="AX314" s="240">
        <f>SUM(H314,K314,N314)</f>
        <v>0</v>
      </c>
      <c r="AY314" s="40">
        <f>SUM(I314,L314,O314)</f>
        <v>0</v>
      </c>
      <c r="AZ314" s="41">
        <f>SUM(J314,M314,P314)</f>
        <v>0</v>
      </c>
      <c r="BA314" s="240">
        <f>SUM(Q314,T314,W314)</f>
        <v>0</v>
      </c>
      <c r="BB314" s="40">
        <f>SUM(R314,U314,X314)</f>
        <v>0</v>
      </c>
      <c r="BC314" s="41">
        <f>SUM(S314,V314,Y314)</f>
        <v>0</v>
      </c>
      <c r="BD314" s="240">
        <f>SUM(Z314,AC314,AF314)</f>
        <v>0</v>
      </c>
      <c r="BE314" s="40">
        <f>SUM(AA314,AD314,AG314)</f>
        <v>0</v>
      </c>
      <c r="BF314" s="41">
        <f>SUM(AB314,AE314,AH314)</f>
        <v>0</v>
      </c>
      <c r="BG314" s="240">
        <f>SUM(AI314,AL314,AO314)</f>
        <v>0</v>
      </c>
      <c r="BH314" s="40">
        <f>SUM(AJ314,AM314,AP314)</f>
        <v>0</v>
      </c>
      <c r="BI314" s="41">
        <f>SUM(AK314,AN314,AQ314)</f>
        <v>0</v>
      </c>
    </row>
    <row r="315" spans="1:62" x14ac:dyDescent="0.3">
      <c r="A315" s="17"/>
      <c r="E315" s="15"/>
      <c r="F315" s="16"/>
      <c r="G315" s="45"/>
      <c r="H315" s="243"/>
      <c r="I315" s="16"/>
      <c r="J315" s="55"/>
      <c r="K315" s="243"/>
      <c r="L315" s="16"/>
      <c r="M315" s="55"/>
      <c r="N315" s="243"/>
      <c r="O315" s="16"/>
      <c r="P315" s="55"/>
      <c r="Q315" s="243"/>
      <c r="R315" s="16"/>
      <c r="S315" s="55"/>
      <c r="T315" s="243"/>
      <c r="U315" s="16"/>
      <c r="V315" s="55"/>
      <c r="W315" s="243"/>
      <c r="X315" s="16"/>
      <c r="Y315" s="55"/>
      <c r="Z315" s="243"/>
      <c r="AA315" s="16"/>
      <c r="AB315" s="55"/>
      <c r="AC315" s="243"/>
      <c r="AD315" s="16"/>
      <c r="AE315" s="55"/>
      <c r="AF315" s="243"/>
      <c r="AG315" s="16"/>
      <c r="AH315" s="55"/>
      <c r="AI315" s="243"/>
      <c r="AJ315" s="16"/>
      <c r="AK315" s="55"/>
      <c r="AL315" s="243"/>
      <c r="AM315" s="16"/>
      <c r="AN315" s="55"/>
      <c r="AO315" s="243"/>
      <c r="AP315" s="16"/>
      <c r="AQ315" s="55"/>
      <c r="AR315" s="243"/>
      <c r="AS315" s="16"/>
      <c r="AT315" s="55"/>
      <c r="AU315" s="243"/>
      <c r="AV315" s="16"/>
      <c r="AW315" s="55"/>
      <c r="AX315" s="243"/>
      <c r="AY315" s="16"/>
      <c r="AZ315" s="55"/>
      <c r="BA315" s="243"/>
      <c r="BB315" s="16"/>
      <c r="BC315" s="55"/>
      <c r="BD315" s="243"/>
      <c r="BE315" s="16"/>
      <c r="BF315" s="55"/>
      <c r="BG315" s="243"/>
      <c r="BH315" s="16"/>
      <c r="BI315" s="55"/>
    </row>
    <row r="316" spans="1:62" x14ac:dyDescent="0.3">
      <c r="A316" s="56" t="s">
        <v>331</v>
      </c>
      <c r="B316" s="57"/>
      <c r="C316" s="58"/>
      <c r="D316" s="59"/>
      <c r="E316" s="60"/>
      <c r="F316" s="61"/>
      <c r="G316" s="45"/>
      <c r="H316" s="244"/>
      <c r="I316" s="62">
        <f>SUM(I314,I311)</f>
        <v>0</v>
      </c>
      <c r="J316" s="63">
        <f>SUM(J314,J311)+SUMIFS(Aut_Ajustes_Manuais!$G:$G,Aut_Ajustes_Manuais!$I:$I,DRE!H$4,Aut_Ajustes_Manuais!$F:$F,"EBIT")</f>
        <v>-143063.69473939395</v>
      </c>
      <c r="K316" s="244"/>
      <c r="L316" s="62">
        <f>SUM(L314,L311)</f>
        <v>0</v>
      </c>
      <c r="M316" s="63">
        <f>SUM(M314,M311)+SUMIFS(Aut_Ajustes_Manuais!$G:$G,Aut_Ajustes_Manuais!$I:$I,DRE!K$4,Aut_Ajustes_Manuais!$F:$F,"EBIT")</f>
        <v>-137496.30473939393</v>
      </c>
      <c r="N316" s="244"/>
      <c r="O316" s="62">
        <f>SUM(O314,O311)</f>
        <v>0</v>
      </c>
      <c r="P316" s="63">
        <f>SUM(P314,P311)+SUMIFS(Aut_Ajustes_Manuais!$G:$G,Aut_Ajustes_Manuais!$I:$I,DRE!N$4,Aut_Ajustes_Manuais!$F:$F,"EBIT")</f>
        <v>-174358.66473939395</v>
      </c>
      <c r="Q316" s="244"/>
      <c r="R316" s="62">
        <f>SUM(R314,R311)</f>
        <v>0</v>
      </c>
      <c r="S316" s="63">
        <f>SUM(S314,S311)+SUMIFS(Aut_Ajustes_Manuais!$G:$G,Aut_Ajustes_Manuais!$I:$I,DRE!Q$4,Aut_Ajustes_Manuais!$F:$F,"EBIT")</f>
        <v>-161555.00000000003</v>
      </c>
      <c r="T316" s="244"/>
      <c r="U316" s="62">
        <f>SUM(U314,U311)</f>
        <v>0</v>
      </c>
      <c r="V316" s="63">
        <f>SUM(V314,V311)+SUMIFS(Aut_Ajustes_Manuais!$G:$G,Aut_Ajustes_Manuais!$I:$I,DRE!T$4,Aut_Ajustes_Manuais!$F:$F,"EBIT")</f>
        <v>-273892.07512296346</v>
      </c>
      <c r="W316" s="244"/>
      <c r="X316" s="62">
        <f>SUM(X314,X311)</f>
        <v>0</v>
      </c>
      <c r="Y316" s="63">
        <f>SUM(Y314,Y311)+SUMIFS(Aut_Ajustes_Manuais!$G:$G,Aut_Ajustes_Manuais!$I:$I,DRE!W$4,Aut_Ajustes_Manuais!$F:$F,"EBIT")</f>
        <v>-516523.79282867548</v>
      </c>
      <c r="Z316" s="244"/>
      <c r="AA316" s="62">
        <f>SUM(AA314,AA311)</f>
        <v>0</v>
      </c>
      <c r="AB316" s="63">
        <f>SUM(AB314,AB311)+SUMIFS(Aut_Ajustes_Manuais!$G:$G,Aut_Ajustes_Manuais!$I:$I,DRE!Z$4,Aut_Ajustes_Manuais!$F:$F,"EBIT")</f>
        <v>-423828.31056389719</v>
      </c>
      <c r="AC316" s="244"/>
      <c r="AD316" s="62">
        <f>SUM(AD314,AD311)</f>
        <v>1226294.7399999986</v>
      </c>
      <c r="AE316" s="63">
        <f>SUM(AE314,AE311)+SUMIFS(Aut_Ajustes_Manuais!$G:$G,Aut_Ajustes_Manuais!$I:$I,DRE!AC$4,Aut_Ajustes_Manuais!$F:$F,"EBIT")</f>
        <v>-307509.94280007796</v>
      </c>
      <c r="AF316" s="244"/>
      <c r="AG316" s="62">
        <f>SUM(AG314,AG311)</f>
        <v>1213771.52</v>
      </c>
      <c r="AH316" s="63">
        <f>SUM(AH314,AH311)+SUMIFS(Aut_Ajustes_Manuais!$G:$G,Aut_Ajustes_Manuais!$I:$I,DRE!AF$4,Aut_Ajustes_Manuais!$F:$F,"EBIT")</f>
        <v>-332102.56015925366</v>
      </c>
      <c r="AI316" s="244"/>
      <c r="AJ316" s="62">
        <f>SUM(AJ314,AJ311)</f>
        <v>1462659.04</v>
      </c>
      <c r="AK316" s="63">
        <f>SUM(AK314,AK311)+SUMIFS(Aut_Ajustes_Manuais!$G:$G,Aut_Ajustes_Manuais!$I:$I,DRE!AI$4,Aut_Ajustes_Manuais!$F:$F,"EBIT")</f>
        <v>-332102.56015925366</v>
      </c>
      <c r="AL316" s="244"/>
      <c r="AM316" s="62">
        <f>SUM(AM314,AM311)</f>
        <v>1243396.4400000004</v>
      </c>
      <c r="AN316" s="63">
        <f>SUM(AN314,AN311)+SUMIFS(Aut_Ajustes_Manuais!$G:$G,Aut_Ajustes_Manuais!$I:$I,DRE!AL$4,Aut_Ajustes_Manuais!$F:$F,"EBIT")</f>
        <v>-332102.56015925366</v>
      </c>
      <c r="AO316" s="244"/>
      <c r="AP316" s="62">
        <f>SUM(AP314,AP311)</f>
        <v>1484379.7399999998</v>
      </c>
      <c r="AQ316" s="63">
        <f>SUM(AQ314,AQ311)+SUMIFS(Aut_Ajustes_Manuais!$G:$G,Aut_Ajustes_Manuais!$I:$I,DRE!AO$4,Aut_Ajustes_Manuais!$F:$F,"EBIT")</f>
        <v>-332102.56015925366</v>
      </c>
      <c r="AR316" s="244">
        <f t="shared" ref="AR316:BI316" ca="1" si="282">SUM(AR314,AR311)</f>
        <v>0</v>
      </c>
      <c r="AS316" s="62">
        <f t="shared" ca="1" si="282"/>
        <v>1226294.7399999988</v>
      </c>
      <c r="AT316" s="63">
        <f t="shared" ca="1" si="282"/>
        <v>-2138227.7855337961</v>
      </c>
      <c r="AU316" s="244">
        <f t="shared" si="282"/>
        <v>0</v>
      </c>
      <c r="AV316" s="62">
        <f t="shared" si="282"/>
        <v>6630501.4800000032</v>
      </c>
      <c r="AW316" s="63">
        <f t="shared" si="282"/>
        <v>-3466638.0261708102</v>
      </c>
      <c r="AX316" s="244">
        <f t="shared" si="282"/>
        <v>0</v>
      </c>
      <c r="AY316" s="62">
        <f t="shared" si="282"/>
        <v>0</v>
      </c>
      <c r="AZ316" s="63">
        <f t="shared" si="282"/>
        <v>-454918.66421818186</v>
      </c>
      <c r="BA316" s="244">
        <f t="shared" si="282"/>
        <v>0</v>
      </c>
      <c r="BB316" s="62">
        <f t="shared" si="282"/>
        <v>0</v>
      </c>
      <c r="BC316" s="63">
        <f t="shared" si="282"/>
        <v>-951970.867951639</v>
      </c>
      <c r="BD316" s="244">
        <f t="shared" si="282"/>
        <v>0</v>
      </c>
      <c r="BE316" s="62">
        <f t="shared" si="282"/>
        <v>2440066.2599999998</v>
      </c>
      <c r="BF316" s="63">
        <f t="shared" si="282"/>
        <v>-1063440.8135232287</v>
      </c>
      <c r="BG316" s="244">
        <f t="shared" si="282"/>
        <v>0</v>
      </c>
      <c r="BH316" s="62">
        <f t="shared" si="282"/>
        <v>4190435.2199999974</v>
      </c>
      <c r="BI316" s="63">
        <f t="shared" si="282"/>
        <v>-996307.68047776085</v>
      </c>
    </row>
    <row r="317" spans="1:62" x14ac:dyDescent="0.3">
      <c r="A317" s="17"/>
      <c r="E317" s="15"/>
      <c r="F317" s="16"/>
      <c r="G317" s="45"/>
      <c r="H317" s="243"/>
      <c r="I317" s="16"/>
      <c r="J317" s="55"/>
      <c r="K317" s="243"/>
      <c r="L317" s="16"/>
      <c r="M317" s="55"/>
      <c r="N317" s="243"/>
      <c r="O317" s="16"/>
      <c r="P317" s="55"/>
      <c r="Q317" s="243"/>
      <c r="R317" s="16"/>
      <c r="S317" s="55"/>
      <c r="T317" s="243"/>
      <c r="U317" s="16"/>
      <c r="V317" s="55"/>
      <c r="W317" s="243"/>
      <c r="X317" s="16"/>
      <c r="Y317" s="55"/>
      <c r="Z317" s="243"/>
      <c r="AA317" s="16"/>
      <c r="AB317" s="55"/>
      <c r="AC317" s="243"/>
      <c r="AD317" s="16"/>
      <c r="AE317" s="55"/>
      <c r="AF317" s="243"/>
      <c r="AG317" s="16"/>
      <c r="AH317" s="55"/>
      <c r="AI317" s="243"/>
      <c r="AJ317" s="16"/>
      <c r="AK317" s="55"/>
      <c r="AL317" s="243"/>
      <c r="AM317" s="16"/>
      <c r="AN317" s="55"/>
      <c r="AO317" s="243"/>
      <c r="AP317" s="16"/>
      <c r="AQ317" s="55"/>
      <c r="AR317" s="243"/>
      <c r="AS317" s="16"/>
      <c r="AT317" s="55"/>
      <c r="AU317" s="243"/>
      <c r="AV317" s="16"/>
      <c r="AW317" s="55"/>
      <c r="AX317" s="243"/>
      <c r="AY317" s="16"/>
      <c r="AZ317" s="55"/>
      <c r="BA317" s="243"/>
      <c r="BB317" s="16"/>
      <c r="BC317" s="55"/>
      <c r="BD317" s="243"/>
      <c r="BE317" s="16"/>
      <c r="BF317" s="55"/>
      <c r="BG317" s="243"/>
      <c r="BH317" s="16"/>
      <c r="BI317" s="55"/>
    </row>
    <row r="318" spans="1:62" x14ac:dyDescent="0.3">
      <c r="A318" s="37" t="s">
        <v>332</v>
      </c>
      <c r="B318" s="57"/>
      <c r="C318" s="132" t="s">
        <v>60</v>
      </c>
      <c r="D318" s="133">
        <v>1.5E-3</v>
      </c>
      <c r="E318" s="60"/>
      <c r="F318" s="61"/>
      <c r="G318" s="45"/>
      <c r="H318" s="240"/>
      <c r="I318" s="40"/>
      <c r="J318" s="41">
        <f>SUMIFS(Aut_BlueMe_Sem_Pedido!$J:$J,Aut_BlueMe_Sem_Pedido!$Q:$Q,DRE!H$4,Aut_BlueMe_Sem_Pedido!$H:$H,"Tarifas Bancárias")-J216+SUMIFS(Aut_BlueMe_Sem_Pedido!$K:$K,Aut_BlueMe_Sem_Pedido!$Q:$Q,DRE!H$4,Aut_BlueMe_Sem_Pedido!$H:$H,"Aluguel de imoveis")</f>
        <v>98647.83</v>
      </c>
      <c r="K318" s="240"/>
      <c r="L318" s="40"/>
      <c r="M318" s="41">
        <f>SUMIFS(Aut_BlueMe_Sem_Pedido!$J:$J,Aut_BlueMe_Sem_Pedido!$Q:$Q,DRE!K$4,Aut_BlueMe_Sem_Pedido!$H:$H,"Tarifas Bancárias")-M216+SUMIFS(Aut_BlueMe_Sem_Pedido!$K:$K,Aut_BlueMe_Sem_Pedido!$Q:$Q,DRE!K$4,Aut_BlueMe_Sem_Pedido!$H:$H,"Aluguel de imoveis")</f>
        <v>-408</v>
      </c>
      <c r="N318" s="240"/>
      <c r="O318" s="40"/>
      <c r="P318" s="41">
        <f>SUMIFS(Aut_BlueMe_Sem_Pedido!$J:$J,Aut_BlueMe_Sem_Pedido!$Q:$Q,DRE!N$4,Aut_BlueMe_Sem_Pedido!$H:$H,"Tarifas Bancárias")-P216+SUMIFS(Aut_BlueMe_Sem_Pedido!$K:$K,Aut_BlueMe_Sem_Pedido!$Q:$Q,DRE!N$4,Aut_BlueMe_Sem_Pedido!$H:$H,"Aluguel de imoveis")</f>
        <v>-708.5</v>
      </c>
      <c r="Q318" s="240"/>
      <c r="R318" s="40"/>
      <c r="S318" s="41">
        <f>SUMIFS(Aut_BlueMe_Sem_Pedido!$J:$J,Aut_BlueMe_Sem_Pedido!$Q:$Q,DRE!Q$4,Aut_BlueMe_Sem_Pedido!$H:$H,"Tarifas Bancárias")-S216+SUMIFS(Aut_BlueMe_Sem_Pedido!$K:$K,Aut_BlueMe_Sem_Pedido!$Q:$Q,DRE!Q$4,Aut_BlueMe_Sem_Pedido!$H:$H,"Aluguel de imoveis")</f>
        <v>-836.89999999999418</v>
      </c>
      <c r="T318" s="240"/>
      <c r="U318" s="40"/>
      <c r="V318" s="41">
        <f>SUMIFS(Aut_BlueMe_Sem_Pedido!$J:$J,Aut_BlueMe_Sem_Pedido!$Q:$Q,DRE!T$4,Aut_BlueMe_Sem_Pedido!$H:$H,"Tarifas Bancárias")-V216+SUMIFS(Aut_BlueMe_Sem_Pedido!$K:$K,Aut_BlueMe_Sem_Pedido!$Q:$Q,DRE!T$4,Aut_BlueMe_Sem_Pedido!$H:$H,"Aluguel de imoveis")</f>
        <v>-632.61999999999534</v>
      </c>
      <c r="W318" s="240"/>
      <c r="X318" s="40"/>
      <c r="Y318" s="41">
        <f>SUMIFS(Aut_BlueMe_Sem_Pedido!$J:$J,Aut_BlueMe_Sem_Pedido!$Q:$Q,DRE!W$4,Aut_BlueMe_Sem_Pedido!$H:$H,"Tarifas Bancárias")-Y216+SUMIFS(Aut_BlueMe_Sem_Pedido!$K:$K,Aut_BlueMe_Sem_Pedido!$Q:$Q,DRE!W$4,Aut_BlueMe_Sem_Pedido!$H:$H,"Aluguel de imoveis")</f>
        <v>-203.4199999999837</v>
      </c>
      <c r="Z318" s="240"/>
      <c r="AA318" s="40"/>
      <c r="AB318" s="41">
        <f>SUMIFS(Aut_BlueMe_Sem_Pedido!$J:$J,Aut_BlueMe_Sem_Pedido!$Q:$Q,DRE!Z$4,Aut_BlueMe_Sem_Pedido!$H:$H,"Tarifas Bancárias")-AB216+SUMIFS(Aut_BlueMe_Sem_Pedido!$K:$K,Aut_BlueMe_Sem_Pedido!$Q:$Q,DRE!Z$4,Aut_BlueMe_Sem_Pedido!$H:$H,"Aluguel de imoveis")</f>
        <v>-632.11999999999534</v>
      </c>
      <c r="AC318" s="240"/>
      <c r="AD318" s="40">
        <v>-7184.3470245000008</v>
      </c>
      <c r="AE318" s="41">
        <f>SUMIFS(Aut_BlueMe_Sem_Pedido!$J:$J,Aut_BlueMe_Sem_Pedido!$Q:$Q,DRE!AC$4,Aut_BlueMe_Sem_Pedido!$H:$H,"Tarifas Bancárias")-AE216+SUMIFS(Aut_BlueMe_Sem_Pedido!$K:$K,Aut_BlueMe_Sem_Pedido!$Q:$Q,DRE!AC$4,Aut_BlueMe_Sem_Pedido!$H:$H,"Aluguel de imoveis")</f>
        <v>-593.11999999999534</v>
      </c>
      <c r="AF318" s="240"/>
      <c r="AG318" s="40">
        <v>-6960.4177059000012</v>
      </c>
      <c r="AH318" s="41">
        <f>SUMIFS(Aut_BlueMe_Sem_Pedido!$J:$J,Aut_BlueMe_Sem_Pedido!$Q:$Q,DRE!AF$4,Aut_BlueMe_Sem_Pedido!$H:$H,"Tarifas Bancárias")-AH216+SUMIFS(Aut_BlueMe_Sem_Pedido!$K:$K,Aut_BlueMe_Sem_Pedido!$Q:$Q,DRE!AF$4,Aut_BlueMe_Sem_Pedido!$H:$H,"Aluguel de imoveis")</f>
        <v>-593.11999999999534</v>
      </c>
      <c r="AI318" s="240"/>
      <c r="AJ318" s="40">
        <v>-7639.5752213999995</v>
      </c>
      <c r="AK318" s="41">
        <f>SUMIFS(Aut_BlueMe_Sem_Pedido!$J:$J,Aut_BlueMe_Sem_Pedido!$Q:$Q,DRE!AI$4,Aut_BlueMe_Sem_Pedido!$H:$H,"Tarifas Bancárias")-AK216+SUMIFS(Aut_BlueMe_Sem_Pedido!$K:$K,Aut_BlueMe_Sem_Pedido!$Q:$Q,DRE!AI$4,Aut_BlueMe_Sem_Pedido!$H:$H,"Aluguel de imoveis")</f>
        <v>-593.11999999999534</v>
      </c>
      <c r="AL318" s="240"/>
      <c r="AM318" s="40">
        <v>-7037.6413455000002</v>
      </c>
      <c r="AN318" s="41">
        <f>SUMIFS(Aut_BlueMe_Sem_Pedido!$J:$J,Aut_BlueMe_Sem_Pedido!$Q:$Q,DRE!AL$4,Aut_BlueMe_Sem_Pedido!$H:$H,"Tarifas Bancárias")-AN216+SUMIFS(Aut_BlueMe_Sem_Pedido!$K:$K,Aut_BlueMe_Sem_Pedido!$Q:$Q,DRE!AL$4,Aut_BlueMe_Sem_Pedido!$H:$H,"Aluguel de imoveis")</f>
        <v>-593.11999999999534</v>
      </c>
      <c r="AO318" s="240"/>
      <c r="AP318" s="40">
        <v>-7667.2898258999994</v>
      </c>
      <c r="AQ318" s="41">
        <f>SUMIFS(Aut_BlueMe_Sem_Pedido!$J:$J,Aut_BlueMe_Sem_Pedido!$Q:$Q,DRE!AO$4,Aut_BlueMe_Sem_Pedido!$H:$H,"Tarifas Bancárias")-AQ216+SUMIFS(Aut_BlueMe_Sem_Pedido!$K:$K,Aut_BlueMe_Sem_Pedido!$Q:$Q,DRE!AO$4,Aut_BlueMe_Sem_Pedido!$H:$H,"Aluguel de imoveis")</f>
        <v>-593.11999999999534</v>
      </c>
      <c r="AR318" s="240">
        <f ca="1">SUMIFS($H318:$AO318,$H$5:$AO$5,"&lt;"&amp;MONTH(TODAY()),$H$6:$AO$6,"REAL 25")</f>
        <v>0</v>
      </c>
      <c r="AS318" s="40">
        <f ca="1">SUMIFS($I318:$AP318,$I$5:$AP$5,"&lt;"&amp;MONTH(TODAY()),$I$6:$AP$6,"ORÇADO ")</f>
        <v>-7184.3470245000008</v>
      </c>
      <c r="AT318" s="41">
        <f ca="1">SUMIFS($J318:$AQ318,$J$5:$AQ$5,"&lt;"&amp;MONTH(TODAY()),$J$6:$AQ$6,"REAL 26")</f>
        <v>94633.150000000038</v>
      </c>
      <c r="AU318" s="240">
        <f>SUM(H318,K318,N318,Q318,T318,W318,Z318,AC318,AF318,AI318,AL318,AO318)</f>
        <v>0</v>
      </c>
      <c r="AV318" s="40">
        <f>SUM(I318,L318,O318,R318,U318,X318,AA318,AD318,AG318,AJ318,AM318,AP318)</f>
        <v>-36489.2711232</v>
      </c>
      <c r="AW318" s="41">
        <f>SUM(J318,M318,P318,S318,V318,Y318,AB318,AE318,AH318,AK318,AN318,AQ318)</f>
        <v>92260.670000000056</v>
      </c>
      <c r="AX318" s="240">
        <f>SUM(H318,K318,N318)</f>
        <v>0</v>
      </c>
      <c r="AY318" s="40">
        <f>SUM(I318,L318,O318)</f>
        <v>0</v>
      </c>
      <c r="AZ318" s="41">
        <f>SUM(J318,M318,P318)</f>
        <v>97531.33</v>
      </c>
      <c r="BA318" s="240">
        <f>SUM(Q318,T318,W318)</f>
        <v>0</v>
      </c>
      <c r="BB318" s="40">
        <f>SUM(R318,U318,X318)</f>
        <v>0</v>
      </c>
      <c r="BC318" s="41">
        <f>SUM(S318,V318,Y318)</f>
        <v>-1672.9399999999732</v>
      </c>
      <c r="BD318" s="240">
        <f>SUM(Z318,AC318,AF318)</f>
        <v>0</v>
      </c>
      <c r="BE318" s="40">
        <f>SUM(AA318,AD318,AG318)</f>
        <v>-14144.764730400002</v>
      </c>
      <c r="BF318" s="41">
        <f>SUM(AB318,AE318,AH318)</f>
        <v>-1818.359999999986</v>
      </c>
      <c r="BG318" s="240">
        <f>SUM(AI318,AL318,AO318)</f>
        <v>0</v>
      </c>
      <c r="BH318" s="40">
        <f>SUM(AJ318,AM318,AP318)</f>
        <v>-22344.506392799998</v>
      </c>
      <c r="BI318" s="41">
        <f>SUM(AK318,AN318,AQ318)</f>
        <v>-1779.359999999986</v>
      </c>
    </row>
    <row r="319" spans="1:62" x14ac:dyDescent="0.3">
      <c r="A319" s="17"/>
      <c r="E319" s="15"/>
      <c r="F319" s="16"/>
      <c r="G319" s="45"/>
      <c r="H319" s="243"/>
      <c r="I319" s="16"/>
      <c r="J319" s="55"/>
      <c r="K319" s="243"/>
      <c r="L319" s="16"/>
      <c r="M319" s="55"/>
      <c r="N319" s="243"/>
      <c r="O319" s="16"/>
      <c r="P319" s="55"/>
      <c r="Q319" s="243"/>
      <c r="R319" s="16"/>
      <c r="S319" s="55"/>
      <c r="T319" s="243"/>
      <c r="U319" s="16"/>
      <c r="V319" s="55"/>
      <c r="W319" s="243"/>
      <c r="X319" s="16"/>
      <c r="Y319" s="55"/>
      <c r="Z319" s="243"/>
      <c r="AA319" s="16"/>
      <c r="AB319" s="55"/>
      <c r="AC319" s="243"/>
      <c r="AD319" s="16"/>
      <c r="AE319" s="55"/>
      <c r="AF319" s="243"/>
      <c r="AG319" s="16"/>
      <c r="AH319" s="55"/>
      <c r="AI319" s="243"/>
      <c r="AJ319" s="16"/>
      <c r="AK319" s="55"/>
      <c r="AL319" s="243"/>
      <c r="AM319" s="16"/>
      <c r="AN319" s="55"/>
      <c r="AO319" s="243"/>
      <c r="AP319" s="16"/>
      <c r="AQ319" s="55"/>
      <c r="AR319" s="243"/>
      <c r="AS319" s="16"/>
      <c r="AT319" s="55"/>
      <c r="AU319" s="243"/>
      <c r="AV319" s="16"/>
      <c r="AW319" s="55"/>
      <c r="AX319" s="243"/>
      <c r="AY319" s="16"/>
      <c r="AZ319" s="55"/>
      <c r="BA319" s="243"/>
      <c r="BB319" s="16"/>
      <c r="BC319" s="55"/>
      <c r="BD319" s="243"/>
      <c r="BE319" s="16"/>
      <c r="BF319" s="55"/>
      <c r="BG319" s="243"/>
      <c r="BH319" s="16"/>
      <c r="BI319" s="55"/>
    </row>
    <row r="320" spans="1:62" x14ac:dyDescent="0.3">
      <c r="A320" s="37" t="s">
        <v>333</v>
      </c>
      <c r="B320" s="57"/>
      <c r="C320" s="132" t="s">
        <v>334</v>
      </c>
      <c r="D320" s="133"/>
      <c r="E320" s="60"/>
      <c r="F320" s="61"/>
      <c r="G320" s="45"/>
      <c r="H320" s="240"/>
      <c r="I320" s="40">
        <f>SUMIFS(T_ORCAMENTOS!$E:$E,T_ORCAMENTOS!$C:$C,"(+) Receitas de Patrocínio",T_ORCAMENTOS!$H:$H,"1/2026")</f>
        <v>0</v>
      </c>
      <c r="J320" s="41">
        <f>SUMIFS(Aut_Receitas_Extraord!$L:$L,Aut_Receitas_Extraord!$V:$V,DRE!H$4,Aut_Receitas_Extraord!$D:$D,"Patrocínio")+SUMIFS(Aut_Ajustes_Manuais!$G:$G,Aut_Ajustes_Manuais!$I:$I,DRE!H$4,Aut_Ajustes_Manuais!$F:$F,"(+) Receitas de Patrocínio")</f>
        <v>0</v>
      </c>
      <c r="K320" s="240"/>
      <c r="L320" s="40">
        <f>SUMIFS(T_ORCAMENTOS!$E:$E,T_ORCAMENTOS!$C:$C,"(+) Receitas de Patrocínio",T_ORCAMENTOS!$H:$H,"2/2026")</f>
        <v>0</v>
      </c>
      <c r="M320" s="41">
        <f>SUMIFS(Aut_Receitas_Extraord!$L:$L,Aut_Receitas_Extraord!$V:$V,DRE!K$4,Aut_Receitas_Extraord!$D:$D,"Patrocínio")+SUMIFS(Aut_Ajustes_Manuais!$G:$G,Aut_Ajustes_Manuais!$I:$I,DRE!K$4,Aut_Ajustes_Manuais!$F:$F,"(+) Receitas de Patrocínio")</f>
        <v>0</v>
      </c>
      <c r="N320" s="240"/>
      <c r="O320" s="40">
        <f>SUMIFS(T_ORCAMENTOS!$E:$E,T_ORCAMENTOS!$C:$C,"(+) Receitas de Patrocínio",T_ORCAMENTOS!$H:$H,"3/2026")</f>
        <v>0</v>
      </c>
      <c r="P320" s="40">
        <f>SUMIFS(Aut_Receitas_Extraord!$L:$L,Aut_Receitas_Extraord!$V:$V,DRE!N$4,Aut_Receitas_Extraord!$D:$D,"Patrocínio")+SUMIFS(Aut_Ajustes_Manuais!$G:$G,Aut_Ajustes_Manuais!$I:$I,DRE!N$4,Aut_Ajustes_Manuais!$F:$F,"(+) Receitas de Patrocínio")</f>
        <v>0</v>
      </c>
      <c r="Q320" s="240"/>
      <c r="R320" s="40">
        <f>SUMIFS(T_ORCAMENTOS!$E:$E,T_ORCAMENTOS!$C:$C,"(+) Receitas de Patrocínio",T_ORCAMENTOS!$H:$H,"4/2026")</f>
        <v>0</v>
      </c>
      <c r="S320" s="40">
        <f>SUMIFS(Aut_Receitas_Extraord!$L:$L,Aut_Receitas_Extraord!$V:$V,DRE!Q$4,Aut_Receitas_Extraord!$D:$D,"Patrocínio")+SUMIFS(Aut_Ajustes_Manuais!$G:$G,Aut_Ajustes_Manuais!$I:$I,DRE!Q$4,Aut_Ajustes_Manuais!$F:$F,"(+) Receitas de Patrocínio")</f>
        <v>0</v>
      </c>
      <c r="T320" s="240"/>
      <c r="U320" s="40">
        <f>SUMIFS(T_ORCAMENTOS!$E:$E,T_ORCAMENTOS!$C:$C,"(+) Receitas de Patrocínio",T_ORCAMENTOS!$H:$H,"5/2026")</f>
        <v>0</v>
      </c>
      <c r="V320" s="41">
        <f>SUMIFS(Aut_Receitas_Extraord!$L:$L,Aut_Receitas_Extraord!$V:$V,DRE!T$4,Aut_Receitas_Extraord!$D:$D,"Patrocínio")+SUMIFS(Aut_Ajustes_Manuais!$G:$G,Aut_Ajustes_Manuais!$I:$I,DRE!T$4,Aut_Ajustes_Manuais!$F:$F,"(+) Receitas de Patrocínio")</f>
        <v>0</v>
      </c>
      <c r="W320" s="240"/>
      <c r="X320" s="40">
        <f>SUMIFS(T_ORCAMENTOS!$E:$E,T_ORCAMENTOS!$C:$C,"(+) Receitas de Patrocínio",T_ORCAMENTOS!$H:$H,"6/2026")</f>
        <v>0</v>
      </c>
      <c r="Y320" s="41">
        <f>SUMIFS(Aut_Receitas_Extraord!$L:$L,Aut_Receitas_Extraord!$V:$V,DRE!W$4,Aut_Receitas_Extraord!$D:$D,"Patrocínio")+SUMIFS(Aut_Ajustes_Manuais!$G:$G,Aut_Ajustes_Manuais!$I:$I,DRE!W$4,Aut_Ajustes_Manuais!$F:$F,"(+) Receitas de Patrocínio")</f>
        <v>0</v>
      </c>
      <c r="Z320" s="240"/>
      <c r="AA320" s="40">
        <f>SUMIFS(T_ORCAMENTOS!$E:$E,T_ORCAMENTOS!$C:$C,"(+) Receitas de Patrocínio",T_ORCAMENTOS!$H:$H,"7/2026")</f>
        <v>0</v>
      </c>
      <c r="AB320" s="41">
        <f>SUMIFS(Aut_Receitas_Extraord!$L:$L,Aut_Receitas_Extraord!$V:$V,DRE!Z$4,Aut_Receitas_Extraord!$D:$D,"Patrocínio")+SUMIFS(Aut_Ajustes_Manuais!$G:$G,Aut_Ajustes_Manuais!$I:$I,DRE!Z$4,Aut_Ajustes_Manuais!$F:$F,"(+) Receitas de Patrocínio")</f>
        <v>0</v>
      </c>
      <c r="AC320" s="240"/>
      <c r="AD320" s="40">
        <f>SUMIFS(T_ORCAMENTOS!$E:$E,T_ORCAMENTOS!$C:$C,"(+) Receitas de Patrocínio",T_ORCAMENTOS!$H:$H,"8/2026")</f>
        <v>0</v>
      </c>
      <c r="AE320" s="41">
        <f>SUMIFS(Aut_Receitas_Extraord!$L:$L,Aut_Receitas_Extraord!$V:$V,DRE!AC$4,Aut_Receitas_Extraord!$D:$D,"Patrocínio")+SUMIFS(Aut_Ajustes_Manuais!$G:$G,Aut_Ajustes_Manuais!$I:$I,DRE!AC$4,Aut_Ajustes_Manuais!$F:$F,"(+) Receitas de Patrocínio")</f>
        <v>0</v>
      </c>
      <c r="AF320" s="240"/>
      <c r="AG320" s="40">
        <f>SUMIFS(T_ORCAMENTOS!$E:$E,T_ORCAMENTOS!$C:$C,"(+) Receitas de Patrocínio",T_ORCAMENTOS!$H:$H,"9/2026")</f>
        <v>0</v>
      </c>
      <c r="AH320" s="41">
        <f>SUMIFS(Aut_Receitas_Extraord!$L:$L,Aut_Receitas_Extraord!$V:$V,DRE!AF$4,Aut_Receitas_Extraord!$D:$D,"Patrocínio")+SUMIFS(Aut_Ajustes_Manuais!$G:$G,Aut_Ajustes_Manuais!$I:$I,DRE!AF$4,Aut_Ajustes_Manuais!$F:$F,"(+) Receitas de Patrocínio")</f>
        <v>0</v>
      </c>
      <c r="AI320" s="240"/>
      <c r="AJ320" s="40">
        <f>SUMIFS(T_ORCAMENTOS!$E:$E,T_ORCAMENTOS!$C:$C,"(+) Receitas de Patrocínio",T_ORCAMENTOS!$H:$H,"10/2026")</f>
        <v>0</v>
      </c>
      <c r="AK320" s="41">
        <f>SUMIFS(Aut_Receitas_Extraord!$L:$L,Aut_Receitas_Extraord!$V:$V,DRE!AI$4,Aut_Receitas_Extraord!$D:$D,"Patrocínio")+SUMIFS(Aut_Ajustes_Manuais!$G:$G,Aut_Ajustes_Manuais!$I:$I,DRE!AI$4,Aut_Ajustes_Manuais!$F:$F,"(+) Receitas de Patrocínio")</f>
        <v>0</v>
      </c>
      <c r="AL320" s="240"/>
      <c r="AM320" s="40">
        <f>SUMIFS(T_ORCAMENTOS!$E:$E,T_ORCAMENTOS!$C:$C,"(+) Receitas de Patrocínio",T_ORCAMENTOS!$H:$H,"11/2026")</f>
        <v>0</v>
      </c>
      <c r="AN320" s="41">
        <f>SUMIFS(Aut_Receitas_Extraord!$L:$L,Aut_Receitas_Extraord!$V:$V,DRE!AL$4,Aut_Receitas_Extraord!$D:$D,"Patrocínio")+SUMIFS(Aut_Ajustes_Manuais!$G:$G,Aut_Ajustes_Manuais!$I:$I,DRE!AL$4,Aut_Ajustes_Manuais!$F:$F,"(+) Receitas de Patrocínio")</f>
        <v>0</v>
      </c>
      <c r="AO320" s="240"/>
      <c r="AP320" s="40">
        <f>SUMIFS(T_ORCAMENTOS!$E:$E,T_ORCAMENTOS!$C:$C,"(+) Receitas de Patrocínio",T_ORCAMENTOS!$H:$H,"12/2026")</f>
        <v>0</v>
      </c>
      <c r="AQ320" s="41">
        <f>SUMIFS(Aut_Receitas_Extraord!$L:$L,Aut_Receitas_Extraord!$V:$V,DRE!AO$4,Aut_Receitas_Extraord!$D:$D,"Patrocínio")+SUMIFS(Aut_Ajustes_Manuais!$G:$G,Aut_Ajustes_Manuais!$I:$I,DRE!AO$4,Aut_Ajustes_Manuais!$F:$F,"(+) Receitas de Patrocínio")</f>
        <v>0</v>
      </c>
      <c r="AR320" s="240">
        <f ca="1">SUMIFS($H320:$AO320,$H$5:$AO$5,"&lt;"&amp;MONTH(TODAY()),$H$6:$AO$6,"REAL 25")</f>
        <v>0</v>
      </c>
      <c r="AS320" s="40">
        <f ca="1">SUMIFS($I320:$AP320,$I$5:$AP$5,"&lt;"&amp;MONTH(TODAY()),$I$6:$AP$6,"ORÇADO ")</f>
        <v>0</v>
      </c>
      <c r="AT320" s="41">
        <f ca="1">SUMIFS($J320:$AQ320,$J$5:$AQ$5,"&lt;"&amp;MONTH(TODAY()),$J$6:$AQ$6,"REAL 26")</f>
        <v>0</v>
      </c>
      <c r="AU320" s="240">
        <f t="shared" ref="AU320:AW321" si="283">SUM(H320,K320,N320,Q320,T320,W320,Z320,AC320,AF320,AI320,AL320,AO320)</f>
        <v>0</v>
      </c>
      <c r="AV320" s="40">
        <f t="shared" si="283"/>
        <v>0</v>
      </c>
      <c r="AW320" s="41">
        <f t="shared" si="283"/>
        <v>0</v>
      </c>
      <c r="AX320" s="240">
        <f t="shared" ref="AX320:AZ321" si="284">SUM(H320,K320,N320)</f>
        <v>0</v>
      </c>
      <c r="AY320" s="40">
        <f t="shared" si="284"/>
        <v>0</v>
      </c>
      <c r="AZ320" s="41">
        <f t="shared" si="284"/>
        <v>0</v>
      </c>
      <c r="BA320" s="240">
        <f t="shared" ref="BA320:BC321" si="285">SUM(Q320,T320,W320)</f>
        <v>0</v>
      </c>
      <c r="BB320" s="40">
        <f t="shared" si="285"/>
        <v>0</v>
      </c>
      <c r="BC320" s="41">
        <f t="shared" si="285"/>
        <v>0</v>
      </c>
      <c r="BD320" s="240">
        <f t="shared" ref="BD320:BF321" si="286">SUM(Z320,AC320,AF320)</f>
        <v>0</v>
      </c>
      <c r="BE320" s="40">
        <f t="shared" si="286"/>
        <v>0</v>
      </c>
      <c r="BF320" s="41">
        <f t="shared" si="286"/>
        <v>0</v>
      </c>
      <c r="BG320" s="240">
        <f t="shared" ref="BG320:BI321" si="287">SUM(AI320,AL320,AO320)</f>
        <v>0</v>
      </c>
      <c r="BH320" s="40">
        <f t="shared" si="287"/>
        <v>0</v>
      </c>
      <c r="BI320" s="41">
        <f t="shared" si="287"/>
        <v>0</v>
      </c>
    </row>
    <row r="321" spans="1:62" ht="19.95" customHeight="1" x14ac:dyDescent="0.3">
      <c r="A321" s="37" t="s">
        <v>335</v>
      </c>
      <c r="B321" s="57"/>
      <c r="C321" s="134" t="s">
        <v>336</v>
      </c>
      <c r="D321" s="135">
        <v>0</v>
      </c>
      <c r="E321" s="60"/>
      <c r="F321" s="61"/>
      <c r="G321" s="45"/>
      <c r="H321" s="259"/>
      <c r="I321" s="136">
        <f>-SUMIFS(T_ORCAMENTOS!$E:$E,T_ORCAMENTOS!$C:$C,"(-) Despesas de Patrocínio",T_ORCAMENTOS!$H:$H,"1/2026")</f>
        <v>0</v>
      </c>
      <c r="J321" s="137">
        <f>SUMIFS(Aut_BlueMe_Sem_Pedido!$J:$J,Aut_BlueMe_Sem_Pedido!$Q:$Q,DRE!H$4,Aut_BlueMe_Sem_Pedido!$H:$H,DRE!$A321)+SUMIFS(Aut_Ajustes_Manuais!$G:$G,Aut_Ajustes_Manuais!$I:$I,DRE!H$4,Aut_Ajustes_Manuais!$F:$F,"(-) Despesas de Patrocínio")</f>
        <v>0</v>
      </c>
      <c r="K321" s="259"/>
      <c r="L321" s="136">
        <f>-SUMIFS(T_ORCAMENTOS!$E:$E,T_ORCAMENTOS!$C:$C,"(-) Despesas de Patrocínio",T_ORCAMENTOS!$H:$H,"2/2026")</f>
        <v>0</v>
      </c>
      <c r="M321" s="137">
        <f>SUMIFS(Aut_BlueMe_Sem_Pedido!$J:$J,Aut_BlueMe_Sem_Pedido!$Q:$Q,DRE!K$4,Aut_BlueMe_Sem_Pedido!$H:$H,DRE!$A321)+SUMIFS(Aut_Ajustes_Manuais!$G:$G,Aut_Ajustes_Manuais!$I:$I,DRE!K$4,Aut_Ajustes_Manuais!$F:$F,"(-) Despesas de Patrocínio")</f>
        <v>0</v>
      </c>
      <c r="N321" s="259"/>
      <c r="O321" s="136">
        <f>-SUMIFS(T_ORCAMENTOS!$E:$E,T_ORCAMENTOS!$C:$C,"(-) Despesas de Patrocínio",T_ORCAMENTOS!$H:$H,"3/2026")</f>
        <v>0</v>
      </c>
      <c r="P321" s="137">
        <f>SUMIFS(Aut_BlueMe_Sem_Pedido!$J:$J,Aut_BlueMe_Sem_Pedido!$Q:$Q,DRE!N$4,Aut_BlueMe_Sem_Pedido!$H:$H,DRE!$A321)+SUMIFS(Aut_Ajustes_Manuais!$G:$G,Aut_Ajustes_Manuais!$I:$I,DRE!N$4,Aut_Ajustes_Manuais!$F:$F,"(-) Despesas de Patrocínio")</f>
        <v>0</v>
      </c>
      <c r="Q321" s="259"/>
      <c r="R321" s="136">
        <f>-SUMIFS(T_ORCAMENTOS!$E:$E,T_ORCAMENTOS!$C:$C,"(-) Despesas de Patrocínio",T_ORCAMENTOS!$H:$H,"4/2026")</f>
        <v>0</v>
      </c>
      <c r="S321" s="137">
        <f>SUMIFS(Aut_BlueMe_Sem_Pedido!$J:$J,Aut_BlueMe_Sem_Pedido!$Q:$Q,DRE!Q$4,Aut_BlueMe_Sem_Pedido!$H:$H,DRE!$A321)+SUMIFS(Aut_Ajustes_Manuais!$G:$G,Aut_Ajustes_Manuais!$I:$I,DRE!Q$4,Aut_Ajustes_Manuais!$F:$F,"(-) Despesas de Patrocínio")</f>
        <v>0</v>
      </c>
      <c r="T321" s="259"/>
      <c r="U321" s="136">
        <f>-SUMIFS(T_ORCAMENTOS!$E:$E,T_ORCAMENTOS!$C:$C,"(-) Despesas de Patrocínio",T_ORCAMENTOS!$H:$H,"5/2026")</f>
        <v>0</v>
      </c>
      <c r="V321" s="137">
        <f>SUMIFS(Aut_BlueMe_Sem_Pedido!$J:$J,Aut_BlueMe_Sem_Pedido!$Q:$Q,DRE!T$4,Aut_BlueMe_Sem_Pedido!$H:$H,DRE!$A321)+SUMIFS(Aut_Ajustes_Manuais!$G:$G,Aut_Ajustes_Manuais!$I:$I,DRE!T$4,Aut_Ajustes_Manuais!$F:$F,"(-) Despesas de Patrocínio")</f>
        <v>0</v>
      </c>
      <c r="W321" s="259"/>
      <c r="X321" s="136">
        <f>-SUMIFS(T_ORCAMENTOS!$E:$E,T_ORCAMENTOS!$C:$C,"(-) Despesas de Patrocínio",T_ORCAMENTOS!$H:$H,"6/2026")</f>
        <v>0</v>
      </c>
      <c r="Y321" s="137">
        <f>SUMIFS(Aut_BlueMe_Sem_Pedido!$J:$J,Aut_BlueMe_Sem_Pedido!$Q:$Q,DRE!W$4,Aut_BlueMe_Sem_Pedido!$H:$H,DRE!$A321)+SUMIFS(Aut_Ajustes_Manuais!$G:$G,Aut_Ajustes_Manuais!$I:$I,DRE!W$4,Aut_Ajustes_Manuais!$F:$F,"(-) Despesas de Patrocínio")</f>
        <v>0</v>
      </c>
      <c r="Z321" s="259"/>
      <c r="AA321" s="136">
        <f>-SUMIFS(T_ORCAMENTOS!$E:$E,T_ORCAMENTOS!$C:$C,"(-) Despesas de Patrocínio",T_ORCAMENTOS!$H:$H,"7/2026")</f>
        <v>0</v>
      </c>
      <c r="AB321" s="137">
        <f>SUMIFS(Aut_BlueMe_Sem_Pedido!$J:$J,Aut_BlueMe_Sem_Pedido!$Q:$Q,DRE!Z$4,Aut_BlueMe_Sem_Pedido!$H:$H,DRE!$A321)+SUMIFS(Aut_Ajustes_Manuais!$G:$G,Aut_Ajustes_Manuais!$I:$I,DRE!Z$4,Aut_Ajustes_Manuais!$F:$F,"(-) Despesas de Patrocínio")</f>
        <v>0</v>
      </c>
      <c r="AC321" s="259"/>
      <c r="AD321" s="136">
        <f>-SUMIFS(T_ORCAMENTOS!$E:$E,T_ORCAMENTOS!$C:$C,"(-) Despesas de Patrocínio",T_ORCAMENTOS!$H:$H,"8/2026")</f>
        <v>0</v>
      </c>
      <c r="AE321" s="137">
        <f>SUMIFS(Aut_BlueMe_Sem_Pedido!$J:$J,Aut_BlueMe_Sem_Pedido!$Q:$Q,DRE!AC$4,Aut_BlueMe_Sem_Pedido!$H:$H,DRE!$A321)+SUMIFS(Aut_Ajustes_Manuais!$G:$G,Aut_Ajustes_Manuais!$I:$I,DRE!AC$4,Aut_Ajustes_Manuais!$F:$F,"(-) Despesas de Patrocínio")</f>
        <v>0</v>
      </c>
      <c r="AF321" s="259"/>
      <c r="AG321" s="136">
        <f>-SUMIFS(T_ORCAMENTOS!$E:$E,T_ORCAMENTOS!$C:$C,"(-) Despesas de Patrocínio",T_ORCAMENTOS!$H:$H,"9/2026")</f>
        <v>0</v>
      </c>
      <c r="AH321" s="137">
        <f>SUMIFS(Aut_BlueMe_Sem_Pedido!$J:$J,Aut_BlueMe_Sem_Pedido!$Q:$Q,DRE!AF$4,Aut_BlueMe_Sem_Pedido!$H:$H,DRE!$A321)+SUMIFS(Aut_Ajustes_Manuais!$G:$G,Aut_Ajustes_Manuais!$I:$I,DRE!AF$4,Aut_Ajustes_Manuais!$F:$F,"(-) Despesas de Patrocínio")</f>
        <v>0</v>
      </c>
      <c r="AI321" s="259"/>
      <c r="AJ321" s="136">
        <f>-SUMIFS(T_ORCAMENTOS!$E:$E,T_ORCAMENTOS!$C:$C,"(-) Despesas de Patrocínio",T_ORCAMENTOS!$H:$H,"10/2026")</f>
        <v>0</v>
      </c>
      <c r="AK321" s="137">
        <f>SUMIFS(Aut_BlueMe_Sem_Pedido!$J:$J,Aut_BlueMe_Sem_Pedido!$Q:$Q,DRE!AI$4,Aut_BlueMe_Sem_Pedido!$H:$H,DRE!$A321)+SUMIFS(Aut_Ajustes_Manuais!$G:$G,Aut_Ajustes_Manuais!$I:$I,DRE!AI$4,Aut_Ajustes_Manuais!$F:$F,"(-) Despesas de Patrocínio")</f>
        <v>0</v>
      </c>
      <c r="AL321" s="259"/>
      <c r="AM321" s="136">
        <f>-SUMIFS(T_ORCAMENTOS!$E:$E,T_ORCAMENTOS!$C:$C,"(-) Despesas de Patrocínio",T_ORCAMENTOS!$H:$H,"11/2026")</f>
        <v>0</v>
      </c>
      <c r="AN321" s="137">
        <f>SUMIFS(Aut_BlueMe_Sem_Pedido!$J:$J,Aut_BlueMe_Sem_Pedido!$Q:$Q,DRE!AL$4,Aut_BlueMe_Sem_Pedido!$H:$H,DRE!$A321)+SUMIFS(Aut_Ajustes_Manuais!$G:$G,Aut_Ajustes_Manuais!$I:$I,DRE!AL$4,Aut_Ajustes_Manuais!$F:$F,"(-) Despesas de Patrocínio")</f>
        <v>0</v>
      </c>
      <c r="AO321" s="259"/>
      <c r="AP321" s="136">
        <f>-SUMIFS(T_ORCAMENTOS!$E:$E,T_ORCAMENTOS!$C:$C,"(-) Despesas de Patrocínio",T_ORCAMENTOS!$H:$H,"12/2026")</f>
        <v>0</v>
      </c>
      <c r="AQ321" s="137">
        <f>SUMIFS(Aut_BlueMe_Sem_Pedido!$J:$J,Aut_BlueMe_Sem_Pedido!$Q:$Q,DRE!AO$4,Aut_BlueMe_Sem_Pedido!$H:$H,DRE!$A321)+SUMIFS(Aut_Ajustes_Manuais!$G:$G,Aut_Ajustes_Manuais!$I:$I,DRE!AO$4,Aut_Ajustes_Manuais!$F:$F,"(-) Despesas de Patrocínio")</f>
        <v>0</v>
      </c>
      <c r="AR321" s="259">
        <f ca="1">SUMIFS($H321:$AO321,$H$5:$AO$5,"&lt;"&amp;MONTH(TODAY()),$H$6:$AO$6,"REAL 25")</f>
        <v>0</v>
      </c>
      <c r="AS321" s="136">
        <f ca="1">SUMIFS($I321:$AP321,$I$5:$AP$5,"&lt;"&amp;MONTH(TODAY()),$I$6:$AP$6,"ORÇADO ")</f>
        <v>0</v>
      </c>
      <c r="AT321" s="137">
        <f ca="1">SUMIFS($J321:$AQ321,$J$5:$AQ$5,"&lt;"&amp;MONTH(TODAY()),$J$6:$AQ$6,"REAL 26")</f>
        <v>0</v>
      </c>
      <c r="AU321" s="259">
        <f t="shared" si="283"/>
        <v>0</v>
      </c>
      <c r="AV321" s="136">
        <f t="shared" si="283"/>
        <v>0</v>
      </c>
      <c r="AW321" s="137">
        <f t="shared" si="283"/>
        <v>0</v>
      </c>
      <c r="AX321" s="259">
        <f t="shared" si="284"/>
        <v>0</v>
      </c>
      <c r="AY321" s="136">
        <f t="shared" si="284"/>
        <v>0</v>
      </c>
      <c r="AZ321" s="137">
        <f t="shared" si="284"/>
        <v>0</v>
      </c>
      <c r="BA321" s="259">
        <f t="shared" si="285"/>
        <v>0</v>
      </c>
      <c r="BB321" s="136">
        <f t="shared" si="285"/>
        <v>0</v>
      </c>
      <c r="BC321" s="137">
        <f t="shared" si="285"/>
        <v>0</v>
      </c>
      <c r="BD321" s="259">
        <f t="shared" si="286"/>
        <v>0</v>
      </c>
      <c r="BE321" s="136">
        <f t="shared" si="286"/>
        <v>0</v>
      </c>
      <c r="BF321" s="137">
        <f t="shared" si="286"/>
        <v>0</v>
      </c>
      <c r="BG321" s="259">
        <f t="shared" si="287"/>
        <v>0</v>
      </c>
      <c r="BH321" s="136">
        <f t="shared" si="287"/>
        <v>0</v>
      </c>
      <c r="BI321" s="137">
        <f t="shared" si="287"/>
        <v>0</v>
      </c>
    </row>
    <row r="322" spans="1:62" x14ac:dyDescent="0.3">
      <c r="A322" s="17"/>
      <c r="E322" s="15"/>
      <c r="F322" s="16"/>
      <c r="G322" s="45"/>
      <c r="H322" s="260"/>
      <c r="I322" s="233"/>
      <c r="J322" s="261"/>
      <c r="K322" s="260"/>
      <c r="L322" s="233"/>
      <c r="M322" s="261"/>
      <c r="N322" s="260"/>
      <c r="O322" s="233"/>
      <c r="P322" s="261"/>
      <c r="Q322" s="260"/>
      <c r="R322" s="233"/>
      <c r="S322" s="261"/>
      <c r="T322" s="260"/>
      <c r="U322" s="233"/>
      <c r="V322" s="261"/>
      <c r="W322" s="260"/>
      <c r="X322" s="233"/>
      <c r="Y322" s="261"/>
      <c r="Z322" s="260"/>
      <c r="AA322" s="233"/>
      <c r="AB322" s="261"/>
      <c r="AC322" s="260"/>
      <c r="AD322" s="233"/>
      <c r="AE322" s="261"/>
      <c r="AF322" s="260"/>
      <c r="AG322" s="233"/>
      <c r="AH322" s="261"/>
      <c r="AI322" s="260"/>
      <c r="AJ322" s="233"/>
      <c r="AK322" s="261"/>
      <c r="AL322" s="260"/>
      <c r="AM322" s="233"/>
      <c r="AN322" s="261"/>
      <c r="AO322" s="260"/>
      <c r="AP322" s="233"/>
      <c r="AQ322" s="261"/>
      <c r="AR322" s="260"/>
      <c r="AS322" s="233"/>
      <c r="AT322" s="261"/>
      <c r="AU322" s="260"/>
      <c r="AV322" s="233"/>
      <c r="AW322" s="261"/>
      <c r="AX322" s="260"/>
      <c r="AY322" s="233"/>
      <c r="AZ322" s="261"/>
      <c r="BA322" s="260"/>
      <c r="BB322" s="233"/>
      <c r="BC322" s="261"/>
      <c r="BD322" s="260"/>
      <c r="BE322" s="233"/>
      <c r="BF322" s="261"/>
      <c r="BG322" s="260"/>
      <c r="BH322" s="233"/>
      <c r="BI322" s="261"/>
    </row>
    <row r="323" spans="1:62" x14ac:dyDescent="0.3">
      <c r="A323" s="56" t="s">
        <v>337</v>
      </c>
      <c r="B323" s="57"/>
      <c r="C323" s="58"/>
      <c r="D323" s="59"/>
      <c r="E323" s="60"/>
      <c r="F323" s="61"/>
      <c r="G323" s="45"/>
      <c r="H323" s="244"/>
      <c r="I323" s="62">
        <f>SUM(I321,I320,I318,I316)</f>
        <v>0</v>
      </c>
      <c r="J323" s="63">
        <f>SUM(J321,J320,J318,J316)+SUMIFS(Aut_Ajustes_Manuais!$G:$G,Aut_Ajustes_Manuais!$I:$I,DRE!H$4,Aut_Ajustes_Manuais!$F:$F,"Resultado Antes do IR")</f>
        <v>-44415.864739393946</v>
      </c>
      <c r="K323" s="244"/>
      <c r="L323" s="62">
        <f>SUM(L321,L320,L318,L316)</f>
        <v>0</v>
      </c>
      <c r="M323" s="63">
        <f>SUM(M321,M320,M318,M316)+SUMIFS(Aut_Ajustes_Manuais!$G:$G,Aut_Ajustes_Manuais!$I:$I,DRE!K$4,Aut_Ajustes_Manuais!$F:$F,"Resultado Antes do IR")</f>
        <v>-137904.30473939393</v>
      </c>
      <c r="N323" s="244"/>
      <c r="O323" s="62">
        <f>SUM(O321,O320,O318,O316)</f>
        <v>0</v>
      </c>
      <c r="P323" s="63">
        <f>SUM(P321,P320,P318,P316)+SUMIFS(Aut_Ajustes_Manuais!$G:$G,Aut_Ajustes_Manuais!$I:$I,DRE!N$4,Aut_Ajustes_Manuais!$F:$F,"Resultado Antes do IR")</f>
        <v>-175067.16473939395</v>
      </c>
      <c r="Q323" s="244"/>
      <c r="R323" s="62">
        <f>SUM(R321,R320,R318,R316)</f>
        <v>0</v>
      </c>
      <c r="S323" s="63">
        <f>SUM(S321,S320,S318,S316)+SUMIFS(Aut_Ajustes_Manuais!$G:$G,Aut_Ajustes_Manuais!$I:$I,DRE!Q$4,Aut_Ajustes_Manuais!$F:$F,"Resultado Antes do IR")</f>
        <v>-162391.90000000002</v>
      </c>
      <c r="T323" s="244"/>
      <c r="U323" s="62">
        <f>SUM(U321,U320,U318,U316)</f>
        <v>0</v>
      </c>
      <c r="V323" s="63">
        <f>SUM(V321,V320,V318,V316)+SUMIFS(Aut_Ajustes_Manuais!$G:$G,Aut_Ajustes_Manuais!$I:$I,DRE!T$4,Aut_Ajustes_Manuais!$F:$F,"Resultado Antes do IR")</f>
        <v>-274524.69512296346</v>
      </c>
      <c r="W323" s="244"/>
      <c r="X323" s="62">
        <f>SUM(X321,X320,X318,X316)</f>
        <v>0</v>
      </c>
      <c r="Y323" s="63">
        <f>SUM(Y321,Y320,Y318,Y316)+SUMIFS(Aut_Ajustes_Manuais!$G:$G,Aut_Ajustes_Manuais!$I:$I,DRE!W$4,Aut_Ajustes_Manuais!$F:$F,"Resultado Antes do IR")</f>
        <v>-516727.21282867546</v>
      </c>
      <c r="Z323" s="244"/>
      <c r="AA323" s="62">
        <f>SUM(AA321,AA320,AA318,AA316)</f>
        <v>0</v>
      </c>
      <c r="AB323" s="63">
        <f>SUM(AB321,AB320,AB318,AB316)+SUMIFS(Aut_Ajustes_Manuais!$G:$G,Aut_Ajustes_Manuais!$I:$I,DRE!Z$4,Aut_Ajustes_Manuais!$F:$F,"Resultado Antes do IR")</f>
        <v>-424460.43056389719</v>
      </c>
      <c r="AC323" s="244"/>
      <c r="AD323" s="62">
        <f>SUM(AD321,AD320,AD318,AD316)</f>
        <v>1219110.3929754987</v>
      </c>
      <c r="AE323" s="63">
        <f>SUM(AE321,AE320,AE318,AE316)+SUMIFS(Aut_Ajustes_Manuais!$G:$G,Aut_Ajustes_Manuais!$I:$I,DRE!AC$4,Aut_Ajustes_Manuais!$F:$F,"Resultado Antes do IR")</f>
        <v>-308103.06280007795</v>
      </c>
      <c r="AF323" s="244"/>
      <c r="AG323" s="62">
        <f>SUM(AG321,AG320,AG318,AG316)</f>
        <v>1206811.1022941</v>
      </c>
      <c r="AH323" s="63">
        <f>SUM(AH321,AH320,AH318,AH316)+SUMIFS(Aut_Ajustes_Manuais!$G:$G,Aut_Ajustes_Manuais!$I:$I,DRE!AF$4,Aut_Ajustes_Manuais!$F:$F,"Resultado Antes do IR")</f>
        <v>-332695.68015925365</v>
      </c>
      <c r="AI323" s="244"/>
      <c r="AJ323" s="62">
        <f>SUM(AJ321,AJ320,AJ318,AJ316)</f>
        <v>1455019.4647786</v>
      </c>
      <c r="AK323" s="63">
        <f>SUM(AK321,AK320,AK318,AK316)+SUMIFS(Aut_Ajustes_Manuais!$G:$G,Aut_Ajustes_Manuais!$I:$I,DRE!AI$4,Aut_Ajustes_Manuais!$F:$F,"Resultado Antes do IR")</f>
        <v>-332695.68015925365</v>
      </c>
      <c r="AL323" s="244"/>
      <c r="AM323" s="62">
        <f>SUM(AM321,AM320,AM318,AM316)</f>
        <v>1236358.7986545004</v>
      </c>
      <c r="AN323" s="63">
        <f>SUM(AN321,AN320,AN318,AN316)+SUMIFS(Aut_Ajustes_Manuais!$G:$G,Aut_Ajustes_Manuais!$I:$I,DRE!AL$4,Aut_Ajustes_Manuais!$F:$F,"Resultado Antes do IR")</f>
        <v>-332695.68015925365</v>
      </c>
      <c r="AO323" s="244"/>
      <c r="AP323" s="62">
        <f>SUM(AP321,AP320,AP318,AP316)</f>
        <v>1476712.4501740998</v>
      </c>
      <c r="AQ323" s="63">
        <f>SUM(AQ321,AQ320,AQ318,AQ316)+SUMIFS(Aut_Ajustes_Manuais!$G:$G,Aut_Ajustes_Manuais!$I:$I,DRE!AO$4,Aut_Ajustes_Manuais!$F:$F,"Resultado Antes do IR")</f>
        <v>-332695.68015925365</v>
      </c>
      <c r="AR323" s="244">
        <f t="shared" ref="AR323:BI323" ca="1" si="288">SUM(AR321,AR320,AR318,AR316)</f>
        <v>0</v>
      </c>
      <c r="AS323" s="62">
        <f t="shared" ca="1" si="288"/>
        <v>1219110.3929754989</v>
      </c>
      <c r="AT323" s="63">
        <f t="shared" ca="1" si="288"/>
        <v>-2043594.6355337959</v>
      </c>
      <c r="AU323" s="244">
        <f t="shared" si="288"/>
        <v>0</v>
      </c>
      <c r="AV323" s="62">
        <f t="shared" si="288"/>
        <v>6594012.2088768035</v>
      </c>
      <c r="AW323" s="63">
        <f t="shared" si="288"/>
        <v>-3374377.3561708103</v>
      </c>
      <c r="AX323" s="244">
        <f t="shared" si="288"/>
        <v>0</v>
      </c>
      <c r="AY323" s="62">
        <f t="shared" si="288"/>
        <v>0</v>
      </c>
      <c r="AZ323" s="63">
        <f t="shared" si="288"/>
        <v>-357387.33421818184</v>
      </c>
      <c r="BA323" s="244">
        <f t="shared" si="288"/>
        <v>0</v>
      </c>
      <c r="BB323" s="62">
        <f t="shared" si="288"/>
        <v>0</v>
      </c>
      <c r="BC323" s="63">
        <f t="shared" si="288"/>
        <v>-953643.80795163894</v>
      </c>
      <c r="BD323" s="244">
        <f t="shared" si="288"/>
        <v>0</v>
      </c>
      <c r="BE323" s="62">
        <f t="shared" si="288"/>
        <v>2425921.4952695998</v>
      </c>
      <c r="BF323" s="63">
        <f t="shared" si="288"/>
        <v>-1065259.1735232286</v>
      </c>
      <c r="BG323" s="244">
        <f t="shared" si="288"/>
        <v>0</v>
      </c>
      <c r="BH323" s="62">
        <f t="shared" si="288"/>
        <v>4168090.7136071976</v>
      </c>
      <c r="BI323" s="63">
        <f t="shared" si="288"/>
        <v>-998087.04047776083</v>
      </c>
    </row>
    <row r="324" spans="1:62" x14ac:dyDescent="0.3">
      <c r="A324" s="17"/>
      <c r="E324" s="15"/>
      <c r="F324" s="16"/>
      <c r="G324" s="45"/>
      <c r="H324" s="262"/>
      <c r="I324" s="138"/>
      <c r="J324" s="263"/>
      <c r="K324" s="262"/>
      <c r="L324" s="138"/>
      <c r="M324" s="263"/>
      <c r="N324" s="262"/>
      <c r="O324" s="138"/>
      <c r="P324" s="263"/>
      <c r="Q324" s="262"/>
      <c r="R324" s="138"/>
      <c r="S324" s="263"/>
      <c r="T324" s="262"/>
      <c r="U324" s="138"/>
      <c r="V324" s="263"/>
      <c r="W324" s="262"/>
      <c r="X324" s="138"/>
      <c r="Y324" s="263"/>
      <c r="Z324" s="262"/>
      <c r="AA324" s="138"/>
      <c r="AB324" s="263"/>
      <c r="AC324" s="262"/>
      <c r="AD324" s="138"/>
      <c r="AE324" s="263"/>
      <c r="AF324" s="262"/>
      <c r="AG324" s="138"/>
      <c r="AH324" s="263"/>
      <c r="AI324" s="262"/>
      <c r="AJ324" s="138"/>
      <c r="AK324" s="263"/>
      <c r="AL324" s="262"/>
      <c r="AM324" s="138"/>
      <c r="AN324" s="263"/>
      <c r="AO324" s="262"/>
      <c r="AP324" s="138"/>
      <c r="AQ324" s="263"/>
      <c r="AR324" s="262"/>
      <c r="AS324" s="138"/>
      <c r="AT324" s="263"/>
      <c r="AU324" s="262"/>
      <c r="AV324" s="138"/>
      <c r="AW324" s="263"/>
      <c r="AX324" s="262"/>
      <c r="AY324" s="138"/>
      <c r="AZ324" s="263"/>
      <c r="BA324" s="262"/>
      <c r="BB324" s="138"/>
      <c r="BC324" s="263"/>
      <c r="BD324" s="262"/>
      <c r="BE324" s="138"/>
      <c r="BF324" s="263"/>
      <c r="BG324" s="262"/>
      <c r="BH324" s="138"/>
      <c r="BI324" s="263"/>
    </row>
    <row r="325" spans="1:62" ht="16.95" customHeight="1" x14ac:dyDescent="0.3">
      <c r="A325" s="37" t="s">
        <v>338</v>
      </c>
      <c r="B325" s="57"/>
      <c r="C325" s="38" t="s">
        <v>339</v>
      </c>
      <c r="D325" s="38" t="s">
        <v>340</v>
      </c>
      <c r="E325" s="38" t="s">
        <v>201</v>
      </c>
      <c r="F325" s="61"/>
      <c r="G325" s="45"/>
      <c r="H325" s="240"/>
      <c r="I325" s="40">
        <f>SUM(I326:I329)</f>
        <v>0</v>
      </c>
      <c r="J325" s="41">
        <f>SUM(J326:J329)+SUMIFS(Aut_Ajustes_Manuais!$G:$G,Aut_Ajustes_Manuais!$I:$I,DRE!H$4,Aut_Ajustes_Manuais!$F:$F,"(-) Impostos")</f>
        <v>6703</v>
      </c>
      <c r="K325" s="240"/>
      <c r="L325" s="40">
        <f>SUM(L326:L329)</f>
        <v>0</v>
      </c>
      <c r="M325" s="41">
        <f>SUM(M326:M329)+SUMIFS(Aut_Ajustes_Manuais!$G:$G,Aut_Ajustes_Manuais!$I:$I,DRE!K$4,Aut_Ajustes_Manuais!$F:$F,"(-) Impostos")</f>
        <v>6703</v>
      </c>
      <c r="N325" s="240"/>
      <c r="O325" s="40">
        <f>SUM(O326:O329)</f>
        <v>0</v>
      </c>
      <c r="P325" s="41">
        <f>SUM(P326:P329)+SUMIFS(Aut_Ajustes_Manuais!$G:$G,Aut_Ajustes_Manuais!$I:$I,DRE!N$4,Aut_Ajustes_Manuais!$F:$F,"(-) Impostos")</f>
        <v>6703</v>
      </c>
      <c r="Q325" s="240"/>
      <c r="R325" s="40">
        <f>SUM(R326:R329)</f>
        <v>0</v>
      </c>
      <c r="S325" s="41">
        <f>SUM(S326:S329)+SUMIFS(Aut_Ajustes_Manuais!$G:$G,Aut_Ajustes_Manuais!$I:$I,DRE!Q$4,Aut_Ajustes_Manuais!$F:$F,"(-) Impostos")</f>
        <v>0</v>
      </c>
      <c r="T325" s="240"/>
      <c r="U325" s="40">
        <f>SUM(U326:U329)</f>
        <v>0</v>
      </c>
      <c r="V325" s="41">
        <f>SUM(V326:V329)+SUMIFS(Aut_Ajustes_Manuais!$G:$G,Aut_Ajustes_Manuais!$I:$I,DRE!T$4,Aut_Ajustes_Manuais!$F:$F,"(-) Impostos")</f>
        <v>131712.26960727273</v>
      </c>
      <c r="W325" s="240"/>
      <c r="X325" s="40">
        <f>SUM(X326:X329)</f>
        <v>0</v>
      </c>
      <c r="Y325" s="41">
        <f>SUM(Y326:Y329)+SUMIFS(Aut_Ajustes_Manuais!$G:$G,Aut_Ajustes_Manuais!$I:$I,DRE!W$4,Aut_Ajustes_Manuais!$F:$F,"(-) Impostos")</f>
        <v>100906.98074820041</v>
      </c>
      <c r="Z325" s="240"/>
      <c r="AA325" s="40">
        <f>SUM(AA326:AA329)</f>
        <v>-112.5</v>
      </c>
      <c r="AB325" s="41">
        <f>SUM(AB326:AB329)+SUMIFS(Aut_Ajustes_Manuais!$G:$G,Aut_Ajustes_Manuais!$I:$I,DRE!Z$4,Aut_Ajustes_Manuais!$F:$F,"(-) Impostos")</f>
        <v>7038.457487704356</v>
      </c>
      <c r="AC325" s="240"/>
      <c r="AD325" s="40">
        <f>SUM(AD326:AD329)</f>
        <v>-146617.56</v>
      </c>
      <c r="AE325" s="41">
        <f>SUM(AE326:AE329)+SUMIFS(Aut_Ajustes_Manuais!$G:$G,Aut_Ajustes_Manuais!$I:$I,DRE!AC$4,Aut_Ajustes_Manuais!$F:$F,"(-) Impostos")</f>
        <v>10913.224754383584</v>
      </c>
      <c r="AF325" s="240"/>
      <c r="AG325" s="40">
        <f>SUM(AG326:AG329)</f>
        <v>-241143.33000000002</v>
      </c>
      <c r="AH325" s="41">
        <f>SUM(AH326:AH329)+SUMIFS(Aut_Ajustes_Manuais!$G:$G,Aut_Ajustes_Manuais!$I:$I,DRE!AF$4,Aut_Ajustes_Manuais!$F:$F,"(-) Impostos")</f>
        <v>6917.2879398929417</v>
      </c>
      <c r="AI325" s="240"/>
      <c r="AJ325" s="40">
        <f>SUM(AJ326:AJ329)</f>
        <v>-115461.33</v>
      </c>
      <c r="AK325" s="41">
        <f>SUM(AK326:AK329)+SUMIFS(Aut_Ajustes_Manuais!$G:$G,Aut_Ajustes_Manuais!$I:$I,DRE!AI$4,Aut_Ajustes_Manuais!$F:$F,"(-) Impostos")</f>
        <v>1914.8365369979588</v>
      </c>
      <c r="AL325" s="240"/>
      <c r="AM325" s="40">
        <f>SUM(AM326:AM329)</f>
        <v>-114497.01999999999</v>
      </c>
      <c r="AN325" s="41">
        <f>SUM(AN326:AN329)+SUMIFS(Aut_Ajustes_Manuais!$G:$G,Aut_Ajustes_Manuais!$I:$I,DRE!AL$4,Aut_Ajustes_Manuais!$F:$F,"(-) Impostos")</f>
        <v>-1356.3505901273443</v>
      </c>
      <c r="AO325" s="240"/>
      <c r="AP325" s="40">
        <f>SUM(AP326:AP329)</f>
        <v>-258378.19</v>
      </c>
      <c r="AQ325" s="41">
        <f>SUM(AQ326:AQ329)+SUMIFS(Aut_Ajustes_Manuais!$G:$G,Aut_Ajustes_Manuais!$I:$I,DRE!AO$4,Aut_Ajustes_Manuais!$F:$F,"(-) Impostos")</f>
        <v>-3662.4373785827752</v>
      </c>
      <c r="AR325" s="240">
        <f t="shared" ref="AR325:BI325" ca="1" si="289">SUM(AR326:AR329)</f>
        <v>0</v>
      </c>
      <c r="AS325" s="40">
        <f t="shared" ca="1" si="289"/>
        <v>-146730.06</v>
      </c>
      <c r="AT325" s="41">
        <f t="shared" ca="1" si="289"/>
        <v>270679.9325975611</v>
      </c>
      <c r="AU325" s="240">
        <f t="shared" si="289"/>
        <v>0</v>
      </c>
      <c r="AV325" s="40">
        <f t="shared" si="289"/>
        <v>-876209.93</v>
      </c>
      <c r="AW325" s="41">
        <f t="shared" si="289"/>
        <v>274493.26910574193</v>
      </c>
      <c r="AX325" s="240">
        <f t="shared" si="289"/>
        <v>0</v>
      </c>
      <c r="AY325" s="40">
        <f t="shared" si="289"/>
        <v>0</v>
      </c>
      <c r="AZ325" s="41">
        <f t="shared" si="289"/>
        <v>20109</v>
      </c>
      <c r="BA325" s="240">
        <f t="shared" si="289"/>
        <v>0</v>
      </c>
      <c r="BB325" s="40">
        <f t="shared" si="289"/>
        <v>0</v>
      </c>
      <c r="BC325" s="41">
        <f t="shared" si="289"/>
        <v>232619.25035547314</v>
      </c>
      <c r="BD325" s="240">
        <f t="shared" si="289"/>
        <v>0</v>
      </c>
      <c r="BE325" s="40">
        <f t="shared" si="289"/>
        <v>-387873.39</v>
      </c>
      <c r="BF325" s="41">
        <f t="shared" si="289"/>
        <v>24868.970181980883</v>
      </c>
      <c r="BG325" s="240">
        <f t="shared" si="289"/>
        <v>0</v>
      </c>
      <c r="BH325" s="40">
        <f t="shared" si="289"/>
        <v>-488336.54000000004</v>
      </c>
      <c r="BI325" s="41">
        <f t="shared" si="289"/>
        <v>-3103.9514317121607</v>
      </c>
    </row>
    <row r="326" spans="1:62" s="28" customFormat="1" outlineLevel="1" x14ac:dyDescent="0.3">
      <c r="A326" s="21" t="s">
        <v>341</v>
      </c>
      <c r="B326" s="57"/>
      <c r="C326" s="23" t="s">
        <v>342</v>
      </c>
      <c r="D326" s="24"/>
      <c r="E326" s="24"/>
      <c r="F326" s="61"/>
      <c r="G326" s="32"/>
      <c r="H326" s="237"/>
      <c r="I326" s="26">
        <f>-SUMIFS(T_ORCAMENTOS!$E:$E,T_ORCAMENTOS!$C:$C,"SIMPLES",T_ORCAMENTOS!$H:$H,"1/2026")</f>
        <v>0</v>
      </c>
      <c r="J326" s="27">
        <f>-Fiscal!M59+SUMIFS(Aut_Ajustes_Manuais!$G:$G,Aut_Ajustes_Manuais!$I:$I,DRE!H$4,Aut_Ajustes_Manuais!$F:$F,"SIMPLES")</f>
        <v>6703</v>
      </c>
      <c r="K326" s="237"/>
      <c r="L326" s="26">
        <f>-SUMIFS(T_ORCAMENTOS!$E:$E,T_ORCAMENTOS!$C:$C,"SIMPLES",T_ORCAMENTOS!$H:$H,"2/2026")</f>
        <v>0</v>
      </c>
      <c r="M326" s="27">
        <f>-Fiscal!M60+SUMIFS(Aut_Ajustes_Manuais!$G:$G,Aut_Ajustes_Manuais!$I:$I,DRE!K$4,Aut_Ajustes_Manuais!$F:$F,"SIMPLES")</f>
        <v>6703</v>
      </c>
      <c r="N326" s="237"/>
      <c r="O326" s="26">
        <f>-SUMIFS(T_ORCAMENTOS!$E:$E,T_ORCAMENTOS!$C:$C,"SIMPLES",T_ORCAMENTOS!$H:$H,"3/2026")</f>
        <v>0</v>
      </c>
      <c r="P326" s="27">
        <f>-Fiscal!M61+SUMIFS(Aut_Ajustes_Manuais!$G:$G,Aut_Ajustes_Manuais!$I:$I,DRE!N$4,Aut_Ajustes_Manuais!$F:$F,"SIMPLES")</f>
        <v>6703</v>
      </c>
      <c r="Q326" s="237"/>
      <c r="R326" s="26">
        <f>-SUMIFS(T_ORCAMENTOS!$E:$E,T_ORCAMENTOS!$C:$C,"SIMPLES",T_ORCAMENTOS!$H:$H,"4/2026")</f>
        <v>0</v>
      </c>
      <c r="S326" s="27">
        <f>-Fiscal!M62+SUMIFS(Aut_Ajustes_Manuais!$G:$G,Aut_Ajustes_Manuais!$I:$I,DRE!Q$4,Aut_Ajustes_Manuais!$F:$F,"SIMPLES")</f>
        <v>0</v>
      </c>
      <c r="T326" s="237"/>
      <c r="U326" s="26">
        <f>-SUMIFS(T_ORCAMENTOS!$E:$E,T_ORCAMENTOS!$C:$C,"SIMPLES",T_ORCAMENTOS!$H:$H,"5/2026")</f>
        <v>0</v>
      </c>
      <c r="V326" s="27">
        <f>-Fiscal!M63+SUMIFS(Aut_Ajustes_Manuais!$G:$G,Aut_Ajustes_Manuais!$I:$I,DRE!T$4,Aut_Ajustes_Manuais!$F:$F,"SIMPLES")</f>
        <v>131712.26960727273</v>
      </c>
      <c r="W326" s="237"/>
      <c r="X326" s="26">
        <f>-SUMIFS(T_ORCAMENTOS!$E:$E,T_ORCAMENTOS!$C:$C,"SIMPLES",T_ORCAMENTOS!$H:$H,"6/2026")</f>
        <v>0</v>
      </c>
      <c r="Y326" s="27">
        <f>-Fiscal!M64+SUMIFS(Aut_Ajustes_Manuais!$G:$G,Aut_Ajustes_Manuais!$I:$I,DRE!W$4,Aut_Ajustes_Manuais!$F:$F,"SIMPLES")</f>
        <v>100906.98074820041</v>
      </c>
      <c r="Z326" s="237"/>
      <c r="AA326" s="26">
        <f>-SUMIFS(T_ORCAMENTOS!$E:$E,T_ORCAMENTOS!$C:$C,"SIMPLES",T_ORCAMENTOS!$H:$H,"7/2026")</f>
        <v>0</v>
      </c>
      <c r="AB326" s="27">
        <f>-Fiscal!M65+SUMIFS(Aut_Ajustes_Manuais!$G:$G,Aut_Ajustes_Manuais!$I:$I,DRE!Z$4,Aut_Ajustes_Manuais!$F:$F,"SIMPLES")</f>
        <v>14864.315447704357</v>
      </c>
      <c r="AC326" s="237"/>
      <c r="AD326" s="26">
        <f>-SUMIFS(T_ORCAMENTOS!$E:$E,T_ORCAMENTOS!$C:$C,"SIMPLES",T_ORCAMENTOS!$H:$H,"8/2026")</f>
        <v>-44147.85</v>
      </c>
      <c r="AE326" s="27">
        <f>-Fiscal!M66+SUMIFS(Aut_Ajustes_Manuais!$G:$G,Aut_Ajustes_Manuais!$I:$I,DRE!AC$4,Aut_Ajustes_Manuais!$F:$F,"SIMPLES")</f>
        <v>10913.224754383584</v>
      </c>
      <c r="AF326" s="237"/>
      <c r="AG326" s="26">
        <f>-SUMIFS(T_ORCAMENTOS!$E:$E,T_ORCAMENTOS!$C:$C,"SIMPLES",T_ORCAMENTOS!$H:$H,"9/2026")</f>
        <v>-74117.94</v>
      </c>
      <c r="AH326" s="27">
        <f>-Fiscal!M67+SUMIFS(Aut_Ajustes_Manuais!$G:$G,Aut_Ajustes_Manuais!$I:$I,DRE!AF$4,Aut_Ajustes_Manuais!$F:$F,"SIMPLES")</f>
        <v>6917.2879398929417</v>
      </c>
      <c r="AI326" s="237"/>
      <c r="AJ326" s="26">
        <f>-SUMIFS(T_ORCAMENTOS!$E:$E,T_ORCAMENTOS!$C:$C,"SIMPLES",T_ORCAMENTOS!$H:$H,"10/2026")</f>
        <v>-3530.23</v>
      </c>
      <c r="AK326" s="27">
        <f>-Fiscal!M68+SUMIFS(Aut_Ajustes_Manuais!$G:$G,Aut_Ajustes_Manuais!$I:$I,DRE!AI$4,Aut_Ajustes_Manuais!$F:$F,"SIMPLES")</f>
        <v>1914.8365369979588</v>
      </c>
      <c r="AL326" s="237"/>
      <c r="AM326" s="26">
        <f>-SUMIFS(T_ORCAMENTOS!$E:$E,T_ORCAMENTOS!$C:$C,"SIMPLES",T_ORCAMENTOS!$H:$H,"11/2026")</f>
        <v>-10300.84</v>
      </c>
      <c r="AN326" s="27">
        <f>-Fiscal!M69+SUMIFS(Aut_Ajustes_Manuais!$G:$G,Aut_Ajustes_Manuais!$I:$I,DRE!AL$4,Aut_Ajustes_Manuais!$F:$F,"SIMPLES")</f>
        <v>-1356.3505901273443</v>
      </c>
      <c r="AO326" s="237"/>
      <c r="AP326" s="26">
        <f>-SUMIFS(T_ORCAMENTOS!$E:$E,T_ORCAMENTOS!$C:$C,"SIMPLES",T_ORCAMENTOS!$H:$H,"12/2026")</f>
        <v>-21038.66</v>
      </c>
      <c r="AQ326" s="27">
        <f>-Fiscal!M70+SUMIFS(Aut_Ajustes_Manuais!$G:$G,Aut_Ajustes_Manuais!$I:$I,DRE!AO$4,Aut_Ajustes_Manuais!$F:$F,"SIMPLES")</f>
        <v>-3662.4373785827752</v>
      </c>
      <c r="AR326" s="237">
        <f ca="1">SUMIFS($H326:$AO326,$H$5:$AO$5,"&lt;"&amp;MONTH(TODAY()),$H$6:$AO$6,"REAL 25")</f>
        <v>0</v>
      </c>
      <c r="AS326" s="26">
        <f ca="1">SUMIFS($I326:$AP326,$I$5:$AP$5,"&lt;"&amp;MONTH(TODAY()),$I$6:$AP$6,"ORÇADO ")</f>
        <v>-44147.85</v>
      </c>
      <c r="AT326" s="27">
        <f ca="1">SUMIFS($J326:$AQ326,$J$5:$AQ$5,"&lt;"&amp;MONTH(TODAY()),$J$6:$AQ$6,"REAL 26")</f>
        <v>278505.79055756109</v>
      </c>
      <c r="AU326" s="237">
        <f t="shared" ref="AU326:AW329" si="290">SUM(H326,K326,N326,Q326,T326,W326,Z326,AC326,AF326,AI326,AL326,AO326)</f>
        <v>0</v>
      </c>
      <c r="AV326" s="26">
        <f t="shared" si="290"/>
        <v>-153135.52000000002</v>
      </c>
      <c r="AW326" s="27">
        <f t="shared" si="290"/>
        <v>282319.12706574192</v>
      </c>
      <c r="AX326" s="237">
        <f t="shared" ref="AX326:AZ329" si="291">SUM(H326,K326,N326)</f>
        <v>0</v>
      </c>
      <c r="AY326" s="26">
        <f t="shared" si="291"/>
        <v>0</v>
      </c>
      <c r="AZ326" s="27">
        <f t="shared" si="291"/>
        <v>20109</v>
      </c>
      <c r="BA326" s="237">
        <f t="shared" ref="BA326:BC329" si="292">SUM(Q326,T326,W326)</f>
        <v>0</v>
      </c>
      <c r="BB326" s="26">
        <f t="shared" si="292"/>
        <v>0</v>
      </c>
      <c r="BC326" s="27">
        <f t="shared" si="292"/>
        <v>232619.25035547314</v>
      </c>
      <c r="BD326" s="237">
        <f t="shared" ref="BD326:BF329" si="293">SUM(Z326,AC326,AF326)</f>
        <v>0</v>
      </c>
      <c r="BE326" s="26">
        <f t="shared" si="293"/>
        <v>-118265.79000000001</v>
      </c>
      <c r="BF326" s="27">
        <f t="shared" si="293"/>
        <v>32694.828141980885</v>
      </c>
      <c r="BG326" s="237">
        <f t="shared" ref="BG326:BI329" si="294">SUM(AI326,AL326,AO326)</f>
        <v>0</v>
      </c>
      <c r="BH326" s="26">
        <f t="shared" si="294"/>
        <v>-34869.729999999996</v>
      </c>
      <c r="BI326" s="27">
        <f t="shared" si="294"/>
        <v>-3103.9514317121607</v>
      </c>
      <c r="BJ326" s="454"/>
    </row>
    <row r="327" spans="1:62" s="28" customFormat="1" outlineLevel="1" x14ac:dyDescent="0.3">
      <c r="A327" s="21" t="s">
        <v>343</v>
      </c>
      <c r="B327" s="57"/>
      <c r="C327" s="23" t="s">
        <v>342</v>
      </c>
      <c r="D327" s="24"/>
      <c r="E327" s="24"/>
      <c r="F327" s="61"/>
      <c r="G327" s="32"/>
      <c r="H327" s="237"/>
      <c r="I327" s="26">
        <f>-SUMIFS(T_ORCAMENTOS!$E:$E,T_ORCAMENTOS!$C:$C,"IRPJ",T_ORCAMENTOS!$H:$H,"1/2026")</f>
        <v>0</v>
      </c>
      <c r="J327" s="27">
        <f>-Fiscal!D29+SUMIFS(Aut_Ajustes_Manuais!$G:$G,Aut_Ajustes_Manuais!$I:$I,DRE!H$4,Aut_Ajustes_Manuais!$F:$F,"IRPJ")</f>
        <v>0</v>
      </c>
      <c r="K327" s="237"/>
      <c r="L327" s="26">
        <f>-SUMIFS(T_ORCAMENTOS!$E:$E,T_ORCAMENTOS!$C:$C,"IRPJ",T_ORCAMENTOS!$H:$H,"2/2026")</f>
        <v>0</v>
      </c>
      <c r="M327" s="27">
        <f>-Fiscal!E29+SUMIFS(Aut_Ajustes_Manuais!$G:$G,Aut_Ajustes_Manuais!$I:$I,DRE!K$4,Aut_Ajustes_Manuais!$F:$F,"IRPJ")</f>
        <v>0</v>
      </c>
      <c r="N327" s="237"/>
      <c r="O327" s="26">
        <f>-SUMIFS(T_ORCAMENTOS!$E:$E,T_ORCAMENTOS!$C:$C,"IRPJ",T_ORCAMENTOS!$H:$H,"3/2026")</f>
        <v>0</v>
      </c>
      <c r="P327" s="27">
        <f>-Fiscal!F29+SUMIFS(Aut_Ajustes_Manuais!$G:$G,Aut_Ajustes_Manuais!$I:$I,DRE!N$4,Aut_Ajustes_Manuais!$F:$F,"IRPJ")</f>
        <v>0</v>
      </c>
      <c r="Q327" s="237"/>
      <c r="R327" s="26">
        <f>-SUMIFS(T_ORCAMENTOS!$E:$E,T_ORCAMENTOS!$C:$C,"IRPJ",T_ORCAMENTOS!$H:$H,"4/2026")</f>
        <v>0</v>
      </c>
      <c r="S327" s="27">
        <f>-Fiscal!H29+SUMIFS(Aut_Ajustes_Manuais!$G:$G,Aut_Ajustes_Manuais!$I:$I,DRE!Q$4,Aut_Ajustes_Manuais!$F:$F,"IRPJ")</f>
        <v>0</v>
      </c>
      <c r="T327" s="237"/>
      <c r="U327" s="26">
        <f>-SUMIFS(T_ORCAMENTOS!$E:$E,T_ORCAMENTOS!$C:$C,"IRPJ",T_ORCAMENTOS!$H:$H,"5/2026")</f>
        <v>0</v>
      </c>
      <c r="V327" s="27">
        <f>-Fiscal!I29+SUMIFS(Aut_Ajustes_Manuais!$G:$G,Aut_Ajustes_Manuais!$I:$I,DRE!T$4,Aut_Ajustes_Manuais!$F:$F,"IRPJ")</f>
        <v>0</v>
      </c>
      <c r="W327" s="237"/>
      <c r="X327" s="26">
        <f>-SUMIFS(T_ORCAMENTOS!$E:$E,T_ORCAMENTOS!$C:$C,"IRPJ",T_ORCAMENTOS!$H:$H,"6/2026")</f>
        <v>0</v>
      </c>
      <c r="Y327" s="27">
        <f>-Fiscal!J29+SUMIFS(Aut_Ajustes_Manuais!$G:$G,Aut_Ajustes_Manuais!$I:$I,DRE!W$4,Aut_Ajustes_Manuais!$F:$F,"IRPJ")</f>
        <v>0</v>
      </c>
      <c r="Z327" s="237"/>
      <c r="AA327" s="26">
        <f>-SUMIFS(T_ORCAMENTOS!$E:$E,T_ORCAMENTOS!$C:$C,"IRPJ",T_ORCAMENTOS!$H:$H,"7/2026")</f>
        <v>-112.5</v>
      </c>
      <c r="AB327" s="27">
        <f>-Fiscal!L29+SUMIFS(Aut_Ajustes_Manuais!$G:$G,Aut_Ajustes_Manuais!$I:$I,DRE!Z$4,Aut_Ajustes_Manuais!$F:$F,"IRPJ")</f>
        <v>-4221.1884000000009</v>
      </c>
      <c r="AC327" s="237"/>
      <c r="AD327" s="26">
        <f>-SUMIFS(T_ORCAMENTOS!$E:$E,T_ORCAMENTOS!$C:$C,"IRPJ",T_ORCAMENTOS!$H:$H,"8/2026")</f>
        <v>-54299.72</v>
      </c>
      <c r="AE327" s="27">
        <f>-Fiscal!M29+SUMIFS(Aut_Ajustes_Manuais!$G:$G,Aut_Ajustes_Manuais!$I:$I,DRE!AC$4,Aut_Ajustes_Manuais!$F:$F,"IRPJ")</f>
        <v>0</v>
      </c>
      <c r="AF327" s="237"/>
      <c r="AG327" s="26">
        <f>-SUMIFS(T_ORCAMENTOS!$E:$E,T_ORCAMENTOS!$C:$C,"IRPJ",T_ORCAMENTOS!$H:$H,"9/2026")</f>
        <v>-53797.24</v>
      </c>
      <c r="AH327" s="27">
        <f>-Fiscal!N29+SUMIFS(Aut_Ajustes_Manuais!$G:$G,Aut_Ajustes_Manuais!$I:$I,DRE!AF$4,Aut_Ajustes_Manuais!$F:$F,"IRPJ")</f>
        <v>0</v>
      </c>
      <c r="AI327" s="237"/>
      <c r="AJ327" s="26">
        <f>-SUMIFS(T_ORCAMENTOS!$E:$E,T_ORCAMENTOS!$C:$C,"IRPJ",T_ORCAMENTOS!$H:$H,"10/2026")</f>
        <v>-59677.29</v>
      </c>
      <c r="AK327" s="27">
        <f>-Fiscal!P29+SUMIFS(Aut_Ajustes_Manuais!$G:$G,Aut_Ajustes_Manuais!$I:$I,DRE!AI$4,Aut_Ajustes_Manuais!$F:$F,"IRPJ")</f>
        <v>0</v>
      </c>
      <c r="AL327" s="237"/>
      <c r="AM327" s="26">
        <f>-SUMIFS(T_ORCAMENTOS!$E:$E,T_ORCAMENTOS!$C:$C,"IRPJ",T_ORCAMENTOS!$H:$H,"11/2026")</f>
        <v>-55685.86</v>
      </c>
      <c r="AN327" s="27">
        <f>-Fiscal!Q29+SUMIFS(Aut_Ajustes_Manuais!$G:$G,Aut_Ajustes_Manuais!$I:$I,DRE!AL$4,Aut_Ajustes_Manuais!$F:$F,"IRPJ")</f>
        <v>0</v>
      </c>
      <c r="AO327" s="237"/>
      <c r="AP327" s="26">
        <f>-SUMIFS(T_ORCAMENTOS!$E:$E,T_ORCAMENTOS!$C:$C,"IRPJ",T_ORCAMENTOS!$H:$H,"12/2026")</f>
        <v>-66465.67</v>
      </c>
      <c r="AQ327" s="27">
        <f>-Fiscal!R29+SUMIFS(Aut_Ajustes_Manuais!$G:$G,Aut_Ajustes_Manuais!$I:$I,DRE!AO$4,Aut_Ajustes_Manuais!$F:$F,"IRPJ")</f>
        <v>0</v>
      </c>
      <c r="AR327" s="237">
        <f ca="1">SUMIFS($H327:$AO327,$H$5:$AO$5,"&lt;"&amp;MONTH(TODAY()),$H$6:$AO$6,"REAL 25")</f>
        <v>0</v>
      </c>
      <c r="AS327" s="26">
        <f ca="1">SUMIFS($I327:$AP327,$I$5:$AP$5,"&lt;"&amp;MONTH(TODAY()),$I$6:$AP$6,"ORÇADO ")</f>
        <v>-54412.22</v>
      </c>
      <c r="AT327" s="27">
        <f ca="1">SUMIFS($J327:$AQ327,$J$5:$AQ$5,"&lt;"&amp;MONTH(TODAY()),$J$6:$AQ$6,"REAL 26")</f>
        <v>-4221.1884000000009</v>
      </c>
      <c r="AU327" s="237">
        <f t="shared" si="290"/>
        <v>0</v>
      </c>
      <c r="AV327" s="26">
        <f t="shared" si="290"/>
        <v>-290038.27999999997</v>
      </c>
      <c r="AW327" s="27">
        <f t="shared" si="290"/>
        <v>-4221.1884000000009</v>
      </c>
      <c r="AX327" s="237">
        <f t="shared" si="291"/>
        <v>0</v>
      </c>
      <c r="AY327" s="26">
        <f t="shared" si="291"/>
        <v>0</v>
      </c>
      <c r="AZ327" s="27">
        <f t="shared" si="291"/>
        <v>0</v>
      </c>
      <c r="BA327" s="237">
        <f t="shared" si="292"/>
        <v>0</v>
      </c>
      <c r="BB327" s="26">
        <f t="shared" si="292"/>
        <v>0</v>
      </c>
      <c r="BC327" s="27">
        <f t="shared" si="292"/>
        <v>0</v>
      </c>
      <c r="BD327" s="237">
        <f t="shared" si="293"/>
        <v>0</v>
      </c>
      <c r="BE327" s="26">
        <f t="shared" si="293"/>
        <v>-108209.45999999999</v>
      </c>
      <c r="BF327" s="27">
        <f t="shared" si="293"/>
        <v>-4221.1884000000009</v>
      </c>
      <c r="BG327" s="237">
        <f t="shared" si="294"/>
        <v>0</v>
      </c>
      <c r="BH327" s="26">
        <f t="shared" si="294"/>
        <v>-181828.82</v>
      </c>
      <c r="BI327" s="27">
        <f t="shared" si="294"/>
        <v>0</v>
      </c>
      <c r="BJ327" s="454"/>
    </row>
    <row r="328" spans="1:62" s="28" customFormat="1" outlineLevel="1" x14ac:dyDescent="0.3">
      <c r="A328" s="21" t="s">
        <v>344</v>
      </c>
      <c r="B328" s="57"/>
      <c r="C328" s="23" t="s">
        <v>342</v>
      </c>
      <c r="D328" s="24"/>
      <c r="E328" s="24"/>
      <c r="F328" s="61"/>
      <c r="G328" s="32"/>
      <c r="H328" s="237"/>
      <c r="I328" s="26">
        <f>-SUMIFS(T_ORCAMENTOS!$E:$E,T_ORCAMENTOS!$C:$C,"IRPJ 10%",T_ORCAMENTOS!$H:$H,"1/2026")</f>
        <v>0</v>
      </c>
      <c r="J328" s="27"/>
      <c r="K328" s="237"/>
      <c r="L328" s="26">
        <f>-SUMIFS(T_ORCAMENTOS!$E:$E,T_ORCAMENTOS!$C:$C,"IRPJ 10%",T_ORCAMENTOS!$H:$H,"2/2026")</f>
        <v>0</v>
      </c>
      <c r="M328" s="27"/>
      <c r="N328" s="237"/>
      <c r="O328" s="26">
        <f>-SUMIFS(T_ORCAMENTOS!$E:$E,T_ORCAMENTOS!$C:$C,"IRPJ 10%",T_ORCAMENTOS!$H:$H,"3/2026")</f>
        <v>0</v>
      </c>
      <c r="P328" s="27">
        <f>-Fiscal!G28+SUMIFS(Aut_Ajustes_Manuais!$G:$G,Aut_Ajustes_Manuais!$I:$I,DRE!N$4,Aut_Ajustes_Manuais!$F:$F,"IRPJ 10%")</f>
        <v>0</v>
      </c>
      <c r="Q328" s="237"/>
      <c r="R328" s="26">
        <f>-SUMIFS(T_ORCAMENTOS!$E:$E,T_ORCAMENTOS!$C:$C,"IRPJ 10%",T_ORCAMENTOS!$H:$H,"4/2026")</f>
        <v>0</v>
      </c>
      <c r="S328" s="27">
        <f>-Fiscal!J28+SUMIFS(Aut_Ajustes_Manuais!$G:$G,Aut_Ajustes_Manuais!$I:$I,DRE!Q$4,Aut_Ajustes_Manuais!$F:$F,"IRPJ 10%")</f>
        <v>0</v>
      </c>
      <c r="T328" s="237"/>
      <c r="U328" s="26">
        <f>-SUMIFS(T_ORCAMENTOS!$E:$E,T_ORCAMENTOS!$C:$C,"IRPJ 10%",T_ORCAMENTOS!$H:$H,"5/2026")</f>
        <v>0</v>
      </c>
      <c r="V328" s="27"/>
      <c r="W328" s="237"/>
      <c r="X328" s="26">
        <f>-SUMIFS(T_ORCAMENTOS!$E:$E,T_ORCAMENTOS!$C:$C,"IRPJ 10%",T_ORCAMENTOS!$H:$H,"6/2026")</f>
        <v>0</v>
      </c>
      <c r="Y328" s="27">
        <f>-Fiscal!K28+SUMIFS(Aut_Ajustes_Manuais!$G:$G,Aut_Ajustes_Manuais!$I:$I,DRE!W$4,Aut_Ajustes_Manuais!$F:$F,"IRPJ 10%")</f>
        <v>0</v>
      </c>
      <c r="Z328" s="237"/>
      <c r="AA328" s="26">
        <f>-SUMIFS(T_ORCAMENTOS!$E:$E,T_ORCAMENTOS!$C:$C,"IRPJ 10%",T_ORCAMENTOS!$H:$H,"7/2026")</f>
        <v>0</v>
      </c>
      <c r="AB328" s="27"/>
      <c r="AC328" s="237"/>
      <c r="AD328" s="26">
        <f>-SUMIFS(T_ORCAMENTOS!$E:$E,T_ORCAMENTOS!$C:$C,"IRPJ 10%",T_ORCAMENTOS!$H:$H,"8/2026")</f>
        <v>0</v>
      </c>
      <c r="AE328" s="27"/>
      <c r="AF328" s="237"/>
      <c r="AG328" s="26">
        <f>-SUMIFS(T_ORCAMENTOS!$E:$E,T_ORCAMENTOS!$C:$C,"IRPJ 10%",T_ORCAMENTOS!$H:$H,"9/2026")</f>
        <v>-65989.64</v>
      </c>
      <c r="AH328" s="27">
        <f>-Fiscal!O28+SUMIFS(Aut_Ajustes_Manuais!$G:$G,Aut_Ajustes_Manuais!$I:$I,DRE!AF$4,Aut_Ajustes_Manuais!$F:$F,"IRPJ 10%")</f>
        <v>0</v>
      </c>
      <c r="AI328" s="237"/>
      <c r="AJ328" s="26">
        <f>-SUMIFS(T_ORCAMENTOS!$E:$E,T_ORCAMENTOS!$C:$C,"IRPJ 10%",T_ORCAMENTOS!$H:$H,"10/2026")</f>
        <v>0</v>
      </c>
      <c r="AK328" s="27"/>
      <c r="AL328" s="237"/>
      <c r="AM328" s="26">
        <f>-SUMIFS(T_ORCAMENTOS!$E:$E,T_ORCAMENTOS!$C:$C,"IRPJ 10%",T_ORCAMENTOS!$H:$H,"11/2026")</f>
        <v>0</v>
      </c>
      <c r="AN328" s="27"/>
      <c r="AO328" s="237"/>
      <c r="AP328" s="26">
        <f>-SUMIFS(T_ORCAMENTOS!$E:$E,T_ORCAMENTOS!$C:$C,"IRPJ 10%",T_ORCAMENTOS!$H:$H,"12/2026")</f>
        <v>-115069.21</v>
      </c>
      <c r="AQ328" s="27">
        <f>-Fiscal!S28+SUMIFS(Aut_Ajustes_Manuais!$G:$G,Aut_Ajustes_Manuais!$I:$I,DRE!AO$4,Aut_Ajustes_Manuais!$F:$F,"IRPJ 10%")</f>
        <v>0</v>
      </c>
      <c r="AR328" s="237">
        <f ca="1">SUMIFS($H328:$AO328,$H$5:$AO$5,"&lt;"&amp;MONTH(TODAY()),$H$6:$AO$6,"REAL 25")</f>
        <v>0</v>
      </c>
      <c r="AS328" s="26">
        <f ca="1">SUMIFS($I328:$AP328,$I$5:$AP$5,"&lt;"&amp;MONTH(TODAY()),$I$6:$AP$6,"ORÇADO ")</f>
        <v>0</v>
      </c>
      <c r="AT328" s="27">
        <f ca="1">SUMIFS($J328:$AQ328,$J$5:$AQ$5,"&lt;"&amp;MONTH(TODAY()),$J$6:$AQ$6,"REAL 26")</f>
        <v>0</v>
      </c>
      <c r="AU328" s="237">
        <f t="shared" si="290"/>
        <v>0</v>
      </c>
      <c r="AV328" s="26">
        <f t="shared" si="290"/>
        <v>-181058.85</v>
      </c>
      <c r="AW328" s="27">
        <f t="shared" si="290"/>
        <v>0</v>
      </c>
      <c r="AX328" s="237">
        <f t="shared" si="291"/>
        <v>0</v>
      </c>
      <c r="AY328" s="26">
        <f t="shared" si="291"/>
        <v>0</v>
      </c>
      <c r="AZ328" s="27">
        <f t="shared" si="291"/>
        <v>0</v>
      </c>
      <c r="BA328" s="237">
        <f t="shared" si="292"/>
        <v>0</v>
      </c>
      <c r="BB328" s="26">
        <f t="shared" si="292"/>
        <v>0</v>
      </c>
      <c r="BC328" s="27">
        <f t="shared" si="292"/>
        <v>0</v>
      </c>
      <c r="BD328" s="237">
        <f t="shared" si="293"/>
        <v>0</v>
      </c>
      <c r="BE328" s="26">
        <f t="shared" si="293"/>
        <v>-65989.64</v>
      </c>
      <c r="BF328" s="27">
        <f t="shared" si="293"/>
        <v>0</v>
      </c>
      <c r="BG328" s="237">
        <f t="shared" si="294"/>
        <v>0</v>
      </c>
      <c r="BH328" s="26">
        <f t="shared" si="294"/>
        <v>-115069.21</v>
      </c>
      <c r="BI328" s="27">
        <f t="shared" si="294"/>
        <v>0</v>
      </c>
      <c r="BJ328" s="454"/>
    </row>
    <row r="329" spans="1:62" s="28" customFormat="1" outlineLevel="1" x14ac:dyDescent="0.3">
      <c r="A329" s="21" t="s">
        <v>345</v>
      </c>
      <c r="B329" s="57"/>
      <c r="C329" s="23" t="s">
        <v>342</v>
      </c>
      <c r="D329" s="24"/>
      <c r="E329" s="24"/>
      <c r="F329" s="61"/>
      <c r="G329" s="32"/>
      <c r="H329" s="237"/>
      <c r="I329" s="26">
        <f>-SUMIFS(T_ORCAMENTOS!$E:$E,T_ORCAMENTOS!$C:$C,"CSLL",T_ORCAMENTOS!$H:$H,"1/2026")</f>
        <v>0</v>
      </c>
      <c r="J329" s="27">
        <f>-Fiscal!D34+SUMIFS(Aut_Ajustes_Manuais!$G:$G,Aut_Ajustes_Manuais!$I:$I,DRE!H$4,Aut_Ajustes_Manuais!$F:$F,"CSLL")</f>
        <v>0</v>
      </c>
      <c r="K329" s="237"/>
      <c r="L329" s="26">
        <f>-SUMIFS(T_ORCAMENTOS!$E:$E,T_ORCAMENTOS!$C:$C,"CSLL",T_ORCAMENTOS!$H:$H,"2/2026")</f>
        <v>0</v>
      </c>
      <c r="M329" s="27">
        <f>-Fiscal!E34+SUMIFS(Aut_Ajustes_Manuais!$G:$G,Aut_Ajustes_Manuais!$I:$I,DRE!K$4,Aut_Ajustes_Manuais!$F:$F,"CSLL")</f>
        <v>0</v>
      </c>
      <c r="N329" s="237"/>
      <c r="O329" s="26">
        <f>-SUMIFS(T_ORCAMENTOS!$E:$E,T_ORCAMENTOS!$C:$C,"CSLL",T_ORCAMENTOS!$H:$H,"3/2026")</f>
        <v>0</v>
      </c>
      <c r="P329" s="27">
        <f>-Fiscal!F34+SUMIFS(Aut_Ajustes_Manuais!$G:$G,Aut_Ajustes_Manuais!$I:$I,DRE!N$4,Aut_Ajustes_Manuais!$F:$F,"CSLL")</f>
        <v>0</v>
      </c>
      <c r="Q329" s="237"/>
      <c r="R329" s="26">
        <f>-SUMIFS(T_ORCAMENTOS!$E:$E,T_ORCAMENTOS!$C:$C,"CSLL",T_ORCAMENTOS!$H:$H,"4/2026")</f>
        <v>0</v>
      </c>
      <c r="S329" s="27">
        <f>-Fiscal!H34+SUMIFS(Aut_Ajustes_Manuais!$G:$G,Aut_Ajustes_Manuais!$I:$I,DRE!Q$4,Aut_Ajustes_Manuais!$F:$F,"CSLL")</f>
        <v>0</v>
      </c>
      <c r="T329" s="237"/>
      <c r="U329" s="26">
        <f>-SUMIFS(T_ORCAMENTOS!$E:$E,T_ORCAMENTOS!$C:$C,"CSLL",T_ORCAMENTOS!$H:$H,"5/2026")</f>
        <v>0</v>
      </c>
      <c r="V329" s="27">
        <f>-Fiscal!I34+SUMIFS(Aut_Ajustes_Manuais!$G:$G,Aut_Ajustes_Manuais!$I:$I,DRE!T$4,Aut_Ajustes_Manuais!$F:$F,"CSLL")</f>
        <v>0</v>
      </c>
      <c r="W329" s="237"/>
      <c r="X329" s="26">
        <f>-SUMIFS(T_ORCAMENTOS!$E:$E,T_ORCAMENTOS!$C:$C,"CSLL",T_ORCAMENTOS!$H:$H,"6/2026")</f>
        <v>0</v>
      </c>
      <c r="Y329" s="27">
        <f>-Fiscal!J34+SUMIFS(Aut_Ajustes_Manuais!$G:$G,Aut_Ajustes_Manuais!$I:$I,DRE!W$4,Aut_Ajustes_Manuais!$F:$F,"CSLL")</f>
        <v>0</v>
      </c>
      <c r="Z329" s="237"/>
      <c r="AA329" s="26">
        <f>-SUMIFS(T_ORCAMENTOS!$E:$E,T_ORCAMENTOS!$C:$C,"CSLL",T_ORCAMENTOS!$H:$H,"7/2026")</f>
        <v>0</v>
      </c>
      <c r="AB329" s="27">
        <f>-Fiscal!L34+SUMIFS(Aut_Ajustes_Manuais!$G:$G,Aut_Ajustes_Manuais!$I:$I,DRE!Z$4,Aut_Ajustes_Manuais!$F:$F,"CSLL")</f>
        <v>-3604.6695600000007</v>
      </c>
      <c r="AC329" s="237"/>
      <c r="AD329" s="26">
        <f>-SUMIFS(T_ORCAMENTOS!$E:$E,T_ORCAMENTOS!$C:$C,"CSLL",T_ORCAMENTOS!$H:$H,"8/2026")</f>
        <v>-48169.99</v>
      </c>
      <c r="AE329" s="27">
        <f>-Fiscal!M34+SUMIFS(Aut_Ajustes_Manuais!$G:$G,Aut_Ajustes_Manuais!$I:$I,DRE!AC$4,Aut_Ajustes_Manuais!$F:$F,"CSLL")</f>
        <v>0</v>
      </c>
      <c r="AF329" s="237"/>
      <c r="AG329" s="26">
        <f>-SUMIFS(T_ORCAMENTOS!$E:$E,T_ORCAMENTOS!$C:$C,"CSLL",T_ORCAMENTOS!$H:$H,"9/2026")</f>
        <v>-47238.51</v>
      </c>
      <c r="AH329" s="27">
        <f>-Fiscal!N34+SUMIFS(Aut_Ajustes_Manuais!$G:$G,Aut_Ajustes_Manuais!$I:$I,DRE!AF$4,Aut_Ajustes_Manuais!$F:$F,"CSLL")</f>
        <v>0</v>
      </c>
      <c r="AI329" s="237"/>
      <c r="AJ329" s="26">
        <f>-SUMIFS(T_ORCAMENTOS!$E:$E,T_ORCAMENTOS!$C:$C,"CSLL",T_ORCAMENTOS!$H:$H,"10/2026")</f>
        <v>-52253.81</v>
      </c>
      <c r="AK329" s="27">
        <f>-Fiscal!P34+SUMIFS(Aut_Ajustes_Manuais!$G:$G,Aut_Ajustes_Manuais!$I:$I,DRE!AI$4,Aut_Ajustes_Manuais!$F:$F,"CSLL")</f>
        <v>0</v>
      </c>
      <c r="AL329" s="237"/>
      <c r="AM329" s="26">
        <f>-SUMIFS(T_ORCAMENTOS!$E:$E,T_ORCAMENTOS!$C:$C,"CSLL",T_ORCAMENTOS!$H:$H,"11/2026")</f>
        <v>-48510.32</v>
      </c>
      <c r="AN329" s="27">
        <f>-Fiscal!Q34+SUMIFS(Aut_Ajustes_Manuais!$G:$G,Aut_Ajustes_Manuais!$I:$I,DRE!AL$4,Aut_Ajustes_Manuais!$F:$F,"CSLL")</f>
        <v>0</v>
      </c>
      <c r="AO329" s="237"/>
      <c r="AP329" s="26">
        <f>-SUMIFS(T_ORCAMENTOS!$E:$E,T_ORCAMENTOS!$C:$C,"CSLL",T_ORCAMENTOS!$H:$H,"12/2026")</f>
        <v>-55804.65</v>
      </c>
      <c r="AQ329" s="27">
        <f>-Fiscal!R34+SUMIFS(Aut_Ajustes_Manuais!$G:$G,Aut_Ajustes_Manuais!$I:$I,DRE!AO$4,Aut_Ajustes_Manuais!$F:$F,"CSLL")</f>
        <v>0</v>
      </c>
      <c r="AR329" s="237">
        <f ca="1">SUMIFS($H329:$AO329,$H$5:$AO$5,"&lt;"&amp;MONTH(TODAY()),$H$6:$AO$6,"REAL 25")</f>
        <v>0</v>
      </c>
      <c r="AS329" s="26">
        <f ca="1">SUMIFS($I329:$AP329,$I$5:$AP$5,"&lt;"&amp;MONTH(TODAY()),$I$6:$AP$6,"ORÇADO ")</f>
        <v>-48169.99</v>
      </c>
      <c r="AT329" s="27">
        <f ca="1">SUMIFS($J329:$AQ329,$J$5:$AQ$5,"&lt;"&amp;MONTH(TODAY()),$J$6:$AQ$6,"REAL 26")</f>
        <v>-3604.6695600000007</v>
      </c>
      <c r="AU329" s="237">
        <f t="shared" si="290"/>
        <v>0</v>
      </c>
      <c r="AV329" s="26">
        <f t="shared" si="290"/>
        <v>-251977.28</v>
      </c>
      <c r="AW329" s="27">
        <f t="shared" si="290"/>
        <v>-3604.6695600000007</v>
      </c>
      <c r="AX329" s="237">
        <f t="shared" si="291"/>
        <v>0</v>
      </c>
      <c r="AY329" s="26">
        <f t="shared" si="291"/>
        <v>0</v>
      </c>
      <c r="AZ329" s="27">
        <f t="shared" si="291"/>
        <v>0</v>
      </c>
      <c r="BA329" s="237">
        <f t="shared" si="292"/>
        <v>0</v>
      </c>
      <c r="BB329" s="26">
        <f t="shared" si="292"/>
        <v>0</v>
      </c>
      <c r="BC329" s="27">
        <f t="shared" si="292"/>
        <v>0</v>
      </c>
      <c r="BD329" s="237">
        <f t="shared" si="293"/>
        <v>0</v>
      </c>
      <c r="BE329" s="26">
        <f t="shared" si="293"/>
        <v>-95408.5</v>
      </c>
      <c r="BF329" s="27">
        <f t="shared" si="293"/>
        <v>-3604.6695600000007</v>
      </c>
      <c r="BG329" s="237">
        <f t="shared" si="294"/>
        <v>0</v>
      </c>
      <c r="BH329" s="26">
        <f t="shared" si="294"/>
        <v>-156568.78</v>
      </c>
      <c r="BI329" s="27">
        <f t="shared" si="294"/>
        <v>0</v>
      </c>
      <c r="BJ329" s="454"/>
    </row>
    <row r="330" spans="1:62" x14ac:dyDescent="0.3">
      <c r="A330" s="17"/>
      <c r="E330" s="15"/>
      <c r="F330" s="16"/>
      <c r="G330" s="45"/>
      <c r="H330" s="242"/>
      <c r="I330" s="51"/>
      <c r="J330" s="52" t="e">
        <f>J325/J8</f>
        <v>#DIV/0!</v>
      </c>
      <c r="K330" s="242"/>
      <c r="L330" s="51"/>
      <c r="M330" s="52" t="e">
        <f>M325/M8</f>
        <v>#DIV/0!</v>
      </c>
      <c r="N330" s="242"/>
      <c r="O330" s="51"/>
      <c r="P330" s="52" t="e">
        <f>P325/P8</f>
        <v>#DIV/0!</v>
      </c>
      <c r="Q330" s="242"/>
      <c r="R330" s="51"/>
      <c r="S330" s="52"/>
      <c r="T330" s="242"/>
      <c r="U330" s="51"/>
      <c r="V330" s="52"/>
      <c r="W330" s="242"/>
      <c r="X330" s="51"/>
      <c r="Y330" s="52"/>
      <c r="Z330" s="242"/>
      <c r="AA330" s="51"/>
      <c r="AB330" s="52"/>
      <c r="AC330" s="242"/>
      <c r="AD330" s="51"/>
      <c r="AE330" s="52"/>
      <c r="AF330" s="242"/>
      <c r="AG330" s="51"/>
      <c r="AH330" s="52"/>
      <c r="AI330" s="242"/>
      <c r="AJ330" s="51"/>
      <c r="AK330" s="52"/>
      <c r="AL330" s="242"/>
      <c r="AM330" s="51"/>
      <c r="AN330" s="52"/>
      <c r="AO330" s="242"/>
      <c r="AP330" s="51"/>
      <c r="AQ330" s="52"/>
      <c r="AR330" s="242"/>
      <c r="AS330" s="51">
        <v>-3.2842365363956037E-2</v>
      </c>
      <c r="AT330" s="52"/>
      <c r="AU330" s="242"/>
      <c r="AV330" s="51"/>
      <c r="AW330" s="52"/>
      <c r="AX330" s="242"/>
      <c r="AY330" s="51"/>
      <c r="AZ330" s="52"/>
      <c r="BA330" s="242"/>
      <c r="BB330" s="51"/>
      <c r="BC330" s="52"/>
      <c r="BD330" s="242"/>
      <c r="BE330" s="51"/>
      <c r="BF330" s="52"/>
      <c r="BG330" s="242"/>
      <c r="BH330" s="51"/>
      <c r="BI330" s="52"/>
    </row>
    <row r="331" spans="1:62" x14ac:dyDescent="0.3">
      <c r="A331" s="56" t="s">
        <v>346</v>
      </c>
      <c r="B331" s="57"/>
      <c r="C331" s="58"/>
      <c r="D331" s="59"/>
      <c r="E331" s="60"/>
      <c r="F331" s="61"/>
      <c r="G331" s="45"/>
      <c r="H331" s="244"/>
      <c r="I331" s="62">
        <f>SUM(I325,I323)</f>
        <v>0</v>
      </c>
      <c r="J331" s="63">
        <f>SUM(J325,J323)+SUMIFS(Aut_Ajustes_Manuais!$G:$G,Aut_Ajustes_Manuais!$I:$I,DRE!H$4,Aut_Ajustes_Manuais!$F:$F,"Resultado Líquido")</f>
        <v>-37712.864739393946</v>
      </c>
      <c r="K331" s="244"/>
      <c r="L331" s="62">
        <f>SUM(L325,L323)</f>
        <v>0</v>
      </c>
      <c r="M331" s="63">
        <f>SUM(M325,M323)+SUMIFS(Aut_Ajustes_Manuais!$G:$G,Aut_Ajustes_Manuais!$I:$I,DRE!K$4,Aut_Ajustes_Manuais!$F:$F,"Resultado Líquido")</f>
        <v>-131201.30473939393</v>
      </c>
      <c r="N331" s="244"/>
      <c r="O331" s="62">
        <f>SUM(O325,O323)</f>
        <v>0</v>
      </c>
      <c r="P331" s="63">
        <f>SUM(P325,P323)+SUMIFS(Aut_Ajustes_Manuais!$G:$G,Aut_Ajustes_Manuais!$I:$I,DRE!N$4,Aut_Ajustes_Manuais!$F:$F,"Resultado Líquido")</f>
        <v>-168364.16473939395</v>
      </c>
      <c r="Q331" s="244"/>
      <c r="R331" s="62">
        <f>SUM(R325,R323)</f>
        <v>0</v>
      </c>
      <c r="S331" s="63">
        <f>SUM(S325,S323)+SUMIFS(Aut_Ajustes_Manuais!$G:$G,Aut_Ajustes_Manuais!$I:$I,DRE!Q$4,Aut_Ajustes_Manuais!$F:$F,"Resultado Líquido")</f>
        <v>-162391.90000000002</v>
      </c>
      <c r="T331" s="244"/>
      <c r="U331" s="62">
        <f>SUM(U325,U323)</f>
        <v>0</v>
      </c>
      <c r="V331" s="63">
        <f>SUM(V325,V323)+SUMIFS(Aut_Ajustes_Manuais!$G:$G,Aut_Ajustes_Manuais!$I:$I,DRE!T$4,Aut_Ajustes_Manuais!$F:$F,"Resultado Líquido")</f>
        <v>-142812.42551569073</v>
      </c>
      <c r="W331" s="244"/>
      <c r="X331" s="62">
        <f>SUM(X325,X323)</f>
        <v>0</v>
      </c>
      <c r="Y331" s="63">
        <f>SUM(Y325,Y323)+SUMIFS(Aut_Ajustes_Manuais!$G:$G,Aut_Ajustes_Manuais!$I:$I,DRE!W$4,Aut_Ajustes_Manuais!$F:$F,"Resultado Líquido")</f>
        <v>-415820.23208047508</v>
      </c>
      <c r="Z331" s="244"/>
      <c r="AA331" s="62">
        <f>SUM(AA325,AA323)</f>
        <v>-112.5</v>
      </c>
      <c r="AB331" s="63">
        <f>SUM(AB325,AB323)+SUMIFS(Aut_Ajustes_Manuais!$G:$G,Aut_Ajustes_Manuais!$I:$I,DRE!Z$4,Aut_Ajustes_Manuais!$F:$F,"Resultado Líquido")</f>
        <v>-417421.97307619284</v>
      </c>
      <c r="AC331" s="244"/>
      <c r="AD331" s="62">
        <f>SUM(AD325,AD323)</f>
        <v>1072492.8329754986</v>
      </c>
      <c r="AE331" s="63">
        <f>SUM(AE325,AE323)+SUMIFS(Aut_Ajustes_Manuais!$G:$G,Aut_Ajustes_Manuais!$I:$I,DRE!AC$4,Aut_Ajustes_Manuais!$F:$F,"Resultado Líquido")</f>
        <v>-297189.8380456944</v>
      </c>
      <c r="AF331" s="244"/>
      <c r="AG331" s="62">
        <f>SUM(AG325,AG323)</f>
        <v>965667.77229409991</v>
      </c>
      <c r="AH331" s="63">
        <f>SUM(AH325,AH323)+SUMIFS(Aut_Ajustes_Manuais!$G:$G,Aut_Ajustes_Manuais!$I:$I,DRE!AF$4,Aut_Ajustes_Manuais!$F:$F,"Resultado Líquido")</f>
        <v>-325778.39221936068</v>
      </c>
      <c r="AI331" s="244"/>
      <c r="AJ331" s="62">
        <f>SUM(AJ325,AJ323)</f>
        <v>1339558.1347786</v>
      </c>
      <c r="AK331" s="63">
        <f>SUM(AK325,AK323)+SUMIFS(Aut_Ajustes_Manuais!$G:$G,Aut_Ajustes_Manuais!$I:$I,DRE!AI$4,Aut_Ajustes_Manuais!$F:$F,"Resultado Líquido")</f>
        <v>-330780.84362225566</v>
      </c>
      <c r="AL331" s="244"/>
      <c r="AM331" s="62">
        <f>SUM(AM325,AM323)</f>
        <v>1121861.7786545004</v>
      </c>
      <c r="AN331" s="63">
        <f>SUM(AN325,AN323)+SUMIFS(Aut_Ajustes_Manuais!$G:$G,Aut_Ajustes_Manuais!$I:$I,DRE!AL$4,Aut_Ajustes_Manuais!$F:$F,"Resultado Líquido")</f>
        <v>-334052.030749381</v>
      </c>
      <c r="AO331" s="244"/>
      <c r="AP331" s="62">
        <f>SUM(AP325,AP323)</f>
        <v>1218334.2601740998</v>
      </c>
      <c r="AQ331" s="63">
        <f>SUM(AQ325,AQ323)+SUMIFS(Aut_Ajustes_Manuais!$G:$G,Aut_Ajustes_Manuais!$I:$I,DRE!AO$4,Aut_Ajustes_Manuais!$F:$F,"Resultado Líquido")</f>
        <v>-336358.11753783643</v>
      </c>
      <c r="AR331" s="244">
        <f t="shared" ref="AR331:BI331" ca="1" si="295">SUM(AR325,AR323)</f>
        <v>0</v>
      </c>
      <c r="AS331" s="62">
        <f t="shared" ca="1" si="295"/>
        <v>1072380.3329754989</v>
      </c>
      <c r="AT331" s="63">
        <f t="shared" ca="1" si="295"/>
        <v>-1772914.7029362349</v>
      </c>
      <c r="AU331" s="244">
        <f t="shared" si="295"/>
        <v>0</v>
      </c>
      <c r="AV331" s="62">
        <f t="shared" si="295"/>
        <v>5717802.2788768038</v>
      </c>
      <c r="AW331" s="63">
        <f t="shared" si="295"/>
        <v>-3099884.0870650685</v>
      </c>
      <c r="AX331" s="244">
        <f t="shared" si="295"/>
        <v>0</v>
      </c>
      <c r="AY331" s="62">
        <f t="shared" si="295"/>
        <v>0</v>
      </c>
      <c r="AZ331" s="63">
        <f t="shared" si="295"/>
        <v>-337278.33421818184</v>
      </c>
      <c r="BA331" s="244">
        <f t="shared" si="295"/>
        <v>0</v>
      </c>
      <c r="BB331" s="62">
        <f t="shared" si="295"/>
        <v>0</v>
      </c>
      <c r="BC331" s="63">
        <f t="shared" si="295"/>
        <v>-721024.5575961658</v>
      </c>
      <c r="BD331" s="244">
        <f t="shared" si="295"/>
        <v>0</v>
      </c>
      <c r="BE331" s="62">
        <f t="shared" si="295"/>
        <v>2038048.1052695997</v>
      </c>
      <c r="BF331" s="63">
        <f t="shared" si="295"/>
        <v>-1040390.2033412477</v>
      </c>
      <c r="BG331" s="244">
        <f t="shared" si="295"/>
        <v>0</v>
      </c>
      <c r="BH331" s="62">
        <f t="shared" si="295"/>
        <v>3679754.1736071976</v>
      </c>
      <c r="BI331" s="63">
        <f t="shared" si="295"/>
        <v>-1001190.991909473</v>
      </c>
    </row>
    <row r="332" spans="1:62" x14ac:dyDescent="0.3">
      <c r="A332" s="69" t="s">
        <v>44</v>
      </c>
      <c r="B332" s="57"/>
      <c r="C332" s="58"/>
      <c r="D332" s="59"/>
      <c r="E332" s="60"/>
      <c r="F332" s="61"/>
      <c r="G332" s="45"/>
      <c r="H332" s="241"/>
      <c r="I332" s="48">
        <f>IFERROR(I331/I8,0)</f>
        <v>0</v>
      </c>
      <c r="J332" s="49">
        <f>IFERROR(J331/J8,0)+SUMIFS(Aut_Ajustes_Manuais!$G:$G,Aut_Ajustes_Manuais!$I:$I,DRE!H$4,Aut_Ajustes_Manuais!$F:$F,"% sobre Receita Bruta")</f>
        <v>0</v>
      </c>
      <c r="K332" s="241"/>
      <c r="L332" s="48">
        <f>IFERROR(L331/L8,0)</f>
        <v>0</v>
      </c>
      <c r="M332" s="49">
        <f>IFERROR(M331/M8,0)+SUMIFS(Aut_Ajustes_Manuais!$G:$G,Aut_Ajustes_Manuais!$I:$I,DRE!K$4,Aut_Ajustes_Manuais!$F:$F,"% sobre Receita Bruta")</f>
        <v>0</v>
      </c>
      <c r="N332" s="241"/>
      <c r="O332" s="48">
        <f>IFERROR(O331/O8,0)</f>
        <v>0</v>
      </c>
      <c r="P332" s="49">
        <f>IFERROR(P331/P8,0)+SUMIFS(Aut_Ajustes_Manuais!$G:$G,Aut_Ajustes_Manuais!$I:$I,DRE!N$4,Aut_Ajustes_Manuais!$F:$F,"% sobre Receita Bruta")</f>
        <v>0</v>
      </c>
      <c r="Q332" s="241"/>
      <c r="R332" s="48">
        <f>IFERROR(R331/R8,0)</f>
        <v>0</v>
      </c>
      <c r="S332" s="49">
        <f>IFERROR(S331/S8,0)+SUMIFS(Aut_Ajustes_Manuais!$G:$G,Aut_Ajustes_Manuais!$I:$I,DRE!Q$4,Aut_Ajustes_Manuais!$F:$F,"% sobre Receita Bruta")</f>
        <v>0</v>
      </c>
      <c r="T332" s="241"/>
      <c r="U332" s="48">
        <f>IFERROR(U331/U8,0)</f>
        <v>0</v>
      </c>
      <c r="V332" s="49">
        <f>IFERROR(V331/V8,0)+SUMIFS(Aut_Ajustes_Manuais!$G:$G,Aut_Ajustes_Manuais!$I:$I,DRE!T$4,Aut_Ajustes_Manuais!$F:$F,"% sobre Receita Bruta")</f>
        <v>0</v>
      </c>
      <c r="W332" s="241"/>
      <c r="X332" s="48">
        <f>IFERROR(X331/X8,0)</f>
        <v>0</v>
      </c>
      <c r="Y332" s="49">
        <f>IFERROR(Y331/Y8,0)+SUMIFS(Aut_Ajustes_Manuais!$G:$G,Aut_Ajustes_Manuais!$I:$I,DRE!W$4,Aut_Ajustes_Manuais!$F:$F,"% sobre Receita Bruta")</f>
        <v>0</v>
      </c>
      <c r="Z332" s="241"/>
      <c r="AA332" s="48">
        <f>IFERROR(AA331/AA8,0)</f>
        <v>0</v>
      </c>
      <c r="AB332" s="49">
        <f>IFERROR(AB331/AB8,0)+SUMIFS(Aut_Ajustes_Manuais!$G:$G,Aut_Ajustes_Manuais!$I:$I,DRE!Z$4,Aut_Ajustes_Manuais!$F:$F,"% sobre Receita Bruta")</f>
        <v>-1.2253459749157019</v>
      </c>
      <c r="AC332" s="241"/>
      <c r="AD332" s="48">
        <f>IFERROR(AD331/AD8,0)</f>
        <v>0.2239228202126024</v>
      </c>
      <c r="AE332" s="49">
        <f>IFERROR(AE331/AE8,0)+SUMIFS(Aut_Ajustes_Manuais!$G:$G,Aut_Ajustes_Manuais!$I:$I,DRE!AC$4,Aut_Ajustes_Manuais!$F:$F,"% sobre Receita Bruta")</f>
        <v>0</v>
      </c>
      <c r="AF332" s="241"/>
      <c r="AG332" s="48">
        <f>IFERROR(AG331/AG8,0)</f>
        <v>0.20810556490031082</v>
      </c>
      <c r="AH332" s="49">
        <f>IFERROR(AH331/AH8,0)+SUMIFS(Aut_Ajustes_Manuais!$G:$G,Aut_Ajustes_Manuais!$I:$I,DRE!AF$4,Aut_Ajustes_Manuais!$F:$F,"% sobre Receita Bruta")</f>
        <v>0</v>
      </c>
      <c r="AI332" s="241"/>
      <c r="AJ332" s="48">
        <f>IFERROR(AJ331/AJ8,0)</f>
        <v>0.26301687502107163</v>
      </c>
      <c r="AK332" s="49">
        <f>IFERROR(AK331/AK8,0)+SUMIFS(Aut_Ajustes_Manuais!$G:$G,Aut_Ajustes_Manuais!$I:$I,DRE!AI$4,Aut_Ajustes_Manuais!$F:$F,"% sobre Receita Bruta")</f>
        <v>0</v>
      </c>
      <c r="AL332" s="241"/>
      <c r="AM332" s="48">
        <f>IFERROR(AM331/AM8,0)</f>
        <v>0.23911316133898294</v>
      </c>
      <c r="AN332" s="49">
        <f>IFERROR(AN331/AN8,0)+SUMIFS(Aut_Ajustes_Manuais!$G:$G,Aut_Ajustes_Manuais!$I:$I,DRE!AL$4,Aut_Ajustes_Manuais!$F:$F,"% sobre Receita Bruta")</f>
        <v>0</v>
      </c>
      <c r="AO332" s="241"/>
      <c r="AP332" s="48">
        <f>IFERROR(AP331/AP8,0)</f>
        <v>0.23835037307477155</v>
      </c>
      <c r="AQ332" s="49">
        <f>IFERROR(AQ331/AQ8,0)+SUMIFS(Aut_Ajustes_Manuais!$G:$G,Aut_Ajustes_Manuais!$I:$I,DRE!AO$4,Aut_Ajustes_Manuais!$F:$F,"% sobre Receita Bruta")</f>
        <v>0</v>
      </c>
      <c r="AR332" s="241">
        <f t="shared" ref="AR332:BI332" ca="1" si="296">IFERROR(AR331/AR8,0)</f>
        <v>0</v>
      </c>
      <c r="AS332" s="48">
        <f t="shared" ca="1" si="296"/>
        <v>0.22389933164792455</v>
      </c>
      <c r="AT332" s="49">
        <f t="shared" ca="1" si="296"/>
        <v>-5.2044071353072834</v>
      </c>
      <c r="AU332" s="241">
        <f t="shared" si="296"/>
        <v>0</v>
      </c>
      <c r="AV332" s="48">
        <f t="shared" si="296"/>
        <v>0.23504726605621409</v>
      </c>
      <c r="AW332" s="49">
        <f t="shared" si="296"/>
        <v>-9.0997377564910362</v>
      </c>
      <c r="AX332" s="241">
        <f t="shared" si="296"/>
        <v>0</v>
      </c>
      <c r="AY332" s="48">
        <f t="shared" si="296"/>
        <v>0</v>
      </c>
      <c r="AZ332" s="49">
        <f t="shared" si="296"/>
        <v>0</v>
      </c>
      <c r="BA332" s="241">
        <f t="shared" si="296"/>
        <v>0</v>
      </c>
      <c r="BB332" s="48">
        <f t="shared" si="296"/>
        <v>0</v>
      </c>
      <c r="BC332" s="49">
        <f t="shared" si="296"/>
        <v>0</v>
      </c>
      <c r="BD332" s="241">
        <f t="shared" si="296"/>
        <v>0</v>
      </c>
      <c r="BE332" s="48">
        <f t="shared" si="296"/>
        <v>0.21612746582198719</v>
      </c>
      <c r="BF332" s="49">
        <f t="shared" si="296"/>
        <v>-3.054074845679549</v>
      </c>
      <c r="BG332" s="241">
        <f t="shared" si="296"/>
        <v>0</v>
      </c>
      <c r="BH332" s="48">
        <f t="shared" si="296"/>
        <v>0.2470240857106675</v>
      </c>
      <c r="BI332" s="49">
        <f t="shared" si="296"/>
        <v>0</v>
      </c>
    </row>
    <row r="333" spans="1:62" x14ac:dyDescent="0.3">
      <c r="A333" s="17"/>
      <c r="E333" s="15"/>
      <c r="F333" s="16"/>
      <c r="G333" s="45"/>
      <c r="H333" s="243"/>
      <c r="I333" s="16"/>
      <c r="J333" s="55"/>
      <c r="K333" s="243"/>
      <c r="L333" s="16"/>
      <c r="M333" s="55"/>
      <c r="N333" s="243"/>
      <c r="O333" s="16"/>
      <c r="P333" s="55"/>
      <c r="Q333" s="243"/>
      <c r="R333" s="16"/>
      <c r="S333" s="55"/>
      <c r="T333" s="243"/>
      <c r="U333" s="16"/>
      <c r="V333" s="55"/>
      <c r="W333" s="243"/>
      <c r="X333" s="16"/>
      <c r="Y333" s="55"/>
      <c r="Z333" s="243"/>
      <c r="AA333" s="16"/>
      <c r="AB333" s="55"/>
      <c r="AC333" s="243"/>
      <c r="AD333" s="16"/>
      <c r="AE333" s="55"/>
      <c r="AF333" s="243"/>
      <c r="AG333" s="16"/>
      <c r="AH333" s="55"/>
      <c r="AI333" s="243"/>
      <c r="AJ333" s="16"/>
      <c r="AK333" s="55"/>
      <c r="AL333" s="243"/>
      <c r="AM333" s="16"/>
      <c r="AN333" s="55"/>
      <c r="AO333" s="243"/>
      <c r="AP333" s="16"/>
      <c r="AQ333" s="55"/>
      <c r="AR333" s="243"/>
      <c r="AS333" s="16"/>
      <c r="AT333" s="55"/>
      <c r="AU333" s="243"/>
      <c r="AV333" s="16"/>
      <c r="AW333" s="55"/>
      <c r="AX333" s="243"/>
      <c r="AY333" s="16"/>
      <c r="AZ333" s="55"/>
      <c r="BA333" s="243"/>
      <c r="BB333" s="16"/>
      <c r="BC333" s="55"/>
      <c r="BD333" s="243"/>
      <c r="BE333" s="16"/>
      <c r="BF333" s="55"/>
      <c r="BG333" s="243"/>
      <c r="BH333" s="16"/>
      <c r="BI333" s="55"/>
    </row>
    <row r="334" spans="1:62" ht="16.95" customHeight="1" x14ac:dyDescent="0.3">
      <c r="A334" s="37" t="s">
        <v>347</v>
      </c>
      <c r="B334" s="57"/>
      <c r="C334" s="38" t="s">
        <v>339</v>
      </c>
      <c r="D334" s="38" t="s">
        <v>340</v>
      </c>
      <c r="E334" s="38" t="s">
        <v>201</v>
      </c>
      <c r="F334" s="61"/>
      <c r="G334" s="45"/>
      <c r="H334" s="240"/>
      <c r="I334" s="40">
        <f>SUM(I335:I351)</f>
        <v>0</v>
      </c>
      <c r="J334" s="41">
        <f>SUM(J335:J351)+SUMIFS(Aut_Ajustes_Manuais!$G:$G,Aut_Ajustes_Manuais!$I:$I,DRE!H$4,Aut_Ajustes_Manuais!$F:$F,"(-) CAPEX (Investimentos)")</f>
        <v>-173835.65</v>
      </c>
      <c r="K334" s="240"/>
      <c r="L334" s="40">
        <f>SUM(L335:L351)</f>
        <v>0</v>
      </c>
      <c r="M334" s="41">
        <f>SUM(M335:M351)+SUMIFS(Aut_Ajustes_Manuais!$G:$G,Aut_Ajustes_Manuais!$I:$I,DRE!K$4,Aut_Ajustes_Manuais!$F:$F,"(-) CAPEX (Investimentos)")</f>
        <v>-485355.76</v>
      </c>
      <c r="N334" s="240"/>
      <c r="O334" s="40">
        <f>SUM(O335:O351)</f>
        <v>0</v>
      </c>
      <c r="P334" s="41">
        <f>SUM(P335:P351)+SUMIFS(Aut_Ajustes_Manuais!$G:$G,Aut_Ajustes_Manuais!$I:$I,DRE!N$4,Aut_Ajustes_Manuais!$F:$F,"(-) CAPEX (Investimentos)")</f>
        <v>-1036424.69</v>
      </c>
      <c r="Q334" s="240"/>
      <c r="R334" s="40">
        <f>SUM(R335:R351)</f>
        <v>0</v>
      </c>
      <c r="S334" s="41">
        <f>SUM(S335:S351)+SUMIFS(Aut_Ajustes_Manuais!$G:$G,Aut_Ajustes_Manuais!$I:$I,DRE!Q$4,Aut_Ajustes_Manuais!$F:$F,"(-) CAPEX (Investimentos)")</f>
        <v>-1258485.6500000001</v>
      </c>
      <c r="T334" s="240"/>
      <c r="U334" s="40">
        <f>SUM(U335:U351)</f>
        <v>0</v>
      </c>
      <c r="V334" s="41">
        <f>SUM(V335:V351)+SUMIFS(Aut_Ajustes_Manuais!$G:$G,Aut_Ajustes_Manuais!$I:$I,DRE!T$4,Aut_Ajustes_Manuais!$F:$F,"(-) CAPEX (Investimentos)")</f>
        <v>-605550.4</v>
      </c>
      <c r="W334" s="240"/>
      <c r="X334" s="40">
        <f>SUM(X335:X351)</f>
        <v>0</v>
      </c>
      <c r="Y334" s="41">
        <f>SUM(Y335:Y351)+SUMIFS(Aut_Ajustes_Manuais!$G:$G,Aut_Ajustes_Manuais!$I:$I,DRE!W$4,Aut_Ajustes_Manuais!$F:$F,"(-) CAPEX (Investimentos)")</f>
        <v>-1000319.33</v>
      </c>
      <c r="Z334" s="240"/>
      <c r="AA334" s="40">
        <f>SUM(AA335:AA351)</f>
        <v>0</v>
      </c>
      <c r="AB334" s="41">
        <f>SUM(AB335:AB351)+SUMIFS(Aut_Ajustes_Manuais!$G:$G,Aut_Ajustes_Manuais!$I:$I,DRE!Z$4,Aut_Ajustes_Manuais!$F:$F,"(-) CAPEX (Investimentos)")</f>
        <v>-171366.19999999998</v>
      </c>
      <c r="AC334" s="240"/>
      <c r="AD334" s="40">
        <f>SUM(AD335:AD351)</f>
        <v>0</v>
      </c>
      <c r="AE334" s="41">
        <f>SUM(AE335:AE351)+SUMIFS(Aut_Ajustes_Manuais!$G:$G,Aut_Ajustes_Manuais!$I:$I,DRE!AC$4,Aut_Ajustes_Manuais!$F:$F,"(-) CAPEX (Investimentos)")</f>
        <v>-98914.319999999992</v>
      </c>
      <c r="AF334" s="240"/>
      <c r="AG334" s="40">
        <f>SUM(AG335:AG351)</f>
        <v>0</v>
      </c>
      <c r="AH334" s="41">
        <f>SUM(AH335:AH351)+SUMIFS(Aut_Ajustes_Manuais!$G:$G,Aut_Ajustes_Manuais!$I:$I,DRE!AF$4,Aut_Ajustes_Manuais!$F:$F,"(-) CAPEX (Investimentos)")</f>
        <v>-9159.119999999999</v>
      </c>
      <c r="AI334" s="240"/>
      <c r="AJ334" s="40">
        <f>SUM(AJ335:AJ351)</f>
        <v>0</v>
      </c>
      <c r="AK334" s="41">
        <f>SUM(AK335:AK351)+SUMIFS(Aut_Ajustes_Manuais!$G:$G,Aut_Ajustes_Manuais!$I:$I,DRE!AI$4,Aut_Ajustes_Manuais!$F:$F,"(-) CAPEX (Investimentos)")</f>
        <v>-9159.119999999999</v>
      </c>
      <c r="AL334" s="240"/>
      <c r="AM334" s="40">
        <f>SUM(AM335:AM351)</f>
        <v>0</v>
      </c>
      <c r="AN334" s="41">
        <f>SUM(AN335:AN351)+SUMIFS(Aut_Ajustes_Manuais!$G:$G,Aut_Ajustes_Manuais!$I:$I,DRE!AL$4,Aut_Ajustes_Manuais!$F:$F,"(-) CAPEX (Investimentos)")</f>
        <v>-9159.119999999999</v>
      </c>
      <c r="AO334" s="240"/>
      <c r="AP334" s="40">
        <f>SUM(AP335:AP351)</f>
        <v>0</v>
      </c>
      <c r="AQ334" s="41">
        <f>SUM(AQ335:AQ351)+SUMIFS(Aut_Ajustes_Manuais!$G:$G,Aut_Ajustes_Manuais!$I:$I,DRE!AO$4,Aut_Ajustes_Manuais!$F:$F,"(-) CAPEX (Investimentos)")</f>
        <v>-9116.4599999999991</v>
      </c>
      <c r="AR334" s="240">
        <f t="shared" ref="AR334:BI334" ca="1" si="297">SUM(AR335:AR351)</f>
        <v>0</v>
      </c>
      <c r="AS334" s="40">
        <f t="shared" ca="1" si="297"/>
        <v>0</v>
      </c>
      <c r="AT334" s="41">
        <f t="shared" ca="1" si="297"/>
        <v>-4830251.9999999991</v>
      </c>
      <c r="AU334" s="240">
        <f t="shared" si="297"/>
        <v>0</v>
      </c>
      <c r="AV334" s="40">
        <f t="shared" si="297"/>
        <v>0</v>
      </c>
      <c r="AW334" s="41">
        <f t="shared" si="297"/>
        <v>-4866845.8199999994</v>
      </c>
      <c r="AX334" s="240">
        <f t="shared" si="297"/>
        <v>0</v>
      </c>
      <c r="AY334" s="40">
        <f t="shared" si="297"/>
        <v>0</v>
      </c>
      <c r="AZ334" s="41">
        <f t="shared" si="297"/>
        <v>-1695616.0999999999</v>
      </c>
      <c r="BA334" s="240">
        <f t="shared" si="297"/>
        <v>0</v>
      </c>
      <c r="BB334" s="40">
        <f t="shared" si="297"/>
        <v>0</v>
      </c>
      <c r="BC334" s="41">
        <f t="shared" si="297"/>
        <v>-2864355.3799999994</v>
      </c>
      <c r="BD334" s="240">
        <f t="shared" si="297"/>
        <v>0</v>
      </c>
      <c r="BE334" s="40">
        <f t="shared" si="297"/>
        <v>0</v>
      </c>
      <c r="BF334" s="41">
        <f t="shared" si="297"/>
        <v>-279439.64</v>
      </c>
      <c r="BG334" s="240">
        <f t="shared" si="297"/>
        <v>0</v>
      </c>
      <c r="BH334" s="40">
        <f t="shared" si="297"/>
        <v>0</v>
      </c>
      <c r="BI334" s="41">
        <f t="shared" si="297"/>
        <v>-27434.7</v>
      </c>
    </row>
    <row r="335" spans="1:62" s="28" customFormat="1" hidden="1" outlineLevel="1" x14ac:dyDescent="0.3">
      <c r="A335" s="21" t="s">
        <v>348</v>
      </c>
      <c r="B335" s="57"/>
      <c r="C335" s="23" t="s">
        <v>60</v>
      </c>
      <c r="D335" s="24"/>
      <c r="E335" s="24"/>
      <c r="F335" s="61"/>
      <c r="G335" s="32"/>
      <c r="H335" s="237"/>
      <c r="I335" s="79"/>
      <c r="J335" s="80">
        <f>SUMIFS(Aut_BlueMe_Sem_Pedido!$J:$J,Aut_BlueMe_Sem_Pedido!$Q:$Q,DRE!H$4,Aut_BlueMe_Sem_Pedido!$H:$H,DRE!$A335)+SUMIFS(Aut_Ajustes_Manuais!$G:$G,Aut_Ajustes_Manuais!$I:$I,DRE!H$4,Aut_Ajustes_Manuais!$F:$F,"Investimento - Construção - Obra ")</f>
        <v>-6755.65</v>
      </c>
      <c r="K335" s="250"/>
      <c r="L335" s="79"/>
      <c r="M335" s="80">
        <f>SUMIFS(Aut_BlueMe_Sem_Pedido!$J:$J,Aut_BlueMe_Sem_Pedido!$Q:$Q,DRE!K$4,Aut_BlueMe_Sem_Pedido!$H:$H,DRE!$A335)+SUMIFS(Aut_Ajustes_Manuais!$G:$G,Aut_Ajustes_Manuais!$I:$I,DRE!K$4,Aut_Ajustes_Manuais!$F:$F,"Investimento - Construção - Obra ")</f>
        <v>-40006.36</v>
      </c>
      <c r="N335" s="250"/>
      <c r="O335" s="79"/>
      <c r="P335" s="80">
        <f>SUMIFS(Aut_BlueMe_Sem_Pedido!$J:$J,Aut_BlueMe_Sem_Pedido!$Q:$Q,DRE!N$4,Aut_BlueMe_Sem_Pedido!$H:$H,DRE!$A335)+SUMIFS(Aut_Ajustes_Manuais!$G:$G,Aut_Ajustes_Manuais!$I:$I,DRE!N$4,Aut_Ajustes_Manuais!$F:$F,"Investimento - Construção - Obra ")</f>
        <v>-481976.87</v>
      </c>
      <c r="Q335" s="237"/>
      <c r="R335" s="79"/>
      <c r="S335" s="80">
        <f>SUMIFS(Aut_BlueMe_Sem_Pedido!$J:$J,Aut_BlueMe_Sem_Pedido!$Q:$Q,DRE!Q$4,Aut_BlueMe_Sem_Pedido!$H:$H,DRE!$A335)+SUMIFS(Aut_Ajustes_Manuais!$G:$G,Aut_Ajustes_Manuais!$I:$I,DRE!Q$4,Aut_Ajustes_Manuais!$F:$F,"Investimento - Construção - Obra ")</f>
        <v>-357306.26999999996</v>
      </c>
      <c r="T335" s="237"/>
      <c r="U335" s="79"/>
      <c r="V335" s="80">
        <f>SUMIFS(Aut_BlueMe_Sem_Pedido!$J:$J,Aut_BlueMe_Sem_Pedido!$Q:$Q,DRE!T$4,Aut_BlueMe_Sem_Pedido!$H:$H,DRE!$A335)+SUMIFS(Aut_Ajustes_Manuais!$G:$G,Aut_Ajustes_Manuais!$I:$I,DRE!T$4,Aut_Ajustes_Manuais!$F:$F,"Investimento - Construção - Obra ")</f>
        <v>-186422.69999999998</v>
      </c>
      <c r="W335" s="237"/>
      <c r="X335" s="79"/>
      <c r="Y335" s="80">
        <f>SUMIFS(Aut_BlueMe_Sem_Pedido!$J:$J,Aut_BlueMe_Sem_Pedido!$Q:$Q,DRE!W$4,Aut_BlueMe_Sem_Pedido!$H:$H,DRE!$A335)+SUMIFS(Aut_Ajustes_Manuais!$G:$G,Aut_Ajustes_Manuais!$I:$I,DRE!W$4,Aut_Ajustes_Manuais!$F:$F,"Investimento - Construção - Obra ")</f>
        <v>-694042.84</v>
      </c>
      <c r="Z335" s="237"/>
      <c r="AA335" s="79"/>
      <c r="AB335" s="80">
        <f>SUMIFS(Aut_BlueMe_Sem_Pedido!$J:$J,Aut_BlueMe_Sem_Pedido!$Q:$Q,DRE!Z$4,Aut_BlueMe_Sem_Pedido!$H:$H,DRE!$A335)+SUMIFS(Aut_Ajustes_Manuais!$G:$G,Aut_Ajustes_Manuais!$I:$I,DRE!Z$4,Aut_Ajustes_Manuais!$F:$F,"Investimento - Construção - Obra ")</f>
        <v>-81488.06</v>
      </c>
      <c r="AC335" s="237"/>
      <c r="AD335" s="79"/>
      <c r="AE335" s="80">
        <f>SUMIFS(Aut_BlueMe_Sem_Pedido!$J:$J,Aut_BlueMe_Sem_Pedido!$Q:$Q,DRE!AC$4,Aut_BlueMe_Sem_Pedido!$H:$H,DRE!$A335)+SUMIFS(Aut_Ajustes_Manuais!$G:$G,Aut_Ajustes_Manuais!$I:$I,DRE!AC$4,Aut_Ajustes_Manuais!$F:$F,"Investimento - Construção - Obra ")</f>
        <v>-94755.199999999997</v>
      </c>
      <c r="AF335" s="237"/>
      <c r="AG335" s="79"/>
      <c r="AH335" s="80">
        <f>SUMIFS(Aut_BlueMe_Sem_Pedido!$J:$J,Aut_BlueMe_Sem_Pedido!$Q:$Q,DRE!AF$4,Aut_BlueMe_Sem_Pedido!$H:$H,DRE!$A335)+SUMIFS(Aut_Ajustes_Manuais!$G:$G,Aut_Ajustes_Manuais!$I:$I,DRE!AF$4,Aut_Ajustes_Manuais!$F:$F,"Investimento - Construção - Obra ")</f>
        <v>-5000</v>
      </c>
      <c r="AI335" s="237"/>
      <c r="AJ335" s="79"/>
      <c r="AK335" s="80">
        <f>SUMIFS(Aut_BlueMe_Sem_Pedido!$J:$J,Aut_BlueMe_Sem_Pedido!$Q:$Q,DRE!AI$4,Aut_BlueMe_Sem_Pedido!$H:$H,DRE!$A335)+SUMIFS(Aut_Ajustes_Manuais!$G:$G,Aut_Ajustes_Manuais!$I:$I,DRE!AI$4,Aut_Ajustes_Manuais!$F:$F,"Investimento - Construção - Obra ")</f>
        <v>-5000</v>
      </c>
      <c r="AL335" s="237"/>
      <c r="AM335" s="79"/>
      <c r="AN335" s="80">
        <f>SUMIFS(Aut_BlueMe_Sem_Pedido!$J:$J,Aut_BlueMe_Sem_Pedido!$Q:$Q,DRE!AL$4,Aut_BlueMe_Sem_Pedido!$H:$H,DRE!$A335)+SUMIFS(Aut_Ajustes_Manuais!$G:$G,Aut_Ajustes_Manuais!$I:$I,DRE!AL$4,Aut_Ajustes_Manuais!$F:$F,"Investimento - Construção - Obra ")</f>
        <v>-5000</v>
      </c>
      <c r="AO335" s="237"/>
      <c r="AP335" s="79"/>
      <c r="AQ335" s="80">
        <f>SUMIFS(Aut_BlueMe_Sem_Pedido!$J:$J,Aut_BlueMe_Sem_Pedido!$Q:$Q,DRE!AO$4,Aut_BlueMe_Sem_Pedido!$H:$H,DRE!$A335)+SUMIFS(Aut_Ajustes_Manuais!$G:$G,Aut_Ajustes_Manuais!$I:$I,DRE!AO$4,Aut_Ajustes_Manuais!$F:$F,"Investimento - Construção - Obra ")</f>
        <v>-5000</v>
      </c>
      <c r="AR335" s="237">
        <f t="shared" ref="AR335:AR351" ca="1" si="298">SUMIFS($H335:$AO335,$H$5:$AO$5,"&lt;"&amp;MONTH(TODAY()),$H$6:$AO$6,"REAL 25")</f>
        <v>0</v>
      </c>
      <c r="AS335" s="79">
        <f t="shared" ref="AS335:AS351" ca="1" si="299">SUMIFS($I335:$AP335,$I$5:$AP$5,"&lt;"&amp;MONTH(TODAY()),$I$6:$AP$6,"ORÇADO ")</f>
        <v>0</v>
      </c>
      <c r="AT335" s="80">
        <f t="shared" ref="AT335:AT351" ca="1" si="300">SUMIFS($J335:$AQ335,$J$5:$AQ$5,"&lt;"&amp;MONTH(TODAY()),$J$6:$AQ$6,"REAL 26")</f>
        <v>-1942753.95</v>
      </c>
      <c r="AU335" s="237">
        <f t="shared" ref="AU335:AU351" si="301">SUM(H335,K335,N335,Q335,T335,W335,Z335,AC335,AF335,AI335,AL335,AO335)</f>
        <v>0</v>
      </c>
      <c r="AV335" s="79">
        <f t="shared" ref="AV335:AV351" si="302">SUM(I335,L335,O335,R335,U335,X335,AA335,AD335,AG335,AJ335,AM335,AP335)</f>
        <v>0</v>
      </c>
      <c r="AW335" s="80">
        <f t="shared" ref="AW335:AW351" si="303">SUM(J335,M335,P335,S335,V335,Y335,AB335,AE335,AH335,AK335,AN335,AQ335)</f>
        <v>-1962753.95</v>
      </c>
      <c r="AX335" s="237">
        <f t="shared" ref="AX335:AX351" si="304">SUM(H335,K335,N335)</f>
        <v>0</v>
      </c>
      <c r="AY335" s="79">
        <f t="shared" ref="AY335:AY351" si="305">SUM(I335,L335,O335)</f>
        <v>0</v>
      </c>
      <c r="AZ335" s="80">
        <f t="shared" ref="AZ335:AZ351" si="306">SUM(J335,M335,P335)</f>
        <v>-528738.88</v>
      </c>
      <c r="BA335" s="237">
        <f t="shared" ref="BA335:BA351" si="307">SUM(Q335,T335,W335)</f>
        <v>0</v>
      </c>
      <c r="BB335" s="79">
        <f t="shared" ref="BB335:BB351" si="308">SUM(R335,U335,X335)</f>
        <v>0</v>
      </c>
      <c r="BC335" s="80">
        <f t="shared" ref="BC335:BC351" si="309">SUM(S335,V335,Y335)</f>
        <v>-1237771.81</v>
      </c>
      <c r="BD335" s="237">
        <f t="shared" ref="BD335:BD351" si="310">SUM(Z335,AC335,AF335)</f>
        <v>0</v>
      </c>
      <c r="BE335" s="79">
        <f t="shared" ref="BE335:BE351" si="311">SUM(AA335,AD335,AG335)</f>
        <v>0</v>
      </c>
      <c r="BF335" s="80">
        <f t="shared" ref="BF335:BF351" si="312">SUM(AB335,AE335,AH335)</f>
        <v>-181243.26</v>
      </c>
      <c r="BG335" s="237">
        <f t="shared" ref="BG335:BG351" si="313">SUM(AI335,AL335,AO335)</f>
        <v>0</v>
      </c>
      <c r="BH335" s="79">
        <f t="shared" ref="BH335:BH351" si="314">SUM(AJ335,AM335,AP335)</f>
        <v>0</v>
      </c>
      <c r="BI335" s="80">
        <f t="shared" ref="BI335:BI351" si="315">SUM(AK335,AN335,AQ335)</f>
        <v>-15000</v>
      </c>
      <c r="BJ335" s="454"/>
    </row>
    <row r="336" spans="1:62" s="28" customFormat="1" hidden="1" outlineLevel="1" x14ac:dyDescent="0.3">
      <c r="A336" s="21" t="s">
        <v>349</v>
      </c>
      <c r="B336" s="57"/>
      <c r="C336" s="23" t="s">
        <v>60</v>
      </c>
      <c r="D336" s="24"/>
      <c r="E336" s="53">
        <v>-5.0000000000000001E-3</v>
      </c>
      <c r="F336" s="61"/>
      <c r="G336" s="32"/>
      <c r="H336" s="237"/>
      <c r="I336" s="79"/>
      <c r="J336" s="80">
        <f>SUMIFS(Aut_BlueMe_Sem_Pedido!$J:$J,Aut_BlueMe_Sem_Pedido!$Q:$Q,DRE!H$4,Aut_BlueMe_Sem_Pedido!$H:$H,DRE!$A336)+SUMIFS(Aut_Ajustes_Manuais!$G:$G,Aut_Ajustes_Manuais!$I:$I,DRE!H$4,Aut_Ajustes_Manuais!$F:$F,"Investimento - Equipamentos")</f>
        <v>-125580</v>
      </c>
      <c r="K336" s="250"/>
      <c r="L336" s="79"/>
      <c r="M336" s="80">
        <f>SUMIFS(Aut_BlueMe_Sem_Pedido!$J:$J,Aut_BlueMe_Sem_Pedido!$Q:$Q,DRE!K$4,Aut_BlueMe_Sem_Pedido!$H:$H,DRE!$A336)+SUMIFS(Aut_Ajustes_Manuais!$G:$G,Aut_Ajustes_Manuais!$I:$I,DRE!K$4,Aut_Ajustes_Manuais!$F:$F,"Investimento - Equipamentos")</f>
        <v>-85985</v>
      </c>
      <c r="N336" s="250"/>
      <c r="O336" s="79"/>
      <c r="P336" s="80">
        <f>SUMIFS(Aut_BlueMe_Sem_Pedido!$J:$J,Aut_BlueMe_Sem_Pedido!$Q:$Q,DRE!N$4,Aut_BlueMe_Sem_Pedido!$H:$H,DRE!$A336)+SUMIFS(Aut_Ajustes_Manuais!$G:$G,Aut_Ajustes_Manuais!$I:$I,DRE!N$4,Aut_Ajustes_Manuais!$F:$F,"Investimento - Equipamentos")</f>
        <v>-119800.82</v>
      </c>
      <c r="Q336" s="237"/>
      <c r="R336" s="79"/>
      <c r="S336" s="80">
        <f>SUMIFS(Aut_BlueMe_Sem_Pedido!$J:$J,Aut_BlueMe_Sem_Pedido!$Q:$Q,DRE!Q$4,Aut_BlueMe_Sem_Pedido!$H:$H,DRE!$A336)+SUMIFS(Aut_Ajustes_Manuais!$G:$G,Aut_Ajustes_Manuais!$I:$I,DRE!Q$4,Aut_Ajustes_Manuais!$F:$F,"Investimento - Equipamentos")</f>
        <v>-430720</v>
      </c>
      <c r="T336" s="237"/>
      <c r="U336" s="79"/>
      <c r="V336" s="80">
        <f>SUMIFS(Aut_BlueMe_Sem_Pedido!$J:$J,Aut_BlueMe_Sem_Pedido!$Q:$Q,DRE!T$4,Aut_BlueMe_Sem_Pedido!$H:$H,DRE!$A336)+SUMIFS(Aut_Ajustes_Manuais!$G:$G,Aut_Ajustes_Manuais!$I:$I,DRE!T$4,Aut_Ajustes_Manuais!$F:$F,"Investimento - Equipamentos")</f>
        <v>-178747.72</v>
      </c>
      <c r="W336" s="237"/>
      <c r="X336" s="79"/>
      <c r="Y336" s="80">
        <f>SUMIFS(Aut_BlueMe_Sem_Pedido!$J:$J,Aut_BlueMe_Sem_Pedido!$Q:$Q,DRE!W$4,Aut_BlueMe_Sem_Pedido!$H:$H,DRE!$A336)+SUMIFS(Aut_Ajustes_Manuais!$G:$G,Aut_Ajustes_Manuais!$I:$I,DRE!W$4,Aut_Ajustes_Manuais!$F:$F,"Investimento - Equipamentos")</f>
        <v>-71972.639999999999</v>
      </c>
      <c r="Z336" s="237"/>
      <c r="AA336" s="79"/>
      <c r="AB336" s="80">
        <f>SUMIFS(Aut_BlueMe_Sem_Pedido!$J:$J,Aut_BlueMe_Sem_Pedido!$Q:$Q,DRE!Z$4,Aut_BlueMe_Sem_Pedido!$H:$H,DRE!$A336)+SUMIFS(Aut_Ajustes_Manuais!$G:$G,Aut_Ajustes_Manuais!$I:$I,DRE!Z$4,Aut_Ajustes_Manuais!$F:$F,"Investimento - Equipamentos")</f>
        <v>-39351.520000000004</v>
      </c>
      <c r="AC336" s="237"/>
      <c r="AD336" s="79"/>
      <c r="AE336" s="80">
        <f>SUMIFS(Aut_BlueMe_Sem_Pedido!$J:$J,Aut_BlueMe_Sem_Pedido!$Q:$Q,DRE!AC$4,Aut_BlueMe_Sem_Pedido!$H:$H,DRE!$A336)+SUMIFS(Aut_Ajustes_Manuais!$G:$G,Aut_Ajustes_Manuais!$I:$I,DRE!AC$4,Aut_Ajustes_Manuais!$F:$F,"Investimento - Equipamentos")</f>
        <v>0</v>
      </c>
      <c r="AF336" s="237"/>
      <c r="AG336" s="79"/>
      <c r="AH336" s="80">
        <f>SUMIFS(Aut_BlueMe_Sem_Pedido!$J:$J,Aut_BlueMe_Sem_Pedido!$Q:$Q,DRE!AF$4,Aut_BlueMe_Sem_Pedido!$H:$H,DRE!$A336)+SUMIFS(Aut_Ajustes_Manuais!$G:$G,Aut_Ajustes_Manuais!$I:$I,DRE!AF$4,Aut_Ajustes_Manuais!$F:$F,"Investimento - Equipamentos")</f>
        <v>0</v>
      </c>
      <c r="AI336" s="237"/>
      <c r="AJ336" s="79"/>
      <c r="AK336" s="80">
        <f>SUMIFS(Aut_BlueMe_Sem_Pedido!$J:$J,Aut_BlueMe_Sem_Pedido!$Q:$Q,DRE!AI$4,Aut_BlueMe_Sem_Pedido!$H:$H,DRE!$A336)+SUMIFS(Aut_Ajustes_Manuais!$G:$G,Aut_Ajustes_Manuais!$I:$I,DRE!AI$4,Aut_Ajustes_Manuais!$F:$F,"Investimento - Equipamentos")</f>
        <v>0</v>
      </c>
      <c r="AL336" s="237"/>
      <c r="AM336" s="79"/>
      <c r="AN336" s="80">
        <f>SUMIFS(Aut_BlueMe_Sem_Pedido!$J:$J,Aut_BlueMe_Sem_Pedido!$Q:$Q,DRE!AL$4,Aut_BlueMe_Sem_Pedido!$H:$H,DRE!$A336)+SUMIFS(Aut_Ajustes_Manuais!$G:$G,Aut_Ajustes_Manuais!$I:$I,DRE!AL$4,Aut_Ajustes_Manuais!$F:$F,"Investimento - Equipamentos")</f>
        <v>0</v>
      </c>
      <c r="AO336" s="237"/>
      <c r="AP336" s="79"/>
      <c r="AQ336" s="80">
        <f>SUMIFS(Aut_BlueMe_Sem_Pedido!$J:$J,Aut_BlueMe_Sem_Pedido!$Q:$Q,DRE!AO$4,Aut_BlueMe_Sem_Pedido!$H:$H,DRE!$A336)+SUMIFS(Aut_Ajustes_Manuais!$G:$G,Aut_Ajustes_Manuais!$I:$I,DRE!AO$4,Aut_Ajustes_Manuais!$F:$F,"Investimento - Equipamentos")</f>
        <v>0</v>
      </c>
      <c r="AR336" s="237">
        <f t="shared" ca="1" si="298"/>
        <v>0</v>
      </c>
      <c r="AS336" s="79">
        <f t="shared" ca="1" si="299"/>
        <v>0</v>
      </c>
      <c r="AT336" s="80">
        <f t="shared" ca="1" si="300"/>
        <v>-1052157.7</v>
      </c>
      <c r="AU336" s="237">
        <f t="shared" si="301"/>
        <v>0</v>
      </c>
      <c r="AV336" s="79">
        <f t="shared" si="302"/>
        <v>0</v>
      </c>
      <c r="AW336" s="80">
        <f t="shared" si="303"/>
        <v>-1052157.7</v>
      </c>
      <c r="AX336" s="237">
        <f t="shared" si="304"/>
        <v>0</v>
      </c>
      <c r="AY336" s="79">
        <f t="shared" si="305"/>
        <v>0</v>
      </c>
      <c r="AZ336" s="80">
        <f t="shared" si="306"/>
        <v>-331365.82</v>
      </c>
      <c r="BA336" s="237">
        <f t="shared" si="307"/>
        <v>0</v>
      </c>
      <c r="BB336" s="79">
        <f t="shared" si="308"/>
        <v>0</v>
      </c>
      <c r="BC336" s="80">
        <f t="shared" si="309"/>
        <v>-681440.36</v>
      </c>
      <c r="BD336" s="237">
        <f t="shared" si="310"/>
        <v>0</v>
      </c>
      <c r="BE336" s="79">
        <f t="shared" si="311"/>
        <v>0</v>
      </c>
      <c r="BF336" s="80">
        <f t="shared" si="312"/>
        <v>-39351.520000000004</v>
      </c>
      <c r="BG336" s="237">
        <f t="shared" si="313"/>
        <v>0</v>
      </c>
      <c r="BH336" s="79">
        <f t="shared" si="314"/>
        <v>0</v>
      </c>
      <c r="BI336" s="80">
        <f t="shared" si="315"/>
        <v>0</v>
      </c>
      <c r="BJ336" s="454"/>
    </row>
    <row r="337" spans="1:62" s="28" customFormat="1" hidden="1" outlineLevel="1" x14ac:dyDescent="0.3">
      <c r="A337" s="21" t="s">
        <v>350</v>
      </c>
      <c r="B337" s="57"/>
      <c r="C337" s="23" t="s">
        <v>60</v>
      </c>
      <c r="D337" s="24"/>
      <c r="E337" s="24"/>
      <c r="F337" s="61"/>
      <c r="G337" s="32"/>
      <c r="H337" s="237"/>
      <c r="I337" s="79"/>
      <c r="J337" s="80">
        <f>SUMIFS(Aut_BlueMe_Sem_Pedido!$J:$J,Aut_BlueMe_Sem_Pedido!$Q:$Q,DRE!H$4,Aut_BlueMe_Sem_Pedido!$H:$H,DRE!$A337)+SUMIFS(Aut_Ajustes_Manuais!$G:$G,Aut_Ajustes_Manuais!$I:$I,DRE!H$4,Aut_Ajustes_Manuais!$F:$F,"Investimento - Utensílios")</f>
        <v>0</v>
      </c>
      <c r="K337" s="250"/>
      <c r="L337" s="79"/>
      <c r="M337" s="80">
        <f>SUMIFS(Aut_BlueMe_Sem_Pedido!$J:$J,Aut_BlueMe_Sem_Pedido!$Q:$Q,DRE!K$4,Aut_BlueMe_Sem_Pedido!$H:$H,DRE!$A337)+SUMIFS(Aut_Ajustes_Manuais!$G:$G,Aut_Ajustes_Manuais!$I:$I,DRE!K$4,Aut_Ajustes_Manuais!$F:$F,"Investimento - Utensílios")</f>
        <v>0</v>
      </c>
      <c r="N337" s="250"/>
      <c r="O337" s="79"/>
      <c r="P337" s="80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37"/>
      <c r="R337" s="79"/>
      <c r="S337" s="80">
        <f>SUMIFS(Aut_BlueMe_Sem_Pedido!$J:$J,Aut_BlueMe_Sem_Pedido!$Q:$Q,DRE!Q$4,Aut_BlueMe_Sem_Pedido!$H:$H,DRE!$A337)+SUMIFS(Aut_Ajustes_Manuais!$G:$G,Aut_Ajustes_Manuais!$I:$I,DRE!Q$4,Aut_Ajustes_Manuais!$F:$F,"Investimento - Utensílios")</f>
        <v>0</v>
      </c>
      <c r="T337" s="237"/>
      <c r="U337" s="79"/>
      <c r="V337" s="80">
        <f>SUMIFS(Aut_BlueMe_Sem_Pedido!$J:$J,Aut_BlueMe_Sem_Pedido!$Q:$Q,DRE!T$4,Aut_BlueMe_Sem_Pedido!$H:$H,DRE!$A337)+SUMIFS(Aut_Ajustes_Manuais!$G:$G,Aut_Ajustes_Manuais!$I:$I,DRE!T$4,Aut_Ajustes_Manuais!$F:$F,"Investimento - Utensílios")</f>
        <v>-141429.85999999999</v>
      </c>
      <c r="W337" s="237"/>
      <c r="X337" s="79"/>
      <c r="Y337" s="80">
        <f>SUMIFS(Aut_BlueMe_Sem_Pedido!$J:$J,Aut_BlueMe_Sem_Pedido!$Q:$Q,DRE!W$4,Aut_BlueMe_Sem_Pedido!$H:$H,DRE!$A337)+SUMIFS(Aut_Ajustes_Manuais!$G:$G,Aut_Ajustes_Manuais!$I:$I,DRE!W$4,Aut_Ajustes_Manuais!$F:$F,"Investimento - Utensílios")</f>
        <v>-51709.73</v>
      </c>
      <c r="Z337" s="237"/>
      <c r="AA337" s="79"/>
      <c r="AB337" s="80">
        <f>SUMIFS(Aut_BlueMe_Sem_Pedido!$J:$J,Aut_BlueMe_Sem_Pedido!$Q:$Q,DRE!Z$4,Aut_BlueMe_Sem_Pedido!$H:$H,DRE!$A337)+SUMIFS(Aut_Ajustes_Manuais!$G:$G,Aut_Ajustes_Manuais!$I:$I,DRE!Z$4,Aut_Ajustes_Manuais!$F:$F,"Investimento - Utensílios")</f>
        <v>0</v>
      </c>
      <c r="AC337" s="237"/>
      <c r="AD337" s="79"/>
      <c r="AE337" s="80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37"/>
      <c r="AG337" s="79"/>
      <c r="AH337" s="80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37"/>
      <c r="AJ337" s="79"/>
      <c r="AK337" s="80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37"/>
      <c r="AM337" s="79"/>
      <c r="AN337" s="80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37"/>
      <c r="AP337" s="79"/>
      <c r="AQ337" s="80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37">
        <f t="shared" ca="1" si="298"/>
        <v>0</v>
      </c>
      <c r="AS337" s="79">
        <f t="shared" ca="1" si="299"/>
        <v>0</v>
      </c>
      <c r="AT337" s="80">
        <f t="shared" ca="1" si="300"/>
        <v>-193139.59</v>
      </c>
      <c r="AU337" s="237">
        <f t="shared" si="301"/>
        <v>0</v>
      </c>
      <c r="AV337" s="79">
        <f t="shared" si="302"/>
        <v>0</v>
      </c>
      <c r="AW337" s="80">
        <f t="shared" si="303"/>
        <v>-193139.59</v>
      </c>
      <c r="AX337" s="237">
        <f t="shared" si="304"/>
        <v>0</v>
      </c>
      <c r="AY337" s="79">
        <f t="shared" si="305"/>
        <v>0</v>
      </c>
      <c r="AZ337" s="80">
        <f t="shared" si="306"/>
        <v>0</v>
      </c>
      <c r="BA337" s="237">
        <f t="shared" si="307"/>
        <v>0</v>
      </c>
      <c r="BB337" s="79">
        <f t="shared" si="308"/>
        <v>0</v>
      </c>
      <c r="BC337" s="80">
        <f t="shared" si="309"/>
        <v>-193139.59</v>
      </c>
      <c r="BD337" s="237">
        <f t="shared" si="310"/>
        <v>0</v>
      </c>
      <c r="BE337" s="79">
        <f t="shared" si="311"/>
        <v>0</v>
      </c>
      <c r="BF337" s="80">
        <f t="shared" si="312"/>
        <v>0</v>
      </c>
      <c r="BG337" s="237">
        <f t="shared" si="313"/>
        <v>0</v>
      </c>
      <c r="BH337" s="79">
        <f t="shared" si="314"/>
        <v>0</v>
      </c>
      <c r="BI337" s="80">
        <f t="shared" si="315"/>
        <v>0</v>
      </c>
      <c r="BJ337" s="454"/>
    </row>
    <row r="338" spans="1:62" s="28" customFormat="1" hidden="1" outlineLevel="1" x14ac:dyDescent="0.3">
      <c r="A338" s="21" t="s">
        <v>351</v>
      </c>
      <c r="B338" s="57"/>
      <c r="C338" s="23" t="s">
        <v>60</v>
      </c>
      <c r="D338" s="24"/>
      <c r="E338" s="53">
        <v>-5.0000000000000001E-3</v>
      </c>
      <c r="F338" s="61"/>
      <c r="G338" s="32"/>
      <c r="H338" s="237"/>
      <c r="I338" s="79"/>
      <c r="J338" s="80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50"/>
      <c r="L338" s="79"/>
      <c r="M338" s="80">
        <f>SUMIFS(Aut_BlueMe_Sem_Pedido!$J:$J,Aut_BlueMe_Sem_Pedido!$Q:$Q,DRE!K$4,Aut_BlueMe_Sem_Pedido!$H:$H,DRE!$A338)+SUMIFS(Aut_Ajustes_Manuais!$G:$G,Aut_Ajustes_Manuais!$I:$I,DRE!K$4,Aut_Ajustes_Manuais!$F:$F,"Investimento - Mobiliário e Decoração")</f>
        <v>-357500</v>
      </c>
      <c r="N338" s="250"/>
      <c r="O338" s="79"/>
      <c r="P338" s="80">
        <f>SUMIFS(Aut_BlueMe_Sem_Pedido!$J:$J,Aut_BlueMe_Sem_Pedido!$Q:$Q,DRE!N$4,Aut_BlueMe_Sem_Pedido!$H:$H,DRE!$A338)+SUMIFS(Aut_Ajustes_Manuais!$G:$G,Aut_Ajustes_Manuais!$I:$I,DRE!N$4,Aut_Ajustes_Manuais!$F:$F,"Investimento - Mobiliário e Decoração")</f>
        <v>-408335</v>
      </c>
      <c r="Q338" s="237"/>
      <c r="R338" s="79"/>
      <c r="S338" s="80">
        <f>SUMIFS(Aut_BlueMe_Sem_Pedido!$J:$J,Aut_BlueMe_Sem_Pedido!$Q:$Q,DRE!Q$4,Aut_BlueMe_Sem_Pedido!$H:$H,DRE!$A338)+SUMIFS(Aut_Ajustes_Manuais!$G:$G,Aut_Ajustes_Manuais!$I:$I,DRE!Q$4,Aut_Ajustes_Manuais!$F:$F,"Investimento - Mobiliário e Decoração")</f>
        <v>-385715.26</v>
      </c>
      <c r="T338" s="237"/>
      <c r="U338" s="79"/>
      <c r="V338" s="80">
        <f>SUMIFS(Aut_BlueMe_Sem_Pedido!$J:$J,Aut_BlueMe_Sem_Pedido!$Q:$Q,DRE!T$4,Aut_BlueMe_Sem_Pedido!$H:$H,DRE!$A338)+SUMIFS(Aut_Ajustes_Manuais!$G:$G,Aut_Ajustes_Manuais!$I:$I,DRE!T$4,Aut_Ajustes_Manuais!$F:$F,"Investimento - Mobiliário e Decoração")</f>
        <v>-48138</v>
      </c>
      <c r="W338" s="237"/>
      <c r="X338" s="79"/>
      <c r="Y338" s="80">
        <f>SUMIFS(Aut_BlueMe_Sem_Pedido!$J:$J,Aut_BlueMe_Sem_Pedido!$Q:$Q,DRE!W$4,Aut_BlueMe_Sem_Pedido!$H:$H,DRE!$A338)+SUMIFS(Aut_Ajustes_Manuais!$G:$G,Aut_Ajustes_Manuais!$I:$I,DRE!W$4,Aut_Ajustes_Manuais!$F:$F,"Investimento - Mobiliário e Decoração")</f>
        <v>-133787</v>
      </c>
      <c r="Z338" s="237"/>
      <c r="AA338" s="79"/>
      <c r="AB338" s="80">
        <f>SUMIFS(Aut_BlueMe_Sem_Pedido!$J:$J,Aut_BlueMe_Sem_Pedido!$Q:$Q,DRE!Z$4,Aut_BlueMe_Sem_Pedido!$H:$H,DRE!$A338)+SUMIFS(Aut_Ajustes_Manuais!$G:$G,Aut_Ajustes_Manuais!$I:$I,DRE!Z$4,Aut_Ajustes_Manuais!$F:$F,"Investimento - Mobiliário e Decoração")</f>
        <v>-17228.849999999999</v>
      </c>
      <c r="AC338" s="237"/>
      <c r="AD338" s="79"/>
      <c r="AE338" s="80">
        <f>SUMIFS(Aut_BlueMe_Sem_Pedido!$J:$J,Aut_BlueMe_Sem_Pedido!$Q:$Q,DRE!AC$4,Aut_BlueMe_Sem_Pedido!$H:$H,DRE!$A338)+SUMIFS(Aut_Ajustes_Manuais!$G:$G,Aut_Ajustes_Manuais!$I:$I,DRE!AC$4,Aut_Ajustes_Manuais!$F:$F,"Investimento - Mobiliário e Decoração")</f>
        <v>0</v>
      </c>
      <c r="AF338" s="237"/>
      <c r="AG338" s="79"/>
      <c r="AH338" s="80">
        <f>SUMIFS(Aut_BlueMe_Sem_Pedido!$J:$J,Aut_BlueMe_Sem_Pedido!$Q:$Q,DRE!AF$4,Aut_BlueMe_Sem_Pedido!$H:$H,DRE!$A338)+SUMIFS(Aut_Ajustes_Manuais!$G:$G,Aut_Ajustes_Manuais!$I:$I,DRE!AF$4,Aut_Ajustes_Manuais!$F:$F,"Investimento - Mobiliário e Decoração")</f>
        <v>0</v>
      </c>
      <c r="AI338" s="237"/>
      <c r="AJ338" s="79"/>
      <c r="AK338" s="80">
        <f>SUMIFS(Aut_BlueMe_Sem_Pedido!$J:$J,Aut_BlueMe_Sem_Pedido!$Q:$Q,DRE!AI$4,Aut_BlueMe_Sem_Pedido!$H:$H,DRE!$A338)+SUMIFS(Aut_Ajustes_Manuais!$G:$G,Aut_Ajustes_Manuais!$I:$I,DRE!AI$4,Aut_Ajustes_Manuais!$F:$F,"Investimento - Mobiliário e Decoração")</f>
        <v>0</v>
      </c>
      <c r="AL338" s="237"/>
      <c r="AM338" s="79"/>
      <c r="AN338" s="80">
        <f>SUMIFS(Aut_BlueMe_Sem_Pedido!$J:$J,Aut_BlueMe_Sem_Pedido!$Q:$Q,DRE!AL$4,Aut_BlueMe_Sem_Pedido!$H:$H,DRE!$A338)+SUMIFS(Aut_Ajustes_Manuais!$G:$G,Aut_Ajustes_Manuais!$I:$I,DRE!AL$4,Aut_Ajustes_Manuais!$F:$F,"Investimento - Mobiliário e Decoração")</f>
        <v>0</v>
      </c>
      <c r="AO338" s="237"/>
      <c r="AP338" s="79"/>
      <c r="AQ338" s="80">
        <f>SUMIFS(Aut_BlueMe_Sem_Pedido!$J:$J,Aut_BlueMe_Sem_Pedido!$Q:$Q,DRE!AO$4,Aut_BlueMe_Sem_Pedido!$H:$H,DRE!$A338)+SUMIFS(Aut_Ajustes_Manuais!$G:$G,Aut_Ajustes_Manuais!$I:$I,DRE!AO$4,Aut_Ajustes_Manuais!$F:$F,"Investimento - Mobiliário e Decoração")</f>
        <v>0</v>
      </c>
      <c r="AR338" s="237">
        <f t="shared" ca="1" si="298"/>
        <v>0</v>
      </c>
      <c r="AS338" s="79">
        <f t="shared" ca="1" si="299"/>
        <v>0</v>
      </c>
      <c r="AT338" s="80">
        <f t="shared" ca="1" si="300"/>
        <v>-1350704.11</v>
      </c>
      <c r="AU338" s="237">
        <f t="shared" si="301"/>
        <v>0</v>
      </c>
      <c r="AV338" s="79">
        <f t="shared" si="302"/>
        <v>0</v>
      </c>
      <c r="AW338" s="80">
        <f t="shared" si="303"/>
        <v>-1350704.11</v>
      </c>
      <c r="AX338" s="237">
        <f t="shared" si="304"/>
        <v>0</v>
      </c>
      <c r="AY338" s="79">
        <f t="shared" si="305"/>
        <v>0</v>
      </c>
      <c r="AZ338" s="80">
        <f t="shared" si="306"/>
        <v>-765835</v>
      </c>
      <c r="BA338" s="237">
        <f t="shared" si="307"/>
        <v>0</v>
      </c>
      <c r="BB338" s="79">
        <f t="shared" si="308"/>
        <v>0</v>
      </c>
      <c r="BC338" s="80">
        <f t="shared" si="309"/>
        <v>-567640.26</v>
      </c>
      <c r="BD338" s="237">
        <f t="shared" si="310"/>
        <v>0</v>
      </c>
      <c r="BE338" s="79">
        <f t="shared" si="311"/>
        <v>0</v>
      </c>
      <c r="BF338" s="80">
        <f t="shared" si="312"/>
        <v>-17228.849999999999</v>
      </c>
      <c r="BG338" s="237">
        <f t="shared" si="313"/>
        <v>0</v>
      </c>
      <c r="BH338" s="79">
        <f t="shared" si="314"/>
        <v>0</v>
      </c>
      <c r="BI338" s="80">
        <f t="shared" si="315"/>
        <v>0</v>
      </c>
      <c r="BJ338" s="454"/>
    </row>
    <row r="339" spans="1:62" s="28" customFormat="1" hidden="1" outlineLevel="1" x14ac:dyDescent="0.3">
      <c r="A339" s="21" t="s">
        <v>352</v>
      </c>
      <c r="B339" s="57"/>
      <c r="C339" s="23" t="s">
        <v>60</v>
      </c>
      <c r="D339" s="24"/>
      <c r="E339" s="53">
        <v>-5.0000000000000001E-3</v>
      </c>
      <c r="F339" s="61"/>
      <c r="G339" s="32"/>
      <c r="H339" s="237"/>
      <c r="I339" s="79"/>
      <c r="J339" s="80">
        <f>SUMIFS(Aut_BlueMe_Sem_Pedido!$J:$J,Aut_BlueMe_Sem_Pedido!$Q:$Q,DRE!H$4,Aut_BlueMe_Sem_Pedido!$H:$H,DRE!$A339)+SUMIFS(Aut_Ajustes_Manuais!$G:$G,Aut_Ajustes_Manuais!$I:$I,DRE!H$4,Aut_Ajustes_Manuais!$F:$F,"Investimento - Projetos")</f>
        <v>-41500</v>
      </c>
      <c r="K339" s="250"/>
      <c r="L339" s="79"/>
      <c r="M339" s="80">
        <f>SUMIFS(Aut_BlueMe_Sem_Pedido!$J:$J,Aut_BlueMe_Sem_Pedido!$Q:$Q,DRE!K$4,Aut_BlueMe_Sem_Pedido!$H:$H,DRE!$A339)+SUMIFS(Aut_Ajustes_Manuais!$G:$G,Aut_Ajustes_Manuais!$I:$I,DRE!K$4,Aut_Ajustes_Manuais!$F:$F,"Investimento - Projetos")</f>
        <v>-1864.4</v>
      </c>
      <c r="N339" s="250"/>
      <c r="O339" s="79"/>
      <c r="P339" s="80">
        <f>SUMIFS(Aut_BlueMe_Sem_Pedido!$J:$J,Aut_BlueMe_Sem_Pedido!$Q:$Q,DRE!N$4,Aut_BlueMe_Sem_Pedido!$H:$H,DRE!$A339)+SUMIFS(Aut_Ajustes_Manuais!$G:$G,Aut_Ajustes_Manuais!$I:$I,DRE!N$4,Aut_Ajustes_Manuais!$F:$F,"Investimento - Projetos")</f>
        <v>-11000</v>
      </c>
      <c r="Q339" s="237"/>
      <c r="R339" s="79"/>
      <c r="S339" s="80">
        <f>SUMIFS(Aut_BlueMe_Sem_Pedido!$J:$J,Aut_BlueMe_Sem_Pedido!$Q:$Q,DRE!Q$4,Aut_BlueMe_Sem_Pedido!$H:$H,DRE!$A339)+SUMIFS(Aut_Ajustes_Manuais!$G:$G,Aut_Ajustes_Manuais!$I:$I,DRE!Q$4,Aut_Ajustes_Manuais!$F:$F,"Investimento - Projetos")</f>
        <v>-10000</v>
      </c>
      <c r="T339" s="237"/>
      <c r="U339" s="79"/>
      <c r="V339" s="80">
        <f>SUMIFS(Aut_BlueMe_Sem_Pedido!$J:$J,Aut_BlueMe_Sem_Pedido!$Q:$Q,DRE!T$4,Aut_BlueMe_Sem_Pedido!$H:$H,DRE!$A339)+SUMIFS(Aut_Ajustes_Manuais!$G:$G,Aut_Ajustes_Manuais!$I:$I,DRE!T$4,Aut_Ajustes_Manuais!$F:$F,"Investimento - Projetos")</f>
        <v>-10000</v>
      </c>
      <c r="W339" s="237"/>
      <c r="X339" s="79"/>
      <c r="Y339" s="80">
        <f>SUMIFS(Aut_BlueMe_Sem_Pedido!$J:$J,Aut_BlueMe_Sem_Pedido!$Q:$Q,DRE!W$4,Aut_BlueMe_Sem_Pedido!$H:$H,DRE!$A339)+SUMIFS(Aut_Ajustes_Manuais!$G:$G,Aut_Ajustes_Manuais!$I:$I,DRE!W$4,Aut_Ajustes_Manuais!$F:$F,"Investimento - Projetos")</f>
        <v>-10000</v>
      </c>
      <c r="Z339" s="237"/>
      <c r="AA339" s="79"/>
      <c r="AB339" s="80">
        <f>SUMIFS(Aut_BlueMe_Sem_Pedido!$J:$J,Aut_BlueMe_Sem_Pedido!$Q:$Q,DRE!Z$4,Aut_BlueMe_Sem_Pedido!$H:$H,DRE!$A339)+SUMIFS(Aut_Ajustes_Manuais!$G:$G,Aut_Ajustes_Manuais!$I:$I,DRE!Z$4,Aut_Ajustes_Manuais!$F:$F,"Investimento - Projetos")</f>
        <v>-4903.84</v>
      </c>
      <c r="AC339" s="237"/>
      <c r="AD339" s="79"/>
      <c r="AE339" s="80">
        <f>SUMIFS(Aut_BlueMe_Sem_Pedido!$J:$J,Aut_BlueMe_Sem_Pedido!$Q:$Q,DRE!AC$4,Aut_BlueMe_Sem_Pedido!$H:$H,DRE!$A339)+SUMIFS(Aut_Ajustes_Manuais!$G:$G,Aut_Ajustes_Manuais!$I:$I,DRE!AC$4,Aut_Ajustes_Manuais!$F:$F,"Investimento - Projetos")</f>
        <v>0</v>
      </c>
      <c r="AF339" s="237"/>
      <c r="AG339" s="79"/>
      <c r="AH339" s="80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37"/>
      <c r="AJ339" s="79"/>
      <c r="AK339" s="80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37"/>
      <c r="AM339" s="79"/>
      <c r="AN339" s="80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37"/>
      <c r="AP339" s="79"/>
      <c r="AQ339" s="80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37">
        <f t="shared" ca="1" si="298"/>
        <v>0</v>
      </c>
      <c r="AS339" s="79">
        <f t="shared" ca="1" si="299"/>
        <v>0</v>
      </c>
      <c r="AT339" s="80">
        <f t="shared" ca="1" si="300"/>
        <v>-89268.239999999991</v>
      </c>
      <c r="AU339" s="237">
        <f t="shared" si="301"/>
        <v>0</v>
      </c>
      <c r="AV339" s="79">
        <f t="shared" si="302"/>
        <v>0</v>
      </c>
      <c r="AW339" s="80">
        <f t="shared" si="303"/>
        <v>-89268.239999999991</v>
      </c>
      <c r="AX339" s="237">
        <f t="shared" si="304"/>
        <v>0</v>
      </c>
      <c r="AY339" s="79">
        <f t="shared" si="305"/>
        <v>0</v>
      </c>
      <c r="AZ339" s="80">
        <f t="shared" si="306"/>
        <v>-54364.4</v>
      </c>
      <c r="BA339" s="237">
        <f t="shared" si="307"/>
        <v>0</v>
      </c>
      <c r="BB339" s="79">
        <f t="shared" si="308"/>
        <v>0</v>
      </c>
      <c r="BC339" s="80">
        <f t="shared" si="309"/>
        <v>-30000</v>
      </c>
      <c r="BD339" s="237">
        <f t="shared" si="310"/>
        <v>0</v>
      </c>
      <c r="BE339" s="79">
        <f t="shared" si="311"/>
        <v>0</v>
      </c>
      <c r="BF339" s="80">
        <f t="shared" si="312"/>
        <v>-4903.84</v>
      </c>
      <c r="BG339" s="237">
        <f t="shared" si="313"/>
        <v>0</v>
      </c>
      <c r="BH339" s="79">
        <f t="shared" si="314"/>
        <v>0</v>
      </c>
      <c r="BI339" s="80">
        <f t="shared" si="315"/>
        <v>0</v>
      </c>
      <c r="BJ339" s="454"/>
    </row>
    <row r="340" spans="1:62" s="28" customFormat="1" hidden="1" outlineLevel="1" x14ac:dyDescent="0.3">
      <c r="A340" s="21" t="s">
        <v>353</v>
      </c>
      <c r="B340" s="57"/>
      <c r="C340" s="23" t="s">
        <v>60</v>
      </c>
      <c r="D340" s="24"/>
      <c r="E340" s="24"/>
      <c r="F340" s="61"/>
      <c r="G340" s="32"/>
      <c r="H340" s="237"/>
      <c r="I340" s="79"/>
      <c r="J340" s="80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50"/>
      <c r="L340" s="79"/>
      <c r="M340" s="80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50"/>
      <c r="O340" s="79"/>
      <c r="P340" s="80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37"/>
      <c r="R340" s="79"/>
      <c r="S340" s="80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37"/>
      <c r="U340" s="79"/>
      <c r="V340" s="80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37"/>
      <c r="X340" s="79"/>
      <c r="Y340" s="80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37"/>
      <c r="AA340" s="79"/>
      <c r="AB340" s="80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37"/>
      <c r="AD340" s="79"/>
      <c r="AE340" s="80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37"/>
      <c r="AG340" s="79"/>
      <c r="AH340" s="80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37"/>
      <c r="AJ340" s="79"/>
      <c r="AK340" s="80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37"/>
      <c r="AM340" s="79"/>
      <c r="AN340" s="80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37"/>
      <c r="AP340" s="79"/>
      <c r="AQ340" s="80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37">
        <f t="shared" ca="1" si="298"/>
        <v>0</v>
      </c>
      <c r="AS340" s="79">
        <f t="shared" ca="1" si="299"/>
        <v>0</v>
      </c>
      <c r="AT340" s="80">
        <f t="shared" ca="1" si="300"/>
        <v>0</v>
      </c>
      <c r="AU340" s="237">
        <f t="shared" si="301"/>
        <v>0</v>
      </c>
      <c r="AV340" s="79">
        <f t="shared" si="302"/>
        <v>0</v>
      </c>
      <c r="AW340" s="80">
        <f t="shared" si="303"/>
        <v>0</v>
      </c>
      <c r="AX340" s="237">
        <f t="shared" si="304"/>
        <v>0</v>
      </c>
      <c r="AY340" s="79">
        <f t="shared" si="305"/>
        <v>0</v>
      </c>
      <c r="AZ340" s="80">
        <f t="shared" si="306"/>
        <v>0</v>
      </c>
      <c r="BA340" s="237">
        <f t="shared" si="307"/>
        <v>0</v>
      </c>
      <c r="BB340" s="79">
        <f t="shared" si="308"/>
        <v>0</v>
      </c>
      <c r="BC340" s="80">
        <f t="shared" si="309"/>
        <v>0</v>
      </c>
      <c r="BD340" s="237">
        <f t="shared" si="310"/>
        <v>0</v>
      </c>
      <c r="BE340" s="79">
        <f t="shared" si="311"/>
        <v>0</v>
      </c>
      <c r="BF340" s="80">
        <f t="shared" si="312"/>
        <v>0</v>
      </c>
      <c r="BG340" s="237">
        <f t="shared" si="313"/>
        <v>0</v>
      </c>
      <c r="BH340" s="79">
        <f t="shared" si="314"/>
        <v>0</v>
      </c>
      <c r="BI340" s="80">
        <f t="shared" si="315"/>
        <v>0</v>
      </c>
      <c r="BJ340" s="454"/>
    </row>
    <row r="341" spans="1:62" s="28" customFormat="1" ht="25.2" hidden="1" customHeight="1" outlineLevel="1" x14ac:dyDescent="0.3">
      <c r="A341" s="21" t="s">
        <v>354</v>
      </c>
      <c r="B341" s="57"/>
      <c r="C341" s="23" t="s">
        <v>60</v>
      </c>
      <c r="D341" s="24"/>
      <c r="E341" s="24"/>
      <c r="F341" s="61"/>
      <c r="G341" s="32"/>
      <c r="H341" s="237"/>
      <c r="I341" s="79"/>
      <c r="J341" s="80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50"/>
      <c r="L341" s="79"/>
      <c r="M341" s="80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50"/>
      <c r="O341" s="79"/>
      <c r="P341" s="80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0</v>
      </c>
      <c r="Q341" s="237"/>
      <c r="R341" s="79"/>
      <c r="S341" s="80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-26325</v>
      </c>
      <c r="T341" s="237"/>
      <c r="U341" s="79"/>
      <c r="V341" s="80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-1219</v>
      </c>
      <c r="W341" s="237"/>
      <c r="X341" s="79"/>
      <c r="Y341" s="80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-1000</v>
      </c>
      <c r="Z341" s="237"/>
      <c r="AA341" s="79"/>
      <c r="AB341" s="80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0</v>
      </c>
      <c r="AC341" s="237"/>
      <c r="AD341" s="79"/>
      <c r="AE341" s="80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0</v>
      </c>
      <c r="AF341" s="237"/>
      <c r="AG341" s="79"/>
      <c r="AH341" s="80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0</v>
      </c>
      <c r="AI341" s="237"/>
      <c r="AJ341" s="79"/>
      <c r="AK341" s="80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0</v>
      </c>
      <c r="AL341" s="237"/>
      <c r="AM341" s="79"/>
      <c r="AN341" s="80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37"/>
      <c r="AP341" s="79"/>
      <c r="AQ341" s="80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37">
        <f t="shared" ca="1" si="298"/>
        <v>0</v>
      </c>
      <c r="AS341" s="79">
        <f t="shared" ca="1" si="299"/>
        <v>0</v>
      </c>
      <c r="AT341" s="80">
        <f t="shared" ca="1" si="300"/>
        <v>-28544</v>
      </c>
      <c r="AU341" s="237">
        <f t="shared" si="301"/>
        <v>0</v>
      </c>
      <c r="AV341" s="79">
        <f t="shared" si="302"/>
        <v>0</v>
      </c>
      <c r="AW341" s="80">
        <f t="shared" si="303"/>
        <v>-28544</v>
      </c>
      <c r="AX341" s="237">
        <f t="shared" si="304"/>
        <v>0</v>
      </c>
      <c r="AY341" s="79">
        <f t="shared" si="305"/>
        <v>0</v>
      </c>
      <c r="AZ341" s="80">
        <f t="shared" si="306"/>
        <v>0</v>
      </c>
      <c r="BA341" s="237">
        <f t="shared" si="307"/>
        <v>0</v>
      </c>
      <c r="BB341" s="79">
        <f t="shared" si="308"/>
        <v>0</v>
      </c>
      <c r="BC341" s="80">
        <f t="shared" si="309"/>
        <v>-28544</v>
      </c>
      <c r="BD341" s="237">
        <f t="shared" si="310"/>
        <v>0</v>
      </c>
      <c r="BE341" s="79">
        <f t="shared" si="311"/>
        <v>0</v>
      </c>
      <c r="BF341" s="80">
        <f t="shared" si="312"/>
        <v>0</v>
      </c>
      <c r="BG341" s="237">
        <f t="shared" si="313"/>
        <v>0</v>
      </c>
      <c r="BH341" s="79">
        <f t="shared" si="314"/>
        <v>0</v>
      </c>
      <c r="BI341" s="80">
        <f t="shared" si="315"/>
        <v>0</v>
      </c>
      <c r="BJ341" s="454"/>
    </row>
    <row r="342" spans="1:62" s="28" customFormat="1" hidden="1" outlineLevel="1" x14ac:dyDescent="0.3">
      <c r="A342" s="21" t="s">
        <v>355</v>
      </c>
      <c r="B342" s="57"/>
      <c r="C342" s="23" t="s">
        <v>60</v>
      </c>
      <c r="D342" s="24"/>
      <c r="E342" s="24"/>
      <c r="F342" s="61"/>
      <c r="G342" s="32"/>
      <c r="H342" s="237"/>
      <c r="I342" s="79"/>
      <c r="J342" s="80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50"/>
      <c r="L342" s="79"/>
      <c r="M342" s="80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50"/>
      <c r="O342" s="79"/>
      <c r="P342" s="80">
        <f>SUMIFS(Aut_BlueMe_Sem_Pedido!$J:$J,Aut_BlueMe_Sem_Pedido!$Q:$Q,DRE!N$4,Aut_BlueMe_Sem_Pedido!$H:$H,DRE!$A342)+SUMIFS(Aut_Ajustes_Manuais!$G:$G,Aut_Ajustes_Manuais!$I:$I,DRE!N$4,Aut_Ajustes_Manuais!$F:$F,"Investimento - Marketing")</f>
        <v>-15312</v>
      </c>
      <c r="Q342" s="237"/>
      <c r="R342" s="79"/>
      <c r="S342" s="80">
        <f>SUMIFS(Aut_BlueMe_Sem_Pedido!$J:$J,Aut_BlueMe_Sem_Pedido!$Q:$Q,DRE!Q$4,Aut_BlueMe_Sem_Pedido!$H:$H,DRE!$A342)+SUMIFS(Aut_Ajustes_Manuais!$G:$G,Aut_Ajustes_Manuais!$I:$I,DRE!Q$4,Aut_Ajustes_Manuais!$F:$F,"Investimento - Marketing")</f>
        <v>-10710</v>
      </c>
      <c r="T342" s="237"/>
      <c r="U342" s="79"/>
      <c r="V342" s="80">
        <f>SUMIFS(Aut_BlueMe_Sem_Pedido!$J:$J,Aut_BlueMe_Sem_Pedido!$Q:$Q,DRE!T$4,Aut_BlueMe_Sem_Pedido!$H:$H,DRE!$A342)+SUMIFS(Aut_Ajustes_Manuais!$G:$G,Aut_Ajustes_Manuais!$I:$I,DRE!T$4,Aut_Ajustes_Manuais!$F:$F,"Investimento - Marketing")</f>
        <v>0</v>
      </c>
      <c r="W342" s="237"/>
      <c r="X342" s="79"/>
      <c r="Y342" s="80">
        <f>SUMIFS(Aut_BlueMe_Sem_Pedido!$J:$J,Aut_BlueMe_Sem_Pedido!$Q:$Q,DRE!W$4,Aut_BlueMe_Sem_Pedido!$H:$H,DRE!$A342)+SUMIFS(Aut_Ajustes_Manuais!$G:$G,Aut_Ajustes_Manuais!$I:$I,DRE!W$4,Aut_Ajustes_Manuais!$F:$F,"Investimento - Marketing")</f>
        <v>-33648</v>
      </c>
      <c r="Z342" s="237"/>
      <c r="AA342" s="79"/>
      <c r="AB342" s="80">
        <f>SUMIFS(Aut_BlueMe_Sem_Pedido!$J:$J,Aut_BlueMe_Sem_Pedido!$Q:$Q,DRE!Z$4,Aut_BlueMe_Sem_Pedido!$H:$H,DRE!$A342)+SUMIFS(Aut_Ajustes_Manuais!$G:$G,Aut_Ajustes_Manuais!$I:$I,DRE!Z$4,Aut_Ajustes_Manuais!$F:$F,"Investimento - Marketing")</f>
        <v>-18345.349999999999</v>
      </c>
      <c r="AC342" s="237"/>
      <c r="AD342" s="79"/>
      <c r="AE342" s="80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37"/>
      <c r="AG342" s="79"/>
      <c r="AH342" s="80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37"/>
      <c r="AJ342" s="79"/>
      <c r="AK342" s="80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37"/>
      <c r="AM342" s="79"/>
      <c r="AN342" s="80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37"/>
      <c r="AP342" s="79"/>
      <c r="AQ342" s="80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37">
        <f t="shared" ca="1" si="298"/>
        <v>0</v>
      </c>
      <c r="AS342" s="79">
        <f t="shared" ca="1" si="299"/>
        <v>0</v>
      </c>
      <c r="AT342" s="80">
        <f t="shared" ca="1" si="300"/>
        <v>-78015.350000000006</v>
      </c>
      <c r="AU342" s="237">
        <f t="shared" si="301"/>
        <v>0</v>
      </c>
      <c r="AV342" s="79">
        <f t="shared" si="302"/>
        <v>0</v>
      </c>
      <c r="AW342" s="80">
        <f t="shared" si="303"/>
        <v>-78015.350000000006</v>
      </c>
      <c r="AX342" s="237">
        <f t="shared" si="304"/>
        <v>0</v>
      </c>
      <c r="AY342" s="79">
        <f t="shared" si="305"/>
        <v>0</v>
      </c>
      <c r="AZ342" s="80">
        <f t="shared" si="306"/>
        <v>-15312</v>
      </c>
      <c r="BA342" s="237">
        <f t="shared" si="307"/>
        <v>0</v>
      </c>
      <c r="BB342" s="79">
        <f t="shared" si="308"/>
        <v>0</v>
      </c>
      <c r="BC342" s="80">
        <f t="shared" si="309"/>
        <v>-44358</v>
      </c>
      <c r="BD342" s="237">
        <f t="shared" si="310"/>
        <v>0</v>
      </c>
      <c r="BE342" s="79">
        <f t="shared" si="311"/>
        <v>0</v>
      </c>
      <c r="BF342" s="80">
        <f t="shared" si="312"/>
        <v>-18345.349999999999</v>
      </c>
      <c r="BG342" s="237">
        <f t="shared" si="313"/>
        <v>0</v>
      </c>
      <c r="BH342" s="79">
        <f t="shared" si="314"/>
        <v>0</v>
      </c>
      <c r="BI342" s="80">
        <f t="shared" si="315"/>
        <v>0</v>
      </c>
      <c r="BJ342" s="454"/>
    </row>
    <row r="343" spans="1:62" s="28" customFormat="1" hidden="1" outlineLevel="1" x14ac:dyDescent="0.3">
      <c r="A343" s="21" t="s">
        <v>356</v>
      </c>
      <c r="B343" s="57"/>
      <c r="C343" s="23" t="s">
        <v>60</v>
      </c>
      <c r="D343" s="24"/>
      <c r="E343" s="24"/>
      <c r="F343" s="61"/>
      <c r="G343" s="32"/>
      <c r="H343" s="237"/>
      <c r="I343" s="79"/>
      <c r="J343" s="80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50"/>
      <c r="L343" s="79"/>
      <c r="M343" s="80">
        <f>SUMIFS(Aut_BlueMe_Sem_Pedido!$J:$J,Aut_BlueMe_Sem_Pedido!$Q:$Q,DRE!K$4,Aut_BlueMe_Sem_Pedido!$H:$H,DRE!$A343)+SUMIFS(Aut_Ajustes_Manuais!$G:$G,Aut_Ajustes_Manuais!$I:$I,DRE!K$4,Aut_Ajustes_Manuais!$F:$F,"Investimento - Uniformes")</f>
        <v>0</v>
      </c>
      <c r="N343" s="250"/>
      <c r="O343" s="79"/>
      <c r="P343" s="80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37"/>
      <c r="R343" s="79"/>
      <c r="S343" s="80">
        <f>SUMIFS(Aut_BlueMe_Sem_Pedido!$J:$J,Aut_BlueMe_Sem_Pedido!$Q:$Q,DRE!Q$4,Aut_BlueMe_Sem_Pedido!$H:$H,DRE!$A343)+SUMIFS(Aut_Ajustes_Manuais!$G:$G,Aut_Ajustes_Manuais!$I:$I,DRE!Q$4,Aut_Ajustes_Manuais!$F:$F,"Investimento - Uniformes")</f>
        <v>0</v>
      </c>
      <c r="T343" s="237"/>
      <c r="U343" s="79"/>
      <c r="V343" s="80">
        <f>SUMIFS(Aut_BlueMe_Sem_Pedido!$J:$J,Aut_BlueMe_Sem_Pedido!$Q:$Q,DRE!T$4,Aut_BlueMe_Sem_Pedido!$H:$H,DRE!$A343)+SUMIFS(Aut_Ajustes_Manuais!$G:$G,Aut_Ajustes_Manuais!$I:$I,DRE!T$4,Aut_Ajustes_Manuais!$F:$F,"Investimento - Uniformes")</f>
        <v>-35434</v>
      </c>
      <c r="W343" s="237"/>
      <c r="X343" s="79"/>
      <c r="Y343" s="80">
        <f>SUMIFS(Aut_BlueMe_Sem_Pedido!$J:$J,Aut_BlueMe_Sem_Pedido!$Q:$Q,DRE!W$4,Aut_BlueMe_Sem_Pedido!$H:$H,DRE!$A343)+SUMIFS(Aut_Ajustes_Manuais!$G:$G,Aut_Ajustes_Manuais!$I:$I,DRE!W$4,Aut_Ajustes_Manuais!$F:$F,"Investimento - Uniformes")</f>
        <v>0</v>
      </c>
      <c r="Z343" s="237"/>
      <c r="AA343" s="79"/>
      <c r="AB343" s="80">
        <f>SUMIFS(Aut_BlueMe_Sem_Pedido!$J:$J,Aut_BlueMe_Sem_Pedido!$Q:$Q,DRE!Z$4,Aut_BlueMe_Sem_Pedido!$H:$H,DRE!$A343)+SUMIFS(Aut_Ajustes_Manuais!$G:$G,Aut_Ajustes_Manuais!$I:$I,DRE!Z$4,Aut_Ajustes_Manuais!$F:$F,"Investimento - Uniformes")</f>
        <v>0</v>
      </c>
      <c r="AC343" s="237"/>
      <c r="AD343" s="79"/>
      <c r="AE343" s="80">
        <f>SUMIFS(Aut_BlueMe_Sem_Pedido!$J:$J,Aut_BlueMe_Sem_Pedido!$Q:$Q,DRE!AC$4,Aut_BlueMe_Sem_Pedido!$H:$H,DRE!$A343)+SUMIFS(Aut_Ajustes_Manuais!$G:$G,Aut_Ajustes_Manuais!$I:$I,DRE!AC$4,Aut_Ajustes_Manuais!$F:$F,"Investimento - Uniformes")</f>
        <v>0</v>
      </c>
      <c r="AF343" s="237"/>
      <c r="AG343" s="79"/>
      <c r="AH343" s="80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37"/>
      <c r="AJ343" s="79"/>
      <c r="AK343" s="80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37"/>
      <c r="AM343" s="79"/>
      <c r="AN343" s="80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37"/>
      <c r="AP343" s="79"/>
      <c r="AQ343" s="80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37">
        <f t="shared" ca="1" si="298"/>
        <v>0</v>
      </c>
      <c r="AS343" s="79">
        <f t="shared" ca="1" si="299"/>
        <v>0</v>
      </c>
      <c r="AT343" s="80">
        <f t="shared" ca="1" si="300"/>
        <v>-35434</v>
      </c>
      <c r="AU343" s="237">
        <f t="shared" si="301"/>
        <v>0</v>
      </c>
      <c r="AV343" s="79">
        <f t="shared" si="302"/>
        <v>0</v>
      </c>
      <c r="AW343" s="80">
        <f t="shared" si="303"/>
        <v>-35434</v>
      </c>
      <c r="AX343" s="237">
        <f t="shared" si="304"/>
        <v>0</v>
      </c>
      <c r="AY343" s="79">
        <f t="shared" si="305"/>
        <v>0</v>
      </c>
      <c r="AZ343" s="80">
        <f t="shared" si="306"/>
        <v>0</v>
      </c>
      <c r="BA343" s="237">
        <f t="shared" si="307"/>
        <v>0</v>
      </c>
      <c r="BB343" s="79">
        <f t="shared" si="308"/>
        <v>0</v>
      </c>
      <c r="BC343" s="80">
        <f t="shared" si="309"/>
        <v>-35434</v>
      </c>
      <c r="BD343" s="237">
        <f t="shared" si="310"/>
        <v>0</v>
      </c>
      <c r="BE343" s="79">
        <f t="shared" si="311"/>
        <v>0</v>
      </c>
      <c r="BF343" s="80">
        <f t="shared" si="312"/>
        <v>0</v>
      </c>
      <c r="BG343" s="237">
        <f t="shared" si="313"/>
        <v>0</v>
      </c>
      <c r="BH343" s="79">
        <f t="shared" si="314"/>
        <v>0</v>
      </c>
      <c r="BI343" s="80">
        <f t="shared" si="315"/>
        <v>0</v>
      </c>
      <c r="BJ343" s="454"/>
    </row>
    <row r="344" spans="1:62" s="28" customFormat="1" hidden="1" outlineLevel="1" x14ac:dyDescent="0.3">
      <c r="A344" s="21" t="s">
        <v>357</v>
      </c>
      <c r="B344" s="57"/>
      <c r="C344" s="23" t="s">
        <v>60</v>
      </c>
      <c r="D344" s="24"/>
      <c r="E344" s="24"/>
      <c r="F344" s="61"/>
      <c r="G344" s="32"/>
      <c r="H344" s="237"/>
      <c r="I344" s="79"/>
      <c r="J344" s="80">
        <f>SUMIFS(Aut_BlueMe_Sem_Pedido!$J:$J,Aut_BlueMe_Sem_Pedido!$Q:$Q,DRE!H$4,Aut_BlueMe_Sem_Pedido!$H:$H,DRE!$A344)+SUMIFS(Aut_Ajustes_Manuais!$G:$G,Aut_Ajustes_Manuais!$I:$I,DRE!H$4,Aut_Ajustes_Manuais!$F:$F,"Investimento - Despesas pré-operacionais")</f>
        <v>0</v>
      </c>
      <c r="K344" s="250"/>
      <c r="L344" s="79"/>
      <c r="M344" s="80">
        <f>SUMIFS(Aut_BlueMe_Sem_Pedido!$J:$J,Aut_BlueMe_Sem_Pedido!$Q:$Q,DRE!K$4,Aut_BlueMe_Sem_Pedido!$H:$H,DRE!$A344)+SUMIFS(Aut_Ajustes_Manuais!$G:$G,Aut_Ajustes_Manuais!$I:$I,DRE!K$4,Aut_Ajustes_Manuais!$F:$F,"Investimento - Despesas pré-operacionais")</f>
        <v>0</v>
      </c>
      <c r="N344" s="250"/>
      <c r="O344" s="79"/>
      <c r="P344" s="80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37"/>
      <c r="R344" s="79"/>
      <c r="S344" s="80">
        <f>SUMIFS(Aut_BlueMe_Sem_Pedido!$J:$J,Aut_BlueMe_Sem_Pedido!$Q:$Q,DRE!Q$4,Aut_BlueMe_Sem_Pedido!$H:$H,DRE!$A344)+SUMIFS(Aut_Ajustes_Manuais!$G:$G,Aut_Ajustes_Manuais!$I:$I,DRE!Q$4,Aut_Ajustes_Manuais!$F:$F,"Investimento - Despesas pré-operacionais")</f>
        <v>0</v>
      </c>
      <c r="T344" s="237"/>
      <c r="U344" s="79"/>
      <c r="V344" s="80">
        <f>SUMIFS(Aut_BlueMe_Sem_Pedido!$J:$J,Aut_BlueMe_Sem_Pedido!$Q:$Q,DRE!T$4,Aut_BlueMe_Sem_Pedido!$H:$H,DRE!$A344)+SUMIFS(Aut_Ajustes_Manuais!$G:$G,Aut_Ajustes_Manuais!$I:$I,DRE!T$4,Aut_Ajustes_Manuais!$F:$F,"Investimento - Despesas pré-operacionais")</f>
        <v>0</v>
      </c>
      <c r="W344" s="237"/>
      <c r="X344" s="79"/>
      <c r="Y344" s="80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37"/>
      <c r="AA344" s="79"/>
      <c r="AB344" s="80">
        <f>SUMIFS(Aut_BlueMe_Sem_Pedido!$J:$J,Aut_BlueMe_Sem_Pedido!$Q:$Q,DRE!Z$4,Aut_BlueMe_Sem_Pedido!$H:$H,DRE!$A344)+SUMIFS(Aut_Ajustes_Manuais!$G:$G,Aut_Ajustes_Manuais!$I:$I,DRE!Z$4,Aut_Ajustes_Manuais!$F:$F,"Investimento - Despesas pré-operacionais")</f>
        <v>-165</v>
      </c>
      <c r="AC344" s="237"/>
      <c r="AD344" s="79"/>
      <c r="AE344" s="80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37"/>
      <c r="AG344" s="79"/>
      <c r="AH344" s="80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37"/>
      <c r="AJ344" s="79"/>
      <c r="AK344" s="80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37"/>
      <c r="AM344" s="79"/>
      <c r="AN344" s="80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37"/>
      <c r="AP344" s="79"/>
      <c r="AQ344" s="80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37">
        <f t="shared" ca="1" si="298"/>
        <v>0</v>
      </c>
      <c r="AS344" s="79">
        <f t="shared" ca="1" si="299"/>
        <v>0</v>
      </c>
      <c r="AT344" s="80">
        <f t="shared" ca="1" si="300"/>
        <v>-165</v>
      </c>
      <c r="AU344" s="237">
        <f t="shared" si="301"/>
        <v>0</v>
      </c>
      <c r="AV344" s="79">
        <f t="shared" si="302"/>
        <v>0</v>
      </c>
      <c r="AW344" s="80">
        <f t="shared" si="303"/>
        <v>-165</v>
      </c>
      <c r="AX344" s="237">
        <f t="shared" si="304"/>
        <v>0</v>
      </c>
      <c r="AY344" s="79">
        <f t="shared" si="305"/>
        <v>0</v>
      </c>
      <c r="AZ344" s="80">
        <f t="shared" si="306"/>
        <v>0</v>
      </c>
      <c r="BA344" s="237">
        <f t="shared" si="307"/>
        <v>0</v>
      </c>
      <c r="BB344" s="79">
        <f t="shared" si="308"/>
        <v>0</v>
      </c>
      <c r="BC344" s="80">
        <f t="shared" si="309"/>
        <v>0</v>
      </c>
      <c r="BD344" s="237">
        <f t="shared" si="310"/>
        <v>0</v>
      </c>
      <c r="BE344" s="79">
        <f t="shared" si="311"/>
        <v>0</v>
      </c>
      <c r="BF344" s="80">
        <f t="shared" si="312"/>
        <v>-165</v>
      </c>
      <c r="BG344" s="237">
        <f t="shared" si="313"/>
        <v>0</v>
      </c>
      <c r="BH344" s="79">
        <f t="shared" si="314"/>
        <v>0</v>
      </c>
      <c r="BI344" s="80">
        <f t="shared" si="315"/>
        <v>0</v>
      </c>
      <c r="BJ344" s="454"/>
    </row>
    <row r="345" spans="1:62" s="28" customFormat="1" hidden="1" outlineLevel="1" x14ac:dyDescent="0.3">
      <c r="A345" s="21" t="s">
        <v>358</v>
      </c>
      <c r="B345" s="57"/>
      <c r="C345" s="23" t="s">
        <v>60</v>
      </c>
      <c r="D345" s="24"/>
      <c r="E345" s="24"/>
      <c r="F345" s="61"/>
      <c r="G345" s="32"/>
      <c r="H345" s="237"/>
      <c r="I345" s="79"/>
      <c r="J345" s="80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50"/>
      <c r="L345" s="79"/>
      <c r="M345" s="80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50"/>
      <c r="O345" s="79"/>
      <c r="P345" s="80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37"/>
      <c r="R345" s="79"/>
      <c r="S345" s="80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37"/>
      <c r="U345" s="79"/>
      <c r="V345" s="80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37"/>
      <c r="X345" s="79"/>
      <c r="Y345" s="80">
        <f>SUMIFS(Aut_BlueMe_Sem_Pedido!$J:$J,Aut_BlueMe_Sem_Pedido!$Q:$Q,DRE!W$4,Aut_BlueMe_Sem_Pedido!$H:$H,DRE!$A345)+SUMIFS(Aut_Ajustes_Manuais!$G:$G,Aut_Ajustes_Manuais!$I:$I,DRE!W$4,Aut_Ajustes_Manuais!$F:$F,"Investimento - Taxa de Licença")</f>
        <v>0</v>
      </c>
      <c r="Z345" s="237"/>
      <c r="AA345" s="79"/>
      <c r="AB345" s="80">
        <f>SUMIFS(Aut_BlueMe_Sem_Pedido!$J:$J,Aut_BlueMe_Sem_Pedido!$Q:$Q,DRE!Z$4,Aut_BlueMe_Sem_Pedido!$H:$H,DRE!$A345)+SUMIFS(Aut_Ajustes_Manuais!$G:$G,Aut_Ajustes_Manuais!$I:$I,DRE!Z$4,Aut_Ajustes_Manuais!$F:$F,"Investimento - Taxa de Licença")</f>
        <v>-5724.46</v>
      </c>
      <c r="AC345" s="237"/>
      <c r="AD345" s="79"/>
      <c r="AE345" s="80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37"/>
      <c r="AG345" s="79"/>
      <c r="AH345" s="80">
        <f>SUMIFS(Aut_BlueMe_Sem_Pedido!$J:$J,Aut_BlueMe_Sem_Pedido!$Q:$Q,DRE!AF$4,Aut_BlueMe_Sem_Pedido!$H:$H,DRE!$A345)+SUMIFS(Aut_Ajustes_Manuais!$G:$G,Aut_Ajustes_Manuais!$I:$I,DRE!AF$4,Aut_Ajustes_Manuais!$F:$F,"Investimento - Taxa de Licença")</f>
        <v>0</v>
      </c>
      <c r="AI345" s="237"/>
      <c r="AJ345" s="79"/>
      <c r="AK345" s="80">
        <f>SUMIFS(Aut_BlueMe_Sem_Pedido!$J:$J,Aut_BlueMe_Sem_Pedido!$Q:$Q,DRE!AI$4,Aut_BlueMe_Sem_Pedido!$H:$H,DRE!$A345)+SUMIFS(Aut_Ajustes_Manuais!$G:$G,Aut_Ajustes_Manuais!$I:$I,DRE!AI$4,Aut_Ajustes_Manuais!$F:$F,"Investimento - Taxa de Licença")</f>
        <v>0</v>
      </c>
      <c r="AL345" s="237"/>
      <c r="AM345" s="79"/>
      <c r="AN345" s="80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37"/>
      <c r="AP345" s="79"/>
      <c r="AQ345" s="80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37">
        <f t="shared" ca="1" si="298"/>
        <v>0</v>
      </c>
      <c r="AS345" s="79">
        <f t="shared" ca="1" si="299"/>
        <v>0</v>
      </c>
      <c r="AT345" s="80">
        <f t="shared" ca="1" si="300"/>
        <v>-5724.46</v>
      </c>
      <c r="AU345" s="237">
        <f t="shared" si="301"/>
        <v>0</v>
      </c>
      <c r="AV345" s="79">
        <f t="shared" si="302"/>
        <v>0</v>
      </c>
      <c r="AW345" s="80">
        <f t="shared" si="303"/>
        <v>-5724.46</v>
      </c>
      <c r="AX345" s="237">
        <f t="shared" si="304"/>
        <v>0</v>
      </c>
      <c r="AY345" s="79">
        <f t="shared" si="305"/>
        <v>0</v>
      </c>
      <c r="AZ345" s="80">
        <f t="shared" si="306"/>
        <v>0</v>
      </c>
      <c r="BA345" s="237">
        <f t="shared" si="307"/>
        <v>0</v>
      </c>
      <c r="BB345" s="79">
        <f t="shared" si="308"/>
        <v>0</v>
      </c>
      <c r="BC345" s="80">
        <f t="shared" si="309"/>
        <v>0</v>
      </c>
      <c r="BD345" s="237">
        <f t="shared" si="310"/>
        <v>0</v>
      </c>
      <c r="BE345" s="79">
        <f t="shared" si="311"/>
        <v>0</v>
      </c>
      <c r="BF345" s="80">
        <f t="shared" si="312"/>
        <v>-5724.46</v>
      </c>
      <c r="BG345" s="237">
        <f t="shared" si="313"/>
        <v>0</v>
      </c>
      <c r="BH345" s="79">
        <f t="shared" si="314"/>
        <v>0</v>
      </c>
      <c r="BI345" s="80">
        <f t="shared" si="315"/>
        <v>0</v>
      </c>
      <c r="BJ345" s="454"/>
    </row>
    <row r="346" spans="1:62" s="28" customFormat="1" hidden="1" outlineLevel="1" x14ac:dyDescent="0.3">
      <c r="A346" s="21" t="s">
        <v>359</v>
      </c>
      <c r="B346" s="57"/>
      <c r="C346" s="23" t="s">
        <v>60</v>
      </c>
      <c r="D346" s="24"/>
      <c r="E346" s="24"/>
      <c r="F346" s="61"/>
      <c r="G346" s="32"/>
      <c r="H346" s="237"/>
      <c r="I346" s="79"/>
      <c r="J346" s="80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50"/>
      <c r="L346" s="79"/>
      <c r="M346" s="80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50"/>
      <c r="O346" s="79"/>
      <c r="P346" s="80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37"/>
      <c r="R346" s="79"/>
      <c r="S346" s="80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37"/>
      <c r="U346" s="79"/>
      <c r="V346" s="80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37"/>
      <c r="X346" s="79"/>
      <c r="Y346" s="80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37"/>
      <c r="AA346" s="79"/>
      <c r="AB346" s="80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37"/>
      <c r="AD346" s="79"/>
      <c r="AE346" s="80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37"/>
      <c r="AG346" s="79"/>
      <c r="AH346" s="80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37"/>
      <c r="AJ346" s="79"/>
      <c r="AK346" s="80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37"/>
      <c r="AM346" s="79"/>
      <c r="AN346" s="80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37"/>
      <c r="AP346" s="79"/>
      <c r="AQ346" s="80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37">
        <f t="shared" ca="1" si="298"/>
        <v>0</v>
      </c>
      <c r="AS346" s="79">
        <f t="shared" ca="1" si="299"/>
        <v>0</v>
      </c>
      <c r="AT346" s="80">
        <f t="shared" ca="1" si="300"/>
        <v>0</v>
      </c>
      <c r="AU346" s="237">
        <f t="shared" si="301"/>
        <v>0</v>
      </c>
      <c r="AV346" s="79">
        <f t="shared" si="302"/>
        <v>0</v>
      </c>
      <c r="AW346" s="80">
        <f t="shared" si="303"/>
        <v>0</v>
      </c>
      <c r="AX346" s="237">
        <f t="shared" si="304"/>
        <v>0</v>
      </c>
      <c r="AY346" s="79">
        <f t="shared" si="305"/>
        <v>0</v>
      </c>
      <c r="AZ346" s="80">
        <f t="shared" si="306"/>
        <v>0</v>
      </c>
      <c r="BA346" s="237">
        <f t="shared" si="307"/>
        <v>0</v>
      </c>
      <c r="BB346" s="79">
        <f t="shared" si="308"/>
        <v>0</v>
      </c>
      <c r="BC346" s="80">
        <f t="shared" si="309"/>
        <v>0</v>
      </c>
      <c r="BD346" s="237">
        <f t="shared" si="310"/>
        <v>0</v>
      </c>
      <c r="BE346" s="79">
        <f t="shared" si="311"/>
        <v>0</v>
      </c>
      <c r="BF346" s="80">
        <f t="shared" si="312"/>
        <v>0</v>
      </c>
      <c r="BG346" s="237">
        <f t="shared" si="313"/>
        <v>0</v>
      </c>
      <c r="BH346" s="79">
        <f t="shared" si="314"/>
        <v>0</v>
      </c>
      <c r="BI346" s="80">
        <f t="shared" si="315"/>
        <v>0</v>
      </c>
      <c r="BJ346" s="454"/>
    </row>
    <row r="347" spans="1:62" s="28" customFormat="1" hidden="1" outlineLevel="1" x14ac:dyDescent="0.3">
      <c r="A347" s="21" t="s">
        <v>360</v>
      </c>
      <c r="B347" s="57"/>
      <c r="C347" s="23" t="s">
        <v>60</v>
      </c>
      <c r="D347" s="24"/>
      <c r="E347" s="24"/>
      <c r="F347" s="61"/>
      <c r="G347" s="32"/>
      <c r="H347" s="237"/>
      <c r="I347" s="79"/>
      <c r="J347" s="80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50"/>
      <c r="L347" s="79"/>
      <c r="M347" s="80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50"/>
      <c r="O347" s="79"/>
      <c r="P347" s="80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37"/>
      <c r="R347" s="79"/>
      <c r="S347" s="80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37"/>
      <c r="U347" s="79"/>
      <c r="V347" s="80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37"/>
      <c r="X347" s="79"/>
      <c r="Y347" s="80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37"/>
      <c r="AA347" s="79"/>
      <c r="AB347" s="80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37"/>
      <c r="AD347" s="79"/>
      <c r="AE347" s="80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37"/>
      <c r="AG347" s="79"/>
      <c r="AH347" s="80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37"/>
      <c r="AJ347" s="79"/>
      <c r="AK347" s="80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37"/>
      <c r="AM347" s="79"/>
      <c r="AN347" s="80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37"/>
      <c r="AP347" s="79"/>
      <c r="AQ347" s="80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37">
        <f t="shared" ca="1" si="298"/>
        <v>0</v>
      </c>
      <c r="AS347" s="79">
        <f t="shared" ca="1" si="299"/>
        <v>0</v>
      </c>
      <c r="AT347" s="80">
        <f t="shared" ca="1" si="300"/>
        <v>0</v>
      </c>
      <c r="AU347" s="237">
        <f t="shared" si="301"/>
        <v>0</v>
      </c>
      <c r="AV347" s="79">
        <f t="shared" si="302"/>
        <v>0</v>
      </c>
      <c r="AW347" s="80">
        <f t="shared" si="303"/>
        <v>0</v>
      </c>
      <c r="AX347" s="237">
        <f t="shared" si="304"/>
        <v>0</v>
      </c>
      <c r="AY347" s="79">
        <f t="shared" si="305"/>
        <v>0</v>
      </c>
      <c r="AZ347" s="80">
        <f t="shared" si="306"/>
        <v>0</v>
      </c>
      <c r="BA347" s="237">
        <f t="shared" si="307"/>
        <v>0</v>
      </c>
      <c r="BB347" s="79">
        <f t="shared" si="308"/>
        <v>0</v>
      </c>
      <c r="BC347" s="80">
        <f t="shared" si="309"/>
        <v>0</v>
      </c>
      <c r="BD347" s="237">
        <f t="shared" si="310"/>
        <v>0</v>
      </c>
      <c r="BE347" s="79">
        <f t="shared" si="311"/>
        <v>0</v>
      </c>
      <c r="BF347" s="80">
        <f t="shared" si="312"/>
        <v>0</v>
      </c>
      <c r="BG347" s="237">
        <f t="shared" si="313"/>
        <v>0</v>
      </c>
      <c r="BH347" s="79">
        <f t="shared" si="314"/>
        <v>0</v>
      </c>
      <c r="BI347" s="80">
        <f t="shared" si="315"/>
        <v>0</v>
      </c>
      <c r="BJ347" s="454"/>
    </row>
    <row r="348" spans="1:62" s="28" customFormat="1" hidden="1" outlineLevel="1" x14ac:dyDescent="0.3">
      <c r="A348" s="21" t="s">
        <v>361</v>
      </c>
      <c r="B348" s="57"/>
      <c r="C348" s="23" t="s">
        <v>60</v>
      </c>
      <c r="D348" s="24"/>
      <c r="E348" s="24"/>
      <c r="F348" s="61"/>
      <c r="G348" s="32"/>
      <c r="H348" s="237"/>
      <c r="I348" s="79"/>
      <c r="J348" s="80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50"/>
      <c r="L348" s="79"/>
      <c r="M348" s="80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50"/>
      <c r="O348" s="79"/>
      <c r="P348" s="80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37"/>
      <c r="R348" s="79"/>
      <c r="S348" s="80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37"/>
      <c r="U348" s="79"/>
      <c r="V348" s="80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37"/>
      <c r="X348" s="79"/>
      <c r="Y348" s="80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37"/>
      <c r="AA348" s="79"/>
      <c r="AB348" s="80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37"/>
      <c r="AD348" s="79"/>
      <c r="AE348" s="80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37"/>
      <c r="AG348" s="79"/>
      <c r="AH348" s="80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37"/>
      <c r="AJ348" s="79"/>
      <c r="AK348" s="80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37"/>
      <c r="AM348" s="79"/>
      <c r="AN348" s="80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37"/>
      <c r="AP348" s="79"/>
      <c r="AQ348" s="80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37">
        <f t="shared" ca="1" si="298"/>
        <v>0</v>
      </c>
      <c r="AS348" s="79">
        <f t="shared" ca="1" si="299"/>
        <v>0</v>
      </c>
      <c r="AT348" s="80">
        <f t="shared" ca="1" si="300"/>
        <v>0</v>
      </c>
      <c r="AU348" s="237">
        <f t="shared" si="301"/>
        <v>0</v>
      </c>
      <c r="AV348" s="79">
        <f t="shared" si="302"/>
        <v>0</v>
      </c>
      <c r="AW348" s="80">
        <f t="shared" si="303"/>
        <v>0</v>
      </c>
      <c r="AX348" s="237">
        <f t="shared" si="304"/>
        <v>0</v>
      </c>
      <c r="AY348" s="79">
        <f t="shared" si="305"/>
        <v>0</v>
      </c>
      <c r="AZ348" s="80">
        <f t="shared" si="306"/>
        <v>0</v>
      </c>
      <c r="BA348" s="237">
        <f t="shared" si="307"/>
        <v>0</v>
      </c>
      <c r="BB348" s="79">
        <f t="shared" si="308"/>
        <v>0</v>
      </c>
      <c r="BC348" s="80">
        <f t="shared" si="309"/>
        <v>0</v>
      </c>
      <c r="BD348" s="237">
        <f t="shared" si="310"/>
        <v>0</v>
      </c>
      <c r="BE348" s="79">
        <f t="shared" si="311"/>
        <v>0</v>
      </c>
      <c r="BF348" s="80">
        <f t="shared" si="312"/>
        <v>0</v>
      </c>
      <c r="BG348" s="237">
        <f t="shared" si="313"/>
        <v>0</v>
      </c>
      <c r="BH348" s="79">
        <f t="shared" si="314"/>
        <v>0</v>
      </c>
      <c r="BI348" s="80">
        <f t="shared" si="315"/>
        <v>0</v>
      </c>
      <c r="BJ348" s="454"/>
    </row>
    <row r="349" spans="1:62" s="28" customFormat="1" ht="25.2" hidden="1" customHeight="1" outlineLevel="1" x14ac:dyDescent="0.3">
      <c r="A349" s="21" t="s">
        <v>362</v>
      </c>
      <c r="B349" s="57"/>
      <c r="C349" s="23" t="s">
        <v>60</v>
      </c>
      <c r="D349" s="24"/>
      <c r="E349" s="24"/>
      <c r="F349" s="61"/>
      <c r="G349" s="32"/>
      <c r="H349" s="237"/>
      <c r="I349" s="79"/>
      <c r="J349" s="80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50"/>
      <c r="L349" s="79"/>
      <c r="M349" s="80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50"/>
      <c r="O349" s="79"/>
      <c r="P349" s="80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37"/>
      <c r="R349" s="79"/>
      <c r="S349" s="80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0</v>
      </c>
      <c r="T349" s="237"/>
      <c r="U349" s="79"/>
      <c r="V349" s="80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37"/>
      <c r="X349" s="79"/>
      <c r="Y349" s="80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0</v>
      </c>
      <c r="Z349" s="237"/>
      <c r="AA349" s="79"/>
      <c r="AB349" s="80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0</v>
      </c>
      <c r="AC349" s="237"/>
      <c r="AD349" s="79"/>
      <c r="AE349" s="80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0</v>
      </c>
      <c r="AF349" s="237"/>
      <c r="AG349" s="79"/>
      <c r="AH349" s="80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37"/>
      <c r="AJ349" s="79"/>
      <c r="AK349" s="80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37"/>
      <c r="AM349" s="79"/>
      <c r="AN349" s="80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37"/>
      <c r="AP349" s="79"/>
      <c r="AQ349" s="80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37">
        <f t="shared" ca="1" si="298"/>
        <v>0</v>
      </c>
      <c r="AS349" s="79">
        <f t="shared" ca="1" si="299"/>
        <v>0</v>
      </c>
      <c r="AT349" s="80">
        <f t="shared" ca="1" si="300"/>
        <v>0</v>
      </c>
      <c r="AU349" s="237">
        <f t="shared" si="301"/>
        <v>0</v>
      </c>
      <c r="AV349" s="79">
        <f t="shared" si="302"/>
        <v>0</v>
      </c>
      <c r="AW349" s="80">
        <f t="shared" si="303"/>
        <v>0</v>
      </c>
      <c r="AX349" s="237">
        <f t="shared" si="304"/>
        <v>0</v>
      </c>
      <c r="AY349" s="79">
        <f t="shared" si="305"/>
        <v>0</v>
      </c>
      <c r="AZ349" s="80">
        <f t="shared" si="306"/>
        <v>0</v>
      </c>
      <c r="BA349" s="237">
        <f t="shared" si="307"/>
        <v>0</v>
      </c>
      <c r="BB349" s="79">
        <f t="shared" si="308"/>
        <v>0</v>
      </c>
      <c r="BC349" s="80">
        <f t="shared" si="309"/>
        <v>0</v>
      </c>
      <c r="BD349" s="237">
        <f t="shared" si="310"/>
        <v>0</v>
      </c>
      <c r="BE349" s="79">
        <f t="shared" si="311"/>
        <v>0</v>
      </c>
      <c r="BF349" s="80">
        <f t="shared" si="312"/>
        <v>0</v>
      </c>
      <c r="BG349" s="237">
        <f t="shared" si="313"/>
        <v>0</v>
      </c>
      <c r="BH349" s="79">
        <f t="shared" si="314"/>
        <v>0</v>
      </c>
      <c r="BI349" s="80">
        <f t="shared" si="315"/>
        <v>0</v>
      </c>
      <c r="BJ349" s="454"/>
    </row>
    <row r="350" spans="1:62" s="28" customFormat="1" hidden="1" outlineLevel="1" x14ac:dyDescent="0.3">
      <c r="A350" s="21" t="s">
        <v>363</v>
      </c>
      <c r="B350" s="57"/>
      <c r="C350" s="23" t="s">
        <v>60</v>
      </c>
      <c r="D350" s="24"/>
      <c r="E350" s="24"/>
      <c r="F350" s="61"/>
      <c r="G350" s="32"/>
      <c r="H350" s="237"/>
      <c r="I350" s="79"/>
      <c r="J350" s="80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50"/>
      <c r="L350" s="79"/>
      <c r="M350" s="80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50"/>
      <c r="O350" s="79"/>
      <c r="P350" s="80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37"/>
      <c r="R350" s="79"/>
      <c r="S350" s="80">
        <f>SUMIFS(Aut_BlueMe_Sem_Pedido!$J:$J,Aut_BlueMe_Sem_Pedido!$Q:$Q,DRE!Q$4,Aut_BlueMe_Sem_Pedido!$H:$H,DRE!$A350)+SUMIFS(Aut_Ajustes_Manuais!$G:$G,Aut_Ajustes_Manuais!$I:$I,DRE!Q$4,Aut_Ajustes_Manuais!$F:$F,"Investimento - Estrutura Chopp - Chopeira")</f>
        <v>-37709.120000000003</v>
      </c>
      <c r="T350" s="237"/>
      <c r="U350" s="79"/>
      <c r="V350" s="80">
        <f>SUMIFS(Aut_BlueMe_Sem_Pedido!$J:$J,Aut_BlueMe_Sem_Pedido!$Q:$Q,DRE!T$4,Aut_BlueMe_Sem_Pedido!$H:$H,DRE!$A350)+SUMIFS(Aut_Ajustes_Manuais!$G:$G,Aut_Ajustes_Manuais!$I:$I,DRE!T$4,Aut_Ajustes_Manuais!$F:$F,"Investimento - Estrutura Chopp - Chopeira")</f>
        <v>-4159.12</v>
      </c>
      <c r="W350" s="237"/>
      <c r="X350" s="79"/>
      <c r="Y350" s="80">
        <f>SUMIFS(Aut_BlueMe_Sem_Pedido!$J:$J,Aut_BlueMe_Sem_Pedido!$Q:$Q,DRE!W$4,Aut_BlueMe_Sem_Pedido!$H:$H,DRE!$A350)+SUMIFS(Aut_Ajustes_Manuais!$G:$G,Aut_Ajustes_Manuais!$I:$I,DRE!W$4,Aut_Ajustes_Manuais!$F:$F,"Investimento - Estrutura Chopp - Chopeira")</f>
        <v>-4159.12</v>
      </c>
      <c r="Z350" s="237"/>
      <c r="AA350" s="79"/>
      <c r="AB350" s="80">
        <f>SUMIFS(Aut_BlueMe_Sem_Pedido!$J:$J,Aut_BlueMe_Sem_Pedido!$Q:$Q,DRE!Z$4,Aut_BlueMe_Sem_Pedido!$H:$H,DRE!$A350)+SUMIFS(Aut_Ajustes_Manuais!$G:$G,Aut_Ajustes_Manuais!$I:$I,DRE!Z$4,Aut_Ajustes_Manuais!$F:$F,"Investimento - Estrutura Chopp - Chopeira")</f>
        <v>-4159.12</v>
      </c>
      <c r="AC350" s="237"/>
      <c r="AD350" s="79"/>
      <c r="AE350" s="80">
        <f>SUMIFS(Aut_BlueMe_Sem_Pedido!$J:$J,Aut_BlueMe_Sem_Pedido!$Q:$Q,DRE!AC$4,Aut_BlueMe_Sem_Pedido!$H:$H,DRE!$A350)+SUMIFS(Aut_Ajustes_Manuais!$G:$G,Aut_Ajustes_Manuais!$I:$I,DRE!AC$4,Aut_Ajustes_Manuais!$F:$F,"Investimento - Estrutura Chopp - Chopeira")</f>
        <v>-4159.12</v>
      </c>
      <c r="AF350" s="237"/>
      <c r="AG350" s="79"/>
      <c r="AH350" s="80">
        <f>SUMIFS(Aut_BlueMe_Sem_Pedido!$J:$J,Aut_BlueMe_Sem_Pedido!$Q:$Q,DRE!AF$4,Aut_BlueMe_Sem_Pedido!$H:$H,DRE!$A350)+SUMIFS(Aut_Ajustes_Manuais!$G:$G,Aut_Ajustes_Manuais!$I:$I,DRE!AF$4,Aut_Ajustes_Manuais!$F:$F,"Investimento - Estrutura Chopp - Chopeira")</f>
        <v>-4159.12</v>
      </c>
      <c r="AI350" s="237"/>
      <c r="AJ350" s="79"/>
      <c r="AK350" s="80">
        <f>SUMIFS(Aut_BlueMe_Sem_Pedido!$J:$J,Aut_BlueMe_Sem_Pedido!$Q:$Q,DRE!AI$4,Aut_BlueMe_Sem_Pedido!$H:$H,DRE!$A350)+SUMIFS(Aut_Ajustes_Manuais!$G:$G,Aut_Ajustes_Manuais!$I:$I,DRE!AI$4,Aut_Ajustes_Manuais!$F:$F,"Investimento - Estrutura Chopp - Chopeira")</f>
        <v>-4159.12</v>
      </c>
      <c r="AL350" s="237"/>
      <c r="AM350" s="79"/>
      <c r="AN350" s="80">
        <f>SUMIFS(Aut_BlueMe_Sem_Pedido!$J:$J,Aut_BlueMe_Sem_Pedido!$Q:$Q,DRE!AL$4,Aut_BlueMe_Sem_Pedido!$H:$H,DRE!$A350)+SUMIFS(Aut_Ajustes_Manuais!$G:$G,Aut_Ajustes_Manuais!$I:$I,DRE!AL$4,Aut_Ajustes_Manuais!$F:$F,"Investimento - Estrutura Chopp - Chopeira")</f>
        <v>-4159.12</v>
      </c>
      <c r="AO350" s="237"/>
      <c r="AP350" s="79"/>
      <c r="AQ350" s="80">
        <f>SUMIFS(Aut_BlueMe_Sem_Pedido!$J:$J,Aut_BlueMe_Sem_Pedido!$Q:$Q,DRE!AO$4,Aut_BlueMe_Sem_Pedido!$H:$H,DRE!$A350)+SUMIFS(Aut_Ajustes_Manuais!$G:$G,Aut_Ajustes_Manuais!$I:$I,DRE!AO$4,Aut_Ajustes_Manuais!$F:$F,"Investimento - Estrutura Chopp - Chopeira")</f>
        <v>-4116.46</v>
      </c>
      <c r="AR350" s="237">
        <f t="shared" ca="1" si="298"/>
        <v>0</v>
      </c>
      <c r="AS350" s="79">
        <f t="shared" ca="1" si="299"/>
        <v>0</v>
      </c>
      <c r="AT350" s="80">
        <f t="shared" ca="1" si="300"/>
        <v>-54345.600000000013</v>
      </c>
      <c r="AU350" s="237">
        <f t="shared" si="301"/>
        <v>0</v>
      </c>
      <c r="AV350" s="79">
        <f t="shared" si="302"/>
        <v>0</v>
      </c>
      <c r="AW350" s="80">
        <f t="shared" si="303"/>
        <v>-70939.420000000027</v>
      </c>
      <c r="AX350" s="237">
        <f t="shared" si="304"/>
        <v>0</v>
      </c>
      <c r="AY350" s="79">
        <f t="shared" si="305"/>
        <v>0</v>
      </c>
      <c r="AZ350" s="80">
        <f t="shared" si="306"/>
        <v>0</v>
      </c>
      <c r="BA350" s="237">
        <f t="shared" si="307"/>
        <v>0</v>
      </c>
      <c r="BB350" s="79">
        <f t="shared" si="308"/>
        <v>0</v>
      </c>
      <c r="BC350" s="80">
        <f t="shared" si="309"/>
        <v>-46027.360000000008</v>
      </c>
      <c r="BD350" s="237">
        <f t="shared" si="310"/>
        <v>0</v>
      </c>
      <c r="BE350" s="79">
        <f t="shared" si="311"/>
        <v>0</v>
      </c>
      <c r="BF350" s="80">
        <f t="shared" si="312"/>
        <v>-12477.36</v>
      </c>
      <c r="BG350" s="237">
        <f t="shared" si="313"/>
        <v>0</v>
      </c>
      <c r="BH350" s="79">
        <f t="shared" si="314"/>
        <v>0</v>
      </c>
      <c r="BI350" s="80">
        <f t="shared" si="315"/>
        <v>-12434.7</v>
      </c>
      <c r="BJ350" s="454"/>
    </row>
    <row r="351" spans="1:62" s="28" customFormat="1" hidden="1" outlineLevel="1" x14ac:dyDescent="0.3">
      <c r="A351" s="21"/>
      <c r="B351" s="57"/>
      <c r="C351" s="23" t="s">
        <v>60</v>
      </c>
      <c r="D351" s="24"/>
      <c r="E351" s="24"/>
      <c r="F351" s="61"/>
      <c r="G351" s="32"/>
      <c r="H351" s="250"/>
      <c r="I351" s="79"/>
      <c r="J351" s="80">
        <f>SUMIFS(Aut_BlueMe_Sem_Pedido!$J:$J,Aut_BlueMe_Sem_Pedido!$Q:$Q,DRE!H$4,Aut_BlueMe_Sem_Pedido!$H:$H,DRE!$A351)</f>
        <v>0</v>
      </c>
      <c r="K351" s="250"/>
      <c r="L351" s="79"/>
      <c r="M351" s="80">
        <f>SUMIFS(Aut_BlueMe_Sem_Pedido!$J:$J,Aut_BlueMe_Sem_Pedido!$Q:$Q,DRE!K$4,Aut_BlueMe_Sem_Pedido!$H:$H,DRE!$A351)</f>
        <v>0</v>
      </c>
      <c r="N351" s="250"/>
      <c r="O351" s="79"/>
      <c r="P351" s="80">
        <f>SUMIFS(Aut_BlueMe_Sem_Pedido!$J:$J,Aut_BlueMe_Sem_Pedido!$Q:$Q,DRE!N$4,Aut_BlueMe_Sem_Pedido!$H:$H,DRE!$A351)</f>
        <v>0</v>
      </c>
      <c r="Q351" s="250"/>
      <c r="R351" s="79"/>
      <c r="S351" s="80">
        <f>SUMIFS(Aut_BlueMe_Sem_Pedido!$J:$J,Aut_BlueMe_Sem_Pedido!$Q:$Q,DRE!Q$4,Aut_BlueMe_Sem_Pedido!$H:$H,DRE!$A351)</f>
        <v>0</v>
      </c>
      <c r="T351" s="250"/>
      <c r="U351" s="79"/>
      <c r="V351" s="80">
        <f>SUMIFS(Aut_BlueMe_Sem_Pedido!$J:$J,Aut_BlueMe_Sem_Pedido!$Q:$Q,DRE!T$4,Aut_BlueMe_Sem_Pedido!$H:$H,DRE!$A351)</f>
        <v>0</v>
      </c>
      <c r="W351" s="250"/>
      <c r="X351" s="79"/>
      <c r="Y351" s="80">
        <f>SUMIFS(Aut_BlueMe_Sem_Pedido!$J:$J,Aut_BlueMe_Sem_Pedido!$Q:$Q,DRE!W$4,Aut_BlueMe_Sem_Pedido!$H:$H,DRE!$A351)</f>
        <v>0</v>
      </c>
      <c r="Z351" s="250"/>
      <c r="AA351" s="79"/>
      <c r="AB351" s="80">
        <f>SUMIFS(Aut_BlueMe_Sem_Pedido!$J:$J,Aut_BlueMe_Sem_Pedido!$Q:$Q,DRE!Z$4,Aut_BlueMe_Sem_Pedido!$H:$H,DRE!$A351)</f>
        <v>0</v>
      </c>
      <c r="AC351" s="250"/>
      <c r="AD351" s="79"/>
      <c r="AE351" s="80">
        <f>SUMIFS(Aut_BlueMe_Sem_Pedido!$J:$J,Aut_BlueMe_Sem_Pedido!$Q:$Q,DRE!AC$4,Aut_BlueMe_Sem_Pedido!$H:$H,DRE!$A351)</f>
        <v>0</v>
      </c>
      <c r="AF351" s="250"/>
      <c r="AG351" s="79"/>
      <c r="AH351" s="80">
        <f>SUMIFS(Aut_BlueMe_Sem_Pedido!$J:$J,Aut_BlueMe_Sem_Pedido!$Q:$Q,DRE!AF$4,Aut_BlueMe_Sem_Pedido!$H:$H,DRE!$A351)</f>
        <v>0</v>
      </c>
      <c r="AI351" s="250"/>
      <c r="AJ351" s="79"/>
      <c r="AK351" s="80">
        <f>SUMIFS(Aut_BlueMe_Sem_Pedido!$J:$J,Aut_BlueMe_Sem_Pedido!$Q:$Q,DRE!AI$4,Aut_BlueMe_Sem_Pedido!$H:$H,DRE!$A351)</f>
        <v>0</v>
      </c>
      <c r="AL351" s="250"/>
      <c r="AM351" s="79"/>
      <c r="AN351" s="80">
        <f>SUMIFS(Aut_BlueMe_Sem_Pedido!$J:$J,Aut_BlueMe_Sem_Pedido!$Q:$Q,DRE!AL$4,Aut_BlueMe_Sem_Pedido!$H:$H,DRE!$A351)</f>
        <v>0</v>
      </c>
      <c r="AO351" s="250"/>
      <c r="AP351" s="79"/>
      <c r="AQ351" s="80">
        <f>SUMIFS(Aut_BlueMe_Sem_Pedido!$J:$J,Aut_BlueMe_Sem_Pedido!$Q:$Q,DRE!AO$4,Aut_BlueMe_Sem_Pedido!$H:$H,DRE!$A351)</f>
        <v>0</v>
      </c>
      <c r="AR351" s="237">
        <f t="shared" ca="1" si="298"/>
        <v>0</v>
      </c>
      <c r="AS351" s="79">
        <f t="shared" ca="1" si="299"/>
        <v>0</v>
      </c>
      <c r="AT351" s="80">
        <f t="shared" ca="1" si="300"/>
        <v>0</v>
      </c>
      <c r="AU351" s="250">
        <f t="shared" si="301"/>
        <v>0</v>
      </c>
      <c r="AV351" s="79">
        <f t="shared" si="302"/>
        <v>0</v>
      </c>
      <c r="AW351" s="80">
        <f t="shared" si="303"/>
        <v>0</v>
      </c>
      <c r="AX351" s="250">
        <f t="shared" si="304"/>
        <v>0</v>
      </c>
      <c r="AY351" s="79">
        <f t="shared" si="305"/>
        <v>0</v>
      </c>
      <c r="AZ351" s="80">
        <f t="shared" si="306"/>
        <v>0</v>
      </c>
      <c r="BA351" s="250">
        <f t="shared" si="307"/>
        <v>0</v>
      </c>
      <c r="BB351" s="79">
        <f t="shared" si="308"/>
        <v>0</v>
      </c>
      <c r="BC351" s="80">
        <f t="shared" si="309"/>
        <v>0</v>
      </c>
      <c r="BD351" s="250">
        <f t="shared" si="310"/>
        <v>0</v>
      </c>
      <c r="BE351" s="79">
        <f t="shared" si="311"/>
        <v>0</v>
      </c>
      <c r="BF351" s="80">
        <f t="shared" si="312"/>
        <v>0</v>
      </c>
      <c r="BG351" s="250">
        <f t="shared" si="313"/>
        <v>0</v>
      </c>
      <c r="BH351" s="79">
        <f t="shared" si="314"/>
        <v>0</v>
      </c>
      <c r="BI351" s="80">
        <f t="shared" si="315"/>
        <v>0</v>
      </c>
      <c r="BJ351" s="454"/>
    </row>
    <row r="352" spans="1:62" collapsed="1" x14ac:dyDescent="0.3">
      <c r="A352" s="17"/>
      <c r="E352" s="15"/>
      <c r="F352" s="16"/>
      <c r="G352" s="45"/>
      <c r="H352" s="245"/>
      <c r="I352" s="64"/>
      <c r="J352" s="246"/>
      <c r="K352" s="245"/>
      <c r="L352" s="64"/>
      <c r="M352" s="246"/>
      <c r="N352" s="245"/>
      <c r="O352" s="64"/>
      <c r="P352" s="246"/>
      <c r="Q352" s="245"/>
      <c r="R352" s="64"/>
      <c r="S352" s="246"/>
      <c r="T352" s="245"/>
      <c r="U352" s="64"/>
      <c r="V352" s="246"/>
      <c r="W352" s="245"/>
      <c r="X352" s="64"/>
      <c r="Y352" s="246"/>
      <c r="Z352" s="245"/>
      <c r="AA352" s="64"/>
      <c r="AB352" s="246"/>
      <c r="AC352" s="245"/>
      <c r="AD352" s="64"/>
      <c r="AE352" s="246"/>
      <c r="AF352" s="245"/>
      <c r="AG352" s="64"/>
      <c r="AH352" s="246"/>
      <c r="AI352" s="245"/>
      <c r="AJ352" s="64"/>
      <c r="AK352" s="246"/>
      <c r="AL352" s="245"/>
      <c r="AM352" s="64"/>
      <c r="AN352" s="246"/>
      <c r="AO352" s="245"/>
      <c r="AP352" s="64"/>
      <c r="AQ352" s="246"/>
      <c r="AR352" s="245"/>
      <c r="AS352" s="64"/>
      <c r="AT352" s="246"/>
      <c r="AU352" s="245"/>
      <c r="AV352" s="64"/>
      <c r="AW352" s="246"/>
      <c r="AX352" s="245"/>
      <c r="AY352" s="64"/>
      <c r="AZ352" s="246"/>
      <c r="BA352" s="245"/>
      <c r="BB352" s="64"/>
      <c r="BC352" s="246"/>
      <c r="BD352" s="245"/>
      <c r="BE352" s="64"/>
      <c r="BF352" s="246"/>
      <c r="BG352" s="245"/>
      <c r="BH352" s="64"/>
      <c r="BI352" s="246"/>
    </row>
    <row r="353" spans="1:62" ht="25.2" customHeight="1" x14ac:dyDescent="0.3">
      <c r="A353" s="37" t="s">
        <v>364</v>
      </c>
      <c r="B353" s="57"/>
      <c r="C353" s="38" t="s">
        <v>339</v>
      </c>
      <c r="D353" s="38" t="s">
        <v>340</v>
      </c>
      <c r="E353" s="38" t="s">
        <v>201</v>
      </c>
      <c r="F353" s="61"/>
      <c r="G353" s="45"/>
      <c r="H353" s="240"/>
      <c r="I353" s="40">
        <f>SUM(I354:I360)</f>
        <v>0</v>
      </c>
      <c r="J353" s="41">
        <f>SUM(J354:J360)+SUMIFS(Aut_Ajustes_Manuais!$G:$G,Aut_Ajustes_Manuais!$I:$I,DRE!H$4,Aut_Ajustes_Manuais!$F:$F,"(+/-) Outras variações no fluxo de caixa")</f>
        <v>0</v>
      </c>
      <c r="K353" s="240"/>
      <c r="L353" s="40">
        <f>SUM(L354:L360)</f>
        <v>0</v>
      </c>
      <c r="M353" s="41">
        <f>SUM(M354:M360)+SUMIFS(Aut_Ajustes_Manuais!$G:$G,Aut_Ajustes_Manuais!$I:$I,DRE!K$4,Aut_Ajustes_Manuais!$F:$F,"(+/-) Outras variações no fluxo de caixa")</f>
        <v>0</v>
      </c>
      <c r="N353" s="240"/>
      <c r="O353" s="40">
        <f>SUM(O354:O360)</f>
        <v>0</v>
      </c>
      <c r="P353" s="41">
        <f>SUM(P354:P360)+SUMIFS(Aut_Ajustes_Manuais!$G:$G,Aut_Ajustes_Manuais!$I:$I,DRE!N$4,Aut_Ajustes_Manuais!$F:$F,"(+/-) Outras variações no fluxo de caixa")</f>
        <v>0</v>
      </c>
      <c r="Q353" s="240"/>
      <c r="R353" s="40">
        <f>SUM(R354:R360)</f>
        <v>0</v>
      </c>
      <c r="S353" s="41">
        <f>SUM(S354:S360)+SUMIFS(Aut_Ajustes_Manuais!$G:$G,Aut_Ajustes_Manuais!$I:$I,DRE!Q$4,Aut_Ajustes_Manuais!$F:$F,"(+/-) Outras variações no fluxo de caixa")</f>
        <v>0</v>
      </c>
      <c r="T353" s="240"/>
      <c r="U353" s="40">
        <f>SUM(U354:U360)</f>
        <v>0</v>
      </c>
      <c r="V353" s="41">
        <f>SUM(V354:V360)+SUMIFS(Aut_Ajustes_Manuais!$G:$G,Aut_Ajustes_Manuais!$I:$I,DRE!T$4,Aut_Ajustes_Manuais!$F:$F,"(+/-) Outras variações no fluxo de caixa")</f>
        <v>0</v>
      </c>
      <c r="W353" s="240"/>
      <c r="X353" s="40">
        <f>SUM(X354:X360)</f>
        <v>0</v>
      </c>
      <c r="Y353" s="41">
        <f>SUM(Y354:Y360)+SUMIFS(Aut_Ajustes_Manuais!$G:$G,Aut_Ajustes_Manuais!$I:$I,DRE!W$4,Aut_Ajustes_Manuais!$F:$F,"(+/-) Outras variações no fluxo de caixa")</f>
        <v>0</v>
      </c>
      <c r="Z353" s="240"/>
      <c r="AA353" s="40">
        <f>SUM(AA354:AA360)</f>
        <v>0</v>
      </c>
      <c r="AB353" s="41">
        <f>SUM(AB354:AB360)+SUMIFS(Aut_Ajustes_Manuais!$G:$G,Aut_Ajustes_Manuais!$I:$I,DRE!Z$4,Aut_Ajustes_Manuais!$F:$F,"(+/-) Outras variações no fluxo de caixa")</f>
        <v>0</v>
      </c>
      <c r="AC353" s="240"/>
      <c r="AD353" s="40">
        <f>SUM(AD354:AD360)</f>
        <v>0</v>
      </c>
      <c r="AE353" s="41">
        <f>SUM(AE354:AE360)+SUMIFS(Aut_Ajustes_Manuais!$G:$G,Aut_Ajustes_Manuais!$I:$I,DRE!AC$4,Aut_Ajustes_Manuais!$F:$F,"(+/-) Outras variações no fluxo de caixa")</f>
        <v>0</v>
      </c>
      <c r="AF353" s="240"/>
      <c r="AG353" s="40">
        <f>SUM(AG354:AG360)</f>
        <v>0</v>
      </c>
      <c r="AH353" s="41">
        <f>SUM(AH354:AH360)+SUMIFS(Aut_Ajustes_Manuais!$G:$G,Aut_Ajustes_Manuais!$I:$I,DRE!AF$4,Aut_Ajustes_Manuais!$F:$F,"(+/-) Outras variações no fluxo de caixa")</f>
        <v>0</v>
      </c>
      <c r="AI353" s="240"/>
      <c r="AJ353" s="40">
        <f>SUM(AJ354:AJ360)</f>
        <v>0</v>
      </c>
      <c r="AK353" s="41">
        <f>SUM(AK354:AK360)+SUMIFS(Aut_Ajustes_Manuais!$G:$G,Aut_Ajustes_Manuais!$I:$I,DRE!AI$4,Aut_Ajustes_Manuais!$F:$F,"(+/-) Outras variações no fluxo de caixa")</f>
        <v>0</v>
      </c>
      <c r="AL353" s="240"/>
      <c r="AM353" s="40">
        <f>SUM(AM354:AM360)</f>
        <v>0</v>
      </c>
      <c r="AN353" s="41">
        <f>SUM(AN354:AN360)+SUMIFS(Aut_Ajustes_Manuais!$G:$G,Aut_Ajustes_Manuais!$I:$I,DRE!AL$4,Aut_Ajustes_Manuais!$F:$F,"(+/-) Outras variações no fluxo de caixa")</f>
        <v>0</v>
      </c>
      <c r="AO353" s="240"/>
      <c r="AP353" s="40">
        <f>SUM(AP354:AP360)</f>
        <v>0</v>
      </c>
      <c r="AQ353" s="41">
        <f>SUM(AQ354:AQ360)+SUMIFS(Aut_Ajustes_Manuais!$G:$G,Aut_Ajustes_Manuais!$I:$I,DRE!AO$4,Aut_Ajustes_Manuais!$F:$F,"(+/-) Outras variações no fluxo de caixa")</f>
        <v>0</v>
      </c>
      <c r="AR353" s="240">
        <f t="shared" ref="AR353:BI353" ca="1" si="316">SUM(AR354:AR360)</f>
        <v>0</v>
      </c>
      <c r="AS353" s="40">
        <f t="shared" ca="1" si="316"/>
        <v>0</v>
      </c>
      <c r="AT353" s="41">
        <f t="shared" ca="1" si="316"/>
        <v>0</v>
      </c>
      <c r="AU353" s="240">
        <f t="shared" si="316"/>
        <v>0</v>
      </c>
      <c r="AV353" s="40">
        <f t="shared" si="316"/>
        <v>0</v>
      </c>
      <c r="AW353" s="41">
        <f t="shared" si="316"/>
        <v>0</v>
      </c>
      <c r="AX353" s="240">
        <f t="shared" si="316"/>
        <v>0</v>
      </c>
      <c r="AY353" s="40">
        <f t="shared" si="316"/>
        <v>0</v>
      </c>
      <c r="AZ353" s="41">
        <f t="shared" si="316"/>
        <v>0</v>
      </c>
      <c r="BA353" s="240">
        <f t="shared" si="316"/>
        <v>0</v>
      </c>
      <c r="BB353" s="40">
        <f t="shared" si="316"/>
        <v>0</v>
      </c>
      <c r="BC353" s="41">
        <f t="shared" si="316"/>
        <v>0</v>
      </c>
      <c r="BD353" s="240">
        <f t="shared" si="316"/>
        <v>0</v>
      </c>
      <c r="BE353" s="40">
        <f t="shared" si="316"/>
        <v>0</v>
      </c>
      <c r="BF353" s="41">
        <f t="shared" si="316"/>
        <v>0</v>
      </c>
      <c r="BG353" s="240">
        <f t="shared" si="316"/>
        <v>0</v>
      </c>
      <c r="BH353" s="40">
        <f t="shared" si="316"/>
        <v>0</v>
      </c>
      <c r="BI353" s="41">
        <f t="shared" si="316"/>
        <v>0</v>
      </c>
    </row>
    <row r="354" spans="1:62" s="28" customFormat="1" hidden="1" outlineLevel="1" x14ac:dyDescent="0.3">
      <c r="A354" s="21" t="s">
        <v>365</v>
      </c>
      <c r="B354" s="57"/>
      <c r="C354" s="23" t="s">
        <v>60</v>
      </c>
      <c r="D354" s="24"/>
      <c r="E354" s="24"/>
      <c r="F354" s="61"/>
      <c r="G354" s="32"/>
      <c r="H354" s="237"/>
      <c r="I354" s="26"/>
      <c r="J354" s="27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37"/>
      <c r="L354" s="26"/>
      <c r="M354" s="27">
        <f>SUMIFS(Aut_BlueMe_Sem_Pedido!$J:$J,Aut_BlueMe_Sem_Pedido!$Q:$Q,DRE!K$4,Aut_BlueMe_Sem_Pedido!$H:$H,DRE!$A354)+SUMIFS(Aut_Ajustes_Manuais!$G:$G,Aut_Ajustes_Manuais!$I:$I,DRE!K$4,Aut_Ajustes_Manuais!$F:$F,"Remuneração Variável")</f>
        <v>0</v>
      </c>
      <c r="N354" s="237"/>
      <c r="O354" s="26"/>
      <c r="P354" s="27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37"/>
      <c r="R354" s="26"/>
      <c r="S354" s="27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37"/>
      <c r="U354" s="26"/>
      <c r="V354" s="27">
        <f>SUMIFS(Aut_BlueMe_Sem_Pedido!$J:$J,Aut_BlueMe_Sem_Pedido!$Q:$Q,DRE!T$4,Aut_BlueMe_Sem_Pedido!$H:$H,DRE!$A354)+SUMIFS(Aut_Ajustes_Manuais!$G:$G,Aut_Ajustes_Manuais!$I:$I,DRE!T$4,Aut_Ajustes_Manuais!$F:$F,"Remuneração Variável")</f>
        <v>0</v>
      </c>
      <c r="W354" s="237"/>
      <c r="X354" s="26"/>
      <c r="Y354" s="27">
        <f>SUMIFS(Aut_BlueMe_Sem_Pedido!$J:$J,Aut_BlueMe_Sem_Pedido!$Q:$Q,DRE!W$4,Aut_BlueMe_Sem_Pedido!$H:$H,DRE!$A354)+SUMIFS(Aut_Ajustes_Manuais!$G:$G,Aut_Ajustes_Manuais!$I:$I,DRE!W$4,Aut_Ajustes_Manuais!$F:$F,"Remuneração Variável")</f>
        <v>0</v>
      </c>
      <c r="Z354" s="237"/>
      <c r="AA354" s="26"/>
      <c r="AB354" s="27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37"/>
      <c r="AD354" s="26"/>
      <c r="AE354" s="27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37"/>
      <c r="AG354" s="26"/>
      <c r="AH354" s="27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37"/>
      <c r="AJ354" s="26"/>
      <c r="AK354" s="27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37"/>
      <c r="AM354" s="26"/>
      <c r="AN354" s="27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37"/>
      <c r="AP354" s="26"/>
      <c r="AQ354" s="27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37">
        <f t="shared" ref="AR354:AR361" ca="1" si="317">SUMIFS($H354:$AO354,$H$5:$AO$5,"&lt;"&amp;MONTH(TODAY()),$H$6:$AO$6,"REAL 25")</f>
        <v>0</v>
      </c>
      <c r="AS354" s="26">
        <f t="shared" ref="AS354:AS361" ca="1" si="318">SUMIFS($I354:$AP354,$I$5:$AP$5,"&lt;"&amp;MONTH(TODAY()),$I$6:$AP$6,"ORÇADO ")</f>
        <v>0</v>
      </c>
      <c r="AT354" s="27">
        <f t="shared" ref="AT354:AT361" ca="1" si="319">SUMIFS($J354:$AQ354,$J$5:$AQ$5,"&lt;"&amp;MONTH(TODAY()),$J$6:$AQ$6,"REAL 26")</f>
        <v>0</v>
      </c>
      <c r="AU354" s="237">
        <f t="shared" ref="AU354:AW361" si="320">SUM(H354,K354,N354,Q354,T354,W354,Z354,AC354,AF354,AI354,AL354,AO354)</f>
        <v>0</v>
      </c>
      <c r="AV354" s="26">
        <f t="shared" si="320"/>
        <v>0</v>
      </c>
      <c r="AW354" s="27">
        <f t="shared" si="320"/>
        <v>0</v>
      </c>
      <c r="AX354" s="237">
        <f t="shared" ref="AX354:AZ361" si="321">SUM(H354,K354,N354)</f>
        <v>0</v>
      </c>
      <c r="AY354" s="26">
        <f t="shared" si="321"/>
        <v>0</v>
      </c>
      <c r="AZ354" s="27">
        <f t="shared" si="321"/>
        <v>0</v>
      </c>
      <c r="BA354" s="237">
        <f t="shared" ref="BA354:BC361" si="322">SUM(Q354,T354,W354)</f>
        <v>0</v>
      </c>
      <c r="BB354" s="26">
        <f t="shared" si="322"/>
        <v>0</v>
      </c>
      <c r="BC354" s="27">
        <f t="shared" si="322"/>
        <v>0</v>
      </c>
      <c r="BD354" s="237">
        <f t="shared" ref="BD354:BF361" si="323">SUM(Z354,AC354,AF354)</f>
        <v>0</v>
      </c>
      <c r="BE354" s="26">
        <f t="shared" si="323"/>
        <v>0</v>
      </c>
      <c r="BF354" s="27">
        <f t="shared" si="323"/>
        <v>0</v>
      </c>
      <c r="BG354" s="237">
        <f t="shared" ref="BG354:BI361" si="324">SUM(AI354,AL354,AO354)</f>
        <v>0</v>
      </c>
      <c r="BH354" s="26">
        <f t="shared" si="324"/>
        <v>0</v>
      </c>
      <c r="BI354" s="27">
        <f t="shared" si="324"/>
        <v>0</v>
      </c>
      <c r="BJ354" s="454"/>
    </row>
    <row r="355" spans="1:62" s="28" customFormat="1" hidden="1" outlineLevel="1" x14ac:dyDescent="0.3">
      <c r="A355" s="21" t="s">
        <v>366</v>
      </c>
      <c r="B355" s="57"/>
      <c r="C355" s="23" t="s">
        <v>60</v>
      </c>
      <c r="D355" s="24"/>
      <c r="E355" s="24"/>
      <c r="F355" s="61"/>
      <c r="G355" s="32"/>
      <c r="H355" s="237"/>
      <c r="I355" s="26"/>
      <c r="J355" s="27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37"/>
      <c r="L355" s="26"/>
      <c r="M355" s="27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37"/>
      <c r="O355" s="26"/>
      <c r="P355" s="27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37"/>
      <c r="R355" s="26"/>
      <c r="S355" s="27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37"/>
      <c r="U355" s="26"/>
      <c r="V355" s="27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37"/>
      <c r="X355" s="26"/>
      <c r="Y355" s="27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37"/>
      <c r="AA355" s="26"/>
      <c r="AB355" s="27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37"/>
      <c r="AD355" s="26"/>
      <c r="AE355" s="27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37"/>
      <c r="AG355" s="26"/>
      <c r="AH355" s="27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37"/>
      <c r="AJ355" s="26"/>
      <c r="AK355" s="27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37"/>
      <c r="AM355" s="26"/>
      <c r="AN355" s="27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37"/>
      <c r="AP355" s="26"/>
      <c r="AQ355" s="27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37">
        <f t="shared" ca="1" si="317"/>
        <v>0</v>
      </c>
      <c r="AS355" s="26">
        <f t="shared" ca="1" si="318"/>
        <v>0</v>
      </c>
      <c r="AT355" s="27">
        <f t="shared" ca="1" si="319"/>
        <v>0</v>
      </c>
      <c r="AU355" s="237">
        <f t="shared" si="320"/>
        <v>0</v>
      </c>
      <c r="AV355" s="26">
        <f t="shared" si="320"/>
        <v>0</v>
      </c>
      <c r="AW355" s="27">
        <f t="shared" si="320"/>
        <v>0</v>
      </c>
      <c r="AX355" s="237">
        <f t="shared" si="321"/>
        <v>0</v>
      </c>
      <c r="AY355" s="26">
        <f t="shared" si="321"/>
        <v>0</v>
      </c>
      <c r="AZ355" s="27">
        <f t="shared" si="321"/>
        <v>0</v>
      </c>
      <c r="BA355" s="237">
        <f t="shared" si="322"/>
        <v>0</v>
      </c>
      <c r="BB355" s="26">
        <f t="shared" si="322"/>
        <v>0</v>
      </c>
      <c r="BC355" s="27">
        <f t="shared" si="322"/>
        <v>0</v>
      </c>
      <c r="BD355" s="237">
        <f t="shared" si="323"/>
        <v>0</v>
      </c>
      <c r="BE355" s="26">
        <f t="shared" si="323"/>
        <v>0</v>
      </c>
      <c r="BF355" s="27">
        <f t="shared" si="323"/>
        <v>0</v>
      </c>
      <c r="BG355" s="237">
        <f t="shared" si="324"/>
        <v>0</v>
      </c>
      <c r="BH355" s="26">
        <f t="shared" si="324"/>
        <v>0</v>
      </c>
      <c r="BI355" s="27">
        <f t="shared" si="324"/>
        <v>0</v>
      </c>
      <c r="BJ355" s="454"/>
    </row>
    <row r="356" spans="1:62" s="28" customFormat="1" hidden="1" outlineLevel="1" x14ac:dyDescent="0.3">
      <c r="A356" s="21" t="s">
        <v>367</v>
      </c>
      <c r="B356" s="57"/>
      <c r="C356" s="23" t="s">
        <v>60</v>
      </c>
      <c r="D356" s="24"/>
      <c r="E356" s="24"/>
      <c r="F356" s="61"/>
      <c r="G356" s="32"/>
      <c r="H356" s="237"/>
      <c r="I356" s="26"/>
      <c r="J356" s="27">
        <f>-SUMIFS(Aut_Endividamentos!$N:$N,Aut_Endividamentos!$S:$S,DRE!H$4,Aut_Endividamentos!$G:$G,$A356)+SUMIFS(Aut_Ajustes_Manuais!$G:$G,Aut_Ajustes_Manuais!$I:$I,DRE!H$4,Aut_Ajustes_Manuais!$F:$F,"Endividamento Geral")</f>
        <v>0</v>
      </c>
      <c r="K356" s="237"/>
      <c r="L356" s="26"/>
      <c r="M356" s="27">
        <f>-SUMIFS(Aut_Endividamentos!$N:$N,Aut_Endividamentos!$S:$S,DRE!K$4,Aut_Endividamentos!$G:$G,$A356)+SUMIFS(Aut_Ajustes_Manuais!$G:$G,Aut_Ajustes_Manuais!$I:$I,DRE!K$4,Aut_Ajustes_Manuais!$F:$F,"Endividamento Geral")</f>
        <v>0</v>
      </c>
      <c r="N356" s="237"/>
      <c r="O356" s="26"/>
      <c r="P356" s="27">
        <f>-SUMIFS(Aut_Endividamentos!$N:$N,Aut_Endividamentos!$S:$S,DRE!N$4,Aut_Endividamentos!$G:$G,$A356)+SUMIFS(Aut_Ajustes_Manuais!$G:$G,Aut_Ajustes_Manuais!$I:$I,DRE!N$4,Aut_Ajustes_Manuais!$F:$F,"Endividamento Geral")</f>
        <v>0</v>
      </c>
      <c r="Q356" s="237"/>
      <c r="R356" s="26"/>
      <c r="S356" s="27">
        <f>-SUMIFS(Aut_Endividamentos!$N:$N,Aut_Endividamentos!$S:$S,DRE!Q$4,Aut_Endividamentos!$G:$G,$A356)+SUMIFS(Aut_Ajustes_Manuais!$G:$G,Aut_Ajustes_Manuais!$I:$I,DRE!Q$4,Aut_Ajustes_Manuais!$F:$F,"Endividamento Geral")</f>
        <v>0</v>
      </c>
      <c r="T356" s="237"/>
      <c r="U356" s="26"/>
      <c r="V356" s="27">
        <f>-SUMIFS(Aut_Endividamentos!$N:$N,Aut_Endividamentos!$S:$S,DRE!T$4,Aut_Endividamentos!$G:$G,$A356)+SUMIFS(Aut_Ajustes_Manuais!$G:$G,Aut_Ajustes_Manuais!$I:$I,DRE!T$4,Aut_Ajustes_Manuais!$F:$F,"Endividamento Geral")</f>
        <v>0</v>
      </c>
      <c r="W356" s="237"/>
      <c r="X356" s="26"/>
      <c r="Y356" s="27">
        <f>-SUMIFS(Aut_Endividamentos!$N:$N,Aut_Endividamentos!$S:$S,DRE!W$4,Aut_Endividamentos!$G:$G,$A356)+SUMIFS(Aut_Ajustes_Manuais!$G:$G,Aut_Ajustes_Manuais!$I:$I,DRE!W$4,Aut_Ajustes_Manuais!$F:$F,"Endividamento Geral")</f>
        <v>0</v>
      </c>
      <c r="Z356" s="237"/>
      <c r="AA356" s="26"/>
      <c r="AB356" s="27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37"/>
      <c r="AD356" s="26"/>
      <c r="AE356" s="27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37"/>
      <c r="AG356" s="26"/>
      <c r="AH356" s="27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37"/>
      <c r="AJ356" s="26"/>
      <c r="AK356" s="27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37"/>
      <c r="AM356" s="26"/>
      <c r="AN356" s="27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37"/>
      <c r="AP356" s="26"/>
      <c r="AQ356" s="27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37">
        <f t="shared" ca="1" si="317"/>
        <v>0</v>
      </c>
      <c r="AS356" s="26">
        <f t="shared" ca="1" si="318"/>
        <v>0</v>
      </c>
      <c r="AT356" s="27">
        <f t="shared" ca="1" si="319"/>
        <v>0</v>
      </c>
      <c r="AU356" s="237">
        <f t="shared" si="320"/>
        <v>0</v>
      </c>
      <c r="AV356" s="26">
        <f t="shared" si="320"/>
        <v>0</v>
      </c>
      <c r="AW356" s="27">
        <f t="shared" si="320"/>
        <v>0</v>
      </c>
      <c r="AX356" s="237">
        <f t="shared" si="321"/>
        <v>0</v>
      </c>
      <c r="AY356" s="26">
        <f t="shared" si="321"/>
        <v>0</v>
      </c>
      <c r="AZ356" s="27">
        <f t="shared" si="321"/>
        <v>0</v>
      </c>
      <c r="BA356" s="237">
        <f t="shared" si="322"/>
        <v>0</v>
      </c>
      <c r="BB356" s="26">
        <f t="shared" si="322"/>
        <v>0</v>
      </c>
      <c r="BC356" s="27">
        <f t="shared" si="322"/>
        <v>0</v>
      </c>
      <c r="BD356" s="237">
        <f t="shared" si="323"/>
        <v>0</v>
      </c>
      <c r="BE356" s="26">
        <f t="shared" si="323"/>
        <v>0</v>
      </c>
      <c r="BF356" s="27">
        <f t="shared" si="323"/>
        <v>0</v>
      </c>
      <c r="BG356" s="237">
        <f t="shared" si="324"/>
        <v>0</v>
      </c>
      <c r="BH356" s="26">
        <f t="shared" si="324"/>
        <v>0</v>
      </c>
      <c r="BI356" s="27">
        <f t="shared" si="324"/>
        <v>0</v>
      </c>
      <c r="BJ356" s="454"/>
    </row>
    <row r="357" spans="1:62" s="28" customFormat="1" hidden="1" outlineLevel="1" x14ac:dyDescent="0.3">
      <c r="A357" s="21" t="s">
        <v>368</v>
      </c>
      <c r="B357" s="57"/>
      <c r="C357" s="23" t="s">
        <v>60</v>
      </c>
      <c r="D357" s="24"/>
      <c r="E357" s="24"/>
      <c r="F357" s="61"/>
      <c r="G357" s="32"/>
      <c r="H357" s="237"/>
      <c r="I357" s="26"/>
      <c r="J357" s="27">
        <f>-SUMIFS(Aut_Endividamentos!$N:$N,Aut_Endividamentos!$S:$S,DRE!H$4,Aut_Endividamentos!$G:$G,$A357)-J194+SUMIFS(Aut_Ajustes_Manuais!$G:$G,Aut_Ajustes_Manuais!$I:$I,DRE!H$4,Aut_Ajustes_Manuais!$F:$F,"Processo Judicial")</f>
        <v>0</v>
      </c>
      <c r="K357" s="237"/>
      <c r="L357" s="26"/>
      <c r="M357" s="27">
        <f>-SUMIFS(Aut_Endividamentos!$N:$N,Aut_Endividamentos!$S:$S,DRE!K$4,Aut_Endividamentos!$G:$G,$A357)-M194+SUMIFS(Aut_Ajustes_Manuais!$G:$G,Aut_Ajustes_Manuais!$I:$I,DRE!K$4,Aut_Ajustes_Manuais!$F:$F,"Processo Judicial")</f>
        <v>0</v>
      </c>
      <c r="N357" s="237"/>
      <c r="O357" s="26"/>
      <c r="P357" s="27">
        <f>-SUMIFS(Aut_Endividamentos!$N:$N,Aut_Endividamentos!$S:$S,DRE!N$4,Aut_Endividamentos!$G:$G,$A357)-P194+SUMIFS(Aut_Ajustes_Manuais!$G:$G,Aut_Ajustes_Manuais!$I:$I,DRE!N$4,Aut_Ajustes_Manuais!$F:$F,"Processo Judicial")</f>
        <v>0</v>
      </c>
      <c r="Q357" s="237"/>
      <c r="R357" s="26"/>
      <c r="S357" s="27">
        <f>-SUMIFS(Aut_Endividamentos!$N:$N,Aut_Endividamentos!$S:$S,DRE!Q$4,Aut_Endividamentos!$G:$G,$A357)-S194+SUMIFS(Aut_Ajustes_Manuais!$G:$G,Aut_Ajustes_Manuais!$I:$I,DRE!Q$4,Aut_Ajustes_Manuais!$F:$F,"Processo Judicial")</f>
        <v>0</v>
      </c>
      <c r="T357" s="237"/>
      <c r="U357" s="26"/>
      <c r="V357" s="27">
        <f>-SUMIFS(Aut_Endividamentos!$N:$N,Aut_Endividamentos!$S:$S,DRE!T$4,Aut_Endividamentos!$G:$G,$A357)-V194+SUMIFS(Aut_Ajustes_Manuais!$G:$G,Aut_Ajustes_Manuais!$I:$I,DRE!T$4,Aut_Ajustes_Manuais!$F:$F,"Processo Judicial")</f>
        <v>0</v>
      </c>
      <c r="W357" s="237"/>
      <c r="X357" s="26"/>
      <c r="Y357" s="27">
        <f>-SUMIFS(Aut_Endividamentos!$N:$N,Aut_Endividamentos!$S:$S,DRE!W$4,Aut_Endividamentos!$G:$G,$A357)-Y194+SUMIFS(Aut_Ajustes_Manuais!$G:$G,Aut_Ajustes_Manuais!$I:$I,DRE!W$4,Aut_Ajustes_Manuais!$F:$F,"Processo Judicial")</f>
        <v>0</v>
      </c>
      <c r="Z357" s="237"/>
      <c r="AA357" s="26"/>
      <c r="AB357" s="27">
        <f>-SUMIFS(Aut_Endividamentos!$N:$N,Aut_Endividamentos!$S:$S,DRE!Z$4,Aut_Endividamentos!$G:$G,$A357)-AB194+SUMIFS(Aut_Ajustes_Manuais!$G:$G,Aut_Ajustes_Manuais!$I:$I,DRE!Z$4,Aut_Ajustes_Manuais!$F:$F,"Processo Judicial")</f>
        <v>0</v>
      </c>
      <c r="AC357" s="237"/>
      <c r="AD357" s="26"/>
      <c r="AE357" s="27">
        <f>-SUMIFS(Aut_Endividamentos!$N:$N,Aut_Endividamentos!$S:$S,DRE!AC$4,Aut_Endividamentos!$G:$G,$A357)-AE194+SUMIFS(Aut_Ajustes_Manuais!$G:$G,Aut_Ajustes_Manuais!$I:$I,DRE!AC$4,Aut_Ajustes_Manuais!$F:$F,"Processo Judicial")</f>
        <v>0</v>
      </c>
      <c r="AF357" s="237"/>
      <c r="AG357" s="26"/>
      <c r="AH357" s="27">
        <f>-SUMIFS(Aut_Endividamentos!$N:$N,Aut_Endividamentos!$S:$S,DRE!AF$4,Aut_Endividamentos!$G:$G,$A357)-AH194+SUMIFS(Aut_Ajustes_Manuais!$G:$G,Aut_Ajustes_Manuais!$I:$I,DRE!AF$4,Aut_Ajustes_Manuais!$F:$F,"Processo Judicial")</f>
        <v>0</v>
      </c>
      <c r="AI357" s="237"/>
      <c r="AJ357" s="26"/>
      <c r="AK357" s="27">
        <f>-SUMIFS(Aut_Endividamentos!$N:$N,Aut_Endividamentos!$S:$S,DRE!AI$4,Aut_Endividamentos!$G:$G,$A357)-AK194+SUMIFS(Aut_Ajustes_Manuais!$G:$G,Aut_Ajustes_Manuais!$I:$I,DRE!AI$4,Aut_Ajustes_Manuais!$F:$F,"Processo Judicial")</f>
        <v>0</v>
      </c>
      <c r="AL357" s="237"/>
      <c r="AM357" s="26"/>
      <c r="AN357" s="27">
        <f>-SUMIFS(Aut_Endividamentos!$N:$N,Aut_Endividamentos!$S:$S,DRE!AL$4,Aut_Endividamentos!$G:$G,$A357)-AN194+SUMIFS(Aut_Ajustes_Manuais!$G:$G,Aut_Ajustes_Manuais!$I:$I,DRE!AL$4,Aut_Ajustes_Manuais!$F:$F,"Processo Judicial")</f>
        <v>0</v>
      </c>
      <c r="AO357" s="237"/>
      <c r="AP357" s="26"/>
      <c r="AQ357" s="27">
        <f>-SUMIFS(Aut_Endividamentos!$N:$N,Aut_Endividamentos!$S:$S,DRE!AO$4,Aut_Endividamentos!$G:$G,$A357)-AQ194+SUMIFS(Aut_Ajustes_Manuais!$G:$G,Aut_Ajustes_Manuais!$I:$I,DRE!AO$4,Aut_Ajustes_Manuais!$F:$F,"Processo Judicial")</f>
        <v>0</v>
      </c>
      <c r="AR357" s="237">
        <f t="shared" ca="1" si="317"/>
        <v>0</v>
      </c>
      <c r="AS357" s="26">
        <f t="shared" ca="1" si="318"/>
        <v>0</v>
      </c>
      <c r="AT357" s="27">
        <f t="shared" ca="1" si="319"/>
        <v>0</v>
      </c>
      <c r="AU357" s="237">
        <f t="shared" si="320"/>
        <v>0</v>
      </c>
      <c r="AV357" s="26">
        <f t="shared" si="320"/>
        <v>0</v>
      </c>
      <c r="AW357" s="27">
        <f t="shared" si="320"/>
        <v>0</v>
      </c>
      <c r="AX357" s="237">
        <f t="shared" si="321"/>
        <v>0</v>
      </c>
      <c r="AY357" s="26">
        <f t="shared" si="321"/>
        <v>0</v>
      </c>
      <c r="AZ357" s="27">
        <f t="shared" si="321"/>
        <v>0</v>
      </c>
      <c r="BA357" s="237">
        <f t="shared" si="322"/>
        <v>0</v>
      </c>
      <c r="BB357" s="26">
        <f t="shared" si="322"/>
        <v>0</v>
      </c>
      <c r="BC357" s="27">
        <f t="shared" si="322"/>
        <v>0</v>
      </c>
      <c r="BD357" s="237">
        <f t="shared" si="323"/>
        <v>0</v>
      </c>
      <c r="BE357" s="26">
        <f t="shared" si="323"/>
        <v>0</v>
      </c>
      <c r="BF357" s="27">
        <f t="shared" si="323"/>
        <v>0</v>
      </c>
      <c r="BG357" s="237">
        <f t="shared" si="324"/>
        <v>0</v>
      </c>
      <c r="BH357" s="26">
        <f t="shared" si="324"/>
        <v>0</v>
      </c>
      <c r="BI357" s="27">
        <f t="shared" si="324"/>
        <v>0</v>
      </c>
      <c r="BJ357" s="454"/>
    </row>
    <row r="358" spans="1:62" s="28" customFormat="1" hidden="1" outlineLevel="1" x14ac:dyDescent="0.3">
      <c r="A358" s="21" t="s">
        <v>369</v>
      </c>
      <c r="B358" s="57"/>
      <c r="C358" s="23" t="s">
        <v>60</v>
      </c>
      <c r="D358" s="24"/>
      <c r="E358" s="24"/>
      <c r="F358" s="61"/>
      <c r="G358" s="32"/>
      <c r="H358" s="237"/>
      <c r="I358" s="26"/>
      <c r="J358" s="27">
        <f>-SUMIFS(Aut_Endividamentos!$N:$N,Aut_Endividamentos!$S:$S,DRE!H$4,Aut_Endividamentos!$G:$G,$A358)+SUMIFS(Aut_Ajustes_Manuais!$G:$G,Aut_Ajustes_Manuais!$I:$I,DRE!H$4,Aut_Ajustes_Manuais!$F:$F,"Processo Civil")</f>
        <v>0</v>
      </c>
      <c r="K358" s="237"/>
      <c r="L358" s="26"/>
      <c r="M358" s="27">
        <f>-SUMIFS(Aut_Endividamentos!$N:$N,Aut_Endividamentos!$S:$S,DRE!K$4,Aut_Endividamentos!$G:$G,$A358)+SUMIFS(Aut_Ajustes_Manuais!$G:$G,Aut_Ajustes_Manuais!$I:$I,DRE!K$4,Aut_Ajustes_Manuais!$F:$F,"Processo Civil")</f>
        <v>0</v>
      </c>
      <c r="N358" s="237"/>
      <c r="O358" s="26"/>
      <c r="P358" s="27">
        <f>-SUMIFS(Aut_Endividamentos!$N:$N,Aut_Endividamentos!$S:$S,DRE!N$4,Aut_Endividamentos!$G:$G,$A358)+SUMIFS(Aut_Ajustes_Manuais!$G:$G,Aut_Ajustes_Manuais!$I:$I,DRE!N$4,Aut_Ajustes_Manuais!$F:$F,"Processo Civil")</f>
        <v>0</v>
      </c>
      <c r="Q358" s="237"/>
      <c r="R358" s="26"/>
      <c r="S358" s="27">
        <f>-SUMIFS(Aut_Endividamentos!$N:$N,Aut_Endividamentos!$S:$S,DRE!Q$4,Aut_Endividamentos!$G:$G,$A358)+SUMIFS(Aut_Ajustes_Manuais!$G:$G,Aut_Ajustes_Manuais!$I:$I,DRE!Q$4,Aut_Ajustes_Manuais!$F:$F,"Processo Civil")</f>
        <v>0</v>
      </c>
      <c r="T358" s="237"/>
      <c r="U358" s="26"/>
      <c r="V358" s="27">
        <f>-SUMIFS(Aut_Endividamentos!$N:$N,Aut_Endividamentos!$S:$S,DRE!T$4,Aut_Endividamentos!$G:$G,$A358)+SUMIFS(Aut_Ajustes_Manuais!$G:$G,Aut_Ajustes_Manuais!$I:$I,DRE!T$4,Aut_Ajustes_Manuais!$F:$F,"Processo Civil")</f>
        <v>0</v>
      </c>
      <c r="W358" s="237"/>
      <c r="X358" s="26"/>
      <c r="Y358" s="27">
        <f>-SUMIFS(Aut_Endividamentos!$N:$N,Aut_Endividamentos!$S:$S,DRE!W$4,Aut_Endividamentos!$G:$G,$A358)+SUMIFS(Aut_Ajustes_Manuais!$G:$G,Aut_Ajustes_Manuais!$I:$I,DRE!W$4,Aut_Ajustes_Manuais!$F:$F,"Processo Civil")</f>
        <v>0</v>
      </c>
      <c r="Z358" s="237"/>
      <c r="AA358" s="26"/>
      <c r="AB358" s="27">
        <f>-SUMIFS(Aut_Endividamentos!$N:$N,Aut_Endividamentos!$S:$S,DRE!Z$4,Aut_Endividamentos!$G:$G,$A358)+SUMIFS(Aut_Ajustes_Manuais!$G:$G,Aut_Ajustes_Manuais!$I:$I,DRE!Z$4,Aut_Ajustes_Manuais!$F:$F,"Processo Civil")</f>
        <v>0</v>
      </c>
      <c r="AC358" s="237"/>
      <c r="AD358" s="26"/>
      <c r="AE358" s="27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37"/>
      <c r="AG358" s="26"/>
      <c r="AH358" s="27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37"/>
      <c r="AJ358" s="26"/>
      <c r="AK358" s="27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37"/>
      <c r="AM358" s="26"/>
      <c r="AN358" s="27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37"/>
      <c r="AP358" s="26"/>
      <c r="AQ358" s="27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37">
        <f t="shared" ca="1" si="317"/>
        <v>0</v>
      </c>
      <c r="AS358" s="26">
        <f t="shared" ca="1" si="318"/>
        <v>0</v>
      </c>
      <c r="AT358" s="27">
        <f t="shared" ca="1" si="319"/>
        <v>0</v>
      </c>
      <c r="AU358" s="237">
        <f t="shared" si="320"/>
        <v>0</v>
      </c>
      <c r="AV358" s="26">
        <f t="shared" si="320"/>
        <v>0</v>
      </c>
      <c r="AW358" s="27">
        <f t="shared" si="320"/>
        <v>0</v>
      </c>
      <c r="AX358" s="237">
        <f t="shared" si="321"/>
        <v>0</v>
      </c>
      <c r="AY358" s="26">
        <f t="shared" si="321"/>
        <v>0</v>
      </c>
      <c r="AZ358" s="27">
        <f t="shared" si="321"/>
        <v>0</v>
      </c>
      <c r="BA358" s="237">
        <f t="shared" si="322"/>
        <v>0</v>
      </c>
      <c r="BB358" s="26">
        <f t="shared" si="322"/>
        <v>0</v>
      </c>
      <c r="BC358" s="27">
        <f t="shared" si="322"/>
        <v>0</v>
      </c>
      <c r="BD358" s="237">
        <f t="shared" si="323"/>
        <v>0</v>
      </c>
      <c r="BE358" s="26">
        <f t="shared" si="323"/>
        <v>0</v>
      </c>
      <c r="BF358" s="27">
        <f t="shared" si="323"/>
        <v>0</v>
      </c>
      <c r="BG358" s="237">
        <f t="shared" si="324"/>
        <v>0</v>
      </c>
      <c r="BH358" s="26">
        <f t="shared" si="324"/>
        <v>0</v>
      </c>
      <c r="BI358" s="27">
        <f t="shared" si="324"/>
        <v>0</v>
      </c>
      <c r="BJ358" s="454"/>
    </row>
    <row r="359" spans="1:62" s="28" customFormat="1" hidden="1" outlineLevel="1" x14ac:dyDescent="0.3">
      <c r="A359" s="21" t="s">
        <v>370</v>
      </c>
      <c r="B359" s="57"/>
      <c r="C359" s="23" t="s">
        <v>60</v>
      </c>
      <c r="D359" s="24"/>
      <c r="E359" s="24"/>
      <c r="F359" s="61"/>
      <c r="G359" s="32"/>
      <c r="H359" s="237"/>
      <c r="I359" s="26"/>
      <c r="J359" s="27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37"/>
      <c r="L359" s="26"/>
      <c r="M359" s="27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37"/>
      <c r="O359" s="26"/>
      <c r="P359" s="27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37"/>
      <c r="R359" s="26"/>
      <c r="S359" s="27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37"/>
      <c r="U359" s="26"/>
      <c r="V359" s="27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37"/>
      <c r="X359" s="26"/>
      <c r="Y359" s="27">
        <f>-SUMIFS(Aut_Endividamentos!$N:$N,Aut_Endividamentos!$S:$S,DRE!W$4,Aut_Endividamentos!$G:$G,$A359)+SUMIFS(Aut_Ajustes_Manuais!$G:$G,Aut_Ajustes_Manuais!$I:$I,DRE!W$4,Aut_Ajustes_Manuais!$F:$F,"Recurso Processual")</f>
        <v>0</v>
      </c>
      <c r="Z359" s="237"/>
      <c r="AA359" s="26"/>
      <c r="AB359" s="27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37"/>
      <c r="AD359" s="26"/>
      <c r="AE359" s="27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37"/>
      <c r="AG359" s="26"/>
      <c r="AH359" s="27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37"/>
      <c r="AJ359" s="26"/>
      <c r="AK359" s="27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37"/>
      <c r="AM359" s="26"/>
      <c r="AN359" s="27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37"/>
      <c r="AP359" s="26"/>
      <c r="AQ359" s="27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37">
        <f t="shared" ca="1" si="317"/>
        <v>0</v>
      </c>
      <c r="AS359" s="26">
        <f t="shared" ca="1" si="318"/>
        <v>0</v>
      </c>
      <c r="AT359" s="27">
        <f t="shared" ca="1" si="319"/>
        <v>0</v>
      </c>
      <c r="AU359" s="237">
        <f t="shared" si="320"/>
        <v>0</v>
      </c>
      <c r="AV359" s="26">
        <f t="shared" si="320"/>
        <v>0</v>
      </c>
      <c r="AW359" s="27">
        <f t="shared" si="320"/>
        <v>0</v>
      </c>
      <c r="AX359" s="237">
        <f t="shared" si="321"/>
        <v>0</v>
      </c>
      <c r="AY359" s="26">
        <f t="shared" si="321"/>
        <v>0</v>
      </c>
      <c r="AZ359" s="27">
        <f t="shared" si="321"/>
        <v>0</v>
      </c>
      <c r="BA359" s="237">
        <f t="shared" si="322"/>
        <v>0</v>
      </c>
      <c r="BB359" s="26">
        <f t="shared" si="322"/>
        <v>0</v>
      </c>
      <c r="BC359" s="27">
        <f t="shared" si="322"/>
        <v>0</v>
      </c>
      <c r="BD359" s="237">
        <f t="shared" si="323"/>
        <v>0</v>
      </c>
      <c r="BE359" s="26">
        <f t="shared" si="323"/>
        <v>0</v>
      </c>
      <c r="BF359" s="27">
        <f t="shared" si="323"/>
        <v>0</v>
      </c>
      <c r="BG359" s="237">
        <f t="shared" si="324"/>
        <v>0</v>
      </c>
      <c r="BH359" s="26">
        <f t="shared" si="324"/>
        <v>0</v>
      </c>
      <c r="BI359" s="27">
        <f t="shared" si="324"/>
        <v>0</v>
      </c>
      <c r="BJ359" s="454"/>
    </row>
    <row r="360" spans="1:62" s="28" customFormat="1" hidden="1" outlineLevel="1" x14ac:dyDescent="0.3">
      <c r="A360" s="21" t="s">
        <v>371</v>
      </c>
      <c r="B360" s="57"/>
      <c r="C360" s="23" t="s">
        <v>60</v>
      </c>
      <c r="D360" s="24"/>
      <c r="E360" s="24"/>
      <c r="F360" s="61"/>
      <c r="G360" s="32"/>
      <c r="H360" s="237"/>
      <c r="I360" s="26"/>
      <c r="J360" s="27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37"/>
      <c r="L360" s="26"/>
      <c r="M360" s="27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37"/>
      <c r="O360" s="26"/>
      <c r="P360" s="27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37"/>
      <c r="R360" s="26"/>
      <c r="S360" s="27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37"/>
      <c r="U360" s="26"/>
      <c r="V360" s="27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37"/>
      <c r="X360" s="26"/>
      <c r="Y360" s="27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37"/>
      <c r="AA360" s="26"/>
      <c r="AB360" s="27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37"/>
      <c r="AD360" s="26"/>
      <c r="AE360" s="27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37"/>
      <c r="AG360" s="26"/>
      <c r="AH360" s="27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37"/>
      <c r="AJ360" s="26"/>
      <c r="AK360" s="27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37"/>
      <c r="AM360" s="26"/>
      <c r="AN360" s="27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37"/>
      <c r="AP360" s="26"/>
      <c r="AQ360" s="27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37">
        <f t="shared" ca="1" si="317"/>
        <v>0</v>
      </c>
      <c r="AS360" s="26">
        <f t="shared" ca="1" si="318"/>
        <v>0</v>
      </c>
      <c r="AT360" s="27">
        <f t="shared" ca="1" si="319"/>
        <v>0</v>
      </c>
      <c r="AU360" s="237">
        <f t="shared" si="320"/>
        <v>0</v>
      </c>
      <c r="AV360" s="26">
        <f t="shared" si="320"/>
        <v>0</v>
      </c>
      <c r="AW360" s="27">
        <f t="shared" si="320"/>
        <v>0</v>
      </c>
      <c r="AX360" s="237">
        <f t="shared" si="321"/>
        <v>0</v>
      </c>
      <c r="AY360" s="26">
        <f t="shared" si="321"/>
        <v>0</v>
      </c>
      <c r="AZ360" s="27">
        <f t="shared" si="321"/>
        <v>0</v>
      </c>
      <c r="BA360" s="237">
        <f t="shared" si="322"/>
        <v>0</v>
      </c>
      <c r="BB360" s="26">
        <f t="shared" si="322"/>
        <v>0</v>
      </c>
      <c r="BC360" s="27">
        <f t="shared" si="322"/>
        <v>0</v>
      </c>
      <c r="BD360" s="237">
        <f t="shared" si="323"/>
        <v>0</v>
      </c>
      <c r="BE360" s="26">
        <f t="shared" si="323"/>
        <v>0</v>
      </c>
      <c r="BF360" s="27">
        <f t="shared" si="323"/>
        <v>0</v>
      </c>
      <c r="BG360" s="237">
        <f t="shared" si="324"/>
        <v>0</v>
      </c>
      <c r="BH360" s="26">
        <f t="shared" si="324"/>
        <v>0</v>
      </c>
      <c r="BI360" s="27">
        <f t="shared" si="324"/>
        <v>0</v>
      </c>
      <c r="BJ360" s="454"/>
    </row>
    <row r="361" spans="1:62" s="28" customFormat="1" hidden="1" outlineLevel="1" x14ac:dyDescent="0.3">
      <c r="A361" s="139"/>
      <c r="B361" s="57"/>
      <c r="C361" s="140"/>
      <c r="D361" s="141"/>
      <c r="E361" s="141"/>
      <c r="F361" s="61"/>
      <c r="G361" s="32"/>
      <c r="H361" s="264"/>
      <c r="I361" s="142"/>
      <c r="J361" s="143"/>
      <c r="K361" s="264"/>
      <c r="L361" s="142"/>
      <c r="M361" s="143"/>
      <c r="N361" s="264"/>
      <c r="O361" s="142"/>
      <c r="P361" s="143"/>
      <c r="Q361" s="264"/>
      <c r="R361" s="142"/>
      <c r="S361" s="143"/>
      <c r="T361" s="264"/>
      <c r="U361" s="142"/>
      <c r="V361" s="143"/>
      <c r="W361" s="264"/>
      <c r="X361" s="142"/>
      <c r="Y361" s="143"/>
      <c r="Z361" s="264"/>
      <c r="AA361" s="142"/>
      <c r="AB361" s="143"/>
      <c r="AC361" s="264"/>
      <c r="AD361" s="142"/>
      <c r="AE361" s="143"/>
      <c r="AF361" s="264"/>
      <c r="AG361" s="142"/>
      <c r="AH361" s="143"/>
      <c r="AI361" s="264"/>
      <c r="AJ361" s="142"/>
      <c r="AK361" s="143"/>
      <c r="AL361" s="264"/>
      <c r="AM361" s="142"/>
      <c r="AN361" s="143"/>
      <c r="AO361" s="264"/>
      <c r="AP361" s="142"/>
      <c r="AQ361" s="143"/>
      <c r="AR361" s="237">
        <f t="shared" ca="1" si="317"/>
        <v>0</v>
      </c>
      <c r="AS361" s="26">
        <f t="shared" ca="1" si="318"/>
        <v>0</v>
      </c>
      <c r="AT361" s="27">
        <f t="shared" ca="1" si="319"/>
        <v>0</v>
      </c>
      <c r="AU361" s="264">
        <f t="shared" si="320"/>
        <v>0</v>
      </c>
      <c r="AV361" s="142">
        <f t="shared" si="320"/>
        <v>0</v>
      </c>
      <c r="AW361" s="143">
        <f t="shared" si="320"/>
        <v>0</v>
      </c>
      <c r="AX361" s="264">
        <f t="shared" si="321"/>
        <v>0</v>
      </c>
      <c r="AY361" s="142">
        <f t="shared" si="321"/>
        <v>0</v>
      </c>
      <c r="AZ361" s="143">
        <f t="shared" si="321"/>
        <v>0</v>
      </c>
      <c r="BA361" s="264">
        <f t="shared" si="322"/>
        <v>0</v>
      </c>
      <c r="BB361" s="142">
        <f t="shared" si="322"/>
        <v>0</v>
      </c>
      <c r="BC361" s="143">
        <f t="shared" si="322"/>
        <v>0</v>
      </c>
      <c r="BD361" s="264">
        <f t="shared" si="323"/>
        <v>0</v>
      </c>
      <c r="BE361" s="142">
        <f t="shared" si="323"/>
        <v>0</v>
      </c>
      <c r="BF361" s="143">
        <f t="shared" si="323"/>
        <v>0</v>
      </c>
      <c r="BG361" s="264">
        <f t="shared" si="324"/>
        <v>0</v>
      </c>
      <c r="BH361" s="142">
        <f t="shared" si="324"/>
        <v>0</v>
      </c>
      <c r="BI361" s="143">
        <f t="shared" si="324"/>
        <v>0</v>
      </c>
      <c r="BJ361" s="454"/>
    </row>
    <row r="362" spans="1:62" s="28" customFormat="1" collapsed="1" x14ac:dyDescent="0.3">
      <c r="A362" s="144"/>
      <c r="B362" s="22"/>
      <c r="C362" s="3"/>
      <c r="D362" s="4"/>
      <c r="E362" s="15"/>
      <c r="F362" s="113"/>
      <c r="G362" s="32"/>
      <c r="H362" s="265"/>
      <c r="I362" s="113"/>
      <c r="J362" s="145"/>
      <c r="K362" s="265"/>
      <c r="L362" s="113"/>
      <c r="M362" s="145"/>
      <c r="N362" s="265"/>
      <c r="O362" s="113"/>
      <c r="P362" s="145"/>
      <c r="Q362" s="265"/>
      <c r="R362" s="113"/>
      <c r="S362" s="145"/>
      <c r="T362" s="265"/>
      <c r="U362" s="113"/>
      <c r="V362" s="145"/>
      <c r="W362" s="265"/>
      <c r="X362" s="113"/>
      <c r="Y362" s="145"/>
      <c r="Z362" s="265"/>
      <c r="AA362" s="113"/>
      <c r="AB362" s="145"/>
      <c r="AC362" s="265"/>
      <c r="AD362" s="113"/>
      <c r="AE362" s="145"/>
      <c r="AF362" s="265"/>
      <c r="AG362" s="113"/>
      <c r="AH362" s="145"/>
      <c r="AI362" s="265"/>
      <c r="AJ362" s="113"/>
      <c r="AK362" s="145"/>
      <c r="AL362" s="265"/>
      <c r="AM362" s="113"/>
      <c r="AN362" s="145"/>
      <c r="AO362" s="265"/>
      <c r="AP362" s="113"/>
      <c r="AQ362" s="145"/>
      <c r="AR362" s="265"/>
      <c r="AS362" s="113"/>
      <c r="AT362" s="145"/>
      <c r="AU362" s="265"/>
      <c r="AV362" s="113"/>
      <c r="AW362" s="145"/>
      <c r="AX362" s="265"/>
      <c r="AY362" s="113"/>
      <c r="AZ362" s="145"/>
      <c r="BA362" s="265"/>
      <c r="BB362" s="113"/>
      <c r="BC362" s="145"/>
      <c r="BD362" s="265"/>
      <c r="BE362" s="113"/>
      <c r="BF362" s="145"/>
      <c r="BG362" s="265"/>
      <c r="BH362" s="113"/>
      <c r="BI362" s="145"/>
      <c r="BJ362" s="454"/>
    </row>
    <row r="363" spans="1:62" x14ac:dyDescent="0.3">
      <c r="A363" s="37" t="s">
        <v>372</v>
      </c>
      <c r="B363" s="57"/>
      <c r="C363" s="58"/>
      <c r="D363" s="59"/>
      <c r="E363" s="60"/>
      <c r="F363" s="61"/>
      <c r="G363" s="45"/>
      <c r="H363" s="240"/>
      <c r="I363" s="40">
        <f>SUM(I353,I334)</f>
        <v>0</v>
      </c>
      <c r="J363" s="41">
        <f>SUM(J353,J334)+SUMIFS(Aut_Ajustes_Manuais!$G:$G,Aut_Ajustes_Manuais!$I:$I,DRE!H$4,Aut_Ajustes_Manuais!$F:$F,"Total - Variações s/ Resultado Líquido")</f>
        <v>-173835.65</v>
      </c>
      <c r="K363" s="240"/>
      <c r="L363" s="40">
        <f>SUM(L353,L334)</f>
        <v>0</v>
      </c>
      <c r="M363" s="41">
        <f>SUM(M353,M334)+SUMIFS(Aut_Ajustes_Manuais!$G:$G,Aut_Ajustes_Manuais!$I:$I,DRE!K$4,Aut_Ajustes_Manuais!$F:$F,"Total - Variações s/ Resultado Líquido")</f>
        <v>-485355.76</v>
      </c>
      <c r="N363" s="240"/>
      <c r="O363" s="40">
        <f>SUM(O353,O334)</f>
        <v>0</v>
      </c>
      <c r="P363" s="41">
        <f>SUM(P353,P334)+SUMIFS(Aut_Ajustes_Manuais!$G:$G,Aut_Ajustes_Manuais!$I:$I,DRE!N$4,Aut_Ajustes_Manuais!$F:$F,"Total - Variações s/ Resultado Líquido")</f>
        <v>-1036424.69</v>
      </c>
      <c r="Q363" s="240"/>
      <c r="R363" s="40">
        <f>SUM(R353,R334)</f>
        <v>0</v>
      </c>
      <c r="S363" s="41">
        <f>SUM(S353,S334)+SUMIFS(Aut_Ajustes_Manuais!$G:$G,Aut_Ajustes_Manuais!$I:$I,DRE!Q$4,Aut_Ajustes_Manuais!$F:$F,"Total - Variações s/ Resultado Líquido")</f>
        <v>-1258485.6500000001</v>
      </c>
      <c r="T363" s="240"/>
      <c r="U363" s="40">
        <f>SUM(U353,U334)</f>
        <v>0</v>
      </c>
      <c r="V363" s="41">
        <f>SUM(V353,V334)+SUMIFS(Aut_Ajustes_Manuais!$G:$G,Aut_Ajustes_Manuais!$I:$I,DRE!T$4,Aut_Ajustes_Manuais!$F:$F,"Total - Variações s/ Resultado Líquido")</f>
        <v>-605550.4</v>
      </c>
      <c r="W363" s="240"/>
      <c r="X363" s="40">
        <f>SUM(X353,X334)</f>
        <v>0</v>
      </c>
      <c r="Y363" s="41">
        <f>SUM(Y353,Y334)+SUMIFS(Aut_Ajustes_Manuais!$G:$G,Aut_Ajustes_Manuais!$I:$I,DRE!W$4,Aut_Ajustes_Manuais!$F:$F,"Total - Variações s/ Resultado Líquido")</f>
        <v>-1000319.33</v>
      </c>
      <c r="Z363" s="240"/>
      <c r="AA363" s="40">
        <f>SUM(AA353,AA334)</f>
        <v>0</v>
      </c>
      <c r="AB363" s="41">
        <f>SUM(AB353,AB334)+SUMIFS(Aut_Ajustes_Manuais!$G:$G,Aut_Ajustes_Manuais!$I:$I,DRE!Z$4,Aut_Ajustes_Manuais!$F:$F,"Total - Variações s/ Resultado Líquido")</f>
        <v>-171366.19999999998</v>
      </c>
      <c r="AC363" s="240"/>
      <c r="AD363" s="40">
        <f>SUM(AD353,AD334)</f>
        <v>0</v>
      </c>
      <c r="AE363" s="41">
        <f>SUM(AE353,AE334)+SUMIFS(Aut_Ajustes_Manuais!$G:$G,Aut_Ajustes_Manuais!$I:$I,DRE!AC$4,Aut_Ajustes_Manuais!$F:$F,"Total - Variações s/ Resultado Líquido")</f>
        <v>-98914.319999999992</v>
      </c>
      <c r="AF363" s="240"/>
      <c r="AG363" s="40">
        <f>SUM(AG353,AG334)</f>
        <v>0</v>
      </c>
      <c r="AH363" s="41">
        <f>SUM(AH353,AH334)+SUMIFS(Aut_Ajustes_Manuais!$G:$G,Aut_Ajustes_Manuais!$I:$I,DRE!AF$4,Aut_Ajustes_Manuais!$F:$F,"Total - Variações s/ Resultado Líquido")</f>
        <v>-9159.119999999999</v>
      </c>
      <c r="AI363" s="240"/>
      <c r="AJ363" s="40">
        <f>SUM(AJ353,AJ334)</f>
        <v>0</v>
      </c>
      <c r="AK363" s="41">
        <f>SUM(AK353,AK334)+SUMIFS(Aut_Ajustes_Manuais!$G:$G,Aut_Ajustes_Manuais!$I:$I,DRE!AI$4,Aut_Ajustes_Manuais!$F:$F,"Total - Variações s/ Resultado Líquido")</f>
        <v>-9159.119999999999</v>
      </c>
      <c r="AL363" s="240"/>
      <c r="AM363" s="40">
        <f>SUM(AM353,AM334)</f>
        <v>0</v>
      </c>
      <c r="AN363" s="41">
        <f>SUM(AN353,AN334)+SUMIFS(Aut_Ajustes_Manuais!$G:$G,Aut_Ajustes_Manuais!$I:$I,DRE!AL$4,Aut_Ajustes_Manuais!$F:$F,"Total - Variações s/ Resultado Líquido")</f>
        <v>-9159.119999999999</v>
      </c>
      <c r="AO363" s="240"/>
      <c r="AP363" s="40">
        <f>SUM(AP353,AP334)</f>
        <v>0</v>
      </c>
      <c r="AQ363" s="41">
        <f>SUM(AQ353,AQ334)+SUMIFS(Aut_Ajustes_Manuais!$G:$G,Aut_Ajustes_Manuais!$I:$I,DRE!AO$4,Aut_Ajustes_Manuais!$F:$F,"Total - Variações s/ Resultado Líquido")</f>
        <v>-9116.4599999999991</v>
      </c>
      <c r="AR363" s="240">
        <f t="shared" ref="AR363:BI363" ca="1" si="325">SUM(AR353,AR334)</f>
        <v>0</v>
      </c>
      <c r="AS363" s="40">
        <f t="shared" ca="1" si="325"/>
        <v>0</v>
      </c>
      <c r="AT363" s="41">
        <f t="shared" ca="1" si="325"/>
        <v>-4830251.9999999991</v>
      </c>
      <c r="AU363" s="240">
        <f t="shared" si="325"/>
        <v>0</v>
      </c>
      <c r="AV363" s="40">
        <f t="shared" si="325"/>
        <v>0</v>
      </c>
      <c r="AW363" s="41">
        <f t="shared" si="325"/>
        <v>-4866845.8199999994</v>
      </c>
      <c r="AX363" s="240">
        <f t="shared" si="325"/>
        <v>0</v>
      </c>
      <c r="AY363" s="40">
        <f t="shared" si="325"/>
        <v>0</v>
      </c>
      <c r="AZ363" s="41">
        <f t="shared" si="325"/>
        <v>-1695616.0999999999</v>
      </c>
      <c r="BA363" s="240">
        <f t="shared" si="325"/>
        <v>0</v>
      </c>
      <c r="BB363" s="40">
        <f t="shared" si="325"/>
        <v>0</v>
      </c>
      <c r="BC363" s="41">
        <f t="shared" si="325"/>
        <v>-2864355.3799999994</v>
      </c>
      <c r="BD363" s="240">
        <f t="shared" si="325"/>
        <v>0</v>
      </c>
      <c r="BE363" s="40">
        <f t="shared" si="325"/>
        <v>0</v>
      </c>
      <c r="BF363" s="41">
        <f t="shared" si="325"/>
        <v>-279439.64</v>
      </c>
      <c r="BG363" s="240">
        <f t="shared" si="325"/>
        <v>0</v>
      </c>
      <c r="BH363" s="40">
        <f t="shared" si="325"/>
        <v>0</v>
      </c>
      <c r="BI363" s="41">
        <f t="shared" si="325"/>
        <v>-27434.7</v>
      </c>
    </row>
    <row r="364" spans="1:62" s="28" customFormat="1" x14ac:dyDescent="0.3">
      <c r="A364" s="144"/>
      <c r="B364" s="22"/>
      <c r="C364" s="3"/>
      <c r="D364" s="4"/>
      <c r="E364" s="15"/>
      <c r="F364" s="113"/>
      <c r="G364" s="32"/>
      <c r="H364" s="265"/>
      <c r="I364" s="113"/>
      <c r="J364" s="145"/>
      <c r="K364" s="265"/>
      <c r="L364" s="113"/>
      <c r="M364" s="145"/>
      <c r="N364" s="265"/>
      <c r="O364" s="113"/>
      <c r="P364" s="145"/>
      <c r="Q364" s="265"/>
      <c r="R364" s="113"/>
      <c r="S364" s="145"/>
      <c r="T364" s="265"/>
      <c r="U364" s="113"/>
      <c r="V364" s="145"/>
      <c r="W364" s="265"/>
      <c r="X364" s="113"/>
      <c r="Y364" s="145"/>
      <c r="Z364" s="265"/>
      <c r="AA364" s="113"/>
      <c r="AB364" s="145"/>
      <c r="AC364" s="265"/>
      <c r="AD364" s="113"/>
      <c r="AE364" s="145"/>
      <c r="AF364" s="265"/>
      <c r="AG364" s="113"/>
      <c r="AH364" s="145"/>
      <c r="AI364" s="265"/>
      <c r="AJ364" s="113"/>
      <c r="AK364" s="145"/>
      <c r="AL364" s="265"/>
      <c r="AM364" s="113"/>
      <c r="AN364" s="145"/>
      <c r="AO364" s="265"/>
      <c r="AP364" s="113"/>
      <c r="AQ364" s="145"/>
      <c r="AR364" s="265"/>
      <c r="AS364" s="113"/>
      <c r="AT364" s="145"/>
      <c r="AU364" s="265"/>
      <c r="AV364" s="113"/>
      <c r="AW364" s="145"/>
      <c r="AX364" s="265"/>
      <c r="AY364" s="113"/>
      <c r="AZ364" s="145"/>
      <c r="BA364" s="265"/>
      <c r="BB364" s="113"/>
      <c r="BC364" s="145"/>
      <c r="BD364" s="265"/>
      <c r="BE364" s="113"/>
      <c r="BF364" s="145"/>
      <c r="BG364" s="265"/>
      <c r="BH364" s="113"/>
      <c r="BI364" s="145"/>
      <c r="BJ364" s="454"/>
    </row>
    <row r="365" spans="1:62" x14ac:dyDescent="0.3">
      <c r="A365" s="146" t="s">
        <v>373</v>
      </c>
      <c r="B365" s="57"/>
      <c r="C365" s="58"/>
      <c r="D365" s="59"/>
      <c r="E365" s="60"/>
      <c r="F365" s="61"/>
      <c r="G365" s="45"/>
      <c r="H365" s="290"/>
      <c r="I365" s="291">
        <f>SUM(I363,I331)</f>
        <v>0</v>
      </c>
      <c r="J365" s="292">
        <f>SUM(J363,J331)+SUMIFS(Aut_Ajustes_Manuais!$G:$G,Aut_Ajustes_Manuais!$I:$I,DRE!H$4,Aut_Ajustes_Manuais!$F:$F,"FCF")</f>
        <v>-211548.51473939396</v>
      </c>
      <c r="K365" s="290"/>
      <c r="L365" s="291">
        <f>SUM(L363,L331)</f>
        <v>0</v>
      </c>
      <c r="M365" s="292">
        <f>SUM(M363,M331)+SUMIFS(Aut_Ajustes_Manuais!$G:$G,Aut_Ajustes_Manuais!$I:$I,DRE!K$4,Aut_Ajustes_Manuais!$F:$F,"FCF")</f>
        <v>-616557.064739394</v>
      </c>
      <c r="N365" s="290"/>
      <c r="O365" s="291">
        <f>SUM(O363,O331)</f>
        <v>0</v>
      </c>
      <c r="P365" s="292">
        <f>SUM(P363,P331)+SUMIFS(Aut_Ajustes_Manuais!$G:$G,Aut_Ajustes_Manuais!$I:$I,DRE!N$4,Aut_Ajustes_Manuais!$F:$F,"FCF")</f>
        <v>-1204788.8547393938</v>
      </c>
      <c r="Q365" s="290"/>
      <c r="R365" s="291">
        <f>SUM(R363,R331)</f>
        <v>0</v>
      </c>
      <c r="S365" s="292">
        <f>SUM(S363,S331)+SUMIFS(Aut_Ajustes_Manuais!$G:$G,Aut_Ajustes_Manuais!$I:$I,DRE!Q$4,Aut_Ajustes_Manuais!$F:$F,"FCF")</f>
        <v>-1420877.5500000003</v>
      </c>
      <c r="T365" s="290"/>
      <c r="U365" s="291">
        <f>SUM(U363,U331)</f>
        <v>0</v>
      </c>
      <c r="V365" s="292">
        <f>SUM(V363,V331)+SUMIFS(Aut_Ajustes_Manuais!$G:$G,Aut_Ajustes_Manuais!$I:$I,DRE!T$4,Aut_Ajustes_Manuais!$F:$F,"FCF")</f>
        <v>-748362.82551569073</v>
      </c>
      <c r="W365" s="290"/>
      <c r="X365" s="291">
        <f>SUM(X363,X331)</f>
        <v>0</v>
      </c>
      <c r="Y365" s="292">
        <f>SUM(Y363,Y331)+SUMIFS(Aut_Ajustes_Manuais!$G:$G,Aut_Ajustes_Manuais!$I:$I,DRE!W$4,Aut_Ajustes_Manuais!$F:$F,"FCF")</f>
        <v>-1416139.562080475</v>
      </c>
      <c r="Z365" s="290"/>
      <c r="AA365" s="291">
        <f>SUM(AA363,AA331)</f>
        <v>-112.5</v>
      </c>
      <c r="AB365" s="292">
        <f>SUM(AB363,AB331)+SUMIFS(Aut_Ajustes_Manuais!$G:$G,Aut_Ajustes_Manuais!$I:$I,DRE!Z$4,Aut_Ajustes_Manuais!$F:$F,"FCF")</f>
        <v>-588788.17307619285</v>
      </c>
      <c r="AC365" s="290"/>
      <c r="AD365" s="291">
        <f>SUM(AD363,AD331)</f>
        <v>1072492.8329754986</v>
      </c>
      <c r="AE365" s="292">
        <f>SUM(AE363,AE331)+SUMIFS(Aut_Ajustes_Manuais!$G:$G,Aut_Ajustes_Manuais!$I:$I,DRE!AC$4,Aut_Ajustes_Manuais!$F:$F,"FCF")</f>
        <v>-396104.15804569441</v>
      </c>
      <c r="AF365" s="290"/>
      <c r="AG365" s="291">
        <f>SUM(AG363,AG331)</f>
        <v>965667.77229409991</v>
      </c>
      <c r="AH365" s="292">
        <f>SUM(AH363,AH331)+SUMIFS(Aut_Ajustes_Manuais!$G:$G,Aut_Ajustes_Manuais!$I:$I,DRE!AF$4,Aut_Ajustes_Manuais!$F:$F,"FCF")</f>
        <v>-334937.51221936068</v>
      </c>
      <c r="AI365" s="290"/>
      <c r="AJ365" s="291">
        <f>SUM(AJ363,AJ331)</f>
        <v>1339558.1347786</v>
      </c>
      <c r="AK365" s="292">
        <f>SUM(AK363,AK331)+SUMIFS(Aut_Ajustes_Manuais!$G:$G,Aut_Ajustes_Manuais!$I:$I,DRE!AI$4,Aut_Ajustes_Manuais!$F:$F,"FCF")</f>
        <v>-339939.96362225566</v>
      </c>
      <c r="AL365" s="290"/>
      <c r="AM365" s="291">
        <f>SUM(AM363,AM331)</f>
        <v>1121861.7786545004</v>
      </c>
      <c r="AN365" s="292">
        <f>SUM(AN363,AN331)+SUMIFS(Aut_Ajustes_Manuais!$G:$G,Aut_Ajustes_Manuais!$I:$I,DRE!AL$4,Aut_Ajustes_Manuais!$F:$F,"FCF")</f>
        <v>-343211.15074938099</v>
      </c>
      <c r="AO365" s="290"/>
      <c r="AP365" s="291">
        <f>SUM(AP363,AP331)</f>
        <v>1218334.2601740998</v>
      </c>
      <c r="AQ365" s="292">
        <f>SUM(AQ363,AQ331)+SUMIFS(Aut_Ajustes_Manuais!$G:$G,Aut_Ajustes_Manuais!$I:$I,DRE!AO$4,Aut_Ajustes_Manuais!$F:$F,"FCF")</f>
        <v>-345474.57753783645</v>
      </c>
      <c r="AR365" s="290">
        <f t="shared" ref="AR365:BI365" ca="1" si="326">SUM(AR363,AR331)</f>
        <v>0</v>
      </c>
      <c r="AS365" s="291">
        <f t="shared" ca="1" si="326"/>
        <v>1072380.3329754989</v>
      </c>
      <c r="AT365" s="292">
        <f t="shared" ca="1" si="326"/>
        <v>-6603166.702936234</v>
      </c>
      <c r="AU365" s="290">
        <f t="shared" si="326"/>
        <v>0</v>
      </c>
      <c r="AV365" s="291">
        <f t="shared" si="326"/>
        <v>5717802.2788768038</v>
      </c>
      <c r="AW365" s="292">
        <f t="shared" si="326"/>
        <v>-7966729.9070650674</v>
      </c>
      <c r="AX365" s="290">
        <f t="shared" si="326"/>
        <v>0</v>
      </c>
      <c r="AY365" s="291">
        <f t="shared" si="326"/>
        <v>0</v>
      </c>
      <c r="AZ365" s="292">
        <f t="shared" si="326"/>
        <v>-2032894.4342181818</v>
      </c>
      <c r="BA365" s="290">
        <f t="shared" si="326"/>
        <v>0</v>
      </c>
      <c r="BB365" s="291">
        <f t="shared" si="326"/>
        <v>0</v>
      </c>
      <c r="BC365" s="292">
        <f t="shared" si="326"/>
        <v>-3585379.9375961651</v>
      </c>
      <c r="BD365" s="290">
        <f t="shared" si="326"/>
        <v>0</v>
      </c>
      <c r="BE365" s="291">
        <f t="shared" si="326"/>
        <v>2038048.1052695997</v>
      </c>
      <c r="BF365" s="292">
        <f t="shared" si="326"/>
        <v>-1319829.8433412476</v>
      </c>
      <c r="BG365" s="290">
        <f t="shared" si="326"/>
        <v>0</v>
      </c>
      <c r="BH365" s="291">
        <f t="shared" si="326"/>
        <v>3679754.1736071976</v>
      </c>
      <c r="BI365" s="292">
        <f t="shared" si="326"/>
        <v>-1028625.6919094729</v>
      </c>
    </row>
    <row r="366" spans="1:62" s="28" customFormat="1" x14ac:dyDescent="0.3">
      <c r="A366" s="144"/>
      <c r="B366" s="22"/>
      <c r="C366" s="3"/>
      <c r="D366" s="4"/>
      <c r="E366" s="15"/>
      <c r="F366" s="113"/>
      <c r="G366" s="32"/>
      <c r="H366" s="265"/>
      <c r="I366" s="113"/>
      <c r="J366" s="145"/>
      <c r="K366" s="265"/>
      <c r="L366" s="113"/>
      <c r="M366" s="145"/>
      <c r="N366" s="265"/>
      <c r="O366" s="113"/>
      <c r="P366" s="145"/>
      <c r="Q366" s="265"/>
      <c r="R366" s="113"/>
      <c r="S366" s="145"/>
      <c r="T366" s="265"/>
      <c r="U366" s="113"/>
      <c r="V366" s="145"/>
      <c r="W366" s="265"/>
      <c r="X366" s="113"/>
      <c r="Y366" s="145"/>
      <c r="Z366" s="265"/>
      <c r="AA366" s="113"/>
      <c r="AB366" s="145"/>
      <c r="AC366" s="265"/>
      <c r="AD366" s="113"/>
      <c r="AE366" s="145"/>
      <c r="AF366" s="265"/>
      <c r="AG366" s="113"/>
      <c r="AH366" s="145"/>
      <c r="AI366" s="265"/>
      <c r="AJ366" s="113"/>
      <c r="AK366" s="145"/>
      <c r="AL366" s="265"/>
      <c r="AM366" s="113"/>
      <c r="AN366" s="145"/>
      <c r="AO366" s="265"/>
      <c r="AP366" s="113"/>
      <c r="AQ366" s="145"/>
      <c r="AR366" s="265"/>
      <c r="AS366" s="113"/>
      <c r="AT366" s="145"/>
      <c r="AU366" s="265"/>
      <c r="AV366" s="113"/>
      <c r="AW366" s="145"/>
      <c r="AX366" s="265"/>
      <c r="AY366" s="113"/>
      <c r="AZ366" s="145"/>
      <c r="BA366" s="265"/>
      <c r="BB366" s="113"/>
      <c r="BC366" s="145"/>
      <c r="BD366" s="265"/>
      <c r="BE366" s="113"/>
      <c r="BF366" s="145"/>
      <c r="BG366" s="265"/>
      <c r="BH366" s="113"/>
      <c r="BI366" s="145"/>
      <c r="BJ366" s="454"/>
    </row>
    <row r="367" spans="1:62" s="28" customFormat="1" x14ac:dyDescent="0.3">
      <c r="A367" s="146"/>
      <c r="B367" s="57"/>
      <c r="C367" s="58"/>
      <c r="D367" s="59"/>
      <c r="E367" s="60"/>
      <c r="F367" s="61"/>
      <c r="G367" s="32"/>
      <c r="H367" s="266"/>
      <c r="I367" s="147"/>
      <c r="J367" s="148"/>
      <c r="K367" s="266"/>
      <c r="L367" s="147"/>
      <c r="M367" s="148"/>
      <c r="N367" s="266"/>
      <c r="O367" s="147"/>
      <c r="P367" s="148"/>
      <c r="Q367" s="266"/>
      <c r="R367" s="147"/>
      <c r="S367" s="148"/>
      <c r="T367" s="266"/>
      <c r="U367" s="147"/>
      <c r="V367" s="148"/>
      <c r="W367" s="266"/>
      <c r="X367" s="147"/>
      <c r="Y367" s="148"/>
      <c r="Z367" s="266"/>
      <c r="AA367" s="147"/>
      <c r="AB367" s="148"/>
      <c r="AC367" s="266"/>
      <c r="AD367" s="147"/>
      <c r="AE367" s="148"/>
      <c r="AF367" s="266"/>
      <c r="AG367" s="147"/>
      <c r="AH367" s="148"/>
      <c r="AI367" s="266"/>
      <c r="AJ367" s="147"/>
      <c r="AK367" s="148"/>
      <c r="AL367" s="266"/>
      <c r="AM367" s="147"/>
      <c r="AN367" s="148"/>
      <c r="AO367" s="266"/>
      <c r="AP367" s="147"/>
      <c r="AQ367" s="148"/>
      <c r="AR367" s="266"/>
      <c r="AS367" s="147"/>
      <c r="AT367" s="148"/>
      <c r="AU367" s="266"/>
      <c r="AV367" s="147"/>
      <c r="AW367" s="148"/>
      <c r="AX367" s="266"/>
      <c r="AY367" s="147"/>
      <c r="AZ367" s="148"/>
      <c r="BA367" s="266"/>
      <c r="BB367" s="147"/>
      <c r="BC367" s="148"/>
      <c r="BD367" s="266"/>
      <c r="BE367" s="147"/>
      <c r="BF367" s="148"/>
      <c r="BG367" s="266"/>
      <c r="BH367" s="147"/>
      <c r="BI367" s="148"/>
      <c r="BJ367" s="454"/>
    </row>
    <row r="368" spans="1:62" ht="15" customHeight="1" thickBot="1" x14ac:dyDescent="0.35">
      <c r="A368" s="149"/>
      <c r="C368" s="58"/>
      <c r="D368" s="59"/>
      <c r="E368" s="59"/>
      <c r="G368" s="45"/>
      <c r="H368" s="267"/>
      <c r="I368" s="150"/>
      <c r="J368" s="151"/>
      <c r="K368" s="267"/>
      <c r="L368" s="150"/>
      <c r="M368" s="151"/>
      <c r="N368" s="267"/>
      <c r="O368" s="150"/>
      <c r="P368" s="151"/>
      <c r="Q368" s="267"/>
      <c r="R368" s="150"/>
      <c r="S368" s="151"/>
      <c r="T368" s="267"/>
      <c r="U368" s="150"/>
      <c r="V368" s="151"/>
      <c r="W368" s="267"/>
      <c r="X368" s="150"/>
      <c r="Y368" s="151"/>
      <c r="Z368" s="267"/>
      <c r="AA368" s="150"/>
      <c r="AB368" s="151"/>
      <c r="AC368" s="267"/>
      <c r="AD368" s="150"/>
      <c r="AE368" s="151"/>
      <c r="AF368" s="267"/>
      <c r="AG368" s="150"/>
      <c r="AH368" s="151"/>
      <c r="AI368" s="267"/>
      <c r="AJ368" s="150"/>
      <c r="AK368" s="151"/>
      <c r="AL368" s="267"/>
      <c r="AM368" s="150"/>
      <c r="AN368" s="151"/>
      <c r="AO368" s="267"/>
      <c r="AP368" s="150"/>
      <c r="AQ368" s="151"/>
      <c r="AR368" s="267"/>
      <c r="AS368" s="150"/>
      <c r="AT368" s="151"/>
      <c r="AU368" s="267"/>
      <c r="AV368" s="150"/>
      <c r="AW368" s="151"/>
      <c r="AX368" s="267"/>
      <c r="AY368" s="150"/>
      <c r="AZ368" s="151"/>
      <c r="BA368" s="267"/>
      <c r="BB368" s="150"/>
      <c r="BC368" s="151"/>
      <c r="BD368" s="267"/>
      <c r="BE368" s="150"/>
      <c r="BF368" s="151"/>
      <c r="BG368" s="267"/>
      <c r="BH368" s="150"/>
      <c r="BI368" s="151"/>
    </row>
    <row r="369" spans="1:62" s="13" customFormat="1" ht="30.45" customHeight="1" thickBot="1" x14ac:dyDescent="0.35">
      <c r="A369" s="152" t="s">
        <v>374</v>
      </c>
      <c r="B369" s="153"/>
      <c r="C369" s="154"/>
      <c r="D369" s="155"/>
      <c r="E369" s="156"/>
      <c r="F369" s="157"/>
      <c r="G369" s="153"/>
      <c r="H369" s="268"/>
      <c r="I369" s="157"/>
      <c r="J369" s="158"/>
      <c r="K369" s="268"/>
      <c r="L369" s="157"/>
      <c r="M369" s="158"/>
      <c r="N369" s="268"/>
      <c r="O369" s="157"/>
      <c r="P369" s="158"/>
      <c r="Q369" s="268"/>
      <c r="R369" s="157"/>
      <c r="S369" s="158"/>
      <c r="T369" s="268"/>
      <c r="U369" s="157"/>
      <c r="V369" s="158"/>
      <c r="W369" s="268"/>
      <c r="X369" s="157"/>
      <c r="Y369" s="158"/>
      <c r="Z369" s="268"/>
      <c r="AA369" s="157"/>
      <c r="AB369" s="158"/>
      <c r="AC369" s="268"/>
      <c r="AD369" s="157"/>
      <c r="AE369" s="158"/>
      <c r="AF369" s="268"/>
      <c r="AG369" s="157"/>
      <c r="AH369" s="158"/>
      <c r="AI369" s="268"/>
      <c r="AJ369" s="157"/>
      <c r="AK369" s="158"/>
      <c r="AL369" s="268"/>
      <c r="AM369" s="157"/>
      <c r="AN369" s="158"/>
      <c r="AO369" s="268"/>
      <c r="AP369" s="157"/>
      <c r="AQ369" s="158"/>
      <c r="AR369" s="268"/>
      <c r="AS369" s="157"/>
      <c r="AT369" s="158"/>
      <c r="AU369" s="268"/>
      <c r="AV369" s="157"/>
      <c r="AW369" s="158"/>
      <c r="AX369" s="268"/>
      <c r="AY369" s="157"/>
      <c r="AZ369" s="158"/>
      <c r="BA369" s="268"/>
      <c r="BB369" s="157"/>
      <c r="BC369" s="158"/>
      <c r="BD369" s="268"/>
      <c r="BE369" s="157"/>
      <c r="BF369" s="158"/>
      <c r="BG369" s="268"/>
      <c r="BH369" s="157"/>
      <c r="BI369" s="158"/>
      <c r="BJ369" s="451"/>
    </row>
    <row r="370" spans="1:62" s="28" customFormat="1" hidden="1" outlineLevel="1" x14ac:dyDescent="0.3">
      <c r="A370" s="159"/>
      <c r="B370" s="22"/>
      <c r="C370" s="3"/>
      <c r="D370" s="4"/>
      <c r="E370" s="4"/>
      <c r="F370" s="22"/>
      <c r="G370" s="54"/>
      <c r="H370" s="269"/>
      <c r="I370" s="22"/>
      <c r="J370" s="160"/>
      <c r="K370" s="269"/>
      <c r="L370" s="22"/>
      <c r="M370" s="160"/>
      <c r="N370" s="269"/>
      <c r="O370" s="22"/>
      <c r="P370" s="160"/>
      <c r="Q370" s="269"/>
      <c r="R370" s="22"/>
      <c r="S370" s="160"/>
      <c r="T370" s="269"/>
      <c r="U370" s="22"/>
      <c r="V370" s="160"/>
      <c r="W370" s="269"/>
      <c r="X370" s="22"/>
      <c r="Y370" s="160"/>
      <c r="Z370" s="269"/>
      <c r="AA370" s="22"/>
      <c r="AB370" s="160"/>
      <c r="AC370" s="269"/>
      <c r="AD370" s="22"/>
      <c r="AE370" s="160"/>
      <c r="AF370" s="269"/>
      <c r="AG370" s="22"/>
      <c r="AH370" s="160"/>
      <c r="AI370" s="269"/>
      <c r="AJ370" s="22"/>
      <c r="AK370" s="160"/>
      <c r="AL370" s="269"/>
      <c r="AM370" s="22"/>
      <c r="AN370" s="160"/>
      <c r="AO370" s="269"/>
      <c r="AP370" s="22"/>
      <c r="AQ370" s="160"/>
      <c r="AR370" s="269"/>
      <c r="AS370" s="22"/>
      <c r="AT370" s="160"/>
      <c r="AU370" s="269"/>
      <c r="AV370" s="22"/>
      <c r="AW370" s="160"/>
      <c r="AX370" s="269"/>
      <c r="AY370" s="22"/>
      <c r="AZ370" s="160"/>
      <c r="BA370" s="269"/>
      <c r="BB370" s="22"/>
      <c r="BC370" s="160"/>
      <c r="BD370" s="269"/>
      <c r="BE370" s="22"/>
      <c r="BF370" s="160"/>
      <c r="BG370" s="269"/>
      <c r="BH370" s="22"/>
      <c r="BI370" s="160"/>
      <c r="BJ370" s="454"/>
    </row>
    <row r="371" spans="1:62" s="28" customFormat="1" hidden="1" outlineLevel="1" x14ac:dyDescent="0.3">
      <c r="A371" s="161" t="s">
        <v>375</v>
      </c>
      <c r="B371" s="2"/>
      <c r="C371" s="3"/>
      <c r="D371" s="4"/>
      <c r="E371" s="15"/>
      <c r="F371" s="113"/>
      <c r="G371" s="54"/>
      <c r="H371" s="270"/>
      <c r="I371" s="162" t="s">
        <v>376</v>
      </c>
      <c r="J371" s="271"/>
      <c r="K371" s="270"/>
      <c r="L371" s="162" t="s">
        <v>377</v>
      </c>
      <c r="M371" s="271"/>
      <c r="N371" s="270"/>
      <c r="O371" s="162" t="s">
        <v>378</v>
      </c>
      <c r="P371" s="271"/>
      <c r="Q371" s="270"/>
      <c r="R371" s="162" t="s">
        <v>379</v>
      </c>
      <c r="S371" s="271"/>
      <c r="T371" s="270"/>
      <c r="U371" s="162" t="s">
        <v>380</v>
      </c>
      <c r="V371" s="271"/>
      <c r="W371" s="270"/>
      <c r="X371" s="162" t="s">
        <v>381</v>
      </c>
      <c r="Y371" s="271"/>
      <c r="Z371" s="270"/>
      <c r="AA371" s="162" t="s">
        <v>382</v>
      </c>
      <c r="AB371" s="271"/>
      <c r="AC371" s="270"/>
      <c r="AD371" s="162" t="s">
        <v>383</v>
      </c>
      <c r="AE371" s="271"/>
      <c r="AF371" s="270"/>
      <c r="AG371" s="162" t="s">
        <v>384</v>
      </c>
      <c r="AH371" s="271"/>
      <c r="AI371" s="270"/>
      <c r="AJ371" s="162" t="s">
        <v>385</v>
      </c>
      <c r="AK371" s="271"/>
      <c r="AL371" s="270"/>
      <c r="AM371" s="162" t="s">
        <v>386</v>
      </c>
      <c r="AN371" s="271"/>
      <c r="AO371" s="270"/>
      <c r="AP371" s="162" t="s">
        <v>387</v>
      </c>
      <c r="AQ371" s="271"/>
      <c r="AR371" s="270"/>
      <c r="AS371" s="162" t="s">
        <v>388</v>
      </c>
      <c r="AT371" s="271"/>
      <c r="AU371" s="270"/>
      <c r="AV371" s="162"/>
      <c r="AW371" s="271"/>
      <c r="AX371" s="270"/>
      <c r="AY371" s="162" t="s">
        <v>3</v>
      </c>
      <c r="AZ371" s="271"/>
      <c r="BA371" s="270"/>
      <c r="BB371" s="162" t="s">
        <v>4</v>
      </c>
      <c r="BC371" s="271"/>
      <c r="BD371" s="270"/>
      <c r="BE371" s="162" t="s">
        <v>5</v>
      </c>
      <c r="BF371" s="271"/>
      <c r="BG371" s="270"/>
      <c r="BH371" s="162" t="s">
        <v>6</v>
      </c>
      <c r="BI371" s="271"/>
      <c r="BJ371" s="454"/>
    </row>
    <row r="372" spans="1:62" s="28" customFormat="1" hidden="1" outlineLevel="1" x14ac:dyDescent="0.3">
      <c r="A372" s="144"/>
      <c r="B372" s="22"/>
      <c r="C372" s="3"/>
      <c r="D372" s="4"/>
      <c r="E372" s="15"/>
      <c r="F372" s="113"/>
      <c r="G372" s="54"/>
      <c r="H372" s="265"/>
      <c r="I372" s="113"/>
      <c r="J372" s="145"/>
      <c r="K372" s="265"/>
      <c r="L372" s="113"/>
      <c r="M372" s="145"/>
      <c r="N372" s="265"/>
      <c r="O372" s="113"/>
      <c r="P372" s="145"/>
      <c r="Q372" s="265"/>
      <c r="R372" s="113"/>
      <c r="S372" s="145"/>
      <c r="T372" s="265"/>
      <c r="U372" s="113"/>
      <c r="V372" s="145"/>
      <c r="W372" s="265"/>
      <c r="X372" s="113"/>
      <c r="Y372" s="145"/>
      <c r="Z372" s="265"/>
      <c r="AA372" s="113"/>
      <c r="AB372" s="145"/>
      <c r="AC372" s="265"/>
      <c r="AD372" s="113"/>
      <c r="AE372" s="145"/>
      <c r="AF372" s="265"/>
      <c r="AG372" s="113"/>
      <c r="AH372" s="145"/>
      <c r="AI372" s="265"/>
      <c r="AJ372" s="113"/>
      <c r="AK372" s="145"/>
      <c r="AL372" s="265"/>
      <c r="AM372" s="113"/>
      <c r="AN372" s="145"/>
      <c r="AO372" s="265"/>
      <c r="AP372" s="113"/>
      <c r="AQ372" s="145"/>
      <c r="AR372" s="265"/>
      <c r="AS372" s="113"/>
      <c r="AT372" s="145"/>
      <c r="AU372" s="265"/>
      <c r="AV372" s="113"/>
      <c r="AW372" s="145"/>
      <c r="AX372" s="265"/>
      <c r="AY372" s="113"/>
      <c r="AZ372" s="145"/>
      <c r="BA372" s="265"/>
      <c r="BB372" s="113"/>
      <c r="BC372" s="145"/>
      <c r="BD372" s="265"/>
      <c r="BE372" s="113"/>
      <c r="BF372" s="145"/>
      <c r="BG372" s="265"/>
      <c r="BH372" s="113"/>
      <c r="BI372" s="145"/>
      <c r="BJ372" s="454"/>
    </row>
    <row r="373" spans="1:62" s="28" customFormat="1" hidden="1" outlineLevel="2" x14ac:dyDescent="0.3">
      <c r="A373" s="69" t="s">
        <v>389</v>
      </c>
      <c r="B373" s="2"/>
      <c r="C373" s="58"/>
      <c r="D373" s="59"/>
      <c r="E373" s="59"/>
      <c r="F373" s="39"/>
      <c r="G373" s="54"/>
      <c r="H373" s="272"/>
      <c r="I373" s="163"/>
      <c r="J373" s="164"/>
      <c r="K373" s="272"/>
      <c r="L373" s="163"/>
      <c r="M373" s="164"/>
      <c r="N373" s="272"/>
      <c r="O373" s="163"/>
      <c r="P373" s="164"/>
      <c r="Q373" s="272"/>
      <c r="R373" s="163"/>
      <c r="S373" s="164"/>
      <c r="T373" s="272"/>
      <c r="U373" s="163"/>
      <c r="V373" s="164"/>
      <c r="W373" s="272"/>
      <c r="X373" s="163"/>
      <c r="Y373" s="164"/>
      <c r="Z373" s="272"/>
      <c r="AA373" s="163"/>
      <c r="AB373" s="164"/>
      <c r="AC373" s="272"/>
      <c r="AD373" s="163"/>
      <c r="AE373" s="164"/>
      <c r="AF373" s="272"/>
      <c r="AG373" s="163"/>
      <c r="AH373" s="164"/>
      <c r="AI373" s="272"/>
      <c r="AJ373" s="163"/>
      <c r="AK373" s="164"/>
      <c r="AL373" s="272"/>
      <c r="AM373" s="163"/>
      <c r="AN373" s="164"/>
      <c r="AO373" s="272"/>
      <c r="AP373" s="163"/>
      <c r="AQ373" s="164"/>
      <c r="AR373" s="272"/>
      <c r="AS373" s="163"/>
      <c r="AT373" s="164"/>
      <c r="AU373" s="272"/>
      <c r="AV373" s="163"/>
      <c r="AW373" s="164"/>
      <c r="AX373" s="272"/>
      <c r="AY373" s="163"/>
      <c r="AZ373" s="164"/>
      <c r="BA373" s="272"/>
      <c r="BB373" s="163"/>
      <c r="BC373" s="164"/>
      <c r="BD373" s="272"/>
      <c r="BE373" s="163"/>
      <c r="BF373" s="164"/>
      <c r="BG373" s="272"/>
      <c r="BH373" s="163"/>
      <c r="BI373" s="164"/>
      <c r="BJ373" s="454"/>
    </row>
    <row r="374" spans="1:62" s="28" customFormat="1" ht="25.2" hidden="1" customHeight="1" outlineLevel="2" x14ac:dyDescent="0.3">
      <c r="A374" s="21" t="s">
        <v>390</v>
      </c>
      <c r="B374" s="22"/>
      <c r="C374" s="3"/>
      <c r="D374" s="4"/>
      <c r="E374" s="4"/>
      <c r="F374" s="54"/>
      <c r="G374" s="54"/>
      <c r="H374" s="273"/>
      <c r="I374" s="165"/>
      <c r="J374" s="166"/>
      <c r="K374" s="273"/>
      <c r="L374" s="165"/>
      <c r="M374" s="166"/>
      <c r="N374" s="273"/>
      <c r="O374" s="165"/>
      <c r="P374" s="166"/>
      <c r="Q374" s="273"/>
      <c r="R374" s="165"/>
      <c r="S374" s="166"/>
      <c r="T374" s="273"/>
      <c r="U374" s="165"/>
      <c r="V374" s="166"/>
      <c r="W374" s="273"/>
      <c r="X374" s="165"/>
      <c r="Y374" s="166"/>
      <c r="Z374" s="273"/>
      <c r="AA374" s="165"/>
      <c r="AB374" s="166"/>
      <c r="AC374" s="273"/>
      <c r="AD374" s="165"/>
      <c r="AE374" s="166"/>
      <c r="AF374" s="273"/>
      <c r="AG374" s="165"/>
      <c r="AH374" s="166"/>
      <c r="AI374" s="273"/>
      <c r="AJ374" s="165"/>
      <c r="AK374" s="166"/>
      <c r="AL374" s="273"/>
      <c r="AM374" s="165"/>
      <c r="AN374" s="166"/>
      <c r="AO374" s="273"/>
      <c r="AP374" s="165"/>
      <c r="AQ374" s="166"/>
      <c r="AR374" s="273"/>
      <c r="AS374" s="165"/>
      <c r="AT374" s="166"/>
      <c r="AU374" s="273"/>
      <c r="AV374" s="165"/>
      <c r="AW374" s="166"/>
      <c r="AX374" s="273"/>
      <c r="AY374" s="165"/>
      <c r="AZ374" s="166"/>
      <c r="BA374" s="273"/>
      <c r="BB374" s="165"/>
      <c r="BC374" s="166"/>
      <c r="BD374" s="273"/>
      <c r="BE374" s="165"/>
      <c r="BF374" s="166"/>
      <c r="BG374" s="273"/>
      <c r="BH374" s="165"/>
      <c r="BI374" s="166"/>
      <c r="BJ374" s="454"/>
    </row>
    <row r="375" spans="1:62" s="28" customFormat="1" hidden="1" outlineLevel="2" x14ac:dyDescent="0.3">
      <c r="A375" s="69" t="s">
        <v>391</v>
      </c>
      <c r="B375" s="22"/>
      <c r="C375" s="3"/>
      <c r="D375" s="4"/>
      <c r="E375" s="4"/>
      <c r="F375" s="54"/>
      <c r="G375" s="54"/>
      <c r="H375" s="237"/>
      <c r="I375" s="26"/>
      <c r="J375" s="27"/>
      <c r="K375" s="237"/>
      <c r="L375" s="26"/>
      <c r="M375" s="27"/>
      <c r="N375" s="237"/>
      <c r="O375" s="26"/>
      <c r="P375" s="27"/>
      <c r="Q375" s="237"/>
      <c r="R375" s="26"/>
      <c r="S375" s="27"/>
      <c r="T375" s="237"/>
      <c r="U375" s="26"/>
      <c r="V375" s="27"/>
      <c r="W375" s="237"/>
      <c r="X375" s="26"/>
      <c r="Y375" s="27"/>
      <c r="Z375" s="237"/>
      <c r="AA375" s="26"/>
      <c r="AB375" s="27"/>
      <c r="AC375" s="237"/>
      <c r="AD375" s="26"/>
      <c r="AE375" s="27"/>
      <c r="AF375" s="237"/>
      <c r="AG375" s="26"/>
      <c r="AH375" s="27"/>
      <c r="AI375" s="237"/>
      <c r="AJ375" s="26"/>
      <c r="AK375" s="27"/>
      <c r="AL375" s="237"/>
      <c r="AM375" s="26"/>
      <c r="AN375" s="27"/>
      <c r="AO375" s="237"/>
      <c r="AP375" s="26"/>
      <c r="AQ375" s="27"/>
      <c r="AR375" s="237"/>
      <c r="AS375" s="26"/>
      <c r="AT375" s="27"/>
      <c r="AU375" s="237"/>
      <c r="AV375" s="26"/>
      <c r="AW375" s="27"/>
      <c r="AX375" s="237"/>
      <c r="AY375" s="26"/>
      <c r="AZ375" s="27"/>
      <c r="BA375" s="237"/>
      <c r="BB375" s="26"/>
      <c r="BC375" s="27"/>
      <c r="BD375" s="237"/>
      <c r="BE375" s="26"/>
      <c r="BF375" s="27"/>
      <c r="BG375" s="237"/>
      <c r="BH375" s="26"/>
      <c r="BI375" s="27"/>
      <c r="BJ375" s="454"/>
    </row>
    <row r="376" spans="1:62" s="28" customFormat="1" hidden="1" outlineLevel="2" x14ac:dyDescent="0.3">
      <c r="A376" s="161" t="s">
        <v>392</v>
      </c>
      <c r="B376" s="2"/>
      <c r="C376" s="58"/>
      <c r="D376" s="59"/>
      <c r="E376" s="59"/>
      <c r="F376" s="39"/>
      <c r="G376" s="54"/>
      <c r="H376" s="237"/>
      <c r="I376" s="26"/>
      <c r="J376" s="27"/>
      <c r="K376" s="237"/>
      <c r="L376" s="26"/>
      <c r="M376" s="27"/>
      <c r="N376" s="237"/>
      <c r="O376" s="26"/>
      <c r="P376" s="27"/>
      <c r="Q376" s="237"/>
      <c r="R376" s="26"/>
      <c r="S376" s="27"/>
      <c r="T376" s="237"/>
      <c r="U376" s="26"/>
      <c r="V376" s="27"/>
      <c r="W376" s="237"/>
      <c r="X376" s="26"/>
      <c r="Y376" s="27"/>
      <c r="Z376" s="237"/>
      <c r="AA376" s="26"/>
      <c r="AB376" s="27"/>
      <c r="AC376" s="237"/>
      <c r="AD376" s="26"/>
      <c r="AE376" s="27"/>
      <c r="AF376" s="237"/>
      <c r="AG376" s="26"/>
      <c r="AH376" s="27"/>
      <c r="AI376" s="237"/>
      <c r="AJ376" s="26"/>
      <c r="AK376" s="27"/>
      <c r="AL376" s="237"/>
      <c r="AM376" s="26"/>
      <c r="AN376" s="27"/>
      <c r="AO376" s="237"/>
      <c r="AP376" s="26"/>
      <c r="AQ376" s="27"/>
      <c r="AR376" s="237"/>
      <c r="AS376" s="26"/>
      <c r="AT376" s="27"/>
      <c r="AU376" s="237"/>
      <c r="AV376" s="26"/>
      <c r="AW376" s="27"/>
      <c r="AX376" s="237"/>
      <c r="AY376" s="26"/>
      <c r="AZ376" s="27"/>
      <c r="BA376" s="237"/>
      <c r="BB376" s="26"/>
      <c r="BC376" s="27"/>
      <c r="BD376" s="237"/>
      <c r="BE376" s="26"/>
      <c r="BF376" s="27"/>
      <c r="BG376" s="237"/>
      <c r="BH376" s="26"/>
      <c r="BI376" s="27"/>
      <c r="BJ376" s="454"/>
    </row>
    <row r="377" spans="1:62" s="28" customFormat="1" hidden="1" outlineLevel="1" x14ac:dyDescent="0.3">
      <c r="A377" s="144"/>
      <c r="B377" s="22"/>
      <c r="C377" s="3"/>
      <c r="D377" s="4"/>
      <c r="E377" s="15"/>
      <c r="F377" s="113"/>
      <c r="G377" s="54"/>
      <c r="H377" s="265"/>
      <c r="I377" s="113"/>
      <c r="J377" s="145"/>
      <c r="K377" s="265"/>
      <c r="L377" s="113"/>
      <c r="M377" s="145"/>
      <c r="N377" s="265"/>
      <c r="O377" s="113"/>
      <c r="P377" s="145"/>
      <c r="Q377" s="265"/>
      <c r="R377" s="113"/>
      <c r="S377" s="145"/>
      <c r="T377" s="265"/>
      <c r="U377" s="113"/>
      <c r="V377" s="145"/>
      <c r="W377" s="265"/>
      <c r="X377" s="113"/>
      <c r="Y377" s="145"/>
      <c r="Z377" s="265"/>
      <c r="AA377" s="113"/>
      <c r="AB377" s="145"/>
      <c r="AC377" s="265"/>
      <c r="AD377" s="113"/>
      <c r="AE377" s="145"/>
      <c r="AF377" s="265"/>
      <c r="AG377" s="113"/>
      <c r="AH377" s="145"/>
      <c r="AI377" s="265"/>
      <c r="AJ377" s="113"/>
      <c r="AK377" s="145"/>
      <c r="AL377" s="265"/>
      <c r="AM377" s="113"/>
      <c r="AN377" s="145"/>
      <c r="AO377" s="265"/>
      <c r="AP377" s="113"/>
      <c r="AQ377" s="145"/>
      <c r="AR377" s="265"/>
      <c r="AS377" s="113"/>
      <c r="AT377" s="145"/>
      <c r="AU377" s="265"/>
      <c r="AV377" s="113"/>
      <c r="AW377" s="145"/>
      <c r="AX377" s="265"/>
      <c r="AY377" s="113"/>
      <c r="AZ377" s="145"/>
      <c r="BA377" s="265"/>
      <c r="BB377" s="113"/>
      <c r="BC377" s="145"/>
      <c r="BD377" s="265"/>
      <c r="BE377" s="113"/>
      <c r="BF377" s="145"/>
      <c r="BG377" s="265"/>
      <c r="BH377" s="113"/>
      <c r="BI377" s="145"/>
      <c r="BJ377" s="454"/>
    </row>
    <row r="378" spans="1:62" s="28" customFormat="1" hidden="1" outlineLevel="1" x14ac:dyDescent="0.3">
      <c r="A378" s="167" t="s">
        <v>393</v>
      </c>
      <c r="B378" s="168"/>
      <c r="C378" s="168"/>
      <c r="D378" s="168"/>
      <c r="E378" s="168"/>
      <c r="F378" s="168"/>
      <c r="G378" s="168"/>
      <c r="H378" s="167"/>
      <c r="I378" s="168"/>
      <c r="J378" s="169"/>
      <c r="K378" s="167"/>
      <c r="L378" s="168"/>
      <c r="M378" s="169"/>
      <c r="N378" s="167"/>
      <c r="O378" s="168"/>
      <c r="P378" s="169"/>
      <c r="Q378" s="167"/>
      <c r="R378" s="168"/>
      <c r="S378" s="169"/>
      <c r="T378" s="167"/>
      <c r="U378" s="168"/>
      <c r="V378" s="169"/>
      <c r="W378" s="167"/>
      <c r="X378" s="168"/>
      <c r="Y378" s="169"/>
      <c r="Z378" s="167"/>
      <c r="AA378" s="168"/>
      <c r="AB378" s="169"/>
      <c r="AC378" s="167"/>
      <c r="AD378" s="168"/>
      <c r="AE378" s="169"/>
      <c r="AF378" s="167"/>
      <c r="AG378" s="168"/>
      <c r="AH378" s="169"/>
      <c r="AI378" s="167"/>
      <c r="AJ378" s="168"/>
      <c r="AK378" s="169"/>
      <c r="AL378" s="167"/>
      <c r="AM378" s="168"/>
      <c r="AN378" s="169"/>
      <c r="AO378" s="167"/>
      <c r="AP378" s="168"/>
      <c r="AQ378" s="169"/>
      <c r="AR378" s="167"/>
      <c r="AS378" s="168"/>
      <c r="AT378" s="169"/>
      <c r="AU378" s="167"/>
      <c r="AV378" s="168"/>
      <c r="AW378" s="169"/>
      <c r="AX378" s="167"/>
      <c r="AY378" s="168"/>
      <c r="AZ378" s="169"/>
      <c r="BA378" s="167"/>
      <c r="BB378" s="168"/>
      <c r="BC378" s="169"/>
      <c r="BD378" s="167"/>
      <c r="BE378" s="168"/>
      <c r="BF378" s="169"/>
      <c r="BG378" s="167"/>
      <c r="BH378" s="168"/>
      <c r="BI378" s="169"/>
      <c r="BJ378" s="454"/>
    </row>
    <row r="379" spans="1:62" s="28" customFormat="1" hidden="1" outlineLevel="2" x14ac:dyDescent="0.3">
      <c r="A379" s="21" t="s">
        <v>394</v>
      </c>
      <c r="B379" s="22"/>
      <c r="C379" s="3"/>
      <c r="D379" s="4"/>
      <c r="E379" s="4"/>
      <c r="F379" s="54"/>
      <c r="G379" s="54"/>
      <c r="H379" s="274"/>
      <c r="I379" s="120"/>
      <c r="J379" s="170"/>
      <c r="K379" s="274"/>
      <c r="L379" s="120"/>
      <c r="M379" s="170"/>
      <c r="N379" s="274"/>
      <c r="O379" s="120"/>
      <c r="P379" s="170"/>
      <c r="Q379" s="274"/>
      <c r="R379" s="120"/>
      <c r="S379" s="170"/>
      <c r="T379" s="274"/>
      <c r="U379" s="120"/>
      <c r="V379" s="170"/>
      <c r="W379" s="274"/>
      <c r="X379" s="120"/>
      <c r="Y379" s="170"/>
      <c r="Z379" s="274"/>
      <c r="AA379" s="120"/>
      <c r="AB379" s="170"/>
      <c r="AC379" s="274"/>
      <c r="AD379" s="120"/>
      <c r="AE379" s="170"/>
      <c r="AF379" s="274"/>
      <c r="AG379" s="120"/>
      <c r="AH379" s="170"/>
      <c r="AI379" s="274"/>
      <c r="AJ379" s="120"/>
      <c r="AK379" s="170"/>
      <c r="AL379" s="274"/>
      <c r="AM379" s="120"/>
      <c r="AN379" s="170"/>
      <c r="AO379" s="274"/>
      <c r="AP379" s="120"/>
      <c r="AQ379" s="170"/>
      <c r="AR379" s="274"/>
      <c r="AS379" s="120"/>
      <c r="AT379" s="170"/>
      <c r="AU379" s="274"/>
      <c r="AV379" s="120"/>
      <c r="AW379" s="170"/>
      <c r="AX379" s="274"/>
      <c r="AY379" s="120"/>
      <c r="AZ379" s="170"/>
      <c r="BA379" s="274"/>
      <c r="BB379" s="120"/>
      <c r="BC379" s="170"/>
      <c r="BD379" s="274"/>
      <c r="BE379" s="120"/>
      <c r="BF379" s="170"/>
      <c r="BG379" s="274"/>
      <c r="BH379" s="120"/>
      <c r="BI379" s="170"/>
      <c r="BJ379" s="454"/>
    </row>
    <row r="380" spans="1:62" s="28" customFormat="1" hidden="1" outlineLevel="2" x14ac:dyDescent="0.3">
      <c r="A380" s="21" t="s">
        <v>395</v>
      </c>
      <c r="B380" s="22"/>
      <c r="C380" s="3"/>
      <c r="D380" s="4"/>
      <c r="E380" s="4"/>
      <c r="F380" s="54"/>
      <c r="G380" s="54"/>
      <c r="H380" s="274">
        <v>0.03</v>
      </c>
      <c r="I380" s="120"/>
      <c r="J380" s="170"/>
      <c r="K380" s="274"/>
      <c r="L380" s="120"/>
      <c r="M380" s="170"/>
      <c r="N380" s="274"/>
      <c r="O380" s="120"/>
      <c r="P380" s="170"/>
      <c r="Q380" s="274"/>
      <c r="R380" s="120"/>
      <c r="S380" s="170"/>
      <c r="T380" s="274"/>
      <c r="U380" s="120"/>
      <c r="V380" s="170"/>
      <c r="W380" s="274"/>
      <c r="X380" s="120"/>
      <c r="Y380" s="170"/>
      <c r="Z380" s="274"/>
      <c r="AA380" s="120"/>
      <c r="AB380" s="170"/>
      <c r="AC380" s="274"/>
      <c r="AD380" s="120"/>
      <c r="AE380" s="170"/>
      <c r="AF380" s="274"/>
      <c r="AG380" s="120"/>
      <c r="AH380" s="170"/>
      <c r="AI380" s="274"/>
      <c r="AJ380" s="120"/>
      <c r="AK380" s="170"/>
      <c r="AL380" s="274"/>
      <c r="AM380" s="120"/>
      <c r="AN380" s="170"/>
      <c r="AO380" s="274"/>
      <c r="AP380" s="120"/>
      <c r="AQ380" s="170"/>
      <c r="AR380" s="274"/>
      <c r="AS380" s="120"/>
      <c r="AT380" s="170"/>
      <c r="AU380" s="274"/>
      <c r="AV380" s="120"/>
      <c r="AW380" s="170"/>
      <c r="AX380" s="274"/>
      <c r="AY380" s="120"/>
      <c r="AZ380" s="170"/>
      <c r="BA380" s="274"/>
      <c r="BB380" s="120"/>
      <c r="BC380" s="170"/>
      <c r="BD380" s="274"/>
      <c r="BE380" s="120"/>
      <c r="BF380" s="170"/>
      <c r="BG380" s="274"/>
      <c r="BH380" s="120"/>
      <c r="BI380" s="170"/>
      <c r="BJ380" s="454"/>
    </row>
    <row r="381" spans="1:62" s="28" customFormat="1" ht="25.2" hidden="1" customHeight="1" outlineLevel="2" x14ac:dyDescent="0.3">
      <c r="A381" s="21" t="s">
        <v>396</v>
      </c>
      <c r="B381" s="22"/>
      <c r="C381" s="3"/>
      <c r="D381" s="4"/>
      <c r="E381" s="4"/>
      <c r="F381" s="54"/>
      <c r="G381" s="54"/>
      <c r="H381" s="274">
        <v>7.0000000000000007E-2</v>
      </c>
      <c r="I381" s="120"/>
      <c r="J381" s="170"/>
      <c r="K381" s="274"/>
      <c r="L381" s="120"/>
      <c r="M381" s="170"/>
      <c r="N381" s="274"/>
      <c r="O381" s="120"/>
      <c r="P381" s="170"/>
      <c r="Q381" s="274"/>
      <c r="R381" s="120"/>
      <c r="S381" s="170"/>
      <c r="T381" s="274"/>
      <c r="U381" s="120"/>
      <c r="V381" s="170"/>
      <c r="W381" s="274"/>
      <c r="X381" s="120"/>
      <c r="Y381" s="170"/>
      <c r="Z381" s="274"/>
      <c r="AA381" s="120"/>
      <c r="AB381" s="170"/>
      <c r="AC381" s="274"/>
      <c r="AD381" s="120"/>
      <c r="AE381" s="170"/>
      <c r="AF381" s="274"/>
      <c r="AG381" s="120"/>
      <c r="AH381" s="170"/>
      <c r="AI381" s="274"/>
      <c r="AJ381" s="120"/>
      <c r="AK381" s="170"/>
      <c r="AL381" s="274"/>
      <c r="AM381" s="120"/>
      <c r="AN381" s="170"/>
      <c r="AO381" s="274"/>
      <c r="AP381" s="120"/>
      <c r="AQ381" s="170"/>
      <c r="AR381" s="274"/>
      <c r="AS381" s="120"/>
      <c r="AT381" s="170"/>
      <c r="AU381" s="274"/>
      <c r="AV381" s="120"/>
      <c r="AW381" s="170"/>
      <c r="AX381" s="274"/>
      <c r="AY381" s="120"/>
      <c r="AZ381" s="170"/>
      <c r="BA381" s="274"/>
      <c r="BB381" s="120"/>
      <c r="BC381" s="170"/>
      <c r="BD381" s="274"/>
      <c r="BE381" s="120"/>
      <c r="BF381" s="170"/>
      <c r="BG381" s="274"/>
      <c r="BH381" s="120"/>
      <c r="BI381" s="170"/>
      <c r="BJ381" s="454"/>
    </row>
    <row r="382" spans="1:62" s="28" customFormat="1" hidden="1" outlineLevel="2" x14ac:dyDescent="0.3">
      <c r="A382" s="21" t="s">
        <v>397</v>
      </c>
      <c r="B382" s="22"/>
      <c r="C382" s="3"/>
      <c r="D382" s="4"/>
      <c r="E382" s="4"/>
      <c r="F382" s="54"/>
      <c r="G382" s="54"/>
      <c r="H382" s="273">
        <v>3.6499999999999998E-2</v>
      </c>
      <c r="I382" s="165"/>
      <c r="J382" s="166"/>
      <c r="K382" s="273"/>
      <c r="L382" s="165"/>
      <c r="M382" s="166"/>
      <c r="N382" s="273"/>
      <c r="O382" s="165"/>
      <c r="P382" s="166"/>
      <c r="Q382" s="273"/>
      <c r="R382" s="165"/>
      <c r="S382" s="166"/>
      <c r="T382" s="273"/>
      <c r="U382" s="165"/>
      <c r="V382" s="166"/>
      <c r="W382" s="273"/>
      <c r="X382" s="165"/>
      <c r="Y382" s="166"/>
      <c r="Z382" s="273"/>
      <c r="AA382" s="165"/>
      <c r="AB382" s="166"/>
      <c r="AC382" s="273"/>
      <c r="AD382" s="165"/>
      <c r="AE382" s="166"/>
      <c r="AF382" s="273"/>
      <c r="AG382" s="165"/>
      <c r="AH382" s="166"/>
      <c r="AI382" s="273"/>
      <c r="AJ382" s="165"/>
      <c r="AK382" s="166"/>
      <c r="AL382" s="273"/>
      <c r="AM382" s="165"/>
      <c r="AN382" s="166"/>
      <c r="AO382" s="273"/>
      <c r="AP382" s="165"/>
      <c r="AQ382" s="166"/>
      <c r="AR382" s="273"/>
      <c r="AS382" s="165"/>
      <c r="AT382" s="166"/>
      <c r="AU382" s="273"/>
      <c r="AV382" s="165"/>
      <c r="AW382" s="166"/>
      <c r="AX382" s="273"/>
      <c r="AY382" s="165"/>
      <c r="AZ382" s="166"/>
      <c r="BA382" s="273"/>
      <c r="BB382" s="165"/>
      <c r="BC382" s="166"/>
      <c r="BD382" s="273"/>
      <c r="BE382" s="165"/>
      <c r="BF382" s="166"/>
      <c r="BG382" s="273"/>
      <c r="BH382" s="165"/>
      <c r="BI382" s="166"/>
      <c r="BJ382" s="454"/>
    </row>
    <row r="383" spans="1:62" s="28" customFormat="1" hidden="1" outlineLevel="2" x14ac:dyDescent="0.3">
      <c r="A383" s="21" t="s">
        <v>398</v>
      </c>
      <c r="B383" s="22"/>
      <c r="C383" s="171" t="s">
        <v>399</v>
      </c>
      <c r="D383" s="172" t="s">
        <v>400</v>
      </c>
      <c r="E383" s="4"/>
      <c r="F383" s="54"/>
      <c r="G383" s="54"/>
      <c r="H383" s="273">
        <v>1.2E-2</v>
      </c>
      <c r="I383" s="165"/>
      <c r="J383" s="166"/>
      <c r="K383" s="273"/>
      <c r="L383" s="165"/>
      <c r="M383" s="166"/>
      <c r="N383" s="273"/>
      <c r="O383" s="165"/>
      <c r="P383" s="166"/>
      <c r="Q383" s="273"/>
      <c r="R383" s="165"/>
      <c r="S383" s="166"/>
      <c r="T383" s="273"/>
      <c r="U383" s="165"/>
      <c r="V383" s="166"/>
      <c r="W383" s="273"/>
      <c r="X383" s="165"/>
      <c r="Y383" s="166"/>
      <c r="Z383" s="273"/>
      <c r="AA383" s="165"/>
      <c r="AB383" s="166"/>
      <c r="AC383" s="273"/>
      <c r="AD383" s="165"/>
      <c r="AE383" s="166"/>
      <c r="AF383" s="273"/>
      <c r="AG383" s="165"/>
      <c r="AH383" s="166"/>
      <c r="AI383" s="273"/>
      <c r="AJ383" s="165"/>
      <c r="AK383" s="166"/>
      <c r="AL383" s="273"/>
      <c r="AM383" s="165"/>
      <c r="AN383" s="166"/>
      <c r="AO383" s="273"/>
      <c r="AP383" s="165"/>
      <c r="AQ383" s="166"/>
      <c r="AR383" s="273"/>
      <c r="AS383" s="165"/>
      <c r="AT383" s="166"/>
      <c r="AU383" s="273"/>
      <c r="AV383" s="165"/>
      <c r="AW383" s="166"/>
      <c r="AX383" s="273"/>
      <c r="AY383" s="165"/>
      <c r="AZ383" s="166"/>
      <c r="BA383" s="273"/>
      <c r="BB383" s="165"/>
      <c r="BC383" s="166"/>
      <c r="BD383" s="273"/>
      <c r="BE383" s="165"/>
      <c r="BF383" s="166"/>
      <c r="BG383" s="273"/>
      <c r="BH383" s="165"/>
      <c r="BI383" s="166"/>
      <c r="BJ383" s="454"/>
    </row>
    <row r="384" spans="1:62" s="28" customFormat="1" hidden="1" outlineLevel="2" x14ac:dyDescent="0.3">
      <c r="A384" s="21" t="s">
        <v>401</v>
      </c>
      <c r="B384" s="22"/>
      <c r="C384" s="3"/>
      <c r="D384" s="4"/>
      <c r="E384" s="4"/>
      <c r="F384" s="54"/>
      <c r="G384" s="54"/>
      <c r="H384" s="273">
        <v>1.0800000000000001E-2</v>
      </c>
      <c r="I384" s="165"/>
      <c r="J384" s="166"/>
      <c r="K384" s="273"/>
      <c r="L384" s="165"/>
      <c r="M384" s="166"/>
      <c r="N384" s="273"/>
      <c r="O384" s="165"/>
      <c r="P384" s="166"/>
      <c r="Q384" s="273"/>
      <c r="R384" s="165"/>
      <c r="S384" s="166"/>
      <c r="T384" s="273"/>
      <c r="U384" s="165"/>
      <c r="V384" s="166"/>
      <c r="W384" s="273"/>
      <c r="X384" s="165"/>
      <c r="Y384" s="166"/>
      <c r="Z384" s="273"/>
      <c r="AA384" s="165"/>
      <c r="AB384" s="166"/>
      <c r="AC384" s="273"/>
      <c r="AD384" s="165"/>
      <c r="AE384" s="166"/>
      <c r="AF384" s="273"/>
      <c r="AG384" s="165"/>
      <c r="AH384" s="166"/>
      <c r="AI384" s="273"/>
      <c r="AJ384" s="165"/>
      <c r="AK384" s="166"/>
      <c r="AL384" s="273"/>
      <c r="AM384" s="165"/>
      <c r="AN384" s="166"/>
      <c r="AO384" s="273"/>
      <c r="AP384" s="165"/>
      <c r="AQ384" s="166"/>
      <c r="AR384" s="273"/>
      <c r="AS384" s="165"/>
      <c r="AT384" s="166"/>
      <c r="AU384" s="273"/>
      <c r="AV384" s="165"/>
      <c r="AW384" s="166"/>
      <c r="AX384" s="273"/>
      <c r="AY384" s="165"/>
      <c r="AZ384" s="166"/>
      <c r="BA384" s="273"/>
      <c r="BB384" s="165"/>
      <c r="BC384" s="166"/>
      <c r="BD384" s="273"/>
      <c r="BE384" s="165"/>
      <c r="BF384" s="166"/>
      <c r="BG384" s="273"/>
      <c r="BH384" s="165"/>
      <c r="BI384" s="166"/>
      <c r="BJ384" s="454"/>
    </row>
    <row r="385" spans="1:62" s="28" customFormat="1" hidden="1" outlineLevel="2" x14ac:dyDescent="0.3">
      <c r="A385" s="21" t="s">
        <v>402</v>
      </c>
      <c r="B385" s="22"/>
      <c r="C385" s="3"/>
      <c r="D385" s="4"/>
      <c r="E385" s="4"/>
      <c r="F385" s="54"/>
      <c r="G385" s="54"/>
      <c r="H385" s="273">
        <v>0</v>
      </c>
      <c r="I385" s="165"/>
      <c r="J385" s="166"/>
      <c r="K385" s="273"/>
      <c r="L385" s="165"/>
      <c r="M385" s="166"/>
      <c r="N385" s="273"/>
      <c r="O385" s="165"/>
      <c r="P385" s="166"/>
      <c r="Q385" s="273"/>
      <c r="R385" s="165"/>
      <c r="S385" s="166"/>
      <c r="T385" s="273"/>
      <c r="U385" s="165"/>
      <c r="V385" s="166"/>
      <c r="W385" s="273"/>
      <c r="X385" s="165"/>
      <c r="Y385" s="166"/>
      <c r="Z385" s="273"/>
      <c r="AA385" s="165"/>
      <c r="AB385" s="166"/>
      <c r="AC385" s="273"/>
      <c r="AD385" s="165"/>
      <c r="AE385" s="166"/>
      <c r="AF385" s="273"/>
      <c r="AG385" s="165"/>
      <c r="AH385" s="166"/>
      <c r="AI385" s="273"/>
      <c r="AJ385" s="165"/>
      <c r="AK385" s="166"/>
      <c r="AL385" s="273"/>
      <c r="AM385" s="165"/>
      <c r="AN385" s="166"/>
      <c r="AO385" s="273"/>
      <c r="AP385" s="165"/>
      <c r="AQ385" s="166"/>
      <c r="AR385" s="273"/>
      <c r="AS385" s="165"/>
      <c r="AT385" s="166"/>
      <c r="AU385" s="273"/>
      <c r="AV385" s="165"/>
      <c r="AW385" s="166"/>
      <c r="AX385" s="273"/>
      <c r="AY385" s="165"/>
      <c r="AZ385" s="166"/>
      <c r="BA385" s="273"/>
      <c r="BB385" s="165"/>
      <c r="BC385" s="166"/>
      <c r="BD385" s="273"/>
      <c r="BE385" s="165"/>
      <c r="BF385" s="166"/>
      <c r="BG385" s="273"/>
      <c r="BH385" s="165"/>
      <c r="BI385" s="166"/>
      <c r="BJ385" s="454"/>
    </row>
    <row r="386" spans="1:62" s="28" customFormat="1" hidden="1" outlineLevel="2" x14ac:dyDescent="0.3">
      <c r="A386" s="21" t="s">
        <v>403</v>
      </c>
      <c r="B386" s="22"/>
      <c r="C386" s="3"/>
      <c r="D386" s="4"/>
      <c r="E386" s="4"/>
      <c r="F386" s="54"/>
      <c r="G386" s="54"/>
      <c r="H386" s="273">
        <v>3.2000000000000001E-2</v>
      </c>
      <c r="I386" s="165"/>
      <c r="J386" s="166"/>
      <c r="K386" s="273"/>
      <c r="L386" s="165"/>
      <c r="M386" s="166"/>
      <c r="N386" s="273"/>
      <c r="O386" s="165"/>
      <c r="P386" s="166"/>
      <c r="Q386" s="273"/>
      <c r="R386" s="165"/>
      <c r="S386" s="166"/>
      <c r="T386" s="273"/>
      <c r="U386" s="165"/>
      <c r="V386" s="166"/>
      <c r="W386" s="273"/>
      <c r="X386" s="165"/>
      <c r="Y386" s="166"/>
      <c r="Z386" s="273"/>
      <c r="AA386" s="165"/>
      <c r="AB386" s="166"/>
      <c r="AC386" s="273"/>
      <c r="AD386" s="165"/>
      <c r="AE386" s="166"/>
      <c r="AF386" s="273"/>
      <c r="AG386" s="165"/>
      <c r="AH386" s="166"/>
      <c r="AI386" s="273"/>
      <c r="AJ386" s="165"/>
      <c r="AK386" s="166"/>
      <c r="AL386" s="273"/>
      <c r="AM386" s="165"/>
      <c r="AN386" s="166"/>
      <c r="AO386" s="273"/>
      <c r="AP386" s="165"/>
      <c r="AQ386" s="166"/>
      <c r="AR386" s="273"/>
      <c r="AS386" s="165"/>
      <c r="AT386" s="166"/>
      <c r="AU386" s="273"/>
      <c r="AV386" s="165"/>
      <c r="AW386" s="166"/>
      <c r="AX386" s="273"/>
      <c r="AY386" s="165"/>
      <c r="AZ386" s="166"/>
      <c r="BA386" s="273"/>
      <c r="BB386" s="165"/>
      <c r="BC386" s="166"/>
      <c r="BD386" s="273"/>
      <c r="BE386" s="165"/>
      <c r="BF386" s="166"/>
      <c r="BG386" s="273"/>
      <c r="BH386" s="165"/>
      <c r="BI386" s="166"/>
      <c r="BJ386" s="454"/>
    </row>
    <row r="387" spans="1:62" s="28" customFormat="1" hidden="1" outlineLevel="2" x14ac:dyDescent="0.3">
      <c r="A387" s="21" t="s">
        <v>404</v>
      </c>
      <c r="B387" s="22"/>
      <c r="C387" s="3"/>
      <c r="D387" s="4"/>
      <c r="E387" s="4"/>
      <c r="F387" s="54"/>
      <c r="G387" s="54"/>
      <c r="H387" s="273">
        <v>0.05</v>
      </c>
      <c r="I387" s="165"/>
      <c r="J387" s="166"/>
      <c r="K387" s="273"/>
      <c r="L387" s="165"/>
      <c r="M387" s="166"/>
      <c r="N387" s="273"/>
      <c r="O387" s="165"/>
      <c r="P387" s="166"/>
      <c r="Q387" s="273"/>
      <c r="R387" s="165"/>
      <c r="S387" s="166"/>
      <c r="T387" s="273"/>
      <c r="U387" s="165"/>
      <c r="V387" s="166"/>
      <c r="W387" s="273"/>
      <c r="X387" s="165"/>
      <c r="Y387" s="166"/>
      <c r="Z387" s="273"/>
      <c r="AA387" s="165"/>
      <c r="AB387" s="166"/>
      <c r="AC387" s="273"/>
      <c r="AD387" s="165"/>
      <c r="AE387" s="166"/>
      <c r="AF387" s="273"/>
      <c r="AG387" s="165"/>
      <c r="AH387" s="166"/>
      <c r="AI387" s="273"/>
      <c r="AJ387" s="165"/>
      <c r="AK387" s="166"/>
      <c r="AL387" s="273"/>
      <c r="AM387" s="165"/>
      <c r="AN387" s="166"/>
      <c r="AO387" s="273"/>
      <c r="AP387" s="165"/>
      <c r="AQ387" s="166"/>
      <c r="AR387" s="273"/>
      <c r="AS387" s="165"/>
      <c r="AT387" s="166"/>
      <c r="AU387" s="273"/>
      <c r="AV387" s="165"/>
      <c r="AW387" s="166"/>
      <c r="AX387" s="273"/>
      <c r="AY387" s="165"/>
      <c r="AZ387" s="166"/>
      <c r="BA387" s="273"/>
      <c r="BB387" s="165"/>
      <c r="BC387" s="166"/>
      <c r="BD387" s="273"/>
      <c r="BE387" s="165"/>
      <c r="BF387" s="166"/>
      <c r="BG387" s="273"/>
      <c r="BH387" s="165"/>
      <c r="BI387" s="166"/>
      <c r="BJ387" s="454"/>
    </row>
    <row r="388" spans="1:62" s="28" customFormat="1" ht="25.2" hidden="1" customHeight="1" outlineLevel="2" x14ac:dyDescent="0.3">
      <c r="A388" s="173" t="s">
        <v>405</v>
      </c>
      <c r="B388" s="22"/>
      <c r="C388" s="174" t="s">
        <v>406</v>
      </c>
      <c r="D388" s="175">
        <v>4800000</v>
      </c>
      <c r="E388" s="4"/>
      <c r="F388" s="54"/>
      <c r="G388" s="54"/>
      <c r="H388" s="275" t="s">
        <v>400</v>
      </c>
      <c r="I388" s="176"/>
      <c r="J388" s="177"/>
      <c r="K388" s="275"/>
      <c r="L388" s="176"/>
      <c r="M388" s="177"/>
      <c r="N388" s="275"/>
      <c r="O388" s="176"/>
      <c r="P388" s="177"/>
      <c r="Q388" s="275"/>
      <c r="R388" s="176"/>
      <c r="S388" s="177"/>
      <c r="T388" s="275"/>
      <c r="U388" s="176"/>
      <c r="V388" s="177"/>
      <c r="W388" s="275"/>
      <c r="X388" s="176"/>
      <c r="Y388" s="177"/>
      <c r="Z388" s="275"/>
      <c r="AA388" s="176"/>
      <c r="AB388" s="177"/>
      <c r="AC388" s="275"/>
      <c r="AD388" s="176"/>
      <c r="AE388" s="177"/>
      <c r="AF388" s="275"/>
      <c r="AG388" s="176"/>
      <c r="AH388" s="177"/>
      <c r="AI388" s="275"/>
      <c r="AJ388" s="176"/>
      <c r="AK388" s="177"/>
      <c r="AL388" s="275"/>
      <c r="AM388" s="176"/>
      <c r="AN388" s="177"/>
      <c r="AO388" s="275"/>
      <c r="AP388" s="176"/>
      <c r="AQ388" s="177"/>
      <c r="AR388" s="275"/>
      <c r="AS388" s="176"/>
      <c r="AT388" s="177"/>
      <c r="AU388" s="275"/>
      <c r="AV388" s="176"/>
      <c r="AW388" s="177"/>
      <c r="AX388" s="275"/>
      <c r="AY388" s="176"/>
      <c r="AZ388" s="177"/>
      <c r="BA388" s="275"/>
      <c r="BB388" s="176"/>
      <c r="BC388" s="177"/>
      <c r="BD388" s="275"/>
      <c r="BE388" s="176"/>
      <c r="BF388" s="177"/>
      <c r="BG388" s="275"/>
      <c r="BH388" s="176"/>
      <c r="BI388" s="177"/>
      <c r="BJ388" s="454"/>
    </row>
    <row r="389" spans="1:62" s="28" customFormat="1" hidden="1" outlineLevel="2" x14ac:dyDescent="0.3">
      <c r="A389" s="21" t="s">
        <v>407</v>
      </c>
      <c r="B389" s="22"/>
      <c r="C389" s="178" t="s">
        <v>408</v>
      </c>
      <c r="D389" s="179" t="s">
        <v>409</v>
      </c>
      <c r="E389" s="4"/>
      <c r="F389" s="54"/>
      <c r="G389" s="54"/>
      <c r="H389" s="275">
        <v>4.8000000000000001E-2</v>
      </c>
      <c r="I389" s="176"/>
      <c r="J389" s="177"/>
      <c r="K389" s="275"/>
      <c r="L389" s="176"/>
      <c r="M389" s="177"/>
      <c r="N389" s="275"/>
      <c r="O389" s="176"/>
      <c r="P389" s="177"/>
      <c r="Q389" s="275"/>
      <c r="R389" s="176"/>
      <c r="S389" s="177"/>
      <c r="T389" s="275"/>
      <c r="U389" s="176"/>
      <c r="V389" s="177"/>
      <c r="W389" s="275"/>
      <c r="X389" s="176"/>
      <c r="Y389" s="177"/>
      <c r="Z389" s="275"/>
      <c r="AA389" s="176"/>
      <c r="AB389" s="177"/>
      <c r="AC389" s="275"/>
      <c r="AD389" s="176"/>
      <c r="AE389" s="177"/>
      <c r="AF389" s="275"/>
      <c r="AG389" s="176"/>
      <c r="AH389" s="177"/>
      <c r="AI389" s="275"/>
      <c r="AJ389" s="176"/>
      <c r="AK389" s="177"/>
      <c r="AL389" s="275"/>
      <c r="AM389" s="176"/>
      <c r="AN389" s="177"/>
      <c r="AO389" s="275"/>
      <c r="AP389" s="176"/>
      <c r="AQ389" s="177"/>
      <c r="AR389" s="275"/>
      <c r="AS389" s="176"/>
      <c r="AT389" s="177"/>
      <c r="AU389" s="275"/>
      <c r="AV389" s="176"/>
      <c r="AW389" s="177"/>
      <c r="AX389" s="275"/>
      <c r="AY389" s="176"/>
      <c r="AZ389" s="177"/>
      <c r="BA389" s="275"/>
      <c r="BB389" s="176"/>
      <c r="BC389" s="177"/>
      <c r="BD389" s="275"/>
      <c r="BE389" s="176"/>
      <c r="BF389" s="177"/>
      <c r="BG389" s="275"/>
      <c r="BH389" s="176"/>
      <c r="BI389" s="177"/>
      <c r="BJ389" s="454"/>
    </row>
    <row r="390" spans="1:62" s="28" customFormat="1" hidden="1" outlineLevel="2" x14ac:dyDescent="0.3">
      <c r="A390" s="144"/>
      <c r="B390" s="22"/>
      <c r="C390" s="3"/>
      <c r="D390" s="4"/>
      <c r="E390" s="4"/>
      <c r="F390" s="54"/>
      <c r="G390" s="54"/>
      <c r="H390" s="276"/>
      <c r="I390" s="54"/>
      <c r="J390" s="180"/>
      <c r="K390" s="276"/>
      <c r="L390" s="54"/>
      <c r="M390" s="180"/>
      <c r="N390" s="276"/>
      <c r="O390" s="54"/>
      <c r="P390" s="180"/>
      <c r="Q390" s="276"/>
      <c r="R390" s="54"/>
      <c r="S390" s="180"/>
      <c r="T390" s="276"/>
      <c r="U390" s="54"/>
      <c r="V390" s="180"/>
      <c r="W390" s="276"/>
      <c r="X390" s="54"/>
      <c r="Y390" s="180"/>
      <c r="Z390" s="276"/>
      <c r="AA390" s="54"/>
      <c r="AB390" s="180"/>
      <c r="AC390" s="276"/>
      <c r="AD390" s="54"/>
      <c r="AE390" s="180"/>
      <c r="AF390" s="276"/>
      <c r="AG390" s="54"/>
      <c r="AH390" s="180"/>
      <c r="AI390" s="276"/>
      <c r="AJ390" s="54"/>
      <c r="AK390" s="180"/>
      <c r="AL390" s="276"/>
      <c r="AM390" s="54"/>
      <c r="AN390" s="180"/>
      <c r="AO390" s="276"/>
      <c r="AP390" s="54"/>
      <c r="AQ390" s="180"/>
      <c r="AR390" s="276"/>
      <c r="AS390" s="54"/>
      <c r="AT390" s="180"/>
      <c r="AU390" s="276"/>
      <c r="AV390" s="54"/>
      <c r="AW390" s="180"/>
      <c r="AX390" s="276"/>
      <c r="AY390" s="54"/>
      <c r="AZ390" s="180"/>
      <c r="BA390" s="276"/>
      <c r="BB390" s="54"/>
      <c r="BC390" s="180"/>
      <c r="BD390" s="276"/>
      <c r="BE390" s="54"/>
      <c r="BF390" s="180"/>
      <c r="BG390" s="276"/>
      <c r="BH390" s="54"/>
      <c r="BI390" s="180"/>
      <c r="BJ390" s="454"/>
    </row>
    <row r="391" spans="1:62" s="28" customFormat="1" hidden="1" outlineLevel="2" x14ac:dyDescent="0.3">
      <c r="A391" s="167" t="s">
        <v>410</v>
      </c>
      <c r="B391" s="168"/>
      <c r="C391" s="168"/>
      <c r="D391" s="168"/>
      <c r="E391" s="168"/>
      <c r="F391" s="168"/>
      <c r="G391" s="168"/>
      <c r="H391" s="167"/>
      <c r="I391" s="168"/>
      <c r="J391" s="169"/>
      <c r="K391" s="167"/>
      <c r="L391" s="168"/>
      <c r="M391" s="169"/>
      <c r="N391" s="167"/>
      <c r="O391" s="168"/>
      <c r="P391" s="169"/>
      <c r="Q391" s="167"/>
      <c r="R391" s="168"/>
      <c r="S391" s="169"/>
      <c r="T391" s="167"/>
      <c r="U391" s="168"/>
      <c r="V391" s="169"/>
      <c r="W391" s="167"/>
      <c r="X391" s="168"/>
      <c r="Y391" s="169"/>
      <c r="Z391" s="167"/>
      <c r="AA391" s="168"/>
      <c r="AB391" s="169"/>
      <c r="AC391" s="167"/>
      <c r="AD391" s="168"/>
      <c r="AE391" s="169"/>
      <c r="AF391" s="167"/>
      <c r="AG391" s="168"/>
      <c r="AH391" s="169"/>
      <c r="AI391" s="167"/>
      <c r="AJ391" s="168"/>
      <c r="AK391" s="169"/>
      <c r="AL391" s="167"/>
      <c r="AM391" s="168"/>
      <c r="AN391" s="169"/>
      <c r="AO391" s="167"/>
      <c r="AP391" s="168"/>
      <c r="AQ391" s="169"/>
      <c r="AR391" s="167"/>
      <c r="AS391" s="168"/>
      <c r="AT391" s="169"/>
      <c r="AU391" s="167"/>
      <c r="AV391" s="168"/>
      <c r="AW391" s="169"/>
      <c r="AX391" s="167"/>
      <c r="AY391" s="168"/>
      <c r="AZ391" s="169"/>
      <c r="BA391" s="167"/>
      <c r="BB391" s="168"/>
      <c r="BC391" s="169"/>
      <c r="BD391" s="167"/>
      <c r="BE391" s="168"/>
      <c r="BF391" s="169"/>
      <c r="BG391" s="167"/>
      <c r="BH391" s="168"/>
      <c r="BI391" s="169"/>
      <c r="BJ391" s="454"/>
    </row>
    <row r="392" spans="1:62" s="28" customFormat="1" hidden="1" outlineLevel="2" x14ac:dyDescent="0.3">
      <c r="A392" s="21" t="s">
        <v>411</v>
      </c>
      <c r="B392" s="22"/>
      <c r="C392" s="3"/>
      <c r="D392" s="4"/>
      <c r="E392" s="4"/>
      <c r="F392" s="54"/>
      <c r="G392" s="54"/>
      <c r="H392" s="237"/>
      <c r="I392" s="26"/>
      <c r="J392" s="27"/>
      <c r="K392" s="237"/>
      <c r="L392" s="26"/>
      <c r="M392" s="27"/>
      <c r="N392" s="237"/>
      <c r="O392" s="26"/>
      <c r="P392" s="27"/>
      <c r="Q392" s="237"/>
      <c r="R392" s="26"/>
      <c r="S392" s="27"/>
      <c r="T392" s="237"/>
      <c r="U392" s="26"/>
      <c r="V392" s="27"/>
      <c r="W392" s="237"/>
      <c r="X392" s="26"/>
      <c r="Y392" s="27"/>
      <c r="Z392" s="237"/>
      <c r="AA392" s="26"/>
      <c r="AB392" s="27"/>
      <c r="AC392" s="237"/>
      <c r="AD392" s="26"/>
      <c r="AE392" s="27"/>
      <c r="AF392" s="237"/>
      <c r="AG392" s="26"/>
      <c r="AH392" s="27"/>
      <c r="AI392" s="237"/>
      <c r="AJ392" s="26"/>
      <c r="AK392" s="27"/>
      <c r="AL392" s="237"/>
      <c r="AM392" s="26"/>
      <c r="AN392" s="27"/>
      <c r="AO392" s="237"/>
      <c r="AP392" s="26"/>
      <c r="AQ392" s="27"/>
      <c r="AR392" s="237"/>
      <c r="AS392" s="26"/>
      <c r="AT392" s="27"/>
      <c r="AU392" s="237"/>
      <c r="AV392" s="26"/>
      <c r="AW392" s="27"/>
      <c r="AX392" s="237"/>
      <c r="AY392" s="26"/>
      <c r="AZ392" s="27"/>
      <c r="BA392" s="237"/>
      <c r="BB392" s="26"/>
      <c r="BC392" s="27"/>
      <c r="BD392" s="237"/>
      <c r="BE392" s="26"/>
      <c r="BF392" s="27"/>
      <c r="BG392" s="237"/>
      <c r="BH392" s="26"/>
      <c r="BI392" s="27"/>
      <c r="BJ392" s="454"/>
    </row>
    <row r="393" spans="1:62" s="28" customFormat="1" hidden="1" outlineLevel="2" x14ac:dyDescent="0.3">
      <c r="A393" s="21" t="s">
        <v>412</v>
      </c>
      <c r="B393" s="22"/>
      <c r="C393" s="181" t="s">
        <v>413</v>
      </c>
      <c r="D393" s="182"/>
      <c r="E393" s="183">
        <v>0</v>
      </c>
      <c r="F393" s="54"/>
      <c r="G393" s="54"/>
      <c r="H393" s="277"/>
      <c r="I393" s="230"/>
      <c r="J393" s="184"/>
      <c r="K393" s="277"/>
      <c r="L393" s="230"/>
      <c r="M393" s="184"/>
      <c r="N393" s="277"/>
      <c r="O393" s="230"/>
      <c r="P393" s="184"/>
      <c r="Q393" s="277"/>
      <c r="R393" s="230"/>
      <c r="S393" s="184"/>
      <c r="T393" s="277"/>
      <c r="U393" s="230"/>
      <c r="V393" s="184"/>
      <c r="W393" s="277"/>
      <c r="X393" s="230"/>
      <c r="Y393" s="184"/>
      <c r="Z393" s="277"/>
      <c r="AA393" s="230"/>
      <c r="AB393" s="184"/>
      <c r="AC393" s="277"/>
      <c r="AD393" s="230"/>
      <c r="AE393" s="184"/>
      <c r="AF393" s="277"/>
      <c r="AG393" s="230"/>
      <c r="AH393" s="184"/>
      <c r="AI393" s="277"/>
      <c r="AJ393" s="230"/>
      <c r="AK393" s="184"/>
      <c r="AL393" s="277"/>
      <c r="AM393" s="230"/>
      <c r="AN393" s="184"/>
      <c r="AO393" s="277"/>
      <c r="AP393" s="230"/>
      <c r="AQ393" s="184"/>
      <c r="AR393" s="277"/>
      <c r="AS393" s="230"/>
      <c r="AT393" s="184"/>
      <c r="AU393" s="277"/>
      <c r="AV393" s="230"/>
      <c r="AW393" s="184"/>
      <c r="AX393" s="277"/>
      <c r="AY393" s="230"/>
      <c r="AZ393" s="184"/>
      <c r="BA393" s="277"/>
      <c r="BB393" s="230"/>
      <c r="BC393" s="184"/>
      <c r="BD393" s="277"/>
      <c r="BE393" s="230"/>
      <c r="BF393" s="184"/>
      <c r="BG393" s="277"/>
      <c r="BH393" s="230"/>
      <c r="BI393" s="184"/>
      <c r="BJ393" s="454"/>
    </row>
    <row r="394" spans="1:62" s="28" customFormat="1" hidden="1" outlineLevel="2" x14ac:dyDescent="0.3">
      <c r="A394" s="21" t="s">
        <v>414</v>
      </c>
      <c r="B394" s="22"/>
      <c r="C394" s="185" t="s">
        <v>415</v>
      </c>
      <c r="D394" s="186"/>
      <c r="E394" s="187">
        <v>0.3</v>
      </c>
      <c r="F394" s="54"/>
      <c r="G394" s="54"/>
      <c r="H394" s="277"/>
      <c r="I394" s="230"/>
      <c r="J394" s="184"/>
      <c r="K394" s="277"/>
      <c r="L394" s="230"/>
      <c r="M394" s="184"/>
      <c r="N394" s="277"/>
      <c r="O394" s="230"/>
      <c r="P394" s="184"/>
      <c r="Q394" s="277"/>
      <c r="R394" s="230"/>
      <c r="S394" s="184"/>
      <c r="T394" s="277"/>
      <c r="U394" s="230"/>
      <c r="V394" s="184"/>
      <c r="W394" s="277"/>
      <c r="X394" s="230"/>
      <c r="Y394" s="184"/>
      <c r="Z394" s="277"/>
      <c r="AA394" s="230"/>
      <c r="AB394" s="184"/>
      <c r="AC394" s="277"/>
      <c r="AD394" s="230"/>
      <c r="AE394" s="184"/>
      <c r="AF394" s="277"/>
      <c r="AG394" s="230"/>
      <c r="AH394" s="184"/>
      <c r="AI394" s="277"/>
      <c r="AJ394" s="230"/>
      <c r="AK394" s="184"/>
      <c r="AL394" s="277"/>
      <c r="AM394" s="230"/>
      <c r="AN394" s="184"/>
      <c r="AO394" s="277"/>
      <c r="AP394" s="230"/>
      <c r="AQ394" s="184"/>
      <c r="AR394" s="277"/>
      <c r="AS394" s="230"/>
      <c r="AT394" s="184"/>
      <c r="AU394" s="277"/>
      <c r="AV394" s="230"/>
      <c r="AW394" s="184"/>
      <c r="AX394" s="277"/>
      <c r="AY394" s="230"/>
      <c r="AZ394" s="184"/>
      <c r="BA394" s="277"/>
      <c r="BB394" s="230"/>
      <c r="BC394" s="184"/>
      <c r="BD394" s="277"/>
      <c r="BE394" s="230"/>
      <c r="BF394" s="184"/>
      <c r="BG394" s="277"/>
      <c r="BH394" s="230"/>
      <c r="BI394" s="184"/>
      <c r="BJ394" s="454"/>
    </row>
    <row r="395" spans="1:62" s="28" customFormat="1" hidden="1" outlineLevel="2" x14ac:dyDescent="0.3">
      <c r="A395" s="21" t="s">
        <v>416</v>
      </c>
      <c r="B395" s="22"/>
      <c r="C395" s="188" t="s">
        <v>417</v>
      </c>
      <c r="D395" s="189">
        <v>240000</v>
      </c>
      <c r="E395" s="190"/>
      <c r="F395" s="54"/>
      <c r="G395" s="54"/>
      <c r="H395" s="277"/>
      <c r="I395" s="230"/>
      <c r="J395" s="184"/>
      <c r="K395" s="277"/>
      <c r="L395" s="230"/>
      <c r="M395" s="184"/>
      <c r="N395" s="277"/>
      <c r="O395" s="230"/>
      <c r="P395" s="184"/>
      <c r="Q395" s="277"/>
      <c r="R395" s="230"/>
      <c r="S395" s="184"/>
      <c r="T395" s="277"/>
      <c r="U395" s="230"/>
      <c r="V395" s="184"/>
      <c r="W395" s="277"/>
      <c r="X395" s="230"/>
      <c r="Y395" s="184"/>
      <c r="Z395" s="277"/>
      <c r="AA395" s="230"/>
      <c r="AB395" s="184"/>
      <c r="AC395" s="277"/>
      <c r="AD395" s="230"/>
      <c r="AE395" s="184"/>
      <c r="AF395" s="277"/>
      <c r="AG395" s="230"/>
      <c r="AH395" s="184"/>
      <c r="AI395" s="277"/>
      <c r="AJ395" s="230"/>
      <c r="AK395" s="184"/>
      <c r="AL395" s="277"/>
      <c r="AM395" s="230"/>
      <c r="AN395" s="184"/>
      <c r="AO395" s="277"/>
      <c r="AP395" s="230"/>
      <c r="AQ395" s="184"/>
      <c r="AR395" s="277"/>
      <c r="AS395" s="230"/>
      <c r="AT395" s="184"/>
      <c r="AU395" s="277"/>
      <c r="AV395" s="230"/>
      <c r="AW395" s="184"/>
      <c r="AX395" s="277"/>
      <c r="AY395" s="230"/>
      <c r="AZ395" s="184"/>
      <c r="BA395" s="277"/>
      <c r="BB395" s="230"/>
      <c r="BC395" s="184"/>
      <c r="BD395" s="277"/>
      <c r="BE395" s="230"/>
      <c r="BF395" s="184"/>
      <c r="BG395" s="277"/>
      <c r="BH395" s="230"/>
      <c r="BI395" s="184"/>
      <c r="BJ395" s="454"/>
    </row>
    <row r="396" spans="1:62" s="28" customFormat="1" hidden="1" outlineLevel="2" x14ac:dyDescent="0.3">
      <c r="A396" s="21" t="s">
        <v>418</v>
      </c>
      <c r="B396" s="22"/>
      <c r="C396" s="188" t="s">
        <v>419</v>
      </c>
      <c r="D396" s="53">
        <v>0.15</v>
      </c>
      <c r="E396" s="187">
        <v>0.25</v>
      </c>
      <c r="F396" s="54"/>
      <c r="G396" s="54"/>
      <c r="H396" s="237"/>
      <c r="I396" s="26"/>
      <c r="J396" s="27"/>
      <c r="K396" s="237"/>
      <c r="L396" s="26"/>
      <c r="M396" s="27"/>
      <c r="N396" s="237"/>
      <c r="O396" s="26"/>
      <c r="P396" s="27"/>
      <c r="Q396" s="237"/>
      <c r="R396" s="26"/>
      <c r="S396" s="27"/>
      <c r="T396" s="237"/>
      <c r="U396" s="26"/>
      <c r="V396" s="27"/>
      <c r="W396" s="237"/>
      <c r="X396" s="26"/>
      <c r="Y396" s="27"/>
      <c r="Z396" s="237"/>
      <c r="AA396" s="26"/>
      <c r="AB396" s="27"/>
      <c r="AC396" s="237"/>
      <c r="AD396" s="26"/>
      <c r="AE396" s="27"/>
      <c r="AF396" s="237"/>
      <c r="AG396" s="26"/>
      <c r="AH396" s="27"/>
      <c r="AI396" s="237"/>
      <c r="AJ396" s="26"/>
      <c r="AK396" s="27"/>
      <c r="AL396" s="237"/>
      <c r="AM396" s="26"/>
      <c r="AN396" s="27"/>
      <c r="AO396" s="237"/>
      <c r="AP396" s="26"/>
      <c r="AQ396" s="27"/>
      <c r="AR396" s="237"/>
      <c r="AS396" s="26"/>
      <c r="AT396" s="27"/>
      <c r="AU396" s="237"/>
      <c r="AV396" s="26"/>
      <c r="AW396" s="27"/>
      <c r="AX396" s="237"/>
      <c r="AY396" s="26"/>
      <c r="AZ396" s="27"/>
      <c r="BA396" s="237"/>
      <c r="BB396" s="26"/>
      <c r="BC396" s="27"/>
      <c r="BD396" s="237"/>
      <c r="BE396" s="26"/>
      <c r="BF396" s="27"/>
      <c r="BG396" s="237"/>
      <c r="BH396" s="26"/>
      <c r="BI396" s="27"/>
      <c r="BJ396" s="454"/>
    </row>
    <row r="397" spans="1:62" s="28" customFormat="1" hidden="1" outlineLevel="2" x14ac:dyDescent="0.3">
      <c r="A397" s="21" t="s">
        <v>420</v>
      </c>
      <c r="B397" s="22"/>
      <c r="C397" s="191" t="s">
        <v>421</v>
      </c>
      <c r="D397" s="192" t="s">
        <v>421</v>
      </c>
      <c r="E397" s="193">
        <v>0.09</v>
      </c>
      <c r="F397" s="54"/>
      <c r="G397" s="54"/>
      <c r="H397" s="237"/>
      <c r="I397" s="26"/>
      <c r="J397" s="27"/>
      <c r="K397" s="237"/>
      <c r="L397" s="26"/>
      <c r="M397" s="27"/>
      <c r="N397" s="237"/>
      <c r="O397" s="26"/>
      <c r="P397" s="27"/>
      <c r="Q397" s="237"/>
      <c r="R397" s="26"/>
      <c r="S397" s="27"/>
      <c r="T397" s="237"/>
      <c r="U397" s="26"/>
      <c r="V397" s="27"/>
      <c r="W397" s="237"/>
      <c r="X397" s="26"/>
      <c r="Y397" s="27"/>
      <c r="Z397" s="237"/>
      <c r="AA397" s="26"/>
      <c r="AB397" s="27"/>
      <c r="AC397" s="237"/>
      <c r="AD397" s="26"/>
      <c r="AE397" s="27"/>
      <c r="AF397" s="237"/>
      <c r="AG397" s="26"/>
      <c r="AH397" s="27"/>
      <c r="AI397" s="237"/>
      <c r="AJ397" s="26"/>
      <c r="AK397" s="27"/>
      <c r="AL397" s="237"/>
      <c r="AM397" s="26"/>
      <c r="AN397" s="27"/>
      <c r="AO397" s="237"/>
      <c r="AP397" s="26"/>
      <c r="AQ397" s="27"/>
      <c r="AR397" s="237"/>
      <c r="AS397" s="26"/>
      <c r="AT397" s="27"/>
      <c r="AU397" s="237"/>
      <c r="AV397" s="26"/>
      <c r="AW397" s="27"/>
      <c r="AX397" s="237"/>
      <c r="AY397" s="26"/>
      <c r="AZ397" s="27"/>
      <c r="BA397" s="237"/>
      <c r="BB397" s="26"/>
      <c r="BC397" s="27"/>
      <c r="BD397" s="237"/>
      <c r="BE397" s="26"/>
      <c r="BF397" s="27"/>
      <c r="BG397" s="237"/>
      <c r="BH397" s="26"/>
      <c r="BI397" s="27"/>
      <c r="BJ397" s="454"/>
    </row>
    <row r="398" spans="1:62" s="28" customFormat="1" hidden="1" outlineLevel="1" x14ac:dyDescent="0.3">
      <c r="A398" s="159"/>
      <c r="B398" s="22"/>
      <c r="C398" s="3"/>
      <c r="D398" s="4"/>
      <c r="E398" s="4"/>
      <c r="F398" s="54"/>
      <c r="G398" s="54"/>
      <c r="H398" s="276"/>
      <c r="I398" s="54"/>
      <c r="J398" s="180"/>
      <c r="K398" s="276"/>
      <c r="L398" s="54"/>
      <c r="M398" s="180"/>
      <c r="N398" s="276"/>
      <c r="O398" s="54"/>
      <c r="P398" s="180"/>
      <c r="Q398" s="276"/>
      <c r="R398" s="54"/>
      <c r="S398" s="180"/>
      <c r="T398" s="276"/>
      <c r="U398" s="54"/>
      <c r="V398" s="180"/>
      <c r="W398" s="276"/>
      <c r="X398" s="54"/>
      <c r="Y398" s="180"/>
      <c r="Z398" s="276"/>
      <c r="AA398" s="54"/>
      <c r="AB398" s="180"/>
      <c r="AC398" s="276"/>
      <c r="AD398" s="54"/>
      <c r="AE398" s="180"/>
      <c r="AF398" s="276"/>
      <c r="AG398" s="54"/>
      <c r="AH398" s="180"/>
      <c r="AI398" s="276"/>
      <c r="AJ398" s="54"/>
      <c r="AK398" s="180"/>
      <c r="AL398" s="276"/>
      <c r="AM398" s="54"/>
      <c r="AN398" s="180"/>
      <c r="AO398" s="276"/>
      <c r="AP398" s="54"/>
      <c r="AQ398" s="180"/>
      <c r="AR398" s="276"/>
      <c r="AS398" s="54"/>
      <c r="AT398" s="180"/>
      <c r="AU398" s="276"/>
      <c r="AV398" s="54"/>
      <c r="AW398" s="180"/>
      <c r="AX398" s="276"/>
      <c r="AY398" s="54"/>
      <c r="AZ398" s="180"/>
      <c r="BA398" s="276"/>
      <c r="BB398" s="54"/>
      <c r="BC398" s="180"/>
      <c r="BD398" s="276"/>
      <c r="BE398" s="54"/>
      <c r="BF398" s="180"/>
      <c r="BG398" s="276"/>
      <c r="BH398" s="54"/>
      <c r="BI398" s="180"/>
      <c r="BJ398" s="454"/>
    </row>
    <row r="399" spans="1:62" s="28" customFormat="1" hidden="1" outlineLevel="1" x14ac:dyDescent="0.3">
      <c r="A399" s="167" t="s">
        <v>422</v>
      </c>
      <c r="B399" s="168"/>
      <c r="C399" s="168"/>
      <c r="D399" s="168"/>
      <c r="E399" s="168"/>
      <c r="F399" s="168"/>
      <c r="G399" s="168"/>
      <c r="H399" s="167"/>
      <c r="I399" s="168"/>
      <c r="J399" s="169"/>
      <c r="K399" s="167"/>
      <c r="L399" s="168"/>
      <c r="M399" s="169"/>
      <c r="N399" s="167"/>
      <c r="O399" s="168"/>
      <c r="P399" s="169"/>
      <c r="Q399" s="167"/>
      <c r="R399" s="168"/>
      <c r="S399" s="169"/>
      <c r="T399" s="167"/>
      <c r="U399" s="168"/>
      <c r="V399" s="169"/>
      <c r="W399" s="167"/>
      <c r="X399" s="168"/>
      <c r="Y399" s="169"/>
      <c r="Z399" s="167"/>
      <c r="AA399" s="168"/>
      <c r="AB399" s="169"/>
      <c r="AC399" s="167"/>
      <c r="AD399" s="168"/>
      <c r="AE399" s="169"/>
      <c r="AF399" s="167"/>
      <c r="AG399" s="168"/>
      <c r="AH399" s="169"/>
      <c r="AI399" s="167"/>
      <c r="AJ399" s="168"/>
      <c r="AK399" s="169"/>
      <c r="AL399" s="167"/>
      <c r="AM399" s="168"/>
      <c r="AN399" s="169"/>
      <c r="AO399" s="167"/>
      <c r="AP399" s="168"/>
      <c r="AQ399" s="169"/>
      <c r="AR399" s="167"/>
      <c r="AS399" s="168"/>
      <c r="AT399" s="169"/>
      <c r="AU399" s="167"/>
      <c r="AV399" s="168"/>
      <c r="AW399" s="169"/>
      <c r="AX399" s="167"/>
      <c r="AY399" s="168"/>
      <c r="AZ399" s="169"/>
      <c r="BA399" s="167"/>
      <c r="BB399" s="168"/>
      <c r="BC399" s="169"/>
      <c r="BD399" s="167"/>
      <c r="BE399" s="168"/>
      <c r="BF399" s="169"/>
      <c r="BG399" s="167"/>
      <c r="BH399" s="168"/>
      <c r="BI399" s="169"/>
      <c r="BJ399" s="454"/>
    </row>
    <row r="400" spans="1:62" s="28" customFormat="1" hidden="1" outlineLevel="1" x14ac:dyDescent="0.3">
      <c r="A400" s="159"/>
      <c r="B400" s="22"/>
      <c r="C400" s="3"/>
      <c r="D400" s="4"/>
      <c r="E400" s="194"/>
      <c r="F400" s="54"/>
      <c r="G400" s="54"/>
      <c r="H400" s="278"/>
      <c r="I400" s="231"/>
      <c r="J400" s="195"/>
      <c r="K400" s="278"/>
      <c r="L400" s="231"/>
      <c r="M400" s="195"/>
      <c r="N400" s="278"/>
      <c r="O400" s="231"/>
      <c r="P400" s="195"/>
      <c r="Q400" s="278"/>
      <c r="R400" s="231"/>
      <c r="S400" s="195"/>
      <c r="T400" s="278"/>
      <c r="U400" s="231"/>
      <c r="V400" s="195"/>
      <c r="W400" s="278"/>
      <c r="X400" s="231"/>
      <c r="Y400" s="195"/>
      <c r="Z400" s="278"/>
      <c r="AA400" s="231"/>
      <c r="AB400" s="195"/>
      <c r="AC400" s="278"/>
      <c r="AD400" s="231"/>
      <c r="AE400" s="195"/>
      <c r="AF400" s="278"/>
      <c r="AG400" s="231"/>
      <c r="AH400" s="195"/>
      <c r="AI400" s="278"/>
      <c r="AJ400" s="231"/>
      <c r="AK400" s="195"/>
      <c r="AL400" s="278"/>
      <c r="AM400" s="231"/>
      <c r="AN400" s="195"/>
      <c r="AO400" s="278"/>
      <c r="AP400" s="231"/>
      <c r="AQ400" s="195"/>
      <c r="AR400" s="278"/>
      <c r="AS400" s="231"/>
      <c r="AT400" s="195"/>
      <c r="AU400" s="278"/>
      <c r="AV400" s="231"/>
      <c r="AW400" s="195"/>
      <c r="AX400" s="278"/>
      <c r="AY400" s="231"/>
      <c r="AZ400" s="195"/>
      <c r="BA400" s="278"/>
      <c r="BB400" s="231"/>
      <c r="BC400" s="195"/>
      <c r="BD400" s="278"/>
      <c r="BE400" s="231"/>
      <c r="BF400" s="195"/>
      <c r="BG400" s="278"/>
      <c r="BH400" s="231"/>
      <c r="BI400" s="195"/>
      <c r="BJ400" s="454"/>
    </row>
    <row r="401" spans="1:62" s="28" customFormat="1" hidden="1" outlineLevel="2" x14ac:dyDescent="0.3">
      <c r="A401" s="196" t="s">
        <v>128</v>
      </c>
      <c r="B401" s="57"/>
      <c r="C401" s="197"/>
      <c r="D401" s="39"/>
      <c r="E401" s="39"/>
      <c r="F401" s="61"/>
      <c r="G401" s="54"/>
      <c r="H401" s="207"/>
      <c r="I401" s="198">
        <v>9</v>
      </c>
      <c r="J401" s="199"/>
      <c r="K401" s="207"/>
      <c r="L401" s="198">
        <v>10</v>
      </c>
      <c r="M401" s="199"/>
      <c r="N401" s="207"/>
      <c r="O401" s="198">
        <v>10</v>
      </c>
      <c r="P401" s="199"/>
      <c r="Q401" s="207"/>
      <c r="R401" s="198">
        <v>10</v>
      </c>
      <c r="S401" s="199"/>
      <c r="T401" s="207"/>
      <c r="U401" s="198">
        <v>10</v>
      </c>
      <c r="V401" s="199"/>
      <c r="W401" s="207"/>
      <c r="X401" s="198">
        <v>10</v>
      </c>
      <c r="Y401" s="199"/>
      <c r="Z401" s="207"/>
      <c r="AA401" s="198">
        <v>10</v>
      </c>
      <c r="AB401" s="199"/>
      <c r="AC401" s="207"/>
      <c r="AD401" s="198">
        <v>10</v>
      </c>
      <c r="AE401" s="199"/>
      <c r="AF401" s="207"/>
      <c r="AG401" s="198">
        <v>10</v>
      </c>
      <c r="AH401" s="199"/>
      <c r="AI401" s="207"/>
      <c r="AJ401" s="198">
        <v>10</v>
      </c>
      <c r="AK401" s="199"/>
      <c r="AL401" s="207"/>
      <c r="AM401" s="198">
        <v>10</v>
      </c>
      <c r="AN401" s="199"/>
      <c r="AO401" s="207"/>
      <c r="AP401" s="198">
        <v>10</v>
      </c>
      <c r="AQ401" s="199"/>
      <c r="AR401" s="207"/>
      <c r="AS401" s="198"/>
      <c r="AT401" s="199"/>
      <c r="AU401" s="207"/>
      <c r="AV401" s="198"/>
      <c r="AW401" s="199"/>
      <c r="AX401" s="207"/>
      <c r="AY401" s="198"/>
      <c r="AZ401" s="199"/>
      <c r="BA401" s="207"/>
      <c r="BB401" s="198"/>
      <c r="BC401" s="199"/>
      <c r="BD401" s="207"/>
      <c r="BE401" s="198"/>
      <c r="BF401" s="199"/>
      <c r="BG401" s="207"/>
      <c r="BH401" s="198"/>
      <c r="BI401" s="199"/>
      <c r="BJ401" s="454"/>
    </row>
    <row r="402" spans="1:62" s="28" customFormat="1" hidden="1" outlineLevel="2" x14ac:dyDescent="0.3">
      <c r="A402" s="200" t="s">
        <v>129</v>
      </c>
      <c r="B402" s="2"/>
      <c r="C402" s="197"/>
      <c r="D402" s="39"/>
      <c r="E402" s="39"/>
      <c r="F402" s="39"/>
      <c r="G402" s="54"/>
      <c r="H402" s="237"/>
      <c r="I402" s="26">
        <v>1</v>
      </c>
      <c r="J402" s="27"/>
      <c r="K402" s="237"/>
      <c r="L402" s="26">
        <v>1</v>
      </c>
      <c r="M402" s="27"/>
      <c r="N402" s="237"/>
      <c r="O402" s="26">
        <v>1</v>
      </c>
      <c r="P402" s="27"/>
      <c r="Q402" s="237"/>
      <c r="R402" s="26">
        <v>1</v>
      </c>
      <c r="S402" s="27"/>
      <c r="T402" s="237"/>
      <c r="U402" s="26">
        <v>1</v>
      </c>
      <c r="V402" s="27"/>
      <c r="W402" s="237"/>
      <c r="X402" s="26">
        <v>1</v>
      </c>
      <c r="Y402" s="27"/>
      <c r="Z402" s="237"/>
      <c r="AA402" s="26">
        <v>1</v>
      </c>
      <c r="AB402" s="27"/>
      <c r="AC402" s="237"/>
      <c r="AD402" s="26">
        <v>1</v>
      </c>
      <c r="AE402" s="27"/>
      <c r="AF402" s="237"/>
      <c r="AG402" s="26">
        <v>1</v>
      </c>
      <c r="AH402" s="27"/>
      <c r="AI402" s="237"/>
      <c r="AJ402" s="26">
        <v>1</v>
      </c>
      <c r="AK402" s="27"/>
      <c r="AL402" s="237"/>
      <c r="AM402" s="26">
        <v>1</v>
      </c>
      <c r="AN402" s="27"/>
      <c r="AO402" s="237"/>
      <c r="AP402" s="26">
        <v>1</v>
      </c>
      <c r="AQ402" s="27"/>
      <c r="AR402" s="237"/>
      <c r="AS402" s="26"/>
      <c r="AT402" s="27"/>
      <c r="AU402" s="237"/>
      <c r="AV402" s="26"/>
      <c r="AW402" s="27"/>
      <c r="AX402" s="237"/>
      <c r="AY402" s="26"/>
      <c r="AZ402" s="27"/>
      <c r="BA402" s="237"/>
      <c r="BB402" s="26"/>
      <c r="BC402" s="27"/>
      <c r="BD402" s="237"/>
      <c r="BE402" s="26"/>
      <c r="BF402" s="27"/>
      <c r="BG402" s="237"/>
      <c r="BH402" s="26"/>
      <c r="BI402" s="27"/>
      <c r="BJ402" s="454"/>
    </row>
    <row r="403" spans="1:62" s="28" customFormat="1" hidden="1" outlineLevel="2" x14ac:dyDescent="0.3">
      <c r="A403" s="200" t="s">
        <v>130</v>
      </c>
      <c r="B403" s="2"/>
      <c r="C403" s="197"/>
      <c r="D403" s="39"/>
      <c r="E403" s="39"/>
      <c r="F403" s="39"/>
      <c r="G403" s="54"/>
      <c r="H403" s="237"/>
      <c r="I403" s="26">
        <v>1</v>
      </c>
      <c r="J403" s="27"/>
      <c r="K403" s="237"/>
      <c r="L403" s="26">
        <v>1</v>
      </c>
      <c r="M403" s="27"/>
      <c r="N403" s="237"/>
      <c r="O403" s="26">
        <v>1</v>
      </c>
      <c r="P403" s="27"/>
      <c r="Q403" s="237"/>
      <c r="R403" s="26">
        <v>1</v>
      </c>
      <c r="S403" s="27"/>
      <c r="T403" s="237"/>
      <c r="U403" s="26">
        <v>1</v>
      </c>
      <c r="V403" s="27"/>
      <c r="W403" s="237"/>
      <c r="X403" s="26">
        <v>1</v>
      </c>
      <c r="Y403" s="27"/>
      <c r="Z403" s="237"/>
      <c r="AA403" s="26">
        <v>1</v>
      </c>
      <c r="AB403" s="27"/>
      <c r="AC403" s="237"/>
      <c r="AD403" s="26">
        <v>1</v>
      </c>
      <c r="AE403" s="27"/>
      <c r="AF403" s="237"/>
      <c r="AG403" s="26">
        <v>1</v>
      </c>
      <c r="AH403" s="27"/>
      <c r="AI403" s="237"/>
      <c r="AJ403" s="26">
        <v>1</v>
      </c>
      <c r="AK403" s="27"/>
      <c r="AL403" s="237"/>
      <c r="AM403" s="26">
        <v>1</v>
      </c>
      <c r="AN403" s="27"/>
      <c r="AO403" s="237"/>
      <c r="AP403" s="26">
        <v>1</v>
      </c>
      <c r="AQ403" s="27"/>
      <c r="AR403" s="237"/>
      <c r="AS403" s="26"/>
      <c r="AT403" s="27"/>
      <c r="AU403" s="237"/>
      <c r="AV403" s="26"/>
      <c r="AW403" s="27"/>
      <c r="AX403" s="237"/>
      <c r="AY403" s="26"/>
      <c r="AZ403" s="27"/>
      <c r="BA403" s="237"/>
      <c r="BB403" s="26"/>
      <c r="BC403" s="27"/>
      <c r="BD403" s="237"/>
      <c r="BE403" s="26"/>
      <c r="BF403" s="27"/>
      <c r="BG403" s="237"/>
      <c r="BH403" s="26"/>
      <c r="BI403" s="27"/>
      <c r="BJ403" s="454"/>
    </row>
    <row r="404" spans="1:62" s="28" customFormat="1" hidden="1" outlineLevel="2" x14ac:dyDescent="0.3">
      <c r="A404" s="200" t="s">
        <v>131</v>
      </c>
      <c r="B404" s="2"/>
      <c r="C404" s="197"/>
      <c r="D404" s="39"/>
      <c r="E404" s="39"/>
      <c r="F404" s="39"/>
      <c r="G404" s="54"/>
      <c r="H404" s="237"/>
      <c r="I404" s="26">
        <v>0</v>
      </c>
      <c r="J404" s="27"/>
      <c r="K404" s="237"/>
      <c r="L404" s="26">
        <v>0</v>
      </c>
      <c r="M404" s="27"/>
      <c r="N404" s="237"/>
      <c r="O404" s="26">
        <v>0</v>
      </c>
      <c r="P404" s="27"/>
      <c r="Q404" s="237"/>
      <c r="R404" s="26">
        <v>0</v>
      </c>
      <c r="S404" s="27"/>
      <c r="T404" s="237"/>
      <c r="U404" s="26">
        <v>0</v>
      </c>
      <c r="V404" s="27"/>
      <c r="W404" s="237"/>
      <c r="X404" s="26">
        <v>0</v>
      </c>
      <c r="Y404" s="27"/>
      <c r="Z404" s="237"/>
      <c r="AA404" s="26">
        <v>0</v>
      </c>
      <c r="AB404" s="27"/>
      <c r="AC404" s="237"/>
      <c r="AD404" s="26">
        <v>0</v>
      </c>
      <c r="AE404" s="27"/>
      <c r="AF404" s="237"/>
      <c r="AG404" s="26">
        <v>0</v>
      </c>
      <c r="AH404" s="27"/>
      <c r="AI404" s="237"/>
      <c r="AJ404" s="26">
        <v>0</v>
      </c>
      <c r="AK404" s="27"/>
      <c r="AL404" s="237"/>
      <c r="AM404" s="26">
        <v>0</v>
      </c>
      <c r="AN404" s="27"/>
      <c r="AO404" s="237"/>
      <c r="AP404" s="26">
        <v>0</v>
      </c>
      <c r="AQ404" s="27"/>
      <c r="AR404" s="237"/>
      <c r="AS404" s="26"/>
      <c r="AT404" s="27"/>
      <c r="AU404" s="237"/>
      <c r="AV404" s="26"/>
      <c r="AW404" s="27"/>
      <c r="AX404" s="237"/>
      <c r="AY404" s="26"/>
      <c r="AZ404" s="27"/>
      <c r="BA404" s="237"/>
      <c r="BB404" s="26"/>
      <c r="BC404" s="27"/>
      <c r="BD404" s="237"/>
      <c r="BE404" s="26"/>
      <c r="BF404" s="27"/>
      <c r="BG404" s="237"/>
      <c r="BH404" s="26"/>
      <c r="BI404" s="27"/>
      <c r="BJ404" s="454"/>
    </row>
    <row r="405" spans="1:62" s="28" customFormat="1" hidden="1" outlineLevel="2" x14ac:dyDescent="0.3">
      <c r="A405" s="200" t="s">
        <v>132</v>
      </c>
      <c r="B405" s="2"/>
      <c r="C405" s="197"/>
      <c r="D405" s="39"/>
      <c r="E405" s="39"/>
      <c r="F405" s="39"/>
      <c r="G405" s="54"/>
      <c r="H405" s="237"/>
      <c r="I405" s="26">
        <v>2</v>
      </c>
      <c r="J405" s="27"/>
      <c r="K405" s="237"/>
      <c r="L405" s="26">
        <v>2</v>
      </c>
      <c r="M405" s="27"/>
      <c r="N405" s="237"/>
      <c r="O405" s="26">
        <v>2</v>
      </c>
      <c r="P405" s="27"/>
      <c r="Q405" s="237"/>
      <c r="R405" s="26">
        <v>2</v>
      </c>
      <c r="S405" s="27"/>
      <c r="T405" s="237"/>
      <c r="U405" s="26">
        <v>2</v>
      </c>
      <c r="V405" s="27"/>
      <c r="W405" s="237"/>
      <c r="X405" s="26">
        <v>2</v>
      </c>
      <c r="Y405" s="27"/>
      <c r="Z405" s="237"/>
      <c r="AA405" s="26">
        <v>2</v>
      </c>
      <c r="AB405" s="27"/>
      <c r="AC405" s="237"/>
      <c r="AD405" s="26">
        <v>2</v>
      </c>
      <c r="AE405" s="27"/>
      <c r="AF405" s="237"/>
      <c r="AG405" s="26">
        <v>2</v>
      </c>
      <c r="AH405" s="27"/>
      <c r="AI405" s="237"/>
      <c r="AJ405" s="26">
        <v>2</v>
      </c>
      <c r="AK405" s="27"/>
      <c r="AL405" s="237"/>
      <c r="AM405" s="26">
        <v>2</v>
      </c>
      <c r="AN405" s="27"/>
      <c r="AO405" s="237"/>
      <c r="AP405" s="26">
        <v>2</v>
      </c>
      <c r="AQ405" s="27"/>
      <c r="AR405" s="237"/>
      <c r="AS405" s="26"/>
      <c r="AT405" s="27"/>
      <c r="AU405" s="237"/>
      <c r="AV405" s="26"/>
      <c r="AW405" s="27"/>
      <c r="AX405" s="237"/>
      <c r="AY405" s="26"/>
      <c r="AZ405" s="27"/>
      <c r="BA405" s="237"/>
      <c r="BB405" s="26"/>
      <c r="BC405" s="27"/>
      <c r="BD405" s="237"/>
      <c r="BE405" s="26"/>
      <c r="BF405" s="27"/>
      <c r="BG405" s="237"/>
      <c r="BH405" s="26"/>
      <c r="BI405" s="27"/>
      <c r="BJ405" s="454"/>
    </row>
    <row r="406" spans="1:62" s="28" customFormat="1" hidden="1" outlineLevel="2" x14ac:dyDescent="0.3">
      <c r="A406" s="200" t="s">
        <v>133</v>
      </c>
      <c r="B406" s="2"/>
      <c r="C406" s="197"/>
      <c r="D406" s="39"/>
      <c r="E406" s="39"/>
      <c r="F406" s="39"/>
      <c r="G406" s="54"/>
      <c r="H406" s="237"/>
      <c r="I406" s="26">
        <v>0</v>
      </c>
      <c r="J406" s="27"/>
      <c r="K406" s="237"/>
      <c r="L406" s="26">
        <v>0</v>
      </c>
      <c r="M406" s="27"/>
      <c r="N406" s="237"/>
      <c r="O406" s="26">
        <v>0</v>
      </c>
      <c r="P406" s="27"/>
      <c r="Q406" s="237"/>
      <c r="R406" s="26">
        <v>0</v>
      </c>
      <c r="S406" s="27"/>
      <c r="T406" s="237"/>
      <c r="U406" s="26">
        <v>0</v>
      </c>
      <c r="V406" s="27"/>
      <c r="W406" s="237"/>
      <c r="X406" s="26">
        <v>0</v>
      </c>
      <c r="Y406" s="27"/>
      <c r="Z406" s="237"/>
      <c r="AA406" s="26">
        <v>0</v>
      </c>
      <c r="AB406" s="27"/>
      <c r="AC406" s="237"/>
      <c r="AD406" s="26">
        <v>0</v>
      </c>
      <c r="AE406" s="27"/>
      <c r="AF406" s="237"/>
      <c r="AG406" s="26">
        <v>0</v>
      </c>
      <c r="AH406" s="27"/>
      <c r="AI406" s="237"/>
      <c r="AJ406" s="26">
        <v>0</v>
      </c>
      <c r="AK406" s="27"/>
      <c r="AL406" s="237"/>
      <c r="AM406" s="26">
        <v>0</v>
      </c>
      <c r="AN406" s="27"/>
      <c r="AO406" s="237"/>
      <c r="AP406" s="26">
        <v>0</v>
      </c>
      <c r="AQ406" s="27"/>
      <c r="AR406" s="237"/>
      <c r="AS406" s="26"/>
      <c r="AT406" s="27"/>
      <c r="AU406" s="237"/>
      <c r="AV406" s="26"/>
      <c r="AW406" s="27"/>
      <c r="AX406" s="237"/>
      <c r="AY406" s="26"/>
      <c r="AZ406" s="27"/>
      <c r="BA406" s="237"/>
      <c r="BB406" s="26"/>
      <c r="BC406" s="27"/>
      <c r="BD406" s="237"/>
      <c r="BE406" s="26"/>
      <c r="BF406" s="27"/>
      <c r="BG406" s="237"/>
      <c r="BH406" s="26"/>
      <c r="BI406" s="27"/>
      <c r="BJ406" s="454"/>
    </row>
    <row r="407" spans="1:62" s="28" customFormat="1" hidden="1" outlineLevel="2" x14ac:dyDescent="0.3">
      <c r="A407" s="200" t="s">
        <v>134</v>
      </c>
      <c r="B407" s="2"/>
      <c r="C407" s="197"/>
      <c r="D407" s="39"/>
      <c r="E407" s="39"/>
      <c r="F407" s="39"/>
      <c r="G407" s="54"/>
      <c r="H407" s="237"/>
      <c r="I407" s="26">
        <v>2</v>
      </c>
      <c r="J407" s="27"/>
      <c r="K407" s="237"/>
      <c r="L407" s="26">
        <v>2</v>
      </c>
      <c r="M407" s="27"/>
      <c r="N407" s="237"/>
      <c r="O407" s="26">
        <v>2</v>
      </c>
      <c r="P407" s="27"/>
      <c r="Q407" s="237"/>
      <c r="R407" s="26">
        <v>2</v>
      </c>
      <c r="S407" s="27"/>
      <c r="T407" s="237"/>
      <c r="U407" s="26">
        <v>2</v>
      </c>
      <c r="V407" s="27"/>
      <c r="W407" s="237"/>
      <c r="X407" s="26">
        <v>2</v>
      </c>
      <c r="Y407" s="27"/>
      <c r="Z407" s="237"/>
      <c r="AA407" s="26">
        <v>2</v>
      </c>
      <c r="AB407" s="27"/>
      <c r="AC407" s="237"/>
      <c r="AD407" s="26">
        <v>2</v>
      </c>
      <c r="AE407" s="27"/>
      <c r="AF407" s="237"/>
      <c r="AG407" s="26">
        <v>2</v>
      </c>
      <c r="AH407" s="27"/>
      <c r="AI407" s="237"/>
      <c r="AJ407" s="26">
        <v>2</v>
      </c>
      <c r="AK407" s="27"/>
      <c r="AL407" s="237"/>
      <c r="AM407" s="26">
        <v>2</v>
      </c>
      <c r="AN407" s="27"/>
      <c r="AO407" s="237"/>
      <c r="AP407" s="26">
        <v>2</v>
      </c>
      <c r="AQ407" s="27"/>
      <c r="AR407" s="237"/>
      <c r="AS407" s="26"/>
      <c r="AT407" s="27"/>
      <c r="AU407" s="237"/>
      <c r="AV407" s="26"/>
      <c r="AW407" s="27"/>
      <c r="AX407" s="237"/>
      <c r="AY407" s="26"/>
      <c r="AZ407" s="27"/>
      <c r="BA407" s="237"/>
      <c r="BB407" s="26"/>
      <c r="BC407" s="27"/>
      <c r="BD407" s="237"/>
      <c r="BE407" s="26"/>
      <c r="BF407" s="27"/>
      <c r="BG407" s="237"/>
      <c r="BH407" s="26"/>
      <c r="BI407" s="27"/>
      <c r="BJ407" s="454"/>
    </row>
    <row r="408" spans="1:62" s="28" customFormat="1" hidden="1" outlineLevel="2" x14ac:dyDescent="0.3">
      <c r="A408" s="200" t="s">
        <v>135</v>
      </c>
      <c r="B408" s="2"/>
      <c r="C408" s="197"/>
      <c r="D408" s="39"/>
      <c r="E408" s="39"/>
      <c r="F408" s="39"/>
      <c r="G408" s="54"/>
      <c r="H408" s="237"/>
      <c r="I408" s="26">
        <v>2</v>
      </c>
      <c r="J408" s="27"/>
      <c r="K408" s="237"/>
      <c r="L408" s="26">
        <v>2</v>
      </c>
      <c r="M408" s="27"/>
      <c r="N408" s="237"/>
      <c r="O408" s="26">
        <v>2</v>
      </c>
      <c r="P408" s="27"/>
      <c r="Q408" s="237"/>
      <c r="R408" s="26">
        <v>2</v>
      </c>
      <c r="S408" s="27"/>
      <c r="T408" s="237"/>
      <c r="U408" s="26">
        <v>2</v>
      </c>
      <c r="V408" s="27"/>
      <c r="W408" s="237"/>
      <c r="X408" s="26">
        <v>2</v>
      </c>
      <c r="Y408" s="27"/>
      <c r="Z408" s="237"/>
      <c r="AA408" s="26">
        <v>2</v>
      </c>
      <c r="AB408" s="27"/>
      <c r="AC408" s="237"/>
      <c r="AD408" s="26">
        <v>2</v>
      </c>
      <c r="AE408" s="27"/>
      <c r="AF408" s="237"/>
      <c r="AG408" s="26">
        <v>2</v>
      </c>
      <c r="AH408" s="27"/>
      <c r="AI408" s="237"/>
      <c r="AJ408" s="26">
        <v>2</v>
      </c>
      <c r="AK408" s="27"/>
      <c r="AL408" s="237"/>
      <c r="AM408" s="26">
        <v>2</v>
      </c>
      <c r="AN408" s="27"/>
      <c r="AO408" s="237"/>
      <c r="AP408" s="26">
        <v>2</v>
      </c>
      <c r="AQ408" s="27"/>
      <c r="AR408" s="237"/>
      <c r="AS408" s="26"/>
      <c r="AT408" s="27"/>
      <c r="AU408" s="237"/>
      <c r="AV408" s="26"/>
      <c r="AW408" s="27"/>
      <c r="AX408" s="237"/>
      <c r="AY408" s="26"/>
      <c r="AZ408" s="27"/>
      <c r="BA408" s="237"/>
      <c r="BB408" s="26"/>
      <c r="BC408" s="27"/>
      <c r="BD408" s="237"/>
      <c r="BE408" s="26"/>
      <c r="BF408" s="27"/>
      <c r="BG408" s="237"/>
      <c r="BH408" s="26"/>
      <c r="BI408" s="27"/>
      <c r="BJ408" s="454"/>
    </row>
    <row r="409" spans="1:62" s="28" customFormat="1" hidden="1" outlineLevel="2" x14ac:dyDescent="0.3">
      <c r="A409" s="200" t="s">
        <v>136</v>
      </c>
      <c r="B409" s="2"/>
      <c r="C409" s="197"/>
      <c r="D409" s="39"/>
      <c r="E409" s="39"/>
      <c r="F409" s="39"/>
      <c r="G409" s="54"/>
      <c r="H409" s="237"/>
      <c r="I409" s="26">
        <v>1</v>
      </c>
      <c r="J409" s="27"/>
      <c r="K409" s="237"/>
      <c r="L409" s="26">
        <v>1</v>
      </c>
      <c r="M409" s="27"/>
      <c r="N409" s="237"/>
      <c r="O409" s="26">
        <v>1</v>
      </c>
      <c r="P409" s="27"/>
      <c r="Q409" s="237"/>
      <c r="R409" s="26">
        <v>1</v>
      </c>
      <c r="S409" s="27"/>
      <c r="T409" s="237"/>
      <c r="U409" s="26">
        <v>1</v>
      </c>
      <c r="V409" s="27"/>
      <c r="W409" s="237"/>
      <c r="X409" s="26">
        <v>1</v>
      </c>
      <c r="Y409" s="27"/>
      <c r="Z409" s="237"/>
      <c r="AA409" s="26">
        <v>1</v>
      </c>
      <c r="AB409" s="27"/>
      <c r="AC409" s="237"/>
      <c r="AD409" s="26">
        <v>1</v>
      </c>
      <c r="AE409" s="27"/>
      <c r="AF409" s="237"/>
      <c r="AG409" s="26">
        <v>1</v>
      </c>
      <c r="AH409" s="27"/>
      <c r="AI409" s="237"/>
      <c r="AJ409" s="26">
        <v>1</v>
      </c>
      <c r="AK409" s="27"/>
      <c r="AL409" s="237"/>
      <c r="AM409" s="26">
        <v>1</v>
      </c>
      <c r="AN409" s="27"/>
      <c r="AO409" s="237"/>
      <c r="AP409" s="26">
        <v>1</v>
      </c>
      <c r="AQ409" s="27"/>
      <c r="AR409" s="237"/>
      <c r="AS409" s="26"/>
      <c r="AT409" s="27"/>
      <c r="AU409" s="237"/>
      <c r="AV409" s="26"/>
      <c r="AW409" s="27"/>
      <c r="AX409" s="237"/>
      <c r="AY409" s="26"/>
      <c r="AZ409" s="27"/>
      <c r="BA409" s="237"/>
      <c r="BB409" s="26"/>
      <c r="BC409" s="27"/>
      <c r="BD409" s="237"/>
      <c r="BE409" s="26"/>
      <c r="BF409" s="27"/>
      <c r="BG409" s="237"/>
      <c r="BH409" s="26"/>
      <c r="BI409" s="27"/>
      <c r="BJ409" s="454"/>
    </row>
    <row r="410" spans="1:62" s="28" customFormat="1" hidden="1" outlineLevel="2" x14ac:dyDescent="0.3">
      <c r="A410" s="200" t="s">
        <v>137</v>
      </c>
      <c r="B410" s="2"/>
      <c r="C410" s="197"/>
      <c r="D410" s="39"/>
      <c r="E410" s="39"/>
      <c r="F410" s="39"/>
      <c r="G410" s="54"/>
      <c r="H410" s="237"/>
      <c r="I410" s="26">
        <v>0</v>
      </c>
      <c r="J410" s="27"/>
      <c r="K410" s="237"/>
      <c r="L410" s="26">
        <v>1</v>
      </c>
      <c r="M410" s="27"/>
      <c r="N410" s="237"/>
      <c r="O410" s="26">
        <v>1</v>
      </c>
      <c r="P410" s="27"/>
      <c r="Q410" s="237"/>
      <c r="R410" s="26">
        <v>1</v>
      </c>
      <c r="S410" s="27"/>
      <c r="T410" s="237"/>
      <c r="U410" s="26">
        <v>1</v>
      </c>
      <c r="V410" s="27"/>
      <c r="W410" s="237"/>
      <c r="X410" s="26">
        <v>1</v>
      </c>
      <c r="Y410" s="27"/>
      <c r="Z410" s="237"/>
      <c r="AA410" s="26">
        <v>1</v>
      </c>
      <c r="AB410" s="27"/>
      <c r="AC410" s="237"/>
      <c r="AD410" s="26">
        <v>1</v>
      </c>
      <c r="AE410" s="27"/>
      <c r="AF410" s="237"/>
      <c r="AG410" s="26">
        <v>1</v>
      </c>
      <c r="AH410" s="27"/>
      <c r="AI410" s="237"/>
      <c r="AJ410" s="26">
        <v>1</v>
      </c>
      <c r="AK410" s="27"/>
      <c r="AL410" s="237"/>
      <c r="AM410" s="26">
        <v>1</v>
      </c>
      <c r="AN410" s="27"/>
      <c r="AO410" s="237"/>
      <c r="AP410" s="26">
        <v>1</v>
      </c>
      <c r="AQ410" s="27"/>
      <c r="AR410" s="237"/>
      <c r="AS410" s="26"/>
      <c r="AT410" s="27"/>
      <c r="AU410" s="237"/>
      <c r="AV410" s="26"/>
      <c r="AW410" s="27"/>
      <c r="AX410" s="237"/>
      <c r="AY410" s="26"/>
      <c r="AZ410" s="27"/>
      <c r="BA410" s="237"/>
      <c r="BB410" s="26"/>
      <c r="BC410" s="27"/>
      <c r="BD410" s="237"/>
      <c r="BE410" s="26"/>
      <c r="BF410" s="27"/>
      <c r="BG410" s="237"/>
      <c r="BH410" s="26"/>
      <c r="BI410" s="27"/>
      <c r="BJ410" s="454"/>
    </row>
    <row r="411" spans="1:62" s="28" customFormat="1" hidden="1" outlineLevel="2" x14ac:dyDescent="0.3">
      <c r="A411" s="200" t="s">
        <v>138</v>
      </c>
      <c r="B411" s="2"/>
      <c r="C411" s="197"/>
      <c r="D411" s="39"/>
      <c r="E411" s="39"/>
      <c r="F411" s="39"/>
      <c r="G411" s="54"/>
      <c r="H411" s="237"/>
      <c r="I411" s="26">
        <v>0</v>
      </c>
      <c r="J411" s="27"/>
      <c r="K411" s="237"/>
      <c r="L411" s="26">
        <v>0</v>
      </c>
      <c r="M411" s="27"/>
      <c r="N411" s="237"/>
      <c r="O411" s="26">
        <v>0</v>
      </c>
      <c r="P411" s="27"/>
      <c r="Q411" s="237"/>
      <c r="R411" s="26">
        <v>0</v>
      </c>
      <c r="S411" s="27"/>
      <c r="T411" s="237"/>
      <c r="U411" s="26">
        <v>0</v>
      </c>
      <c r="V411" s="27"/>
      <c r="W411" s="237"/>
      <c r="X411" s="26">
        <v>0</v>
      </c>
      <c r="Y411" s="27"/>
      <c r="Z411" s="237"/>
      <c r="AA411" s="26">
        <v>0</v>
      </c>
      <c r="AB411" s="27"/>
      <c r="AC411" s="237"/>
      <c r="AD411" s="26">
        <v>0</v>
      </c>
      <c r="AE411" s="27"/>
      <c r="AF411" s="237"/>
      <c r="AG411" s="26">
        <v>0</v>
      </c>
      <c r="AH411" s="27"/>
      <c r="AI411" s="237"/>
      <c r="AJ411" s="26">
        <v>0</v>
      </c>
      <c r="AK411" s="27"/>
      <c r="AL411" s="237"/>
      <c r="AM411" s="26">
        <v>0</v>
      </c>
      <c r="AN411" s="27"/>
      <c r="AO411" s="237"/>
      <c r="AP411" s="26">
        <v>0</v>
      </c>
      <c r="AQ411" s="27"/>
      <c r="AR411" s="237"/>
      <c r="AS411" s="26"/>
      <c r="AT411" s="27"/>
      <c r="AU411" s="237"/>
      <c r="AV411" s="26"/>
      <c r="AW411" s="27"/>
      <c r="AX411" s="237"/>
      <c r="AY411" s="26"/>
      <c r="AZ411" s="27"/>
      <c r="BA411" s="237"/>
      <c r="BB411" s="26"/>
      <c r="BC411" s="27"/>
      <c r="BD411" s="237"/>
      <c r="BE411" s="26"/>
      <c r="BF411" s="27"/>
      <c r="BG411" s="237"/>
      <c r="BH411" s="26"/>
      <c r="BI411" s="27"/>
      <c r="BJ411" s="454"/>
    </row>
    <row r="412" spans="1:62" s="28" customFormat="1" hidden="1" outlineLevel="2" x14ac:dyDescent="0.3">
      <c r="A412" s="200" t="s">
        <v>139</v>
      </c>
      <c r="B412" s="2"/>
      <c r="C412" s="197"/>
      <c r="D412" s="39"/>
      <c r="E412" s="39"/>
      <c r="F412" s="39"/>
      <c r="G412" s="54"/>
      <c r="H412" s="237"/>
      <c r="I412" s="26">
        <v>0</v>
      </c>
      <c r="J412" s="27"/>
      <c r="K412" s="237"/>
      <c r="L412" s="26">
        <v>0</v>
      </c>
      <c r="M412" s="27"/>
      <c r="N412" s="237"/>
      <c r="O412" s="26">
        <v>0</v>
      </c>
      <c r="P412" s="27"/>
      <c r="Q412" s="237"/>
      <c r="R412" s="26">
        <v>0</v>
      </c>
      <c r="S412" s="27"/>
      <c r="T412" s="237"/>
      <c r="U412" s="26">
        <v>0</v>
      </c>
      <c r="V412" s="27"/>
      <c r="W412" s="237"/>
      <c r="X412" s="26">
        <v>0</v>
      </c>
      <c r="Y412" s="27"/>
      <c r="Z412" s="237"/>
      <c r="AA412" s="26">
        <v>0</v>
      </c>
      <c r="AB412" s="27"/>
      <c r="AC412" s="237"/>
      <c r="AD412" s="26">
        <v>0</v>
      </c>
      <c r="AE412" s="27"/>
      <c r="AF412" s="237"/>
      <c r="AG412" s="26">
        <v>0</v>
      </c>
      <c r="AH412" s="27"/>
      <c r="AI412" s="237"/>
      <c r="AJ412" s="26">
        <v>0</v>
      </c>
      <c r="AK412" s="27"/>
      <c r="AL412" s="237"/>
      <c r="AM412" s="26">
        <v>0</v>
      </c>
      <c r="AN412" s="27"/>
      <c r="AO412" s="237"/>
      <c r="AP412" s="26">
        <v>0</v>
      </c>
      <c r="AQ412" s="27"/>
      <c r="AR412" s="237"/>
      <c r="AS412" s="26"/>
      <c r="AT412" s="27"/>
      <c r="AU412" s="237"/>
      <c r="AV412" s="26"/>
      <c r="AW412" s="27"/>
      <c r="AX412" s="237"/>
      <c r="AY412" s="26"/>
      <c r="AZ412" s="27"/>
      <c r="BA412" s="237"/>
      <c r="BB412" s="26"/>
      <c r="BC412" s="27"/>
      <c r="BD412" s="237"/>
      <c r="BE412" s="26"/>
      <c r="BF412" s="27"/>
      <c r="BG412" s="237"/>
      <c r="BH412" s="26"/>
      <c r="BI412" s="27"/>
      <c r="BJ412" s="454"/>
    </row>
    <row r="413" spans="1:62" s="28" customFormat="1" hidden="1" outlineLevel="2" x14ac:dyDescent="0.3">
      <c r="A413" s="200" t="s">
        <v>140</v>
      </c>
      <c r="B413" s="2"/>
      <c r="C413" s="197"/>
      <c r="D413" s="39"/>
      <c r="E413" s="39"/>
      <c r="F413" s="39"/>
      <c r="G413" s="54"/>
      <c r="H413" s="237"/>
      <c r="I413" s="26">
        <v>1</v>
      </c>
      <c r="J413" s="27"/>
      <c r="K413" s="237"/>
      <c r="L413" s="26">
        <v>1</v>
      </c>
      <c r="M413" s="27"/>
      <c r="N413" s="237"/>
      <c r="O413" s="26">
        <v>1</v>
      </c>
      <c r="P413" s="27"/>
      <c r="Q413" s="237"/>
      <c r="R413" s="26">
        <v>1</v>
      </c>
      <c r="S413" s="27"/>
      <c r="T413" s="237"/>
      <c r="U413" s="26">
        <v>1</v>
      </c>
      <c r="V413" s="27"/>
      <c r="W413" s="237"/>
      <c r="X413" s="26">
        <v>1</v>
      </c>
      <c r="Y413" s="27"/>
      <c r="Z413" s="237"/>
      <c r="AA413" s="26">
        <v>1</v>
      </c>
      <c r="AB413" s="27"/>
      <c r="AC413" s="237"/>
      <c r="AD413" s="26">
        <v>1</v>
      </c>
      <c r="AE413" s="27"/>
      <c r="AF413" s="237"/>
      <c r="AG413" s="26">
        <v>1</v>
      </c>
      <c r="AH413" s="27"/>
      <c r="AI413" s="237"/>
      <c r="AJ413" s="26">
        <v>1</v>
      </c>
      <c r="AK413" s="27"/>
      <c r="AL413" s="237"/>
      <c r="AM413" s="26">
        <v>1</v>
      </c>
      <c r="AN413" s="27"/>
      <c r="AO413" s="237"/>
      <c r="AP413" s="26">
        <v>1</v>
      </c>
      <c r="AQ413" s="27"/>
      <c r="AR413" s="237"/>
      <c r="AS413" s="26"/>
      <c r="AT413" s="27"/>
      <c r="AU413" s="237"/>
      <c r="AV413" s="26"/>
      <c r="AW413" s="27"/>
      <c r="AX413" s="237"/>
      <c r="AY413" s="26"/>
      <c r="AZ413" s="27"/>
      <c r="BA413" s="237"/>
      <c r="BB413" s="26"/>
      <c r="BC413" s="27"/>
      <c r="BD413" s="237"/>
      <c r="BE413" s="26"/>
      <c r="BF413" s="27"/>
      <c r="BG413" s="237"/>
      <c r="BH413" s="26"/>
      <c r="BI413" s="27"/>
      <c r="BJ413" s="454"/>
    </row>
    <row r="414" spans="1:62" s="28" customFormat="1" hidden="1" outlineLevel="2" x14ac:dyDescent="0.3">
      <c r="A414" s="201"/>
      <c r="B414" s="22"/>
      <c r="C414" s="3"/>
      <c r="D414" s="4"/>
      <c r="E414" s="194"/>
      <c r="F414" s="54"/>
      <c r="G414" s="54"/>
      <c r="H414" s="278"/>
      <c r="I414" s="231"/>
      <c r="J414" s="195"/>
      <c r="K414" s="278"/>
      <c r="L414" s="231"/>
      <c r="M414" s="195"/>
      <c r="N414" s="278"/>
      <c r="O414" s="231"/>
      <c r="P414" s="195"/>
      <c r="Q414" s="278"/>
      <c r="R414" s="231"/>
      <c r="S414" s="195"/>
      <c r="T414" s="278"/>
      <c r="U414" s="231"/>
      <c r="V414" s="195"/>
      <c r="W414" s="278"/>
      <c r="X414" s="231"/>
      <c r="Y414" s="195"/>
      <c r="Z414" s="278"/>
      <c r="AA414" s="231"/>
      <c r="AB414" s="195"/>
      <c r="AC414" s="278"/>
      <c r="AD414" s="231"/>
      <c r="AE414" s="195"/>
      <c r="AF414" s="278"/>
      <c r="AG414" s="231"/>
      <c r="AH414" s="195"/>
      <c r="AI414" s="278"/>
      <c r="AJ414" s="231"/>
      <c r="AK414" s="195"/>
      <c r="AL414" s="278"/>
      <c r="AM414" s="231"/>
      <c r="AN414" s="195"/>
      <c r="AO414" s="278"/>
      <c r="AP414" s="231"/>
      <c r="AQ414" s="195"/>
      <c r="AR414" s="278"/>
      <c r="AS414" s="231"/>
      <c r="AT414" s="195"/>
      <c r="AU414" s="278"/>
      <c r="AV414" s="231"/>
      <c r="AW414" s="195"/>
      <c r="AX414" s="278"/>
      <c r="AY414" s="231"/>
      <c r="AZ414" s="195"/>
      <c r="BA414" s="278"/>
      <c r="BB414" s="231"/>
      <c r="BC414" s="195"/>
      <c r="BD414" s="278"/>
      <c r="BE414" s="231"/>
      <c r="BF414" s="195"/>
      <c r="BG414" s="278"/>
      <c r="BH414" s="231"/>
      <c r="BI414" s="195"/>
      <c r="BJ414" s="454"/>
    </row>
    <row r="415" spans="1:62" s="28" customFormat="1" hidden="1" outlineLevel="2" x14ac:dyDescent="0.3">
      <c r="A415" s="196" t="s">
        <v>423</v>
      </c>
      <c r="B415" s="57"/>
      <c r="C415" s="58"/>
      <c r="D415" s="59"/>
      <c r="E415" s="60"/>
      <c r="F415" s="61"/>
      <c r="G415" s="54"/>
      <c r="H415" s="207"/>
      <c r="I415" s="198">
        <v>27</v>
      </c>
      <c r="J415" s="199"/>
      <c r="K415" s="207"/>
      <c r="L415" s="198">
        <v>25</v>
      </c>
      <c r="M415" s="199"/>
      <c r="N415" s="207"/>
      <c r="O415" s="198">
        <v>25</v>
      </c>
      <c r="P415" s="199"/>
      <c r="Q415" s="207"/>
      <c r="R415" s="198">
        <v>25</v>
      </c>
      <c r="S415" s="199"/>
      <c r="T415" s="207"/>
      <c r="U415" s="198">
        <v>25</v>
      </c>
      <c r="V415" s="199"/>
      <c r="W415" s="207"/>
      <c r="X415" s="198">
        <v>25</v>
      </c>
      <c r="Y415" s="199"/>
      <c r="Z415" s="207"/>
      <c r="AA415" s="198">
        <v>25</v>
      </c>
      <c r="AB415" s="199"/>
      <c r="AC415" s="207"/>
      <c r="AD415" s="198">
        <v>25</v>
      </c>
      <c r="AE415" s="199"/>
      <c r="AF415" s="207"/>
      <c r="AG415" s="198">
        <v>25</v>
      </c>
      <c r="AH415" s="199"/>
      <c r="AI415" s="207"/>
      <c r="AJ415" s="198">
        <v>25</v>
      </c>
      <c r="AK415" s="199"/>
      <c r="AL415" s="207"/>
      <c r="AM415" s="198">
        <v>25</v>
      </c>
      <c r="AN415" s="199"/>
      <c r="AO415" s="207"/>
      <c r="AP415" s="198">
        <v>25</v>
      </c>
      <c r="AQ415" s="199"/>
      <c r="AR415" s="207"/>
      <c r="AS415" s="198"/>
      <c r="AT415" s="199"/>
      <c r="AU415" s="207"/>
      <c r="AV415" s="198"/>
      <c r="AW415" s="199"/>
      <c r="AX415" s="207"/>
      <c r="AY415" s="198"/>
      <c r="AZ415" s="199"/>
      <c r="BA415" s="207"/>
      <c r="BB415" s="198"/>
      <c r="BC415" s="199"/>
      <c r="BD415" s="207"/>
      <c r="BE415" s="198"/>
      <c r="BF415" s="199"/>
      <c r="BG415" s="207"/>
      <c r="BH415" s="198"/>
      <c r="BI415" s="199"/>
      <c r="BJ415" s="454"/>
    </row>
    <row r="416" spans="1:62" s="28" customFormat="1" hidden="1" outlineLevel="2" x14ac:dyDescent="0.3">
      <c r="A416" s="200" t="s">
        <v>142</v>
      </c>
      <c r="B416" s="2"/>
      <c r="C416" s="58"/>
      <c r="D416" s="59"/>
      <c r="E416" s="60"/>
      <c r="F416" s="39"/>
      <c r="G416" s="54"/>
      <c r="H416" s="237"/>
      <c r="I416" s="26">
        <v>1</v>
      </c>
      <c r="J416" s="27"/>
      <c r="K416" s="237"/>
      <c r="L416" s="26">
        <v>1</v>
      </c>
      <c r="M416" s="27"/>
      <c r="N416" s="237"/>
      <c r="O416" s="26">
        <v>1</v>
      </c>
      <c r="P416" s="27"/>
      <c r="Q416" s="237"/>
      <c r="R416" s="26">
        <v>1</v>
      </c>
      <c r="S416" s="27"/>
      <c r="T416" s="237"/>
      <c r="U416" s="26">
        <v>1</v>
      </c>
      <c r="V416" s="27"/>
      <c r="W416" s="237"/>
      <c r="X416" s="26">
        <v>1</v>
      </c>
      <c r="Y416" s="27"/>
      <c r="Z416" s="237"/>
      <c r="AA416" s="26">
        <v>1</v>
      </c>
      <c r="AB416" s="27"/>
      <c r="AC416" s="237"/>
      <c r="AD416" s="26">
        <v>1</v>
      </c>
      <c r="AE416" s="27"/>
      <c r="AF416" s="237"/>
      <c r="AG416" s="26">
        <v>1</v>
      </c>
      <c r="AH416" s="27"/>
      <c r="AI416" s="237"/>
      <c r="AJ416" s="26">
        <v>1</v>
      </c>
      <c r="AK416" s="27"/>
      <c r="AL416" s="237"/>
      <c r="AM416" s="26">
        <v>1</v>
      </c>
      <c r="AN416" s="27"/>
      <c r="AO416" s="237"/>
      <c r="AP416" s="26">
        <v>1</v>
      </c>
      <c r="AQ416" s="27"/>
      <c r="AR416" s="237"/>
      <c r="AS416" s="26"/>
      <c r="AT416" s="27"/>
      <c r="AU416" s="237"/>
      <c r="AV416" s="26"/>
      <c r="AW416" s="27"/>
      <c r="AX416" s="237"/>
      <c r="AY416" s="26"/>
      <c r="AZ416" s="27"/>
      <c r="BA416" s="237"/>
      <c r="BB416" s="26"/>
      <c r="BC416" s="27"/>
      <c r="BD416" s="237"/>
      <c r="BE416" s="26"/>
      <c r="BF416" s="27"/>
      <c r="BG416" s="237"/>
      <c r="BH416" s="26"/>
      <c r="BI416" s="27"/>
      <c r="BJ416" s="454"/>
    </row>
    <row r="417" spans="1:62" s="28" customFormat="1" hidden="1" outlineLevel="2" x14ac:dyDescent="0.3">
      <c r="A417" s="200" t="s">
        <v>144</v>
      </c>
      <c r="B417" s="2"/>
      <c r="C417" s="58"/>
      <c r="D417" s="59"/>
      <c r="E417" s="60"/>
      <c r="F417" s="39"/>
      <c r="G417" s="54"/>
      <c r="H417" s="237"/>
      <c r="I417" s="26">
        <v>6</v>
      </c>
      <c r="J417" s="27"/>
      <c r="K417" s="237"/>
      <c r="L417" s="26">
        <v>2</v>
      </c>
      <c r="M417" s="27"/>
      <c r="N417" s="237"/>
      <c r="O417" s="26">
        <v>2</v>
      </c>
      <c r="P417" s="27"/>
      <c r="Q417" s="237"/>
      <c r="R417" s="26">
        <v>2</v>
      </c>
      <c r="S417" s="27"/>
      <c r="T417" s="237"/>
      <c r="U417" s="26">
        <v>2</v>
      </c>
      <c r="V417" s="27"/>
      <c r="W417" s="237"/>
      <c r="X417" s="26">
        <v>2</v>
      </c>
      <c r="Y417" s="27"/>
      <c r="Z417" s="237"/>
      <c r="AA417" s="26">
        <v>2</v>
      </c>
      <c r="AB417" s="27"/>
      <c r="AC417" s="237"/>
      <c r="AD417" s="26">
        <v>2</v>
      </c>
      <c r="AE417" s="27"/>
      <c r="AF417" s="237"/>
      <c r="AG417" s="26">
        <v>2</v>
      </c>
      <c r="AH417" s="27"/>
      <c r="AI417" s="237"/>
      <c r="AJ417" s="26">
        <v>2</v>
      </c>
      <c r="AK417" s="27"/>
      <c r="AL417" s="237"/>
      <c r="AM417" s="26">
        <v>2</v>
      </c>
      <c r="AN417" s="27"/>
      <c r="AO417" s="237"/>
      <c r="AP417" s="26">
        <v>2</v>
      </c>
      <c r="AQ417" s="27"/>
      <c r="AR417" s="237"/>
      <c r="AS417" s="26"/>
      <c r="AT417" s="27"/>
      <c r="AU417" s="237"/>
      <c r="AV417" s="26"/>
      <c r="AW417" s="27"/>
      <c r="AX417" s="237"/>
      <c r="AY417" s="26"/>
      <c r="AZ417" s="27"/>
      <c r="BA417" s="237"/>
      <c r="BB417" s="26"/>
      <c r="BC417" s="27"/>
      <c r="BD417" s="237"/>
      <c r="BE417" s="26"/>
      <c r="BF417" s="27"/>
      <c r="BG417" s="237"/>
      <c r="BH417" s="26"/>
      <c r="BI417" s="27"/>
      <c r="BJ417" s="454"/>
    </row>
    <row r="418" spans="1:62" s="28" customFormat="1" hidden="1" outlineLevel="2" x14ac:dyDescent="0.3">
      <c r="A418" s="200" t="s">
        <v>145</v>
      </c>
      <c r="B418" s="2"/>
      <c r="C418" s="58"/>
      <c r="D418" s="59"/>
      <c r="E418" s="60"/>
      <c r="F418" s="39"/>
      <c r="G418" s="54"/>
      <c r="H418" s="237"/>
      <c r="I418" s="26">
        <v>0</v>
      </c>
      <c r="J418" s="27"/>
      <c r="K418" s="237"/>
      <c r="L418" s="26">
        <v>2</v>
      </c>
      <c r="M418" s="27"/>
      <c r="N418" s="237"/>
      <c r="O418" s="26">
        <v>2</v>
      </c>
      <c r="P418" s="27"/>
      <c r="Q418" s="237"/>
      <c r="R418" s="26">
        <v>2</v>
      </c>
      <c r="S418" s="27"/>
      <c r="T418" s="237"/>
      <c r="U418" s="26">
        <v>2</v>
      </c>
      <c r="V418" s="27"/>
      <c r="W418" s="237"/>
      <c r="X418" s="26">
        <v>2</v>
      </c>
      <c r="Y418" s="27"/>
      <c r="Z418" s="237"/>
      <c r="AA418" s="26">
        <v>2</v>
      </c>
      <c r="AB418" s="27"/>
      <c r="AC418" s="237"/>
      <c r="AD418" s="26">
        <v>2</v>
      </c>
      <c r="AE418" s="27"/>
      <c r="AF418" s="237"/>
      <c r="AG418" s="26">
        <v>2</v>
      </c>
      <c r="AH418" s="27"/>
      <c r="AI418" s="237"/>
      <c r="AJ418" s="26">
        <v>2</v>
      </c>
      <c r="AK418" s="27"/>
      <c r="AL418" s="237"/>
      <c r="AM418" s="26">
        <v>2</v>
      </c>
      <c r="AN418" s="27"/>
      <c r="AO418" s="237"/>
      <c r="AP418" s="26">
        <v>2</v>
      </c>
      <c r="AQ418" s="27"/>
      <c r="AR418" s="237"/>
      <c r="AS418" s="26"/>
      <c r="AT418" s="27"/>
      <c r="AU418" s="237"/>
      <c r="AV418" s="26"/>
      <c r="AW418" s="27"/>
      <c r="AX418" s="237"/>
      <c r="AY418" s="26"/>
      <c r="AZ418" s="27"/>
      <c r="BA418" s="237"/>
      <c r="BB418" s="26"/>
      <c r="BC418" s="27"/>
      <c r="BD418" s="237"/>
      <c r="BE418" s="26"/>
      <c r="BF418" s="27"/>
      <c r="BG418" s="237"/>
      <c r="BH418" s="26"/>
      <c r="BI418" s="27"/>
      <c r="BJ418" s="454"/>
    </row>
    <row r="419" spans="1:62" s="28" customFormat="1" hidden="1" outlineLevel="2" x14ac:dyDescent="0.3">
      <c r="A419" s="200" t="s">
        <v>146</v>
      </c>
      <c r="B419" s="2"/>
      <c r="C419" s="58"/>
      <c r="D419" s="59"/>
      <c r="E419" s="60"/>
      <c r="F419" s="39"/>
      <c r="G419" s="54"/>
      <c r="H419" s="237"/>
      <c r="I419" s="26">
        <v>1</v>
      </c>
      <c r="J419" s="27"/>
      <c r="K419" s="237"/>
      <c r="L419" s="26">
        <v>2</v>
      </c>
      <c r="M419" s="27"/>
      <c r="N419" s="237"/>
      <c r="O419" s="26">
        <v>2</v>
      </c>
      <c r="P419" s="27"/>
      <c r="Q419" s="237"/>
      <c r="R419" s="26">
        <v>2</v>
      </c>
      <c r="S419" s="27"/>
      <c r="T419" s="237"/>
      <c r="U419" s="26">
        <v>2</v>
      </c>
      <c r="V419" s="27"/>
      <c r="W419" s="237"/>
      <c r="X419" s="26">
        <v>2</v>
      </c>
      <c r="Y419" s="27"/>
      <c r="Z419" s="237"/>
      <c r="AA419" s="26">
        <v>2</v>
      </c>
      <c r="AB419" s="27"/>
      <c r="AC419" s="237"/>
      <c r="AD419" s="26">
        <v>2</v>
      </c>
      <c r="AE419" s="27"/>
      <c r="AF419" s="237"/>
      <c r="AG419" s="26">
        <v>2</v>
      </c>
      <c r="AH419" s="27"/>
      <c r="AI419" s="237"/>
      <c r="AJ419" s="26">
        <v>2</v>
      </c>
      <c r="AK419" s="27"/>
      <c r="AL419" s="237"/>
      <c r="AM419" s="26">
        <v>2</v>
      </c>
      <c r="AN419" s="27"/>
      <c r="AO419" s="237"/>
      <c r="AP419" s="26">
        <v>2</v>
      </c>
      <c r="AQ419" s="27"/>
      <c r="AR419" s="237"/>
      <c r="AS419" s="26"/>
      <c r="AT419" s="27"/>
      <c r="AU419" s="237"/>
      <c r="AV419" s="26"/>
      <c r="AW419" s="27"/>
      <c r="AX419" s="237"/>
      <c r="AY419" s="26"/>
      <c r="AZ419" s="27"/>
      <c r="BA419" s="237"/>
      <c r="BB419" s="26"/>
      <c r="BC419" s="27"/>
      <c r="BD419" s="237"/>
      <c r="BE419" s="26"/>
      <c r="BF419" s="27"/>
      <c r="BG419" s="237"/>
      <c r="BH419" s="26"/>
      <c r="BI419" s="27"/>
      <c r="BJ419" s="454"/>
    </row>
    <row r="420" spans="1:62" s="28" customFormat="1" hidden="1" outlineLevel="2" x14ac:dyDescent="0.3">
      <c r="A420" s="200" t="s">
        <v>147</v>
      </c>
      <c r="B420" s="2"/>
      <c r="C420" s="58"/>
      <c r="D420" s="59"/>
      <c r="E420" s="202"/>
      <c r="F420" s="39"/>
      <c r="G420" s="54"/>
      <c r="H420" s="237"/>
      <c r="I420" s="26">
        <v>0</v>
      </c>
      <c r="J420" s="27"/>
      <c r="K420" s="237"/>
      <c r="L420" s="26">
        <v>0</v>
      </c>
      <c r="M420" s="27"/>
      <c r="N420" s="237"/>
      <c r="O420" s="26">
        <v>0</v>
      </c>
      <c r="P420" s="27"/>
      <c r="Q420" s="237"/>
      <c r="R420" s="26">
        <v>0</v>
      </c>
      <c r="S420" s="27"/>
      <c r="T420" s="237"/>
      <c r="U420" s="26">
        <v>0</v>
      </c>
      <c r="V420" s="27"/>
      <c r="W420" s="237"/>
      <c r="X420" s="26">
        <v>0</v>
      </c>
      <c r="Y420" s="27"/>
      <c r="Z420" s="237"/>
      <c r="AA420" s="26">
        <v>0</v>
      </c>
      <c r="AB420" s="27"/>
      <c r="AC420" s="237"/>
      <c r="AD420" s="26">
        <v>0</v>
      </c>
      <c r="AE420" s="27"/>
      <c r="AF420" s="237"/>
      <c r="AG420" s="26">
        <v>0</v>
      </c>
      <c r="AH420" s="27"/>
      <c r="AI420" s="237"/>
      <c r="AJ420" s="26">
        <v>0</v>
      </c>
      <c r="AK420" s="27"/>
      <c r="AL420" s="237"/>
      <c r="AM420" s="26">
        <v>0</v>
      </c>
      <c r="AN420" s="27"/>
      <c r="AO420" s="237"/>
      <c r="AP420" s="26">
        <v>0</v>
      </c>
      <c r="AQ420" s="27"/>
      <c r="AR420" s="237"/>
      <c r="AS420" s="26"/>
      <c r="AT420" s="27"/>
      <c r="AU420" s="237"/>
      <c r="AV420" s="26"/>
      <c r="AW420" s="27"/>
      <c r="AX420" s="237"/>
      <c r="AY420" s="26"/>
      <c r="AZ420" s="27"/>
      <c r="BA420" s="237"/>
      <c r="BB420" s="26"/>
      <c r="BC420" s="27"/>
      <c r="BD420" s="237"/>
      <c r="BE420" s="26"/>
      <c r="BF420" s="27"/>
      <c r="BG420" s="237"/>
      <c r="BH420" s="26"/>
      <c r="BI420" s="27"/>
      <c r="BJ420" s="454"/>
    </row>
    <row r="421" spans="1:62" s="28" customFormat="1" hidden="1" outlineLevel="2" x14ac:dyDescent="0.3">
      <c r="A421" s="200" t="s">
        <v>148</v>
      </c>
      <c r="B421" s="2"/>
      <c r="C421" s="58"/>
      <c r="D421" s="59"/>
      <c r="E421" s="60"/>
      <c r="F421" s="39"/>
      <c r="G421" s="54"/>
      <c r="H421" s="237"/>
      <c r="I421" s="26">
        <v>1</v>
      </c>
      <c r="J421" s="27"/>
      <c r="K421" s="237"/>
      <c r="L421" s="26">
        <v>0</v>
      </c>
      <c r="M421" s="27"/>
      <c r="N421" s="237"/>
      <c r="O421" s="26">
        <v>0</v>
      </c>
      <c r="P421" s="27"/>
      <c r="Q421" s="237"/>
      <c r="R421" s="26">
        <v>0</v>
      </c>
      <c r="S421" s="27"/>
      <c r="T421" s="237"/>
      <c r="U421" s="26">
        <v>0</v>
      </c>
      <c r="V421" s="27"/>
      <c r="W421" s="237"/>
      <c r="X421" s="26">
        <v>0</v>
      </c>
      <c r="Y421" s="27"/>
      <c r="Z421" s="237"/>
      <c r="AA421" s="26">
        <v>0</v>
      </c>
      <c r="AB421" s="27"/>
      <c r="AC421" s="237"/>
      <c r="AD421" s="26">
        <v>0</v>
      </c>
      <c r="AE421" s="27"/>
      <c r="AF421" s="237"/>
      <c r="AG421" s="26">
        <v>0</v>
      </c>
      <c r="AH421" s="27"/>
      <c r="AI421" s="237"/>
      <c r="AJ421" s="26">
        <v>0</v>
      </c>
      <c r="AK421" s="27"/>
      <c r="AL421" s="237"/>
      <c r="AM421" s="26">
        <v>0</v>
      </c>
      <c r="AN421" s="27"/>
      <c r="AO421" s="237"/>
      <c r="AP421" s="26">
        <v>0</v>
      </c>
      <c r="AQ421" s="27"/>
      <c r="AR421" s="237"/>
      <c r="AS421" s="26"/>
      <c r="AT421" s="27"/>
      <c r="AU421" s="237"/>
      <c r="AV421" s="26"/>
      <c r="AW421" s="27"/>
      <c r="AX421" s="237"/>
      <c r="AY421" s="26"/>
      <c r="AZ421" s="27"/>
      <c r="BA421" s="237"/>
      <c r="BB421" s="26"/>
      <c r="BC421" s="27"/>
      <c r="BD421" s="237"/>
      <c r="BE421" s="26"/>
      <c r="BF421" s="27"/>
      <c r="BG421" s="237"/>
      <c r="BH421" s="26"/>
      <c r="BI421" s="27"/>
      <c r="BJ421" s="454"/>
    </row>
    <row r="422" spans="1:62" s="28" customFormat="1" hidden="1" outlineLevel="2" x14ac:dyDescent="0.3">
      <c r="A422" s="200" t="s">
        <v>149</v>
      </c>
      <c r="B422" s="2"/>
      <c r="C422" s="58"/>
      <c r="D422" s="59"/>
      <c r="E422" s="60"/>
      <c r="F422" s="39"/>
      <c r="G422" s="54"/>
      <c r="H422" s="237"/>
      <c r="I422" s="26">
        <v>0</v>
      </c>
      <c r="J422" s="27"/>
      <c r="K422" s="237"/>
      <c r="L422" s="26">
        <v>0</v>
      </c>
      <c r="M422" s="27"/>
      <c r="N422" s="237"/>
      <c r="O422" s="26">
        <v>0</v>
      </c>
      <c r="P422" s="27"/>
      <c r="Q422" s="237"/>
      <c r="R422" s="26">
        <v>0</v>
      </c>
      <c r="S422" s="27"/>
      <c r="T422" s="237"/>
      <c r="U422" s="26">
        <v>0</v>
      </c>
      <c r="V422" s="27"/>
      <c r="W422" s="237"/>
      <c r="X422" s="26">
        <v>0</v>
      </c>
      <c r="Y422" s="27"/>
      <c r="Z422" s="237"/>
      <c r="AA422" s="26">
        <v>0</v>
      </c>
      <c r="AB422" s="27"/>
      <c r="AC422" s="237"/>
      <c r="AD422" s="26">
        <v>0</v>
      </c>
      <c r="AE422" s="27"/>
      <c r="AF422" s="237"/>
      <c r="AG422" s="26">
        <v>0</v>
      </c>
      <c r="AH422" s="27"/>
      <c r="AI422" s="237"/>
      <c r="AJ422" s="26">
        <v>0</v>
      </c>
      <c r="AK422" s="27"/>
      <c r="AL422" s="237"/>
      <c r="AM422" s="26">
        <v>0</v>
      </c>
      <c r="AN422" s="27"/>
      <c r="AO422" s="237"/>
      <c r="AP422" s="26">
        <v>0</v>
      </c>
      <c r="AQ422" s="27"/>
      <c r="AR422" s="237"/>
      <c r="AS422" s="26"/>
      <c r="AT422" s="27"/>
      <c r="AU422" s="237"/>
      <c r="AV422" s="26"/>
      <c r="AW422" s="27"/>
      <c r="AX422" s="237"/>
      <c r="AY422" s="26"/>
      <c r="AZ422" s="27"/>
      <c r="BA422" s="237"/>
      <c r="BB422" s="26"/>
      <c r="BC422" s="27"/>
      <c r="BD422" s="237"/>
      <c r="BE422" s="26"/>
      <c r="BF422" s="27"/>
      <c r="BG422" s="237"/>
      <c r="BH422" s="26"/>
      <c r="BI422" s="27"/>
      <c r="BJ422" s="454"/>
    </row>
    <row r="423" spans="1:62" s="28" customFormat="1" hidden="1" outlineLevel="2" x14ac:dyDescent="0.3">
      <c r="A423" s="200" t="s">
        <v>150</v>
      </c>
      <c r="B423" s="2"/>
      <c r="C423" s="58"/>
      <c r="D423" s="59"/>
      <c r="E423" s="60"/>
      <c r="F423" s="39"/>
      <c r="G423" s="54"/>
      <c r="H423" s="237"/>
      <c r="I423" s="26">
        <v>4</v>
      </c>
      <c r="J423" s="27"/>
      <c r="K423" s="237"/>
      <c r="L423" s="26">
        <v>2</v>
      </c>
      <c r="M423" s="27"/>
      <c r="N423" s="237"/>
      <c r="O423" s="26">
        <v>2</v>
      </c>
      <c r="P423" s="27"/>
      <c r="Q423" s="237"/>
      <c r="R423" s="26">
        <v>2</v>
      </c>
      <c r="S423" s="27"/>
      <c r="T423" s="237"/>
      <c r="U423" s="26">
        <v>2</v>
      </c>
      <c r="V423" s="27"/>
      <c r="W423" s="237"/>
      <c r="X423" s="26">
        <v>2</v>
      </c>
      <c r="Y423" s="27"/>
      <c r="Z423" s="237"/>
      <c r="AA423" s="26">
        <v>2</v>
      </c>
      <c r="AB423" s="27"/>
      <c r="AC423" s="237"/>
      <c r="AD423" s="26">
        <v>2</v>
      </c>
      <c r="AE423" s="27"/>
      <c r="AF423" s="237"/>
      <c r="AG423" s="26">
        <v>2</v>
      </c>
      <c r="AH423" s="27"/>
      <c r="AI423" s="237"/>
      <c r="AJ423" s="26">
        <v>2</v>
      </c>
      <c r="AK423" s="27"/>
      <c r="AL423" s="237"/>
      <c r="AM423" s="26">
        <v>2</v>
      </c>
      <c r="AN423" s="27"/>
      <c r="AO423" s="237"/>
      <c r="AP423" s="26">
        <v>2</v>
      </c>
      <c r="AQ423" s="27"/>
      <c r="AR423" s="237"/>
      <c r="AS423" s="26"/>
      <c r="AT423" s="27"/>
      <c r="AU423" s="237"/>
      <c r="AV423" s="26"/>
      <c r="AW423" s="27"/>
      <c r="AX423" s="237"/>
      <c r="AY423" s="26"/>
      <c r="AZ423" s="27"/>
      <c r="BA423" s="237"/>
      <c r="BB423" s="26"/>
      <c r="BC423" s="27"/>
      <c r="BD423" s="237"/>
      <c r="BE423" s="26"/>
      <c r="BF423" s="27"/>
      <c r="BG423" s="237"/>
      <c r="BH423" s="26"/>
      <c r="BI423" s="27"/>
      <c r="BJ423" s="454"/>
    </row>
    <row r="424" spans="1:62" s="28" customFormat="1" hidden="1" outlineLevel="2" x14ac:dyDescent="0.3">
      <c r="A424" s="200" t="s">
        <v>151</v>
      </c>
      <c r="B424" s="2"/>
      <c r="C424" s="58"/>
      <c r="D424" s="59"/>
      <c r="E424" s="60"/>
      <c r="F424" s="39"/>
      <c r="G424" s="54"/>
      <c r="H424" s="237"/>
      <c r="I424" s="26">
        <v>0</v>
      </c>
      <c r="J424" s="27"/>
      <c r="K424" s="237"/>
      <c r="L424" s="26">
        <v>2</v>
      </c>
      <c r="M424" s="27"/>
      <c r="N424" s="237"/>
      <c r="O424" s="26">
        <v>2</v>
      </c>
      <c r="P424" s="27"/>
      <c r="Q424" s="237"/>
      <c r="R424" s="26">
        <v>2</v>
      </c>
      <c r="S424" s="27"/>
      <c r="T424" s="237"/>
      <c r="U424" s="26">
        <v>2</v>
      </c>
      <c r="V424" s="27"/>
      <c r="W424" s="237"/>
      <c r="X424" s="26">
        <v>2</v>
      </c>
      <c r="Y424" s="27"/>
      <c r="Z424" s="237"/>
      <c r="AA424" s="26">
        <v>2</v>
      </c>
      <c r="AB424" s="27"/>
      <c r="AC424" s="237"/>
      <c r="AD424" s="26">
        <v>2</v>
      </c>
      <c r="AE424" s="27"/>
      <c r="AF424" s="237"/>
      <c r="AG424" s="26">
        <v>2</v>
      </c>
      <c r="AH424" s="27"/>
      <c r="AI424" s="237"/>
      <c r="AJ424" s="26">
        <v>2</v>
      </c>
      <c r="AK424" s="27"/>
      <c r="AL424" s="237"/>
      <c r="AM424" s="26">
        <v>2</v>
      </c>
      <c r="AN424" s="27"/>
      <c r="AO424" s="237"/>
      <c r="AP424" s="26">
        <v>2</v>
      </c>
      <c r="AQ424" s="27"/>
      <c r="AR424" s="237"/>
      <c r="AS424" s="26"/>
      <c r="AT424" s="27"/>
      <c r="AU424" s="237"/>
      <c r="AV424" s="26"/>
      <c r="AW424" s="27"/>
      <c r="AX424" s="237"/>
      <c r="AY424" s="26"/>
      <c r="AZ424" s="27"/>
      <c r="BA424" s="237"/>
      <c r="BB424" s="26"/>
      <c r="BC424" s="27"/>
      <c r="BD424" s="237"/>
      <c r="BE424" s="26"/>
      <c r="BF424" s="27"/>
      <c r="BG424" s="237"/>
      <c r="BH424" s="26"/>
      <c r="BI424" s="27"/>
      <c r="BJ424" s="454"/>
    </row>
    <row r="425" spans="1:62" s="28" customFormat="1" hidden="1" outlineLevel="2" x14ac:dyDescent="0.3">
      <c r="A425" s="200" t="s">
        <v>152</v>
      </c>
      <c r="B425" s="2"/>
      <c r="C425" s="58"/>
      <c r="D425" s="59"/>
      <c r="E425" s="202"/>
      <c r="F425" s="39"/>
      <c r="G425" s="54"/>
      <c r="H425" s="237"/>
      <c r="I425" s="26">
        <v>1</v>
      </c>
      <c r="J425" s="27"/>
      <c r="K425" s="237"/>
      <c r="L425" s="26">
        <v>1</v>
      </c>
      <c r="M425" s="27"/>
      <c r="N425" s="237"/>
      <c r="O425" s="26">
        <v>1</v>
      </c>
      <c r="P425" s="27"/>
      <c r="Q425" s="237"/>
      <c r="R425" s="26">
        <v>1</v>
      </c>
      <c r="S425" s="27"/>
      <c r="T425" s="237"/>
      <c r="U425" s="26">
        <v>1</v>
      </c>
      <c r="V425" s="27"/>
      <c r="W425" s="237"/>
      <c r="X425" s="26">
        <v>1</v>
      </c>
      <c r="Y425" s="27"/>
      <c r="Z425" s="237"/>
      <c r="AA425" s="26">
        <v>1</v>
      </c>
      <c r="AB425" s="27"/>
      <c r="AC425" s="237"/>
      <c r="AD425" s="26">
        <v>1</v>
      </c>
      <c r="AE425" s="27"/>
      <c r="AF425" s="237"/>
      <c r="AG425" s="26">
        <v>1</v>
      </c>
      <c r="AH425" s="27"/>
      <c r="AI425" s="237"/>
      <c r="AJ425" s="26">
        <v>1</v>
      </c>
      <c r="AK425" s="27"/>
      <c r="AL425" s="237"/>
      <c r="AM425" s="26">
        <v>1</v>
      </c>
      <c r="AN425" s="27"/>
      <c r="AO425" s="237"/>
      <c r="AP425" s="26">
        <v>1</v>
      </c>
      <c r="AQ425" s="27"/>
      <c r="AR425" s="237"/>
      <c r="AS425" s="26"/>
      <c r="AT425" s="27"/>
      <c r="AU425" s="237"/>
      <c r="AV425" s="26"/>
      <c r="AW425" s="27"/>
      <c r="AX425" s="237"/>
      <c r="AY425" s="26"/>
      <c r="AZ425" s="27"/>
      <c r="BA425" s="237"/>
      <c r="BB425" s="26"/>
      <c r="BC425" s="27"/>
      <c r="BD425" s="237"/>
      <c r="BE425" s="26"/>
      <c r="BF425" s="27"/>
      <c r="BG425" s="237"/>
      <c r="BH425" s="26"/>
      <c r="BI425" s="27"/>
      <c r="BJ425" s="454"/>
    </row>
    <row r="426" spans="1:62" s="28" customFormat="1" hidden="1" outlineLevel="2" x14ac:dyDescent="0.3">
      <c r="A426" s="200" t="s">
        <v>153</v>
      </c>
      <c r="B426" s="2"/>
      <c r="C426" s="58"/>
      <c r="D426" s="59"/>
      <c r="E426" s="202"/>
      <c r="F426" s="39"/>
      <c r="G426" s="54"/>
      <c r="H426" s="237"/>
      <c r="I426" s="26">
        <v>2</v>
      </c>
      <c r="J426" s="27"/>
      <c r="K426" s="237"/>
      <c r="L426" s="26">
        <v>2</v>
      </c>
      <c r="M426" s="27"/>
      <c r="N426" s="237"/>
      <c r="O426" s="26">
        <v>2</v>
      </c>
      <c r="P426" s="27"/>
      <c r="Q426" s="237"/>
      <c r="R426" s="26">
        <v>2</v>
      </c>
      <c r="S426" s="27"/>
      <c r="T426" s="237"/>
      <c r="U426" s="26">
        <v>2</v>
      </c>
      <c r="V426" s="27"/>
      <c r="W426" s="237"/>
      <c r="X426" s="26">
        <v>2</v>
      </c>
      <c r="Y426" s="27"/>
      <c r="Z426" s="237"/>
      <c r="AA426" s="26">
        <v>2</v>
      </c>
      <c r="AB426" s="27"/>
      <c r="AC426" s="237"/>
      <c r="AD426" s="26">
        <v>2</v>
      </c>
      <c r="AE426" s="27"/>
      <c r="AF426" s="237"/>
      <c r="AG426" s="26">
        <v>2</v>
      </c>
      <c r="AH426" s="27"/>
      <c r="AI426" s="237"/>
      <c r="AJ426" s="26">
        <v>2</v>
      </c>
      <c r="AK426" s="27"/>
      <c r="AL426" s="237"/>
      <c r="AM426" s="26">
        <v>2</v>
      </c>
      <c r="AN426" s="27"/>
      <c r="AO426" s="237"/>
      <c r="AP426" s="26">
        <v>2</v>
      </c>
      <c r="AQ426" s="27"/>
      <c r="AR426" s="237"/>
      <c r="AS426" s="26"/>
      <c r="AT426" s="27"/>
      <c r="AU426" s="237"/>
      <c r="AV426" s="26"/>
      <c r="AW426" s="27"/>
      <c r="AX426" s="237"/>
      <c r="AY426" s="26"/>
      <c r="AZ426" s="27"/>
      <c r="BA426" s="237"/>
      <c r="BB426" s="26"/>
      <c r="BC426" s="27"/>
      <c r="BD426" s="237"/>
      <c r="BE426" s="26"/>
      <c r="BF426" s="27"/>
      <c r="BG426" s="237"/>
      <c r="BH426" s="26"/>
      <c r="BI426" s="27"/>
      <c r="BJ426" s="454"/>
    </row>
    <row r="427" spans="1:62" s="28" customFormat="1" hidden="1" outlineLevel="2" x14ac:dyDescent="0.3">
      <c r="A427" s="200" t="s">
        <v>154</v>
      </c>
      <c r="B427" s="2"/>
      <c r="C427" s="58"/>
      <c r="D427" s="59"/>
      <c r="E427" s="202"/>
      <c r="F427" s="39"/>
      <c r="G427" s="54"/>
      <c r="H427" s="237"/>
      <c r="I427" s="26">
        <v>1</v>
      </c>
      <c r="J427" s="27"/>
      <c r="K427" s="237"/>
      <c r="L427" s="26">
        <v>0</v>
      </c>
      <c r="M427" s="27"/>
      <c r="N427" s="237"/>
      <c r="O427" s="26">
        <v>0</v>
      </c>
      <c r="P427" s="27"/>
      <c r="Q427" s="237"/>
      <c r="R427" s="26">
        <v>0</v>
      </c>
      <c r="S427" s="27"/>
      <c r="T427" s="237"/>
      <c r="U427" s="26">
        <v>0</v>
      </c>
      <c r="V427" s="27"/>
      <c r="W427" s="237"/>
      <c r="X427" s="26">
        <v>0</v>
      </c>
      <c r="Y427" s="27"/>
      <c r="Z427" s="237"/>
      <c r="AA427" s="26">
        <v>0</v>
      </c>
      <c r="AB427" s="27"/>
      <c r="AC427" s="237"/>
      <c r="AD427" s="26">
        <v>0</v>
      </c>
      <c r="AE427" s="27"/>
      <c r="AF427" s="237"/>
      <c r="AG427" s="26">
        <v>0</v>
      </c>
      <c r="AH427" s="27"/>
      <c r="AI427" s="237"/>
      <c r="AJ427" s="26">
        <v>0</v>
      </c>
      <c r="AK427" s="27"/>
      <c r="AL427" s="237"/>
      <c r="AM427" s="26">
        <v>0</v>
      </c>
      <c r="AN427" s="27"/>
      <c r="AO427" s="237"/>
      <c r="AP427" s="26">
        <v>0</v>
      </c>
      <c r="AQ427" s="27"/>
      <c r="AR427" s="237"/>
      <c r="AS427" s="26"/>
      <c r="AT427" s="27"/>
      <c r="AU427" s="237"/>
      <c r="AV427" s="26"/>
      <c r="AW427" s="27"/>
      <c r="AX427" s="237"/>
      <c r="AY427" s="26"/>
      <c r="AZ427" s="27"/>
      <c r="BA427" s="237"/>
      <c r="BB427" s="26"/>
      <c r="BC427" s="27"/>
      <c r="BD427" s="237"/>
      <c r="BE427" s="26"/>
      <c r="BF427" s="27"/>
      <c r="BG427" s="237"/>
      <c r="BH427" s="26"/>
      <c r="BI427" s="27"/>
      <c r="BJ427" s="454"/>
    </row>
    <row r="428" spans="1:62" s="28" customFormat="1" hidden="1" outlineLevel="2" x14ac:dyDescent="0.3">
      <c r="A428" s="200" t="s">
        <v>155</v>
      </c>
      <c r="B428" s="2"/>
      <c r="C428" s="58"/>
      <c r="D428" s="59"/>
      <c r="E428" s="202"/>
      <c r="F428" s="39"/>
      <c r="G428" s="54"/>
      <c r="H428" s="237"/>
      <c r="I428" s="26">
        <v>0</v>
      </c>
      <c r="J428" s="27"/>
      <c r="K428" s="237"/>
      <c r="L428" s="26">
        <v>1</v>
      </c>
      <c r="M428" s="27"/>
      <c r="N428" s="237"/>
      <c r="O428" s="26">
        <v>1</v>
      </c>
      <c r="P428" s="27"/>
      <c r="Q428" s="237"/>
      <c r="R428" s="26">
        <v>1</v>
      </c>
      <c r="S428" s="27"/>
      <c r="T428" s="237"/>
      <c r="U428" s="26">
        <v>1</v>
      </c>
      <c r="V428" s="27"/>
      <c r="W428" s="237"/>
      <c r="X428" s="26">
        <v>1</v>
      </c>
      <c r="Y428" s="27"/>
      <c r="Z428" s="237"/>
      <c r="AA428" s="26">
        <v>1</v>
      </c>
      <c r="AB428" s="27"/>
      <c r="AC428" s="237"/>
      <c r="AD428" s="26">
        <v>1</v>
      </c>
      <c r="AE428" s="27"/>
      <c r="AF428" s="237"/>
      <c r="AG428" s="26">
        <v>1</v>
      </c>
      <c r="AH428" s="27"/>
      <c r="AI428" s="237"/>
      <c r="AJ428" s="26">
        <v>1</v>
      </c>
      <c r="AK428" s="27"/>
      <c r="AL428" s="237"/>
      <c r="AM428" s="26">
        <v>1</v>
      </c>
      <c r="AN428" s="27"/>
      <c r="AO428" s="237"/>
      <c r="AP428" s="26">
        <v>1</v>
      </c>
      <c r="AQ428" s="27"/>
      <c r="AR428" s="237"/>
      <c r="AS428" s="26"/>
      <c r="AT428" s="27"/>
      <c r="AU428" s="237"/>
      <c r="AV428" s="26"/>
      <c r="AW428" s="27"/>
      <c r="AX428" s="237"/>
      <c r="AY428" s="26"/>
      <c r="AZ428" s="27"/>
      <c r="BA428" s="237"/>
      <c r="BB428" s="26"/>
      <c r="BC428" s="27"/>
      <c r="BD428" s="237"/>
      <c r="BE428" s="26"/>
      <c r="BF428" s="27"/>
      <c r="BG428" s="237"/>
      <c r="BH428" s="26"/>
      <c r="BI428" s="27"/>
      <c r="BJ428" s="454"/>
    </row>
    <row r="429" spans="1:62" s="28" customFormat="1" hidden="1" outlineLevel="2" x14ac:dyDescent="0.3">
      <c r="A429" s="200" t="s">
        <v>156</v>
      </c>
      <c r="B429" s="2"/>
      <c r="C429" s="58"/>
      <c r="D429" s="59"/>
      <c r="E429" s="202"/>
      <c r="F429" s="39"/>
      <c r="G429" s="54"/>
      <c r="H429" s="237"/>
      <c r="I429" s="26">
        <v>0</v>
      </c>
      <c r="J429" s="27"/>
      <c r="K429" s="237"/>
      <c r="L429" s="26">
        <v>0</v>
      </c>
      <c r="M429" s="27"/>
      <c r="N429" s="237"/>
      <c r="O429" s="26">
        <v>0</v>
      </c>
      <c r="P429" s="27"/>
      <c r="Q429" s="237"/>
      <c r="R429" s="26">
        <v>0</v>
      </c>
      <c r="S429" s="27"/>
      <c r="T429" s="237"/>
      <c r="U429" s="26">
        <v>0</v>
      </c>
      <c r="V429" s="27"/>
      <c r="W429" s="237"/>
      <c r="X429" s="26">
        <v>0</v>
      </c>
      <c r="Y429" s="27"/>
      <c r="Z429" s="237"/>
      <c r="AA429" s="26">
        <v>0</v>
      </c>
      <c r="AB429" s="27"/>
      <c r="AC429" s="237"/>
      <c r="AD429" s="26">
        <v>0</v>
      </c>
      <c r="AE429" s="27"/>
      <c r="AF429" s="237"/>
      <c r="AG429" s="26">
        <v>0</v>
      </c>
      <c r="AH429" s="27"/>
      <c r="AI429" s="237"/>
      <c r="AJ429" s="26">
        <v>0</v>
      </c>
      <c r="AK429" s="27"/>
      <c r="AL429" s="237"/>
      <c r="AM429" s="26">
        <v>0</v>
      </c>
      <c r="AN429" s="27"/>
      <c r="AO429" s="237"/>
      <c r="AP429" s="26">
        <v>0</v>
      </c>
      <c r="AQ429" s="27"/>
      <c r="AR429" s="237"/>
      <c r="AS429" s="26"/>
      <c r="AT429" s="27"/>
      <c r="AU429" s="237"/>
      <c r="AV429" s="26"/>
      <c r="AW429" s="27"/>
      <c r="AX429" s="237"/>
      <c r="AY429" s="26"/>
      <c r="AZ429" s="27"/>
      <c r="BA429" s="237"/>
      <c r="BB429" s="26"/>
      <c r="BC429" s="27"/>
      <c r="BD429" s="237"/>
      <c r="BE429" s="26"/>
      <c r="BF429" s="27"/>
      <c r="BG429" s="237"/>
      <c r="BH429" s="26"/>
      <c r="BI429" s="27"/>
      <c r="BJ429" s="454"/>
    </row>
    <row r="430" spans="1:62" s="28" customFormat="1" hidden="1" outlineLevel="2" x14ac:dyDescent="0.3">
      <c r="A430" s="200" t="s">
        <v>157</v>
      </c>
      <c r="B430" s="2"/>
      <c r="C430" s="58"/>
      <c r="D430" s="59"/>
      <c r="E430" s="202"/>
      <c r="F430" s="39"/>
      <c r="G430" s="54"/>
      <c r="H430" s="237"/>
      <c r="I430" s="26">
        <v>0</v>
      </c>
      <c r="J430" s="27"/>
      <c r="K430" s="237"/>
      <c r="L430" s="26">
        <v>0</v>
      </c>
      <c r="M430" s="27"/>
      <c r="N430" s="237"/>
      <c r="O430" s="26">
        <v>0</v>
      </c>
      <c r="P430" s="27"/>
      <c r="Q430" s="237"/>
      <c r="R430" s="26">
        <v>0</v>
      </c>
      <c r="S430" s="27"/>
      <c r="T430" s="237"/>
      <c r="U430" s="26">
        <v>0</v>
      </c>
      <c r="V430" s="27"/>
      <c r="W430" s="237"/>
      <c r="X430" s="26">
        <v>0</v>
      </c>
      <c r="Y430" s="27"/>
      <c r="Z430" s="237"/>
      <c r="AA430" s="26">
        <v>0</v>
      </c>
      <c r="AB430" s="27"/>
      <c r="AC430" s="237"/>
      <c r="AD430" s="26">
        <v>0</v>
      </c>
      <c r="AE430" s="27"/>
      <c r="AF430" s="237"/>
      <c r="AG430" s="26">
        <v>0</v>
      </c>
      <c r="AH430" s="27"/>
      <c r="AI430" s="237"/>
      <c r="AJ430" s="26">
        <v>0</v>
      </c>
      <c r="AK430" s="27"/>
      <c r="AL430" s="237"/>
      <c r="AM430" s="26">
        <v>0</v>
      </c>
      <c r="AN430" s="27"/>
      <c r="AO430" s="237"/>
      <c r="AP430" s="26">
        <v>0</v>
      </c>
      <c r="AQ430" s="27"/>
      <c r="AR430" s="237"/>
      <c r="AS430" s="26"/>
      <c r="AT430" s="27"/>
      <c r="AU430" s="237"/>
      <c r="AV430" s="26"/>
      <c r="AW430" s="27"/>
      <c r="AX430" s="237"/>
      <c r="AY430" s="26"/>
      <c r="AZ430" s="27"/>
      <c r="BA430" s="237"/>
      <c r="BB430" s="26"/>
      <c r="BC430" s="27"/>
      <c r="BD430" s="237"/>
      <c r="BE430" s="26"/>
      <c r="BF430" s="27"/>
      <c r="BG430" s="237"/>
      <c r="BH430" s="26"/>
      <c r="BI430" s="27"/>
      <c r="BJ430" s="454"/>
    </row>
    <row r="431" spans="1:62" s="28" customFormat="1" hidden="1" outlineLevel="2" x14ac:dyDescent="0.3">
      <c r="A431" s="200" t="s">
        <v>158</v>
      </c>
      <c r="B431" s="2"/>
      <c r="C431" s="58"/>
      <c r="D431" s="59"/>
      <c r="E431" s="202"/>
      <c r="F431" s="39"/>
      <c r="G431" s="54"/>
      <c r="H431" s="237"/>
      <c r="I431" s="26">
        <v>0</v>
      </c>
      <c r="J431" s="27"/>
      <c r="K431" s="237"/>
      <c r="L431" s="26">
        <v>0</v>
      </c>
      <c r="M431" s="27"/>
      <c r="N431" s="237"/>
      <c r="O431" s="26">
        <v>0</v>
      </c>
      <c r="P431" s="27"/>
      <c r="Q431" s="237"/>
      <c r="R431" s="26">
        <v>0</v>
      </c>
      <c r="S431" s="27"/>
      <c r="T431" s="237"/>
      <c r="U431" s="26">
        <v>0</v>
      </c>
      <c r="V431" s="27"/>
      <c r="W431" s="237"/>
      <c r="X431" s="26">
        <v>0</v>
      </c>
      <c r="Y431" s="27"/>
      <c r="Z431" s="237"/>
      <c r="AA431" s="26">
        <v>0</v>
      </c>
      <c r="AB431" s="27"/>
      <c r="AC431" s="237"/>
      <c r="AD431" s="26">
        <v>0</v>
      </c>
      <c r="AE431" s="27"/>
      <c r="AF431" s="237"/>
      <c r="AG431" s="26">
        <v>0</v>
      </c>
      <c r="AH431" s="27"/>
      <c r="AI431" s="237"/>
      <c r="AJ431" s="26">
        <v>0</v>
      </c>
      <c r="AK431" s="27"/>
      <c r="AL431" s="237"/>
      <c r="AM431" s="26">
        <v>0</v>
      </c>
      <c r="AN431" s="27"/>
      <c r="AO431" s="237"/>
      <c r="AP431" s="26">
        <v>0</v>
      </c>
      <c r="AQ431" s="27"/>
      <c r="AR431" s="237"/>
      <c r="AS431" s="26"/>
      <c r="AT431" s="27"/>
      <c r="AU431" s="237"/>
      <c r="AV431" s="26"/>
      <c r="AW431" s="27"/>
      <c r="AX431" s="237"/>
      <c r="AY431" s="26"/>
      <c r="AZ431" s="27"/>
      <c r="BA431" s="237"/>
      <c r="BB431" s="26"/>
      <c r="BC431" s="27"/>
      <c r="BD431" s="237"/>
      <c r="BE431" s="26"/>
      <c r="BF431" s="27"/>
      <c r="BG431" s="237"/>
      <c r="BH431" s="26"/>
      <c r="BI431" s="27"/>
      <c r="BJ431" s="454"/>
    </row>
    <row r="432" spans="1:62" s="28" customFormat="1" hidden="1" outlineLevel="2" x14ac:dyDescent="0.3">
      <c r="A432" s="200" t="s">
        <v>159</v>
      </c>
      <c r="B432" s="2"/>
      <c r="C432" s="58"/>
      <c r="D432" s="59"/>
      <c r="E432" s="202"/>
      <c r="F432" s="39"/>
      <c r="G432" s="54"/>
      <c r="H432" s="237"/>
      <c r="I432" s="26">
        <v>0</v>
      </c>
      <c r="J432" s="27"/>
      <c r="K432" s="237"/>
      <c r="L432" s="26">
        <v>0</v>
      </c>
      <c r="M432" s="27"/>
      <c r="N432" s="237"/>
      <c r="O432" s="26">
        <v>0</v>
      </c>
      <c r="P432" s="27"/>
      <c r="Q432" s="237"/>
      <c r="R432" s="26">
        <v>0</v>
      </c>
      <c r="S432" s="27"/>
      <c r="T432" s="237"/>
      <c r="U432" s="26">
        <v>0</v>
      </c>
      <c r="V432" s="27"/>
      <c r="W432" s="237"/>
      <c r="X432" s="26">
        <v>0</v>
      </c>
      <c r="Y432" s="27"/>
      <c r="Z432" s="237"/>
      <c r="AA432" s="26">
        <v>0</v>
      </c>
      <c r="AB432" s="27"/>
      <c r="AC432" s="237"/>
      <c r="AD432" s="26">
        <v>0</v>
      </c>
      <c r="AE432" s="27"/>
      <c r="AF432" s="237"/>
      <c r="AG432" s="26">
        <v>0</v>
      </c>
      <c r="AH432" s="27"/>
      <c r="AI432" s="237"/>
      <c r="AJ432" s="26">
        <v>0</v>
      </c>
      <c r="AK432" s="27"/>
      <c r="AL432" s="237"/>
      <c r="AM432" s="26">
        <v>0</v>
      </c>
      <c r="AN432" s="27"/>
      <c r="AO432" s="237"/>
      <c r="AP432" s="26">
        <v>0</v>
      </c>
      <c r="AQ432" s="27"/>
      <c r="AR432" s="237"/>
      <c r="AS432" s="26"/>
      <c r="AT432" s="27"/>
      <c r="AU432" s="237"/>
      <c r="AV432" s="26"/>
      <c r="AW432" s="27"/>
      <c r="AX432" s="237"/>
      <c r="AY432" s="26"/>
      <c r="AZ432" s="27"/>
      <c r="BA432" s="237"/>
      <c r="BB432" s="26"/>
      <c r="BC432" s="27"/>
      <c r="BD432" s="237"/>
      <c r="BE432" s="26"/>
      <c r="BF432" s="27"/>
      <c r="BG432" s="237"/>
      <c r="BH432" s="26"/>
      <c r="BI432" s="27"/>
      <c r="BJ432" s="454"/>
    </row>
    <row r="433" spans="1:62" s="28" customFormat="1" hidden="1" outlineLevel="2" x14ac:dyDescent="0.3">
      <c r="A433" s="200" t="s">
        <v>160</v>
      </c>
      <c r="B433" s="2"/>
      <c r="C433" s="58"/>
      <c r="D433" s="59"/>
      <c r="E433" s="202"/>
      <c r="F433" s="39"/>
      <c r="G433" s="54"/>
      <c r="H433" s="237"/>
      <c r="I433" s="26">
        <v>0</v>
      </c>
      <c r="J433" s="27"/>
      <c r="K433" s="237"/>
      <c r="L433" s="26">
        <v>0</v>
      </c>
      <c r="M433" s="27"/>
      <c r="N433" s="237"/>
      <c r="O433" s="26">
        <v>0</v>
      </c>
      <c r="P433" s="27"/>
      <c r="Q433" s="237"/>
      <c r="R433" s="26">
        <v>0</v>
      </c>
      <c r="S433" s="27"/>
      <c r="T433" s="237"/>
      <c r="U433" s="26">
        <v>0</v>
      </c>
      <c r="V433" s="27"/>
      <c r="W433" s="237"/>
      <c r="X433" s="26">
        <v>0</v>
      </c>
      <c r="Y433" s="27"/>
      <c r="Z433" s="237"/>
      <c r="AA433" s="26">
        <v>0</v>
      </c>
      <c r="AB433" s="27"/>
      <c r="AC433" s="237"/>
      <c r="AD433" s="26">
        <v>0</v>
      </c>
      <c r="AE433" s="27"/>
      <c r="AF433" s="237"/>
      <c r="AG433" s="26">
        <v>0</v>
      </c>
      <c r="AH433" s="27"/>
      <c r="AI433" s="237"/>
      <c r="AJ433" s="26">
        <v>0</v>
      </c>
      <c r="AK433" s="27"/>
      <c r="AL433" s="237"/>
      <c r="AM433" s="26">
        <v>0</v>
      </c>
      <c r="AN433" s="27"/>
      <c r="AO433" s="237"/>
      <c r="AP433" s="26">
        <v>0</v>
      </c>
      <c r="AQ433" s="27"/>
      <c r="AR433" s="237"/>
      <c r="AS433" s="26"/>
      <c r="AT433" s="27"/>
      <c r="AU433" s="237"/>
      <c r="AV433" s="26"/>
      <c r="AW433" s="27"/>
      <c r="AX433" s="237"/>
      <c r="AY433" s="26"/>
      <c r="AZ433" s="27"/>
      <c r="BA433" s="237"/>
      <c r="BB433" s="26"/>
      <c r="BC433" s="27"/>
      <c r="BD433" s="237"/>
      <c r="BE433" s="26"/>
      <c r="BF433" s="27"/>
      <c r="BG433" s="237"/>
      <c r="BH433" s="26"/>
      <c r="BI433" s="27"/>
      <c r="BJ433" s="454"/>
    </row>
    <row r="434" spans="1:62" s="28" customFormat="1" hidden="1" outlineLevel="2" x14ac:dyDescent="0.3">
      <c r="A434" s="200" t="s">
        <v>161</v>
      </c>
      <c r="B434" s="2"/>
      <c r="C434" s="58"/>
      <c r="D434" s="59"/>
      <c r="E434" s="202"/>
      <c r="F434" s="39"/>
      <c r="G434" s="54"/>
      <c r="H434" s="237"/>
      <c r="I434" s="26">
        <v>0</v>
      </c>
      <c r="J434" s="27"/>
      <c r="K434" s="237"/>
      <c r="L434" s="26">
        <v>0</v>
      </c>
      <c r="M434" s="27"/>
      <c r="N434" s="237"/>
      <c r="O434" s="26">
        <v>0</v>
      </c>
      <c r="P434" s="27"/>
      <c r="Q434" s="237"/>
      <c r="R434" s="26">
        <v>0</v>
      </c>
      <c r="S434" s="27"/>
      <c r="T434" s="237"/>
      <c r="U434" s="26">
        <v>0</v>
      </c>
      <c r="V434" s="27"/>
      <c r="W434" s="237"/>
      <c r="X434" s="26">
        <v>0</v>
      </c>
      <c r="Y434" s="27"/>
      <c r="Z434" s="237"/>
      <c r="AA434" s="26">
        <v>0</v>
      </c>
      <c r="AB434" s="27"/>
      <c r="AC434" s="237"/>
      <c r="AD434" s="26">
        <v>0</v>
      </c>
      <c r="AE434" s="27"/>
      <c r="AF434" s="237"/>
      <c r="AG434" s="26">
        <v>0</v>
      </c>
      <c r="AH434" s="27"/>
      <c r="AI434" s="237"/>
      <c r="AJ434" s="26">
        <v>0</v>
      </c>
      <c r="AK434" s="27"/>
      <c r="AL434" s="237"/>
      <c r="AM434" s="26">
        <v>0</v>
      </c>
      <c r="AN434" s="27"/>
      <c r="AO434" s="237"/>
      <c r="AP434" s="26">
        <v>0</v>
      </c>
      <c r="AQ434" s="27"/>
      <c r="AR434" s="237"/>
      <c r="AS434" s="26"/>
      <c r="AT434" s="27"/>
      <c r="AU434" s="237"/>
      <c r="AV434" s="26"/>
      <c r="AW434" s="27"/>
      <c r="AX434" s="237"/>
      <c r="AY434" s="26"/>
      <c r="AZ434" s="27"/>
      <c r="BA434" s="237"/>
      <c r="BB434" s="26"/>
      <c r="BC434" s="27"/>
      <c r="BD434" s="237"/>
      <c r="BE434" s="26"/>
      <c r="BF434" s="27"/>
      <c r="BG434" s="237"/>
      <c r="BH434" s="26"/>
      <c r="BI434" s="27"/>
      <c r="BJ434" s="454"/>
    </row>
    <row r="435" spans="1:62" s="28" customFormat="1" hidden="1" outlineLevel="2" x14ac:dyDescent="0.3">
      <c r="A435" s="200" t="s">
        <v>162</v>
      </c>
      <c r="B435" s="2"/>
      <c r="C435" s="58"/>
      <c r="D435" s="59"/>
      <c r="E435" s="202"/>
      <c r="F435" s="39"/>
      <c r="G435" s="54"/>
      <c r="H435" s="237"/>
      <c r="I435" s="26">
        <v>4</v>
      </c>
      <c r="J435" s="27"/>
      <c r="K435" s="237"/>
      <c r="L435" s="26">
        <v>4</v>
      </c>
      <c r="M435" s="27"/>
      <c r="N435" s="237"/>
      <c r="O435" s="26">
        <v>4</v>
      </c>
      <c r="P435" s="27"/>
      <c r="Q435" s="237"/>
      <c r="R435" s="26">
        <v>4</v>
      </c>
      <c r="S435" s="27"/>
      <c r="T435" s="237"/>
      <c r="U435" s="26">
        <v>4</v>
      </c>
      <c r="V435" s="27"/>
      <c r="W435" s="237"/>
      <c r="X435" s="26">
        <v>4</v>
      </c>
      <c r="Y435" s="27"/>
      <c r="Z435" s="237"/>
      <c r="AA435" s="26">
        <v>4</v>
      </c>
      <c r="AB435" s="27"/>
      <c r="AC435" s="237"/>
      <c r="AD435" s="26">
        <v>4</v>
      </c>
      <c r="AE435" s="27"/>
      <c r="AF435" s="237"/>
      <c r="AG435" s="26">
        <v>4</v>
      </c>
      <c r="AH435" s="27"/>
      <c r="AI435" s="237"/>
      <c r="AJ435" s="26">
        <v>4</v>
      </c>
      <c r="AK435" s="27"/>
      <c r="AL435" s="237"/>
      <c r="AM435" s="26">
        <v>4</v>
      </c>
      <c r="AN435" s="27"/>
      <c r="AO435" s="237"/>
      <c r="AP435" s="26">
        <v>4</v>
      </c>
      <c r="AQ435" s="27"/>
      <c r="AR435" s="237"/>
      <c r="AS435" s="26"/>
      <c r="AT435" s="27"/>
      <c r="AU435" s="237"/>
      <c r="AV435" s="26"/>
      <c r="AW435" s="27"/>
      <c r="AX435" s="237"/>
      <c r="AY435" s="26"/>
      <c r="AZ435" s="27"/>
      <c r="BA435" s="237"/>
      <c r="BB435" s="26"/>
      <c r="BC435" s="27"/>
      <c r="BD435" s="237"/>
      <c r="BE435" s="26"/>
      <c r="BF435" s="27"/>
      <c r="BG435" s="237"/>
      <c r="BH435" s="26"/>
      <c r="BI435" s="27"/>
      <c r="BJ435" s="454"/>
    </row>
    <row r="436" spans="1:62" s="28" customFormat="1" hidden="1" outlineLevel="2" x14ac:dyDescent="0.3">
      <c r="A436" s="200" t="s">
        <v>163</v>
      </c>
      <c r="B436" s="2"/>
      <c r="C436" s="58"/>
      <c r="D436" s="59"/>
      <c r="E436" s="202"/>
      <c r="F436" s="39"/>
      <c r="G436" s="54"/>
      <c r="H436" s="237"/>
      <c r="I436" s="26">
        <v>1</v>
      </c>
      <c r="J436" s="27"/>
      <c r="K436" s="237"/>
      <c r="L436" s="26">
        <v>1</v>
      </c>
      <c r="M436" s="27"/>
      <c r="N436" s="237"/>
      <c r="O436" s="26">
        <v>1</v>
      </c>
      <c r="P436" s="27"/>
      <c r="Q436" s="237"/>
      <c r="R436" s="26">
        <v>1</v>
      </c>
      <c r="S436" s="27"/>
      <c r="T436" s="237"/>
      <c r="U436" s="26">
        <v>1</v>
      </c>
      <c r="V436" s="27"/>
      <c r="W436" s="237"/>
      <c r="X436" s="26">
        <v>1</v>
      </c>
      <c r="Y436" s="27"/>
      <c r="Z436" s="237"/>
      <c r="AA436" s="26">
        <v>1</v>
      </c>
      <c r="AB436" s="27"/>
      <c r="AC436" s="237"/>
      <c r="AD436" s="26">
        <v>1</v>
      </c>
      <c r="AE436" s="27"/>
      <c r="AF436" s="237"/>
      <c r="AG436" s="26">
        <v>1</v>
      </c>
      <c r="AH436" s="27"/>
      <c r="AI436" s="237"/>
      <c r="AJ436" s="26">
        <v>1</v>
      </c>
      <c r="AK436" s="27"/>
      <c r="AL436" s="237"/>
      <c r="AM436" s="26">
        <v>1</v>
      </c>
      <c r="AN436" s="27"/>
      <c r="AO436" s="237"/>
      <c r="AP436" s="26">
        <v>1</v>
      </c>
      <c r="AQ436" s="27"/>
      <c r="AR436" s="237"/>
      <c r="AS436" s="26"/>
      <c r="AT436" s="27"/>
      <c r="AU436" s="237"/>
      <c r="AV436" s="26"/>
      <c r="AW436" s="27"/>
      <c r="AX436" s="237"/>
      <c r="AY436" s="26"/>
      <c r="AZ436" s="27"/>
      <c r="BA436" s="237"/>
      <c r="BB436" s="26"/>
      <c r="BC436" s="27"/>
      <c r="BD436" s="237"/>
      <c r="BE436" s="26"/>
      <c r="BF436" s="27"/>
      <c r="BG436" s="237"/>
      <c r="BH436" s="26"/>
      <c r="BI436" s="27"/>
      <c r="BJ436" s="454"/>
    </row>
    <row r="437" spans="1:62" s="28" customFormat="1" hidden="1" outlineLevel="2" x14ac:dyDescent="0.3">
      <c r="A437" s="200" t="s">
        <v>164</v>
      </c>
      <c r="B437" s="2"/>
      <c r="C437" s="58"/>
      <c r="D437" s="59"/>
      <c r="E437" s="202"/>
      <c r="F437" s="39"/>
      <c r="G437" s="54"/>
      <c r="H437" s="237"/>
      <c r="I437" s="26">
        <v>1</v>
      </c>
      <c r="J437" s="27"/>
      <c r="K437" s="237"/>
      <c r="L437" s="26">
        <v>1</v>
      </c>
      <c r="M437" s="27"/>
      <c r="N437" s="237"/>
      <c r="O437" s="26">
        <v>1</v>
      </c>
      <c r="P437" s="27"/>
      <c r="Q437" s="237"/>
      <c r="R437" s="26">
        <v>1</v>
      </c>
      <c r="S437" s="27"/>
      <c r="T437" s="237"/>
      <c r="U437" s="26">
        <v>1</v>
      </c>
      <c r="V437" s="27"/>
      <c r="W437" s="237"/>
      <c r="X437" s="26">
        <v>1</v>
      </c>
      <c r="Y437" s="27"/>
      <c r="Z437" s="237"/>
      <c r="AA437" s="26">
        <v>1</v>
      </c>
      <c r="AB437" s="27"/>
      <c r="AC437" s="237"/>
      <c r="AD437" s="26">
        <v>1</v>
      </c>
      <c r="AE437" s="27"/>
      <c r="AF437" s="237"/>
      <c r="AG437" s="26">
        <v>1</v>
      </c>
      <c r="AH437" s="27"/>
      <c r="AI437" s="237"/>
      <c r="AJ437" s="26">
        <v>1</v>
      </c>
      <c r="AK437" s="27"/>
      <c r="AL437" s="237"/>
      <c r="AM437" s="26">
        <v>1</v>
      </c>
      <c r="AN437" s="27"/>
      <c r="AO437" s="237"/>
      <c r="AP437" s="26">
        <v>1</v>
      </c>
      <c r="AQ437" s="27"/>
      <c r="AR437" s="237"/>
      <c r="AS437" s="26"/>
      <c r="AT437" s="27"/>
      <c r="AU437" s="237"/>
      <c r="AV437" s="26"/>
      <c r="AW437" s="27"/>
      <c r="AX437" s="237"/>
      <c r="AY437" s="26"/>
      <c r="AZ437" s="27"/>
      <c r="BA437" s="237"/>
      <c r="BB437" s="26"/>
      <c r="BC437" s="27"/>
      <c r="BD437" s="237"/>
      <c r="BE437" s="26"/>
      <c r="BF437" s="27"/>
      <c r="BG437" s="237"/>
      <c r="BH437" s="26"/>
      <c r="BI437" s="27"/>
      <c r="BJ437" s="454"/>
    </row>
    <row r="438" spans="1:62" s="28" customFormat="1" hidden="1" outlineLevel="2" x14ac:dyDescent="0.3">
      <c r="A438" s="200" t="s">
        <v>165</v>
      </c>
      <c r="B438" s="2"/>
      <c r="C438" s="58"/>
      <c r="D438" s="59"/>
      <c r="E438" s="202"/>
      <c r="F438" s="39"/>
      <c r="G438" s="54"/>
      <c r="H438" s="237"/>
      <c r="I438" s="26">
        <v>0</v>
      </c>
      <c r="J438" s="27"/>
      <c r="K438" s="237"/>
      <c r="L438" s="26">
        <v>0</v>
      </c>
      <c r="M438" s="27"/>
      <c r="N438" s="237"/>
      <c r="O438" s="26">
        <v>0</v>
      </c>
      <c r="P438" s="27"/>
      <c r="Q438" s="237"/>
      <c r="R438" s="26">
        <v>0</v>
      </c>
      <c r="S438" s="27"/>
      <c r="T438" s="237"/>
      <c r="U438" s="26">
        <v>0</v>
      </c>
      <c r="V438" s="27"/>
      <c r="W438" s="237"/>
      <c r="X438" s="26">
        <v>0</v>
      </c>
      <c r="Y438" s="27"/>
      <c r="Z438" s="237"/>
      <c r="AA438" s="26">
        <v>0</v>
      </c>
      <c r="AB438" s="27"/>
      <c r="AC438" s="237"/>
      <c r="AD438" s="26">
        <v>0</v>
      </c>
      <c r="AE438" s="27"/>
      <c r="AF438" s="237"/>
      <c r="AG438" s="26">
        <v>0</v>
      </c>
      <c r="AH438" s="27"/>
      <c r="AI438" s="237"/>
      <c r="AJ438" s="26">
        <v>0</v>
      </c>
      <c r="AK438" s="27"/>
      <c r="AL438" s="237"/>
      <c r="AM438" s="26">
        <v>0</v>
      </c>
      <c r="AN438" s="27"/>
      <c r="AO438" s="237"/>
      <c r="AP438" s="26">
        <v>0</v>
      </c>
      <c r="AQ438" s="27"/>
      <c r="AR438" s="237"/>
      <c r="AS438" s="26"/>
      <c r="AT438" s="27"/>
      <c r="AU438" s="237"/>
      <c r="AV438" s="26"/>
      <c r="AW438" s="27"/>
      <c r="AX438" s="237"/>
      <c r="AY438" s="26"/>
      <c r="AZ438" s="27"/>
      <c r="BA438" s="237"/>
      <c r="BB438" s="26"/>
      <c r="BC438" s="27"/>
      <c r="BD438" s="237"/>
      <c r="BE438" s="26"/>
      <c r="BF438" s="27"/>
      <c r="BG438" s="237"/>
      <c r="BH438" s="26"/>
      <c r="BI438" s="27"/>
      <c r="BJ438" s="454"/>
    </row>
    <row r="439" spans="1:62" s="28" customFormat="1" hidden="1" outlineLevel="2" x14ac:dyDescent="0.3">
      <c r="A439" s="200" t="s">
        <v>166</v>
      </c>
      <c r="B439" s="2"/>
      <c r="C439" s="58"/>
      <c r="D439" s="59"/>
      <c r="E439" s="202"/>
      <c r="F439" s="39"/>
      <c r="G439" s="54"/>
      <c r="H439" s="237"/>
      <c r="I439" s="26">
        <v>0</v>
      </c>
      <c r="J439" s="27"/>
      <c r="K439" s="237"/>
      <c r="L439" s="26">
        <v>0</v>
      </c>
      <c r="M439" s="27"/>
      <c r="N439" s="237"/>
      <c r="O439" s="26">
        <v>0</v>
      </c>
      <c r="P439" s="27"/>
      <c r="Q439" s="237"/>
      <c r="R439" s="26">
        <v>0</v>
      </c>
      <c r="S439" s="27"/>
      <c r="T439" s="237"/>
      <c r="U439" s="26">
        <v>0</v>
      </c>
      <c r="V439" s="27"/>
      <c r="W439" s="237"/>
      <c r="X439" s="26">
        <v>0</v>
      </c>
      <c r="Y439" s="27"/>
      <c r="Z439" s="237"/>
      <c r="AA439" s="26">
        <v>0</v>
      </c>
      <c r="AB439" s="27"/>
      <c r="AC439" s="237"/>
      <c r="AD439" s="26">
        <v>0</v>
      </c>
      <c r="AE439" s="27"/>
      <c r="AF439" s="237"/>
      <c r="AG439" s="26">
        <v>0</v>
      </c>
      <c r="AH439" s="27"/>
      <c r="AI439" s="237"/>
      <c r="AJ439" s="26">
        <v>0</v>
      </c>
      <c r="AK439" s="27"/>
      <c r="AL439" s="237"/>
      <c r="AM439" s="26">
        <v>0</v>
      </c>
      <c r="AN439" s="27"/>
      <c r="AO439" s="237"/>
      <c r="AP439" s="26">
        <v>0</v>
      </c>
      <c r="AQ439" s="27"/>
      <c r="AR439" s="237"/>
      <c r="AS439" s="26"/>
      <c r="AT439" s="27"/>
      <c r="AU439" s="237"/>
      <c r="AV439" s="26"/>
      <c r="AW439" s="27"/>
      <c r="AX439" s="237"/>
      <c r="AY439" s="26"/>
      <c r="AZ439" s="27"/>
      <c r="BA439" s="237"/>
      <c r="BB439" s="26"/>
      <c r="BC439" s="27"/>
      <c r="BD439" s="237"/>
      <c r="BE439" s="26"/>
      <c r="BF439" s="27"/>
      <c r="BG439" s="237"/>
      <c r="BH439" s="26"/>
      <c r="BI439" s="27"/>
      <c r="BJ439" s="454"/>
    </row>
    <row r="440" spans="1:62" s="28" customFormat="1" hidden="1" outlineLevel="2" x14ac:dyDescent="0.3">
      <c r="A440" s="200" t="s">
        <v>167</v>
      </c>
      <c r="B440" s="2"/>
      <c r="C440" s="58"/>
      <c r="D440" s="59"/>
      <c r="E440" s="202"/>
      <c r="F440" s="39"/>
      <c r="G440" s="54"/>
      <c r="H440" s="237"/>
      <c r="I440" s="26">
        <v>0</v>
      </c>
      <c r="J440" s="27"/>
      <c r="K440" s="237"/>
      <c r="L440" s="26">
        <v>0</v>
      </c>
      <c r="M440" s="27"/>
      <c r="N440" s="237"/>
      <c r="O440" s="26">
        <v>0</v>
      </c>
      <c r="P440" s="27"/>
      <c r="Q440" s="237"/>
      <c r="R440" s="26">
        <v>0</v>
      </c>
      <c r="S440" s="27"/>
      <c r="T440" s="237"/>
      <c r="U440" s="26">
        <v>0</v>
      </c>
      <c r="V440" s="27"/>
      <c r="W440" s="237"/>
      <c r="X440" s="26">
        <v>0</v>
      </c>
      <c r="Y440" s="27"/>
      <c r="Z440" s="237"/>
      <c r="AA440" s="26">
        <v>0</v>
      </c>
      <c r="AB440" s="27"/>
      <c r="AC440" s="237"/>
      <c r="AD440" s="26">
        <v>0</v>
      </c>
      <c r="AE440" s="27"/>
      <c r="AF440" s="237"/>
      <c r="AG440" s="26">
        <v>0</v>
      </c>
      <c r="AH440" s="27"/>
      <c r="AI440" s="237"/>
      <c r="AJ440" s="26">
        <v>0</v>
      </c>
      <c r="AK440" s="27"/>
      <c r="AL440" s="237"/>
      <c r="AM440" s="26">
        <v>0</v>
      </c>
      <c r="AN440" s="27"/>
      <c r="AO440" s="237"/>
      <c r="AP440" s="26">
        <v>0</v>
      </c>
      <c r="AQ440" s="27"/>
      <c r="AR440" s="237"/>
      <c r="AS440" s="26"/>
      <c r="AT440" s="27"/>
      <c r="AU440" s="237"/>
      <c r="AV440" s="26"/>
      <c r="AW440" s="27"/>
      <c r="AX440" s="237"/>
      <c r="AY440" s="26"/>
      <c r="AZ440" s="27"/>
      <c r="BA440" s="237"/>
      <c r="BB440" s="26"/>
      <c r="BC440" s="27"/>
      <c r="BD440" s="237"/>
      <c r="BE440" s="26"/>
      <c r="BF440" s="27"/>
      <c r="BG440" s="237"/>
      <c r="BH440" s="26"/>
      <c r="BI440" s="27"/>
      <c r="BJ440" s="454"/>
    </row>
    <row r="441" spans="1:62" s="28" customFormat="1" hidden="1" outlineLevel="2" x14ac:dyDescent="0.3">
      <c r="A441" s="200" t="s">
        <v>168</v>
      </c>
      <c r="B441" s="2"/>
      <c r="C441" s="58"/>
      <c r="D441" s="59"/>
      <c r="E441" s="202"/>
      <c r="F441" s="39"/>
      <c r="G441" s="54"/>
      <c r="H441" s="237"/>
      <c r="I441" s="26">
        <v>0</v>
      </c>
      <c r="J441" s="27"/>
      <c r="K441" s="237"/>
      <c r="L441" s="26">
        <v>0</v>
      </c>
      <c r="M441" s="27"/>
      <c r="N441" s="237"/>
      <c r="O441" s="26">
        <v>0</v>
      </c>
      <c r="P441" s="27"/>
      <c r="Q441" s="237"/>
      <c r="R441" s="26">
        <v>0</v>
      </c>
      <c r="S441" s="27"/>
      <c r="T441" s="237"/>
      <c r="U441" s="26">
        <v>0</v>
      </c>
      <c r="V441" s="27"/>
      <c r="W441" s="237"/>
      <c r="X441" s="26">
        <v>0</v>
      </c>
      <c r="Y441" s="27"/>
      <c r="Z441" s="237"/>
      <c r="AA441" s="26">
        <v>0</v>
      </c>
      <c r="AB441" s="27"/>
      <c r="AC441" s="237"/>
      <c r="AD441" s="26">
        <v>0</v>
      </c>
      <c r="AE441" s="27"/>
      <c r="AF441" s="237"/>
      <c r="AG441" s="26">
        <v>0</v>
      </c>
      <c r="AH441" s="27"/>
      <c r="AI441" s="237"/>
      <c r="AJ441" s="26">
        <v>0</v>
      </c>
      <c r="AK441" s="27"/>
      <c r="AL441" s="237"/>
      <c r="AM441" s="26">
        <v>0</v>
      </c>
      <c r="AN441" s="27"/>
      <c r="AO441" s="237"/>
      <c r="AP441" s="26">
        <v>0</v>
      </c>
      <c r="AQ441" s="27"/>
      <c r="AR441" s="237"/>
      <c r="AS441" s="26"/>
      <c r="AT441" s="27"/>
      <c r="AU441" s="237"/>
      <c r="AV441" s="26"/>
      <c r="AW441" s="27"/>
      <c r="AX441" s="237"/>
      <c r="AY441" s="26"/>
      <c r="AZ441" s="27"/>
      <c r="BA441" s="237"/>
      <c r="BB441" s="26"/>
      <c r="BC441" s="27"/>
      <c r="BD441" s="237"/>
      <c r="BE441" s="26"/>
      <c r="BF441" s="27"/>
      <c r="BG441" s="237"/>
      <c r="BH441" s="26"/>
      <c r="BI441" s="27"/>
      <c r="BJ441" s="454"/>
    </row>
    <row r="442" spans="1:62" s="28" customFormat="1" hidden="1" outlineLevel="2" x14ac:dyDescent="0.3">
      <c r="A442" s="200" t="s">
        <v>169</v>
      </c>
      <c r="B442" s="2"/>
      <c r="C442" s="58"/>
      <c r="D442" s="59"/>
      <c r="E442" s="202"/>
      <c r="F442" s="39"/>
      <c r="G442" s="54"/>
      <c r="H442" s="237"/>
      <c r="I442" s="26">
        <v>0</v>
      </c>
      <c r="J442" s="27"/>
      <c r="K442" s="237"/>
      <c r="L442" s="26">
        <v>0</v>
      </c>
      <c r="M442" s="27"/>
      <c r="N442" s="237"/>
      <c r="O442" s="26">
        <v>0</v>
      </c>
      <c r="P442" s="27"/>
      <c r="Q442" s="237"/>
      <c r="R442" s="26">
        <v>0</v>
      </c>
      <c r="S442" s="27"/>
      <c r="T442" s="237"/>
      <c r="U442" s="26">
        <v>0</v>
      </c>
      <c r="V442" s="27"/>
      <c r="W442" s="237"/>
      <c r="X442" s="26">
        <v>0</v>
      </c>
      <c r="Y442" s="27"/>
      <c r="Z442" s="237"/>
      <c r="AA442" s="26">
        <v>0</v>
      </c>
      <c r="AB442" s="27"/>
      <c r="AC442" s="237"/>
      <c r="AD442" s="26">
        <v>0</v>
      </c>
      <c r="AE442" s="27"/>
      <c r="AF442" s="237"/>
      <c r="AG442" s="26">
        <v>0</v>
      </c>
      <c r="AH442" s="27"/>
      <c r="AI442" s="237"/>
      <c r="AJ442" s="26">
        <v>0</v>
      </c>
      <c r="AK442" s="27"/>
      <c r="AL442" s="237"/>
      <c r="AM442" s="26">
        <v>0</v>
      </c>
      <c r="AN442" s="27"/>
      <c r="AO442" s="237"/>
      <c r="AP442" s="26">
        <v>0</v>
      </c>
      <c r="AQ442" s="27"/>
      <c r="AR442" s="237"/>
      <c r="AS442" s="26"/>
      <c r="AT442" s="27"/>
      <c r="AU442" s="237"/>
      <c r="AV442" s="26"/>
      <c r="AW442" s="27"/>
      <c r="AX442" s="237"/>
      <c r="AY442" s="26"/>
      <c r="AZ442" s="27"/>
      <c r="BA442" s="237"/>
      <c r="BB442" s="26"/>
      <c r="BC442" s="27"/>
      <c r="BD442" s="237"/>
      <c r="BE442" s="26"/>
      <c r="BF442" s="27"/>
      <c r="BG442" s="237"/>
      <c r="BH442" s="26"/>
      <c r="BI442" s="27"/>
      <c r="BJ442" s="454"/>
    </row>
    <row r="443" spans="1:62" s="28" customFormat="1" hidden="1" outlineLevel="2" x14ac:dyDescent="0.3">
      <c r="A443" s="200" t="s">
        <v>170</v>
      </c>
      <c r="B443" s="2"/>
      <c r="C443" s="58"/>
      <c r="D443" s="59"/>
      <c r="E443" s="202"/>
      <c r="F443" s="39"/>
      <c r="G443" s="54"/>
      <c r="H443" s="237"/>
      <c r="I443" s="26">
        <v>0</v>
      </c>
      <c r="J443" s="27"/>
      <c r="K443" s="237"/>
      <c r="L443" s="26">
        <v>0</v>
      </c>
      <c r="M443" s="27"/>
      <c r="N443" s="237"/>
      <c r="O443" s="26">
        <v>0</v>
      </c>
      <c r="P443" s="27"/>
      <c r="Q443" s="237"/>
      <c r="R443" s="26">
        <v>0</v>
      </c>
      <c r="S443" s="27"/>
      <c r="T443" s="237"/>
      <c r="U443" s="26">
        <v>0</v>
      </c>
      <c r="V443" s="27"/>
      <c r="W443" s="237"/>
      <c r="X443" s="26">
        <v>0</v>
      </c>
      <c r="Y443" s="27"/>
      <c r="Z443" s="237"/>
      <c r="AA443" s="26">
        <v>0</v>
      </c>
      <c r="AB443" s="27"/>
      <c r="AC443" s="237"/>
      <c r="AD443" s="26">
        <v>0</v>
      </c>
      <c r="AE443" s="27"/>
      <c r="AF443" s="237"/>
      <c r="AG443" s="26">
        <v>0</v>
      </c>
      <c r="AH443" s="27"/>
      <c r="AI443" s="237"/>
      <c r="AJ443" s="26">
        <v>0</v>
      </c>
      <c r="AK443" s="27"/>
      <c r="AL443" s="237"/>
      <c r="AM443" s="26">
        <v>0</v>
      </c>
      <c r="AN443" s="27"/>
      <c r="AO443" s="237"/>
      <c r="AP443" s="26">
        <v>0</v>
      </c>
      <c r="AQ443" s="27"/>
      <c r="AR443" s="237"/>
      <c r="AS443" s="26"/>
      <c r="AT443" s="27"/>
      <c r="AU443" s="237"/>
      <c r="AV443" s="26"/>
      <c r="AW443" s="27"/>
      <c r="AX443" s="237"/>
      <c r="AY443" s="26"/>
      <c r="AZ443" s="27"/>
      <c r="BA443" s="237"/>
      <c r="BB443" s="26"/>
      <c r="BC443" s="27"/>
      <c r="BD443" s="237"/>
      <c r="BE443" s="26"/>
      <c r="BF443" s="27"/>
      <c r="BG443" s="237"/>
      <c r="BH443" s="26"/>
      <c r="BI443" s="27"/>
      <c r="BJ443" s="454"/>
    </row>
    <row r="444" spans="1:62" s="28" customFormat="1" hidden="1" outlineLevel="2" x14ac:dyDescent="0.3">
      <c r="A444" s="200" t="s">
        <v>171</v>
      </c>
      <c r="B444" s="2"/>
      <c r="C444" s="58"/>
      <c r="D444" s="59"/>
      <c r="E444" s="202"/>
      <c r="F444" s="39"/>
      <c r="G444" s="54"/>
      <c r="H444" s="237"/>
      <c r="I444" s="26">
        <v>1</v>
      </c>
      <c r="J444" s="27"/>
      <c r="K444" s="237"/>
      <c r="L444" s="26">
        <v>1</v>
      </c>
      <c r="M444" s="27"/>
      <c r="N444" s="237"/>
      <c r="O444" s="26">
        <v>1</v>
      </c>
      <c r="P444" s="27"/>
      <c r="Q444" s="237"/>
      <c r="R444" s="26">
        <v>1</v>
      </c>
      <c r="S444" s="27"/>
      <c r="T444" s="237"/>
      <c r="U444" s="26">
        <v>1</v>
      </c>
      <c r="V444" s="27"/>
      <c r="W444" s="237"/>
      <c r="X444" s="26">
        <v>1</v>
      </c>
      <c r="Y444" s="27"/>
      <c r="Z444" s="237"/>
      <c r="AA444" s="26">
        <v>1</v>
      </c>
      <c r="AB444" s="27"/>
      <c r="AC444" s="237"/>
      <c r="AD444" s="26">
        <v>1</v>
      </c>
      <c r="AE444" s="27"/>
      <c r="AF444" s="237"/>
      <c r="AG444" s="26">
        <v>1</v>
      </c>
      <c r="AH444" s="27"/>
      <c r="AI444" s="237"/>
      <c r="AJ444" s="26">
        <v>1</v>
      </c>
      <c r="AK444" s="27"/>
      <c r="AL444" s="237"/>
      <c r="AM444" s="26">
        <v>1</v>
      </c>
      <c r="AN444" s="27"/>
      <c r="AO444" s="237"/>
      <c r="AP444" s="26">
        <v>1</v>
      </c>
      <c r="AQ444" s="27"/>
      <c r="AR444" s="237"/>
      <c r="AS444" s="26"/>
      <c r="AT444" s="27"/>
      <c r="AU444" s="237"/>
      <c r="AV444" s="26"/>
      <c r="AW444" s="27"/>
      <c r="AX444" s="237"/>
      <c r="AY444" s="26"/>
      <c r="AZ444" s="27"/>
      <c r="BA444" s="237"/>
      <c r="BB444" s="26"/>
      <c r="BC444" s="27"/>
      <c r="BD444" s="237"/>
      <c r="BE444" s="26"/>
      <c r="BF444" s="27"/>
      <c r="BG444" s="237"/>
      <c r="BH444" s="26"/>
      <c r="BI444" s="27"/>
      <c r="BJ444" s="454"/>
    </row>
    <row r="445" spans="1:62" s="28" customFormat="1" hidden="1" outlineLevel="2" x14ac:dyDescent="0.3">
      <c r="A445" s="200" t="s">
        <v>172</v>
      </c>
      <c r="B445" s="2"/>
      <c r="C445" s="58"/>
      <c r="D445" s="59"/>
      <c r="E445" s="202"/>
      <c r="F445" s="39"/>
      <c r="G445" s="54"/>
      <c r="H445" s="237"/>
      <c r="I445" s="26">
        <v>0</v>
      </c>
      <c r="J445" s="27"/>
      <c r="K445" s="237"/>
      <c r="L445" s="26">
        <v>0</v>
      </c>
      <c r="M445" s="27"/>
      <c r="N445" s="237"/>
      <c r="O445" s="26">
        <v>0</v>
      </c>
      <c r="P445" s="27"/>
      <c r="Q445" s="237"/>
      <c r="R445" s="26">
        <v>0</v>
      </c>
      <c r="S445" s="27"/>
      <c r="T445" s="237"/>
      <c r="U445" s="26">
        <v>0</v>
      </c>
      <c r="V445" s="27"/>
      <c r="W445" s="237"/>
      <c r="X445" s="26">
        <v>0</v>
      </c>
      <c r="Y445" s="27"/>
      <c r="Z445" s="237"/>
      <c r="AA445" s="26">
        <v>0</v>
      </c>
      <c r="AB445" s="27"/>
      <c r="AC445" s="237"/>
      <c r="AD445" s="26">
        <v>0</v>
      </c>
      <c r="AE445" s="27"/>
      <c r="AF445" s="237"/>
      <c r="AG445" s="26">
        <v>0</v>
      </c>
      <c r="AH445" s="27"/>
      <c r="AI445" s="237"/>
      <c r="AJ445" s="26">
        <v>0</v>
      </c>
      <c r="AK445" s="27"/>
      <c r="AL445" s="237"/>
      <c r="AM445" s="26">
        <v>0</v>
      </c>
      <c r="AN445" s="27"/>
      <c r="AO445" s="237"/>
      <c r="AP445" s="26">
        <v>0</v>
      </c>
      <c r="AQ445" s="27"/>
      <c r="AR445" s="237"/>
      <c r="AS445" s="26"/>
      <c r="AT445" s="27"/>
      <c r="AU445" s="237"/>
      <c r="AV445" s="26"/>
      <c r="AW445" s="27"/>
      <c r="AX445" s="237"/>
      <c r="AY445" s="26"/>
      <c r="AZ445" s="27"/>
      <c r="BA445" s="237"/>
      <c r="BB445" s="26"/>
      <c r="BC445" s="27"/>
      <c r="BD445" s="237"/>
      <c r="BE445" s="26"/>
      <c r="BF445" s="27"/>
      <c r="BG445" s="237"/>
      <c r="BH445" s="26"/>
      <c r="BI445" s="27"/>
      <c r="BJ445" s="454"/>
    </row>
    <row r="446" spans="1:62" s="28" customFormat="1" hidden="1" outlineLevel="2" x14ac:dyDescent="0.3">
      <c r="A446" s="200" t="s">
        <v>173</v>
      </c>
      <c r="B446" s="2"/>
      <c r="C446" s="58"/>
      <c r="D446" s="59"/>
      <c r="E446" s="202"/>
      <c r="F446" s="39"/>
      <c r="G446" s="54"/>
      <c r="H446" s="237"/>
      <c r="I446" s="26">
        <v>0</v>
      </c>
      <c r="J446" s="27"/>
      <c r="K446" s="237"/>
      <c r="L446" s="26">
        <v>0</v>
      </c>
      <c r="M446" s="27"/>
      <c r="N446" s="237"/>
      <c r="O446" s="26">
        <v>0</v>
      </c>
      <c r="P446" s="27"/>
      <c r="Q446" s="237"/>
      <c r="R446" s="26">
        <v>0</v>
      </c>
      <c r="S446" s="27"/>
      <c r="T446" s="237"/>
      <c r="U446" s="26">
        <v>0</v>
      </c>
      <c r="V446" s="27"/>
      <c r="W446" s="237"/>
      <c r="X446" s="26">
        <v>0</v>
      </c>
      <c r="Y446" s="27"/>
      <c r="Z446" s="237"/>
      <c r="AA446" s="26">
        <v>0</v>
      </c>
      <c r="AB446" s="27"/>
      <c r="AC446" s="237"/>
      <c r="AD446" s="26">
        <v>0</v>
      </c>
      <c r="AE446" s="27"/>
      <c r="AF446" s="237"/>
      <c r="AG446" s="26">
        <v>0</v>
      </c>
      <c r="AH446" s="27"/>
      <c r="AI446" s="237"/>
      <c r="AJ446" s="26">
        <v>0</v>
      </c>
      <c r="AK446" s="27"/>
      <c r="AL446" s="237"/>
      <c r="AM446" s="26">
        <v>0</v>
      </c>
      <c r="AN446" s="27"/>
      <c r="AO446" s="237"/>
      <c r="AP446" s="26">
        <v>0</v>
      </c>
      <c r="AQ446" s="27"/>
      <c r="AR446" s="237"/>
      <c r="AS446" s="26"/>
      <c r="AT446" s="27"/>
      <c r="AU446" s="237"/>
      <c r="AV446" s="26"/>
      <c r="AW446" s="27"/>
      <c r="AX446" s="237"/>
      <c r="AY446" s="26"/>
      <c r="AZ446" s="27"/>
      <c r="BA446" s="237"/>
      <c r="BB446" s="26"/>
      <c r="BC446" s="27"/>
      <c r="BD446" s="237"/>
      <c r="BE446" s="26"/>
      <c r="BF446" s="27"/>
      <c r="BG446" s="237"/>
      <c r="BH446" s="26"/>
      <c r="BI446" s="27"/>
      <c r="BJ446" s="454"/>
    </row>
    <row r="447" spans="1:62" s="28" customFormat="1" hidden="1" outlineLevel="2" x14ac:dyDescent="0.3">
      <c r="A447" s="200" t="s">
        <v>174</v>
      </c>
      <c r="B447" s="2"/>
      <c r="C447" s="58"/>
      <c r="D447" s="59"/>
      <c r="E447" s="202"/>
      <c r="F447" s="39"/>
      <c r="G447" s="54"/>
      <c r="H447" s="237"/>
      <c r="I447" s="26">
        <v>0</v>
      </c>
      <c r="J447" s="27"/>
      <c r="K447" s="237"/>
      <c r="L447" s="26">
        <v>0</v>
      </c>
      <c r="M447" s="27"/>
      <c r="N447" s="237"/>
      <c r="O447" s="26">
        <v>0</v>
      </c>
      <c r="P447" s="27"/>
      <c r="Q447" s="237"/>
      <c r="R447" s="26">
        <v>0</v>
      </c>
      <c r="S447" s="27"/>
      <c r="T447" s="237"/>
      <c r="U447" s="26">
        <v>0</v>
      </c>
      <c r="V447" s="27"/>
      <c r="W447" s="237"/>
      <c r="X447" s="26">
        <v>0</v>
      </c>
      <c r="Y447" s="27"/>
      <c r="Z447" s="237"/>
      <c r="AA447" s="26">
        <v>0</v>
      </c>
      <c r="AB447" s="27"/>
      <c r="AC447" s="237"/>
      <c r="AD447" s="26">
        <v>0</v>
      </c>
      <c r="AE447" s="27"/>
      <c r="AF447" s="237"/>
      <c r="AG447" s="26">
        <v>0</v>
      </c>
      <c r="AH447" s="27"/>
      <c r="AI447" s="237"/>
      <c r="AJ447" s="26">
        <v>0</v>
      </c>
      <c r="AK447" s="27"/>
      <c r="AL447" s="237"/>
      <c r="AM447" s="26">
        <v>0</v>
      </c>
      <c r="AN447" s="27"/>
      <c r="AO447" s="237"/>
      <c r="AP447" s="26">
        <v>0</v>
      </c>
      <c r="AQ447" s="27"/>
      <c r="AR447" s="237"/>
      <c r="AS447" s="26"/>
      <c r="AT447" s="27"/>
      <c r="AU447" s="237"/>
      <c r="AV447" s="26"/>
      <c r="AW447" s="27"/>
      <c r="AX447" s="237"/>
      <c r="AY447" s="26"/>
      <c r="AZ447" s="27"/>
      <c r="BA447" s="237"/>
      <c r="BB447" s="26"/>
      <c r="BC447" s="27"/>
      <c r="BD447" s="237"/>
      <c r="BE447" s="26"/>
      <c r="BF447" s="27"/>
      <c r="BG447" s="237"/>
      <c r="BH447" s="26"/>
      <c r="BI447" s="27"/>
      <c r="BJ447" s="454"/>
    </row>
    <row r="448" spans="1:62" s="28" customFormat="1" hidden="1" outlineLevel="2" x14ac:dyDescent="0.3">
      <c r="A448" s="200" t="s">
        <v>175</v>
      </c>
      <c r="B448" s="2"/>
      <c r="C448" s="58"/>
      <c r="D448" s="59"/>
      <c r="E448" s="202"/>
      <c r="F448" s="39"/>
      <c r="G448" s="54"/>
      <c r="H448" s="237"/>
      <c r="I448" s="26">
        <v>0</v>
      </c>
      <c r="J448" s="27"/>
      <c r="K448" s="237"/>
      <c r="L448" s="26">
        <v>0</v>
      </c>
      <c r="M448" s="27"/>
      <c r="N448" s="237"/>
      <c r="O448" s="26">
        <v>0</v>
      </c>
      <c r="P448" s="27"/>
      <c r="Q448" s="237"/>
      <c r="R448" s="26">
        <v>0</v>
      </c>
      <c r="S448" s="27"/>
      <c r="T448" s="237"/>
      <c r="U448" s="26">
        <v>0</v>
      </c>
      <c r="V448" s="27"/>
      <c r="W448" s="237"/>
      <c r="X448" s="26">
        <v>0</v>
      </c>
      <c r="Y448" s="27"/>
      <c r="Z448" s="237"/>
      <c r="AA448" s="26">
        <v>0</v>
      </c>
      <c r="AB448" s="27"/>
      <c r="AC448" s="237"/>
      <c r="AD448" s="26">
        <v>0</v>
      </c>
      <c r="AE448" s="27"/>
      <c r="AF448" s="237"/>
      <c r="AG448" s="26">
        <v>0</v>
      </c>
      <c r="AH448" s="27"/>
      <c r="AI448" s="237"/>
      <c r="AJ448" s="26">
        <v>0</v>
      </c>
      <c r="AK448" s="27"/>
      <c r="AL448" s="237"/>
      <c r="AM448" s="26">
        <v>0</v>
      </c>
      <c r="AN448" s="27"/>
      <c r="AO448" s="237"/>
      <c r="AP448" s="26">
        <v>0</v>
      </c>
      <c r="AQ448" s="27"/>
      <c r="AR448" s="237"/>
      <c r="AS448" s="26"/>
      <c r="AT448" s="27"/>
      <c r="AU448" s="237"/>
      <c r="AV448" s="26"/>
      <c r="AW448" s="27"/>
      <c r="AX448" s="237"/>
      <c r="AY448" s="26"/>
      <c r="AZ448" s="27"/>
      <c r="BA448" s="237"/>
      <c r="BB448" s="26"/>
      <c r="BC448" s="27"/>
      <c r="BD448" s="237"/>
      <c r="BE448" s="26"/>
      <c r="BF448" s="27"/>
      <c r="BG448" s="237"/>
      <c r="BH448" s="26"/>
      <c r="BI448" s="27"/>
      <c r="BJ448" s="454"/>
    </row>
    <row r="449" spans="1:62" s="28" customFormat="1" hidden="1" outlineLevel="2" x14ac:dyDescent="0.3">
      <c r="A449" s="200" t="s">
        <v>176</v>
      </c>
      <c r="B449" s="2"/>
      <c r="C449" s="58"/>
      <c r="D449" s="59"/>
      <c r="E449" s="202"/>
      <c r="F449" s="39"/>
      <c r="G449" s="54"/>
      <c r="H449" s="237"/>
      <c r="I449" s="26">
        <v>0</v>
      </c>
      <c r="J449" s="27"/>
      <c r="K449" s="237"/>
      <c r="L449" s="26">
        <v>0</v>
      </c>
      <c r="M449" s="27"/>
      <c r="N449" s="237"/>
      <c r="O449" s="26">
        <v>0</v>
      </c>
      <c r="P449" s="27"/>
      <c r="Q449" s="237"/>
      <c r="R449" s="26">
        <v>0</v>
      </c>
      <c r="S449" s="27"/>
      <c r="T449" s="237"/>
      <c r="U449" s="26">
        <v>0</v>
      </c>
      <c r="V449" s="27"/>
      <c r="W449" s="237"/>
      <c r="X449" s="26">
        <v>0</v>
      </c>
      <c r="Y449" s="27"/>
      <c r="Z449" s="237"/>
      <c r="AA449" s="26">
        <v>0</v>
      </c>
      <c r="AB449" s="27"/>
      <c r="AC449" s="237"/>
      <c r="AD449" s="26">
        <v>0</v>
      </c>
      <c r="AE449" s="27"/>
      <c r="AF449" s="237"/>
      <c r="AG449" s="26">
        <v>0</v>
      </c>
      <c r="AH449" s="27"/>
      <c r="AI449" s="237"/>
      <c r="AJ449" s="26">
        <v>0</v>
      </c>
      <c r="AK449" s="27"/>
      <c r="AL449" s="237"/>
      <c r="AM449" s="26">
        <v>0</v>
      </c>
      <c r="AN449" s="27"/>
      <c r="AO449" s="237"/>
      <c r="AP449" s="26">
        <v>0</v>
      </c>
      <c r="AQ449" s="27"/>
      <c r="AR449" s="237"/>
      <c r="AS449" s="26"/>
      <c r="AT449" s="27"/>
      <c r="AU449" s="237"/>
      <c r="AV449" s="26"/>
      <c r="AW449" s="27"/>
      <c r="AX449" s="237"/>
      <c r="AY449" s="26"/>
      <c r="AZ449" s="27"/>
      <c r="BA449" s="237"/>
      <c r="BB449" s="26"/>
      <c r="BC449" s="27"/>
      <c r="BD449" s="237"/>
      <c r="BE449" s="26"/>
      <c r="BF449" s="27"/>
      <c r="BG449" s="237"/>
      <c r="BH449" s="26"/>
      <c r="BI449" s="27"/>
      <c r="BJ449" s="454"/>
    </row>
    <row r="450" spans="1:62" s="28" customFormat="1" hidden="1" outlineLevel="2" x14ac:dyDescent="0.3">
      <c r="A450" s="200" t="s">
        <v>177</v>
      </c>
      <c r="B450" s="2"/>
      <c r="C450" s="58"/>
      <c r="D450" s="59"/>
      <c r="E450" s="202"/>
      <c r="F450" s="39"/>
      <c r="G450" s="54"/>
      <c r="H450" s="237"/>
      <c r="I450" s="26">
        <v>0</v>
      </c>
      <c r="J450" s="27"/>
      <c r="K450" s="237"/>
      <c r="L450" s="26">
        <v>0</v>
      </c>
      <c r="M450" s="27"/>
      <c r="N450" s="237"/>
      <c r="O450" s="26">
        <v>0</v>
      </c>
      <c r="P450" s="27"/>
      <c r="Q450" s="237"/>
      <c r="R450" s="26">
        <v>0</v>
      </c>
      <c r="S450" s="27"/>
      <c r="T450" s="237"/>
      <c r="U450" s="26">
        <v>0</v>
      </c>
      <c r="V450" s="27"/>
      <c r="W450" s="237"/>
      <c r="X450" s="26">
        <v>0</v>
      </c>
      <c r="Y450" s="27"/>
      <c r="Z450" s="237"/>
      <c r="AA450" s="26">
        <v>0</v>
      </c>
      <c r="AB450" s="27"/>
      <c r="AC450" s="237"/>
      <c r="AD450" s="26">
        <v>0</v>
      </c>
      <c r="AE450" s="27"/>
      <c r="AF450" s="237"/>
      <c r="AG450" s="26">
        <v>0</v>
      </c>
      <c r="AH450" s="27"/>
      <c r="AI450" s="237"/>
      <c r="AJ450" s="26">
        <v>0</v>
      </c>
      <c r="AK450" s="27"/>
      <c r="AL450" s="237"/>
      <c r="AM450" s="26">
        <v>0</v>
      </c>
      <c r="AN450" s="27"/>
      <c r="AO450" s="237"/>
      <c r="AP450" s="26">
        <v>0</v>
      </c>
      <c r="AQ450" s="27"/>
      <c r="AR450" s="237"/>
      <c r="AS450" s="26"/>
      <c r="AT450" s="27"/>
      <c r="AU450" s="237"/>
      <c r="AV450" s="26"/>
      <c r="AW450" s="27"/>
      <c r="AX450" s="237"/>
      <c r="AY450" s="26"/>
      <c r="AZ450" s="27"/>
      <c r="BA450" s="237"/>
      <c r="BB450" s="26"/>
      <c r="BC450" s="27"/>
      <c r="BD450" s="237"/>
      <c r="BE450" s="26"/>
      <c r="BF450" s="27"/>
      <c r="BG450" s="237"/>
      <c r="BH450" s="26"/>
      <c r="BI450" s="27"/>
      <c r="BJ450" s="454"/>
    </row>
    <row r="451" spans="1:62" s="28" customFormat="1" hidden="1" outlineLevel="2" x14ac:dyDescent="0.3">
      <c r="A451" s="200" t="s">
        <v>178</v>
      </c>
      <c r="B451" s="2"/>
      <c r="C451" s="58"/>
      <c r="D451" s="59"/>
      <c r="E451" s="202"/>
      <c r="F451" s="39"/>
      <c r="G451" s="54"/>
      <c r="H451" s="237"/>
      <c r="I451" s="26">
        <v>0</v>
      </c>
      <c r="J451" s="27"/>
      <c r="K451" s="237"/>
      <c r="L451" s="26">
        <v>0</v>
      </c>
      <c r="M451" s="27"/>
      <c r="N451" s="237"/>
      <c r="O451" s="26">
        <v>0</v>
      </c>
      <c r="P451" s="27"/>
      <c r="Q451" s="237"/>
      <c r="R451" s="26">
        <v>0</v>
      </c>
      <c r="S451" s="27"/>
      <c r="T451" s="237"/>
      <c r="U451" s="26">
        <v>0</v>
      </c>
      <c r="V451" s="27"/>
      <c r="W451" s="237"/>
      <c r="X451" s="26">
        <v>0</v>
      </c>
      <c r="Y451" s="27"/>
      <c r="Z451" s="237"/>
      <c r="AA451" s="26">
        <v>0</v>
      </c>
      <c r="AB451" s="27"/>
      <c r="AC451" s="237"/>
      <c r="AD451" s="26">
        <v>0</v>
      </c>
      <c r="AE451" s="27"/>
      <c r="AF451" s="237"/>
      <c r="AG451" s="26">
        <v>0</v>
      </c>
      <c r="AH451" s="27"/>
      <c r="AI451" s="237"/>
      <c r="AJ451" s="26">
        <v>0</v>
      </c>
      <c r="AK451" s="27"/>
      <c r="AL451" s="237"/>
      <c r="AM451" s="26">
        <v>0</v>
      </c>
      <c r="AN451" s="27"/>
      <c r="AO451" s="237"/>
      <c r="AP451" s="26">
        <v>0</v>
      </c>
      <c r="AQ451" s="27"/>
      <c r="AR451" s="237"/>
      <c r="AS451" s="26"/>
      <c r="AT451" s="27"/>
      <c r="AU451" s="237"/>
      <c r="AV451" s="26"/>
      <c r="AW451" s="27"/>
      <c r="AX451" s="237"/>
      <c r="AY451" s="26"/>
      <c r="AZ451" s="27"/>
      <c r="BA451" s="237"/>
      <c r="BB451" s="26"/>
      <c r="BC451" s="27"/>
      <c r="BD451" s="237"/>
      <c r="BE451" s="26"/>
      <c r="BF451" s="27"/>
      <c r="BG451" s="237"/>
      <c r="BH451" s="26"/>
      <c r="BI451" s="27"/>
      <c r="BJ451" s="454"/>
    </row>
    <row r="452" spans="1:62" s="28" customFormat="1" hidden="1" outlineLevel="2" x14ac:dyDescent="0.3">
      <c r="A452" s="200" t="s">
        <v>179</v>
      </c>
      <c r="B452" s="2"/>
      <c r="C452" s="58"/>
      <c r="D452" s="59"/>
      <c r="E452" s="202"/>
      <c r="F452" s="39"/>
      <c r="G452" s="54"/>
      <c r="H452" s="237"/>
      <c r="I452" s="26">
        <v>2</v>
      </c>
      <c r="J452" s="27"/>
      <c r="K452" s="237"/>
      <c r="L452" s="26">
        <v>2</v>
      </c>
      <c r="M452" s="27"/>
      <c r="N452" s="237"/>
      <c r="O452" s="26">
        <v>2</v>
      </c>
      <c r="P452" s="27"/>
      <c r="Q452" s="237"/>
      <c r="R452" s="26">
        <v>2</v>
      </c>
      <c r="S452" s="27"/>
      <c r="T452" s="237"/>
      <c r="U452" s="26">
        <v>2</v>
      </c>
      <c r="V452" s="27"/>
      <c r="W452" s="237"/>
      <c r="X452" s="26">
        <v>2</v>
      </c>
      <c r="Y452" s="27"/>
      <c r="Z452" s="237"/>
      <c r="AA452" s="26">
        <v>2</v>
      </c>
      <c r="AB452" s="27"/>
      <c r="AC452" s="237"/>
      <c r="AD452" s="26">
        <v>2</v>
      </c>
      <c r="AE452" s="27"/>
      <c r="AF452" s="237"/>
      <c r="AG452" s="26">
        <v>2</v>
      </c>
      <c r="AH452" s="27"/>
      <c r="AI452" s="237"/>
      <c r="AJ452" s="26">
        <v>2</v>
      </c>
      <c r="AK452" s="27"/>
      <c r="AL452" s="237"/>
      <c r="AM452" s="26">
        <v>2</v>
      </c>
      <c r="AN452" s="27"/>
      <c r="AO452" s="237"/>
      <c r="AP452" s="26">
        <v>2</v>
      </c>
      <c r="AQ452" s="27"/>
      <c r="AR452" s="237"/>
      <c r="AS452" s="26"/>
      <c r="AT452" s="27"/>
      <c r="AU452" s="237"/>
      <c r="AV452" s="26"/>
      <c r="AW452" s="27"/>
      <c r="AX452" s="237"/>
      <c r="AY452" s="26"/>
      <c r="AZ452" s="27"/>
      <c r="BA452" s="237"/>
      <c r="BB452" s="26"/>
      <c r="BC452" s="27"/>
      <c r="BD452" s="237"/>
      <c r="BE452" s="26"/>
      <c r="BF452" s="27"/>
      <c r="BG452" s="237"/>
      <c r="BH452" s="26"/>
      <c r="BI452" s="27"/>
      <c r="BJ452" s="454"/>
    </row>
    <row r="453" spans="1:62" s="28" customFormat="1" hidden="1" outlineLevel="2" x14ac:dyDescent="0.3">
      <c r="A453" s="200" t="s">
        <v>180</v>
      </c>
      <c r="B453" s="2"/>
      <c r="C453" s="58"/>
      <c r="D453" s="59"/>
      <c r="E453" s="202"/>
      <c r="F453" s="39"/>
      <c r="G453" s="54"/>
      <c r="H453" s="237"/>
      <c r="I453" s="26">
        <v>0</v>
      </c>
      <c r="J453" s="27"/>
      <c r="K453" s="237"/>
      <c r="L453" s="26">
        <v>0</v>
      </c>
      <c r="M453" s="27"/>
      <c r="N453" s="237"/>
      <c r="O453" s="26">
        <v>0</v>
      </c>
      <c r="P453" s="27"/>
      <c r="Q453" s="237"/>
      <c r="R453" s="26">
        <v>0</v>
      </c>
      <c r="S453" s="27"/>
      <c r="T453" s="237"/>
      <c r="U453" s="26">
        <v>0</v>
      </c>
      <c r="V453" s="27"/>
      <c r="W453" s="237"/>
      <c r="X453" s="26">
        <v>0</v>
      </c>
      <c r="Y453" s="27"/>
      <c r="Z453" s="237"/>
      <c r="AA453" s="26">
        <v>0</v>
      </c>
      <c r="AB453" s="27"/>
      <c r="AC453" s="237"/>
      <c r="AD453" s="26">
        <v>0</v>
      </c>
      <c r="AE453" s="27"/>
      <c r="AF453" s="237"/>
      <c r="AG453" s="26">
        <v>0</v>
      </c>
      <c r="AH453" s="27"/>
      <c r="AI453" s="237"/>
      <c r="AJ453" s="26">
        <v>0</v>
      </c>
      <c r="AK453" s="27"/>
      <c r="AL453" s="237"/>
      <c r="AM453" s="26">
        <v>0</v>
      </c>
      <c r="AN453" s="27"/>
      <c r="AO453" s="237"/>
      <c r="AP453" s="26">
        <v>0</v>
      </c>
      <c r="AQ453" s="27"/>
      <c r="AR453" s="237"/>
      <c r="AS453" s="26"/>
      <c r="AT453" s="27"/>
      <c r="AU453" s="237"/>
      <c r="AV453" s="26"/>
      <c r="AW453" s="27"/>
      <c r="AX453" s="237"/>
      <c r="AY453" s="26"/>
      <c r="AZ453" s="27"/>
      <c r="BA453" s="237"/>
      <c r="BB453" s="26"/>
      <c r="BC453" s="27"/>
      <c r="BD453" s="237"/>
      <c r="BE453" s="26"/>
      <c r="BF453" s="27"/>
      <c r="BG453" s="237"/>
      <c r="BH453" s="26"/>
      <c r="BI453" s="27"/>
      <c r="BJ453" s="454"/>
    </row>
    <row r="454" spans="1:62" s="28" customFormat="1" hidden="1" outlineLevel="2" x14ac:dyDescent="0.3">
      <c r="A454" s="200" t="s">
        <v>181</v>
      </c>
      <c r="B454" s="2"/>
      <c r="C454" s="58"/>
      <c r="D454" s="59"/>
      <c r="E454" s="202"/>
      <c r="F454" s="39"/>
      <c r="G454" s="54"/>
      <c r="H454" s="237"/>
      <c r="I454" s="26">
        <v>1</v>
      </c>
      <c r="J454" s="27"/>
      <c r="K454" s="237"/>
      <c r="L454" s="26">
        <v>1</v>
      </c>
      <c r="M454" s="27"/>
      <c r="N454" s="237"/>
      <c r="O454" s="26">
        <v>1</v>
      </c>
      <c r="P454" s="27"/>
      <c r="Q454" s="237"/>
      <c r="R454" s="26">
        <v>1</v>
      </c>
      <c r="S454" s="27"/>
      <c r="T454" s="237"/>
      <c r="U454" s="26">
        <v>1</v>
      </c>
      <c r="V454" s="27"/>
      <c r="W454" s="237"/>
      <c r="X454" s="26">
        <v>1</v>
      </c>
      <c r="Y454" s="27"/>
      <c r="Z454" s="237"/>
      <c r="AA454" s="26">
        <v>1</v>
      </c>
      <c r="AB454" s="27"/>
      <c r="AC454" s="237"/>
      <c r="AD454" s="26">
        <v>1</v>
      </c>
      <c r="AE454" s="27"/>
      <c r="AF454" s="237"/>
      <c r="AG454" s="26">
        <v>1</v>
      </c>
      <c r="AH454" s="27"/>
      <c r="AI454" s="237"/>
      <c r="AJ454" s="26">
        <v>1</v>
      </c>
      <c r="AK454" s="27"/>
      <c r="AL454" s="237"/>
      <c r="AM454" s="26">
        <v>1</v>
      </c>
      <c r="AN454" s="27"/>
      <c r="AO454" s="237"/>
      <c r="AP454" s="26">
        <v>1</v>
      </c>
      <c r="AQ454" s="27"/>
      <c r="AR454" s="237"/>
      <c r="AS454" s="26"/>
      <c r="AT454" s="27"/>
      <c r="AU454" s="237"/>
      <c r="AV454" s="26"/>
      <c r="AW454" s="27"/>
      <c r="AX454" s="237"/>
      <c r="AY454" s="26"/>
      <c r="AZ454" s="27"/>
      <c r="BA454" s="237"/>
      <c r="BB454" s="26"/>
      <c r="BC454" s="27"/>
      <c r="BD454" s="237"/>
      <c r="BE454" s="26"/>
      <c r="BF454" s="27"/>
      <c r="BG454" s="237"/>
      <c r="BH454" s="26"/>
      <c r="BI454" s="27"/>
      <c r="BJ454" s="454"/>
    </row>
    <row r="455" spans="1:62" s="28" customFormat="1" hidden="1" outlineLevel="2" x14ac:dyDescent="0.3">
      <c r="A455" s="200" t="s">
        <v>182</v>
      </c>
      <c r="B455" s="2"/>
      <c r="C455" s="58"/>
      <c r="D455" s="59"/>
      <c r="E455" s="202"/>
      <c r="F455" s="39"/>
      <c r="G455" s="54"/>
      <c r="H455" s="237"/>
      <c r="I455" s="26">
        <v>0</v>
      </c>
      <c r="J455" s="27"/>
      <c r="K455" s="237"/>
      <c r="L455" s="26">
        <v>0</v>
      </c>
      <c r="M455" s="27"/>
      <c r="N455" s="237"/>
      <c r="O455" s="26">
        <v>0</v>
      </c>
      <c r="P455" s="27"/>
      <c r="Q455" s="237"/>
      <c r="R455" s="26">
        <v>0</v>
      </c>
      <c r="S455" s="27"/>
      <c r="T455" s="237"/>
      <c r="U455" s="26">
        <v>0</v>
      </c>
      <c r="V455" s="27"/>
      <c r="W455" s="237"/>
      <c r="X455" s="26">
        <v>0</v>
      </c>
      <c r="Y455" s="27"/>
      <c r="Z455" s="237"/>
      <c r="AA455" s="26">
        <v>0</v>
      </c>
      <c r="AB455" s="27"/>
      <c r="AC455" s="237"/>
      <c r="AD455" s="26">
        <v>0</v>
      </c>
      <c r="AE455" s="27"/>
      <c r="AF455" s="237"/>
      <c r="AG455" s="26">
        <v>0</v>
      </c>
      <c r="AH455" s="27"/>
      <c r="AI455" s="237"/>
      <c r="AJ455" s="26">
        <v>0</v>
      </c>
      <c r="AK455" s="27"/>
      <c r="AL455" s="237"/>
      <c r="AM455" s="26">
        <v>0</v>
      </c>
      <c r="AN455" s="27"/>
      <c r="AO455" s="237"/>
      <c r="AP455" s="26">
        <v>0</v>
      </c>
      <c r="AQ455" s="27"/>
      <c r="AR455" s="237"/>
      <c r="AS455" s="26"/>
      <c r="AT455" s="27"/>
      <c r="AU455" s="237"/>
      <c r="AV455" s="26"/>
      <c r="AW455" s="27"/>
      <c r="AX455" s="237"/>
      <c r="AY455" s="26"/>
      <c r="AZ455" s="27"/>
      <c r="BA455" s="237"/>
      <c r="BB455" s="26"/>
      <c r="BC455" s="27"/>
      <c r="BD455" s="237"/>
      <c r="BE455" s="26"/>
      <c r="BF455" s="27"/>
      <c r="BG455" s="237"/>
      <c r="BH455" s="26"/>
      <c r="BI455" s="27"/>
      <c r="BJ455" s="454"/>
    </row>
    <row r="456" spans="1:62" s="28" customFormat="1" hidden="1" outlineLevel="2" x14ac:dyDescent="0.3">
      <c r="A456" s="200" t="s">
        <v>183</v>
      </c>
      <c r="B456" s="2"/>
      <c r="C456" s="58"/>
      <c r="D456" s="59"/>
      <c r="E456" s="202"/>
      <c r="F456" s="39"/>
      <c r="G456" s="54"/>
      <c r="H456" s="237"/>
      <c r="I456" s="26">
        <v>0</v>
      </c>
      <c r="J456" s="27"/>
      <c r="K456" s="237"/>
      <c r="L456" s="26">
        <v>0</v>
      </c>
      <c r="M456" s="27"/>
      <c r="N456" s="237"/>
      <c r="O456" s="26">
        <v>0</v>
      </c>
      <c r="P456" s="27"/>
      <c r="Q456" s="237"/>
      <c r="R456" s="26">
        <v>0</v>
      </c>
      <c r="S456" s="27"/>
      <c r="T456" s="237"/>
      <c r="U456" s="26">
        <v>0</v>
      </c>
      <c r="V456" s="27"/>
      <c r="W456" s="237"/>
      <c r="X456" s="26">
        <v>0</v>
      </c>
      <c r="Y456" s="27"/>
      <c r="Z456" s="237"/>
      <c r="AA456" s="26">
        <v>0</v>
      </c>
      <c r="AB456" s="27"/>
      <c r="AC456" s="237"/>
      <c r="AD456" s="26">
        <v>0</v>
      </c>
      <c r="AE456" s="27"/>
      <c r="AF456" s="237"/>
      <c r="AG456" s="26">
        <v>0</v>
      </c>
      <c r="AH456" s="27"/>
      <c r="AI456" s="237"/>
      <c r="AJ456" s="26">
        <v>0</v>
      </c>
      <c r="AK456" s="27"/>
      <c r="AL456" s="237"/>
      <c r="AM456" s="26">
        <v>0</v>
      </c>
      <c r="AN456" s="27"/>
      <c r="AO456" s="237"/>
      <c r="AP456" s="26">
        <v>0</v>
      </c>
      <c r="AQ456" s="27"/>
      <c r="AR456" s="237"/>
      <c r="AS456" s="26"/>
      <c r="AT456" s="27"/>
      <c r="AU456" s="237"/>
      <c r="AV456" s="26"/>
      <c r="AW456" s="27"/>
      <c r="AX456" s="237"/>
      <c r="AY456" s="26"/>
      <c r="AZ456" s="27"/>
      <c r="BA456" s="237"/>
      <c r="BB456" s="26"/>
      <c r="BC456" s="27"/>
      <c r="BD456" s="237"/>
      <c r="BE456" s="26"/>
      <c r="BF456" s="27"/>
      <c r="BG456" s="237"/>
      <c r="BH456" s="26"/>
      <c r="BI456" s="27"/>
      <c r="BJ456" s="454"/>
    </row>
    <row r="457" spans="1:62" s="28" customFormat="1" hidden="1" outlineLevel="2" x14ac:dyDescent="0.3">
      <c r="A457" s="200" t="s">
        <v>184</v>
      </c>
      <c r="B457" s="2"/>
      <c r="C457" s="58"/>
      <c r="D457" s="59"/>
      <c r="E457" s="202"/>
      <c r="F457" s="39"/>
      <c r="G457" s="54"/>
      <c r="H457" s="237"/>
      <c r="I457" s="26">
        <v>0</v>
      </c>
      <c r="J457" s="27"/>
      <c r="K457" s="237"/>
      <c r="L457" s="26">
        <v>0</v>
      </c>
      <c r="M457" s="27"/>
      <c r="N457" s="237"/>
      <c r="O457" s="26">
        <v>0</v>
      </c>
      <c r="P457" s="27"/>
      <c r="Q457" s="237"/>
      <c r="R457" s="26">
        <v>0</v>
      </c>
      <c r="S457" s="27"/>
      <c r="T457" s="237"/>
      <c r="U457" s="26">
        <v>0</v>
      </c>
      <c r="V457" s="27"/>
      <c r="W457" s="237"/>
      <c r="X457" s="26">
        <v>0</v>
      </c>
      <c r="Y457" s="27"/>
      <c r="Z457" s="237"/>
      <c r="AA457" s="26">
        <v>0</v>
      </c>
      <c r="AB457" s="27"/>
      <c r="AC457" s="237"/>
      <c r="AD457" s="26">
        <v>0</v>
      </c>
      <c r="AE457" s="27"/>
      <c r="AF457" s="237"/>
      <c r="AG457" s="26">
        <v>0</v>
      </c>
      <c r="AH457" s="27"/>
      <c r="AI457" s="237"/>
      <c r="AJ457" s="26">
        <v>0</v>
      </c>
      <c r="AK457" s="27"/>
      <c r="AL457" s="237"/>
      <c r="AM457" s="26">
        <v>0</v>
      </c>
      <c r="AN457" s="27"/>
      <c r="AO457" s="237"/>
      <c r="AP457" s="26">
        <v>0</v>
      </c>
      <c r="AQ457" s="27"/>
      <c r="AR457" s="237"/>
      <c r="AS457" s="26"/>
      <c r="AT457" s="27"/>
      <c r="AU457" s="237"/>
      <c r="AV457" s="26"/>
      <c r="AW457" s="27"/>
      <c r="AX457" s="237"/>
      <c r="AY457" s="26"/>
      <c r="AZ457" s="27"/>
      <c r="BA457" s="237"/>
      <c r="BB457" s="26"/>
      <c r="BC457" s="27"/>
      <c r="BD457" s="237"/>
      <c r="BE457" s="26"/>
      <c r="BF457" s="27"/>
      <c r="BG457" s="237"/>
      <c r="BH457" s="26"/>
      <c r="BI457" s="27"/>
      <c r="BJ457" s="454"/>
    </row>
    <row r="458" spans="1:62" s="28" customFormat="1" hidden="1" outlineLevel="2" x14ac:dyDescent="0.3">
      <c r="A458" s="200" t="s">
        <v>185</v>
      </c>
      <c r="B458" s="2"/>
      <c r="C458" s="58"/>
      <c r="D458" s="59"/>
      <c r="E458" s="202"/>
      <c r="F458" s="39"/>
      <c r="G458" s="54"/>
      <c r="H458" s="237"/>
      <c r="I458" s="26">
        <v>0</v>
      </c>
      <c r="J458" s="27"/>
      <c r="K458" s="237"/>
      <c r="L458" s="26">
        <v>0</v>
      </c>
      <c r="M458" s="27"/>
      <c r="N458" s="237"/>
      <c r="O458" s="26">
        <v>0</v>
      </c>
      <c r="P458" s="27"/>
      <c r="Q458" s="237"/>
      <c r="R458" s="26">
        <v>0</v>
      </c>
      <c r="S458" s="27"/>
      <c r="T458" s="237"/>
      <c r="U458" s="26">
        <v>0</v>
      </c>
      <c r="V458" s="27"/>
      <c r="W458" s="237"/>
      <c r="X458" s="26">
        <v>0</v>
      </c>
      <c r="Y458" s="27"/>
      <c r="Z458" s="237"/>
      <c r="AA458" s="26">
        <v>0</v>
      </c>
      <c r="AB458" s="27"/>
      <c r="AC458" s="237"/>
      <c r="AD458" s="26">
        <v>0</v>
      </c>
      <c r="AE458" s="27"/>
      <c r="AF458" s="237"/>
      <c r="AG458" s="26">
        <v>0</v>
      </c>
      <c r="AH458" s="27"/>
      <c r="AI458" s="237"/>
      <c r="AJ458" s="26">
        <v>0</v>
      </c>
      <c r="AK458" s="27"/>
      <c r="AL458" s="237"/>
      <c r="AM458" s="26">
        <v>0</v>
      </c>
      <c r="AN458" s="27"/>
      <c r="AO458" s="237"/>
      <c r="AP458" s="26">
        <v>0</v>
      </c>
      <c r="AQ458" s="27"/>
      <c r="AR458" s="237"/>
      <c r="AS458" s="26"/>
      <c r="AT458" s="27"/>
      <c r="AU458" s="237"/>
      <c r="AV458" s="26"/>
      <c r="AW458" s="27"/>
      <c r="AX458" s="237"/>
      <c r="AY458" s="26"/>
      <c r="AZ458" s="27"/>
      <c r="BA458" s="237"/>
      <c r="BB458" s="26"/>
      <c r="BC458" s="27"/>
      <c r="BD458" s="237"/>
      <c r="BE458" s="26"/>
      <c r="BF458" s="27"/>
      <c r="BG458" s="237"/>
      <c r="BH458" s="26"/>
      <c r="BI458" s="27"/>
      <c r="BJ458" s="454"/>
    </row>
    <row r="459" spans="1:62" s="28" customFormat="1" hidden="1" outlineLevel="2" x14ac:dyDescent="0.3">
      <c r="A459" s="200" t="s">
        <v>186</v>
      </c>
      <c r="B459" s="2"/>
      <c r="C459" s="58"/>
      <c r="D459" s="59"/>
      <c r="E459" s="202"/>
      <c r="F459" s="39"/>
      <c r="G459" s="54"/>
      <c r="H459" s="237"/>
      <c r="I459" s="26">
        <v>0</v>
      </c>
      <c r="J459" s="27"/>
      <c r="K459" s="237"/>
      <c r="L459" s="26">
        <v>0</v>
      </c>
      <c r="M459" s="27"/>
      <c r="N459" s="237"/>
      <c r="O459" s="26">
        <v>0</v>
      </c>
      <c r="P459" s="27"/>
      <c r="Q459" s="237"/>
      <c r="R459" s="26">
        <v>0</v>
      </c>
      <c r="S459" s="27"/>
      <c r="T459" s="237"/>
      <c r="U459" s="26">
        <v>0</v>
      </c>
      <c r="V459" s="27"/>
      <c r="W459" s="237"/>
      <c r="X459" s="26">
        <v>0</v>
      </c>
      <c r="Y459" s="27"/>
      <c r="Z459" s="237"/>
      <c r="AA459" s="26">
        <v>0</v>
      </c>
      <c r="AB459" s="27"/>
      <c r="AC459" s="237"/>
      <c r="AD459" s="26">
        <v>0</v>
      </c>
      <c r="AE459" s="27"/>
      <c r="AF459" s="237"/>
      <c r="AG459" s="26">
        <v>0</v>
      </c>
      <c r="AH459" s="27"/>
      <c r="AI459" s="237"/>
      <c r="AJ459" s="26">
        <v>0</v>
      </c>
      <c r="AK459" s="27"/>
      <c r="AL459" s="237"/>
      <c r="AM459" s="26">
        <v>0</v>
      </c>
      <c r="AN459" s="27"/>
      <c r="AO459" s="237"/>
      <c r="AP459" s="26">
        <v>0</v>
      </c>
      <c r="AQ459" s="27"/>
      <c r="AR459" s="237"/>
      <c r="AS459" s="26"/>
      <c r="AT459" s="27"/>
      <c r="AU459" s="237"/>
      <c r="AV459" s="26"/>
      <c r="AW459" s="27"/>
      <c r="AX459" s="237"/>
      <c r="AY459" s="26"/>
      <c r="AZ459" s="27"/>
      <c r="BA459" s="237"/>
      <c r="BB459" s="26"/>
      <c r="BC459" s="27"/>
      <c r="BD459" s="237"/>
      <c r="BE459" s="26"/>
      <c r="BF459" s="27"/>
      <c r="BG459" s="237"/>
      <c r="BH459" s="26"/>
      <c r="BI459" s="27"/>
      <c r="BJ459" s="454"/>
    </row>
    <row r="460" spans="1:62" s="28" customFormat="1" hidden="1" outlineLevel="2" x14ac:dyDescent="0.3">
      <c r="A460" s="200" t="s">
        <v>187</v>
      </c>
      <c r="B460" s="2"/>
      <c r="C460" s="58"/>
      <c r="D460" s="59"/>
      <c r="E460" s="202"/>
      <c r="F460" s="39"/>
      <c r="G460" s="54"/>
      <c r="H460" s="237"/>
      <c r="I460" s="26">
        <v>0</v>
      </c>
      <c r="J460" s="27"/>
      <c r="K460" s="237"/>
      <c r="L460" s="26">
        <v>0</v>
      </c>
      <c r="M460" s="27"/>
      <c r="N460" s="237"/>
      <c r="O460" s="26">
        <v>0</v>
      </c>
      <c r="P460" s="27"/>
      <c r="Q460" s="237"/>
      <c r="R460" s="26">
        <v>0</v>
      </c>
      <c r="S460" s="27"/>
      <c r="T460" s="237"/>
      <c r="U460" s="26">
        <v>0</v>
      </c>
      <c r="V460" s="27"/>
      <c r="W460" s="237"/>
      <c r="X460" s="26">
        <v>0</v>
      </c>
      <c r="Y460" s="27"/>
      <c r="Z460" s="237"/>
      <c r="AA460" s="26">
        <v>0</v>
      </c>
      <c r="AB460" s="27"/>
      <c r="AC460" s="237"/>
      <c r="AD460" s="26">
        <v>0</v>
      </c>
      <c r="AE460" s="27"/>
      <c r="AF460" s="237"/>
      <c r="AG460" s="26">
        <v>0</v>
      </c>
      <c r="AH460" s="27"/>
      <c r="AI460" s="237"/>
      <c r="AJ460" s="26">
        <v>0</v>
      </c>
      <c r="AK460" s="27"/>
      <c r="AL460" s="237"/>
      <c r="AM460" s="26">
        <v>0</v>
      </c>
      <c r="AN460" s="27"/>
      <c r="AO460" s="237"/>
      <c r="AP460" s="26">
        <v>0</v>
      </c>
      <c r="AQ460" s="27"/>
      <c r="AR460" s="237"/>
      <c r="AS460" s="26"/>
      <c r="AT460" s="27"/>
      <c r="AU460" s="237"/>
      <c r="AV460" s="26"/>
      <c r="AW460" s="27"/>
      <c r="AX460" s="237"/>
      <c r="AY460" s="26"/>
      <c r="AZ460" s="27"/>
      <c r="BA460" s="237"/>
      <c r="BB460" s="26"/>
      <c r="BC460" s="27"/>
      <c r="BD460" s="237"/>
      <c r="BE460" s="26"/>
      <c r="BF460" s="27"/>
      <c r="BG460" s="237"/>
      <c r="BH460" s="26"/>
      <c r="BI460" s="27"/>
      <c r="BJ460" s="454"/>
    </row>
    <row r="461" spans="1:62" s="28" customFormat="1" hidden="1" outlineLevel="2" x14ac:dyDescent="0.3">
      <c r="A461" s="200" t="s">
        <v>188</v>
      </c>
      <c r="B461" s="2"/>
      <c r="C461" s="58"/>
      <c r="D461" s="59"/>
      <c r="E461" s="202"/>
      <c r="F461" s="39"/>
      <c r="G461" s="54"/>
      <c r="H461" s="237"/>
      <c r="I461" s="26">
        <v>0</v>
      </c>
      <c r="J461" s="27"/>
      <c r="K461" s="237"/>
      <c r="L461" s="26">
        <v>0</v>
      </c>
      <c r="M461" s="27"/>
      <c r="N461" s="237"/>
      <c r="O461" s="26">
        <v>0</v>
      </c>
      <c r="P461" s="27"/>
      <c r="Q461" s="237"/>
      <c r="R461" s="26">
        <v>0</v>
      </c>
      <c r="S461" s="27"/>
      <c r="T461" s="237"/>
      <c r="U461" s="26">
        <v>0</v>
      </c>
      <c r="V461" s="27"/>
      <c r="W461" s="237"/>
      <c r="X461" s="26">
        <v>0</v>
      </c>
      <c r="Y461" s="27"/>
      <c r="Z461" s="237"/>
      <c r="AA461" s="26">
        <v>0</v>
      </c>
      <c r="AB461" s="27"/>
      <c r="AC461" s="237"/>
      <c r="AD461" s="26">
        <v>0</v>
      </c>
      <c r="AE461" s="27"/>
      <c r="AF461" s="237"/>
      <c r="AG461" s="26">
        <v>0</v>
      </c>
      <c r="AH461" s="27"/>
      <c r="AI461" s="237"/>
      <c r="AJ461" s="26">
        <v>0</v>
      </c>
      <c r="AK461" s="27"/>
      <c r="AL461" s="237"/>
      <c r="AM461" s="26">
        <v>0</v>
      </c>
      <c r="AN461" s="27"/>
      <c r="AO461" s="237"/>
      <c r="AP461" s="26">
        <v>0</v>
      </c>
      <c r="AQ461" s="27"/>
      <c r="AR461" s="237"/>
      <c r="AS461" s="26"/>
      <c r="AT461" s="27"/>
      <c r="AU461" s="237"/>
      <c r="AV461" s="26"/>
      <c r="AW461" s="27"/>
      <c r="AX461" s="237"/>
      <c r="AY461" s="26"/>
      <c r="AZ461" s="27"/>
      <c r="BA461" s="237"/>
      <c r="BB461" s="26"/>
      <c r="BC461" s="27"/>
      <c r="BD461" s="237"/>
      <c r="BE461" s="26"/>
      <c r="BF461" s="27"/>
      <c r="BG461" s="237"/>
      <c r="BH461" s="26"/>
      <c r="BI461" s="27"/>
      <c r="BJ461" s="454"/>
    </row>
    <row r="462" spans="1:62" s="28" customFormat="1" hidden="1" outlineLevel="2" x14ac:dyDescent="0.3">
      <c r="A462" s="200" t="s">
        <v>189</v>
      </c>
      <c r="B462" s="2"/>
      <c r="C462" s="58"/>
      <c r="D462" s="59"/>
      <c r="E462" s="202"/>
      <c r="F462" s="39"/>
      <c r="G462" s="54"/>
      <c r="H462" s="237"/>
      <c r="I462" s="26">
        <v>0</v>
      </c>
      <c r="J462" s="27"/>
      <c r="K462" s="237"/>
      <c r="L462" s="26">
        <v>0</v>
      </c>
      <c r="M462" s="27"/>
      <c r="N462" s="237"/>
      <c r="O462" s="26">
        <v>0</v>
      </c>
      <c r="P462" s="27"/>
      <c r="Q462" s="237"/>
      <c r="R462" s="26">
        <v>0</v>
      </c>
      <c r="S462" s="27"/>
      <c r="T462" s="237"/>
      <c r="U462" s="26">
        <v>0</v>
      </c>
      <c r="V462" s="27"/>
      <c r="W462" s="237"/>
      <c r="X462" s="26">
        <v>0</v>
      </c>
      <c r="Y462" s="27"/>
      <c r="Z462" s="237"/>
      <c r="AA462" s="26">
        <v>0</v>
      </c>
      <c r="AB462" s="27"/>
      <c r="AC462" s="237"/>
      <c r="AD462" s="26">
        <v>0</v>
      </c>
      <c r="AE462" s="27"/>
      <c r="AF462" s="237"/>
      <c r="AG462" s="26">
        <v>0</v>
      </c>
      <c r="AH462" s="27"/>
      <c r="AI462" s="237"/>
      <c r="AJ462" s="26">
        <v>0</v>
      </c>
      <c r="AK462" s="27"/>
      <c r="AL462" s="237"/>
      <c r="AM462" s="26">
        <v>0</v>
      </c>
      <c r="AN462" s="27"/>
      <c r="AO462" s="237"/>
      <c r="AP462" s="26">
        <v>0</v>
      </c>
      <c r="AQ462" s="27"/>
      <c r="AR462" s="237"/>
      <c r="AS462" s="26"/>
      <c r="AT462" s="27"/>
      <c r="AU462" s="237"/>
      <c r="AV462" s="26"/>
      <c r="AW462" s="27"/>
      <c r="AX462" s="237"/>
      <c r="AY462" s="26"/>
      <c r="AZ462" s="27"/>
      <c r="BA462" s="237"/>
      <c r="BB462" s="26"/>
      <c r="BC462" s="27"/>
      <c r="BD462" s="237"/>
      <c r="BE462" s="26"/>
      <c r="BF462" s="27"/>
      <c r="BG462" s="237"/>
      <c r="BH462" s="26"/>
      <c r="BI462" s="27"/>
      <c r="BJ462" s="454"/>
    </row>
    <row r="463" spans="1:62" s="28" customFormat="1" hidden="1" outlineLevel="2" x14ac:dyDescent="0.3">
      <c r="A463" s="200" t="s">
        <v>190</v>
      </c>
      <c r="B463" s="2"/>
      <c r="C463" s="58"/>
      <c r="D463" s="59"/>
      <c r="E463" s="202"/>
      <c r="F463" s="39"/>
      <c r="G463" s="54"/>
      <c r="H463" s="237"/>
      <c r="I463" s="26">
        <v>0</v>
      </c>
      <c r="J463" s="27"/>
      <c r="K463" s="237"/>
      <c r="L463" s="26">
        <v>0</v>
      </c>
      <c r="M463" s="27"/>
      <c r="N463" s="237"/>
      <c r="O463" s="26">
        <v>0</v>
      </c>
      <c r="P463" s="27"/>
      <c r="Q463" s="237"/>
      <c r="R463" s="26">
        <v>0</v>
      </c>
      <c r="S463" s="27"/>
      <c r="T463" s="237"/>
      <c r="U463" s="26">
        <v>0</v>
      </c>
      <c r="V463" s="27"/>
      <c r="W463" s="237"/>
      <c r="X463" s="26">
        <v>0</v>
      </c>
      <c r="Y463" s="27"/>
      <c r="Z463" s="237"/>
      <c r="AA463" s="26">
        <v>0</v>
      </c>
      <c r="AB463" s="27"/>
      <c r="AC463" s="237"/>
      <c r="AD463" s="26">
        <v>0</v>
      </c>
      <c r="AE463" s="27"/>
      <c r="AF463" s="237"/>
      <c r="AG463" s="26">
        <v>0</v>
      </c>
      <c r="AH463" s="27"/>
      <c r="AI463" s="237"/>
      <c r="AJ463" s="26">
        <v>0</v>
      </c>
      <c r="AK463" s="27"/>
      <c r="AL463" s="237"/>
      <c r="AM463" s="26">
        <v>0</v>
      </c>
      <c r="AN463" s="27"/>
      <c r="AO463" s="237"/>
      <c r="AP463" s="26">
        <v>0</v>
      </c>
      <c r="AQ463" s="27"/>
      <c r="AR463" s="237"/>
      <c r="AS463" s="26"/>
      <c r="AT463" s="27"/>
      <c r="AU463" s="237"/>
      <c r="AV463" s="26"/>
      <c r="AW463" s="27"/>
      <c r="AX463" s="237"/>
      <c r="AY463" s="26"/>
      <c r="AZ463" s="27"/>
      <c r="BA463" s="237"/>
      <c r="BB463" s="26"/>
      <c r="BC463" s="27"/>
      <c r="BD463" s="237"/>
      <c r="BE463" s="26"/>
      <c r="BF463" s="27"/>
      <c r="BG463" s="237"/>
      <c r="BH463" s="26"/>
      <c r="BI463" s="27"/>
      <c r="BJ463" s="454"/>
    </row>
    <row r="464" spans="1:62" s="28" customFormat="1" hidden="1" outlineLevel="2" x14ac:dyDescent="0.3">
      <c r="A464" s="200" t="s">
        <v>191</v>
      </c>
      <c r="B464" s="2"/>
      <c r="C464" s="58"/>
      <c r="D464" s="59"/>
      <c r="E464" s="202"/>
      <c r="F464" s="39"/>
      <c r="G464" s="54"/>
      <c r="H464" s="237"/>
      <c r="I464" s="26">
        <v>0</v>
      </c>
      <c r="J464" s="27"/>
      <c r="K464" s="237"/>
      <c r="L464" s="26">
        <v>0</v>
      </c>
      <c r="M464" s="27"/>
      <c r="N464" s="237"/>
      <c r="O464" s="26">
        <v>0</v>
      </c>
      <c r="P464" s="27"/>
      <c r="Q464" s="237"/>
      <c r="R464" s="26">
        <v>0</v>
      </c>
      <c r="S464" s="27"/>
      <c r="T464" s="237"/>
      <c r="U464" s="26">
        <v>0</v>
      </c>
      <c r="V464" s="27"/>
      <c r="W464" s="237"/>
      <c r="X464" s="26">
        <v>0</v>
      </c>
      <c r="Y464" s="27"/>
      <c r="Z464" s="237"/>
      <c r="AA464" s="26">
        <v>0</v>
      </c>
      <c r="AB464" s="27"/>
      <c r="AC464" s="237"/>
      <c r="AD464" s="26">
        <v>0</v>
      </c>
      <c r="AE464" s="27"/>
      <c r="AF464" s="237"/>
      <c r="AG464" s="26">
        <v>0</v>
      </c>
      <c r="AH464" s="27"/>
      <c r="AI464" s="237"/>
      <c r="AJ464" s="26">
        <v>0</v>
      </c>
      <c r="AK464" s="27"/>
      <c r="AL464" s="237"/>
      <c r="AM464" s="26">
        <v>0</v>
      </c>
      <c r="AN464" s="27"/>
      <c r="AO464" s="237"/>
      <c r="AP464" s="26">
        <v>0</v>
      </c>
      <c r="AQ464" s="27"/>
      <c r="AR464" s="237"/>
      <c r="AS464" s="26"/>
      <c r="AT464" s="27"/>
      <c r="AU464" s="237"/>
      <c r="AV464" s="26"/>
      <c r="AW464" s="27"/>
      <c r="AX464" s="237"/>
      <c r="AY464" s="26"/>
      <c r="AZ464" s="27"/>
      <c r="BA464" s="237"/>
      <c r="BB464" s="26"/>
      <c r="BC464" s="27"/>
      <c r="BD464" s="237"/>
      <c r="BE464" s="26"/>
      <c r="BF464" s="27"/>
      <c r="BG464" s="237"/>
      <c r="BH464" s="26"/>
      <c r="BI464" s="27"/>
      <c r="BJ464" s="454"/>
    </row>
    <row r="465" spans="1:62" s="28" customFormat="1" hidden="1" outlineLevel="2" x14ac:dyDescent="0.3">
      <c r="A465" s="200" t="s">
        <v>192</v>
      </c>
      <c r="B465" s="2"/>
      <c r="C465" s="58"/>
      <c r="D465" s="59"/>
      <c r="E465" s="202"/>
      <c r="F465" s="39"/>
      <c r="G465" s="54"/>
      <c r="H465" s="237"/>
      <c r="I465" s="26">
        <v>0</v>
      </c>
      <c r="J465" s="27"/>
      <c r="K465" s="237"/>
      <c r="L465" s="26">
        <v>0</v>
      </c>
      <c r="M465" s="27"/>
      <c r="N465" s="237"/>
      <c r="O465" s="26">
        <v>0</v>
      </c>
      <c r="P465" s="27"/>
      <c r="Q465" s="237"/>
      <c r="R465" s="26">
        <v>0</v>
      </c>
      <c r="S465" s="27"/>
      <c r="T465" s="237"/>
      <c r="U465" s="26">
        <v>0</v>
      </c>
      <c r="V465" s="27"/>
      <c r="W465" s="237"/>
      <c r="X465" s="26">
        <v>0</v>
      </c>
      <c r="Y465" s="27"/>
      <c r="Z465" s="237"/>
      <c r="AA465" s="26">
        <v>0</v>
      </c>
      <c r="AB465" s="27"/>
      <c r="AC465" s="237"/>
      <c r="AD465" s="26">
        <v>0</v>
      </c>
      <c r="AE465" s="27"/>
      <c r="AF465" s="237"/>
      <c r="AG465" s="26">
        <v>0</v>
      </c>
      <c r="AH465" s="27"/>
      <c r="AI465" s="237"/>
      <c r="AJ465" s="26">
        <v>0</v>
      </c>
      <c r="AK465" s="27"/>
      <c r="AL465" s="237"/>
      <c r="AM465" s="26">
        <v>0</v>
      </c>
      <c r="AN465" s="27"/>
      <c r="AO465" s="237"/>
      <c r="AP465" s="26">
        <v>0</v>
      </c>
      <c r="AQ465" s="27"/>
      <c r="AR465" s="237"/>
      <c r="AS465" s="26"/>
      <c r="AT465" s="27"/>
      <c r="AU465" s="237"/>
      <c r="AV465" s="26"/>
      <c r="AW465" s="27"/>
      <c r="AX465" s="237"/>
      <c r="AY465" s="26"/>
      <c r="AZ465" s="27"/>
      <c r="BA465" s="237"/>
      <c r="BB465" s="26"/>
      <c r="BC465" s="27"/>
      <c r="BD465" s="237"/>
      <c r="BE465" s="26"/>
      <c r="BF465" s="27"/>
      <c r="BG465" s="237"/>
      <c r="BH465" s="26"/>
      <c r="BI465" s="27"/>
      <c r="BJ465" s="454"/>
    </row>
    <row r="466" spans="1:62" s="28" customFormat="1" hidden="1" outlineLevel="2" x14ac:dyDescent="0.3">
      <c r="A466" s="200" t="s">
        <v>193</v>
      </c>
      <c r="B466" s="2"/>
      <c r="C466" s="58"/>
      <c r="D466" s="59"/>
      <c r="E466" s="202"/>
      <c r="F466" s="39"/>
      <c r="G466" s="54"/>
      <c r="H466" s="237"/>
      <c r="I466" s="26">
        <v>0</v>
      </c>
      <c r="J466" s="27"/>
      <c r="K466" s="237"/>
      <c r="L466" s="26">
        <v>0</v>
      </c>
      <c r="M466" s="27"/>
      <c r="N466" s="237"/>
      <c r="O466" s="26">
        <v>0</v>
      </c>
      <c r="P466" s="27"/>
      <c r="Q466" s="237"/>
      <c r="R466" s="26">
        <v>0</v>
      </c>
      <c r="S466" s="27"/>
      <c r="T466" s="237"/>
      <c r="U466" s="26">
        <v>0</v>
      </c>
      <c r="V466" s="27"/>
      <c r="W466" s="237"/>
      <c r="X466" s="26">
        <v>0</v>
      </c>
      <c r="Y466" s="27"/>
      <c r="Z466" s="237"/>
      <c r="AA466" s="26">
        <v>0</v>
      </c>
      <c r="AB466" s="27"/>
      <c r="AC466" s="237"/>
      <c r="AD466" s="26">
        <v>0</v>
      </c>
      <c r="AE466" s="27"/>
      <c r="AF466" s="237"/>
      <c r="AG466" s="26">
        <v>0</v>
      </c>
      <c r="AH466" s="27"/>
      <c r="AI466" s="237"/>
      <c r="AJ466" s="26">
        <v>0</v>
      </c>
      <c r="AK466" s="27"/>
      <c r="AL466" s="237"/>
      <c r="AM466" s="26">
        <v>0</v>
      </c>
      <c r="AN466" s="27"/>
      <c r="AO466" s="237"/>
      <c r="AP466" s="26">
        <v>0</v>
      </c>
      <c r="AQ466" s="27"/>
      <c r="AR466" s="237"/>
      <c r="AS466" s="26"/>
      <c r="AT466" s="27"/>
      <c r="AU466" s="237"/>
      <c r="AV466" s="26"/>
      <c r="AW466" s="27"/>
      <c r="AX466" s="237"/>
      <c r="AY466" s="26"/>
      <c r="AZ466" s="27"/>
      <c r="BA466" s="237"/>
      <c r="BB466" s="26"/>
      <c r="BC466" s="27"/>
      <c r="BD466" s="237"/>
      <c r="BE466" s="26"/>
      <c r="BF466" s="27"/>
      <c r="BG466" s="237"/>
      <c r="BH466" s="26"/>
      <c r="BI466" s="27"/>
      <c r="BJ466" s="454"/>
    </row>
    <row r="467" spans="1:62" s="28" customFormat="1" hidden="1" outlineLevel="2" x14ac:dyDescent="0.3">
      <c r="A467" s="200" t="s">
        <v>194</v>
      </c>
      <c r="B467" s="2"/>
      <c r="C467" s="58"/>
      <c r="D467" s="59"/>
      <c r="E467" s="202"/>
      <c r="F467" s="39"/>
      <c r="G467" s="54"/>
      <c r="H467" s="237"/>
      <c r="I467" s="26">
        <v>0</v>
      </c>
      <c r="J467" s="27"/>
      <c r="K467" s="237"/>
      <c r="L467" s="26">
        <v>0</v>
      </c>
      <c r="M467" s="27"/>
      <c r="N467" s="237"/>
      <c r="O467" s="26">
        <v>0</v>
      </c>
      <c r="P467" s="27"/>
      <c r="Q467" s="237"/>
      <c r="R467" s="26">
        <v>0</v>
      </c>
      <c r="S467" s="27"/>
      <c r="T467" s="237"/>
      <c r="U467" s="26">
        <v>0</v>
      </c>
      <c r="V467" s="27"/>
      <c r="W467" s="237"/>
      <c r="X467" s="26">
        <v>0</v>
      </c>
      <c r="Y467" s="27"/>
      <c r="Z467" s="237"/>
      <c r="AA467" s="26">
        <v>0</v>
      </c>
      <c r="AB467" s="27"/>
      <c r="AC467" s="237"/>
      <c r="AD467" s="26">
        <v>0</v>
      </c>
      <c r="AE467" s="27"/>
      <c r="AF467" s="237"/>
      <c r="AG467" s="26">
        <v>0</v>
      </c>
      <c r="AH467" s="27"/>
      <c r="AI467" s="237"/>
      <c r="AJ467" s="26">
        <v>0</v>
      </c>
      <c r="AK467" s="27"/>
      <c r="AL467" s="237"/>
      <c r="AM467" s="26">
        <v>0</v>
      </c>
      <c r="AN467" s="27"/>
      <c r="AO467" s="237"/>
      <c r="AP467" s="26">
        <v>0</v>
      </c>
      <c r="AQ467" s="27"/>
      <c r="AR467" s="237"/>
      <c r="AS467" s="26"/>
      <c r="AT467" s="27"/>
      <c r="AU467" s="237"/>
      <c r="AV467" s="26"/>
      <c r="AW467" s="27"/>
      <c r="AX467" s="237"/>
      <c r="AY467" s="26"/>
      <c r="AZ467" s="27"/>
      <c r="BA467" s="237"/>
      <c r="BB467" s="26"/>
      <c r="BC467" s="27"/>
      <c r="BD467" s="237"/>
      <c r="BE467" s="26"/>
      <c r="BF467" s="27"/>
      <c r="BG467" s="237"/>
      <c r="BH467" s="26"/>
      <c r="BI467" s="27"/>
      <c r="BJ467" s="454"/>
    </row>
    <row r="468" spans="1:62" s="28" customFormat="1" hidden="1" outlineLevel="2" x14ac:dyDescent="0.3">
      <c r="A468" s="200" t="s">
        <v>195</v>
      </c>
      <c r="B468" s="2"/>
      <c r="C468" s="58"/>
      <c r="D468" s="59"/>
      <c r="E468" s="202"/>
      <c r="F468" s="39"/>
      <c r="G468" s="54"/>
      <c r="H468" s="237"/>
      <c r="I468" s="26">
        <v>0</v>
      </c>
      <c r="J468" s="27"/>
      <c r="K468" s="237"/>
      <c r="L468" s="26">
        <v>0</v>
      </c>
      <c r="M468" s="27"/>
      <c r="N468" s="237"/>
      <c r="O468" s="26">
        <v>0</v>
      </c>
      <c r="P468" s="27"/>
      <c r="Q468" s="237"/>
      <c r="R468" s="26">
        <v>0</v>
      </c>
      <c r="S468" s="27"/>
      <c r="T468" s="237"/>
      <c r="U468" s="26">
        <v>0</v>
      </c>
      <c r="V468" s="27"/>
      <c r="W468" s="237"/>
      <c r="X468" s="26">
        <v>0</v>
      </c>
      <c r="Y468" s="27"/>
      <c r="Z468" s="237"/>
      <c r="AA468" s="26">
        <v>0</v>
      </c>
      <c r="AB468" s="27"/>
      <c r="AC468" s="237"/>
      <c r="AD468" s="26">
        <v>0</v>
      </c>
      <c r="AE468" s="27"/>
      <c r="AF468" s="237"/>
      <c r="AG468" s="26">
        <v>0</v>
      </c>
      <c r="AH468" s="27"/>
      <c r="AI468" s="237"/>
      <c r="AJ468" s="26">
        <v>0</v>
      </c>
      <c r="AK468" s="27"/>
      <c r="AL468" s="237"/>
      <c r="AM468" s="26">
        <v>0</v>
      </c>
      <c r="AN468" s="27"/>
      <c r="AO468" s="237"/>
      <c r="AP468" s="26">
        <v>0</v>
      </c>
      <c r="AQ468" s="27"/>
      <c r="AR468" s="237"/>
      <c r="AS468" s="26"/>
      <c r="AT468" s="27"/>
      <c r="AU468" s="237"/>
      <c r="AV468" s="26"/>
      <c r="AW468" s="27"/>
      <c r="AX468" s="237"/>
      <c r="AY468" s="26"/>
      <c r="AZ468" s="27"/>
      <c r="BA468" s="237"/>
      <c r="BB468" s="26"/>
      <c r="BC468" s="27"/>
      <c r="BD468" s="237"/>
      <c r="BE468" s="26"/>
      <c r="BF468" s="27"/>
      <c r="BG468" s="237"/>
      <c r="BH468" s="26"/>
      <c r="BI468" s="27"/>
      <c r="BJ468" s="454"/>
    </row>
    <row r="469" spans="1:62" s="28" customFormat="1" hidden="1" outlineLevel="2" x14ac:dyDescent="0.3">
      <c r="A469" s="200" t="s">
        <v>196</v>
      </c>
      <c r="B469" s="2"/>
      <c r="C469" s="58"/>
      <c r="D469" s="59"/>
      <c r="E469" s="202"/>
      <c r="F469" s="39"/>
      <c r="G469" s="54"/>
      <c r="H469" s="237"/>
      <c r="I469" s="26">
        <v>0</v>
      </c>
      <c r="J469" s="27"/>
      <c r="K469" s="237"/>
      <c r="L469" s="26">
        <v>0</v>
      </c>
      <c r="M469" s="27"/>
      <c r="N469" s="237"/>
      <c r="O469" s="26">
        <v>0</v>
      </c>
      <c r="P469" s="27"/>
      <c r="Q469" s="237"/>
      <c r="R469" s="26">
        <v>0</v>
      </c>
      <c r="S469" s="27"/>
      <c r="T469" s="237"/>
      <c r="U469" s="26">
        <v>0</v>
      </c>
      <c r="V469" s="27"/>
      <c r="W469" s="237"/>
      <c r="X469" s="26">
        <v>0</v>
      </c>
      <c r="Y469" s="27"/>
      <c r="Z469" s="237"/>
      <c r="AA469" s="26">
        <v>0</v>
      </c>
      <c r="AB469" s="27"/>
      <c r="AC469" s="237"/>
      <c r="AD469" s="26">
        <v>0</v>
      </c>
      <c r="AE469" s="27"/>
      <c r="AF469" s="237"/>
      <c r="AG469" s="26">
        <v>0</v>
      </c>
      <c r="AH469" s="27"/>
      <c r="AI469" s="237"/>
      <c r="AJ469" s="26">
        <v>0</v>
      </c>
      <c r="AK469" s="27"/>
      <c r="AL469" s="237"/>
      <c r="AM469" s="26">
        <v>0</v>
      </c>
      <c r="AN469" s="27"/>
      <c r="AO469" s="237"/>
      <c r="AP469" s="26">
        <v>0</v>
      </c>
      <c r="AQ469" s="27"/>
      <c r="AR469" s="237"/>
      <c r="AS469" s="26"/>
      <c r="AT469" s="27"/>
      <c r="AU469" s="237"/>
      <c r="AV469" s="26"/>
      <c r="AW469" s="27"/>
      <c r="AX469" s="237"/>
      <c r="AY469" s="26"/>
      <c r="AZ469" s="27"/>
      <c r="BA469" s="237"/>
      <c r="BB469" s="26"/>
      <c r="BC469" s="27"/>
      <c r="BD469" s="237"/>
      <c r="BE469" s="26"/>
      <c r="BF469" s="27"/>
      <c r="BG469" s="237"/>
      <c r="BH469" s="26"/>
      <c r="BI469" s="27"/>
      <c r="BJ469" s="454"/>
    </row>
    <row r="470" spans="1:62" s="28" customFormat="1" hidden="1" outlineLevel="2" x14ac:dyDescent="0.3">
      <c r="A470" s="200" t="s">
        <v>197</v>
      </c>
      <c r="B470" s="2"/>
      <c r="C470" s="58"/>
      <c r="D470" s="59"/>
      <c r="E470" s="202"/>
      <c r="F470" s="39"/>
      <c r="G470" s="54"/>
      <c r="H470" s="237"/>
      <c r="I470" s="26">
        <v>0</v>
      </c>
      <c r="J470" s="27"/>
      <c r="K470" s="237"/>
      <c r="L470" s="26">
        <v>0</v>
      </c>
      <c r="M470" s="27"/>
      <c r="N470" s="237"/>
      <c r="O470" s="26">
        <v>0</v>
      </c>
      <c r="P470" s="27"/>
      <c r="Q470" s="237"/>
      <c r="R470" s="26">
        <v>0</v>
      </c>
      <c r="S470" s="27"/>
      <c r="T470" s="237"/>
      <c r="U470" s="26">
        <v>0</v>
      </c>
      <c r="V470" s="27"/>
      <c r="W470" s="237"/>
      <c r="X470" s="26">
        <v>0</v>
      </c>
      <c r="Y470" s="27"/>
      <c r="Z470" s="237"/>
      <c r="AA470" s="26">
        <v>0</v>
      </c>
      <c r="AB470" s="27"/>
      <c r="AC470" s="237"/>
      <c r="AD470" s="26">
        <v>0</v>
      </c>
      <c r="AE470" s="27"/>
      <c r="AF470" s="237"/>
      <c r="AG470" s="26">
        <v>0</v>
      </c>
      <c r="AH470" s="27"/>
      <c r="AI470" s="237"/>
      <c r="AJ470" s="26">
        <v>0</v>
      </c>
      <c r="AK470" s="27"/>
      <c r="AL470" s="237"/>
      <c r="AM470" s="26">
        <v>0</v>
      </c>
      <c r="AN470" s="27"/>
      <c r="AO470" s="237"/>
      <c r="AP470" s="26">
        <v>0</v>
      </c>
      <c r="AQ470" s="27"/>
      <c r="AR470" s="237"/>
      <c r="AS470" s="26"/>
      <c r="AT470" s="27"/>
      <c r="AU470" s="237"/>
      <c r="AV470" s="26"/>
      <c r="AW470" s="27"/>
      <c r="AX470" s="237"/>
      <c r="AY470" s="26"/>
      <c r="AZ470" s="27"/>
      <c r="BA470" s="237"/>
      <c r="BB470" s="26"/>
      <c r="BC470" s="27"/>
      <c r="BD470" s="237"/>
      <c r="BE470" s="26"/>
      <c r="BF470" s="27"/>
      <c r="BG470" s="237"/>
      <c r="BH470" s="26"/>
      <c r="BI470" s="27"/>
      <c r="BJ470" s="454"/>
    </row>
    <row r="471" spans="1:62" s="28" customFormat="1" hidden="1" outlineLevel="2" x14ac:dyDescent="0.3">
      <c r="A471" s="200" t="s">
        <v>198</v>
      </c>
      <c r="B471" s="2"/>
      <c r="C471" s="58"/>
      <c r="D471" s="59"/>
      <c r="E471" s="202"/>
      <c r="F471" s="39"/>
      <c r="G471" s="54"/>
      <c r="H471" s="237"/>
      <c r="I471" s="26">
        <v>0</v>
      </c>
      <c r="J471" s="27"/>
      <c r="K471" s="237"/>
      <c r="L471" s="26">
        <v>0</v>
      </c>
      <c r="M471" s="27"/>
      <c r="N471" s="237"/>
      <c r="O471" s="26">
        <v>0</v>
      </c>
      <c r="P471" s="27"/>
      <c r="Q471" s="237"/>
      <c r="R471" s="26">
        <v>0</v>
      </c>
      <c r="S471" s="27"/>
      <c r="T471" s="237"/>
      <c r="U471" s="26">
        <v>0</v>
      </c>
      <c r="V471" s="27"/>
      <c r="W471" s="237"/>
      <c r="X471" s="26">
        <v>0</v>
      </c>
      <c r="Y471" s="27"/>
      <c r="Z471" s="237"/>
      <c r="AA471" s="26">
        <v>0</v>
      </c>
      <c r="AB471" s="27"/>
      <c r="AC471" s="237"/>
      <c r="AD471" s="26">
        <v>0</v>
      </c>
      <c r="AE471" s="27"/>
      <c r="AF471" s="237"/>
      <c r="AG471" s="26">
        <v>0</v>
      </c>
      <c r="AH471" s="27"/>
      <c r="AI471" s="237"/>
      <c r="AJ471" s="26">
        <v>0</v>
      </c>
      <c r="AK471" s="27"/>
      <c r="AL471" s="237"/>
      <c r="AM471" s="26">
        <v>0</v>
      </c>
      <c r="AN471" s="27"/>
      <c r="AO471" s="237"/>
      <c r="AP471" s="26">
        <v>0</v>
      </c>
      <c r="AQ471" s="27"/>
      <c r="AR471" s="237"/>
      <c r="AS471" s="26"/>
      <c r="AT471" s="27"/>
      <c r="AU471" s="237"/>
      <c r="AV471" s="26"/>
      <c r="AW471" s="27"/>
      <c r="AX471" s="237"/>
      <c r="AY471" s="26"/>
      <c r="AZ471" s="27"/>
      <c r="BA471" s="237"/>
      <c r="BB471" s="26"/>
      <c r="BC471" s="27"/>
      <c r="BD471" s="237"/>
      <c r="BE471" s="26"/>
      <c r="BF471" s="27"/>
      <c r="BG471" s="237"/>
      <c r="BH471" s="26"/>
      <c r="BI471" s="27"/>
      <c r="BJ471" s="454"/>
    </row>
    <row r="472" spans="1:62" s="28" customFormat="1" hidden="1" outlineLevel="2" x14ac:dyDescent="0.3">
      <c r="A472" s="200" t="s">
        <v>199</v>
      </c>
      <c r="B472" s="2"/>
      <c r="C472" s="58"/>
      <c r="D472" s="59"/>
      <c r="E472" s="202"/>
      <c r="F472" s="39"/>
      <c r="G472" s="54"/>
      <c r="H472" s="237"/>
      <c r="I472" s="26">
        <v>0</v>
      </c>
      <c r="J472" s="27"/>
      <c r="K472" s="237"/>
      <c r="L472" s="26">
        <v>0</v>
      </c>
      <c r="M472" s="27"/>
      <c r="N472" s="237"/>
      <c r="O472" s="26">
        <v>0</v>
      </c>
      <c r="P472" s="27"/>
      <c r="Q472" s="237"/>
      <c r="R472" s="26">
        <v>0</v>
      </c>
      <c r="S472" s="27"/>
      <c r="T472" s="237"/>
      <c r="U472" s="26">
        <v>0</v>
      </c>
      <c r="V472" s="27"/>
      <c r="W472" s="237"/>
      <c r="X472" s="26">
        <v>0</v>
      </c>
      <c r="Y472" s="27"/>
      <c r="Z472" s="237"/>
      <c r="AA472" s="26">
        <v>0</v>
      </c>
      <c r="AB472" s="27"/>
      <c r="AC472" s="237"/>
      <c r="AD472" s="26">
        <v>0</v>
      </c>
      <c r="AE472" s="27"/>
      <c r="AF472" s="237"/>
      <c r="AG472" s="26">
        <v>0</v>
      </c>
      <c r="AH472" s="27"/>
      <c r="AI472" s="237"/>
      <c r="AJ472" s="26">
        <v>0</v>
      </c>
      <c r="AK472" s="27"/>
      <c r="AL472" s="237"/>
      <c r="AM472" s="26">
        <v>0</v>
      </c>
      <c r="AN472" s="27"/>
      <c r="AO472" s="237"/>
      <c r="AP472" s="26">
        <v>0</v>
      </c>
      <c r="AQ472" s="27"/>
      <c r="AR472" s="237"/>
      <c r="AS472" s="26"/>
      <c r="AT472" s="27"/>
      <c r="AU472" s="237"/>
      <c r="AV472" s="26"/>
      <c r="AW472" s="27"/>
      <c r="AX472" s="237"/>
      <c r="AY472" s="26"/>
      <c r="AZ472" s="27"/>
      <c r="BA472" s="237"/>
      <c r="BB472" s="26"/>
      <c r="BC472" s="27"/>
      <c r="BD472" s="237"/>
      <c r="BE472" s="26"/>
      <c r="BF472" s="27"/>
      <c r="BG472" s="237"/>
      <c r="BH472" s="26"/>
      <c r="BI472" s="27"/>
      <c r="BJ472" s="454"/>
    </row>
    <row r="473" spans="1:62" s="28" customFormat="1" hidden="1" outlineLevel="2" x14ac:dyDescent="0.3">
      <c r="A473" s="159"/>
      <c r="B473" s="22"/>
      <c r="C473" s="3"/>
      <c r="D473" s="4"/>
      <c r="E473" s="4"/>
      <c r="F473" s="22"/>
      <c r="G473" s="54"/>
      <c r="H473" s="269"/>
      <c r="I473" s="22"/>
      <c r="J473" s="160"/>
      <c r="K473" s="269"/>
      <c r="L473" s="22"/>
      <c r="M473" s="160"/>
      <c r="N473" s="269"/>
      <c r="O473" s="22"/>
      <c r="P473" s="160"/>
      <c r="Q473" s="269"/>
      <c r="R473" s="22"/>
      <c r="S473" s="160"/>
      <c r="T473" s="269"/>
      <c r="U473" s="22"/>
      <c r="V473" s="160"/>
      <c r="W473" s="269"/>
      <c r="X473" s="22"/>
      <c r="Y473" s="160"/>
      <c r="Z473" s="269"/>
      <c r="AA473" s="22"/>
      <c r="AB473" s="160"/>
      <c r="AC473" s="269"/>
      <c r="AD473" s="22"/>
      <c r="AE473" s="160"/>
      <c r="AF473" s="269"/>
      <c r="AG473" s="22"/>
      <c r="AH473" s="160"/>
      <c r="AI473" s="269"/>
      <c r="AJ473" s="22"/>
      <c r="AK473" s="160"/>
      <c r="AL473" s="269"/>
      <c r="AM473" s="22"/>
      <c r="AN473" s="160"/>
      <c r="AO473" s="269"/>
      <c r="AP473" s="22"/>
      <c r="AQ473" s="160"/>
      <c r="AR473" s="269"/>
      <c r="AS473" s="22"/>
      <c r="AT473" s="160"/>
      <c r="AU473" s="269"/>
      <c r="AV473" s="22"/>
      <c r="AW473" s="160"/>
      <c r="AX473" s="269"/>
      <c r="AY473" s="22"/>
      <c r="AZ473" s="160"/>
      <c r="BA473" s="269"/>
      <c r="BB473" s="22"/>
      <c r="BC473" s="160"/>
      <c r="BD473" s="269"/>
      <c r="BE473" s="22"/>
      <c r="BF473" s="160"/>
      <c r="BG473" s="269"/>
      <c r="BH473" s="22"/>
      <c r="BI473" s="160"/>
      <c r="BJ473" s="454"/>
    </row>
    <row r="474" spans="1:62" s="28" customFormat="1" hidden="1" outlineLevel="2" x14ac:dyDescent="0.3">
      <c r="A474" s="196" t="s">
        <v>424</v>
      </c>
      <c r="B474" s="57"/>
      <c r="C474" s="197"/>
      <c r="D474" s="39"/>
      <c r="E474" s="39"/>
      <c r="F474" s="61"/>
      <c r="G474" s="54"/>
      <c r="H474" s="207"/>
      <c r="I474" s="198"/>
      <c r="J474" s="199"/>
      <c r="K474" s="207"/>
      <c r="L474" s="198"/>
      <c r="M474" s="199"/>
      <c r="N474" s="207"/>
      <c r="O474" s="198"/>
      <c r="P474" s="199"/>
      <c r="Q474" s="207"/>
      <c r="R474" s="198"/>
      <c r="S474" s="199"/>
      <c r="T474" s="207"/>
      <c r="U474" s="198"/>
      <c r="V474" s="199"/>
      <c r="W474" s="207"/>
      <c r="X474" s="198"/>
      <c r="Y474" s="199"/>
      <c r="Z474" s="207"/>
      <c r="AA474" s="198"/>
      <c r="AB474" s="199"/>
      <c r="AC474" s="207"/>
      <c r="AD474" s="198"/>
      <c r="AE474" s="199"/>
      <c r="AF474" s="207"/>
      <c r="AG474" s="198"/>
      <c r="AH474" s="199"/>
      <c r="AI474" s="207"/>
      <c r="AJ474" s="198"/>
      <c r="AK474" s="199"/>
      <c r="AL474" s="207"/>
      <c r="AM474" s="198"/>
      <c r="AN474" s="199"/>
      <c r="AO474" s="207"/>
      <c r="AP474" s="198"/>
      <c r="AQ474" s="199"/>
      <c r="AR474" s="207"/>
      <c r="AS474" s="198"/>
      <c r="AT474" s="199"/>
      <c r="AU474" s="207"/>
      <c r="AV474" s="198"/>
      <c r="AW474" s="199"/>
      <c r="AX474" s="207"/>
      <c r="AY474" s="198"/>
      <c r="AZ474" s="199"/>
      <c r="BA474" s="207"/>
      <c r="BB474" s="198"/>
      <c r="BC474" s="199"/>
      <c r="BD474" s="207"/>
      <c r="BE474" s="198"/>
      <c r="BF474" s="199"/>
      <c r="BG474" s="207"/>
      <c r="BH474" s="198"/>
      <c r="BI474" s="199"/>
      <c r="BJ474" s="454"/>
    </row>
    <row r="475" spans="1:62" s="28" customFormat="1" hidden="1" outlineLevel="2" x14ac:dyDescent="0.3">
      <c r="A475" s="196" t="s">
        <v>128</v>
      </c>
      <c r="B475" s="57"/>
      <c r="C475" s="197"/>
      <c r="D475" s="39"/>
      <c r="E475" s="39"/>
      <c r="F475" s="61"/>
      <c r="G475" s="54"/>
      <c r="H475" s="207"/>
      <c r="I475" s="198"/>
      <c r="J475" s="199"/>
      <c r="K475" s="207"/>
      <c r="L475" s="198"/>
      <c r="M475" s="199"/>
      <c r="N475" s="207"/>
      <c r="O475" s="198"/>
      <c r="P475" s="199"/>
      <c r="Q475" s="207"/>
      <c r="R475" s="198"/>
      <c r="S475" s="199"/>
      <c r="T475" s="207"/>
      <c r="U475" s="198"/>
      <c r="V475" s="199"/>
      <c r="W475" s="207"/>
      <c r="X475" s="198"/>
      <c r="Y475" s="199"/>
      <c r="Z475" s="207"/>
      <c r="AA475" s="198"/>
      <c r="AB475" s="199"/>
      <c r="AC475" s="207"/>
      <c r="AD475" s="198"/>
      <c r="AE475" s="199"/>
      <c r="AF475" s="207"/>
      <c r="AG475" s="198"/>
      <c r="AH475" s="199"/>
      <c r="AI475" s="207"/>
      <c r="AJ475" s="198"/>
      <c r="AK475" s="199"/>
      <c r="AL475" s="207"/>
      <c r="AM475" s="198"/>
      <c r="AN475" s="199"/>
      <c r="AO475" s="207"/>
      <c r="AP475" s="198"/>
      <c r="AQ475" s="199"/>
      <c r="AR475" s="207"/>
      <c r="AS475" s="198"/>
      <c r="AT475" s="199"/>
      <c r="AU475" s="207"/>
      <c r="AV475" s="198"/>
      <c r="AW475" s="199"/>
      <c r="AX475" s="207"/>
      <c r="AY475" s="198"/>
      <c r="AZ475" s="199"/>
      <c r="BA475" s="207"/>
      <c r="BB475" s="198"/>
      <c r="BC475" s="199"/>
      <c r="BD475" s="207"/>
      <c r="BE475" s="198"/>
      <c r="BF475" s="199"/>
      <c r="BG475" s="207"/>
      <c r="BH475" s="198"/>
      <c r="BI475" s="199"/>
      <c r="BJ475" s="454"/>
    </row>
    <row r="476" spans="1:62" s="28" customFormat="1" hidden="1" outlineLevel="2" x14ac:dyDescent="0.3">
      <c r="A476" s="200" t="s">
        <v>129</v>
      </c>
      <c r="B476" s="2"/>
      <c r="C476" s="197"/>
      <c r="D476" s="39"/>
      <c r="E476" s="39"/>
      <c r="F476" s="39"/>
      <c r="G476" s="54"/>
      <c r="H476" s="237"/>
      <c r="I476" s="26">
        <v>-10000</v>
      </c>
      <c r="J476" s="27"/>
      <c r="K476" s="237"/>
      <c r="L476" s="26">
        <v>-10000</v>
      </c>
      <c r="M476" s="27"/>
      <c r="N476" s="237"/>
      <c r="O476" s="26">
        <v>-10000</v>
      </c>
      <c r="P476" s="27"/>
      <c r="Q476" s="237"/>
      <c r="R476" s="26">
        <v>-10000</v>
      </c>
      <c r="S476" s="27"/>
      <c r="T476" s="237"/>
      <c r="U476" s="26">
        <v>-10000</v>
      </c>
      <c r="V476" s="27"/>
      <c r="W476" s="237"/>
      <c r="X476" s="26">
        <v>-10000</v>
      </c>
      <c r="Y476" s="27"/>
      <c r="Z476" s="237"/>
      <c r="AA476" s="26">
        <v>-10000</v>
      </c>
      <c r="AB476" s="27"/>
      <c r="AC476" s="237"/>
      <c r="AD476" s="26">
        <v>-10000</v>
      </c>
      <c r="AE476" s="27"/>
      <c r="AF476" s="237"/>
      <c r="AG476" s="26">
        <v>-10000</v>
      </c>
      <c r="AH476" s="27"/>
      <c r="AI476" s="237"/>
      <c r="AJ476" s="26">
        <v>-10000</v>
      </c>
      <c r="AK476" s="27"/>
      <c r="AL476" s="237"/>
      <c r="AM476" s="26">
        <v>-10000</v>
      </c>
      <c r="AN476" s="27"/>
      <c r="AO476" s="237"/>
      <c r="AP476" s="26">
        <v>-10000</v>
      </c>
      <c r="AQ476" s="27"/>
      <c r="AR476" s="237"/>
      <c r="AS476" s="26"/>
      <c r="AT476" s="27"/>
      <c r="AU476" s="237"/>
      <c r="AV476" s="26"/>
      <c r="AW476" s="27"/>
      <c r="AX476" s="237"/>
      <c r="AY476" s="26"/>
      <c r="AZ476" s="27"/>
      <c r="BA476" s="237"/>
      <c r="BB476" s="26"/>
      <c r="BC476" s="27"/>
      <c r="BD476" s="237"/>
      <c r="BE476" s="26"/>
      <c r="BF476" s="27"/>
      <c r="BG476" s="237"/>
      <c r="BH476" s="26"/>
      <c r="BI476" s="27"/>
      <c r="BJ476" s="454"/>
    </row>
    <row r="477" spans="1:62" s="28" customFormat="1" hidden="1" outlineLevel="2" x14ac:dyDescent="0.3">
      <c r="A477" s="200" t="s">
        <v>130</v>
      </c>
      <c r="B477" s="2"/>
      <c r="C477" s="197"/>
      <c r="D477" s="39"/>
      <c r="E477" s="39"/>
      <c r="F477" s="39"/>
      <c r="G477" s="54"/>
      <c r="H477" s="237"/>
      <c r="I477" s="26">
        <v>-6600</v>
      </c>
      <c r="J477" s="27"/>
      <c r="K477" s="237"/>
      <c r="L477" s="26">
        <v>-6600</v>
      </c>
      <c r="M477" s="27"/>
      <c r="N477" s="237"/>
      <c r="O477" s="26">
        <v>-6600</v>
      </c>
      <c r="P477" s="27"/>
      <c r="Q477" s="237"/>
      <c r="R477" s="26">
        <v>-6600</v>
      </c>
      <c r="S477" s="27"/>
      <c r="T477" s="237"/>
      <c r="U477" s="26">
        <v>-6600</v>
      </c>
      <c r="V477" s="27"/>
      <c r="W477" s="237"/>
      <c r="X477" s="26">
        <v>-6600</v>
      </c>
      <c r="Y477" s="27"/>
      <c r="Z477" s="237"/>
      <c r="AA477" s="26">
        <v>-6600</v>
      </c>
      <c r="AB477" s="27"/>
      <c r="AC477" s="237"/>
      <c r="AD477" s="26">
        <v>-6600</v>
      </c>
      <c r="AE477" s="27"/>
      <c r="AF477" s="237"/>
      <c r="AG477" s="26">
        <v>-6600</v>
      </c>
      <c r="AH477" s="27"/>
      <c r="AI477" s="237"/>
      <c r="AJ477" s="26">
        <v>-6600</v>
      </c>
      <c r="AK477" s="27"/>
      <c r="AL477" s="237"/>
      <c r="AM477" s="26">
        <v>-6600</v>
      </c>
      <c r="AN477" s="27"/>
      <c r="AO477" s="237"/>
      <c r="AP477" s="26">
        <v>-6600</v>
      </c>
      <c r="AQ477" s="27"/>
      <c r="AR477" s="237"/>
      <c r="AS477" s="26"/>
      <c r="AT477" s="27"/>
      <c r="AU477" s="237"/>
      <c r="AV477" s="26"/>
      <c r="AW477" s="27"/>
      <c r="AX477" s="237"/>
      <c r="AY477" s="26"/>
      <c r="AZ477" s="27"/>
      <c r="BA477" s="237"/>
      <c r="BB477" s="26"/>
      <c r="BC477" s="27"/>
      <c r="BD477" s="237"/>
      <c r="BE477" s="26"/>
      <c r="BF477" s="27"/>
      <c r="BG477" s="237"/>
      <c r="BH477" s="26"/>
      <c r="BI477" s="27"/>
      <c r="BJ477" s="454"/>
    </row>
    <row r="478" spans="1:62" s="28" customFormat="1" hidden="1" outlineLevel="2" x14ac:dyDescent="0.3">
      <c r="A478" s="200" t="s">
        <v>131</v>
      </c>
      <c r="B478" s="2"/>
      <c r="C478" s="197"/>
      <c r="D478" s="39"/>
      <c r="E478" s="39"/>
      <c r="F478" s="39"/>
      <c r="G478" s="54"/>
      <c r="H478" s="237"/>
      <c r="I478" s="26">
        <v>0</v>
      </c>
      <c r="J478" s="27"/>
      <c r="K478" s="237"/>
      <c r="L478" s="26">
        <v>0</v>
      </c>
      <c r="M478" s="27"/>
      <c r="N478" s="237"/>
      <c r="O478" s="26">
        <v>0</v>
      </c>
      <c r="P478" s="27"/>
      <c r="Q478" s="237"/>
      <c r="R478" s="26">
        <v>0</v>
      </c>
      <c r="S478" s="27"/>
      <c r="T478" s="237"/>
      <c r="U478" s="26">
        <v>0</v>
      </c>
      <c r="V478" s="27"/>
      <c r="W478" s="237"/>
      <c r="X478" s="26">
        <v>0</v>
      </c>
      <c r="Y478" s="27"/>
      <c r="Z478" s="237"/>
      <c r="AA478" s="26">
        <v>0</v>
      </c>
      <c r="AB478" s="27"/>
      <c r="AC478" s="237"/>
      <c r="AD478" s="26">
        <v>0</v>
      </c>
      <c r="AE478" s="27"/>
      <c r="AF478" s="237"/>
      <c r="AG478" s="26">
        <v>0</v>
      </c>
      <c r="AH478" s="27"/>
      <c r="AI478" s="237"/>
      <c r="AJ478" s="26">
        <v>0</v>
      </c>
      <c r="AK478" s="27"/>
      <c r="AL478" s="237"/>
      <c r="AM478" s="26">
        <v>0</v>
      </c>
      <c r="AN478" s="27"/>
      <c r="AO478" s="237"/>
      <c r="AP478" s="26">
        <v>0</v>
      </c>
      <c r="AQ478" s="27"/>
      <c r="AR478" s="237"/>
      <c r="AS478" s="26"/>
      <c r="AT478" s="27"/>
      <c r="AU478" s="237"/>
      <c r="AV478" s="26"/>
      <c r="AW478" s="27"/>
      <c r="AX478" s="237"/>
      <c r="AY478" s="26"/>
      <c r="AZ478" s="27"/>
      <c r="BA478" s="237"/>
      <c r="BB478" s="26"/>
      <c r="BC478" s="27"/>
      <c r="BD478" s="237"/>
      <c r="BE478" s="26"/>
      <c r="BF478" s="27"/>
      <c r="BG478" s="237"/>
      <c r="BH478" s="26"/>
      <c r="BI478" s="27"/>
      <c r="BJ478" s="454"/>
    </row>
    <row r="479" spans="1:62" s="28" customFormat="1" hidden="1" outlineLevel="2" x14ac:dyDescent="0.3">
      <c r="A479" s="200" t="s">
        <v>132</v>
      </c>
      <c r="B479" s="2"/>
      <c r="C479" s="197"/>
      <c r="D479" s="39"/>
      <c r="E479" s="39"/>
      <c r="F479" s="39"/>
      <c r="G479" s="54"/>
      <c r="H479" s="237"/>
      <c r="I479" s="26">
        <v>-4200</v>
      </c>
      <c r="J479" s="27"/>
      <c r="K479" s="237"/>
      <c r="L479" s="26">
        <v>-4200</v>
      </c>
      <c r="M479" s="27"/>
      <c r="N479" s="237"/>
      <c r="O479" s="26">
        <v>-4200</v>
      </c>
      <c r="P479" s="27"/>
      <c r="Q479" s="237"/>
      <c r="R479" s="26">
        <v>-4200</v>
      </c>
      <c r="S479" s="27"/>
      <c r="T479" s="237"/>
      <c r="U479" s="26">
        <v>-4200</v>
      </c>
      <c r="V479" s="27"/>
      <c r="W479" s="237"/>
      <c r="X479" s="26">
        <v>-4200</v>
      </c>
      <c r="Y479" s="27"/>
      <c r="Z479" s="237"/>
      <c r="AA479" s="26">
        <v>-4200</v>
      </c>
      <c r="AB479" s="27"/>
      <c r="AC479" s="237"/>
      <c r="AD479" s="26">
        <v>-4200</v>
      </c>
      <c r="AE479" s="27"/>
      <c r="AF479" s="237"/>
      <c r="AG479" s="26">
        <v>-4200</v>
      </c>
      <c r="AH479" s="27"/>
      <c r="AI479" s="237"/>
      <c r="AJ479" s="26">
        <v>-4200</v>
      </c>
      <c r="AK479" s="27"/>
      <c r="AL479" s="237"/>
      <c r="AM479" s="26">
        <v>-4200</v>
      </c>
      <c r="AN479" s="27"/>
      <c r="AO479" s="237"/>
      <c r="AP479" s="26">
        <v>-4200</v>
      </c>
      <c r="AQ479" s="27"/>
      <c r="AR479" s="237"/>
      <c r="AS479" s="26"/>
      <c r="AT479" s="27"/>
      <c r="AU479" s="237"/>
      <c r="AV479" s="26"/>
      <c r="AW479" s="27"/>
      <c r="AX479" s="237"/>
      <c r="AY479" s="26"/>
      <c r="AZ479" s="27"/>
      <c r="BA479" s="237"/>
      <c r="BB479" s="26"/>
      <c r="BC479" s="27"/>
      <c r="BD479" s="237"/>
      <c r="BE479" s="26"/>
      <c r="BF479" s="27"/>
      <c r="BG479" s="237"/>
      <c r="BH479" s="26"/>
      <c r="BI479" s="27"/>
      <c r="BJ479" s="454"/>
    </row>
    <row r="480" spans="1:62" s="28" customFormat="1" hidden="1" outlineLevel="2" x14ac:dyDescent="0.3">
      <c r="A480" s="200" t="s">
        <v>133</v>
      </c>
      <c r="B480" s="2"/>
      <c r="C480" s="197"/>
      <c r="D480" s="39"/>
      <c r="E480" s="39"/>
      <c r="F480" s="39"/>
      <c r="G480" s="54"/>
      <c r="H480" s="237"/>
      <c r="I480" s="26">
        <v>0</v>
      </c>
      <c r="J480" s="27"/>
      <c r="K480" s="237"/>
      <c r="L480" s="26">
        <v>0</v>
      </c>
      <c r="M480" s="27"/>
      <c r="N480" s="237"/>
      <c r="O480" s="26">
        <v>0</v>
      </c>
      <c r="P480" s="27"/>
      <c r="Q480" s="237"/>
      <c r="R480" s="26">
        <v>0</v>
      </c>
      <c r="S480" s="27"/>
      <c r="T480" s="237"/>
      <c r="U480" s="26">
        <v>0</v>
      </c>
      <c r="V480" s="27"/>
      <c r="W480" s="237"/>
      <c r="X480" s="26">
        <v>0</v>
      </c>
      <c r="Y480" s="27"/>
      <c r="Z480" s="237"/>
      <c r="AA480" s="26">
        <v>0</v>
      </c>
      <c r="AB480" s="27"/>
      <c r="AC480" s="237"/>
      <c r="AD480" s="26">
        <v>0</v>
      </c>
      <c r="AE480" s="27"/>
      <c r="AF480" s="237"/>
      <c r="AG480" s="26">
        <v>0</v>
      </c>
      <c r="AH480" s="27"/>
      <c r="AI480" s="237"/>
      <c r="AJ480" s="26">
        <v>0</v>
      </c>
      <c r="AK480" s="27"/>
      <c r="AL480" s="237"/>
      <c r="AM480" s="26">
        <v>0</v>
      </c>
      <c r="AN480" s="27"/>
      <c r="AO480" s="237"/>
      <c r="AP480" s="26">
        <v>0</v>
      </c>
      <c r="AQ480" s="27"/>
      <c r="AR480" s="237"/>
      <c r="AS480" s="26"/>
      <c r="AT480" s="27"/>
      <c r="AU480" s="237"/>
      <c r="AV480" s="26"/>
      <c r="AW480" s="27"/>
      <c r="AX480" s="237"/>
      <c r="AY480" s="26"/>
      <c r="AZ480" s="27"/>
      <c r="BA480" s="237"/>
      <c r="BB480" s="26"/>
      <c r="BC480" s="27"/>
      <c r="BD480" s="237"/>
      <c r="BE480" s="26"/>
      <c r="BF480" s="27"/>
      <c r="BG480" s="237"/>
      <c r="BH480" s="26"/>
      <c r="BI480" s="27"/>
      <c r="BJ480" s="454"/>
    </row>
    <row r="481" spans="1:62" s="28" customFormat="1" hidden="1" outlineLevel="2" x14ac:dyDescent="0.3">
      <c r="A481" s="200" t="s">
        <v>134</v>
      </c>
      <c r="B481" s="2"/>
      <c r="C481" s="197"/>
      <c r="D481" s="39"/>
      <c r="E481" s="39"/>
      <c r="F481" s="39"/>
      <c r="G481" s="54"/>
      <c r="H481" s="237"/>
      <c r="I481" s="26">
        <v>-6000</v>
      </c>
      <c r="J481" s="27"/>
      <c r="K481" s="237"/>
      <c r="L481" s="26">
        <v>-6000</v>
      </c>
      <c r="M481" s="27"/>
      <c r="N481" s="237"/>
      <c r="O481" s="26">
        <v>-6000</v>
      </c>
      <c r="P481" s="27"/>
      <c r="Q481" s="237"/>
      <c r="R481" s="26">
        <v>-6000</v>
      </c>
      <c r="S481" s="27"/>
      <c r="T481" s="237"/>
      <c r="U481" s="26">
        <v>-6000</v>
      </c>
      <c r="V481" s="27"/>
      <c r="W481" s="237"/>
      <c r="X481" s="26">
        <v>-6000</v>
      </c>
      <c r="Y481" s="27"/>
      <c r="Z481" s="237"/>
      <c r="AA481" s="26">
        <v>-6000</v>
      </c>
      <c r="AB481" s="27"/>
      <c r="AC481" s="237"/>
      <c r="AD481" s="26">
        <v>-6000</v>
      </c>
      <c r="AE481" s="27"/>
      <c r="AF481" s="237"/>
      <c r="AG481" s="26">
        <v>-6000</v>
      </c>
      <c r="AH481" s="27"/>
      <c r="AI481" s="237"/>
      <c r="AJ481" s="26">
        <v>-6000</v>
      </c>
      <c r="AK481" s="27"/>
      <c r="AL481" s="237"/>
      <c r="AM481" s="26">
        <v>-6000</v>
      </c>
      <c r="AN481" s="27"/>
      <c r="AO481" s="237"/>
      <c r="AP481" s="26">
        <v>-6000</v>
      </c>
      <c r="AQ481" s="27"/>
      <c r="AR481" s="237"/>
      <c r="AS481" s="26"/>
      <c r="AT481" s="27"/>
      <c r="AU481" s="237"/>
      <c r="AV481" s="26"/>
      <c r="AW481" s="27"/>
      <c r="AX481" s="237"/>
      <c r="AY481" s="26"/>
      <c r="AZ481" s="27"/>
      <c r="BA481" s="237"/>
      <c r="BB481" s="26"/>
      <c r="BC481" s="27"/>
      <c r="BD481" s="237"/>
      <c r="BE481" s="26"/>
      <c r="BF481" s="27"/>
      <c r="BG481" s="237"/>
      <c r="BH481" s="26"/>
      <c r="BI481" s="27"/>
      <c r="BJ481" s="454"/>
    </row>
    <row r="482" spans="1:62" s="28" customFormat="1" hidden="1" outlineLevel="2" x14ac:dyDescent="0.3">
      <c r="A482" s="200" t="s">
        <v>135</v>
      </c>
      <c r="B482" s="2"/>
      <c r="C482" s="197"/>
      <c r="D482" s="39"/>
      <c r="E482" s="39"/>
      <c r="F482" s="39"/>
      <c r="G482" s="54"/>
      <c r="H482" s="237"/>
      <c r="I482" s="26">
        <v>-4500</v>
      </c>
      <c r="J482" s="27"/>
      <c r="K482" s="237"/>
      <c r="L482" s="26">
        <v>-4500</v>
      </c>
      <c r="M482" s="27"/>
      <c r="N482" s="237"/>
      <c r="O482" s="26">
        <v>-4500</v>
      </c>
      <c r="P482" s="27"/>
      <c r="Q482" s="237"/>
      <c r="R482" s="26">
        <v>-4500</v>
      </c>
      <c r="S482" s="27"/>
      <c r="T482" s="237"/>
      <c r="U482" s="26">
        <v>-4500</v>
      </c>
      <c r="V482" s="27"/>
      <c r="W482" s="237"/>
      <c r="X482" s="26">
        <v>-4500</v>
      </c>
      <c r="Y482" s="27"/>
      <c r="Z482" s="237"/>
      <c r="AA482" s="26">
        <v>-4500</v>
      </c>
      <c r="AB482" s="27"/>
      <c r="AC482" s="237"/>
      <c r="AD482" s="26">
        <v>-4500</v>
      </c>
      <c r="AE482" s="27"/>
      <c r="AF482" s="237"/>
      <c r="AG482" s="26">
        <v>-4500</v>
      </c>
      <c r="AH482" s="27"/>
      <c r="AI482" s="237"/>
      <c r="AJ482" s="26">
        <v>-4500</v>
      </c>
      <c r="AK482" s="27"/>
      <c r="AL482" s="237"/>
      <c r="AM482" s="26">
        <v>-4500</v>
      </c>
      <c r="AN482" s="27"/>
      <c r="AO482" s="237"/>
      <c r="AP482" s="26">
        <v>-4500</v>
      </c>
      <c r="AQ482" s="27"/>
      <c r="AR482" s="237"/>
      <c r="AS482" s="26"/>
      <c r="AT482" s="27"/>
      <c r="AU482" s="237"/>
      <c r="AV482" s="26"/>
      <c r="AW482" s="27"/>
      <c r="AX482" s="237"/>
      <c r="AY482" s="26"/>
      <c r="AZ482" s="27"/>
      <c r="BA482" s="237"/>
      <c r="BB482" s="26"/>
      <c r="BC482" s="27"/>
      <c r="BD482" s="237"/>
      <c r="BE482" s="26"/>
      <c r="BF482" s="27"/>
      <c r="BG482" s="237"/>
      <c r="BH482" s="26"/>
      <c r="BI482" s="27"/>
      <c r="BJ482" s="454"/>
    </row>
    <row r="483" spans="1:62" s="28" customFormat="1" hidden="1" outlineLevel="2" x14ac:dyDescent="0.3">
      <c r="A483" s="200" t="s">
        <v>136</v>
      </c>
      <c r="B483" s="2"/>
      <c r="C483" s="197"/>
      <c r="D483" s="39"/>
      <c r="E483" s="39"/>
      <c r="F483" s="39"/>
      <c r="G483" s="54"/>
      <c r="H483" s="237"/>
      <c r="I483" s="26">
        <v>-4000</v>
      </c>
      <c r="J483" s="27"/>
      <c r="K483" s="237"/>
      <c r="L483" s="26">
        <v>-4000</v>
      </c>
      <c r="M483" s="27"/>
      <c r="N483" s="237"/>
      <c r="O483" s="26">
        <v>-4000</v>
      </c>
      <c r="P483" s="27"/>
      <c r="Q483" s="237"/>
      <c r="R483" s="26">
        <v>-4000</v>
      </c>
      <c r="S483" s="27"/>
      <c r="T483" s="237"/>
      <c r="U483" s="26">
        <v>-4000</v>
      </c>
      <c r="V483" s="27"/>
      <c r="W483" s="237"/>
      <c r="X483" s="26">
        <v>-4000</v>
      </c>
      <c r="Y483" s="27"/>
      <c r="Z483" s="237"/>
      <c r="AA483" s="26">
        <v>-4000</v>
      </c>
      <c r="AB483" s="27"/>
      <c r="AC483" s="237"/>
      <c r="AD483" s="26">
        <v>-4000</v>
      </c>
      <c r="AE483" s="27"/>
      <c r="AF483" s="237"/>
      <c r="AG483" s="26">
        <v>-4000</v>
      </c>
      <c r="AH483" s="27"/>
      <c r="AI483" s="237"/>
      <c r="AJ483" s="26">
        <v>-4000</v>
      </c>
      <c r="AK483" s="27"/>
      <c r="AL483" s="237"/>
      <c r="AM483" s="26">
        <v>-4000</v>
      </c>
      <c r="AN483" s="27"/>
      <c r="AO483" s="237"/>
      <c r="AP483" s="26">
        <v>-4000</v>
      </c>
      <c r="AQ483" s="27"/>
      <c r="AR483" s="237"/>
      <c r="AS483" s="26"/>
      <c r="AT483" s="27"/>
      <c r="AU483" s="237"/>
      <c r="AV483" s="26"/>
      <c r="AW483" s="27"/>
      <c r="AX483" s="237"/>
      <c r="AY483" s="26"/>
      <c r="AZ483" s="27"/>
      <c r="BA483" s="237"/>
      <c r="BB483" s="26"/>
      <c r="BC483" s="27"/>
      <c r="BD483" s="237"/>
      <c r="BE483" s="26"/>
      <c r="BF483" s="27"/>
      <c r="BG483" s="237"/>
      <c r="BH483" s="26"/>
      <c r="BI483" s="27"/>
      <c r="BJ483" s="454"/>
    </row>
    <row r="484" spans="1:62" s="28" customFormat="1" hidden="1" outlineLevel="2" x14ac:dyDescent="0.3">
      <c r="A484" s="200" t="s">
        <v>137</v>
      </c>
      <c r="B484" s="2"/>
      <c r="C484" s="197"/>
      <c r="D484" s="39"/>
      <c r="E484" s="39"/>
      <c r="F484" s="39"/>
      <c r="G484" s="54"/>
      <c r="H484" s="237"/>
      <c r="I484" s="26">
        <v>-4000</v>
      </c>
      <c r="J484" s="27"/>
      <c r="K484" s="237"/>
      <c r="L484" s="26">
        <v>-4000</v>
      </c>
      <c r="M484" s="27"/>
      <c r="N484" s="237"/>
      <c r="O484" s="26">
        <v>-4000</v>
      </c>
      <c r="P484" s="27"/>
      <c r="Q484" s="237"/>
      <c r="R484" s="26">
        <v>-4000</v>
      </c>
      <c r="S484" s="27"/>
      <c r="T484" s="237"/>
      <c r="U484" s="26">
        <v>-4000</v>
      </c>
      <c r="V484" s="27"/>
      <c r="W484" s="237"/>
      <c r="X484" s="26">
        <v>-4000</v>
      </c>
      <c r="Y484" s="27"/>
      <c r="Z484" s="237"/>
      <c r="AA484" s="26">
        <v>-4000</v>
      </c>
      <c r="AB484" s="27"/>
      <c r="AC484" s="237"/>
      <c r="AD484" s="26">
        <v>-4000</v>
      </c>
      <c r="AE484" s="27"/>
      <c r="AF484" s="237"/>
      <c r="AG484" s="26">
        <v>-4000</v>
      </c>
      <c r="AH484" s="27"/>
      <c r="AI484" s="237"/>
      <c r="AJ484" s="26">
        <v>-4000</v>
      </c>
      <c r="AK484" s="27"/>
      <c r="AL484" s="237"/>
      <c r="AM484" s="26">
        <v>-4000</v>
      </c>
      <c r="AN484" s="27"/>
      <c r="AO484" s="237"/>
      <c r="AP484" s="26">
        <v>-4000</v>
      </c>
      <c r="AQ484" s="27"/>
      <c r="AR484" s="237"/>
      <c r="AS484" s="26"/>
      <c r="AT484" s="27"/>
      <c r="AU484" s="237"/>
      <c r="AV484" s="26"/>
      <c r="AW484" s="27"/>
      <c r="AX484" s="237"/>
      <c r="AY484" s="26"/>
      <c r="AZ484" s="27"/>
      <c r="BA484" s="237"/>
      <c r="BB484" s="26"/>
      <c r="BC484" s="27"/>
      <c r="BD484" s="237"/>
      <c r="BE484" s="26"/>
      <c r="BF484" s="27"/>
      <c r="BG484" s="237"/>
      <c r="BH484" s="26"/>
      <c r="BI484" s="27"/>
      <c r="BJ484" s="454"/>
    </row>
    <row r="485" spans="1:62" s="28" customFormat="1" hidden="1" outlineLevel="2" x14ac:dyDescent="0.3">
      <c r="A485" s="200" t="s">
        <v>138</v>
      </c>
      <c r="B485" s="2"/>
      <c r="C485" s="197"/>
      <c r="D485" s="39"/>
      <c r="E485" s="39"/>
      <c r="F485" s="39"/>
      <c r="G485" s="54"/>
      <c r="H485" s="237"/>
      <c r="I485" s="26">
        <v>0</v>
      </c>
      <c r="J485" s="27"/>
      <c r="K485" s="237"/>
      <c r="L485" s="26">
        <v>0</v>
      </c>
      <c r="M485" s="27"/>
      <c r="N485" s="237"/>
      <c r="O485" s="26">
        <v>0</v>
      </c>
      <c r="P485" s="27"/>
      <c r="Q485" s="237"/>
      <c r="R485" s="26">
        <v>0</v>
      </c>
      <c r="S485" s="27"/>
      <c r="T485" s="237"/>
      <c r="U485" s="26">
        <v>0</v>
      </c>
      <c r="V485" s="27"/>
      <c r="W485" s="237"/>
      <c r="X485" s="26">
        <v>0</v>
      </c>
      <c r="Y485" s="27"/>
      <c r="Z485" s="237"/>
      <c r="AA485" s="26">
        <v>0</v>
      </c>
      <c r="AB485" s="27"/>
      <c r="AC485" s="237"/>
      <c r="AD485" s="26">
        <v>0</v>
      </c>
      <c r="AE485" s="27"/>
      <c r="AF485" s="237"/>
      <c r="AG485" s="26">
        <v>0</v>
      </c>
      <c r="AH485" s="27"/>
      <c r="AI485" s="237"/>
      <c r="AJ485" s="26">
        <v>0</v>
      </c>
      <c r="AK485" s="27"/>
      <c r="AL485" s="237"/>
      <c r="AM485" s="26">
        <v>0</v>
      </c>
      <c r="AN485" s="27"/>
      <c r="AO485" s="237"/>
      <c r="AP485" s="26">
        <v>0</v>
      </c>
      <c r="AQ485" s="27"/>
      <c r="AR485" s="237"/>
      <c r="AS485" s="26"/>
      <c r="AT485" s="27"/>
      <c r="AU485" s="237"/>
      <c r="AV485" s="26"/>
      <c r="AW485" s="27"/>
      <c r="AX485" s="237"/>
      <c r="AY485" s="26"/>
      <c r="AZ485" s="27"/>
      <c r="BA485" s="237"/>
      <c r="BB485" s="26"/>
      <c r="BC485" s="27"/>
      <c r="BD485" s="237"/>
      <c r="BE485" s="26"/>
      <c r="BF485" s="27"/>
      <c r="BG485" s="237"/>
      <c r="BH485" s="26"/>
      <c r="BI485" s="27"/>
      <c r="BJ485" s="454"/>
    </row>
    <row r="486" spans="1:62" s="28" customFormat="1" hidden="1" outlineLevel="2" x14ac:dyDescent="0.3">
      <c r="A486" s="200" t="s">
        <v>139</v>
      </c>
      <c r="B486" s="2"/>
      <c r="C486" s="197"/>
      <c r="D486" s="39"/>
      <c r="E486" s="39"/>
      <c r="F486" s="39"/>
      <c r="G486" s="54"/>
      <c r="H486" s="237"/>
      <c r="I486" s="26">
        <v>0</v>
      </c>
      <c r="J486" s="27"/>
      <c r="K486" s="237"/>
      <c r="L486" s="26">
        <v>0</v>
      </c>
      <c r="M486" s="27"/>
      <c r="N486" s="237"/>
      <c r="O486" s="26">
        <v>0</v>
      </c>
      <c r="P486" s="27"/>
      <c r="Q486" s="237"/>
      <c r="R486" s="26">
        <v>0</v>
      </c>
      <c r="S486" s="27"/>
      <c r="T486" s="237"/>
      <c r="U486" s="26">
        <v>0</v>
      </c>
      <c r="V486" s="27"/>
      <c r="W486" s="237"/>
      <c r="X486" s="26">
        <v>0</v>
      </c>
      <c r="Y486" s="27"/>
      <c r="Z486" s="237"/>
      <c r="AA486" s="26">
        <v>0</v>
      </c>
      <c r="AB486" s="27"/>
      <c r="AC486" s="237"/>
      <c r="AD486" s="26">
        <v>0</v>
      </c>
      <c r="AE486" s="27"/>
      <c r="AF486" s="237"/>
      <c r="AG486" s="26">
        <v>0</v>
      </c>
      <c r="AH486" s="27"/>
      <c r="AI486" s="237"/>
      <c r="AJ486" s="26">
        <v>0</v>
      </c>
      <c r="AK486" s="27"/>
      <c r="AL486" s="237"/>
      <c r="AM486" s="26">
        <v>0</v>
      </c>
      <c r="AN486" s="27"/>
      <c r="AO486" s="237"/>
      <c r="AP486" s="26">
        <v>0</v>
      </c>
      <c r="AQ486" s="27"/>
      <c r="AR486" s="237"/>
      <c r="AS486" s="26"/>
      <c r="AT486" s="27"/>
      <c r="AU486" s="237"/>
      <c r="AV486" s="26"/>
      <c r="AW486" s="27"/>
      <c r="AX486" s="237"/>
      <c r="AY486" s="26"/>
      <c r="AZ486" s="27"/>
      <c r="BA486" s="237"/>
      <c r="BB486" s="26"/>
      <c r="BC486" s="27"/>
      <c r="BD486" s="237"/>
      <c r="BE486" s="26"/>
      <c r="BF486" s="27"/>
      <c r="BG486" s="237"/>
      <c r="BH486" s="26"/>
      <c r="BI486" s="27"/>
      <c r="BJ486" s="454"/>
    </row>
    <row r="487" spans="1:62" s="28" customFormat="1" hidden="1" outlineLevel="2" x14ac:dyDescent="0.3">
      <c r="A487" s="200" t="s">
        <v>140</v>
      </c>
      <c r="B487" s="2"/>
      <c r="C487" s="197"/>
      <c r="D487" s="39"/>
      <c r="E487" s="39"/>
      <c r="F487" s="39"/>
      <c r="G487" s="54"/>
      <c r="H487" s="237"/>
      <c r="I487" s="26">
        <v>-3100</v>
      </c>
      <c r="J487" s="27"/>
      <c r="K487" s="237"/>
      <c r="L487" s="26">
        <v>-3100</v>
      </c>
      <c r="M487" s="27"/>
      <c r="N487" s="237"/>
      <c r="O487" s="26">
        <v>-3100</v>
      </c>
      <c r="P487" s="27"/>
      <c r="Q487" s="237"/>
      <c r="R487" s="26">
        <v>-3100</v>
      </c>
      <c r="S487" s="27"/>
      <c r="T487" s="237"/>
      <c r="U487" s="26">
        <v>-3100</v>
      </c>
      <c r="V487" s="27"/>
      <c r="W487" s="237"/>
      <c r="X487" s="26">
        <v>-3100</v>
      </c>
      <c r="Y487" s="27"/>
      <c r="Z487" s="237"/>
      <c r="AA487" s="26">
        <v>-3100</v>
      </c>
      <c r="AB487" s="27"/>
      <c r="AC487" s="237"/>
      <c r="AD487" s="26">
        <v>-3100</v>
      </c>
      <c r="AE487" s="27"/>
      <c r="AF487" s="237"/>
      <c r="AG487" s="26">
        <v>-3100</v>
      </c>
      <c r="AH487" s="27"/>
      <c r="AI487" s="237"/>
      <c r="AJ487" s="26">
        <v>-3100</v>
      </c>
      <c r="AK487" s="27"/>
      <c r="AL487" s="237"/>
      <c r="AM487" s="26">
        <v>-3100</v>
      </c>
      <c r="AN487" s="27"/>
      <c r="AO487" s="237"/>
      <c r="AP487" s="26">
        <v>-3100</v>
      </c>
      <c r="AQ487" s="27"/>
      <c r="AR487" s="237"/>
      <c r="AS487" s="26"/>
      <c r="AT487" s="27"/>
      <c r="AU487" s="237"/>
      <c r="AV487" s="26"/>
      <c r="AW487" s="27"/>
      <c r="AX487" s="237"/>
      <c r="AY487" s="26"/>
      <c r="AZ487" s="27"/>
      <c r="BA487" s="237"/>
      <c r="BB487" s="26"/>
      <c r="BC487" s="27"/>
      <c r="BD487" s="237"/>
      <c r="BE487" s="26"/>
      <c r="BF487" s="27"/>
      <c r="BG487" s="237"/>
      <c r="BH487" s="26"/>
      <c r="BI487" s="27"/>
      <c r="BJ487" s="454"/>
    </row>
    <row r="488" spans="1:62" s="28" customFormat="1" hidden="1" outlineLevel="2" x14ac:dyDescent="0.3">
      <c r="A488" s="200">
        <v>0</v>
      </c>
      <c r="B488" s="2"/>
      <c r="C488" s="197"/>
      <c r="D488" s="39"/>
      <c r="E488" s="39"/>
      <c r="F488" s="39"/>
      <c r="G488" s="54"/>
      <c r="H488" s="237"/>
      <c r="I488" s="26">
        <v>0</v>
      </c>
      <c r="J488" s="27"/>
      <c r="K488" s="237"/>
      <c r="L488" s="26">
        <v>0</v>
      </c>
      <c r="M488" s="27"/>
      <c r="N488" s="237"/>
      <c r="O488" s="26">
        <v>0</v>
      </c>
      <c r="P488" s="27"/>
      <c r="Q488" s="237"/>
      <c r="R488" s="26">
        <v>0</v>
      </c>
      <c r="S488" s="27"/>
      <c r="T488" s="237"/>
      <c r="U488" s="26">
        <v>0</v>
      </c>
      <c r="V488" s="27"/>
      <c r="W488" s="237"/>
      <c r="X488" s="26">
        <v>0</v>
      </c>
      <c r="Y488" s="27"/>
      <c r="Z488" s="237"/>
      <c r="AA488" s="26">
        <v>0</v>
      </c>
      <c r="AB488" s="27"/>
      <c r="AC488" s="237"/>
      <c r="AD488" s="26">
        <v>0</v>
      </c>
      <c r="AE488" s="27"/>
      <c r="AF488" s="237"/>
      <c r="AG488" s="26">
        <v>0</v>
      </c>
      <c r="AH488" s="27"/>
      <c r="AI488" s="237"/>
      <c r="AJ488" s="26">
        <v>0</v>
      </c>
      <c r="AK488" s="27"/>
      <c r="AL488" s="237"/>
      <c r="AM488" s="26">
        <v>0</v>
      </c>
      <c r="AN488" s="27"/>
      <c r="AO488" s="237"/>
      <c r="AP488" s="26">
        <v>0</v>
      </c>
      <c r="AQ488" s="27"/>
      <c r="AR488" s="237"/>
      <c r="AS488" s="26"/>
      <c r="AT488" s="27"/>
      <c r="AU488" s="237"/>
      <c r="AV488" s="26"/>
      <c r="AW488" s="27"/>
      <c r="AX488" s="237"/>
      <c r="AY488" s="26"/>
      <c r="AZ488" s="27"/>
      <c r="BA488" s="237"/>
      <c r="BB488" s="26"/>
      <c r="BC488" s="27"/>
      <c r="BD488" s="237"/>
      <c r="BE488" s="26"/>
      <c r="BF488" s="27"/>
      <c r="BG488" s="237"/>
      <c r="BH488" s="26"/>
      <c r="BI488" s="27"/>
      <c r="BJ488" s="454"/>
    </row>
    <row r="489" spans="1:62" s="28" customFormat="1" hidden="1" outlineLevel="2" x14ac:dyDescent="0.3">
      <c r="A489" s="159"/>
      <c r="B489" s="22"/>
      <c r="C489" s="3"/>
      <c r="D489" s="4"/>
      <c r="E489" s="4"/>
      <c r="F489" s="22"/>
      <c r="G489" s="54"/>
      <c r="H489" s="269"/>
      <c r="I489" s="22"/>
      <c r="J489" s="160"/>
      <c r="K489" s="269"/>
      <c r="L489" s="22"/>
      <c r="M489" s="160"/>
      <c r="N489" s="269"/>
      <c r="O489" s="22"/>
      <c r="P489" s="160"/>
      <c r="Q489" s="269"/>
      <c r="R489" s="22"/>
      <c r="S489" s="160"/>
      <c r="T489" s="269"/>
      <c r="U489" s="22"/>
      <c r="V489" s="160"/>
      <c r="W489" s="269"/>
      <c r="X489" s="22"/>
      <c r="Y489" s="160"/>
      <c r="Z489" s="269"/>
      <c r="AA489" s="22"/>
      <c r="AB489" s="160"/>
      <c r="AC489" s="269"/>
      <c r="AD489" s="22"/>
      <c r="AE489" s="160"/>
      <c r="AF489" s="269"/>
      <c r="AG489" s="22"/>
      <c r="AH489" s="160"/>
      <c r="AI489" s="269"/>
      <c r="AJ489" s="22"/>
      <c r="AK489" s="160"/>
      <c r="AL489" s="269"/>
      <c r="AM489" s="22"/>
      <c r="AN489" s="160"/>
      <c r="AO489" s="269"/>
      <c r="AP489" s="22"/>
      <c r="AQ489" s="160"/>
      <c r="AR489" s="269"/>
      <c r="AS489" s="22"/>
      <c r="AT489" s="160"/>
      <c r="AU489" s="269"/>
      <c r="AV489" s="22"/>
      <c r="AW489" s="160"/>
      <c r="AX489" s="269"/>
      <c r="AY489" s="22"/>
      <c r="AZ489" s="160"/>
      <c r="BA489" s="269"/>
      <c r="BB489" s="22"/>
      <c r="BC489" s="160"/>
      <c r="BD489" s="269"/>
      <c r="BE489" s="22"/>
      <c r="BF489" s="160"/>
      <c r="BG489" s="269"/>
      <c r="BH489" s="22"/>
      <c r="BI489" s="160"/>
      <c r="BJ489" s="454"/>
    </row>
    <row r="490" spans="1:62" s="28" customFormat="1" hidden="1" outlineLevel="2" x14ac:dyDescent="0.3">
      <c r="A490" s="196" t="s">
        <v>425</v>
      </c>
      <c r="B490" s="22"/>
      <c r="C490" s="3"/>
      <c r="D490" s="15"/>
      <c r="E490" s="4"/>
      <c r="F490" s="22"/>
      <c r="G490" s="54"/>
      <c r="H490" s="279"/>
      <c r="I490" s="203"/>
      <c r="J490" s="204"/>
      <c r="K490" s="279"/>
      <c r="L490" s="203"/>
      <c r="M490" s="204"/>
      <c r="N490" s="279"/>
      <c r="O490" s="203"/>
      <c r="P490" s="204"/>
      <c r="Q490" s="279"/>
      <c r="R490" s="203"/>
      <c r="S490" s="204"/>
      <c r="T490" s="279"/>
      <c r="U490" s="203"/>
      <c r="V490" s="204"/>
      <c r="W490" s="279"/>
      <c r="X490" s="203"/>
      <c r="Y490" s="204"/>
      <c r="Z490" s="279"/>
      <c r="AA490" s="203"/>
      <c r="AB490" s="204"/>
      <c r="AC490" s="279"/>
      <c r="AD490" s="203"/>
      <c r="AE490" s="204"/>
      <c r="AF490" s="279"/>
      <c r="AG490" s="203"/>
      <c r="AH490" s="204"/>
      <c r="AI490" s="279"/>
      <c r="AJ490" s="203"/>
      <c r="AK490" s="204"/>
      <c r="AL490" s="279"/>
      <c r="AM490" s="203"/>
      <c r="AN490" s="204"/>
      <c r="AO490" s="279"/>
      <c r="AP490" s="203"/>
      <c r="AQ490" s="204"/>
      <c r="AR490" s="279"/>
      <c r="AS490" s="203"/>
      <c r="AT490" s="204"/>
      <c r="AU490" s="279"/>
      <c r="AV490" s="203"/>
      <c r="AW490" s="204"/>
      <c r="AX490" s="279"/>
      <c r="AY490" s="203"/>
      <c r="AZ490" s="204"/>
      <c r="BA490" s="279"/>
      <c r="BB490" s="203"/>
      <c r="BC490" s="204"/>
      <c r="BD490" s="279"/>
      <c r="BE490" s="203"/>
      <c r="BF490" s="204"/>
      <c r="BG490" s="279"/>
      <c r="BH490" s="203"/>
      <c r="BI490" s="204"/>
      <c r="BJ490" s="454"/>
    </row>
    <row r="491" spans="1:62" s="28" customFormat="1" hidden="1" outlineLevel="2" x14ac:dyDescent="0.3">
      <c r="A491" s="21" t="s">
        <v>142</v>
      </c>
      <c r="B491" s="22"/>
      <c r="C491" s="3"/>
      <c r="D491" s="15"/>
      <c r="E491" s="4"/>
      <c r="F491" s="22"/>
      <c r="G491" s="54"/>
      <c r="H491" s="280"/>
      <c r="I491" s="205">
        <v>-2945.04</v>
      </c>
      <c r="J491" s="206"/>
      <c r="K491" s="280"/>
      <c r="L491" s="205">
        <v>-2945.04</v>
      </c>
      <c r="M491" s="206"/>
      <c r="N491" s="280"/>
      <c r="O491" s="205">
        <v>-2945.04</v>
      </c>
      <c r="P491" s="206"/>
      <c r="Q491" s="280"/>
      <c r="R491" s="205">
        <v>-2945.04</v>
      </c>
      <c r="S491" s="206"/>
      <c r="T491" s="280"/>
      <c r="U491" s="205">
        <v>-3068.7316799999999</v>
      </c>
      <c r="V491" s="206"/>
      <c r="W491" s="280"/>
      <c r="X491" s="205">
        <v>-3068.7316799999999</v>
      </c>
      <c r="Y491" s="206"/>
      <c r="Z491" s="280"/>
      <c r="AA491" s="205">
        <v>-3068.7316799999999</v>
      </c>
      <c r="AB491" s="206"/>
      <c r="AC491" s="280"/>
      <c r="AD491" s="205">
        <v>-3068.7316799999999</v>
      </c>
      <c r="AE491" s="206"/>
      <c r="AF491" s="280"/>
      <c r="AG491" s="205">
        <v>-3068.7316799999999</v>
      </c>
      <c r="AH491" s="206"/>
      <c r="AI491" s="280"/>
      <c r="AJ491" s="205">
        <v>-3068.7316799999999</v>
      </c>
      <c r="AK491" s="206"/>
      <c r="AL491" s="280"/>
      <c r="AM491" s="205">
        <v>-3068.7316799999999</v>
      </c>
      <c r="AN491" s="206"/>
      <c r="AO491" s="280"/>
      <c r="AP491" s="205">
        <v>-3068.7316799999999</v>
      </c>
      <c r="AQ491" s="206"/>
      <c r="AR491" s="280"/>
      <c r="AS491" s="205"/>
      <c r="AT491" s="206"/>
      <c r="AU491" s="280"/>
      <c r="AV491" s="205"/>
      <c r="AW491" s="206"/>
      <c r="AX491" s="280"/>
      <c r="AY491" s="205"/>
      <c r="AZ491" s="206"/>
      <c r="BA491" s="280"/>
      <c r="BB491" s="205"/>
      <c r="BC491" s="206"/>
      <c r="BD491" s="280"/>
      <c r="BE491" s="205"/>
      <c r="BF491" s="206"/>
      <c r="BG491" s="280"/>
      <c r="BH491" s="205"/>
      <c r="BI491" s="206"/>
      <c r="BJ491" s="454"/>
    </row>
    <row r="492" spans="1:62" s="28" customFormat="1" hidden="1" outlineLevel="2" x14ac:dyDescent="0.3">
      <c r="A492" s="21" t="s">
        <v>144</v>
      </c>
      <c r="B492" s="22"/>
      <c r="C492" s="3"/>
      <c r="D492" s="15"/>
      <c r="E492" s="4"/>
      <c r="F492" s="22"/>
      <c r="G492" s="54"/>
      <c r="H492" s="280"/>
      <c r="I492" s="205">
        <v>-1938.56</v>
      </c>
      <c r="J492" s="206"/>
      <c r="K492" s="280"/>
      <c r="L492" s="205">
        <v>-1938.56</v>
      </c>
      <c r="M492" s="206"/>
      <c r="N492" s="280"/>
      <c r="O492" s="205">
        <v>-1938.56</v>
      </c>
      <c r="P492" s="206"/>
      <c r="Q492" s="280"/>
      <c r="R492" s="205">
        <v>-1938.56</v>
      </c>
      <c r="S492" s="206"/>
      <c r="T492" s="280"/>
      <c r="U492" s="205">
        <v>-1938.56</v>
      </c>
      <c r="V492" s="206"/>
      <c r="W492" s="280"/>
      <c r="X492" s="205">
        <v>-2019.9795200000001</v>
      </c>
      <c r="Y492" s="206"/>
      <c r="Z492" s="280"/>
      <c r="AA492" s="205">
        <v>-2019.9795200000001</v>
      </c>
      <c r="AB492" s="206"/>
      <c r="AC492" s="280"/>
      <c r="AD492" s="205">
        <v>-2019.9795200000001</v>
      </c>
      <c r="AE492" s="206"/>
      <c r="AF492" s="280"/>
      <c r="AG492" s="205">
        <v>-2019.9795200000001</v>
      </c>
      <c r="AH492" s="206"/>
      <c r="AI492" s="280"/>
      <c r="AJ492" s="205">
        <v>-2019.9795200000001</v>
      </c>
      <c r="AK492" s="206"/>
      <c r="AL492" s="280"/>
      <c r="AM492" s="205">
        <v>-2019.9795200000001</v>
      </c>
      <c r="AN492" s="206"/>
      <c r="AO492" s="280"/>
      <c r="AP492" s="205">
        <v>-2019.9795200000001</v>
      </c>
      <c r="AQ492" s="206"/>
      <c r="AR492" s="280"/>
      <c r="AS492" s="205"/>
      <c r="AT492" s="206"/>
      <c r="AU492" s="280"/>
      <c r="AV492" s="205"/>
      <c r="AW492" s="206"/>
      <c r="AX492" s="280"/>
      <c r="AY492" s="205"/>
      <c r="AZ492" s="206"/>
      <c r="BA492" s="280"/>
      <c r="BB492" s="205"/>
      <c r="BC492" s="206"/>
      <c r="BD492" s="280"/>
      <c r="BE492" s="205"/>
      <c r="BF492" s="206"/>
      <c r="BG492" s="280"/>
      <c r="BH492" s="205"/>
      <c r="BI492" s="206"/>
      <c r="BJ492" s="454"/>
    </row>
    <row r="493" spans="1:62" s="28" customFormat="1" hidden="1" outlineLevel="2" x14ac:dyDescent="0.3">
      <c r="A493" s="21" t="s">
        <v>145</v>
      </c>
      <c r="B493" s="22"/>
      <c r="C493" s="3"/>
      <c r="D493" s="15"/>
      <c r="E493" s="4"/>
      <c r="F493" s="22"/>
      <c r="G493" s="54"/>
      <c r="H493" s="280"/>
      <c r="I493" s="205">
        <v>-2119.5500000000002</v>
      </c>
      <c r="J493" s="206"/>
      <c r="K493" s="280"/>
      <c r="L493" s="205">
        <v>-2119.5500000000002</v>
      </c>
      <c r="M493" s="206"/>
      <c r="N493" s="280"/>
      <c r="O493" s="205">
        <v>-2119.5500000000002</v>
      </c>
      <c r="P493" s="206"/>
      <c r="Q493" s="280"/>
      <c r="R493" s="205">
        <v>-2119.5500000000002</v>
      </c>
      <c r="S493" s="206"/>
      <c r="T493" s="280"/>
      <c r="U493" s="205">
        <v>-2119.5500000000002</v>
      </c>
      <c r="V493" s="206"/>
      <c r="W493" s="280"/>
      <c r="X493" s="205">
        <v>-2208.5711000000001</v>
      </c>
      <c r="Y493" s="206"/>
      <c r="Z493" s="280"/>
      <c r="AA493" s="205">
        <v>-2208.5711000000001</v>
      </c>
      <c r="AB493" s="206"/>
      <c r="AC493" s="280"/>
      <c r="AD493" s="205">
        <v>-2208.5711000000001</v>
      </c>
      <c r="AE493" s="206"/>
      <c r="AF493" s="280"/>
      <c r="AG493" s="205">
        <v>-2208.5711000000001</v>
      </c>
      <c r="AH493" s="206"/>
      <c r="AI493" s="280"/>
      <c r="AJ493" s="205">
        <v>-2208.5711000000001</v>
      </c>
      <c r="AK493" s="206"/>
      <c r="AL493" s="280"/>
      <c r="AM493" s="205">
        <v>-2208.5711000000001</v>
      </c>
      <c r="AN493" s="206"/>
      <c r="AO493" s="280"/>
      <c r="AP493" s="205">
        <v>-2208.5711000000001</v>
      </c>
      <c r="AQ493" s="206"/>
      <c r="AR493" s="280"/>
      <c r="AS493" s="205"/>
      <c r="AT493" s="206"/>
      <c r="AU493" s="280"/>
      <c r="AV493" s="205"/>
      <c r="AW493" s="206"/>
      <c r="AX493" s="280"/>
      <c r="AY493" s="205"/>
      <c r="AZ493" s="206"/>
      <c r="BA493" s="280"/>
      <c r="BB493" s="205"/>
      <c r="BC493" s="206"/>
      <c r="BD493" s="280"/>
      <c r="BE493" s="205"/>
      <c r="BF493" s="206"/>
      <c r="BG493" s="280"/>
      <c r="BH493" s="205"/>
      <c r="BI493" s="206"/>
      <c r="BJ493" s="454"/>
    </row>
    <row r="494" spans="1:62" s="28" customFormat="1" hidden="1" outlineLevel="2" x14ac:dyDescent="0.3">
      <c r="A494" s="21" t="s">
        <v>146</v>
      </c>
      <c r="B494" s="22"/>
      <c r="C494" s="3"/>
      <c r="D494" s="15"/>
      <c r="E494" s="4"/>
      <c r="F494" s="22"/>
      <c r="G494" s="54"/>
      <c r="H494" s="280"/>
      <c r="I494" s="205">
        <v>-2553.88</v>
      </c>
      <c r="J494" s="206"/>
      <c r="K494" s="280"/>
      <c r="L494" s="205">
        <v>-2553.88</v>
      </c>
      <c r="M494" s="206"/>
      <c r="N494" s="280"/>
      <c r="O494" s="205">
        <v>-2553.88</v>
      </c>
      <c r="P494" s="206"/>
      <c r="Q494" s="280"/>
      <c r="R494" s="205">
        <v>-2553.88</v>
      </c>
      <c r="S494" s="206"/>
      <c r="T494" s="280"/>
      <c r="U494" s="205">
        <v>-2553.88</v>
      </c>
      <c r="V494" s="206"/>
      <c r="W494" s="280"/>
      <c r="X494" s="205">
        <v>-2661.1429600000001</v>
      </c>
      <c r="Y494" s="206"/>
      <c r="Z494" s="280"/>
      <c r="AA494" s="205">
        <v>-2661.1429600000001</v>
      </c>
      <c r="AB494" s="206"/>
      <c r="AC494" s="280"/>
      <c r="AD494" s="205">
        <v>-2661.1429600000001</v>
      </c>
      <c r="AE494" s="206"/>
      <c r="AF494" s="280"/>
      <c r="AG494" s="205">
        <v>-2661.1429600000001</v>
      </c>
      <c r="AH494" s="206"/>
      <c r="AI494" s="280"/>
      <c r="AJ494" s="205">
        <v>-2661.1429600000001</v>
      </c>
      <c r="AK494" s="206"/>
      <c r="AL494" s="280"/>
      <c r="AM494" s="205">
        <v>-2661.1429600000001</v>
      </c>
      <c r="AN494" s="206"/>
      <c r="AO494" s="280"/>
      <c r="AP494" s="205">
        <v>-2661.1429600000001</v>
      </c>
      <c r="AQ494" s="206"/>
      <c r="AR494" s="280"/>
      <c r="AS494" s="205"/>
      <c r="AT494" s="206"/>
      <c r="AU494" s="280"/>
      <c r="AV494" s="205"/>
      <c r="AW494" s="206"/>
      <c r="AX494" s="280"/>
      <c r="AY494" s="205"/>
      <c r="AZ494" s="206"/>
      <c r="BA494" s="280"/>
      <c r="BB494" s="205"/>
      <c r="BC494" s="206"/>
      <c r="BD494" s="280"/>
      <c r="BE494" s="205"/>
      <c r="BF494" s="206"/>
      <c r="BG494" s="280"/>
      <c r="BH494" s="205"/>
      <c r="BI494" s="206"/>
      <c r="BJ494" s="454"/>
    </row>
    <row r="495" spans="1:62" s="28" customFormat="1" hidden="1" outlineLevel="2" x14ac:dyDescent="0.3">
      <c r="A495" s="21" t="s">
        <v>147</v>
      </c>
      <c r="B495" s="22"/>
      <c r="C495" s="3"/>
      <c r="D495" s="15"/>
      <c r="E495" s="4"/>
      <c r="F495" s="22"/>
      <c r="G495" s="54"/>
      <c r="H495" s="280"/>
      <c r="I495" s="205">
        <v>0</v>
      </c>
      <c r="J495" s="206"/>
      <c r="K495" s="280"/>
      <c r="L495" s="205">
        <v>0</v>
      </c>
      <c r="M495" s="206"/>
      <c r="N495" s="280"/>
      <c r="O495" s="205">
        <v>0</v>
      </c>
      <c r="P495" s="206"/>
      <c r="Q495" s="280"/>
      <c r="R495" s="205">
        <v>0</v>
      </c>
      <c r="S495" s="206"/>
      <c r="T495" s="280"/>
      <c r="U495" s="205">
        <v>0</v>
      </c>
      <c r="V495" s="206"/>
      <c r="W495" s="280"/>
      <c r="X495" s="205">
        <v>0</v>
      </c>
      <c r="Y495" s="206"/>
      <c r="Z495" s="280"/>
      <c r="AA495" s="205">
        <v>0</v>
      </c>
      <c r="AB495" s="206"/>
      <c r="AC495" s="280"/>
      <c r="AD495" s="205">
        <v>0</v>
      </c>
      <c r="AE495" s="206"/>
      <c r="AF495" s="280"/>
      <c r="AG495" s="205">
        <v>0</v>
      </c>
      <c r="AH495" s="206"/>
      <c r="AI495" s="280"/>
      <c r="AJ495" s="205">
        <v>0</v>
      </c>
      <c r="AK495" s="206"/>
      <c r="AL495" s="280"/>
      <c r="AM495" s="205">
        <v>0</v>
      </c>
      <c r="AN495" s="206"/>
      <c r="AO495" s="280"/>
      <c r="AP495" s="205">
        <v>0</v>
      </c>
      <c r="AQ495" s="206"/>
      <c r="AR495" s="280"/>
      <c r="AS495" s="205"/>
      <c r="AT495" s="206"/>
      <c r="AU495" s="280"/>
      <c r="AV495" s="205"/>
      <c r="AW495" s="206"/>
      <c r="AX495" s="280"/>
      <c r="AY495" s="205"/>
      <c r="AZ495" s="206"/>
      <c r="BA495" s="280"/>
      <c r="BB495" s="205"/>
      <c r="BC495" s="206"/>
      <c r="BD495" s="280"/>
      <c r="BE495" s="205"/>
      <c r="BF495" s="206"/>
      <c r="BG495" s="280"/>
      <c r="BH495" s="205"/>
      <c r="BI495" s="206"/>
      <c r="BJ495" s="454"/>
    </row>
    <row r="496" spans="1:62" s="28" customFormat="1" hidden="1" outlineLevel="2" x14ac:dyDescent="0.3">
      <c r="A496" s="21" t="s">
        <v>148</v>
      </c>
      <c r="B496" s="22"/>
      <c r="C496" s="3"/>
      <c r="D496" s="15"/>
      <c r="E496" s="4"/>
      <c r="F496" s="22"/>
      <c r="G496" s="54"/>
      <c r="H496" s="280"/>
      <c r="I496" s="205">
        <v>-1869.4</v>
      </c>
      <c r="J496" s="206"/>
      <c r="K496" s="280"/>
      <c r="L496" s="205">
        <v>-1869.4</v>
      </c>
      <c r="M496" s="206"/>
      <c r="N496" s="280"/>
      <c r="O496" s="205">
        <v>-1869.4</v>
      </c>
      <c r="P496" s="206"/>
      <c r="Q496" s="280"/>
      <c r="R496" s="205">
        <v>-1869.4</v>
      </c>
      <c r="S496" s="206"/>
      <c r="T496" s="280"/>
      <c r="U496" s="205">
        <v>-1869.4</v>
      </c>
      <c r="V496" s="206"/>
      <c r="W496" s="280"/>
      <c r="X496" s="205">
        <v>-1947.9148</v>
      </c>
      <c r="Y496" s="206"/>
      <c r="Z496" s="280"/>
      <c r="AA496" s="205">
        <v>-1947.9148</v>
      </c>
      <c r="AB496" s="206"/>
      <c r="AC496" s="280"/>
      <c r="AD496" s="205">
        <v>-1947.9148</v>
      </c>
      <c r="AE496" s="206"/>
      <c r="AF496" s="280"/>
      <c r="AG496" s="205">
        <v>-1947.9148</v>
      </c>
      <c r="AH496" s="206"/>
      <c r="AI496" s="280"/>
      <c r="AJ496" s="205">
        <v>-1947.9148</v>
      </c>
      <c r="AK496" s="206"/>
      <c r="AL496" s="280"/>
      <c r="AM496" s="205">
        <v>-1947.9148</v>
      </c>
      <c r="AN496" s="206"/>
      <c r="AO496" s="280"/>
      <c r="AP496" s="205">
        <v>-1947.9148</v>
      </c>
      <c r="AQ496" s="206"/>
      <c r="AR496" s="280"/>
      <c r="AS496" s="205"/>
      <c r="AT496" s="206"/>
      <c r="AU496" s="280"/>
      <c r="AV496" s="205"/>
      <c r="AW496" s="206"/>
      <c r="AX496" s="280"/>
      <c r="AY496" s="205"/>
      <c r="AZ496" s="206"/>
      <c r="BA496" s="280"/>
      <c r="BB496" s="205"/>
      <c r="BC496" s="206"/>
      <c r="BD496" s="280"/>
      <c r="BE496" s="205"/>
      <c r="BF496" s="206"/>
      <c r="BG496" s="280"/>
      <c r="BH496" s="205"/>
      <c r="BI496" s="206"/>
      <c r="BJ496" s="454"/>
    </row>
    <row r="497" spans="1:62" s="28" customFormat="1" hidden="1" outlineLevel="2" x14ac:dyDescent="0.3">
      <c r="A497" s="21" t="s">
        <v>149</v>
      </c>
      <c r="B497" s="22"/>
      <c r="C497" s="3"/>
      <c r="D497" s="15"/>
      <c r="E497" s="4"/>
      <c r="F497" s="22"/>
      <c r="G497" s="54"/>
      <c r="H497" s="280"/>
      <c r="I497" s="205">
        <v>0</v>
      </c>
      <c r="J497" s="206"/>
      <c r="K497" s="280"/>
      <c r="L497" s="205">
        <v>0</v>
      </c>
      <c r="M497" s="206"/>
      <c r="N497" s="280"/>
      <c r="O497" s="205">
        <v>0</v>
      </c>
      <c r="P497" s="206"/>
      <c r="Q497" s="280"/>
      <c r="R497" s="205">
        <v>0</v>
      </c>
      <c r="S497" s="206"/>
      <c r="T497" s="280"/>
      <c r="U497" s="205">
        <v>0</v>
      </c>
      <c r="V497" s="206"/>
      <c r="W497" s="280"/>
      <c r="X497" s="205">
        <v>0</v>
      </c>
      <c r="Y497" s="206"/>
      <c r="Z497" s="280"/>
      <c r="AA497" s="205">
        <v>0</v>
      </c>
      <c r="AB497" s="206"/>
      <c r="AC497" s="280"/>
      <c r="AD497" s="205">
        <v>0</v>
      </c>
      <c r="AE497" s="206"/>
      <c r="AF497" s="280"/>
      <c r="AG497" s="205">
        <v>0</v>
      </c>
      <c r="AH497" s="206"/>
      <c r="AI497" s="280"/>
      <c r="AJ497" s="205">
        <v>0</v>
      </c>
      <c r="AK497" s="206"/>
      <c r="AL497" s="280"/>
      <c r="AM497" s="205">
        <v>0</v>
      </c>
      <c r="AN497" s="206"/>
      <c r="AO497" s="280"/>
      <c r="AP497" s="205">
        <v>0</v>
      </c>
      <c r="AQ497" s="206"/>
      <c r="AR497" s="280"/>
      <c r="AS497" s="205"/>
      <c r="AT497" s="206"/>
      <c r="AU497" s="280"/>
      <c r="AV497" s="205"/>
      <c r="AW497" s="206"/>
      <c r="AX497" s="280"/>
      <c r="AY497" s="205"/>
      <c r="AZ497" s="206"/>
      <c r="BA497" s="280"/>
      <c r="BB497" s="205"/>
      <c r="BC497" s="206"/>
      <c r="BD497" s="280"/>
      <c r="BE497" s="205"/>
      <c r="BF497" s="206"/>
      <c r="BG497" s="280"/>
      <c r="BH497" s="205"/>
      <c r="BI497" s="206"/>
      <c r="BJ497" s="454"/>
    </row>
    <row r="498" spans="1:62" s="28" customFormat="1" hidden="1" outlineLevel="2" x14ac:dyDescent="0.3">
      <c r="A498" s="21" t="s">
        <v>150</v>
      </c>
      <c r="B498" s="22"/>
      <c r="C498" s="3"/>
      <c r="D498" s="15"/>
      <c r="E498" s="4"/>
      <c r="F498" s="22"/>
      <c r="G498" s="54"/>
      <c r="H498" s="280"/>
      <c r="I498" s="205">
        <v>-1938.56</v>
      </c>
      <c r="J498" s="206"/>
      <c r="K498" s="280"/>
      <c r="L498" s="205">
        <v>-1938.56</v>
      </c>
      <c r="M498" s="206"/>
      <c r="N498" s="280"/>
      <c r="O498" s="205">
        <v>-1938.56</v>
      </c>
      <c r="P498" s="206"/>
      <c r="Q498" s="280"/>
      <c r="R498" s="205">
        <v>-1938.56</v>
      </c>
      <c r="S498" s="206"/>
      <c r="T498" s="280"/>
      <c r="U498" s="205">
        <v>-1938.56</v>
      </c>
      <c r="V498" s="206"/>
      <c r="W498" s="280"/>
      <c r="X498" s="205">
        <v>-2019.9795200000001</v>
      </c>
      <c r="Y498" s="206"/>
      <c r="Z498" s="280"/>
      <c r="AA498" s="205">
        <v>-2019.9795200000001</v>
      </c>
      <c r="AB498" s="206"/>
      <c r="AC498" s="280"/>
      <c r="AD498" s="205">
        <v>-2019.9795200000001</v>
      </c>
      <c r="AE498" s="206"/>
      <c r="AF498" s="280"/>
      <c r="AG498" s="205">
        <v>-2019.9795200000001</v>
      </c>
      <c r="AH498" s="206"/>
      <c r="AI498" s="280"/>
      <c r="AJ498" s="205">
        <v>-2019.9795200000001</v>
      </c>
      <c r="AK498" s="206"/>
      <c r="AL498" s="280"/>
      <c r="AM498" s="205">
        <v>-2019.9795200000001</v>
      </c>
      <c r="AN498" s="206"/>
      <c r="AO498" s="280"/>
      <c r="AP498" s="205">
        <v>-2019.9795200000001</v>
      </c>
      <c r="AQ498" s="206"/>
      <c r="AR498" s="280"/>
      <c r="AS498" s="205"/>
      <c r="AT498" s="206"/>
      <c r="AU498" s="280"/>
      <c r="AV498" s="205"/>
      <c r="AW498" s="206"/>
      <c r="AX498" s="280"/>
      <c r="AY498" s="205"/>
      <c r="AZ498" s="206"/>
      <c r="BA498" s="280"/>
      <c r="BB498" s="205"/>
      <c r="BC498" s="206"/>
      <c r="BD498" s="280"/>
      <c r="BE498" s="205"/>
      <c r="BF498" s="206"/>
      <c r="BG498" s="280"/>
      <c r="BH498" s="205"/>
      <c r="BI498" s="206"/>
      <c r="BJ498" s="454"/>
    </row>
    <row r="499" spans="1:62" s="28" customFormat="1" hidden="1" outlineLevel="2" x14ac:dyDescent="0.3">
      <c r="A499" s="21" t="s">
        <v>151</v>
      </c>
      <c r="B499" s="22"/>
      <c r="C499" s="3"/>
      <c r="D499" s="15"/>
      <c r="E499" s="4"/>
      <c r="F499" s="22"/>
      <c r="G499" s="54"/>
      <c r="H499" s="280"/>
      <c r="I499" s="205">
        <v>-1965.32</v>
      </c>
      <c r="J499" s="206"/>
      <c r="K499" s="280"/>
      <c r="L499" s="205">
        <v>-1965.32</v>
      </c>
      <c r="M499" s="206"/>
      <c r="N499" s="280"/>
      <c r="O499" s="205">
        <v>-1965.32</v>
      </c>
      <c r="P499" s="206"/>
      <c r="Q499" s="280"/>
      <c r="R499" s="205">
        <v>-1965.32</v>
      </c>
      <c r="S499" s="206"/>
      <c r="T499" s="280"/>
      <c r="U499" s="205">
        <v>-1965.32</v>
      </c>
      <c r="V499" s="206"/>
      <c r="W499" s="280"/>
      <c r="X499" s="205">
        <v>-2047.8634400000001</v>
      </c>
      <c r="Y499" s="206"/>
      <c r="Z499" s="280"/>
      <c r="AA499" s="205">
        <v>-2047.8634400000001</v>
      </c>
      <c r="AB499" s="206"/>
      <c r="AC499" s="280"/>
      <c r="AD499" s="205">
        <v>-2047.8634400000001</v>
      </c>
      <c r="AE499" s="206"/>
      <c r="AF499" s="280"/>
      <c r="AG499" s="205">
        <v>-2047.8634400000001</v>
      </c>
      <c r="AH499" s="206"/>
      <c r="AI499" s="280"/>
      <c r="AJ499" s="205">
        <v>-2047.8634400000001</v>
      </c>
      <c r="AK499" s="206"/>
      <c r="AL499" s="280"/>
      <c r="AM499" s="205">
        <v>-2047.8634400000001</v>
      </c>
      <c r="AN499" s="206"/>
      <c r="AO499" s="280"/>
      <c r="AP499" s="205">
        <v>-2047.8634400000001</v>
      </c>
      <c r="AQ499" s="206"/>
      <c r="AR499" s="280"/>
      <c r="AS499" s="205"/>
      <c r="AT499" s="206"/>
      <c r="AU499" s="280"/>
      <c r="AV499" s="205"/>
      <c r="AW499" s="206"/>
      <c r="AX499" s="280"/>
      <c r="AY499" s="205"/>
      <c r="AZ499" s="206"/>
      <c r="BA499" s="280"/>
      <c r="BB499" s="205"/>
      <c r="BC499" s="206"/>
      <c r="BD499" s="280"/>
      <c r="BE499" s="205"/>
      <c r="BF499" s="206"/>
      <c r="BG499" s="280"/>
      <c r="BH499" s="205"/>
      <c r="BI499" s="206"/>
      <c r="BJ499" s="454"/>
    </row>
    <row r="500" spans="1:62" s="28" customFormat="1" hidden="1" outlineLevel="2" x14ac:dyDescent="0.3">
      <c r="A500" s="21" t="s">
        <v>152</v>
      </c>
      <c r="B500" s="22"/>
      <c r="C500" s="3"/>
      <c r="D500" s="15"/>
      <c r="E500" s="4"/>
      <c r="F500" s="22"/>
      <c r="G500" s="54"/>
      <c r="H500" s="280"/>
      <c r="I500" s="205">
        <v>-2563.83</v>
      </c>
      <c r="J500" s="206"/>
      <c r="K500" s="280"/>
      <c r="L500" s="205">
        <v>-2563.83</v>
      </c>
      <c r="M500" s="206"/>
      <c r="N500" s="280"/>
      <c r="O500" s="205">
        <v>-2563.83</v>
      </c>
      <c r="P500" s="206"/>
      <c r="Q500" s="280"/>
      <c r="R500" s="205">
        <v>-2563.83</v>
      </c>
      <c r="S500" s="206"/>
      <c r="T500" s="280"/>
      <c r="U500" s="205">
        <v>-2563.83</v>
      </c>
      <c r="V500" s="206"/>
      <c r="W500" s="280"/>
      <c r="X500" s="205">
        <v>-2671.5108599999999</v>
      </c>
      <c r="Y500" s="206"/>
      <c r="Z500" s="280"/>
      <c r="AA500" s="205">
        <v>-2671.5108599999999</v>
      </c>
      <c r="AB500" s="206"/>
      <c r="AC500" s="280"/>
      <c r="AD500" s="205">
        <v>-2671.5108599999999</v>
      </c>
      <c r="AE500" s="206"/>
      <c r="AF500" s="280"/>
      <c r="AG500" s="205">
        <v>-2671.5108599999999</v>
      </c>
      <c r="AH500" s="206"/>
      <c r="AI500" s="280"/>
      <c r="AJ500" s="205">
        <v>-2671.5108599999999</v>
      </c>
      <c r="AK500" s="206"/>
      <c r="AL500" s="280"/>
      <c r="AM500" s="205">
        <v>-2671.5108599999999</v>
      </c>
      <c r="AN500" s="206"/>
      <c r="AO500" s="280"/>
      <c r="AP500" s="205">
        <v>-2671.5108599999999</v>
      </c>
      <c r="AQ500" s="206"/>
      <c r="AR500" s="280"/>
      <c r="AS500" s="205"/>
      <c r="AT500" s="206"/>
      <c r="AU500" s="280"/>
      <c r="AV500" s="205"/>
      <c r="AW500" s="206"/>
      <c r="AX500" s="280"/>
      <c r="AY500" s="205"/>
      <c r="AZ500" s="206"/>
      <c r="BA500" s="280"/>
      <c r="BB500" s="205"/>
      <c r="BC500" s="206"/>
      <c r="BD500" s="280"/>
      <c r="BE500" s="205"/>
      <c r="BF500" s="206"/>
      <c r="BG500" s="280"/>
      <c r="BH500" s="205"/>
      <c r="BI500" s="206"/>
      <c r="BJ500" s="454"/>
    </row>
    <row r="501" spans="1:62" s="28" customFormat="1" hidden="1" outlineLevel="2" x14ac:dyDescent="0.3">
      <c r="A501" s="21" t="s">
        <v>153</v>
      </c>
      <c r="B501" s="22"/>
      <c r="C501" s="3"/>
      <c r="D501" s="15"/>
      <c r="E501" s="4"/>
      <c r="F501" s="22"/>
      <c r="G501" s="54"/>
      <c r="H501" s="280"/>
      <c r="I501" s="205">
        <v>-1869.4</v>
      </c>
      <c r="J501" s="206"/>
      <c r="K501" s="280"/>
      <c r="L501" s="205">
        <v>-1869.4</v>
      </c>
      <c r="M501" s="206"/>
      <c r="N501" s="280"/>
      <c r="O501" s="205">
        <v>-1869.4</v>
      </c>
      <c r="P501" s="206"/>
      <c r="Q501" s="280"/>
      <c r="R501" s="205">
        <v>-1869.4</v>
      </c>
      <c r="S501" s="206"/>
      <c r="T501" s="280"/>
      <c r="U501" s="205">
        <v>-1869.4</v>
      </c>
      <c r="V501" s="206"/>
      <c r="W501" s="280"/>
      <c r="X501" s="205">
        <v>-1947.9148</v>
      </c>
      <c r="Y501" s="206"/>
      <c r="Z501" s="280"/>
      <c r="AA501" s="205">
        <v>-1947.9148</v>
      </c>
      <c r="AB501" s="206"/>
      <c r="AC501" s="280"/>
      <c r="AD501" s="205">
        <v>-1947.9148</v>
      </c>
      <c r="AE501" s="206"/>
      <c r="AF501" s="280"/>
      <c r="AG501" s="205">
        <v>-1947.9148</v>
      </c>
      <c r="AH501" s="206"/>
      <c r="AI501" s="280"/>
      <c r="AJ501" s="205">
        <v>-1947.9148</v>
      </c>
      <c r="AK501" s="206"/>
      <c r="AL501" s="280"/>
      <c r="AM501" s="205">
        <v>-1947.9148</v>
      </c>
      <c r="AN501" s="206"/>
      <c r="AO501" s="280"/>
      <c r="AP501" s="205">
        <v>-1947.9148</v>
      </c>
      <c r="AQ501" s="206"/>
      <c r="AR501" s="280"/>
      <c r="AS501" s="205"/>
      <c r="AT501" s="206"/>
      <c r="AU501" s="280"/>
      <c r="AV501" s="205"/>
      <c r="AW501" s="206"/>
      <c r="AX501" s="280"/>
      <c r="AY501" s="205"/>
      <c r="AZ501" s="206"/>
      <c r="BA501" s="280"/>
      <c r="BB501" s="205"/>
      <c r="BC501" s="206"/>
      <c r="BD501" s="280"/>
      <c r="BE501" s="205"/>
      <c r="BF501" s="206"/>
      <c r="BG501" s="280"/>
      <c r="BH501" s="205"/>
      <c r="BI501" s="206"/>
      <c r="BJ501" s="454"/>
    </row>
    <row r="502" spans="1:62" s="28" customFormat="1" hidden="1" outlineLevel="2" x14ac:dyDescent="0.3">
      <c r="A502" s="21" t="s">
        <v>154</v>
      </c>
      <c r="B502" s="22"/>
      <c r="C502" s="3"/>
      <c r="D502" s="15"/>
      <c r="E502" s="4"/>
      <c r="F502" s="22"/>
      <c r="G502" s="54"/>
      <c r="H502" s="280"/>
      <c r="I502" s="205">
        <v>-2330.67</v>
      </c>
      <c r="J502" s="206"/>
      <c r="K502" s="280"/>
      <c r="L502" s="205">
        <v>-2330.67</v>
      </c>
      <c r="M502" s="206"/>
      <c r="N502" s="280"/>
      <c r="O502" s="205">
        <v>-2330.67</v>
      </c>
      <c r="P502" s="206"/>
      <c r="Q502" s="280"/>
      <c r="R502" s="205">
        <v>-2330.67</v>
      </c>
      <c r="S502" s="206"/>
      <c r="T502" s="280"/>
      <c r="U502" s="205">
        <v>-2330.67</v>
      </c>
      <c r="V502" s="206"/>
      <c r="W502" s="280"/>
      <c r="X502" s="205">
        <v>-2428.5581400000001</v>
      </c>
      <c r="Y502" s="206"/>
      <c r="Z502" s="280"/>
      <c r="AA502" s="205">
        <v>-2428.5581400000001</v>
      </c>
      <c r="AB502" s="206"/>
      <c r="AC502" s="280"/>
      <c r="AD502" s="205">
        <v>-2428.5581400000001</v>
      </c>
      <c r="AE502" s="206"/>
      <c r="AF502" s="280"/>
      <c r="AG502" s="205">
        <v>-2428.5581400000001</v>
      </c>
      <c r="AH502" s="206"/>
      <c r="AI502" s="280"/>
      <c r="AJ502" s="205">
        <v>-2428.5581400000001</v>
      </c>
      <c r="AK502" s="206"/>
      <c r="AL502" s="280"/>
      <c r="AM502" s="205">
        <v>-2428.5581400000001</v>
      </c>
      <c r="AN502" s="206"/>
      <c r="AO502" s="280"/>
      <c r="AP502" s="205">
        <v>-2428.5581400000001</v>
      </c>
      <c r="AQ502" s="206"/>
      <c r="AR502" s="280"/>
      <c r="AS502" s="205"/>
      <c r="AT502" s="206"/>
      <c r="AU502" s="280"/>
      <c r="AV502" s="205"/>
      <c r="AW502" s="206"/>
      <c r="AX502" s="280"/>
      <c r="AY502" s="205"/>
      <c r="AZ502" s="206"/>
      <c r="BA502" s="280"/>
      <c r="BB502" s="205"/>
      <c r="BC502" s="206"/>
      <c r="BD502" s="280"/>
      <c r="BE502" s="205"/>
      <c r="BF502" s="206"/>
      <c r="BG502" s="280"/>
      <c r="BH502" s="205"/>
      <c r="BI502" s="206"/>
      <c r="BJ502" s="454"/>
    </row>
    <row r="503" spans="1:62" s="28" customFormat="1" hidden="1" outlineLevel="2" x14ac:dyDescent="0.3">
      <c r="A503" s="21" t="s">
        <v>155</v>
      </c>
      <c r="B503" s="22"/>
      <c r="C503" s="3"/>
      <c r="D503" s="15"/>
      <c r="E503" s="4"/>
      <c r="F503" s="22"/>
      <c r="G503" s="54"/>
      <c r="H503" s="280"/>
      <c r="I503" s="205">
        <v>-2553.88</v>
      </c>
      <c r="J503" s="206"/>
      <c r="K503" s="280"/>
      <c r="L503" s="205">
        <v>-2553.88</v>
      </c>
      <c r="M503" s="206"/>
      <c r="N503" s="280"/>
      <c r="O503" s="205">
        <v>-2553.88</v>
      </c>
      <c r="P503" s="206"/>
      <c r="Q503" s="280"/>
      <c r="R503" s="205">
        <v>-2553.88</v>
      </c>
      <c r="S503" s="206"/>
      <c r="T503" s="280"/>
      <c r="U503" s="205">
        <v>-2553.88</v>
      </c>
      <c r="V503" s="206"/>
      <c r="W503" s="280"/>
      <c r="X503" s="205">
        <v>-2661.1429600000001</v>
      </c>
      <c r="Y503" s="206"/>
      <c r="Z503" s="280"/>
      <c r="AA503" s="205">
        <v>-2661.1429600000001</v>
      </c>
      <c r="AB503" s="206"/>
      <c r="AC503" s="280"/>
      <c r="AD503" s="205">
        <v>-2661.1429600000001</v>
      </c>
      <c r="AE503" s="206"/>
      <c r="AF503" s="280"/>
      <c r="AG503" s="205">
        <v>-2661.1429600000001</v>
      </c>
      <c r="AH503" s="206"/>
      <c r="AI503" s="280"/>
      <c r="AJ503" s="205">
        <v>-2661.1429600000001</v>
      </c>
      <c r="AK503" s="206"/>
      <c r="AL503" s="280"/>
      <c r="AM503" s="205">
        <v>-2661.1429600000001</v>
      </c>
      <c r="AN503" s="206"/>
      <c r="AO503" s="280"/>
      <c r="AP503" s="205">
        <v>-2661.1429600000001</v>
      </c>
      <c r="AQ503" s="206"/>
      <c r="AR503" s="280"/>
      <c r="AS503" s="205"/>
      <c r="AT503" s="206"/>
      <c r="AU503" s="280"/>
      <c r="AV503" s="205"/>
      <c r="AW503" s="206"/>
      <c r="AX503" s="280"/>
      <c r="AY503" s="205"/>
      <c r="AZ503" s="206"/>
      <c r="BA503" s="280"/>
      <c r="BB503" s="205"/>
      <c r="BC503" s="206"/>
      <c r="BD503" s="280"/>
      <c r="BE503" s="205"/>
      <c r="BF503" s="206"/>
      <c r="BG503" s="280"/>
      <c r="BH503" s="205"/>
      <c r="BI503" s="206"/>
      <c r="BJ503" s="454"/>
    </row>
    <row r="504" spans="1:62" s="28" customFormat="1" hidden="1" outlineLevel="2" x14ac:dyDescent="0.3">
      <c r="A504" s="21" t="s">
        <v>156</v>
      </c>
      <c r="B504" s="22"/>
      <c r="C504" s="3"/>
      <c r="D504" s="15"/>
      <c r="E504" s="4"/>
      <c r="F504" s="22"/>
      <c r="G504" s="54"/>
      <c r="H504" s="280"/>
      <c r="I504" s="205">
        <v>0</v>
      </c>
      <c r="J504" s="206"/>
      <c r="K504" s="280"/>
      <c r="L504" s="205">
        <v>0</v>
      </c>
      <c r="M504" s="206"/>
      <c r="N504" s="280"/>
      <c r="O504" s="205">
        <v>0</v>
      </c>
      <c r="P504" s="206"/>
      <c r="Q504" s="280"/>
      <c r="R504" s="205">
        <v>0</v>
      </c>
      <c r="S504" s="206"/>
      <c r="T504" s="280"/>
      <c r="U504" s="205">
        <v>0</v>
      </c>
      <c r="V504" s="206"/>
      <c r="W504" s="280"/>
      <c r="X504" s="205">
        <v>0</v>
      </c>
      <c r="Y504" s="206"/>
      <c r="Z504" s="280"/>
      <c r="AA504" s="205">
        <v>0</v>
      </c>
      <c r="AB504" s="206"/>
      <c r="AC504" s="280"/>
      <c r="AD504" s="205">
        <v>0</v>
      </c>
      <c r="AE504" s="206"/>
      <c r="AF504" s="280"/>
      <c r="AG504" s="205">
        <v>0</v>
      </c>
      <c r="AH504" s="206"/>
      <c r="AI504" s="280"/>
      <c r="AJ504" s="205">
        <v>0</v>
      </c>
      <c r="AK504" s="206"/>
      <c r="AL504" s="280"/>
      <c r="AM504" s="205">
        <v>0</v>
      </c>
      <c r="AN504" s="206"/>
      <c r="AO504" s="280"/>
      <c r="AP504" s="205">
        <v>0</v>
      </c>
      <c r="AQ504" s="206"/>
      <c r="AR504" s="280"/>
      <c r="AS504" s="205"/>
      <c r="AT504" s="206"/>
      <c r="AU504" s="280"/>
      <c r="AV504" s="205"/>
      <c r="AW504" s="206"/>
      <c r="AX504" s="280"/>
      <c r="AY504" s="205"/>
      <c r="AZ504" s="206"/>
      <c r="BA504" s="280"/>
      <c r="BB504" s="205"/>
      <c r="BC504" s="206"/>
      <c r="BD504" s="280"/>
      <c r="BE504" s="205"/>
      <c r="BF504" s="206"/>
      <c r="BG504" s="280"/>
      <c r="BH504" s="205"/>
      <c r="BI504" s="206"/>
      <c r="BJ504" s="454"/>
    </row>
    <row r="505" spans="1:62" s="28" customFormat="1" hidden="1" outlineLevel="2" x14ac:dyDescent="0.3">
      <c r="A505" s="21" t="s">
        <v>157</v>
      </c>
      <c r="B505" s="22"/>
      <c r="C505" s="3"/>
      <c r="D505" s="15"/>
      <c r="E505" s="4"/>
      <c r="F505" s="22"/>
      <c r="G505" s="54"/>
      <c r="H505" s="280"/>
      <c r="I505" s="205">
        <v>0</v>
      </c>
      <c r="J505" s="206"/>
      <c r="K505" s="280"/>
      <c r="L505" s="205">
        <v>0</v>
      </c>
      <c r="M505" s="206"/>
      <c r="N505" s="280"/>
      <c r="O505" s="205">
        <v>0</v>
      </c>
      <c r="P505" s="206"/>
      <c r="Q505" s="280"/>
      <c r="R505" s="205">
        <v>0</v>
      </c>
      <c r="S505" s="206"/>
      <c r="T505" s="280"/>
      <c r="U505" s="205">
        <v>0</v>
      </c>
      <c r="V505" s="206"/>
      <c r="W505" s="280"/>
      <c r="X505" s="205">
        <v>0</v>
      </c>
      <c r="Y505" s="206"/>
      <c r="Z505" s="280"/>
      <c r="AA505" s="205">
        <v>0</v>
      </c>
      <c r="AB505" s="206"/>
      <c r="AC505" s="280"/>
      <c r="AD505" s="205">
        <v>0</v>
      </c>
      <c r="AE505" s="206"/>
      <c r="AF505" s="280"/>
      <c r="AG505" s="205">
        <v>0</v>
      </c>
      <c r="AH505" s="206"/>
      <c r="AI505" s="280"/>
      <c r="AJ505" s="205">
        <v>0</v>
      </c>
      <c r="AK505" s="206"/>
      <c r="AL505" s="280"/>
      <c r="AM505" s="205">
        <v>0</v>
      </c>
      <c r="AN505" s="206"/>
      <c r="AO505" s="280"/>
      <c r="AP505" s="205">
        <v>0</v>
      </c>
      <c r="AQ505" s="206"/>
      <c r="AR505" s="280"/>
      <c r="AS505" s="205"/>
      <c r="AT505" s="206"/>
      <c r="AU505" s="280"/>
      <c r="AV505" s="205"/>
      <c r="AW505" s="206"/>
      <c r="AX505" s="280"/>
      <c r="AY505" s="205"/>
      <c r="AZ505" s="206"/>
      <c r="BA505" s="280"/>
      <c r="BB505" s="205"/>
      <c r="BC505" s="206"/>
      <c r="BD505" s="280"/>
      <c r="BE505" s="205"/>
      <c r="BF505" s="206"/>
      <c r="BG505" s="280"/>
      <c r="BH505" s="205"/>
      <c r="BI505" s="206"/>
      <c r="BJ505" s="454"/>
    </row>
    <row r="506" spans="1:62" s="28" customFormat="1" hidden="1" outlineLevel="2" x14ac:dyDescent="0.3">
      <c r="A506" s="21" t="s">
        <v>158</v>
      </c>
      <c r="B506" s="22"/>
      <c r="C506" s="3"/>
      <c r="D506" s="15"/>
      <c r="E506" s="4"/>
      <c r="F506" s="22"/>
      <c r="G506" s="54"/>
      <c r="H506" s="280"/>
      <c r="I506" s="205">
        <v>0</v>
      </c>
      <c r="J506" s="206"/>
      <c r="K506" s="280"/>
      <c r="L506" s="205">
        <v>0</v>
      </c>
      <c r="M506" s="206"/>
      <c r="N506" s="280"/>
      <c r="O506" s="205">
        <v>0</v>
      </c>
      <c r="P506" s="206"/>
      <c r="Q506" s="280"/>
      <c r="R506" s="205">
        <v>0</v>
      </c>
      <c r="S506" s="206"/>
      <c r="T506" s="280"/>
      <c r="U506" s="205">
        <v>0</v>
      </c>
      <c r="V506" s="206"/>
      <c r="W506" s="280"/>
      <c r="X506" s="205">
        <v>0</v>
      </c>
      <c r="Y506" s="206"/>
      <c r="Z506" s="280"/>
      <c r="AA506" s="205">
        <v>0</v>
      </c>
      <c r="AB506" s="206"/>
      <c r="AC506" s="280"/>
      <c r="AD506" s="205">
        <v>0</v>
      </c>
      <c r="AE506" s="206"/>
      <c r="AF506" s="280"/>
      <c r="AG506" s="205">
        <v>0</v>
      </c>
      <c r="AH506" s="206"/>
      <c r="AI506" s="280"/>
      <c r="AJ506" s="205">
        <v>0</v>
      </c>
      <c r="AK506" s="206"/>
      <c r="AL506" s="280"/>
      <c r="AM506" s="205">
        <v>0</v>
      </c>
      <c r="AN506" s="206"/>
      <c r="AO506" s="280"/>
      <c r="AP506" s="205">
        <v>0</v>
      </c>
      <c r="AQ506" s="206"/>
      <c r="AR506" s="280"/>
      <c r="AS506" s="205"/>
      <c r="AT506" s="206"/>
      <c r="AU506" s="280"/>
      <c r="AV506" s="205"/>
      <c r="AW506" s="206"/>
      <c r="AX506" s="280"/>
      <c r="AY506" s="205"/>
      <c r="AZ506" s="206"/>
      <c r="BA506" s="280"/>
      <c r="BB506" s="205"/>
      <c r="BC506" s="206"/>
      <c r="BD506" s="280"/>
      <c r="BE506" s="205"/>
      <c r="BF506" s="206"/>
      <c r="BG506" s="280"/>
      <c r="BH506" s="205"/>
      <c r="BI506" s="206"/>
      <c r="BJ506" s="454"/>
    </row>
    <row r="507" spans="1:62" s="28" customFormat="1" hidden="1" outlineLevel="2" x14ac:dyDescent="0.3">
      <c r="A507" s="21" t="s">
        <v>159</v>
      </c>
      <c r="B507" s="22"/>
      <c r="C507" s="3"/>
      <c r="D507" s="15"/>
      <c r="E507" s="4"/>
      <c r="F507" s="22"/>
      <c r="G507" s="54"/>
      <c r="H507" s="280"/>
      <c r="I507" s="205">
        <v>0</v>
      </c>
      <c r="J507" s="206"/>
      <c r="K507" s="280"/>
      <c r="L507" s="205">
        <v>0</v>
      </c>
      <c r="M507" s="206"/>
      <c r="N507" s="280"/>
      <c r="O507" s="205">
        <v>0</v>
      </c>
      <c r="P507" s="206"/>
      <c r="Q507" s="280"/>
      <c r="R507" s="205">
        <v>0</v>
      </c>
      <c r="S507" s="206"/>
      <c r="T507" s="280"/>
      <c r="U507" s="205">
        <v>0</v>
      </c>
      <c r="V507" s="206"/>
      <c r="W507" s="280"/>
      <c r="X507" s="205">
        <v>0</v>
      </c>
      <c r="Y507" s="206"/>
      <c r="Z507" s="280"/>
      <c r="AA507" s="205">
        <v>0</v>
      </c>
      <c r="AB507" s="206"/>
      <c r="AC507" s="280"/>
      <c r="AD507" s="205">
        <v>0</v>
      </c>
      <c r="AE507" s="206"/>
      <c r="AF507" s="280"/>
      <c r="AG507" s="205">
        <v>0</v>
      </c>
      <c r="AH507" s="206"/>
      <c r="AI507" s="280"/>
      <c r="AJ507" s="205">
        <v>0</v>
      </c>
      <c r="AK507" s="206"/>
      <c r="AL507" s="280"/>
      <c r="AM507" s="205">
        <v>0</v>
      </c>
      <c r="AN507" s="206"/>
      <c r="AO507" s="280"/>
      <c r="AP507" s="205">
        <v>0</v>
      </c>
      <c r="AQ507" s="206"/>
      <c r="AR507" s="280"/>
      <c r="AS507" s="205"/>
      <c r="AT507" s="206"/>
      <c r="AU507" s="280"/>
      <c r="AV507" s="205"/>
      <c r="AW507" s="206"/>
      <c r="AX507" s="280"/>
      <c r="AY507" s="205"/>
      <c r="AZ507" s="206"/>
      <c r="BA507" s="280"/>
      <c r="BB507" s="205"/>
      <c r="BC507" s="206"/>
      <c r="BD507" s="280"/>
      <c r="BE507" s="205"/>
      <c r="BF507" s="206"/>
      <c r="BG507" s="280"/>
      <c r="BH507" s="205"/>
      <c r="BI507" s="206"/>
      <c r="BJ507" s="454"/>
    </row>
    <row r="508" spans="1:62" s="28" customFormat="1" ht="15.75" hidden="1" customHeight="1" outlineLevel="2" x14ac:dyDescent="0.3">
      <c r="A508" s="21" t="s">
        <v>160</v>
      </c>
      <c r="B508" s="22"/>
      <c r="C508" s="3"/>
      <c r="D508" s="15"/>
      <c r="E508" s="4"/>
      <c r="F508" s="22"/>
      <c r="G508" s="54"/>
      <c r="H508" s="280"/>
      <c r="I508" s="205">
        <v>0</v>
      </c>
      <c r="J508" s="206"/>
      <c r="K508" s="280"/>
      <c r="L508" s="205">
        <v>0</v>
      </c>
      <c r="M508" s="206"/>
      <c r="N508" s="280"/>
      <c r="O508" s="205">
        <v>0</v>
      </c>
      <c r="P508" s="206"/>
      <c r="Q508" s="280"/>
      <c r="R508" s="205">
        <v>0</v>
      </c>
      <c r="S508" s="206"/>
      <c r="T508" s="280"/>
      <c r="U508" s="205">
        <v>0</v>
      </c>
      <c r="V508" s="206"/>
      <c r="W508" s="280"/>
      <c r="X508" s="205">
        <v>0</v>
      </c>
      <c r="Y508" s="206"/>
      <c r="Z508" s="280"/>
      <c r="AA508" s="205">
        <v>0</v>
      </c>
      <c r="AB508" s="206"/>
      <c r="AC508" s="280"/>
      <c r="AD508" s="205">
        <v>0</v>
      </c>
      <c r="AE508" s="206"/>
      <c r="AF508" s="280"/>
      <c r="AG508" s="205">
        <v>0</v>
      </c>
      <c r="AH508" s="206"/>
      <c r="AI508" s="280"/>
      <c r="AJ508" s="205">
        <v>0</v>
      </c>
      <c r="AK508" s="206"/>
      <c r="AL508" s="280"/>
      <c r="AM508" s="205">
        <v>0</v>
      </c>
      <c r="AN508" s="206"/>
      <c r="AO508" s="280"/>
      <c r="AP508" s="205">
        <v>0</v>
      </c>
      <c r="AQ508" s="206"/>
      <c r="AR508" s="280"/>
      <c r="AS508" s="205"/>
      <c r="AT508" s="206"/>
      <c r="AU508" s="280"/>
      <c r="AV508" s="205"/>
      <c r="AW508" s="206"/>
      <c r="AX508" s="280"/>
      <c r="AY508" s="205"/>
      <c r="AZ508" s="206"/>
      <c r="BA508" s="280"/>
      <c r="BB508" s="205"/>
      <c r="BC508" s="206"/>
      <c r="BD508" s="280"/>
      <c r="BE508" s="205"/>
      <c r="BF508" s="206"/>
      <c r="BG508" s="280"/>
      <c r="BH508" s="205"/>
      <c r="BI508" s="206"/>
      <c r="BJ508" s="454"/>
    </row>
    <row r="509" spans="1:62" s="28" customFormat="1" hidden="1" outlineLevel="2" x14ac:dyDescent="0.3">
      <c r="A509" s="21" t="s">
        <v>161</v>
      </c>
      <c r="B509" s="22"/>
      <c r="C509" s="3"/>
      <c r="D509" s="15"/>
      <c r="E509" s="4"/>
      <c r="F509" s="22"/>
      <c r="G509" s="54"/>
      <c r="H509" s="280"/>
      <c r="I509" s="205">
        <v>0</v>
      </c>
      <c r="J509" s="206"/>
      <c r="K509" s="280"/>
      <c r="L509" s="205">
        <v>0</v>
      </c>
      <c r="M509" s="206"/>
      <c r="N509" s="280"/>
      <c r="O509" s="205">
        <v>0</v>
      </c>
      <c r="P509" s="206"/>
      <c r="Q509" s="280"/>
      <c r="R509" s="205">
        <v>0</v>
      </c>
      <c r="S509" s="206"/>
      <c r="T509" s="280"/>
      <c r="U509" s="205">
        <v>0</v>
      </c>
      <c r="V509" s="206"/>
      <c r="W509" s="280"/>
      <c r="X509" s="205">
        <v>0</v>
      </c>
      <c r="Y509" s="206"/>
      <c r="Z509" s="280"/>
      <c r="AA509" s="205">
        <v>0</v>
      </c>
      <c r="AB509" s="206"/>
      <c r="AC509" s="280"/>
      <c r="AD509" s="205">
        <v>0</v>
      </c>
      <c r="AE509" s="206"/>
      <c r="AF509" s="280"/>
      <c r="AG509" s="205">
        <v>0</v>
      </c>
      <c r="AH509" s="206"/>
      <c r="AI509" s="280"/>
      <c r="AJ509" s="205">
        <v>0</v>
      </c>
      <c r="AK509" s="206"/>
      <c r="AL509" s="280"/>
      <c r="AM509" s="205">
        <v>0</v>
      </c>
      <c r="AN509" s="206"/>
      <c r="AO509" s="280"/>
      <c r="AP509" s="205">
        <v>0</v>
      </c>
      <c r="AQ509" s="206"/>
      <c r="AR509" s="280"/>
      <c r="AS509" s="205"/>
      <c r="AT509" s="206"/>
      <c r="AU509" s="280"/>
      <c r="AV509" s="205"/>
      <c r="AW509" s="206"/>
      <c r="AX509" s="280"/>
      <c r="AY509" s="205"/>
      <c r="AZ509" s="206"/>
      <c r="BA509" s="280"/>
      <c r="BB509" s="205"/>
      <c r="BC509" s="206"/>
      <c r="BD509" s="280"/>
      <c r="BE509" s="205"/>
      <c r="BF509" s="206"/>
      <c r="BG509" s="280"/>
      <c r="BH509" s="205"/>
      <c r="BI509" s="206"/>
      <c r="BJ509" s="454"/>
    </row>
    <row r="510" spans="1:62" s="28" customFormat="1" hidden="1" outlineLevel="2" x14ac:dyDescent="0.3">
      <c r="A510" s="21" t="s">
        <v>162</v>
      </c>
      <c r="B510" s="22"/>
      <c r="C510" s="3"/>
      <c r="D510" s="15"/>
      <c r="E510" s="4"/>
      <c r="F510" s="22"/>
      <c r="G510" s="54"/>
      <c r="H510" s="280"/>
      <c r="I510" s="205">
        <v>-1938.56</v>
      </c>
      <c r="J510" s="206"/>
      <c r="K510" s="280"/>
      <c r="L510" s="205">
        <v>-1938.56</v>
      </c>
      <c r="M510" s="206"/>
      <c r="N510" s="280"/>
      <c r="O510" s="205">
        <v>-1938.56</v>
      </c>
      <c r="P510" s="206"/>
      <c r="Q510" s="280"/>
      <c r="R510" s="205">
        <v>-1938.56</v>
      </c>
      <c r="S510" s="206"/>
      <c r="T510" s="280"/>
      <c r="U510" s="205">
        <v>-1938.56</v>
      </c>
      <c r="V510" s="206"/>
      <c r="W510" s="280"/>
      <c r="X510" s="205">
        <v>-2019.9795200000001</v>
      </c>
      <c r="Y510" s="206"/>
      <c r="Z510" s="280"/>
      <c r="AA510" s="205">
        <v>-2019.9795200000001</v>
      </c>
      <c r="AB510" s="206"/>
      <c r="AC510" s="280"/>
      <c r="AD510" s="205">
        <v>-2019.9795200000001</v>
      </c>
      <c r="AE510" s="206"/>
      <c r="AF510" s="280"/>
      <c r="AG510" s="205">
        <v>-2019.9795200000001</v>
      </c>
      <c r="AH510" s="206"/>
      <c r="AI510" s="280"/>
      <c r="AJ510" s="205">
        <v>-2019.9795200000001</v>
      </c>
      <c r="AK510" s="206"/>
      <c r="AL510" s="280"/>
      <c r="AM510" s="205">
        <v>-2019.9795200000001</v>
      </c>
      <c r="AN510" s="206"/>
      <c r="AO510" s="280"/>
      <c r="AP510" s="205">
        <v>-2019.9795200000001</v>
      </c>
      <c r="AQ510" s="206"/>
      <c r="AR510" s="280"/>
      <c r="AS510" s="205"/>
      <c r="AT510" s="206"/>
      <c r="AU510" s="280"/>
      <c r="AV510" s="205"/>
      <c r="AW510" s="206"/>
      <c r="AX510" s="280"/>
      <c r="AY510" s="205"/>
      <c r="AZ510" s="206"/>
      <c r="BA510" s="280"/>
      <c r="BB510" s="205"/>
      <c r="BC510" s="206"/>
      <c r="BD510" s="280"/>
      <c r="BE510" s="205"/>
      <c r="BF510" s="206"/>
      <c r="BG510" s="280"/>
      <c r="BH510" s="205"/>
      <c r="BI510" s="206"/>
      <c r="BJ510" s="454"/>
    </row>
    <row r="511" spans="1:62" s="28" customFormat="1" hidden="1" outlineLevel="2" x14ac:dyDescent="0.3">
      <c r="A511" s="21" t="s">
        <v>163</v>
      </c>
      <c r="B511" s="22"/>
      <c r="C511" s="3"/>
      <c r="D511" s="15"/>
      <c r="E511" s="4"/>
      <c r="F511" s="22"/>
      <c r="G511" s="54"/>
      <c r="H511" s="280"/>
      <c r="I511" s="205">
        <v>-2229.34</v>
      </c>
      <c r="J511" s="206"/>
      <c r="K511" s="280"/>
      <c r="L511" s="205">
        <v>-2229.34</v>
      </c>
      <c r="M511" s="206"/>
      <c r="N511" s="280"/>
      <c r="O511" s="205">
        <v>-2229.34</v>
      </c>
      <c r="P511" s="206"/>
      <c r="Q511" s="280"/>
      <c r="R511" s="205">
        <v>-2229.34</v>
      </c>
      <c r="S511" s="206"/>
      <c r="T511" s="280"/>
      <c r="U511" s="205">
        <v>-2229.34</v>
      </c>
      <c r="V511" s="206"/>
      <c r="W511" s="280"/>
      <c r="X511" s="205">
        <v>-2322.97228</v>
      </c>
      <c r="Y511" s="206"/>
      <c r="Z511" s="280"/>
      <c r="AA511" s="205">
        <v>-2322.97228</v>
      </c>
      <c r="AB511" s="206"/>
      <c r="AC511" s="280"/>
      <c r="AD511" s="205">
        <v>-2322.97228</v>
      </c>
      <c r="AE511" s="206"/>
      <c r="AF511" s="280"/>
      <c r="AG511" s="205">
        <v>-2322.97228</v>
      </c>
      <c r="AH511" s="206"/>
      <c r="AI511" s="280"/>
      <c r="AJ511" s="205">
        <v>-2322.97228</v>
      </c>
      <c r="AK511" s="206"/>
      <c r="AL511" s="280"/>
      <c r="AM511" s="205">
        <v>-2322.97228</v>
      </c>
      <c r="AN511" s="206"/>
      <c r="AO511" s="280"/>
      <c r="AP511" s="205">
        <v>-2322.97228</v>
      </c>
      <c r="AQ511" s="206"/>
      <c r="AR511" s="280"/>
      <c r="AS511" s="205"/>
      <c r="AT511" s="206"/>
      <c r="AU511" s="280"/>
      <c r="AV511" s="205"/>
      <c r="AW511" s="206"/>
      <c r="AX511" s="280"/>
      <c r="AY511" s="205"/>
      <c r="AZ511" s="206"/>
      <c r="BA511" s="280"/>
      <c r="BB511" s="205"/>
      <c r="BC511" s="206"/>
      <c r="BD511" s="280"/>
      <c r="BE511" s="205"/>
      <c r="BF511" s="206"/>
      <c r="BG511" s="280"/>
      <c r="BH511" s="205"/>
      <c r="BI511" s="206"/>
      <c r="BJ511" s="454"/>
    </row>
    <row r="512" spans="1:62" s="28" customFormat="1" hidden="1" outlineLevel="2" x14ac:dyDescent="0.3">
      <c r="A512" s="21" t="s">
        <v>164</v>
      </c>
      <c r="B512" s="22"/>
      <c r="C512" s="3"/>
      <c r="D512" s="15"/>
      <c r="E512" s="4"/>
      <c r="F512" s="22"/>
      <c r="G512" s="54"/>
      <c r="H512" s="280"/>
      <c r="I512" s="205">
        <v>-2563.75</v>
      </c>
      <c r="J512" s="206"/>
      <c r="K512" s="280"/>
      <c r="L512" s="205">
        <v>-2563.75</v>
      </c>
      <c r="M512" s="206"/>
      <c r="N512" s="280"/>
      <c r="O512" s="205">
        <v>-2563.75</v>
      </c>
      <c r="P512" s="206"/>
      <c r="Q512" s="280"/>
      <c r="R512" s="205">
        <v>-2563.75</v>
      </c>
      <c r="S512" s="206"/>
      <c r="T512" s="280"/>
      <c r="U512" s="205">
        <v>-2563.75</v>
      </c>
      <c r="V512" s="206"/>
      <c r="W512" s="280"/>
      <c r="X512" s="205">
        <v>-2671.4274999999998</v>
      </c>
      <c r="Y512" s="206"/>
      <c r="Z512" s="280"/>
      <c r="AA512" s="205">
        <v>-2671.4274999999998</v>
      </c>
      <c r="AB512" s="206"/>
      <c r="AC512" s="280"/>
      <c r="AD512" s="205">
        <v>-2671.4274999999998</v>
      </c>
      <c r="AE512" s="206"/>
      <c r="AF512" s="280"/>
      <c r="AG512" s="205">
        <v>-2671.4274999999998</v>
      </c>
      <c r="AH512" s="206"/>
      <c r="AI512" s="280"/>
      <c r="AJ512" s="205">
        <v>-2671.4274999999998</v>
      </c>
      <c r="AK512" s="206"/>
      <c r="AL512" s="280"/>
      <c r="AM512" s="205">
        <v>-2671.4274999999998</v>
      </c>
      <c r="AN512" s="206"/>
      <c r="AO512" s="280"/>
      <c r="AP512" s="205">
        <v>-2671.4274999999998</v>
      </c>
      <c r="AQ512" s="206"/>
      <c r="AR512" s="280"/>
      <c r="AS512" s="205"/>
      <c r="AT512" s="206"/>
      <c r="AU512" s="280"/>
      <c r="AV512" s="205"/>
      <c r="AW512" s="206"/>
      <c r="AX512" s="280"/>
      <c r="AY512" s="205"/>
      <c r="AZ512" s="206"/>
      <c r="BA512" s="280"/>
      <c r="BB512" s="205"/>
      <c r="BC512" s="206"/>
      <c r="BD512" s="280"/>
      <c r="BE512" s="205"/>
      <c r="BF512" s="206"/>
      <c r="BG512" s="280"/>
      <c r="BH512" s="205"/>
      <c r="BI512" s="206"/>
      <c r="BJ512" s="454"/>
    </row>
    <row r="513" spans="1:62" s="28" customFormat="1" hidden="1" outlineLevel="2" x14ac:dyDescent="0.3">
      <c r="A513" s="21" t="s">
        <v>165</v>
      </c>
      <c r="B513" s="22"/>
      <c r="C513" s="3"/>
      <c r="D513" s="15"/>
      <c r="E513" s="4"/>
      <c r="F513" s="22"/>
      <c r="G513" s="54"/>
      <c r="H513" s="280"/>
      <c r="I513" s="205">
        <v>0</v>
      </c>
      <c r="J513" s="206"/>
      <c r="K513" s="280"/>
      <c r="L513" s="205">
        <v>0</v>
      </c>
      <c r="M513" s="206"/>
      <c r="N513" s="280"/>
      <c r="O513" s="205">
        <v>0</v>
      </c>
      <c r="P513" s="206"/>
      <c r="Q513" s="280"/>
      <c r="R513" s="205">
        <v>0</v>
      </c>
      <c r="S513" s="206"/>
      <c r="T513" s="280"/>
      <c r="U513" s="205">
        <v>0</v>
      </c>
      <c r="V513" s="206"/>
      <c r="W513" s="280"/>
      <c r="X513" s="205">
        <v>0</v>
      </c>
      <c r="Y513" s="206"/>
      <c r="Z513" s="280"/>
      <c r="AA513" s="205">
        <v>0</v>
      </c>
      <c r="AB513" s="206"/>
      <c r="AC513" s="280"/>
      <c r="AD513" s="205">
        <v>0</v>
      </c>
      <c r="AE513" s="206"/>
      <c r="AF513" s="280"/>
      <c r="AG513" s="205">
        <v>0</v>
      </c>
      <c r="AH513" s="206"/>
      <c r="AI513" s="280"/>
      <c r="AJ513" s="205">
        <v>0</v>
      </c>
      <c r="AK513" s="206"/>
      <c r="AL513" s="280"/>
      <c r="AM513" s="205">
        <v>0</v>
      </c>
      <c r="AN513" s="206"/>
      <c r="AO513" s="280"/>
      <c r="AP513" s="205">
        <v>0</v>
      </c>
      <c r="AQ513" s="206"/>
      <c r="AR513" s="280"/>
      <c r="AS513" s="205"/>
      <c r="AT513" s="206"/>
      <c r="AU513" s="280"/>
      <c r="AV513" s="205"/>
      <c r="AW513" s="206"/>
      <c r="AX513" s="280"/>
      <c r="AY513" s="205"/>
      <c r="AZ513" s="206"/>
      <c r="BA513" s="280"/>
      <c r="BB513" s="205"/>
      <c r="BC513" s="206"/>
      <c r="BD513" s="280"/>
      <c r="BE513" s="205"/>
      <c r="BF513" s="206"/>
      <c r="BG513" s="280"/>
      <c r="BH513" s="205"/>
      <c r="BI513" s="206"/>
      <c r="BJ513" s="454"/>
    </row>
    <row r="514" spans="1:62" s="28" customFormat="1" hidden="1" outlineLevel="2" x14ac:dyDescent="0.3">
      <c r="A514" s="21" t="s">
        <v>166</v>
      </c>
      <c r="B514" s="22"/>
      <c r="C514" s="3"/>
      <c r="D514" s="15"/>
      <c r="E514" s="4"/>
      <c r="F514" s="22"/>
      <c r="G514" s="54"/>
      <c r="H514" s="280"/>
      <c r="I514" s="205">
        <v>0</v>
      </c>
      <c r="J514" s="206"/>
      <c r="K514" s="280"/>
      <c r="L514" s="205">
        <v>0</v>
      </c>
      <c r="M514" s="206"/>
      <c r="N514" s="280"/>
      <c r="O514" s="205">
        <v>0</v>
      </c>
      <c r="P514" s="206"/>
      <c r="Q514" s="280"/>
      <c r="R514" s="205">
        <v>0</v>
      </c>
      <c r="S514" s="206"/>
      <c r="T514" s="280"/>
      <c r="U514" s="205">
        <v>0</v>
      </c>
      <c r="V514" s="206"/>
      <c r="W514" s="280"/>
      <c r="X514" s="205">
        <v>0</v>
      </c>
      <c r="Y514" s="206"/>
      <c r="Z514" s="280"/>
      <c r="AA514" s="205">
        <v>0</v>
      </c>
      <c r="AB514" s="206"/>
      <c r="AC514" s="280"/>
      <c r="AD514" s="205">
        <v>0</v>
      </c>
      <c r="AE514" s="206"/>
      <c r="AF514" s="280"/>
      <c r="AG514" s="205">
        <v>0</v>
      </c>
      <c r="AH514" s="206"/>
      <c r="AI514" s="280"/>
      <c r="AJ514" s="205">
        <v>0</v>
      </c>
      <c r="AK514" s="206"/>
      <c r="AL514" s="280"/>
      <c r="AM514" s="205">
        <v>0</v>
      </c>
      <c r="AN514" s="206"/>
      <c r="AO514" s="280"/>
      <c r="AP514" s="205">
        <v>0</v>
      </c>
      <c r="AQ514" s="206"/>
      <c r="AR514" s="280"/>
      <c r="AS514" s="205"/>
      <c r="AT514" s="206"/>
      <c r="AU514" s="280"/>
      <c r="AV514" s="205"/>
      <c r="AW514" s="206"/>
      <c r="AX514" s="280"/>
      <c r="AY514" s="205"/>
      <c r="AZ514" s="206"/>
      <c r="BA514" s="280"/>
      <c r="BB514" s="205"/>
      <c r="BC514" s="206"/>
      <c r="BD514" s="280"/>
      <c r="BE514" s="205"/>
      <c r="BF514" s="206"/>
      <c r="BG514" s="280"/>
      <c r="BH514" s="205"/>
      <c r="BI514" s="206"/>
      <c r="BJ514" s="454"/>
    </row>
    <row r="515" spans="1:62" s="28" customFormat="1" hidden="1" outlineLevel="2" x14ac:dyDescent="0.3">
      <c r="A515" s="21" t="s">
        <v>167</v>
      </c>
      <c r="B515" s="22"/>
      <c r="C515" s="3"/>
      <c r="D515" s="15"/>
      <c r="E515" s="4"/>
      <c r="F515" s="22"/>
      <c r="G515" s="54"/>
      <c r="H515" s="280"/>
      <c r="I515" s="205">
        <v>0</v>
      </c>
      <c r="J515" s="206"/>
      <c r="K515" s="280"/>
      <c r="L515" s="205">
        <v>0</v>
      </c>
      <c r="M515" s="206"/>
      <c r="N515" s="280"/>
      <c r="O515" s="205">
        <v>0</v>
      </c>
      <c r="P515" s="206"/>
      <c r="Q515" s="280"/>
      <c r="R515" s="205">
        <v>0</v>
      </c>
      <c r="S515" s="206"/>
      <c r="T515" s="280"/>
      <c r="U515" s="205">
        <v>0</v>
      </c>
      <c r="V515" s="206"/>
      <c r="W515" s="280"/>
      <c r="X515" s="205">
        <v>0</v>
      </c>
      <c r="Y515" s="206"/>
      <c r="Z515" s="280"/>
      <c r="AA515" s="205">
        <v>0</v>
      </c>
      <c r="AB515" s="206"/>
      <c r="AC515" s="280"/>
      <c r="AD515" s="205">
        <v>0</v>
      </c>
      <c r="AE515" s="206"/>
      <c r="AF515" s="280"/>
      <c r="AG515" s="205">
        <v>0</v>
      </c>
      <c r="AH515" s="206"/>
      <c r="AI515" s="280"/>
      <c r="AJ515" s="205">
        <v>0</v>
      </c>
      <c r="AK515" s="206"/>
      <c r="AL515" s="280"/>
      <c r="AM515" s="205">
        <v>0</v>
      </c>
      <c r="AN515" s="206"/>
      <c r="AO515" s="280"/>
      <c r="AP515" s="205">
        <v>0</v>
      </c>
      <c r="AQ515" s="206"/>
      <c r="AR515" s="280"/>
      <c r="AS515" s="205"/>
      <c r="AT515" s="206"/>
      <c r="AU515" s="280"/>
      <c r="AV515" s="205"/>
      <c r="AW515" s="206"/>
      <c r="AX515" s="280"/>
      <c r="AY515" s="205"/>
      <c r="AZ515" s="206"/>
      <c r="BA515" s="280"/>
      <c r="BB515" s="205"/>
      <c r="BC515" s="206"/>
      <c r="BD515" s="280"/>
      <c r="BE515" s="205"/>
      <c r="BF515" s="206"/>
      <c r="BG515" s="280"/>
      <c r="BH515" s="205"/>
      <c r="BI515" s="206"/>
      <c r="BJ515" s="454"/>
    </row>
    <row r="516" spans="1:62" s="28" customFormat="1" hidden="1" outlineLevel="2" x14ac:dyDescent="0.3">
      <c r="A516" s="21" t="s">
        <v>168</v>
      </c>
      <c r="B516" s="22"/>
      <c r="C516" s="3"/>
      <c r="D516" s="15"/>
      <c r="E516" s="4"/>
      <c r="F516" s="22"/>
      <c r="G516" s="54"/>
      <c r="H516" s="280"/>
      <c r="I516" s="205">
        <v>0</v>
      </c>
      <c r="J516" s="206"/>
      <c r="K516" s="280"/>
      <c r="L516" s="205">
        <v>0</v>
      </c>
      <c r="M516" s="206"/>
      <c r="N516" s="280"/>
      <c r="O516" s="205">
        <v>0</v>
      </c>
      <c r="P516" s="206"/>
      <c r="Q516" s="280"/>
      <c r="R516" s="205">
        <v>0</v>
      </c>
      <c r="S516" s="206"/>
      <c r="T516" s="280"/>
      <c r="U516" s="205">
        <v>0</v>
      </c>
      <c r="V516" s="206"/>
      <c r="W516" s="280"/>
      <c r="X516" s="205">
        <v>0</v>
      </c>
      <c r="Y516" s="206"/>
      <c r="Z516" s="280"/>
      <c r="AA516" s="205">
        <v>0</v>
      </c>
      <c r="AB516" s="206"/>
      <c r="AC516" s="280"/>
      <c r="AD516" s="205">
        <v>0</v>
      </c>
      <c r="AE516" s="206"/>
      <c r="AF516" s="280"/>
      <c r="AG516" s="205">
        <v>0</v>
      </c>
      <c r="AH516" s="206"/>
      <c r="AI516" s="280"/>
      <c r="AJ516" s="205">
        <v>0</v>
      </c>
      <c r="AK516" s="206"/>
      <c r="AL516" s="280"/>
      <c r="AM516" s="205">
        <v>0</v>
      </c>
      <c r="AN516" s="206"/>
      <c r="AO516" s="280"/>
      <c r="AP516" s="205">
        <v>0</v>
      </c>
      <c r="AQ516" s="206"/>
      <c r="AR516" s="280"/>
      <c r="AS516" s="205"/>
      <c r="AT516" s="206"/>
      <c r="AU516" s="280"/>
      <c r="AV516" s="205"/>
      <c r="AW516" s="206"/>
      <c r="AX516" s="280"/>
      <c r="AY516" s="205"/>
      <c r="AZ516" s="206"/>
      <c r="BA516" s="280"/>
      <c r="BB516" s="205"/>
      <c r="BC516" s="206"/>
      <c r="BD516" s="280"/>
      <c r="BE516" s="205"/>
      <c r="BF516" s="206"/>
      <c r="BG516" s="280"/>
      <c r="BH516" s="205"/>
      <c r="BI516" s="206"/>
      <c r="BJ516" s="454"/>
    </row>
    <row r="517" spans="1:62" s="28" customFormat="1" hidden="1" outlineLevel="2" x14ac:dyDescent="0.3">
      <c r="A517" s="21" t="s">
        <v>169</v>
      </c>
      <c r="B517" s="22"/>
      <c r="C517" s="3"/>
      <c r="D517" s="15"/>
      <c r="E517" s="4"/>
      <c r="F517" s="22"/>
      <c r="G517" s="54"/>
      <c r="H517" s="280"/>
      <c r="I517" s="205">
        <v>0</v>
      </c>
      <c r="J517" s="206"/>
      <c r="K517" s="280"/>
      <c r="L517" s="205">
        <v>0</v>
      </c>
      <c r="M517" s="206"/>
      <c r="N517" s="280"/>
      <c r="O517" s="205">
        <v>0</v>
      </c>
      <c r="P517" s="206"/>
      <c r="Q517" s="280"/>
      <c r="R517" s="205">
        <v>0</v>
      </c>
      <c r="S517" s="206"/>
      <c r="T517" s="280"/>
      <c r="U517" s="205">
        <v>0</v>
      </c>
      <c r="V517" s="206"/>
      <c r="W517" s="280"/>
      <c r="X517" s="205">
        <v>0</v>
      </c>
      <c r="Y517" s="206"/>
      <c r="Z517" s="280"/>
      <c r="AA517" s="205">
        <v>0</v>
      </c>
      <c r="AB517" s="206"/>
      <c r="AC517" s="280"/>
      <c r="AD517" s="205">
        <v>0</v>
      </c>
      <c r="AE517" s="206"/>
      <c r="AF517" s="280"/>
      <c r="AG517" s="205">
        <v>0</v>
      </c>
      <c r="AH517" s="206"/>
      <c r="AI517" s="280"/>
      <c r="AJ517" s="205">
        <v>0</v>
      </c>
      <c r="AK517" s="206"/>
      <c r="AL517" s="280"/>
      <c r="AM517" s="205">
        <v>0</v>
      </c>
      <c r="AN517" s="206"/>
      <c r="AO517" s="280"/>
      <c r="AP517" s="205">
        <v>0</v>
      </c>
      <c r="AQ517" s="206"/>
      <c r="AR517" s="280"/>
      <c r="AS517" s="205"/>
      <c r="AT517" s="206"/>
      <c r="AU517" s="280"/>
      <c r="AV517" s="205"/>
      <c r="AW517" s="206"/>
      <c r="AX517" s="280"/>
      <c r="AY517" s="205"/>
      <c r="AZ517" s="206"/>
      <c r="BA517" s="280"/>
      <c r="BB517" s="205"/>
      <c r="BC517" s="206"/>
      <c r="BD517" s="280"/>
      <c r="BE517" s="205"/>
      <c r="BF517" s="206"/>
      <c r="BG517" s="280"/>
      <c r="BH517" s="205"/>
      <c r="BI517" s="206"/>
      <c r="BJ517" s="454"/>
    </row>
    <row r="518" spans="1:62" s="28" customFormat="1" hidden="1" outlineLevel="2" x14ac:dyDescent="0.3">
      <c r="A518" s="21" t="s">
        <v>170</v>
      </c>
      <c r="B518" s="22"/>
      <c r="C518" s="3"/>
      <c r="D518" s="15"/>
      <c r="E518" s="4"/>
      <c r="F518" s="22"/>
      <c r="G518" s="54"/>
      <c r="H518" s="280"/>
      <c r="I518" s="205">
        <v>0</v>
      </c>
      <c r="J518" s="206"/>
      <c r="K518" s="280"/>
      <c r="L518" s="205">
        <v>0</v>
      </c>
      <c r="M518" s="206"/>
      <c r="N518" s="280"/>
      <c r="O518" s="205">
        <v>0</v>
      </c>
      <c r="P518" s="206"/>
      <c r="Q518" s="280"/>
      <c r="R518" s="205">
        <v>0</v>
      </c>
      <c r="S518" s="206"/>
      <c r="T518" s="280"/>
      <c r="U518" s="205">
        <v>0</v>
      </c>
      <c r="V518" s="206"/>
      <c r="W518" s="280"/>
      <c r="X518" s="205">
        <v>0</v>
      </c>
      <c r="Y518" s="206"/>
      <c r="Z518" s="280"/>
      <c r="AA518" s="205">
        <v>0</v>
      </c>
      <c r="AB518" s="206"/>
      <c r="AC518" s="280"/>
      <c r="AD518" s="205">
        <v>0</v>
      </c>
      <c r="AE518" s="206"/>
      <c r="AF518" s="280"/>
      <c r="AG518" s="205">
        <v>0</v>
      </c>
      <c r="AH518" s="206"/>
      <c r="AI518" s="280"/>
      <c r="AJ518" s="205">
        <v>0</v>
      </c>
      <c r="AK518" s="206"/>
      <c r="AL518" s="280"/>
      <c r="AM518" s="205">
        <v>0</v>
      </c>
      <c r="AN518" s="206"/>
      <c r="AO518" s="280"/>
      <c r="AP518" s="205">
        <v>0</v>
      </c>
      <c r="AQ518" s="206"/>
      <c r="AR518" s="280"/>
      <c r="AS518" s="205"/>
      <c r="AT518" s="206"/>
      <c r="AU518" s="280"/>
      <c r="AV518" s="205"/>
      <c r="AW518" s="206"/>
      <c r="AX518" s="280"/>
      <c r="AY518" s="205"/>
      <c r="AZ518" s="206"/>
      <c r="BA518" s="280"/>
      <c r="BB518" s="205"/>
      <c r="BC518" s="206"/>
      <c r="BD518" s="280"/>
      <c r="BE518" s="205"/>
      <c r="BF518" s="206"/>
      <c r="BG518" s="280"/>
      <c r="BH518" s="205"/>
      <c r="BI518" s="206"/>
      <c r="BJ518" s="454"/>
    </row>
    <row r="519" spans="1:62" s="28" customFormat="1" hidden="1" outlineLevel="2" x14ac:dyDescent="0.3">
      <c r="A519" s="21" t="s">
        <v>171</v>
      </c>
      <c r="B519" s="22"/>
      <c r="C519" s="3"/>
      <c r="D519" s="15"/>
      <c r="E519" s="4"/>
      <c r="F519" s="22"/>
      <c r="G519" s="54"/>
      <c r="H519" s="280"/>
      <c r="I519" s="205">
        <v>-2148.2800000000002</v>
      </c>
      <c r="J519" s="206"/>
      <c r="K519" s="280"/>
      <c r="L519" s="205">
        <v>-2148.2800000000002</v>
      </c>
      <c r="M519" s="206"/>
      <c r="N519" s="280"/>
      <c r="O519" s="205">
        <v>-2148.2800000000002</v>
      </c>
      <c r="P519" s="206"/>
      <c r="Q519" s="280"/>
      <c r="R519" s="205">
        <v>-2148.2800000000002</v>
      </c>
      <c r="S519" s="206"/>
      <c r="T519" s="280"/>
      <c r="U519" s="205">
        <v>-2148.2800000000002</v>
      </c>
      <c r="V519" s="206"/>
      <c r="W519" s="280"/>
      <c r="X519" s="205">
        <v>-2238.50776</v>
      </c>
      <c r="Y519" s="206"/>
      <c r="Z519" s="280"/>
      <c r="AA519" s="205">
        <v>-2238.50776</v>
      </c>
      <c r="AB519" s="206"/>
      <c r="AC519" s="280"/>
      <c r="AD519" s="205">
        <v>-2238.50776</v>
      </c>
      <c r="AE519" s="206"/>
      <c r="AF519" s="280"/>
      <c r="AG519" s="205">
        <v>-2238.50776</v>
      </c>
      <c r="AH519" s="206"/>
      <c r="AI519" s="280"/>
      <c r="AJ519" s="205">
        <v>-2238.50776</v>
      </c>
      <c r="AK519" s="206"/>
      <c r="AL519" s="280"/>
      <c r="AM519" s="205">
        <v>-2238.50776</v>
      </c>
      <c r="AN519" s="206"/>
      <c r="AO519" s="280"/>
      <c r="AP519" s="205">
        <v>-2238.50776</v>
      </c>
      <c r="AQ519" s="206"/>
      <c r="AR519" s="280"/>
      <c r="AS519" s="205"/>
      <c r="AT519" s="206"/>
      <c r="AU519" s="280"/>
      <c r="AV519" s="205"/>
      <c r="AW519" s="206"/>
      <c r="AX519" s="280"/>
      <c r="AY519" s="205"/>
      <c r="AZ519" s="206"/>
      <c r="BA519" s="280"/>
      <c r="BB519" s="205"/>
      <c r="BC519" s="206"/>
      <c r="BD519" s="280"/>
      <c r="BE519" s="205"/>
      <c r="BF519" s="206"/>
      <c r="BG519" s="280"/>
      <c r="BH519" s="205"/>
      <c r="BI519" s="206"/>
      <c r="BJ519" s="454"/>
    </row>
    <row r="520" spans="1:62" s="28" customFormat="1" hidden="1" outlineLevel="2" x14ac:dyDescent="0.3">
      <c r="A520" s="21" t="s">
        <v>172</v>
      </c>
      <c r="B520" s="22"/>
      <c r="C520" s="3"/>
      <c r="D520" s="15"/>
      <c r="E520" s="4"/>
      <c r="F520" s="22"/>
      <c r="G520" s="54"/>
      <c r="H520" s="280"/>
      <c r="I520" s="205">
        <v>0</v>
      </c>
      <c r="J520" s="206"/>
      <c r="K520" s="280"/>
      <c r="L520" s="205">
        <v>0</v>
      </c>
      <c r="M520" s="206"/>
      <c r="N520" s="280"/>
      <c r="O520" s="205">
        <v>0</v>
      </c>
      <c r="P520" s="206"/>
      <c r="Q520" s="280"/>
      <c r="R520" s="205">
        <v>0</v>
      </c>
      <c r="S520" s="206"/>
      <c r="T520" s="280"/>
      <c r="U520" s="205">
        <v>0</v>
      </c>
      <c r="V520" s="206"/>
      <c r="W520" s="280"/>
      <c r="X520" s="205">
        <v>0</v>
      </c>
      <c r="Y520" s="206"/>
      <c r="Z520" s="280"/>
      <c r="AA520" s="205">
        <v>0</v>
      </c>
      <c r="AB520" s="206"/>
      <c r="AC520" s="280"/>
      <c r="AD520" s="205">
        <v>0</v>
      </c>
      <c r="AE520" s="206"/>
      <c r="AF520" s="280"/>
      <c r="AG520" s="205">
        <v>0</v>
      </c>
      <c r="AH520" s="206"/>
      <c r="AI520" s="280"/>
      <c r="AJ520" s="205">
        <v>0</v>
      </c>
      <c r="AK520" s="206"/>
      <c r="AL520" s="280"/>
      <c r="AM520" s="205">
        <v>0</v>
      </c>
      <c r="AN520" s="206"/>
      <c r="AO520" s="280"/>
      <c r="AP520" s="205">
        <v>0</v>
      </c>
      <c r="AQ520" s="206"/>
      <c r="AR520" s="280"/>
      <c r="AS520" s="205"/>
      <c r="AT520" s="206"/>
      <c r="AU520" s="280"/>
      <c r="AV520" s="205"/>
      <c r="AW520" s="206"/>
      <c r="AX520" s="280"/>
      <c r="AY520" s="205"/>
      <c r="AZ520" s="206"/>
      <c r="BA520" s="280"/>
      <c r="BB520" s="205"/>
      <c r="BC520" s="206"/>
      <c r="BD520" s="280"/>
      <c r="BE520" s="205"/>
      <c r="BF520" s="206"/>
      <c r="BG520" s="280"/>
      <c r="BH520" s="205"/>
      <c r="BI520" s="206"/>
      <c r="BJ520" s="454"/>
    </row>
    <row r="521" spans="1:62" s="28" customFormat="1" ht="14.25" hidden="1" customHeight="1" outlineLevel="2" x14ac:dyDescent="0.3">
      <c r="A521" s="21" t="s">
        <v>173</v>
      </c>
      <c r="B521" s="22"/>
      <c r="C521" s="3"/>
      <c r="D521" s="15"/>
      <c r="E521" s="4"/>
      <c r="F521" s="22"/>
      <c r="G521" s="54"/>
      <c r="H521" s="280"/>
      <c r="I521" s="205">
        <v>0</v>
      </c>
      <c r="J521" s="206"/>
      <c r="K521" s="280"/>
      <c r="L521" s="205">
        <v>0</v>
      </c>
      <c r="M521" s="206"/>
      <c r="N521" s="280"/>
      <c r="O521" s="205">
        <v>0</v>
      </c>
      <c r="P521" s="206"/>
      <c r="Q521" s="280"/>
      <c r="R521" s="205">
        <v>0</v>
      </c>
      <c r="S521" s="206"/>
      <c r="T521" s="280"/>
      <c r="U521" s="205">
        <v>0</v>
      </c>
      <c r="V521" s="206"/>
      <c r="W521" s="280"/>
      <c r="X521" s="205">
        <v>0</v>
      </c>
      <c r="Y521" s="206"/>
      <c r="Z521" s="280"/>
      <c r="AA521" s="205">
        <v>0</v>
      </c>
      <c r="AB521" s="206"/>
      <c r="AC521" s="280"/>
      <c r="AD521" s="205">
        <v>0</v>
      </c>
      <c r="AE521" s="206"/>
      <c r="AF521" s="280"/>
      <c r="AG521" s="205">
        <v>0</v>
      </c>
      <c r="AH521" s="206"/>
      <c r="AI521" s="280"/>
      <c r="AJ521" s="205">
        <v>0</v>
      </c>
      <c r="AK521" s="206"/>
      <c r="AL521" s="280"/>
      <c r="AM521" s="205">
        <v>0</v>
      </c>
      <c r="AN521" s="206"/>
      <c r="AO521" s="280"/>
      <c r="AP521" s="205">
        <v>0</v>
      </c>
      <c r="AQ521" s="206"/>
      <c r="AR521" s="280"/>
      <c r="AS521" s="205"/>
      <c r="AT521" s="206"/>
      <c r="AU521" s="280"/>
      <c r="AV521" s="205"/>
      <c r="AW521" s="206"/>
      <c r="AX521" s="280"/>
      <c r="AY521" s="205"/>
      <c r="AZ521" s="206"/>
      <c r="BA521" s="280"/>
      <c r="BB521" s="205"/>
      <c r="BC521" s="206"/>
      <c r="BD521" s="280"/>
      <c r="BE521" s="205"/>
      <c r="BF521" s="206"/>
      <c r="BG521" s="280"/>
      <c r="BH521" s="205"/>
      <c r="BI521" s="206"/>
      <c r="BJ521" s="454"/>
    </row>
    <row r="522" spans="1:62" s="28" customFormat="1" hidden="1" outlineLevel="2" x14ac:dyDescent="0.3">
      <c r="A522" s="21" t="s">
        <v>174</v>
      </c>
      <c r="B522" s="22"/>
      <c r="C522" s="3"/>
      <c r="D522" s="15"/>
      <c r="E522" s="4"/>
      <c r="F522" s="22"/>
      <c r="G522" s="54"/>
      <c r="H522" s="280"/>
      <c r="I522" s="205">
        <v>0</v>
      </c>
      <c r="J522" s="206"/>
      <c r="K522" s="280"/>
      <c r="L522" s="205">
        <v>0</v>
      </c>
      <c r="M522" s="206"/>
      <c r="N522" s="280"/>
      <c r="O522" s="205">
        <v>0</v>
      </c>
      <c r="P522" s="206"/>
      <c r="Q522" s="280"/>
      <c r="R522" s="205">
        <v>0</v>
      </c>
      <c r="S522" s="206"/>
      <c r="T522" s="280"/>
      <c r="U522" s="205">
        <v>0</v>
      </c>
      <c r="V522" s="206"/>
      <c r="W522" s="280"/>
      <c r="X522" s="205">
        <v>0</v>
      </c>
      <c r="Y522" s="206"/>
      <c r="Z522" s="280"/>
      <c r="AA522" s="205">
        <v>0</v>
      </c>
      <c r="AB522" s="206"/>
      <c r="AC522" s="280"/>
      <c r="AD522" s="205">
        <v>0</v>
      </c>
      <c r="AE522" s="206"/>
      <c r="AF522" s="280"/>
      <c r="AG522" s="205">
        <v>0</v>
      </c>
      <c r="AH522" s="206"/>
      <c r="AI522" s="280"/>
      <c r="AJ522" s="205">
        <v>0</v>
      </c>
      <c r="AK522" s="206"/>
      <c r="AL522" s="280"/>
      <c r="AM522" s="205">
        <v>0</v>
      </c>
      <c r="AN522" s="206"/>
      <c r="AO522" s="280"/>
      <c r="AP522" s="205">
        <v>0</v>
      </c>
      <c r="AQ522" s="206"/>
      <c r="AR522" s="280"/>
      <c r="AS522" s="205"/>
      <c r="AT522" s="206"/>
      <c r="AU522" s="280"/>
      <c r="AV522" s="205"/>
      <c r="AW522" s="206"/>
      <c r="AX522" s="280"/>
      <c r="AY522" s="205"/>
      <c r="AZ522" s="206"/>
      <c r="BA522" s="280"/>
      <c r="BB522" s="205"/>
      <c r="BC522" s="206"/>
      <c r="BD522" s="280"/>
      <c r="BE522" s="205"/>
      <c r="BF522" s="206"/>
      <c r="BG522" s="280"/>
      <c r="BH522" s="205"/>
      <c r="BI522" s="206"/>
      <c r="BJ522" s="454"/>
    </row>
    <row r="523" spans="1:62" s="28" customFormat="1" hidden="1" outlineLevel="2" x14ac:dyDescent="0.3">
      <c r="A523" s="21" t="s">
        <v>175</v>
      </c>
      <c r="B523" s="22"/>
      <c r="C523" s="3"/>
      <c r="D523" s="15"/>
      <c r="E523" s="4"/>
      <c r="F523" s="22"/>
      <c r="G523" s="54"/>
      <c r="H523" s="280"/>
      <c r="I523" s="205">
        <v>0</v>
      </c>
      <c r="J523" s="206"/>
      <c r="K523" s="280"/>
      <c r="L523" s="205">
        <v>0</v>
      </c>
      <c r="M523" s="206"/>
      <c r="N523" s="280"/>
      <c r="O523" s="205">
        <v>0</v>
      </c>
      <c r="P523" s="206"/>
      <c r="Q523" s="280"/>
      <c r="R523" s="205">
        <v>0</v>
      </c>
      <c r="S523" s="206"/>
      <c r="T523" s="280"/>
      <c r="U523" s="205">
        <v>0</v>
      </c>
      <c r="V523" s="206"/>
      <c r="W523" s="280"/>
      <c r="X523" s="205">
        <v>0</v>
      </c>
      <c r="Y523" s="206"/>
      <c r="Z523" s="280"/>
      <c r="AA523" s="205">
        <v>0</v>
      </c>
      <c r="AB523" s="206"/>
      <c r="AC523" s="280"/>
      <c r="AD523" s="205">
        <v>0</v>
      </c>
      <c r="AE523" s="206"/>
      <c r="AF523" s="280"/>
      <c r="AG523" s="205">
        <v>0</v>
      </c>
      <c r="AH523" s="206"/>
      <c r="AI523" s="280"/>
      <c r="AJ523" s="205">
        <v>0</v>
      </c>
      <c r="AK523" s="206"/>
      <c r="AL523" s="280"/>
      <c r="AM523" s="205">
        <v>0</v>
      </c>
      <c r="AN523" s="206"/>
      <c r="AO523" s="280"/>
      <c r="AP523" s="205">
        <v>0</v>
      </c>
      <c r="AQ523" s="206"/>
      <c r="AR523" s="280"/>
      <c r="AS523" s="205"/>
      <c r="AT523" s="206"/>
      <c r="AU523" s="280"/>
      <c r="AV523" s="205"/>
      <c r="AW523" s="206"/>
      <c r="AX523" s="280"/>
      <c r="AY523" s="205"/>
      <c r="AZ523" s="206"/>
      <c r="BA523" s="280"/>
      <c r="BB523" s="205"/>
      <c r="BC523" s="206"/>
      <c r="BD523" s="280"/>
      <c r="BE523" s="205"/>
      <c r="BF523" s="206"/>
      <c r="BG523" s="280"/>
      <c r="BH523" s="205"/>
      <c r="BI523" s="206"/>
      <c r="BJ523" s="454"/>
    </row>
    <row r="524" spans="1:62" s="28" customFormat="1" hidden="1" outlineLevel="2" x14ac:dyDescent="0.3">
      <c r="A524" s="21" t="s">
        <v>176</v>
      </c>
      <c r="B524" s="22"/>
      <c r="C524" s="3"/>
      <c r="D524" s="15"/>
      <c r="E524" s="4"/>
      <c r="F524" s="22"/>
      <c r="G524" s="54"/>
      <c r="H524" s="280"/>
      <c r="I524" s="205">
        <v>0</v>
      </c>
      <c r="J524" s="206"/>
      <c r="K524" s="280"/>
      <c r="L524" s="205">
        <v>0</v>
      </c>
      <c r="M524" s="206"/>
      <c r="N524" s="280"/>
      <c r="O524" s="205">
        <v>0</v>
      </c>
      <c r="P524" s="206"/>
      <c r="Q524" s="280"/>
      <c r="R524" s="205">
        <v>0</v>
      </c>
      <c r="S524" s="206"/>
      <c r="T524" s="280"/>
      <c r="U524" s="205">
        <v>0</v>
      </c>
      <c r="V524" s="206"/>
      <c r="W524" s="280"/>
      <c r="X524" s="205">
        <v>0</v>
      </c>
      <c r="Y524" s="206"/>
      <c r="Z524" s="280"/>
      <c r="AA524" s="205">
        <v>0</v>
      </c>
      <c r="AB524" s="206"/>
      <c r="AC524" s="280"/>
      <c r="AD524" s="205">
        <v>0</v>
      </c>
      <c r="AE524" s="206"/>
      <c r="AF524" s="280"/>
      <c r="AG524" s="205">
        <v>0</v>
      </c>
      <c r="AH524" s="206"/>
      <c r="AI524" s="280"/>
      <c r="AJ524" s="205">
        <v>0</v>
      </c>
      <c r="AK524" s="206"/>
      <c r="AL524" s="280"/>
      <c r="AM524" s="205">
        <v>0</v>
      </c>
      <c r="AN524" s="206"/>
      <c r="AO524" s="280"/>
      <c r="AP524" s="205">
        <v>0</v>
      </c>
      <c r="AQ524" s="206"/>
      <c r="AR524" s="280"/>
      <c r="AS524" s="205"/>
      <c r="AT524" s="206"/>
      <c r="AU524" s="280"/>
      <c r="AV524" s="205"/>
      <c r="AW524" s="206"/>
      <c r="AX524" s="280"/>
      <c r="AY524" s="205"/>
      <c r="AZ524" s="206"/>
      <c r="BA524" s="280"/>
      <c r="BB524" s="205"/>
      <c r="BC524" s="206"/>
      <c r="BD524" s="280"/>
      <c r="BE524" s="205"/>
      <c r="BF524" s="206"/>
      <c r="BG524" s="280"/>
      <c r="BH524" s="205"/>
      <c r="BI524" s="206"/>
      <c r="BJ524" s="454"/>
    </row>
    <row r="525" spans="1:62" s="28" customFormat="1" hidden="1" outlineLevel="2" x14ac:dyDescent="0.3">
      <c r="A525" s="21" t="s">
        <v>177</v>
      </c>
      <c r="B525" s="22"/>
      <c r="C525" s="3"/>
      <c r="D525" s="15"/>
      <c r="E525" s="4"/>
      <c r="F525" s="22"/>
      <c r="G525" s="54"/>
      <c r="H525" s="280"/>
      <c r="I525" s="205">
        <v>0</v>
      </c>
      <c r="J525" s="206"/>
      <c r="K525" s="280"/>
      <c r="L525" s="205">
        <v>0</v>
      </c>
      <c r="M525" s="206"/>
      <c r="N525" s="280"/>
      <c r="O525" s="205">
        <v>0</v>
      </c>
      <c r="P525" s="206"/>
      <c r="Q525" s="280"/>
      <c r="R525" s="205">
        <v>0</v>
      </c>
      <c r="S525" s="206"/>
      <c r="T525" s="280"/>
      <c r="U525" s="205">
        <v>0</v>
      </c>
      <c r="V525" s="206"/>
      <c r="W525" s="280"/>
      <c r="X525" s="205">
        <v>0</v>
      </c>
      <c r="Y525" s="206"/>
      <c r="Z525" s="280"/>
      <c r="AA525" s="205">
        <v>0</v>
      </c>
      <c r="AB525" s="206"/>
      <c r="AC525" s="280"/>
      <c r="AD525" s="205">
        <v>0</v>
      </c>
      <c r="AE525" s="206"/>
      <c r="AF525" s="280"/>
      <c r="AG525" s="205">
        <v>0</v>
      </c>
      <c r="AH525" s="206"/>
      <c r="AI525" s="280"/>
      <c r="AJ525" s="205">
        <v>0</v>
      </c>
      <c r="AK525" s="206"/>
      <c r="AL525" s="280"/>
      <c r="AM525" s="205">
        <v>0</v>
      </c>
      <c r="AN525" s="206"/>
      <c r="AO525" s="280"/>
      <c r="AP525" s="205">
        <v>0</v>
      </c>
      <c r="AQ525" s="206"/>
      <c r="AR525" s="280"/>
      <c r="AS525" s="205"/>
      <c r="AT525" s="206"/>
      <c r="AU525" s="280"/>
      <c r="AV525" s="205"/>
      <c r="AW525" s="206"/>
      <c r="AX525" s="280"/>
      <c r="AY525" s="205"/>
      <c r="AZ525" s="206"/>
      <c r="BA525" s="280"/>
      <c r="BB525" s="205"/>
      <c r="BC525" s="206"/>
      <c r="BD525" s="280"/>
      <c r="BE525" s="205"/>
      <c r="BF525" s="206"/>
      <c r="BG525" s="280"/>
      <c r="BH525" s="205"/>
      <c r="BI525" s="206"/>
      <c r="BJ525" s="454"/>
    </row>
    <row r="526" spans="1:62" s="28" customFormat="1" hidden="1" outlineLevel="2" x14ac:dyDescent="0.3">
      <c r="A526" s="21" t="s">
        <v>178</v>
      </c>
      <c r="B526" s="22"/>
      <c r="C526" s="3"/>
      <c r="D526" s="15"/>
      <c r="E526" s="4"/>
      <c r="F526" s="22"/>
      <c r="G526" s="54"/>
      <c r="H526" s="280"/>
      <c r="I526" s="205">
        <v>0</v>
      </c>
      <c r="J526" s="206"/>
      <c r="K526" s="280"/>
      <c r="L526" s="205">
        <v>0</v>
      </c>
      <c r="M526" s="206"/>
      <c r="N526" s="280"/>
      <c r="O526" s="205">
        <v>0</v>
      </c>
      <c r="P526" s="206"/>
      <c r="Q526" s="280"/>
      <c r="R526" s="205">
        <v>0</v>
      </c>
      <c r="S526" s="206"/>
      <c r="T526" s="280"/>
      <c r="U526" s="205">
        <v>0</v>
      </c>
      <c r="V526" s="206"/>
      <c r="W526" s="280"/>
      <c r="X526" s="205">
        <v>0</v>
      </c>
      <c r="Y526" s="206"/>
      <c r="Z526" s="280"/>
      <c r="AA526" s="205">
        <v>0</v>
      </c>
      <c r="AB526" s="206"/>
      <c r="AC526" s="280"/>
      <c r="AD526" s="205">
        <v>0</v>
      </c>
      <c r="AE526" s="206"/>
      <c r="AF526" s="280"/>
      <c r="AG526" s="205">
        <v>0</v>
      </c>
      <c r="AH526" s="206"/>
      <c r="AI526" s="280"/>
      <c r="AJ526" s="205">
        <v>0</v>
      </c>
      <c r="AK526" s="206"/>
      <c r="AL526" s="280"/>
      <c r="AM526" s="205">
        <v>0</v>
      </c>
      <c r="AN526" s="206"/>
      <c r="AO526" s="280"/>
      <c r="AP526" s="205">
        <v>0</v>
      </c>
      <c r="AQ526" s="206"/>
      <c r="AR526" s="280"/>
      <c r="AS526" s="205"/>
      <c r="AT526" s="206"/>
      <c r="AU526" s="280"/>
      <c r="AV526" s="205"/>
      <c r="AW526" s="206"/>
      <c r="AX526" s="280"/>
      <c r="AY526" s="205"/>
      <c r="AZ526" s="206"/>
      <c r="BA526" s="280"/>
      <c r="BB526" s="205"/>
      <c r="BC526" s="206"/>
      <c r="BD526" s="280"/>
      <c r="BE526" s="205"/>
      <c r="BF526" s="206"/>
      <c r="BG526" s="280"/>
      <c r="BH526" s="205"/>
      <c r="BI526" s="206"/>
      <c r="BJ526" s="454"/>
    </row>
    <row r="527" spans="1:62" s="28" customFormat="1" hidden="1" outlineLevel="2" x14ac:dyDescent="0.3">
      <c r="A527" s="21" t="s">
        <v>179</v>
      </c>
      <c r="B527" s="22"/>
      <c r="C527" s="3"/>
      <c r="D527" s="15"/>
      <c r="E527" s="4"/>
      <c r="F527" s="22"/>
      <c r="G527" s="54"/>
      <c r="H527" s="280"/>
      <c r="I527" s="205">
        <v>-1869.4</v>
      </c>
      <c r="J527" s="206"/>
      <c r="K527" s="280"/>
      <c r="L527" s="205">
        <v>-1869.4</v>
      </c>
      <c r="M527" s="206"/>
      <c r="N527" s="280"/>
      <c r="O527" s="205">
        <v>-1869.4</v>
      </c>
      <c r="P527" s="206"/>
      <c r="Q527" s="280"/>
      <c r="R527" s="205">
        <v>-1869.4</v>
      </c>
      <c r="S527" s="206"/>
      <c r="T527" s="280"/>
      <c r="U527" s="205">
        <v>-1869.4</v>
      </c>
      <c r="V527" s="206"/>
      <c r="W527" s="280"/>
      <c r="X527" s="205">
        <v>-1947.9148</v>
      </c>
      <c r="Y527" s="206"/>
      <c r="Z527" s="280"/>
      <c r="AA527" s="205">
        <v>-1947.9148</v>
      </c>
      <c r="AB527" s="206"/>
      <c r="AC527" s="280"/>
      <c r="AD527" s="205">
        <v>-1947.9148</v>
      </c>
      <c r="AE527" s="206"/>
      <c r="AF527" s="280"/>
      <c r="AG527" s="205">
        <v>-1947.9148</v>
      </c>
      <c r="AH527" s="206"/>
      <c r="AI527" s="280"/>
      <c r="AJ527" s="205">
        <v>-1947.9148</v>
      </c>
      <c r="AK527" s="206"/>
      <c r="AL527" s="280"/>
      <c r="AM527" s="205">
        <v>-1947.9148</v>
      </c>
      <c r="AN527" s="206"/>
      <c r="AO527" s="280"/>
      <c r="AP527" s="205">
        <v>-1947.9148</v>
      </c>
      <c r="AQ527" s="206"/>
      <c r="AR527" s="280"/>
      <c r="AS527" s="205"/>
      <c r="AT527" s="206"/>
      <c r="AU527" s="280"/>
      <c r="AV527" s="205"/>
      <c r="AW527" s="206"/>
      <c r="AX527" s="280"/>
      <c r="AY527" s="205"/>
      <c r="AZ527" s="206"/>
      <c r="BA527" s="280"/>
      <c r="BB527" s="205"/>
      <c r="BC527" s="206"/>
      <c r="BD527" s="280"/>
      <c r="BE527" s="205"/>
      <c r="BF527" s="206"/>
      <c r="BG527" s="280"/>
      <c r="BH527" s="205"/>
      <c r="BI527" s="206"/>
      <c r="BJ527" s="454"/>
    </row>
    <row r="528" spans="1:62" s="28" customFormat="1" hidden="1" outlineLevel="2" x14ac:dyDescent="0.3">
      <c r="A528" s="21" t="s">
        <v>180</v>
      </c>
      <c r="B528" s="22"/>
      <c r="C528" s="3"/>
      <c r="D528" s="15"/>
      <c r="E528" s="4"/>
      <c r="F528" s="22"/>
      <c r="G528" s="54"/>
      <c r="H528" s="280"/>
      <c r="I528" s="205">
        <v>-1515.31</v>
      </c>
      <c r="J528" s="206"/>
      <c r="K528" s="280"/>
      <c r="L528" s="205">
        <v>-1515.31</v>
      </c>
      <c r="M528" s="206"/>
      <c r="N528" s="280"/>
      <c r="O528" s="205">
        <v>-1515.31</v>
      </c>
      <c r="P528" s="206"/>
      <c r="Q528" s="280"/>
      <c r="R528" s="205">
        <v>-1515.31</v>
      </c>
      <c r="S528" s="206"/>
      <c r="T528" s="280"/>
      <c r="U528" s="205">
        <v>-1515.31</v>
      </c>
      <c r="V528" s="206"/>
      <c r="W528" s="280"/>
      <c r="X528" s="205">
        <v>-1578.9530199999999</v>
      </c>
      <c r="Y528" s="206"/>
      <c r="Z528" s="280"/>
      <c r="AA528" s="205">
        <v>-1578.9530199999999</v>
      </c>
      <c r="AB528" s="206"/>
      <c r="AC528" s="280"/>
      <c r="AD528" s="205">
        <v>-1578.9530199999999</v>
      </c>
      <c r="AE528" s="206"/>
      <c r="AF528" s="280"/>
      <c r="AG528" s="205">
        <v>-1578.9530199999999</v>
      </c>
      <c r="AH528" s="206"/>
      <c r="AI528" s="280"/>
      <c r="AJ528" s="205">
        <v>-1578.9530199999999</v>
      </c>
      <c r="AK528" s="206"/>
      <c r="AL528" s="280"/>
      <c r="AM528" s="205">
        <v>-1578.9530199999999</v>
      </c>
      <c r="AN528" s="206"/>
      <c r="AO528" s="280"/>
      <c r="AP528" s="205">
        <v>-1578.9530199999999</v>
      </c>
      <c r="AQ528" s="206"/>
      <c r="AR528" s="280"/>
      <c r="AS528" s="205"/>
      <c r="AT528" s="206"/>
      <c r="AU528" s="280"/>
      <c r="AV528" s="205"/>
      <c r="AW528" s="206"/>
      <c r="AX528" s="280"/>
      <c r="AY528" s="205"/>
      <c r="AZ528" s="206"/>
      <c r="BA528" s="280"/>
      <c r="BB528" s="205"/>
      <c r="BC528" s="206"/>
      <c r="BD528" s="280"/>
      <c r="BE528" s="205"/>
      <c r="BF528" s="206"/>
      <c r="BG528" s="280"/>
      <c r="BH528" s="205"/>
      <c r="BI528" s="206"/>
      <c r="BJ528" s="454"/>
    </row>
    <row r="529" spans="1:62" s="28" customFormat="1" hidden="1" outlineLevel="2" x14ac:dyDescent="0.3">
      <c r="A529" s="21" t="s">
        <v>181</v>
      </c>
      <c r="B529" s="22"/>
      <c r="C529" s="3"/>
      <c r="D529" s="15"/>
      <c r="E529" s="4"/>
      <c r="F529" s="22"/>
      <c r="G529" s="54"/>
      <c r="H529" s="280"/>
      <c r="I529" s="205">
        <v>-1939.85</v>
      </c>
      <c r="J529" s="206"/>
      <c r="K529" s="280"/>
      <c r="L529" s="205">
        <v>-1939.85</v>
      </c>
      <c r="M529" s="206"/>
      <c r="N529" s="280"/>
      <c r="O529" s="205">
        <v>-1939.85</v>
      </c>
      <c r="P529" s="206"/>
      <c r="Q529" s="280"/>
      <c r="R529" s="205">
        <v>-1939.85</v>
      </c>
      <c r="S529" s="206"/>
      <c r="T529" s="280"/>
      <c r="U529" s="205">
        <v>-1939.85</v>
      </c>
      <c r="V529" s="206"/>
      <c r="W529" s="280"/>
      <c r="X529" s="205">
        <v>-2021.3236999999999</v>
      </c>
      <c r="Y529" s="206"/>
      <c r="Z529" s="280"/>
      <c r="AA529" s="205">
        <v>-2021.3236999999999</v>
      </c>
      <c r="AB529" s="206"/>
      <c r="AC529" s="280"/>
      <c r="AD529" s="205">
        <v>-2021.3236999999999</v>
      </c>
      <c r="AE529" s="206"/>
      <c r="AF529" s="280"/>
      <c r="AG529" s="205">
        <v>-2021.3236999999999</v>
      </c>
      <c r="AH529" s="206"/>
      <c r="AI529" s="280"/>
      <c r="AJ529" s="205">
        <v>-2021.3236999999999</v>
      </c>
      <c r="AK529" s="206"/>
      <c r="AL529" s="280"/>
      <c r="AM529" s="205">
        <v>-2021.3236999999999</v>
      </c>
      <c r="AN529" s="206"/>
      <c r="AO529" s="280"/>
      <c r="AP529" s="205">
        <v>-2021.3236999999999</v>
      </c>
      <c r="AQ529" s="206"/>
      <c r="AR529" s="280"/>
      <c r="AS529" s="205"/>
      <c r="AT529" s="206"/>
      <c r="AU529" s="280"/>
      <c r="AV529" s="205"/>
      <c r="AW529" s="206"/>
      <c r="AX529" s="280"/>
      <c r="AY529" s="205"/>
      <c r="AZ529" s="206"/>
      <c r="BA529" s="280"/>
      <c r="BB529" s="205"/>
      <c r="BC529" s="206"/>
      <c r="BD529" s="280"/>
      <c r="BE529" s="205"/>
      <c r="BF529" s="206"/>
      <c r="BG529" s="280"/>
      <c r="BH529" s="205"/>
      <c r="BI529" s="206"/>
      <c r="BJ529" s="454"/>
    </row>
    <row r="530" spans="1:62" s="28" customFormat="1" hidden="1" outlineLevel="2" x14ac:dyDescent="0.3">
      <c r="A530" s="21" t="s">
        <v>182</v>
      </c>
      <c r="B530" s="22"/>
      <c r="C530" s="3"/>
      <c r="D530" s="15"/>
      <c r="E530" s="4"/>
      <c r="F530" s="22"/>
      <c r="G530" s="54"/>
      <c r="H530" s="280"/>
      <c r="I530" s="205">
        <v>-2471.5500000000002</v>
      </c>
      <c r="J530" s="206"/>
      <c r="K530" s="280"/>
      <c r="L530" s="205">
        <v>-2471.5500000000002</v>
      </c>
      <c r="M530" s="206"/>
      <c r="N530" s="280"/>
      <c r="O530" s="205">
        <v>-2471.5500000000002</v>
      </c>
      <c r="P530" s="206"/>
      <c r="Q530" s="280"/>
      <c r="R530" s="205">
        <v>-2471.5500000000002</v>
      </c>
      <c r="S530" s="206"/>
      <c r="T530" s="280"/>
      <c r="U530" s="205">
        <v>-2471.5500000000002</v>
      </c>
      <c r="V530" s="206"/>
      <c r="W530" s="280"/>
      <c r="X530" s="205">
        <v>-2575.3551000000002</v>
      </c>
      <c r="Y530" s="206"/>
      <c r="Z530" s="280"/>
      <c r="AA530" s="205">
        <v>-2575.3551000000002</v>
      </c>
      <c r="AB530" s="206"/>
      <c r="AC530" s="280"/>
      <c r="AD530" s="205">
        <v>-2575.3551000000002</v>
      </c>
      <c r="AE530" s="206"/>
      <c r="AF530" s="280"/>
      <c r="AG530" s="205">
        <v>-2575.3551000000002</v>
      </c>
      <c r="AH530" s="206"/>
      <c r="AI530" s="280"/>
      <c r="AJ530" s="205">
        <v>-2575.3551000000002</v>
      </c>
      <c r="AK530" s="206"/>
      <c r="AL530" s="280"/>
      <c r="AM530" s="205">
        <v>-2575.3551000000002</v>
      </c>
      <c r="AN530" s="206"/>
      <c r="AO530" s="280"/>
      <c r="AP530" s="205">
        <v>-2575.3551000000002</v>
      </c>
      <c r="AQ530" s="206"/>
      <c r="AR530" s="280"/>
      <c r="AS530" s="205"/>
      <c r="AT530" s="206"/>
      <c r="AU530" s="280"/>
      <c r="AV530" s="205"/>
      <c r="AW530" s="206"/>
      <c r="AX530" s="280"/>
      <c r="AY530" s="205"/>
      <c r="AZ530" s="206"/>
      <c r="BA530" s="280"/>
      <c r="BB530" s="205"/>
      <c r="BC530" s="206"/>
      <c r="BD530" s="280"/>
      <c r="BE530" s="205"/>
      <c r="BF530" s="206"/>
      <c r="BG530" s="280"/>
      <c r="BH530" s="205"/>
      <c r="BI530" s="206"/>
      <c r="BJ530" s="454"/>
    </row>
    <row r="531" spans="1:62" s="28" customFormat="1" hidden="1" outlineLevel="2" x14ac:dyDescent="0.3">
      <c r="A531" s="21" t="s">
        <v>183</v>
      </c>
      <c r="B531" s="22"/>
      <c r="C531" s="3"/>
      <c r="D531" s="15"/>
      <c r="E531" s="4"/>
      <c r="F531" s="22"/>
      <c r="G531" s="54"/>
      <c r="H531" s="280"/>
      <c r="I531" s="205">
        <v>0</v>
      </c>
      <c r="J531" s="206"/>
      <c r="K531" s="280"/>
      <c r="L531" s="205">
        <v>0</v>
      </c>
      <c r="M531" s="206"/>
      <c r="N531" s="280"/>
      <c r="O531" s="205">
        <v>0</v>
      </c>
      <c r="P531" s="206"/>
      <c r="Q531" s="280"/>
      <c r="R531" s="205">
        <v>0</v>
      </c>
      <c r="S531" s="206"/>
      <c r="T531" s="280"/>
      <c r="U531" s="205">
        <v>0</v>
      </c>
      <c r="V531" s="206"/>
      <c r="W531" s="280"/>
      <c r="X531" s="205">
        <v>0</v>
      </c>
      <c r="Y531" s="206"/>
      <c r="Z531" s="280"/>
      <c r="AA531" s="205">
        <v>0</v>
      </c>
      <c r="AB531" s="206"/>
      <c r="AC531" s="280"/>
      <c r="AD531" s="205">
        <v>0</v>
      </c>
      <c r="AE531" s="206"/>
      <c r="AF531" s="280"/>
      <c r="AG531" s="205">
        <v>0</v>
      </c>
      <c r="AH531" s="206"/>
      <c r="AI531" s="280"/>
      <c r="AJ531" s="205">
        <v>0</v>
      </c>
      <c r="AK531" s="206"/>
      <c r="AL531" s="280"/>
      <c r="AM531" s="205">
        <v>0</v>
      </c>
      <c r="AN531" s="206"/>
      <c r="AO531" s="280"/>
      <c r="AP531" s="205">
        <v>0</v>
      </c>
      <c r="AQ531" s="206"/>
      <c r="AR531" s="280"/>
      <c r="AS531" s="205"/>
      <c r="AT531" s="206"/>
      <c r="AU531" s="280"/>
      <c r="AV531" s="205"/>
      <c r="AW531" s="206"/>
      <c r="AX531" s="280"/>
      <c r="AY531" s="205"/>
      <c r="AZ531" s="206"/>
      <c r="BA531" s="280"/>
      <c r="BB531" s="205"/>
      <c r="BC531" s="206"/>
      <c r="BD531" s="280"/>
      <c r="BE531" s="205"/>
      <c r="BF531" s="206"/>
      <c r="BG531" s="280"/>
      <c r="BH531" s="205"/>
      <c r="BI531" s="206"/>
      <c r="BJ531" s="454"/>
    </row>
    <row r="532" spans="1:62" s="28" customFormat="1" hidden="1" outlineLevel="2" x14ac:dyDescent="0.3">
      <c r="A532" s="21" t="s">
        <v>184</v>
      </c>
      <c r="B532" s="22"/>
      <c r="C532" s="3"/>
      <c r="D532" s="15"/>
      <c r="E532" s="4"/>
      <c r="F532" s="22"/>
      <c r="G532" s="54"/>
      <c r="H532" s="280"/>
      <c r="I532" s="205">
        <v>0</v>
      </c>
      <c r="J532" s="206"/>
      <c r="K532" s="280"/>
      <c r="L532" s="205">
        <v>0</v>
      </c>
      <c r="M532" s="206"/>
      <c r="N532" s="280"/>
      <c r="O532" s="205">
        <v>0</v>
      </c>
      <c r="P532" s="206"/>
      <c r="Q532" s="280"/>
      <c r="R532" s="205">
        <v>0</v>
      </c>
      <c r="S532" s="206"/>
      <c r="T532" s="280"/>
      <c r="U532" s="205">
        <v>0</v>
      </c>
      <c r="V532" s="206"/>
      <c r="W532" s="280"/>
      <c r="X532" s="205">
        <v>0</v>
      </c>
      <c r="Y532" s="206"/>
      <c r="Z532" s="280"/>
      <c r="AA532" s="205">
        <v>0</v>
      </c>
      <c r="AB532" s="206"/>
      <c r="AC532" s="280"/>
      <c r="AD532" s="205">
        <v>0</v>
      </c>
      <c r="AE532" s="206"/>
      <c r="AF532" s="280"/>
      <c r="AG532" s="205">
        <v>0</v>
      </c>
      <c r="AH532" s="206"/>
      <c r="AI532" s="280"/>
      <c r="AJ532" s="205">
        <v>0</v>
      </c>
      <c r="AK532" s="206"/>
      <c r="AL532" s="280"/>
      <c r="AM532" s="205">
        <v>0</v>
      </c>
      <c r="AN532" s="206"/>
      <c r="AO532" s="280"/>
      <c r="AP532" s="205">
        <v>0</v>
      </c>
      <c r="AQ532" s="206"/>
      <c r="AR532" s="280"/>
      <c r="AS532" s="205"/>
      <c r="AT532" s="206"/>
      <c r="AU532" s="280"/>
      <c r="AV532" s="205"/>
      <c r="AW532" s="206"/>
      <c r="AX532" s="280"/>
      <c r="AY532" s="205"/>
      <c r="AZ532" s="206"/>
      <c r="BA532" s="280"/>
      <c r="BB532" s="205"/>
      <c r="BC532" s="206"/>
      <c r="BD532" s="280"/>
      <c r="BE532" s="205"/>
      <c r="BF532" s="206"/>
      <c r="BG532" s="280"/>
      <c r="BH532" s="205"/>
      <c r="BI532" s="206"/>
      <c r="BJ532" s="454"/>
    </row>
    <row r="533" spans="1:62" s="28" customFormat="1" hidden="1" outlineLevel="2" x14ac:dyDescent="0.3">
      <c r="A533" s="21" t="s">
        <v>185</v>
      </c>
      <c r="B533" s="22"/>
      <c r="C533" s="3"/>
      <c r="D533" s="15"/>
      <c r="E533" s="4"/>
      <c r="F533" s="22"/>
      <c r="G533" s="54"/>
      <c r="H533" s="280"/>
      <c r="I533" s="205">
        <v>0</v>
      </c>
      <c r="J533" s="206"/>
      <c r="K533" s="280"/>
      <c r="L533" s="205">
        <v>0</v>
      </c>
      <c r="M533" s="206"/>
      <c r="N533" s="280"/>
      <c r="O533" s="205">
        <v>0</v>
      </c>
      <c r="P533" s="206"/>
      <c r="Q533" s="280"/>
      <c r="R533" s="205">
        <v>0</v>
      </c>
      <c r="S533" s="206"/>
      <c r="T533" s="280"/>
      <c r="U533" s="205">
        <v>0</v>
      </c>
      <c r="V533" s="206"/>
      <c r="W533" s="280"/>
      <c r="X533" s="205">
        <v>0</v>
      </c>
      <c r="Y533" s="206"/>
      <c r="Z533" s="280"/>
      <c r="AA533" s="205">
        <v>0</v>
      </c>
      <c r="AB533" s="206"/>
      <c r="AC533" s="280"/>
      <c r="AD533" s="205">
        <v>0</v>
      </c>
      <c r="AE533" s="206"/>
      <c r="AF533" s="280"/>
      <c r="AG533" s="205">
        <v>0</v>
      </c>
      <c r="AH533" s="206"/>
      <c r="AI533" s="280"/>
      <c r="AJ533" s="205">
        <v>0</v>
      </c>
      <c r="AK533" s="206"/>
      <c r="AL533" s="280"/>
      <c r="AM533" s="205">
        <v>0</v>
      </c>
      <c r="AN533" s="206"/>
      <c r="AO533" s="280"/>
      <c r="AP533" s="205">
        <v>0</v>
      </c>
      <c r="AQ533" s="206"/>
      <c r="AR533" s="280"/>
      <c r="AS533" s="205"/>
      <c r="AT533" s="206"/>
      <c r="AU533" s="280"/>
      <c r="AV533" s="205"/>
      <c r="AW533" s="206"/>
      <c r="AX533" s="280"/>
      <c r="AY533" s="205"/>
      <c r="AZ533" s="206"/>
      <c r="BA533" s="280"/>
      <c r="BB533" s="205"/>
      <c r="BC533" s="206"/>
      <c r="BD533" s="280"/>
      <c r="BE533" s="205"/>
      <c r="BF533" s="206"/>
      <c r="BG533" s="280"/>
      <c r="BH533" s="205"/>
      <c r="BI533" s="206"/>
      <c r="BJ533" s="454"/>
    </row>
    <row r="534" spans="1:62" s="28" customFormat="1" hidden="1" outlineLevel="2" x14ac:dyDescent="0.3">
      <c r="A534" s="21" t="s">
        <v>186</v>
      </c>
      <c r="B534" s="22"/>
      <c r="C534" s="3"/>
      <c r="D534" s="15"/>
      <c r="E534" s="4"/>
      <c r="F534" s="22"/>
      <c r="G534" s="54"/>
      <c r="H534" s="280"/>
      <c r="I534" s="205">
        <v>0</v>
      </c>
      <c r="J534" s="206"/>
      <c r="K534" s="280"/>
      <c r="L534" s="205">
        <v>0</v>
      </c>
      <c r="M534" s="206"/>
      <c r="N534" s="280"/>
      <c r="O534" s="205">
        <v>0</v>
      </c>
      <c r="P534" s="206"/>
      <c r="Q534" s="280"/>
      <c r="R534" s="205">
        <v>0</v>
      </c>
      <c r="S534" s="206"/>
      <c r="T534" s="280"/>
      <c r="U534" s="205">
        <v>0</v>
      </c>
      <c r="V534" s="206"/>
      <c r="W534" s="280"/>
      <c r="X534" s="205">
        <v>0</v>
      </c>
      <c r="Y534" s="206"/>
      <c r="Z534" s="280"/>
      <c r="AA534" s="205">
        <v>0</v>
      </c>
      <c r="AB534" s="206"/>
      <c r="AC534" s="280"/>
      <c r="AD534" s="205">
        <v>0</v>
      </c>
      <c r="AE534" s="206"/>
      <c r="AF534" s="280"/>
      <c r="AG534" s="205">
        <v>0</v>
      </c>
      <c r="AH534" s="206"/>
      <c r="AI534" s="280"/>
      <c r="AJ534" s="205">
        <v>0</v>
      </c>
      <c r="AK534" s="206"/>
      <c r="AL534" s="280"/>
      <c r="AM534" s="205">
        <v>0</v>
      </c>
      <c r="AN534" s="206"/>
      <c r="AO534" s="280"/>
      <c r="AP534" s="205">
        <v>0</v>
      </c>
      <c r="AQ534" s="206"/>
      <c r="AR534" s="280"/>
      <c r="AS534" s="205"/>
      <c r="AT534" s="206"/>
      <c r="AU534" s="280"/>
      <c r="AV534" s="205"/>
      <c r="AW534" s="206"/>
      <c r="AX534" s="280"/>
      <c r="AY534" s="205"/>
      <c r="AZ534" s="206"/>
      <c r="BA534" s="280"/>
      <c r="BB534" s="205"/>
      <c r="BC534" s="206"/>
      <c r="BD534" s="280"/>
      <c r="BE534" s="205"/>
      <c r="BF534" s="206"/>
      <c r="BG534" s="280"/>
      <c r="BH534" s="205"/>
      <c r="BI534" s="206"/>
      <c r="BJ534" s="454"/>
    </row>
    <row r="535" spans="1:62" s="28" customFormat="1" hidden="1" outlineLevel="2" x14ac:dyDescent="0.3">
      <c r="A535" s="21" t="s">
        <v>187</v>
      </c>
      <c r="B535" s="22"/>
      <c r="C535" s="3"/>
      <c r="D535" s="15"/>
      <c r="E535" s="4"/>
      <c r="F535" s="22"/>
      <c r="G535" s="54"/>
      <c r="H535" s="280"/>
      <c r="I535" s="205">
        <v>0</v>
      </c>
      <c r="J535" s="206"/>
      <c r="K535" s="280"/>
      <c r="L535" s="205">
        <v>0</v>
      </c>
      <c r="M535" s="206"/>
      <c r="N535" s="280"/>
      <c r="O535" s="205">
        <v>0</v>
      </c>
      <c r="P535" s="206"/>
      <c r="Q535" s="280"/>
      <c r="R535" s="205">
        <v>0</v>
      </c>
      <c r="S535" s="206"/>
      <c r="T535" s="280"/>
      <c r="U535" s="205">
        <v>0</v>
      </c>
      <c r="V535" s="206"/>
      <c r="W535" s="280"/>
      <c r="X535" s="205">
        <v>0</v>
      </c>
      <c r="Y535" s="206"/>
      <c r="Z535" s="280"/>
      <c r="AA535" s="205">
        <v>0</v>
      </c>
      <c r="AB535" s="206"/>
      <c r="AC535" s="280"/>
      <c r="AD535" s="205">
        <v>0</v>
      </c>
      <c r="AE535" s="206"/>
      <c r="AF535" s="280"/>
      <c r="AG535" s="205">
        <v>0</v>
      </c>
      <c r="AH535" s="206"/>
      <c r="AI535" s="280"/>
      <c r="AJ535" s="205">
        <v>0</v>
      </c>
      <c r="AK535" s="206"/>
      <c r="AL535" s="280"/>
      <c r="AM535" s="205">
        <v>0</v>
      </c>
      <c r="AN535" s="206"/>
      <c r="AO535" s="280"/>
      <c r="AP535" s="205">
        <v>0</v>
      </c>
      <c r="AQ535" s="206"/>
      <c r="AR535" s="280"/>
      <c r="AS535" s="205"/>
      <c r="AT535" s="206"/>
      <c r="AU535" s="280"/>
      <c r="AV535" s="205"/>
      <c r="AW535" s="206"/>
      <c r="AX535" s="280"/>
      <c r="AY535" s="205"/>
      <c r="AZ535" s="206"/>
      <c r="BA535" s="280"/>
      <c r="BB535" s="205"/>
      <c r="BC535" s="206"/>
      <c r="BD535" s="280"/>
      <c r="BE535" s="205"/>
      <c r="BF535" s="206"/>
      <c r="BG535" s="280"/>
      <c r="BH535" s="205"/>
      <c r="BI535" s="206"/>
      <c r="BJ535" s="454"/>
    </row>
    <row r="536" spans="1:62" s="28" customFormat="1" hidden="1" outlineLevel="2" x14ac:dyDescent="0.3">
      <c r="A536" s="21" t="s">
        <v>188</v>
      </c>
      <c r="B536" s="22"/>
      <c r="C536" s="3"/>
      <c r="D536" s="15"/>
      <c r="E536" s="4"/>
      <c r="F536" s="22"/>
      <c r="G536" s="54"/>
      <c r="H536" s="280"/>
      <c r="I536" s="205">
        <v>0</v>
      </c>
      <c r="J536" s="206"/>
      <c r="K536" s="280"/>
      <c r="L536" s="205">
        <v>0</v>
      </c>
      <c r="M536" s="206"/>
      <c r="N536" s="280"/>
      <c r="O536" s="205">
        <v>0</v>
      </c>
      <c r="P536" s="206"/>
      <c r="Q536" s="280"/>
      <c r="R536" s="205">
        <v>0</v>
      </c>
      <c r="S536" s="206"/>
      <c r="T536" s="280"/>
      <c r="U536" s="205">
        <v>0</v>
      </c>
      <c r="V536" s="206"/>
      <c r="W536" s="280"/>
      <c r="X536" s="205">
        <v>0</v>
      </c>
      <c r="Y536" s="206"/>
      <c r="Z536" s="280"/>
      <c r="AA536" s="205">
        <v>0</v>
      </c>
      <c r="AB536" s="206"/>
      <c r="AC536" s="280"/>
      <c r="AD536" s="205">
        <v>0</v>
      </c>
      <c r="AE536" s="206"/>
      <c r="AF536" s="280"/>
      <c r="AG536" s="205">
        <v>0</v>
      </c>
      <c r="AH536" s="206"/>
      <c r="AI536" s="280"/>
      <c r="AJ536" s="205">
        <v>0</v>
      </c>
      <c r="AK536" s="206"/>
      <c r="AL536" s="280"/>
      <c r="AM536" s="205">
        <v>0</v>
      </c>
      <c r="AN536" s="206"/>
      <c r="AO536" s="280"/>
      <c r="AP536" s="205">
        <v>0</v>
      </c>
      <c r="AQ536" s="206"/>
      <c r="AR536" s="280"/>
      <c r="AS536" s="205"/>
      <c r="AT536" s="206"/>
      <c r="AU536" s="280"/>
      <c r="AV536" s="205"/>
      <c r="AW536" s="206"/>
      <c r="AX536" s="280"/>
      <c r="AY536" s="205"/>
      <c r="AZ536" s="206"/>
      <c r="BA536" s="280"/>
      <c r="BB536" s="205"/>
      <c r="BC536" s="206"/>
      <c r="BD536" s="280"/>
      <c r="BE536" s="205"/>
      <c r="BF536" s="206"/>
      <c r="BG536" s="280"/>
      <c r="BH536" s="205"/>
      <c r="BI536" s="206"/>
      <c r="BJ536" s="454"/>
    </row>
    <row r="537" spans="1:62" s="28" customFormat="1" hidden="1" outlineLevel="2" x14ac:dyDescent="0.3">
      <c r="A537" s="21" t="s">
        <v>189</v>
      </c>
      <c r="B537" s="22"/>
      <c r="C537" s="3"/>
      <c r="D537" s="15"/>
      <c r="E537" s="4"/>
      <c r="F537" s="22"/>
      <c r="G537" s="54"/>
      <c r="H537" s="280"/>
      <c r="I537" s="205">
        <v>0</v>
      </c>
      <c r="J537" s="206"/>
      <c r="K537" s="280"/>
      <c r="L537" s="205">
        <v>0</v>
      </c>
      <c r="M537" s="206"/>
      <c r="N537" s="280"/>
      <c r="O537" s="205">
        <v>0</v>
      </c>
      <c r="P537" s="206"/>
      <c r="Q537" s="280"/>
      <c r="R537" s="205">
        <v>0</v>
      </c>
      <c r="S537" s="206"/>
      <c r="T537" s="280"/>
      <c r="U537" s="205">
        <v>0</v>
      </c>
      <c r="V537" s="206"/>
      <c r="W537" s="280"/>
      <c r="X537" s="205">
        <v>0</v>
      </c>
      <c r="Y537" s="206"/>
      <c r="Z537" s="280"/>
      <c r="AA537" s="205">
        <v>0</v>
      </c>
      <c r="AB537" s="206"/>
      <c r="AC537" s="280"/>
      <c r="AD537" s="205">
        <v>0</v>
      </c>
      <c r="AE537" s="206"/>
      <c r="AF537" s="280"/>
      <c r="AG537" s="205">
        <v>0</v>
      </c>
      <c r="AH537" s="206"/>
      <c r="AI537" s="280"/>
      <c r="AJ537" s="205">
        <v>0</v>
      </c>
      <c r="AK537" s="206"/>
      <c r="AL537" s="280"/>
      <c r="AM537" s="205">
        <v>0</v>
      </c>
      <c r="AN537" s="206"/>
      <c r="AO537" s="280"/>
      <c r="AP537" s="205">
        <v>0</v>
      </c>
      <c r="AQ537" s="206"/>
      <c r="AR537" s="280"/>
      <c r="AS537" s="205"/>
      <c r="AT537" s="206"/>
      <c r="AU537" s="280"/>
      <c r="AV537" s="205"/>
      <c r="AW537" s="206"/>
      <c r="AX537" s="280"/>
      <c r="AY537" s="205"/>
      <c r="AZ537" s="206"/>
      <c r="BA537" s="280"/>
      <c r="BB537" s="205"/>
      <c r="BC537" s="206"/>
      <c r="BD537" s="280"/>
      <c r="BE537" s="205"/>
      <c r="BF537" s="206"/>
      <c r="BG537" s="280"/>
      <c r="BH537" s="205"/>
      <c r="BI537" s="206"/>
      <c r="BJ537" s="454"/>
    </row>
    <row r="538" spans="1:62" s="28" customFormat="1" hidden="1" outlineLevel="2" x14ac:dyDescent="0.3">
      <c r="A538" s="21" t="s">
        <v>190</v>
      </c>
      <c r="B538" s="22"/>
      <c r="C538" s="3"/>
      <c r="D538" s="15"/>
      <c r="E538" s="4"/>
      <c r="F538" s="22"/>
      <c r="G538" s="54"/>
      <c r="H538" s="280"/>
      <c r="I538" s="205">
        <v>0</v>
      </c>
      <c r="J538" s="206"/>
      <c r="K538" s="280"/>
      <c r="L538" s="205">
        <v>0</v>
      </c>
      <c r="M538" s="206"/>
      <c r="N538" s="280"/>
      <c r="O538" s="205">
        <v>0</v>
      </c>
      <c r="P538" s="206"/>
      <c r="Q538" s="280"/>
      <c r="R538" s="205">
        <v>0</v>
      </c>
      <c r="S538" s="206"/>
      <c r="T538" s="280"/>
      <c r="U538" s="205">
        <v>0</v>
      </c>
      <c r="V538" s="206"/>
      <c r="W538" s="280"/>
      <c r="X538" s="205">
        <v>0</v>
      </c>
      <c r="Y538" s="206"/>
      <c r="Z538" s="280"/>
      <c r="AA538" s="205">
        <v>0</v>
      </c>
      <c r="AB538" s="206"/>
      <c r="AC538" s="280"/>
      <c r="AD538" s="205">
        <v>0</v>
      </c>
      <c r="AE538" s="206"/>
      <c r="AF538" s="280"/>
      <c r="AG538" s="205">
        <v>0</v>
      </c>
      <c r="AH538" s="206"/>
      <c r="AI538" s="280"/>
      <c r="AJ538" s="205">
        <v>0</v>
      </c>
      <c r="AK538" s="206"/>
      <c r="AL538" s="280"/>
      <c r="AM538" s="205">
        <v>0</v>
      </c>
      <c r="AN538" s="206"/>
      <c r="AO538" s="280"/>
      <c r="AP538" s="205">
        <v>0</v>
      </c>
      <c r="AQ538" s="206"/>
      <c r="AR538" s="280"/>
      <c r="AS538" s="205"/>
      <c r="AT538" s="206"/>
      <c r="AU538" s="280"/>
      <c r="AV538" s="205"/>
      <c r="AW538" s="206"/>
      <c r="AX538" s="280"/>
      <c r="AY538" s="205"/>
      <c r="AZ538" s="206"/>
      <c r="BA538" s="280"/>
      <c r="BB538" s="205"/>
      <c r="BC538" s="206"/>
      <c r="BD538" s="280"/>
      <c r="BE538" s="205"/>
      <c r="BF538" s="206"/>
      <c r="BG538" s="280"/>
      <c r="BH538" s="205"/>
      <c r="BI538" s="206"/>
      <c r="BJ538" s="454"/>
    </row>
    <row r="539" spans="1:62" s="28" customFormat="1" hidden="1" outlineLevel="2" x14ac:dyDescent="0.3">
      <c r="A539" s="21" t="s">
        <v>191</v>
      </c>
      <c r="B539" s="22"/>
      <c r="C539" s="3"/>
      <c r="D539" s="15"/>
      <c r="E539" s="4"/>
      <c r="F539" s="22"/>
      <c r="G539" s="54"/>
      <c r="H539" s="280"/>
      <c r="I539" s="205">
        <v>0</v>
      </c>
      <c r="J539" s="206"/>
      <c r="K539" s="280"/>
      <c r="L539" s="205">
        <v>0</v>
      </c>
      <c r="M539" s="206"/>
      <c r="N539" s="280"/>
      <c r="O539" s="205">
        <v>0</v>
      </c>
      <c r="P539" s="206"/>
      <c r="Q539" s="280"/>
      <c r="R539" s="205">
        <v>0</v>
      </c>
      <c r="S539" s="206"/>
      <c r="T539" s="280"/>
      <c r="U539" s="205">
        <v>0</v>
      </c>
      <c r="V539" s="206"/>
      <c r="W539" s="280"/>
      <c r="X539" s="205">
        <v>0</v>
      </c>
      <c r="Y539" s="206"/>
      <c r="Z539" s="280"/>
      <c r="AA539" s="205">
        <v>0</v>
      </c>
      <c r="AB539" s="206"/>
      <c r="AC539" s="280"/>
      <c r="AD539" s="205">
        <v>0</v>
      </c>
      <c r="AE539" s="206"/>
      <c r="AF539" s="280"/>
      <c r="AG539" s="205">
        <v>0</v>
      </c>
      <c r="AH539" s="206"/>
      <c r="AI539" s="280"/>
      <c r="AJ539" s="205">
        <v>0</v>
      </c>
      <c r="AK539" s="206"/>
      <c r="AL539" s="280"/>
      <c r="AM539" s="205">
        <v>0</v>
      </c>
      <c r="AN539" s="206"/>
      <c r="AO539" s="280"/>
      <c r="AP539" s="205">
        <v>0</v>
      </c>
      <c r="AQ539" s="206"/>
      <c r="AR539" s="280"/>
      <c r="AS539" s="205"/>
      <c r="AT539" s="206"/>
      <c r="AU539" s="280"/>
      <c r="AV539" s="205"/>
      <c r="AW539" s="206"/>
      <c r="AX539" s="280"/>
      <c r="AY539" s="205"/>
      <c r="AZ539" s="206"/>
      <c r="BA539" s="280"/>
      <c r="BB539" s="205"/>
      <c r="BC539" s="206"/>
      <c r="BD539" s="280"/>
      <c r="BE539" s="205"/>
      <c r="BF539" s="206"/>
      <c r="BG539" s="280"/>
      <c r="BH539" s="205"/>
      <c r="BI539" s="206"/>
      <c r="BJ539" s="454"/>
    </row>
    <row r="540" spans="1:62" s="28" customFormat="1" hidden="1" outlineLevel="2" x14ac:dyDescent="0.3">
      <c r="A540" s="21" t="s">
        <v>192</v>
      </c>
      <c r="B540" s="22"/>
      <c r="C540" s="3"/>
      <c r="D540" s="15"/>
      <c r="E540" s="4"/>
      <c r="F540" s="22"/>
      <c r="G540" s="54"/>
      <c r="H540" s="280"/>
      <c r="I540" s="205">
        <v>0</v>
      </c>
      <c r="J540" s="206"/>
      <c r="K540" s="280"/>
      <c r="L540" s="205">
        <v>0</v>
      </c>
      <c r="M540" s="206"/>
      <c r="N540" s="280"/>
      <c r="O540" s="205">
        <v>0</v>
      </c>
      <c r="P540" s="206"/>
      <c r="Q540" s="280"/>
      <c r="R540" s="205">
        <v>0</v>
      </c>
      <c r="S540" s="206"/>
      <c r="T540" s="280"/>
      <c r="U540" s="205">
        <v>0</v>
      </c>
      <c r="V540" s="206"/>
      <c r="W540" s="280"/>
      <c r="X540" s="205">
        <v>0</v>
      </c>
      <c r="Y540" s="206"/>
      <c r="Z540" s="280"/>
      <c r="AA540" s="205">
        <v>0</v>
      </c>
      <c r="AB540" s="206"/>
      <c r="AC540" s="280"/>
      <c r="AD540" s="205">
        <v>0</v>
      </c>
      <c r="AE540" s="206"/>
      <c r="AF540" s="280"/>
      <c r="AG540" s="205">
        <v>0</v>
      </c>
      <c r="AH540" s="206"/>
      <c r="AI540" s="280"/>
      <c r="AJ540" s="205">
        <v>0</v>
      </c>
      <c r="AK540" s="206"/>
      <c r="AL540" s="280"/>
      <c r="AM540" s="205">
        <v>0</v>
      </c>
      <c r="AN540" s="206"/>
      <c r="AO540" s="280"/>
      <c r="AP540" s="205">
        <v>0</v>
      </c>
      <c r="AQ540" s="206"/>
      <c r="AR540" s="280"/>
      <c r="AS540" s="205"/>
      <c r="AT540" s="206"/>
      <c r="AU540" s="280"/>
      <c r="AV540" s="205"/>
      <c r="AW540" s="206"/>
      <c r="AX540" s="280"/>
      <c r="AY540" s="205"/>
      <c r="AZ540" s="206"/>
      <c r="BA540" s="280"/>
      <c r="BB540" s="205"/>
      <c r="BC540" s="206"/>
      <c r="BD540" s="280"/>
      <c r="BE540" s="205"/>
      <c r="BF540" s="206"/>
      <c r="BG540" s="280"/>
      <c r="BH540" s="205"/>
      <c r="BI540" s="206"/>
      <c r="BJ540" s="454"/>
    </row>
    <row r="541" spans="1:62" s="28" customFormat="1" hidden="1" outlineLevel="2" x14ac:dyDescent="0.3">
      <c r="A541" s="21" t="s">
        <v>193</v>
      </c>
      <c r="B541" s="22"/>
      <c r="C541" s="3"/>
      <c r="D541" s="15"/>
      <c r="E541" s="4"/>
      <c r="F541" s="22"/>
      <c r="G541" s="54"/>
      <c r="H541" s="280"/>
      <c r="I541" s="205">
        <v>0</v>
      </c>
      <c r="J541" s="206"/>
      <c r="K541" s="280"/>
      <c r="L541" s="205">
        <v>0</v>
      </c>
      <c r="M541" s="206"/>
      <c r="N541" s="280"/>
      <c r="O541" s="205">
        <v>0</v>
      </c>
      <c r="P541" s="206"/>
      <c r="Q541" s="280"/>
      <c r="R541" s="205">
        <v>0</v>
      </c>
      <c r="S541" s="206"/>
      <c r="T541" s="280"/>
      <c r="U541" s="205">
        <v>0</v>
      </c>
      <c r="V541" s="206"/>
      <c r="W541" s="280"/>
      <c r="X541" s="205">
        <v>0</v>
      </c>
      <c r="Y541" s="206"/>
      <c r="Z541" s="280"/>
      <c r="AA541" s="205">
        <v>0</v>
      </c>
      <c r="AB541" s="206"/>
      <c r="AC541" s="280"/>
      <c r="AD541" s="205">
        <v>0</v>
      </c>
      <c r="AE541" s="206"/>
      <c r="AF541" s="280"/>
      <c r="AG541" s="205">
        <v>0</v>
      </c>
      <c r="AH541" s="206"/>
      <c r="AI541" s="280"/>
      <c r="AJ541" s="205">
        <v>0</v>
      </c>
      <c r="AK541" s="206"/>
      <c r="AL541" s="280"/>
      <c r="AM541" s="205">
        <v>0</v>
      </c>
      <c r="AN541" s="206"/>
      <c r="AO541" s="280"/>
      <c r="AP541" s="205">
        <v>0</v>
      </c>
      <c r="AQ541" s="206"/>
      <c r="AR541" s="280"/>
      <c r="AS541" s="205"/>
      <c r="AT541" s="206"/>
      <c r="AU541" s="280"/>
      <c r="AV541" s="205"/>
      <c r="AW541" s="206"/>
      <c r="AX541" s="280"/>
      <c r="AY541" s="205"/>
      <c r="AZ541" s="206"/>
      <c r="BA541" s="280"/>
      <c r="BB541" s="205"/>
      <c r="BC541" s="206"/>
      <c r="BD541" s="280"/>
      <c r="BE541" s="205"/>
      <c r="BF541" s="206"/>
      <c r="BG541" s="280"/>
      <c r="BH541" s="205"/>
      <c r="BI541" s="206"/>
      <c r="BJ541" s="454"/>
    </row>
    <row r="542" spans="1:62" s="28" customFormat="1" hidden="1" outlineLevel="2" x14ac:dyDescent="0.3">
      <c r="A542" s="21" t="s">
        <v>194</v>
      </c>
      <c r="B542" s="22"/>
      <c r="C542" s="3"/>
      <c r="D542" s="15"/>
      <c r="E542" s="4"/>
      <c r="F542" s="22"/>
      <c r="G542" s="54"/>
      <c r="H542" s="280"/>
      <c r="I542" s="205">
        <v>0</v>
      </c>
      <c r="J542" s="206"/>
      <c r="K542" s="280"/>
      <c r="L542" s="205">
        <v>0</v>
      </c>
      <c r="M542" s="206"/>
      <c r="N542" s="280"/>
      <c r="O542" s="205">
        <v>0</v>
      </c>
      <c r="P542" s="206"/>
      <c r="Q542" s="280"/>
      <c r="R542" s="205">
        <v>0</v>
      </c>
      <c r="S542" s="206"/>
      <c r="T542" s="280"/>
      <c r="U542" s="205">
        <v>0</v>
      </c>
      <c r="V542" s="206"/>
      <c r="W542" s="280"/>
      <c r="X542" s="205">
        <v>0</v>
      </c>
      <c r="Y542" s="206"/>
      <c r="Z542" s="280"/>
      <c r="AA542" s="205">
        <v>0</v>
      </c>
      <c r="AB542" s="206"/>
      <c r="AC542" s="280"/>
      <c r="AD542" s="205">
        <v>0</v>
      </c>
      <c r="AE542" s="206"/>
      <c r="AF542" s="280"/>
      <c r="AG542" s="205">
        <v>0</v>
      </c>
      <c r="AH542" s="206"/>
      <c r="AI542" s="280"/>
      <c r="AJ542" s="205">
        <v>0</v>
      </c>
      <c r="AK542" s="206"/>
      <c r="AL542" s="280"/>
      <c r="AM542" s="205">
        <v>0</v>
      </c>
      <c r="AN542" s="206"/>
      <c r="AO542" s="280"/>
      <c r="AP542" s="205">
        <v>0</v>
      </c>
      <c r="AQ542" s="206"/>
      <c r="AR542" s="280"/>
      <c r="AS542" s="205"/>
      <c r="AT542" s="206"/>
      <c r="AU542" s="280"/>
      <c r="AV542" s="205"/>
      <c r="AW542" s="206"/>
      <c r="AX542" s="280"/>
      <c r="AY542" s="205"/>
      <c r="AZ542" s="206"/>
      <c r="BA542" s="280"/>
      <c r="BB542" s="205"/>
      <c r="BC542" s="206"/>
      <c r="BD542" s="280"/>
      <c r="BE542" s="205"/>
      <c r="BF542" s="206"/>
      <c r="BG542" s="280"/>
      <c r="BH542" s="205"/>
      <c r="BI542" s="206"/>
      <c r="BJ542" s="454"/>
    </row>
    <row r="543" spans="1:62" s="28" customFormat="1" hidden="1" outlineLevel="2" x14ac:dyDescent="0.3">
      <c r="A543" s="21" t="s">
        <v>195</v>
      </c>
      <c r="B543" s="22"/>
      <c r="C543" s="3"/>
      <c r="D543" s="15"/>
      <c r="E543" s="4"/>
      <c r="F543" s="22"/>
      <c r="G543" s="54"/>
      <c r="H543" s="280"/>
      <c r="I543" s="205">
        <v>0</v>
      </c>
      <c r="J543" s="206"/>
      <c r="K543" s="280"/>
      <c r="L543" s="205">
        <v>0</v>
      </c>
      <c r="M543" s="206"/>
      <c r="N543" s="280"/>
      <c r="O543" s="205">
        <v>0</v>
      </c>
      <c r="P543" s="206"/>
      <c r="Q543" s="280"/>
      <c r="R543" s="205">
        <v>0</v>
      </c>
      <c r="S543" s="206"/>
      <c r="T543" s="280"/>
      <c r="U543" s="205">
        <v>0</v>
      </c>
      <c r="V543" s="206"/>
      <c r="W543" s="280"/>
      <c r="X543" s="205">
        <v>0</v>
      </c>
      <c r="Y543" s="206"/>
      <c r="Z543" s="280"/>
      <c r="AA543" s="205">
        <v>0</v>
      </c>
      <c r="AB543" s="206"/>
      <c r="AC543" s="280"/>
      <c r="AD543" s="205">
        <v>0</v>
      </c>
      <c r="AE543" s="206"/>
      <c r="AF543" s="280"/>
      <c r="AG543" s="205">
        <v>0</v>
      </c>
      <c r="AH543" s="206"/>
      <c r="AI543" s="280"/>
      <c r="AJ543" s="205">
        <v>0</v>
      </c>
      <c r="AK543" s="206"/>
      <c r="AL543" s="280"/>
      <c r="AM543" s="205">
        <v>0</v>
      </c>
      <c r="AN543" s="206"/>
      <c r="AO543" s="280"/>
      <c r="AP543" s="205">
        <v>0</v>
      </c>
      <c r="AQ543" s="206"/>
      <c r="AR543" s="280"/>
      <c r="AS543" s="205"/>
      <c r="AT543" s="206"/>
      <c r="AU543" s="280"/>
      <c r="AV543" s="205"/>
      <c r="AW543" s="206"/>
      <c r="AX543" s="280"/>
      <c r="AY543" s="205"/>
      <c r="AZ543" s="206"/>
      <c r="BA543" s="280"/>
      <c r="BB543" s="205"/>
      <c r="BC543" s="206"/>
      <c r="BD543" s="280"/>
      <c r="BE543" s="205"/>
      <c r="BF543" s="206"/>
      <c r="BG543" s="280"/>
      <c r="BH543" s="205"/>
      <c r="BI543" s="206"/>
      <c r="BJ543" s="454"/>
    </row>
    <row r="544" spans="1:62" s="28" customFormat="1" hidden="1" outlineLevel="2" x14ac:dyDescent="0.3">
      <c r="A544" s="21" t="s">
        <v>196</v>
      </c>
      <c r="B544" s="22"/>
      <c r="C544" s="3"/>
      <c r="D544" s="15"/>
      <c r="E544" s="4"/>
      <c r="F544" s="22"/>
      <c r="G544" s="54"/>
      <c r="H544" s="280"/>
      <c r="I544" s="205">
        <v>0</v>
      </c>
      <c r="J544" s="206"/>
      <c r="K544" s="280"/>
      <c r="L544" s="205">
        <v>0</v>
      </c>
      <c r="M544" s="206"/>
      <c r="N544" s="280"/>
      <c r="O544" s="205">
        <v>0</v>
      </c>
      <c r="P544" s="206"/>
      <c r="Q544" s="280"/>
      <c r="R544" s="205">
        <v>0</v>
      </c>
      <c r="S544" s="206"/>
      <c r="T544" s="280"/>
      <c r="U544" s="205">
        <v>0</v>
      </c>
      <c r="V544" s="206"/>
      <c r="W544" s="280"/>
      <c r="X544" s="205">
        <v>0</v>
      </c>
      <c r="Y544" s="206"/>
      <c r="Z544" s="280"/>
      <c r="AA544" s="205">
        <v>0</v>
      </c>
      <c r="AB544" s="206"/>
      <c r="AC544" s="280"/>
      <c r="AD544" s="205">
        <v>0</v>
      </c>
      <c r="AE544" s="206"/>
      <c r="AF544" s="280"/>
      <c r="AG544" s="205">
        <v>0</v>
      </c>
      <c r="AH544" s="206"/>
      <c r="AI544" s="280"/>
      <c r="AJ544" s="205">
        <v>0</v>
      </c>
      <c r="AK544" s="206"/>
      <c r="AL544" s="280"/>
      <c r="AM544" s="205">
        <v>0</v>
      </c>
      <c r="AN544" s="206"/>
      <c r="AO544" s="280"/>
      <c r="AP544" s="205">
        <v>0</v>
      </c>
      <c r="AQ544" s="206"/>
      <c r="AR544" s="280"/>
      <c r="AS544" s="205"/>
      <c r="AT544" s="206"/>
      <c r="AU544" s="280"/>
      <c r="AV544" s="205"/>
      <c r="AW544" s="206"/>
      <c r="AX544" s="280"/>
      <c r="AY544" s="205"/>
      <c r="AZ544" s="206"/>
      <c r="BA544" s="280"/>
      <c r="BB544" s="205"/>
      <c r="BC544" s="206"/>
      <c r="BD544" s="280"/>
      <c r="BE544" s="205"/>
      <c r="BF544" s="206"/>
      <c r="BG544" s="280"/>
      <c r="BH544" s="205"/>
      <c r="BI544" s="206"/>
      <c r="BJ544" s="454"/>
    </row>
    <row r="545" spans="1:62" s="28" customFormat="1" hidden="1" outlineLevel="2" x14ac:dyDescent="0.3">
      <c r="A545" s="21" t="s">
        <v>197</v>
      </c>
      <c r="B545" s="22"/>
      <c r="C545" s="3"/>
      <c r="D545" s="15"/>
      <c r="E545" s="4"/>
      <c r="F545" s="22"/>
      <c r="G545" s="54"/>
      <c r="H545" s="280"/>
      <c r="I545" s="205">
        <v>0</v>
      </c>
      <c r="J545" s="206"/>
      <c r="K545" s="280"/>
      <c r="L545" s="205">
        <v>0</v>
      </c>
      <c r="M545" s="206"/>
      <c r="N545" s="280"/>
      <c r="O545" s="205">
        <v>0</v>
      </c>
      <c r="P545" s="206"/>
      <c r="Q545" s="280"/>
      <c r="R545" s="205">
        <v>0</v>
      </c>
      <c r="S545" s="206"/>
      <c r="T545" s="280"/>
      <c r="U545" s="205">
        <v>0</v>
      </c>
      <c r="V545" s="206"/>
      <c r="W545" s="280"/>
      <c r="X545" s="205">
        <v>0</v>
      </c>
      <c r="Y545" s="206"/>
      <c r="Z545" s="280"/>
      <c r="AA545" s="205">
        <v>0</v>
      </c>
      <c r="AB545" s="206"/>
      <c r="AC545" s="280"/>
      <c r="AD545" s="205">
        <v>0</v>
      </c>
      <c r="AE545" s="206"/>
      <c r="AF545" s="280"/>
      <c r="AG545" s="205">
        <v>0</v>
      </c>
      <c r="AH545" s="206"/>
      <c r="AI545" s="280"/>
      <c r="AJ545" s="205">
        <v>0</v>
      </c>
      <c r="AK545" s="206"/>
      <c r="AL545" s="280"/>
      <c r="AM545" s="205">
        <v>0</v>
      </c>
      <c r="AN545" s="206"/>
      <c r="AO545" s="280"/>
      <c r="AP545" s="205">
        <v>0</v>
      </c>
      <c r="AQ545" s="206"/>
      <c r="AR545" s="280"/>
      <c r="AS545" s="205"/>
      <c r="AT545" s="206"/>
      <c r="AU545" s="280"/>
      <c r="AV545" s="205"/>
      <c r="AW545" s="206"/>
      <c r="AX545" s="280"/>
      <c r="AY545" s="205"/>
      <c r="AZ545" s="206"/>
      <c r="BA545" s="280"/>
      <c r="BB545" s="205"/>
      <c r="BC545" s="206"/>
      <c r="BD545" s="280"/>
      <c r="BE545" s="205"/>
      <c r="BF545" s="206"/>
      <c r="BG545" s="280"/>
      <c r="BH545" s="205"/>
      <c r="BI545" s="206"/>
      <c r="BJ545" s="454"/>
    </row>
    <row r="546" spans="1:62" s="28" customFormat="1" hidden="1" outlineLevel="2" x14ac:dyDescent="0.3">
      <c r="A546" s="21" t="s">
        <v>198</v>
      </c>
      <c r="B546" s="22"/>
      <c r="C546" s="3"/>
      <c r="D546" s="15"/>
      <c r="E546" s="4"/>
      <c r="F546" s="22"/>
      <c r="G546" s="54"/>
      <c r="H546" s="280"/>
      <c r="I546" s="205">
        <v>0</v>
      </c>
      <c r="J546" s="206"/>
      <c r="K546" s="280"/>
      <c r="L546" s="205">
        <v>0</v>
      </c>
      <c r="M546" s="206"/>
      <c r="N546" s="280"/>
      <c r="O546" s="205">
        <v>0</v>
      </c>
      <c r="P546" s="206"/>
      <c r="Q546" s="280"/>
      <c r="R546" s="205">
        <v>0</v>
      </c>
      <c r="S546" s="206"/>
      <c r="T546" s="280"/>
      <c r="U546" s="205">
        <v>0</v>
      </c>
      <c r="V546" s="206"/>
      <c r="W546" s="280"/>
      <c r="X546" s="205">
        <v>0</v>
      </c>
      <c r="Y546" s="206"/>
      <c r="Z546" s="280"/>
      <c r="AA546" s="205">
        <v>0</v>
      </c>
      <c r="AB546" s="206"/>
      <c r="AC546" s="280"/>
      <c r="AD546" s="205">
        <v>0</v>
      </c>
      <c r="AE546" s="206"/>
      <c r="AF546" s="280"/>
      <c r="AG546" s="205">
        <v>0</v>
      </c>
      <c r="AH546" s="206"/>
      <c r="AI546" s="280"/>
      <c r="AJ546" s="205">
        <v>0</v>
      </c>
      <c r="AK546" s="206"/>
      <c r="AL546" s="280"/>
      <c r="AM546" s="205">
        <v>0</v>
      </c>
      <c r="AN546" s="206"/>
      <c r="AO546" s="280"/>
      <c r="AP546" s="205">
        <v>0</v>
      </c>
      <c r="AQ546" s="206"/>
      <c r="AR546" s="280"/>
      <c r="AS546" s="205"/>
      <c r="AT546" s="206"/>
      <c r="AU546" s="280"/>
      <c r="AV546" s="205"/>
      <c r="AW546" s="206"/>
      <c r="AX546" s="280"/>
      <c r="AY546" s="205"/>
      <c r="AZ546" s="206"/>
      <c r="BA546" s="280"/>
      <c r="BB546" s="205"/>
      <c r="BC546" s="206"/>
      <c r="BD546" s="280"/>
      <c r="BE546" s="205"/>
      <c r="BF546" s="206"/>
      <c r="BG546" s="280"/>
      <c r="BH546" s="205"/>
      <c r="BI546" s="206"/>
      <c r="BJ546" s="454"/>
    </row>
    <row r="547" spans="1:62" s="28" customFormat="1" hidden="1" outlineLevel="2" x14ac:dyDescent="0.3">
      <c r="A547" s="21" t="s">
        <v>199</v>
      </c>
      <c r="B547" s="22"/>
      <c r="C547" s="3"/>
      <c r="D547" s="15"/>
      <c r="E547" s="4"/>
      <c r="F547" s="22"/>
      <c r="G547" s="54"/>
      <c r="H547" s="280"/>
      <c r="I547" s="205">
        <v>0</v>
      </c>
      <c r="J547" s="206"/>
      <c r="K547" s="280"/>
      <c r="L547" s="205">
        <v>0</v>
      </c>
      <c r="M547" s="206"/>
      <c r="N547" s="280"/>
      <c r="O547" s="205">
        <v>0</v>
      </c>
      <c r="P547" s="206"/>
      <c r="Q547" s="280"/>
      <c r="R547" s="205">
        <v>0</v>
      </c>
      <c r="S547" s="206"/>
      <c r="T547" s="280"/>
      <c r="U547" s="205">
        <v>0</v>
      </c>
      <c r="V547" s="206"/>
      <c r="W547" s="280"/>
      <c r="X547" s="205">
        <v>0</v>
      </c>
      <c r="Y547" s="206"/>
      <c r="Z547" s="280"/>
      <c r="AA547" s="205">
        <v>0</v>
      </c>
      <c r="AB547" s="206"/>
      <c r="AC547" s="280"/>
      <c r="AD547" s="205">
        <v>0</v>
      </c>
      <c r="AE547" s="206"/>
      <c r="AF547" s="280"/>
      <c r="AG547" s="205">
        <v>0</v>
      </c>
      <c r="AH547" s="206"/>
      <c r="AI547" s="280"/>
      <c r="AJ547" s="205">
        <v>0</v>
      </c>
      <c r="AK547" s="206"/>
      <c r="AL547" s="280"/>
      <c r="AM547" s="205">
        <v>0</v>
      </c>
      <c r="AN547" s="206"/>
      <c r="AO547" s="280"/>
      <c r="AP547" s="205">
        <v>0</v>
      </c>
      <c r="AQ547" s="206"/>
      <c r="AR547" s="280"/>
      <c r="AS547" s="205"/>
      <c r="AT547" s="206"/>
      <c r="AU547" s="280"/>
      <c r="AV547" s="205"/>
      <c r="AW547" s="206"/>
      <c r="AX547" s="280"/>
      <c r="AY547" s="205"/>
      <c r="AZ547" s="206"/>
      <c r="BA547" s="280"/>
      <c r="BB547" s="205"/>
      <c r="BC547" s="206"/>
      <c r="BD547" s="280"/>
      <c r="BE547" s="205"/>
      <c r="BF547" s="206"/>
      <c r="BG547" s="280"/>
      <c r="BH547" s="205"/>
      <c r="BI547" s="206"/>
      <c r="BJ547" s="454"/>
    </row>
    <row r="548" spans="1:62" s="28" customFormat="1" ht="16.2" hidden="1" customHeight="1" outlineLevel="1" x14ac:dyDescent="0.3">
      <c r="A548" s="159"/>
      <c r="B548" s="22"/>
      <c r="C548" s="3"/>
      <c r="D548" s="4"/>
      <c r="E548" s="4"/>
      <c r="F548" s="22"/>
      <c r="G548" s="54"/>
      <c r="H548" s="269"/>
      <c r="I548" s="22"/>
      <c r="J548" s="160"/>
      <c r="K548" s="269"/>
      <c r="L548" s="22"/>
      <c r="M548" s="160"/>
      <c r="N548" s="269"/>
      <c r="O548" s="22"/>
      <c r="P548" s="160"/>
      <c r="Q548" s="269"/>
      <c r="R548" s="22"/>
      <c r="S548" s="160"/>
      <c r="T548" s="269"/>
      <c r="U548" s="22"/>
      <c r="V548" s="160"/>
      <c r="W548" s="269"/>
      <c r="X548" s="22"/>
      <c r="Y548" s="160"/>
      <c r="Z548" s="269"/>
      <c r="AA548" s="22"/>
      <c r="AB548" s="160"/>
      <c r="AC548" s="269"/>
      <c r="AD548" s="22"/>
      <c r="AE548" s="160"/>
      <c r="AF548" s="269"/>
      <c r="AG548" s="22"/>
      <c r="AH548" s="160"/>
      <c r="AI548" s="269"/>
      <c r="AJ548" s="22"/>
      <c r="AK548" s="160"/>
      <c r="AL548" s="269"/>
      <c r="AM548" s="22"/>
      <c r="AN548" s="160"/>
      <c r="AO548" s="269"/>
      <c r="AP548" s="22"/>
      <c r="AQ548" s="160"/>
      <c r="AR548" s="269"/>
      <c r="AS548" s="22"/>
      <c r="AT548" s="160"/>
      <c r="AU548" s="269"/>
      <c r="AV548" s="22"/>
      <c r="AW548" s="160"/>
      <c r="AX548" s="269"/>
      <c r="AY548" s="22"/>
      <c r="AZ548" s="160"/>
      <c r="BA548" s="269"/>
      <c r="BB548" s="22"/>
      <c r="BC548" s="160"/>
      <c r="BD548" s="269"/>
      <c r="BE548" s="22"/>
      <c r="BF548" s="160"/>
      <c r="BG548" s="269"/>
      <c r="BH548" s="22"/>
      <c r="BI548" s="160"/>
      <c r="BJ548" s="454"/>
    </row>
    <row r="549" spans="1:62" s="28" customFormat="1" hidden="1" outlineLevel="1" x14ac:dyDescent="0.3">
      <c r="A549" s="207" t="s">
        <v>204</v>
      </c>
      <c r="B549" s="22"/>
      <c r="C549" s="3"/>
      <c r="D549" s="208" t="s">
        <v>341</v>
      </c>
      <c r="E549" s="208" t="s">
        <v>426</v>
      </c>
      <c r="F549" s="22"/>
      <c r="G549" s="54"/>
      <c r="H549" s="279"/>
      <c r="I549" s="203"/>
      <c r="J549" s="204"/>
      <c r="K549" s="279"/>
      <c r="L549" s="203"/>
      <c r="M549" s="204"/>
      <c r="N549" s="279"/>
      <c r="O549" s="203"/>
      <c r="P549" s="204"/>
      <c r="Q549" s="279"/>
      <c r="R549" s="203"/>
      <c r="S549" s="204"/>
      <c r="T549" s="279"/>
      <c r="U549" s="203"/>
      <c r="V549" s="204"/>
      <c r="W549" s="279"/>
      <c r="X549" s="203"/>
      <c r="Y549" s="204"/>
      <c r="Z549" s="279"/>
      <c r="AA549" s="203"/>
      <c r="AB549" s="204"/>
      <c r="AC549" s="279"/>
      <c r="AD549" s="203"/>
      <c r="AE549" s="204"/>
      <c r="AF549" s="279"/>
      <c r="AG549" s="203"/>
      <c r="AH549" s="204"/>
      <c r="AI549" s="279"/>
      <c r="AJ549" s="203"/>
      <c r="AK549" s="204"/>
      <c r="AL549" s="279"/>
      <c r="AM549" s="203"/>
      <c r="AN549" s="204"/>
      <c r="AO549" s="279"/>
      <c r="AP549" s="203"/>
      <c r="AQ549" s="204"/>
      <c r="AR549" s="279"/>
      <c r="AS549" s="203"/>
      <c r="AT549" s="204"/>
      <c r="AU549" s="279"/>
      <c r="AV549" s="203"/>
      <c r="AW549" s="204"/>
      <c r="AX549" s="279"/>
      <c r="AY549" s="203"/>
      <c r="AZ549" s="204"/>
      <c r="BA549" s="279"/>
      <c r="BB549" s="203"/>
      <c r="BC549" s="204"/>
      <c r="BD549" s="279"/>
      <c r="BE549" s="203"/>
      <c r="BF549" s="204"/>
      <c r="BG549" s="279"/>
      <c r="BH549" s="203"/>
      <c r="BI549" s="204"/>
      <c r="BJ549" s="454"/>
    </row>
    <row r="550" spans="1:62" s="28" customFormat="1" hidden="1" outlineLevel="2" x14ac:dyDescent="0.3">
      <c r="A550" s="21" t="s">
        <v>427</v>
      </c>
      <c r="B550" s="2"/>
      <c r="C550" s="3"/>
      <c r="D550" s="53">
        <v>0.08</v>
      </c>
      <c r="E550" s="53">
        <v>0.08</v>
      </c>
      <c r="F550" s="39"/>
      <c r="G550" s="54"/>
      <c r="H550" s="237"/>
      <c r="I550" s="26"/>
      <c r="J550" s="27"/>
      <c r="K550" s="237"/>
      <c r="L550" s="26"/>
      <c r="M550" s="27"/>
      <c r="N550" s="237"/>
      <c r="O550" s="26"/>
      <c r="P550" s="27"/>
      <c r="Q550" s="237"/>
      <c r="R550" s="26"/>
      <c r="S550" s="27"/>
      <c r="T550" s="237"/>
      <c r="U550" s="26"/>
      <c r="V550" s="27"/>
      <c r="W550" s="237"/>
      <c r="X550" s="26"/>
      <c r="Y550" s="27"/>
      <c r="Z550" s="237"/>
      <c r="AA550" s="26"/>
      <c r="AB550" s="27"/>
      <c r="AC550" s="237"/>
      <c r="AD550" s="26"/>
      <c r="AE550" s="27"/>
      <c r="AF550" s="237"/>
      <c r="AG550" s="26"/>
      <c r="AH550" s="27"/>
      <c r="AI550" s="237"/>
      <c r="AJ550" s="26"/>
      <c r="AK550" s="27"/>
      <c r="AL550" s="237"/>
      <c r="AM550" s="26"/>
      <c r="AN550" s="27"/>
      <c r="AO550" s="237"/>
      <c r="AP550" s="26"/>
      <c r="AQ550" s="27"/>
      <c r="AR550" s="237"/>
      <c r="AS550" s="26"/>
      <c r="AT550" s="27"/>
      <c r="AU550" s="237"/>
      <c r="AV550" s="26"/>
      <c r="AW550" s="27"/>
      <c r="AX550" s="237"/>
      <c r="AY550" s="26"/>
      <c r="AZ550" s="27"/>
      <c r="BA550" s="237"/>
      <c r="BB550" s="26"/>
      <c r="BC550" s="27"/>
      <c r="BD550" s="237"/>
      <c r="BE550" s="26"/>
      <c r="BF550" s="27"/>
      <c r="BG550" s="237"/>
      <c r="BH550" s="26"/>
      <c r="BI550" s="27"/>
      <c r="BJ550" s="454"/>
    </row>
    <row r="551" spans="1:62" s="28" customFormat="1" hidden="1" outlineLevel="2" x14ac:dyDescent="0.3">
      <c r="A551" s="21" t="s">
        <v>428</v>
      </c>
      <c r="B551" s="2"/>
      <c r="C551" s="3"/>
      <c r="D551" s="53">
        <v>0</v>
      </c>
      <c r="E551" s="53">
        <v>0.28799999999999998</v>
      </c>
      <c r="F551" s="39"/>
      <c r="G551" s="54"/>
      <c r="H551" s="237"/>
      <c r="I551" s="26"/>
      <c r="J551" s="27"/>
      <c r="K551" s="237"/>
      <c r="L551" s="26"/>
      <c r="M551" s="27"/>
      <c r="N551" s="237"/>
      <c r="O551" s="26"/>
      <c r="P551" s="27"/>
      <c r="Q551" s="237"/>
      <c r="R551" s="26"/>
      <c r="S551" s="27"/>
      <c r="T551" s="237"/>
      <c r="U551" s="26"/>
      <c r="V551" s="27"/>
      <c r="W551" s="237"/>
      <c r="X551" s="26"/>
      <c r="Y551" s="27"/>
      <c r="Z551" s="237"/>
      <c r="AA551" s="26"/>
      <c r="AB551" s="27"/>
      <c r="AC551" s="237"/>
      <c r="AD551" s="26"/>
      <c r="AE551" s="27"/>
      <c r="AF551" s="237"/>
      <c r="AG551" s="26"/>
      <c r="AH551" s="27"/>
      <c r="AI551" s="237"/>
      <c r="AJ551" s="26"/>
      <c r="AK551" s="27"/>
      <c r="AL551" s="237"/>
      <c r="AM551" s="26"/>
      <c r="AN551" s="27"/>
      <c r="AO551" s="237"/>
      <c r="AP551" s="26"/>
      <c r="AQ551" s="27"/>
      <c r="AR551" s="237"/>
      <c r="AS551" s="26"/>
      <c r="AT551" s="27"/>
      <c r="AU551" s="237"/>
      <c r="AV551" s="26"/>
      <c r="AW551" s="27"/>
      <c r="AX551" s="237"/>
      <c r="AY551" s="26"/>
      <c r="AZ551" s="27"/>
      <c r="BA551" s="237"/>
      <c r="BB551" s="26"/>
      <c r="BC551" s="27"/>
      <c r="BD551" s="237"/>
      <c r="BE551" s="26"/>
      <c r="BF551" s="27"/>
      <c r="BG551" s="237"/>
      <c r="BH551" s="26"/>
      <c r="BI551" s="27"/>
      <c r="BJ551" s="454"/>
    </row>
    <row r="552" spans="1:62" s="28" customFormat="1" hidden="1" outlineLevel="2" x14ac:dyDescent="0.3">
      <c r="A552" s="21" t="s">
        <v>429</v>
      </c>
      <c r="B552" s="2"/>
      <c r="C552" s="3"/>
      <c r="D552" s="53">
        <v>8.3400000000000002E-2</v>
      </c>
      <c r="E552" s="53">
        <v>8.3400000000000002E-2</v>
      </c>
      <c r="F552" s="39"/>
      <c r="G552" s="54"/>
      <c r="H552" s="237"/>
      <c r="I552" s="26"/>
      <c r="J552" s="27"/>
      <c r="K552" s="237"/>
      <c r="L552" s="26"/>
      <c r="M552" s="27"/>
      <c r="N552" s="237"/>
      <c r="O552" s="26"/>
      <c r="P552" s="27"/>
      <c r="Q552" s="237"/>
      <c r="R552" s="26"/>
      <c r="S552" s="27"/>
      <c r="T552" s="237"/>
      <c r="U552" s="26"/>
      <c r="V552" s="27"/>
      <c r="W552" s="237"/>
      <c r="X552" s="26"/>
      <c r="Y552" s="27"/>
      <c r="Z552" s="237"/>
      <c r="AA552" s="26"/>
      <c r="AB552" s="27"/>
      <c r="AC552" s="237"/>
      <c r="AD552" s="26"/>
      <c r="AE552" s="27"/>
      <c r="AF552" s="237"/>
      <c r="AG552" s="26"/>
      <c r="AH552" s="27"/>
      <c r="AI552" s="237"/>
      <c r="AJ552" s="26"/>
      <c r="AK552" s="27"/>
      <c r="AL552" s="237"/>
      <c r="AM552" s="26"/>
      <c r="AN552" s="27"/>
      <c r="AO552" s="237"/>
      <c r="AP552" s="26"/>
      <c r="AQ552" s="27"/>
      <c r="AR552" s="237"/>
      <c r="AS552" s="26"/>
      <c r="AT552" s="27"/>
      <c r="AU552" s="237"/>
      <c r="AV552" s="26"/>
      <c r="AW552" s="27"/>
      <c r="AX552" s="237"/>
      <c r="AY552" s="26"/>
      <c r="AZ552" s="27"/>
      <c r="BA552" s="237"/>
      <c r="BB552" s="26"/>
      <c r="BC552" s="27"/>
      <c r="BD552" s="237"/>
      <c r="BE552" s="26"/>
      <c r="BF552" s="27"/>
      <c r="BG552" s="237"/>
      <c r="BH552" s="26"/>
      <c r="BI552" s="27"/>
      <c r="BJ552" s="454"/>
    </row>
    <row r="553" spans="1:62" s="28" customFormat="1" hidden="1" outlineLevel="2" x14ac:dyDescent="0.3">
      <c r="A553" s="21" t="s">
        <v>430</v>
      </c>
      <c r="B553" s="2"/>
      <c r="C553" s="3"/>
      <c r="D553" s="53">
        <v>2.5000000000000001E-2</v>
      </c>
      <c r="E553" s="53">
        <v>2.5000000000000001E-2</v>
      </c>
      <c r="F553" s="39"/>
      <c r="G553" s="54"/>
      <c r="H553" s="237"/>
      <c r="I553" s="26"/>
      <c r="J553" s="27"/>
      <c r="K553" s="237"/>
      <c r="L553" s="26"/>
      <c r="M553" s="27"/>
      <c r="N553" s="237"/>
      <c r="O553" s="26"/>
      <c r="P553" s="27"/>
      <c r="Q553" s="237"/>
      <c r="R553" s="26"/>
      <c r="S553" s="27"/>
      <c r="T553" s="237"/>
      <c r="U553" s="26"/>
      <c r="V553" s="27"/>
      <c r="W553" s="237"/>
      <c r="X553" s="26"/>
      <c r="Y553" s="27"/>
      <c r="Z553" s="237"/>
      <c r="AA553" s="26"/>
      <c r="AB553" s="27"/>
      <c r="AC553" s="237"/>
      <c r="AD553" s="26"/>
      <c r="AE553" s="27"/>
      <c r="AF553" s="237"/>
      <c r="AG553" s="26"/>
      <c r="AH553" s="27"/>
      <c r="AI553" s="237"/>
      <c r="AJ553" s="26"/>
      <c r="AK553" s="27"/>
      <c r="AL553" s="237"/>
      <c r="AM553" s="26"/>
      <c r="AN553" s="27"/>
      <c r="AO553" s="237"/>
      <c r="AP553" s="26"/>
      <c r="AQ553" s="27"/>
      <c r="AR553" s="237"/>
      <c r="AS553" s="26"/>
      <c r="AT553" s="27"/>
      <c r="AU553" s="237"/>
      <c r="AV553" s="26"/>
      <c r="AW553" s="27"/>
      <c r="AX553" s="237"/>
      <c r="AY553" s="26"/>
      <c r="AZ553" s="27"/>
      <c r="BA553" s="237"/>
      <c r="BB553" s="26"/>
      <c r="BC553" s="27"/>
      <c r="BD553" s="237"/>
      <c r="BE553" s="26"/>
      <c r="BF553" s="27"/>
      <c r="BG553" s="237"/>
      <c r="BH553" s="26"/>
      <c r="BI553" s="27"/>
      <c r="BJ553" s="454"/>
    </row>
    <row r="554" spans="1:62" s="28" customFormat="1" hidden="1" outlineLevel="2" x14ac:dyDescent="0.3">
      <c r="A554" s="21" t="s">
        <v>431</v>
      </c>
      <c r="B554" s="2"/>
      <c r="C554" s="3"/>
      <c r="D554" s="53">
        <v>2.81E-2</v>
      </c>
      <c r="E554" s="53">
        <v>2.81E-2</v>
      </c>
      <c r="F554" s="39"/>
      <c r="G554" s="54"/>
      <c r="H554" s="237"/>
      <c r="I554" s="26"/>
      <c r="J554" s="27"/>
      <c r="K554" s="237"/>
      <c r="L554" s="26"/>
      <c r="M554" s="27"/>
      <c r="N554" s="237"/>
      <c r="O554" s="26"/>
      <c r="P554" s="27"/>
      <c r="Q554" s="237"/>
      <c r="R554" s="26"/>
      <c r="S554" s="27"/>
      <c r="T554" s="237"/>
      <c r="U554" s="26"/>
      <c r="V554" s="27"/>
      <c r="W554" s="237"/>
      <c r="X554" s="26"/>
      <c r="Y554" s="27"/>
      <c r="Z554" s="237"/>
      <c r="AA554" s="26"/>
      <c r="AB554" s="27"/>
      <c r="AC554" s="237"/>
      <c r="AD554" s="26"/>
      <c r="AE554" s="27"/>
      <c r="AF554" s="237"/>
      <c r="AG554" s="26"/>
      <c r="AH554" s="27"/>
      <c r="AI554" s="237"/>
      <c r="AJ554" s="26"/>
      <c r="AK554" s="27"/>
      <c r="AL554" s="237"/>
      <c r="AM554" s="26"/>
      <c r="AN554" s="27"/>
      <c r="AO554" s="237"/>
      <c r="AP554" s="26"/>
      <c r="AQ554" s="27"/>
      <c r="AR554" s="237"/>
      <c r="AS554" s="26"/>
      <c r="AT554" s="27"/>
      <c r="AU554" s="237"/>
      <c r="AV554" s="26"/>
      <c r="AW554" s="27"/>
      <c r="AX554" s="237"/>
      <c r="AY554" s="26"/>
      <c r="AZ554" s="27"/>
      <c r="BA554" s="237"/>
      <c r="BB554" s="26"/>
      <c r="BC554" s="27"/>
      <c r="BD554" s="237"/>
      <c r="BE554" s="26"/>
      <c r="BF554" s="27"/>
      <c r="BG554" s="237"/>
      <c r="BH554" s="26"/>
      <c r="BI554" s="27"/>
      <c r="BJ554" s="454"/>
    </row>
    <row r="555" spans="1:62" s="28" customFormat="1" hidden="1" outlineLevel="2" x14ac:dyDescent="0.3">
      <c r="A555" s="21" t="s">
        <v>432</v>
      </c>
      <c r="B555" s="2"/>
      <c r="C555" s="3"/>
      <c r="D555" s="53">
        <v>8.3999999999999995E-3</v>
      </c>
      <c r="E555" s="53">
        <v>8.3999999999999995E-3</v>
      </c>
      <c r="F555" s="39"/>
      <c r="G555" s="54"/>
      <c r="H555" s="237"/>
      <c r="I555" s="26"/>
      <c r="J555" s="27"/>
      <c r="K555" s="237"/>
      <c r="L555" s="26"/>
      <c r="M555" s="27"/>
      <c r="N555" s="237"/>
      <c r="O555" s="26"/>
      <c r="P555" s="27"/>
      <c r="Q555" s="237"/>
      <c r="R555" s="26"/>
      <c r="S555" s="27"/>
      <c r="T555" s="237"/>
      <c r="U555" s="26"/>
      <c r="V555" s="27"/>
      <c r="W555" s="237"/>
      <c r="X555" s="26"/>
      <c r="Y555" s="27"/>
      <c r="Z555" s="237"/>
      <c r="AA555" s="26"/>
      <c r="AB555" s="27"/>
      <c r="AC555" s="237"/>
      <c r="AD555" s="26"/>
      <c r="AE555" s="27"/>
      <c r="AF555" s="237"/>
      <c r="AG555" s="26"/>
      <c r="AH555" s="27"/>
      <c r="AI555" s="237"/>
      <c r="AJ555" s="26"/>
      <c r="AK555" s="27"/>
      <c r="AL555" s="237"/>
      <c r="AM555" s="26"/>
      <c r="AN555" s="27"/>
      <c r="AO555" s="237"/>
      <c r="AP555" s="26"/>
      <c r="AQ555" s="27"/>
      <c r="AR555" s="237"/>
      <c r="AS555" s="26"/>
      <c r="AT555" s="27"/>
      <c r="AU555" s="237"/>
      <c r="AV555" s="26"/>
      <c r="AW555" s="27"/>
      <c r="AX555" s="237"/>
      <c r="AY555" s="26"/>
      <c r="AZ555" s="27"/>
      <c r="BA555" s="237"/>
      <c r="BB555" s="26"/>
      <c r="BC555" s="27"/>
      <c r="BD555" s="237"/>
      <c r="BE555" s="26"/>
      <c r="BF555" s="27"/>
      <c r="BG555" s="237"/>
      <c r="BH555" s="26"/>
      <c r="BI555" s="27"/>
      <c r="BJ555" s="454"/>
    </row>
    <row r="556" spans="1:62" s="28" customFormat="1" hidden="1" outlineLevel="2" x14ac:dyDescent="0.3">
      <c r="A556" s="21" t="s">
        <v>433</v>
      </c>
      <c r="B556" s="2"/>
      <c r="C556" s="3"/>
      <c r="D556" s="53">
        <v>0</v>
      </c>
      <c r="E556" s="53">
        <v>0</v>
      </c>
      <c r="F556" s="39"/>
      <c r="G556" s="54"/>
      <c r="H556" s="237"/>
      <c r="I556" s="26"/>
      <c r="J556" s="27"/>
      <c r="K556" s="237"/>
      <c r="L556" s="26"/>
      <c r="M556" s="27"/>
      <c r="N556" s="237"/>
      <c r="O556" s="26"/>
      <c r="P556" s="27"/>
      <c r="Q556" s="237"/>
      <c r="R556" s="26"/>
      <c r="S556" s="27"/>
      <c r="T556" s="237"/>
      <c r="U556" s="26"/>
      <c r="V556" s="27"/>
      <c r="W556" s="237"/>
      <c r="X556" s="26"/>
      <c r="Y556" s="27"/>
      <c r="Z556" s="237"/>
      <c r="AA556" s="26"/>
      <c r="AB556" s="27"/>
      <c r="AC556" s="237"/>
      <c r="AD556" s="26"/>
      <c r="AE556" s="27"/>
      <c r="AF556" s="237"/>
      <c r="AG556" s="26"/>
      <c r="AH556" s="27"/>
      <c r="AI556" s="237"/>
      <c r="AJ556" s="26"/>
      <c r="AK556" s="27"/>
      <c r="AL556" s="237"/>
      <c r="AM556" s="26"/>
      <c r="AN556" s="27"/>
      <c r="AO556" s="237"/>
      <c r="AP556" s="26"/>
      <c r="AQ556" s="27"/>
      <c r="AR556" s="237"/>
      <c r="AS556" s="26"/>
      <c r="AT556" s="27"/>
      <c r="AU556" s="237"/>
      <c r="AV556" s="26"/>
      <c r="AW556" s="27"/>
      <c r="AX556" s="237"/>
      <c r="AY556" s="26"/>
      <c r="AZ556" s="27"/>
      <c r="BA556" s="237"/>
      <c r="BB556" s="26"/>
      <c r="BC556" s="27"/>
      <c r="BD556" s="237"/>
      <c r="BE556" s="26"/>
      <c r="BF556" s="27"/>
      <c r="BG556" s="237"/>
      <c r="BH556" s="26"/>
      <c r="BI556" s="27"/>
      <c r="BJ556" s="454"/>
    </row>
    <row r="557" spans="1:62" s="28" customFormat="1" hidden="1" outlineLevel="2" x14ac:dyDescent="0.3">
      <c r="A557" s="21" t="s">
        <v>434</v>
      </c>
      <c r="B557" s="2"/>
      <c r="C557" s="3"/>
      <c r="D557" s="53">
        <v>0.15</v>
      </c>
      <c r="E557" s="53">
        <v>0.05</v>
      </c>
      <c r="F557" s="39"/>
      <c r="G557" s="54"/>
      <c r="H557" s="237"/>
      <c r="I557" s="26"/>
      <c r="J557" s="27"/>
      <c r="K557" s="237"/>
      <c r="L557" s="26"/>
      <c r="M557" s="27"/>
      <c r="N557" s="237"/>
      <c r="O557" s="26"/>
      <c r="P557" s="27"/>
      <c r="Q557" s="237"/>
      <c r="R557" s="26"/>
      <c r="S557" s="27"/>
      <c r="T557" s="237"/>
      <c r="U557" s="26"/>
      <c r="V557" s="27"/>
      <c r="W557" s="237"/>
      <c r="X557" s="26"/>
      <c r="Y557" s="27"/>
      <c r="Z557" s="237"/>
      <c r="AA557" s="26"/>
      <c r="AB557" s="27"/>
      <c r="AC557" s="237"/>
      <c r="AD557" s="26"/>
      <c r="AE557" s="27"/>
      <c r="AF557" s="237"/>
      <c r="AG557" s="26"/>
      <c r="AH557" s="27"/>
      <c r="AI557" s="237"/>
      <c r="AJ557" s="26"/>
      <c r="AK557" s="27"/>
      <c r="AL557" s="237"/>
      <c r="AM557" s="26"/>
      <c r="AN557" s="27"/>
      <c r="AO557" s="237"/>
      <c r="AP557" s="26"/>
      <c r="AQ557" s="27"/>
      <c r="AR557" s="237"/>
      <c r="AS557" s="26"/>
      <c r="AT557" s="27"/>
      <c r="AU557" s="237"/>
      <c r="AV557" s="26"/>
      <c r="AW557" s="27"/>
      <c r="AX557" s="237"/>
      <c r="AY557" s="26"/>
      <c r="AZ557" s="27"/>
      <c r="BA557" s="237"/>
      <c r="BB557" s="26"/>
      <c r="BC557" s="27"/>
      <c r="BD557" s="237"/>
      <c r="BE557" s="26"/>
      <c r="BF557" s="27"/>
      <c r="BG557" s="237"/>
      <c r="BH557" s="26"/>
      <c r="BI557" s="27"/>
      <c r="BJ557" s="454"/>
    </row>
    <row r="558" spans="1:62" s="28" customFormat="1" hidden="1" outlineLevel="2" x14ac:dyDescent="0.3">
      <c r="A558" s="21" t="s">
        <v>435</v>
      </c>
      <c r="B558" s="2"/>
      <c r="C558" s="3"/>
      <c r="D558" s="53">
        <v>0.06</v>
      </c>
      <c r="E558" s="53">
        <v>8.5000000000000006E-2</v>
      </c>
      <c r="F558" s="39"/>
      <c r="G558" s="54"/>
      <c r="H558" s="237"/>
      <c r="I558" s="26"/>
      <c r="J558" s="27"/>
      <c r="K558" s="237"/>
      <c r="L558" s="26"/>
      <c r="M558" s="27"/>
      <c r="N558" s="237"/>
      <c r="O558" s="26"/>
      <c r="P558" s="27"/>
      <c r="Q558" s="237"/>
      <c r="R558" s="26"/>
      <c r="S558" s="27"/>
      <c r="T558" s="237"/>
      <c r="U558" s="26"/>
      <c r="V558" s="27"/>
      <c r="W558" s="237"/>
      <c r="X558" s="26"/>
      <c r="Y558" s="27"/>
      <c r="Z558" s="237"/>
      <c r="AA558" s="26"/>
      <c r="AB558" s="27"/>
      <c r="AC558" s="237"/>
      <c r="AD558" s="26"/>
      <c r="AE558" s="27"/>
      <c r="AF558" s="237"/>
      <c r="AG558" s="26"/>
      <c r="AH558" s="27"/>
      <c r="AI558" s="237"/>
      <c r="AJ558" s="26"/>
      <c r="AK558" s="27"/>
      <c r="AL558" s="237"/>
      <c r="AM558" s="26"/>
      <c r="AN558" s="27"/>
      <c r="AO558" s="237"/>
      <c r="AP558" s="26"/>
      <c r="AQ558" s="27"/>
      <c r="AR558" s="237"/>
      <c r="AS558" s="26"/>
      <c r="AT558" s="27"/>
      <c r="AU558" s="237"/>
      <c r="AV558" s="26"/>
      <c r="AW558" s="27"/>
      <c r="AX558" s="237"/>
      <c r="AY558" s="26"/>
      <c r="AZ558" s="27"/>
      <c r="BA558" s="237"/>
      <c r="BB558" s="26"/>
      <c r="BC558" s="27"/>
      <c r="BD558" s="237"/>
      <c r="BE558" s="26"/>
      <c r="BF558" s="27"/>
      <c r="BG558" s="237"/>
      <c r="BH558" s="26"/>
      <c r="BI558" s="27"/>
      <c r="BJ558" s="454"/>
    </row>
    <row r="559" spans="1:62" s="28" customFormat="1" hidden="1" outlineLevel="2" x14ac:dyDescent="0.3">
      <c r="A559" s="21" t="s">
        <v>436</v>
      </c>
      <c r="B559" s="2"/>
      <c r="C559" s="3"/>
      <c r="D559" s="53">
        <v>0.01</v>
      </c>
      <c r="E559" s="53">
        <v>0.01</v>
      </c>
      <c r="F559" s="39"/>
      <c r="G559" s="54"/>
      <c r="H559" s="237"/>
      <c r="I559" s="26"/>
      <c r="J559" s="27"/>
      <c r="K559" s="237"/>
      <c r="L559" s="26"/>
      <c r="M559" s="27"/>
      <c r="N559" s="237"/>
      <c r="O559" s="26"/>
      <c r="P559" s="27"/>
      <c r="Q559" s="237"/>
      <c r="R559" s="26"/>
      <c r="S559" s="27"/>
      <c r="T559" s="237"/>
      <c r="U559" s="26"/>
      <c r="V559" s="27"/>
      <c r="W559" s="237"/>
      <c r="X559" s="26"/>
      <c r="Y559" s="27"/>
      <c r="Z559" s="237"/>
      <c r="AA559" s="26"/>
      <c r="AB559" s="27"/>
      <c r="AC559" s="237"/>
      <c r="AD559" s="26"/>
      <c r="AE559" s="27"/>
      <c r="AF559" s="237"/>
      <c r="AG559" s="26"/>
      <c r="AH559" s="27"/>
      <c r="AI559" s="237"/>
      <c r="AJ559" s="26"/>
      <c r="AK559" s="27"/>
      <c r="AL559" s="237"/>
      <c r="AM559" s="26"/>
      <c r="AN559" s="27"/>
      <c r="AO559" s="237"/>
      <c r="AP559" s="26"/>
      <c r="AQ559" s="27"/>
      <c r="AR559" s="237"/>
      <c r="AS559" s="26"/>
      <c r="AT559" s="27"/>
      <c r="AU559" s="237"/>
      <c r="AV559" s="26"/>
      <c r="AW559" s="27"/>
      <c r="AX559" s="237"/>
      <c r="AY559" s="26"/>
      <c r="AZ559" s="27"/>
      <c r="BA559" s="237"/>
      <c r="BB559" s="26"/>
      <c r="BC559" s="27"/>
      <c r="BD559" s="237"/>
      <c r="BE559" s="26"/>
      <c r="BF559" s="27"/>
      <c r="BG559" s="237"/>
      <c r="BH559" s="26"/>
      <c r="BI559" s="27"/>
      <c r="BJ559" s="454"/>
    </row>
    <row r="560" spans="1:62" s="28" customFormat="1" hidden="1" outlineLevel="2" x14ac:dyDescent="0.3">
      <c r="A560" s="21" t="s">
        <v>437</v>
      </c>
      <c r="B560" s="2"/>
      <c r="C560" s="3"/>
      <c r="D560" s="53">
        <v>5.0000000000000001E-3</v>
      </c>
      <c r="E560" s="53">
        <v>5.0000000000000001E-3</v>
      </c>
      <c r="F560" s="39"/>
      <c r="G560" s="54"/>
      <c r="H560" s="237"/>
      <c r="I560" s="26"/>
      <c r="J560" s="27"/>
      <c r="K560" s="237"/>
      <c r="L560" s="26"/>
      <c r="M560" s="27"/>
      <c r="N560" s="237"/>
      <c r="O560" s="26"/>
      <c r="P560" s="27"/>
      <c r="Q560" s="237"/>
      <c r="R560" s="26"/>
      <c r="S560" s="27"/>
      <c r="T560" s="237"/>
      <c r="U560" s="26"/>
      <c r="V560" s="27"/>
      <c r="W560" s="237"/>
      <c r="X560" s="26"/>
      <c r="Y560" s="27"/>
      <c r="Z560" s="237"/>
      <c r="AA560" s="26"/>
      <c r="AB560" s="27"/>
      <c r="AC560" s="237"/>
      <c r="AD560" s="26"/>
      <c r="AE560" s="27"/>
      <c r="AF560" s="237"/>
      <c r="AG560" s="26"/>
      <c r="AH560" s="27"/>
      <c r="AI560" s="237"/>
      <c r="AJ560" s="26"/>
      <c r="AK560" s="27"/>
      <c r="AL560" s="237"/>
      <c r="AM560" s="26"/>
      <c r="AN560" s="27"/>
      <c r="AO560" s="237"/>
      <c r="AP560" s="26"/>
      <c r="AQ560" s="27"/>
      <c r="AR560" s="237"/>
      <c r="AS560" s="26"/>
      <c r="AT560" s="27"/>
      <c r="AU560" s="237"/>
      <c r="AV560" s="26"/>
      <c r="AW560" s="27"/>
      <c r="AX560" s="237"/>
      <c r="AY560" s="26"/>
      <c r="AZ560" s="27"/>
      <c r="BA560" s="237"/>
      <c r="BB560" s="26"/>
      <c r="BC560" s="27"/>
      <c r="BD560" s="237"/>
      <c r="BE560" s="26"/>
      <c r="BF560" s="27"/>
      <c r="BG560" s="237"/>
      <c r="BH560" s="26"/>
      <c r="BI560" s="27"/>
      <c r="BJ560" s="454"/>
    </row>
    <row r="561" spans="1:62" s="28" customFormat="1" hidden="1" outlineLevel="2" x14ac:dyDescent="0.3">
      <c r="A561" s="21" t="s">
        <v>365</v>
      </c>
      <c r="B561" s="2"/>
      <c r="C561" s="3"/>
      <c r="D561" s="53">
        <v>0</v>
      </c>
      <c r="E561" s="53">
        <v>0</v>
      </c>
      <c r="F561" s="39"/>
      <c r="G561" s="54"/>
      <c r="H561" s="237"/>
      <c r="I561" s="26"/>
      <c r="J561" s="27"/>
      <c r="K561" s="237"/>
      <c r="L561" s="26"/>
      <c r="M561" s="27"/>
      <c r="N561" s="237"/>
      <c r="O561" s="26"/>
      <c r="P561" s="27"/>
      <c r="Q561" s="237"/>
      <c r="R561" s="26"/>
      <c r="S561" s="27"/>
      <c r="T561" s="237"/>
      <c r="U561" s="26"/>
      <c r="V561" s="27"/>
      <c r="W561" s="237"/>
      <c r="X561" s="26"/>
      <c r="Y561" s="27"/>
      <c r="Z561" s="237"/>
      <c r="AA561" s="26"/>
      <c r="AB561" s="27"/>
      <c r="AC561" s="237"/>
      <c r="AD561" s="26"/>
      <c r="AE561" s="27"/>
      <c r="AF561" s="237"/>
      <c r="AG561" s="26"/>
      <c r="AH561" s="27"/>
      <c r="AI561" s="237"/>
      <c r="AJ561" s="26"/>
      <c r="AK561" s="27"/>
      <c r="AL561" s="237"/>
      <c r="AM561" s="26"/>
      <c r="AN561" s="27"/>
      <c r="AO561" s="237"/>
      <c r="AP561" s="26"/>
      <c r="AQ561" s="27"/>
      <c r="AR561" s="237"/>
      <c r="AS561" s="26"/>
      <c r="AT561" s="27"/>
      <c r="AU561" s="237"/>
      <c r="AV561" s="26"/>
      <c r="AW561" s="27"/>
      <c r="AX561" s="237"/>
      <c r="AY561" s="26"/>
      <c r="AZ561" s="27"/>
      <c r="BA561" s="237"/>
      <c r="BB561" s="26"/>
      <c r="BC561" s="27"/>
      <c r="BD561" s="237"/>
      <c r="BE561" s="26"/>
      <c r="BF561" s="27"/>
      <c r="BG561" s="237"/>
      <c r="BH561" s="26"/>
      <c r="BI561" s="27"/>
      <c r="BJ561" s="454"/>
    </row>
    <row r="562" spans="1:62" s="28" customFormat="1" hidden="1" outlineLevel="2" x14ac:dyDescent="0.3">
      <c r="A562" s="21" t="s">
        <v>438</v>
      </c>
      <c r="B562" s="2"/>
      <c r="C562" s="3"/>
      <c r="D562" s="53">
        <v>0</v>
      </c>
      <c r="E562" s="53">
        <v>0</v>
      </c>
      <c r="F562" s="39"/>
      <c r="G562" s="54"/>
      <c r="H562" s="237"/>
      <c r="I562" s="26"/>
      <c r="J562" s="27"/>
      <c r="K562" s="237"/>
      <c r="L562" s="26"/>
      <c r="M562" s="27"/>
      <c r="N562" s="237"/>
      <c r="O562" s="26"/>
      <c r="P562" s="27"/>
      <c r="Q562" s="237"/>
      <c r="R562" s="26"/>
      <c r="S562" s="27"/>
      <c r="T562" s="237"/>
      <c r="U562" s="26"/>
      <c r="V562" s="27"/>
      <c r="W562" s="237"/>
      <c r="X562" s="26"/>
      <c r="Y562" s="27"/>
      <c r="Z562" s="237"/>
      <c r="AA562" s="26"/>
      <c r="AB562" s="27"/>
      <c r="AC562" s="237"/>
      <c r="AD562" s="26"/>
      <c r="AE562" s="27"/>
      <c r="AF562" s="237"/>
      <c r="AG562" s="26"/>
      <c r="AH562" s="27"/>
      <c r="AI562" s="237"/>
      <c r="AJ562" s="26"/>
      <c r="AK562" s="27"/>
      <c r="AL562" s="237"/>
      <c r="AM562" s="26"/>
      <c r="AN562" s="27"/>
      <c r="AO562" s="237"/>
      <c r="AP562" s="26"/>
      <c r="AQ562" s="27"/>
      <c r="AR562" s="237"/>
      <c r="AS562" s="26"/>
      <c r="AT562" s="27"/>
      <c r="AU562" s="237"/>
      <c r="AV562" s="26"/>
      <c r="AW562" s="27"/>
      <c r="AX562" s="237"/>
      <c r="AY562" s="26"/>
      <c r="AZ562" s="27"/>
      <c r="BA562" s="237"/>
      <c r="BB562" s="26"/>
      <c r="BC562" s="27"/>
      <c r="BD562" s="237"/>
      <c r="BE562" s="26"/>
      <c r="BF562" s="27"/>
      <c r="BG562" s="237"/>
      <c r="BH562" s="26"/>
      <c r="BI562" s="27"/>
      <c r="BJ562" s="454"/>
    </row>
    <row r="563" spans="1:62" s="28" customFormat="1" hidden="1" outlineLevel="2" x14ac:dyDescent="0.3">
      <c r="A563" s="21"/>
      <c r="B563" s="2"/>
      <c r="C563" s="3"/>
      <c r="D563" s="53">
        <v>0.44990000000000002</v>
      </c>
      <c r="E563" s="53">
        <v>0.64790000000000003</v>
      </c>
      <c r="F563" s="39"/>
      <c r="G563" s="54"/>
      <c r="H563" s="237"/>
      <c r="I563" s="26"/>
      <c r="J563" s="27"/>
      <c r="K563" s="237"/>
      <c r="L563" s="26"/>
      <c r="M563" s="27"/>
      <c r="N563" s="237"/>
      <c r="O563" s="26"/>
      <c r="P563" s="27"/>
      <c r="Q563" s="237"/>
      <c r="R563" s="26"/>
      <c r="S563" s="27"/>
      <c r="T563" s="237"/>
      <c r="U563" s="26"/>
      <c r="V563" s="27"/>
      <c r="W563" s="237"/>
      <c r="X563" s="26"/>
      <c r="Y563" s="27"/>
      <c r="Z563" s="237"/>
      <c r="AA563" s="26"/>
      <c r="AB563" s="27"/>
      <c r="AC563" s="237"/>
      <c r="AD563" s="26"/>
      <c r="AE563" s="27"/>
      <c r="AF563" s="237"/>
      <c r="AG563" s="26"/>
      <c r="AH563" s="27"/>
      <c r="AI563" s="237"/>
      <c r="AJ563" s="26"/>
      <c r="AK563" s="27"/>
      <c r="AL563" s="237"/>
      <c r="AM563" s="26"/>
      <c r="AN563" s="27"/>
      <c r="AO563" s="237"/>
      <c r="AP563" s="26"/>
      <c r="AQ563" s="27"/>
      <c r="AR563" s="237"/>
      <c r="AS563" s="26"/>
      <c r="AT563" s="27"/>
      <c r="AU563" s="237"/>
      <c r="AV563" s="26"/>
      <c r="AW563" s="27"/>
      <c r="AX563" s="237"/>
      <c r="AY563" s="26"/>
      <c r="AZ563" s="27"/>
      <c r="BA563" s="237"/>
      <c r="BB563" s="26"/>
      <c r="BC563" s="27"/>
      <c r="BD563" s="237"/>
      <c r="BE563" s="26"/>
      <c r="BF563" s="27"/>
      <c r="BG563" s="237"/>
      <c r="BH563" s="26"/>
      <c r="BI563" s="27"/>
      <c r="BJ563" s="454"/>
    </row>
    <row r="564" spans="1:62" s="28" customFormat="1" hidden="1" outlineLevel="1" x14ac:dyDescent="0.3">
      <c r="A564" s="159"/>
      <c r="B564" s="22"/>
      <c r="C564" s="3"/>
      <c r="D564" s="106" t="s">
        <v>439</v>
      </c>
      <c r="E564" s="106" t="s">
        <v>400</v>
      </c>
      <c r="F564" s="22"/>
      <c r="G564" s="54"/>
      <c r="H564" s="275"/>
      <c r="I564" s="176"/>
      <c r="J564" s="177"/>
      <c r="K564" s="275"/>
      <c r="L564" s="176"/>
      <c r="M564" s="177"/>
      <c r="N564" s="275"/>
      <c r="O564" s="176"/>
      <c r="P564" s="177"/>
      <c r="Q564" s="275"/>
      <c r="R564" s="176"/>
      <c r="S564" s="177"/>
      <c r="T564" s="275"/>
      <c r="U564" s="176"/>
      <c r="V564" s="177"/>
      <c r="W564" s="275"/>
      <c r="X564" s="176"/>
      <c r="Y564" s="177"/>
      <c r="Z564" s="275"/>
      <c r="AA564" s="176"/>
      <c r="AB564" s="177"/>
      <c r="AC564" s="275"/>
      <c r="AD564" s="176"/>
      <c r="AE564" s="177"/>
      <c r="AF564" s="275"/>
      <c r="AG564" s="176"/>
      <c r="AH564" s="177"/>
      <c r="AI564" s="275"/>
      <c r="AJ564" s="176"/>
      <c r="AK564" s="177"/>
      <c r="AL564" s="275"/>
      <c r="AM564" s="176"/>
      <c r="AN564" s="177"/>
      <c r="AO564" s="275"/>
      <c r="AP564" s="176"/>
      <c r="AQ564" s="177"/>
      <c r="AR564" s="275"/>
      <c r="AS564" s="176"/>
      <c r="AT564" s="177"/>
      <c r="AU564" s="275"/>
      <c r="AV564" s="176"/>
      <c r="AW564" s="177"/>
      <c r="AX564" s="275"/>
      <c r="AY564" s="176"/>
      <c r="AZ564" s="177"/>
      <c r="BA564" s="275"/>
      <c r="BB564" s="176"/>
      <c r="BC564" s="177"/>
      <c r="BD564" s="275"/>
      <c r="BE564" s="176"/>
      <c r="BF564" s="177"/>
      <c r="BG564" s="275"/>
      <c r="BH564" s="176"/>
      <c r="BI564" s="177"/>
      <c r="BJ564" s="454"/>
    </row>
    <row r="565" spans="1:62" s="212" customFormat="1" hidden="1" outlineLevel="1" x14ac:dyDescent="0.3">
      <c r="A565" s="209"/>
      <c r="B565" s="12"/>
      <c r="C565" s="11"/>
      <c r="D565" s="12"/>
      <c r="E565" s="12"/>
      <c r="F565" s="12"/>
      <c r="G565" s="210"/>
      <c r="H565" s="281"/>
      <c r="I565" s="34">
        <v>1</v>
      </c>
      <c r="J565" s="211"/>
      <c r="K565" s="281"/>
      <c r="L565" s="34">
        <v>2</v>
      </c>
      <c r="M565" s="211"/>
      <c r="N565" s="281"/>
      <c r="O565" s="34">
        <v>3</v>
      </c>
      <c r="P565" s="211"/>
      <c r="Q565" s="281"/>
      <c r="R565" s="34">
        <v>4</v>
      </c>
      <c r="S565" s="211"/>
      <c r="T565" s="281"/>
      <c r="U565" s="34">
        <v>5</v>
      </c>
      <c r="V565" s="211"/>
      <c r="W565" s="281"/>
      <c r="X565" s="34">
        <v>6</v>
      </c>
      <c r="Y565" s="211"/>
      <c r="Z565" s="281"/>
      <c r="AA565" s="34">
        <v>7</v>
      </c>
      <c r="AB565" s="211"/>
      <c r="AC565" s="281"/>
      <c r="AD565" s="34">
        <v>8</v>
      </c>
      <c r="AE565" s="211"/>
      <c r="AF565" s="281"/>
      <c r="AG565" s="34">
        <v>9</v>
      </c>
      <c r="AH565" s="211"/>
      <c r="AI565" s="281"/>
      <c r="AJ565" s="34">
        <v>10</v>
      </c>
      <c r="AK565" s="211"/>
      <c r="AL565" s="281"/>
      <c r="AM565" s="34">
        <v>11</v>
      </c>
      <c r="AN565" s="211"/>
      <c r="AO565" s="281"/>
      <c r="AP565" s="34">
        <v>12</v>
      </c>
      <c r="AQ565" s="211"/>
      <c r="AR565" s="281"/>
      <c r="AS565" s="34"/>
      <c r="AT565" s="211"/>
      <c r="AU565" s="281"/>
      <c r="AV565" s="34"/>
      <c r="AW565" s="211"/>
      <c r="AX565" s="281"/>
      <c r="AY565" s="34"/>
      <c r="AZ565" s="211"/>
      <c r="BA565" s="281"/>
      <c r="BB565" s="34"/>
      <c r="BC565" s="211"/>
      <c r="BD565" s="281"/>
      <c r="BE565" s="34"/>
      <c r="BF565" s="211"/>
      <c r="BG565" s="281"/>
      <c r="BH565" s="34"/>
      <c r="BI565" s="211"/>
      <c r="BJ565" s="454"/>
    </row>
    <row r="566" spans="1:62" s="28" customFormat="1" hidden="1" outlineLevel="1" x14ac:dyDescent="0.3">
      <c r="A566" s="161" t="s">
        <v>440</v>
      </c>
      <c r="B566" s="22"/>
      <c r="C566" s="3"/>
      <c r="D566" s="4"/>
      <c r="E566" s="4"/>
      <c r="F566" s="22"/>
      <c r="G566" s="54"/>
      <c r="H566" s="282"/>
      <c r="I566" s="213"/>
      <c r="J566" s="214"/>
      <c r="K566" s="282"/>
      <c r="L566" s="213"/>
      <c r="M566" s="214"/>
      <c r="N566" s="282"/>
      <c r="O566" s="213"/>
      <c r="P566" s="214"/>
      <c r="Q566" s="282"/>
      <c r="R566" s="213"/>
      <c r="S566" s="214"/>
      <c r="T566" s="282"/>
      <c r="U566" s="213"/>
      <c r="V566" s="214"/>
      <c r="W566" s="282"/>
      <c r="X566" s="213"/>
      <c r="Y566" s="214"/>
      <c r="Z566" s="282"/>
      <c r="AA566" s="213"/>
      <c r="AB566" s="214"/>
      <c r="AC566" s="282"/>
      <c r="AD566" s="213"/>
      <c r="AE566" s="214"/>
      <c r="AF566" s="282"/>
      <c r="AG566" s="213"/>
      <c r="AH566" s="214"/>
      <c r="AI566" s="282"/>
      <c r="AJ566" s="213"/>
      <c r="AK566" s="214"/>
      <c r="AL566" s="282"/>
      <c r="AM566" s="213"/>
      <c r="AN566" s="214"/>
      <c r="AO566" s="282"/>
      <c r="AP566" s="213"/>
      <c r="AQ566" s="214"/>
      <c r="AR566" s="282"/>
      <c r="AS566" s="213"/>
      <c r="AT566" s="214"/>
      <c r="AU566" s="282"/>
      <c r="AV566" s="213"/>
      <c r="AW566" s="214"/>
      <c r="AX566" s="282"/>
      <c r="AY566" s="213"/>
      <c r="AZ566" s="214"/>
      <c r="BA566" s="282"/>
      <c r="BB566" s="213"/>
      <c r="BC566" s="214"/>
      <c r="BD566" s="282"/>
      <c r="BE566" s="213"/>
      <c r="BF566" s="214"/>
      <c r="BG566" s="282"/>
      <c r="BH566" s="213"/>
      <c r="BI566" s="214"/>
      <c r="BJ566" s="454"/>
    </row>
    <row r="567" spans="1:62" s="28" customFormat="1" hidden="1" outlineLevel="2" x14ac:dyDescent="0.3">
      <c r="A567" s="21" t="s">
        <v>441</v>
      </c>
      <c r="B567" s="22"/>
      <c r="C567" s="3"/>
      <c r="D567" s="4"/>
      <c r="E567" s="4"/>
      <c r="F567" s="22"/>
      <c r="G567" s="54"/>
      <c r="H567" s="283"/>
      <c r="I567" s="215"/>
      <c r="J567" s="216"/>
      <c r="K567" s="283"/>
      <c r="L567" s="215"/>
      <c r="M567" s="216"/>
      <c r="N567" s="283"/>
      <c r="O567" s="215"/>
      <c r="P567" s="216"/>
      <c r="Q567" s="283"/>
      <c r="R567" s="215"/>
      <c r="S567" s="216"/>
      <c r="T567" s="283"/>
      <c r="U567" s="215"/>
      <c r="V567" s="216"/>
      <c r="W567" s="283"/>
      <c r="X567" s="215"/>
      <c r="Y567" s="216"/>
      <c r="Z567" s="283"/>
      <c r="AA567" s="215"/>
      <c r="AB567" s="216"/>
      <c r="AC567" s="283"/>
      <c r="AD567" s="215"/>
      <c r="AE567" s="216"/>
      <c r="AF567" s="283"/>
      <c r="AG567" s="215"/>
      <c r="AH567" s="216"/>
      <c r="AI567" s="283"/>
      <c r="AJ567" s="215"/>
      <c r="AK567" s="216"/>
      <c r="AL567" s="283"/>
      <c r="AM567" s="215"/>
      <c r="AN567" s="216"/>
      <c r="AO567" s="283"/>
      <c r="AP567" s="215"/>
      <c r="AQ567" s="216"/>
      <c r="AR567" s="283"/>
      <c r="AS567" s="215"/>
      <c r="AT567" s="216"/>
      <c r="AU567" s="283"/>
      <c r="AV567" s="215"/>
      <c r="AW567" s="216"/>
      <c r="AX567" s="283"/>
      <c r="AY567" s="215"/>
      <c r="AZ567" s="216"/>
      <c r="BA567" s="283"/>
      <c r="BB567" s="215"/>
      <c r="BC567" s="216"/>
      <c r="BD567" s="283"/>
      <c r="BE567" s="215"/>
      <c r="BF567" s="216"/>
      <c r="BG567" s="283"/>
      <c r="BH567" s="215"/>
      <c r="BI567" s="216"/>
      <c r="BJ567" s="454"/>
    </row>
    <row r="568" spans="1:62" s="28" customFormat="1" hidden="1" outlineLevel="2" x14ac:dyDescent="0.3">
      <c r="A568" s="21" t="s">
        <v>442</v>
      </c>
      <c r="B568" s="22"/>
      <c r="C568" s="3"/>
      <c r="D568" s="4"/>
      <c r="E568" s="4"/>
      <c r="F568" s="22"/>
      <c r="G568" s="54"/>
      <c r="H568" s="284"/>
      <c r="I568" s="217"/>
      <c r="J568" s="218"/>
      <c r="K568" s="284"/>
      <c r="L568" s="217"/>
      <c r="M568" s="218"/>
      <c r="N568" s="284"/>
      <c r="O568" s="217"/>
      <c r="P568" s="218"/>
      <c r="Q568" s="284"/>
      <c r="R568" s="217"/>
      <c r="S568" s="218"/>
      <c r="T568" s="284"/>
      <c r="U568" s="217"/>
      <c r="V568" s="218"/>
      <c r="W568" s="284"/>
      <c r="X568" s="217"/>
      <c r="Y568" s="218"/>
      <c r="Z568" s="284"/>
      <c r="AA568" s="217"/>
      <c r="AB568" s="218"/>
      <c r="AC568" s="284"/>
      <c r="AD568" s="217"/>
      <c r="AE568" s="218"/>
      <c r="AF568" s="284"/>
      <c r="AG568" s="217"/>
      <c r="AH568" s="218"/>
      <c r="AI568" s="284"/>
      <c r="AJ568" s="217"/>
      <c r="AK568" s="218"/>
      <c r="AL568" s="284"/>
      <c r="AM568" s="217"/>
      <c r="AN568" s="218"/>
      <c r="AO568" s="284"/>
      <c r="AP568" s="217"/>
      <c r="AQ568" s="218"/>
      <c r="AR568" s="284"/>
      <c r="AS568" s="217"/>
      <c r="AT568" s="218"/>
      <c r="AU568" s="284"/>
      <c r="AV568" s="217"/>
      <c r="AW568" s="218"/>
      <c r="AX568" s="284"/>
      <c r="AY568" s="217"/>
      <c r="AZ568" s="218"/>
      <c r="BA568" s="284"/>
      <c r="BB568" s="217"/>
      <c r="BC568" s="218"/>
      <c r="BD568" s="284"/>
      <c r="BE568" s="217"/>
      <c r="BF568" s="218"/>
      <c r="BG568" s="284"/>
      <c r="BH568" s="217"/>
      <c r="BI568" s="218"/>
      <c r="BJ568" s="454"/>
    </row>
    <row r="569" spans="1:62" s="28" customFormat="1" hidden="1" outlineLevel="2" x14ac:dyDescent="0.3">
      <c r="A569" s="21" t="s">
        <v>443</v>
      </c>
      <c r="B569" s="22"/>
      <c r="C569" s="3"/>
      <c r="D569" s="4"/>
      <c r="E569" s="4"/>
      <c r="F569" s="22"/>
      <c r="G569" s="54"/>
      <c r="H569" s="285"/>
      <c r="I569" s="219"/>
      <c r="J569" s="220"/>
      <c r="K569" s="285"/>
      <c r="L569" s="219"/>
      <c r="M569" s="220"/>
      <c r="N569" s="285"/>
      <c r="O569" s="219"/>
      <c r="P569" s="220"/>
      <c r="Q569" s="285"/>
      <c r="R569" s="219"/>
      <c r="S569" s="220"/>
      <c r="T569" s="285"/>
      <c r="U569" s="219"/>
      <c r="V569" s="220"/>
      <c r="W569" s="285"/>
      <c r="X569" s="219"/>
      <c r="Y569" s="220"/>
      <c r="Z569" s="285"/>
      <c r="AA569" s="219"/>
      <c r="AB569" s="220"/>
      <c r="AC569" s="285"/>
      <c r="AD569" s="219"/>
      <c r="AE569" s="220"/>
      <c r="AF569" s="285"/>
      <c r="AG569" s="219"/>
      <c r="AH569" s="220"/>
      <c r="AI569" s="285"/>
      <c r="AJ569" s="219"/>
      <c r="AK569" s="220"/>
      <c r="AL569" s="285"/>
      <c r="AM569" s="219"/>
      <c r="AN569" s="220"/>
      <c r="AO569" s="285"/>
      <c r="AP569" s="219"/>
      <c r="AQ569" s="220"/>
      <c r="AR569" s="285"/>
      <c r="AS569" s="219"/>
      <c r="AT569" s="220"/>
      <c r="AU569" s="285"/>
      <c r="AV569" s="219"/>
      <c r="AW569" s="220"/>
      <c r="AX569" s="285"/>
      <c r="AY569" s="219"/>
      <c r="AZ569" s="220"/>
      <c r="BA569" s="285"/>
      <c r="BB569" s="219"/>
      <c r="BC569" s="220"/>
      <c r="BD569" s="285"/>
      <c r="BE569" s="219"/>
      <c r="BF569" s="220"/>
      <c r="BG569" s="285"/>
      <c r="BH569" s="219"/>
      <c r="BI569" s="220"/>
      <c r="BJ569" s="454"/>
    </row>
    <row r="570" spans="1:62" s="28" customFormat="1" hidden="1" outlineLevel="2" x14ac:dyDescent="0.3">
      <c r="A570" s="21" t="s">
        <v>444</v>
      </c>
      <c r="B570" s="22"/>
      <c r="C570" s="3"/>
      <c r="D570" s="4"/>
      <c r="E570" s="4"/>
      <c r="F570" s="22"/>
      <c r="G570" s="54"/>
      <c r="H570" s="285"/>
      <c r="I570" s="219"/>
      <c r="J570" s="220"/>
      <c r="K570" s="285"/>
      <c r="L570" s="219"/>
      <c r="M570" s="220"/>
      <c r="N570" s="285"/>
      <c r="O570" s="219"/>
      <c r="P570" s="220"/>
      <c r="Q570" s="285"/>
      <c r="R570" s="219"/>
      <c r="S570" s="220"/>
      <c r="T570" s="285"/>
      <c r="U570" s="219"/>
      <c r="V570" s="220"/>
      <c r="W570" s="285"/>
      <c r="X570" s="219"/>
      <c r="Y570" s="220"/>
      <c r="Z570" s="285"/>
      <c r="AA570" s="219"/>
      <c r="AB570" s="220"/>
      <c r="AC570" s="285"/>
      <c r="AD570" s="219"/>
      <c r="AE570" s="220"/>
      <c r="AF570" s="285"/>
      <c r="AG570" s="219"/>
      <c r="AH570" s="220"/>
      <c r="AI570" s="285"/>
      <c r="AJ570" s="219"/>
      <c r="AK570" s="220"/>
      <c r="AL570" s="285"/>
      <c r="AM570" s="219"/>
      <c r="AN570" s="220"/>
      <c r="AO570" s="285"/>
      <c r="AP570" s="219"/>
      <c r="AQ570" s="220"/>
      <c r="AR570" s="285"/>
      <c r="AS570" s="219"/>
      <c r="AT570" s="220"/>
      <c r="AU570" s="285"/>
      <c r="AV570" s="219"/>
      <c r="AW570" s="220"/>
      <c r="AX570" s="285"/>
      <c r="AY570" s="219"/>
      <c r="AZ570" s="220"/>
      <c r="BA570" s="285"/>
      <c r="BB570" s="219"/>
      <c r="BC570" s="220"/>
      <c r="BD570" s="285"/>
      <c r="BE570" s="219"/>
      <c r="BF570" s="220"/>
      <c r="BG570" s="285"/>
      <c r="BH570" s="219"/>
      <c r="BI570" s="220"/>
      <c r="BJ570" s="454"/>
    </row>
    <row r="571" spans="1:62" s="28" customFormat="1" hidden="1" outlineLevel="2" x14ac:dyDescent="0.3">
      <c r="A571" s="21" t="s">
        <v>445</v>
      </c>
      <c r="B571" s="22"/>
      <c r="C571" s="3"/>
      <c r="D571" s="4"/>
      <c r="E571" s="4"/>
      <c r="F571" s="22"/>
      <c r="G571" s="54"/>
      <c r="H571" s="285"/>
      <c r="I571" s="219"/>
      <c r="J571" s="220"/>
      <c r="K571" s="285"/>
      <c r="L571" s="219"/>
      <c r="M571" s="220"/>
      <c r="N571" s="285"/>
      <c r="O571" s="219"/>
      <c r="P571" s="220"/>
      <c r="Q571" s="285"/>
      <c r="R571" s="219"/>
      <c r="S571" s="220"/>
      <c r="T571" s="285"/>
      <c r="U571" s="219"/>
      <c r="V571" s="220"/>
      <c r="W571" s="285"/>
      <c r="X571" s="219"/>
      <c r="Y571" s="220"/>
      <c r="Z571" s="285"/>
      <c r="AA571" s="219"/>
      <c r="AB571" s="220"/>
      <c r="AC571" s="285"/>
      <c r="AD571" s="219"/>
      <c r="AE571" s="220"/>
      <c r="AF571" s="285"/>
      <c r="AG571" s="219"/>
      <c r="AH571" s="220"/>
      <c r="AI571" s="285"/>
      <c r="AJ571" s="219"/>
      <c r="AK571" s="220"/>
      <c r="AL571" s="285"/>
      <c r="AM571" s="219"/>
      <c r="AN571" s="220"/>
      <c r="AO571" s="285"/>
      <c r="AP571" s="219"/>
      <c r="AQ571" s="220"/>
      <c r="AR571" s="285"/>
      <c r="AS571" s="219"/>
      <c r="AT571" s="220"/>
      <c r="AU571" s="285"/>
      <c r="AV571" s="219"/>
      <c r="AW571" s="220"/>
      <c r="AX571" s="285"/>
      <c r="AY571" s="219"/>
      <c r="AZ571" s="220"/>
      <c r="BA571" s="285"/>
      <c r="BB571" s="219"/>
      <c r="BC571" s="220"/>
      <c r="BD571" s="285"/>
      <c r="BE571" s="219"/>
      <c r="BF571" s="220"/>
      <c r="BG571" s="285"/>
      <c r="BH571" s="219"/>
      <c r="BI571" s="220"/>
      <c r="BJ571" s="454"/>
    </row>
    <row r="572" spans="1:62" s="28" customFormat="1" hidden="1" outlineLevel="2" x14ac:dyDescent="0.3">
      <c r="A572" s="21" t="s">
        <v>446</v>
      </c>
      <c r="B572" s="22"/>
      <c r="C572" s="3"/>
      <c r="D572" s="221"/>
      <c r="E572" s="4"/>
      <c r="F572" s="22"/>
      <c r="G572" s="54"/>
      <c r="H572" s="285"/>
      <c r="I572" s="219"/>
      <c r="J572" s="220"/>
      <c r="K572" s="285"/>
      <c r="L572" s="219"/>
      <c r="M572" s="220"/>
      <c r="N572" s="285"/>
      <c r="O572" s="219"/>
      <c r="P572" s="220"/>
      <c r="Q572" s="285"/>
      <c r="R572" s="219"/>
      <c r="S572" s="220"/>
      <c r="T572" s="285"/>
      <c r="U572" s="219"/>
      <c r="V572" s="220"/>
      <c r="W572" s="285"/>
      <c r="X572" s="219"/>
      <c r="Y572" s="220"/>
      <c r="Z572" s="285"/>
      <c r="AA572" s="219"/>
      <c r="AB572" s="220"/>
      <c r="AC572" s="285"/>
      <c r="AD572" s="219"/>
      <c r="AE572" s="220"/>
      <c r="AF572" s="285"/>
      <c r="AG572" s="219"/>
      <c r="AH572" s="220"/>
      <c r="AI572" s="285"/>
      <c r="AJ572" s="219"/>
      <c r="AK572" s="220"/>
      <c r="AL572" s="285"/>
      <c r="AM572" s="219"/>
      <c r="AN572" s="220"/>
      <c r="AO572" s="285"/>
      <c r="AP572" s="219"/>
      <c r="AQ572" s="220"/>
      <c r="AR572" s="285"/>
      <c r="AS572" s="219"/>
      <c r="AT572" s="220"/>
      <c r="AU572" s="285"/>
      <c r="AV572" s="219"/>
      <c r="AW572" s="220"/>
      <c r="AX572" s="285"/>
      <c r="AY572" s="219"/>
      <c r="AZ572" s="220"/>
      <c r="BA572" s="285"/>
      <c r="BB572" s="219"/>
      <c r="BC572" s="220"/>
      <c r="BD572" s="285"/>
      <c r="BE572" s="219"/>
      <c r="BF572" s="220"/>
      <c r="BG572" s="285"/>
      <c r="BH572" s="219"/>
      <c r="BI572" s="220"/>
      <c r="BJ572" s="454"/>
    </row>
    <row r="573" spans="1:62" s="28" customFormat="1" hidden="1" outlineLevel="2" x14ac:dyDescent="0.3">
      <c r="A573" s="21" t="s">
        <v>447</v>
      </c>
      <c r="B573" s="22"/>
      <c r="C573" s="3"/>
      <c r="D573" s="4"/>
      <c r="E573" s="4"/>
      <c r="F573" s="22"/>
      <c r="G573" s="54"/>
      <c r="H573" s="285"/>
      <c r="I573" s="219"/>
      <c r="J573" s="220"/>
      <c r="K573" s="285"/>
      <c r="L573" s="219"/>
      <c r="M573" s="220"/>
      <c r="N573" s="285"/>
      <c r="O573" s="219"/>
      <c r="P573" s="220"/>
      <c r="Q573" s="285"/>
      <c r="R573" s="219"/>
      <c r="S573" s="220"/>
      <c r="T573" s="285"/>
      <c r="U573" s="219"/>
      <c r="V573" s="220"/>
      <c r="W573" s="285"/>
      <c r="X573" s="219"/>
      <c r="Y573" s="220"/>
      <c r="Z573" s="285"/>
      <c r="AA573" s="219"/>
      <c r="AB573" s="220"/>
      <c r="AC573" s="285"/>
      <c r="AD573" s="219"/>
      <c r="AE573" s="220"/>
      <c r="AF573" s="285"/>
      <c r="AG573" s="219"/>
      <c r="AH573" s="220"/>
      <c r="AI573" s="285"/>
      <c r="AJ573" s="219"/>
      <c r="AK573" s="220"/>
      <c r="AL573" s="285"/>
      <c r="AM573" s="219"/>
      <c r="AN573" s="220"/>
      <c r="AO573" s="285"/>
      <c r="AP573" s="219"/>
      <c r="AQ573" s="220"/>
      <c r="AR573" s="285"/>
      <c r="AS573" s="219"/>
      <c r="AT573" s="220"/>
      <c r="AU573" s="285"/>
      <c r="AV573" s="219"/>
      <c r="AW573" s="220"/>
      <c r="AX573" s="285"/>
      <c r="AY573" s="219"/>
      <c r="AZ573" s="220"/>
      <c r="BA573" s="285"/>
      <c r="BB573" s="219"/>
      <c r="BC573" s="220"/>
      <c r="BD573" s="285"/>
      <c r="BE573" s="219"/>
      <c r="BF573" s="220"/>
      <c r="BG573" s="285"/>
      <c r="BH573" s="219"/>
      <c r="BI573" s="220"/>
      <c r="BJ573" s="454"/>
    </row>
    <row r="574" spans="1:62" s="28" customFormat="1" hidden="1" outlineLevel="2" x14ac:dyDescent="0.3">
      <c r="A574" s="21" t="s">
        <v>448</v>
      </c>
      <c r="B574" s="22"/>
      <c r="C574" s="3"/>
      <c r="D574" s="4"/>
      <c r="E574" s="4"/>
      <c r="F574" s="22"/>
      <c r="G574" s="54"/>
      <c r="H574" s="285"/>
      <c r="I574" s="219"/>
      <c r="J574" s="220"/>
      <c r="K574" s="285"/>
      <c r="L574" s="219"/>
      <c r="M574" s="220"/>
      <c r="N574" s="285"/>
      <c r="O574" s="219"/>
      <c r="P574" s="220"/>
      <c r="Q574" s="285"/>
      <c r="R574" s="219"/>
      <c r="S574" s="220"/>
      <c r="T574" s="285"/>
      <c r="U574" s="219"/>
      <c r="V574" s="220"/>
      <c r="W574" s="285"/>
      <c r="X574" s="219"/>
      <c r="Y574" s="220"/>
      <c r="Z574" s="285"/>
      <c r="AA574" s="219"/>
      <c r="AB574" s="220"/>
      <c r="AC574" s="285"/>
      <c r="AD574" s="219"/>
      <c r="AE574" s="220"/>
      <c r="AF574" s="285"/>
      <c r="AG574" s="219"/>
      <c r="AH574" s="220"/>
      <c r="AI574" s="285"/>
      <c r="AJ574" s="219"/>
      <c r="AK574" s="220"/>
      <c r="AL574" s="285"/>
      <c r="AM574" s="219"/>
      <c r="AN574" s="220"/>
      <c r="AO574" s="285"/>
      <c r="AP574" s="219"/>
      <c r="AQ574" s="220"/>
      <c r="AR574" s="285"/>
      <c r="AS574" s="219"/>
      <c r="AT574" s="220"/>
      <c r="AU574" s="285"/>
      <c r="AV574" s="219"/>
      <c r="AW574" s="220"/>
      <c r="AX574" s="285"/>
      <c r="AY574" s="219"/>
      <c r="AZ574" s="220"/>
      <c r="BA574" s="285"/>
      <c r="BB574" s="219"/>
      <c r="BC574" s="220"/>
      <c r="BD574" s="285"/>
      <c r="BE574" s="219"/>
      <c r="BF574" s="220"/>
      <c r="BG574" s="285"/>
      <c r="BH574" s="219"/>
      <c r="BI574" s="220"/>
      <c r="BJ574" s="454"/>
    </row>
    <row r="575" spans="1:62" s="28" customFormat="1" hidden="1" outlineLevel="2" x14ac:dyDescent="0.3">
      <c r="A575" s="21" t="s">
        <v>449</v>
      </c>
      <c r="B575" s="22"/>
      <c r="C575" s="3"/>
      <c r="D575" s="4"/>
      <c r="E575" s="4"/>
      <c r="F575" s="22"/>
      <c r="G575" s="54"/>
      <c r="H575" s="285"/>
      <c r="I575" s="219"/>
      <c r="J575" s="220"/>
      <c r="K575" s="285"/>
      <c r="L575" s="219"/>
      <c r="M575" s="220"/>
      <c r="N575" s="285"/>
      <c r="O575" s="219"/>
      <c r="P575" s="220"/>
      <c r="Q575" s="285"/>
      <c r="R575" s="219"/>
      <c r="S575" s="220"/>
      <c r="T575" s="285"/>
      <c r="U575" s="219"/>
      <c r="V575" s="220"/>
      <c r="W575" s="285"/>
      <c r="X575" s="219"/>
      <c r="Y575" s="220"/>
      <c r="Z575" s="285"/>
      <c r="AA575" s="219"/>
      <c r="AB575" s="220"/>
      <c r="AC575" s="285"/>
      <c r="AD575" s="219"/>
      <c r="AE575" s="220"/>
      <c r="AF575" s="285"/>
      <c r="AG575" s="219"/>
      <c r="AH575" s="220"/>
      <c r="AI575" s="285"/>
      <c r="AJ575" s="219"/>
      <c r="AK575" s="220"/>
      <c r="AL575" s="285"/>
      <c r="AM575" s="219"/>
      <c r="AN575" s="220"/>
      <c r="AO575" s="285"/>
      <c r="AP575" s="219"/>
      <c r="AQ575" s="220"/>
      <c r="AR575" s="285"/>
      <c r="AS575" s="219"/>
      <c r="AT575" s="220"/>
      <c r="AU575" s="285"/>
      <c r="AV575" s="219"/>
      <c r="AW575" s="220"/>
      <c r="AX575" s="285"/>
      <c r="AY575" s="219"/>
      <c r="AZ575" s="220"/>
      <c r="BA575" s="285"/>
      <c r="BB575" s="219"/>
      <c r="BC575" s="220"/>
      <c r="BD575" s="285"/>
      <c r="BE575" s="219"/>
      <c r="BF575" s="220"/>
      <c r="BG575" s="285"/>
      <c r="BH575" s="219"/>
      <c r="BI575" s="220"/>
      <c r="BJ575" s="454"/>
    </row>
    <row r="576" spans="1:62" s="28" customFormat="1" hidden="1" outlineLevel="2" x14ac:dyDescent="0.3">
      <c r="A576" s="21" t="s">
        <v>450</v>
      </c>
      <c r="B576" s="22"/>
      <c r="C576" s="3"/>
      <c r="D576" s="4"/>
      <c r="E576" s="4"/>
      <c r="F576" s="22"/>
      <c r="G576" s="54"/>
      <c r="H576" s="285"/>
      <c r="I576" s="219"/>
      <c r="J576" s="220"/>
      <c r="K576" s="285"/>
      <c r="L576" s="219"/>
      <c r="M576" s="220"/>
      <c r="N576" s="285"/>
      <c r="O576" s="219"/>
      <c r="P576" s="220"/>
      <c r="Q576" s="285"/>
      <c r="R576" s="219"/>
      <c r="S576" s="220"/>
      <c r="T576" s="285"/>
      <c r="U576" s="219"/>
      <c r="V576" s="220"/>
      <c r="W576" s="285"/>
      <c r="X576" s="219"/>
      <c r="Y576" s="220"/>
      <c r="Z576" s="285"/>
      <c r="AA576" s="219"/>
      <c r="AB576" s="220"/>
      <c r="AC576" s="285"/>
      <c r="AD576" s="219"/>
      <c r="AE576" s="220"/>
      <c r="AF576" s="285"/>
      <c r="AG576" s="219"/>
      <c r="AH576" s="220"/>
      <c r="AI576" s="285"/>
      <c r="AJ576" s="219"/>
      <c r="AK576" s="220"/>
      <c r="AL576" s="285"/>
      <c r="AM576" s="219"/>
      <c r="AN576" s="220"/>
      <c r="AO576" s="285"/>
      <c r="AP576" s="219"/>
      <c r="AQ576" s="220"/>
      <c r="AR576" s="285"/>
      <c r="AS576" s="219"/>
      <c r="AT576" s="220"/>
      <c r="AU576" s="285"/>
      <c r="AV576" s="219"/>
      <c r="AW576" s="220"/>
      <c r="AX576" s="285"/>
      <c r="AY576" s="219"/>
      <c r="AZ576" s="220"/>
      <c r="BA576" s="285"/>
      <c r="BB576" s="219"/>
      <c r="BC576" s="220"/>
      <c r="BD576" s="285"/>
      <c r="BE576" s="219"/>
      <c r="BF576" s="220"/>
      <c r="BG576" s="285"/>
      <c r="BH576" s="219"/>
      <c r="BI576" s="220"/>
      <c r="BJ576" s="454"/>
    </row>
    <row r="577" spans="1:62" s="28" customFormat="1" hidden="1" outlineLevel="2" x14ac:dyDescent="0.3">
      <c r="A577" s="21" t="s">
        <v>451</v>
      </c>
      <c r="B577" s="22"/>
      <c r="C577" s="3"/>
      <c r="D577" s="4"/>
      <c r="E577" s="4"/>
      <c r="F577" s="22"/>
      <c r="G577" s="54"/>
      <c r="H577" s="285"/>
      <c r="I577" s="219"/>
      <c r="J577" s="220"/>
      <c r="K577" s="285"/>
      <c r="L577" s="219"/>
      <c r="M577" s="220"/>
      <c r="N577" s="285"/>
      <c r="O577" s="219"/>
      <c r="P577" s="220"/>
      <c r="Q577" s="285"/>
      <c r="R577" s="219"/>
      <c r="S577" s="220"/>
      <c r="T577" s="285"/>
      <c r="U577" s="219"/>
      <c r="V577" s="220"/>
      <c r="W577" s="285"/>
      <c r="X577" s="219"/>
      <c r="Y577" s="220"/>
      <c r="Z577" s="285"/>
      <c r="AA577" s="219"/>
      <c r="AB577" s="220"/>
      <c r="AC577" s="285"/>
      <c r="AD577" s="219"/>
      <c r="AE577" s="220"/>
      <c r="AF577" s="285"/>
      <c r="AG577" s="219"/>
      <c r="AH577" s="220"/>
      <c r="AI577" s="285"/>
      <c r="AJ577" s="219"/>
      <c r="AK577" s="220"/>
      <c r="AL577" s="285"/>
      <c r="AM577" s="219"/>
      <c r="AN577" s="220"/>
      <c r="AO577" s="285"/>
      <c r="AP577" s="219"/>
      <c r="AQ577" s="220"/>
      <c r="AR577" s="285"/>
      <c r="AS577" s="219"/>
      <c r="AT577" s="220"/>
      <c r="AU577" s="285"/>
      <c r="AV577" s="219"/>
      <c r="AW577" s="220"/>
      <c r="AX577" s="285"/>
      <c r="AY577" s="219"/>
      <c r="AZ577" s="220"/>
      <c r="BA577" s="285"/>
      <c r="BB577" s="219"/>
      <c r="BC577" s="220"/>
      <c r="BD577" s="285"/>
      <c r="BE577" s="219"/>
      <c r="BF577" s="220"/>
      <c r="BG577" s="285"/>
      <c r="BH577" s="219"/>
      <c r="BI577" s="220"/>
      <c r="BJ577" s="454"/>
    </row>
    <row r="578" spans="1:62" s="28" customFormat="1" hidden="1" outlineLevel="2" x14ac:dyDescent="0.3">
      <c r="A578" s="21" t="s">
        <v>452</v>
      </c>
      <c r="B578" s="22"/>
      <c r="C578" s="3"/>
      <c r="D578" s="4"/>
      <c r="E578" s="4"/>
      <c r="F578" s="22"/>
      <c r="G578" s="54"/>
      <c r="H578" s="285"/>
      <c r="I578" s="219"/>
      <c r="J578" s="220"/>
      <c r="K578" s="285"/>
      <c r="L578" s="219"/>
      <c r="M578" s="220"/>
      <c r="N578" s="285"/>
      <c r="O578" s="219"/>
      <c r="P578" s="220"/>
      <c r="Q578" s="285"/>
      <c r="R578" s="219"/>
      <c r="S578" s="220"/>
      <c r="T578" s="285"/>
      <c r="U578" s="219"/>
      <c r="V578" s="220"/>
      <c r="W578" s="285"/>
      <c r="X578" s="219"/>
      <c r="Y578" s="220"/>
      <c r="Z578" s="285"/>
      <c r="AA578" s="219"/>
      <c r="AB578" s="220"/>
      <c r="AC578" s="285"/>
      <c r="AD578" s="219"/>
      <c r="AE578" s="220"/>
      <c r="AF578" s="285"/>
      <c r="AG578" s="219"/>
      <c r="AH578" s="220"/>
      <c r="AI578" s="285"/>
      <c r="AJ578" s="219"/>
      <c r="AK578" s="220"/>
      <c r="AL578" s="285"/>
      <c r="AM578" s="219"/>
      <c r="AN578" s="220"/>
      <c r="AO578" s="285"/>
      <c r="AP578" s="219"/>
      <c r="AQ578" s="220"/>
      <c r="AR578" s="285"/>
      <c r="AS578" s="219"/>
      <c r="AT578" s="220"/>
      <c r="AU578" s="285"/>
      <c r="AV578" s="219"/>
      <c r="AW578" s="220"/>
      <c r="AX578" s="285"/>
      <c r="AY578" s="219"/>
      <c r="AZ578" s="220"/>
      <c r="BA578" s="285"/>
      <c r="BB578" s="219"/>
      <c r="BC578" s="220"/>
      <c r="BD578" s="285"/>
      <c r="BE578" s="219"/>
      <c r="BF578" s="220"/>
      <c r="BG578" s="285"/>
      <c r="BH578" s="219"/>
      <c r="BI578" s="220"/>
      <c r="BJ578" s="454"/>
    </row>
    <row r="579" spans="1:62" s="212" customFormat="1" hidden="1" outlineLevel="2" x14ac:dyDescent="0.3">
      <c r="A579" s="209"/>
      <c r="B579" s="12"/>
      <c r="C579" s="11"/>
      <c r="D579" s="12"/>
      <c r="E579" s="222"/>
      <c r="F579" s="12"/>
      <c r="G579" s="210"/>
      <c r="H579" s="286"/>
      <c r="I579" s="232"/>
      <c r="J579" s="223"/>
      <c r="K579" s="286"/>
      <c r="L579" s="232"/>
      <c r="M579" s="223"/>
      <c r="N579" s="286"/>
      <c r="O579" s="232"/>
      <c r="P579" s="223"/>
      <c r="Q579" s="286"/>
      <c r="R579" s="232"/>
      <c r="S579" s="223"/>
      <c r="T579" s="286"/>
      <c r="U579" s="232"/>
      <c r="V579" s="223"/>
      <c r="W579" s="286"/>
      <c r="X579" s="232"/>
      <c r="Y579" s="223"/>
      <c r="Z579" s="286"/>
      <c r="AA579" s="232"/>
      <c r="AB579" s="223"/>
      <c r="AC579" s="286"/>
      <c r="AD579" s="232"/>
      <c r="AE579" s="223"/>
      <c r="AF579" s="286"/>
      <c r="AG579" s="232"/>
      <c r="AH579" s="223"/>
      <c r="AI579" s="286"/>
      <c r="AJ579" s="232"/>
      <c r="AK579" s="223"/>
      <c r="AL579" s="286"/>
      <c r="AM579" s="232"/>
      <c r="AN579" s="223"/>
      <c r="AO579" s="286"/>
      <c r="AP579" s="232"/>
      <c r="AQ579" s="223"/>
      <c r="AR579" s="286"/>
      <c r="AS579" s="232"/>
      <c r="AT579" s="223"/>
      <c r="AU579" s="286"/>
      <c r="AV579" s="232"/>
      <c r="AW579" s="223"/>
      <c r="AX579" s="286"/>
      <c r="AY579" s="232"/>
      <c r="AZ579" s="223"/>
      <c r="BA579" s="286"/>
      <c r="BB579" s="232"/>
      <c r="BC579" s="223"/>
      <c r="BD579" s="286"/>
      <c r="BE579" s="232"/>
      <c r="BF579" s="223"/>
      <c r="BG579" s="286"/>
      <c r="BH579" s="232"/>
      <c r="BI579" s="223"/>
      <c r="BJ579" s="454"/>
    </row>
    <row r="580" spans="1:62" s="28" customFormat="1" hidden="1" outlineLevel="2" x14ac:dyDescent="0.3">
      <c r="A580" s="161" t="s">
        <v>453</v>
      </c>
      <c r="B580" s="22"/>
      <c r="C580" s="3"/>
      <c r="D580" s="4"/>
      <c r="E580" s="4"/>
      <c r="F580" s="22"/>
      <c r="G580" s="54"/>
      <c r="H580" s="282"/>
      <c r="I580" s="213"/>
      <c r="J580" s="214"/>
      <c r="K580" s="282"/>
      <c r="L580" s="213"/>
      <c r="M580" s="214"/>
      <c r="N580" s="282"/>
      <c r="O580" s="213"/>
      <c r="P580" s="214"/>
      <c r="Q580" s="282"/>
      <c r="R580" s="213"/>
      <c r="S580" s="214"/>
      <c r="T580" s="282"/>
      <c r="U580" s="213"/>
      <c r="V580" s="214"/>
      <c r="W580" s="282"/>
      <c r="X580" s="213"/>
      <c r="Y580" s="214"/>
      <c r="Z580" s="282"/>
      <c r="AA580" s="213"/>
      <c r="AB580" s="214"/>
      <c r="AC580" s="282"/>
      <c r="AD580" s="213"/>
      <c r="AE580" s="214"/>
      <c r="AF580" s="282"/>
      <c r="AG580" s="213"/>
      <c r="AH580" s="214"/>
      <c r="AI580" s="282"/>
      <c r="AJ580" s="213"/>
      <c r="AK580" s="214"/>
      <c r="AL580" s="282"/>
      <c r="AM580" s="213"/>
      <c r="AN580" s="214"/>
      <c r="AO580" s="282"/>
      <c r="AP580" s="213"/>
      <c r="AQ580" s="214"/>
      <c r="AR580" s="282"/>
      <c r="AS580" s="213"/>
      <c r="AT580" s="214"/>
      <c r="AU580" s="282"/>
      <c r="AV580" s="213"/>
      <c r="AW580" s="214"/>
      <c r="AX580" s="282"/>
      <c r="AY580" s="213"/>
      <c r="AZ580" s="214"/>
      <c r="BA580" s="282"/>
      <c r="BB580" s="213"/>
      <c r="BC580" s="214"/>
      <c r="BD580" s="282"/>
      <c r="BE580" s="213"/>
      <c r="BF580" s="214"/>
      <c r="BG580" s="282"/>
      <c r="BH580" s="213"/>
      <c r="BI580" s="214"/>
      <c r="BJ580" s="454"/>
    </row>
    <row r="581" spans="1:62" s="28" customFormat="1" hidden="1" outlineLevel="2" x14ac:dyDescent="0.3">
      <c r="A581" s="21" t="s">
        <v>454</v>
      </c>
      <c r="B581" s="22"/>
      <c r="C581" s="3"/>
      <c r="D581" s="4"/>
      <c r="E581" s="4"/>
      <c r="F581" s="22"/>
      <c r="G581" s="54"/>
      <c r="H581" s="285"/>
      <c r="I581" s="219"/>
      <c r="J581" s="220"/>
      <c r="K581" s="285"/>
      <c r="L581" s="219"/>
      <c r="M581" s="220"/>
      <c r="N581" s="285"/>
      <c r="O581" s="219"/>
      <c r="P581" s="220"/>
      <c r="Q581" s="285"/>
      <c r="R581" s="219"/>
      <c r="S581" s="220"/>
      <c r="T581" s="285"/>
      <c r="U581" s="219"/>
      <c r="V581" s="220"/>
      <c r="W581" s="285"/>
      <c r="X581" s="219"/>
      <c r="Y581" s="220"/>
      <c r="Z581" s="285"/>
      <c r="AA581" s="219"/>
      <c r="AB581" s="220"/>
      <c r="AC581" s="285"/>
      <c r="AD581" s="219"/>
      <c r="AE581" s="220"/>
      <c r="AF581" s="285"/>
      <c r="AG581" s="219"/>
      <c r="AH581" s="220"/>
      <c r="AI581" s="285"/>
      <c r="AJ581" s="219"/>
      <c r="AK581" s="220"/>
      <c r="AL581" s="285"/>
      <c r="AM581" s="219"/>
      <c r="AN581" s="220"/>
      <c r="AO581" s="285"/>
      <c r="AP581" s="219"/>
      <c r="AQ581" s="220"/>
      <c r="AR581" s="285"/>
      <c r="AS581" s="219"/>
      <c r="AT581" s="220"/>
      <c r="AU581" s="285"/>
      <c r="AV581" s="219"/>
      <c r="AW581" s="220"/>
      <c r="AX581" s="285"/>
      <c r="AY581" s="219"/>
      <c r="AZ581" s="220"/>
      <c r="BA581" s="285"/>
      <c r="BB581" s="219"/>
      <c r="BC581" s="220"/>
      <c r="BD581" s="285"/>
      <c r="BE581" s="219"/>
      <c r="BF581" s="220"/>
      <c r="BG581" s="285"/>
      <c r="BH581" s="219"/>
      <c r="BI581" s="220"/>
      <c r="BJ581" s="454"/>
    </row>
    <row r="582" spans="1:62" s="212" customFormat="1" hidden="1" outlineLevel="2" x14ac:dyDescent="0.3">
      <c r="A582" s="209"/>
      <c r="B582" s="12"/>
      <c r="C582" s="11"/>
      <c r="D582" s="12"/>
      <c r="E582" s="222"/>
      <c r="F582" s="12"/>
      <c r="G582" s="210"/>
      <c r="H582" s="286"/>
      <c r="I582" s="232"/>
      <c r="J582" s="223"/>
      <c r="K582" s="286"/>
      <c r="L582" s="232"/>
      <c r="M582" s="223"/>
      <c r="N582" s="286"/>
      <c r="O582" s="232"/>
      <c r="P582" s="223"/>
      <c r="Q582" s="286"/>
      <c r="R582" s="232"/>
      <c r="S582" s="223"/>
      <c r="T582" s="286"/>
      <c r="U582" s="232"/>
      <c r="V582" s="223"/>
      <c r="W582" s="286"/>
      <c r="X582" s="232"/>
      <c r="Y582" s="223"/>
      <c r="Z582" s="286"/>
      <c r="AA582" s="232"/>
      <c r="AB582" s="223"/>
      <c r="AC582" s="286"/>
      <c r="AD582" s="232"/>
      <c r="AE582" s="223"/>
      <c r="AF582" s="286"/>
      <c r="AG582" s="232"/>
      <c r="AH582" s="223"/>
      <c r="AI582" s="286"/>
      <c r="AJ582" s="232"/>
      <c r="AK582" s="223"/>
      <c r="AL582" s="286"/>
      <c r="AM582" s="232"/>
      <c r="AN582" s="223"/>
      <c r="AO582" s="286"/>
      <c r="AP582" s="232"/>
      <c r="AQ582" s="223"/>
      <c r="AR582" s="286"/>
      <c r="AS582" s="232"/>
      <c r="AT582" s="223"/>
      <c r="AU582" s="286"/>
      <c r="AV582" s="232"/>
      <c r="AW582" s="223"/>
      <c r="AX582" s="286"/>
      <c r="AY582" s="232"/>
      <c r="AZ582" s="223"/>
      <c r="BA582" s="286"/>
      <c r="BB582" s="232"/>
      <c r="BC582" s="223"/>
      <c r="BD582" s="286"/>
      <c r="BE582" s="232"/>
      <c r="BF582" s="223"/>
      <c r="BG582" s="286"/>
      <c r="BH582" s="232"/>
      <c r="BI582" s="223"/>
      <c r="BJ582" s="454"/>
    </row>
    <row r="583" spans="1:62" s="212" customFormat="1" hidden="1" outlineLevel="2" x14ac:dyDescent="0.3">
      <c r="A583" s="209"/>
      <c r="B583" s="12"/>
      <c r="C583" s="11"/>
      <c r="D583" s="12"/>
      <c r="E583" s="222"/>
      <c r="F583" s="12"/>
      <c r="G583" s="210"/>
      <c r="H583" s="286"/>
      <c r="I583" s="232"/>
      <c r="J583" s="223"/>
      <c r="K583" s="286"/>
      <c r="L583" s="232"/>
      <c r="M583" s="223"/>
      <c r="N583" s="286"/>
      <c r="O583" s="232"/>
      <c r="P583" s="223"/>
      <c r="Q583" s="286"/>
      <c r="R583" s="232"/>
      <c r="S583" s="223"/>
      <c r="T583" s="286"/>
      <c r="U583" s="232"/>
      <c r="V583" s="223"/>
      <c r="W583" s="286"/>
      <c r="X583" s="232"/>
      <c r="Y583" s="223"/>
      <c r="Z583" s="286"/>
      <c r="AA583" s="232"/>
      <c r="AB583" s="223"/>
      <c r="AC583" s="286"/>
      <c r="AD583" s="232"/>
      <c r="AE583" s="223"/>
      <c r="AF583" s="286"/>
      <c r="AG583" s="232"/>
      <c r="AH583" s="223"/>
      <c r="AI583" s="286"/>
      <c r="AJ583" s="232"/>
      <c r="AK583" s="223"/>
      <c r="AL583" s="286"/>
      <c r="AM583" s="232"/>
      <c r="AN583" s="223"/>
      <c r="AO583" s="286"/>
      <c r="AP583" s="232"/>
      <c r="AQ583" s="223"/>
      <c r="AR583" s="286"/>
      <c r="AS583" s="232"/>
      <c r="AT583" s="223"/>
      <c r="AU583" s="286"/>
      <c r="AV583" s="232"/>
      <c r="AW583" s="223"/>
      <c r="AX583" s="286"/>
      <c r="AY583" s="232"/>
      <c r="AZ583" s="223"/>
      <c r="BA583" s="286"/>
      <c r="BB583" s="232"/>
      <c r="BC583" s="223"/>
      <c r="BD583" s="286"/>
      <c r="BE583" s="232"/>
      <c r="BF583" s="223"/>
      <c r="BG583" s="286"/>
      <c r="BH583" s="232"/>
      <c r="BI583" s="223"/>
      <c r="BJ583" s="454"/>
    </row>
    <row r="584" spans="1:62" s="28" customFormat="1" ht="15" hidden="1" customHeight="1" outlineLevel="2" thickBot="1" x14ac:dyDescent="0.35">
      <c r="A584" s="21" t="s">
        <v>455</v>
      </c>
      <c r="B584" s="22"/>
      <c r="C584" s="3"/>
      <c r="D584" s="4"/>
      <c r="E584" s="4"/>
      <c r="F584" s="22"/>
      <c r="G584" s="54"/>
      <c r="H584" s="287"/>
      <c r="I584" s="288">
        <v>1</v>
      </c>
      <c r="J584" s="289"/>
      <c r="K584" s="287"/>
      <c r="L584" s="288">
        <v>1</v>
      </c>
      <c r="M584" s="289"/>
      <c r="N584" s="287"/>
      <c r="O584" s="288">
        <v>1</v>
      </c>
      <c r="P584" s="289"/>
      <c r="Q584" s="287"/>
      <c r="R584" s="288">
        <v>1</v>
      </c>
      <c r="S584" s="289"/>
      <c r="T584" s="287"/>
      <c r="U584" s="288">
        <v>1</v>
      </c>
      <c r="V584" s="289"/>
      <c r="W584" s="287"/>
      <c r="X584" s="288">
        <v>1</v>
      </c>
      <c r="Y584" s="289"/>
      <c r="Z584" s="287"/>
      <c r="AA584" s="288">
        <v>1</v>
      </c>
      <c r="AB584" s="289"/>
      <c r="AC584" s="287"/>
      <c r="AD584" s="288">
        <v>1</v>
      </c>
      <c r="AE584" s="289"/>
      <c r="AF584" s="287"/>
      <c r="AG584" s="288">
        <v>1</v>
      </c>
      <c r="AH584" s="289"/>
      <c r="AI584" s="287"/>
      <c r="AJ584" s="288">
        <v>1</v>
      </c>
      <c r="AK584" s="289"/>
      <c r="AL584" s="287"/>
      <c r="AM584" s="288">
        <v>1</v>
      </c>
      <c r="AN584" s="289"/>
      <c r="AO584" s="287"/>
      <c r="AP584" s="288">
        <v>1</v>
      </c>
      <c r="AQ584" s="289"/>
      <c r="AR584" s="287"/>
      <c r="AS584" s="288"/>
      <c r="AT584" s="289"/>
      <c r="AU584" s="287"/>
      <c r="AV584" s="288"/>
      <c r="AW584" s="289"/>
      <c r="AX584" s="287"/>
      <c r="AY584" s="288"/>
      <c r="AZ584" s="289"/>
      <c r="BA584" s="287"/>
      <c r="BB584" s="288"/>
      <c r="BC584" s="289"/>
      <c r="BD584" s="287"/>
      <c r="BE584" s="288"/>
      <c r="BF584" s="289"/>
      <c r="BG584" s="287"/>
      <c r="BH584" s="288"/>
      <c r="BI584" s="289"/>
      <c r="BJ584" s="454"/>
    </row>
    <row r="585" spans="1:62" s="212" customFormat="1" hidden="1" outlineLevel="1" x14ac:dyDescent="0.3">
      <c r="A585" s="209"/>
      <c r="B585" s="12"/>
      <c r="C585" s="11"/>
      <c r="D585" s="12"/>
      <c r="E585" s="12"/>
      <c r="F585" s="12"/>
      <c r="G585" s="210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454"/>
    </row>
    <row r="586" spans="1:62" s="28" customFormat="1" ht="15" hidden="1" customHeight="1" outlineLevel="1" x14ac:dyDescent="0.3">
      <c r="A586" s="159"/>
      <c r="B586" s="22"/>
      <c r="C586" s="3"/>
      <c r="D586" s="4"/>
      <c r="E586" s="4"/>
      <c r="F586" s="22"/>
      <c r="G586" s="54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  <c r="AW586" s="113"/>
      <c r="AX586" s="113"/>
      <c r="AY586" s="113"/>
      <c r="AZ586" s="113"/>
      <c r="BA586" s="113"/>
      <c r="BB586" s="113"/>
      <c r="BC586" s="113"/>
      <c r="BD586" s="113"/>
      <c r="BE586" s="113"/>
      <c r="BF586" s="113"/>
      <c r="BG586" s="113"/>
      <c r="BH586" s="113"/>
      <c r="BI586" s="113"/>
      <c r="BJ586" s="454"/>
    </row>
    <row r="587" spans="1:62" s="28" customFormat="1" ht="15" hidden="1" customHeight="1" outlineLevel="1" x14ac:dyDescent="0.3">
      <c r="A587" s="159"/>
      <c r="B587" s="22"/>
      <c r="C587" s="3"/>
      <c r="D587" s="4"/>
      <c r="E587" s="4"/>
      <c r="F587" s="22"/>
      <c r="G587" s="22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  <c r="AF587" s="224"/>
      <c r="AG587" s="224"/>
      <c r="AH587" s="224"/>
      <c r="AI587" s="224"/>
      <c r="AJ587" s="224"/>
      <c r="AK587" s="224"/>
      <c r="AL587" s="224"/>
      <c r="AM587" s="224"/>
      <c r="AN587" s="224"/>
      <c r="AO587" s="224"/>
      <c r="AP587" s="224"/>
      <c r="AQ587" s="224"/>
      <c r="AR587" s="224"/>
      <c r="AS587" s="224"/>
      <c r="AT587" s="224"/>
      <c r="AU587" s="224"/>
      <c r="AV587" s="224"/>
      <c r="AW587" s="224"/>
      <c r="AX587" s="224"/>
      <c r="AY587" s="224"/>
      <c r="AZ587" s="224"/>
      <c r="BA587" s="224"/>
      <c r="BB587" s="224"/>
      <c r="BC587" s="224"/>
      <c r="BD587" s="224"/>
      <c r="BE587" s="224"/>
      <c r="BF587" s="224"/>
      <c r="BG587" s="224"/>
      <c r="BH587" s="224"/>
      <c r="BI587" s="224"/>
      <c r="BJ587" s="454"/>
    </row>
    <row r="588" spans="1:62" s="28" customFormat="1" ht="15" hidden="1" customHeight="1" outlineLevel="1" x14ac:dyDescent="0.3">
      <c r="A588" s="159"/>
      <c r="B588" s="22"/>
      <c r="C588" s="3"/>
      <c r="D588" s="4"/>
      <c r="E588" s="4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454"/>
    </row>
    <row r="589" spans="1:62" ht="15" customHeight="1" collapsed="1" x14ac:dyDescent="0.3"/>
    <row r="590" spans="1:62" ht="15" customHeight="1" x14ac:dyDescent="0.3"/>
  </sheetData>
  <mergeCells count="25">
    <mergeCell ref="C183:C198"/>
    <mergeCell ref="F34:G34"/>
    <mergeCell ref="Q4:S4"/>
    <mergeCell ref="AR4:AT4"/>
    <mergeCell ref="AC4:AE4"/>
    <mergeCell ref="AI4:AK4"/>
    <mergeCell ref="F38:G38"/>
    <mergeCell ref="F37:G37"/>
    <mergeCell ref="AF4:AH4"/>
    <mergeCell ref="BD4:BF4"/>
    <mergeCell ref="BG4:BI4"/>
    <mergeCell ref="C8:E8"/>
    <mergeCell ref="AO4:AQ4"/>
    <mergeCell ref="F36:G36"/>
    <mergeCell ref="Z4:AB4"/>
    <mergeCell ref="BA4:BC4"/>
    <mergeCell ref="F35:G35"/>
    <mergeCell ref="AL4:AN4"/>
    <mergeCell ref="K4:M4"/>
    <mergeCell ref="W4:Y4"/>
    <mergeCell ref="N4:P4"/>
    <mergeCell ref="AX4:AZ4"/>
    <mergeCell ref="H4:J4"/>
    <mergeCell ref="T4:V4"/>
    <mergeCell ref="AU4:AW4"/>
  </mergeCells>
  <pageMargins left="0.7" right="0.7" top="0.75" bottom="0.75" header="0.3" footer="0.3"/>
  <pageSetup paperSize="9" scale="30" fitToWidth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AC37"/>
  <sheetViews>
    <sheetView showGridLines="0" zoomScale="80" zoomScaleNormal="80" workbookViewId="0">
      <selection activeCell="O12" sqref="O12"/>
    </sheetView>
  </sheetViews>
  <sheetFormatPr defaultRowHeight="14.4" outlineLevelCol="1" x14ac:dyDescent="0.3"/>
  <cols>
    <col min="1" max="1" width="4.44140625" customWidth="1"/>
    <col min="2" max="2" width="35.6640625" customWidth="1"/>
    <col min="3" max="5" width="16.6640625" bestFit="1" customWidth="1"/>
    <col min="6" max="6" width="15.33203125" bestFit="1" customWidth="1"/>
    <col min="7" max="7" width="15.33203125" style="363" bestFit="1" customWidth="1"/>
    <col min="8" max="8" width="15.6640625" customWidth="1"/>
    <col min="9" max="9" width="15.109375" style="363" customWidth="1" outlineLevel="1"/>
    <col min="10" max="10" width="15.6640625" customWidth="1" outlineLevel="1"/>
    <col min="11" max="15" width="14.33203125" customWidth="1" outlineLevel="1"/>
    <col min="16" max="16" width="4.6640625" style="304" customWidth="1"/>
    <col min="17" max="17" width="33.6640625" style="364" customWidth="1"/>
    <col min="18" max="21" width="16.5546875" customWidth="1"/>
    <col min="22" max="23" width="7.88671875" bestFit="1" customWidth="1"/>
    <col min="24" max="24" width="14" bestFit="1" customWidth="1"/>
    <col min="25" max="29" width="7.88671875" bestFit="1" customWidth="1"/>
  </cols>
  <sheetData>
    <row r="1" spans="1:29" ht="12.6" customHeight="1" x14ac:dyDescent="0.3"/>
    <row r="2" spans="1:29" ht="18" customHeight="1" x14ac:dyDescent="0.3">
      <c r="A2" s="365"/>
      <c r="B2" s="366" t="s">
        <v>0</v>
      </c>
      <c r="C2" s="367" t="s">
        <v>456</v>
      </c>
      <c r="D2" s="367" t="s">
        <v>457</v>
      </c>
      <c r="E2" s="367" t="s">
        <v>458</v>
      </c>
      <c r="F2" s="367" t="s">
        <v>459</v>
      </c>
      <c r="G2" s="367" t="s">
        <v>460</v>
      </c>
      <c r="H2" s="367" t="s">
        <v>461</v>
      </c>
      <c r="I2" s="367" t="s">
        <v>462</v>
      </c>
      <c r="J2" s="367" t="s">
        <v>463</v>
      </c>
      <c r="K2" s="367" t="s">
        <v>464</v>
      </c>
      <c r="L2" s="367" t="s">
        <v>465</v>
      </c>
      <c r="M2" s="367" t="s">
        <v>466</v>
      </c>
      <c r="N2" s="367" t="s">
        <v>467</v>
      </c>
      <c r="O2" s="368" t="s">
        <v>468</v>
      </c>
    </row>
    <row r="3" spans="1:29" hidden="1" x14ac:dyDescent="0.3">
      <c r="A3" s="365"/>
      <c r="B3" s="369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1"/>
      <c r="Q3" s="372"/>
    </row>
    <row r="4" spans="1:29" x14ac:dyDescent="0.3">
      <c r="A4" s="365"/>
      <c r="B4" s="373"/>
      <c r="O4" s="374"/>
      <c r="Q4" s="367"/>
      <c r="R4" s="367" t="s">
        <v>457</v>
      </c>
      <c r="S4" s="367" t="s">
        <v>458</v>
      </c>
      <c r="T4" s="367" t="s">
        <v>459</v>
      </c>
      <c r="U4" s="367" t="s">
        <v>460</v>
      </c>
      <c r="V4" s="367" t="s">
        <v>461</v>
      </c>
      <c r="W4" s="367" t="s">
        <v>462</v>
      </c>
      <c r="X4" s="367" t="s">
        <v>463</v>
      </c>
      <c r="Y4" s="367" t="s">
        <v>464</v>
      </c>
      <c r="Z4" s="367" t="s">
        <v>465</v>
      </c>
      <c r="AA4" s="367" t="s">
        <v>466</v>
      </c>
      <c r="AB4" s="367" t="s">
        <v>467</v>
      </c>
      <c r="AC4" s="368" t="s">
        <v>468</v>
      </c>
    </row>
    <row r="5" spans="1:29" x14ac:dyDescent="0.3">
      <c r="A5" s="375"/>
      <c r="B5" s="376" t="s">
        <v>469</v>
      </c>
      <c r="C5" s="377"/>
      <c r="D5" s="377">
        <f t="shared" ref="D5:O5" si="0">C17</f>
        <v>0</v>
      </c>
      <c r="E5" s="377">
        <f t="shared" si="0"/>
        <v>0</v>
      </c>
      <c r="F5" s="377">
        <f t="shared" si="0"/>
        <v>0</v>
      </c>
      <c r="G5" s="377">
        <f t="shared" si="0"/>
        <v>0</v>
      </c>
      <c r="H5" s="377">
        <f t="shared" si="0"/>
        <v>0</v>
      </c>
      <c r="I5" s="377">
        <f t="shared" si="0"/>
        <v>0</v>
      </c>
      <c r="J5" s="377">
        <f t="shared" si="0"/>
        <v>0</v>
      </c>
      <c r="K5" s="377">
        <f t="shared" si="0"/>
        <v>0</v>
      </c>
      <c r="L5" s="377">
        <f t="shared" si="0"/>
        <v>0</v>
      </c>
      <c r="M5" s="377">
        <f t="shared" si="0"/>
        <v>0</v>
      </c>
      <c r="N5" s="377">
        <f t="shared" si="0"/>
        <v>0</v>
      </c>
      <c r="O5" s="378">
        <f t="shared" si="0"/>
        <v>0</v>
      </c>
      <c r="Q5" s="472" t="s">
        <v>470</v>
      </c>
      <c r="R5" s="226">
        <f t="shared" ref="R5:AC5" si="1">SUM(D25:D26)</f>
        <v>0</v>
      </c>
      <c r="S5" s="226">
        <f t="shared" si="1"/>
        <v>0</v>
      </c>
      <c r="T5" s="226">
        <f t="shared" si="1"/>
        <v>0</v>
      </c>
      <c r="U5" s="226">
        <f t="shared" si="1"/>
        <v>0</v>
      </c>
      <c r="V5" s="226">
        <f t="shared" si="1"/>
        <v>0</v>
      </c>
      <c r="W5" s="226">
        <f t="shared" si="1"/>
        <v>0</v>
      </c>
      <c r="X5" s="226">
        <f t="shared" si="1"/>
        <v>258395.7</v>
      </c>
      <c r="Y5" s="226">
        <f t="shared" si="1"/>
        <v>0</v>
      </c>
      <c r="Z5" s="226">
        <f t="shared" si="1"/>
        <v>0</v>
      </c>
      <c r="AA5" s="226">
        <f t="shared" si="1"/>
        <v>0</v>
      </c>
      <c r="AB5" s="226">
        <f t="shared" si="1"/>
        <v>0</v>
      </c>
      <c r="AC5" s="226">
        <f t="shared" si="1"/>
        <v>0</v>
      </c>
    </row>
    <row r="6" spans="1:29" x14ac:dyDescent="0.3">
      <c r="A6" s="375"/>
      <c r="B6" s="376" t="s">
        <v>471</v>
      </c>
      <c r="C6" s="377"/>
      <c r="D6" s="377">
        <f t="shared" ref="D6:O6" si="2">C18</f>
        <v>0</v>
      </c>
      <c r="E6" s="377">
        <f t="shared" si="2"/>
        <v>0</v>
      </c>
      <c r="F6" s="377">
        <f t="shared" si="2"/>
        <v>0</v>
      </c>
      <c r="G6" s="377">
        <f t="shared" si="2"/>
        <v>0</v>
      </c>
      <c r="H6" s="377">
        <f t="shared" si="2"/>
        <v>0</v>
      </c>
      <c r="I6" s="377">
        <f t="shared" si="2"/>
        <v>0</v>
      </c>
      <c r="J6" s="377">
        <f t="shared" si="2"/>
        <v>0</v>
      </c>
      <c r="K6" s="377">
        <f t="shared" si="2"/>
        <v>0</v>
      </c>
      <c r="L6" s="377">
        <f t="shared" si="2"/>
        <v>0</v>
      </c>
      <c r="M6" s="377">
        <f t="shared" si="2"/>
        <v>0</v>
      </c>
      <c r="N6" s="377">
        <f t="shared" si="2"/>
        <v>0</v>
      </c>
      <c r="O6" s="378">
        <f t="shared" si="2"/>
        <v>0</v>
      </c>
      <c r="Q6" s="472" t="s">
        <v>472</v>
      </c>
      <c r="R6" s="226">
        <f>DRE!J14</f>
        <v>0</v>
      </c>
      <c r="S6" s="226">
        <f>DRE!M14</f>
        <v>0</v>
      </c>
      <c r="T6" s="226">
        <f>DRE!P14</f>
        <v>0</v>
      </c>
      <c r="U6" s="226">
        <f>DRE!S14</f>
        <v>0</v>
      </c>
      <c r="V6" s="226">
        <f>DRE!V14</f>
        <v>0</v>
      </c>
      <c r="W6" s="226">
        <f>DRE!Y14</f>
        <v>0</v>
      </c>
      <c r="X6" s="226">
        <f>DRE!AB14</f>
        <v>26850</v>
      </c>
      <c r="Y6" s="226">
        <f>DRE!AE14</f>
        <v>0</v>
      </c>
      <c r="Z6" s="226">
        <f>DRE!AH14</f>
        <v>0</v>
      </c>
      <c r="AA6" s="226">
        <f>DRE!AK14</f>
        <v>0</v>
      </c>
      <c r="AB6" s="226">
        <f>DRE!AN14</f>
        <v>0</v>
      </c>
      <c r="AC6" s="226">
        <f>DRE!AQ14</f>
        <v>0</v>
      </c>
    </row>
    <row r="7" spans="1:29" x14ac:dyDescent="0.3">
      <c r="A7" s="375"/>
      <c r="B7" s="376" t="s">
        <v>473</v>
      </c>
      <c r="C7" s="377"/>
      <c r="D7" s="377">
        <f t="shared" ref="D7:O7" si="3">C19</f>
        <v>0</v>
      </c>
      <c r="E7" s="377">
        <f t="shared" si="3"/>
        <v>0</v>
      </c>
      <c r="F7" s="377">
        <f t="shared" si="3"/>
        <v>0</v>
      </c>
      <c r="G7" s="377">
        <f t="shared" si="3"/>
        <v>0</v>
      </c>
      <c r="H7" s="377">
        <f t="shared" si="3"/>
        <v>0</v>
      </c>
      <c r="I7" s="377">
        <f t="shared" si="3"/>
        <v>0</v>
      </c>
      <c r="J7" s="377">
        <f t="shared" si="3"/>
        <v>0</v>
      </c>
      <c r="K7" s="377">
        <f t="shared" si="3"/>
        <v>0</v>
      </c>
      <c r="L7" s="377">
        <f t="shared" si="3"/>
        <v>0</v>
      </c>
      <c r="M7" s="377">
        <f t="shared" si="3"/>
        <v>0</v>
      </c>
      <c r="N7" s="377">
        <f t="shared" si="3"/>
        <v>0</v>
      </c>
      <c r="O7" s="378">
        <f t="shared" si="3"/>
        <v>0</v>
      </c>
      <c r="Q7" s="473" t="s">
        <v>474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X7" s="226">
        <v>0</v>
      </c>
      <c r="Y7" s="226">
        <v>0</v>
      </c>
      <c r="Z7" s="226">
        <v>0</v>
      </c>
      <c r="AA7" s="226">
        <v>0</v>
      </c>
      <c r="AB7" s="226">
        <v>0</v>
      </c>
      <c r="AC7" s="226">
        <v>0</v>
      </c>
    </row>
    <row r="8" spans="1:29" x14ac:dyDescent="0.3">
      <c r="A8" s="375"/>
      <c r="B8" s="376" t="s">
        <v>475</v>
      </c>
      <c r="C8" s="377"/>
      <c r="D8" s="377">
        <f t="shared" ref="D8:O8" si="4">C20</f>
        <v>0</v>
      </c>
      <c r="E8" s="377">
        <f t="shared" si="4"/>
        <v>0</v>
      </c>
      <c r="F8" s="377">
        <f t="shared" si="4"/>
        <v>0</v>
      </c>
      <c r="G8" s="377">
        <f t="shared" si="4"/>
        <v>0</v>
      </c>
      <c r="H8" s="377">
        <f t="shared" si="4"/>
        <v>0</v>
      </c>
      <c r="I8" s="377">
        <f t="shared" si="4"/>
        <v>0</v>
      </c>
      <c r="J8" s="377">
        <f t="shared" si="4"/>
        <v>0</v>
      </c>
      <c r="K8" s="377">
        <f t="shared" si="4"/>
        <v>0</v>
      </c>
      <c r="L8" s="377">
        <f t="shared" si="4"/>
        <v>0</v>
      </c>
      <c r="M8" s="377">
        <f t="shared" si="4"/>
        <v>0</v>
      </c>
      <c r="N8" s="377">
        <f t="shared" si="4"/>
        <v>0</v>
      </c>
      <c r="O8" s="378">
        <f t="shared" si="4"/>
        <v>0</v>
      </c>
      <c r="Q8" s="364" t="s">
        <v>476</v>
      </c>
      <c r="R8" s="433">
        <f>-(SUMIFS(BD_Eventos_Novo!$J:$J,BD_Eventos_Novo!$G:$G,"Comanda Aberta / Couvert Antecipado",BD_Eventos_Novo!$AB:$AB,CMV_Manual!R$4)+SUMIFS(BD_Eventos_Novo!$J:$J,BD_Eventos_Novo!$G:$G,"Consumação Mínima",BD_Eventos_Novo!$AB:$AB,CMV_Manual!R$4))</f>
        <v>0</v>
      </c>
      <c r="S8" s="433">
        <f>-(SUMIFS(BD_Eventos_Novo!$J:$J,BD_Eventos_Novo!$G:$G,"Comanda Aberta / Couvert Antecipado",BD_Eventos_Novo!$AB:$AB,CMV_Manual!S$4)+SUMIFS(BD_Eventos_Novo!$J:$J,BD_Eventos_Novo!$G:$G,"Consumação Mínima",BD_Eventos_Novo!$AB:$AB,CMV_Manual!S$4))</f>
        <v>0</v>
      </c>
      <c r="T8" s="433">
        <f>-(SUMIFS(BD_Eventos_Novo!$J:$J,BD_Eventos_Novo!$G:$G,"Comanda Aberta / Couvert Antecipado",BD_Eventos_Novo!$AB:$AB,CMV_Manual!T$4)+SUMIFS(BD_Eventos_Novo!$J:$J,BD_Eventos_Novo!$G:$G,"Consumação Mínima",BD_Eventos_Novo!$AB:$AB,CMV_Manual!T$4))</f>
        <v>0</v>
      </c>
      <c r="U8" s="433">
        <f>-(SUMIFS(BD_Eventos_Novo!$J:$J,BD_Eventos_Novo!$G:$G,"Comanda Aberta / Couvert Antecipado",BD_Eventos_Novo!$AB:$AB,CMV_Manual!U$4)+SUMIFS(BD_Eventos_Novo!$J:$J,BD_Eventos_Novo!$G:$G,"Consumação Mínima",BD_Eventos_Novo!$AB:$AB,CMV_Manual!U$4))</f>
        <v>0</v>
      </c>
      <c r="V8" s="433">
        <f>-(SUMIFS(BD_Eventos_Novo!$J:$J,BD_Eventos_Novo!$G:$G,"Comanda Aberta / Couvert Antecipado",BD_Eventos_Novo!$AB:$AB,CMV_Manual!V$4)+SUMIFS(BD_Eventos_Novo!$J:$J,BD_Eventos_Novo!$G:$G,"Consumação Mínima",BD_Eventos_Novo!$AB:$AB,CMV_Manual!V$4))</f>
        <v>0</v>
      </c>
      <c r="W8" s="433">
        <f>-(SUMIFS(BD_Eventos_Novo!$J:$J,BD_Eventos_Novo!$G:$G,"Comanda Aberta / Couvert Antecipado",BD_Eventos_Novo!$AB:$AB,CMV_Manual!W$4)+SUMIFS(BD_Eventos_Novo!$J:$J,BD_Eventos_Novo!$G:$G,"Consumação Mínima",BD_Eventos_Novo!$AB:$AB,CMV_Manual!W$4))</f>
        <v>0</v>
      </c>
      <c r="X8" s="433">
        <f>-(SUMIFS(BD_Eventos_Novo!$J:$J,BD_Eventos_Novo!$G:$G,"Comanda Aberta / Couvert Antecipado",BD_Eventos_Novo!$AB:$AB,CMV_Manual!X$4)+SUMIFS(BD_Eventos_Novo!$J:$J,BD_Eventos_Novo!$G:$G,"Consumação Mínima",BD_Eventos_Novo!$AB:$AB,CMV_Manual!X$4))</f>
        <v>0</v>
      </c>
      <c r="Y8" s="433">
        <f>-(SUMIFS(BD_Eventos_Novo!$J:$J,BD_Eventos_Novo!$G:$G,"Comanda Aberta / Couvert Antecipado",BD_Eventos_Novo!$AB:$AB,CMV_Manual!Y$4)+SUMIFS(BD_Eventos_Novo!$J:$J,BD_Eventos_Novo!$G:$G,"Consumação Mínima",BD_Eventos_Novo!$AB:$AB,CMV_Manual!Y$4))</f>
        <v>0</v>
      </c>
      <c r="Z8" s="433">
        <f>-(SUMIFS(BD_Eventos_Novo!$J:$J,BD_Eventos_Novo!$G:$G,"Comanda Aberta / Couvert Antecipado",BD_Eventos_Novo!$AB:$AB,CMV_Manual!Z$4)+SUMIFS(BD_Eventos_Novo!$J:$J,BD_Eventos_Novo!$G:$G,"Consumação Mínima",BD_Eventos_Novo!$AB:$AB,CMV_Manual!Z$4))</f>
        <v>0</v>
      </c>
      <c r="AA8" s="433">
        <f>-(SUMIFS(BD_Eventos_Novo!$J:$J,BD_Eventos_Novo!$G:$G,"Comanda Aberta / Couvert Antecipado",BD_Eventos_Novo!$AB:$AB,CMV_Manual!AA$4)+SUMIFS(BD_Eventos_Novo!$J:$J,BD_Eventos_Novo!$G:$G,"Consumação Mínima",BD_Eventos_Novo!$AB:$AB,CMV_Manual!AA$4))</f>
        <v>0</v>
      </c>
      <c r="AB8" s="433">
        <f>-(SUMIFS(BD_Eventos_Novo!$J:$J,BD_Eventos_Novo!$G:$G,"Comanda Aberta / Couvert Antecipado",BD_Eventos_Novo!$AB:$AB,CMV_Manual!AB$4)+SUMIFS(BD_Eventos_Novo!$J:$J,BD_Eventos_Novo!$G:$G,"Consumação Mínima",BD_Eventos_Novo!$AB:$AB,CMV_Manual!AB$4))</f>
        <v>0</v>
      </c>
      <c r="AC8" s="433">
        <f>-(SUMIFS(BD_Eventos_Novo!$J:$J,BD_Eventos_Novo!$G:$G,"Comanda Aberta / Couvert Antecipado",BD_Eventos_Novo!$AB:$AB,CMV_Manual!AC$4)+SUMIFS(BD_Eventos_Novo!$J:$J,BD_Eventos_Novo!$G:$G,"Consumação Mínima",BD_Eventos_Novo!$AB:$AB,CMV_Manual!AC$4))</f>
        <v>0</v>
      </c>
    </row>
    <row r="9" spans="1:29" x14ac:dyDescent="0.3">
      <c r="A9" s="379"/>
      <c r="B9" s="376" t="s">
        <v>477</v>
      </c>
      <c r="C9" s="380"/>
      <c r="D9" s="380">
        <f>-SUMIFS(Aut_BlueMe_Sem_Pedido!$J:$J,Aut_BlueMe_Sem_Pedido!$Q:$Q,CMV_Manual!D$2,Aut_BlueMe_Sem_Pedido!$H:$H,"Insumos - Alimentos")+SUMIFS(Aut_BlueMe_Com_Pedido!$K:$K,Aut_BlueMe_Com_Pedido!$Q:$Q,CMV_Manual!D$2)</f>
        <v>0</v>
      </c>
      <c r="E9" s="380">
        <f>-SUMIFS(Aut_BlueMe_Sem_Pedido!$J:$J,Aut_BlueMe_Sem_Pedido!$Q:$Q,CMV_Manual!E$2,Aut_BlueMe_Sem_Pedido!$H:$H,"Insumos - Alimentos")+SUMIFS(Aut_BlueMe_Com_Pedido!$K:$K,Aut_BlueMe_Com_Pedido!$Q:$Q,CMV_Manual!E$2)</f>
        <v>0</v>
      </c>
      <c r="F9" s="380">
        <f>-SUMIFS(Aut_BlueMe_Sem_Pedido!$J:$J,Aut_BlueMe_Sem_Pedido!$Q:$Q,CMV_Manual!F$2,Aut_BlueMe_Sem_Pedido!$H:$H,"Insumos - Alimentos")+SUMIFS(Aut_BlueMe_Com_Pedido!$K:$K,Aut_BlueMe_Com_Pedido!$Q:$Q,CMV_Manual!F$2)</f>
        <v>0</v>
      </c>
      <c r="G9" s="380">
        <f>-SUMIFS(Aut_BlueMe_Sem_Pedido!$J:$J,Aut_BlueMe_Sem_Pedido!$Q:$Q,CMV_Manual!G$2,Aut_BlueMe_Sem_Pedido!$H:$H,"Insumos - Alimentos")+SUMIFS(Aut_BlueMe_Com_Pedido!$K:$K,Aut_BlueMe_Com_Pedido!$Q:$Q,CMV_Manual!G$2)</f>
        <v>0</v>
      </c>
      <c r="H9" s="380">
        <f>-SUMIFS(Aut_BlueMe_Sem_Pedido!$J:$J,Aut_BlueMe_Sem_Pedido!$Q:$Q,CMV_Manual!H$2,Aut_BlueMe_Sem_Pedido!$H:$H,"Insumos - Alimentos")+SUMIFS(Aut_BlueMe_Com_Pedido!$K:$K,Aut_BlueMe_Com_Pedido!$Q:$Q,CMV_Manual!H$2)</f>
        <v>957.09</v>
      </c>
      <c r="I9" s="380">
        <f>-SUMIFS(Aut_BlueMe_Sem_Pedido!$J:$J,Aut_BlueMe_Sem_Pedido!$Q:$Q,CMV_Manual!I$2,Aut_BlueMe_Sem_Pedido!$H:$H,"Insumos - Alimentos")+SUMIFS(Aut_BlueMe_Com_Pedido!$K:$K,Aut_BlueMe_Com_Pedido!$Q:$Q,CMV_Manual!I$2)</f>
        <v>60914.37</v>
      </c>
      <c r="J9" s="380">
        <f>-SUMIFS(Aut_BlueMe_Sem_Pedido!$J:$J,Aut_BlueMe_Sem_Pedido!$Q:$Q,CMV_Manual!J$2,Aut_BlueMe_Sem_Pedido!$H:$H,"Insumos - Alimentos")+SUMIFS(Aut_BlueMe_Com_Pedido!$K:$K,Aut_BlueMe_Com_Pedido!$Q:$Q,CMV_Manual!J$2)</f>
        <v>145024.05999999994</v>
      </c>
      <c r="K9" s="380">
        <f>-SUMIFS(Aut_BlueMe_Sem_Pedido!$J:$J,Aut_BlueMe_Sem_Pedido!$Q:$Q,CMV_Manual!K$2,Aut_BlueMe_Sem_Pedido!$H:$H,"Insumos - Alimentos")+SUMIFS(Aut_BlueMe_Com_Pedido!$K:$K,Aut_BlueMe_Com_Pedido!$Q:$Q,CMV_Manual!K$2)</f>
        <v>0</v>
      </c>
      <c r="L9" s="380">
        <f>-SUMIFS(Aut_BlueMe_Sem_Pedido!$J:$J,Aut_BlueMe_Sem_Pedido!$Q:$Q,CMV_Manual!L$2,Aut_BlueMe_Sem_Pedido!$H:$H,"Insumos - Alimentos")+SUMIFS(Aut_BlueMe_Com_Pedido!$K:$K,Aut_BlueMe_Com_Pedido!$Q:$Q,CMV_Manual!L$2)</f>
        <v>0</v>
      </c>
      <c r="M9" s="380">
        <f>-SUMIFS(Aut_BlueMe_Sem_Pedido!$J:$J,Aut_BlueMe_Sem_Pedido!$Q:$Q,CMV_Manual!M$2,Aut_BlueMe_Sem_Pedido!$H:$H,"Insumos - Alimentos")+SUMIFS(Aut_BlueMe_Com_Pedido!$K:$K,Aut_BlueMe_Com_Pedido!$Q:$Q,CMV_Manual!M$2)</f>
        <v>0</v>
      </c>
      <c r="N9" s="380">
        <f>-SUMIFS(Aut_BlueMe_Sem_Pedido!$J:$J,Aut_BlueMe_Sem_Pedido!$Q:$Q,CMV_Manual!N$2,Aut_BlueMe_Sem_Pedido!$H:$H,"Insumos - Alimentos")+SUMIFS(Aut_BlueMe_Com_Pedido!$K:$K,Aut_BlueMe_Com_Pedido!$Q:$Q,CMV_Manual!N$2)</f>
        <v>0</v>
      </c>
      <c r="O9" s="381">
        <f>-SUMIFS(Aut_BlueMe_Sem_Pedido!$J:$J,Aut_BlueMe_Sem_Pedido!$Q:$Q,CMV_Manual!O$2,Aut_BlueMe_Sem_Pedido!$H:$H,"Insumos - Alimentos")+SUMIFS(Aut_BlueMe_Com_Pedido!$K:$K,Aut_BlueMe_Com_Pedido!$Q:$Q,CMV_Manual!O$2)</f>
        <v>0</v>
      </c>
      <c r="P9" s="382"/>
      <c r="Q9" s="364" t="s">
        <v>478</v>
      </c>
      <c r="R9" s="433">
        <f>-(SUMIFS(Aut_Descontos!$I:$I,Aut_Descontos!$L:$L,CMV_Manual!R$4)+SUMIFS(Aut_Descontos!$J:$J,Aut_Descontos!$L:$L,CMV_Manual!R$4))</f>
        <v>0</v>
      </c>
      <c r="S9" s="433">
        <f>-(SUMIFS(Aut_Descontos!$I:$I,Aut_Descontos!$L:$L,CMV_Manual!S$4)+SUMIFS(Aut_Descontos!$J:$J,Aut_Descontos!$L:$L,CMV_Manual!S$4))</f>
        <v>0</v>
      </c>
      <c r="T9" s="433">
        <f>-(SUMIFS(Aut_Descontos!$I:$I,Aut_Descontos!$L:$L,CMV_Manual!T$4)+SUMIFS(Aut_Descontos!$J:$J,Aut_Descontos!$L:$L,CMV_Manual!T$4))</f>
        <v>0</v>
      </c>
      <c r="U9" s="433">
        <f>-(SUMIFS(Aut_Descontos!$I:$I,Aut_Descontos!$L:$L,CMV_Manual!U$4)+SUMIFS(Aut_Descontos!$J:$J,Aut_Descontos!$L:$L,CMV_Manual!U$4))</f>
        <v>0</v>
      </c>
      <c r="V9" s="433">
        <f>-(SUMIFS(Aut_Descontos!$I:$I,Aut_Descontos!$L:$L,CMV_Manual!V$4)+SUMIFS(Aut_Descontos!$J:$J,Aut_Descontos!$L:$L,CMV_Manual!V$4))</f>
        <v>0</v>
      </c>
      <c r="W9" s="433">
        <f>-(SUMIFS(Aut_Descontos!$I:$I,Aut_Descontos!$L:$L,CMV_Manual!W$4)+SUMIFS(Aut_Descontos!$J:$J,Aut_Descontos!$L:$L,CMV_Manual!W$4))</f>
        <v>0</v>
      </c>
      <c r="X9" s="433">
        <f>-(SUMIFS(Aut_Descontos!$I:$I,Aut_Descontos!$L:$L,CMV_Manual!X$4)+SUMIFS(Aut_Descontos!$J:$J,Aut_Descontos!$L:$L,CMV_Manual!X$4))</f>
        <v>0</v>
      </c>
      <c r="Y9" s="433">
        <f>-(SUMIFS(Aut_Descontos!$I:$I,Aut_Descontos!$L:$L,CMV_Manual!Y$4)+SUMIFS(Aut_Descontos!$J:$J,Aut_Descontos!$L:$L,CMV_Manual!Y$4))</f>
        <v>0</v>
      </c>
      <c r="Z9" s="433">
        <f>-(SUMIFS(Aut_Descontos!$I:$I,Aut_Descontos!$L:$L,CMV_Manual!Z$4)+SUMIFS(Aut_Descontos!$J:$J,Aut_Descontos!$L:$L,CMV_Manual!Z$4))</f>
        <v>0</v>
      </c>
      <c r="AA9" s="433">
        <f>-(SUMIFS(Aut_Descontos!$I:$I,Aut_Descontos!$L:$L,CMV_Manual!AA$4)+SUMIFS(Aut_Descontos!$J:$J,Aut_Descontos!$L:$L,CMV_Manual!AA$4))</f>
        <v>0</v>
      </c>
      <c r="AB9" s="433">
        <f>-(SUMIFS(Aut_Descontos!$I:$I,Aut_Descontos!$L:$L,CMV_Manual!AB$4)+SUMIFS(Aut_Descontos!$J:$J,Aut_Descontos!$L:$L,CMV_Manual!AB$4))</f>
        <v>0</v>
      </c>
      <c r="AC9" s="433">
        <f>-(SUMIFS(Aut_Descontos!$I:$I,Aut_Descontos!$L:$L,CMV_Manual!AC$4)+SUMIFS(Aut_Descontos!$J:$J,Aut_Descontos!$L:$L,CMV_Manual!AC$4))</f>
        <v>0</v>
      </c>
    </row>
    <row r="10" spans="1:29" x14ac:dyDescent="0.3">
      <c r="A10" s="379"/>
      <c r="B10" s="376" t="s">
        <v>479</v>
      </c>
      <c r="C10" s="380"/>
      <c r="D10" s="380">
        <f>-SUMIFS(Aut_BlueMe_Sem_Pedido!$J:$J,Aut_BlueMe_Sem_Pedido!$Q:$Q,CMV_Manual!D$2,Aut_BlueMe_Sem_Pedido!$H:$H,"Insumos - Bebidas")+SUMIFS(Aut_BlueMe_Com_Pedido!$L:$L,Aut_BlueMe_Com_Pedido!$Q:$Q,CMV_Manual!D$2)</f>
        <v>0</v>
      </c>
      <c r="E10" s="380">
        <f>-SUMIFS(Aut_BlueMe_Sem_Pedido!$J:$J,Aut_BlueMe_Sem_Pedido!$Q:$Q,CMV_Manual!E$2,Aut_BlueMe_Sem_Pedido!$H:$H,"Insumos - Bebidas")+SUMIFS(Aut_BlueMe_Com_Pedido!$L:$L,Aut_BlueMe_Com_Pedido!$Q:$Q,CMV_Manual!E$2)</f>
        <v>0</v>
      </c>
      <c r="F10" s="380">
        <f>-SUMIFS(Aut_BlueMe_Sem_Pedido!$J:$J,Aut_BlueMe_Sem_Pedido!$Q:$Q,CMV_Manual!F$2,Aut_BlueMe_Sem_Pedido!$H:$H,"Insumos - Bebidas")+SUMIFS(Aut_BlueMe_Com_Pedido!$L:$L,Aut_BlueMe_Com_Pedido!$Q:$Q,CMV_Manual!F$2)</f>
        <v>0</v>
      </c>
      <c r="G10" s="380">
        <f>-SUMIFS(Aut_BlueMe_Sem_Pedido!$J:$J,Aut_BlueMe_Sem_Pedido!$Q:$Q,CMV_Manual!G$2,Aut_BlueMe_Sem_Pedido!$H:$H,"Insumos - Bebidas")+SUMIFS(Aut_BlueMe_Com_Pedido!$L:$L,Aut_BlueMe_Com_Pedido!$Q:$Q,CMV_Manual!G$2)</f>
        <v>0</v>
      </c>
      <c r="H10" s="380">
        <f>-SUMIFS(Aut_BlueMe_Sem_Pedido!$J:$J,Aut_BlueMe_Sem_Pedido!$Q:$Q,CMV_Manual!H$2,Aut_BlueMe_Sem_Pedido!$H:$H,"Insumos - Bebidas")+SUMIFS(Aut_BlueMe_Com_Pedido!$L:$L,Aut_BlueMe_Com_Pedido!$Q:$Q,CMV_Manual!H$2)</f>
        <v>0</v>
      </c>
      <c r="I10" s="380">
        <f>-SUMIFS(Aut_BlueMe_Sem_Pedido!$J:$J,Aut_BlueMe_Sem_Pedido!$Q:$Q,CMV_Manual!I$2,Aut_BlueMe_Sem_Pedido!$H:$H,"Insumos - Bebidas")+SUMIFS(Aut_BlueMe_Com_Pedido!$L:$L,Aut_BlueMe_Com_Pedido!$Q:$Q,CMV_Manual!I$2)</f>
        <v>41739.950000000004</v>
      </c>
      <c r="J10" s="380">
        <f>-SUMIFS(Aut_BlueMe_Sem_Pedido!$J:$J,Aut_BlueMe_Sem_Pedido!$Q:$Q,CMV_Manual!J$2,Aut_BlueMe_Sem_Pedido!$H:$H,"Insumos - Bebidas")+SUMIFS(Aut_BlueMe_Com_Pedido!$L:$L,Aut_BlueMe_Com_Pedido!$Q:$Q,CMV_Manual!J$2)</f>
        <v>122847.18000000001</v>
      </c>
      <c r="K10" s="380">
        <f>-SUMIFS(Aut_BlueMe_Sem_Pedido!$J:$J,Aut_BlueMe_Sem_Pedido!$Q:$Q,CMV_Manual!K$2,Aut_BlueMe_Sem_Pedido!$H:$H,"Insumos - Bebidas")+SUMIFS(Aut_BlueMe_Com_Pedido!$L:$L,Aut_BlueMe_Com_Pedido!$Q:$Q,CMV_Manual!K$2)</f>
        <v>0</v>
      </c>
      <c r="L10" s="380">
        <f>-SUMIFS(Aut_BlueMe_Sem_Pedido!$J:$J,Aut_BlueMe_Sem_Pedido!$Q:$Q,CMV_Manual!L$2,Aut_BlueMe_Sem_Pedido!$H:$H,"Insumos - Bebidas")+SUMIFS(Aut_BlueMe_Com_Pedido!$L:$L,Aut_BlueMe_Com_Pedido!$Q:$Q,CMV_Manual!L$2)</f>
        <v>0</v>
      </c>
      <c r="M10" s="380">
        <f>-SUMIFS(Aut_BlueMe_Sem_Pedido!$J:$J,Aut_BlueMe_Sem_Pedido!$Q:$Q,CMV_Manual!M$2,Aut_BlueMe_Sem_Pedido!$H:$H,"Insumos - Bebidas")+SUMIFS(Aut_BlueMe_Com_Pedido!$L:$L,Aut_BlueMe_Com_Pedido!$Q:$Q,CMV_Manual!M$2)</f>
        <v>0</v>
      </c>
      <c r="N10" s="380">
        <f>-SUMIFS(Aut_BlueMe_Sem_Pedido!$J:$J,Aut_BlueMe_Sem_Pedido!$Q:$Q,CMV_Manual!N$2,Aut_BlueMe_Sem_Pedido!$H:$H,"Insumos - Bebidas")+SUMIFS(Aut_BlueMe_Com_Pedido!$L:$L,Aut_BlueMe_Com_Pedido!$Q:$Q,CMV_Manual!N$2)</f>
        <v>0</v>
      </c>
      <c r="O10" s="381">
        <f>-SUMIFS(Aut_BlueMe_Sem_Pedido!$J:$J,Aut_BlueMe_Sem_Pedido!$Q:$Q,CMV_Manual!O$2,Aut_BlueMe_Sem_Pedido!$H:$H,"Insumos - Bebidas")+SUMIFS(Aut_BlueMe_Com_Pedido!$L:$L,Aut_BlueMe_Com_Pedido!$Q:$Q,CMV_Manual!O$2)</f>
        <v>0</v>
      </c>
      <c r="P10" s="382"/>
      <c r="Q10" s="364" t="s">
        <v>480</v>
      </c>
      <c r="R10" s="433">
        <f>-(SUMIFS(Aut_Promocoes_Utilizadas!$G:$G,Aut_Promocoes_Utilizadas!$I:$I,"Eventos",Aut_Promocoes_Utilizadas!$J:$J,CMV_Manual!R$4))</f>
        <v>0</v>
      </c>
      <c r="S10" s="433">
        <f>-(SUMIFS(Aut_Promocoes_Utilizadas!$G:$G,Aut_Promocoes_Utilizadas!$I:$I,"Eventos",Aut_Promocoes_Utilizadas!$J:$J,CMV_Manual!S$4))</f>
        <v>0</v>
      </c>
      <c r="T10" s="433">
        <f>-(SUMIFS(Aut_Promocoes_Utilizadas!$G:$G,Aut_Promocoes_Utilizadas!$I:$I,"Eventos",Aut_Promocoes_Utilizadas!$J:$J,CMV_Manual!T$4))</f>
        <v>0</v>
      </c>
      <c r="U10" s="433">
        <f>-(SUMIFS(Aut_Promocoes_Utilizadas!$G:$G,Aut_Promocoes_Utilizadas!$I:$I,"Eventos",Aut_Promocoes_Utilizadas!$J:$J,CMV_Manual!U$4))</f>
        <v>0</v>
      </c>
      <c r="V10" s="433">
        <f>-(SUMIFS(Aut_Promocoes_Utilizadas!$G:$G,Aut_Promocoes_Utilizadas!$I:$I,"Eventos",Aut_Promocoes_Utilizadas!$J:$J,CMV_Manual!V$4))</f>
        <v>0</v>
      </c>
      <c r="W10" s="433">
        <f>-(SUMIFS(Aut_Promocoes_Utilizadas!$G:$G,Aut_Promocoes_Utilizadas!$I:$I,"Eventos",Aut_Promocoes_Utilizadas!$J:$J,CMV_Manual!W$4))</f>
        <v>0</v>
      </c>
      <c r="X10" s="433">
        <f>-(SUMIFS(Aut_Promocoes_Utilizadas!$G:$G,Aut_Promocoes_Utilizadas!$I:$I,"Eventos",Aut_Promocoes_Utilizadas!$J:$J,CMV_Manual!X$4))</f>
        <v>0</v>
      </c>
      <c r="Y10" s="433">
        <f>-(SUMIFS(Aut_Promocoes_Utilizadas!$G:$G,Aut_Promocoes_Utilizadas!$I:$I,"Eventos",Aut_Promocoes_Utilizadas!$J:$J,CMV_Manual!Y$4))</f>
        <v>0</v>
      </c>
      <c r="Z10" s="433">
        <f>-(SUMIFS(Aut_Promocoes_Utilizadas!$G:$G,Aut_Promocoes_Utilizadas!$I:$I,"Eventos",Aut_Promocoes_Utilizadas!$J:$J,CMV_Manual!Z$4))</f>
        <v>0</v>
      </c>
      <c r="AA10" s="433">
        <f>-(SUMIFS(Aut_Promocoes_Utilizadas!$G:$G,Aut_Promocoes_Utilizadas!$I:$I,"Eventos",Aut_Promocoes_Utilizadas!$J:$J,CMV_Manual!AA$4))</f>
        <v>0</v>
      </c>
      <c r="AB10" s="433">
        <f>-(SUMIFS(Aut_Promocoes_Utilizadas!$G:$G,Aut_Promocoes_Utilizadas!$I:$I,"Eventos",Aut_Promocoes_Utilizadas!$J:$J,CMV_Manual!AB$4))</f>
        <v>0</v>
      </c>
      <c r="AC10" s="433">
        <f>-(SUMIFS(Aut_Promocoes_Utilizadas!$G:$G,Aut_Promocoes_Utilizadas!$I:$I,"Eventos",Aut_Promocoes_Utilizadas!$J:$J,CMV_Manual!AC$4))</f>
        <v>0</v>
      </c>
    </row>
    <row r="11" spans="1:29" ht="15.6" customHeight="1" x14ac:dyDescent="0.3">
      <c r="A11" s="379"/>
      <c r="B11" s="376" t="s">
        <v>481</v>
      </c>
      <c r="C11" s="377"/>
      <c r="D11" s="377">
        <f>SUMIFS(Aut_Transferencias!$K:$K,Aut_Transferencias!$J:$J,CMV_Manual!D$2,Aut_Transferencias!$G:$G,"ALIMENTOS",Aut_Transferencias!$C:$C,"Bar Brahma - Paulista")</f>
        <v>0</v>
      </c>
      <c r="E11" s="377">
        <f>SUMIFS(Aut_Transferencias!$K:$K,Aut_Transferencias!$J:$J,CMV_Manual!E$2,Aut_Transferencias!$G:$G,"ALIMENTOS",Aut_Transferencias!$C:$C,"Bar Brahma - Paulista")</f>
        <v>0</v>
      </c>
      <c r="F11" s="377">
        <f>SUMIFS(Aut_Transferencias!$K:$K,Aut_Transferencias!$J:$J,CMV_Manual!F$2,Aut_Transferencias!$G:$G,"ALIMENTOS",Aut_Transferencias!$C:$C,"Bar Brahma - Paulista")</f>
        <v>0</v>
      </c>
      <c r="G11" s="377">
        <f>SUMIFS(Aut_Transferencias!$K:$K,Aut_Transferencias!$J:$J,CMV_Manual!G$2,Aut_Transferencias!$G:$G,"ALIMENTOS",Aut_Transferencias!$C:$C,"Bar Brahma - Paulista")</f>
        <v>0</v>
      </c>
      <c r="H11" s="377">
        <f>SUMIFS(Aut_Transferencias!$K:$K,Aut_Transferencias!$J:$J,CMV_Manual!H$2,Aut_Transferencias!$G:$G,"ALIMENTOS",Aut_Transferencias!$C:$C,"Bar Brahma - Paulista")</f>
        <v>0</v>
      </c>
      <c r="I11" s="377">
        <f>SUMIFS(Aut_Transferencias!$K:$K,Aut_Transferencias!$J:$J,CMV_Manual!I$2,Aut_Transferencias!$G:$G,"ALIMENTOS",Aut_Transferencias!$C:$C,"Bar Brahma - Paulista")</f>
        <v>0</v>
      </c>
      <c r="J11" s="377">
        <f>SUMIFS(Aut_Transferencias!$K:$K,Aut_Transferencias!$J:$J,CMV_Manual!J$2,Aut_Transferencias!$G:$G,"ALIMENTOS",Aut_Transferencias!$C:$C,"Bar Brahma - Paulista")</f>
        <v>0</v>
      </c>
      <c r="K11" s="377">
        <f>SUMIFS(Aut_Transferencias!$K:$K,Aut_Transferencias!$J:$J,CMV_Manual!K$2,Aut_Transferencias!$G:$G,"ALIMENTOS",Aut_Transferencias!$C:$C,"Bar Brahma - Paulista")</f>
        <v>0</v>
      </c>
      <c r="L11" s="377">
        <f>SUMIFS(Aut_Transferencias!$K:$K,Aut_Transferencias!$J:$J,CMV_Manual!L$2,Aut_Transferencias!$G:$G,"ALIMENTOS",Aut_Transferencias!$C:$C,"Bar Brahma - Paulista")</f>
        <v>0</v>
      </c>
      <c r="M11" s="377">
        <f>SUMIFS(Aut_Transferencias!$K:$K,Aut_Transferencias!$J:$J,CMV_Manual!M$2,Aut_Transferencias!$G:$G,"ALIMENTOS",Aut_Transferencias!$C:$C,"Bar Brahma - Paulista")</f>
        <v>0</v>
      </c>
      <c r="N11" s="377">
        <f>SUMIFS(Aut_Transferencias!$K:$K,Aut_Transferencias!$J:$J,CMV_Manual!N$2,Aut_Transferencias!$G:$G,"ALIMENTOS",Aut_Transferencias!$C:$C,"Bar Brahma - Paulista")</f>
        <v>0</v>
      </c>
      <c r="O11" s="378">
        <f>SUMIFS(Aut_Transferencias!$K:$K,Aut_Transferencias!$J:$J,CMV_Manual!O$2,Aut_Transferencias!$G:$G,"ALIMENTOS",Aut_Transferencias!$C:$C,"Bar Brahma - Paulista")</f>
        <v>0</v>
      </c>
      <c r="P11" s="383"/>
      <c r="Q11" s="473" t="s">
        <v>29</v>
      </c>
      <c r="R11" s="226">
        <f t="shared" ref="R11:AC11" si="5">D28</f>
        <v>0</v>
      </c>
      <c r="S11" s="226">
        <f t="shared" si="5"/>
        <v>0</v>
      </c>
      <c r="T11" s="226">
        <f t="shared" si="5"/>
        <v>0</v>
      </c>
      <c r="U11" s="226">
        <f t="shared" si="5"/>
        <v>0</v>
      </c>
      <c r="V11" s="226">
        <f t="shared" si="5"/>
        <v>0</v>
      </c>
      <c r="W11" s="226">
        <f t="shared" si="5"/>
        <v>0</v>
      </c>
      <c r="X11" s="226">
        <f t="shared" si="5"/>
        <v>0</v>
      </c>
      <c r="Y11" s="226">
        <f t="shared" si="5"/>
        <v>0</v>
      </c>
      <c r="Z11" s="226">
        <f t="shared" si="5"/>
        <v>0</v>
      </c>
      <c r="AA11" s="226">
        <f t="shared" si="5"/>
        <v>0</v>
      </c>
      <c r="AB11" s="226">
        <f t="shared" si="5"/>
        <v>0</v>
      </c>
      <c r="AC11" s="226">
        <f t="shared" si="5"/>
        <v>0</v>
      </c>
    </row>
    <row r="12" spans="1:29" x14ac:dyDescent="0.3">
      <c r="A12" s="379"/>
      <c r="B12" s="376" t="s">
        <v>482</v>
      </c>
      <c r="C12" s="377"/>
      <c r="D12" s="377">
        <f>SUMIFS(Aut_Transferencias!$K:$K,Aut_Transferencias!$J:$J,CMV_Manual!D$2,Aut_Transferencias!$G:$G,"BEBIDAS",Aut_Transferencias!$C:$C,"Bar Brahma - Paulista")</f>
        <v>0</v>
      </c>
      <c r="E12" s="377">
        <f>SUMIFS(Aut_Transferencias!$K:$K,Aut_Transferencias!$J:$J,CMV_Manual!E$2,Aut_Transferencias!$G:$G,"BEBIDAS",Aut_Transferencias!$C:$C,"Bar Brahma - Paulista")</f>
        <v>0</v>
      </c>
      <c r="F12" s="377">
        <f>SUMIFS(Aut_Transferencias!$K:$K,Aut_Transferencias!$J:$J,CMV_Manual!F$2,Aut_Transferencias!$G:$G,"BEBIDAS",Aut_Transferencias!$C:$C,"Bar Brahma - Paulista")</f>
        <v>0</v>
      </c>
      <c r="G12" s="377">
        <f>SUMIFS(Aut_Transferencias!$K:$K,Aut_Transferencias!$J:$J,CMV_Manual!G$2,Aut_Transferencias!$G:$G,"BEBIDAS",Aut_Transferencias!$C:$C,"Bar Brahma - Paulista")</f>
        <v>2834.92</v>
      </c>
      <c r="H12" s="377">
        <f>SUMIFS(Aut_Transferencias!$K:$K,Aut_Transferencias!$J:$J,CMV_Manual!H$2,Aut_Transferencias!$G:$G,"BEBIDAS",Aut_Transferencias!$C:$C,"Bar Brahma - Paulista")</f>
        <v>322</v>
      </c>
      <c r="I12" s="377">
        <f>SUMIFS(Aut_Transferencias!$K:$K,Aut_Transferencias!$J:$J,CMV_Manual!I$2,Aut_Transferencias!$G:$G,"BEBIDAS",Aut_Transferencias!$C:$C,"Bar Brahma - Paulista")</f>
        <v>583.73</v>
      </c>
      <c r="J12" s="377">
        <f>SUMIFS(Aut_Transferencias!$K:$K,Aut_Transferencias!$J:$J,CMV_Manual!J$2,Aut_Transferencias!$G:$G,"BEBIDAS",Aut_Transferencias!$C:$C,"Bar Brahma - Paulista")</f>
        <v>0</v>
      </c>
      <c r="K12" s="377">
        <f>SUMIFS(Aut_Transferencias!$K:$K,Aut_Transferencias!$J:$J,CMV_Manual!K$2,Aut_Transferencias!$G:$G,"BEBIDAS",Aut_Transferencias!$C:$C,"Bar Brahma - Paulista")</f>
        <v>0</v>
      </c>
      <c r="L12" s="377">
        <f>SUMIFS(Aut_Transferencias!$K:$K,Aut_Transferencias!$J:$J,CMV_Manual!L$2,Aut_Transferencias!$G:$G,"BEBIDAS",Aut_Transferencias!$C:$C,"Bar Brahma - Paulista")</f>
        <v>0</v>
      </c>
      <c r="M12" s="377">
        <f>SUMIFS(Aut_Transferencias!$K:$K,Aut_Transferencias!$J:$J,CMV_Manual!M$2,Aut_Transferencias!$G:$G,"BEBIDAS",Aut_Transferencias!$C:$C,"Bar Brahma - Paulista")</f>
        <v>0</v>
      </c>
      <c r="N12" s="377">
        <f>SUMIFS(Aut_Transferencias!$K:$K,Aut_Transferencias!$J:$J,CMV_Manual!N$2,Aut_Transferencias!$G:$G,"BEBIDAS",Aut_Transferencias!$C:$C,"Bar Brahma - Paulista")</f>
        <v>0</v>
      </c>
      <c r="O12" s="378">
        <f>SUMIFS(Aut_Transferencias!$K:$K,Aut_Transferencias!$J:$J,CMV_Manual!O$2,Aut_Transferencias!$G:$G,"BEBIDAS",Aut_Transferencias!$C:$C,"Bar Brahma - Paulista")</f>
        <v>0</v>
      </c>
      <c r="Q12" s="472" t="s">
        <v>483</v>
      </c>
      <c r="R12" s="422">
        <f t="shared" ref="R12:AC12" si="6">SUM(R5:R11)</f>
        <v>0</v>
      </c>
      <c r="S12" s="422">
        <f t="shared" si="6"/>
        <v>0</v>
      </c>
      <c r="T12" s="422">
        <f t="shared" si="6"/>
        <v>0</v>
      </c>
      <c r="U12" s="422">
        <f t="shared" si="6"/>
        <v>0</v>
      </c>
      <c r="V12" s="422">
        <f t="shared" si="6"/>
        <v>0</v>
      </c>
      <c r="W12" s="422">
        <f t="shared" si="6"/>
        <v>0</v>
      </c>
      <c r="X12" s="422">
        <f t="shared" si="6"/>
        <v>285245.7</v>
      </c>
      <c r="Y12" s="422">
        <f t="shared" si="6"/>
        <v>0</v>
      </c>
      <c r="Z12" s="422">
        <f t="shared" si="6"/>
        <v>0</v>
      </c>
      <c r="AA12" s="422">
        <f t="shared" si="6"/>
        <v>0</v>
      </c>
      <c r="AB12" s="422">
        <f t="shared" si="6"/>
        <v>0</v>
      </c>
      <c r="AC12" s="422">
        <f t="shared" si="6"/>
        <v>0</v>
      </c>
    </row>
    <row r="13" spans="1:29" x14ac:dyDescent="0.3">
      <c r="A13" s="379"/>
      <c r="B13" s="376" t="s">
        <v>484</v>
      </c>
      <c r="C13" s="380"/>
      <c r="D13" s="380">
        <f>SUMIFS(Aut_Transferencias!$K:$K,Aut_Transferencias!$J:$J,CMV_Manual!D$2,Aut_Transferencias!$G:$G,"ALIMENTOS",Aut_Transferencias!$B:$B,"Bar Brahma - Paulista")</f>
        <v>0</v>
      </c>
      <c r="E13" s="380">
        <f>SUMIFS(Aut_Transferencias!$K:$K,Aut_Transferencias!$J:$J,CMV_Manual!E$2,Aut_Transferencias!$G:$G,"ALIMENTOS",Aut_Transferencias!$B:$B,"Bar Brahma - Paulista")</f>
        <v>0</v>
      </c>
      <c r="F13" s="380">
        <f>SUMIFS(Aut_Transferencias!$K:$K,Aut_Transferencias!$J:$J,CMV_Manual!F$2,Aut_Transferencias!$G:$G,"ALIMENTOS",Aut_Transferencias!$B:$B,"Bar Brahma - Paulista")</f>
        <v>0</v>
      </c>
      <c r="G13" s="380">
        <f>SUMIFS(Aut_Transferencias!$K:$K,Aut_Transferencias!$J:$J,CMV_Manual!G$2,Aut_Transferencias!$G:$G,"ALIMENTOS",Aut_Transferencias!$B:$B,"Bar Brahma - Paulista")</f>
        <v>0</v>
      </c>
      <c r="H13" s="380">
        <f>SUMIFS(Aut_Transferencias!$K:$K,Aut_Transferencias!$J:$J,CMV_Manual!H$2,Aut_Transferencias!$G:$G,"ALIMENTOS",Aut_Transferencias!$B:$B,"Bar Brahma - Paulista")</f>
        <v>0</v>
      </c>
      <c r="I13" s="380">
        <f>SUMIFS(Aut_Transferencias!$K:$K,Aut_Transferencias!$J:$J,CMV_Manual!I$2,Aut_Transferencias!$G:$G,"ALIMENTOS",Aut_Transferencias!$B:$B,"Bar Brahma - Paulista")</f>
        <v>0</v>
      </c>
      <c r="J13" s="380">
        <f>SUMIFS(Aut_Transferencias!$K:$K,Aut_Transferencias!$J:$J,CMV_Manual!J$2,Aut_Transferencias!$G:$G,"ALIMENTOS",Aut_Transferencias!$B:$B,"Bar Brahma - Paulista")</f>
        <v>0</v>
      </c>
      <c r="K13" s="380">
        <f>SUMIFS(Aut_Transferencias!$K:$K,Aut_Transferencias!$J:$J,CMV_Manual!K$2,Aut_Transferencias!$G:$G,"ALIMENTOS",Aut_Transferencias!$B:$B,"Bar Brahma - Paulista")</f>
        <v>0</v>
      </c>
      <c r="L13" s="380">
        <f>SUMIFS(Aut_Transferencias!$K:$K,Aut_Transferencias!$J:$J,CMV_Manual!L$2,Aut_Transferencias!$G:$G,"ALIMENTOS",Aut_Transferencias!$B:$B,"Bar Brahma - Paulista")</f>
        <v>0</v>
      </c>
      <c r="M13" s="380">
        <f>SUMIFS(Aut_Transferencias!$K:$K,Aut_Transferencias!$J:$J,CMV_Manual!M$2,Aut_Transferencias!$G:$G,"ALIMENTOS",Aut_Transferencias!$B:$B,"Bar Brahma - Paulista")</f>
        <v>0</v>
      </c>
      <c r="N13" s="380">
        <f>SUMIFS(Aut_Transferencias!$K:$K,Aut_Transferencias!$J:$J,CMV_Manual!N$2,Aut_Transferencias!$G:$G,"ALIMENTOS",Aut_Transferencias!$B:$B,"Bar Brahma - Paulista")</f>
        <v>0</v>
      </c>
      <c r="O13" s="381">
        <f>SUMIFS(Aut_Transferencias!$K:$K,Aut_Transferencias!$J:$J,CMV_Manual!O$2,Aut_Transferencias!$G:$G,"ALIMENTOS",Aut_Transferencias!$B:$B,"Bar Brahma - Paulista")</f>
        <v>0</v>
      </c>
      <c r="R13" s="384"/>
      <c r="S13" s="226"/>
    </row>
    <row r="14" spans="1:29" x14ac:dyDescent="0.3">
      <c r="A14" s="379"/>
      <c r="B14" s="376" t="s">
        <v>485</v>
      </c>
      <c r="C14" s="380"/>
      <c r="D14" s="380">
        <f>SUMIFS(Aut_Transferencias!$K:$K,Aut_Transferencias!$J:$J,CMV_Manual!D$2,Aut_Transferencias!$G:$G,"BEBIDAS",Aut_Transferencias!$B:$B,"Bar Brahma - Paulista")</f>
        <v>0</v>
      </c>
      <c r="E14" s="380">
        <f>SUMIFS(Aut_Transferencias!$K:$K,Aut_Transferencias!$J:$J,CMV_Manual!E$2,Aut_Transferencias!$G:$G,"BEBIDAS",Aut_Transferencias!$B:$B,"Bar Brahma - Paulista")</f>
        <v>0</v>
      </c>
      <c r="F14" s="380">
        <f>SUMIFS(Aut_Transferencias!$K:$K,Aut_Transferencias!$J:$J,CMV_Manual!F$2,Aut_Transferencias!$G:$G,"BEBIDAS",Aut_Transferencias!$B:$B,"Bar Brahma - Paulista")</f>
        <v>0</v>
      </c>
      <c r="G14" s="380">
        <f>SUMIFS(Aut_Transferencias!$K:$K,Aut_Transferencias!$J:$J,CMV_Manual!G$2,Aut_Transferencias!$G:$G,"BEBIDAS",Aut_Transferencias!$B:$B,"Bar Brahma - Paulista")</f>
        <v>0</v>
      </c>
      <c r="H14" s="380">
        <f>SUMIFS(Aut_Transferencias!$K:$K,Aut_Transferencias!$J:$J,CMV_Manual!H$2,Aut_Transferencias!$G:$G,"BEBIDAS",Aut_Transferencias!$B:$B,"Bar Brahma - Paulista")</f>
        <v>0</v>
      </c>
      <c r="I14" s="380">
        <f>SUMIFS(Aut_Transferencias!$K:$K,Aut_Transferencias!$J:$J,CMV_Manual!I$2,Aut_Transferencias!$G:$G,"BEBIDAS",Aut_Transferencias!$B:$B,"Bar Brahma - Paulista")</f>
        <v>0</v>
      </c>
      <c r="J14" s="380">
        <f>SUMIFS(Aut_Transferencias!$K:$K,Aut_Transferencias!$J:$J,CMV_Manual!J$2,Aut_Transferencias!$G:$G,"BEBIDAS",Aut_Transferencias!$B:$B,"Bar Brahma - Paulista")</f>
        <v>0</v>
      </c>
      <c r="K14" s="380">
        <f>SUMIFS(Aut_Transferencias!$K:$K,Aut_Transferencias!$J:$J,CMV_Manual!K$2,Aut_Transferencias!$G:$G,"BEBIDAS",Aut_Transferencias!$B:$B,"Bar Brahma - Paulista")</f>
        <v>0</v>
      </c>
      <c r="L14" s="380">
        <f>SUMIFS(Aut_Transferencias!$K:$K,Aut_Transferencias!$J:$J,CMV_Manual!L$2,Aut_Transferencias!$G:$G,"BEBIDAS",Aut_Transferencias!$B:$B,"Bar Brahma - Paulista")</f>
        <v>0</v>
      </c>
      <c r="M14" s="380">
        <f>SUMIFS(Aut_Transferencias!$K:$K,Aut_Transferencias!$J:$J,CMV_Manual!M$2,Aut_Transferencias!$G:$G,"BEBIDAS",Aut_Transferencias!$B:$B,"Bar Brahma - Paulista")</f>
        <v>0</v>
      </c>
      <c r="N14" s="380">
        <f>SUMIFS(Aut_Transferencias!$K:$K,Aut_Transferencias!$J:$J,CMV_Manual!N$2,Aut_Transferencias!$G:$G,"BEBIDAS",Aut_Transferencias!$B:$B,"Bar Brahma - Paulista")</f>
        <v>0</v>
      </c>
      <c r="O14" s="381">
        <f>SUMIFS(Aut_Transferencias!$K:$K,Aut_Transferencias!$J:$J,CMV_Manual!O$2,Aut_Transferencias!$G:$G,"BEBIDAS",Aut_Transferencias!$B:$B,"Bar Brahma - Paulista")</f>
        <v>0</v>
      </c>
      <c r="Q14" s="472" t="s">
        <v>486</v>
      </c>
      <c r="R14" s="384">
        <f t="shared" ref="R14:AC14" si="7">SUM(R6:R10)</f>
        <v>0</v>
      </c>
      <c r="S14" s="384">
        <f t="shared" si="7"/>
        <v>0</v>
      </c>
      <c r="T14" s="384">
        <f t="shared" si="7"/>
        <v>0</v>
      </c>
      <c r="U14" s="384">
        <f t="shared" si="7"/>
        <v>0</v>
      </c>
      <c r="V14" s="384">
        <f t="shared" si="7"/>
        <v>0</v>
      </c>
      <c r="W14" s="384">
        <f t="shared" si="7"/>
        <v>0</v>
      </c>
      <c r="X14" s="384">
        <f t="shared" si="7"/>
        <v>26850</v>
      </c>
      <c r="Y14" s="384">
        <f t="shared" si="7"/>
        <v>0</v>
      </c>
      <c r="Z14" s="384">
        <f t="shared" si="7"/>
        <v>0</v>
      </c>
      <c r="AA14" s="384">
        <f t="shared" si="7"/>
        <v>0</v>
      </c>
      <c r="AB14" s="384">
        <f t="shared" si="7"/>
        <v>0</v>
      </c>
      <c r="AC14" s="384">
        <f t="shared" si="7"/>
        <v>0</v>
      </c>
    </row>
    <row r="15" spans="1:29" x14ac:dyDescent="0.3">
      <c r="A15" s="379"/>
      <c r="B15" s="376" t="s">
        <v>487</v>
      </c>
      <c r="C15" s="386"/>
      <c r="D15" s="386">
        <f>SUMIFS(Aut_Consumo_Funcionarios!$F:$F,Aut_Consumo_Funcionarios!$D:$D,CMV_Manual!D$2)</f>
        <v>0</v>
      </c>
      <c r="E15" s="386">
        <f>SUMIFS(Aut_Consumo_Funcionarios!$F:$F,Aut_Consumo_Funcionarios!$D:$D,CMV_Manual!E$2)</f>
        <v>0</v>
      </c>
      <c r="F15" s="386">
        <f>SUMIFS(Aut_Consumo_Funcionarios!$F:$F,Aut_Consumo_Funcionarios!$D:$D,CMV_Manual!F$2)</f>
        <v>0</v>
      </c>
      <c r="G15" s="386">
        <f>SUMIFS(Aut_Consumo_Funcionarios!$F:$F,Aut_Consumo_Funcionarios!$D:$D,CMV_Manual!G$2)</f>
        <v>0</v>
      </c>
      <c r="H15" s="386">
        <f>SUMIFS(Aut_Consumo_Funcionarios!$F:$F,Aut_Consumo_Funcionarios!$D:$D,CMV_Manual!H$2)</f>
        <v>0</v>
      </c>
      <c r="I15" s="386">
        <f>SUMIFS(Aut_Consumo_Funcionarios!$F:$F,Aut_Consumo_Funcionarios!$D:$D,CMV_Manual!I$2)</f>
        <v>0</v>
      </c>
      <c r="J15" s="386">
        <f>SUMIFS(Aut_Consumo_Funcionarios!$F:$F,Aut_Consumo_Funcionarios!$D:$D,CMV_Manual!J$2)</f>
        <v>0</v>
      </c>
      <c r="K15" s="386">
        <f>SUMIFS(Aut_Consumo_Funcionarios!$F:$F,Aut_Consumo_Funcionarios!$D:$D,CMV_Manual!K$2)</f>
        <v>0</v>
      </c>
      <c r="L15" s="386">
        <f>SUMIFS(Aut_Consumo_Funcionarios!$F:$F,Aut_Consumo_Funcionarios!$D:$D,CMV_Manual!L$2)</f>
        <v>0</v>
      </c>
      <c r="M15" s="386">
        <f>SUMIFS(Aut_Consumo_Funcionarios!$F:$F,Aut_Consumo_Funcionarios!$D:$D,CMV_Manual!M$2)</f>
        <v>0</v>
      </c>
      <c r="N15" s="386">
        <f>SUMIFS(Aut_Consumo_Funcionarios!$F:$F,Aut_Consumo_Funcionarios!$D:$D,CMV_Manual!N$2)</f>
        <v>0</v>
      </c>
      <c r="O15" s="387">
        <f>SUMIFS(Aut_Consumo_Funcionarios!$F:$F,Aut_Consumo_Funcionarios!$D:$D,CMV_Manual!O$2)</f>
        <v>0</v>
      </c>
      <c r="R15" s="384"/>
    </row>
    <row r="16" spans="1:29" x14ac:dyDescent="0.3">
      <c r="A16" s="379"/>
      <c r="B16" s="376" t="s">
        <v>488</v>
      </c>
      <c r="C16" s="388"/>
      <c r="D16" s="388"/>
      <c r="E16" s="388"/>
      <c r="F16" s="388"/>
      <c r="G16" s="388"/>
      <c r="H16" s="388"/>
      <c r="I16" s="388"/>
      <c r="J16" s="388"/>
      <c r="K16" s="388"/>
      <c r="L16" s="389"/>
      <c r="M16" s="389"/>
      <c r="N16" s="389"/>
      <c r="O16" s="390"/>
      <c r="R16" s="226"/>
    </row>
    <row r="17" spans="1:20" x14ac:dyDescent="0.3">
      <c r="A17" s="375"/>
      <c r="B17" s="376" t="s">
        <v>489</v>
      </c>
      <c r="C17" s="377"/>
      <c r="D17" s="377">
        <f>SUMIFS(Aut_Valor_Estoque!$P:$P,Aut_Valor_Estoque!$K:$K,CMV_Manual!D$2,Aut_Valor_Estoque!$J:$J,"ALIMENTOS")</f>
        <v>0</v>
      </c>
      <c r="E17" s="377">
        <f>SUMIFS(Aut_Valor_Estoque!$P:$P,Aut_Valor_Estoque!$K:$K,CMV_Manual!E$2,Aut_Valor_Estoque!$J:$J,"ALIMENTOS")</f>
        <v>0</v>
      </c>
      <c r="F17" s="377">
        <f>SUMIFS(Aut_Valor_Estoque!$P:$P,Aut_Valor_Estoque!$K:$K,CMV_Manual!F$2,Aut_Valor_Estoque!$J:$J,"ALIMENTOS")</f>
        <v>0</v>
      </c>
      <c r="G17" s="377">
        <f>SUMIFS(Aut_Valor_Estoque!$P:$P,Aut_Valor_Estoque!$K:$K,CMV_Manual!G$2,Aut_Valor_Estoque!$J:$J,"ALIMENTOS")</f>
        <v>0</v>
      </c>
      <c r="H17" s="377">
        <f>SUMIFS(Aut_Valor_Estoque!$P:$P,Aut_Valor_Estoque!$K:$K,CMV_Manual!H$2,Aut_Valor_Estoque!$J:$J,"ALIMENTOS")</f>
        <v>0</v>
      </c>
      <c r="I17" s="377">
        <f>SUMIFS(Aut_Valor_Estoque!$P:$P,Aut_Valor_Estoque!$K:$K,CMV_Manual!I$2,Aut_Valor_Estoque!$J:$J,"ALIMENTOS")</f>
        <v>0</v>
      </c>
      <c r="J17" s="377">
        <f>SUMIFS(Aut_Valor_Estoque!$P:$P,Aut_Valor_Estoque!$K:$K,CMV_Manual!J$2,Aut_Valor_Estoque!$J:$J,"ALIMENTOS")</f>
        <v>0</v>
      </c>
      <c r="K17" s="377">
        <f>SUMIFS(Aut_Valor_Estoque!$P:$P,Aut_Valor_Estoque!$K:$K,CMV_Manual!K$2,Aut_Valor_Estoque!$J:$J,"ALIMENTOS")</f>
        <v>0</v>
      </c>
      <c r="L17" s="377">
        <f>SUMIFS(Aut_Valor_Estoque!$P:$P,Aut_Valor_Estoque!$K:$K,CMV_Manual!L$2,Aut_Valor_Estoque!$J:$J,"ALIMENTOS")</f>
        <v>0</v>
      </c>
      <c r="M17" s="377">
        <f>SUMIFS(Aut_Valor_Estoque!$P:$P,Aut_Valor_Estoque!$K:$K,CMV_Manual!M$2,Aut_Valor_Estoque!$J:$J,"ALIMENTOS")</f>
        <v>0</v>
      </c>
      <c r="N17" s="377">
        <f>SUMIFS(Aut_Valor_Estoque!$P:$P,Aut_Valor_Estoque!$K:$K,CMV_Manual!N$2,Aut_Valor_Estoque!$J:$J,"ALIMENTOS")</f>
        <v>0</v>
      </c>
      <c r="O17" s="381">
        <f>SUMIFS(Aut_Valor_Estoque!$P:$P,Aut_Valor_Estoque!$K:$K,CMV_Manual!O$2,Aut_Valor_Estoque!$J:$J,"ALIMENTOS")</f>
        <v>0</v>
      </c>
      <c r="R17" s="226"/>
    </row>
    <row r="18" spans="1:20" x14ac:dyDescent="0.3">
      <c r="A18" s="375"/>
      <c r="B18" s="376" t="s">
        <v>490</v>
      </c>
      <c r="C18" s="377"/>
      <c r="D18" s="377">
        <f>SUMIFS(Aut_Valor_Estoque!$P:$P,Aut_Valor_Estoque!$K:$K,CMV_Manual!D$2,Aut_Valor_Estoque!$J:$J,"BEBIDAS")</f>
        <v>0</v>
      </c>
      <c r="E18" s="377">
        <f>SUMIFS(Aut_Valor_Estoque!$P:$P,Aut_Valor_Estoque!$K:$K,CMV_Manual!E$2,Aut_Valor_Estoque!$J:$J,"BEBIDAS")</f>
        <v>0</v>
      </c>
      <c r="F18" s="377">
        <f>SUMIFS(Aut_Valor_Estoque!$P:$P,Aut_Valor_Estoque!$K:$K,CMV_Manual!F$2,Aut_Valor_Estoque!$J:$J,"BEBIDAS")</f>
        <v>0</v>
      </c>
      <c r="G18" s="377">
        <f>SUMIFS(Aut_Valor_Estoque!$P:$P,Aut_Valor_Estoque!$K:$K,CMV_Manual!G$2,Aut_Valor_Estoque!$J:$J,"BEBIDAS")</f>
        <v>0</v>
      </c>
      <c r="H18" s="377">
        <f>SUMIFS(Aut_Valor_Estoque!$P:$P,Aut_Valor_Estoque!$K:$K,CMV_Manual!H$2,Aut_Valor_Estoque!$J:$J,"BEBIDAS")</f>
        <v>0</v>
      </c>
      <c r="I18" s="377">
        <f>SUMIFS(Aut_Valor_Estoque!$P:$P,Aut_Valor_Estoque!$K:$K,CMV_Manual!I$2,Aut_Valor_Estoque!$J:$J,"BEBIDAS")</f>
        <v>0</v>
      </c>
      <c r="J18" s="377">
        <f>SUMIFS(Aut_Valor_Estoque!$P:$P,Aut_Valor_Estoque!$K:$K,CMV_Manual!J$2,Aut_Valor_Estoque!$J:$J,"BEBIDAS")</f>
        <v>0</v>
      </c>
      <c r="K18" s="377">
        <f>SUMIFS(Aut_Valor_Estoque!$P:$P,Aut_Valor_Estoque!$K:$K,CMV_Manual!K$2,Aut_Valor_Estoque!$J:$J,"BEBIDAS")</f>
        <v>0</v>
      </c>
      <c r="L18" s="377">
        <f>SUMIFS(Aut_Valor_Estoque!$P:$P,Aut_Valor_Estoque!$K:$K,CMV_Manual!L$2,Aut_Valor_Estoque!$J:$J,"BEBIDAS")</f>
        <v>0</v>
      </c>
      <c r="M18" s="377">
        <f>SUMIFS(Aut_Valor_Estoque!$P:$P,Aut_Valor_Estoque!$K:$K,CMV_Manual!M$2,Aut_Valor_Estoque!$J:$J,"BEBIDAS")</f>
        <v>0</v>
      </c>
      <c r="N18" s="377">
        <f>SUMIFS(Aut_Valor_Estoque!$P:$P,Aut_Valor_Estoque!$K:$K,CMV_Manual!N$2,Aut_Valor_Estoque!$J:$J,"BEBIDAS")</f>
        <v>0</v>
      </c>
      <c r="O18" s="378">
        <f>SUMIFS(Aut_Valor_Estoque!$P:$P,Aut_Valor_Estoque!$K:$K,CMV_Manual!O$2,Aut_Valor_Estoque!$J:$J,"BEBIDAS")</f>
        <v>0</v>
      </c>
      <c r="R18" s="226"/>
    </row>
    <row r="19" spans="1:20" x14ac:dyDescent="0.3">
      <c r="A19" s="375"/>
      <c r="B19" s="376" t="s">
        <v>491</v>
      </c>
      <c r="C19" s="377"/>
      <c r="D19" s="377">
        <f>SUMIFS(Aut_Insumos_Producao!$J:$J,Aut_Insumos_Producao!$D:$D,CMV_Manual!D$2,Aut_Insumos_Producao!$H:$H,"ALIMENTOS")</f>
        <v>0</v>
      </c>
      <c r="E19" s="377">
        <f>SUMIFS(Aut_Insumos_Producao!$J:$J,Aut_Insumos_Producao!$D:$D,CMV_Manual!E$2,Aut_Insumos_Producao!$H:$H,"ALIMENTOS")</f>
        <v>0</v>
      </c>
      <c r="F19" s="377">
        <f>SUMIFS(Aut_Insumos_Producao!$J:$J,Aut_Insumos_Producao!$D:$D,CMV_Manual!F$2,Aut_Insumos_Producao!$H:$H,"ALIMENTOS")</f>
        <v>0</v>
      </c>
      <c r="G19" s="377">
        <f>SUMIFS(Aut_Insumos_Producao!$J:$J,Aut_Insumos_Producao!$D:$D,CMV_Manual!G$2,Aut_Insumos_Producao!$H:$H,"ALIMENTOS")</f>
        <v>0</v>
      </c>
      <c r="H19" s="377">
        <f>SUMIFS(Aut_Insumos_Producao!$J:$J,Aut_Insumos_Producao!$D:$D,CMV_Manual!H$2,Aut_Insumos_Producao!$H:$H,"ALIMENTOS")</f>
        <v>0</v>
      </c>
      <c r="I19" s="377">
        <f>SUMIFS(Aut_Insumos_Producao!$J:$J,Aut_Insumos_Producao!$D:$D,CMV_Manual!I$2,Aut_Insumos_Producao!$H:$H,"ALIMENTOS")</f>
        <v>0</v>
      </c>
      <c r="J19" s="377">
        <f>SUMIFS(Aut_Insumos_Producao!$J:$J,Aut_Insumos_Producao!$D:$D,CMV_Manual!J$2,Aut_Insumos_Producao!$H:$H,"ALIMENTOS")</f>
        <v>0</v>
      </c>
      <c r="K19" s="377">
        <f>SUMIFS(Aut_Insumos_Producao!$J:$J,Aut_Insumos_Producao!$D:$D,CMV_Manual!K$2,Aut_Insumos_Producao!$H:$H,"ALIMENTOS")</f>
        <v>0</v>
      </c>
      <c r="L19" s="377">
        <f>SUMIFS(Aut_Insumos_Producao!$J:$J,Aut_Insumos_Producao!$D:$D,CMV_Manual!L$2,Aut_Insumos_Producao!$H:$H,"ALIMENTOS")</f>
        <v>0</v>
      </c>
      <c r="M19" s="377">
        <f>SUMIFS(Aut_Insumos_Producao!$J:$J,Aut_Insumos_Producao!$D:$D,CMV_Manual!M$2,Aut_Insumos_Producao!$H:$H,"ALIMENTOS")</f>
        <v>0</v>
      </c>
      <c r="N19" s="377">
        <f>SUMIFS(Aut_Insumos_Producao!$J:$J,Aut_Insumos_Producao!$D:$D,CMV_Manual!N$2,Aut_Insumos_Producao!$H:$H,"ALIMENTOS")</f>
        <v>0</v>
      </c>
      <c r="O19" s="378">
        <f>SUMIFS(Aut_Insumos_Producao!$J:$J,Aut_Insumos_Producao!$D:$D,CMV_Manual!O$2,Aut_Insumos_Producao!$H:$H,"ALIMENTOS")</f>
        <v>0</v>
      </c>
      <c r="T19" s="304"/>
    </row>
    <row r="20" spans="1:20" x14ac:dyDescent="0.3">
      <c r="A20" s="375"/>
      <c r="B20" s="376" t="s">
        <v>492</v>
      </c>
      <c r="C20" s="377"/>
      <c r="D20" s="377">
        <f>SUMIFS(Aut_Insumos_Producao!$J:$J,Aut_Insumos_Producao!$D:$D,CMV_Manual!D$2,Aut_Insumos_Producao!$H:$H,"BEBIDAS")</f>
        <v>0</v>
      </c>
      <c r="E20" s="377">
        <f>SUMIFS(Aut_Insumos_Producao!$J:$J,Aut_Insumos_Producao!$D:$D,CMV_Manual!E$2,Aut_Insumos_Producao!$H:$H,"BEBIDAS")</f>
        <v>0</v>
      </c>
      <c r="F20" s="377">
        <f>SUMIFS(Aut_Insumos_Producao!$J:$J,Aut_Insumos_Producao!$D:$D,CMV_Manual!F$2,Aut_Insumos_Producao!$H:$H,"BEBIDAS")</f>
        <v>0</v>
      </c>
      <c r="G20" s="377">
        <f>SUMIFS(Aut_Insumos_Producao!$J:$J,Aut_Insumos_Producao!$D:$D,CMV_Manual!G$2,Aut_Insumos_Producao!$H:$H,"BEBIDAS")</f>
        <v>0</v>
      </c>
      <c r="H20" s="377">
        <f>SUMIFS(Aut_Insumos_Producao!$J:$J,Aut_Insumos_Producao!$D:$D,CMV_Manual!H$2,Aut_Insumos_Producao!$H:$H,"BEBIDAS")</f>
        <v>0</v>
      </c>
      <c r="I20" s="377">
        <f>SUMIFS(Aut_Insumos_Producao!$J:$J,Aut_Insumos_Producao!$D:$D,CMV_Manual!I$2,Aut_Insumos_Producao!$H:$H,"BEBIDAS")</f>
        <v>0</v>
      </c>
      <c r="J20" s="377">
        <f>SUMIFS(Aut_Insumos_Producao!$J:$J,Aut_Insumos_Producao!$D:$D,CMV_Manual!J$2,Aut_Insumos_Producao!$H:$H,"BEBIDAS")</f>
        <v>0</v>
      </c>
      <c r="K20" s="377">
        <f>SUMIFS(Aut_Insumos_Producao!$J:$J,Aut_Insumos_Producao!$D:$D,CMV_Manual!K$2,Aut_Insumos_Producao!$H:$H,"BEBIDAS")</f>
        <v>0</v>
      </c>
      <c r="L20" s="377">
        <f>SUMIFS(Aut_Insumos_Producao!$J:$J,Aut_Insumos_Producao!$D:$D,CMV_Manual!L$2,Aut_Insumos_Producao!$H:$H,"BEBIDAS")</f>
        <v>0</v>
      </c>
      <c r="M20" s="377">
        <f>SUMIFS(Aut_Insumos_Producao!$J:$J,Aut_Insumos_Producao!$D:$D,CMV_Manual!M$2,Aut_Insumos_Producao!$H:$H,"BEBIDAS")</f>
        <v>0</v>
      </c>
      <c r="N20" s="377">
        <f>SUMIFS(Aut_Insumos_Producao!$J:$J,Aut_Insumos_Producao!$D:$D,CMV_Manual!N$2,Aut_Insumos_Producao!$H:$H,"BEBIDAS")</f>
        <v>0</v>
      </c>
      <c r="O20" s="378">
        <f>SUMIFS(Aut_Insumos_Producao!$J:$J,Aut_Insumos_Producao!$D:$D,CMV_Manual!O$2,Aut_Insumos_Producao!$H:$H,"BEBIDAS")</f>
        <v>0</v>
      </c>
    </row>
    <row r="21" spans="1:20" x14ac:dyDescent="0.3">
      <c r="A21" s="379"/>
      <c r="B21" s="391"/>
      <c r="C21" s="392"/>
      <c r="D21" s="392"/>
      <c r="E21" s="392"/>
      <c r="F21" s="392"/>
      <c r="G21" s="392"/>
      <c r="H21" s="392"/>
      <c r="I21" s="392"/>
      <c r="J21" s="392"/>
      <c r="K21" s="392"/>
      <c r="L21" s="392"/>
      <c r="M21" s="392"/>
      <c r="N21" s="392"/>
      <c r="O21" s="393"/>
    </row>
    <row r="22" spans="1:20" x14ac:dyDescent="0.3">
      <c r="B22" s="394" t="s">
        <v>493</v>
      </c>
      <c r="C22" s="395">
        <f t="shared" ref="C22:O22" si="8">C5+C7+C9+C11-C13-C15-C17-C19</f>
        <v>0</v>
      </c>
      <c r="D22" s="395">
        <f t="shared" si="8"/>
        <v>0</v>
      </c>
      <c r="E22" s="395">
        <f t="shared" si="8"/>
        <v>0</v>
      </c>
      <c r="F22" s="395">
        <f t="shared" si="8"/>
        <v>0</v>
      </c>
      <c r="G22" s="395">
        <f t="shared" si="8"/>
        <v>0</v>
      </c>
      <c r="H22" s="395">
        <f t="shared" si="8"/>
        <v>957.09</v>
      </c>
      <c r="I22" s="395">
        <f t="shared" si="8"/>
        <v>60914.37</v>
      </c>
      <c r="J22" s="395">
        <f t="shared" si="8"/>
        <v>145024.05999999994</v>
      </c>
      <c r="K22" s="395">
        <f t="shared" si="8"/>
        <v>0</v>
      </c>
      <c r="L22" s="395">
        <f t="shared" si="8"/>
        <v>0</v>
      </c>
      <c r="M22" s="395">
        <f t="shared" si="8"/>
        <v>0</v>
      </c>
      <c r="N22" s="395">
        <f t="shared" si="8"/>
        <v>0</v>
      </c>
      <c r="O22" s="396">
        <f t="shared" si="8"/>
        <v>0</v>
      </c>
    </row>
    <row r="23" spans="1:20" x14ac:dyDescent="0.3">
      <c r="B23" s="394" t="s">
        <v>494</v>
      </c>
      <c r="C23" s="395">
        <f t="shared" ref="C23:O23" si="9">C6+C8+C10+C12-C14-C18-C20</f>
        <v>0</v>
      </c>
      <c r="D23" s="395">
        <f t="shared" si="9"/>
        <v>0</v>
      </c>
      <c r="E23" s="395">
        <f t="shared" si="9"/>
        <v>0</v>
      </c>
      <c r="F23" s="395">
        <f t="shared" si="9"/>
        <v>0</v>
      </c>
      <c r="G23" s="395">
        <f t="shared" si="9"/>
        <v>2834.92</v>
      </c>
      <c r="H23" s="395">
        <f t="shared" si="9"/>
        <v>322</v>
      </c>
      <c r="I23" s="395">
        <f t="shared" si="9"/>
        <v>42323.680000000008</v>
      </c>
      <c r="J23" s="395">
        <f t="shared" si="9"/>
        <v>122847.18000000001</v>
      </c>
      <c r="K23" s="395">
        <f t="shared" si="9"/>
        <v>0</v>
      </c>
      <c r="L23" s="395">
        <f t="shared" si="9"/>
        <v>0</v>
      </c>
      <c r="M23" s="395">
        <f t="shared" si="9"/>
        <v>0</v>
      </c>
      <c r="N23" s="395">
        <f t="shared" si="9"/>
        <v>0</v>
      </c>
      <c r="O23" s="396">
        <f t="shared" si="9"/>
        <v>0</v>
      </c>
      <c r="P23" s="397"/>
    </row>
    <row r="24" spans="1:20" x14ac:dyDescent="0.3">
      <c r="B24" s="398" t="s">
        <v>495</v>
      </c>
      <c r="C24" s="399">
        <f t="shared" ref="C24:O24" si="10">SUM(C22:C23)</f>
        <v>0</v>
      </c>
      <c r="D24" s="399">
        <f t="shared" si="10"/>
        <v>0</v>
      </c>
      <c r="E24" s="399">
        <f t="shared" si="10"/>
        <v>0</v>
      </c>
      <c r="F24" s="399">
        <f t="shared" si="10"/>
        <v>0</v>
      </c>
      <c r="G24" s="399">
        <f t="shared" si="10"/>
        <v>2834.92</v>
      </c>
      <c r="H24" s="399">
        <f t="shared" si="10"/>
        <v>1279.0900000000001</v>
      </c>
      <c r="I24" s="399">
        <f t="shared" si="10"/>
        <v>103238.05000000002</v>
      </c>
      <c r="J24" s="399">
        <f t="shared" si="10"/>
        <v>267871.23999999993</v>
      </c>
      <c r="K24" s="399">
        <f t="shared" si="10"/>
        <v>0</v>
      </c>
      <c r="L24" s="399">
        <f t="shared" si="10"/>
        <v>0</v>
      </c>
      <c r="M24" s="399">
        <f t="shared" si="10"/>
        <v>0</v>
      </c>
      <c r="N24" s="399">
        <f t="shared" si="10"/>
        <v>0</v>
      </c>
      <c r="O24" s="400">
        <f t="shared" si="10"/>
        <v>0</v>
      </c>
    </row>
    <row r="25" spans="1:20" x14ac:dyDescent="0.3">
      <c r="A25" s="375"/>
      <c r="B25" s="401" t="s">
        <v>496</v>
      </c>
      <c r="C25" s="403"/>
      <c r="D25" s="403">
        <f>SUMIFS(Aut_Faturamento_Zig!$F:$F,Aut_Faturamento_Zig!$D:$D,CMV_Manual!D$2,Aut_Faturamento_Zig!$E:$E,"Alimentos")</f>
        <v>0</v>
      </c>
      <c r="E25" s="403">
        <f>SUMIFS(Aut_Faturamento_Zig!$F:$F,Aut_Faturamento_Zig!$D:$D,CMV_Manual!E$2,Aut_Faturamento_Zig!$E:$E,"Alimentos")</f>
        <v>0</v>
      </c>
      <c r="F25" s="403">
        <f>SUMIFS(Aut_Faturamento_Zig!$F:$F,Aut_Faturamento_Zig!$D:$D,CMV_Manual!F$2,Aut_Faturamento_Zig!$E:$E,"Alimentos")</f>
        <v>0</v>
      </c>
      <c r="G25" s="403">
        <f>SUMIFS(Aut_Faturamento_Zig!$F:$F,Aut_Faturamento_Zig!$D:$D,CMV_Manual!G$2,Aut_Faturamento_Zig!$E:$E,"Alimentos")</f>
        <v>0</v>
      </c>
      <c r="H25" s="403">
        <f>SUMIFS(Aut_Faturamento_Zig!$F:$F,Aut_Faturamento_Zig!$D:$D,CMV_Manual!H$2,Aut_Faturamento_Zig!$E:$E,"Alimentos")</f>
        <v>0</v>
      </c>
      <c r="I25" s="403">
        <f>SUMIFS(Aut_Faturamento_Zig!$F:$F,Aut_Faturamento_Zig!$D:$D,CMV_Manual!I$2,Aut_Faturamento_Zig!$E:$E,"Alimentos")</f>
        <v>0</v>
      </c>
      <c r="J25" s="403">
        <f>SUMIFS(Aut_Faturamento_Zig!$F:$F,Aut_Faturamento_Zig!$D:$D,CMV_Manual!J$2,Aut_Faturamento_Zig!$E:$E,"Alimentos")</f>
        <v>120768</v>
      </c>
      <c r="K25" s="403">
        <f>SUMIFS(Aut_Faturamento_Zig!$F:$F,Aut_Faturamento_Zig!$D:$D,CMV_Manual!K$2,Aut_Faturamento_Zig!$E:$E,"Alimentos")</f>
        <v>0</v>
      </c>
      <c r="L25" s="403">
        <f>SUMIFS(Aut_Faturamento_Zig!$F:$F,Aut_Faturamento_Zig!$D:$D,CMV_Manual!L$2,Aut_Faturamento_Zig!$E:$E,"Alimentos")</f>
        <v>0</v>
      </c>
      <c r="M25" s="403">
        <f>SUMIFS(Aut_Faturamento_Zig!$F:$F,Aut_Faturamento_Zig!$D:$D,CMV_Manual!M$2,Aut_Faturamento_Zig!$E:$E,"Alimentos")</f>
        <v>0</v>
      </c>
      <c r="N25" s="403">
        <f>SUMIFS(Aut_Faturamento_Zig!$F:$F,Aut_Faturamento_Zig!$D:$D,CMV_Manual!N$2,Aut_Faturamento_Zig!$E:$E,"Alimentos")</f>
        <v>0</v>
      </c>
      <c r="O25" s="404">
        <f>SUMIFS(Aut_Faturamento_Zig!$F:$F,Aut_Faturamento_Zig!$D:$D,CMV_Manual!O$2,Aut_Faturamento_Zig!$E:$E,"Alimentos")</f>
        <v>0</v>
      </c>
      <c r="Q25" s="405"/>
      <c r="R25" s="406"/>
    </row>
    <row r="26" spans="1:20" x14ac:dyDescent="0.3">
      <c r="A26" s="375"/>
      <c r="B26" s="401" t="s">
        <v>497</v>
      </c>
      <c r="C26" s="403"/>
      <c r="D26" s="403">
        <f>SUMIFS(Aut_Faturamento_Zig!$F:$F,Aut_Faturamento_Zig!$D:$D,CMV_Manual!D$2,Aut_Faturamento_Zig!$E:$E,"Bebidas")</f>
        <v>0</v>
      </c>
      <c r="E26" s="403">
        <f>SUMIFS(Aut_Faturamento_Zig!$F:$F,Aut_Faturamento_Zig!$D:$D,CMV_Manual!E$2,Aut_Faturamento_Zig!$E:$E,"Bebidas")</f>
        <v>0</v>
      </c>
      <c r="F26" s="403">
        <f>SUMIFS(Aut_Faturamento_Zig!$F:$F,Aut_Faturamento_Zig!$D:$D,CMV_Manual!F$2,Aut_Faturamento_Zig!$E:$E,"Bebidas")</f>
        <v>0</v>
      </c>
      <c r="G26" s="403">
        <f>SUMIFS(Aut_Faturamento_Zig!$F:$F,Aut_Faturamento_Zig!$D:$D,CMV_Manual!G$2,Aut_Faturamento_Zig!$E:$E,"Bebidas")</f>
        <v>0</v>
      </c>
      <c r="H26" s="403">
        <f>SUMIFS(Aut_Faturamento_Zig!$F:$F,Aut_Faturamento_Zig!$D:$D,CMV_Manual!H$2,Aut_Faturamento_Zig!$E:$E,"Bebidas")</f>
        <v>0</v>
      </c>
      <c r="I26" s="403">
        <f>SUMIFS(Aut_Faturamento_Zig!$F:$F,Aut_Faturamento_Zig!$D:$D,CMV_Manual!I$2,Aut_Faturamento_Zig!$E:$E,"Bebidas")</f>
        <v>0</v>
      </c>
      <c r="J26" s="403">
        <f>SUMIFS(Aut_Faturamento_Zig!$F:$F,Aut_Faturamento_Zig!$D:$D,CMV_Manual!J$2,Aut_Faturamento_Zig!$E:$E,"Bebidas")</f>
        <v>137627.70000000001</v>
      </c>
      <c r="K26" s="403">
        <f>SUMIFS(Aut_Faturamento_Zig!$F:$F,Aut_Faturamento_Zig!$D:$D,CMV_Manual!K$2,Aut_Faturamento_Zig!$E:$E,"Bebidas")</f>
        <v>0</v>
      </c>
      <c r="L26" s="403">
        <f>SUMIFS(Aut_Faturamento_Zig!$F:$F,Aut_Faturamento_Zig!$D:$D,CMV_Manual!L$2,Aut_Faturamento_Zig!$E:$E,"Bebidas")</f>
        <v>0</v>
      </c>
      <c r="M26" s="403">
        <f>SUMIFS(Aut_Faturamento_Zig!$F:$F,Aut_Faturamento_Zig!$D:$D,CMV_Manual!M$2,Aut_Faturamento_Zig!$E:$E,"Bebidas")</f>
        <v>0</v>
      </c>
      <c r="N26" s="403">
        <f>SUMIFS(Aut_Faturamento_Zig!$F:$F,Aut_Faturamento_Zig!$D:$D,CMV_Manual!N$2,Aut_Faturamento_Zig!$E:$E,"Bebidas")</f>
        <v>0</v>
      </c>
      <c r="O26" s="404">
        <f>SUMIFS(Aut_Faturamento_Zig!$F:$F,Aut_Faturamento_Zig!$D:$D,CMV_Manual!O$2,Aut_Faturamento_Zig!$E:$E,"Bebidas")</f>
        <v>0</v>
      </c>
      <c r="P26" s="397"/>
      <c r="Q26" s="405"/>
      <c r="R26" s="385"/>
    </row>
    <row r="27" spans="1:20" x14ac:dyDescent="0.3">
      <c r="A27" s="375"/>
      <c r="B27" s="401" t="s">
        <v>498</v>
      </c>
      <c r="C27" s="403"/>
      <c r="D27" s="403">
        <f>SUMIFS(Aut_Eventos_AeB!$D:$D,Aut_Eventos_AeB!$E:$E,CMV_Manual!$D2)</f>
        <v>0</v>
      </c>
      <c r="E27" s="403">
        <f>SUMIFS(Aut_Eventos_AeB!$D:$D,Aut_Eventos_AeB!$E:$E,CMV_Manual!$E2)</f>
        <v>0</v>
      </c>
      <c r="F27" s="403">
        <f>SUMIFS(Aut_Eventos_AeB!$D:$D,Aut_Eventos_AeB!$E:$E,CMV_Manual!$F2)</f>
        <v>0</v>
      </c>
      <c r="G27" s="403">
        <f>SUMIFS(Aut_Eventos_AeB!$D:$D,Aut_Eventos_AeB!$E:$E,CMV_Manual!$G2)</f>
        <v>0</v>
      </c>
      <c r="H27" s="403">
        <f>SUMIFS(Aut_Eventos_AeB!$D:$D,Aut_Eventos_AeB!$E:$E,CMV_Manual!$H2)</f>
        <v>0</v>
      </c>
      <c r="I27" s="403">
        <f>SUMIFS(Aut_Eventos_AeB!$D:$D,Aut_Eventos_AeB!$E:$E,CMV_Manual!$I2)</f>
        <v>0</v>
      </c>
      <c r="J27" s="403">
        <f>SUMIFS(Aut_Eventos_AeB!$D:$D,Aut_Eventos_AeB!$E:$E,CMV_Manual!$J2)</f>
        <v>0</v>
      </c>
      <c r="K27" s="403">
        <f>SUMIFS(Aut_Eventos_AeB!$D:$D,Aut_Eventos_AeB!$E:$E,CMV_Manual!$K2)</f>
        <v>0</v>
      </c>
      <c r="L27" s="403">
        <f>SUMIFS(Aut_Eventos_AeB!$D:$D,Aut_Eventos_AeB!$E:$E,CMV_Manual!$L2)</f>
        <v>0</v>
      </c>
      <c r="M27" s="403">
        <f>SUMIFS(Aut_Eventos_AeB!$D:$D,Aut_Eventos_AeB!$E:$E,CMV_Manual!$M2)</f>
        <v>0</v>
      </c>
      <c r="N27" s="403">
        <f>SUMIFS(Aut_Eventos_AeB!$D:$D,Aut_Eventos_AeB!$E:$E,CMV_Manual!$N2)</f>
        <v>0</v>
      </c>
      <c r="O27" s="404">
        <f>SUMIFS(Aut_Eventos_AeB!$D:$D,Aut_Eventos_AeB!$E:$E,CMV_Manual!$O2)</f>
        <v>0</v>
      </c>
      <c r="Q27" s="385"/>
      <c r="R27" s="385"/>
    </row>
    <row r="28" spans="1:20" x14ac:dyDescent="0.3">
      <c r="A28" s="375"/>
      <c r="B28" s="401" t="s">
        <v>29</v>
      </c>
      <c r="C28" s="403"/>
      <c r="D28" s="403">
        <f>SUMIFS(Aut_Faturamento_Zig_Delivery!$F:$F,Aut_Faturamento_Zig_Delivery!$D:$D,CMV_Manual!D$2)</f>
        <v>0</v>
      </c>
      <c r="E28" s="403">
        <f>SUMIFS(Aut_Faturamento_Zig_Delivery!$F:$F,Aut_Faturamento_Zig_Delivery!$D:$D,CMV_Manual!E$2)</f>
        <v>0</v>
      </c>
      <c r="F28" s="403">
        <f>SUMIFS(Aut_Faturamento_Zig_Delivery!$F:$F,Aut_Faturamento_Zig_Delivery!$D:$D,CMV_Manual!F$2)</f>
        <v>0</v>
      </c>
      <c r="G28" s="402">
        <f>SUMIFS(Aut_Faturamento_Zig_Delivery!$F:$F,Aut_Faturamento_Zig_Delivery!$D:$D,CMV_Manual!G$2)</f>
        <v>0</v>
      </c>
      <c r="H28" s="402">
        <f>SUMIFS(Aut_Faturamento_Zig_Delivery!$F:$F,Aut_Faturamento_Zig_Delivery!$D:$D,CMV_Manual!H$2)</f>
        <v>0</v>
      </c>
      <c r="I28" s="402">
        <f>SUMIFS(Aut_Faturamento_Zig_Delivery!$F:$F,Aut_Faturamento_Zig_Delivery!$D:$D,CMV_Manual!I$2)</f>
        <v>0</v>
      </c>
      <c r="J28" s="402">
        <f>SUMIFS(Aut_Faturamento_Zig_Delivery!$F:$F,Aut_Faturamento_Zig_Delivery!$D:$D,CMV_Manual!J$2)</f>
        <v>0</v>
      </c>
      <c r="K28" s="402">
        <f>SUMIFS(Aut_Faturamento_Zig_Delivery!$F:$F,Aut_Faturamento_Zig_Delivery!$D:$D,CMV_Manual!K$2)</f>
        <v>0</v>
      </c>
      <c r="L28" s="402">
        <f>SUMIFS(Aut_Faturamento_Zig_Delivery!$F:$F,Aut_Faturamento_Zig_Delivery!$D:$D,CMV_Manual!L$2)</f>
        <v>0</v>
      </c>
      <c r="M28" s="402">
        <f>SUMIFS(Aut_Faturamento_Zig_Delivery!$F:$F,Aut_Faturamento_Zig_Delivery!$D:$D,CMV_Manual!M$2)</f>
        <v>0</v>
      </c>
      <c r="N28" s="402">
        <f>SUMIFS(Aut_Faturamento_Zig_Delivery!$F:$F,Aut_Faturamento_Zig_Delivery!$D:$D,CMV_Manual!N$2)</f>
        <v>0</v>
      </c>
      <c r="O28" s="407">
        <f>SUMIFS(Aut_Faturamento_Zig_Delivery!$F:$F,Aut_Faturamento_Zig_Delivery!$D:$D,CMV_Manual!O$2)</f>
        <v>0</v>
      </c>
      <c r="Q28" s="385"/>
      <c r="R28" s="304"/>
    </row>
    <row r="29" spans="1:20" x14ac:dyDescent="0.3">
      <c r="A29" s="375"/>
      <c r="B29" s="408" t="s">
        <v>499</v>
      </c>
      <c r="C29" s="434">
        <f t="shared" ref="C29:O29" si="11">SUM(C25:C28)</f>
        <v>0</v>
      </c>
      <c r="D29" s="434">
        <f t="shared" si="11"/>
        <v>0</v>
      </c>
      <c r="E29" s="434">
        <f t="shared" si="11"/>
        <v>0</v>
      </c>
      <c r="F29" s="409">
        <f t="shared" si="11"/>
        <v>0</v>
      </c>
      <c r="G29" s="409">
        <f t="shared" si="11"/>
        <v>0</v>
      </c>
      <c r="H29" s="409">
        <f t="shared" si="11"/>
        <v>0</v>
      </c>
      <c r="I29" s="409">
        <f t="shared" si="11"/>
        <v>0</v>
      </c>
      <c r="J29" s="409">
        <f t="shared" si="11"/>
        <v>258395.7</v>
      </c>
      <c r="K29" s="409">
        <f t="shared" si="11"/>
        <v>0</v>
      </c>
      <c r="L29" s="409">
        <f t="shared" si="11"/>
        <v>0</v>
      </c>
      <c r="M29" s="409">
        <f t="shared" si="11"/>
        <v>0</v>
      </c>
      <c r="N29" s="409">
        <f t="shared" si="11"/>
        <v>0</v>
      </c>
      <c r="O29" s="410">
        <f t="shared" si="11"/>
        <v>0</v>
      </c>
      <c r="Q29" s="385"/>
      <c r="R29" s="304"/>
    </row>
    <row r="30" spans="1:20" x14ac:dyDescent="0.3">
      <c r="A30" s="375"/>
      <c r="B30" s="411" t="s">
        <v>500</v>
      </c>
      <c r="C30" s="412" t="str">
        <f t="shared" ref="C30:O30" si="12">IFERROR(C24/C29,"-")</f>
        <v>-</v>
      </c>
      <c r="D30" s="412" t="str">
        <f t="shared" si="12"/>
        <v>-</v>
      </c>
      <c r="E30" s="412" t="str">
        <f t="shared" si="12"/>
        <v>-</v>
      </c>
      <c r="F30" s="412" t="str">
        <f t="shared" si="12"/>
        <v>-</v>
      </c>
      <c r="G30" s="412" t="str">
        <f t="shared" si="12"/>
        <v>-</v>
      </c>
      <c r="H30" s="412" t="str">
        <f t="shared" si="12"/>
        <v>-</v>
      </c>
      <c r="I30" s="412" t="str">
        <f t="shared" si="12"/>
        <v>-</v>
      </c>
      <c r="J30" s="412">
        <f t="shared" si="12"/>
        <v>1.0366706566711439</v>
      </c>
      <c r="K30" s="412" t="str">
        <f t="shared" si="12"/>
        <v>-</v>
      </c>
      <c r="L30" s="412" t="str">
        <f t="shared" si="12"/>
        <v>-</v>
      </c>
      <c r="M30" s="412" t="str">
        <f t="shared" si="12"/>
        <v>-</v>
      </c>
      <c r="N30" s="412" t="str">
        <f t="shared" si="12"/>
        <v>-</v>
      </c>
      <c r="O30" s="413" t="str">
        <f t="shared" si="12"/>
        <v>-</v>
      </c>
    </row>
    <row r="31" spans="1:20" ht="6" customHeight="1" x14ac:dyDescent="0.3">
      <c r="A31" s="375"/>
      <c r="B31" s="411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5"/>
    </row>
    <row r="32" spans="1:20" x14ac:dyDescent="0.3">
      <c r="B32" s="376" t="s">
        <v>501</v>
      </c>
      <c r="C32" s="354" t="str">
        <f t="shared" ref="C32:J32" si="13">IFERROR((C22)/(C25+(C27*50%)),"-")</f>
        <v>-</v>
      </c>
      <c r="D32" s="470" t="str">
        <f t="shared" si="13"/>
        <v>-</v>
      </c>
      <c r="E32" s="470" t="str">
        <f t="shared" si="13"/>
        <v>-</v>
      </c>
      <c r="F32" s="470" t="str">
        <f t="shared" si="13"/>
        <v>-</v>
      </c>
      <c r="G32" s="354" t="str">
        <f t="shared" si="13"/>
        <v>-</v>
      </c>
      <c r="H32" s="354" t="str">
        <f t="shared" si="13"/>
        <v>-</v>
      </c>
      <c r="I32" s="354" t="str">
        <f t="shared" si="13"/>
        <v>-</v>
      </c>
      <c r="J32" s="354">
        <f t="shared" si="13"/>
        <v>1.2008484035506088</v>
      </c>
      <c r="K32" s="416" t="str">
        <f t="shared" ref="K32:O33" si="14">IFERROR(K22/K25,"-")</f>
        <v>-</v>
      </c>
      <c r="L32" s="416" t="str">
        <f t="shared" si="14"/>
        <v>-</v>
      </c>
      <c r="M32" s="416" t="str">
        <f t="shared" si="14"/>
        <v>-</v>
      </c>
      <c r="N32" s="416" t="str">
        <f t="shared" si="14"/>
        <v>-</v>
      </c>
      <c r="O32" s="417" t="str">
        <f t="shared" si="14"/>
        <v>-</v>
      </c>
    </row>
    <row r="33" spans="2:15" x14ac:dyDescent="0.3">
      <c r="B33" s="376" t="s">
        <v>502</v>
      </c>
      <c r="C33" s="418" t="str">
        <f t="shared" ref="C33:J33" si="15">IFERROR(C23/(C26+(C27*50%)),"-")</f>
        <v>-</v>
      </c>
      <c r="D33" s="471" t="str">
        <f t="shared" si="15"/>
        <v>-</v>
      </c>
      <c r="E33" s="471" t="str">
        <f t="shared" si="15"/>
        <v>-</v>
      </c>
      <c r="F33" s="471" t="str">
        <f t="shared" si="15"/>
        <v>-</v>
      </c>
      <c r="G33" s="418" t="str">
        <f t="shared" si="15"/>
        <v>-</v>
      </c>
      <c r="H33" s="418" t="str">
        <f t="shared" si="15"/>
        <v>-</v>
      </c>
      <c r="I33" s="418" t="str">
        <f t="shared" si="15"/>
        <v>-</v>
      </c>
      <c r="J33" s="418">
        <f t="shared" si="15"/>
        <v>0.89260504971019639</v>
      </c>
      <c r="K33" s="416" t="str">
        <f t="shared" si="14"/>
        <v>-</v>
      </c>
      <c r="L33" s="416" t="str">
        <f t="shared" si="14"/>
        <v>-</v>
      </c>
      <c r="M33" s="416" t="str">
        <f t="shared" si="14"/>
        <v>-</v>
      </c>
      <c r="N33" s="416" t="str">
        <f t="shared" si="14"/>
        <v>-</v>
      </c>
      <c r="O33" s="417" t="str">
        <f t="shared" si="14"/>
        <v>-</v>
      </c>
    </row>
    <row r="34" spans="2:15" x14ac:dyDescent="0.3">
      <c r="B34" s="398" t="s">
        <v>503</v>
      </c>
      <c r="C34" s="419" t="e">
        <f t="shared" ref="C34:O34" si="16">C24/C29</f>
        <v>#DIV/0!</v>
      </c>
      <c r="D34" s="419" t="e">
        <f t="shared" si="16"/>
        <v>#DIV/0!</v>
      </c>
      <c r="E34" s="419" t="e">
        <f t="shared" si="16"/>
        <v>#DIV/0!</v>
      </c>
      <c r="F34" s="419" t="e">
        <f t="shared" si="16"/>
        <v>#DIV/0!</v>
      </c>
      <c r="G34" s="419" t="e">
        <f t="shared" si="16"/>
        <v>#DIV/0!</v>
      </c>
      <c r="H34" s="419" t="e">
        <f t="shared" si="16"/>
        <v>#DIV/0!</v>
      </c>
      <c r="I34" s="419" t="e">
        <f t="shared" si="16"/>
        <v>#DIV/0!</v>
      </c>
      <c r="J34" s="419">
        <f t="shared" si="16"/>
        <v>1.0366706566711439</v>
      </c>
      <c r="K34" s="419" t="e">
        <f t="shared" si="16"/>
        <v>#DIV/0!</v>
      </c>
      <c r="L34" s="419" t="e">
        <f t="shared" si="16"/>
        <v>#DIV/0!</v>
      </c>
      <c r="M34" s="419" t="e">
        <f t="shared" si="16"/>
        <v>#DIV/0!</v>
      </c>
      <c r="N34" s="419" t="e">
        <f t="shared" si="16"/>
        <v>#DIV/0!</v>
      </c>
      <c r="O34" s="420" t="e">
        <f t="shared" si="16"/>
        <v>#DIV/0!</v>
      </c>
    </row>
    <row r="36" spans="2:15" x14ac:dyDescent="0.3">
      <c r="B36" s="421"/>
    </row>
    <row r="37" spans="2:15" x14ac:dyDescent="0.3">
      <c r="B37" s="42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B1:T83"/>
  <sheetViews>
    <sheetView showGridLines="0" zoomScale="80" zoomScaleNormal="80" workbookViewId="0">
      <selection activeCell="C59" sqref="C59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16.6640625" bestFit="1" customWidth="1"/>
    <col min="4" max="4" width="25" bestFit="1" customWidth="1"/>
    <col min="5" max="5" width="18.33203125" bestFit="1" customWidth="1"/>
    <col min="6" max="6" width="18.77734375" bestFit="1" customWidth="1"/>
    <col min="7" max="7" width="19.109375" bestFit="1" customWidth="1"/>
    <col min="8" max="12" width="13.6640625" bestFit="1" customWidth="1"/>
    <col min="13" max="13" width="21.77734375" bestFit="1" customWidth="1"/>
    <col min="14" max="19" width="13.6640625" bestFit="1" customWidth="1"/>
    <col min="20" max="20" width="19.109375" bestFit="1" customWidth="1"/>
  </cols>
  <sheetData>
    <row r="1" spans="2:20" s="293" customFormat="1" ht="26.4" customHeight="1" x14ac:dyDescent="0.4">
      <c r="B1" s="489" t="s">
        <v>0</v>
      </c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</row>
    <row r="3" spans="2:20" x14ac:dyDescent="0.3">
      <c r="B3" s="294" t="s">
        <v>504</v>
      </c>
      <c r="C3" s="294" t="s">
        <v>500</v>
      </c>
      <c r="D3" s="294">
        <v>1</v>
      </c>
      <c r="E3" s="294">
        <f>D3+1</f>
        <v>2</v>
      </c>
      <c r="F3" s="294">
        <v>3</v>
      </c>
      <c r="G3" s="294" t="s">
        <v>505</v>
      </c>
      <c r="H3" s="294">
        <f>F3+1</f>
        <v>4</v>
      </c>
      <c r="I3" s="294">
        <f>H3+1</f>
        <v>5</v>
      </c>
      <c r="J3" s="294">
        <v>6</v>
      </c>
      <c r="K3" s="294" t="s">
        <v>506</v>
      </c>
      <c r="L3" s="294">
        <v>7</v>
      </c>
      <c r="M3" s="294">
        <f>L3+1</f>
        <v>8</v>
      </c>
      <c r="N3" s="294">
        <v>9</v>
      </c>
      <c r="O3" s="294" t="s">
        <v>507</v>
      </c>
      <c r="P3" s="294">
        <v>10</v>
      </c>
      <c r="Q3" s="294">
        <f>P3+1</f>
        <v>11</v>
      </c>
      <c r="R3" s="294">
        <v>12</v>
      </c>
      <c r="S3" s="294" t="s">
        <v>508</v>
      </c>
      <c r="T3" s="294" t="s">
        <v>509</v>
      </c>
    </row>
    <row r="4" spans="2:20" x14ac:dyDescent="0.3">
      <c r="B4" s="295" t="s">
        <v>510</v>
      </c>
      <c r="C4" s="296"/>
      <c r="D4" s="297">
        <f t="shared" ref="D4:S4" si="0">SUM(D5:D8)</f>
        <v>0</v>
      </c>
      <c r="E4" s="297">
        <f t="shared" si="0"/>
        <v>0</v>
      </c>
      <c r="F4" s="297">
        <f t="shared" si="0"/>
        <v>0</v>
      </c>
      <c r="G4" s="298">
        <f t="shared" si="0"/>
        <v>0</v>
      </c>
      <c r="H4" s="299">
        <f t="shared" si="0"/>
        <v>0</v>
      </c>
      <c r="I4" s="299">
        <f t="shared" si="0"/>
        <v>0</v>
      </c>
      <c r="J4" s="299">
        <f t="shared" si="0"/>
        <v>0</v>
      </c>
      <c r="K4" s="298">
        <f t="shared" si="0"/>
        <v>0</v>
      </c>
      <c r="L4" s="299">
        <f t="shared" si="0"/>
        <v>13500</v>
      </c>
      <c r="M4" s="299">
        <f t="shared" si="0"/>
        <v>0</v>
      </c>
      <c r="N4" s="299">
        <f t="shared" si="0"/>
        <v>0</v>
      </c>
      <c r="O4" s="298">
        <f t="shared" si="0"/>
        <v>13500</v>
      </c>
      <c r="P4" s="299">
        <f t="shared" si="0"/>
        <v>0</v>
      </c>
      <c r="Q4" s="299">
        <f t="shared" si="0"/>
        <v>0</v>
      </c>
      <c r="R4" s="299">
        <f t="shared" si="0"/>
        <v>0</v>
      </c>
      <c r="S4" s="298">
        <f t="shared" si="0"/>
        <v>0</v>
      </c>
      <c r="T4" s="300">
        <f t="shared" ref="T4:T17" si="1">SUM(G4,K4,O4,S4)</f>
        <v>13500</v>
      </c>
    </row>
    <row r="5" spans="2:20" outlineLevel="1" x14ac:dyDescent="0.3">
      <c r="B5" s="301" t="s">
        <v>25</v>
      </c>
      <c r="D5" s="302">
        <f>DRE!J15</f>
        <v>0</v>
      </c>
      <c r="E5" s="302">
        <f>DRE!M15</f>
        <v>0</v>
      </c>
      <c r="F5" s="302">
        <f>DRE!P15</f>
        <v>0</v>
      </c>
      <c r="G5" s="303">
        <f>SUM(D5:F5)</f>
        <v>0</v>
      </c>
      <c r="H5" s="302">
        <f>DRE!S15</f>
        <v>0</v>
      </c>
      <c r="I5" s="302">
        <f>DRE!V15</f>
        <v>0</v>
      </c>
      <c r="J5" s="304">
        <f>DRE!Y15</f>
        <v>0</v>
      </c>
      <c r="K5" s="303">
        <f>SUM(H5:J5)</f>
        <v>0</v>
      </c>
      <c r="L5" s="304">
        <f>DRE!AB15</f>
        <v>13500</v>
      </c>
      <c r="M5" s="304">
        <f>DRE!AE15</f>
        <v>0</v>
      </c>
      <c r="N5" s="304">
        <f>DRE!AH15</f>
        <v>0</v>
      </c>
      <c r="O5" s="303">
        <f>SUM(L5:N5)</f>
        <v>13500</v>
      </c>
      <c r="P5" s="304">
        <f>DRE!AK15</f>
        <v>0</v>
      </c>
      <c r="Q5" s="304">
        <f>DRE!AN15</f>
        <v>0</v>
      </c>
      <c r="R5" s="304">
        <f>DRE!AQ15</f>
        <v>0</v>
      </c>
      <c r="S5" s="303">
        <f>SUM(P5:R5)</f>
        <v>0</v>
      </c>
      <c r="T5" s="305">
        <f t="shared" si="1"/>
        <v>13500</v>
      </c>
    </row>
    <row r="6" spans="2:20" outlineLevel="1" x14ac:dyDescent="0.3">
      <c r="B6" s="301" t="s">
        <v>26</v>
      </c>
      <c r="D6" s="302">
        <f>DRE!J16</f>
        <v>0</v>
      </c>
      <c r="E6" s="302">
        <f>DRE!M16</f>
        <v>0</v>
      </c>
      <c r="F6" s="302">
        <f>DRE!P16</f>
        <v>0</v>
      </c>
      <c r="G6" s="303">
        <f>SUM(D6:F6)</f>
        <v>0</v>
      </c>
      <c r="H6" s="302">
        <f>DRE!S16</f>
        <v>0</v>
      </c>
      <c r="I6" s="302">
        <f>DRE!V16</f>
        <v>0</v>
      </c>
      <c r="J6" s="304">
        <f>DRE!Y16</f>
        <v>0</v>
      </c>
      <c r="K6" s="303">
        <f>SUM(H6:J6)</f>
        <v>0</v>
      </c>
      <c r="L6" s="304">
        <f>DRE!AB16</f>
        <v>0</v>
      </c>
      <c r="M6" s="304">
        <f>DRE!AE16</f>
        <v>0</v>
      </c>
      <c r="N6" s="304">
        <f>DRE!AH16</f>
        <v>0</v>
      </c>
      <c r="O6" s="303">
        <f>SUM(L6:N6)</f>
        <v>0</v>
      </c>
      <c r="P6" s="304">
        <f>DRE!AK16</f>
        <v>0</v>
      </c>
      <c r="Q6" s="304">
        <f>DRE!AN16</f>
        <v>0</v>
      </c>
      <c r="R6" s="304">
        <f>DRE!AQ16</f>
        <v>0</v>
      </c>
      <c r="S6" s="303">
        <f>SUM(P6:R6)</f>
        <v>0</v>
      </c>
      <c r="T6" s="305">
        <f t="shared" si="1"/>
        <v>0</v>
      </c>
    </row>
    <row r="7" spans="2:20" outlineLevel="1" x14ac:dyDescent="0.3">
      <c r="B7" s="301" t="s">
        <v>27</v>
      </c>
      <c r="D7" s="302">
        <f>DRE!J17</f>
        <v>0</v>
      </c>
      <c r="E7" s="302">
        <f>DRE!M17</f>
        <v>0</v>
      </c>
      <c r="F7" s="302">
        <f>DRE!P17</f>
        <v>0</v>
      </c>
      <c r="G7" s="303">
        <f>SUM(D7:F7)</f>
        <v>0</v>
      </c>
      <c r="H7" s="302">
        <f>DRE!S17</f>
        <v>0</v>
      </c>
      <c r="I7" s="302">
        <f>DRE!V17</f>
        <v>0</v>
      </c>
      <c r="J7" s="304">
        <f>DRE!Y17</f>
        <v>0</v>
      </c>
      <c r="K7" s="303">
        <f>SUM(H7:J7)</f>
        <v>0</v>
      </c>
      <c r="L7" s="304">
        <f>DRE!AB17</f>
        <v>0</v>
      </c>
      <c r="M7" s="304">
        <f>DRE!AE17</f>
        <v>0</v>
      </c>
      <c r="N7" s="304">
        <f>DRE!AH17</f>
        <v>0</v>
      </c>
      <c r="O7" s="303">
        <f>SUM(L7:N7)</f>
        <v>0</v>
      </c>
      <c r="P7" s="304">
        <f>DRE!AK17</f>
        <v>0</v>
      </c>
      <c r="Q7" s="304">
        <f>DRE!AN17</f>
        <v>0</v>
      </c>
      <c r="R7" s="304">
        <f>DRE!AQ17</f>
        <v>0</v>
      </c>
      <c r="S7" s="303">
        <f>SUM(P7:R7)</f>
        <v>0</v>
      </c>
      <c r="T7" s="305">
        <f t="shared" si="1"/>
        <v>0</v>
      </c>
    </row>
    <row r="8" spans="2:20" outlineLevel="1" x14ac:dyDescent="0.3">
      <c r="B8" s="301" t="s">
        <v>18</v>
      </c>
      <c r="D8" s="302">
        <f>DRE!J12</f>
        <v>0</v>
      </c>
      <c r="E8" s="302">
        <f>DRE!M12</f>
        <v>0</v>
      </c>
      <c r="F8" s="302">
        <f>DRE!P12</f>
        <v>0</v>
      </c>
      <c r="G8" s="303">
        <f>SUM(D8:F8)</f>
        <v>0</v>
      </c>
      <c r="H8" s="302">
        <f>DRE!S12</f>
        <v>0</v>
      </c>
      <c r="I8" s="302">
        <f>DRE!V12</f>
        <v>0</v>
      </c>
      <c r="J8" s="304">
        <f>DRE!Y12</f>
        <v>0</v>
      </c>
      <c r="K8" s="303">
        <f>SUM(H8:J8)</f>
        <v>0</v>
      </c>
      <c r="L8" s="304">
        <f>DRE!AB12</f>
        <v>0</v>
      </c>
      <c r="M8" s="304">
        <f>DRE!AE12</f>
        <v>0</v>
      </c>
      <c r="N8" s="304">
        <f>DRE!AH12</f>
        <v>0</v>
      </c>
      <c r="O8" s="303">
        <f>SUM(L8:N8)</f>
        <v>0</v>
      </c>
      <c r="P8" s="304">
        <f>DRE!AK12</f>
        <v>0</v>
      </c>
      <c r="Q8" s="304">
        <f>DRE!AN12</f>
        <v>0</v>
      </c>
      <c r="R8" s="304">
        <f>DRE!AQ12</f>
        <v>0</v>
      </c>
      <c r="S8" s="303">
        <f>SUM(P8:R8)</f>
        <v>0</v>
      </c>
      <c r="T8" s="305">
        <f t="shared" si="1"/>
        <v>0</v>
      </c>
    </row>
    <row r="9" spans="2:20" x14ac:dyDescent="0.3">
      <c r="B9" s="295" t="s">
        <v>511</v>
      </c>
      <c r="C9" s="296"/>
      <c r="D9" s="297">
        <f t="shared" ref="D9:S9" si="2">SUM(D10:D15)-D11</f>
        <v>0</v>
      </c>
      <c r="E9" s="297">
        <f t="shared" si="2"/>
        <v>0</v>
      </c>
      <c r="F9" s="297">
        <f t="shared" si="2"/>
        <v>0</v>
      </c>
      <c r="G9" s="298">
        <f t="shared" si="2"/>
        <v>0</v>
      </c>
      <c r="H9" s="299">
        <f t="shared" si="2"/>
        <v>0</v>
      </c>
      <c r="I9" s="299">
        <f t="shared" si="2"/>
        <v>0</v>
      </c>
      <c r="J9" s="299">
        <f t="shared" si="2"/>
        <v>0</v>
      </c>
      <c r="K9" s="298">
        <f t="shared" si="2"/>
        <v>0</v>
      </c>
      <c r="L9" s="299">
        <f t="shared" si="2"/>
        <v>297765.70000000007</v>
      </c>
      <c r="M9" s="299">
        <f t="shared" si="2"/>
        <v>0</v>
      </c>
      <c r="N9" s="299">
        <f t="shared" si="2"/>
        <v>0</v>
      </c>
      <c r="O9" s="298">
        <f t="shared" si="2"/>
        <v>297765.70000000007</v>
      </c>
      <c r="P9" s="299">
        <f t="shared" si="2"/>
        <v>0</v>
      </c>
      <c r="Q9" s="299">
        <f t="shared" si="2"/>
        <v>0</v>
      </c>
      <c r="R9" s="299">
        <f t="shared" si="2"/>
        <v>0</v>
      </c>
      <c r="S9" s="298">
        <f t="shared" si="2"/>
        <v>0</v>
      </c>
      <c r="T9" s="300">
        <f t="shared" si="1"/>
        <v>297765.70000000007</v>
      </c>
    </row>
    <row r="10" spans="2:20" outlineLevel="1" x14ac:dyDescent="0.3">
      <c r="B10" s="301" t="s">
        <v>23</v>
      </c>
      <c r="D10" s="302">
        <f>DRE!J14</f>
        <v>0</v>
      </c>
      <c r="E10" s="302">
        <f>DRE!M14</f>
        <v>0</v>
      </c>
      <c r="F10" s="302">
        <f>DRE!P14</f>
        <v>0</v>
      </c>
      <c r="G10" s="303">
        <f t="shared" ref="G10:G16" si="3">SUM(D10:F10)</f>
        <v>0</v>
      </c>
      <c r="H10" s="302">
        <f>DRE!S14</f>
        <v>0</v>
      </c>
      <c r="I10" s="302">
        <f>DRE!V14</f>
        <v>0</v>
      </c>
      <c r="J10" s="304">
        <f>DRE!Y14</f>
        <v>0</v>
      </c>
      <c r="K10" s="303">
        <f t="shared" ref="K10:K16" si="4">SUM(H10:J10)</f>
        <v>0</v>
      </c>
      <c r="L10" s="304">
        <f>DRE!AB14</f>
        <v>26850</v>
      </c>
      <c r="M10" s="304">
        <f>DRE!AE14</f>
        <v>0</v>
      </c>
      <c r="N10" s="304">
        <f>DRE!AH14</f>
        <v>0</v>
      </c>
      <c r="O10" s="303">
        <f t="shared" ref="O10:O16" si="5">SUM(L10:N10)</f>
        <v>26850</v>
      </c>
      <c r="P10" s="304">
        <f>DRE!AK14</f>
        <v>0</v>
      </c>
      <c r="Q10" s="304">
        <f>DRE!AN14</f>
        <v>0</v>
      </c>
      <c r="R10" s="304">
        <f>DRE!AQ14</f>
        <v>0</v>
      </c>
      <c r="S10" s="303">
        <f t="shared" ref="S10:S16" si="6">SUM(P10:R10)</f>
        <v>0</v>
      </c>
      <c r="T10" s="305">
        <f t="shared" si="1"/>
        <v>26850</v>
      </c>
    </row>
    <row r="11" spans="2:20" outlineLevel="1" x14ac:dyDescent="0.3">
      <c r="B11" s="301" t="s">
        <v>512</v>
      </c>
      <c r="D11" s="302">
        <f>DRE!J13</f>
        <v>0</v>
      </c>
      <c r="E11" s="302">
        <f>DRE!M13</f>
        <v>0</v>
      </c>
      <c r="F11" s="302">
        <f>DRE!P13</f>
        <v>0</v>
      </c>
      <c r="G11" s="303">
        <f t="shared" si="3"/>
        <v>0</v>
      </c>
      <c r="H11" s="302">
        <f>DRE!S13</f>
        <v>0</v>
      </c>
      <c r="I11" s="302">
        <f>DRE!V13</f>
        <v>0</v>
      </c>
      <c r="J11" s="304">
        <f>DRE!Y13</f>
        <v>0</v>
      </c>
      <c r="K11" s="303">
        <f t="shared" si="4"/>
        <v>0</v>
      </c>
      <c r="L11" s="304">
        <f>DRE!AB13</f>
        <v>29390.720000000001</v>
      </c>
      <c r="M11" s="304">
        <f>DRE!AE13</f>
        <v>0</v>
      </c>
      <c r="N11" s="304">
        <f>DRE!AH13</f>
        <v>0</v>
      </c>
      <c r="O11" s="303">
        <f t="shared" si="5"/>
        <v>29390.720000000001</v>
      </c>
      <c r="P11" s="304">
        <f>DRE!AK13</f>
        <v>0</v>
      </c>
      <c r="Q11" s="304">
        <f>DRE!AN13</f>
        <v>0</v>
      </c>
      <c r="R11" s="304">
        <f>DRE!AQ13</f>
        <v>0</v>
      </c>
      <c r="S11" s="303">
        <f t="shared" si="6"/>
        <v>0</v>
      </c>
      <c r="T11" s="305">
        <f t="shared" si="1"/>
        <v>29390.720000000001</v>
      </c>
    </row>
    <row r="12" spans="2:20" outlineLevel="1" x14ac:dyDescent="0.3">
      <c r="B12" s="301" t="s">
        <v>13</v>
      </c>
      <c r="D12" s="302">
        <f>DRE!J9</f>
        <v>0</v>
      </c>
      <c r="E12" s="302">
        <f>DRE!M9</f>
        <v>0</v>
      </c>
      <c r="F12" s="302">
        <f>DRE!P9</f>
        <v>0</v>
      </c>
      <c r="G12" s="303">
        <f t="shared" si="3"/>
        <v>0</v>
      </c>
      <c r="H12" s="302">
        <f>DRE!S9</f>
        <v>0</v>
      </c>
      <c r="I12" s="302">
        <f>DRE!V9</f>
        <v>0</v>
      </c>
      <c r="J12" s="304">
        <f>DRE!Y9</f>
        <v>0</v>
      </c>
      <c r="K12" s="303">
        <f t="shared" si="4"/>
        <v>0</v>
      </c>
      <c r="L12" s="304">
        <f>DRE!AB9</f>
        <v>120768</v>
      </c>
      <c r="M12" s="304">
        <f>DRE!AE9</f>
        <v>0</v>
      </c>
      <c r="N12" s="304">
        <f>DRE!AH9</f>
        <v>0</v>
      </c>
      <c r="O12" s="303">
        <f t="shared" si="5"/>
        <v>120768</v>
      </c>
      <c r="P12" s="304">
        <f>DRE!AK9</f>
        <v>0</v>
      </c>
      <c r="Q12" s="304">
        <f>DRE!AN9</f>
        <v>0</v>
      </c>
      <c r="R12" s="304">
        <f>DRE!AQ9</f>
        <v>0</v>
      </c>
      <c r="S12" s="303">
        <f t="shared" si="6"/>
        <v>0</v>
      </c>
      <c r="T12" s="305">
        <f t="shared" si="1"/>
        <v>120768</v>
      </c>
    </row>
    <row r="13" spans="2:20" outlineLevel="1" x14ac:dyDescent="0.3">
      <c r="B13" s="301" t="s">
        <v>16</v>
      </c>
      <c r="D13" s="302">
        <f>DRE!J10</f>
        <v>0</v>
      </c>
      <c r="E13" s="302">
        <f>DRE!M10</f>
        <v>0</v>
      </c>
      <c r="F13" s="302">
        <f>DRE!P10</f>
        <v>0</v>
      </c>
      <c r="G13" s="303">
        <f t="shared" si="3"/>
        <v>0</v>
      </c>
      <c r="H13" s="302">
        <f>DRE!S10</f>
        <v>0</v>
      </c>
      <c r="I13" s="302">
        <f>DRE!V10</f>
        <v>0</v>
      </c>
      <c r="J13" s="304">
        <f>DRE!Y10</f>
        <v>0</v>
      </c>
      <c r="K13" s="303">
        <f t="shared" si="4"/>
        <v>0</v>
      </c>
      <c r="L13" s="304">
        <f>DRE!AB10</f>
        <v>137627.70000000001</v>
      </c>
      <c r="M13" s="304">
        <f>DRE!AE10</f>
        <v>0</v>
      </c>
      <c r="N13" s="304">
        <f>DRE!AH10</f>
        <v>0</v>
      </c>
      <c r="O13" s="303">
        <f t="shared" si="5"/>
        <v>137627.70000000001</v>
      </c>
      <c r="P13" s="304">
        <f>DRE!AK10</f>
        <v>0</v>
      </c>
      <c r="Q13" s="304">
        <f>DRE!AN10</f>
        <v>0</v>
      </c>
      <c r="R13" s="304">
        <f>DRE!AQ10</f>
        <v>0</v>
      </c>
      <c r="S13" s="303">
        <f t="shared" si="6"/>
        <v>0</v>
      </c>
      <c r="T13" s="305">
        <f t="shared" si="1"/>
        <v>137627.70000000001</v>
      </c>
    </row>
    <row r="14" spans="2:20" outlineLevel="1" x14ac:dyDescent="0.3">
      <c r="B14" s="301" t="s">
        <v>17</v>
      </c>
      <c r="D14" s="302">
        <f>DRE!J11</f>
        <v>0</v>
      </c>
      <c r="E14" s="302">
        <f>DRE!M11</f>
        <v>0</v>
      </c>
      <c r="F14" s="302">
        <f>DRE!P11</f>
        <v>0</v>
      </c>
      <c r="G14" s="303">
        <f t="shared" si="3"/>
        <v>0</v>
      </c>
      <c r="H14" s="302">
        <f>DRE!S11</f>
        <v>0</v>
      </c>
      <c r="I14" s="302">
        <f>DRE!V11</f>
        <v>0</v>
      </c>
      <c r="J14" s="304">
        <f>DRE!Y11</f>
        <v>0</v>
      </c>
      <c r="K14" s="303">
        <f t="shared" si="4"/>
        <v>0</v>
      </c>
      <c r="L14" s="304">
        <f>DRE!AB11</f>
        <v>12520</v>
      </c>
      <c r="M14" s="304">
        <f>DRE!AE11</f>
        <v>0</v>
      </c>
      <c r="N14" s="304">
        <f>DRE!AH11</f>
        <v>0</v>
      </c>
      <c r="O14" s="303">
        <f t="shared" si="5"/>
        <v>12520</v>
      </c>
      <c r="P14" s="304">
        <f>DRE!AK11</f>
        <v>0</v>
      </c>
      <c r="Q14" s="304">
        <f>DRE!AN11</f>
        <v>0</v>
      </c>
      <c r="R14" s="304">
        <f>DRE!AQ11</f>
        <v>0</v>
      </c>
      <c r="S14" s="303">
        <f t="shared" si="6"/>
        <v>0</v>
      </c>
      <c r="T14" s="305">
        <f t="shared" si="1"/>
        <v>12520</v>
      </c>
    </row>
    <row r="15" spans="2:20" outlineLevel="1" x14ac:dyDescent="0.3">
      <c r="B15" s="301" t="s">
        <v>29</v>
      </c>
      <c r="D15" s="302">
        <f>DRE!J18</f>
        <v>0</v>
      </c>
      <c r="E15" s="302">
        <f>DRE!M18</f>
        <v>0</v>
      </c>
      <c r="F15" s="302">
        <f>DRE!P18</f>
        <v>0</v>
      </c>
      <c r="G15" s="303">
        <f t="shared" si="3"/>
        <v>0</v>
      </c>
      <c r="H15" s="302">
        <f>DRE!S18</f>
        <v>0</v>
      </c>
      <c r="I15" s="302">
        <f>DRE!V18</f>
        <v>0</v>
      </c>
      <c r="J15" s="304">
        <f>DRE!Y18</f>
        <v>0</v>
      </c>
      <c r="K15" s="303">
        <f t="shared" si="4"/>
        <v>0</v>
      </c>
      <c r="L15" s="304">
        <f>DRE!AB18</f>
        <v>0</v>
      </c>
      <c r="M15" s="304">
        <f>DRE!AE18</f>
        <v>0</v>
      </c>
      <c r="N15" s="304">
        <f>DRE!AH18</f>
        <v>0</v>
      </c>
      <c r="O15" s="303">
        <f t="shared" si="5"/>
        <v>0</v>
      </c>
      <c r="P15" s="304">
        <f>DRE!AK18</f>
        <v>0</v>
      </c>
      <c r="Q15" s="304">
        <f>DRE!AN18</f>
        <v>0</v>
      </c>
      <c r="R15" s="304">
        <f>DRE!AQ18</f>
        <v>0</v>
      </c>
      <c r="S15" s="303">
        <f t="shared" si="6"/>
        <v>0</v>
      </c>
      <c r="T15" s="305">
        <f t="shared" si="1"/>
        <v>0</v>
      </c>
    </row>
    <row r="16" spans="2:20" x14ac:dyDescent="0.3">
      <c r="B16" s="295" t="s">
        <v>513</v>
      </c>
      <c r="C16" s="296"/>
      <c r="D16" s="306">
        <f>DRE!J19</f>
        <v>0</v>
      </c>
      <c r="E16" s="306">
        <f>DRE!M19</f>
        <v>0</v>
      </c>
      <c r="F16" s="306">
        <f>DRE!P19</f>
        <v>0</v>
      </c>
      <c r="G16" s="298">
        <f t="shared" si="3"/>
        <v>0</v>
      </c>
      <c r="H16" s="306">
        <f>DRE!S19</f>
        <v>0</v>
      </c>
      <c r="I16" s="306">
        <f>DRE!V19</f>
        <v>0</v>
      </c>
      <c r="J16" s="299">
        <f>DRE!Y19</f>
        <v>0</v>
      </c>
      <c r="K16" s="303">
        <f t="shared" si="4"/>
        <v>0</v>
      </c>
      <c r="L16" s="299">
        <f>DRE!AB19</f>
        <v>0</v>
      </c>
      <c r="M16" s="299">
        <f>DRE!AE19</f>
        <v>0</v>
      </c>
      <c r="N16" s="299">
        <f>DRE!AH19</f>
        <v>0</v>
      </c>
      <c r="O16" s="303">
        <f t="shared" si="5"/>
        <v>0</v>
      </c>
      <c r="P16" s="299">
        <f>DRE!AK19</f>
        <v>0</v>
      </c>
      <c r="Q16" s="299">
        <f>DRE!AN19</f>
        <v>0</v>
      </c>
      <c r="R16" s="299">
        <f>DRE!AQ19</f>
        <v>0</v>
      </c>
      <c r="S16" s="303">
        <f t="shared" si="6"/>
        <v>0</v>
      </c>
      <c r="T16" s="300">
        <f t="shared" si="1"/>
        <v>0</v>
      </c>
    </row>
    <row r="17" spans="2:20" ht="15" customHeight="1" thickBot="1" x14ac:dyDescent="0.35">
      <c r="B17" s="307" t="s">
        <v>514</v>
      </c>
      <c r="C17" s="308"/>
      <c r="D17" s="309">
        <f t="shared" ref="D17:S17" si="7">D4+D9+D16+D11</f>
        <v>0</v>
      </c>
      <c r="E17" s="309">
        <f t="shared" si="7"/>
        <v>0</v>
      </c>
      <c r="F17" s="309">
        <f t="shared" si="7"/>
        <v>0</v>
      </c>
      <c r="G17" s="310">
        <f t="shared" si="7"/>
        <v>0</v>
      </c>
      <c r="H17" s="309">
        <f t="shared" si="7"/>
        <v>0</v>
      </c>
      <c r="I17" s="309">
        <f t="shared" si="7"/>
        <v>0</v>
      </c>
      <c r="J17" s="309">
        <f t="shared" si="7"/>
        <v>0</v>
      </c>
      <c r="K17" s="310">
        <f t="shared" si="7"/>
        <v>0</v>
      </c>
      <c r="L17" s="309">
        <f t="shared" si="7"/>
        <v>340656.42000000004</v>
      </c>
      <c r="M17" s="309">
        <f t="shared" si="7"/>
        <v>0</v>
      </c>
      <c r="N17" s="309">
        <f t="shared" si="7"/>
        <v>0</v>
      </c>
      <c r="O17" s="310">
        <f t="shared" si="7"/>
        <v>340656.42000000004</v>
      </c>
      <c r="P17" s="309">
        <f t="shared" si="7"/>
        <v>0</v>
      </c>
      <c r="Q17" s="309">
        <f t="shared" si="7"/>
        <v>0</v>
      </c>
      <c r="R17" s="309">
        <f t="shared" si="7"/>
        <v>0</v>
      </c>
      <c r="S17" s="310">
        <f t="shared" si="7"/>
        <v>0</v>
      </c>
      <c r="T17" s="311">
        <f t="shared" si="1"/>
        <v>340656.42000000004</v>
      </c>
    </row>
    <row r="18" spans="2:20" x14ac:dyDescent="0.3">
      <c r="B18" s="296"/>
      <c r="C18" s="296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</row>
    <row r="19" spans="2:20" ht="14.7" customHeight="1" thickBot="1" x14ac:dyDescent="0.35"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299"/>
    </row>
    <row r="20" spans="2:20" x14ac:dyDescent="0.3">
      <c r="B20" s="312" t="s">
        <v>49</v>
      </c>
      <c r="C20" s="313">
        <v>0.05</v>
      </c>
      <c r="D20" s="314">
        <f>D$4*$C$20</f>
        <v>0</v>
      </c>
      <c r="E20" s="314">
        <f>E$4*$C$20</f>
        <v>0</v>
      </c>
      <c r="F20" s="314">
        <f>F$4*$C$20</f>
        <v>0</v>
      </c>
      <c r="G20" s="315">
        <f>G4*$C$20</f>
        <v>0</v>
      </c>
      <c r="H20" s="314">
        <f>H$4*$C$20</f>
        <v>0</v>
      </c>
      <c r="I20" s="314">
        <f>I$4*$C$20</f>
        <v>0</v>
      </c>
      <c r="J20" s="314">
        <f>J$4*$C$20</f>
        <v>0</v>
      </c>
      <c r="K20" s="315">
        <f>K4*$C$20</f>
        <v>0</v>
      </c>
      <c r="L20" s="314">
        <f>L$4*$C$20</f>
        <v>675</v>
      </c>
      <c r="M20" s="314">
        <f>M$4*$C$20</f>
        <v>0</v>
      </c>
      <c r="N20" s="314">
        <f>N$4*$C$20</f>
        <v>0</v>
      </c>
      <c r="O20" s="315">
        <f>O4*$C$20</f>
        <v>675</v>
      </c>
      <c r="P20" s="314">
        <f>P$4*$C$20</f>
        <v>0</v>
      </c>
      <c r="Q20" s="314">
        <f>Q$4*$C$20</f>
        <v>0</v>
      </c>
      <c r="R20" s="314">
        <f>R$4*$C$20</f>
        <v>0</v>
      </c>
      <c r="S20" s="315">
        <f>S4*$C$20</f>
        <v>0</v>
      </c>
      <c r="T20" s="316">
        <f>SUM(G20,K20,O20,S20)</f>
        <v>675</v>
      </c>
    </row>
    <row r="21" spans="2:20" x14ac:dyDescent="0.3">
      <c r="B21" s="301" t="s">
        <v>515</v>
      </c>
      <c r="C21" s="317">
        <v>6.4999999999999997E-3</v>
      </c>
      <c r="D21" s="304">
        <f t="shared" ref="D21:S21" si="8">(D9+D4-D23)*($C$21)</f>
        <v>0</v>
      </c>
      <c r="E21" s="304">
        <f t="shared" si="8"/>
        <v>0</v>
      </c>
      <c r="F21" s="304">
        <f t="shared" si="8"/>
        <v>0</v>
      </c>
      <c r="G21" s="303">
        <f t="shared" si="8"/>
        <v>0</v>
      </c>
      <c r="H21" s="304">
        <f t="shared" si="8"/>
        <v>0</v>
      </c>
      <c r="I21" s="304">
        <f t="shared" si="8"/>
        <v>0</v>
      </c>
      <c r="J21" s="304">
        <f t="shared" si="8"/>
        <v>0</v>
      </c>
      <c r="K21" s="303">
        <f t="shared" si="8"/>
        <v>0</v>
      </c>
      <c r="L21" s="304">
        <f t="shared" si="8"/>
        <v>1945.8079680000003</v>
      </c>
      <c r="M21" s="304">
        <f t="shared" si="8"/>
        <v>0</v>
      </c>
      <c r="N21" s="304">
        <f t="shared" si="8"/>
        <v>0</v>
      </c>
      <c r="O21" s="303">
        <f t="shared" si="8"/>
        <v>1945.8079680000003</v>
      </c>
      <c r="P21" s="304">
        <f t="shared" si="8"/>
        <v>0</v>
      </c>
      <c r="Q21" s="304">
        <f t="shared" si="8"/>
        <v>0</v>
      </c>
      <c r="R21" s="304">
        <f t="shared" si="8"/>
        <v>0</v>
      </c>
      <c r="S21" s="303">
        <f t="shared" si="8"/>
        <v>0</v>
      </c>
      <c r="T21" s="318">
        <f>SUM(G21,K21,O21,S21)</f>
        <v>1945.8079680000003</v>
      </c>
    </row>
    <row r="22" spans="2:20" x14ac:dyDescent="0.3">
      <c r="B22" s="301" t="s">
        <v>516</v>
      </c>
      <c r="C22" s="317">
        <v>0.03</v>
      </c>
      <c r="D22" s="304">
        <f t="shared" ref="D22:S22" si="9">(D9+D4-D23)*($C$22)</f>
        <v>0</v>
      </c>
      <c r="E22" s="304">
        <f t="shared" si="9"/>
        <v>0</v>
      </c>
      <c r="F22" s="304">
        <f t="shared" si="9"/>
        <v>0</v>
      </c>
      <c r="G22" s="303">
        <f t="shared" si="9"/>
        <v>0</v>
      </c>
      <c r="H22" s="304">
        <f t="shared" si="9"/>
        <v>0</v>
      </c>
      <c r="I22" s="304">
        <f t="shared" si="9"/>
        <v>0</v>
      </c>
      <c r="J22" s="304">
        <f t="shared" si="9"/>
        <v>0</v>
      </c>
      <c r="K22" s="303">
        <f t="shared" si="9"/>
        <v>0</v>
      </c>
      <c r="L22" s="304">
        <f t="shared" si="9"/>
        <v>8980.6521600000015</v>
      </c>
      <c r="M22" s="304">
        <f t="shared" si="9"/>
        <v>0</v>
      </c>
      <c r="N22" s="304">
        <f t="shared" si="9"/>
        <v>0</v>
      </c>
      <c r="O22" s="303">
        <f t="shared" si="9"/>
        <v>8980.6521600000015</v>
      </c>
      <c r="P22" s="304">
        <f t="shared" si="9"/>
        <v>0</v>
      </c>
      <c r="Q22" s="304">
        <f t="shared" si="9"/>
        <v>0</v>
      </c>
      <c r="R22" s="304">
        <f t="shared" si="9"/>
        <v>0</v>
      </c>
      <c r="S22" s="303">
        <f t="shared" si="9"/>
        <v>0</v>
      </c>
      <c r="T22" s="318">
        <f>SUM(G22,K22,O22,S22)</f>
        <v>8980.6521600000015</v>
      </c>
    </row>
    <row r="23" spans="2:20" ht="15" customHeight="1" thickBot="1" x14ac:dyDescent="0.35">
      <c r="B23" s="319" t="s">
        <v>48</v>
      </c>
      <c r="C23" s="320">
        <v>0.04</v>
      </c>
      <c r="D23" s="321">
        <f t="shared" ref="D23:S23" si="10">D9*$C$23</f>
        <v>0</v>
      </c>
      <c r="E23" s="321">
        <f t="shared" si="10"/>
        <v>0</v>
      </c>
      <c r="F23" s="321">
        <f t="shared" si="10"/>
        <v>0</v>
      </c>
      <c r="G23" s="322">
        <f t="shared" si="10"/>
        <v>0</v>
      </c>
      <c r="H23" s="321">
        <f t="shared" si="10"/>
        <v>0</v>
      </c>
      <c r="I23" s="321">
        <f t="shared" si="10"/>
        <v>0</v>
      </c>
      <c r="J23" s="321">
        <f t="shared" si="10"/>
        <v>0</v>
      </c>
      <c r="K23" s="322">
        <f t="shared" si="10"/>
        <v>0</v>
      </c>
      <c r="L23" s="321">
        <f t="shared" si="10"/>
        <v>11910.628000000002</v>
      </c>
      <c r="M23" s="321">
        <f t="shared" si="10"/>
        <v>0</v>
      </c>
      <c r="N23" s="321">
        <f t="shared" si="10"/>
        <v>0</v>
      </c>
      <c r="O23" s="322">
        <f t="shared" si="10"/>
        <v>11910.628000000002</v>
      </c>
      <c r="P23" s="321">
        <f t="shared" si="10"/>
        <v>0</v>
      </c>
      <c r="Q23" s="321">
        <f t="shared" si="10"/>
        <v>0</v>
      </c>
      <c r="R23" s="321">
        <f t="shared" si="10"/>
        <v>0</v>
      </c>
      <c r="S23" s="322">
        <f t="shared" si="10"/>
        <v>0</v>
      </c>
      <c r="T23" s="323">
        <f>SUM(G23,K23,O23,S23)</f>
        <v>11910.628000000002</v>
      </c>
    </row>
    <row r="24" spans="2:20" ht="15" customHeight="1" thickBot="1" x14ac:dyDescent="0.35">
      <c r="C24" s="317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</row>
    <row r="25" spans="2:20" x14ac:dyDescent="0.3">
      <c r="B25" s="312" t="s">
        <v>517</v>
      </c>
      <c r="C25" s="313">
        <v>0.32</v>
      </c>
      <c r="D25" s="324">
        <f t="shared" ref="D25:S25" si="11">SUM(D4)*$C$25</f>
        <v>0</v>
      </c>
      <c r="E25" s="324">
        <f t="shared" si="11"/>
        <v>0</v>
      </c>
      <c r="F25" s="324">
        <f t="shared" si="11"/>
        <v>0</v>
      </c>
      <c r="G25" s="315">
        <f t="shared" si="11"/>
        <v>0</v>
      </c>
      <c r="H25" s="324">
        <f t="shared" si="11"/>
        <v>0</v>
      </c>
      <c r="I25" s="324">
        <f t="shared" si="11"/>
        <v>0</v>
      </c>
      <c r="J25" s="324">
        <f t="shared" si="11"/>
        <v>0</v>
      </c>
      <c r="K25" s="315">
        <f t="shared" si="11"/>
        <v>0</v>
      </c>
      <c r="L25" s="324">
        <f t="shared" si="11"/>
        <v>4320</v>
      </c>
      <c r="M25" s="324">
        <f t="shared" si="11"/>
        <v>0</v>
      </c>
      <c r="N25" s="324">
        <f t="shared" si="11"/>
        <v>0</v>
      </c>
      <c r="O25" s="315">
        <f t="shared" si="11"/>
        <v>4320</v>
      </c>
      <c r="P25" s="324">
        <f t="shared" si="11"/>
        <v>0</v>
      </c>
      <c r="Q25" s="324">
        <f t="shared" si="11"/>
        <v>0</v>
      </c>
      <c r="R25" s="324">
        <f t="shared" si="11"/>
        <v>0</v>
      </c>
      <c r="S25" s="315">
        <f t="shared" si="11"/>
        <v>0</v>
      </c>
      <c r="T25" s="316">
        <f>SUM(G25,K25,O25,S25)</f>
        <v>4320</v>
      </c>
    </row>
    <row r="26" spans="2:20" x14ac:dyDescent="0.3">
      <c r="B26" s="301" t="s">
        <v>518</v>
      </c>
      <c r="C26" s="317">
        <v>0.08</v>
      </c>
      <c r="D26" s="299">
        <f t="shared" ref="D26:S26" si="12">SUM(D9)*$C$26</f>
        <v>0</v>
      </c>
      <c r="E26" s="299">
        <f t="shared" si="12"/>
        <v>0</v>
      </c>
      <c r="F26" s="299">
        <f t="shared" si="12"/>
        <v>0</v>
      </c>
      <c r="G26" s="303">
        <f t="shared" si="12"/>
        <v>0</v>
      </c>
      <c r="H26" s="299">
        <f t="shared" si="12"/>
        <v>0</v>
      </c>
      <c r="I26" s="299">
        <f t="shared" si="12"/>
        <v>0</v>
      </c>
      <c r="J26" s="299">
        <f t="shared" si="12"/>
        <v>0</v>
      </c>
      <c r="K26" s="303">
        <f t="shared" si="12"/>
        <v>0</v>
      </c>
      <c r="L26" s="299">
        <f t="shared" si="12"/>
        <v>23821.256000000005</v>
      </c>
      <c r="M26" s="299">
        <f t="shared" si="12"/>
        <v>0</v>
      </c>
      <c r="N26" s="299">
        <f t="shared" si="12"/>
        <v>0</v>
      </c>
      <c r="O26" s="303">
        <f t="shared" si="12"/>
        <v>23821.256000000005</v>
      </c>
      <c r="P26" s="299">
        <f t="shared" si="12"/>
        <v>0</v>
      </c>
      <c r="Q26" s="299">
        <f t="shared" si="12"/>
        <v>0</v>
      </c>
      <c r="R26" s="299">
        <f t="shared" si="12"/>
        <v>0</v>
      </c>
      <c r="S26" s="303">
        <f t="shared" si="12"/>
        <v>0</v>
      </c>
      <c r="T26" s="318">
        <f>SUM(G26,K26,O26,S26)</f>
        <v>23821.256000000005</v>
      </c>
    </row>
    <row r="27" spans="2:20" x14ac:dyDescent="0.3">
      <c r="B27" s="301" t="s">
        <v>519</v>
      </c>
      <c r="C27" s="317">
        <v>1</v>
      </c>
      <c r="D27" s="299">
        <f t="shared" ref="D27:S27" si="13">SUM(D16)</f>
        <v>0</v>
      </c>
      <c r="E27" s="299">
        <f t="shared" si="13"/>
        <v>0</v>
      </c>
      <c r="F27" s="299">
        <f t="shared" si="13"/>
        <v>0</v>
      </c>
      <c r="G27" s="303">
        <f t="shared" si="13"/>
        <v>0</v>
      </c>
      <c r="H27" s="299">
        <f t="shared" si="13"/>
        <v>0</v>
      </c>
      <c r="I27" s="299">
        <f t="shared" si="13"/>
        <v>0</v>
      </c>
      <c r="J27" s="299">
        <f t="shared" si="13"/>
        <v>0</v>
      </c>
      <c r="K27" s="303">
        <f t="shared" si="13"/>
        <v>0</v>
      </c>
      <c r="L27" s="299">
        <f t="shared" si="13"/>
        <v>0</v>
      </c>
      <c r="M27" s="299">
        <f t="shared" si="13"/>
        <v>0</v>
      </c>
      <c r="N27" s="299">
        <f t="shared" si="13"/>
        <v>0</v>
      </c>
      <c r="O27" s="303">
        <f t="shared" si="13"/>
        <v>0</v>
      </c>
      <c r="P27" s="299">
        <f t="shared" si="13"/>
        <v>0</v>
      </c>
      <c r="Q27" s="299">
        <f t="shared" si="13"/>
        <v>0</v>
      </c>
      <c r="R27" s="299">
        <f t="shared" si="13"/>
        <v>0</v>
      </c>
      <c r="S27" s="303">
        <f t="shared" si="13"/>
        <v>0</v>
      </c>
      <c r="T27" s="318">
        <f>SUM(G27,K27,O27,S27)</f>
        <v>0</v>
      </c>
    </row>
    <row r="28" spans="2:20" x14ac:dyDescent="0.3">
      <c r="B28" s="301" t="s">
        <v>520</v>
      </c>
      <c r="C28" s="317">
        <v>0.1</v>
      </c>
      <c r="D28" s="299"/>
      <c r="E28" s="299"/>
      <c r="F28" s="299"/>
      <c r="G28" s="303">
        <f>IF((G25+G26+G27)-60000&gt;=0,(G25+G26+G27-60000)*$C$28,0)</f>
        <v>0</v>
      </c>
      <c r="H28" s="299"/>
      <c r="I28" s="299"/>
      <c r="J28" s="299"/>
      <c r="K28" s="303">
        <f>IF((K25+K26+K27)-60000&gt;=0,(K25+K26+K27-60000)*$C$28,0)</f>
        <v>0</v>
      </c>
      <c r="L28" s="299"/>
      <c r="M28" s="299"/>
      <c r="N28" s="299"/>
      <c r="O28" s="303">
        <f>IF((O25+O26+O27)-60000&gt;=0,(O25+O26+O27-60000)*$C$28,0)</f>
        <v>0</v>
      </c>
      <c r="P28" s="299"/>
      <c r="Q28" s="299"/>
      <c r="R28" s="299"/>
      <c r="S28" s="303">
        <f>IF((S25+S26+S27)-60000&gt;=0,(S25+S26+S27-60000)*$C$28,0)</f>
        <v>0</v>
      </c>
      <c r="T28" s="318">
        <f>SUM(G28,K28,O28,S28)</f>
        <v>0</v>
      </c>
    </row>
    <row r="29" spans="2:20" ht="15" customHeight="1" thickBot="1" x14ac:dyDescent="0.35">
      <c r="B29" s="307" t="s">
        <v>521</v>
      </c>
      <c r="C29" s="325"/>
      <c r="D29" s="309">
        <f t="shared" ref="D29:S29" si="14">SUM(D25:D27)*15%+D28</f>
        <v>0</v>
      </c>
      <c r="E29" s="309">
        <f t="shared" si="14"/>
        <v>0</v>
      </c>
      <c r="F29" s="309">
        <f t="shared" si="14"/>
        <v>0</v>
      </c>
      <c r="G29" s="322">
        <f t="shared" si="14"/>
        <v>0</v>
      </c>
      <c r="H29" s="309">
        <f t="shared" si="14"/>
        <v>0</v>
      </c>
      <c r="I29" s="309">
        <f t="shared" si="14"/>
        <v>0</v>
      </c>
      <c r="J29" s="309">
        <f t="shared" si="14"/>
        <v>0</v>
      </c>
      <c r="K29" s="322">
        <f t="shared" si="14"/>
        <v>0</v>
      </c>
      <c r="L29" s="309">
        <f t="shared" si="14"/>
        <v>4221.1884000000009</v>
      </c>
      <c r="M29" s="309">
        <f t="shared" si="14"/>
        <v>0</v>
      </c>
      <c r="N29" s="309">
        <f t="shared" si="14"/>
        <v>0</v>
      </c>
      <c r="O29" s="322">
        <f t="shared" si="14"/>
        <v>4221.1884000000009</v>
      </c>
      <c r="P29" s="309">
        <f t="shared" si="14"/>
        <v>0</v>
      </c>
      <c r="Q29" s="309">
        <f t="shared" si="14"/>
        <v>0</v>
      </c>
      <c r="R29" s="309">
        <f t="shared" si="14"/>
        <v>0</v>
      </c>
      <c r="S29" s="322">
        <f t="shared" si="14"/>
        <v>0</v>
      </c>
      <c r="T29" s="311">
        <f>SUM(G29,K29,O29,S29)</f>
        <v>4221.1884000000009</v>
      </c>
    </row>
    <row r="30" spans="2:20" ht="15" customHeight="1" thickBot="1" x14ac:dyDescent="0.35">
      <c r="C30" s="317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</row>
    <row r="31" spans="2:20" x14ac:dyDescent="0.3">
      <c r="B31" s="312" t="s">
        <v>522</v>
      </c>
      <c r="C31" s="313">
        <v>0.32</v>
      </c>
      <c r="D31" s="324">
        <f t="shared" ref="D31:S31" si="15">SUM(D4)*$C$31*9%</f>
        <v>0</v>
      </c>
      <c r="E31" s="324">
        <f t="shared" si="15"/>
        <v>0</v>
      </c>
      <c r="F31" s="324">
        <f t="shared" si="15"/>
        <v>0</v>
      </c>
      <c r="G31" s="315">
        <f t="shared" si="15"/>
        <v>0</v>
      </c>
      <c r="H31" s="324">
        <f t="shared" si="15"/>
        <v>0</v>
      </c>
      <c r="I31" s="324">
        <f t="shared" si="15"/>
        <v>0</v>
      </c>
      <c r="J31" s="324">
        <f t="shared" si="15"/>
        <v>0</v>
      </c>
      <c r="K31" s="315">
        <f t="shared" si="15"/>
        <v>0</v>
      </c>
      <c r="L31" s="324">
        <f t="shared" si="15"/>
        <v>388.8</v>
      </c>
      <c r="M31" s="324">
        <f t="shared" si="15"/>
        <v>0</v>
      </c>
      <c r="N31" s="324">
        <f t="shared" si="15"/>
        <v>0</v>
      </c>
      <c r="O31" s="315">
        <f t="shared" si="15"/>
        <v>388.8</v>
      </c>
      <c r="P31" s="324">
        <f t="shared" si="15"/>
        <v>0</v>
      </c>
      <c r="Q31" s="324">
        <f t="shared" si="15"/>
        <v>0</v>
      </c>
      <c r="R31" s="324">
        <f t="shared" si="15"/>
        <v>0</v>
      </c>
      <c r="S31" s="315">
        <f t="shared" si="15"/>
        <v>0</v>
      </c>
      <c r="T31" s="316">
        <f>SUM(G31,K31,O31,S31)</f>
        <v>388.8</v>
      </c>
    </row>
    <row r="32" spans="2:20" x14ac:dyDescent="0.3">
      <c r="B32" s="301" t="s">
        <v>523</v>
      </c>
      <c r="C32" s="317">
        <v>0.12</v>
      </c>
      <c r="D32" s="299">
        <f t="shared" ref="D32:S32" si="16">SUM(D9)*$C$32*9%</f>
        <v>0</v>
      </c>
      <c r="E32" s="299">
        <f t="shared" si="16"/>
        <v>0</v>
      </c>
      <c r="F32" s="299">
        <f t="shared" si="16"/>
        <v>0</v>
      </c>
      <c r="G32" s="303">
        <f t="shared" si="16"/>
        <v>0</v>
      </c>
      <c r="H32" s="299">
        <f t="shared" si="16"/>
        <v>0</v>
      </c>
      <c r="I32" s="299">
        <f t="shared" si="16"/>
        <v>0</v>
      </c>
      <c r="J32" s="299">
        <f t="shared" si="16"/>
        <v>0</v>
      </c>
      <c r="K32" s="303">
        <f t="shared" si="16"/>
        <v>0</v>
      </c>
      <c r="L32" s="299">
        <f t="shared" si="16"/>
        <v>3215.8695600000005</v>
      </c>
      <c r="M32" s="299">
        <f t="shared" si="16"/>
        <v>0</v>
      </c>
      <c r="N32" s="299">
        <f t="shared" si="16"/>
        <v>0</v>
      </c>
      <c r="O32" s="303">
        <f t="shared" si="16"/>
        <v>3215.8695600000005</v>
      </c>
      <c r="P32" s="299">
        <f t="shared" si="16"/>
        <v>0</v>
      </c>
      <c r="Q32" s="299">
        <f t="shared" si="16"/>
        <v>0</v>
      </c>
      <c r="R32" s="299">
        <f t="shared" si="16"/>
        <v>0</v>
      </c>
      <c r="S32" s="303">
        <f t="shared" si="16"/>
        <v>0</v>
      </c>
      <c r="T32" s="318">
        <f>SUM(G32,K32,O32,S32)</f>
        <v>3215.8695600000005</v>
      </c>
    </row>
    <row r="33" spans="2:20" x14ac:dyDescent="0.3">
      <c r="B33" s="301" t="s">
        <v>524</v>
      </c>
      <c r="C33" s="317">
        <v>1</v>
      </c>
      <c r="D33" s="299">
        <f>SUM(D16
)*9%</f>
        <v>0</v>
      </c>
      <c r="E33" s="299">
        <f>SUM(E16
)*9%</f>
        <v>0</v>
      </c>
      <c r="F33" s="299">
        <f>SUM(
F16)*9%</f>
        <v>0</v>
      </c>
      <c r="G33" s="303">
        <f>SUM(G16
)*9%</f>
        <v>0</v>
      </c>
      <c r="H33" s="299">
        <f>SUM(H16
)*9%</f>
        <v>0</v>
      </c>
      <c r="I33" s="299">
        <f>SUM(I16
)*9%</f>
        <v>0</v>
      </c>
      <c r="J33" s="299">
        <f>SUM(
J16)*9%</f>
        <v>0</v>
      </c>
      <c r="K33" s="303">
        <f>SUM(K16
)*9%</f>
        <v>0</v>
      </c>
      <c r="L33" s="299">
        <f>SUM(L16
)*9%</f>
        <v>0</v>
      </c>
      <c r="M33" s="299">
        <f>SUM(M16
)*9%</f>
        <v>0</v>
      </c>
      <c r="N33" s="299">
        <f>SUM(
N16)*9%</f>
        <v>0</v>
      </c>
      <c r="O33" s="303">
        <f>SUM(O16
)*9%</f>
        <v>0</v>
      </c>
      <c r="P33" s="299">
        <f>SUM(P16
)*9%</f>
        <v>0</v>
      </c>
      <c r="Q33" s="299">
        <f>SUM(Q16
)*9%</f>
        <v>0</v>
      </c>
      <c r="R33" s="299">
        <f>SUM(
R16)*9%</f>
        <v>0</v>
      </c>
      <c r="S33" s="303">
        <f>SUM(S16
)*9%</f>
        <v>0</v>
      </c>
      <c r="T33" s="318">
        <f>SUM(G33,K33,O33,S33)</f>
        <v>0</v>
      </c>
    </row>
    <row r="34" spans="2:20" ht="15" customHeight="1" thickBot="1" x14ac:dyDescent="0.35">
      <c r="B34" s="307" t="s">
        <v>525</v>
      </c>
      <c r="C34" s="325"/>
      <c r="D34" s="309">
        <f t="shared" ref="D34:T34" si="17">SUM(D31:D33)</f>
        <v>0</v>
      </c>
      <c r="E34" s="309">
        <f t="shared" si="17"/>
        <v>0</v>
      </c>
      <c r="F34" s="309">
        <f t="shared" si="17"/>
        <v>0</v>
      </c>
      <c r="G34" s="322">
        <f t="shared" si="17"/>
        <v>0</v>
      </c>
      <c r="H34" s="309">
        <f t="shared" si="17"/>
        <v>0</v>
      </c>
      <c r="I34" s="309">
        <f t="shared" si="17"/>
        <v>0</v>
      </c>
      <c r="J34" s="309">
        <f t="shared" si="17"/>
        <v>0</v>
      </c>
      <c r="K34" s="322">
        <f t="shared" si="17"/>
        <v>0</v>
      </c>
      <c r="L34" s="309">
        <f t="shared" si="17"/>
        <v>3604.6695600000007</v>
      </c>
      <c r="M34" s="309">
        <f t="shared" si="17"/>
        <v>0</v>
      </c>
      <c r="N34" s="309">
        <f t="shared" si="17"/>
        <v>0</v>
      </c>
      <c r="O34" s="322">
        <f t="shared" si="17"/>
        <v>3604.6695600000007</v>
      </c>
      <c r="P34" s="309">
        <f t="shared" si="17"/>
        <v>0</v>
      </c>
      <c r="Q34" s="309">
        <f t="shared" si="17"/>
        <v>0</v>
      </c>
      <c r="R34" s="309">
        <f t="shared" si="17"/>
        <v>0</v>
      </c>
      <c r="S34" s="322">
        <f t="shared" si="17"/>
        <v>0</v>
      </c>
      <c r="T34" s="311">
        <f t="shared" si="17"/>
        <v>3604.6695600000007</v>
      </c>
    </row>
    <row r="35" spans="2:20" ht="15" customHeight="1" thickBot="1" x14ac:dyDescent="0.35">
      <c r="C35" s="317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</row>
    <row r="36" spans="2:20" x14ac:dyDescent="0.3">
      <c r="B36" s="326" t="s">
        <v>526</v>
      </c>
      <c r="C36" s="327"/>
      <c r="D36" s="328">
        <f t="shared" ref="D36:S36" si="18">D20</f>
        <v>0</v>
      </c>
      <c r="E36" s="328">
        <f t="shared" si="18"/>
        <v>0</v>
      </c>
      <c r="F36" s="328">
        <f t="shared" si="18"/>
        <v>0</v>
      </c>
      <c r="G36" s="328">
        <f t="shared" si="18"/>
        <v>0</v>
      </c>
      <c r="H36" s="328">
        <f t="shared" si="18"/>
        <v>0</v>
      </c>
      <c r="I36" s="328">
        <f t="shared" si="18"/>
        <v>0</v>
      </c>
      <c r="J36" s="328">
        <f t="shared" si="18"/>
        <v>0</v>
      </c>
      <c r="K36" s="328">
        <f t="shared" si="18"/>
        <v>0</v>
      </c>
      <c r="L36" s="328">
        <f t="shared" si="18"/>
        <v>675</v>
      </c>
      <c r="M36" s="328">
        <f t="shared" si="18"/>
        <v>0</v>
      </c>
      <c r="N36" s="328">
        <f t="shared" si="18"/>
        <v>0</v>
      </c>
      <c r="O36" s="328">
        <f t="shared" si="18"/>
        <v>675</v>
      </c>
      <c r="P36" s="328">
        <f t="shared" si="18"/>
        <v>0</v>
      </c>
      <c r="Q36" s="328">
        <f t="shared" si="18"/>
        <v>0</v>
      </c>
      <c r="R36" s="328">
        <f t="shared" si="18"/>
        <v>0</v>
      </c>
      <c r="S36" s="328">
        <f t="shared" si="18"/>
        <v>0</v>
      </c>
      <c r="T36" s="329">
        <f>SUM(G36,K36,O36,S36)</f>
        <v>675</v>
      </c>
    </row>
    <row r="37" spans="2:20" x14ac:dyDescent="0.3">
      <c r="B37" s="330" t="s">
        <v>527</v>
      </c>
      <c r="C37" s="331"/>
      <c r="D37" s="332">
        <f t="shared" ref="D37:S37" si="19">D23</f>
        <v>0</v>
      </c>
      <c r="E37" s="332">
        <f t="shared" si="19"/>
        <v>0</v>
      </c>
      <c r="F37" s="332">
        <f t="shared" si="19"/>
        <v>0</v>
      </c>
      <c r="G37" s="332">
        <f t="shared" si="19"/>
        <v>0</v>
      </c>
      <c r="H37" s="332">
        <f t="shared" si="19"/>
        <v>0</v>
      </c>
      <c r="I37" s="332">
        <f t="shared" si="19"/>
        <v>0</v>
      </c>
      <c r="J37" s="332">
        <f t="shared" si="19"/>
        <v>0</v>
      </c>
      <c r="K37" s="332">
        <f t="shared" si="19"/>
        <v>0</v>
      </c>
      <c r="L37" s="332">
        <f t="shared" si="19"/>
        <v>11910.628000000002</v>
      </c>
      <c r="M37" s="332">
        <f t="shared" si="19"/>
        <v>0</v>
      </c>
      <c r="N37" s="332">
        <f t="shared" si="19"/>
        <v>0</v>
      </c>
      <c r="O37" s="332">
        <f t="shared" si="19"/>
        <v>11910.628000000002</v>
      </c>
      <c r="P37" s="332">
        <f t="shared" si="19"/>
        <v>0</v>
      </c>
      <c r="Q37" s="332">
        <f t="shared" si="19"/>
        <v>0</v>
      </c>
      <c r="R37" s="332">
        <f t="shared" si="19"/>
        <v>0</v>
      </c>
      <c r="S37" s="332">
        <f t="shared" si="19"/>
        <v>0</v>
      </c>
      <c r="T37" s="333">
        <f>SUM(G37,K37,O37,S37)</f>
        <v>11910.628000000002</v>
      </c>
    </row>
    <row r="38" spans="2:20" x14ac:dyDescent="0.3">
      <c r="B38" s="330" t="s">
        <v>528</v>
      </c>
      <c r="C38" s="331"/>
      <c r="D38" s="332">
        <f t="shared" ref="D38:S38" si="20">D21+D22</f>
        <v>0</v>
      </c>
      <c r="E38" s="332">
        <f t="shared" si="20"/>
        <v>0</v>
      </c>
      <c r="F38" s="332">
        <f t="shared" si="20"/>
        <v>0</v>
      </c>
      <c r="G38" s="332">
        <f t="shared" si="20"/>
        <v>0</v>
      </c>
      <c r="H38" s="332">
        <f t="shared" si="20"/>
        <v>0</v>
      </c>
      <c r="I38" s="332">
        <f t="shared" si="20"/>
        <v>0</v>
      </c>
      <c r="J38" s="332">
        <f t="shared" si="20"/>
        <v>0</v>
      </c>
      <c r="K38" s="332">
        <f t="shared" si="20"/>
        <v>0</v>
      </c>
      <c r="L38" s="332">
        <f t="shared" si="20"/>
        <v>10926.460128000002</v>
      </c>
      <c r="M38" s="332">
        <f t="shared" si="20"/>
        <v>0</v>
      </c>
      <c r="N38" s="332">
        <f t="shared" si="20"/>
        <v>0</v>
      </c>
      <c r="O38" s="332">
        <f t="shared" si="20"/>
        <v>10926.460128000002</v>
      </c>
      <c r="P38" s="332">
        <f t="shared" si="20"/>
        <v>0</v>
      </c>
      <c r="Q38" s="332">
        <f t="shared" si="20"/>
        <v>0</v>
      </c>
      <c r="R38" s="332">
        <f t="shared" si="20"/>
        <v>0</v>
      </c>
      <c r="S38" s="332">
        <f t="shared" si="20"/>
        <v>0</v>
      </c>
      <c r="T38" s="333">
        <f>SUM(G38,K38,O38,S38)</f>
        <v>10926.460128000002</v>
      </c>
    </row>
    <row r="39" spans="2:20" ht="15" customHeight="1" thickBot="1" x14ac:dyDescent="0.35">
      <c r="B39" s="334" t="s">
        <v>529</v>
      </c>
      <c r="C39" s="335"/>
      <c r="D39" s="336"/>
      <c r="E39" s="336"/>
      <c r="F39" s="336"/>
      <c r="G39" s="337">
        <f>G29+G34</f>
        <v>0</v>
      </c>
      <c r="H39" s="336"/>
      <c r="I39" s="336"/>
      <c r="J39" s="336"/>
      <c r="K39" s="337">
        <f>K29+K34</f>
        <v>0</v>
      </c>
      <c r="L39" s="336"/>
      <c r="M39" s="336"/>
      <c r="N39" s="336"/>
      <c r="O39" s="337">
        <f>O29+O34</f>
        <v>7825.8579600000012</v>
      </c>
      <c r="P39" s="336"/>
      <c r="Q39" s="336"/>
      <c r="R39" s="336"/>
      <c r="S39" s="337">
        <f>S29+S34</f>
        <v>0</v>
      </c>
      <c r="T39" s="338">
        <f>SUM(G39,K39,O39,S39)</f>
        <v>7825.8579600000012</v>
      </c>
    </row>
    <row r="40" spans="2:20" x14ac:dyDescent="0.3"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304"/>
      <c r="S40" s="304"/>
      <c r="T40" s="304"/>
    </row>
    <row r="41" spans="2:20" x14ac:dyDescent="0.3"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</row>
    <row r="42" spans="2:20" x14ac:dyDescent="0.3"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</row>
    <row r="43" spans="2:20" ht="15" customHeight="1" thickBot="1" x14ac:dyDescent="0.35"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</row>
    <row r="44" spans="2:20" x14ac:dyDescent="0.3">
      <c r="B44" s="491" t="s">
        <v>530</v>
      </c>
      <c r="C44" s="492"/>
      <c r="D44" s="492"/>
      <c r="E44" s="492"/>
      <c r="F44" s="492"/>
      <c r="G44" s="492"/>
      <c r="H44" s="492"/>
      <c r="I44" s="492"/>
      <c r="J44" s="492"/>
      <c r="K44" s="492"/>
      <c r="L44" s="492"/>
      <c r="M44" s="492"/>
      <c r="N44" s="493"/>
      <c r="O44" s="304"/>
      <c r="P44" s="304"/>
      <c r="Q44" s="304"/>
      <c r="R44" s="304"/>
      <c r="S44" s="304"/>
      <c r="T44" s="304"/>
    </row>
    <row r="45" spans="2:20" x14ac:dyDescent="0.3">
      <c r="C45" s="302"/>
      <c r="F45" s="339"/>
      <c r="G45" s="339"/>
      <c r="H45" s="339"/>
      <c r="I45" s="339"/>
      <c r="J45" s="339"/>
      <c r="K45" s="340"/>
      <c r="L45" s="340"/>
      <c r="M45" s="340"/>
      <c r="O45" s="304"/>
      <c r="P45" s="304"/>
      <c r="Q45" s="304"/>
      <c r="R45" s="304"/>
      <c r="S45" s="304"/>
      <c r="T45" s="304"/>
    </row>
    <row r="46" spans="2:20" x14ac:dyDescent="0.3">
      <c r="B46" s="341" t="s">
        <v>504</v>
      </c>
      <c r="C46" s="342" t="s">
        <v>531</v>
      </c>
      <c r="D46" s="341" t="s">
        <v>532</v>
      </c>
      <c r="E46" s="339"/>
      <c r="F46" s="341" t="s">
        <v>533</v>
      </c>
      <c r="G46" s="341" t="s">
        <v>500</v>
      </c>
      <c r="H46" s="341" t="s">
        <v>534</v>
      </c>
      <c r="I46" s="341" t="s">
        <v>535</v>
      </c>
      <c r="J46" s="341" t="s">
        <v>500</v>
      </c>
      <c r="K46" s="343" t="s">
        <v>536</v>
      </c>
      <c r="L46" s="343" t="s">
        <v>537</v>
      </c>
      <c r="M46" s="343" t="s">
        <v>538</v>
      </c>
      <c r="N46" s="341" t="s">
        <v>539</v>
      </c>
      <c r="O46" s="304"/>
      <c r="P46" s="304"/>
      <c r="Q46" s="304"/>
      <c r="R46" s="304"/>
      <c r="S46" s="304"/>
      <c r="T46" s="304"/>
    </row>
    <row r="47" spans="2:20" x14ac:dyDescent="0.3">
      <c r="B47" s="344">
        <v>45658</v>
      </c>
      <c r="C47" s="345">
        <f>C59</f>
        <v>4000</v>
      </c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04"/>
      <c r="P47" s="304"/>
      <c r="Q47" s="304"/>
      <c r="R47" s="304"/>
      <c r="S47" s="304"/>
      <c r="T47" s="304"/>
    </row>
    <row r="48" spans="2:20" x14ac:dyDescent="0.3">
      <c r="B48" s="344">
        <v>45689</v>
      </c>
      <c r="C48" s="345">
        <f>C59</f>
        <v>4000</v>
      </c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04"/>
      <c r="P48" s="304"/>
      <c r="Q48" s="304"/>
      <c r="R48" s="304"/>
      <c r="S48" s="304"/>
      <c r="T48" s="304"/>
    </row>
    <row r="49" spans="2:20" x14ac:dyDescent="0.3">
      <c r="B49" s="344">
        <v>45717</v>
      </c>
      <c r="C49" s="345">
        <f>C59</f>
        <v>4000</v>
      </c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04"/>
      <c r="P49" s="304"/>
      <c r="Q49" s="304"/>
      <c r="R49" s="304"/>
      <c r="S49" s="304"/>
      <c r="T49" s="304"/>
    </row>
    <row r="50" spans="2:20" x14ac:dyDescent="0.3">
      <c r="B50" s="344">
        <v>45748</v>
      </c>
      <c r="C50" s="345">
        <f>C59</f>
        <v>4000</v>
      </c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04"/>
      <c r="P50" s="304"/>
      <c r="Q50" s="304"/>
      <c r="R50" s="304"/>
      <c r="S50" s="304"/>
      <c r="T50" s="304"/>
    </row>
    <row r="51" spans="2:20" x14ac:dyDescent="0.3">
      <c r="B51" s="344">
        <v>45778</v>
      </c>
      <c r="C51" s="345">
        <f>C59</f>
        <v>4000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04"/>
      <c r="P51" s="304"/>
      <c r="Q51" s="304"/>
      <c r="R51" s="304"/>
      <c r="S51" s="304"/>
      <c r="T51" s="304"/>
    </row>
    <row r="52" spans="2:20" x14ac:dyDescent="0.3">
      <c r="B52" s="344">
        <v>45809</v>
      </c>
      <c r="C52" s="345">
        <f>C59</f>
        <v>4000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04"/>
      <c r="P52" s="304"/>
      <c r="Q52" s="304"/>
      <c r="R52" s="304"/>
      <c r="S52" s="304"/>
      <c r="T52" s="304"/>
    </row>
    <row r="53" spans="2:20" x14ac:dyDescent="0.3">
      <c r="B53" s="344">
        <v>45839</v>
      </c>
      <c r="C53" s="345">
        <f>C59</f>
        <v>4000</v>
      </c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04"/>
      <c r="P53" s="304"/>
      <c r="Q53" s="304"/>
      <c r="R53" s="304"/>
      <c r="S53" s="304"/>
      <c r="T53" s="304"/>
    </row>
    <row r="54" spans="2:20" x14ac:dyDescent="0.3">
      <c r="B54" s="344">
        <v>45870</v>
      </c>
      <c r="C54" s="345">
        <f>C59</f>
        <v>4000</v>
      </c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04"/>
      <c r="P54" s="304"/>
      <c r="Q54" s="304"/>
      <c r="R54" s="304"/>
      <c r="S54" s="304"/>
      <c r="T54" s="304"/>
    </row>
    <row r="55" spans="2:20" x14ac:dyDescent="0.3">
      <c r="B55" s="344">
        <v>45901</v>
      </c>
      <c r="C55" s="345">
        <f>C59</f>
        <v>4000</v>
      </c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04"/>
      <c r="P55" s="304"/>
      <c r="Q55" s="304"/>
      <c r="R55" s="304"/>
      <c r="S55" s="304"/>
      <c r="T55" s="304"/>
    </row>
    <row r="56" spans="2:20" x14ac:dyDescent="0.3">
      <c r="B56" s="344">
        <v>45931</v>
      </c>
      <c r="C56" s="345">
        <f>C59</f>
        <v>4000</v>
      </c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04"/>
      <c r="P56" s="304"/>
      <c r="Q56" s="304"/>
      <c r="R56" s="304"/>
      <c r="S56" s="304"/>
      <c r="T56" s="304"/>
    </row>
    <row r="57" spans="2:20" x14ac:dyDescent="0.3">
      <c r="B57" s="344">
        <v>45962</v>
      </c>
      <c r="C57" s="345">
        <f>C59</f>
        <v>4000</v>
      </c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04"/>
      <c r="P57" s="304"/>
      <c r="Q57" s="304"/>
      <c r="R57" s="304"/>
      <c r="S57" s="304"/>
      <c r="T57" s="304"/>
    </row>
    <row r="58" spans="2:20" x14ac:dyDescent="0.3">
      <c r="B58" s="344">
        <v>45992</v>
      </c>
      <c r="C58" s="345">
        <f>C59</f>
        <v>4000</v>
      </c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04"/>
      <c r="P58" s="304"/>
      <c r="Q58" s="304"/>
      <c r="R58" s="304"/>
      <c r="S58" s="304"/>
      <c r="T58" s="304"/>
    </row>
    <row r="59" spans="2:20" x14ac:dyDescent="0.3">
      <c r="B59" s="347">
        <v>46023</v>
      </c>
      <c r="C59" s="348">
        <f>-DRE!J120-DRE!J89</f>
        <v>4000</v>
      </c>
      <c r="D59" s="349">
        <f t="shared" ref="D59:D70" si="21">SUM(C47:C58)</f>
        <v>48000</v>
      </c>
      <c r="F59" s="350" t="s">
        <v>540</v>
      </c>
      <c r="G59" s="351">
        <f>D80</f>
        <v>0.14299999999999999</v>
      </c>
      <c r="H59" s="352">
        <f t="shared" ref="H59:H70" si="22">(D59*G59)</f>
        <v>6863.9999999999991</v>
      </c>
      <c r="I59" s="353">
        <f t="shared" ref="I59:I70" si="23">-87300</f>
        <v>-87300</v>
      </c>
      <c r="J59" s="354">
        <f t="shared" ref="J59:J70" si="24">(H59+I59)/D59</f>
        <v>-1.6757500000000001</v>
      </c>
      <c r="K59" s="340">
        <f t="shared" ref="K59:K70" si="25">C59*J59</f>
        <v>-6703</v>
      </c>
      <c r="L59" s="340">
        <v>0</v>
      </c>
      <c r="M59" s="340">
        <f t="shared" ref="M59:M70" si="26">K59+L59</f>
        <v>-6703</v>
      </c>
      <c r="O59" s="304"/>
      <c r="P59" s="304"/>
      <c r="Q59" s="304"/>
      <c r="R59" s="304"/>
      <c r="S59" s="304"/>
      <c r="T59" s="304"/>
    </row>
    <row r="60" spans="2:20" x14ac:dyDescent="0.3">
      <c r="B60" s="347">
        <v>46054</v>
      </c>
      <c r="C60" s="348">
        <f>-DRE!M120-DRE!M89</f>
        <v>4000</v>
      </c>
      <c r="D60" s="349">
        <f t="shared" si="21"/>
        <v>48000</v>
      </c>
      <c r="F60" s="350" t="s">
        <v>540</v>
      </c>
      <c r="G60" s="351">
        <f t="shared" ref="G60:G70" si="27">$D$80</f>
        <v>0.14299999999999999</v>
      </c>
      <c r="H60" s="352">
        <f t="shared" si="22"/>
        <v>6863.9999999999991</v>
      </c>
      <c r="I60" s="353">
        <f t="shared" si="23"/>
        <v>-87300</v>
      </c>
      <c r="J60" s="354">
        <f t="shared" si="24"/>
        <v>-1.6757500000000001</v>
      </c>
      <c r="K60" s="340">
        <f t="shared" si="25"/>
        <v>-6703</v>
      </c>
      <c r="L60" s="340">
        <v>0</v>
      </c>
      <c r="M60" s="340">
        <f t="shared" si="26"/>
        <v>-6703</v>
      </c>
      <c r="O60" s="304"/>
      <c r="P60" s="304"/>
      <c r="Q60" s="304"/>
      <c r="R60" s="304"/>
      <c r="S60" s="304"/>
      <c r="T60" s="304"/>
    </row>
    <row r="61" spans="2:20" x14ac:dyDescent="0.3">
      <c r="B61" s="347">
        <v>46082</v>
      </c>
      <c r="C61" s="348">
        <f>-DRE!P$120-DRE!P$89</f>
        <v>4000</v>
      </c>
      <c r="D61" s="349">
        <f t="shared" si="21"/>
        <v>48000</v>
      </c>
      <c r="F61" s="350" t="s">
        <v>540</v>
      </c>
      <c r="G61" s="351">
        <f t="shared" si="27"/>
        <v>0.14299999999999999</v>
      </c>
      <c r="H61" s="352">
        <f t="shared" si="22"/>
        <v>6863.9999999999991</v>
      </c>
      <c r="I61" s="353">
        <f t="shared" si="23"/>
        <v>-87300</v>
      </c>
      <c r="J61" s="354">
        <f t="shared" si="24"/>
        <v>-1.6757500000000001</v>
      </c>
      <c r="K61" s="340">
        <f t="shared" si="25"/>
        <v>-6703</v>
      </c>
      <c r="L61" s="340">
        <v>0</v>
      </c>
      <c r="M61" s="340">
        <f t="shared" si="26"/>
        <v>-6703</v>
      </c>
      <c r="O61" s="304"/>
      <c r="P61" s="304"/>
      <c r="Q61" s="304"/>
      <c r="R61" s="304"/>
      <c r="S61" s="304"/>
      <c r="T61" s="304"/>
    </row>
    <row r="62" spans="2:20" x14ac:dyDescent="0.3">
      <c r="B62" s="347">
        <v>46113</v>
      </c>
      <c r="C62" s="348">
        <f>-DRE!S$120-DRE!S$89</f>
        <v>0</v>
      </c>
      <c r="D62" s="349">
        <f t="shared" si="21"/>
        <v>48000</v>
      </c>
      <c r="F62" s="350" t="s">
        <v>540</v>
      </c>
      <c r="G62" s="351">
        <f t="shared" si="27"/>
        <v>0.14299999999999999</v>
      </c>
      <c r="H62" s="352">
        <f t="shared" si="22"/>
        <v>6863.9999999999991</v>
      </c>
      <c r="I62" s="353">
        <f t="shared" si="23"/>
        <v>-87300</v>
      </c>
      <c r="J62" s="354">
        <f t="shared" si="24"/>
        <v>-1.6757500000000001</v>
      </c>
      <c r="K62" s="340">
        <f t="shared" si="25"/>
        <v>0</v>
      </c>
      <c r="L62" s="340">
        <v>0</v>
      </c>
      <c r="M62" s="340">
        <f t="shared" si="26"/>
        <v>0</v>
      </c>
      <c r="O62" s="304"/>
      <c r="P62" s="304"/>
      <c r="Q62" s="304"/>
      <c r="R62" s="304"/>
      <c r="S62" s="304"/>
      <c r="T62" s="304"/>
    </row>
    <row r="63" spans="2:20" x14ac:dyDescent="0.3">
      <c r="B63" s="347">
        <v>46143</v>
      </c>
      <c r="C63" s="348">
        <f>-DRE!V$120-DRE!V$89</f>
        <v>71540.34</v>
      </c>
      <c r="D63" s="349">
        <f t="shared" si="21"/>
        <v>44000</v>
      </c>
      <c r="F63" s="350" t="s">
        <v>540</v>
      </c>
      <c r="G63" s="351">
        <f t="shared" si="27"/>
        <v>0.14299999999999999</v>
      </c>
      <c r="H63" s="352">
        <f t="shared" si="22"/>
        <v>6291.9999999999991</v>
      </c>
      <c r="I63" s="353">
        <f t="shared" si="23"/>
        <v>-87300</v>
      </c>
      <c r="J63" s="354">
        <f t="shared" si="24"/>
        <v>-1.8410909090909091</v>
      </c>
      <c r="K63" s="340">
        <f t="shared" si="25"/>
        <v>-131712.26960727273</v>
      </c>
      <c r="L63" s="340">
        <v>0</v>
      </c>
      <c r="M63" s="340">
        <f t="shared" si="26"/>
        <v>-131712.26960727273</v>
      </c>
      <c r="O63" s="304"/>
      <c r="P63" s="304"/>
      <c r="Q63" s="304"/>
      <c r="R63" s="304"/>
      <c r="S63" s="304"/>
      <c r="T63" s="304"/>
    </row>
    <row r="64" spans="2:20" x14ac:dyDescent="0.3">
      <c r="B64" s="347">
        <v>46174</v>
      </c>
      <c r="C64" s="348">
        <f>-DRE!Y120-DRE!Y89</f>
        <v>157746.90000000008</v>
      </c>
      <c r="D64" s="349">
        <f t="shared" si="21"/>
        <v>111540.34</v>
      </c>
      <c r="F64" s="350" t="s">
        <v>540</v>
      </c>
      <c r="G64" s="351">
        <f t="shared" si="27"/>
        <v>0.14299999999999999</v>
      </c>
      <c r="H64" s="352">
        <f t="shared" si="22"/>
        <v>15950.268619999999</v>
      </c>
      <c r="I64" s="353">
        <f t="shared" si="23"/>
        <v>-87300</v>
      </c>
      <c r="J64" s="354">
        <f t="shared" si="24"/>
        <v>-0.63967647382104087</v>
      </c>
      <c r="K64" s="340">
        <f t="shared" si="25"/>
        <v>-100906.98074820041</v>
      </c>
      <c r="L64" s="340">
        <v>0</v>
      </c>
      <c r="M64" s="340">
        <f t="shared" si="26"/>
        <v>-100906.98074820041</v>
      </c>
      <c r="O64" s="304"/>
      <c r="P64" s="304"/>
      <c r="Q64" s="304"/>
      <c r="R64" s="304"/>
      <c r="S64" s="304"/>
      <c r="T64" s="304"/>
    </row>
    <row r="65" spans="2:20" x14ac:dyDescent="0.3">
      <c r="B65" s="347">
        <v>46204</v>
      </c>
      <c r="C65" s="348">
        <f>-DRE!AB120-DRE!AB89</f>
        <v>79882.490000000049</v>
      </c>
      <c r="D65" s="349">
        <f t="shared" si="21"/>
        <v>265287.24000000011</v>
      </c>
      <c r="F65" s="350" t="s">
        <v>540</v>
      </c>
      <c r="G65" s="351">
        <f t="shared" si="27"/>
        <v>0.14299999999999999</v>
      </c>
      <c r="H65" s="352">
        <f t="shared" si="22"/>
        <v>37936.075320000011</v>
      </c>
      <c r="I65" s="353">
        <f t="shared" si="23"/>
        <v>-87300</v>
      </c>
      <c r="J65" s="354">
        <f t="shared" si="24"/>
        <v>-0.18607726734237187</v>
      </c>
      <c r="K65" s="340">
        <f t="shared" si="25"/>
        <v>-14864.315447704357</v>
      </c>
      <c r="L65" s="340">
        <v>0</v>
      </c>
      <c r="M65" s="340">
        <f t="shared" si="26"/>
        <v>-14864.315447704357</v>
      </c>
      <c r="O65" s="304"/>
      <c r="P65" s="304"/>
      <c r="Q65" s="304"/>
      <c r="R65" s="304"/>
      <c r="S65" s="304"/>
      <c r="T65" s="304"/>
    </row>
    <row r="66" spans="2:20" x14ac:dyDescent="0.3">
      <c r="B66" s="347">
        <v>46235</v>
      </c>
      <c r="C66" s="348">
        <f>-DRE!AE120-DRE!AE89</f>
        <v>96676.14</v>
      </c>
      <c r="D66" s="349">
        <f t="shared" si="21"/>
        <v>341169.7300000001</v>
      </c>
      <c r="F66" s="350" t="s">
        <v>540</v>
      </c>
      <c r="G66" s="351">
        <f t="shared" si="27"/>
        <v>0.14299999999999999</v>
      </c>
      <c r="H66" s="352">
        <f t="shared" si="22"/>
        <v>48787.271390000009</v>
      </c>
      <c r="I66" s="353">
        <f t="shared" si="23"/>
        <v>-87300</v>
      </c>
      <c r="J66" s="354">
        <f t="shared" si="24"/>
        <v>-0.11288436582577235</v>
      </c>
      <c r="K66" s="340">
        <f t="shared" si="25"/>
        <v>-10913.224754383584</v>
      </c>
      <c r="L66" s="340">
        <v>0</v>
      </c>
      <c r="M66" s="340">
        <f t="shared" si="26"/>
        <v>-10913.224754383584</v>
      </c>
      <c r="O66" s="304"/>
      <c r="P66" s="304"/>
      <c r="Q66" s="304"/>
      <c r="R66" s="304"/>
      <c r="S66" s="304"/>
      <c r="T66" s="304"/>
    </row>
    <row r="67" spans="2:20" x14ac:dyDescent="0.3">
      <c r="B67" s="347">
        <v>46266</v>
      </c>
      <c r="C67" s="348">
        <f>-DRE!AH120-DRE!AH89</f>
        <v>118805.7</v>
      </c>
      <c r="D67" s="349">
        <f t="shared" si="21"/>
        <v>433845.87000000011</v>
      </c>
      <c r="F67" s="350" t="s">
        <v>540</v>
      </c>
      <c r="G67" s="351">
        <f t="shared" si="27"/>
        <v>0.14299999999999999</v>
      </c>
      <c r="H67" s="352">
        <f t="shared" si="22"/>
        <v>62039.95941000001</v>
      </c>
      <c r="I67" s="353">
        <f t="shared" si="23"/>
        <v>-87300</v>
      </c>
      <c r="J67" s="354">
        <f t="shared" si="24"/>
        <v>-5.8223535906887815E-2</v>
      </c>
      <c r="K67" s="340">
        <f t="shared" si="25"/>
        <v>-6917.2879398929417</v>
      </c>
      <c r="L67" s="340">
        <v>0</v>
      </c>
      <c r="M67" s="340">
        <f t="shared" si="26"/>
        <v>-6917.2879398929417</v>
      </c>
      <c r="O67" s="304"/>
      <c r="P67" s="304"/>
      <c r="Q67" s="304"/>
      <c r="R67" s="304"/>
      <c r="S67" s="304"/>
      <c r="T67" s="304"/>
    </row>
    <row r="68" spans="2:20" x14ac:dyDescent="0.3">
      <c r="B68" s="347">
        <v>46296</v>
      </c>
      <c r="C68" s="348">
        <f>-DRE!AK120-DRE!AK89</f>
        <v>118805.7</v>
      </c>
      <c r="D68" s="349">
        <f t="shared" si="21"/>
        <v>548651.57000000007</v>
      </c>
      <c r="F68" s="350" t="s">
        <v>540</v>
      </c>
      <c r="G68" s="351">
        <f t="shared" si="27"/>
        <v>0.14299999999999999</v>
      </c>
      <c r="H68" s="352">
        <f t="shared" si="22"/>
        <v>78457.174509999997</v>
      </c>
      <c r="I68" s="353">
        <f t="shared" si="23"/>
        <v>-87300</v>
      </c>
      <c r="J68" s="354">
        <f t="shared" si="24"/>
        <v>-1.6117379359727343E-2</v>
      </c>
      <c r="K68" s="340">
        <f t="shared" si="25"/>
        <v>-1914.8365369979588</v>
      </c>
      <c r="L68" s="355">
        <v>0</v>
      </c>
      <c r="M68" s="340">
        <f t="shared" si="26"/>
        <v>-1914.8365369979588</v>
      </c>
      <c r="O68" s="304"/>
      <c r="P68" s="304"/>
      <c r="Q68" s="304"/>
      <c r="R68" s="304"/>
      <c r="S68" s="304"/>
      <c r="T68" s="304"/>
    </row>
    <row r="69" spans="2:20" x14ac:dyDescent="0.3">
      <c r="B69" s="347">
        <v>46327</v>
      </c>
      <c r="C69" s="348">
        <f>-DRE!AN120-DRE!AN89</f>
        <v>118805.7</v>
      </c>
      <c r="D69" s="349">
        <f t="shared" si="21"/>
        <v>663457.27</v>
      </c>
      <c r="F69" s="350" t="s">
        <v>540</v>
      </c>
      <c r="G69" s="351">
        <f t="shared" si="27"/>
        <v>0.14299999999999999</v>
      </c>
      <c r="H69" s="352">
        <f t="shared" si="22"/>
        <v>94874.389609999998</v>
      </c>
      <c r="I69" s="353">
        <f t="shared" si="23"/>
        <v>-87300</v>
      </c>
      <c r="J69" s="354">
        <f t="shared" si="24"/>
        <v>1.141654474597889E-2</v>
      </c>
      <c r="K69" s="340">
        <f t="shared" si="25"/>
        <v>1356.3505901273443</v>
      </c>
      <c r="L69" s="355">
        <v>0</v>
      </c>
      <c r="M69" s="340">
        <f t="shared" si="26"/>
        <v>1356.3505901273443</v>
      </c>
      <c r="O69" s="304"/>
      <c r="P69" s="304"/>
      <c r="Q69" s="304"/>
      <c r="R69" s="304"/>
      <c r="S69" s="304"/>
      <c r="T69" s="304"/>
    </row>
    <row r="70" spans="2:20" x14ac:dyDescent="0.3">
      <c r="B70" s="347">
        <v>46357</v>
      </c>
      <c r="C70" s="348">
        <f>-DRE!AQ120-DRE!AQ89</f>
        <v>118805.7</v>
      </c>
      <c r="D70" s="349">
        <f t="shared" si="21"/>
        <v>778262.97</v>
      </c>
      <c r="F70" s="350" t="s">
        <v>540</v>
      </c>
      <c r="G70" s="351">
        <f t="shared" si="27"/>
        <v>0.14299999999999999</v>
      </c>
      <c r="H70" s="352">
        <f t="shared" si="22"/>
        <v>111291.60470999999</v>
      </c>
      <c r="I70" s="353">
        <f t="shared" si="23"/>
        <v>-87300</v>
      </c>
      <c r="J70" s="354">
        <f t="shared" si="24"/>
        <v>3.0827118383905616E-2</v>
      </c>
      <c r="K70" s="340">
        <f t="shared" si="25"/>
        <v>3662.4373785827752</v>
      </c>
      <c r="L70" s="355">
        <v>0</v>
      </c>
      <c r="M70" s="340">
        <f t="shared" si="26"/>
        <v>3662.4373785827752</v>
      </c>
      <c r="O70" s="304"/>
      <c r="P70" s="304"/>
      <c r="Q70" s="304"/>
      <c r="R70" s="304"/>
      <c r="S70" s="304"/>
      <c r="T70" s="304"/>
    </row>
    <row r="71" spans="2:20" x14ac:dyDescent="0.3">
      <c r="C71" s="297">
        <f>SUM(C59:C70)</f>
        <v>893068.66999999993</v>
      </c>
      <c r="F71" s="339"/>
      <c r="G71" s="339"/>
      <c r="H71" s="339"/>
      <c r="I71" s="339"/>
      <c r="J71" s="339"/>
      <c r="K71" s="356">
        <f>SUM(K59:K70)</f>
        <v>-282319.12706574192</v>
      </c>
      <c r="L71" s="356">
        <f>SUM(L59:L70)</f>
        <v>0</v>
      </c>
      <c r="M71" s="356">
        <f>SUM(M59:M70)</f>
        <v>-282319.12706574192</v>
      </c>
      <c r="O71" s="304"/>
      <c r="P71" s="304"/>
      <c r="Q71" s="304"/>
      <c r="R71" s="304"/>
      <c r="S71" s="304"/>
      <c r="T71" s="304"/>
    </row>
    <row r="72" spans="2:20" x14ac:dyDescent="0.3">
      <c r="C72" s="302"/>
      <c r="F72" s="339"/>
      <c r="G72" s="339"/>
      <c r="H72" s="339"/>
      <c r="I72" s="339"/>
      <c r="J72" s="339"/>
      <c r="K72" s="357"/>
      <c r="L72" s="357"/>
      <c r="M72" s="358">
        <f>M71/C71</f>
        <v>-0.31612252959869475</v>
      </c>
      <c r="N72" s="296" t="s">
        <v>541</v>
      </c>
      <c r="O72" s="304"/>
      <c r="P72" s="304"/>
      <c r="Q72" s="304"/>
      <c r="R72" s="304"/>
      <c r="S72" s="304"/>
      <c r="T72" s="304"/>
    </row>
    <row r="73" spans="2:20" x14ac:dyDescent="0.3">
      <c r="D73" s="304"/>
      <c r="E73" s="304"/>
      <c r="F73" s="304"/>
      <c r="G73" s="304"/>
      <c r="H73" s="304"/>
      <c r="I73" s="304"/>
      <c r="J73" s="304"/>
      <c r="K73" s="304"/>
      <c r="L73" s="304"/>
      <c r="M73" s="304"/>
      <c r="N73" s="304"/>
      <c r="O73" s="304"/>
      <c r="P73" s="304"/>
      <c r="Q73" s="304"/>
      <c r="R73" s="304"/>
      <c r="S73" s="304"/>
      <c r="T73" s="304"/>
    </row>
    <row r="74" spans="2:20" x14ac:dyDescent="0.3">
      <c r="D74" s="304"/>
      <c r="E74" s="304"/>
      <c r="F74" s="304"/>
      <c r="G74" s="304"/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04"/>
    </row>
    <row r="75" spans="2:20" x14ac:dyDescent="0.3">
      <c r="D75" s="304"/>
      <c r="E75" s="304"/>
      <c r="F75" s="304"/>
      <c r="G75" s="304"/>
      <c r="H75" s="304"/>
      <c r="I75" s="304"/>
      <c r="J75" s="304"/>
      <c r="K75" s="304"/>
      <c r="L75" s="304"/>
      <c r="M75" s="304"/>
      <c r="N75" s="304"/>
      <c r="O75" s="304"/>
      <c r="P75" s="304"/>
      <c r="Q75" s="304"/>
      <c r="R75" s="304"/>
      <c r="S75" s="304"/>
      <c r="T75" s="304"/>
    </row>
    <row r="76" spans="2:20" x14ac:dyDescent="0.3">
      <c r="B76" s="226">
        <v>0</v>
      </c>
      <c r="C76" s="359">
        <v>180000</v>
      </c>
      <c r="D76" s="360">
        <v>0.04</v>
      </c>
      <c r="E76" s="304" t="s">
        <v>542</v>
      </c>
      <c r="F76" s="304"/>
      <c r="G76" s="304"/>
      <c r="H76" s="304"/>
      <c r="I76" s="304"/>
      <c r="J76" s="304"/>
      <c r="K76" s="304"/>
      <c r="L76" s="304"/>
      <c r="M76" s="304"/>
      <c r="N76" s="304"/>
      <c r="O76" s="304"/>
      <c r="P76" s="304"/>
      <c r="Q76" s="304"/>
      <c r="R76" s="304"/>
      <c r="S76" s="304"/>
      <c r="T76" s="304"/>
    </row>
    <row r="77" spans="2:20" x14ac:dyDescent="0.3">
      <c r="B77" s="359">
        <v>180001</v>
      </c>
      <c r="C77" s="226">
        <v>360000</v>
      </c>
      <c r="D77" s="361">
        <v>7.2999999999999995E-2</v>
      </c>
      <c r="E77" s="304" t="s">
        <v>543</v>
      </c>
      <c r="F77" s="304"/>
      <c r="G77" s="304"/>
      <c r="H77" s="304"/>
      <c r="I77" s="304"/>
      <c r="J77" s="304"/>
      <c r="K77" s="304"/>
      <c r="L77" s="304"/>
      <c r="M77" s="304"/>
      <c r="N77" s="304"/>
      <c r="O77" s="304"/>
      <c r="P77" s="304"/>
      <c r="Q77" s="304"/>
      <c r="R77" s="304"/>
      <c r="S77" s="304"/>
      <c r="T77" s="304"/>
    </row>
    <row r="78" spans="2:20" x14ac:dyDescent="0.3">
      <c r="B78" s="226">
        <v>360001</v>
      </c>
      <c r="C78" s="226">
        <v>720000</v>
      </c>
      <c r="D78" s="361">
        <v>9.5000000000000001E-2</v>
      </c>
      <c r="E78" s="304" t="s">
        <v>544</v>
      </c>
      <c r="F78" s="304"/>
      <c r="G78" s="304"/>
      <c r="H78" s="304"/>
      <c r="I78" s="304"/>
      <c r="J78" s="304"/>
      <c r="K78" s="304"/>
      <c r="L78" s="304"/>
      <c r="M78" s="304"/>
      <c r="N78" s="304"/>
      <c r="O78" s="304"/>
      <c r="P78" s="304"/>
      <c r="Q78" s="304"/>
      <c r="R78" s="304"/>
      <c r="S78" s="304"/>
      <c r="T78" s="304"/>
    </row>
    <row r="79" spans="2:20" x14ac:dyDescent="0.3">
      <c r="B79" s="226">
        <v>720001</v>
      </c>
      <c r="C79" s="226">
        <v>1800000</v>
      </c>
      <c r="D79" s="361">
        <v>0.107</v>
      </c>
      <c r="E79" s="304" t="s">
        <v>545</v>
      </c>
      <c r="F79" s="304"/>
      <c r="G79" s="304"/>
      <c r="H79" s="304"/>
      <c r="I79" s="304"/>
      <c r="J79" s="304"/>
      <c r="K79" s="304"/>
      <c r="L79" s="304"/>
      <c r="M79" s="304"/>
      <c r="N79" s="304"/>
      <c r="O79" s="304"/>
      <c r="P79" s="304"/>
      <c r="Q79" s="304"/>
      <c r="R79" s="304"/>
      <c r="S79" s="304"/>
      <c r="T79" s="304"/>
    </row>
    <row r="80" spans="2:20" x14ac:dyDescent="0.3">
      <c r="B80" s="226">
        <v>1800001</v>
      </c>
      <c r="C80" s="226">
        <v>3600000</v>
      </c>
      <c r="D80" s="361">
        <v>0.14299999999999999</v>
      </c>
      <c r="E80" s="304" t="s">
        <v>540</v>
      </c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04"/>
      <c r="T80" s="304"/>
    </row>
    <row r="81" spans="2:20" x14ac:dyDescent="0.3">
      <c r="B81" s="226">
        <v>3600001</v>
      </c>
      <c r="C81" s="226">
        <v>4800001</v>
      </c>
      <c r="D81" s="362">
        <v>0.19</v>
      </c>
      <c r="E81" s="304" t="s">
        <v>546</v>
      </c>
      <c r="F81" s="304"/>
      <c r="G81" s="304"/>
      <c r="H81" s="304"/>
      <c r="I81" s="304"/>
      <c r="J81" s="304"/>
      <c r="K81" s="304"/>
      <c r="L81" s="304"/>
      <c r="M81" s="304"/>
      <c r="N81" s="304"/>
      <c r="O81" s="304"/>
      <c r="P81" s="304"/>
      <c r="Q81" s="304"/>
      <c r="R81" s="304"/>
      <c r="S81" s="304"/>
      <c r="T81" s="304"/>
    </row>
    <row r="82" spans="2:20" x14ac:dyDescent="0.3">
      <c r="D82" s="304"/>
      <c r="E82" s="304"/>
      <c r="F82" s="304"/>
      <c r="G82" s="304"/>
      <c r="H82" s="304"/>
      <c r="I82" s="304"/>
      <c r="J82" s="304"/>
      <c r="K82" s="304"/>
      <c r="L82" s="304"/>
      <c r="M82" s="304"/>
      <c r="N82" s="304"/>
      <c r="O82" s="304"/>
      <c r="P82" s="304"/>
      <c r="Q82" s="304"/>
      <c r="R82" s="304"/>
      <c r="S82" s="304"/>
      <c r="T82" s="304"/>
    </row>
    <row r="83" spans="2:20" x14ac:dyDescent="0.3">
      <c r="D83" s="304"/>
      <c r="E83" s="304"/>
      <c r="F83" s="304"/>
      <c r="G83" s="304"/>
      <c r="H83" s="304"/>
      <c r="I83" s="304"/>
      <c r="J83" s="304"/>
      <c r="K83" s="304"/>
      <c r="L83" s="304"/>
      <c r="M83" s="304"/>
      <c r="N83" s="304"/>
      <c r="O83" s="304"/>
      <c r="P83" s="304"/>
      <c r="Q83" s="304"/>
      <c r="R83" s="304"/>
      <c r="S83" s="304"/>
      <c r="T83" s="304"/>
    </row>
  </sheetData>
  <mergeCells count="2">
    <mergeCell ref="B1:T1"/>
    <mergeCell ref="B44:N4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E9634"/>
  <sheetViews>
    <sheetView workbookViewId="0">
      <selection activeCell="C10" sqref="C10"/>
    </sheetView>
  </sheetViews>
  <sheetFormatPr defaultRowHeight="14.4" x14ac:dyDescent="0.3"/>
  <cols>
    <col min="1" max="1" width="7.109375" bestFit="1" customWidth="1"/>
    <col min="2" max="2" width="10.33203125" bestFit="1" customWidth="1"/>
    <col min="3" max="3" width="46.88671875" bestFit="1" customWidth="1"/>
    <col min="4" max="4" width="16.5546875" style="226" bestFit="1" customWidth="1"/>
    <col min="5" max="5" width="12.44140625" style="226" bestFit="1" customWidth="1"/>
  </cols>
  <sheetData>
    <row r="1" spans="1:5" x14ac:dyDescent="0.3">
      <c r="A1" t="s">
        <v>547</v>
      </c>
      <c r="B1" t="s">
        <v>548</v>
      </c>
      <c r="C1" t="s">
        <v>549</v>
      </c>
      <c r="D1" s="226" t="s">
        <v>550</v>
      </c>
      <c r="E1" t="s">
        <v>551</v>
      </c>
    </row>
    <row r="2" spans="1:5" hidden="1" x14ac:dyDescent="0.3">
      <c r="A2" t="s">
        <v>552</v>
      </c>
      <c r="B2" t="s">
        <v>553</v>
      </c>
      <c r="C2" t="s">
        <v>11</v>
      </c>
      <c r="D2" s="226">
        <v>1045037.16</v>
      </c>
      <c r="E2" t="s">
        <v>554</v>
      </c>
    </row>
    <row r="3" spans="1:5" hidden="1" x14ac:dyDescent="0.3">
      <c r="A3" t="s">
        <v>552</v>
      </c>
      <c r="B3" t="s">
        <v>553</v>
      </c>
      <c r="C3" t="s">
        <v>13</v>
      </c>
      <c r="D3" s="226">
        <v>495430.5</v>
      </c>
      <c r="E3" t="s">
        <v>554</v>
      </c>
    </row>
    <row r="4" spans="1:5" hidden="1" x14ac:dyDescent="0.3">
      <c r="A4" t="s">
        <v>552</v>
      </c>
      <c r="B4" t="s">
        <v>553</v>
      </c>
      <c r="C4" t="s">
        <v>16</v>
      </c>
      <c r="D4" s="226">
        <v>414398</v>
      </c>
      <c r="E4" t="s">
        <v>554</v>
      </c>
    </row>
    <row r="5" spans="1:5" hidden="1" x14ac:dyDescent="0.3">
      <c r="A5" t="s">
        <v>552</v>
      </c>
      <c r="B5" t="s">
        <v>553</v>
      </c>
      <c r="C5" t="s">
        <v>17</v>
      </c>
      <c r="D5" s="226">
        <v>3080</v>
      </c>
      <c r="E5" t="s">
        <v>554</v>
      </c>
    </row>
    <row r="6" spans="1:5" hidden="1" x14ac:dyDescent="0.3">
      <c r="A6" t="s">
        <v>552</v>
      </c>
      <c r="B6" t="s">
        <v>553</v>
      </c>
      <c r="C6" t="s">
        <v>18</v>
      </c>
      <c r="D6" s="226">
        <v>750</v>
      </c>
      <c r="E6" t="s">
        <v>554</v>
      </c>
    </row>
    <row r="7" spans="1:5" hidden="1" x14ac:dyDescent="0.3">
      <c r="A7" t="s">
        <v>552</v>
      </c>
      <c r="B7" t="s">
        <v>553</v>
      </c>
      <c r="C7" t="s">
        <v>20</v>
      </c>
      <c r="D7" s="226">
        <v>116529.66</v>
      </c>
      <c r="E7" t="s">
        <v>554</v>
      </c>
    </row>
    <row r="8" spans="1:5" hidden="1" x14ac:dyDescent="0.3">
      <c r="A8" t="s">
        <v>552</v>
      </c>
      <c r="B8" t="s">
        <v>553</v>
      </c>
      <c r="C8" t="s">
        <v>23</v>
      </c>
      <c r="D8" s="226">
        <v>0</v>
      </c>
      <c r="E8" t="s">
        <v>554</v>
      </c>
    </row>
    <row r="9" spans="1:5" hidden="1" x14ac:dyDescent="0.3">
      <c r="A9" t="s">
        <v>552</v>
      </c>
      <c r="B9" t="s">
        <v>553</v>
      </c>
      <c r="C9" t="s">
        <v>25</v>
      </c>
      <c r="D9" s="226">
        <v>0</v>
      </c>
      <c r="E9" t="s">
        <v>554</v>
      </c>
    </row>
    <row r="10" spans="1:5" hidden="1" x14ac:dyDescent="0.3">
      <c r="A10" t="s">
        <v>552</v>
      </c>
      <c r="B10" t="s">
        <v>553</v>
      </c>
      <c r="C10" t="s">
        <v>26</v>
      </c>
      <c r="D10" s="226">
        <v>0</v>
      </c>
      <c r="E10" t="s">
        <v>554</v>
      </c>
    </row>
    <row r="11" spans="1:5" hidden="1" x14ac:dyDescent="0.3">
      <c r="A11" t="s">
        <v>552</v>
      </c>
      <c r="B11" t="s">
        <v>553</v>
      </c>
      <c r="C11" t="s">
        <v>27</v>
      </c>
      <c r="D11" s="226">
        <v>0</v>
      </c>
      <c r="E11" t="s">
        <v>554</v>
      </c>
    </row>
    <row r="12" spans="1:5" hidden="1" x14ac:dyDescent="0.3">
      <c r="A12" t="s">
        <v>552</v>
      </c>
      <c r="B12" t="s">
        <v>553</v>
      </c>
      <c r="C12" t="s">
        <v>29</v>
      </c>
      <c r="D12" s="226">
        <v>14849</v>
      </c>
      <c r="E12" t="s">
        <v>554</v>
      </c>
    </row>
    <row r="13" spans="1:5" hidden="1" x14ac:dyDescent="0.3">
      <c r="A13" t="s">
        <v>552</v>
      </c>
      <c r="B13" t="s">
        <v>553</v>
      </c>
      <c r="C13" t="s">
        <v>31</v>
      </c>
      <c r="D13" s="226">
        <v>0</v>
      </c>
      <c r="E13" t="s">
        <v>554</v>
      </c>
    </row>
    <row r="14" spans="1:5" hidden="1" x14ac:dyDescent="0.3">
      <c r="A14" t="s">
        <v>552</v>
      </c>
      <c r="B14" t="s">
        <v>553</v>
      </c>
      <c r="C14" t="s">
        <v>34</v>
      </c>
      <c r="D14" s="226">
        <v>-21219.5</v>
      </c>
      <c r="E14" t="s">
        <v>554</v>
      </c>
    </row>
    <row r="15" spans="1:5" hidden="1" x14ac:dyDescent="0.3">
      <c r="A15" t="s">
        <v>552</v>
      </c>
      <c r="B15" t="s">
        <v>553</v>
      </c>
      <c r="C15" t="s">
        <v>38</v>
      </c>
      <c r="D15" s="226">
        <v>-21219.5</v>
      </c>
      <c r="E15" t="s">
        <v>554</v>
      </c>
    </row>
    <row r="16" spans="1:5" hidden="1" x14ac:dyDescent="0.3">
      <c r="A16" t="s">
        <v>552</v>
      </c>
      <c r="B16" t="s">
        <v>553</v>
      </c>
      <c r="C16" t="s">
        <v>40</v>
      </c>
      <c r="D16" s="226">
        <v>0</v>
      </c>
      <c r="E16" t="s">
        <v>554</v>
      </c>
    </row>
    <row r="17" spans="1:5" hidden="1" x14ac:dyDescent="0.3">
      <c r="A17" t="s">
        <v>552</v>
      </c>
      <c r="B17" t="s">
        <v>553</v>
      </c>
      <c r="C17" t="s">
        <v>42</v>
      </c>
      <c r="D17" s="226">
        <v>0</v>
      </c>
      <c r="E17" t="s">
        <v>554</v>
      </c>
    </row>
    <row r="18" spans="1:5" hidden="1" x14ac:dyDescent="0.3">
      <c r="A18" t="s">
        <v>552</v>
      </c>
      <c r="B18" t="s">
        <v>553</v>
      </c>
      <c r="C18" t="s">
        <v>44</v>
      </c>
      <c r="D18" s="226">
        <v>-0.02</v>
      </c>
      <c r="E18" t="s">
        <v>554</v>
      </c>
    </row>
    <row r="19" spans="1:5" hidden="1" x14ac:dyDescent="0.3">
      <c r="A19" t="s">
        <v>552</v>
      </c>
      <c r="B19" t="s">
        <v>553</v>
      </c>
      <c r="C19" t="s">
        <v>45</v>
      </c>
      <c r="D19" s="226">
        <v>-62303.23</v>
      </c>
      <c r="E19" t="s">
        <v>554</v>
      </c>
    </row>
    <row r="20" spans="1:5" hidden="1" x14ac:dyDescent="0.3">
      <c r="A20" t="s">
        <v>552</v>
      </c>
      <c r="B20" t="s">
        <v>553</v>
      </c>
      <c r="C20" t="s">
        <v>46</v>
      </c>
      <c r="D20" s="226">
        <v>-33116.01</v>
      </c>
      <c r="E20" t="s">
        <v>554</v>
      </c>
    </row>
    <row r="21" spans="1:5" hidden="1" x14ac:dyDescent="0.3">
      <c r="A21" t="s">
        <v>552</v>
      </c>
      <c r="B21" t="s">
        <v>553</v>
      </c>
      <c r="C21" t="s">
        <v>48</v>
      </c>
      <c r="D21" s="226">
        <v>-29033.22</v>
      </c>
      <c r="E21" t="s">
        <v>554</v>
      </c>
    </row>
    <row r="22" spans="1:5" hidden="1" x14ac:dyDescent="0.3">
      <c r="A22" t="s">
        <v>552</v>
      </c>
      <c r="B22" t="s">
        <v>553</v>
      </c>
      <c r="C22" t="s">
        <v>49</v>
      </c>
      <c r="D22" s="226">
        <v>-154</v>
      </c>
      <c r="E22" t="s">
        <v>554</v>
      </c>
    </row>
    <row r="23" spans="1:5" hidden="1" x14ac:dyDescent="0.3">
      <c r="A23" t="s">
        <v>552</v>
      </c>
      <c r="B23" t="s">
        <v>553</v>
      </c>
      <c r="C23" t="s">
        <v>50</v>
      </c>
      <c r="D23" s="226">
        <v>961514.43</v>
      </c>
      <c r="E23" t="s">
        <v>554</v>
      </c>
    </row>
    <row r="24" spans="1:5" hidden="1" x14ac:dyDescent="0.3">
      <c r="A24" t="s">
        <v>552</v>
      </c>
      <c r="B24" t="s">
        <v>553</v>
      </c>
      <c r="C24" t="s">
        <v>51</v>
      </c>
      <c r="D24" s="226">
        <v>-278607.06</v>
      </c>
      <c r="E24" t="s">
        <v>554</v>
      </c>
    </row>
    <row r="25" spans="1:5" hidden="1" x14ac:dyDescent="0.3">
      <c r="A25" t="s">
        <v>552</v>
      </c>
      <c r="B25" t="s">
        <v>553</v>
      </c>
      <c r="C25" t="s">
        <v>52</v>
      </c>
      <c r="D25" s="226">
        <v>-191154.37</v>
      </c>
      <c r="E25" t="s">
        <v>554</v>
      </c>
    </row>
    <row r="26" spans="1:5" hidden="1" x14ac:dyDescent="0.3">
      <c r="A26" t="s">
        <v>552</v>
      </c>
      <c r="B26" t="s">
        <v>553</v>
      </c>
      <c r="C26" t="s">
        <v>53</v>
      </c>
      <c r="D26" s="226">
        <v>-85260.55</v>
      </c>
      <c r="E26" t="s">
        <v>554</v>
      </c>
    </row>
    <row r="27" spans="1:5" hidden="1" x14ac:dyDescent="0.3">
      <c r="A27" t="s">
        <v>552</v>
      </c>
      <c r="B27" t="s">
        <v>553</v>
      </c>
      <c r="C27" t="s">
        <v>54</v>
      </c>
      <c r="D27" s="226">
        <v>-2192.14</v>
      </c>
      <c r="E27" t="s">
        <v>554</v>
      </c>
    </row>
    <row r="28" spans="1:5" hidden="1" x14ac:dyDescent="0.3">
      <c r="A28" t="s">
        <v>552</v>
      </c>
      <c r="B28" t="s">
        <v>553</v>
      </c>
      <c r="C28" t="s">
        <v>23</v>
      </c>
      <c r="D28" s="226">
        <v>0</v>
      </c>
      <c r="E28" t="s">
        <v>554</v>
      </c>
    </row>
    <row r="29" spans="1:5" hidden="1" x14ac:dyDescent="0.3">
      <c r="A29" t="s">
        <v>552</v>
      </c>
      <c r="B29" t="s">
        <v>553</v>
      </c>
      <c r="C29" t="s">
        <v>44</v>
      </c>
      <c r="D29" s="226">
        <v>-0.3</v>
      </c>
      <c r="E29" t="s">
        <v>554</v>
      </c>
    </row>
    <row r="30" spans="1:5" hidden="1" x14ac:dyDescent="0.3">
      <c r="A30" t="s">
        <v>552</v>
      </c>
      <c r="B30" t="s">
        <v>553</v>
      </c>
      <c r="C30" t="s">
        <v>55</v>
      </c>
      <c r="D30" s="226">
        <v>-0.28999999999999998</v>
      </c>
      <c r="E30" t="s">
        <v>554</v>
      </c>
    </row>
    <row r="31" spans="1:5" hidden="1" x14ac:dyDescent="0.3">
      <c r="A31" t="s">
        <v>552</v>
      </c>
      <c r="B31" t="s">
        <v>553</v>
      </c>
      <c r="C31" t="s">
        <v>56</v>
      </c>
      <c r="D31" s="226">
        <v>-1321.09</v>
      </c>
      <c r="E31" t="s">
        <v>554</v>
      </c>
    </row>
    <row r="32" spans="1:5" hidden="1" x14ac:dyDescent="0.3">
      <c r="A32" t="s">
        <v>552</v>
      </c>
      <c r="B32" t="s">
        <v>553</v>
      </c>
      <c r="C32" t="s">
        <v>57</v>
      </c>
      <c r="D32" s="226">
        <v>-21.09</v>
      </c>
      <c r="E32" t="s">
        <v>554</v>
      </c>
    </row>
    <row r="33" spans="1:5" hidden="1" x14ac:dyDescent="0.3">
      <c r="A33" t="s">
        <v>552</v>
      </c>
      <c r="B33" t="s">
        <v>553</v>
      </c>
      <c r="C33" t="s">
        <v>58</v>
      </c>
      <c r="D33" s="226">
        <v>0</v>
      </c>
      <c r="E33" t="s">
        <v>554</v>
      </c>
    </row>
    <row r="34" spans="1:5" hidden="1" x14ac:dyDescent="0.3">
      <c r="A34" t="s">
        <v>552</v>
      </c>
      <c r="B34" t="s">
        <v>553</v>
      </c>
      <c r="C34" t="s">
        <v>59</v>
      </c>
      <c r="D34" s="226">
        <v>-21.09</v>
      </c>
      <c r="E34" t="s">
        <v>554</v>
      </c>
    </row>
    <row r="35" spans="1:5" hidden="1" x14ac:dyDescent="0.3">
      <c r="A35" t="s">
        <v>552</v>
      </c>
      <c r="B35" t="s">
        <v>553</v>
      </c>
      <c r="C35" t="s">
        <v>61</v>
      </c>
      <c r="D35" s="226">
        <v>0</v>
      </c>
      <c r="E35" t="s">
        <v>554</v>
      </c>
    </row>
    <row r="36" spans="1:5" hidden="1" x14ac:dyDescent="0.3">
      <c r="A36" t="s">
        <v>552</v>
      </c>
      <c r="B36" t="s">
        <v>553</v>
      </c>
      <c r="C36" t="s">
        <v>62</v>
      </c>
      <c r="D36" s="226">
        <v>0</v>
      </c>
      <c r="E36" t="s">
        <v>554</v>
      </c>
    </row>
    <row r="37" spans="1:5" hidden="1" x14ac:dyDescent="0.3">
      <c r="A37" t="s">
        <v>552</v>
      </c>
      <c r="B37" t="s">
        <v>553</v>
      </c>
      <c r="C37" t="s">
        <v>64</v>
      </c>
      <c r="D37" s="226">
        <v>0</v>
      </c>
      <c r="E37" t="s">
        <v>554</v>
      </c>
    </row>
    <row r="38" spans="1:5" hidden="1" x14ac:dyDescent="0.3">
      <c r="A38" t="s">
        <v>552</v>
      </c>
      <c r="B38" t="s">
        <v>553</v>
      </c>
      <c r="C38" t="s">
        <v>65</v>
      </c>
      <c r="D38" s="226">
        <v>-1300</v>
      </c>
      <c r="E38" t="s">
        <v>554</v>
      </c>
    </row>
    <row r="39" spans="1:5" hidden="1" x14ac:dyDescent="0.3">
      <c r="A39" t="s">
        <v>552</v>
      </c>
      <c r="B39" t="s">
        <v>553</v>
      </c>
      <c r="C39" t="s">
        <v>66</v>
      </c>
      <c r="D39" s="226">
        <v>0</v>
      </c>
      <c r="E39" t="s">
        <v>554</v>
      </c>
    </row>
    <row r="40" spans="1:5" hidden="1" x14ac:dyDescent="0.3">
      <c r="A40" t="s">
        <v>552</v>
      </c>
      <c r="B40" t="s">
        <v>553</v>
      </c>
      <c r="C40" t="s">
        <v>68</v>
      </c>
      <c r="D40" s="226">
        <v>-1300</v>
      </c>
      <c r="E40" t="s">
        <v>554</v>
      </c>
    </row>
    <row r="41" spans="1:5" hidden="1" x14ac:dyDescent="0.3">
      <c r="A41" t="s">
        <v>552</v>
      </c>
      <c r="B41" t="s">
        <v>553</v>
      </c>
      <c r="C41" t="s">
        <v>69</v>
      </c>
      <c r="D41" s="226">
        <v>0</v>
      </c>
      <c r="E41" t="s">
        <v>554</v>
      </c>
    </row>
    <row r="42" spans="1:5" hidden="1" x14ac:dyDescent="0.3">
      <c r="A42" t="s">
        <v>552</v>
      </c>
      <c r="B42" t="s">
        <v>553</v>
      </c>
      <c r="C42" t="s">
        <v>70</v>
      </c>
      <c r="D42" s="226">
        <v>-0.43</v>
      </c>
      <c r="E42" t="s">
        <v>554</v>
      </c>
    </row>
    <row r="43" spans="1:5" hidden="1" x14ac:dyDescent="0.3">
      <c r="A43" t="s">
        <v>552</v>
      </c>
      <c r="B43" t="s">
        <v>553</v>
      </c>
      <c r="C43" t="s">
        <v>44</v>
      </c>
      <c r="D43" s="226">
        <v>0</v>
      </c>
      <c r="E43" t="s">
        <v>554</v>
      </c>
    </row>
    <row r="44" spans="1:5" hidden="1" x14ac:dyDescent="0.3">
      <c r="A44" t="s">
        <v>552</v>
      </c>
      <c r="B44" t="s">
        <v>553</v>
      </c>
      <c r="C44" t="s">
        <v>71</v>
      </c>
      <c r="D44" s="226">
        <v>0</v>
      </c>
      <c r="E44" t="s">
        <v>554</v>
      </c>
    </row>
    <row r="45" spans="1:5" hidden="1" x14ac:dyDescent="0.3">
      <c r="A45" t="s">
        <v>552</v>
      </c>
      <c r="B45" t="s">
        <v>553</v>
      </c>
      <c r="C45" t="s">
        <v>72</v>
      </c>
      <c r="D45" s="226">
        <v>0</v>
      </c>
      <c r="E45" t="s">
        <v>554</v>
      </c>
    </row>
    <row r="46" spans="1:5" hidden="1" x14ac:dyDescent="0.3">
      <c r="A46" t="s">
        <v>552</v>
      </c>
      <c r="B46" t="s">
        <v>553</v>
      </c>
      <c r="C46" t="s">
        <v>73</v>
      </c>
      <c r="D46" s="226">
        <v>0</v>
      </c>
      <c r="E46" t="s">
        <v>554</v>
      </c>
    </row>
    <row r="47" spans="1:5" hidden="1" x14ac:dyDescent="0.3">
      <c r="A47" t="s">
        <v>552</v>
      </c>
      <c r="B47" t="s">
        <v>553</v>
      </c>
      <c r="C47" t="s">
        <v>75</v>
      </c>
      <c r="D47" s="226">
        <v>0</v>
      </c>
      <c r="E47" t="s">
        <v>554</v>
      </c>
    </row>
    <row r="48" spans="1:5" hidden="1" x14ac:dyDescent="0.3">
      <c r="A48" t="s">
        <v>552</v>
      </c>
      <c r="B48" t="s">
        <v>553</v>
      </c>
      <c r="C48" t="s">
        <v>77</v>
      </c>
      <c r="D48" s="226">
        <v>0</v>
      </c>
      <c r="E48" t="s">
        <v>554</v>
      </c>
    </row>
    <row r="49" spans="1:5" hidden="1" x14ac:dyDescent="0.3">
      <c r="A49" t="s">
        <v>552</v>
      </c>
      <c r="B49" t="s">
        <v>553</v>
      </c>
      <c r="C49" t="s">
        <v>78</v>
      </c>
      <c r="D49" s="226">
        <v>0</v>
      </c>
      <c r="E49" t="s">
        <v>554</v>
      </c>
    </row>
    <row r="50" spans="1:5" hidden="1" x14ac:dyDescent="0.3">
      <c r="A50" t="s">
        <v>552</v>
      </c>
      <c r="B50" t="s">
        <v>553</v>
      </c>
      <c r="C50" t="s">
        <v>80</v>
      </c>
      <c r="D50" s="226">
        <v>0</v>
      </c>
      <c r="E50" t="s">
        <v>554</v>
      </c>
    </row>
    <row r="51" spans="1:5" hidden="1" x14ac:dyDescent="0.3">
      <c r="A51" t="s">
        <v>552</v>
      </c>
      <c r="B51" t="s">
        <v>553</v>
      </c>
      <c r="C51" t="s">
        <v>82</v>
      </c>
      <c r="D51" s="226">
        <v>0</v>
      </c>
      <c r="E51" t="s">
        <v>554</v>
      </c>
    </row>
    <row r="52" spans="1:5" hidden="1" x14ac:dyDescent="0.3">
      <c r="A52" t="s">
        <v>552</v>
      </c>
      <c r="B52" t="s">
        <v>553</v>
      </c>
      <c r="C52" t="s">
        <v>84</v>
      </c>
      <c r="D52" s="226">
        <v>0</v>
      </c>
      <c r="E52" t="s">
        <v>554</v>
      </c>
    </row>
    <row r="53" spans="1:5" hidden="1" x14ac:dyDescent="0.3">
      <c r="A53" t="s">
        <v>552</v>
      </c>
      <c r="B53" t="s">
        <v>553</v>
      </c>
      <c r="C53" t="s">
        <v>85</v>
      </c>
      <c r="D53" s="226">
        <v>0</v>
      </c>
      <c r="E53" t="s">
        <v>554</v>
      </c>
    </row>
    <row r="54" spans="1:5" hidden="1" x14ac:dyDescent="0.3">
      <c r="A54" t="s">
        <v>552</v>
      </c>
      <c r="B54" t="s">
        <v>553</v>
      </c>
      <c r="C54" t="s">
        <v>86</v>
      </c>
      <c r="D54" s="226">
        <v>0</v>
      </c>
      <c r="E54" t="s">
        <v>554</v>
      </c>
    </row>
    <row r="55" spans="1:5" hidden="1" x14ac:dyDescent="0.3">
      <c r="A55" t="s">
        <v>552</v>
      </c>
      <c r="B55" t="s">
        <v>553</v>
      </c>
      <c r="C55" t="s">
        <v>87</v>
      </c>
      <c r="D55" s="226">
        <v>0</v>
      </c>
      <c r="E55" t="s">
        <v>554</v>
      </c>
    </row>
    <row r="56" spans="1:5" hidden="1" x14ac:dyDescent="0.3">
      <c r="A56" t="s">
        <v>552</v>
      </c>
      <c r="B56" t="s">
        <v>553</v>
      </c>
      <c r="C56" t="s">
        <v>88</v>
      </c>
      <c r="D56" s="226">
        <v>0</v>
      </c>
      <c r="E56" t="s">
        <v>554</v>
      </c>
    </row>
    <row r="57" spans="1:5" hidden="1" x14ac:dyDescent="0.3">
      <c r="A57" t="s">
        <v>552</v>
      </c>
      <c r="B57" t="s">
        <v>553</v>
      </c>
      <c r="C57" t="s">
        <v>89</v>
      </c>
      <c r="D57" s="226">
        <v>0</v>
      </c>
      <c r="E57" t="s">
        <v>554</v>
      </c>
    </row>
    <row r="58" spans="1:5" hidden="1" x14ac:dyDescent="0.3">
      <c r="A58" t="s">
        <v>552</v>
      </c>
      <c r="B58" t="s">
        <v>553</v>
      </c>
      <c r="C58" t="s">
        <v>90</v>
      </c>
      <c r="D58" s="226">
        <v>0</v>
      </c>
      <c r="E58" t="s">
        <v>554</v>
      </c>
    </row>
    <row r="59" spans="1:5" hidden="1" x14ac:dyDescent="0.3">
      <c r="A59" t="s">
        <v>552</v>
      </c>
      <c r="B59" t="s">
        <v>553</v>
      </c>
      <c r="C59" t="s">
        <v>91</v>
      </c>
      <c r="D59" s="226">
        <v>0</v>
      </c>
      <c r="E59" t="s">
        <v>554</v>
      </c>
    </row>
    <row r="60" spans="1:5" hidden="1" x14ac:dyDescent="0.3">
      <c r="A60" t="s">
        <v>552</v>
      </c>
      <c r="B60" t="s">
        <v>553</v>
      </c>
      <c r="C60" t="s">
        <v>93</v>
      </c>
      <c r="D60" s="226">
        <v>0</v>
      </c>
      <c r="E60" t="s">
        <v>554</v>
      </c>
    </row>
    <row r="61" spans="1:5" hidden="1" x14ac:dyDescent="0.3">
      <c r="A61" t="s">
        <v>552</v>
      </c>
      <c r="B61" t="s">
        <v>553</v>
      </c>
      <c r="C61" t="s">
        <v>95</v>
      </c>
      <c r="D61" s="226">
        <v>0</v>
      </c>
      <c r="E61" t="s">
        <v>554</v>
      </c>
    </row>
    <row r="62" spans="1:5" hidden="1" x14ac:dyDescent="0.3">
      <c r="A62" t="s">
        <v>552</v>
      </c>
      <c r="B62" t="s">
        <v>553</v>
      </c>
      <c r="C62" t="s">
        <v>96</v>
      </c>
      <c r="D62" s="226">
        <v>0</v>
      </c>
      <c r="E62" t="s">
        <v>554</v>
      </c>
    </row>
    <row r="63" spans="1:5" hidden="1" x14ac:dyDescent="0.3">
      <c r="A63" t="s">
        <v>552</v>
      </c>
      <c r="B63" t="s">
        <v>553</v>
      </c>
      <c r="C63" t="s">
        <v>98</v>
      </c>
      <c r="D63" s="226">
        <v>0</v>
      </c>
      <c r="E63" t="s">
        <v>554</v>
      </c>
    </row>
    <row r="64" spans="1:5" hidden="1" x14ac:dyDescent="0.3">
      <c r="A64" t="s">
        <v>552</v>
      </c>
      <c r="B64" t="s">
        <v>553</v>
      </c>
      <c r="C64" t="s">
        <v>100</v>
      </c>
      <c r="D64" s="226">
        <v>0</v>
      </c>
      <c r="E64" t="s">
        <v>554</v>
      </c>
    </row>
    <row r="65" spans="1:5" hidden="1" x14ac:dyDescent="0.3">
      <c r="A65" t="s">
        <v>552</v>
      </c>
      <c r="B65" t="s">
        <v>553</v>
      </c>
      <c r="C65" t="s">
        <v>101</v>
      </c>
      <c r="D65" s="226">
        <v>0</v>
      </c>
      <c r="E65" t="s">
        <v>554</v>
      </c>
    </row>
    <row r="66" spans="1:5" hidden="1" x14ac:dyDescent="0.3">
      <c r="A66" t="s">
        <v>552</v>
      </c>
      <c r="B66" t="s">
        <v>553</v>
      </c>
      <c r="C66" t="s">
        <v>102</v>
      </c>
      <c r="D66" s="226">
        <v>0</v>
      </c>
      <c r="E66" t="s">
        <v>554</v>
      </c>
    </row>
    <row r="67" spans="1:5" hidden="1" x14ac:dyDescent="0.3">
      <c r="A67" t="s">
        <v>552</v>
      </c>
      <c r="B67" t="s">
        <v>553</v>
      </c>
      <c r="C67" t="s">
        <v>103</v>
      </c>
      <c r="D67" s="226">
        <v>0</v>
      </c>
      <c r="E67" t="s">
        <v>554</v>
      </c>
    </row>
    <row r="68" spans="1:5" hidden="1" x14ac:dyDescent="0.3">
      <c r="A68" t="s">
        <v>552</v>
      </c>
      <c r="B68" t="s">
        <v>553</v>
      </c>
      <c r="C68" t="s">
        <v>104</v>
      </c>
      <c r="D68" s="226">
        <v>0</v>
      </c>
      <c r="E68" t="s">
        <v>554</v>
      </c>
    </row>
    <row r="69" spans="1:5" hidden="1" x14ac:dyDescent="0.3">
      <c r="A69" t="s">
        <v>552</v>
      </c>
      <c r="B69" t="s">
        <v>553</v>
      </c>
      <c r="C69" t="s">
        <v>105</v>
      </c>
      <c r="D69" s="226">
        <v>0</v>
      </c>
      <c r="E69" t="s">
        <v>554</v>
      </c>
    </row>
    <row r="70" spans="1:5" hidden="1" x14ac:dyDescent="0.3">
      <c r="A70" t="s">
        <v>552</v>
      </c>
      <c r="B70" t="s">
        <v>553</v>
      </c>
      <c r="C70" t="s">
        <v>107</v>
      </c>
      <c r="D70" s="226">
        <v>0</v>
      </c>
      <c r="E70" t="s">
        <v>554</v>
      </c>
    </row>
    <row r="71" spans="1:5" hidden="1" x14ac:dyDescent="0.3">
      <c r="A71" t="s">
        <v>552</v>
      </c>
      <c r="B71" t="s">
        <v>553</v>
      </c>
      <c r="C71" t="s">
        <v>108</v>
      </c>
      <c r="D71" s="226">
        <v>0</v>
      </c>
      <c r="E71" t="s">
        <v>554</v>
      </c>
    </row>
    <row r="72" spans="1:5" hidden="1" x14ac:dyDescent="0.3">
      <c r="A72" t="s">
        <v>552</v>
      </c>
      <c r="B72" t="s">
        <v>553</v>
      </c>
      <c r="C72" t="s">
        <v>109</v>
      </c>
      <c r="D72" s="226">
        <v>0</v>
      </c>
      <c r="E72" t="s">
        <v>554</v>
      </c>
    </row>
    <row r="73" spans="1:5" hidden="1" x14ac:dyDescent="0.3">
      <c r="A73" t="s">
        <v>552</v>
      </c>
      <c r="B73" t="s">
        <v>553</v>
      </c>
      <c r="C73" t="s">
        <v>110</v>
      </c>
      <c r="D73" s="226">
        <v>0</v>
      </c>
      <c r="E73" t="s">
        <v>554</v>
      </c>
    </row>
    <row r="74" spans="1:5" hidden="1" x14ac:dyDescent="0.3">
      <c r="A74" t="s">
        <v>552</v>
      </c>
      <c r="B74" t="s">
        <v>553</v>
      </c>
      <c r="C74" t="s">
        <v>44</v>
      </c>
      <c r="D74" s="226">
        <v>0</v>
      </c>
      <c r="E74" t="s">
        <v>554</v>
      </c>
    </row>
    <row r="75" spans="1:5" hidden="1" x14ac:dyDescent="0.3">
      <c r="A75" t="s">
        <v>552</v>
      </c>
      <c r="B75" t="s">
        <v>553</v>
      </c>
      <c r="C75" t="s">
        <v>111</v>
      </c>
      <c r="D75" s="226">
        <v>-68419.3</v>
      </c>
      <c r="E75" t="s">
        <v>554</v>
      </c>
    </row>
    <row r="76" spans="1:5" hidden="1" x14ac:dyDescent="0.3">
      <c r="A76" t="s">
        <v>552</v>
      </c>
      <c r="B76" t="s">
        <v>553</v>
      </c>
      <c r="C76" t="s">
        <v>555</v>
      </c>
      <c r="D76" s="226">
        <v>-68419.3</v>
      </c>
      <c r="E76" t="s">
        <v>554</v>
      </c>
    </row>
    <row r="77" spans="1:5" hidden="1" x14ac:dyDescent="0.3">
      <c r="A77" t="s">
        <v>552</v>
      </c>
      <c r="B77" t="s">
        <v>553</v>
      </c>
      <c r="C77" t="s">
        <v>44</v>
      </c>
      <c r="D77" s="226">
        <v>-7.0000000000000007E-2</v>
      </c>
      <c r="E77" t="s">
        <v>554</v>
      </c>
    </row>
    <row r="78" spans="1:5" hidden="1" x14ac:dyDescent="0.3">
      <c r="A78" t="s">
        <v>552</v>
      </c>
      <c r="B78" t="s">
        <v>553</v>
      </c>
      <c r="C78" t="s">
        <v>115</v>
      </c>
      <c r="D78" s="226">
        <v>-20801.810000000001</v>
      </c>
      <c r="E78" t="s">
        <v>554</v>
      </c>
    </row>
    <row r="79" spans="1:5" hidden="1" x14ac:dyDescent="0.3">
      <c r="A79" t="s">
        <v>552</v>
      </c>
      <c r="B79" t="s">
        <v>553</v>
      </c>
      <c r="C79" t="s">
        <v>116</v>
      </c>
      <c r="D79" s="226">
        <v>-17555.79</v>
      </c>
      <c r="E79" t="s">
        <v>554</v>
      </c>
    </row>
    <row r="80" spans="1:5" hidden="1" x14ac:dyDescent="0.3">
      <c r="A80" t="s">
        <v>552</v>
      </c>
      <c r="B80" t="s">
        <v>553</v>
      </c>
      <c r="C80" t="s">
        <v>118</v>
      </c>
      <c r="D80" s="226">
        <v>0</v>
      </c>
      <c r="E80" t="s">
        <v>554</v>
      </c>
    </row>
    <row r="81" spans="1:5" hidden="1" x14ac:dyDescent="0.3">
      <c r="A81" t="s">
        <v>552</v>
      </c>
      <c r="B81" t="s">
        <v>553</v>
      </c>
      <c r="C81" t="s">
        <v>120</v>
      </c>
      <c r="D81" s="226">
        <v>0</v>
      </c>
      <c r="E81" t="s">
        <v>554</v>
      </c>
    </row>
    <row r="82" spans="1:5" hidden="1" x14ac:dyDescent="0.3">
      <c r="A82" t="s">
        <v>552</v>
      </c>
      <c r="B82" t="s">
        <v>553</v>
      </c>
      <c r="C82" t="s">
        <v>122</v>
      </c>
      <c r="D82" s="226">
        <v>-3246.02</v>
      </c>
      <c r="E82" t="s">
        <v>554</v>
      </c>
    </row>
    <row r="83" spans="1:5" hidden="1" x14ac:dyDescent="0.3">
      <c r="A83" t="s">
        <v>552</v>
      </c>
      <c r="B83" t="s">
        <v>553</v>
      </c>
      <c r="C83" t="s">
        <v>44</v>
      </c>
      <c r="D83" s="226">
        <v>-0.02</v>
      </c>
      <c r="E83" t="s">
        <v>554</v>
      </c>
    </row>
    <row r="84" spans="1:5" hidden="1" x14ac:dyDescent="0.3">
      <c r="A84" t="s">
        <v>552</v>
      </c>
      <c r="B84" t="s">
        <v>553</v>
      </c>
      <c r="C84" t="s">
        <v>125</v>
      </c>
      <c r="D84" s="226">
        <v>592365.17000000004</v>
      </c>
      <c r="E84" t="s">
        <v>554</v>
      </c>
    </row>
    <row r="85" spans="1:5" hidden="1" x14ac:dyDescent="0.3">
      <c r="A85" t="s">
        <v>552</v>
      </c>
      <c r="B85" t="s">
        <v>553</v>
      </c>
      <c r="C85" t="s">
        <v>126</v>
      </c>
      <c r="D85" s="226">
        <v>0.56999999999999995</v>
      </c>
      <c r="E85" t="s">
        <v>554</v>
      </c>
    </row>
    <row r="86" spans="1:5" hidden="1" x14ac:dyDescent="0.3">
      <c r="A86" t="s">
        <v>552</v>
      </c>
      <c r="B86" t="s">
        <v>553</v>
      </c>
      <c r="C86" t="s">
        <v>127</v>
      </c>
      <c r="D86" s="226">
        <v>-288324.78000000003</v>
      </c>
      <c r="E86" t="s">
        <v>554</v>
      </c>
    </row>
    <row r="87" spans="1:5" hidden="1" x14ac:dyDescent="0.3">
      <c r="A87" t="s">
        <v>552</v>
      </c>
      <c r="B87" t="s">
        <v>553</v>
      </c>
      <c r="C87" t="s">
        <v>128</v>
      </c>
      <c r="D87" s="226">
        <v>-43170</v>
      </c>
      <c r="E87" t="s">
        <v>554</v>
      </c>
    </row>
    <row r="88" spans="1:5" hidden="1" x14ac:dyDescent="0.3">
      <c r="A88" t="s">
        <v>552</v>
      </c>
      <c r="B88" t="s">
        <v>553</v>
      </c>
      <c r="C88" t="s">
        <v>556</v>
      </c>
      <c r="D88" s="226">
        <v>-9750</v>
      </c>
      <c r="E88" t="s">
        <v>554</v>
      </c>
    </row>
    <row r="89" spans="1:5" hidden="1" x14ac:dyDescent="0.3">
      <c r="A89" t="s">
        <v>552</v>
      </c>
      <c r="B89" t="s">
        <v>553</v>
      </c>
      <c r="C89" t="s">
        <v>557</v>
      </c>
      <c r="D89" s="226">
        <v>-5280</v>
      </c>
      <c r="E89" t="s">
        <v>554</v>
      </c>
    </row>
    <row r="90" spans="1:5" hidden="1" x14ac:dyDescent="0.3">
      <c r="A90" t="s">
        <v>552</v>
      </c>
      <c r="B90" t="s">
        <v>553</v>
      </c>
      <c r="C90" t="s">
        <v>558</v>
      </c>
      <c r="D90" s="226">
        <v>0</v>
      </c>
      <c r="E90" t="s">
        <v>554</v>
      </c>
    </row>
    <row r="91" spans="1:5" hidden="1" x14ac:dyDescent="0.3">
      <c r="A91" t="s">
        <v>552</v>
      </c>
      <c r="B91" t="s">
        <v>553</v>
      </c>
      <c r="C91" t="s">
        <v>559</v>
      </c>
      <c r="D91" s="226">
        <v>-14640</v>
      </c>
      <c r="E91" t="s">
        <v>554</v>
      </c>
    </row>
    <row r="92" spans="1:5" hidden="1" x14ac:dyDescent="0.3">
      <c r="A92" t="s">
        <v>552</v>
      </c>
      <c r="B92" t="s">
        <v>553</v>
      </c>
      <c r="C92" t="s">
        <v>560</v>
      </c>
      <c r="D92" s="226">
        <v>-2500</v>
      </c>
      <c r="E92" t="s">
        <v>554</v>
      </c>
    </row>
    <row r="93" spans="1:5" hidden="1" x14ac:dyDescent="0.3">
      <c r="A93" t="s">
        <v>552</v>
      </c>
      <c r="B93" t="s">
        <v>553</v>
      </c>
      <c r="C93" t="s">
        <v>561</v>
      </c>
      <c r="D93" s="226">
        <v>-7000</v>
      </c>
      <c r="E93" t="s">
        <v>554</v>
      </c>
    </row>
    <row r="94" spans="1:5" hidden="1" x14ac:dyDescent="0.3">
      <c r="A94" t="s">
        <v>552</v>
      </c>
      <c r="B94" t="s">
        <v>553</v>
      </c>
      <c r="C94" t="s">
        <v>562</v>
      </c>
      <c r="D94" s="226">
        <v>-4000</v>
      </c>
      <c r="E94" t="s">
        <v>554</v>
      </c>
    </row>
    <row r="95" spans="1:5" hidden="1" x14ac:dyDescent="0.3">
      <c r="A95" t="s">
        <v>552</v>
      </c>
      <c r="B95" t="s">
        <v>553</v>
      </c>
      <c r="C95" t="s">
        <v>563</v>
      </c>
      <c r="D95" s="226">
        <v>0</v>
      </c>
      <c r="E95" t="s">
        <v>554</v>
      </c>
    </row>
    <row r="96" spans="1:5" hidden="1" x14ac:dyDescent="0.3">
      <c r="A96" t="s">
        <v>552</v>
      </c>
      <c r="B96" t="s">
        <v>553</v>
      </c>
      <c r="C96" t="s">
        <v>564</v>
      </c>
      <c r="D96" s="226">
        <v>0</v>
      </c>
      <c r="E96" t="s">
        <v>554</v>
      </c>
    </row>
    <row r="97" spans="1:5" hidden="1" x14ac:dyDescent="0.3">
      <c r="A97" t="s">
        <v>552</v>
      </c>
      <c r="B97" t="s">
        <v>553</v>
      </c>
      <c r="C97" t="s">
        <v>565</v>
      </c>
      <c r="D97" s="226">
        <v>0</v>
      </c>
      <c r="E97" t="s">
        <v>554</v>
      </c>
    </row>
    <row r="98" spans="1:5" hidden="1" x14ac:dyDescent="0.3">
      <c r="A98" t="s">
        <v>552</v>
      </c>
      <c r="B98" t="s">
        <v>553</v>
      </c>
      <c r="C98" t="s">
        <v>566</v>
      </c>
      <c r="D98" s="226">
        <v>0</v>
      </c>
      <c r="E98" t="s">
        <v>554</v>
      </c>
    </row>
    <row r="99" spans="1:5" hidden="1" x14ac:dyDescent="0.3">
      <c r="A99" t="s">
        <v>552</v>
      </c>
      <c r="B99" t="s">
        <v>553</v>
      </c>
      <c r="C99" t="s">
        <v>567</v>
      </c>
      <c r="D99" s="226">
        <v>0</v>
      </c>
      <c r="E99" t="s">
        <v>554</v>
      </c>
    </row>
    <row r="100" spans="1:5" hidden="1" x14ac:dyDescent="0.3">
      <c r="A100" t="s">
        <v>552</v>
      </c>
      <c r="B100" t="s">
        <v>553</v>
      </c>
      <c r="C100" t="s">
        <v>141</v>
      </c>
      <c r="D100" s="226">
        <v>-60977.31</v>
      </c>
      <c r="E100" t="s">
        <v>554</v>
      </c>
    </row>
    <row r="101" spans="1:5" hidden="1" x14ac:dyDescent="0.3">
      <c r="A101" t="s">
        <v>552</v>
      </c>
      <c r="B101" t="s">
        <v>553</v>
      </c>
      <c r="C101" t="s">
        <v>568</v>
      </c>
      <c r="D101" s="226">
        <v>0</v>
      </c>
      <c r="E101" t="s">
        <v>554</v>
      </c>
    </row>
    <row r="102" spans="1:5" hidden="1" x14ac:dyDescent="0.3">
      <c r="A102" t="s">
        <v>552</v>
      </c>
      <c r="B102" t="s">
        <v>553</v>
      </c>
      <c r="C102" t="s">
        <v>569</v>
      </c>
      <c r="D102" s="226">
        <v>0</v>
      </c>
      <c r="E102" t="s">
        <v>554</v>
      </c>
    </row>
    <row r="103" spans="1:5" hidden="1" x14ac:dyDescent="0.3">
      <c r="A103" t="s">
        <v>552</v>
      </c>
      <c r="B103" t="s">
        <v>553</v>
      </c>
      <c r="C103" t="s">
        <v>570</v>
      </c>
      <c r="D103" s="226">
        <v>0</v>
      </c>
      <c r="E103" t="s">
        <v>554</v>
      </c>
    </row>
    <row r="104" spans="1:5" hidden="1" x14ac:dyDescent="0.3">
      <c r="A104" t="s">
        <v>552</v>
      </c>
      <c r="B104" t="s">
        <v>553</v>
      </c>
      <c r="C104" t="s">
        <v>571</v>
      </c>
      <c r="D104" s="226">
        <v>0</v>
      </c>
      <c r="E104" t="s">
        <v>554</v>
      </c>
    </row>
    <row r="105" spans="1:5" hidden="1" x14ac:dyDescent="0.3">
      <c r="A105" t="s">
        <v>552</v>
      </c>
      <c r="B105" t="s">
        <v>553</v>
      </c>
      <c r="C105" t="s">
        <v>572</v>
      </c>
      <c r="D105" s="226">
        <v>0</v>
      </c>
      <c r="E105" t="s">
        <v>554</v>
      </c>
    </row>
    <row r="106" spans="1:5" hidden="1" x14ac:dyDescent="0.3">
      <c r="A106" t="s">
        <v>552</v>
      </c>
      <c r="B106" t="s">
        <v>553</v>
      </c>
      <c r="C106" t="s">
        <v>573</v>
      </c>
      <c r="D106" s="226">
        <v>0</v>
      </c>
      <c r="E106" t="s">
        <v>554</v>
      </c>
    </row>
    <row r="107" spans="1:5" hidden="1" x14ac:dyDescent="0.3">
      <c r="A107" t="s">
        <v>552</v>
      </c>
      <c r="B107" t="s">
        <v>553</v>
      </c>
      <c r="C107" t="s">
        <v>574</v>
      </c>
      <c r="D107" s="226">
        <v>0</v>
      </c>
      <c r="E107" t="s">
        <v>554</v>
      </c>
    </row>
    <row r="108" spans="1:5" hidden="1" x14ac:dyDescent="0.3">
      <c r="A108" t="s">
        <v>552</v>
      </c>
      <c r="B108" t="s">
        <v>553</v>
      </c>
      <c r="C108" t="s">
        <v>575</v>
      </c>
      <c r="D108" s="226">
        <v>0</v>
      </c>
      <c r="E108" t="s">
        <v>554</v>
      </c>
    </row>
    <row r="109" spans="1:5" hidden="1" x14ac:dyDescent="0.3">
      <c r="A109" t="s">
        <v>552</v>
      </c>
      <c r="B109" t="s">
        <v>553</v>
      </c>
      <c r="C109" t="s">
        <v>576</v>
      </c>
      <c r="D109" s="226">
        <v>0</v>
      </c>
      <c r="E109" t="s">
        <v>554</v>
      </c>
    </row>
    <row r="110" spans="1:5" hidden="1" x14ac:dyDescent="0.3">
      <c r="A110" t="s">
        <v>552</v>
      </c>
      <c r="B110" t="s">
        <v>553</v>
      </c>
      <c r="C110" t="s">
        <v>577</v>
      </c>
      <c r="D110" s="226">
        <v>0</v>
      </c>
      <c r="E110" t="s">
        <v>554</v>
      </c>
    </row>
    <row r="111" spans="1:5" hidden="1" x14ac:dyDescent="0.3">
      <c r="A111" t="s">
        <v>552</v>
      </c>
      <c r="B111" t="s">
        <v>553</v>
      </c>
      <c r="C111" t="s">
        <v>578</v>
      </c>
      <c r="D111" s="226">
        <v>0</v>
      </c>
      <c r="E111" t="s">
        <v>554</v>
      </c>
    </row>
    <row r="112" spans="1:5" hidden="1" x14ac:dyDescent="0.3">
      <c r="A112" t="s">
        <v>552</v>
      </c>
      <c r="B112" t="s">
        <v>553</v>
      </c>
      <c r="C112" t="s">
        <v>579</v>
      </c>
      <c r="D112" s="226">
        <v>0</v>
      </c>
      <c r="E112" t="s">
        <v>554</v>
      </c>
    </row>
    <row r="113" spans="1:5" hidden="1" x14ac:dyDescent="0.3">
      <c r="A113" t="s">
        <v>552</v>
      </c>
      <c r="B113" t="s">
        <v>553</v>
      </c>
      <c r="C113" t="s">
        <v>580</v>
      </c>
      <c r="D113" s="226">
        <v>0</v>
      </c>
      <c r="E113" t="s">
        <v>554</v>
      </c>
    </row>
    <row r="114" spans="1:5" hidden="1" x14ac:dyDescent="0.3">
      <c r="A114" t="s">
        <v>552</v>
      </c>
      <c r="B114" t="s">
        <v>553</v>
      </c>
      <c r="C114" t="s">
        <v>581</v>
      </c>
      <c r="D114" s="226">
        <v>0</v>
      </c>
      <c r="E114" t="s">
        <v>554</v>
      </c>
    </row>
    <row r="115" spans="1:5" hidden="1" x14ac:dyDescent="0.3">
      <c r="A115" t="s">
        <v>552</v>
      </c>
      <c r="B115" t="s">
        <v>553</v>
      </c>
      <c r="C115" t="s">
        <v>582</v>
      </c>
      <c r="D115" s="226">
        <v>0</v>
      </c>
      <c r="E115" t="s">
        <v>554</v>
      </c>
    </row>
    <row r="116" spans="1:5" hidden="1" x14ac:dyDescent="0.3">
      <c r="A116" t="s">
        <v>552</v>
      </c>
      <c r="B116" t="s">
        <v>553</v>
      </c>
      <c r="C116" t="s">
        <v>583</v>
      </c>
      <c r="D116" s="226">
        <v>0</v>
      </c>
      <c r="E116" t="s">
        <v>554</v>
      </c>
    </row>
    <row r="117" spans="1:5" hidden="1" x14ac:dyDescent="0.3">
      <c r="A117" t="s">
        <v>552</v>
      </c>
      <c r="B117" t="s">
        <v>553</v>
      </c>
      <c r="C117" t="s">
        <v>584</v>
      </c>
      <c r="D117" s="226">
        <v>0</v>
      </c>
      <c r="E117" t="s">
        <v>554</v>
      </c>
    </row>
    <row r="118" spans="1:5" hidden="1" x14ac:dyDescent="0.3">
      <c r="A118" t="s">
        <v>552</v>
      </c>
      <c r="B118" t="s">
        <v>553</v>
      </c>
      <c r="C118" t="s">
        <v>585</v>
      </c>
      <c r="D118" s="226">
        <v>0</v>
      </c>
      <c r="E118" t="s">
        <v>554</v>
      </c>
    </row>
    <row r="119" spans="1:5" hidden="1" x14ac:dyDescent="0.3">
      <c r="A119" t="s">
        <v>552</v>
      </c>
      <c r="B119" t="s">
        <v>553</v>
      </c>
      <c r="C119" t="s">
        <v>586</v>
      </c>
      <c r="D119" s="226">
        <v>0</v>
      </c>
      <c r="E119" t="s">
        <v>554</v>
      </c>
    </row>
    <row r="120" spans="1:5" hidden="1" x14ac:dyDescent="0.3">
      <c r="A120" t="s">
        <v>552</v>
      </c>
      <c r="B120" t="s">
        <v>553</v>
      </c>
      <c r="C120" t="s">
        <v>587</v>
      </c>
      <c r="D120" s="226">
        <v>0</v>
      </c>
      <c r="E120" t="s">
        <v>554</v>
      </c>
    </row>
    <row r="121" spans="1:5" hidden="1" x14ac:dyDescent="0.3">
      <c r="A121" t="s">
        <v>552</v>
      </c>
      <c r="B121" t="s">
        <v>553</v>
      </c>
      <c r="C121" t="s">
        <v>588</v>
      </c>
      <c r="D121" s="226">
        <v>0</v>
      </c>
      <c r="E121" t="s">
        <v>554</v>
      </c>
    </row>
    <row r="122" spans="1:5" hidden="1" x14ac:dyDescent="0.3">
      <c r="A122" t="s">
        <v>552</v>
      </c>
      <c r="B122" t="s">
        <v>553</v>
      </c>
      <c r="C122" t="s">
        <v>589</v>
      </c>
      <c r="D122" s="226">
        <v>0</v>
      </c>
      <c r="E122" t="s">
        <v>554</v>
      </c>
    </row>
    <row r="123" spans="1:5" hidden="1" x14ac:dyDescent="0.3">
      <c r="A123" t="s">
        <v>552</v>
      </c>
      <c r="B123" t="s">
        <v>553</v>
      </c>
      <c r="C123" t="s">
        <v>590</v>
      </c>
      <c r="D123" s="226">
        <v>0</v>
      </c>
      <c r="E123" t="s">
        <v>554</v>
      </c>
    </row>
    <row r="124" spans="1:5" hidden="1" x14ac:dyDescent="0.3">
      <c r="A124" t="s">
        <v>552</v>
      </c>
      <c r="B124" t="s">
        <v>553</v>
      </c>
      <c r="C124" t="s">
        <v>591</v>
      </c>
      <c r="D124" s="226">
        <v>0</v>
      </c>
      <c r="E124" t="s">
        <v>554</v>
      </c>
    </row>
    <row r="125" spans="1:5" hidden="1" x14ac:dyDescent="0.3">
      <c r="A125" t="s">
        <v>552</v>
      </c>
      <c r="B125" t="s">
        <v>553</v>
      </c>
      <c r="C125" t="s">
        <v>592</v>
      </c>
      <c r="D125" s="226">
        <v>0</v>
      </c>
      <c r="E125" t="s">
        <v>554</v>
      </c>
    </row>
    <row r="126" spans="1:5" hidden="1" x14ac:dyDescent="0.3">
      <c r="A126" t="s">
        <v>552</v>
      </c>
      <c r="B126" t="s">
        <v>553</v>
      </c>
      <c r="C126" t="s">
        <v>593</v>
      </c>
      <c r="D126" s="226">
        <v>0</v>
      </c>
      <c r="E126" t="s">
        <v>554</v>
      </c>
    </row>
    <row r="127" spans="1:5" hidden="1" x14ac:dyDescent="0.3">
      <c r="A127" t="s">
        <v>552</v>
      </c>
      <c r="B127" t="s">
        <v>553</v>
      </c>
      <c r="C127" t="s">
        <v>594</v>
      </c>
      <c r="D127" s="226">
        <v>0</v>
      </c>
      <c r="E127" t="s">
        <v>554</v>
      </c>
    </row>
    <row r="128" spans="1:5" hidden="1" x14ac:dyDescent="0.3">
      <c r="A128" t="s">
        <v>552</v>
      </c>
      <c r="B128" t="s">
        <v>553</v>
      </c>
      <c r="C128" t="s">
        <v>595</v>
      </c>
      <c r="D128" s="226">
        <v>0</v>
      </c>
      <c r="E128" t="s">
        <v>554</v>
      </c>
    </row>
    <row r="129" spans="1:5" hidden="1" x14ac:dyDescent="0.3">
      <c r="A129" t="s">
        <v>552</v>
      </c>
      <c r="B129" t="s">
        <v>553</v>
      </c>
      <c r="C129" t="s">
        <v>596</v>
      </c>
      <c r="D129" s="226">
        <v>0</v>
      </c>
      <c r="E129" t="s">
        <v>554</v>
      </c>
    </row>
    <row r="130" spans="1:5" hidden="1" x14ac:dyDescent="0.3">
      <c r="A130" t="s">
        <v>552</v>
      </c>
      <c r="B130" t="s">
        <v>553</v>
      </c>
      <c r="C130" t="s">
        <v>597</v>
      </c>
      <c r="D130" s="226">
        <v>0</v>
      </c>
      <c r="E130" t="s">
        <v>554</v>
      </c>
    </row>
    <row r="131" spans="1:5" hidden="1" x14ac:dyDescent="0.3">
      <c r="A131" t="s">
        <v>552</v>
      </c>
      <c r="B131" t="s">
        <v>553</v>
      </c>
      <c r="C131" t="s">
        <v>598</v>
      </c>
      <c r="D131" s="226">
        <v>0</v>
      </c>
      <c r="E131" t="s">
        <v>554</v>
      </c>
    </row>
    <row r="132" spans="1:5" hidden="1" x14ac:dyDescent="0.3">
      <c r="A132" t="s">
        <v>552</v>
      </c>
      <c r="B132" t="s">
        <v>553</v>
      </c>
      <c r="C132" t="s">
        <v>599</v>
      </c>
      <c r="D132" s="226">
        <v>0</v>
      </c>
      <c r="E132" t="s">
        <v>554</v>
      </c>
    </row>
    <row r="133" spans="1:5" hidden="1" x14ac:dyDescent="0.3">
      <c r="A133" t="s">
        <v>552</v>
      </c>
      <c r="B133" t="s">
        <v>553</v>
      </c>
      <c r="C133" t="s">
        <v>600</v>
      </c>
      <c r="D133" s="226">
        <v>0</v>
      </c>
      <c r="E133" t="s">
        <v>554</v>
      </c>
    </row>
    <row r="134" spans="1:5" hidden="1" x14ac:dyDescent="0.3">
      <c r="A134" t="s">
        <v>552</v>
      </c>
      <c r="B134" t="s">
        <v>553</v>
      </c>
      <c r="C134" t="s">
        <v>601</v>
      </c>
      <c r="D134" s="226">
        <v>0</v>
      </c>
      <c r="E134" t="s">
        <v>554</v>
      </c>
    </row>
    <row r="135" spans="1:5" hidden="1" x14ac:dyDescent="0.3">
      <c r="A135" t="s">
        <v>552</v>
      </c>
      <c r="B135" t="s">
        <v>553</v>
      </c>
      <c r="C135" t="s">
        <v>602</v>
      </c>
      <c r="D135" s="226">
        <v>0</v>
      </c>
      <c r="E135" t="s">
        <v>554</v>
      </c>
    </row>
    <row r="136" spans="1:5" hidden="1" x14ac:dyDescent="0.3">
      <c r="A136" t="s">
        <v>552</v>
      </c>
      <c r="B136" t="s">
        <v>553</v>
      </c>
      <c r="C136" t="s">
        <v>603</v>
      </c>
      <c r="D136" s="226">
        <v>0</v>
      </c>
      <c r="E136" t="s">
        <v>554</v>
      </c>
    </row>
    <row r="137" spans="1:5" hidden="1" x14ac:dyDescent="0.3">
      <c r="A137" t="s">
        <v>552</v>
      </c>
      <c r="B137" t="s">
        <v>553</v>
      </c>
      <c r="C137" t="s">
        <v>604</v>
      </c>
      <c r="D137" s="226">
        <v>0</v>
      </c>
      <c r="E137" t="s">
        <v>554</v>
      </c>
    </row>
    <row r="138" spans="1:5" hidden="1" x14ac:dyDescent="0.3">
      <c r="A138" t="s">
        <v>552</v>
      </c>
      <c r="B138" t="s">
        <v>553</v>
      </c>
      <c r="C138" t="s">
        <v>605</v>
      </c>
      <c r="D138" s="226">
        <v>0</v>
      </c>
      <c r="E138" t="s">
        <v>554</v>
      </c>
    </row>
    <row r="139" spans="1:5" hidden="1" x14ac:dyDescent="0.3">
      <c r="A139" t="s">
        <v>552</v>
      </c>
      <c r="B139" t="s">
        <v>553</v>
      </c>
      <c r="C139" t="s">
        <v>606</v>
      </c>
      <c r="D139" s="226">
        <v>0</v>
      </c>
      <c r="E139" t="s">
        <v>554</v>
      </c>
    </row>
    <row r="140" spans="1:5" hidden="1" x14ac:dyDescent="0.3">
      <c r="A140" t="s">
        <v>552</v>
      </c>
      <c r="B140" t="s">
        <v>553</v>
      </c>
      <c r="C140" t="s">
        <v>607</v>
      </c>
      <c r="D140" s="226">
        <v>0</v>
      </c>
      <c r="E140" t="s">
        <v>554</v>
      </c>
    </row>
    <row r="141" spans="1:5" hidden="1" x14ac:dyDescent="0.3">
      <c r="A141" t="s">
        <v>552</v>
      </c>
      <c r="B141" t="s">
        <v>553</v>
      </c>
      <c r="C141" t="s">
        <v>608</v>
      </c>
      <c r="D141" s="226">
        <v>0</v>
      </c>
      <c r="E141" t="s">
        <v>554</v>
      </c>
    </row>
    <row r="142" spans="1:5" hidden="1" x14ac:dyDescent="0.3">
      <c r="A142" t="s">
        <v>552</v>
      </c>
      <c r="B142" t="s">
        <v>553</v>
      </c>
      <c r="C142" t="s">
        <v>609</v>
      </c>
      <c r="D142" s="226">
        <v>0</v>
      </c>
      <c r="E142" t="s">
        <v>554</v>
      </c>
    </row>
    <row r="143" spans="1:5" hidden="1" x14ac:dyDescent="0.3">
      <c r="A143" t="s">
        <v>552</v>
      </c>
      <c r="B143" t="s">
        <v>553</v>
      </c>
      <c r="C143" t="s">
        <v>610</v>
      </c>
      <c r="D143" s="226">
        <v>0</v>
      </c>
      <c r="E143" t="s">
        <v>554</v>
      </c>
    </row>
    <row r="144" spans="1:5" hidden="1" x14ac:dyDescent="0.3">
      <c r="A144" t="s">
        <v>552</v>
      </c>
      <c r="B144" t="s">
        <v>553</v>
      </c>
      <c r="C144" t="s">
        <v>611</v>
      </c>
      <c r="D144" s="226">
        <v>0</v>
      </c>
      <c r="E144" t="s">
        <v>554</v>
      </c>
    </row>
    <row r="145" spans="1:5" hidden="1" x14ac:dyDescent="0.3">
      <c r="A145" t="s">
        <v>552</v>
      </c>
      <c r="B145" t="s">
        <v>553</v>
      </c>
      <c r="C145" t="s">
        <v>612</v>
      </c>
      <c r="D145" s="226">
        <v>0</v>
      </c>
      <c r="E145" t="s">
        <v>554</v>
      </c>
    </row>
    <row r="146" spans="1:5" hidden="1" x14ac:dyDescent="0.3">
      <c r="A146" t="s">
        <v>552</v>
      </c>
      <c r="B146" t="s">
        <v>553</v>
      </c>
      <c r="C146" t="s">
        <v>613</v>
      </c>
      <c r="D146" s="226">
        <v>0</v>
      </c>
      <c r="E146" t="s">
        <v>554</v>
      </c>
    </row>
    <row r="147" spans="1:5" hidden="1" x14ac:dyDescent="0.3">
      <c r="A147" t="s">
        <v>552</v>
      </c>
      <c r="B147" t="s">
        <v>553</v>
      </c>
      <c r="C147" t="s">
        <v>614</v>
      </c>
      <c r="D147" s="226">
        <v>0</v>
      </c>
      <c r="E147" t="s">
        <v>554</v>
      </c>
    </row>
    <row r="148" spans="1:5" hidden="1" x14ac:dyDescent="0.3">
      <c r="A148" t="s">
        <v>552</v>
      </c>
      <c r="B148" t="s">
        <v>553</v>
      </c>
      <c r="C148" t="s">
        <v>615</v>
      </c>
      <c r="D148" s="226">
        <v>0</v>
      </c>
      <c r="E148" t="s">
        <v>554</v>
      </c>
    </row>
    <row r="149" spans="1:5" hidden="1" x14ac:dyDescent="0.3">
      <c r="A149" t="s">
        <v>552</v>
      </c>
      <c r="B149" t="s">
        <v>553</v>
      </c>
      <c r="C149" t="s">
        <v>616</v>
      </c>
      <c r="D149" s="226">
        <v>0</v>
      </c>
      <c r="E149" t="s">
        <v>554</v>
      </c>
    </row>
    <row r="150" spans="1:5" hidden="1" x14ac:dyDescent="0.3">
      <c r="A150" t="s">
        <v>552</v>
      </c>
      <c r="B150" t="s">
        <v>553</v>
      </c>
      <c r="C150" t="s">
        <v>617</v>
      </c>
      <c r="D150" s="226">
        <v>0</v>
      </c>
      <c r="E150" t="s">
        <v>554</v>
      </c>
    </row>
    <row r="151" spans="1:5" hidden="1" x14ac:dyDescent="0.3">
      <c r="A151" t="s">
        <v>552</v>
      </c>
      <c r="B151" t="s">
        <v>553</v>
      </c>
      <c r="C151" t="s">
        <v>618</v>
      </c>
      <c r="D151" s="226">
        <v>0</v>
      </c>
      <c r="E151" t="s">
        <v>554</v>
      </c>
    </row>
    <row r="152" spans="1:5" hidden="1" x14ac:dyDescent="0.3">
      <c r="A152" t="s">
        <v>552</v>
      </c>
      <c r="B152" t="s">
        <v>553</v>
      </c>
      <c r="C152" t="s">
        <v>619</v>
      </c>
      <c r="D152" s="226">
        <v>0</v>
      </c>
      <c r="E152" t="s">
        <v>554</v>
      </c>
    </row>
    <row r="153" spans="1:5" hidden="1" x14ac:dyDescent="0.3">
      <c r="A153" t="s">
        <v>552</v>
      </c>
      <c r="B153" t="s">
        <v>553</v>
      </c>
      <c r="C153" t="s">
        <v>620</v>
      </c>
      <c r="D153" s="226">
        <v>0</v>
      </c>
      <c r="E153" t="s">
        <v>554</v>
      </c>
    </row>
    <row r="154" spans="1:5" hidden="1" x14ac:dyDescent="0.3">
      <c r="A154" t="s">
        <v>552</v>
      </c>
      <c r="B154" t="s">
        <v>553</v>
      </c>
      <c r="C154" t="s">
        <v>621</v>
      </c>
      <c r="D154" s="226">
        <v>0</v>
      </c>
      <c r="E154" t="s">
        <v>554</v>
      </c>
    </row>
    <row r="155" spans="1:5" hidden="1" x14ac:dyDescent="0.3">
      <c r="A155" t="s">
        <v>552</v>
      </c>
      <c r="B155" t="s">
        <v>553</v>
      </c>
      <c r="C155" t="s">
        <v>622</v>
      </c>
      <c r="D155" s="226">
        <v>0</v>
      </c>
      <c r="E155" t="s">
        <v>554</v>
      </c>
    </row>
    <row r="156" spans="1:5" hidden="1" x14ac:dyDescent="0.3">
      <c r="A156" t="s">
        <v>552</v>
      </c>
      <c r="B156" t="s">
        <v>553</v>
      </c>
      <c r="C156" t="s">
        <v>623</v>
      </c>
      <c r="D156" s="226">
        <v>0</v>
      </c>
      <c r="E156" t="s">
        <v>554</v>
      </c>
    </row>
    <row r="157" spans="1:5" hidden="1" x14ac:dyDescent="0.3">
      <c r="A157" t="s">
        <v>552</v>
      </c>
      <c r="B157" t="s">
        <v>553</v>
      </c>
      <c r="C157" t="s">
        <v>624</v>
      </c>
      <c r="D157" s="226">
        <v>0</v>
      </c>
      <c r="E157" t="s">
        <v>554</v>
      </c>
    </row>
    <row r="158" spans="1:5" hidden="1" x14ac:dyDescent="0.3">
      <c r="A158" t="s">
        <v>552</v>
      </c>
      <c r="B158" t="s">
        <v>553</v>
      </c>
      <c r="C158" t="s">
        <v>200</v>
      </c>
      <c r="D158" s="226">
        <v>-78991.38</v>
      </c>
      <c r="E158" t="s">
        <v>554</v>
      </c>
    </row>
    <row r="159" spans="1:5" hidden="1" x14ac:dyDescent="0.3">
      <c r="A159" t="s">
        <v>552</v>
      </c>
      <c r="B159" t="s">
        <v>553</v>
      </c>
      <c r="C159" t="s">
        <v>202</v>
      </c>
      <c r="D159" s="226">
        <v>-78991.38</v>
      </c>
      <c r="E159" t="s">
        <v>554</v>
      </c>
    </row>
    <row r="160" spans="1:5" hidden="1" x14ac:dyDescent="0.3">
      <c r="A160" t="s">
        <v>552</v>
      </c>
      <c r="B160" t="s">
        <v>553</v>
      </c>
      <c r="C160" t="s">
        <v>625</v>
      </c>
      <c r="D160" s="226">
        <v>39495.69</v>
      </c>
      <c r="E160" t="s">
        <v>554</v>
      </c>
    </row>
    <row r="161" spans="1:5" hidden="1" x14ac:dyDescent="0.3">
      <c r="A161" t="s">
        <v>552</v>
      </c>
      <c r="B161" t="s">
        <v>553</v>
      </c>
      <c r="C161" t="s">
        <v>204</v>
      </c>
      <c r="D161" s="226">
        <v>-73514.720000000001</v>
      </c>
      <c r="E161" t="s">
        <v>554</v>
      </c>
    </row>
    <row r="162" spans="1:5" hidden="1" x14ac:dyDescent="0.3">
      <c r="A162" t="s">
        <v>552</v>
      </c>
      <c r="B162" t="s">
        <v>553</v>
      </c>
      <c r="C162" t="s">
        <v>626</v>
      </c>
      <c r="D162" s="226">
        <v>-5195.6400000000003</v>
      </c>
      <c r="E162" t="s">
        <v>554</v>
      </c>
    </row>
    <row r="163" spans="1:5" hidden="1" x14ac:dyDescent="0.3">
      <c r="A163" t="s">
        <v>552</v>
      </c>
      <c r="B163" t="s">
        <v>553</v>
      </c>
      <c r="C163" t="s">
        <v>627</v>
      </c>
      <c r="D163" s="226">
        <v>-33141.760000000002</v>
      </c>
      <c r="E163" t="s">
        <v>554</v>
      </c>
    </row>
    <row r="164" spans="1:5" hidden="1" x14ac:dyDescent="0.3">
      <c r="A164" t="s">
        <v>552</v>
      </c>
      <c r="B164" t="s">
        <v>553</v>
      </c>
      <c r="C164" t="s">
        <v>628</v>
      </c>
      <c r="D164" s="226">
        <v>0</v>
      </c>
      <c r="E164" t="s">
        <v>554</v>
      </c>
    </row>
    <row r="165" spans="1:5" hidden="1" x14ac:dyDescent="0.3">
      <c r="A165" t="s">
        <v>552</v>
      </c>
      <c r="B165" t="s">
        <v>553</v>
      </c>
      <c r="C165" t="s">
        <v>629</v>
      </c>
      <c r="D165" s="226">
        <v>-9224.65</v>
      </c>
      <c r="E165" t="s">
        <v>554</v>
      </c>
    </row>
    <row r="166" spans="1:5" hidden="1" x14ac:dyDescent="0.3">
      <c r="A166" t="s">
        <v>552</v>
      </c>
      <c r="B166" t="s">
        <v>553</v>
      </c>
      <c r="C166" t="s">
        <v>630</v>
      </c>
      <c r="D166" s="226">
        <v>-2765.18</v>
      </c>
      <c r="E166" t="s">
        <v>554</v>
      </c>
    </row>
    <row r="167" spans="1:5" hidden="1" x14ac:dyDescent="0.3">
      <c r="A167" t="s">
        <v>552</v>
      </c>
      <c r="B167" t="s">
        <v>553</v>
      </c>
      <c r="C167" t="s">
        <v>631</v>
      </c>
      <c r="D167" s="226">
        <v>-3108.07</v>
      </c>
      <c r="E167" t="s">
        <v>554</v>
      </c>
    </row>
    <row r="168" spans="1:5" hidden="1" x14ac:dyDescent="0.3">
      <c r="A168" t="s">
        <v>552</v>
      </c>
      <c r="B168" t="s">
        <v>553</v>
      </c>
      <c r="C168" t="s">
        <v>632</v>
      </c>
      <c r="D168" s="226">
        <v>-929.1</v>
      </c>
      <c r="E168" t="s">
        <v>554</v>
      </c>
    </row>
    <row r="169" spans="1:5" hidden="1" x14ac:dyDescent="0.3">
      <c r="A169" t="s">
        <v>552</v>
      </c>
      <c r="B169" t="s">
        <v>553</v>
      </c>
      <c r="C169" t="s">
        <v>633</v>
      </c>
      <c r="D169" s="226">
        <v>0</v>
      </c>
      <c r="E169" t="s">
        <v>554</v>
      </c>
    </row>
    <row r="170" spans="1:5" hidden="1" x14ac:dyDescent="0.3">
      <c r="A170" t="s">
        <v>552</v>
      </c>
      <c r="B170" t="s">
        <v>553</v>
      </c>
      <c r="C170" t="s">
        <v>634</v>
      </c>
      <c r="D170" s="226">
        <v>0</v>
      </c>
      <c r="E170" t="s">
        <v>554</v>
      </c>
    </row>
    <row r="171" spans="1:5" hidden="1" x14ac:dyDescent="0.3">
      <c r="A171" t="s">
        <v>552</v>
      </c>
      <c r="B171" t="s">
        <v>553</v>
      </c>
      <c r="C171" t="s">
        <v>635</v>
      </c>
      <c r="D171" s="226">
        <v>0</v>
      </c>
      <c r="E171" t="s">
        <v>554</v>
      </c>
    </row>
    <row r="172" spans="1:5" hidden="1" x14ac:dyDescent="0.3">
      <c r="A172" t="s">
        <v>552</v>
      </c>
      <c r="B172" t="s">
        <v>553</v>
      </c>
      <c r="C172" t="s">
        <v>636</v>
      </c>
      <c r="D172" s="226">
        <v>0</v>
      </c>
      <c r="E172" t="s">
        <v>554</v>
      </c>
    </row>
    <row r="173" spans="1:5" hidden="1" x14ac:dyDescent="0.3">
      <c r="A173" t="s">
        <v>552</v>
      </c>
      <c r="B173" t="s">
        <v>553</v>
      </c>
      <c r="C173" t="s">
        <v>637</v>
      </c>
      <c r="D173" s="226">
        <v>-19000</v>
      </c>
      <c r="E173" t="s">
        <v>554</v>
      </c>
    </row>
    <row r="174" spans="1:5" hidden="1" x14ac:dyDescent="0.3">
      <c r="A174" t="s">
        <v>552</v>
      </c>
      <c r="B174" t="s">
        <v>553</v>
      </c>
      <c r="C174" t="s">
        <v>638</v>
      </c>
      <c r="D174" s="226">
        <v>0</v>
      </c>
      <c r="E174" t="s">
        <v>554</v>
      </c>
    </row>
    <row r="175" spans="1:5" hidden="1" x14ac:dyDescent="0.3">
      <c r="A175" t="s">
        <v>552</v>
      </c>
      <c r="B175" t="s">
        <v>553</v>
      </c>
      <c r="C175" t="s">
        <v>639</v>
      </c>
      <c r="D175" s="226">
        <v>-150.32</v>
      </c>
      <c r="E175" t="s">
        <v>554</v>
      </c>
    </row>
    <row r="176" spans="1:5" hidden="1" x14ac:dyDescent="0.3">
      <c r="A176" t="s">
        <v>552</v>
      </c>
      <c r="B176" t="s">
        <v>553</v>
      </c>
      <c r="C176" t="s">
        <v>640</v>
      </c>
      <c r="D176" s="226">
        <v>0</v>
      </c>
      <c r="E176" t="s">
        <v>554</v>
      </c>
    </row>
    <row r="177" spans="1:5" hidden="1" x14ac:dyDescent="0.3">
      <c r="A177" t="s">
        <v>552</v>
      </c>
      <c r="B177" t="s">
        <v>553</v>
      </c>
      <c r="C177" t="s">
        <v>641</v>
      </c>
      <c r="D177" s="226">
        <v>0</v>
      </c>
      <c r="E177" t="s">
        <v>554</v>
      </c>
    </row>
    <row r="178" spans="1:5" hidden="1" x14ac:dyDescent="0.3">
      <c r="A178" t="s">
        <v>552</v>
      </c>
      <c r="B178" t="s">
        <v>553</v>
      </c>
      <c r="C178" t="s">
        <v>237</v>
      </c>
      <c r="D178" s="226">
        <v>-8285.27</v>
      </c>
      <c r="E178" t="s">
        <v>554</v>
      </c>
    </row>
    <row r="179" spans="1:5" hidden="1" x14ac:dyDescent="0.3">
      <c r="A179" t="s">
        <v>552</v>
      </c>
      <c r="B179" t="s">
        <v>553</v>
      </c>
      <c r="C179" t="s">
        <v>642</v>
      </c>
      <c r="D179" s="226">
        <v>-8159.32</v>
      </c>
      <c r="E179" t="s">
        <v>554</v>
      </c>
    </row>
    <row r="180" spans="1:5" hidden="1" x14ac:dyDescent="0.3">
      <c r="A180" t="s">
        <v>552</v>
      </c>
      <c r="B180" t="s">
        <v>553</v>
      </c>
      <c r="C180" t="s">
        <v>643</v>
      </c>
      <c r="D180" s="226">
        <v>0</v>
      </c>
      <c r="E180" t="s">
        <v>554</v>
      </c>
    </row>
    <row r="181" spans="1:5" hidden="1" x14ac:dyDescent="0.3">
      <c r="A181" t="s">
        <v>552</v>
      </c>
      <c r="B181" t="s">
        <v>553</v>
      </c>
      <c r="C181" t="s">
        <v>644</v>
      </c>
      <c r="D181" s="226">
        <v>0</v>
      </c>
      <c r="E181" t="s">
        <v>554</v>
      </c>
    </row>
    <row r="182" spans="1:5" hidden="1" x14ac:dyDescent="0.3">
      <c r="A182" t="s">
        <v>552</v>
      </c>
      <c r="B182" t="s">
        <v>553</v>
      </c>
      <c r="C182" t="s">
        <v>645</v>
      </c>
      <c r="D182" s="226">
        <v>-125.95</v>
      </c>
      <c r="E182" t="s">
        <v>554</v>
      </c>
    </row>
    <row r="183" spans="1:5" hidden="1" x14ac:dyDescent="0.3">
      <c r="A183" t="s">
        <v>552</v>
      </c>
      <c r="B183" t="s">
        <v>553</v>
      </c>
      <c r="C183" t="s">
        <v>646</v>
      </c>
      <c r="D183" s="226">
        <v>0</v>
      </c>
      <c r="E183" t="s">
        <v>554</v>
      </c>
    </row>
    <row r="184" spans="1:5" hidden="1" x14ac:dyDescent="0.3">
      <c r="A184" t="s">
        <v>552</v>
      </c>
      <c r="B184" t="s">
        <v>553</v>
      </c>
      <c r="C184" t="s">
        <v>244</v>
      </c>
      <c r="D184" s="226">
        <v>-23386.1</v>
      </c>
      <c r="E184" t="s">
        <v>554</v>
      </c>
    </row>
    <row r="185" spans="1:5" hidden="1" x14ac:dyDescent="0.3">
      <c r="A185" t="s">
        <v>552</v>
      </c>
      <c r="B185" t="s">
        <v>553</v>
      </c>
      <c r="C185" t="s">
        <v>647</v>
      </c>
      <c r="D185" s="226">
        <v>-99</v>
      </c>
      <c r="E185" t="s">
        <v>554</v>
      </c>
    </row>
    <row r="186" spans="1:5" hidden="1" x14ac:dyDescent="0.3">
      <c r="A186" t="s">
        <v>552</v>
      </c>
      <c r="B186" t="s">
        <v>553</v>
      </c>
      <c r="C186" t="s">
        <v>648</v>
      </c>
      <c r="D186" s="226">
        <v>-932.22</v>
      </c>
      <c r="E186" t="s">
        <v>554</v>
      </c>
    </row>
    <row r="187" spans="1:5" hidden="1" x14ac:dyDescent="0.3">
      <c r="A187" t="s">
        <v>552</v>
      </c>
      <c r="B187" t="s">
        <v>553</v>
      </c>
      <c r="C187" t="s">
        <v>649</v>
      </c>
      <c r="D187" s="226">
        <v>0</v>
      </c>
      <c r="E187" t="s">
        <v>554</v>
      </c>
    </row>
    <row r="188" spans="1:5" hidden="1" x14ac:dyDescent="0.3">
      <c r="A188" t="s">
        <v>552</v>
      </c>
      <c r="B188" t="s">
        <v>553</v>
      </c>
      <c r="C188" t="s">
        <v>650</v>
      </c>
      <c r="D188" s="226">
        <v>0</v>
      </c>
      <c r="E188" t="s">
        <v>554</v>
      </c>
    </row>
    <row r="189" spans="1:5" hidden="1" x14ac:dyDescent="0.3">
      <c r="A189" t="s">
        <v>552</v>
      </c>
      <c r="B189" t="s">
        <v>553</v>
      </c>
      <c r="C189" t="s">
        <v>651</v>
      </c>
      <c r="D189" s="226">
        <v>0</v>
      </c>
      <c r="E189" t="s">
        <v>554</v>
      </c>
    </row>
    <row r="190" spans="1:5" hidden="1" x14ac:dyDescent="0.3">
      <c r="A190" t="s">
        <v>552</v>
      </c>
      <c r="B190" t="s">
        <v>553</v>
      </c>
      <c r="C190" t="s">
        <v>652</v>
      </c>
      <c r="D190" s="226">
        <v>-22354.880000000001</v>
      </c>
      <c r="E190" t="s">
        <v>554</v>
      </c>
    </row>
    <row r="191" spans="1:5" hidden="1" x14ac:dyDescent="0.3">
      <c r="A191" t="s">
        <v>552</v>
      </c>
      <c r="B191" t="s">
        <v>553</v>
      </c>
      <c r="C191" t="s">
        <v>653</v>
      </c>
      <c r="D191" s="226">
        <v>0</v>
      </c>
      <c r="E191" t="s">
        <v>554</v>
      </c>
    </row>
    <row r="192" spans="1:5" hidden="1" x14ac:dyDescent="0.3">
      <c r="A192" t="s">
        <v>552</v>
      </c>
      <c r="B192" t="s">
        <v>553</v>
      </c>
      <c r="C192" t="s">
        <v>253</v>
      </c>
      <c r="D192" s="226">
        <v>-0.28000000000000003</v>
      </c>
      <c r="E192" t="s">
        <v>554</v>
      </c>
    </row>
    <row r="193" spans="1:5" hidden="1" x14ac:dyDescent="0.3">
      <c r="A193" t="s">
        <v>552</v>
      </c>
      <c r="B193" t="s">
        <v>553</v>
      </c>
      <c r="C193" t="s">
        <v>254</v>
      </c>
      <c r="D193" s="226">
        <v>-0.23</v>
      </c>
      <c r="E193" t="s">
        <v>554</v>
      </c>
    </row>
    <row r="194" spans="1:5" hidden="1" x14ac:dyDescent="0.3">
      <c r="A194" t="s">
        <v>552</v>
      </c>
      <c r="B194" t="s">
        <v>553</v>
      </c>
      <c r="C194" t="s">
        <v>255</v>
      </c>
      <c r="D194" s="226">
        <v>-34354.870000000003</v>
      </c>
      <c r="E194" t="s">
        <v>554</v>
      </c>
    </row>
    <row r="195" spans="1:5" hidden="1" x14ac:dyDescent="0.3">
      <c r="A195" t="s">
        <v>552</v>
      </c>
      <c r="B195" t="s">
        <v>553</v>
      </c>
      <c r="C195" t="s">
        <v>256</v>
      </c>
      <c r="D195" s="226">
        <v>-21888.25</v>
      </c>
      <c r="E195" t="s">
        <v>554</v>
      </c>
    </row>
    <row r="196" spans="1:5" hidden="1" x14ac:dyDescent="0.3">
      <c r="A196" t="s">
        <v>552</v>
      </c>
      <c r="B196" t="s">
        <v>553</v>
      </c>
      <c r="C196" t="s">
        <v>257</v>
      </c>
      <c r="D196" s="226">
        <v>-10736.69</v>
      </c>
      <c r="E196" t="s">
        <v>554</v>
      </c>
    </row>
    <row r="197" spans="1:5" hidden="1" x14ac:dyDescent="0.3">
      <c r="A197" t="s">
        <v>552</v>
      </c>
      <c r="B197" t="s">
        <v>553</v>
      </c>
      <c r="C197" t="s">
        <v>258</v>
      </c>
      <c r="D197" s="226">
        <v>-1729.93</v>
      </c>
      <c r="E197" t="s">
        <v>554</v>
      </c>
    </row>
    <row r="198" spans="1:5" hidden="1" x14ac:dyDescent="0.3">
      <c r="A198" t="s">
        <v>552</v>
      </c>
      <c r="B198" t="s">
        <v>553</v>
      </c>
      <c r="C198" t="s">
        <v>259</v>
      </c>
      <c r="D198" s="226">
        <v>0</v>
      </c>
      <c r="E198" t="s">
        <v>554</v>
      </c>
    </row>
    <row r="199" spans="1:5" hidden="1" x14ac:dyDescent="0.3">
      <c r="A199" t="s">
        <v>552</v>
      </c>
      <c r="B199" t="s">
        <v>553</v>
      </c>
      <c r="C199" t="s">
        <v>260</v>
      </c>
      <c r="D199" s="226">
        <v>0</v>
      </c>
      <c r="E199" t="s">
        <v>554</v>
      </c>
    </row>
    <row r="200" spans="1:5" hidden="1" x14ac:dyDescent="0.3">
      <c r="A200" t="s">
        <v>552</v>
      </c>
      <c r="B200" t="s">
        <v>553</v>
      </c>
      <c r="C200" t="s">
        <v>261</v>
      </c>
      <c r="D200" s="226">
        <v>0</v>
      </c>
      <c r="E200" t="s">
        <v>554</v>
      </c>
    </row>
    <row r="201" spans="1:5" hidden="1" x14ac:dyDescent="0.3">
      <c r="A201" t="s">
        <v>552</v>
      </c>
      <c r="B201" t="s">
        <v>553</v>
      </c>
      <c r="C201" t="s">
        <v>262</v>
      </c>
      <c r="D201" s="226">
        <v>0</v>
      </c>
      <c r="E201" t="s">
        <v>554</v>
      </c>
    </row>
    <row r="202" spans="1:5" hidden="1" x14ac:dyDescent="0.3">
      <c r="A202" t="s">
        <v>552</v>
      </c>
      <c r="B202" t="s">
        <v>553</v>
      </c>
      <c r="C202" t="s">
        <v>44</v>
      </c>
      <c r="D202" s="226">
        <v>-0.03</v>
      </c>
      <c r="E202" t="s">
        <v>554</v>
      </c>
    </row>
    <row r="203" spans="1:5" hidden="1" x14ac:dyDescent="0.3">
      <c r="A203" t="s">
        <v>552</v>
      </c>
      <c r="B203" t="s">
        <v>553</v>
      </c>
      <c r="C203" t="s">
        <v>263</v>
      </c>
      <c r="D203" s="226">
        <v>-81974.559999999998</v>
      </c>
      <c r="E203" t="s">
        <v>554</v>
      </c>
    </row>
    <row r="204" spans="1:5" hidden="1" x14ac:dyDescent="0.3">
      <c r="A204" t="s">
        <v>552</v>
      </c>
      <c r="B204" t="s">
        <v>553</v>
      </c>
      <c r="C204" t="s">
        <v>264</v>
      </c>
      <c r="D204" s="226">
        <v>-14610.4</v>
      </c>
      <c r="E204" t="s">
        <v>554</v>
      </c>
    </row>
    <row r="205" spans="1:5" hidden="1" x14ac:dyDescent="0.3">
      <c r="A205" t="s">
        <v>552</v>
      </c>
      <c r="B205" t="s">
        <v>553</v>
      </c>
      <c r="C205" t="s">
        <v>265</v>
      </c>
      <c r="D205" s="226">
        <v>-15007.12</v>
      </c>
      <c r="E205" t="s">
        <v>554</v>
      </c>
    </row>
    <row r="206" spans="1:5" hidden="1" x14ac:dyDescent="0.3">
      <c r="A206" t="s">
        <v>552</v>
      </c>
      <c r="B206" t="s">
        <v>553</v>
      </c>
      <c r="C206" t="s">
        <v>266</v>
      </c>
      <c r="D206" s="226">
        <v>-17947.54</v>
      </c>
      <c r="E206" t="s">
        <v>554</v>
      </c>
    </row>
    <row r="207" spans="1:5" hidden="1" x14ac:dyDescent="0.3">
      <c r="A207" t="s">
        <v>552</v>
      </c>
      <c r="B207" t="s">
        <v>553</v>
      </c>
      <c r="C207" t="s">
        <v>267</v>
      </c>
      <c r="D207" s="226">
        <v>-13276.7</v>
      </c>
      <c r="E207" t="s">
        <v>554</v>
      </c>
    </row>
    <row r="208" spans="1:5" hidden="1" x14ac:dyDescent="0.3">
      <c r="A208" t="s">
        <v>552</v>
      </c>
      <c r="B208" t="s">
        <v>553</v>
      </c>
      <c r="C208" t="s">
        <v>268</v>
      </c>
      <c r="D208" s="226">
        <v>0</v>
      </c>
      <c r="E208" t="s">
        <v>554</v>
      </c>
    </row>
    <row r="209" spans="1:5" hidden="1" x14ac:dyDescent="0.3">
      <c r="A209" t="s">
        <v>552</v>
      </c>
      <c r="B209" t="s">
        <v>553</v>
      </c>
      <c r="C209" t="s">
        <v>269</v>
      </c>
      <c r="D209" s="226">
        <v>-600</v>
      </c>
      <c r="E209" t="s">
        <v>554</v>
      </c>
    </row>
    <row r="210" spans="1:5" hidden="1" x14ac:dyDescent="0.3">
      <c r="A210" t="s">
        <v>552</v>
      </c>
      <c r="B210" t="s">
        <v>553</v>
      </c>
      <c r="C210" t="s">
        <v>270</v>
      </c>
      <c r="D210" s="226">
        <v>-3263.15</v>
      </c>
      <c r="E210" t="s">
        <v>554</v>
      </c>
    </row>
    <row r="211" spans="1:5" hidden="1" x14ac:dyDescent="0.3">
      <c r="A211" t="s">
        <v>552</v>
      </c>
      <c r="B211" t="s">
        <v>553</v>
      </c>
      <c r="C211" t="s">
        <v>271</v>
      </c>
      <c r="D211" s="226">
        <v>-6481.48</v>
      </c>
      <c r="E211" t="s">
        <v>554</v>
      </c>
    </row>
    <row r="212" spans="1:5" hidden="1" x14ac:dyDescent="0.3">
      <c r="A212" t="s">
        <v>552</v>
      </c>
      <c r="B212" t="s">
        <v>553</v>
      </c>
      <c r="C212" t="s">
        <v>272</v>
      </c>
      <c r="D212" s="226">
        <v>-577.5</v>
      </c>
      <c r="E212" t="s">
        <v>554</v>
      </c>
    </row>
    <row r="213" spans="1:5" hidden="1" x14ac:dyDescent="0.3">
      <c r="A213" t="s">
        <v>552</v>
      </c>
      <c r="B213" t="s">
        <v>553</v>
      </c>
      <c r="C213" t="s">
        <v>273</v>
      </c>
      <c r="D213" s="226">
        <v>0</v>
      </c>
      <c r="E213" t="s">
        <v>554</v>
      </c>
    </row>
    <row r="214" spans="1:5" hidden="1" x14ac:dyDescent="0.3">
      <c r="A214" t="s">
        <v>552</v>
      </c>
      <c r="B214" t="s">
        <v>553</v>
      </c>
      <c r="C214" t="s">
        <v>274</v>
      </c>
      <c r="D214" s="226">
        <v>0</v>
      </c>
      <c r="E214" t="s">
        <v>554</v>
      </c>
    </row>
    <row r="215" spans="1:5" hidden="1" x14ac:dyDescent="0.3">
      <c r="A215" t="s">
        <v>552</v>
      </c>
      <c r="B215" t="s">
        <v>553</v>
      </c>
      <c r="C215" t="s">
        <v>275</v>
      </c>
      <c r="D215" s="226">
        <v>-2300</v>
      </c>
      <c r="E215" t="s">
        <v>554</v>
      </c>
    </row>
    <row r="216" spans="1:5" hidden="1" x14ac:dyDescent="0.3">
      <c r="A216" t="s">
        <v>552</v>
      </c>
      <c r="B216" t="s">
        <v>553</v>
      </c>
      <c r="C216" t="s">
        <v>276</v>
      </c>
      <c r="D216" s="226">
        <v>0</v>
      </c>
      <c r="E216" t="s">
        <v>554</v>
      </c>
    </row>
    <row r="217" spans="1:5" hidden="1" x14ac:dyDescent="0.3">
      <c r="A217" t="s">
        <v>552</v>
      </c>
      <c r="B217" t="s">
        <v>553</v>
      </c>
      <c r="C217" t="s">
        <v>277</v>
      </c>
      <c r="D217" s="226">
        <v>-7910.67</v>
      </c>
      <c r="E217" t="s">
        <v>554</v>
      </c>
    </row>
    <row r="218" spans="1:5" hidden="1" x14ac:dyDescent="0.3">
      <c r="A218" t="s">
        <v>552</v>
      </c>
      <c r="B218" t="s">
        <v>553</v>
      </c>
      <c r="C218" t="s">
        <v>44</v>
      </c>
      <c r="D218" s="226">
        <v>-0.08</v>
      </c>
      <c r="E218" t="s">
        <v>554</v>
      </c>
    </row>
    <row r="219" spans="1:5" hidden="1" x14ac:dyDescent="0.3">
      <c r="A219" t="s">
        <v>552</v>
      </c>
      <c r="B219" t="s">
        <v>553</v>
      </c>
      <c r="C219" t="s">
        <v>278</v>
      </c>
      <c r="D219" s="226">
        <v>-6207.89</v>
      </c>
      <c r="E219" t="s">
        <v>554</v>
      </c>
    </row>
    <row r="220" spans="1:5" hidden="1" x14ac:dyDescent="0.3">
      <c r="A220" t="s">
        <v>552</v>
      </c>
      <c r="B220" t="s">
        <v>553</v>
      </c>
      <c r="C220" t="s">
        <v>279</v>
      </c>
      <c r="D220" s="226">
        <v>0</v>
      </c>
      <c r="E220" t="s">
        <v>554</v>
      </c>
    </row>
    <row r="221" spans="1:5" hidden="1" x14ac:dyDescent="0.3">
      <c r="A221" t="s">
        <v>552</v>
      </c>
      <c r="B221" t="s">
        <v>553</v>
      </c>
      <c r="C221" t="s">
        <v>280</v>
      </c>
      <c r="D221" s="226">
        <v>-293.56</v>
      </c>
      <c r="E221" t="s">
        <v>554</v>
      </c>
    </row>
    <row r="222" spans="1:5" hidden="1" x14ac:dyDescent="0.3">
      <c r="A222" t="s">
        <v>552</v>
      </c>
      <c r="B222" t="s">
        <v>553</v>
      </c>
      <c r="C222" t="s">
        <v>281</v>
      </c>
      <c r="D222" s="226">
        <v>0</v>
      </c>
      <c r="E222" t="s">
        <v>554</v>
      </c>
    </row>
    <row r="223" spans="1:5" hidden="1" x14ac:dyDescent="0.3">
      <c r="A223" t="s">
        <v>552</v>
      </c>
      <c r="B223" t="s">
        <v>553</v>
      </c>
      <c r="C223" t="s">
        <v>282</v>
      </c>
      <c r="D223" s="226">
        <v>-815</v>
      </c>
      <c r="E223" t="s">
        <v>554</v>
      </c>
    </row>
    <row r="224" spans="1:5" hidden="1" x14ac:dyDescent="0.3">
      <c r="A224" t="s">
        <v>552</v>
      </c>
      <c r="B224" t="s">
        <v>553</v>
      </c>
      <c r="C224" t="s">
        <v>283</v>
      </c>
      <c r="D224" s="226">
        <v>-5099.33</v>
      </c>
      <c r="E224" t="s">
        <v>554</v>
      </c>
    </row>
    <row r="225" spans="1:5" hidden="1" x14ac:dyDescent="0.3">
      <c r="A225" t="s">
        <v>552</v>
      </c>
      <c r="B225" t="s">
        <v>553</v>
      </c>
      <c r="C225" t="s">
        <v>284</v>
      </c>
      <c r="D225" s="226">
        <v>0</v>
      </c>
      <c r="E225" t="s">
        <v>554</v>
      </c>
    </row>
    <row r="226" spans="1:5" hidden="1" x14ac:dyDescent="0.3">
      <c r="A226" t="s">
        <v>552</v>
      </c>
      <c r="B226" t="s">
        <v>553</v>
      </c>
      <c r="C226" t="s">
        <v>285</v>
      </c>
      <c r="D226" s="226">
        <v>0</v>
      </c>
      <c r="E226" t="s">
        <v>554</v>
      </c>
    </row>
    <row r="227" spans="1:5" hidden="1" x14ac:dyDescent="0.3">
      <c r="A227" t="s">
        <v>552</v>
      </c>
      <c r="B227" t="s">
        <v>553</v>
      </c>
      <c r="C227" t="s">
        <v>44</v>
      </c>
      <c r="D227" s="226">
        <v>-0.01</v>
      </c>
      <c r="E227" t="s">
        <v>554</v>
      </c>
    </row>
    <row r="228" spans="1:5" hidden="1" x14ac:dyDescent="0.3">
      <c r="A228" t="s">
        <v>552</v>
      </c>
      <c r="B228" t="s">
        <v>553</v>
      </c>
      <c r="C228" t="s">
        <v>286</v>
      </c>
      <c r="D228" s="226">
        <v>-7811.73</v>
      </c>
      <c r="E228" t="s">
        <v>554</v>
      </c>
    </row>
    <row r="229" spans="1:5" hidden="1" x14ac:dyDescent="0.3">
      <c r="A229" t="s">
        <v>552</v>
      </c>
      <c r="B229" t="s">
        <v>553</v>
      </c>
      <c r="C229" t="s">
        <v>287</v>
      </c>
      <c r="D229" s="226">
        <v>-7782.15</v>
      </c>
      <c r="E229" t="s">
        <v>554</v>
      </c>
    </row>
    <row r="230" spans="1:5" hidden="1" x14ac:dyDescent="0.3">
      <c r="A230" t="s">
        <v>552</v>
      </c>
      <c r="B230" t="s">
        <v>553</v>
      </c>
      <c r="C230" t="s">
        <v>288</v>
      </c>
      <c r="D230" s="226">
        <v>0</v>
      </c>
      <c r="E230" t="s">
        <v>554</v>
      </c>
    </row>
    <row r="231" spans="1:5" hidden="1" x14ac:dyDescent="0.3">
      <c r="A231" t="s">
        <v>552</v>
      </c>
      <c r="B231" t="s">
        <v>553</v>
      </c>
      <c r="C231" t="s">
        <v>289</v>
      </c>
      <c r="D231" s="226">
        <v>0</v>
      </c>
      <c r="E231" t="s">
        <v>554</v>
      </c>
    </row>
    <row r="232" spans="1:5" hidden="1" x14ac:dyDescent="0.3">
      <c r="A232" t="s">
        <v>552</v>
      </c>
      <c r="B232" t="s">
        <v>553</v>
      </c>
      <c r="C232" t="s">
        <v>290</v>
      </c>
      <c r="D232" s="226">
        <v>0</v>
      </c>
      <c r="E232" t="s">
        <v>554</v>
      </c>
    </row>
    <row r="233" spans="1:5" hidden="1" x14ac:dyDescent="0.3">
      <c r="A233" t="s">
        <v>552</v>
      </c>
      <c r="B233" t="s">
        <v>553</v>
      </c>
      <c r="C233" t="s">
        <v>291</v>
      </c>
      <c r="D233" s="226">
        <v>0</v>
      </c>
      <c r="E233" t="s">
        <v>554</v>
      </c>
    </row>
    <row r="234" spans="1:5" hidden="1" x14ac:dyDescent="0.3">
      <c r="A234" t="s">
        <v>552</v>
      </c>
      <c r="B234" t="s">
        <v>553</v>
      </c>
      <c r="C234" t="s">
        <v>292</v>
      </c>
      <c r="D234" s="226">
        <v>-29.58</v>
      </c>
      <c r="E234" t="s">
        <v>554</v>
      </c>
    </row>
    <row r="235" spans="1:5" hidden="1" x14ac:dyDescent="0.3">
      <c r="A235" t="s">
        <v>552</v>
      </c>
      <c r="B235" t="s">
        <v>553</v>
      </c>
      <c r="C235" t="s">
        <v>293</v>
      </c>
      <c r="D235" s="226">
        <v>0</v>
      </c>
      <c r="E235" t="s">
        <v>554</v>
      </c>
    </row>
    <row r="236" spans="1:5" hidden="1" x14ac:dyDescent="0.3">
      <c r="A236" t="s">
        <v>552</v>
      </c>
      <c r="B236" t="s">
        <v>553</v>
      </c>
      <c r="C236" t="s">
        <v>294</v>
      </c>
      <c r="D236" s="226">
        <v>0</v>
      </c>
      <c r="E236" t="s">
        <v>554</v>
      </c>
    </row>
    <row r="237" spans="1:5" hidden="1" x14ac:dyDescent="0.3">
      <c r="A237" t="s">
        <v>552</v>
      </c>
      <c r="B237" t="s">
        <v>553</v>
      </c>
      <c r="C237" t="s">
        <v>44</v>
      </c>
      <c r="D237" s="226">
        <v>-0.01</v>
      </c>
      <c r="E237" t="s">
        <v>554</v>
      </c>
    </row>
    <row r="238" spans="1:5" hidden="1" x14ac:dyDescent="0.3">
      <c r="A238" t="s">
        <v>552</v>
      </c>
      <c r="B238" t="s">
        <v>553</v>
      </c>
      <c r="C238" t="s">
        <v>295</v>
      </c>
      <c r="D238" s="226">
        <v>-13600</v>
      </c>
      <c r="E238" t="s">
        <v>554</v>
      </c>
    </row>
    <row r="239" spans="1:5" hidden="1" x14ac:dyDescent="0.3">
      <c r="A239" t="s">
        <v>552</v>
      </c>
      <c r="B239" t="s">
        <v>553</v>
      </c>
      <c r="C239" t="s">
        <v>296</v>
      </c>
      <c r="D239" s="226">
        <v>-12750</v>
      </c>
      <c r="E239" t="s">
        <v>554</v>
      </c>
    </row>
    <row r="240" spans="1:5" hidden="1" x14ac:dyDescent="0.3">
      <c r="A240" t="s">
        <v>552</v>
      </c>
      <c r="B240" t="s">
        <v>553</v>
      </c>
      <c r="C240" t="s">
        <v>297</v>
      </c>
      <c r="D240" s="226">
        <v>-850</v>
      </c>
      <c r="E240" t="s">
        <v>554</v>
      </c>
    </row>
    <row r="241" spans="1:5" hidden="1" x14ac:dyDescent="0.3">
      <c r="A241" t="s">
        <v>552</v>
      </c>
      <c r="B241" t="s">
        <v>553</v>
      </c>
      <c r="C241" t="s">
        <v>298</v>
      </c>
      <c r="D241" s="226">
        <v>0</v>
      </c>
      <c r="E241" t="s">
        <v>554</v>
      </c>
    </row>
    <row r="242" spans="1:5" hidden="1" x14ac:dyDescent="0.3">
      <c r="A242" t="s">
        <v>552</v>
      </c>
      <c r="B242" t="s">
        <v>553</v>
      </c>
      <c r="C242" t="s">
        <v>299</v>
      </c>
      <c r="D242" s="226">
        <v>0</v>
      </c>
      <c r="E242" t="s">
        <v>554</v>
      </c>
    </row>
    <row r="243" spans="1:5" hidden="1" x14ac:dyDescent="0.3">
      <c r="A243" t="s">
        <v>552</v>
      </c>
      <c r="B243" t="s">
        <v>553</v>
      </c>
      <c r="C243" t="s">
        <v>300</v>
      </c>
      <c r="D243" s="226">
        <v>0</v>
      </c>
      <c r="E243" t="s">
        <v>554</v>
      </c>
    </row>
    <row r="244" spans="1:5" hidden="1" x14ac:dyDescent="0.3">
      <c r="A244" t="s">
        <v>552</v>
      </c>
      <c r="B244" t="s">
        <v>553</v>
      </c>
      <c r="C244" t="s">
        <v>301</v>
      </c>
      <c r="D244" s="226">
        <v>0</v>
      </c>
      <c r="E244" t="s">
        <v>554</v>
      </c>
    </row>
    <row r="245" spans="1:5" hidden="1" x14ac:dyDescent="0.3">
      <c r="A245" t="s">
        <v>552</v>
      </c>
      <c r="B245" t="s">
        <v>553</v>
      </c>
      <c r="C245" t="s">
        <v>302</v>
      </c>
      <c r="D245" s="226">
        <v>0</v>
      </c>
      <c r="E245" t="s">
        <v>554</v>
      </c>
    </row>
    <row r="246" spans="1:5" hidden="1" x14ac:dyDescent="0.3">
      <c r="A246" t="s">
        <v>552</v>
      </c>
      <c r="B246" t="s">
        <v>553</v>
      </c>
      <c r="C246" t="s">
        <v>303</v>
      </c>
      <c r="D246" s="226">
        <v>0</v>
      </c>
      <c r="E246" t="s">
        <v>554</v>
      </c>
    </row>
    <row r="247" spans="1:5" hidden="1" x14ac:dyDescent="0.3">
      <c r="A247" t="s">
        <v>552</v>
      </c>
      <c r="B247" t="s">
        <v>553</v>
      </c>
      <c r="C247" t="s">
        <v>304</v>
      </c>
      <c r="D247" s="226">
        <v>0</v>
      </c>
      <c r="E247" t="s">
        <v>554</v>
      </c>
    </row>
    <row r="248" spans="1:5" hidden="1" x14ac:dyDescent="0.3">
      <c r="A248" t="s">
        <v>552</v>
      </c>
      <c r="B248" t="s">
        <v>553</v>
      </c>
      <c r="C248" t="s">
        <v>305</v>
      </c>
      <c r="D248" s="226">
        <v>0</v>
      </c>
      <c r="E248" t="s">
        <v>554</v>
      </c>
    </row>
    <row r="249" spans="1:5" hidden="1" x14ac:dyDescent="0.3">
      <c r="A249" t="s">
        <v>552</v>
      </c>
      <c r="B249" t="s">
        <v>553</v>
      </c>
      <c r="C249" t="s">
        <v>306</v>
      </c>
      <c r="D249" s="226">
        <v>0</v>
      </c>
      <c r="E249" t="s">
        <v>554</v>
      </c>
    </row>
    <row r="250" spans="1:5" hidden="1" x14ac:dyDescent="0.3">
      <c r="A250" t="s">
        <v>552</v>
      </c>
      <c r="B250" t="s">
        <v>553</v>
      </c>
      <c r="C250" t="s">
        <v>44</v>
      </c>
      <c r="D250" s="226">
        <v>-0.01</v>
      </c>
      <c r="E250" t="s">
        <v>554</v>
      </c>
    </row>
    <row r="251" spans="1:5" hidden="1" x14ac:dyDescent="0.3">
      <c r="A251" t="s">
        <v>552</v>
      </c>
      <c r="B251" t="s">
        <v>553</v>
      </c>
      <c r="C251" t="s">
        <v>307</v>
      </c>
      <c r="D251" s="226">
        <v>-16461.28</v>
      </c>
      <c r="E251" t="s">
        <v>554</v>
      </c>
    </row>
    <row r="252" spans="1:5" hidden="1" x14ac:dyDescent="0.3">
      <c r="A252" t="s">
        <v>552</v>
      </c>
      <c r="B252" t="s">
        <v>553</v>
      </c>
      <c r="C252" t="s">
        <v>308</v>
      </c>
      <c r="D252" s="226">
        <v>-1250</v>
      </c>
      <c r="E252" t="s">
        <v>554</v>
      </c>
    </row>
    <row r="253" spans="1:5" hidden="1" x14ac:dyDescent="0.3">
      <c r="A253" t="s">
        <v>552</v>
      </c>
      <c r="B253" t="s">
        <v>553</v>
      </c>
      <c r="C253" t="s">
        <v>309</v>
      </c>
      <c r="D253" s="226">
        <v>0</v>
      </c>
      <c r="E253" t="s">
        <v>554</v>
      </c>
    </row>
    <row r="254" spans="1:5" hidden="1" x14ac:dyDescent="0.3">
      <c r="A254" t="s">
        <v>552</v>
      </c>
      <c r="B254" t="s">
        <v>553</v>
      </c>
      <c r="C254" t="s">
        <v>310</v>
      </c>
      <c r="D254" s="226">
        <v>-5141.28</v>
      </c>
      <c r="E254" t="s">
        <v>554</v>
      </c>
    </row>
    <row r="255" spans="1:5" hidden="1" x14ac:dyDescent="0.3">
      <c r="A255" t="s">
        <v>552</v>
      </c>
      <c r="B255" t="s">
        <v>553</v>
      </c>
      <c r="C255" t="s">
        <v>311</v>
      </c>
      <c r="D255" s="226">
        <v>0</v>
      </c>
      <c r="E255" t="s">
        <v>554</v>
      </c>
    </row>
    <row r="256" spans="1:5" hidden="1" x14ac:dyDescent="0.3">
      <c r="A256" t="s">
        <v>552</v>
      </c>
      <c r="B256" t="s">
        <v>553</v>
      </c>
      <c r="C256" t="s">
        <v>312</v>
      </c>
      <c r="D256" s="226">
        <v>0</v>
      </c>
      <c r="E256" t="s">
        <v>554</v>
      </c>
    </row>
    <row r="257" spans="1:5" hidden="1" x14ac:dyDescent="0.3">
      <c r="A257" t="s">
        <v>552</v>
      </c>
      <c r="B257" t="s">
        <v>553</v>
      </c>
      <c r="C257" t="s">
        <v>313</v>
      </c>
      <c r="D257" s="226">
        <v>0</v>
      </c>
      <c r="E257" t="s">
        <v>554</v>
      </c>
    </row>
    <row r="258" spans="1:5" hidden="1" x14ac:dyDescent="0.3">
      <c r="A258" t="s">
        <v>552</v>
      </c>
      <c r="B258" t="s">
        <v>553</v>
      </c>
      <c r="C258" t="s">
        <v>314</v>
      </c>
      <c r="D258" s="226">
        <v>0</v>
      </c>
      <c r="E258" t="s">
        <v>554</v>
      </c>
    </row>
    <row r="259" spans="1:5" hidden="1" x14ac:dyDescent="0.3">
      <c r="A259" t="s">
        <v>552</v>
      </c>
      <c r="B259" t="s">
        <v>553</v>
      </c>
      <c r="C259" t="s">
        <v>315</v>
      </c>
      <c r="D259" s="226">
        <v>-10070</v>
      </c>
      <c r="E259" t="s">
        <v>554</v>
      </c>
    </row>
    <row r="260" spans="1:5" hidden="1" x14ac:dyDescent="0.3">
      <c r="A260" t="s">
        <v>552</v>
      </c>
      <c r="B260" t="s">
        <v>553</v>
      </c>
      <c r="C260" t="s">
        <v>316</v>
      </c>
      <c r="D260" s="226">
        <v>0</v>
      </c>
      <c r="E260" t="s">
        <v>554</v>
      </c>
    </row>
    <row r="261" spans="1:5" hidden="1" x14ac:dyDescent="0.3">
      <c r="A261" t="s">
        <v>552</v>
      </c>
      <c r="B261" t="s">
        <v>553</v>
      </c>
      <c r="C261" t="s">
        <v>44</v>
      </c>
      <c r="D261" s="226">
        <v>-0.02</v>
      </c>
      <c r="E261" t="s">
        <v>554</v>
      </c>
    </row>
    <row r="262" spans="1:5" hidden="1" x14ac:dyDescent="0.3">
      <c r="A262" t="s">
        <v>552</v>
      </c>
      <c r="B262" t="s">
        <v>553</v>
      </c>
      <c r="C262" t="s">
        <v>317</v>
      </c>
      <c r="D262" s="226">
        <v>-5090</v>
      </c>
      <c r="E262" t="s">
        <v>554</v>
      </c>
    </row>
    <row r="263" spans="1:5" hidden="1" x14ac:dyDescent="0.3">
      <c r="A263" t="s">
        <v>552</v>
      </c>
      <c r="B263" t="s">
        <v>553</v>
      </c>
      <c r="C263" t="s">
        <v>318</v>
      </c>
      <c r="D263" s="226">
        <v>-5090</v>
      </c>
      <c r="E263" t="s">
        <v>554</v>
      </c>
    </row>
    <row r="264" spans="1:5" hidden="1" x14ac:dyDescent="0.3">
      <c r="A264" t="s">
        <v>552</v>
      </c>
      <c r="B264" t="s">
        <v>553</v>
      </c>
      <c r="C264" t="s">
        <v>319</v>
      </c>
      <c r="D264" s="226">
        <v>0</v>
      </c>
      <c r="E264" t="s">
        <v>554</v>
      </c>
    </row>
    <row r="265" spans="1:5" hidden="1" x14ac:dyDescent="0.3">
      <c r="A265" t="s">
        <v>552</v>
      </c>
      <c r="B265" t="s">
        <v>553</v>
      </c>
      <c r="C265" t="s">
        <v>320</v>
      </c>
      <c r="D265" s="226">
        <v>0</v>
      </c>
      <c r="E265" t="s">
        <v>554</v>
      </c>
    </row>
    <row r="266" spans="1:5" hidden="1" x14ac:dyDescent="0.3">
      <c r="A266" t="s">
        <v>552</v>
      </c>
      <c r="B266" t="s">
        <v>553</v>
      </c>
      <c r="C266" t="s">
        <v>321</v>
      </c>
      <c r="D266" s="226">
        <v>0</v>
      </c>
      <c r="E266" t="s">
        <v>554</v>
      </c>
    </row>
    <row r="267" spans="1:5" hidden="1" x14ac:dyDescent="0.3">
      <c r="A267" t="s">
        <v>552</v>
      </c>
      <c r="B267" t="s">
        <v>553</v>
      </c>
      <c r="C267" t="s">
        <v>44</v>
      </c>
      <c r="D267" s="226">
        <v>0</v>
      </c>
      <c r="E267" t="s">
        <v>554</v>
      </c>
    </row>
    <row r="268" spans="1:5" hidden="1" x14ac:dyDescent="0.3">
      <c r="A268" t="s">
        <v>552</v>
      </c>
      <c r="B268" t="s">
        <v>553</v>
      </c>
      <c r="C268" t="s">
        <v>322</v>
      </c>
      <c r="D268" s="226">
        <v>-52251.86</v>
      </c>
      <c r="E268" t="s">
        <v>554</v>
      </c>
    </row>
    <row r="269" spans="1:5" hidden="1" x14ac:dyDescent="0.3">
      <c r="A269" t="s">
        <v>552</v>
      </c>
      <c r="B269" t="s">
        <v>553</v>
      </c>
      <c r="C269" t="s">
        <v>323</v>
      </c>
      <c r="D269" s="226">
        <v>0</v>
      </c>
      <c r="E269" t="s">
        <v>554</v>
      </c>
    </row>
    <row r="270" spans="1:5" hidden="1" x14ac:dyDescent="0.3">
      <c r="A270" t="s">
        <v>552</v>
      </c>
      <c r="B270" t="s">
        <v>553</v>
      </c>
      <c r="C270" t="s">
        <v>324</v>
      </c>
      <c r="D270" s="226">
        <v>0</v>
      </c>
      <c r="E270" t="s">
        <v>554</v>
      </c>
    </row>
    <row r="271" spans="1:5" hidden="1" x14ac:dyDescent="0.3">
      <c r="A271" t="s">
        <v>552</v>
      </c>
      <c r="B271" t="s">
        <v>553</v>
      </c>
      <c r="C271" t="s">
        <v>325</v>
      </c>
      <c r="D271" s="226">
        <v>-52251.86</v>
      </c>
      <c r="E271" t="s">
        <v>554</v>
      </c>
    </row>
    <row r="272" spans="1:5" hidden="1" x14ac:dyDescent="0.3">
      <c r="A272" t="s">
        <v>552</v>
      </c>
      <c r="B272" t="s">
        <v>553</v>
      </c>
      <c r="C272" t="s">
        <v>44</v>
      </c>
      <c r="D272" s="226">
        <v>-0.05</v>
      </c>
      <c r="E272" t="s">
        <v>554</v>
      </c>
    </row>
    <row r="273" spans="1:5" hidden="1" x14ac:dyDescent="0.3">
      <c r="A273" t="s">
        <v>552</v>
      </c>
      <c r="B273" t="s">
        <v>553</v>
      </c>
      <c r="C273" t="s">
        <v>327</v>
      </c>
      <c r="D273" s="226">
        <v>-506076.97</v>
      </c>
      <c r="E273" t="s">
        <v>554</v>
      </c>
    </row>
    <row r="274" spans="1:5" hidden="1" x14ac:dyDescent="0.3">
      <c r="A274" t="s">
        <v>552</v>
      </c>
      <c r="B274" t="s">
        <v>553</v>
      </c>
      <c r="C274" t="s">
        <v>44</v>
      </c>
      <c r="D274" s="226">
        <v>-0.48</v>
      </c>
      <c r="E274" t="s">
        <v>554</v>
      </c>
    </row>
    <row r="275" spans="1:5" hidden="1" x14ac:dyDescent="0.3">
      <c r="A275" t="s">
        <v>552</v>
      </c>
      <c r="B275" t="s">
        <v>553</v>
      </c>
      <c r="C275" t="s">
        <v>328</v>
      </c>
      <c r="D275" s="226">
        <v>86288.2</v>
      </c>
      <c r="E275" t="s">
        <v>554</v>
      </c>
    </row>
    <row r="276" spans="1:5" hidden="1" x14ac:dyDescent="0.3">
      <c r="A276" t="s">
        <v>552</v>
      </c>
      <c r="B276" t="s">
        <v>553</v>
      </c>
      <c r="C276" t="s">
        <v>44</v>
      </c>
      <c r="D276" s="226">
        <v>0.08</v>
      </c>
      <c r="E276" t="s">
        <v>554</v>
      </c>
    </row>
    <row r="277" spans="1:5" hidden="1" x14ac:dyDescent="0.3">
      <c r="A277" t="s">
        <v>552</v>
      </c>
      <c r="B277" t="s">
        <v>553</v>
      </c>
      <c r="C277" t="s">
        <v>329</v>
      </c>
      <c r="D277" s="226">
        <v>0</v>
      </c>
      <c r="E277" t="s">
        <v>554</v>
      </c>
    </row>
    <row r="278" spans="1:5" hidden="1" x14ac:dyDescent="0.3">
      <c r="A278" t="s">
        <v>552</v>
      </c>
      <c r="B278" t="s">
        <v>553</v>
      </c>
      <c r="C278" t="s">
        <v>331</v>
      </c>
      <c r="D278" s="226">
        <v>86288.2</v>
      </c>
      <c r="E278" t="s">
        <v>554</v>
      </c>
    </row>
    <row r="279" spans="1:5" hidden="1" x14ac:dyDescent="0.3">
      <c r="A279" t="s">
        <v>552</v>
      </c>
      <c r="B279" t="s">
        <v>553</v>
      </c>
      <c r="C279" t="s">
        <v>332</v>
      </c>
      <c r="D279" s="226">
        <v>-1058.69</v>
      </c>
      <c r="E279" t="s">
        <v>554</v>
      </c>
    </row>
    <row r="280" spans="1:5" hidden="1" x14ac:dyDescent="0.3">
      <c r="A280" t="s">
        <v>552</v>
      </c>
      <c r="B280" t="s">
        <v>553</v>
      </c>
      <c r="C280" t="s">
        <v>333</v>
      </c>
      <c r="D280" s="226">
        <v>0</v>
      </c>
      <c r="E280" t="s">
        <v>554</v>
      </c>
    </row>
    <row r="281" spans="1:5" hidden="1" x14ac:dyDescent="0.3">
      <c r="A281" t="s">
        <v>552</v>
      </c>
      <c r="B281" t="s">
        <v>553</v>
      </c>
      <c r="C281" t="s">
        <v>335</v>
      </c>
      <c r="D281" s="226">
        <v>0</v>
      </c>
      <c r="E281" t="s">
        <v>554</v>
      </c>
    </row>
    <row r="282" spans="1:5" hidden="1" x14ac:dyDescent="0.3">
      <c r="A282" t="s">
        <v>552</v>
      </c>
      <c r="B282" t="s">
        <v>553</v>
      </c>
      <c r="C282" t="s">
        <v>337</v>
      </c>
      <c r="D282" s="226">
        <v>85229.51</v>
      </c>
      <c r="E282" t="s">
        <v>554</v>
      </c>
    </row>
    <row r="283" spans="1:5" hidden="1" x14ac:dyDescent="0.3">
      <c r="A283" t="s">
        <v>552</v>
      </c>
      <c r="B283" t="s">
        <v>553</v>
      </c>
      <c r="C283" t="s">
        <v>338</v>
      </c>
      <c r="D283" s="226">
        <v>-27127.91</v>
      </c>
      <c r="E283" t="s">
        <v>554</v>
      </c>
    </row>
    <row r="284" spans="1:5" hidden="1" x14ac:dyDescent="0.3">
      <c r="A284" t="s">
        <v>552</v>
      </c>
      <c r="B284" t="s">
        <v>553</v>
      </c>
      <c r="C284" t="s">
        <v>341</v>
      </c>
      <c r="D284" s="226">
        <v>0</v>
      </c>
      <c r="E284" t="s">
        <v>554</v>
      </c>
    </row>
    <row r="285" spans="1:5" hidden="1" x14ac:dyDescent="0.3">
      <c r="A285" t="s">
        <v>552</v>
      </c>
      <c r="B285" t="s">
        <v>553</v>
      </c>
      <c r="C285" t="s">
        <v>343</v>
      </c>
      <c r="D285" s="226">
        <v>-10887.46</v>
      </c>
      <c r="E285" t="s">
        <v>554</v>
      </c>
    </row>
    <row r="286" spans="1:5" hidden="1" x14ac:dyDescent="0.3">
      <c r="A286" t="s">
        <v>552</v>
      </c>
      <c r="B286" t="s">
        <v>553</v>
      </c>
      <c r="C286" t="s">
        <v>344</v>
      </c>
      <c r="D286" s="226">
        <v>-6441.74</v>
      </c>
      <c r="E286" t="s">
        <v>554</v>
      </c>
    </row>
    <row r="287" spans="1:5" hidden="1" x14ac:dyDescent="0.3">
      <c r="A287" t="s">
        <v>552</v>
      </c>
      <c r="B287" t="s">
        <v>553</v>
      </c>
      <c r="C287" t="s">
        <v>345</v>
      </c>
      <c r="D287" s="226">
        <v>-9798.7099999999991</v>
      </c>
      <c r="E287" t="s">
        <v>554</v>
      </c>
    </row>
    <row r="288" spans="1:5" hidden="1" x14ac:dyDescent="0.3">
      <c r="A288" t="s">
        <v>552</v>
      </c>
      <c r="B288" t="s">
        <v>553</v>
      </c>
      <c r="C288" t="s">
        <v>346</v>
      </c>
      <c r="D288" s="226">
        <v>58101.599999999999</v>
      </c>
      <c r="E288" t="s">
        <v>554</v>
      </c>
    </row>
    <row r="289" spans="1:5" hidden="1" x14ac:dyDescent="0.3">
      <c r="A289" t="s">
        <v>552</v>
      </c>
      <c r="B289" t="s">
        <v>553</v>
      </c>
      <c r="C289" t="s">
        <v>44</v>
      </c>
      <c r="D289" s="226">
        <v>0.06</v>
      </c>
      <c r="E289" t="s">
        <v>554</v>
      </c>
    </row>
    <row r="290" spans="1:5" hidden="1" x14ac:dyDescent="0.3">
      <c r="A290" t="s">
        <v>552</v>
      </c>
      <c r="B290" t="s">
        <v>553</v>
      </c>
      <c r="C290" t="s">
        <v>347</v>
      </c>
      <c r="D290" s="226">
        <v>-12431.19</v>
      </c>
      <c r="E290" t="s">
        <v>554</v>
      </c>
    </row>
    <row r="291" spans="1:5" hidden="1" x14ac:dyDescent="0.3">
      <c r="A291" t="s">
        <v>552</v>
      </c>
      <c r="B291" t="s">
        <v>553</v>
      </c>
      <c r="C291" t="s">
        <v>654</v>
      </c>
      <c r="D291" s="226">
        <v>-7398.84</v>
      </c>
      <c r="E291" t="s">
        <v>554</v>
      </c>
    </row>
    <row r="292" spans="1:5" hidden="1" x14ac:dyDescent="0.3">
      <c r="A292" t="s">
        <v>552</v>
      </c>
      <c r="B292" t="s">
        <v>553</v>
      </c>
      <c r="C292" t="s">
        <v>349</v>
      </c>
      <c r="D292" s="226">
        <v>-5032.3500000000004</v>
      </c>
      <c r="E292" t="s">
        <v>554</v>
      </c>
    </row>
    <row r="293" spans="1:5" hidden="1" x14ac:dyDescent="0.3">
      <c r="A293" t="s">
        <v>552</v>
      </c>
      <c r="B293" t="s">
        <v>553</v>
      </c>
      <c r="C293" t="s">
        <v>350</v>
      </c>
      <c r="D293" s="226">
        <v>0</v>
      </c>
      <c r="E293" t="s">
        <v>554</v>
      </c>
    </row>
    <row r="294" spans="1:5" hidden="1" x14ac:dyDescent="0.3">
      <c r="A294" t="s">
        <v>552</v>
      </c>
      <c r="B294" t="s">
        <v>553</v>
      </c>
      <c r="C294" t="s">
        <v>351</v>
      </c>
      <c r="D294" s="226">
        <v>0</v>
      </c>
      <c r="E294" t="s">
        <v>554</v>
      </c>
    </row>
    <row r="295" spans="1:5" hidden="1" x14ac:dyDescent="0.3">
      <c r="A295" t="s">
        <v>552</v>
      </c>
      <c r="B295" t="s">
        <v>553</v>
      </c>
      <c r="C295" t="s">
        <v>352</v>
      </c>
      <c r="D295" s="226">
        <v>0</v>
      </c>
      <c r="E295" t="s">
        <v>554</v>
      </c>
    </row>
    <row r="296" spans="1:5" hidden="1" x14ac:dyDescent="0.3">
      <c r="A296" t="s">
        <v>552</v>
      </c>
      <c r="B296" t="s">
        <v>553</v>
      </c>
      <c r="C296" t="s">
        <v>353</v>
      </c>
      <c r="D296" s="226">
        <v>0</v>
      </c>
      <c r="E296" t="s">
        <v>554</v>
      </c>
    </row>
    <row r="297" spans="1:5" hidden="1" x14ac:dyDescent="0.3">
      <c r="A297" t="s">
        <v>552</v>
      </c>
      <c r="B297" t="s">
        <v>553</v>
      </c>
      <c r="C297" t="s">
        <v>354</v>
      </c>
      <c r="D297" s="226">
        <v>0</v>
      </c>
      <c r="E297" t="s">
        <v>554</v>
      </c>
    </row>
    <row r="298" spans="1:5" hidden="1" x14ac:dyDescent="0.3">
      <c r="A298" t="s">
        <v>552</v>
      </c>
      <c r="B298" t="s">
        <v>553</v>
      </c>
      <c r="C298" t="s">
        <v>355</v>
      </c>
      <c r="D298" s="226">
        <v>0</v>
      </c>
      <c r="E298" t="s">
        <v>554</v>
      </c>
    </row>
    <row r="299" spans="1:5" hidden="1" x14ac:dyDescent="0.3">
      <c r="A299" t="s">
        <v>552</v>
      </c>
      <c r="B299" t="s">
        <v>553</v>
      </c>
      <c r="C299" t="s">
        <v>356</v>
      </c>
      <c r="D299" s="226">
        <v>0</v>
      </c>
      <c r="E299" t="s">
        <v>554</v>
      </c>
    </row>
    <row r="300" spans="1:5" hidden="1" x14ac:dyDescent="0.3">
      <c r="A300" t="s">
        <v>552</v>
      </c>
      <c r="B300" t="s">
        <v>553</v>
      </c>
      <c r="C300" t="s">
        <v>357</v>
      </c>
      <c r="D300" s="226">
        <v>0</v>
      </c>
      <c r="E300" t="s">
        <v>554</v>
      </c>
    </row>
    <row r="301" spans="1:5" hidden="1" x14ac:dyDescent="0.3">
      <c r="A301" t="s">
        <v>552</v>
      </c>
      <c r="B301" t="s">
        <v>553</v>
      </c>
      <c r="C301" t="s">
        <v>358</v>
      </c>
      <c r="D301" s="226">
        <v>0</v>
      </c>
      <c r="E301" t="s">
        <v>554</v>
      </c>
    </row>
    <row r="302" spans="1:5" hidden="1" x14ac:dyDescent="0.3">
      <c r="A302" t="s">
        <v>552</v>
      </c>
      <c r="B302" t="s">
        <v>553</v>
      </c>
      <c r="C302" t="s">
        <v>359</v>
      </c>
      <c r="D302" s="226">
        <v>0</v>
      </c>
      <c r="E302" t="s">
        <v>554</v>
      </c>
    </row>
    <row r="303" spans="1:5" hidden="1" x14ac:dyDescent="0.3">
      <c r="A303" t="s">
        <v>552</v>
      </c>
      <c r="B303" t="s">
        <v>553</v>
      </c>
      <c r="C303" t="s">
        <v>360</v>
      </c>
      <c r="D303" s="226">
        <v>0</v>
      </c>
      <c r="E303" t="s">
        <v>554</v>
      </c>
    </row>
    <row r="304" spans="1:5" hidden="1" x14ac:dyDescent="0.3">
      <c r="A304" t="s">
        <v>552</v>
      </c>
      <c r="B304" t="s">
        <v>553</v>
      </c>
      <c r="C304" t="s">
        <v>361</v>
      </c>
      <c r="D304" s="226">
        <v>0</v>
      </c>
      <c r="E304" t="s">
        <v>554</v>
      </c>
    </row>
    <row r="305" spans="1:5" hidden="1" x14ac:dyDescent="0.3">
      <c r="A305" t="s">
        <v>552</v>
      </c>
      <c r="B305" t="s">
        <v>553</v>
      </c>
      <c r="C305" t="s">
        <v>362</v>
      </c>
      <c r="D305" s="226">
        <v>0</v>
      </c>
      <c r="E305" t="s">
        <v>554</v>
      </c>
    </row>
    <row r="306" spans="1:5" hidden="1" x14ac:dyDescent="0.3">
      <c r="A306" t="s">
        <v>552</v>
      </c>
      <c r="B306" t="s">
        <v>553</v>
      </c>
      <c r="C306" t="s">
        <v>363</v>
      </c>
      <c r="D306" s="226">
        <v>0</v>
      </c>
      <c r="E306" t="s">
        <v>554</v>
      </c>
    </row>
    <row r="307" spans="1:5" hidden="1" x14ac:dyDescent="0.3">
      <c r="A307" t="s">
        <v>552</v>
      </c>
      <c r="B307" t="s">
        <v>553</v>
      </c>
      <c r="C307" t="s">
        <v>364</v>
      </c>
      <c r="D307" s="226">
        <v>0</v>
      </c>
      <c r="E307" t="s">
        <v>554</v>
      </c>
    </row>
    <row r="308" spans="1:5" hidden="1" x14ac:dyDescent="0.3">
      <c r="A308" t="s">
        <v>552</v>
      </c>
      <c r="B308" t="s">
        <v>553</v>
      </c>
      <c r="C308" t="s">
        <v>365</v>
      </c>
      <c r="D308" s="226">
        <v>0</v>
      </c>
      <c r="E308" t="s">
        <v>554</v>
      </c>
    </row>
    <row r="309" spans="1:5" hidden="1" x14ac:dyDescent="0.3">
      <c r="A309" t="s">
        <v>552</v>
      </c>
      <c r="B309" t="s">
        <v>553</v>
      </c>
      <c r="C309" t="s">
        <v>366</v>
      </c>
      <c r="D309" s="226">
        <v>0</v>
      </c>
      <c r="E309" t="s">
        <v>554</v>
      </c>
    </row>
    <row r="310" spans="1:5" hidden="1" x14ac:dyDescent="0.3">
      <c r="A310" t="s">
        <v>552</v>
      </c>
      <c r="B310" t="s">
        <v>553</v>
      </c>
      <c r="C310" t="s">
        <v>367</v>
      </c>
      <c r="D310" s="226">
        <v>0</v>
      </c>
      <c r="E310" t="s">
        <v>554</v>
      </c>
    </row>
    <row r="311" spans="1:5" hidden="1" x14ac:dyDescent="0.3">
      <c r="A311" t="s">
        <v>552</v>
      </c>
      <c r="B311" t="s">
        <v>553</v>
      </c>
      <c r="C311" t="s">
        <v>368</v>
      </c>
      <c r="D311" s="226">
        <v>0</v>
      </c>
      <c r="E311" t="s">
        <v>554</v>
      </c>
    </row>
    <row r="312" spans="1:5" hidden="1" x14ac:dyDescent="0.3">
      <c r="A312" t="s">
        <v>552</v>
      </c>
      <c r="B312" t="s">
        <v>553</v>
      </c>
      <c r="C312" t="s">
        <v>369</v>
      </c>
      <c r="D312" s="226">
        <v>0</v>
      </c>
      <c r="E312" t="s">
        <v>554</v>
      </c>
    </row>
    <row r="313" spans="1:5" hidden="1" x14ac:dyDescent="0.3">
      <c r="A313" t="s">
        <v>552</v>
      </c>
      <c r="B313" t="s">
        <v>553</v>
      </c>
      <c r="C313" t="s">
        <v>370</v>
      </c>
      <c r="D313" s="226">
        <v>0</v>
      </c>
      <c r="E313" t="s">
        <v>554</v>
      </c>
    </row>
    <row r="314" spans="1:5" hidden="1" x14ac:dyDescent="0.3">
      <c r="A314" t="s">
        <v>552</v>
      </c>
      <c r="B314" t="s">
        <v>553</v>
      </c>
      <c r="C314" t="s">
        <v>371</v>
      </c>
      <c r="D314" s="226">
        <v>0</v>
      </c>
      <c r="E314" t="s">
        <v>554</v>
      </c>
    </row>
    <row r="315" spans="1:5" hidden="1" x14ac:dyDescent="0.3">
      <c r="A315" t="s">
        <v>552</v>
      </c>
      <c r="B315" t="s">
        <v>553</v>
      </c>
      <c r="C315" t="s">
        <v>372</v>
      </c>
      <c r="D315" s="226">
        <v>0</v>
      </c>
      <c r="E315" t="s">
        <v>554</v>
      </c>
    </row>
    <row r="316" spans="1:5" hidden="1" x14ac:dyDescent="0.3">
      <c r="A316" t="s">
        <v>552</v>
      </c>
      <c r="B316" t="s">
        <v>553</v>
      </c>
      <c r="C316" t="s">
        <v>373</v>
      </c>
      <c r="D316" s="226">
        <v>0</v>
      </c>
      <c r="E316" t="s">
        <v>554</v>
      </c>
    </row>
    <row r="317" spans="1:5" hidden="1" x14ac:dyDescent="0.3">
      <c r="A317" t="s">
        <v>552</v>
      </c>
      <c r="B317" t="s">
        <v>553</v>
      </c>
      <c r="C317" t="s">
        <v>655</v>
      </c>
      <c r="D317" s="226">
        <v>0</v>
      </c>
      <c r="E317" t="s">
        <v>554</v>
      </c>
    </row>
    <row r="318" spans="1:5" hidden="1" x14ac:dyDescent="0.3">
      <c r="A318" t="s">
        <v>552</v>
      </c>
      <c r="B318" t="s">
        <v>656</v>
      </c>
      <c r="C318" t="s">
        <v>11</v>
      </c>
      <c r="D318" s="226">
        <v>1036629.12</v>
      </c>
      <c r="E318" t="s">
        <v>657</v>
      </c>
    </row>
    <row r="319" spans="1:5" hidden="1" x14ac:dyDescent="0.3">
      <c r="A319" t="s">
        <v>552</v>
      </c>
      <c r="B319" t="s">
        <v>656</v>
      </c>
      <c r="C319" t="s">
        <v>13</v>
      </c>
      <c r="D319" s="226">
        <v>490150</v>
      </c>
      <c r="E319" t="s">
        <v>657</v>
      </c>
    </row>
    <row r="320" spans="1:5" hidden="1" x14ac:dyDescent="0.3">
      <c r="A320" t="s">
        <v>552</v>
      </c>
      <c r="B320" t="s">
        <v>656</v>
      </c>
      <c r="C320" t="s">
        <v>16</v>
      </c>
      <c r="D320" s="226">
        <v>394220</v>
      </c>
      <c r="E320" t="s">
        <v>657</v>
      </c>
    </row>
    <row r="321" spans="1:5" hidden="1" x14ac:dyDescent="0.3">
      <c r="A321" t="s">
        <v>552</v>
      </c>
      <c r="B321" t="s">
        <v>656</v>
      </c>
      <c r="C321" t="s">
        <v>17</v>
      </c>
      <c r="D321" s="226">
        <v>5099</v>
      </c>
      <c r="E321" t="s">
        <v>657</v>
      </c>
    </row>
    <row r="322" spans="1:5" hidden="1" x14ac:dyDescent="0.3">
      <c r="A322" t="s">
        <v>552</v>
      </c>
      <c r="B322" t="s">
        <v>656</v>
      </c>
      <c r="C322" t="s">
        <v>18</v>
      </c>
      <c r="D322" s="226">
        <v>775</v>
      </c>
      <c r="E322" t="s">
        <v>657</v>
      </c>
    </row>
    <row r="323" spans="1:5" hidden="1" x14ac:dyDescent="0.3">
      <c r="A323" t="s">
        <v>552</v>
      </c>
      <c r="B323" t="s">
        <v>656</v>
      </c>
      <c r="C323" t="s">
        <v>20</v>
      </c>
      <c r="D323" s="226">
        <v>113040.97</v>
      </c>
      <c r="E323" t="s">
        <v>657</v>
      </c>
    </row>
    <row r="324" spans="1:5" hidden="1" x14ac:dyDescent="0.3">
      <c r="A324" t="s">
        <v>552</v>
      </c>
      <c r="B324" t="s">
        <v>656</v>
      </c>
      <c r="C324" t="s">
        <v>23</v>
      </c>
      <c r="D324" s="226">
        <v>4864.5</v>
      </c>
      <c r="E324" t="s">
        <v>657</v>
      </c>
    </row>
    <row r="325" spans="1:5" hidden="1" x14ac:dyDescent="0.3">
      <c r="A325" t="s">
        <v>552</v>
      </c>
      <c r="B325" t="s">
        <v>656</v>
      </c>
      <c r="C325" t="s">
        <v>25</v>
      </c>
      <c r="D325" s="226">
        <v>960.5</v>
      </c>
      <c r="E325" t="s">
        <v>657</v>
      </c>
    </row>
    <row r="326" spans="1:5" hidden="1" x14ac:dyDescent="0.3">
      <c r="A326" t="s">
        <v>552</v>
      </c>
      <c r="B326" t="s">
        <v>656</v>
      </c>
      <c r="C326" t="s">
        <v>26</v>
      </c>
      <c r="D326" s="226">
        <v>10000.15</v>
      </c>
      <c r="E326" t="s">
        <v>657</v>
      </c>
    </row>
    <row r="327" spans="1:5" hidden="1" x14ac:dyDescent="0.3">
      <c r="A327" t="s">
        <v>552</v>
      </c>
      <c r="B327" t="s">
        <v>656</v>
      </c>
      <c r="C327" t="s">
        <v>27</v>
      </c>
      <c r="D327" s="226">
        <v>0</v>
      </c>
      <c r="E327" t="s">
        <v>657</v>
      </c>
    </row>
    <row r="328" spans="1:5" hidden="1" x14ac:dyDescent="0.3">
      <c r="A328" t="s">
        <v>552</v>
      </c>
      <c r="B328" t="s">
        <v>656</v>
      </c>
      <c r="C328" t="s">
        <v>29</v>
      </c>
      <c r="D328" s="226">
        <v>17519</v>
      </c>
      <c r="E328" t="s">
        <v>657</v>
      </c>
    </row>
    <row r="329" spans="1:5" hidden="1" x14ac:dyDescent="0.3">
      <c r="A329" t="s">
        <v>552</v>
      </c>
      <c r="B329" t="s">
        <v>656</v>
      </c>
      <c r="C329" t="s">
        <v>31</v>
      </c>
      <c r="D329" s="226">
        <v>0</v>
      </c>
      <c r="E329" t="s">
        <v>657</v>
      </c>
    </row>
    <row r="330" spans="1:5" hidden="1" x14ac:dyDescent="0.3">
      <c r="A330" t="s">
        <v>552</v>
      </c>
      <c r="B330" t="s">
        <v>656</v>
      </c>
      <c r="C330" t="s">
        <v>34</v>
      </c>
      <c r="D330" s="226">
        <v>-13911.63</v>
      </c>
      <c r="E330" t="s">
        <v>657</v>
      </c>
    </row>
    <row r="331" spans="1:5" hidden="1" x14ac:dyDescent="0.3">
      <c r="A331" t="s">
        <v>552</v>
      </c>
      <c r="B331" t="s">
        <v>656</v>
      </c>
      <c r="C331" t="s">
        <v>38</v>
      </c>
      <c r="D331" s="226">
        <v>-13911.63</v>
      </c>
      <c r="E331" t="s">
        <v>657</v>
      </c>
    </row>
    <row r="332" spans="1:5" hidden="1" x14ac:dyDescent="0.3">
      <c r="A332" t="s">
        <v>552</v>
      </c>
      <c r="B332" t="s">
        <v>656</v>
      </c>
      <c r="C332" t="s">
        <v>40</v>
      </c>
      <c r="D332" s="226">
        <v>0</v>
      </c>
      <c r="E332" t="s">
        <v>657</v>
      </c>
    </row>
    <row r="333" spans="1:5" hidden="1" x14ac:dyDescent="0.3">
      <c r="A333" t="s">
        <v>552</v>
      </c>
      <c r="B333" t="s">
        <v>656</v>
      </c>
      <c r="C333" t="s">
        <v>42</v>
      </c>
      <c r="D333" s="226">
        <v>0</v>
      </c>
      <c r="E333" t="s">
        <v>657</v>
      </c>
    </row>
    <row r="334" spans="1:5" hidden="1" x14ac:dyDescent="0.3">
      <c r="A334" t="s">
        <v>552</v>
      </c>
      <c r="B334" t="s">
        <v>656</v>
      </c>
      <c r="C334" t="s">
        <v>44</v>
      </c>
      <c r="D334" s="226">
        <v>-0.01</v>
      </c>
      <c r="E334" t="s">
        <v>657</v>
      </c>
    </row>
    <row r="335" spans="1:5" hidden="1" x14ac:dyDescent="0.3">
      <c r="A335" t="s">
        <v>552</v>
      </c>
      <c r="B335" t="s">
        <v>656</v>
      </c>
      <c r="C335" t="s">
        <v>45</v>
      </c>
      <c r="D335" s="226">
        <v>-62655.35</v>
      </c>
      <c r="E335" t="s">
        <v>657</v>
      </c>
    </row>
    <row r="336" spans="1:5" hidden="1" x14ac:dyDescent="0.3">
      <c r="A336" t="s">
        <v>552</v>
      </c>
      <c r="B336" t="s">
        <v>656</v>
      </c>
      <c r="C336" t="s">
        <v>46</v>
      </c>
      <c r="D336" s="226">
        <v>-33203.19</v>
      </c>
      <c r="E336" t="s">
        <v>657</v>
      </c>
    </row>
    <row r="337" spans="1:5" hidden="1" x14ac:dyDescent="0.3">
      <c r="A337" t="s">
        <v>552</v>
      </c>
      <c r="B337" t="s">
        <v>656</v>
      </c>
      <c r="C337" t="s">
        <v>48</v>
      </c>
      <c r="D337" s="226">
        <v>-28953.98</v>
      </c>
      <c r="E337" t="s">
        <v>657</v>
      </c>
    </row>
    <row r="338" spans="1:5" hidden="1" x14ac:dyDescent="0.3">
      <c r="A338" t="s">
        <v>552</v>
      </c>
      <c r="B338" t="s">
        <v>656</v>
      </c>
      <c r="C338" t="s">
        <v>49</v>
      </c>
      <c r="D338" s="226">
        <v>-498.18</v>
      </c>
      <c r="E338" t="s">
        <v>657</v>
      </c>
    </row>
    <row r="339" spans="1:5" hidden="1" x14ac:dyDescent="0.3">
      <c r="A339" t="s">
        <v>552</v>
      </c>
      <c r="B339" t="s">
        <v>656</v>
      </c>
      <c r="C339" t="s">
        <v>50</v>
      </c>
      <c r="D339" s="226">
        <v>960062.13</v>
      </c>
      <c r="E339" t="s">
        <v>657</v>
      </c>
    </row>
    <row r="340" spans="1:5" hidden="1" x14ac:dyDescent="0.3">
      <c r="A340" t="s">
        <v>552</v>
      </c>
      <c r="B340" t="s">
        <v>656</v>
      </c>
      <c r="C340" t="s">
        <v>51</v>
      </c>
      <c r="D340" s="226">
        <v>-269849.5</v>
      </c>
      <c r="E340" t="s">
        <v>657</v>
      </c>
    </row>
    <row r="341" spans="1:5" hidden="1" x14ac:dyDescent="0.3">
      <c r="A341" t="s">
        <v>552</v>
      </c>
      <c r="B341" t="s">
        <v>656</v>
      </c>
      <c r="C341" t="s">
        <v>52</v>
      </c>
      <c r="D341" s="226">
        <v>-174465.97</v>
      </c>
      <c r="E341" t="s">
        <v>657</v>
      </c>
    </row>
    <row r="342" spans="1:5" hidden="1" x14ac:dyDescent="0.3">
      <c r="A342" t="s">
        <v>552</v>
      </c>
      <c r="B342" t="s">
        <v>656</v>
      </c>
      <c r="C342" t="s">
        <v>53</v>
      </c>
      <c r="D342" s="226">
        <v>-93462.26</v>
      </c>
      <c r="E342" t="s">
        <v>657</v>
      </c>
    </row>
    <row r="343" spans="1:5" hidden="1" x14ac:dyDescent="0.3">
      <c r="A343" t="s">
        <v>552</v>
      </c>
      <c r="B343" t="s">
        <v>656</v>
      </c>
      <c r="C343" t="s">
        <v>54</v>
      </c>
      <c r="D343" s="226">
        <v>-1921.26</v>
      </c>
      <c r="E343" t="s">
        <v>657</v>
      </c>
    </row>
    <row r="344" spans="1:5" hidden="1" x14ac:dyDescent="0.3">
      <c r="A344" t="s">
        <v>552</v>
      </c>
      <c r="B344" t="s">
        <v>656</v>
      </c>
      <c r="C344" t="s">
        <v>23</v>
      </c>
      <c r="D344" s="226">
        <v>0</v>
      </c>
      <c r="E344" t="s">
        <v>657</v>
      </c>
    </row>
    <row r="345" spans="1:5" hidden="1" x14ac:dyDescent="0.3">
      <c r="A345" t="s">
        <v>552</v>
      </c>
      <c r="B345" t="s">
        <v>656</v>
      </c>
      <c r="C345" t="s">
        <v>44</v>
      </c>
      <c r="D345" s="226">
        <v>-0.3</v>
      </c>
      <c r="E345" t="s">
        <v>657</v>
      </c>
    </row>
    <row r="346" spans="1:5" hidden="1" x14ac:dyDescent="0.3">
      <c r="A346" t="s">
        <v>552</v>
      </c>
      <c r="B346" t="s">
        <v>656</v>
      </c>
      <c r="C346" t="s">
        <v>55</v>
      </c>
      <c r="D346" s="226">
        <v>-0.28000000000000003</v>
      </c>
      <c r="E346" t="s">
        <v>657</v>
      </c>
    </row>
    <row r="347" spans="1:5" hidden="1" x14ac:dyDescent="0.3">
      <c r="A347" t="s">
        <v>552</v>
      </c>
      <c r="B347" t="s">
        <v>656</v>
      </c>
      <c r="C347" t="s">
        <v>56</v>
      </c>
      <c r="D347" s="226">
        <v>-8922.49</v>
      </c>
      <c r="E347" t="s">
        <v>657</v>
      </c>
    </row>
    <row r="348" spans="1:5" hidden="1" x14ac:dyDescent="0.3">
      <c r="A348" t="s">
        <v>552</v>
      </c>
      <c r="B348" t="s">
        <v>656</v>
      </c>
      <c r="C348" t="s">
        <v>57</v>
      </c>
      <c r="D348" s="226">
        <v>-8922.49</v>
      </c>
      <c r="E348" t="s">
        <v>657</v>
      </c>
    </row>
    <row r="349" spans="1:5" hidden="1" x14ac:dyDescent="0.3">
      <c r="A349" t="s">
        <v>552</v>
      </c>
      <c r="B349" t="s">
        <v>656</v>
      </c>
      <c r="C349" t="s">
        <v>58</v>
      </c>
      <c r="D349" s="226">
        <v>-8176.93</v>
      </c>
      <c r="E349" t="s">
        <v>657</v>
      </c>
    </row>
    <row r="350" spans="1:5" hidden="1" x14ac:dyDescent="0.3">
      <c r="A350" t="s">
        <v>552</v>
      </c>
      <c r="B350" t="s">
        <v>656</v>
      </c>
      <c r="C350" t="s">
        <v>59</v>
      </c>
      <c r="D350" s="226">
        <v>-745.56</v>
      </c>
      <c r="E350" t="s">
        <v>657</v>
      </c>
    </row>
    <row r="351" spans="1:5" hidden="1" x14ac:dyDescent="0.3">
      <c r="A351" t="s">
        <v>552</v>
      </c>
      <c r="B351" t="s">
        <v>656</v>
      </c>
      <c r="C351" t="s">
        <v>61</v>
      </c>
      <c r="D351" s="226">
        <v>0</v>
      </c>
      <c r="E351" t="s">
        <v>657</v>
      </c>
    </row>
    <row r="352" spans="1:5" hidden="1" x14ac:dyDescent="0.3">
      <c r="A352" t="s">
        <v>552</v>
      </c>
      <c r="B352" t="s">
        <v>656</v>
      </c>
      <c r="C352" t="s">
        <v>62</v>
      </c>
      <c r="D352" s="226">
        <v>0</v>
      </c>
      <c r="E352" t="s">
        <v>657</v>
      </c>
    </row>
    <row r="353" spans="1:5" hidden="1" x14ac:dyDescent="0.3">
      <c r="A353" t="s">
        <v>552</v>
      </c>
      <c r="B353" t="s">
        <v>656</v>
      </c>
      <c r="C353" t="s">
        <v>64</v>
      </c>
      <c r="D353" s="226">
        <v>0</v>
      </c>
      <c r="E353" t="s">
        <v>657</v>
      </c>
    </row>
    <row r="354" spans="1:5" hidden="1" x14ac:dyDescent="0.3">
      <c r="A354" t="s">
        <v>552</v>
      </c>
      <c r="B354" t="s">
        <v>656</v>
      </c>
      <c r="C354" t="s">
        <v>65</v>
      </c>
      <c r="D354" s="226">
        <v>0</v>
      </c>
      <c r="E354" t="s">
        <v>657</v>
      </c>
    </row>
    <row r="355" spans="1:5" hidden="1" x14ac:dyDescent="0.3">
      <c r="A355" t="s">
        <v>552</v>
      </c>
      <c r="B355" t="s">
        <v>656</v>
      </c>
      <c r="C355" t="s">
        <v>66</v>
      </c>
      <c r="D355" s="226">
        <v>0</v>
      </c>
      <c r="E355" t="s">
        <v>657</v>
      </c>
    </row>
    <row r="356" spans="1:5" hidden="1" x14ac:dyDescent="0.3">
      <c r="A356" t="s">
        <v>552</v>
      </c>
      <c r="B356" t="s">
        <v>656</v>
      </c>
      <c r="C356" t="s">
        <v>68</v>
      </c>
      <c r="D356" s="226">
        <v>0</v>
      </c>
      <c r="E356" t="s">
        <v>657</v>
      </c>
    </row>
    <row r="357" spans="1:5" hidden="1" x14ac:dyDescent="0.3">
      <c r="A357" t="s">
        <v>552</v>
      </c>
      <c r="B357" t="s">
        <v>656</v>
      </c>
      <c r="C357" t="s">
        <v>69</v>
      </c>
      <c r="D357" s="226">
        <v>0</v>
      </c>
      <c r="E357" t="s">
        <v>657</v>
      </c>
    </row>
    <row r="358" spans="1:5" hidden="1" x14ac:dyDescent="0.3">
      <c r="A358" t="s">
        <v>552</v>
      </c>
      <c r="B358" t="s">
        <v>656</v>
      </c>
      <c r="C358" t="s">
        <v>70</v>
      </c>
      <c r="D358" s="226">
        <v>-1.75</v>
      </c>
      <c r="E358" t="s">
        <v>657</v>
      </c>
    </row>
    <row r="359" spans="1:5" hidden="1" x14ac:dyDescent="0.3">
      <c r="A359" t="s">
        <v>552</v>
      </c>
      <c r="B359" t="s">
        <v>656</v>
      </c>
      <c r="C359" t="s">
        <v>44</v>
      </c>
      <c r="D359" s="226">
        <v>-0.01</v>
      </c>
      <c r="E359" t="s">
        <v>657</v>
      </c>
    </row>
    <row r="360" spans="1:5" hidden="1" x14ac:dyDescent="0.3">
      <c r="A360" t="s">
        <v>552</v>
      </c>
      <c r="B360" t="s">
        <v>656</v>
      </c>
      <c r="C360" t="s">
        <v>71</v>
      </c>
      <c r="D360" s="226">
        <v>-2900</v>
      </c>
      <c r="E360" t="s">
        <v>657</v>
      </c>
    </row>
    <row r="361" spans="1:5" hidden="1" x14ac:dyDescent="0.3">
      <c r="A361" t="s">
        <v>552</v>
      </c>
      <c r="B361" t="s">
        <v>656</v>
      </c>
      <c r="C361" t="s">
        <v>72</v>
      </c>
      <c r="D361" s="226">
        <v>-1700</v>
      </c>
      <c r="E361" t="s">
        <v>657</v>
      </c>
    </row>
    <row r="362" spans="1:5" hidden="1" x14ac:dyDescent="0.3">
      <c r="A362" t="s">
        <v>552</v>
      </c>
      <c r="B362" t="s">
        <v>656</v>
      </c>
      <c r="C362" t="s">
        <v>73</v>
      </c>
      <c r="D362" s="226">
        <v>0</v>
      </c>
      <c r="E362" t="s">
        <v>657</v>
      </c>
    </row>
    <row r="363" spans="1:5" hidden="1" x14ac:dyDescent="0.3">
      <c r="A363" t="s">
        <v>552</v>
      </c>
      <c r="B363" t="s">
        <v>656</v>
      </c>
      <c r="C363" t="s">
        <v>75</v>
      </c>
      <c r="D363" s="226">
        <v>-1700</v>
      </c>
      <c r="E363" t="s">
        <v>657</v>
      </c>
    </row>
    <row r="364" spans="1:5" hidden="1" x14ac:dyDescent="0.3">
      <c r="A364" t="s">
        <v>552</v>
      </c>
      <c r="B364" t="s">
        <v>656</v>
      </c>
      <c r="C364" t="s">
        <v>77</v>
      </c>
      <c r="D364" s="226">
        <v>0</v>
      </c>
      <c r="E364" t="s">
        <v>657</v>
      </c>
    </row>
    <row r="365" spans="1:5" hidden="1" x14ac:dyDescent="0.3">
      <c r="A365" t="s">
        <v>552</v>
      </c>
      <c r="B365" t="s">
        <v>656</v>
      </c>
      <c r="C365" t="s">
        <v>78</v>
      </c>
      <c r="D365" s="226">
        <v>0</v>
      </c>
      <c r="E365" t="s">
        <v>657</v>
      </c>
    </row>
    <row r="366" spans="1:5" hidden="1" x14ac:dyDescent="0.3">
      <c r="A366" t="s">
        <v>552</v>
      </c>
      <c r="B366" t="s">
        <v>656</v>
      </c>
      <c r="C366" t="s">
        <v>80</v>
      </c>
      <c r="D366" s="226">
        <v>0</v>
      </c>
      <c r="E366" t="s">
        <v>657</v>
      </c>
    </row>
    <row r="367" spans="1:5" hidden="1" x14ac:dyDescent="0.3">
      <c r="A367" t="s">
        <v>552</v>
      </c>
      <c r="B367" t="s">
        <v>656</v>
      </c>
      <c r="C367" t="s">
        <v>82</v>
      </c>
      <c r="D367" s="226">
        <v>0</v>
      </c>
      <c r="E367" t="s">
        <v>657</v>
      </c>
    </row>
    <row r="368" spans="1:5" hidden="1" x14ac:dyDescent="0.3">
      <c r="A368" t="s">
        <v>552</v>
      </c>
      <c r="B368" t="s">
        <v>656</v>
      </c>
      <c r="C368" t="s">
        <v>84</v>
      </c>
      <c r="D368" s="226">
        <v>0</v>
      </c>
      <c r="E368" t="s">
        <v>657</v>
      </c>
    </row>
    <row r="369" spans="1:5" hidden="1" x14ac:dyDescent="0.3">
      <c r="A369" t="s">
        <v>552</v>
      </c>
      <c r="B369" t="s">
        <v>656</v>
      </c>
      <c r="C369" t="s">
        <v>85</v>
      </c>
      <c r="D369" s="226">
        <v>0</v>
      </c>
      <c r="E369" t="s">
        <v>657</v>
      </c>
    </row>
    <row r="370" spans="1:5" hidden="1" x14ac:dyDescent="0.3">
      <c r="A370" t="s">
        <v>552</v>
      </c>
      <c r="B370" t="s">
        <v>656</v>
      </c>
      <c r="C370" t="s">
        <v>86</v>
      </c>
      <c r="D370" s="226">
        <v>0</v>
      </c>
      <c r="E370" t="s">
        <v>657</v>
      </c>
    </row>
    <row r="371" spans="1:5" hidden="1" x14ac:dyDescent="0.3">
      <c r="A371" t="s">
        <v>552</v>
      </c>
      <c r="B371" t="s">
        <v>656</v>
      </c>
      <c r="C371" t="s">
        <v>87</v>
      </c>
      <c r="D371" s="226">
        <v>0</v>
      </c>
      <c r="E371" t="s">
        <v>657</v>
      </c>
    </row>
    <row r="372" spans="1:5" hidden="1" x14ac:dyDescent="0.3">
      <c r="A372" t="s">
        <v>552</v>
      </c>
      <c r="B372" t="s">
        <v>656</v>
      </c>
      <c r="C372" t="s">
        <v>88</v>
      </c>
      <c r="D372" s="226">
        <v>0</v>
      </c>
      <c r="E372" t="s">
        <v>657</v>
      </c>
    </row>
    <row r="373" spans="1:5" hidden="1" x14ac:dyDescent="0.3">
      <c r="A373" t="s">
        <v>552</v>
      </c>
      <c r="B373" t="s">
        <v>656</v>
      </c>
      <c r="C373" t="s">
        <v>89</v>
      </c>
      <c r="D373" s="226">
        <v>0</v>
      </c>
      <c r="E373" t="s">
        <v>657</v>
      </c>
    </row>
    <row r="374" spans="1:5" hidden="1" x14ac:dyDescent="0.3">
      <c r="A374" t="s">
        <v>552</v>
      </c>
      <c r="B374" t="s">
        <v>656</v>
      </c>
      <c r="C374" t="s">
        <v>90</v>
      </c>
      <c r="D374" s="226">
        <v>0</v>
      </c>
      <c r="E374" t="s">
        <v>657</v>
      </c>
    </row>
    <row r="375" spans="1:5" hidden="1" x14ac:dyDescent="0.3">
      <c r="A375" t="s">
        <v>552</v>
      </c>
      <c r="B375" t="s">
        <v>656</v>
      </c>
      <c r="C375" t="s">
        <v>91</v>
      </c>
      <c r="D375" s="226">
        <v>0</v>
      </c>
      <c r="E375" t="s">
        <v>657</v>
      </c>
    </row>
    <row r="376" spans="1:5" hidden="1" x14ac:dyDescent="0.3">
      <c r="A376" t="s">
        <v>552</v>
      </c>
      <c r="B376" t="s">
        <v>656</v>
      </c>
      <c r="C376" t="s">
        <v>93</v>
      </c>
      <c r="D376" s="226">
        <v>0</v>
      </c>
      <c r="E376" t="s">
        <v>657</v>
      </c>
    </row>
    <row r="377" spans="1:5" hidden="1" x14ac:dyDescent="0.3">
      <c r="A377" t="s">
        <v>552</v>
      </c>
      <c r="B377" t="s">
        <v>656</v>
      </c>
      <c r="C377" t="s">
        <v>95</v>
      </c>
      <c r="D377" s="226">
        <v>0</v>
      </c>
      <c r="E377" t="s">
        <v>657</v>
      </c>
    </row>
    <row r="378" spans="1:5" hidden="1" x14ac:dyDescent="0.3">
      <c r="A378" t="s">
        <v>552</v>
      </c>
      <c r="B378" t="s">
        <v>656</v>
      </c>
      <c r="C378" t="s">
        <v>96</v>
      </c>
      <c r="D378" s="226">
        <v>0</v>
      </c>
      <c r="E378" t="s">
        <v>657</v>
      </c>
    </row>
    <row r="379" spans="1:5" hidden="1" x14ac:dyDescent="0.3">
      <c r="A379" t="s">
        <v>552</v>
      </c>
      <c r="B379" t="s">
        <v>656</v>
      </c>
      <c r="C379" t="s">
        <v>98</v>
      </c>
      <c r="D379" s="226">
        <v>0</v>
      </c>
      <c r="E379" t="s">
        <v>657</v>
      </c>
    </row>
    <row r="380" spans="1:5" hidden="1" x14ac:dyDescent="0.3">
      <c r="A380" t="s">
        <v>552</v>
      </c>
      <c r="B380" t="s">
        <v>656</v>
      </c>
      <c r="C380" t="s">
        <v>100</v>
      </c>
      <c r="D380" s="226">
        <v>0</v>
      </c>
      <c r="E380" t="s">
        <v>657</v>
      </c>
    </row>
    <row r="381" spans="1:5" hidden="1" x14ac:dyDescent="0.3">
      <c r="A381" t="s">
        <v>552</v>
      </c>
      <c r="B381" t="s">
        <v>656</v>
      </c>
      <c r="C381" t="s">
        <v>101</v>
      </c>
      <c r="D381" s="226">
        <v>-1200</v>
      </c>
      <c r="E381" t="s">
        <v>657</v>
      </c>
    </row>
    <row r="382" spans="1:5" hidden="1" x14ac:dyDescent="0.3">
      <c r="A382" t="s">
        <v>552</v>
      </c>
      <c r="B382" t="s">
        <v>656</v>
      </c>
      <c r="C382" t="s">
        <v>102</v>
      </c>
      <c r="D382" s="226">
        <v>0</v>
      </c>
      <c r="E382" t="s">
        <v>657</v>
      </c>
    </row>
    <row r="383" spans="1:5" hidden="1" x14ac:dyDescent="0.3">
      <c r="A383" t="s">
        <v>552</v>
      </c>
      <c r="B383" t="s">
        <v>656</v>
      </c>
      <c r="C383" t="s">
        <v>103</v>
      </c>
      <c r="D383" s="226">
        <v>-1200</v>
      </c>
      <c r="E383" t="s">
        <v>657</v>
      </c>
    </row>
    <row r="384" spans="1:5" hidden="1" x14ac:dyDescent="0.3">
      <c r="A384" t="s">
        <v>552</v>
      </c>
      <c r="B384" t="s">
        <v>656</v>
      </c>
      <c r="C384" t="s">
        <v>104</v>
      </c>
      <c r="D384" s="226">
        <v>0</v>
      </c>
      <c r="E384" t="s">
        <v>657</v>
      </c>
    </row>
    <row r="385" spans="1:5" hidden="1" x14ac:dyDescent="0.3">
      <c r="A385" t="s">
        <v>552</v>
      </c>
      <c r="B385" t="s">
        <v>656</v>
      </c>
      <c r="C385" t="s">
        <v>105</v>
      </c>
      <c r="D385" s="226">
        <v>0</v>
      </c>
      <c r="E385" t="s">
        <v>657</v>
      </c>
    </row>
    <row r="386" spans="1:5" hidden="1" x14ac:dyDescent="0.3">
      <c r="A386" t="s">
        <v>552</v>
      </c>
      <c r="B386" t="s">
        <v>656</v>
      </c>
      <c r="C386" t="s">
        <v>107</v>
      </c>
      <c r="D386" s="226">
        <v>0</v>
      </c>
      <c r="E386" t="s">
        <v>657</v>
      </c>
    </row>
    <row r="387" spans="1:5" hidden="1" x14ac:dyDescent="0.3">
      <c r="A387" t="s">
        <v>552</v>
      </c>
      <c r="B387" t="s">
        <v>656</v>
      </c>
      <c r="C387" t="s">
        <v>108</v>
      </c>
      <c r="D387" s="226">
        <v>0</v>
      </c>
      <c r="E387" t="s">
        <v>657</v>
      </c>
    </row>
    <row r="388" spans="1:5" hidden="1" x14ac:dyDescent="0.3">
      <c r="A388" t="s">
        <v>552</v>
      </c>
      <c r="B388" t="s">
        <v>656</v>
      </c>
      <c r="C388" t="s">
        <v>109</v>
      </c>
      <c r="D388" s="226">
        <v>0</v>
      </c>
      <c r="E388" t="s">
        <v>657</v>
      </c>
    </row>
    <row r="389" spans="1:5" hidden="1" x14ac:dyDescent="0.3">
      <c r="A389" t="s">
        <v>552</v>
      </c>
      <c r="B389" t="s">
        <v>656</v>
      </c>
      <c r="C389" t="s">
        <v>110</v>
      </c>
      <c r="D389" s="226">
        <v>-0.18</v>
      </c>
      <c r="E389" t="s">
        <v>657</v>
      </c>
    </row>
    <row r="390" spans="1:5" hidden="1" x14ac:dyDescent="0.3">
      <c r="A390" t="s">
        <v>552</v>
      </c>
      <c r="B390" t="s">
        <v>656</v>
      </c>
      <c r="C390" t="s">
        <v>44</v>
      </c>
      <c r="D390" s="226">
        <v>0</v>
      </c>
      <c r="E390" t="s">
        <v>657</v>
      </c>
    </row>
    <row r="391" spans="1:5" hidden="1" x14ac:dyDescent="0.3">
      <c r="A391" t="s">
        <v>552</v>
      </c>
      <c r="B391" t="s">
        <v>656</v>
      </c>
      <c r="C391" t="s">
        <v>111</v>
      </c>
      <c r="D391" s="226">
        <v>-79855.8</v>
      </c>
      <c r="E391" t="s">
        <v>657</v>
      </c>
    </row>
    <row r="392" spans="1:5" hidden="1" x14ac:dyDescent="0.3">
      <c r="A392" t="s">
        <v>552</v>
      </c>
      <c r="B392" t="s">
        <v>656</v>
      </c>
      <c r="C392" t="s">
        <v>555</v>
      </c>
      <c r="D392" s="226">
        <v>-79855.8</v>
      </c>
      <c r="E392" t="s">
        <v>657</v>
      </c>
    </row>
    <row r="393" spans="1:5" hidden="1" x14ac:dyDescent="0.3">
      <c r="A393" t="s">
        <v>552</v>
      </c>
      <c r="B393" t="s">
        <v>656</v>
      </c>
      <c r="C393" t="s">
        <v>44</v>
      </c>
      <c r="D393" s="226">
        <v>-0.08</v>
      </c>
      <c r="E393" t="s">
        <v>657</v>
      </c>
    </row>
    <row r="394" spans="1:5" hidden="1" x14ac:dyDescent="0.3">
      <c r="A394" t="s">
        <v>552</v>
      </c>
      <c r="B394" t="s">
        <v>656</v>
      </c>
      <c r="C394" t="s">
        <v>115</v>
      </c>
      <c r="D394" s="226">
        <v>-24823.38</v>
      </c>
      <c r="E394" t="s">
        <v>657</v>
      </c>
    </row>
    <row r="395" spans="1:5" hidden="1" x14ac:dyDescent="0.3">
      <c r="A395" t="s">
        <v>552</v>
      </c>
      <c r="B395" t="s">
        <v>656</v>
      </c>
      <c r="C395" t="s">
        <v>116</v>
      </c>
      <c r="D395" s="226">
        <v>-20341.34</v>
      </c>
      <c r="E395" t="s">
        <v>657</v>
      </c>
    </row>
    <row r="396" spans="1:5" hidden="1" x14ac:dyDescent="0.3">
      <c r="A396" t="s">
        <v>552</v>
      </c>
      <c r="B396" t="s">
        <v>656</v>
      </c>
      <c r="C396" t="s">
        <v>118</v>
      </c>
      <c r="D396" s="226">
        <v>0</v>
      </c>
      <c r="E396" t="s">
        <v>657</v>
      </c>
    </row>
    <row r="397" spans="1:5" hidden="1" x14ac:dyDescent="0.3">
      <c r="A397" t="s">
        <v>552</v>
      </c>
      <c r="B397" t="s">
        <v>656</v>
      </c>
      <c r="C397" t="s">
        <v>120</v>
      </c>
      <c r="D397" s="226">
        <v>0</v>
      </c>
      <c r="E397" t="s">
        <v>657</v>
      </c>
    </row>
    <row r="398" spans="1:5" hidden="1" x14ac:dyDescent="0.3">
      <c r="A398" t="s">
        <v>552</v>
      </c>
      <c r="B398" t="s">
        <v>656</v>
      </c>
      <c r="C398" t="s">
        <v>122</v>
      </c>
      <c r="D398" s="226">
        <v>-4482.04</v>
      </c>
      <c r="E398" t="s">
        <v>657</v>
      </c>
    </row>
    <row r="399" spans="1:5" hidden="1" x14ac:dyDescent="0.3">
      <c r="A399" t="s">
        <v>552</v>
      </c>
      <c r="B399" t="s">
        <v>656</v>
      </c>
      <c r="C399" t="s">
        <v>44</v>
      </c>
      <c r="D399" s="226">
        <v>-0.02</v>
      </c>
      <c r="E399" t="s">
        <v>657</v>
      </c>
    </row>
    <row r="400" spans="1:5" hidden="1" x14ac:dyDescent="0.3">
      <c r="A400" t="s">
        <v>552</v>
      </c>
      <c r="B400" t="s">
        <v>656</v>
      </c>
      <c r="C400" t="s">
        <v>125</v>
      </c>
      <c r="D400" s="226">
        <v>573710.97</v>
      </c>
      <c r="E400" t="s">
        <v>657</v>
      </c>
    </row>
    <row r="401" spans="1:5" hidden="1" x14ac:dyDescent="0.3">
      <c r="A401" t="s">
        <v>552</v>
      </c>
      <c r="B401" t="s">
        <v>656</v>
      </c>
      <c r="C401" t="s">
        <v>126</v>
      </c>
      <c r="D401" s="226">
        <v>0.55000000000000004</v>
      </c>
      <c r="E401" t="s">
        <v>657</v>
      </c>
    </row>
    <row r="402" spans="1:5" hidden="1" x14ac:dyDescent="0.3">
      <c r="A402" t="s">
        <v>552</v>
      </c>
      <c r="B402" t="s">
        <v>656</v>
      </c>
      <c r="C402" t="s">
        <v>127</v>
      </c>
      <c r="D402" s="226">
        <v>-298028.78000000003</v>
      </c>
      <c r="E402" t="s">
        <v>657</v>
      </c>
    </row>
    <row r="403" spans="1:5" hidden="1" x14ac:dyDescent="0.3">
      <c r="A403" t="s">
        <v>552</v>
      </c>
      <c r="B403" t="s">
        <v>656</v>
      </c>
      <c r="C403" t="s">
        <v>128</v>
      </c>
      <c r="D403" s="226">
        <v>-43170</v>
      </c>
      <c r="E403" t="s">
        <v>657</v>
      </c>
    </row>
    <row r="404" spans="1:5" hidden="1" x14ac:dyDescent="0.3">
      <c r="A404" t="s">
        <v>552</v>
      </c>
      <c r="B404" t="s">
        <v>656</v>
      </c>
      <c r="C404" t="s">
        <v>556</v>
      </c>
      <c r="D404" s="226">
        <v>-9750</v>
      </c>
      <c r="E404" t="s">
        <v>657</v>
      </c>
    </row>
    <row r="405" spans="1:5" hidden="1" x14ac:dyDescent="0.3">
      <c r="A405" t="s">
        <v>552</v>
      </c>
      <c r="B405" t="s">
        <v>656</v>
      </c>
      <c r="C405" t="s">
        <v>557</v>
      </c>
      <c r="D405" s="226">
        <v>-5280</v>
      </c>
      <c r="E405" t="s">
        <v>657</v>
      </c>
    </row>
    <row r="406" spans="1:5" hidden="1" x14ac:dyDescent="0.3">
      <c r="A406" t="s">
        <v>552</v>
      </c>
      <c r="B406" t="s">
        <v>656</v>
      </c>
      <c r="C406" t="s">
        <v>558</v>
      </c>
      <c r="D406" s="226">
        <v>0</v>
      </c>
      <c r="E406" t="s">
        <v>657</v>
      </c>
    </row>
    <row r="407" spans="1:5" hidden="1" x14ac:dyDescent="0.3">
      <c r="A407" t="s">
        <v>552</v>
      </c>
      <c r="B407" t="s">
        <v>656</v>
      </c>
      <c r="C407" t="s">
        <v>559</v>
      </c>
      <c r="D407" s="226">
        <v>-14640</v>
      </c>
      <c r="E407" t="s">
        <v>657</v>
      </c>
    </row>
    <row r="408" spans="1:5" hidden="1" x14ac:dyDescent="0.3">
      <c r="A408" t="s">
        <v>552</v>
      </c>
      <c r="B408" t="s">
        <v>656</v>
      </c>
      <c r="C408" t="s">
        <v>560</v>
      </c>
      <c r="D408" s="226">
        <v>-2500</v>
      </c>
      <c r="E408" t="s">
        <v>657</v>
      </c>
    </row>
    <row r="409" spans="1:5" hidden="1" x14ac:dyDescent="0.3">
      <c r="A409" t="s">
        <v>552</v>
      </c>
      <c r="B409" t="s">
        <v>656</v>
      </c>
      <c r="C409" t="s">
        <v>561</v>
      </c>
      <c r="D409" s="226">
        <v>-7000</v>
      </c>
      <c r="E409" t="s">
        <v>657</v>
      </c>
    </row>
    <row r="410" spans="1:5" hidden="1" x14ac:dyDescent="0.3">
      <c r="A410" t="s">
        <v>552</v>
      </c>
      <c r="B410" t="s">
        <v>656</v>
      </c>
      <c r="C410" t="s">
        <v>562</v>
      </c>
      <c r="D410" s="226">
        <v>-4000</v>
      </c>
      <c r="E410" t="s">
        <v>657</v>
      </c>
    </row>
    <row r="411" spans="1:5" hidden="1" x14ac:dyDescent="0.3">
      <c r="A411" t="s">
        <v>552</v>
      </c>
      <c r="B411" t="s">
        <v>656</v>
      </c>
      <c r="C411" t="s">
        <v>563</v>
      </c>
      <c r="D411" s="226">
        <v>0</v>
      </c>
      <c r="E411" t="s">
        <v>657</v>
      </c>
    </row>
    <row r="412" spans="1:5" hidden="1" x14ac:dyDescent="0.3">
      <c r="A412" t="s">
        <v>552</v>
      </c>
      <c r="B412" t="s">
        <v>656</v>
      </c>
      <c r="C412" t="s">
        <v>564</v>
      </c>
      <c r="D412" s="226">
        <v>0</v>
      </c>
      <c r="E412" t="s">
        <v>657</v>
      </c>
    </row>
    <row r="413" spans="1:5" hidden="1" x14ac:dyDescent="0.3">
      <c r="A413" t="s">
        <v>552</v>
      </c>
      <c r="B413" t="s">
        <v>656</v>
      </c>
      <c r="C413" t="s">
        <v>565</v>
      </c>
      <c r="D413" s="226">
        <v>0</v>
      </c>
      <c r="E413" t="s">
        <v>657</v>
      </c>
    </row>
    <row r="414" spans="1:5" hidden="1" x14ac:dyDescent="0.3">
      <c r="A414" t="s">
        <v>552</v>
      </c>
      <c r="B414" t="s">
        <v>656</v>
      </c>
      <c r="C414" t="s">
        <v>566</v>
      </c>
      <c r="D414" s="226">
        <v>0</v>
      </c>
      <c r="E414" t="s">
        <v>657</v>
      </c>
    </row>
    <row r="415" spans="1:5" hidden="1" x14ac:dyDescent="0.3">
      <c r="A415" t="s">
        <v>552</v>
      </c>
      <c r="B415" t="s">
        <v>656</v>
      </c>
      <c r="C415" t="s">
        <v>567</v>
      </c>
      <c r="D415" s="226">
        <v>0</v>
      </c>
      <c r="E415" t="s">
        <v>657</v>
      </c>
    </row>
    <row r="416" spans="1:5" hidden="1" x14ac:dyDescent="0.3">
      <c r="A416" t="s">
        <v>552</v>
      </c>
      <c r="B416" t="s">
        <v>656</v>
      </c>
      <c r="C416" t="s">
        <v>141</v>
      </c>
      <c r="D416" s="226">
        <v>-63185.46</v>
      </c>
      <c r="E416" t="s">
        <v>657</v>
      </c>
    </row>
    <row r="417" spans="1:5" hidden="1" x14ac:dyDescent="0.3">
      <c r="A417" t="s">
        <v>552</v>
      </c>
      <c r="B417" t="s">
        <v>656</v>
      </c>
      <c r="C417" t="s">
        <v>568</v>
      </c>
      <c r="D417" s="226">
        <v>0</v>
      </c>
      <c r="E417" t="s">
        <v>657</v>
      </c>
    </row>
    <row r="418" spans="1:5" hidden="1" x14ac:dyDescent="0.3">
      <c r="A418" t="s">
        <v>552</v>
      </c>
      <c r="B418" t="s">
        <v>656</v>
      </c>
      <c r="C418" t="s">
        <v>569</v>
      </c>
      <c r="D418" s="226">
        <v>0</v>
      </c>
      <c r="E418" t="s">
        <v>657</v>
      </c>
    </row>
    <row r="419" spans="1:5" hidden="1" x14ac:dyDescent="0.3">
      <c r="A419" t="s">
        <v>552</v>
      </c>
      <c r="B419" t="s">
        <v>656</v>
      </c>
      <c r="C419" t="s">
        <v>570</v>
      </c>
      <c r="D419" s="226">
        <v>0</v>
      </c>
      <c r="E419" t="s">
        <v>657</v>
      </c>
    </row>
    <row r="420" spans="1:5" hidden="1" x14ac:dyDescent="0.3">
      <c r="A420" t="s">
        <v>552</v>
      </c>
      <c r="B420" t="s">
        <v>656</v>
      </c>
      <c r="C420" t="s">
        <v>571</v>
      </c>
      <c r="D420" s="226">
        <v>0</v>
      </c>
      <c r="E420" t="s">
        <v>657</v>
      </c>
    </row>
    <row r="421" spans="1:5" hidden="1" x14ac:dyDescent="0.3">
      <c r="A421" t="s">
        <v>552</v>
      </c>
      <c r="B421" t="s">
        <v>656</v>
      </c>
      <c r="C421" t="s">
        <v>572</v>
      </c>
      <c r="D421" s="226">
        <v>0</v>
      </c>
      <c r="E421" t="s">
        <v>657</v>
      </c>
    </row>
    <row r="422" spans="1:5" hidden="1" x14ac:dyDescent="0.3">
      <c r="A422" t="s">
        <v>552</v>
      </c>
      <c r="B422" t="s">
        <v>656</v>
      </c>
      <c r="C422" t="s">
        <v>573</v>
      </c>
      <c r="D422" s="226">
        <v>0</v>
      </c>
      <c r="E422" t="s">
        <v>657</v>
      </c>
    </row>
    <row r="423" spans="1:5" hidden="1" x14ac:dyDescent="0.3">
      <c r="A423" t="s">
        <v>552</v>
      </c>
      <c r="B423" t="s">
        <v>656</v>
      </c>
      <c r="C423" t="s">
        <v>574</v>
      </c>
      <c r="D423" s="226">
        <v>0</v>
      </c>
      <c r="E423" t="s">
        <v>657</v>
      </c>
    </row>
    <row r="424" spans="1:5" hidden="1" x14ac:dyDescent="0.3">
      <c r="A424" t="s">
        <v>552</v>
      </c>
      <c r="B424" t="s">
        <v>656</v>
      </c>
      <c r="C424" t="s">
        <v>575</v>
      </c>
      <c r="D424" s="226">
        <v>0</v>
      </c>
      <c r="E424" t="s">
        <v>657</v>
      </c>
    </row>
    <row r="425" spans="1:5" hidden="1" x14ac:dyDescent="0.3">
      <c r="A425" t="s">
        <v>552</v>
      </c>
      <c r="B425" t="s">
        <v>656</v>
      </c>
      <c r="C425" t="s">
        <v>576</v>
      </c>
      <c r="D425" s="226">
        <v>0</v>
      </c>
      <c r="E425" t="s">
        <v>657</v>
      </c>
    </row>
    <row r="426" spans="1:5" hidden="1" x14ac:dyDescent="0.3">
      <c r="A426" t="s">
        <v>552</v>
      </c>
      <c r="B426" t="s">
        <v>656</v>
      </c>
      <c r="C426" t="s">
        <v>577</v>
      </c>
      <c r="D426" s="226">
        <v>0</v>
      </c>
      <c r="E426" t="s">
        <v>657</v>
      </c>
    </row>
    <row r="427" spans="1:5" hidden="1" x14ac:dyDescent="0.3">
      <c r="A427" t="s">
        <v>552</v>
      </c>
      <c r="B427" t="s">
        <v>656</v>
      </c>
      <c r="C427" t="s">
        <v>578</v>
      </c>
      <c r="D427" s="226">
        <v>0</v>
      </c>
      <c r="E427" t="s">
        <v>657</v>
      </c>
    </row>
    <row r="428" spans="1:5" hidden="1" x14ac:dyDescent="0.3">
      <c r="A428" t="s">
        <v>552</v>
      </c>
      <c r="B428" t="s">
        <v>656</v>
      </c>
      <c r="C428" t="s">
        <v>579</v>
      </c>
      <c r="D428" s="226">
        <v>0</v>
      </c>
      <c r="E428" t="s">
        <v>657</v>
      </c>
    </row>
    <row r="429" spans="1:5" hidden="1" x14ac:dyDescent="0.3">
      <c r="A429" t="s">
        <v>552</v>
      </c>
      <c r="B429" t="s">
        <v>656</v>
      </c>
      <c r="C429" t="s">
        <v>580</v>
      </c>
      <c r="D429" s="226">
        <v>0</v>
      </c>
      <c r="E429" t="s">
        <v>657</v>
      </c>
    </row>
    <row r="430" spans="1:5" hidden="1" x14ac:dyDescent="0.3">
      <c r="A430" t="s">
        <v>552</v>
      </c>
      <c r="B430" t="s">
        <v>656</v>
      </c>
      <c r="C430" t="s">
        <v>581</v>
      </c>
      <c r="D430" s="226">
        <v>0</v>
      </c>
      <c r="E430" t="s">
        <v>657</v>
      </c>
    </row>
    <row r="431" spans="1:5" hidden="1" x14ac:dyDescent="0.3">
      <c r="A431" t="s">
        <v>552</v>
      </c>
      <c r="B431" t="s">
        <v>656</v>
      </c>
      <c r="C431" t="s">
        <v>582</v>
      </c>
      <c r="D431" s="226">
        <v>0</v>
      </c>
      <c r="E431" t="s">
        <v>657</v>
      </c>
    </row>
    <row r="432" spans="1:5" hidden="1" x14ac:dyDescent="0.3">
      <c r="A432" t="s">
        <v>552</v>
      </c>
      <c r="B432" t="s">
        <v>656</v>
      </c>
      <c r="C432" t="s">
        <v>583</v>
      </c>
      <c r="D432" s="226">
        <v>0</v>
      </c>
      <c r="E432" t="s">
        <v>657</v>
      </c>
    </row>
    <row r="433" spans="1:5" hidden="1" x14ac:dyDescent="0.3">
      <c r="A433" t="s">
        <v>552</v>
      </c>
      <c r="B433" t="s">
        <v>656</v>
      </c>
      <c r="C433" t="s">
        <v>584</v>
      </c>
      <c r="D433" s="226">
        <v>0</v>
      </c>
      <c r="E433" t="s">
        <v>657</v>
      </c>
    </row>
    <row r="434" spans="1:5" hidden="1" x14ac:dyDescent="0.3">
      <c r="A434" t="s">
        <v>552</v>
      </c>
      <c r="B434" t="s">
        <v>656</v>
      </c>
      <c r="C434" t="s">
        <v>585</v>
      </c>
      <c r="D434" s="226">
        <v>0</v>
      </c>
      <c r="E434" t="s">
        <v>657</v>
      </c>
    </row>
    <row r="435" spans="1:5" hidden="1" x14ac:dyDescent="0.3">
      <c r="A435" t="s">
        <v>552</v>
      </c>
      <c r="B435" t="s">
        <v>656</v>
      </c>
      <c r="C435" t="s">
        <v>586</v>
      </c>
      <c r="D435" s="226">
        <v>0</v>
      </c>
      <c r="E435" t="s">
        <v>657</v>
      </c>
    </row>
    <row r="436" spans="1:5" hidden="1" x14ac:dyDescent="0.3">
      <c r="A436" t="s">
        <v>552</v>
      </c>
      <c r="B436" t="s">
        <v>656</v>
      </c>
      <c r="C436" t="s">
        <v>587</v>
      </c>
      <c r="D436" s="226">
        <v>0</v>
      </c>
      <c r="E436" t="s">
        <v>657</v>
      </c>
    </row>
    <row r="437" spans="1:5" hidden="1" x14ac:dyDescent="0.3">
      <c r="A437" t="s">
        <v>552</v>
      </c>
      <c r="B437" t="s">
        <v>656</v>
      </c>
      <c r="C437" t="s">
        <v>588</v>
      </c>
      <c r="D437" s="226">
        <v>0</v>
      </c>
      <c r="E437" t="s">
        <v>657</v>
      </c>
    </row>
    <row r="438" spans="1:5" hidden="1" x14ac:dyDescent="0.3">
      <c r="A438" t="s">
        <v>552</v>
      </c>
      <c r="B438" t="s">
        <v>656</v>
      </c>
      <c r="C438" t="s">
        <v>589</v>
      </c>
      <c r="D438" s="226">
        <v>0</v>
      </c>
      <c r="E438" t="s">
        <v>657</v>
      </c>
    </row>
    <row r="439" spans="1:5" hidden="1" x14ac:dyDescent="0.3">
      <c r="A439" t="s">
        <v>552</v>
      </c>
      <c r="B439" t="s">
        <v>656</v>
      </c>
      <c r="C439" t="s">
        <v>590</v>
      </c>
      <c r="D439" s="226">
        <v>0</v>
      </c>
      <c r="E439" t="s">
        <v>657</v>
      </c>
    </row>
    <row r="440" spans="1:5" hidden="1" x14ac:dyDescent="0.3">
      <c r="A440" t="s">
        <v>552</v>
      </c>
      <c r="B440" t="s">
        <v>656</v>
      </c>
      <c r="C440" t="s">
        <v>591</v>
      </c>
      <c r="D440" s="226">
        <v>0</v>
      </c>
      <c r="E440" t="s">
        <v>657</v>
      </c>
    </row>
    <row r="441" spans="1:5" hidden="1" x14ac:dyDescent="0.3">
      <c r="A441" t="s">
        <v>552</v>
      </c>
      <c r="B441" t="s">
        <v>656</v>
      </c>
      <c r="C441" t="s">
        <v>592</v>
      </c>
      <c r="D441" s="226">
        <v>0</v>
      </c>
      <c r="E441" t="s">
        <v>657</v>
      </c>
    </row>
    <row r="442" spans="1:5" hidden="1" x14ac:dyDescent="0.3">
      <c r="A442" t="s">
        <v>552</v>
      </c>
      <c r="B442" t="s">
        <v>656</v>
      </c>
      <c r="C442" t="s">
        <v>593</v>
      </c>
      <c r="D442" s="226">
        <v>0</v>
      </c>
      <c r="E442" t="s">
        <v>657</v>
      </c>
    </row>
    <row r="443" spans="1:5" hidden="1" x14ac:dyDescent="0.3">
      <c r="A443" t="s">
        <v>552</v>
      </c>
      <c r="B443" t="s">
        <v>656</v>
      </c>
      <c r="C443" t="s">
        <v>594</v>
      </c>
      <c r="D443" s="226">
        <v>0</v>
      </c>
      <c r="E443" t="s">
        <v>657</v>
      </c>
    </row>
    <row r="444" spans="1:5" hidden="1" x14ac:dyDescent="0.3">
      <c r="A444" t="s">
        <v>552</v>
      </c>
      <c r="B444" t="s">
        <v>656</v>
      </c>
      <c r="C444" t="s">
        <v>595</v>
      </c>
      <c r="D444" s="226">
        <v>0</v>
      </c>
      <c r="E444" t="s">
        <v>657</v>
      </c>
    </row>
    <row r="445" spans="1:5" hidden="1" x14ac:dyDescent="0.3">
      <c r="A445" t="s">
        <v>552</v>
      </c>
      <c r="B445" t="s">
        <v>656</v>
      </c>
      <c r="C445" t="s">
        <v>596</v>
      </c>
      <c r="D445" s="226">
        <v>0</v>
      </c>
      <c r="E445" t="s">
        <v>657</v>
      </c>
    </row>
    <row r="446" spans="1:5" hidden="1" x14ac:dyDescent="0.3">
      <c r="A446" t="s">
        <v>552</v>
      </c>
      <c r="B446" t="s">
        <v>656</v>
      </c>
      <c r="C446" t="s">
        <v>597</v>
      </c>
      <c r="D446" s="226">
        <v>0</v>
      </c>
      <c r="E446" t="s">
        <v>657</v>
      </c>
    </row>
    <row r="447" spans="1:5" hidden="1" x14ac:dyDescent="0.3">
      <c r="A447" t="s">
        <v>552</v>
      </c>
      <c r="B447" t="s">
        <v>656</v>
      </c>
      <c r="C447" t="s">
        <v>598</v>
      </c>
      <c r="D447" s="226">
        <v>0</v>
      </c>
      <c r="E447" t="s">
        <v>657</v>
      </c>
    </row>
    <row r="448" spans="1:5" hidden="1" x14ac:dyDescent="0.3">
      <c r="A448" t="s">
        <v>552</v>
      </c>
      <c r="B448" t="s">
        <v>656</v>
      </c>
      <c r="C448" t="s">
        <v>599</v>
      </c>
      <c r="D448" s="226">
        <v>0</v>
      </c>
      <c r="E448" t="s">
        <v>657</v>
      </c>
    </row>
    <row r="449" spans="1:5" hidden="1" x14ac:dyDescent="0.3">
      <c r="A449" t="s">
        <v>552</v>
      </c>
      <c r="B449" t="s">
        <v>656</v>
      </c>
      <c r="C449" t="s">
        <v>600</v>
      </c>
      <c r="D449" s="226">
        <v>0</v>
      </c>
      <c r="E449" t="s">
        <v>657</v>
      </c>
    </row>
    <row r="450" spans="1:5" hidden="1" x14ac:dyDescent="0.3">
      <c r="A450" t="s">
        <v>552</v>
      </c>
      <c r="B450" t="s">
        <v>656</v>
      </c>
      <c r="C450" t="s">
        <v>601</v>
      </c>
      <c r="D450" s="226">
        <v>0</v>
      </c>
      <c r="E450" t="s">
        <v>657</v>
      </c>
    </row>
    <row r="451" spans="1:5" hidden="1" x14ac:dyDescent="0.3">
      <c r="A451" t="s">
        <v>552</v>
      </c>
      <c r="B451" t="s">
        <v>656</v>
      </c>
      <c r="C451" t="s">
        <v>602</v>
      </c>
      <c r="D451" s="226">
        <v>0</v>
      </c>
      <c r="E451" t="s">
        <v>657</v>
      </c>
    </row>
    <row r="452" spans="1:5" hidden="1" x14ac:dyDescent="0.3">
      <c r="A452" t="s">
        <v>552</v>
      </c>
      <c r="B452" t="s">
        <v>656</v>
      </c>
      <c r="C452" t="s">
        <v>603</v>
      </c>
      <c r="D452" s="226">
        <v>0</v>
      </c>
      <c r="E452" t="s">
        <v>657</v>
      </c>
    </row>
    <row r="453" spans="1:5" hidden="1" x14ac:dyDescent="0.3">
      <c r="A453" t="s">
        <v>552</v>
      </c>
      <c r="B453" t="s">
        <v>656</v>
      </c>
      <c r="C453" t="s">
        <v>604</v>
      </c>
      <c r="D453" s="226">
        <v>0</v>
      </c>
      <c r="E453" t="s">
        <v>657</v>
      </c>
    </row>
    <row r="454" spans="1:5" hidden="1" x14ac:dyDescent="0.3">
      <c r="A454" t="s">
        <v>552</v>
      </c>
      <c r="B454" t="s">
        <v>656</v>
      </c>
      <c r="C454" t="s">
        <v>605</v>
      </c>
      <c r="D454" s="226">
        <v>0</v>
      </c>
      <c r="E454" t="s">
        <v>657</v>
      </c>
    </row>
    <row r="455" spans="1:5" hidden="1" x14ac:dyDescent="0.3">
      <c r="A455" t="s">
        <v>552</v>
      </c>
      <c r="B455" t="s">
        <v>656</v>
      </c>
      <c r="C455" t="s">
        <v>606</v>
      </c>
      <c r="D455" s="226">
        <v>0</v>
      </c>
      <c r="E455" t="s">
        <v>657</v>
      </c>
    </row>
    <row r="456" spans="1:5" hidden="1" x14ac:dyDescent="0.3">
      <c r="A456" t="s">
        <v>552</v>
      </c>
      <c r="B456" t="s">
        <v>656</v>
      </c>
      <c r="C456" t="s">
        <v>607</v>
      </c>
      <c r="D456" s="226">
        <v>0</v>
      </c>
      <c r="E456" t="s">
        <v>657</v>
      </c>
    </row>
    <row r="457" spans="1:5" hidden="1" x14ac:dyDescent="0.3">
      <c r="A457" t="s">
        <v>552</v>
      </c>
      <c r="B457" t="s">
        <v>656</v>
      </c>
      <c r="C457" t="s">
        <v>608</v>
      </c>
      <c r="D457" s="226">
        <v>0</v>
      </c>
      <c r="E457" t="s">
        <v>657</v>
      </c>
    </row>
    <row r="458" spans="1:5" hidden="1" x14ac:dyDescent="0.3">
      <c r="A458" t="s">
        <v>552</v>
      </c>
      <c r="B458" t="s">
        <v>656</v>
      </c>
      <c r="C458" t="s">
        <v>609</v>
      </c>
      <c r="D458" s="226">
        <v>0</v>
      </c>
      <c r="E458" t="s">
        <v>657</v>
      </c>
    </row>
    <row r="459" spans="1:5" hidden="1" x14ac:dyDescent="0.3">
      <c r="A459" t="s">
        <v>552</v>
      </c>
      <c r="B459" t="s">
        <v>656</v>
      </c>
      <c r="C459" t="s">
        <v>610</v>
      </c>
      <c r="D459" s="226">
        <v>0</v>
      </c>
      <c r="E459" t="s">
        <v>657</v>
      </c>
    </row>
    <row r="460" spans="1:5" hidden="1" x14ac:dyDescent="0.3">
      <c r="A460" t="s">
        <v>552</v>
      </c>
      <c r="B460" t="s">
        <v>656</v>
      </c>
      <c r="C460" t="s">
        <v>611</v>
      </c>
      <c r="D460" s="226">
        <v>0</v>
      </c>
      <c r="E460" t="s">
        <v>657</v>
      </c>
    </row>
    <row r="461" spans="1:5" hidden="1" x14ac:dyDescent="0.3">
      <c r="A461" t="s">
        <v>552</v>
      </c>
      <c r="B461" t="s">
        <v>656</v>
      </c>
      <c r="C461" t="s">
        <v>612</v>
      </c>
      <c r="D461" s="226">
        <v>0</v>
      </c>
      <c r="E461" t="s">
        <v>657</v>
      </c>
    </row>
    <row r="462" spans="1:5" hidden="1" x14ac:dyDescent="0.3">
      <c r="A462" t="s">
        <v>552</v>
      </c>
      <c r="B462" t="s">
        <v>656</v>
      </c>
      <c r="C462" t="s">
        <v>613</v>
      </c>
      <c r="D462" s="226">
        <v>0</v>
      </c>
      <c r="E462" t="s">
        <v>657</v>
      </c>
    </row>
    <row r="463" spans="1:5" hidden="1" x14ac:dyDescent="0.3">
      <c r="A463" t="s">
        <v>552</v>
      </c>
      <c r="B463" t="s">
        <v>656</v>
      </c>
      <c r="C463" t="s">
        <v>614</v>
      </c>
      <c r="D463" s="226">
        <v>0</v>
      </c>
      <c r="E463" t="s">
        <v>657</v>
      </c>
    </row>
    <row r="464" spans="1:5" hidden="1" x14ac:dyDescent="0.3">
      <c r="A464" t="s">
        <v>552</v>
      </c>
      <c r="B464" t="s">
        <v>656</v>
      </c>
      <c r="C464" t="s">
        <v>615</v>
      </c>
      <c r="D464" s="226">
        <v>0</v>
      </c>
      <c r="E464" t="s">
        <v>657</v>
      </c>
    </row>
    <row r="465" spans="1:5" hidden="1" x14ac:dyDescent="0.3">
      <c r="A465" t="s">
        <v>552</v>
      </c>
      <c r="B465" t="s">
        <v>656</v>
      </c>
      <c r="C465" t="s">
        <v>616</v>
      </c>
      <c r="D465" s="226">
        <v>0</v>
      </c>
      <c r="E465" t="s">
        <v>657</v>
      </c>
    </row>
    <row r="466" spans="1:5" hidden="1" x14ac:dyDescent="0.3">
      <c r="A466" t="s">
        <v>552</v>
      </c>
      <c r="B466" t="s">
        <v>656</v>
      </c>
      <c r="C466" t="s">
        <v>617</v>
      </c>
      <c r="D466" s="226">
        <v>0</v>
      </c>
      <c r="E466" t="s">
        <v>657</v>
      </c>
    </row>
    <row r="467" spans="1:5" hidden="1" x14ac:dyDescent="0.3">
      <c r="A467" t="s">
        <v>552</v>
      </c>
      <c r="B467" t="s">
        <v>656</v>
      </c>
      <c r="C467" t="s">
        <v>618</v>
      </c>
      <c r="D467" s="226">
        <v>0</v>
      </c>
      <c r="E467" t="s">
        <v>657</v>
      </c>
    </row>
    <row r="468" spans="1:5" hidden="1" x14ac:dyDescent="0.3">
      <c r="A468" t="s">
        <v>552</v>
      </c>
      <c r="B468" t="s">
        <v>656</v>
      </c>
      <c r="C468" t="s">
        <v>619</v>
      </c>
      <c r="D468" s="226">
        <v>0</v>
      </c>
      <c r="E468" t="s">
        <v>657</v>
      </c>
    </row>
    <row r="469" spans="1:5" hidden="1" x14ac:dyDescent="0.3">
      <c r="A469" t="s">
        <v>552</v>
      </c>
      <c r="B469" t="s">
        <v>656</v>
      </c>
      <c r="C469" t="s">
        <v>620</v>
      </c>
      <c r="D469" s="226">
        <v>0</v>
      </c>
      <c r="E469" t="s">
        <v>657</v>
      </c>
    </row>
    <row r="470" spans="1:5" hidden="1" x14ac:dyDescent="0.3">
      <c r="A470" t="s">
        <v>552</v>
      </c>
      <c r="B470" t="s">
        <v>656</v>
      </c>
      <c r="C470" t="s">
        <v>621</v>
      </c>
      <c r="D470" s="226">
        <v>0</v>
      </c>
      <c r="E470" t="s">
        <v>657</v>
      </c>
    </row>
    <row r="471" spans="1:5" hidden="1" x14ac:dyDescent="0.3">
      <c r="A471" t="s">
        <v>552</v>
      </c>
      <c r="B471" t="s">
        <v>656</v>
      </c>
      <c r="C471" t="s">
        <v>622</v>
      </c>
      <c r="D471" s="226">
        <v>0</v>
      </c>
      <c r="E471" t="s">
        <v>657</v>
      </c>
    </row>
    <row r="472" spans="1:5" hidden="1" x14ac:dyDescent="0.3">
      <c r="A472" t="s">
        <v>552</v>
      </c>
      <c r="B472" t="s">
        <v>656</v>
      </c>
      <c r="C472" t="s">
        <v>623</v>
      </c>
      <c r="D472" s="226">
        <v>0</v>
      </c>
      <c r="E472" t="s">
        <v>657</v>
      </c>
    </row>
    <row r="473" spans="1:5" hidden="1" x14ac:dyDescent="0.3">
      <c r="A473" t="s">
        <v>552</v>
      </c>
      <c r="B473" t="s">
        <v>656</v>
      </c>
      <c r="C473" t="s">
        <v>624</v>
      </c>
      <c r="D473" s="226">
        <v>0</v>
      </c>
      <c r="E473" t="s">
        <v>657</v>
      </c>
    </row>
    <row r="474" spans="1:5" hidden="1" x14ac:dyDescent="0.3">
      <c r="A474" t="s">
        <v>552</v>
      </c>
      <c r="B474" t="s">
        <v>656</v>
      </c>
      <c r="C474" t="s">
        <v>200</v>
      </c>
      <c r="D474" s="226">
        <v>-77354.850000000006</v>
      </c>
      <c r="E474" t="s">
        <v>657</v>
      </c>
    </row>
    <row r="475" spans="1:5" hidden="1" x14ac:dyDescent="0.3">
      <c r="A475" t="s">
        <v>552</v>
      </c>
      <c r="B475" t="s">
        <v>656</v>
      </c>
      <c r="C475" t="s">
        <v>202</v>
      </c>
      <c r="D475" s="226">
        <v>-77354.850000000006</v>
      </c>
      <c r="E475" t="s">
        <v>657</v>
      </c>
    </row>
    <row r="476" spans="1:5" hidden="1" x14ac:dyDescent="0.3">
      <c r="A476" t="s">
        <v>552</v>
      </c>
      <c r="B476" t="s">
        <v>656</v>
      </c>
      <c r="C476" t="s">
        <v>625</v>
      </c>
      <c r="D476" s="226">
        <v>38677.43</v>
      </c>
      <c r="E476" t="s">
        <v>657</v>
      </c>
    </row>
    <row r="477" spans="1:5" hidden="1" x14ac:dyDescent="0.3">
      <c r="A477" t="s">
        <v>552</v>
      </c>
      <c r="B477" t="s">
        <v>656</v>
      </c>
      <c r="C477" t="s">
        <v>204</v>
      </c>
      <c r="D477" s="226">
        <v>-77628.179999999993</v>
      </c>
      <c r="E477" t="s">
        <v>657</v>
      </c>
    </row>
    <row r="478" spans="1:5" hidden="1" x14ac:dyDescent="0.3">
      <c r="A478" t="s">
        <v>552</v>
      </c>
      <c r="B478" t="s">
        <v>656</v>
      </c>
      <c r="C478" t="s">
        <v>626</v>
      </c>
      <c r="D478" s="226">
        <v>-5628.51</v>
      </c>
      <c r="E478" t="s">
        <v>657</v>
      </c>
    </row>
    <row r="479" spans="1:5" hidden="1" x14ac:dyDescent="0.3">
      <c r="A479" t="s">
        <v>552</v>
      </c>
      <c r="B479" t="s">
        <v>656</v>
      </c>
      <c r="C479" t="s">
        <v>627</v>
      </c>
      <c r="D479" s="226">
        <v>-35667.230000000003</v>
      </c>
      <c r="E479" t="s">
        <v>657</v>
      </c>
    </row>
    <row r="480" spans="1:5" hidden="1" x14ac:dyDescent="0.3">
      <c r="A480" t="s">
        <v>552</v>
      </c>
      <c r="B480" t="s">
        <v>656</v>
      </c>
      <c r="C480" t="s">
        <v>628</v>
      </c>
      <c r="D480" s="226">
        <v>0</v>
      </c>
      <c r="E480" t="s">
        <v>657</v>
      </c>
    </row>
    <row r="481" spans="1:5" hidden="1" x14ac:dyDescent="0.3">
      <c r="A481" t="s">
        <v>552</v>
      </c>
      <c r="B481" t="s">
        <v>656</v>
      </c>
      <c r="C481" t="s">
        <v>629</v>
      </c>
      <c r="D481" s="226">
        <v>-10037.280000000001</v>
      </c>
      <c r="E481" t="s">
        <v>657</v>
      </c>
    </row>
    <row r="482" spans="1:5" hidden="1" x14ac:dyDescent="0.3">
      <c r="A482" t="s">
        <v>552</v>
      </c>
      <c r="B482" t="s">
        <v>656</v>
      </c>
      <c r="C482" t="s">
        <v>630</v>
      </c>
      <c r="D482" s="226">
        <v>-3008.78</v>
      </c>
      <c r="E482" t="s">
        <v>657</v>
      </c>
    </row>
    <row r="483" spans="1:5" hidden="1" x14ac:dyDescent="0.3">
      <c r="A483" t="s">
        <v>552</v>
      </c>
      <c r="B483" t="s">
        <v>656</v>
      </c>
      <c r="C483" t="s">
        <v>631</v>
      </c>
      <c r="D483" s="226">
        <v>-3381.86</v>
      </c>
      <c r="E483" t="s">
        <v>657</v>
      </c>
    </row>
    <row r="484" spans="1:5" hidden="1" x14ac:dyDescent="0.3">
      <c r="A484" t="s">
        <v>552</v>
      </c>
      <c r="B484" t="s">
        <v>656</v>
      </c>
      <c r="C484" t="s">
        <v>632</v>
      </c>
      <c r="D484" s="226">
        <v>-1010.95</v>
      </c>
      <c r="E484" t="s">
        <v>657</v>
      </c>
    </row>
    <row r="485" spans="1:5" hidden="1" x14ac:dyDescent="0.3">
      <c r="A485" t="s">
        <v>552</v>
      </c>
      <c r="B485" t="s">
        <v>656</v>
      </c>
      <c r="C485" t="s">
        <v>633</v>
      </c>
      <c r="D485" s="226">
        <v>0</v>
      </c>
      <c r="E485" t="s">
        <v>657</v>
      </c>
    </row>
    <row r="486" spans="1:5" hidden="1" x14ac:dyDescent="0.3">
      <c r="A486" t="s">
        <v>552</v>
      </c>
      <c r="B486" t="s">
        <v>656</v>
      </c>
      <c r="C486" t="s">
        <v>634</v>
      </c>
      <c r="D486" s="226">
        <v>0</v>
      </c>
      <c r="E486" t="s">
        <v>657</v>
      </c>
    </row>
    <row r="487" spans="1:5" hidden="1" x14ac:dyDescent="0.3">
      <c r="A487" t="s">
        <v>552</v>
      </c>
      <c r="B487" t="s">
        <v>656</v>
      </c>
      <c r="C487" t="s">
        <v>635</v>
      </c>
      <c r="D487" s="226">
        <v>0</v>
      </c>
      <c r="E487" t="s">
        <v>657</v>
      </c>
    </row>
    <row r="488" spans="1:5" hidden="1" x14ac:dyDescent="0.3">
      <c r="A488" t="s">
        <v>552</v>
      </c>
      <c r="B488" t="s">
        <v>656</v>
      </c>
      <c r="C488" t="s">
        <v>636</v>
      </c>
      <c r="D488" s="226">
        <v>0</v>
      </c>
      <c r="E488" t="s">
        <v>657</v>
      </c>
    </row>
    <row r="489" spans="1:5" hidden="1" x14ac:dyDescent="0.3">
      <c r="A489" t="s">
        <v>552</v>
      </c>
      <c r="B489" t="s">
        <v>656</v>
      </c>
      <c r="C489" t="s">
        <v>637</v>
      </c>
      <c r="D489" s="226">
        <v>-16500</v>
      </c>
      <c r="E489" t="s">
        <v>657</v>
      </c>
    </row>
    <row r="490" spans="1:5" hidden="1" x14ac:dyDescent="0.3">
      <c r="A490" t="s">
        <v>552</v>
      </c>
      <c r="B490" t="s">
        <v>656</v>
      </c>
      <c r="C490" t="s">
        <v>638</v>
      </c>
      <c r="D490" s="226">
        <v>0</v>
      </c>
      <c r="E490" t="s">
        <v>657</v>
      </c>
    </row>
    <row r="491" spans="1:5" hidden="1" x14ac:dyDescent="0.3">
      <c r="A491" t="s">
        <v>552</v>
      </c>
      <c r="B491" t="s">
        <v>656</v>
      </c>
      <c r="C491" t="s">
        <v>639</v>
      </c>
      <c r="D491" s="226">
        <v>-2393.5700000000002</v>
      </c>
      <c r="E491" t="s">
        <v>657</v>
      </c>
    </row>
    <row r="492" spans="1:5" hidden="1" x14ac:dyDescent="0.3">
      <c r="A492" t="s">
        <v>552</v>
      </c>
      <c r="B492" t="s">
        <v>656</v>
      </c>
      <c r="C492" t="s">
        <v>640</v>
      </c>
      <c r="D492" s="226">
        <v>0</v>
      </c>
      <c r="E492" t="s">
        <v>657</v>
      </c>
    </row>
    <row r="493" spans="1:5" hidden="1" x14ac:dyDescent="0.3">
      <c r="A493" t="s">
        <v>552</v>
      </c>
      <c r="B493" t="s">
        <v>656</v>
      </c>
      <c r="C493" t="s">
        <v>641</v>
      </c>
      <c r="D493" s="226">
        <v>0</v>
      </c>
      <c r="E493" t="s">
        <v>657</v>
      </c>
    </row>
    <row r="494" spans="1:5" hidden="1" x14ac:dyDescent="0.3">
      <c r="A494" t="s">
        <v>552</v>
      </c>
      <c r="B494" t="s">
        <v>656</v>
      </c>
      <c r="C494" t="s">
        <v>237</v>
      </c>
      <c r="D494" s="226">
        <v>-8608.86</v>
      </c>
      <c r="E494" t="s">
        <v>657</v>
      </c>
    </row>
    <row r="495" spans="1:5" hidden="1" x14ac:dyDescent="0.3">
      <c r="A495" t="s">
        <v>552</v>
      </c>
      <c r="B495" t="s">
        <v>656</v>
      </c>
      <c r="C495" t="s">
        <v>642</v>
      </c>
      <c r="D495" s="226">
        <v>-8472.41</v>
      </c>
      <c r="E495" t="s">
        <v>657</v>
      </c>
    </row>
    <row r="496" spans="1:5" hidden="1" x14ac:dyDescent="0.3">
      <c r="A496" t="s">
        <v>552</v>
      </c>
      <c r="B496" t="s">
        <v>656</v>
      </c>
      <c r="C496" t="s">
        <v>643</v>
      </c>
      <c r="D496" s="226">
        <v>0</v>
      </c>
      <c r="E496" t="s">
        <v>657</v>
      </c>
    </row>
    <row r="497" spans="1:5" hidden="1" x14ac:dyDescent="0.3">
      <c r="A497" t="s">
        <v>552</v>
      </c>
      <c r="B497" t="s">
        <v>656</v>
      </c>
      <c r="C497" t="s">
        <v>644</v>
      </c>
      <c r="D497" s="226">
        <v>0</v>
      </c>
      <c r="E497" t="s">
        <v>657</v>
      </c>
    </row>
    <row r="498" spans="1:5" hidden="1" x14ac:dyDescent="0.3">
      <c r="A498" t="s">
        <v>552</v>
      </c>
      <c r="B498" t="s">
        <v>656</v>
      </c>
      <c r="C498" t="s">
        <v>645</v>
      </c>
      <c r="D498" s="226">
        <v>-136.44999999999999</v>
      </c>
      <c r="E498" t="s">
        <v>657</v>
      </c>
    </row>
    <row r="499" spans="1:5" hidden="1" x14ac:dyDescent="0.3">
      <c r="A499" t="s">
        <v>552</v>
      </c>
      <c r="B499" t="s">
        <v>656</v>
      </c>
      <c r="C499" t="s">
        <v>646</v>
      </c>
      <c r="D499" s="226">
        <v>0</v>
      </c>
      <c r="E499" t="s">
        <v>657</v>
      </c>
    </row>
    <row r="500" spans="1:5" hidden="1" x14ac:dyDescent="0.3">
      <c r="A500" t="s">
        <v>552</v>
      </c>
      <c r="B500" t="s">
        <v>656</v>
      </c>
      <c r="C500" t="s">
        <v>244</v>
      </c>
      <c r="D500" s="226">
        <v>-28081.43</v>
      </c>
      <c r="E500" t="s">
        <v>657</v>
      </c>
    </row>
    <row r="501" spans="1:5" hidden="1" x14ac:dyDescent="0.3">
      <c r="A501" t="s">
        <v>552</v>
      </c>
      <c r="B501" t="s">
        <v>656</v>
      </c>
      <c r="C501" t="s">
        <v>647</v>
      </c>
      <c r="D501" s="226">
        <v>-108</v>
      </c>
      <c r="E501" t="s">
        <v>657</v>
      </c>
    </row>
    <row r="502" spans="1:5" hidden="1" x14ac:dyDescent="0.3">
      <c r="A502" t="s">
        <v>552</v>
      </c>
      <c r="B502" t="s">
        <v>656</v>
      </c>
      <c r="C502" t="s">
        <v>648</v>
      </c>
      <c r="D502" s="226">
        <v>-230.26</v>
      </c>
      <c r="E502" t="s">
        <v>657</v>
      </c>
    </row>
    <row r="503" spans="1:5" hidden="1" x14ac:dyDescent="0.3">
      <c r="A503" t="s">
        <v>552</v>
      </c>
      <c r="B503" t="s">
        <v>656</v>
      </c>
      <c r="C503" t="s">
        <v>649</v>
      </c>
      <c r="D503" s="226">
        <v>0</v>
      </c>
      <c r="E503" t="s">
        <v>657</v>
      </c>
    </row>
    <row r="504" spans="1:5" hidden="1" x14ac:dyDescent="0.3">
      <c r="A504" t="s">
        <v>552</v>
      </c>
      <c r="B504" t="s">
        <v>656</v>
      </c>
      <c r="C504" t="s">
        <v>650</v>
      </c>
      <c r="D504" s="226">
        <v>0</v>
      </c>
      <c r="E504" t="s">
        <v>657</v>
      </c>
    </row>
    <row r="505" spans="1:5" hidden="1" x14ac:dyDescent="0.3">
      <c r="A505" t="s">
        <v>552</v>
      </c>
      <c r="B505" t="s">
        <v>656</v>
      </c>
      <c r="C505" t="s">
        <v>651</v>
      </c>
      <c r="D505" s="226">
        <v>0</v>
      </c>
      <c r="E505" t="s">
        <v>657</v>
      </c>
    </row>
    <row r="506" spans="1:5" hidden="1" x14ac:dyDescent="0.3">
      <c r="A506" t="s">
        <v>552</v>
      </c>
      <c r="B506" t="s">
        <v>656</v>
      </c>
      <c r="C506" t="s">
        <v>652</v>
      </c>
      <c r="D506" s="226">
        <v>-27743.17</v>
      </c>
      <c r="E506" t="s">
        <v>657</v>
      </c>
    </row>
    <row r="507" spans="1:5" hidden="1" x14ac:dyDescent="0.3">
      <c r="A507" t="s">
        <v>552</v>
      </c>
      <c r="B507" t="s">
        <v>656</v>
      </c>
      <c r="C507" t="s">
        <v>653</v>
      </c>
      <c r="D507" s="226">
        <v>0</v>
      </c>
      <c r="E507" t="s">
        <v>657</v>
      </c>
    </row>
    <row r="508" spans="1:5" hidden="1" x14ac:dyDescent="0.3">
      <c r="A508" t="s">
        <v>552</v>
      </c>
      <c r="B508" t="s">
        <v>656</v>
      </c>
      <c r="C508" t="s">
        <v>253</v>
      </c>
      <c r="D508" s="226">
        <v>-0.28999999999999998</v>
      </c>
      <c r="E508" t="s">
        <v>657</v>
      </c>
    </row>
    <row r="509" spans="1:5" hidden="1" x14ac:dyDescent="0.3">
      <c r="A509" t="s">
        <v>552</v>
      </c>
      <c r="B509" t="s">
        <v>656</v>
      </c>
      <c r="C509" t="s">
        <v>254</v>
      </c>
      <c r="D509" s="226">
        <v>-0.25</v>
      </c>
      <c r="E509" t="s">
        <v>657</v>
      </c>
    </row>
    <row r="510" spans="1:5" hidden="1" x14ac:dyDescent="0.3">
      <c r="A510" t="s">
        <v>552</v>
      </c>
      <c r="B510" t="s">
        <v>656</v>
      </c>
      <c r="C510" t="s">
        <v>255</v>
      </c>
      <c r="D510" s="226">
        <v>-35281.699999999997</v>
      </c>
      <c r="E510" t="s">
        <v>657</v>
      </c>
    </row>
    <row r="511" spans="1:5" hidden="1" x14ac:dyDescent="0.3">
      <c r="A511" t="s">
        <v>552</v>
      </c>
      <c r="B511" t="s">
        <v>656</v>
      </c>
      <c r="C511" t="s">
        <v>256</v>
      </c>
      <c r="D511" s="226">
        <v>-22875.41</v>
      </c>
      <c r="E511" t="s">
        <v>657</v>
      </c>
    </row>
    <row r="512" spans="1:5" hidden="1" x14ac:dyDescent="0.3">
      <c r="A512" t="s">
        <v>552</v>
      </c>
      <c r="B512" t="s">
        <v>656</v>
      </c>
      <c r="C512" t="s">
        <v>257</v>
      </c>
      <c r="D512" s="226">
        <v>-10676.36</v>
      </c>
      <c r="E512" t="s">
        <v>657</v>
      </c>
    </row>
    <row r="513" spans="1:5" hidden="1" x14ac:dyDescent="0.3">
      <c r="A513" t="s">
        <v>552</v>
      </c>
      <c r="B513" t="s">
        <v>656</v>
      </c>
      <c r="C513" t="s">
        <v>258</v>
      </c>
      <c r="D513" s="226">
        <v>-1729.93</v>
      </c>
      <c r="E513" t="s">
        <v>657</v>
      </c>
    </row>
    <row r="514" spans="1:5" hidden="1" x14ac:dyDescent="0.3">
      <c r="A514" t="s">
        <v>552</v>
      </c>
      <c r="B514" t="s">
        <v>656</v>
      </c>
      <c r="C514" t="s">
        <v>259</v>
      </c>
      <c r="D514" s="226">
        <v>0</v>
      </c>
      <c r="E514" t="s">
        <v>657</v>
      </c>
    </row>
    <row r="515" spans="1:5" hidden="1" x14ac:dyDescent="0.3">
      <c r="A515" t="s">
        <v>552</v>
      </c>
      <c r="B515" t="s">
        <v>656</v>
      </c>
      <c r="C515" t="s">
        <v>260</v>
      </c>
      <c r="D515" s="226">
        <v>0</v>
      </c>
      <c r="E515" t="s">
        <v>657</v>
      </c>
    </row>
    <row r="516" spans="1:5" hidden="1" x14ac:dyDescent="0.3">
      <c r="A516" t="s">
        <v>552</v>
      </c>
      <c r="B516" t="s">
        <v>656</v>
      </c>
      <c r="C516" t="s">
        <v>261</v>
      </c>
      <c r="D516" s="226">
        <v>0</v>
      </c>
      <c r="E516" t="s">
        <v>657</v>
      </c>
    </row>
    <row r="517" spans="1:5" hidden="1" x14ac:dyDescent="0.3">
      <c r="A517" t="s">
        <v>552</v>
      </c>
      <c r="B517" t="s">
        <v>656</v>
      </c>
      <c r="C517" t="s">
        <v>262</v>
      </c>
      <c r="D517" s="226">
        <v>0</v>
      </c>
      <c r="E517" t="s">
        <v>657</v>
      </c>
    </row>
    <row r="518" spans="1:5" hidden="1" x14ac:dyDescent="0.3">
      <c r="A518" t="s">
        <v>552</v>
      </c>
      <c r="B518" t="s">
        <v>656</v>
      </c>
      <c r="C518" t="s">
        <v>44</v>
      </c>
      <c r="D518" s="226">
        <v>-0.03</v>
      </c>
      <c r="E518" t="s">
        <v>657</v>
      </c>
    </row>
    <row r="519" spans="1:5" hidden="1" x14ac:dyDescent="0.3">
      <c r="A519" t="s">
        <v>552</v>
      </c>
      <c r="B519" t="s">
        <v>656</v>
      </c>
      <c r="C519" t="s">
        <v>263</v>
      </c>
      <c r="D519" s="226">
        <v>-69882.009999999995</v>
      </c>
      <c r="E519" t="s">
        <v>657</v>
      </c>
    </row>
    <row r="520" spans="1:5" hidden="1" x14ac:dyDescent="0.3">
      <c r="A520" t="s">
        <v>552</v>
      </c>
      <c r="B520" t="s">
        <v>656</v>
      </c>
      <c r="C520" t="s">
        <v>264</v>
      </c>
      <c r="D520" s="226">
        <v>-15517.6</v>
      </c>
      <c r="E520" t="s">
        <v>657</v>
      </c>
    </row>
    <row r="521" spans="1:5" hidden="1" x14ac:dyDescent="0.3">
      <c r="A521" t="s">
        <v>552</v>
      </c>
      <c r="B521" t="s">
        <v>656</v>
      </c>
      <c r="C521" t="s">
        <v>265</v>
      </c>
      <c r="D521" s="226">
        <v>-15983.46</v>
      </c>
      <c r="E521" t="s">
        <v>657</v>
      </c>
    </row>
    <row r="522" spans="1:5" hidden="1" x14ac:dyDescent="0.3">
      <c r="A522" t="s">
        <v>552</v>
      </c>
      <c r="B522" t="s">
        <v>656</v>
      </c>
      <c r="C522" t="s">
        <v>266</v>
      </c>
      <c r="D522" s="226">
        <v>-10934.88</v>
      </c>
      <c r="E522" t="s">
        <v>657</v>
      </c>
    </row>
    <row r="523" spans="1:5" hidden="1" x14ac:dyDescent="0.3">
      <c r="A523" t="s">
        <v>552</v>
      </c>
      <c r="B523" t="s">
        <v>656</v>
      </c>
      <c r="C523" t="s">
        <v>267</v>
      </c>
      <c r="D523" s="226">
        <v>-13544.71</v>
      </c>
      <c r="E523" t="s">
        <v>657</v>
      </c>
    </row>
    <row r="524" spans="1:5" hidden="1" x14ac:dyDescent="0.3">
      <c r="A524" t="s">
        <v>552</v>
      </c>
      <c r="B524" t="s">
        <v>656</v>
      </c>
      <c r="C524" t="s">
        <v>268</v>
      </c>
      <c r="D524" s="226">
        <v>0</v>
      </c>
      <c r="E524" t="s">
        <v>657</v>
      </c>
    </row>
    <row r="525" spans="1:5" hidden="1" x14ac:dyDescent="0.3">
      <c r="A525" t="s">
        <v>552</v>
      </c>
      <c r="B525" t="s">
        <v>656</v>
      </c>
      <c r="C525" t="s">
        <v>269</v>
      </c>
      <c r="D525" s="226">
        <v>-600</v>
      </c>
      <c r="E525" t="s">
        <v>657</v>
      </c>
    </row>
    <row r="526" spans="1:5" hidden="1" x14ac:dyDescent="0.3">
      <c r="A526" t="s">
        <v>552</v>
      </c>
      <c r="B526" t="s">
        <v>656</v>
      </c>
      <c r="C526" t="s">
        <v>270</v>
      </c>
      <c r="D526" s="226">
        <v>-2806.96</v>
      </c>
      <c r="E526" t="s">
        <v>657</v>
      </c>
    </row>
    <row r="527" spans="1:5" hidden="1" x14ac:dyDescent="0.3">
      <c r="A527" t="s">
        <v>552</v>
      </c>
      <c r="B527" t="s">
        <v>656</v>
      </c>
      <c r="C527" t="s">
        <v>271</v>
      </c>
      <c r="D527" s="226">
        <v>-4605.3999999999996</v>
      </c>
      <c r="E527" t="s">
        <v>657</v>
      </c>
    </row>
    <row r="528" spans="1:5" hidden="1" x14ac:dyDescent="0.3">
      <c r="A528" t="s">
        <v>552</v>
      </c>
      <c r="B528" t="s">
        <v>656</v>
      </c>
      <c r="C528" t="s">
        <v>272</v>
      </c>
      <c r="D528" s="226">
        <v>-40</v>
      </c>
      <c r="E528" t="s">
        <v>657</v>
      </c>
    </row>
    <row r="529" spans="1:5" hidden="1" x14ac:dyDescent="0.3">
      <c r="A529" t="s">
        <v>552</v>
      </c>
      <c r="B529" t="s">
        <v>656</v>
      </c>
      <c r="C529" t="s">
        <v>273</v>
      </c>
      <c r="D529" s="226">
        <v>0</v>
      </c>
      <c r="E529" t="s">
        <v>657</v>
      </c>
    </row>
    <row r="530" spans="1:5" hidden="1" x14ac:dyDescent="0.3">
      <c r="A530" t="s">
        <v>552</v>
      </c>
      <c r="B530" t="s">
        <v>656</v>
      </c>
      <c r="C530" t="s">
        <v>274</v>
      </c>
      <c r="D530" s="226">
        <v>0</v>
      </c>
      <c r="E530" t="s">
        <v>657</v>
      </c>
    </row>
    <row r="531" spans="1:5" hidden="1" x14ac:dyDescent="0.3">
      <c r="A531" t="s">
        <v>552</v>
      </c>
      <c r="B531" t="s">
        <v>656</v>
      </c>
      <c r="C531" t="s">
        <v>275</v>
      </c>
      <c r="D531" s="226">
        <v>-2300</v>
      </c>
      <c r="E531" t="s">
        <v>657</v>
      </c>
    </row>
    <row r="532" spans="1:5" hidden="1" x14ac:dyDescent="0.3">
      <c r="A532" t="s">
        <v>552</v>
      </c>
      <c r="B532" t="s">
        <v>656</v>
      </c>
      <c r="C532" t="s">
        <v>276</v>
      </c>
      <c r="D532" s="226">
        <v>0</v>
      </c>
      <c r="E532" t="s">
        <v>657</v>
      </c>
    </row>
    <row r="533" spans="1:5" hidden="1" x14ac:dyDescent="0.3">
      <c r="A533" t="s">
        <v>552</v>
      </c>
      <c r="B533" t="s">
        <v>656</v>
      </c>
      <c r="C533" t="s">
        <v>277</v>
      </c>
      <c r="D533" s="226">
        <v>-3549</v>
      </c>
      <c r="E533" t="s">
        <v>657</v>
      </c>
    </row>
    <row r="534" spans="1:5" hidden="1" x14ac:dyDescent="0.3">
      <c r="A534" t="s">
        <v>552</v>
      </c>
      <c r="B534" t="s">
        <v>656</v>
      </c>
      <c r="C534" t="s">
        <v>44</v>
      </c>
      <c r="D534" s="226">
        <v>-7.0000000000000007E-2</v>
      </c>
      <c r="E534" t="s">
        <v>657</v>
      </c>
    </row>
    <row r="535" spans="1:5" hidden="1" x14ac:dyDescent="0.3">
      <c r="A535" t="s">
        <v>552</v>
      </c>
      <c r="B535" t="s">
        <v>656</v>
      </c>
      <c r="C535" t="s">
        <v>278</v>
      </c>
      <c r="D535" s="226">
        <v>-5224.42</v>
      </c>
      <c r="E535" t="s">
        <v>657</v>
      </c>
    </row>
    <row r="536" spans="1:5" hidden="1" x14ac:dyDescent="0.3">
      <c r="A536" t="s">
        <v>552</v>
      </c>
      <c r="B536" t="s">
        <v>656</v>
      </c>
      <c r="C536" t="s">
        <v>279</v>
      </c>
      <c r="D536" s="226">
        <v>0</v>
      </c>
      <c r="E536" t="s">
        <v>657</v>
      </c>
    </row>
    <row r="537" spans="1:5" hidden="1" x14ac:dyDescent="0.3">
      <c r="A537" t="s">
        <v>552</v>
      </c>
      <c r="B537" t="s">
        <v>656</v>
      </c>
      <c r="C537" t="s">
        <v>280</v>
      </c>
      <c r="D537" s="226">
        <v>-293.56</v>
      </c>
      <c r="E537" t="s">
        <v>657</v>
      </c>
    </row>
    <row r="538" spans="1:5" hidden="1" x14ac:dyDescent="0.3">
      <c r="A538" t="s">
        <v>552</v>
      </c>
      <c r="B538" t="s">
        <v>656</v>
      </c>
      <c r="C538" t="s">
        <v>281</v>
      </c>
      <c r="D538" s="226">
        <v>0</v>
      </c>
      <c r="E538" t="s">
        <v>657</v>
      </c>
    </row>
    <row r="539" spans="1:5" hidden="1" x14ac:dyDescent="0.3">
      <c r="A539" t="s">
        <v>552</v>
      </c>
      <c r="B539" t="s">
        <v>656</v>
      </c>
      <c r="C539" t="s">
        <v>282</v>
      </c>
      <c r="D539" s="226">
        <v>-815</v>
      </c>
      <c r="E539" t="s">
        <v>657</v>
      </c>
    </row>
    <row r="540" spans="1:5" hidden="1" x14ac:dyDescent="0.3">
      <c r="A540" t="s">
        <v>552</v>
      </c>
      <c r="B540" t="s">
        <v>656</v>
      </c>
      <c r="C540" t="s">
        <v>283</v>
      </c>
      <c r="D540" s="226">
        <v>-4115.8599999999997</v>
      </c>
      <c r="E540" t="s">
        <v>657</v>
      </c>
    </row>
    <row r="541" spans="1:5" hidden="1" x14ac:dyDescent="0.3">
      <c r="A541" t="s">
        <v>552</v>
      </c>
      <c r="B541" t="s">
        <v>656</v>
      </c>
      <c r="C541" t="s">
        <v>284</v>
      </c>
      <c r="D541" s="226">
        <v>0</v>
      </c>
      <c r="E541" t="s">
        <v>657</v>
      </c>
    </row>
    <row r="542" spans="1:5" hidden="1" x14ac:dyDescent="0.3">
      <c r="A542" t="s">
        <v>552</v>
      </c>
      <c r="B542" t="s">
        <v>656</v>
      </c>
      <c r="C542" t="s">
        <v>285</v>
      </c>
      <c r="D542" s="226">
        <v>0</v>
      </c>
      <c r="E542" t="s">
        <v>657</v>
      </c>
    </row>
    <row r="543" spans="1:5" hidden="1" x14ac:dyDescent="0.3">
      <c r="A543" t="s">
        <v>552</v>
      </c>
      <c r="B543" t="s">
        <v>656</v>
      </c>
      <c r="C543" t="s">
        <v>44</v>
      </c>
      <c r="D543" s="226">
        <v>-0.01</v>
      </c>
      <c r="E543" t="s">
        <v>657</v>
      </c>
    </row>
    <row r="544" spans="1:5" hidden="1" x14ac:dyDescent="0.3">
      <c r="A544" t="s">
        <v>552</v>
      </c>
      <c r="B544" t="s">
        <v>656</v>
      </c>
      <c r="C544" t="s">
        <v>286</v>
      </c>
      <c r="D544" s="226">
        <v>-8719.4699999999993</v>
      </c>
      <c r="E544" t="s">
        <v>657</v>
      </c>
    </row>
    <row r="545" spans="1:5" hidden="1" x14ac:dyDescent="0.3">
      <c r="A545" t="s">
        <v>552</v>
      </c>
      <c r="B545" t="s">
        <v>656</v>
      </c>
      <c r="C545" t="s">
        <v>287</v>
      </c>
      <c r="D545" s="226">
        <v>-7760.6</v>
      </c>
      <c r="E545" t="s">
        <v>657</v>
      </c>
    </row>
    <row r="546" spans="1:5" hidden="1" x14ac:dyDescent="0.3">
      <c r="A546" t="s">
        <v>552</v>
      </c>
      <c r="B546" t="s">
        <v>656</v>
      </c>
      <c r="C546" t="s">
        <v>288</v>
      </c>
      <c r="D546" s="226">
        <v>0</v>
      </c>
      <c r="E546" t="s">
        <v>657</v>
      </c>
    </row>
    <row r="547" spans="1:5" hidden="1" x14ac:dyDescent="0.3">
      <c r="A547" t="s">
        <v>552</v>
      </c>
      <c r="B547" t="s">
        <v>656</v>
      </c>
      <c r="C547" t="s">
        <v>289</v>
      </c>
      <c r="D547" s="226">
        <v>0</v>
      </c>
      <c r="E547" t="s">
        <v>657</v>
      </c>
    </row>
    <row r="548" spans="1:5" hidden="1" x14ac:dyDescent="0.3">
      <c r="A548" t="s">
        <v>552</v>
      </c>
      <c r="B548" t="s">
        <v>656</v>
      </c>
      <c r="C548" t="s">
        <v>290</v>
      </c>
      <c r="D548" s="226">
        <v>0</v>
      </c>
      <c r="E548" t="s">
        <v>657</v>
      </c>
    </row>
    <row r="549" spans="1:5" hidden="1" x14ac:dyDescent="0.3">
      <c r="A549" t="s">
        <v>552</v>
      </c>
      <c r="B549" t="s">
        <v>656</v>
      </c>
      <c r="C549" t="s">
        <v>291</v>
      </c>
      <c r="D549" s="226">
        <v>0</v>
      </c>
      <c r="E549" t="s">
        <v>657</v>
      </c>
    </row>
    <row r="550" spans="1:5" hidden="1" x14ac:dyDescent="0.3">
      <c r="A550" t="s">
        <v>552</v>
      </c>
      <c r="B550" t="s">
        <v>656</v>
      </c>
      <c r="C550" t="s">
        <v>292</v>
      </c>
      <c r="D550" s="226">
        <v>-958.87</v>
      </c>
      <c r="E550" t="s">
        <v>657</v>
      </c>
    </row>
    <row r="551" spans="1:5" hidden="1" x14ac:dyDescent="0.3">
      <c r="A551" t="s">
        <v>552</v>
      </c>
      <c r="B551" t="s">
        <v>656</v>
      </c>
      <c r="C551" t="s">
        <v>293</v>
      </c>
      <c r="D551" s="226">
        <v>0</v>
      </c>
      <c r="E551" t="s">
        <v>657</v>
      </c>
    </row>
    <row r="552" spans="1:5" hidden="1" x14ac:dyDescent="0.3">
      <c r="A552" t="s">
        <v>552</v>
      </c>
      <c r="B552" t="s">
        <v>656</v>
      </c>
      <c r="C552" t="s">
        <v>294</v>
      </c>
      <c r="D552" s="226">
        <v>0</v>
      </c>
      <c r="E552" t="s">
        <v>657</v>
      </c>
    </row>
    <row r="553" spans="1:5" hidden="1" x14ac:dyDescent="0.3">
      <c r="A553" t="s">
        <v>552</v>
      </c>
      <c r="B553" t="s">
        <v>656</v>
      </c>
      <c r="C553" t="s">
        <v>44</v>
      </c>
      <c r="D553" s="226">
        <v>-0.01</v>
      </c>
      <c r="E553" t="s">
        <v>657</v>
      </c>
    </row>
    <row r="554" spans="1:5" hidden="1" x14ac:dyDescent="0.3">
      <c r="A554" t="s">
        <v>552</v>
      </c>
      <c r="B554" t="s">
        <v>656</v>
      </c>
      <c r="C554" t="s">
        <v>295</v>
      </c>
      <c r="D554" s="226">
        <v>-22160</v>
      </c>
      <c r="E554" t="s">
        <v>657</v>
      </c>
    </row>
    <row r="555" spans="1:5" hidden="1" x14ac:dyDescent="0.3">
      <c r="A555" t="s">
        <v>552</v>
      </c>
      <c r="B555" t="s">
        <v>656</v>
      </c>
      <c r="C555" t="s">
        <v>296</v>
      </c>
      <c r="D555" s="226">
        <v>-12750</v>
      </c>
      <c r="E555" t="s">
        <v>657</v>
      </c>
    </row>
    <row r="556" spans="1:5" hidden="1" x14ac:dyDescent="0.3">
      <c r="A556" t="s">
        <v>552</v>
      </c>
      <c r="B556" t="s">
        <v>656</v>
      </c>
      <c r="C556" t="s">
        <v>297</v>
      </c>
      <c r="D556" s="226">
        <v>-460</v>
      </c>
      <c r="E556" t="s">
        <v>657</v>
      </c>
    </row>
    <row r="557" spans="1:5" hidden="1" x14ac:dyDescent="0.3">
      <c r="A557" t="s">
        <v>552</v>
      </c>
      <c r="B557" t="s">
        <v>656</v>
      </c>
      <c r="C557" t="s">
        <v>298</v>
      </c>
      <c r="D557" s="226">
        <v>0</v>
      </c>
      <c r="E557" t="s">
        <v>657</v>
      </c>
    </row>
    <row r="558" spans="1:5" hidden="1" x14ac:dyDescent="0.3">
      <c r="A558" t="s">
        <v>552</v>
      </c>
      <c r="B558" t="s">
        <v>656</v>
      </c>
      <c r="C558" t="s">
        <v>299</v>
      </c>
      <c r="D558" s="226">
        <v>0</v>
      </c>
      <c r="E558" t="s">
        <v>657</v>
      </c>
    </row>
    <row r="559" spans="1:5" hidden="1" x14ac:dyDescent="0.3">
      <c r="A559" t="s">
        <v>552</v>
      </c>
      <c r="B559" t="s">
        <v>656</v>
      </c>
      <c r="C559" t="s">
        <v>300</v>
      </c>
      <c r="D559" s="226">
        <v>0</v>
      </c>
      <c r="E559" t="s">
        <v>657</v>
      </c>
    </row>
    <row r="560" spans="1:5" hidden="1" x14ac:dyDescent="0.3">
      <c r="A560" t="s">
        <v>552</v>
      </c>
      <c r="B560" t="s">
        <v>656</v>
      </c>
      <c r="C560" t="s">
        <v>301</v>
      </c>
      <c r="D560" s="226">
        <v>0</v>
      </c>
      <c r="E560" t="s">
        <v>657</v>
      </c>
    </row>
    <row r="561" spans="1:5" hidden="1" x14ac:dyDescent="0.3">
      <c r="A561" t="s">
        <v>552</v>
      </c>
      <c r="B561" t="s">
        <v>656</v>
      </c>
      <c r="C561" t="s">
        <v>302</v>
      </c>
      <c r="D561" s="226">
        <v>0</v>
      </c>
      <c r="E561" t="s">
        <v>657</v>
      </c>
    </row>
    <row r="562" spans="1:5" hidden="1" x14ac:dyDescent="0.3">
      <c r="A562" t="s">
        <v>552</v>
      </c>
      <c r="B562" t="s">
        <v>656</v>
      </c>
      <c r="C562" t="s">
        <v>303</v>
      </c>
      <c r="D562" s="226">
        <v>0</v>
      </c>
      <c r="E562" t="s">
        <v>657</v>
      </c>
    </row>
    <row r="563" spans="1:5" hidden="1" x14ac:dyDescent="0.3">
      <c r="A563" t="s">
        <v>552</v>
      </c>
      <c r="B563" t="s">
        <v>656</v>
      </c>
      <c r="C563" t="s">
        <v>304</v>
      </c>
      <c r="D563" s="226">
        <v>-4650</v>
      </c>
      <c r="E563" t="s">
        <v>657</v>
      </c>
    </row>
    <row r="564" spans="1:5" hidden="1" x14ac:dyDescent="0.3">
      <c r="A564" t="s">
        <v>552</v>
      </c>
      <c r="B564" t="s">
        <v>656</v>
      </c>
      <c r="C564" t="s">
        <v>305</v>
      </c>
      <c r="D564" s="226">
        <v>0</v>
      </c>
      <c r="E564" t="s">
        <v>657</v>
      </c>
    </row>
    <row r="565" spans="1:5" hidden="1" x14ac:dyDescent="0.3">
      <c r="A565" t="s">
        <v>552</v>
      </c>
      <c r="B565" t="s">
        <v>656</v>
      </c>
      <c r="C565" t="s">
        <v>306</v>
      </c>
      <c r="D565" s="226">
        <v>-4300</v>
      </c>
      <c r="E565" t="s">
        <v>657</v>
      </c>
    </row>
    <row r="566" spans="1:5" hidden="1" x14ac:dyDescent="0.3">
      <c r="A566" t="s">
        <v>552</v>
      </c>
      <c r="B566" t="s">
        <v>656</v>
      </c>
      <c r="C566" t="s">
        <v>44</v>
      </c>
      <c r="D566" s="226">
        <v>-0.02</v>
      </c>
      <c r="E566" t="s">
        <v>657</v>
      </c>
    </row>
    <row r="567" spans="1:5" hidden="1" x14ac:dyDescent="0.3">
      <c r="A567" t="s">
        <v>552</v>
      </c>
      <c r="B567" t="s">
        <v>656</v>
      </c>
      <c r="C567" t="s">
        <v>307</v>
      </c>
      <c r="D567" s="226">
        <v>-17717.21</v>
      </c>
      <c r="E567" t="s">
        <v>657</v>
      </c>
    </row>
    <row r="568" spans="1:5" hidden="1" x14ac:dyDescent="0.3">
      <c r="A568" t="s">
        <v>552</v>
      </c>
      <c r="B568" t="s">
        <v>656</v>
      </c>
      <c r="C568" t="s">
        <v>308</v>
      </c>
      <c r="D568" s="226">
        <v>-1469</v>
      </c>
      <c r="E568" t="s">
        <v>657</v>
      </c>
    </row>
    <row r="569" spans="1:5" hidden="1" x14ac:dyDescent="0.3">
      <c r="A569" t="s">
        <v>552</v>
      </c>
      <c r="B569" t="s">
        <v>656</v>
      </c>
      <c r="C569" t="s">
        <v>309</v>
      </c>
      <c r="D569" s="226">
        <v>0</v>
      </c>
      <c r="E569" t="s">
        <v>657</v>
      </c>
    </row>
    <row r="570" spans="1:5" hidden="1" x14ac:dyDescent="0.3">
      <c r="A570" t="s">
        <v>552</v>
      </c>
      <c r="B570" t="s">
        <v>656</v>
      </c>
      <c r="C570" t="s">
        <v>310</v>
      </c>
      <c r="D570" s="226">
        <v>-4468.21</v>
      </c>
      <c r="E570" t="s">
        <v>657</v>
      </c>
    </row>
    <row r="571" spans="1:5" hidden="1" x14ac:dyDescent="0.3">
      <c r="A571" t="s">
        <v>552</v>
      </c>
      <c r="B571" t="s">
        <v>656</v>
      </c>
      <c r="C571" t="s">
        <v>311</v>
      </c>
      <c r="D571" s="226">
        <v>0</v>
      </c>
      <c r="E571" t="s">
        <v>657</v>
      </c>
    </row>
    <row r="572" spans="1:5" hidden="1" x14ac:dyDescent="0.3">
      <c r="A572" t="s">
        <v>552</v>
      </c>
      <c r="B572" t="s">
        <v>656</v>
      </c>
      <c r="C572" t="s">
        <v>312</v>
      </c>
      <c r="D572" s="226">
        <v>0</v>
      </c>
      <c r="E572" t="s">
        <v>657</v>
      </c>
    </row>
    <row r="573" spans="1:5" hidden="1" x14ac:dyDescent="0.3">
      <c r="A573" t="s">
        <v>552</v>
      </c>
      <c r="B573" t="s">
        <v>656</v>
      </c>
      <c r="C573" t="s">
        <v>313</v>
      </c>
      <c r="D573" s="226">
        <v>0</v>
      </c>
      <c r="E573" t="s">
        <v>657</v>
      </c>
    </row>
    <row r="574" spans="1:5" hidden="1" x14ac:dyDescent="0.3">
      <c r="A574" t="s">
        <v>552</v>
      </c>
      <c r="B574" t="s">
        <v>656</v>
      </c>
      <c r="C574" t="s">
        <v>314</v>
      </c>
      <c r="D574" s="226">
        <v>0</v>
      </c>
      <c r="E574" t="s">
        <v>657</v>
      </c>
    </row>
    <row r="575" spans="1:5" hidden="1" x14ac:dyDescent="0.3">
      <c r="A575" t="s">
        <v>552</v>
      </c>
      <c r="B575" t="s">
        <v>656</v>
      </c>
      <c r="C575" t="s">
        <v>315</v>
      </c>
      <c r="D575" s="226">
        <v>-11780</v>
      </c>
      <c r="E575" t="s">
        <v>657</v>
      </c>
    </row>
    <row r="576" spans="1:5" hidden="1" x14ac:dyDescent="0.3">
      <c r="A576" t="s">
        <v>552</v>
      </c>
      <c r="B576" t="s">
        <v>656</v>
      </c>
      <c r="C576" t="s">
        <v>316</v>
      </c>
      <c r="D576" s="226">
        <v>0</v>
      </c>
      <c r="E576" t="s">
        <v>657</v>
      </c>
    </row>
    <row r="577" spans="1:5" hidden="1" x14ac:dyDescent="0.3">
      <c r="A577" t="s">
        <v>552</v>
      </c>
      <c r="B577" t="s">
        <v>656</v>
      </c>
      <c r="C577" t="s">
        <v>44</v>
      </c>
      <c r="D577" s="226">
        <v>-0.02</v>
      </c>
      <c r="E577" t="s">
        <v>657</v>
      </c>
    </row>
    <row r="578" spans="1:5" hidden="1" x14ac:dyDescent="0.3">
      <c r="A578" t="s">
        <v>552</v>
      </c>
      <c r="B578" t="s">
        <v>656</v>
      </c>
      <c r="C578" t="s">
        <v>317</v>
      </c>
      <c r="D578" s="226">
        <v>-5123.2</v>
      </c>
      <c r="E578" t="s">
        <v>657</v>
      </c>
    </row>
    <row r="579" spans="1:5" hidden="1" x14ac:dyDescent="0.3">
      <c r="A579" t="s">
        <v>552</v>
      </c>
      <c r="B579" t="s">
        <v>656</v>
      </c>
      <c r="C579" t="s">
        <v>318</v>
      </c>
      <c r="D579" s="226">
        <v>-5123.2</v>
      </c>
      <c r="E579" t="s">
        <v>657</v>
      </c>
    </row>
    <row r="580" spans="1:5" hidden="1" x14ac:dyDescent="0.3">
      <c r="A580" t="s">
        <v>552</v>
      </c>
      <c r="B580" t="s">
        <v>656</v>
      </c>
      <c r="C580" t="s">
        <v>319</v>
      </c>
      <c r="D580" s="226">
        <v>0</v>
      </c>
      <c r="E580" t="s">
        <v>657</v>
      </c>
    </row>
    <row r="581" spans="1:5" hidden="1" x14ac:dyDescent="0.3">
      <c r="A581" t="s">
        <v>552</v>
      </c>
      <c r="B581" t="s">
        <v>656</v>
      </c>
      <c r="C581" t="s">
        <v>320</v>
      </c>
      <c r="D581" s="226">
        <v>0</v>
      </c>
      <c r="E581" t="s">
        <v>657</v>
      </c>
    </row>
    <row r="582" spans="1:5" hidden="1" x14ac:dyDescent="0.3">
      <c r="A582" t="s">
        <v>552</v>
      </c>
      <c r="B582" t="s">
        <v>656</v>
      </c>
      <c r="C582" t="s">
        <v>321</v>
      </c>
      <c r="D582" s="226">
        <v>0</v>
      </c>
      <c r="E582" t="s">
        <v>657</v>
      </c>
    </row>
    <row r="583" spans="1:5" hidden="1" x14ac:dyDescent="0.3">
      <c r="A583" t="s">
        <v>552</v>
      </c>
      <c r="B583" t="s">
        <v>656</v>
      </c>
      <c r="C583" t="s">
        <v>44</v>
      </c>
      <c r="D583" s="226">
        <v>0</v>
      </c>
      <c r="E583" t="s">
        <v>657</v>
      </c>
    </row>
    <row r="584" spans="1:5" hidden="1" x14ac:dyDescent="0.3">
      <c r="A584" t="s">
        <v>552</v>
      </c>
      <c r="B584" t="s">
        <v>656</v>
      </c>
      <c r="C584" t="s">
        <v>322</v>
      </c>
      <c r="D584" s="226">
        <v>-51831.46</v>
      </c>
      <c r="E584" t="s">
        <v>657</v>
      </c>
    </row>
    <row r="585" spans="1:5" hidden="1" x14ac:dyDescent="0.3">
      <c r="A585" t="s">
        <v>552</v>
      </c>
      <c r="B585" t="s">
        <v>656</v>
      </c>
      <c r="C585" t="s">
        <v>323</v>
      </c>
      <c r="D585" s="226">
        <v>0</v>
      </c>
      <c r="E585" t="s">
        <v>657</v>
      </c>
    </row>
    <row r="586" spans="1:5" hidden="1" x14ac:dyDescent="0.3">
      <c r="A586" t="s">
        <v>552</v>
      </c>
      <c r="B586" t="s">
        <v>656</v>
      </c>
      <c r="C586" t="s">
        <v>324</v>
      </c>
      <c r="D586" s="226">
        <v>0</v>
      </c>
      <c r="E586" t="s">
        <v>657</v>
      </c>
    </row>
    <row r="587" spans="1:5" hidden="1" x14ac:dyDescent="0.3">
      <c r="A587" t="s">
        <v>552</v>
      </c>
      <c r="B587" t="s">
        <v>656</v>
      </c>
      <c r="C587" t="s">
        <v>325</v>
      </c>
      <c r="D587" s="226">
        <v>-51831.46</v>
      </c>
      <c r="E587" t="s">
        <v>657</v>
      </c>
    </row>
    <row r="588" spans="1:5" hidden="1" x14ac:dyDescent="0.3">
      <c r="A588" t="s">
        <v>552</v>
      </c>
      <c r="B588" t="s">
        <v>656</v>
      </c>
      <c r="C588" t="s">
        <v>44</v>
      </c>
      <c r="D588" s="226">
        <v>-0.05</v>
      </c>
      <c r="E588" t="s">
        <v>657</v>
      </c>
    </row>
    <row r="589" spans="1:5" hidden="1" x14ac:dyDescent="0.3">
      <c r="A589" t="s">
        <v>552</v>
      </c>
      <c r="B589" t="s">
        <v>656</v>
      </c>
      <c r="C589" t="s">
        <v>327</v>
      </c>
      <c r="D589" s="226">
        <v>-513968.24</v>
      </c>
      <c r="E589" t="s">
        <v>657</v>
      </c>
    </row>
    <row r="590" spans="1:5" hidden="1" x14ac:dyDescent="0.3">
      <c r="A590" t="s">
        <v>552</v>
      </c>
      <c r="B590" t="s">
        <v>656</v>
      </c>
      <c r="C590" t="s">
        <v>44</v>
      </c>
      <c r="D590" s="226">
        <v>-0.5</v>
      </c>
      <c r="E590" t="s">
        <v>657</v>
      </c>
    </row>
    <row r="591" spans="1:5" hidden="1" x14ac:dyDescent="0.3">
      <c r="A591" t="s">
        <v>552</v>
      </c>
      <c r="B591" t="s">
        <v>656</v>
      </c>
      <c r="C591" t="s">
        <v>328</v>
      </c>
      <c r="D591" s="226">
        <v>59742.720000000001</v>
      </c>
      <c r="E591" t="s">
        <v>657</v>
      </c>
    </row>
    <row r="592" spans="1:5" hidden="1" x14ac:dyDescent="0.3">
      <c r="A592" t="s">
        <v>552</v>
      </c>
      <c r="B592" t="s">
        <v>656</v>
      </c>
      <c r="C592" t="s">
        <v>44</v>
      </c>
      <c r="D592" s="226">
        <v>0.06</v>
      </c>
      <c r="E592" t="s">
        <v>657</v>
      </c>
    </row>
    <row r="593" spans="1:5" hidden="1" x14ac:dyDescent="0.3">
      <c r="A593" t="s">
        <v>552</v>
      </c>
      <c r="B593" t="s">
        <v>656</v>
      </c>
      <c r="C593" t="s">
        <v>329</v>
      </c>
      <c r="D593" s="226">
        <v>0</v>
      </c>
      <c r="E593" t="s">
        <v>657</v>
      </c>
    </row>
    <row r="594" spans="1:5" hidden="1" x14ac:dyDescent="0.3">
      <c r="A594" t="s">
        <v>552</v>
      </c>
      <c r="B594" t="s">
        <v>656</v>
      </c>
      <c r="C594" t="s">
        <v>331</v>
      </c>
      <c r="D594" s="226">
        <v>59742.720000000001</v>
      </c>
      <c r="E594" t="s">
        <v>657</v>
      </c>
    </row>
    <row r="595" spans="1:5" hidden="1" x14ac:dyDescent="0.3">
      <c r="A595" t="s">
        <v>552</v>
      </c>
      <c r="B595" t="s">
        <v>656</v>
      </c>
      <c r="C595" t="s">
        <v>332</v>
      </c>
      <c r="D595" s="226">
        <v>-1150.22</v>
      </c>
      <c r="E595" t="s">
        <v>657</v>
      </c>
    </row>
    <row r="596" spans="1:5" hidden="1" x14ac:dyDescent="0.3">
      <c r="A596" t="s">
        <v>552</v>
      </c>
      <c r="B596" t="s">
        <v>656</v>
      </c>
      <c r="C596" t="s">
        <v>333</v>
      </c>
      <c r="D596" s="226">
        <v>0</v>
      </c>
      <c r="E596" t="s">
        <v>657</v>
      </c>
    </row>
    <row r="597" spans="1:5" hidden="1" x14ac:dyDescent="0.3">
      <c r="A597" t="s">
        <v>552</v>
      </c>
      <c r="B597" t="s">
        <v>656</v>
      </c>
      <c r="C597" t="s">
        <v>335</v>
      </c>
      <c r="D597" s="226">
        <v>-2000</v>
      </c>
      <c r="E597" t="s">
        <v>657</v>
      </c>
    </row>
    <row r="598" spans="1:5" hidden="1" x14ac:dyDescent="0.3">
      <c r="A598" t="s">
        <v>552</v>
      </c>
      <c r="B598" t="s">
        <v>656</v>
      </c>
      <c r="C598" t="s">
        <v>337</v>
      </c>
      <c r="D598" s="226">
        <v>56592.5</v>
      </c>
      <c r="E598" t="s">
        <v>657</v>
      </c>
    </row>
    <row r="599" spans="1:5" hidden="1" x14ac:dyDescent="0.3">
      <c r="A599" t="s">
        <v>552</v>
      </c>
      <c r="B599" t="s">
        <v>656</v>
      </c>
      <c r="C599" t="s">
        <v>338</v>
      </c>
      <c r="D599" s="226">
        <v>-27199.33</v>
      </c>
      <c r="E599" t="s">
        <v>657</v>
      </c>
    </row>
    <row r="600" spans="1:5" hidden="1" x14ac:dyDescent="0.3">
      <c r="A600" t="s">
        <v>552</v>
      </c>
      <c r="B600" t="s">
        <v>656</v>
      </c>
      <c r="C600" t="s">
        <v>341</v>
      </c>
      <c r="D600" s="226">
        <v>0</v>
      </c>
      <c r="E600" t="s">
        <v>657</v>
      </c>
    </row>
    <row r="601" spans="1:5" hidden="1" x14ac:dyDescent="0.3">
      <c r="A601" t="s">
        <v>552</v>
      </c>
      <c r="B601" t="s">
        <v>656</v>
      </c>
      <c r="C601" t="s">
        <v>343</v>
      </c>
      <c r="D601" s="226">
        <v>-10916.12</v>
      </c>
      <c r="E601" t="s">
        <v>657</v>
      </c>
    </row>
    <row r="602" spans="1:5" hidden="1" x14ac:dyDescent="0.3">
      <c r="A602" t="s">
        <v>552</v>
      </c>
      <c r="B602" t="s">
        <v>656</v>
      </c>
      <c r="C602" t="s">
        <v>344</v>
      </c>
      <c r="D602" s="226">
        <v>-6458.7</v>
      </c>
      <c r="E602" t="s">
        <v>657</v>
      </c>
    </row>
    <row r="603" spans="1:5" hidden="1" x14ac:dyDescent="0.3">
      <c r="A603" t="s">
        <v>552</v>
      </c>
      <c r="B603" t="s">
        <v>656</v>
      </c>
      <c r="C603" t="s">
        <v>345</v>
      </c>
      <c r="D603" s="226">
        <v>-9824.51</v>
      </c>
      <c r="E603" t="s">
        <v>657</v>
      </c>
    </row>
    <row r="604" spans="1:5" hidden="1" x14ac:dyDescent="0.3">
      <c r="A604" t="s">
        <v>552</v>
      </c>
      <c r="B604" t="s">
        <v>656</v>
      </c>
      <c r="C604" t="s">
        <v>346</v>
      </c>
      <c r="D604" s="226">
        <v>29393.17</v>
      </c>
      <c r="E604" t="s">
        <v>657</v>
      </c>
    </row>
    <row r="605" spans="1:5" hidden="1" x14ac:dyDescent="0.3">
      <c r="A605" t="s">
        <v>552</v>
      </c>
      <c r="B605" t="s">
        <v>656</v>
      </c>
      <c r="C605" t="s">
        <v>44</v>
      </c>
      <c r="D605" s="226">
        <v>0.03</v>
      </c>
      <c r="E605" t="s">
        <v>657</v>
      </c>
    </row>
    <row r="606" spans="1:5" hidden="1" x14ac:dyDescent="0.3">
      <c r="A606" t="s">
        <v>552</v>
      </c>
      <c r="B606" t="s">
        <v>656</v>
      </c>
      <c r="C606" t="s">
        <v>347</v>
      </c>
      <c r="D606" s="226">
        <v>-8222.5400000000009</v>
      </c>
      <c r="E606" t="s">
        <v>657</v>
      </c>
    </row>
    <row r="607" spans="1:5" hidden="1" x14ac:dyDescent="0.3">
      <c r="A607" t="s">
        <v>552</v>
      </c>
      <c r="B607" t="s">
        <v>656</v>
      </c>
      <c r="C607" t="s">
        <v>654</v>
      </c>
      <c r="D607" s="226">
        <v>-7193.01</v>
      </c>
      <c r="E607" t="s">
        <v>657</v>
      </c>
    </row>
    <row r="608" spans="1:5" hidden="1" x14ac:dyDescent="0.3">
      <c r="A608" t="s">
        <v>552</v>
      </c>
      <c r="B608" t="s">
        <v>656</v>
      </c>
      <c r="C608" t="s">
        <v>349</v>
      </c>
      <c r="D608" s="226">
        <v>-1029.53</v>
      </c>
      <c r="E608" t="s">
        <v>657</v>
      </c>
    </row>
    <row r="609" spans="1:5" hidden="1" x14ac:dyDescent="0.3">
      <c r="A609" t="s">
        <v>552</v>
      </c>
      <c r="B609" t="s">
        <v>656</v>
      </c>
      <c r="C609" t="s">
        <v>350</v>
      </c>
      <c r="D609" s="226">
        <v>0</v>
      </c>
      <c r="E609" t="s">
        <v>657</v>
      </c>
    </row>
    <row r="610" spans="1:5" hidden="1" x14ac:dyDescent="0.3">
      <c r="A610" t="s">
        <v>552</v>
      </c>
      <c r="B610" t="s">
        <v>656</v>
      </c>
      <c r="C610" t="s">
        <v>351</v>
      </c>
      <c r="D610" s="226">
        <v>0</v>
      </c>
      <c r="E610" t="s">
        <v>657</v>
      </c>
    </row>
    <row r="611" spans="1:5" hidden="1" x14ac:dyDescent="0.3">
      <c r="A611" t="s">
        <v>552</v>
      </c>
      <c r="B611" t="s">
        <v>656</v>
      </c>
      <c r="C611" t="s">
        <v>352</v>
      </c>
      <c r="D611" s="226">
        <v>0</v>
      </c>
      <c r="E611" t="s">
        <v>657</v>
      </c>
    </row>
    <row r="612" spans="1:5" hidden="1" x14ac:dyDescent="0.3">
      <c r="A612" t="s">
        <v>552</v>
      </c>
      <c r="B612" t="s">
        <v>656</v>
      </c>
      <c r="C612" t="s">
        <v>353</v>
      </c>
      <c r="D612" s="226">
        <v>0</v>
      </c>
      <c r="E612" t="s">
        <v>657</v>
      </c>
    </row>
    <row r="613" spans="1:5" hidden="1" x14ac:dyDescent="0.3">
      <c r="A613" t="s">
        <v>552</v>
      </c>
      <c r="B613" t="s">
        <v>656</v>
      </c>
      <c r="C613" t="s">
        <v>354</v>
      </c>
      <c r="D613" s="226">
        <v>0</v>
      </c>
      <c r="E613" t="s">
        <v>657</v>
      </c>
    </row>
    <row r="614" spans="1:5" hidden="1" x14ac:dyDescent="0.3">
      <c r="A614" t="s">
        <v>552</v>
      </c>
      <c r="B614" t="s">
        <v>656</v>
      </c>
      <c r="C614" t="s">
        <v>355</v>
      </c>
      <c r="D614" s="226">
        <v>0</v>
      </c>
      <c r="E614" t="s">
        <v>657</v>
      </c>
    </row>
    <row r="615" spans="1:5" hidden="1" x14ac:dyDescent="0.3">
      <c r="A615" t="s">
        <v>552</v>
      </c>
      <c r="B615" t="s">
        <v>656</v>
      </c>
      <c r="C615" t="s">
        <v>356</v>
      </c>
      <c r="D615" s="226">
        <v>0</v>
      </c>
      <c r="E615" t="s">
        <v>657</v>
      </c>
    </row>
    <row r="616" spans="1:5" hidden="1" x14ac:dyDescent="0.3">
      <c r="A616" t="s">
        <v>552</v>
      </c>
      <c r="B616" t="s">
        <v>656</v>
      </c>
      <c r="C616" t="s">
        <v>357</v>
      </c>
      <c r="D616" s="226">
        <v>0</v>
      </c>
      <c r="E616" t="s">
        <v>657</v>
      </c>
    </row>
    <row r="617" spans="1:5" hidden="1" x14ac:dyDescent="0.3">
      <c r="A617" t="s">
        <v>552</v>
      </c>
      <c r="B617" t="s">
        <v>656</v>
      </c>
      <c r="C617" t="s">
        <v>358</v>
      </c>
      <c r="D617" s="226">
        <v>0</v>
      </c>
      <c r="E617" t="s">
        <v>657</v>
      </c>
    </row>
    <row r="618" spans="1:5" hidden="1" x14ac:dyDescent="0.3">
      <c r="A618" t="s">
        <v>552</v>
      </c>
      <c r="B618" t="s">
        <v>656</v>
      </c>
      <c r="C618" t="s">
        <v>359</v>
      </c>
      <c r="D618" s="226">
        <v>0</v>
      </c>
      <c r="E618" t="s">
        <v>657</v>
      </c>
    </row>
    <row r="619" spans="1:5" hidden="1" x14ac:dyDescent="0.3">
      <c r="A619" t="s">
        <v>552</v>
      </c>
      <c r="B619" t="s">
        <v>656</v>
      </c>
      <c r="C619" t="s">
        <v>360</v>
      </c>
      <c r="D619" s="226">
        <v>0</v>
      </c>
      <c r="E619" t="s">
        <v>657</v>
      </c>
    </row>
    <row r="620" spans="1:5" hidden="1" x14ac:dyDescent="0.3">
      <c r="A620" t="s">
        <v>552</v>
      </c>
      <c r="B620" t="s">
        <v>656</v>
      </c>
      <c r="C620" t="s">
        <v>361</v>
      </c>
      <c r="D620" s="226">
        <v>0</v>
      </c>
      <c r="E620" t="s">
        <v>657</v>
      </c>
    </row>
    <row r="621" spans="1:5" hidden="1" x14ac:dyDescent="0.3">
      <c r="A621" t="s">
        <v>552</v>
      </c>
      <c r="B621" t="s">
        <v>656</v>
      </c>
      <c r="C621" t="s">
        <v>362</v>
      </c>
      <c r="D621" s="226">
        <v>0</v>
      </c>
      <c r="E621" t="s">
        <v>657</v>
      </c>
    </row>
    <row r="622" spans="1:5" hidden="1" x14ac:dyDescent="0.3">
      <c r="A622" t="s">
        <v>552</v>
      </c>
      <c r="B622" t="s">
        <v>656</v>
      </c>
      <c r="C622" t="s">
        <v>363</v>
      </c>
      <c r="D622" s="226">
        <v>0</v>
      </c>
      <c r="E622" t="s">
        <v>657</v>
      </c>
    </row>
    <row r="623" spans="1:5" hidden="1" x14ac:dyDescent="0.3">
      <c r="A623" t="s">
        <v>552</v>
      </c>
      <c r="B623" t="s">
        <v>656</v>
      </c>
      <c r="C623" t="s">
        <v>364</v>
      </c>
      <c r="D623" s="226">
        <v>0</v>
      </c>
      <c r="E623" t="s">
        <v>657</v>
      </c>
    </row>
    <row r="624" spans="1:5" hidden="1" x14ac:dyDescent="0.3">
      <c r="A624" t="s">
        <v>552</v>
      </c>
      <c r="B624" t="s">
        <v>656</v>
      </c>
      <c r="C624" t="s">
        <v>365</v>
      </c>
      <c r="D624" s="226">
        <v>0</v>
      </c>
      <c r="E624" t="s">
        <v>657</v>
      </c>
    </row>
    <row r="625" spans="1:5" hidden="1" x14ac:dyDescent="0.3">
      <c r="A625" t="s">
        <v>552</v>
      </c>
      <c r="B625" t="s">
        <v>656</v>
      </c>
      <c r="C625" t="s">
        <v>366</v>
      </c>
      <c r="D625" s="226">
        <v>0</v>
      </c>
      <c r="E625" t="s">
        <v>657</v>
      </c>
    </row>
    <row r="626" spans="1:5" hidden="1" x14ac:dyDescent="0.3">
      <c r="A626" t="s">
        <v>552</v>
      </c>
      <c r="B626" t="s">
        <v>656</v>
      </c>
      <c r="C626" t="s">
        <v>367</v>
      </c>
      <c r="D626" s="226">
        <v>0</v>
      </c>
      <c r="E626" t="s">
        <v>657</v>
      </c>
    </row>
    <row r="627" spans="1:5" hidden="1" x14ac:dyDescent="0.3">
      <c r="A627" t="s">
        <v>552</v>
      </c>
      <c r="B627" t="s">
        <v>656</v>
      </c>
      <c r="C627" t="s">
        <v>368</v>
      </c>
      <c r="D627" s="226">
        <v>0</v>
      </c>
      <c r="E627" t="s">
        <v>657</v>
      </c>
    </row>
    <row r="628" spans="1:5" hidden="1" x14ac:dyDescent="0.3">
      <c r="A628" t="s">
        <v>552</v>
      </c>
      <c r="B628" t="s">
        <v>656</v>
      </c>
      <c r="C628" t="s">
        <v>369</v>
      </c>
      <c r="D628" s="226">
        <v>0</v>
      </c>
      <c r="E628" t="s">
        <v>657</v>
      </c>
    </row>
    <row r="629" spans="1:5" hidden="1" x14ac:dyDescent="0.3">
      <c r="A629" t="s">
        <v>552</v>
      </c>
      <c r="B629" t="s">
        <v>656</v>
      </c>
      <c r="C629" t="s">
        <v>370</v>
      </c>
      <c r="D629" s="226">
        <v>0</v>
      </c>
      <c r="E629" t="s">
        <v>657</v>
      </c>
    </row>
    <row r="630" spans="1:5" hidden="1" x14ac:dyDescent="0.3">
      <c r="A630" t="s">
        <v>552</v>
      </c>
      <c r="B630" t="s">
        <v>656</v>
      </c>
      <c r="C630" t="s">
        <v>371</v>
      </c>
      <c r="D630" s="226">
        <v>0</v>
      </c>
      <c r="E630" t="s">
        <v>657</v>
      </c>
    </row>
    <row r="631" spans="1:5" hidden="1" x14ac:dyDescent="0.3">
      <c r="A631" t="s">
        <v>552</v>
      </c>
      <c r="B631" t="s">
        <v>656</v>
      </c>
      <c r="C631" t="s">
        <v>372</v>
      </c>
      <c r="D631" s="226">
        <v>-8222.5400000000009</v>
      </c>
      <c r="E631" t="s">
        <v>657</v>
      </c>
    </row>
    <row r="632" spans="1:5" hidden="1" x14ac:dyDescent="0.3">
      <c r="A632" t="s">
        <v>552</v>
      </c>
      <c r="B632" t="s">
        <v>656</v>
      </c>
      <c r="C632" t="s">
        <v>373</v>
      </c>
      <c r="D632" s="226">
        <v>21170.63</v>
      </c>
      <c r="E632" t="s">
        <v>657</v>
      </c>
    </row>
    <row r="633" spans="1:5" hidden="1" x14ac:dyDescent="0.3">
      <c r="A633" t="s">
        <v>552</v>
      </c>
      <c r="B633" t="s">
        <v>656</v>
      </c>
      <c r="C633" t="s">
        <v>655</v>
      </c>
      <c r="D633" s="226">
        <v>0</v>
      </c>
      <c r="E633" t="s">
        <v>657</v>
      </c>
    </row>
    <row r="634" spans="1:5" hidden="1" x14ac:dyDescent="0.3">
      <c r="A634" t="s">
        <v>552</v>
      </c>
      <c r="B634" t="s">
        <v>658</v>
      </c>
      <c r="C634" t="s">
        <v>11</v>
      </c>
      <c r="D634" s="226">
        <v>1417755.85</v>
      </c>
      <c r="E634" t="s">
        <v>659</v>
      </c>
    </row>
    <row r="635" spans="1:5" hidden="1" x14ac:dyDescent="0.3">
      <c r="A635" t="s">
        <v>552</v>
      </c>
      <c r="B635" t="s">
        <v>658</v>
      </c>
      <c r="C635" t="s">
        <v>13</v>
      </c>
      <c r="D635" s="226">
        <v>637127</v>
      </c>
      <c r="E635" t="s">
        <v>659</v>
      </c>
    </row>
    <row r="636" spans="1:5" hidden="1" x14ac:dyDescent="0.3">
      <c r="A636" t="s">
        <v>552</v>
      </c>
      <c r="B636" t="s">
        <v>658</v>
      </c>
      <c r="C636" t="s">
        <v>16</v>
      </c>
      <c r="D636" s="226">
        <v>549784.69999999995</v>
      </c>
      <c r="E636" t="s">
        <v>659</v>
      </c>
    </row>
    <row r="637" spans="1:5" hidden="1" x14ac:dyDescent="0.3">
      <c r="A637" t="s">
        <v>552</v>
      </c>
      <c r="B637" t="s">
        <v>658</v>
      </c>
      <c r="C637" t="s">
        <v>17</v>
      </c>
      <c r="D637" s="226">
        <v>0</v>
      </c>
      <c r="E637" t="s">
        <v>659</v>
      </c>
    </row>
    <row r="638" spans="1:5" hidden="1" x14ac:dyDescent="0.3">
      <c r="A638" t="s">
        <v>552</v>
      </c>
      <c r="B638" t="s">
        <v>658</v>
      </c>
      <c r="C638" t="s">
        <v>18</v>
      </c>
      <c r="D638" s="226">
        <v>612.5</v>
      </c>
      <c r="E638" t="s">
        <v>659</v>
      </c>
    </row>
    <row r="639" spans="1:5" hidden="1" x14ac:dyDescent="0.3">
      <c r="A639" t="s">
        <v>552</v>
      </c>
      <c r="B639" t="s">
        <v>658</v>
      </c>
      <c r="C639" t="s">
        <v>20</v>
      </c>
      <c r="D639" s="226">
        <v>151067.65</v>
      </c>
      <c r="E639" t="s">
        <v>659</v>
      </c>
    </row>
    <row r="640" spans="1:5" hidden="1" x14ac:dyDescent="0.3">
      <c r="A640" t="s">
        <v>552</v>
      </c>
      <c r="B640" t="s">
        <v>658</v>
      </c>
      <c r="C640" t="s">
        <v>23</v>
      </c>
      <c r="D640" s="226">
        <v>4800</v>
      </c>
      <c r="E640" t="s">
        <v>659</v>
      </c>
    </row>
    <row r="641" spans="1:5" hidden="1" x14ac:dyDescent="0.3">
      <c r="A641" t="s">
        <v>552</v>
      </c>
      <c r="B641" t="s">
        <v>658</v>
      </c>
      <c r="C641" t="s">
        <v>25</v>
      </c>
      <c r="D641" s="226">
        <v>22500</v>
      </c>
      <c r="E641" t="s">
        <v>659</v>
      </c>
    </row>
    <row r="642" spans="1:5" hidden="1" x14ac:dyDescent="0.3">
      <c r="A642" t="s">
        <v>552</v>
      </c>
      <c r="B642" t="s">
        <v>658</v>
      </c>
      <c r="C642" t="s">
        <v>26</v>
      </c>
      <c r="D642" s="226">
        <v>34500</v>
      </c>
      <c r="E642" t="s">
        <v>659</v>
      </c>
    </row>
    <row r="643" spans="1:5" hidden="1" x14ac:dyDescent="0.3">
      <c r="A643" t="s">
        <v>552</v>
      </c>
      <c r="B643" t="s">
        <v>658</v>
      </c>
      <c r="C643" t="s">
        <v>27</v>
      </c>
      <c r="D643" s="226">
        <v>0</v>
      </c>
      <c r="E643" t="s">
        <v>659</v>
      </c>
    </row>
    <row r="644" spans="1:5" hidden="1" x14ac:dyDescent="0.3">
      <c r="A644" t="s">
        <v>552</v>
      </c>
      <c r="B644" t="s">
        <v>658</v>
      </c>
      <c r="C644" t="s">
        <v>29</v>
      </c>
      <c r="D644" s="226">
        <v>17364</v>
      </c>
      <c r="E644" t="s">
        <v>659</v>
      </c>
    </row>
    <row r="645" spans="1:5" hidden="1" x14ac:dyDescent="0.3">
      <c r="A645" t="s">
        <v>552</v>
      </c>
      <c r="B645" t="s">
        <v>658</v>
      </c>
      <c r="C645" t="s">
        <v>31</v>
      </c>
      <c r="D645" s="226">
        <v>0</v>
      </c>
      <c r="E645" t="s">
        <v>659</v>
      </c>
    </row>
    <row r="646" spans="1:5" hidden="1" x14ac:dyDescent="0.3">
      <c r="A646" t="s">
        <v>552</v>
      </c>
      <c r="B646" t="s">
        <v>658</v>
      </c>
      <c r="C646" t="s">
        <v>34</v>
      </c>
      <c r="D646" s="226">
        <v>-19588.23</v>
      </c>
      <c r="E646" t="s">
        <v>659</v>
      </c>
    </row>
    <row r="647" spans="1:5" hidden="1" x14ac:dyDescent="0.3">
      <c r="A647" t="s">
        <v>552</v>
      </c>
      <c r="B647" t="s">
        <v>658</v>
      </c>
      <c r="C647" t="s">
        <v>38</v>
      </c>
      <c r="D647" s="226">
        <v>-19588.23</v>
      </c>
      <c r="E647" t="s">
        <v>659</v>
      </c>
    </row>
    <row r="648" spans="1:5" hidden="1" x14ac:dyDescent="0.3">
      <c r="A648" t="s">
        <v>552</v>
      </c>
      <c r="B648" t="s">
        <v>658</v>
      </c>
      <c r="C648" t="s">
        <v>40</v>
      </c>
      <c r="D648" s="226">
        <v>0</v>
      </c>
      <c r="E648" t="s">
        <v>659</v>
      </c>
    </row>
    <row r="649" spans="1:5" hidden="1" x14ac:dyDescent="0.3">
      <c r="A649" t="s">
        <v>552</v>
      </c>
      <c r="B649" t="s">
        <v>658</v>
      </c>
      <c r="C649" t="s">
        <v>42</v>
      </c>
      <c r="D649" s="226">
        <v>0</v>
      </c>
      <c r="E649" t="s">
        <v>659</v>
      </c>
    </row>
    <row r="650" spans="1:5" hidden="1" x14ac:dyDescent="0.3">
      <c r="A650" t="s">
        <v>552</v>
      </c>
      <c r="B650" t="s">
        <v>658</v>
      </c>
      <c r="C650" t="s">
        <v>44</v>
      </c>
      <c r="D650" s="226">
        <v>-0.01</v>
      </c>
      <c r="E650" t="s">
        <v>659</v>
      </c>
    </row>
    <row r="651" spans="1:5" hidden="1" x14ac:dyDescent="0.3">
      <c r="A651" t="s">
        <v>552</v>
      </c>
      <c r="B651" t="s">
        <v>658</v>
      </c>
      <c r="C651" t="s">
        <v>45</v>
      </c>
      <c r="D651" s="226">
        <v>-85512.75</v>
      </c>
      <c r="E651" t="s">
        <v>659</v>
      </c>
    </row>
    <row r="652" spans="1:5" hidden="1" x14ac:dyDescent="0.3">
      <c r="A652" t="s">
        <v>552</v>
      </c>
      <c r="B652" t="s">
        <v>658</v>
      </c>
      <c r="C652" t="s">
        <v>46</v>
      </c>
      <c r="D652" s="226">
        <v>-45519.15</v>
      </c>
      <c r="E652" t="s">
        <v>659</v>
      </c>
    </row>
    <row r="653" spans="1:5" hidden="1" x14ac:dyDescent="0.3">
      <c r="A653" t="s">
        <v>552</v>
      </c>
      <c r="B653" t="s">
        <v>658</v>
      </c>
      <c r="C653" t="s">
        <v>48</v>
      </c>
      <c r="D653" s="226">
        <v>-39753.599999999999</v>
      </c>
      <c r="E653" t="s">
        <v>659</v>
      </c>
    </row>
    <row r="654" spans="1:5" hidden="1" x14ac:dyDescent="0.3">
      <c r="A654" t="s">
        <v>552</v>
      </c>
      <c r="B654" t="s">
        <v>658</v>
      </c>
      <c r="C654" t="s">
        <v>49</v>
      </c>
      <c r="D654" s="226">
        <v>-240</v>
      </c>
      <c r="E654" t="s">
        <v>659</v>
      </c>
    </row>
    <row r="655" spans="1:5" hidden="1" x14ac:dyDescent="0.3">
      <c r="A655" t="s">
        <v>552</v>
      </c>
      <c r="B655" t="s">
        <v>658</v>
      </c>
      <c r="C655" t="s">
        <v>50</v>
      </c>
      <c r="D655" s="226">
        <v>1312654.8700000001</v>
      </c>
      <c r="E655" t="s">
        <v>659</v>
      </c>
    </row>
    <row r="656" spans="1:5" hidden="1" x14ac:dyDescent="0.3">
      <c r="A656" t="s">
        <v>552</v>
      </c>
      <c r="B656" t="s">
        <v>658</v>
      </c>
      <c r="C656" t="s">
        <v>51</v>
      </c>
      <c r="D656" s="226">
        <v>-352114.78</v>
      </c>
      <c r="E656" t="s">
        <v>659</v>
      </c>
    </row>
    <row r="657" spans="1:5" hidden="1" x14ac:dyDescent="0.3">
      <c r="A657" t="s">
        <v>552</v>
      </c>
      <c r="B657" t="s">
        <v>658</v>
      </c>
      <c r="C657" t="s">
        <v>52</v>
      </c>
      <c r="D657" s="226">
        <v>-235851.96</v>
      </c>
      <c r="E657" t="s">
        <v>659</v>
      </c>
    </row>
    <row r="658" spans="1:5" hidden="1" x14ac:dyDescent="0.3">
      <c r="A658" t="s">
        <v>552</v>
      </c>
      <c r="B658" t="s">
        <v>658</v>
      </c>
      <c r="C658" t="s">
        <v>53</v>
      </c>
      <c r="D658" s="226">
        <v>-114922.06</v>
      </c>
      <c r="E658" t="s">
        <v>659</v>
      </c>
    </row>
    <row r="659" spans="1:5" hidden="1" x14ac:dyDescent="0.3">
      <c r="A659" t="s">
        <v>552</v>
      </c>
      <c r="B659" t="s">
        <v>658</v>
      </c>
      <c r="C659" t="s">
        <v>54</v>
      </c>
      <c r="D659" s="226">
        <v>-1340.76</v>
      </c>
      <c r="E659" t="s">
        <v>659</v>
      </c>
    </row>
    <row r="660" spans="1:5" hidden="1" x14ac:dyDescent="0.3">
      <c r="A660" t="s">
        <v>552</v>
      </c>
      <c r="B660" t="s">
        <v>658</v>
      </c>
      <c r="C660" t="s">
        <v>23</v>
      </c>
      <c r="D660" s="226">
        <v>0</v>
      </c>
      <c r="E660" t="s">
        <v>659</v>
      </c>
    </row>
    <row r="661" spans="1:5" hidden="1" x14ac:dyDescent="0.3">
      <c r="A661" t="s">
        <v>552</v>
      </c>
      <c r="B661" t="s">
        <v>658</v>
      </c>
      <c r="C661" t="s">
        <v>44</v>
      </c>
      <c r="D661" s="226">
        <v>-0.28999999999999998</v>
      </c>
      <c r="E661" t="s">
        <v>659</v>
      </c>
    </row>
    <row r="662" spans="1:5" hidden="1" x14ac:dyDescent="0.3">
      <c r="A662" t="s">
        <v>552</v>
      </c>
      <c r="B662" t="s">
        <v>658</v>
      </c>
      <c r="C662" t="s">
        <v>55</v>
      </c>
      <c r="D662" s="226">
        <v>-0.27</v>
      </c>
      <c r="E662" t="s">
        <v>659</v>
      </c>
    </row>
    <row r="663" spans="1:5" hidden="1" x14ac:dyDescent="0.3">
      <c r="A663" t="s">
        <v>552</v>
      </c>
      <c r="B663" t="s">
        <v>658</v>
      </c>
      <c r="C663" t="s">
        <v>56</v>
      </c>
      <c r="D663" s="226">
        <v>0</v>
      </c>
      <c r="E663" t="s">
        <v>659</v>
      </c>
    </row>
    <row r="664" spans="1:5" hidden="1" x14ac:dyDescent="0.3">
      <c r="A664" t="s">
        <v>552</v>
      </c>
      <c r="B664" t="s">
        <v>658</v>
      </c>
      <c r="C664" t="s">
        <v>57</v>
      </c>
      <c r="D664" s="226">
        <v>0</v>
      </c>
      <c r="E664" t="s">
        <v>659</v>
      </c>
    </row>
    <row r="665" spans="1:5" hidden="1" x14ac:dyDescent="0.3">
      <c r="A665" t="s">
        <v>552</v>
      </c>
      <c r="B665" t="s">
        <v>658</v>
      </c>
      <c r="C665" t="s">
        <v>58</v>
      </c>
      <c r="D665" s="226">
        <v>0</v>
      </c>
      <c r="E665" t="s">
        <v>659</v>
      </c>
    </row>
    <row r="666" spans="1:5" hidden="1" x14ac:dyDescent="0.3">
      <c r="A666" t="s">
        <v>552</v>
      </c>
      <c r="B666" t="s">
        <v>658</v>
      </c>
      <c r="C666" t="s">
        <v>59</v>
      </c>
      <c r="D666" s="226">
        <v>0</v>
      </c>
      <c r="E666" t="s">
        <v>659</v>
      </c>
    </row>
    <row r="667" spans="1:5" hidden="1" x14ac:dyDescent="0.3">
      <c r="A667" t="s">
        <v>552</v>
      </c>
      <c r="B667" t="s">
        <v>658</v>
      </c>
      <c r="C667" t="s">
        <v>61</v>
      </c>
      <c r="D667" s="226">
        <v>0</v>
      </c>
      <c r="E667" t="s">
        <v>659</v>
      </c>
    </row>
    <row r="668" spans="1:5" hidden="1" x14ac:dyDescent="0.3">
      <c r="A668" t="s">
        <v>552</v>
      </c>
      <c r="B668" t="s">
        <v>658</v>
      </c>
      <c r="C668" t="s">
        <v>62</v>
      </c>
      <c r="D668" s="226">
        <v>0</v>
      </c>
      <c r="E668" t="s">
        <v>659</v>
      </c>
    </row>
    <row r="669" spans="1:5" hidden="1" x14ac:dyDescent="0.3">
      <c r="A669" t="s">
        <v>552</v>
      </c>
      <c r="B669" t="s">
        <v>658</v>
      </c>
      <c r="C669" t="s">
        <v>64</v>
      </c>
      <c r="D669" s="226">
        <v>0</v>
      </c>
      <c r="E669" t="s">
        <v>659</v>
      </c>
    </row>
    <row r="670" spans="1:5" hidden="1" x14ac:dyDescent="0.3">
      <c r="A670" t="s">
        <v>552</v>
      </c>
      <c r="B670" t="s">
        <v>658</v>
      </c>
      <c r="C670" t="s">
        <v>65</v>
      </c>
      <c r="D670" s="226">
        <v>0</v>
      </c>
      <c r="E670" t="s">
        <v>659</v>
      </c>
    </row>
    <row r="671" spans="1:5" hidden="1" x14ac:dyDescent="0.3">
      <c r="A671" t="s">
        <v>552</v>
      </c>
      <c r="B671" t="s">
        <v>658</v>
      </c>
      <c r="C671" t="s">
        <v>66</v>
      </c>
      <c r="D671" s="226">
        <v>0</v>
      </c>
      <c r="E671" t="s">
        <v>659</v>
      </c>
    </row>
    <row r="672" spans="1:5" hidden="1" x14ac:dyDescent="0.3">
      <c r="A672" t="s">
        <v>552</v>
      </c>
      <c r="B672" t="s">
        <v>658</v>
      </c>
      <c r="C672" t="s">
        <v>68</v>
      </c>
      <c r="D672" s="226">
        <v>0</v>
      </c>
      <c r="E672" t="s">
        <v>659</v>
      </c>
    </row>
    <row r="673" spans="1:5" hidden="1" x14ac:dyDescent="0.3">
      <c r="A673" t="s">
        <v>552</v>
      </c>
      <c r="B673" t="s">
        <v>658</v>
      </c>
      <c r="C673" t="s">
        <v>69</v>
      </c>
      <c r="D673" s="226">
        <v>0</v>
      </c>
      <c r="E673" t="s">
        <v>659</v>
      </c>
    </row>
    <row r="674" spans="1:5" hidden="1" x14ac:dyDescent="0.3">
      <c r="A674" t="s">
        <v>552</v>
      </c>
      <c r="B674" t="s">
        <v>658</v>
      </c>
      <c r="C674" t="s">
        <v>70</v>
      </c>
      <c r="D674" s="226">
        <v>0</v>
      </c>
      <c r="E674" t="s">
        <v>659</v>
      </c>
    </row>
    <row r="675" spans="1:5" hidden="1" x14ac:dyDescent="0.3">
      <c r="A675" t="s">
        <v>552</v>
      </c>
      <c r="B675" t="s">
        <v>658</v>
      </c>
      <c r="C675" t="s">
        <v>44</v>
      </c>
      <c r="D675" s="226">
        <v>0</v>
      </c>
      <c r="E675" t="s">
        <v>659</v>
      </c>
    </row>
    <row r="676" spans="1:5" hidden="1" x14ac:dyDescent="0.3">
      <c r="A676" t="s">
        <v>552</v>
      </c>
      <c r="B676" t="s">
        <v>658</v>
      </c>
      <c r="C676" t="s">
        <v>71</v>
      </c>
      <c r="D676" s="226">
        <v>-1900</v>
      </c>
      <c r="E676" t="s">
        <v>659</v>
      </c>
    </row>
    <row r="677" spans="1:5" hidden="1" x14ac:dyDescent="0.3">
      <c r="A677" t="s">
        <v>552</v>
      </c>
      <c r="B677" t="s">
        <v>658</v>
      </c>
      <c r="C677" t="s">
        <v>72</v>
      </c>
      <c r="D677" s="226">
        <v>0</v>
      </c>
      <c r="E677" t="s">
        <v>659</v>
      </c>
    </row>
    <row r="678" spans="1:5" hidden="1" x14ac:dyDescent="0.3">
      <c r="A678" t="s">
        <v>552</v>
      </c>
      <c r="B678" t="s">
        <v>658</v>
      </c>
      <c r="C678" t="s">
        <v>73</v>
      </c>
      <c r="D678" s="226">
        <v>0</v>
      </c>
      <c r="E678" t="s">
        <v>659</v>
      </c>
    </row>
    <row r="679" spans="1:5" hidden="1" x14ac:dyDescent="0.3">
      <c r="A679" t="s">
        <v>552</v>
      </c>
      <c r="B679" t="s">
        <v>658</v>
      </c>
      <c r="C679" t="s">
        <v>75</v>
      </c>
      <c r="D679" s="226">
        <v>0</v>
      </c>
      <c r="E679" t="s">
        <v>659</v>
      </c>
    </row>
    <row r="680" spans="1:5" hidden="1" x14ac:dyDescent="0.3">
      <c r="A680" t="s">
        <v>552</v>
      </c>
      <c r="B680" t="s">
        <v>658</v>
      </c>
      <c r="C680" t="s">
        <v>77</v>
      </c>
      <c r="D680" s="226">
        <v>0</v>
      </c>
      <c r="E680" t="s">
        <v>659</v>
      </c>
    </row>
    <row r="681" spans="1:5" hidden="1" x14ac:dyDescent="0.3">
      <c r="A681" t="s">
        <v>552</v>
      </c>
      <c r="B681" t="s">
        <v>658</v>
      </c>
      <c r="C681" t="s">
        <v>78</v>
      </c>
      <c r="D681" s="226">
        <v>0</v>
      </c>
      <c r="E681" t="s">
        <v>659</v>
      </c>
    </row>
    <row r="682" spans="1:5" hidden="1" x14ac:dyDescent="0.3">
      <c r="A682" t="s">
        <v>552</v>
      </c>
      <c r="B682" t="s">
        <v>658</v>
      </c>
      <c r="C682" t="s">
        <v>80</v>
      </c>
      <c r="D682" s="226">
        <v>0</v>
      </c>
      <c r="E682" t="s">
        <v>659</v>
      </c>
    </row>
    <row r="683" spans="1:5" hidden="1" x14ac:dyDescent="0.3">
      <c r="A683" t="s">
        <v>552</v>
      </c>
      <c r="B683" t="s">
        <v>658</v>
      </c>
      <c r="C683" t="s">
        <v>82</v>
      </c>
      <c r="D683" s="226">
        <v>0</v>
      </c>
      <c r="E683" t="s">
        <v>659</v>
      </c>
    </row>
    <row r="684" spans="1:5" hidden="1" x14ac:dyDescent="0.3">
      <c r="A684" t="s">
        <v>552</v>
      </c>
      <c r="B684" t="s">
        <v>658</v>
      </c>
      <c r="C684" t="s">
        <v>84</v>
      </c>
      <c r="D684" s="226">
        <v>0</v>
      </c>
      <c r="E684" t="s">
        <v>659</v>
      </c>
    </row>
    <row r="685" spans="1:5" hidden="1" x14ac:dyDescent="0.3">
      <c r="A685" t="s">
        <v>552</v>
      </c>
      <c r="B685" t="s">
        <v>658</v>
      </c>
      <c r="C685" t="s">
        <v>85</v>
      </c>
      <c r="D685" s="226">
        <v>0</v>
      </c>
      <c r="E685" t="s">
        <v>659</v>
      </c>
    </row>
    <row r="686" spans="1:5" hidden="1" x14ac:dyDescent="0.3">
      <c r="A686" t="s">
        <v>552</v>
      </c>
      <c r="B686" t="s">
        <v>658</v>
      </c>
      <c r="C686" t="s">
        <v>86</v>
      </c>
      <c r="D686" s="226">
        <v>0</v>
      </c>
      <c r="E686" t="s">
        <v>659</v>
      </c>
    </row>
    <row r="687" spans="1:5" hidden="1" x14ac:dyDescent="0.3">
      <c r="A687" t="s">
        <v>552</v>
      </c>
      <c r="B687" t="s">
        <v>658</v>
      </c>
      <c r="C687" t="s">
        <v>87</v>
      </c>
      <c r="D687" s="226">
        <v>0</v>
      </c>
      <c r="E687" t="s">
        <v>659</v>
      </c>
    </row>
    <row r="688" spans="1:5" hidden="1" x14ac:dyDescent="0.3">
      <c r="A688" t="s">
        <v>552</v>
      </c>
      <c r="B688" t="s">
        <v>658</v>
      </c>
      <c r="C688" t="s">
        <v>88</v>
      </c>
      <c r="D688" s="226">
        <v>0</v>
      </c>
      <c r="E688" t="s">
        <v>659</v>
      </c>
    </row>
    <row r="689" spans="1:5" hidden="1" x14ac:dyDescent="0.3">
      <c r="A689" t="s">
        <v>552</v>
      </c>
      <c r="B689" t="s">
        <v>658</v>
      </c>
      <c r="C689" t="s">
        <v>89</v>
      </c>
      <c r="D689" s="226">
        <v>0</v>
      </c>
      <c r="E689" t="s">
        <v>659</v>
      </c>
    </row>
    <row r="690" spans="1:5" hidden="1" x14ac:dyDescent="0.3">
      <c r="A690" t="s">
        <v>552</v>
      </c>
      <c r="B690" t="s">
        <v>658</v>
      </c>
      <c r="C690" t="s">
        <v>90</v>
      </c>
      <c r="D690" s="226">
        <v>0</v>
      </c>
      <c r="E690" t="s">
        <v>659</v>
      </c>
    </row>
    <row r="691" spans="1:5" hidden="1" x14ac:dyDescent="0.3">
      <c r="A691" t="s">
        <v>552</v>
      </c>
      <c r="B691" t="s">
        <v>658</v>
      </c>
      <c r="C691" t="s">
        <v>91</v>
      </c>
      <c r="D691" s="226">
        <v>0</v>
      </c>
      <c r="E691" t="s">
        <v>659</v>
      </c>
    </row>
    <row r="692" spans="1:5" hidden="1" x14ac:dyDescent="0.3">
      <c r="A692" t="s">
        <v>552</v>
      </c>
      <c r="B692" t="s">
        <v>658</v>
      </c>
      <c r="C692" t="s">
        <v>93</v>
      </c>
      <c r="D692" s="226">
        <v>0</v>
      </c>
      <c r="E692" t="s">
        <v>659</v>
      </c>
    </row>
    <row r="693" spans="1:5" hidden="1" x14ac:dyDescent="0.3">
      <c r="A693" t="s">
        <v>552</v>
      </c>
      <c r="B693" t="s">
        <v>658</v>
      </c>
      <c r="C693" t="s">
        <v>95</v>
      </c>
      <c r="D693" s="226">
        <v>0</v>
      </c>
      <c r="E693" t="s">
        <v>659</v>
      </c>
    </row>
    <row r="694" spans="1:5" hidden="1" x14ac:dyDescent="0.3">
      <c r="A694" t="s">
        <v>552</v>
      </c>
      <c r="B694" t="s">
        <v>658</v>
      </c>
      <c r="C694" t="s">
        <v>96</v>
      </c>
      <c r="D694" s="226">
        <v>0</v>
      </c>
      <c r="E694" t="s">
        <v>659</v>
      </c>
    </row>
    <row r="695" spans="1:5" hidden="1" x14ac:dyDescent="0.3">
      <c r="A695" t="s">
        <v>552</v>
      </c>
      <c r="B695" t="s">
        <v>658</v>
      </c>
      <c r="C695" t="s">
        <v>98</v>
      </c>
      <c r="D695" s="226">
        <v>0</v>
      </c>
      <c r="E695" t="s">
        <v>659</v>
      </c>
    </row>
    <row r="696" spans="1:5" hidden="1" x14ac:dyDescent="0.3">
      <c r="A696" t="s">
        <v>552</v>
      </c>
      <c r="B696" t="s">
        <v>658</v>
      </c>
      <c r="C696" t="s">
        <v>100</v>
      </c>
      <c r="D696" s="226">
        <v>0</v>
      </c>
      <c r="E696" t="s">
        <v>659</v>
      </c>
    </row>
    <row r="697" spans="1:5" hidden="1" x14ac:dyDescent="0.3">
      <c r="A697" t="s">
        <v>552</v>
      </c>
      <c r="B697" t="s">
        <v>658</v>
      </c>
      <c r="C697" t="s">
        <v>101</v>
      </c>
      <c r="D697" s="226">
        <v>-1900</v>
      </c>
      <c r="E697" t="s">
        <v>659</v>
      </c>
    </row>
    <row r="698" spans="1:5" hidden="1" x14ac:dyDescent="0.3">
      <c r="A698" t="s">
        <v>552</v>
      </c>
      <c r="B698" t="s">
        <v>658</v>
      </c>
      <c r="C698" t="s">
        <v>102</v>
      </c>
      <c r="D698" s="226">
        <v>0</v>
      </c>
      <c r="E698" t="s">
        <v>659</v>
      </c>
    </row>
    <row r="699" spans="1:5" hidden="1" x14ac:dyDescent="0.3">
      <c r="A699" t="s">
        <v>552</v>
      </c>
      <c r="B699" t="s">
        <v>658</v>
      </c>
      <c r="C699" t="s">
        <v>103</v>
      </c>
      <c r="D699" s="226">
        <v>-1900</v>
      </c>
      <c r="E699" t="s">
        <v>659</v>
      </c>
    </row>
    <row r="700" spans="1:5" hidden="1" x14ac:dyDescent="0.3">
      <c r="A700" t="s">
        <v>552</v>
      </c>
      <c r="B700" t="s">
        <v>658</v>
      </c>
      <c r="C700" t="s">
        <v>104</v>
      </c>
      <c r="D700" s="226">
        <v>0</v>
      </c>
      <c r="E700" t="s">
        <v>659</v>
      </c>
    </row>
    <row r="701" spans="1:5" hidden="1" x14ac:dyDescent="0.3">
      <c r="A701" t="s">
        <v>552</v>
      </c>
      <c r="B701" t="s">
        <v>658</v>
      </c>
      <c r="C701" t="s">
        <v>105</v>
      </c>
      <c r="D701" s="226">
        <v>0</v>
      </c>
      <c r="E701" t="s">
        <v>659</v>
      </c>
    </row>
    <row r="702" spans="1:5" hidden="1" x14ac:dyDescent="0.3">
      <c r="A702" t="s">
        <v>552</v>
      </c>
      <c r="B702" t="s">
        <v>658</v>
      </c>
      <c r="C702" t="s">
        <v>107</v>
      </c>
      <c r="D702" s="226">
        <v>0</v>
      </c>
      <c r="E702" t="s">
        <v>659</v>
      </c>
    </row>
    <row r="703" spans="1:5" hidden="1" x14ac:dyDescent="0.3">
      <c r="A703" t="s">
        <v>552</v>
      </c>
      <c r="B703" t="s">
        <v>658</v>
      </c>
      <c r="C703" t="s">
        <v>108</v>
      </c>
      <c r="D703" s="226">
        <v>0</v>
      </c>
      <c r="E703" t="s">
        <v>659</v>
      </c>
    </row>
    <row r="704" spans="1:5" hidden="1" x14ac:dyDescent="0.3">
      <c r="A704" t="s">
        <v>552</v>
      </c>
      <c r="B704" t="s">
        <v>658</v>
      </c>
      <c r="C704" t="s">
        <v>109</v>
      </c>
      <c r="D704" s="226">
        <v>0</v>
      </c>
      <c r="E704" t="s">
        <v>659</v>
      </c>
    </row>
    <row r="705" spans="1:5" hidden="1" x14ac:dyDescent="0.3">
      <c r="A705" t="s">
        <v>552</v>
      </c>
      <c r="B705" t="s">
        <v>658</v>
      </c>
      <c r="C705" t="s">
        <v>110</v>
      </c>
      <c r="D705" s="226">
        <v>-0.03</v>
      </c>
      <c r="E705" t="s">
        <v>659</v>
      </c>
    </row>
    <row r="706" spans="1:5" hidden="1" x14ac:dyDescent="0.3">
      <c r="A706" t="s">
        <v>552</v>
      </c>
      <c r="B706" t="s">
        <v>658</v>
      </c>
      <c r="C706" t="s">
        <v>44</v>
      </c>
      <c r="D706" s="226">
        <v>0</v>
      </c>
      <c r="E706" t="s">
        <v>659</v>
      </c>
    </row>
    <row r="707" spans="1:5" hidden="1" x14ac:dyDescent="0.3">
      <c r="A707" t="s">
        <v>552</v>
      </c>
      <c r="B707" t="s">
        <v>658</v>
      </c>
      <c r="C707" t="s">
        <v>111</v>
      </c>
      <c r="D707" s="226">
        <v>-80271.3</v>
      </c>
      <c r="E707" t="s">
        <v>659</v>
      </c>
    </row>
    <row r="708" spans="1:5" hidden="1" x14ac:dyDescent="0.3">
      <c r="A708" t="s">
        <v>552</v>
      </c>
      <c r="B708" t="s">
        <v>658</v>
      </c>
      <c r="C708" t="s">
        <v>555</v>
      </c>
      <c r="D708" s="226">
        <v>-80271.3</v>
      </c>
      <c r="E708" t="s">
        <v>659</v>
      </c>
    </row>
    <row r="709" spans="1:5" hidden="1" x14ac:dyDescent="0.3">
      <c r="A709" t="s">
        <v>552</v>
      </c>
      <c r="B709" t="s">
        <v>658</v>
      </c>
      <c r="C709" t="s">
        <v>44</v>
      </c>
      <c r="D709" s="226">
        <v>-0.06</v>
      </c>
      <c r="E709" t="s">
        <v>659</v>
      </c>
    </row>
    <row r="710" spans="1:5" hidden="1" x14ac:dyDescent="0.3">
      <c r="A710" t="s">
        <v>552</v>
      </c>
      <c r="B710" t="s">
        <v>658</v>
      </c>
      <c r="C710" t="s">
        <v>115</v>
      </c>
      <c r="D710" s="226">
        <v>-30553.62</v>
      </c>
      <c r="E710" t="s">
        <v>659</v>
      </c>
    </row>
    <row r="711" spans="1:5" hidden="1" x14ac:dyDescent="0.3">
      <c r="A711" t="s">
        <v>552</v>
      </c>
      <c r="B711" t="s">
        <v>658</v>
      </c>
      <c r="C711" t="s">
        <v>116</v>
      </c>
      <c r="D711" s="226">
        <v>-26062.63</v>
      </c>
      <c r="E711" t="s">
        <v>659</v>
      </c>
    </row>
    <row r="712" spans="1:5" hidden="1" x14ac:dyDescent="0.3">
      <c r="A712" t="s">
        <v>552</v>
      </c>
      <c r="B712" t="s">
        <v>658</v>
      </c>
      <c r="C712" t="s">
        <v>118</v>
      </c>
      <c r="D712" s="226">
        <v>0</v>
      </c>
      <c r="E712" t="s">
        <v>659</v>
      </c>
    </row>
    <row r="713" spans="1:5" hidden="1" x14ac:dyDescent="0.3">
      <c r="A713" t="s">
        <v>552</v>
      </c>
      <c r="B713" t="s">
        <v>658</v>
      </c>
      <c r="C713" t="s">
        <v>120</v>
      </c>
      <c r="D713" s="226">
        <v>0</v>
      </c>
      <c r="E713" t="s">
        <v>659</v>
      </c>
    </row>
    <row r="714" spans="1:5" hidden="1" x14ac:dyDescent="0.3">
      <c r="A714" t="s">
        <v>552</v>
      </c>
      <c r="B714" t="s">
        <v>658</v>
      </c>
      <c r="C714" t="s">
        <v>122</v>
      </c>
      <c r="D714" s="226">
        <v>-4490.99</v>
      </c>
      <c r="E714" t="s">
        <v>659</v>
      </c>
    </row>
    <row r="715" spans="1:5" hidden="1" x14ac:dyDescent="0.3">
      <c r="A715" t="s">
        <v>552</v>
      </c>
      <c r="B715" t="s">
        <v>658</v>
      </c>
      <c r="C715" t="s">
        <v>44</v>
      </c>
      <c r="D715" s="226">
        <v>-0.02</v>
      </c>
      <c r="E715" t="s">
        <v>659</v>
      </c>
    </row>
    <row r="716" spans="1:5" hidden="1" x14ac:dyDescent="0.3">
      <c r="A716" t="s">
        <v>552</v>
      </c>
      <c r="B716" t="s">
        <v>658</v>
      </c>
      <c r="C716" t="s">
        <v>125</v>
      </c>
      <c r="D716" s="226">
        <v>847815.17</v>
      </c>
      <c r="E716" t="s">
        <v>659</v>
      </c>
    </row>
    <row r="717" spans="1:5" hidden="1" x14ac:dyDescent="0.3">
      <c r="A717" t="s">
        <v>552</v>
      </c>
      <c r="B717" t="s">
        <v>658</v>
      </c>
      <c r="C717" t="s">
        <v>126</v>
      </c>
      <c r="D717" s="226">
        <v>0.6</v>
      </c>
      <c r="E717" t="s">
        <v>659</v>
      </c>
    </row>
    <row r="718" spans="1:5" hidden="1" x14ac:dyDescent="0.3">
      <c r="A718" t="s">
        <v>552</v>
      </c>
      <c r="B718" t="s">
        <v>658</v>
      </c>
      <c r="C718" t="s">
        <v>127</v>
      </c>
      <c r="D718" s="226">
        <v>-321012.09999999998</v>
      </c>
      <c r="E718" t="s">
        <v>659</v>
      </c>
    </row>
    <row r="719" spans="1:5" hidden="1" x14ac:dyDescent="0.3">
      <c r="A719" t="s">
        <v>552</v>
      </c>
      <c r="B719" t="s">
        <v>658</v>
      </c>
      <c r="C719" t="s">
        <v>128</v>
      </c>
      <c r="D719" s="226">
        <v>-43170</v>
      </c>
      <c r="E719" t="s">
        <v>659</v>
      </c>
    </row>
    <row r="720" spans="1:5" hidden="1" x14ac:dyDescent="0.3">
      <c r="A720" t="s">
        <v>552</v>
      </c>
      <c r="B720" t="s">
        <v>658</v>
      </c>
      <c r="C720" t="s">
        <v>556</v>
      </c>
      <c r="D720" s="226">
        <v>-9750</v>
      </c>
      <c r="E720" t="s">
        <v>659</v>
      </c>
    </row>
    <row r="721" spans="1:5" hidden="1" x14ac:dyDescent="0.3">
      <c r="A721" t="s">
        <v>552</v>
      </c>
      <c r="B721" t="s">
        <v>658</v>
      </c>
      <c r="C721" t="s">
        <v>557</v>
      </c>
      <c r="D721" s="226">
        <v>-5280</v>
      </c>
      <c r="E721" t="s">
        <v>659</v>
      </c>
    </row>
    <row r="722" spans="1:5" hidden="1" x14ac:dyDescent="0.3">
      <c r="A722" t="s">
        <v>552</v>
      </c>
      <c r="B722" t="s">
        <v>658</v>
      </c>
      <c r="C722" t="s">
        <v>558</v>
      </c>
      <c r="D722" s="226">
        <v>0</v>
      </c>
      <c r="E722" t="s">
        <v>659</v>
      </c>
    </row>
    <row r="723" spans="1:5" hidden="1" x14ac:dyDescent="0.3">
      <c r="A723" t="s">
        <v>552</v>
      </c>
      <c r="B723" t="s">
        <v>658</v>
      </c>
      <c r="C723" t="s">
        <v>559</v>
      </c>
      <c r="D723" s="226">
        <v>-14640</v>
      </c>
      <c r="E723" t="s">
        <v>659</v>
      </c>
    </row>
    <row r="724" spans="1:5" hidden="1" x14ac:dyDescent="0.3">
      <c r="A724" t="s">
        <v>552</v>
      </c>
      <c r="B724" t="s">
        <v>658</v>
      </c>
      <c r="C724" t="s">
        <v>560</v>
      </c>
      <c r="D724" s="226">
        <v>-2500</v>
      </c>
      <c r="E724" t="s">
        <v>659</v>
      </c>
    </row>
    <row r="725" spans="1:5" hidden="1" x14ac:dyDescent="0.3">
      <c r="A725" t="s">
        <v>552</v>
      </c>
      <c r="B725" t="s">
        <v>658</v>
      </c>
      <c r="C725" t="s">
        <v>561</v>
      </c>
      <c r="D725" s="226">
        <v>-7000</v>
      </c>
      <c r="E725" t="s">
        <v>659</v>
      </c>
    </row>
    <row r="726" spans="1:5" hidden="1" x14ac:dyDescent="0.3">
      <c r="A726" t="s">
        <v>552</v>
      </c>
      <c r="B726" t="s">
        <v>658</v>
      </c>
      <c r="C726" t="s">
        <v>562</v>
      </c>
      <c r="D726" s="226">
        <v>-4000</v>
      </c>
      <c r="E726" t="s">
        <v>659</v>
      </c>
    </row>
    <row r="727" spans="1:5" hidden="1" x14ac:dyDescent="0.3">
      <c r="A727" t="s">
        <v>552</v>
      </c>
      <c r="B727" t="s">
        <v>658</v>
      </c>
      <c r="C727" t="s">
        <v>563</v>
      </c>
      <c r="D727" s="226">
        <v>0</v>
      </c>
      <c r="E727" t="s">
        <v>659</v>
      </c>
    </row>
    <row r="728" spans="1:5" hidden="1" x14ac:dyDescent="0.3">
      <c r="A728" t="s">
        <v>552</v>
      </c>
      <c r="B728" t="s">
        <v>658</v>
      </c>
      <c r="C728" t="s">
        <v>564</v>
      </c>
      <c r="D728" s="226">
        <v>0</v>
      </c>
      <c r="E728" t="s">
        <v>659</v>
      </c>
    </row>
    <row r="729" spans="1:5" hidden="1" x14ac:dyDescent="0.3">
      <c r="A729" t="s">
        <v>552</v>
      </c>
      <c r="B729" t="s">
        <v>658</v>
      </c>
      <c r="C729" t="s">
        <v>565</v>
      </c>
      <c r="D729" s="226">
        <v>0</v>
      </c>
      <c r="E729" t="s">
        <v>659</v>
      </c>
    </row>
    <row r="730" spans="1:5" hidden="1" x14ac:dyDescent="0.3">
      <c r="A730" t="s">
        <v>552</v>
      </c>
      <c r="B730" t="s">
        <v>658</v>
      </c>
      <c r="C730" t="s">
        <v>566</v>
      </c>
      <c r="D730" s="226">
        <v>0</v>
      </c>
      <c r="E730" t="s">
        <v>659</v>
      </c>
    </row>
    <row r="731" spans="1:5" hidden="1" x14ac:dyDescent="0.3">
      <c r="A731" t="s">
        <v>552</v>
      </c>
      <c r="B731" t="s">
        <v>658</v>
      </c>
      <c r="C731" t="s">
        <v>567</v>
      </c>
      <c r="D731" s="226">
        <v>0</v>
      </c>
      <c r="E731" t="s">
        <v>659</v>
      </c>
    </row>
    <row r="732" spans="1:5" hidden="1" x14ac:dyDescent="0.3">
      <c r="A732" t="s">
        <v>552</v>
      </c>
      <c r="B732" t="s">
        <v>658</v>
      </c>
      <c r="C732" t="s">
        <v>141</v>
      </c>
      <c r="D732" s="226">
        <v>-76317.97</v>
      </c>
      <c r="E732" t="s">
        <v>659</v>
      </c>
    </row>
    <row r="733" spans="1:5" hidden="1" x14ac:dyDescent="0.3">
      <c r="A733" t="s">
        <v>552</v>
      </c>
      <c r="B733" t="s">
        <v>658</v>
      </c>
      <c r="C733" t="s">
        <v>568</v>
      </c>
      <c r="D733" s="226">
        <v>0</v>
      </c>
      <c r="E733" t="s">
        <v>659</v>
      </c>
    </row>
    <row r="734" spans="1:5" hidden="1" x14ac:dyDescent="0.3">
      <c r="A734" t="s">
        <v>552</v>
      </c>
      <c r="B734" t="s">
        <v>658</v>
      </c>
      <c r="C734" t="s">
        <v>569</v>
      </c>
      <c r="D734" s="226">
        <v>0</v>
      </c>
      <c r="E734" t="s">
        <v>659</v>
      </c>
    </row>
    <row r="735" spans="1:5" hidden="1" x14ac:dyDescent="0.3">
      <c r="A735" t="s">
        <v>552</v>
      </c>
      <c r="B735" t="s">
        <v>658</v>
      </c>
      <c r="C735" t="s">
        <v>570</v>
      </c>
      <c r="D735" s="226">
        <v>0</v>
      </c>
      <c r="E735" t="s">
        <v>659</v>
      </c>
    </row>
    <row r="736" spans="1:5" hidden="1" x14ac:dyDescent="0.3">
      <c r="A736" t="s">
        <v>552</v>
      </c>
      <c r="B736" t="s">
        <v>658</v>
      </c>
      <c r="C736" t="s">
        <v>571</v>
      </c>
      <c r="D736" s="226">
        <v>0</v>
      </c>
      <c r="E736" t="s">
        <v>659</v>
      </c>
    </row>
    <row r="737" spans="1:5" hidden="1" x14ac:dyDescent="0.3">
      <c r="A737" t="s">
        <v>552</v>
      </c>
      <c r="B737" t="s">
        <v>658</v>
      </c>
      <c r="C737" t="s">
        <v>572</v>
      </c>
      <c r="D737" s="226">
        <v>0</v>
      </c>
      <c r="E737" t="s">
        <v>659</v>
      </c>
    </row>
    <row r="738" spans="1:5" hidden="1" x14ac:dyDescent="0.3">
      <c r="A738" t="s">
        <v>552</v>
      </c>
      <c r="B738" t="s">
        <v>658</v>
      </c>
      <c r="C738" t="s">
        <v>573</v>
      </c>
      <c r="D738" s="226">
        <v>0</v>
      </c>
      <c r="E738" t="s">
        <v>659</v>
      </c>
    </row>
    <row r="739" spans="1:5" hidden="1" x14ac:dyDescent="0.3">
      <c r="A739" t="s">
        <v>552</v>
      </c>
      <c r="B739" t="s">
        <v>658</v>
      </c>
      <c r="C739" t="s">
        <v>574</v>
      </c>
      <c r="D739" s="226">
        <v>0</v>
      </c>
      <c r="E739" t="s">
        <v>659</v>
      </c>
    </row>
    <row r="740" spans="1:5" hidden="1" x14ac:dyDescent="0.3">
      <c r="A740" t="s">
        <v>552</v>
      </c>
      <c r="B740" t="s">
        <v>658</v>
      </c>
      <c r="C740" t="s">
        <v>575</v>
      </c>
      <c r="D740" s="226">
        <v>0</v>
      </c>
      <c r="E740" t="s">
        <v>659</v>
      </c>
    </row>
    <row r="741" spans="1:5" hidden="1" x14ac:dyDescent="0.3">
      <c r="A741" t="s">
        <v>552</v>
      </c>
      <c r="B741" t="s">
        <v>658</v>
      </c>
      <c r="C741" t="s">
        <v>576</v>
      </c>
      <c r="D741" s="226">
        <v>0</v>
      </c>
      <c r="E741" t="s">
        <v>659</v>
      </c>
    </row>
    <row r="742" spans="1:5" hidden="1" x14ac:dyDescent="0.3">
      <c r="A742" t="s">
        <v>552</v>
      </c>
      <c r="B742" t="s">
        <v>658</v>
      </c>
      <c r="C742" t="s">
        <v>577</v>
      </c>
      <c r="D742" s="226">
        <v>0</v>
      </c>
      <c r="E742" t="s">
        <v>659</v>
      </c>
    </row>
    <row r="743" spans="1:5" hidden="1" x14ac:dyDescent="0.3">
      <c r="A743" t="s">
        <v>552</v>
      </c>
      <c r="B743" t="s">
        <v>658</v>
      </c>
      <c r="C743" t="s">
        <v>578</v>
      </c>
      <c r="D743" s="226">
        <v>0</v>
      </c>
      <c r="E743" t="s">
        <v>659</v>
      </c>
    </row>
    <row r="744" spans="1:5" hidden="1" x14ac:dyDescent="0.3">
      <c r="A744" t="s">
        <v>552</v>
      </c>
      <c r="B744" t="s">
        <v>658</v>
      </c>
      <c r="C744" t="s">
        <v>579</v>
      </c>
      <c r="D744" s="226">
        <v>0</v>
      </c>
      <c r="E744" t="s">
        <v>659</v>
      </c>
    </row>
    <row r="745" spans="1:5" hidden="1" x14ac:dyDescent="0.3">
      <c r="A745" t="s">
        <v>552</v>
      </c>
      <c r="B745" t="s">
        <v>658</v>
      </c>
      <c r="C745" t="s">
        <v>580</v>
      </c>
      <c r="D745" s="226">
        <v>0</v>
      </c>
      <c r="E745" t="s">
        <v>659</v>
      </c>
    </row>
    <row r="746" spans="1:5" hidden="1" x14ac:dyDescent="0.3">
      <c r="A746" t="s">
        <v>552</v>
      </c>
      <c r="B746" t="s">
        <v>658</v>
      </c>
      <c r="C746" t="s">
        <v>581</v>
      </c>
      <c r="D746" s="226">
        <v>0</v>
      </c>
      <c r="E746" t="s">
        <v>659</v>
      </c>
    </row>
    <row r="747" spans="1:5" hidden="1" x14ac:dyDescent="0.3">
      <c r="A747" t="s">
        <v>552</v>
      </c>
      <c r="B747" t="s">
        <v>658</v>
      </c>
      <c r="C747" t="s">
        <v>582</v>
      </c>
      <c r="D747" s="226">
        <v>0</v>
      </c>
      <c r="E747" t="s">
        <v>659</v>
      </c>
    </row>
    <row r="748" spans="1:5" hidden="1" x14ac:dyDescent="0.3">
      <c r="A748" t="s">
        <v>552</v>
      </c>
      <c r="B748" t="s">
        <v>658</v>
      </c>
      <c r="C748" t="s">
        <v>583</v>
      </c>
      <c r="D748" s="226">
        <v>0</v>
      </c>
      <c r="E748" t="s">
        <v>659</v>
      </c>
    </row>
    <row r="749" spans="1:5" hidden="1" x14ac:dyDescent="0.3">
      <c r="A749" t="s">
        <v>552</v>
      </c>
      <c r="B749" t="s">
        <v>658</v>
      </c>
      <c r="C749" t="s">
        <v>584</v>
      </c>
      <c r="D749" s="226">
        <v>0</v>
      </c>
      <c r="E749" t="s">
        <v>659</v>
      </c>
    </row>
    <row r="750" spans="1:5" hidden="1" x14ac:dyDescent="0.3">
      <c r="A750" t="s">
        <v>552</v>
      </c>
      <c r="B750" t="s">
        <v>658</v>
      </c>
      <c r="C750" t="s">
        <v>585</v>
      </c>
      <c r="D750" s="226">
        <v>0</v>
      </c>
      <c r="E750" t="s">
        <v>659</v>
      </c>
    </row>
    <row r="751" spans="1:5" hidden="1" x14ac:dyDescent="0.3">
      <c r="A751" t="s">
        <v>552</v>
      </c>
      <c r="B751" t="s">
        <v>658</v>
      </c>
      <c r="C751" t="s">
        <v>586</v>
      </c>
      <c r="D751" s="226">
        <v>0</v>
      </c>
      <c r="E751" t="s">
        <v>659</v>
      </c>
    </row>
    <row r="752" spans="1:5" hidden="1" x14ac:dyDescent="0.3">
      <c r="A752" t="s">
        <v>552</v>
      </c>
      <c r="B752" t="s">
        <v>658</v>
      </c>
      <c r="C752" t="s">
        <v>587</v>
      </c>
      <c r="D752" s="226">
        <v>0</v>
      </c>
      <c r="E752" t="s">
        <v>659</v>
      </c>
    </row>
    <row r="753" spans="1:5" hidden="1" x14ac:dyDescent="0.3">
      <c r="A753" t="s">
        <v>552</v>
      </c>
      <c r="B753" t="s">
        <v>658</v>
      </c>
      <c r="C753" t="s">
        <v>588</v>
      </c>
      <c r="D753" s="226">
        <v>0</v>
      </c>
      <c r="E753" t="s">
        <v>659</v>
      </c>
    </row>
    <row r="754" spans="1:5" hidden="1" x14ac:dyDescent="0.3">
      <c r="A754" t="s">
        <v>552</v>
      </c>
      <c r="B754" t="s">
        <v>658</v>
      </c>
      <c r="C754" t="s">
        <v>589</v>
      </c>
      <c r="D754" s="226">
        <v>0</v>
      </c>
      <c r="E754" t="s">
        <v>659</v>
      </c>
    </row>
    <row r="755" spans="1:5" hidden="1" x14ac:dyDescent="0.3">
      <c r="A755" t="s">
        <v>552</v>
      </c>
      <c r="B755" t="s">
        <v>658</v>
      </c>
      <c r="C755" t="s">
        <v>590</v>
      </c>
      <c r="D755" s="226">
        <v>0</v>
      </c>
      <c r="E755" t="s">
        <v>659</v>
      </c>
    </row>
    <row r="756" spans="1:5" hidden="1" x14ac:dyDescent="0.3">
      <c r="A756" t="s">
        <v>552</v>
      </c>
      <c r="B756" t="s">
        <v>658</v>
      </c>
      <c r="C756" t="s">
        <v>591</v>
      </c>
      <c r="D756" s="226">
        <v>0</v>
      </c>
      <c r="E756" t="s">
        <v>659</v>
      </c>
    </row>
    <row r="757" spans="1:5" hidden="1" x14ac:dyDescent="0.3">
      <c r="A757" t="s">
        <v>552</v>
      </c>
      <c r="B757" t="s">
        <v>658</v>
      </c>
      <c r="C757" t="s">
        <v>592</v>
      </c>
      <c r="D757" s="226">
        <v>0</v>
      </c>
      <c r="E757" t="s">
        <v>659</v>
      </c>
    </row>
    <row r="758" spans="1:5" hidden="1" x14ac:dyDescent="0.3">
      <c r="A758" t="s">
        <v>552</v>
      </c>
      <c r="B758" t="s">
        <v>658</v>
      </c>
      <c r="C758" t="s">
        <v>593</v>
      </c>
      <c r="D758" s="226">
        <v>0</v>
      </c>
      <c r="E758" t="s">
        <v>659</v>
      </c>
    </row>
    <row r="759" spans="1:5" hidden="1" x14ac:dyDescent="0.3">
      <c r="A759" t="s">
        <v>552</v>
      </c>
      <c r="B759" t="s">
        <v>658</v>
      </c>
      <c r="C759" t="s">
        <v>594</v>
      </c>
      <c r="D759" s="226">
        <v>0</v>
      </c>
      <c r="E759" t="s">
        <v>659</v>
      </c>
    </row>
    <row r="760" spans="1:5" hidden="1" x14ac:dyDescent="0.3">
      <c r="A760" t="s">
        <v>552</v>
      </c>
      <c r="B760" t="s">
        <v>658</v>
      </c>
      <c r="C760" t="s">
        <v>595</v>
      </c>
      <c r="D760" s="226">
        <v>0</v>
      </c>
      <c r="E760" t="s">
        <v>659</v>
      </c>
    </row>
    <row r="761" spans="1:5" hidden="1" x14ac:dyDescent="0.3">
      <c r="A761" t="s">
        <v>552</v>
      </c>
      <c r="B761" t="s">
        <v>658</v>
      </c>
      <c r="C761" t="s">
        <v>596</v>
      </c>
      <c r="D761" s="226">
        <v>0</v>
      </c>
      <c r="E761" t="s">
        <v>659</v>
      </c>
    </row>
    <row r="762" spans="1:5" hidden="1" x14ac:dyDescent="0.3">
      <c r="A762" t="s">
        <v>552</v>
      </c>
      <c r="B762" t="s">
        <v>658</v>
      </c>
      <c r="C762" t="s">
        <v>597</v>
      </c>
      <c r="D762" s="226">
        <v>0</v>
      </c>
      <c r="E762" t="s">
        <v>659</v>
      </c>
    </row>
    <row r="763" spans="1:5" hidden="1" x14ac:dyDescent="0.3">
      <c r="A763" t="s">
        <v>552</v>
      </c>
      <c r="B763" t="s">
        <v>658</v>
      </c>
      <c r="C763" t="s">
        <v>598</v>
      </c>
      <c r="D763" s="226">
        <v>0</v>
      </c>
      <c r="E763" t="s">
        <v>659</v>
      </c>
    </row>
    <row r="764" spans="1:5" hidden="1" x14ac:dyDescent="0.3">
      <c r="A764" t="s">
        <v>552</v>
      </c>
      <c r="B764" t="s">
        <v>658</v>
      </c>
      <c r="C764" t="s">
        <v>599</v>
      </c>
      <c r="D764" s="226">
        <v>0</v>
      </c>
      <c r="E764" t="s">
        <v>659</v>
      </c>
    </row>
    <row r="765" spans="1:5" hidden="1" x14ac:dyDescent="0.3">
      <c r="A765" t="s">
        <v>552</v>
      </c>
      <c r="B765" t="s">
        <v>658</v>
      </c>
      <c r="C765" t="s">
        <v>600</v>
      </c>
      <c r="D765" s="226">
        <v>0</v>
      </c>
      <c r="E765" t="s">
        <v>659</v>
      </c>
    </row>
    <row r="766" spans="1:5" hidden="1" x14ac:dyDescent="0.3">
      <c r="A766" t="s">
        <v>552</v>
      </c>
      <c r="B766" t="s">
        <v>658</v>
      </c>
      <c r="C766" t="s">
        <v>601</v>
      </c>
      <c r="D766" s="226">
        <v>0</v>
      </c>
      <c r="E766" t="s">
        <v>659</v>
      </c>
    </row>
    <row r="767" spans="1:5" hidden="1" x14ac:dyDescent="0.3">
      <c r="A767" t="s">
        <v>552</v>
      </c>
      <c r="B767" t="s">
        <v>658</v>
      </c>
      <c r="C767" t="s">
        <v>602</v>
      </c>
      <c r="D767" s="226">
        <v>0</v>
      </c>
      <c r="E767" t="s">
        <v>659</v>
      </c>
    </row>
    <row r="768" spans="1:5" hidden="1" x14ac:dyDescent="0.3">
      <c r="A768" t="s">
        <v>552</v>
      </c>
      <c r="B768" t="s">
        <v>658</v>
      </c>
      <c r="C768" t="s">
        <v>603</v>
      </c>
      <c r="D768" s="226">
        <v>0</v>
      </c>
      <c r="E768" t="s">
        <v>659</v>
      </c>
    </row>
    <row r="769" spans="1:5" hidden="1" x14ac:dyDescent="0.3">
      <c r="A769" t="s">
        <v>552</v>
      </c>
      <c r="B769" t="s">
        <v>658</v>
      </c>
      <c r="C769" t="s">
        <v>604</v>
      </c>
      <c r="D769" s="226">
        <v>0</v>
      </c>
      <c r="E769" t="s">
        <v>659</v>
      </c>
    </row>
    <row r="770" spans="1:5" hidden="1" x14ac:dyDescent="0.3">
      <c r="A770" t="s">
        <v>552</v>
      </c>
      <c r="B770" t="s">
        <v>658</v>
      </c>
      <c r="C770" t="s">
        <v>605</v>
      </c>
      <c r="D770" s="226">
        <v>0</v>
      </c>
      <c r="E770" t="s">
        <v>659</v>
      </c>
    </row>
    <row r="771" spans="1:5" hidden="1" x14ac:dyDescent="0.3">
      <c r="A771" t="s">
        <v>552</v>
      </c>
      <c r="B771" t="s">
        <v>658</v>
      </c>
      <c r="C771" t="s">
        <v>606</v>
      </c>
      <c r="D771" s="226">
        <v>0</v>
      </c>
      <c r="E771" t="s">
        <v>659</v>
      </c>
    </row>
    <row r="772" spans="1:5" hidden="1" x14ac:dyDescent="0.3">
      <c r="A772" t="s">
        <v>552</v>
      </c>
      <c r="B772" t="s">
        <v>658</v>
      </c>
      <c r="C772" t="s">
        <v>607</v>
      </c>
      <c r="D772" s="226">
        <v>0</v>
      </c>
      <c r="E772" t="s">
        <v>659</v>
      </c>
    </row>
    <row r="773" spans="1:5" hidden="1" x14ac:dyDescent="0.3">
      <c r="A773" t="s">
        <v>552</v>
      </c>
      <c r="B773" t="s">
        <v>658</v>
      </c>
      <c r="C773" t="s">
        <v>608</v>
      </c>
      <c r="D773" s="226">
        <v>0</v>
      </c>
      <c r="E773" t="s">
        <v>659</v>
      </c>
    </row>
    <row r="774" spans="1:5" hidden="1" x14ac:dyDescent="0.3">
      <c r="A774" t="s">
        <v>552</v>
      </c>
      <c r="B774" t="s">
        <v>658</v>
      </c>
      <c r="C774" t="s">
        <v>609</v>
      </c>
      <c r="D774" s="226">
        <v>0</v>
      </c>
      <c r="E774" t="s">
        <v>659</v>
      </c>
    </row>
    <row r="775" spans="1:5" hidden="1" x14ac:dyDescent="0.3">
      <c r="A775" t="s">
        <v>552</v>
      </c>
      <c r="B775" t="s">
        <v>658</v>
      </c>
      <c r="C775" t="s">
        <v>610</v>
      </c>
      <c r="D775" s="226">
        <v>0</v>
      </c>
      <c r="E775" t="s">
        <v>659</v>
      </c>
    </row>
    <row r="776" spans="1:5" hidden="1" x14ac:dyDescent="0.3">
      <c r="A776" t="s">
        <v>552</v>
      </c>
      <c r="B776" t="s">
        <v>658</v>
      </c>
      <c r="C776" t="s">
        <v>611</v>
      </c>
      <c r="D776" s="226">
        <v>0</v>
      </c>
      <c r="E776" t="s">
        <v>659</v>
      </c>
    </row>
    <row r="777" spans="1:5" hidden="1" x14ac:dyDescent="0.3">
      <c r="A777" t="s">
        <v>552</v>
      </c>
      <c r="B777" t="s">
        <v>658</v>
      </c>
      <c r="C777" t="s">
        <v>612</v>
      </c>
      <c r="D777" s="226">
        <v>0</v>
      </c>
      <c r="E777" t="s">
        <v>659</v>
      </c>
    </row>
    <row r="778" spans="1:5" hidden="1" x14ac:dyDescent="0.3">
      <c r="A778" t="s">
        <v>552</v>
      </c>
      <c r="B778" t="s">
        <v>658</v>
      </c>
      <c r="C778" t="s">
        <v>613</v>
      </c>
      <c r="D778" s="226">
        <v>0</v>
      </c>
      <c r="E778" t="s">
        <v>659</v>
      </c>
    </row>
    <row r="779" spans="1:5" hidden="1" x14ac:dyDescent="0.3">
      <c r="A779" t="s">
        <v>552</v>
      </c>
      <c r="B779" t="s">
        <v>658</v>
      </c>
      <c r="C779" t="s">
        <v>614</v>
      </c>
      <c r="D779" s="226">
        <v>0</v>
      </c>
      <c r="E779" t="s">
        <v>659</v>
      </c>
    </row>
    <row r="780" spans="1:5" hidden="1" x14ac:dyDescent="0.3">
      <c r="A780" t="s">
        <v>552</v>
      </c>
      <c r="B780" t="s">
        <v>658</v>
      </c>
      <c r="C780" t="s">
        <v>615</v>
      </c>
      <c r="D780" s="226">
        <v>0</v>
      </c>
      <c r="E780" t="s">
        <v>659</v>
      </c>
    </row>
    <row r="781" spans="1:5" hidden="1" x14ac:dyDescent="0.3">
      <c r="A781" t="s">
        <v>552</v>
      </c>
      <c r="B781" t="s">
        <v>658</v>
      </c>
      <c r="C781" t="s">
        <v>616</v>
      </c>
      <c r="D781" s="226">
        <v>0</v>
      </c>
      <c r="E781" t="s">
        <v>659</v>
      </c>
    </row>
    <row r="782" spans="1:5" hidden="1" x14ac:dyDescent="0.3">
      <c r="A782" t="s">
        <v>552</v>
      </c>
      <c r="B782" t="s">
        <v>658</v>
      </c>
      <c r="C782" t="s">
        <v>617</v>
      </c>
      <c r="D782" s="226">
        <v>0</v>
      </c>
      <c r="E782" t="s">
        <v>659</v>
      </c>
    </row>
    <row r="783" spans="1:5" hidden="1" x14ac:dyDescent="0.3">
      <c r="A783" t="s">
        <v>552</v>
      </c>
      <c r="B783" t="s">
        <v>658</v>
      </c>
      <c r="C783" t="s">
        <v>618</v>
      </c>
      <c r="D783" s="226">
        <v>0</v>
      </c>
      <c r="E783" t="s">
        <v>659</v>
      </c>
    </row>
    <row r="784" spans="1:5" hidden="1" x14ac:dyDescent="0.3">
      <c r="A784" t="s">
        <v>552</v>
      </c>
      <c r="B784" t="s">
        <v>658</v>
      </c>
      <c r="C784" t="s">
        <v>619</v>
      </c>
      <c r="D784" s="226">
        <v>0</v>
      </c>
      <c r="E784" t="s">
        <v>659</v>
      </c>
    </row>
    <row r="785" spans="1:5" hidden="1" x14ac:dyDescent="0.3">
      <c r="A785" t="s">
        <v>552</v>
      </c>
      <c r="B785" t="s">
        <v>658</v>
      </c>
      <c r="C785" t="s">
        <v>620</v>
      </c>
      <c r="D785" s="226">
        <v>0</v>
      </c>
      <c r="E785" t="s">
        <v>659</v>
      </c>
    </row>
    <row r="786" spans="1:5" hidden="1" x14ac:dyDescent="0.3">
      <c r="A786" t="s">
        <v>552</v>
      </c>
      <c r="B786" t="s">
        <v>658</v>
      </c>
      <c r="C786" t="s">
        <v>621</v>
      </c>
      <c r="D786" s="226">
        <v>0</v>
      </c>
      <c r="E786" t="s">
        <v>659</v>
      </c>
    </row>
    <row r="787" spans="1:5" hidden="1" x14ac:dyDescent="0.3">
      <c r="A787" t="s">
        <v>552</v>
      </c>
      <c r="B787" t="s">
        <v>658</v>
      </c>
      <c r="C787" t="s">
        <v>622</v>
      </c>
      <c r="D787" s="226">
        <v>0</v>
      </c>
      <c r="E787" t="s">
        <v>659</v>
      </c>
    </row>
    <row r="788" spans="1:5" hidden="1" x14ac:dyDescent="0.3">
      <c r="A788" t="s">
        <v>552</v>
      </c>
      <c r="B788" t="s">
        <v>658</v>
      </c>
      <c r="C788" t="s">
        <v>623</v>
      </c>
      <c r="D788" s="226">
        <v>0</v>
      </c>
      <c r="E788" t="s">
        <v>659</v>
      </c>
    </row>
    <row r="789" spans="1:5" hidden="1" x14ac:dyDescent="0.3">
      <c r="A789" t="s">
        <v>552</v>
      </c>
      <c r="B789" t="s">
        <v>658</v>
      </c>
      <c r="C789" t="s">
        <v>624</v>
      </c>
      <c r="D789" s="226">
        <v>0</v>
      </c>
      <c r="E789" t="s">
        <v>659</v>
      </c>
    </row>
    <row r="790" spans="1:5" hidden="1" x14ac:dyDescent="0.3">
      <c r="A790" t="s">
        <v>552</v>
      </c>
      <c r="B790" t="s">
        <v>658</v>
      </c>
      <c r="C790" t="s">
        <v>200</v>
      </c>
      <c r="D790" s="226">
        <v>-88485.26</v>
      </c>
      <c r="E790" t="s">
        <v>659</v>
      </c>
    </row>
    <row r="791" spans="1:5" hidden="1" x14ac:dyDescent="0.3">
      <c r="A791" t="s">
        <v>552</v>
      </c>
      <c r="B791" t="s">
        <v>658</v>
      </c>
      <c r="C791" t="s">
        <v>202</v>
      </c>
      <c r="D791" s="226">
        <v>-88485.26</v>
      </c>
      <c r="E791" t="s">
        <v>659</v>
      </c>
    </row>
    <row r="792" spans="1:5" hidden="1" x14ac:dyDescent="0.3">
      <c r="A792" t="s">
        <v>552</v>
      </c>
      <c r="B792" t="s">
        <v>658</v>
      </c>
      <c r="C792" t="s">
        <v>625</v>
      </c>
      <c r="D792" s="226">
        <v>44242.63</v>
      </c>
      <c r="E792" t="s">
        <v>659</v>
      </c>
    </row>
    <row r="793" spans="1:5" hidden="1" x14ac:dyDescent="0.3">
      <c r="A793" t="s">
        <v>552</v>
      </c>
      <c r="B793" t="s">
        <v>658</v>
      </c>
      <c r="C793" t="s">
        <v>204</v>
      </c>
      <c r="D793" s="226">
        <v>-73457.210000000006</v>
      </c>
      <c r="E793" t="s">
        <v>659</v>
      </c>
    </row>
    <row r="794" spans="1:5" hidden="1" x14ac:dyDescent="0.3">
      <c r="A794" t="s">
        <v>552</v>
      </c>
      <c r="B794" t="s">
        <v>658</v>
      </c>
      <c r="C794" t="s">
        <v>626</v>
      </c>
      <c r="D794" s="226">
        <v>-9776.5</v>
      </c>
      <c r="E794" t="s">
        <v>659</v>
      </c>
    </row>
    <row r="795" spans="1:5" hidden="1" x14ac:dyDescent="0.3">
      <c r="A795" t="s">
        <v>552</v>
      </c>
      <c r="B795" t="s">
        <v>658</v>
      </c>
      <c r="C795" t="s">
        <v>627</v>
      </c>
      <c r="D795" s="226">
        <v>-16804.650000000001</v>
      </c>
      <c r="E795" t="s">
        <v>659</v>
      </c>
    </row>
    <row r="796" spans="1:5" hidden="1" x14ac:dyDescent="0.3">
      <c r="A796" t="s">
        <v>552</v>
      </c>
      <c r="B796" t="s">
        <v>658</v>
      </c>
      <c r="C796" t="s">
        <v>628</v>
      </c>
      <c r="D796" s="226">
        <v>0</v>
      </c>
      <c r="E796" t="s">
        <v>659</v>
      </c>
    </row>
    <row r="797" spans="1:5" hidden="1" x14ac:dyDescent="0.3">
      <c r="A797" t="s">
        <v>552</v>
      </c>
      <c r="B797" t="s">
        <v>658</v>
      </c>
      <c r="C797" t="s">
        <v>629</v>
      </c>
      <c r="D797" s="226">
        <v>-11131.81</v>
      </c>
      <c r="E797" t="s">
        <v>659</v>
      </c>
    </row>
    <row r="798" spans="1:5" hidden="1" x14ac:dyDescent="0.3">
      <c r="A798" t="s">
        <v>552</v>
      </c>
      <c r="B798" t="s">
        <v>658</v>
      </c>
      <c r="C798" t="s">
        <v>630</v>
      </c>
      <c r="D798" s="226">
        <v>-3336.87</v>
      </c>
      <c r="E798" t="s">
        <v>659</v>
      </c>
    </row>
    <row r="799" spans="1:5" hidden="1" x14ac:dyDescent="0.3">
      <c r="A799" t="s">
        <v>552</v>
      </c>
      <c r="B799" t="s">
        <v>658</v>
      </c>
      <c r="C799" t="s">
        <v>631</v>
      </c>
      <c r="D799" s="226">
        <v>-3750.65</v>
      </c>
      <c r="E799" t="s">
        <v>659</v>
      </c>
    </row>
    <row r="800" spans="1:5" hidden="1" x14ac:dyDescent="0.3">
      <c r="A800" t="s">
        <v>552</v>
      </c>
      <c r="B800" t="s">
        <v>658</v>
      </c>
      <c r="C800" t="s">
        <v>632</v>
      </c>
      <c r="D800" s="226">
        <v>-1121.19</v>
      </c>
      <c r="E800" t="s">
        <v>659</v>
      </c>
    </row>
    <row r="801" spans="1:5" hidden="1" x14ac:dyDescent="0.3">
      <c r="A801" t="s">
        <v>552</v>
      </c>
      <c r="B801" t="s">
        <v>658</v>
      </c>
      <c r="C801" t="s">
        <v>633</v>
      </c>
      <c r="D801" s="226">
        <v>0</v>
      </c>
      <c r="E801" t="s">
        <v>659</v>
      </c>
    </row>
    <row r="802" spans="1:5" hidden="1" x14ac:dyDescent="0.3">
      <c r="A802" t="s">
        <v>552</v>
      </c>
      <c r="B802" t="s">
        <v>658</v>
      </c>
      <c r="C802" t="s">
        <v>634</v>
      </c>
      <c r="D802" s="226">
        <v>0</v>
      </c>
      <c r="E802" t="s">
        <v>659</v>
      </c>
    </row>
    <row r="803" spans="1:5" hidden="1" x14ac:dyDescent="0.3">
      <c r="A803" t="s">
        <v>552</v>
      </c>
      <c r="B803" t="s">
        <v>658</v>
      </c>
      <c r="C803" t="s">
        <v>635</v>
      </c>
      <c r="D803" s="226">
        <v>0</v>
      </c>
      <c r="E803" t="s">
        <v>659</v>
      </c>
    </row>
    <row r="804" spans="1:5" hidden="1" x14ac:dyDescent="0.3">
      <c r="A804" t="s">
        <v>552</v>
      </c>
      <c r="B804" t="s">
        <v>658</v>
      </c>
      <c r="C804" t="s">
        <v>636</v>
      </c>
      <c r="D804" s="226">
        <v>-3169.15</v>
      </c>
      <c r="E804" t="s">
        <v>659</v>
      </c>
    </row>
    <row r="805" spans="1:5" hidden="1" x14ac:dyDescent="0.3">
      <c r="A805" t="s">
        <v>552</v>
      </c>
      <c r="B805" t="s">
        <v>658</v>
      </c>
      <c r="C805" t="s">
        <v>637</v>
      </c>
      <c r="D805" s="226">
        <v>-24000</v>
      </c>
      <c r="E805" t="s">
        <v>659</v>
      </c>
    </row>
    <row r="806" spans="1:5" hidden="1" x14ac:dyDescent="0.3">
      <c r="A806" t="s">
        <v>552</v>
      </c>
      <c r="B806" t="s">
        <v>658</v>
      </c>
      <c r="C806" t="s">
        <v>638</v>
      </c>
      <c r="D806" s="226">
        <v>0</v>
      </c>
      <c r="E806" t="s">
        <v>659</v>
      </c>
    </row>
    <row r="807" spans="1:5" hidden="1" x14ac:dyDescent="0.3">
      <c r="A807" t="s">
        <v>552</v>
      </c>
      <c r="B807" t="s">
        <v>658</v>
      </c>
      <c r="C807" t="s">
        <v>639</v>
      </c>
      <c r="D807" s="226">
        <v>-366.39</v>
      </c>
      <c r="E807" t="s">
        <v>659</v>
      </c>
    </row>
    <row r="808" spans="1:5" hidden="1" x14ac:dyDescent="0.3">
      <c r="A808" t="s">
        <v>552</v>
      </c>
      <c r="B808" t="s">
        <v>658</v>
      </c>
      <c r="C808" t="s">
        <v>640</v>
      </c>
      <c r="D808" s="226">
        <v>0</v>
      </c>
      <c r="E808" t="s">
        <v>659</v>
      </c>
    </row>
    <row r="809" spans="1:5" hidden="1" x14ac:dyDescent="0.3">
      <c r="A809" t="s">
        <v>552</v>
      </c>
      <c r="B809" t="s">
        <v>658</v>
      </c>
      <c r="C809" t="s">
        <v>641</v>
      </c>
      <c r="D809" s="226">
        <v>0</v>
      </c>
      <c r="E809" t="s">
        <v>659</v>
      </c>
    </row>
    <row r="810" spans="1:5" hidden="1" x14ac:dyDescent="0.3">
      <c r="A810" t="s">
        <v>552</v>
      </c>
      <c r="B810" t="s">
        <v>658</v>
      </c>
      <c r="C810" t="s">
        <v>237</v>
      </c>
      <c r="D810" s="226">
        <v>-8854.44</v>
      </c>
      <c r="E810" t="s">
        <v>659</v>
      </c>
    </row>
    <row r="811" spans="1:5" hidden="1" x14ac:dyDescent="0.3">
      <c r="A811" t="s">
        <v>552</v>
      </c>
      <c r="B811" t="s">
        <v>658</v>
      </c>
      <c r="C811" t="s">
        <v>642</v>
      </c>
      <c r="D811" s="226">
        <v>-8717.99</v>
      </c>
      <c r="E811" t="s">
        <v>659</v>
      </c>
    </row>
    <row r="812" spans="1:5" hidden="1" x14ac:dyDescent="0.3">
      <c r="A812" t="s">
        <v>552</v>
      </c>
      <c r="B812" t="s">
        <v>658</v>
      </c>
      <c r="C812" t="s">
        <v>643</v>
      </c>
      <c r="D812" s="226">
        <v>0</v>
      </c>
      <c r="E812" t="s">
        <v>659</v>
      </c>
    </row>
    <row r="813" spans="1:5" hidden="1" x14ac:dyDescent="0.3">
      <c r="A813" t="s">
        <v>552</v>
      </c>
      <c r="B813" t="s">
        <v>658</v>
      </c>
      <c r="C813" t="s">
        <v>644</v>
      </c>
      <c r="D813" s="226">
        <v>0</v>
      </c>
      <c r="E813" t="s">
        <v>659</v>
      </c>
    </row>
    <row r="814" spans="1:5" hidden="1" x14ac:dyDescent="0.3">
      <c r="A814" t="s">
        <v>552</v>
      </c>
      <c r="B814" t="s">
        <v>658</v>
      </c>
      <c r="C814" t="s">
        <v>645</v>
      </c>
      <c r="D814" s="226">
        <v>-136.44999999999999</v>
      </c>
      <c r="E814" t="s">
        <v>659</v>
      </c>
    </row>
    <row r="815" spans="1:5" hidden="1" x14ac:dyDescent="0.3">
      <c r="A815" t="s">
        <v>552</v>
      </c>
      <c r="B815" t="s">
        <v>658</v>
      </c>
      <c r="C815" t="s">
        <v>646</v>
      </c>
      <c r="D815" s="226">
        <v>0</v>
      </c>
      <c r="E815" t="s">
        <v>659</v>
      </c>
    </row>
    <row r="816" spans="1:5" hidden="1" x14ac:dyDescent="0.3">
      <c r="A816" t="s">
        <v>552</v>
      </c>
      <c r="B816" t="s">
        <v>658</v>
      </c>
      <c r="C816" t="s">
        <v>244</v>
      </c>
      <c r="D816" s="226">
        <v>-30727.22</v>
      </c>
      <c r="E816" t="s">
        <v>659</v>
      </c>
    </row>
    <row r="817" spans="1:5" hidden="1" x14ac:dyDescent="0.3">
      <c r="A817" t="s">
        <v>552</v>
      </c>
      <c r="B817" t="s">
        <v>658</v>
      </c>
      <c r="C817" t="s">
        <v>647</v>
      </c>
      <c r="D817" s="226">
        <v>-147.5</v>
      </c>
      <c r="E817" t="s">
        <v>659</v>
      </c>
    </row>
    <row r="818" spans="1:5" hidden="1" x14ac:dyDescent="0.3">
      <c r="A818" t="s">
        <v>552</v>
      </c>
      <c r="B818" t="s">
        <v>658</v>
      </c>
      <c r="C818" t="s">
        <v>648</v>
      </c>
      <c r="D818" s="226">
        <v>-173.52</v>
      </c>
      <c r="E818" t="s">
        <v>659</v>
      </c>
    </row>
    <row r="819" spans="1:5" hidden="1" x14ac:dyDescent="0.3">
      <c r="A819" t="s">
        <v>552</v>
      </c>
      <c r="B819" t="s">
        <v>658</v>
      </c>
      <c r="C819" t="s">
        <v>649</v>
      </c>
      <c r="D819" s="226">
        <v>0</v>
      </c>
      <c r="E819" t="s">
        <v>659</v>
      </c>
    </row>
    <row r="820" spans="1:5" hidden="1" x14ac:dyDescent="0.3">
      <c r="A820" t="s">
        <v>552</v>
      </c>
      <c r="B820" t="s">
        <v>658</v>
      </c>
      <c r="C820" t="s">
        <v>650</v>
      </c>
      <c r="D820" s="226">
        <v>0</v>
      </c>
      <c r="E820" t="s">
        <v>659</v>
      </c>
    </row>
    <row r="821" spans="1:5" hidden="1" x14ac:dyDescent="0.3">
      <c r="A821" t="s">
        <v>552</v>
      </c>
      <c r="B821" t="s">
        <v>658</v>
      </c>
      <c r="C821" t="s">
        <v>651</v>
      </c>
      <c r="D821" s="226">
        <v>0</v>
      </c>
      <c r="E821" t="s">
        <v>659</v>
      </c>
    </row>
    <row r="822" spans="1:5" hidden="1" x14ac:dyDescent="0.3">
      <c r="A822" t="s">
        <v>552</v>
      </c>
      <c r="B822" t="s">
        <v>658</v>
      </c>
      <c r="C822" t="s">
        <v>652</v>
      </c>
      <c r="D822" s="226">
        <v>-30406.2</v>
      </c>
      <c r="E822" t="s">
        <v>659</v>
      </c>
    </row>
    <row r="823" spans="1:5" hidden="1" x14ac:dyDescent="0.3">
      <c r="A823" t="s">
        <v>552</v>
      </c>
      <c r="B823" t="s">
        <v>658</v>
      </c>
      <c r="C823" t="s">
        <v>653</v>
      </c>
      <c r="D823" s="226">
        <v>0</v>
      </c>
      <c r="E823" t="s">
        <v>659</v>
      </c>
    </row>
    <row r="824" spans="1:5" hidden="1" x14ac:dyDescent="0.3">
      <c r="A824" t="s">
        <v>552</v>
      </c>
      <c r="B824" t="s">
        <v>658</v>
      </c>
      <c r="C824" t="s">
        <v>253</v>
      </c>
      <c r="D824" s="226">
        <v>-0.23</v>
      </c>
      <c r="E824" t="s">
        <v>659</v>
      </c>
    </row>
    <row r="825" spans="1:5" hidden="1" x14ac:dyDescent="0.3">
      <c r="A825" t="s">
        <v>552</v>
      </c>
      <c r="B825" t="s">
        <v>658</v>
      </c>
      <c r="C825" t="s">
        <v>254</v>
      </c>
      <c r="D825" s="226">
        <v>-0.2</v>
      </c>
      <c r="E825" t="s">
        <v>659</v>
      </c>
    </row>
    <row r="826" spans="1:5" hidden="1" x14ac:dyDescent="0.3">
      <c r="A826" t="s">
        <v>552</v>
      </c>
      <c r="B826" t="s">
        <v>658</v>
      </c>
      <c r="C826" t="s">
        <v>255</v>
      </c>
      <c r="D826" s="226">
        <v>-35281.54</v>
      </c>
      <c r="E826" t="s">
        <v>659</v>
      </c>
    </row>
    <row r="827" spans="1:5" hidden="1" x14ac:dyDescent="0.3">
      <c r="A827" t="s">
        <v>552</v>
      </c>
      <c r="B827" t="s">
        <v>658</v>
      </c>
      <c r="C827" t="s">
        <v>256</v>
      </c>
      <c r="D827" s="226">
        <v>-22875.41</v>
      </c>
      <c r="E827" t="s">
        <v>659</v>
      </c>
    </row>
    <row r="828" spans="1:5" hidden="1" x14ac:dyDescent="0.3">
      <c r="A828" t="s">
        <v>552</v>
      </c>
      <c r="B828" t="s">
        <v>658</v>
      </c>
      <c r="C828" t="s">
        <v>257</v>
      </c>
      <c r="D828" s="226">
        <v>-10676.2</v>
      </c>
      <c r="E828" t="s">
        <v>659</v>
      </c>
    </row>
    <row r="829" spans="1:5" hidden="1" x14ac:dyDescent="0.3">
      <c r="A829" t="s">
        <v>552</v>
      </c>
      <c r="B829" t="s">
        <v>658</v>
      </c>
      <c r="C829" t="s">
        <v>258</v>
      </c>
      <c r="D829" s="226">
        <v>-1729.93</v>
      </c>
      <c r="E829" t="s">
        <v>659</v>
      </c>
    </row>
    <row r="830" spans="1:5" hidden="1" x14ac:dyDescent="0.3">
      <c r="A830" t="s">
        <v>552</v>
      </c>
      <c r="B830" t="s">
        <v>658</v>
      </c>
      <c r="C830" t="s">
        <v>259</v>
      </c>
      <c r="D830" s="226">
        <v>0</v>
      </c>
      <c r="E830" t="s">
        <v>659</v>
      </c>
    </row>
    <row r="831" spans="1:5" hidden="1" x14ac:dyDescent="0.3">
      <c r="A831" t="s">
        <v>552</v>
      </c>
      <c r="B831" t="s">
        <v>658</v>
      </c>
      <c r="C831" t="s">
        <v>260</v>
      </c>
      <c r="D831" s="226">
        <v>0</v>
      </c>
      <c r="E831" t="s">
        <v>659</v>
      </c>
    </row>
    <row r="832" spans="1:5" hidden="1" x14ac:dyDescent="0.3">
      <c r="A832" t="s">
        <v>552</v>
      </c>
      <c r="B832" t="s">
        <v>658</v>
      </c>
      <c r="C832" t="s">
        <v>261</v>
      </c>
      <c r="D832" s="226">
        <v>0</v>
      </c>
      <c r="E832" t="s">
        <v>659</v>
      </c>
    </row>
    <row r="833" spans="1:5" hidden="1" x14ac:dyDescent="0.3">
      <c r="A833" t="s">
        <v>552</v>
      </c>
      <c r="B833" t="s">
        <v>658</v>
      </c>
      <c r="C833" t="s">
        <v>262</v>
      </c>
      <c r="D833" s="226">
        <v>0</v>
      </c>
      <c r="E833" t="s">
        <v>659</v>
      </c>
    </row>
    <row r="834" spans="1:5" hidden="1" x14ac:dyDescent="0.3">
      <c r="A834" t="s">
        <v>552</v>
      </c>
      <c r="B834" t="s">
        <v>658</v>
      </c>
      <c r="C834" t="s">
        <v>44</v>
      </c>
      <c r="D834" s="226">
        <v>-0.02</v>
      </c>
      <c r="E834" t="s">
        <v>659</v>
      </c>
    </row>
    <row r="835" spans="1:5" hidden="1" x14ac:dyDescent="0.3">
      <c r="A835" t="s">
        <v>552</v>
      </c>
      <c r="B835" t="s">
        <v>658</v>
      </c>
      <c r="C835" t="s">
        <v>263</v>
      </c>
      <c r="D835" s="226">
        <v>-66266.16</v>
      </c>
      <c r="E835" t="s">
        <v>659</v>
      </c>
    </row>
    <row r="836" spans="1:5" hidden="1" x14ac:dyDescent="0.3">
      <c r="A836" t="s">
        <v>552</v>
      </c>
      <c r="B836" t="s">
        <v>658</v>
      </c>
      <c r="C836" t="s">
        <v>264</v>
      </c>
      <c r="D836" s="226">
        <v>-14912</v>
      </c>
      <c r="E836" t="s">
        <v>659</v>
      </c>
    </row>
    <row r="837" spans="1:5" hidden="1" x14ac:dyDescent="0.3">
      <c r="A837" t="s">
        <v>552</v>
      </c>
      <c r="B837" t="s">
        <v>658</v>
      </c>
      <c r="C837" t="s">
        <v>265</v>
      </c>
      <c r="D837" s="226">
        <v>-14438.18</v>
      </c>
      <c r="E837" t="s">
        <v>659</v>
      </c>
    </row>
    <row r="838" spans="1:5" hidden="1" x14ac:dyDescent="0.3">
      <c r="A838" t="s">
        <v>552</v>
      </c>
      <c r="B838" t="s">
        <v>658</v>
      </c>
      <c r="C838" t="s">
        <v>266</v>
      </c>
      <c r="D838" s="226">
        <v>-10547.2</v>
      </c>
      <c r="E838" t="s">
        <v>659</v>
      </c>
    </row>
    <row r="839" spans="1:5" hidden="1" x14ac:dyDescent="0.3">
      <c r="A839" t="s">
        <v>552</v>
      </c>
      <c r="B839" t="s">
        <v>658</v>
      </c>
      <c r="C839" t="s">
        <v>267</v>
      </c>
      <c r="D839" s="226">
        <v>-13087.33</v>
      </c>
      <c r="E839" t="s">
        <v>659</v>
      </c>
    </row>
    <row r="840" spans="1:5" hidden="1" x14ac:dyDescent="0.3">
      <c r="A840" t="s">
        <v>552</v>
      </c>
      <c r="B840" t="s">
        <v>658</v>
      </c>
      <c r="C840" t="s">
        <v>268</v>
      </c>
      <c r="D840" s="226">
        <v>0</v>
      </c>
      <c r="E840" t="s">
        <v>659</v>
      </c>
    </row>
    <row r="841" spans="1:5" hidden="1" x14ac:dyDescent="0.3">
      <c r="A841" t="s">
        <v>552</v>
      </c>
      <c r="B841" t="s">
        <v>658</v>
      </c>
      <c r="C841" t="s">
        <v>269</v>
      </c>
      <c r="D841" s="226">
        <v>-600</v>
      </c>
      <c r="E841" t="s">
        <v>659</v>
      </c>
    </row>
    <row r="842" spans="1:5" hidden="1" x14ac:dyDescent="0.3">
      <c r="A842" t="s">
        <v>552</v>
      </c>
      <c r="B842" t="s">
        <v>658</v>
      </c>
      <c r="C842" t="s">
        <v>270</v>
      </c>
      <c r="D842" s="226">
        <v>-3272.46</v>
      </c>
      <c r="E842" t="s">
        <v>659</v>
      </c>
    </row>
    <row r="843" spans="1:5" hidden="1" x14ac:dyDescent="0.3">
      <c r="A843" t="s">
        <v>552</v>
      </c>
      <c r="B843" t="s">
        <v>658</v>
      </c>
      <c r="C843" t="s">
        <v>271</v>
      </c>
      <c r="D843" s="226">
        <v>-1289.49</v>
      </c>
      <c r="E843" t="s">
        <v>659</v>
      </c>
    </row>
    <row r="844" spans="1:5" hidden="1" x14ac:dyDescent="0.3">
      <c r="A844" t="s">
        <v>552</v>
      </c>
      <c r="B844" t="s">
        <v>658</v>
      </c>
      <c r="C844" t="s">
        <v>272</v>
      </c>
      <c r="D844" s="226">
        <v>0</v>
      </c>
      <c r="E844" t="s">
        <v>659</v>
      </c>
    </row>
    <row r="845" spans="1:5" hidden="1" x14ac:dyDescent="0.3">
      <c r="A845" t="s">
        <v>552</v>
      </c>
      <c r="B845" t="s">
        <v>658</v>
      </c>
      <c r="C845" t="s">
        <v>273</v>
      </c>
      <c r="D845" s="226">
        <v>0</v>
      </c>
      <c r="E845" t="s">
        <v>659</v>
      </c>
    </row>
    <row r="846" spans="1:5" hidden="1" x14ac:dyDescent="0.3">
      <c r="A846" t="s">
        <v>552</v>
      </c>
      <c r="B846" t="s">
        <v>658</v>
      </c>
      <c r="C846" t="s">
        <v>274</v>
      </c>
      <c r="D846" s="226">
        <v>-1289.0999999999999</v>
      </c>
      <c r="E846" t="s">
        <v>659</v>
      </c>
    </row>
    <row r="847" spans="1:5" hidden="1" x14ac:dyDescent="0.3">
      <c r="A847" t="s">
        <v>552</v>
      </c>
      <c r="B847" t="s">
        <v>658</v>
      </c>
      <c r="C847" t="s">
        <v>275</v>
      </c>
      <c r="D847" s="226">
        <v>0</v>
      </c>
      <c r="E847" t="s">
        <v>659</v>
      </c>
    </row>
    <row r="848" spans="1:5" hidden="1" x14ac:dyDescent="0.3">
      <c r="A848" t="s">
        <v>552</v>
      </c>
      <c r="B848" t="s">
        <v>658</v>
      </c>
      <c r="C848" t="s">
        <v>276</v>
      </c>
      <c r="D848" s="226">
        <v>0</v>
      </c>
      <c r="E848" t="s">
        <v>659</v>
      </c>
    </row>
    <row r="849" spans="1:5" hidden="1" x14ac:dyDescent="0.3">
      <c r="A849" t="s">
        <v>552</v>
      </c>
      <c r="B849" t="s">
        <v>658</v>
      </c>
      <c r="C849" t="s">
        <v>277</v>
      </c>
      <c r="D849" s="226">
        <v>-6830.4</v>
      </c>
      <c r="E849" t="s">
        <v>659</v>
      </c>
    </row>
    <row r="850" spans="1:5" hidden="1" x14ac:dyDescent="0.3">
      <c r="A850" t="s">
        <v>552</v>
      </c>
      <c r="B850" t="s">
        <v>658</v>
      </c>
      <c r="C850" t="s">
        <v>44</v>
      </c>
      <c r="D850" s="226">
        <v>-0.05</v>
      </c>
      <c r="E850" t="s">
        <v>659</v>
      </c>
    </row>
    <row r="851" spans="1:5" hidden="1" x14ac:dyDescent="0.3">
      <c r="A851" t="s">
        <v>552</v>
      </c>
      <c r="B851" t="s">
        <v>658</v>
      </c>
      <c r="C851" t="s">
        <v>278</v>
      </c>
      <c r="D851" s="226">
        <v>-6285.89</v>
      </c>
      <c r="E851" t="s">
        <v>659</v>
      </c>
    </row>
    <row r="852" spans="1:5" hidden="1" x14ac:dyDescent="0.3">
      <c r="A852" t="s">
        <v>552</v>
      </c>
      <c r="B852" t="s">
        <v>658</v>
      </c>
      <c r="C852" t="s">
        <v>279</v>
      </c>
      <c r="D852" s="226">
        <v>0</v>
      </c>
      <c r="E852" t="s">
        <v>659</v>
      </c>
    </row>
    <row r="853" spans="1:5" hidden="1" x14ac:dyDescent="0.3">
      <c r="A853" t="s">
        <v>552</v>
      </c>
      <c r="B853" t="s">
        <v>658</v>
      </c>
      <c r="C853" t="s">
        <v>280</v>
      </c>
      <c r="D853" s="226">
        <v>-293.56</v>
      </c>
      <c r="E853" t="s">
        <v>659</v>
      </c>
    </row>
    <row r="854" spans="1:5" hidden="1" x14ac:dyDescent="0.3">
      <c r="A854" t="s">
        <v>552</v>
      </c>
      <c r="B854" t="s">
        <v>658</v>
      </c>
      <c r="C854" t="s">
        <v>281</v>
      </c>
      <c r="D854" s="226">
        <v>0</v>
      </c>
      <c r="E854" t="s">
        <v>659</v>
      </c>
    </row>
    <row r="855" spans="1:5" hidden="1" x14ac:dyDescent="0.3">
      <c r="A855" t="s">
        <v>552</v>
      </c>
      <c r="B855" t="s">
        <v>658</v>
      </c>
      <c r="C855" t="s">
        <v>282</v>
      </c>
      <c r="D855" s="226">
        <v>-815</v>
      </c>
      <c r="E855" t="s">
        <v>659</v>
      </c>
    </row>
    <row r="856" spans="1:5" hidden="1" x14ac:dyDescent="0.3">
      <c r="A856" t="s">
        <v>552</v>
      </c>
      <c r="B856" t="s">
        <v>658</v>
      </c>
      <c r="C856" t="s">
        <v>283</v>
      </c>
      <c r="D856" s="226">
        <v>-5177.33</v>
      </c>
      <c r="E856" t="s">
        <v>659</v>
      </c>
    </row>
    <row r="857" spans="1:5" hidden="1" x14ac:dyDescent="0.3">
      <c r="A857" t="s">
        <v>552</v>
      </c>
      <c r="B857" t="s">
        <v>658</v>
      </c>
      <c r="C857" t="s">
        <v>284</v>
      </c>
      <c r="D857" s="226">
        <v>0</v>
      </c>
      <c r="E857" t="s">
        <v>659</v>
      </c>
    </row>
    <row r="858" spans="1:5" hidden="1" x14ac:dyDescent="0.3">
      <c r="A858" t="s">
        <v>552</v>
      </c>
      <c r="B858" t="s">
        <v>658</v>
      </c>
      <c r="C858" t="s">
        <v>285</v>
      </c>
      <c r="D858" s="226">
        <v>0</v>
      </c>
      <c r="E858" t="s">
        <v>659</v>
      </c>
    </row>
    <row r="859" spans="1:5" hidden="1" x14ac:dyDescent="0.3">
      <c r="A859" t="s">
        <v>552</v>
      </c>
      <c r="B859" t="s">
        <v>658</v>
      </c>
      <c r="C859" t="s">
        <v>44</v>
      </c>
      <c r="D859" s="226">
        <v>0</v>
      </c>
      <c r="E859" t="s">
        <v>659</v>
      </c>
    </row>
    <row r="860" spans="1:5" hidden="1" x14ac:dyDescent="0.3">
      <c r="A860" t="s">
        <v>552</v>
      </c>
      <c r="B860" t="s">
        <v>658</v>
      </c>
      <c r="C860" t="s">
        <v>286</v>
      </c>
      <c r="D860" s="226">
        <v>-10136.040000000001</v>
      </c>
      <c r="E860" t="s">
        <v>659</v>
      </c>
    </row>
    <row r="861" spans="1:5" hidden="1" x14ac:dyDescent="0.3">
      <c r="A861" t="s">
        <v>552</v>
      </c>
      <c r="B861" t="s">
        <v>658</v>
      </c>
      <c r="C861" t="s">
        <v>287</v>
      </c>
      <c r="D861" s="226">
        <v>-10024.870000000001</v>
      </c>
      <c r="E861" t="s">
        <v>659</v>
      </c>
    </row>
    <row r="862" spans="1:5" hidden="1" x14ac:dyDescent="0.3">
      <c r="A862" t="s">
        <v>552</v>
      </c>
      <c r="B862" t="s">
        <v>658</v>
      </c>
      <c r="C862" t="s">
        <v>288</v>
      </c>
      <c r="D862" s="226">
        <v>0</v>
      </c>
      <c r="E862" t="s">
        <v>659</v>
      </c>
    </row>
    <row r="863" spans="1:5" hidden="1" x14ac:dyDescent="0.3">
      <c r="A863" t="s">
        <v>552</v>
      </c>
      <c r="B863" t="s">
        <v>658</v>
      </c>
      <c r="C863" t="s">
        <v>289</v>
      </c>
      <c r="D863" s="226">
        <v>0</v>
      </c>
      <c r="E863" t="s">
        <v>659</v>
      </c>
    </row>
    <row r="864" spans="1:5" hidden="1" x14ac:dyDescent="0.3">
      <c r="A864" t="s">
        <v>552</v>
      </c>
      <c r="B864" t="s">
        <v>658</v>
      </c>
      <c r="C864" t="s">
        <v>290</v>
      </c>
      <c r="D864" s="226">
        <v>0</v>
      </c>
      <c r="E864" t="s">
        <v>659</v>
      </c>
    </row>
    <row r="865" spans="1:5" hidden="1" x14ac:dyDescent="0.3">
      <c r="A865" t="s">
        <v>552</v>
      </c>
      <c r="B865" t="s">
        <v>658</v>
      </c>
      <c r="C865" t="s">
        <v>291</v>
      </c>
      <c r="D865" s="226">
        <v>0</v>
      </c>
      <c r="E865" t="s">
        <v>659</v>
      </c>
    </row>
    <row r="866" spans="1:5" hidden="1" x14ac:dyDescent="0.3">
      <c r="A866" t="s">
        <v>552</v>
      </c>
      <c r="B866" t="s">
        <v>658</v>
      </c>
      <c r="C866" t="s">
        <v>292</v>
      </c>
      <c r="D866" s="226">
        <v>0</v>
      </c>
      <c r="E866" t="s">
        <v>659</v>
      </c>
    </row>
    <row r="867" spans="1:5" hidden="1" x14ac:dyDescent="0.3">
      <c r="A867" t="s">
        <v>552</v>
      </c>
      <c r="B867" t="s">
        <v>658</v>
      </c>
      <c r="C867" t="s">
        <v>293</v>
      </c>
      <c r="D867" s="226">
        <v>0</v>
      </c>
      <c r="E867" t="s">
        <v>659</v>
      </c>
    </row>
    <row r="868" spans="1:5" hidden="1" x14ac:dyDescent="0.3">
      <c r="A868" t="s">
        <v>552</v>
      </c>
      <c r="B868" t="s">
        <v>658</v>
      </c>
      <c r="C868" t="s">
        <v>294</v>
      </c>
      <c r="D868" s="226">
        <v>-111.17</v>
      </c>
      <c r="E868" t="s">
        <v>659</v>
      </c>
    </row>
    <row r="869" spans="1:5" hidden="1" x14ac:dyDescent="0.3">
      <c r="A869" t="s">
        <v>552</v>
      </c>
      <c r="B869" t="s">
        <v>658</v>
      </c>
      <c r="C869" t="s">
        <v>44</v>
      </c>
      <c r="D869" s="226">
        <v>-0.01</v>
      </c>
      <c r="E869" t="s">
        <v>659</v>
      </c>
    </row>
    <row r="870" spans="1:5" hidden="1" x14ac:dyDescent="0.3">
      <c r="A870" t="s">
        <v>552</v>
      </c>
      <c r="B870" t="s">
        <v>658</v>
      </c>
      <c r="C870" t="s">
        <v>295</v>
      </c>
      <c r="D870" s="226">
        <v>-21330</v>
      </c>
      <c r="E870" t="s">
        <v>659</v>
      </c>
    </row>
    <row r="871" spans="1:5" hidden="1" x14ac:dyDescent="0.3">
      <c r="A871" t="s">
        <v>552</v>
      </c>
      <c r="B871" t="s">
        <v>658</v>
      </c>
      <c r="C871" t="s">
        <v>296</v>
      </c>
      <c r="D871" s="226">
        <v>-12750</v>
      </c>
      <c r="E871" t="s">
        <v>659</v>
      </c>
    </row>
    <row r="872" spans="1:5" hidden="1" x14ac:dyDescent="0.3">
      <c r="A872" t="s">
        <v>552</v>
      </c>
      <c r="B872" t="s">
        <v>658</v>
      </c>
      <c r="C872" t="s">
        <v>297</v>
      </c>
      <c r="D872" s="226">
        <v>-460</v>
      </c>
      <c r="E872" t="s">
        <v>659</v>
      </c>
    </row>
    <row r="873" spans="1:5" hidden="1" x14ac:dyDescent="0.3">
      <c r="A873" t="s">
        <v>552</v>
      </c>
      <c r="B873" t="s">
        <v>658</v>
      </c>
      <c r="C873" t="s">
        <v>298</v>
      </c>
      <c r="D873" s="226">
        <v>0</v>
      </c>
      <c r="E873" t="s">
        <v>659</v>
      </c>
    </row>
    <row r="874" spans="1:5" hidden="1" x14ac:dyDescent="0.3">
      <c r="A874" t="s">
        <v>552</v>
      </c>
      <c r="B874" t="s">
        <v>658</v>
      </c>
      <c r="C874" t="s">
        <v>299</v>
      </c>
      <c r="D874" s="226">
        <v>0</v>
      </c>
      <c r="E874" t="s">
        <v>659</v>
      </c>
    </row>
    <row r="875" spans="1:5" hidden="1" x14ac:dyDescent="0.3">
      <c r="A875" t="s">
        <v>552</v>
      </c>
      <c r="B875" t="s">
        <v>658</v>
      </c>
      <c r="C875" t="s">
        <v>300</v>
      </c>
      <c r="D875" s="226">
        <v>0</v>
      </c>
      <c r="E875" t="s">
        <v>659</v>
      </c>
    </row>
    <row r="876" spans="1:5" hidden="1" x14ac:dyDescent="0.3">
      <c r="A876" t="s">
        <v>552</v>
      </c>
      <c r="B876" t="s">
        <v>658</v>
      </c>
      <c r="C876" t="s">
        <v>301</v>
      </c>
      <c r="D876" s="226">
        <v>0</v>
      </c>
      <c r="E876" t="s">
        <v>659</v>
      </c>
    </row>
    <row r="877" spans="1:5" hidden="1" x14ac:dyDescent="0.3">
      <c r="A877" t="s">
        <v>552</v>
      </c>
      <c r="B877" t="s">
        <v>658</v>
      </c>
      <c r="C877" t="s">
        <v>302</v>
      </c>
      <c r="D877" s="226">
        <v>0</v>
      </c>
      <c r="E877" t="s">
        <v>659</v>
      </c>
    </row>
    <row r="878" spans="1:5" hidden="1" x14ac:dyDescent="0.3">
      <c r="A878" t="s">
        <v>552</v>
      </c>
      <c r="B878" t="s">
        <v>658</v>
      </c>
      <c r="C878" t="s">
        <v>303</v>
      </c>
      <c r="D878" s="226">
        <v>0</v>
      </c>
      <c r="E878" t="s">
        <v>659</v>
      </c>
    </row>
    <row r="879" spans="1:5" hidden="1" x14ac:dyDescent="0.3">
      <c r="A879" t="s">
        <v>552</v>
      </c>
      <c r="B879" t="s">
        <v>658</v>
      </c>
      <c r="C879" t="s">
        <v>304</v>
      </c>
      <c r="D879" s="226">
        <v>-3500</v>
      </c>
      <c r="E879" t="s">
        <v>659</v>
      </c>
    </row>
    <row r="880" spans="1:5" hidden="1" x14ac:dyDescent="0.3">
      <c r="A880" t="s">
        <v>552</v>
      </c>
      <c r="B880" t="s">
        <v>658</v>
      </c>
      <c r="C880" t="s">
        <v>305</v>
      </c>
      <c r="D880" s="226">
        <v>0</v>
      </c>
      <c r="E880" t="s">
        <v>659</v>
      </c>
    </row>
    <row r="881" spans="1:5" hidden="1" x14ac:dyDescent="0.3">
      <c r="A881" t="s">
        <v>552</v>
      </c>
      <c r="B881" t="s">
        <v>658</v>
      </c>
      <c r="C881" t="s">
        <v>306</v>
      </c>
      <c r="D881" s="226">
        <v>-4620</v>
      </c>
      <c r="E881" t="s">
        <v>659</v>
      </c>
    </row>
    <row r="882" spans="1:5" hidden="1" x14ac:dyDescent="0.3">
      <c r="A882" t="s">
        <v>552</v>
      </c>
      <c r="B882" t="s">
        <v>658</v>
      </c>
      <c r="C882" t="s">
        <v>44</v>
      </c>
      <c r="D882" s="226">
        <v>-0.02</v>
      </c>
      <c r="E882" t="s">
        <v>659</v>
      </c>
    </row>
    <row r="883" spans="1:5" hidden="1" x14ac:dyDescent="0.3">
      <c r="A883" t="s">
        <v>552</v>
      </c>
      <c r="B883" t="s">
        <v>658</v>
      </c>
      <c r="C883" t="s">
        <v>307</v>
      </c>
      <c r="D883" s="226">
        <v>-17944.61</v>
      </c>
      <c r="E883" t="s">
        <v>659</v>
      </c>
    </row>
    <row r="884" spans="1:5" hidden="1" x14ac:dyDescent="0.3">
      <c r="A884" t="s">
        <v>552</v>
      </c>
      <c r="B884" t="s">
        <v>658</v>
      </c>
      <c r="C884" t="s">
        <v>308</v>
      </c>
      <c r="D884" s="226">
        <v>-1250</v>
      </c>
      <c r="E884" t="s">
        <v>659</v>
      </c>
    </row>
    <row r="885" spans="1:5" hidden="1" x14ac:dyDescent="0.3">
      <c r="A885" t="s">
        <v>552</v>
      </c>
      <c r="B885" t="s">
        <v>658</v>
      </c>
      <c r="C885" t="s">
        <v>309</v>
      </c>
      <c r="D885" s="226">
        <v>0</v>
      </c>
      <c r="E885" t="s">
        <v>659</v>
      </c>
    </row>
    <row r="886" spans="1:5" hidden="1" x14ac:dyDescent="0.3">
      <c r="A886" t="s">
        <v>552</v>
      </c>
      <c r="B886" t="s">
        <v>658</v>
      </c>
      <c r="C886" t="s">
        <v>310</v>
      </c>
      <c r="D886" s="226">
        <v>-5104.6099999999997</v>
      </c>
      <c r="E886" t="s">
        <v>659</v>
      </c>
    </row>
    <row r="887" spans="1:5" hidden="1" x14ac:dyDescent="0.3">
      <c r="A887" t="s">
        <v>552</v>
      </c>
      <c r="B887" t="s">
        <v>658</v>
      </c>
      <c r="C887" t="s">
        <v>311</v>
      </c>
      <c r="D887" s="226">
        <v>0</v>
      </c>
      <c r="E887" t="s">
        <v>659</v>
      </c>
    </row>
    <row r="888" spans="1:5" hidden="1" x14ac:dyDescent="0.3">
      <c r="A888" t="s">
        <v>552</v>
      </c>
      <c r="B888" t="s">
        <v>658</v>
      </c>
      <c r="C888" t="s">
        <v>312</v>
      </c>
      <c r="D888" s="226">
        <v>0</v>
      </c>
      <c r="E888" t="s">
        <v>659</v>
      </c>
    </row>
    <row r="889" spans="1:5" hidden="1" x14ac:dyDescent="0.3">
      <c r="A889" t="s">
        <v>552</v>
      </c>
      <c r="B889" t="s">
        <v>658</v>
      </c>
      <c r="C889" t="s">
        <v>313</v>
      </c>
      <c r="D889" s="226">
        <v>0</v>
      </c>
      <c r="E889" t="s">
        <v>659</v>
      </c>
    </row>
    <row r="890" spans="1:5" hidden="1" x14ac:dyDescent="0.3">
      <c r="A890" t="s">
        <v>552</v>
      </c>
      <c r="B890" t="s">
        <v>658</v>
      </c>
      <c r="C890" t="s">
        <v>314</v>
      </c>
      <c r="D890" s="226">
        <v>0</v>
      </c>
      <c r="E890" t="s">
        <v>659</v>
      </c>
    </row>
    <row r="891" spans="1:5" hidden="1" x14ac:dyDescent="0.3">
      <c r="A891" t="s">
        <v>552</v>
      </c>
      <c r="B891" t="s">
        <v>658</v>
      </c>
      <c r="C891" t="s">
        <v>315</v>
      </c>
      <c r="D891" s="226">
        <v>-11590</v>
      </c>
      <c r="E891" t="s">
        <v>659</v>
      </c>
    </row>
    <row r="892" spans="1:5" hidden="1" x14ac:dyDescent="0.3">
      <c r="A892" t="s">
        <v>552</v>
      </c>
      <c r="B892" t="s">
        <v>658</v>
      </c>
      <c r="C892" t="s">
        <v>316</v>
      </c>
      <c r="D892" s="226">
        <v>0</v>
      </c>
      <c r="E892" t="s">
        <v>659</v>
      </c>
    </row>
    <row r="893" spans="1:5" hidden="1" x14ac:dyDescent="0.3">
      <c r="A893" t="s">
        <v>552</v>
      </c>
      <c r="B893" t="s">
        <v>658</v>
      </c>
      <c r="C893" t="s">
        <v>44</v>
      </c>
      <c r="D893" s="226">
        <v>-0.01</v>
      </c>
      <c r="E893" t="s">
        <v>659</v>
      </c>
    </row>
    <row r="894" spans="1:5" hidden="1" x14ac:dyDescent="0.3">
      <c r="A894" t="s">
        <v>552</v>
      </c>
      <c r="B894" t="s">
        <v>658</v>
      </c>
      <c r="C894" t="s">
        <v>317</v>
      </c>
      <c r="D894" s="226">
        <v>-5123.3</v>
      </c>
      <c r="E894" t="s">
        <v>659</v>
      </c>
    </row>
    <row r="895" spans="1:5" hidden="1" x14ac:dyDescent="0.3">
      <c r="A895" t="s">
        <v>552</v>
      </c>
      <c r="B895" t="s">
        <v>658</v>
      </c>
      <c r="C895" t="s">
        <v>318</v>
      </c>
      <c r="D895" s="226">
        <v>-5123.3</v>
      </c>
      <c r="E895" t="s">
        <v>659</v>
      </c>
    </row>
    <row r="896" spans="1:5" hidden="1" x14ac:dyDescent="0.3">
      <c r="A896" t="s">
        <v>552</v>
      </c>
      <c r="B896" t="s">
        <v>658</v>
      </c>
      <c r="C896" t="s">
        <v>319</v>
      </c>
      <c r="D896" s="226">
        <v>0</v>
      </c>
      <c r="E896" t="s">
        <v>659</v>
      </c>
    </row>
    <row r="897" spans="1:5" hidden="1" x14ac:dyDescent="0.3">
      <c r="A897" t="s">
        <v>552</v>
      </c>
      <c r="B897" t="s">
        <v>658</v>
      </c>
      <c r="C897" t="s">
        <v>320</v>
      </c>
      <c r="D897" s="226">
        <v>0</v>
      </c>
      <c r="E897" t="s">
        <v>659</v>
      </c>
    </row>
    <row r="898" spans="1:5" hidden="1" x14ac:dyDescent="0.3">
      <c r="A898" t="s">
        <v>552</v>
      </c>
      <c r="B898" t="s">
        <v>658</v>
      </c>
      <c r="C898" t="s">
        <v>321</v>
      </c>
      <c r="D898" s="226">
        <v>0</v>
      </c>
      <c r="E898" t="s">
        <v>659</v>
      </c>
    </row>
    <row r="899" spans="1:5" hidden="1" x14ac:dyDescent="0.3">
      <c r="A899" t="s">
        <v>552</v>
      </c>
      <c r="B899" t="s">
        <v>658</v>
      </c>
      <c r="C899" t="s">
        <v>44</v>
      </c>
      <c r="D899" s="226">
        <v>0</v>
      </c>
      <c r="E899" t="s">
        <v>659</v>
      </c>
    </row>
    <row r="900" spans="1:5" hidden="1" x14ac:dyDescent="0.3">
      <c r="A900" t="s">
        <v>552</v>
      </c>
      <c r="B900" t="s">
        <v>658</v>
      </c>
      <c r="C900" t="s">
        <v>322</v>
      </c>
      <c r="D900" s="226">
        <v>-70887.789999999994</v>
      </c>
      <c r="E900" t="s">
        <v>659</v>
      </c>
    </row>
    <row r="901" spans="1:5" hidden="1" x14ac:dyDescent="0.3">
      <c r="A901" t="s">
        <v>552</v>
      </c>
      <c r="B901" t="s">
        <v>658</v>
      </c>
      <c r="C901" t="s">
        <v>323</v>
      </c>
      <c r="D901" s="226">
        <v>0</v>
      </c>
      <c r="E901" t="s">
        <v>659</v>
      </c>
    </row>
    <row r="902" spans="1:5" hidden="1" x14ac:dyDescent="0.3">
      <c r="A902" t="s">
        <v>552</v>
      </c>
      <c r="B902" t="s">
        <v>658</v>
      </c>
      <c r="C902" t="s">
        <v>324</v>
      </c>
      <c r="D902" s="226">
        <v>0</v>
      </c>
      <c r="E902" t="s">
        <v>659</v>
      </c>
    </row>
    <row r="903" spans="1:5" hidden="1" x14ac:dyDescent="0.3">
      <c r="A903" t="s">
        <v>552</v>
      </c>
      <c r="B903" t="s">
        <v>658</v>
      </c>
      <c r="C903" t="s">
        <v>325</v>
      </c>
      <c r="D903" s="226">
        <v>-70887.789999999994</v>
      </c>
      <c r="E903" t="s">
        <v>659</v>
      </c>
    </row>
    <row r="904" spans="1:5" hidden="1" x14ac:dyDescent="0.3">
      <c r="A904" t="s">
        <v>552</v>
      </c>
      <c r="B904" t="s">
        <v>658</v>
      </c>
      <c r="C904" t="s">
        <v>44</v>
      </c>
      <c r="D904" s="226">
        <v>-0.05</v>
      </c>
      <c r="E904" t="s">
        <v>659</v>
      </c>
    </row>
    <row r="905" spans="1:5" hidden="1" x14ac:dyDescent="0.3">
      <c r="A905" t="s">
        <v>552</v>
      </c>
      <c r="B905" t="s">
        <v>658</v>
      </c>
      <c r="C905" t="s">
        <v>327</v>
      </c>
      <c r="D905" s="226">
        <v>-554267.43999999994</v>
      </c>
      <c r="E905" t="s">
        <v>659</v>
      </c>
    </row>
    <row r="906" spans="1:5" hidden="1" x14ac:dyDescent="0.3">
      <c r="A906" t="s">
        <v>552</v>
      </c>
      <c r="B906" t="s">
        <v>658</v>
      </c>
      <c r="C906" t="s">
        <v>44</v>
      </c>
      <c r="D906" s="226">
        <v>-0.39</v>
      </c>
      <c r="E906" t="s">
        <v>659</v>
      </c>
    </row>
    <row r="907" spans="1:5" hidden="1" x14ac:dyDescent="0.3">
      <c r="A907" t="s">
        <v>552</v>
      </c>
      <c r="B907" t="s">
        <v>658</v>
      </c>
      <c r="C907" t="s">
        <v>328</v>
      </c>
      <c r="D907" s="226">
        <v>293547.73</v>
      </c>
      <c r="E907" t="s">
        <v>659</v>
      </c>
    </row>
    <row r="908" spans="1:5" hidden="1" x14ac:dyDescent="0.3">
      <c r="A908" t="s">
        <v>552</v>
      </c>
      <c r="B908" t="s">
        <v>658</v>
      </c>
      <c r="C908" t="s">
        <v>44</v>
      </c>
      <c r="D908" s="226">
        <v>0.21</v>
      </c>
      <c r="E908" t="s">
        <v>659</v>
      </c>
    </row>
    <row r="909" spans="1:5" hidden="1" x14ac:dyDescent="0.3">
      <c r="A909" t="s">
        <v>552</v>
      </c>
      <c r="B909" t="s">
        <v>658</v>
      </c>
      <c r="C909" t="s">
        <v>329</v>
      </c>
      <c r="D909" s="226">
        <v>0</v>
      </c>
      <c r="E909" t="s">
        <v>659</v>
      </c>
    </row>
    <row r="910" spans="1:5" hidden="1" x14ac:dyDescent="0.3">
      <c r="A910" t="s">
        <v>552</v>
      </c>
      <c r="B910" t="s">
        <v>658</v>
      </c>
      <c r="C910" t="s">
        <v>331</v>
      </c>
      <c r="D910" s="226">
        <v>293547.73</v>
      </c>
      <c r="E910" t="s">
        <v>659</v>
      </c>
    </row>
    <row r="911" spans="1:5" hidden="1" x14ac:dyDescent="0.3">
      <c r="A911" t="s">
        <v>552</v>
      </c>
      <c r="B911" t="s">
        <v>658</v>
      </c>
      <c r="C911" t="s">
        <v>332</v>
      </c>
      <c r="D911" s="226">
        <v>-1352.65</v>
      </c>
      <c r="E911" t="s">
        <v>659</v>
      </c>
    </row>
    <row r="912" spans="1:5" hidden="1" x14ac:dyDescent="0.3">
      <c r="A912" t="s">
        <v>552</v>
      </c>
      <c r="B912" t="s">
        <v>658</v>
      </c>
      <c r="C912" t="s">
        <v>333</v>
      </c>
      <c r="D912" s="226">
        <v>0</v>
      </c>
      <c r="E912" t="s">
        <v>659</v>
      </c>
    </row>
    <row r="913" spans="1:5" hidden="1" x14ac:dyDescent="0.3">
      <c r="A913" t="s">
        <v>552</v>
      </c>
      <c r="B913" t="s">
        <v>658</v>
      </c>
      <c r="C913" t="s">
        <v>335</v>
      </c>
      <c r="D913" s="226">
        <v>0</v>
      </c>
      <c r="E913" t="s">
        <v>659</v>
      </c>
    </row>
    <row r="914" spans="1:5" hidden="1" x14ac:dyDescent="0.3">
      <c r="A914" t="s">
        <v>552</v>
      </c>
      <c r="B914" t="s">
        <v>658</v>
      </c>
      <c r="C914" t="s">
        <v>337</v>
      </c>
      <c r="D914" s="226">
        <v>292195.08</v>
      </c>
      <c r="E914" t="s">
        <v>659</v>
      </c>
    </row>
    <row r="915" spans="1:5" hidden="1" x14ac:dyDescent="0.3">
      <c r="A915" t="s">
        <v>552</v>
      </c>
      <c r="B915" t="s">
        <v>658</v>
      </c>
      <c r="C915" t="s">
        <v>338</v>
      </c>
      <c r="D915" s="226">
        <v>-37288.29</v>
      </c>
      <c r="E915" t="s">
        <v>659</v>
      </c>
    </row>
    <row r="916" spans="1:5" hidden="1" x14ac:dyDescent="0.3">
      <c r="A916" t="s">
        <v>552</v>
      </c>
      <c r="B916" t="s">
        <v>658</v>
      </c>
      <c r="C916" t="s">
        <v>341</v>
      </c>
      <c r="D916" s="226">
        <v>0</v>
      </c>
      <c r="E916" t="s">
        <v>659</v>
      </c>
    </row>
    <row r="917" spans="1:5" hidden="1" x14ac:dyDescent="0.3">
      <c r="A917" t="s">
        <v>552</v>
      </c>
      <c r="B917" t="s">
        <v>658</v>
      </c>
      <c r="C917" t="s">
        <v>343</v>
      </c>
      <c r="D917" s="226">
        <v>-14965.2</v>
      </c>
      <c r="E917" t="s">
        <v>659</v>
      </c>
    </row>
    <row r="918" spans="1:5" hidden="1" x14ac:dyDescent="0.3">
      <c r="A918" t="s">
        <v>552</v>
      </c>
      <c r="B918" t="s">
        <v>658</v>
      </c>
      <c r="C918" t="s">
        <v>344</v>
      </c>
      <c r="D918" s="226">
        <v>-8854.41</v>
      </c>
      <c r="E918" t="s">
        <v>659</v>
      </c>
    </row>
    <row r="919" spans="1:5" hidden="1" x14ac:dyDescent="0.3">
      <c r="A919" t="s">
        <v>552</v>
      </c>
      <c r="B919" t="s">
        <v>658</v>
      </c>
      <c r="C919" t="s">
        <v>345</v>
      </c>
      <c r="D919" s="226">
        <v>-13468.68</v>
      </c>
      <c r="E919" t="s">
        <v>659</v>
      </c>
    </row>
    <row r="920" spans="1:5" hidden="1" x14ac:dyDescent="0.3">
      <c r="A920" t="s">
        <v>552</v>
      </c>
      <c r="B920" t="s">
        <v>658</v>
      </c>
      <c r="C920" t="s">
        <v>346</v>
      </c>
      <c r="D920" s="226">
        <v>254906.79</v>
      </c>
      <c r="E920" t="s">
        <v>659</v>
      </c>
    </row>
    <row r="921" spans="1:5" hidden="1" x14ac:dyDescent="0.3">
      <c r="A921" t="s">
        <v>552</v>
      </c>
      <c r="B921" t="s">
        <v>658</v>
      </c>
      <c r="C921" t="s">
        <v>44</v>
      </c>
      <c r="D921" s="226">
        <v>0.18</v>
      </c>
      <c r="E921" t="s">
        <v>659</v>
      </c>
    </row>
    <row r="922" spans="1:5" hidden="1" x14ac:dyDescent="0.3">
      <c r="A922" t="s">
        <v>552</v>
      </c>
      <c r="B922" t="s">
        <v>658</v>
      </c>
      <c r="C922" t="s">
        <v>347</v>
      </c>
      <c r="D922" s="226">
        <v>-5331.5</v>
      </c>
      <c r="E922" t="s">
        <v>659</v>
      </c>
    </row>
    <row r="923" spans="1:5" hidden="1" x14ac:dyDescent="0.3">
      <c r="A923" t="s">
        <v>552</v>
      </c>
      <c r="B923" t="s">
        <v>658</v>
      </c>
      <c r="C923" t="s">
        <v>654</v>
      </c>
      <c r="D923" s="226">
        <v>-956.5</v>
      </c>
      <c r="E923" t="s">
        <v>659</v>
      </c>
    </row>
    <row r="924" spans="1:5" hidden="1" x14ac:dyDescent="0.3">
      <c r="A924" t="s">
        <v>552</v>
      </c>
      <c r="B924" t="s">
        <v>658</v>
      </c>
      <c r="C924" t="s">
        <v>349</v>
      </c>
      <c r="D924" s="226">
        <v>-4375</v>
      </c>
      <c r="E924" t="s">
        <v>659</v>
      </c>
    </row>
    <row r="925" spans="1:5" hidden="1" x14ac:dyDescent="0.3">
      <c r="A925" t="s">
        <v>552</v>
      </c>
      <c r="B925" t="s">
        <v>658</v>
      </c>
      <c r="C925" t="s">
        <v>350</v>
      </c>
      <c r="D925" s="226">
        <v>0</v>
      </c>
      <c r="E925" t="s">
        <v>659</v>
      </c>
    </row>
    <row r="926" spans="1:5" hidden="1" x14ac:dyDescent="0.3">
      <c r="A926" t="s">
        <v>552</v>
      </c>
      <c r="B926" t="s">
        <v>658</v>
      </c>
      <c r="C926" t="s">
        <v>351</v>
      </c>
      <c r="D926" s="226">
        <v>0</v>
      </c>
      <c r="E926" t="s">
        <v>659</v>
      </c>
    </row>
    <row r="927" spans="1:5" hidden="1" x14ac:dyDescent="0.3">
      <c r="A927" t="s">
        <v>552</v>
      </c>
      <c r="B927" t="s">
        <v>658</v>
      </c>
      <c r="C927" t="s">
        <v>352</v>
      </c>
      <c r="D927" s="226">
        <v>0</v>
      </c>
      <c r="E927" t="s">
        <v>659</v>
      </c>
    </row>
    <row r="928" spans="1:5" hidden="1" x14ac:dyDescent="0.3">
      <c r="A928" t="s">
        <v>552</v>
      </c>
      <c r="B928" t="s">
        <v>658</v>
      </c>
      <c r="C928" t="s">
        <v>353</v>
      </c>
      <c r="D928" s="226">
        <v>0</v>
      </c>
      <c r="E928" t="s">
        <v>659</v>
      </c>
    </row>
    <row r="929" spans="1:5" hidden="1" x14ac:dyDescent="0.3">
      <c r="A929" t="s">
        <v>552</v>
      </c>
      <c r="B929" t="s">
        <v>658</v>
      </c>
      <c r="C929" t="s">
        <v>354</v>
      </c>
      <c r="D929" s="226">
        <v>0</v>
      </c>
      <c r="E929" t="s">
        <v>659</v>
      </c>
    </row>
    <row r="930" spans="1:5" hidden="1" x14ac:dyDescent="0.3">
      <c r="A930" t="s">
        <v>552</v>
      </c>
      <c r="B930" t="s">
        <v>658</v>
      </c>
      <c r="C930" t="s">
        <v>355</v>
      </c>
      <c r="D930" s="226">
        <v>0</v>
      </c>
      <c r="E930" t="s">
        <v>659</v>
      </c>
    </row>
    <row r="931" spans="1:5" hidden="1" x14ac:dyDescent="0.3">
      <c r="A931" t="s">
        <v>552</v>
      </c>
      <c r="B931" t="s">
        <v>658</v>
      </c>
      <c r="C931" t="s">
        <v>356</v>
      </c>
      <c r="D931" s="226">
        <v>0</v>
      </c>
      <c r="E931" t="s">
        <v>659</v>
      </c>
    </row>
    <row r="932" spans="1:5" hidden="1" x14ac:dyDescent="0.3">
      <c r="A932" t="s">
        <v>552</v>
      </c>
      <c r="B932" t="s">
        <v>658</v>
      </c>
      <c r="C932" t="s">
        <v>357</v>
      </c>
      <c r="D932" s="226">
        <v>0</v>
      </c>
      <c r="E932" t="s">
        <v>659</v>
      </c>
    </row>
    <row r="933" spans="1:5" hidden="1" x14ac:dyDescent="0.3">
      <c r="A933" t="s">
        <v>552</v>
      </c>
      <c r="B933" t="s">
        <v>658</v>
      </c>
      <c r="C933" t="s">
        <v>358</v>
      </c>
      <c r="D933" s="226">
        <v>0</v>
      </c>
      <c r="E933" t="s">
        <v>659</v>
      </c>
    </row>
    <row r="934" spans="1:5" hidden="1" x14ac:dyDescent="0.3">
      <c r="A934" t="s">
        <v>552</v>
      </c>
      <c r="B934" t="s">
        <v>658</v>
      </c>
      <c r="C934" t="s">
        <v>359</v>
      </c>
      <c r="D934" s="226">
        <v>0</v>
      </c>
      <c r="E934" t="s">
        <v>659</v>
      </c>
    </row>
    <row r="935" spans="1:5" hidden="1" x14ac:dyDescent="0.3">
      <c r="A935" t="s">
        <v>552</v>
      </c>
      <c r="B935" t="s">
        <v>658</v>
      </c>
      <c r="C935" t="s">
        <v>360</v>
      </c>
      <c r="D935" s="226">
        <v>0</v>
      </c>
      <c r="E935" t="s">
        <v>659</v>
      </c>
    </row>
    <row r="936" spans="1:5" hidden="1" x14ac:dyDescent="0.3">
      <c r="A936" t="s">
        <v>552</v>
      </c>
      <c r="B936" t="s">
        <v>658</v>
      </c>
      <c r="C936" t="s">
        <v>361</v>
      </c>
      <c r="D936" s="226">
        <v>0</v>
      </c>
      <c r="E936" t="s">
        <v>659</v>
      </c>
    </row>
    <row r="937" spans="1:5" hidden="1" x14ac:dyDescent="0.3">
      <c r="A937" t="s">
        <v>552</v>
      </c>
      <c r="B937" t="s">
        <v>658</v>
      </c>
      <c r="C937" t="s">
        <v>362</v>
      </c>
      <c r="D937" s="226">
        <v>0</v>
      </c>
      <c r="E937" t="s">
        <v>659</v>
      </c>
    </row>
    <row r="938" spans="1:5" hidden="1" x14ac:dyDescent="0.3">
      <c r="A938" t="s">
        <v>552</v>
      </c>
      <c r="B938" t="s">
        <v>658</v>
      </c>
      <c r="C938" t="s">
        <v>363</v>
      </c>
      <c r="D938" s="226">
        <v>0</v>
      </c>
      <c r="E938" t="s">
        <v>659</v>
      </c>
    </row>
    <row r="939" spans="1:5" hidden="1" x14ac:dyDescent="0.3">
      <c r="A939" t="s">
        <v>552</v>
      </c>
      <c r="B939" t="s">
        <v>658</v>
      </c>
      <c r="C939" t="s">
        <v>364</v>
      </c>
      <c r="D939" s="226">
        <v>0</v>
      </c>
      <c r="E939" t="s">
        <v>659</v>
      </c>
    </row>
    <row r="940" spans="1:5" hidden="1" x14ac:dyDescent="0.3">
      <c r="A940" t="s">
        <v>552</v>
      </c>
      <c r="B940" t="s">
        <v>658</v>
      </c>
      <c r="C940" t="s">
        <v>365</v>
      </c>
      <c r="D940" s="226">
        <v>0</v>
      </c>
      <c r="E940" t="s">
        <v>659</v>
      </c>
    </row>
    <row r="941" spans="1:5" hidden="1" x14ac:dyDescent="0.3">
      <c r="A941" t="s">
        <v>552</v>
      </c>
      <c r="B941" t="s">
        <v>658</v>
      </c>
      <c r="C941" t="s">
        <v>366</v>
      </c>
      <c r="D941" s="226">
        <v>0</v>
      </c>
      <c r="E941" t="s">
        <v>659</v>
      </c>
    </row>
    <row r="942" spans="1:5" hidden="1" x14ac:dyDescent="0.3">
      <c r="A942" t="s">
        <v>552</v>
      </c>
      <c r="B942" t="s">
        <v>658</v>
      </c>
      <c r="C942" t="s">
        <v>367</v>
      </c>
      <c r="D942" s="226">
        <v>0</v>
      </c>
      <c r="E942" t="s">
        <v>659</v>
      </c>
    </row>
    <row r="943" spans="1:5" hidden="1" x14ac:dyDescent="0.3">
      <c r="A943" t="s">
        <v>552</v>
      </c>
      <c r="B943" t="s">
        <v>658</v>
      </c>
      <c r="C943" t="s">
        <v>368</v>
      </c>
      <c r="D943" s="226">
        <v>0</v>
      </c>
      <c r="E943" t="s">
        <v>659</v>
      </c>
    </row>
    <row r="944" spans="1:5" hidden="1" x14ac:dyDescent="0.3">
      <c r="A944" t="s">
        <v>552</v>
      </c>
      <c r="B944" t="s">
        <v>658</v>
      </c>
      <c r="C944" t="s">
        <v>369</v>
      </c>
      <c r="D944" s="226">
        <v>0</v>
      </c>
      <c r="E944" t="s">
        <v>659</v>
      </c>
    </row>
    <row r="945" spans="1:5" hidden="1" x14ac:dyDescent="0.3">
      <c r="A945" t="s">
        <v>552</v>
      </c>
      <c r="B945" t="s">
        <v>658</v>
      </c>
      <c r="C945" t="s">
        <v>370</v>
      </c>
      <c r="D945" s="226">
        <v>0</v>
      </c>
      <c r="E945" t="s">
        <v>659</v>
      </c>
    </row>
    <row r="946" spans="1:5" hidden="1" x14ac:dyDescent="0.3">
      <c r="A946" t="s">
        <v>552</v>
      </c>
      <c r="B946" t="s">
        <v>658</v>
      </c>
      <c r="C946" t="s">
        <v>371</v>
      </c>
      <c r="D946" s="226">
        <v>0</v>
      </c>
      <c r="E946" t="s">
        <v>659</v>
      </c>
    </row>
    <row r="947" spans="1:5" hidden="1" x14ac:dyDescent="0.3">
      <c r="A947" t="s">
        <v>552</v>
      </c>
      <c r="B947" t="s">
        <v>658</v>
      </c>
      <c r="C947" t="s">
        <v>372</v>
      </c>
      <c r="D947" s="226">
        <v>-5331.5</v>
      </c>
      <c r="E947" t="s">
        <v>659</v>
      </c>
    </row>
    <row r="948" spans="1:5" hidden="1" x14ac:dyDescent="0.3">
      <c r="A948" t="s">
        <v>552</v>
      </c>
      <c r="B948" t="s">
        <v>658</v>
      </c>
      <c r="C948" t="s">
        <v>373</v>
      </c>
      <c r="D948" s="226">
        <v>249575.29</v>
      </c>
      <c r="E948" t="s">
        <v>659</v>
      </c>
    </row>
    <row r="949" spans="1:5" hidden="1" x14ac:dyDescent="0.3">
      <c r="A949" t="s">
        <v>552</v>
      </c>
      <c r="B949" t="s">
        <v>658</v>
      </c>
      <c r="C949" t="s">
        <v>655</v>
      </c>
      <c r="D949" s="226">
        <v>0</v>
      </c>
      <c r="E949" t="s">
        <v>659</v>
      </c>
    </row>
    <row r="950" spans="1:5" hidden="1" x14ac:dyDescent="0.3">
      <c r="A950" t="s">
        <v>552</v>
      </c>
      <c r="B950" t="s">
        <v>660</v>
      </c>
      <c r="C950" t="s">
        <v>11</v>
      </c>
      <c r="D950" s="226">
        <v>1248892.5</v>
      </c>
      <c r="E950" t="s">
        <v>661</v>
      </c>
    </row>
    <row r="951" spans="1:5" hidden="1" x14ac:dyDescent="0.3">
      <c r="A951" t="s">
        <v>552</v>
      </c>
      <c r="B951" t="s">
        <v>660</v>
      </c>
      <c r="C951" t="s">
        <v>13</v>
      </c>
      <c r="D951" s="226">
        <v>594445.5</v>
      </c>
      <c r="E951" t="s">
        <v>661</v>
      </c>
    </row>
    <row r="952" spans="1:5" hidden="1" x14ac:dyDescent="0.3">
      <c r="A952" t="s">
        <v>552</v>
      </c>
      <c r="B952" t="s">
        <v>660</v>
      </c>
      <c r="C952" t="s">
        <v>16</v>
      </c>
      <c r="D952" s="226">
        <v>491683.4</v>
      </c>
      <c r="E952" t="s">
        <v>661</v>
      </c>
    </row>
    <row r="953" spans="1:5" hidden="1" x14ac:dyDescent="0.3">
      <c r="A953" t="s">
        <v>552</v>
      </c>
      <c r="B953" t="s">
        <v>660</v>
      </c>
      <c r="C953" t="s">
        <v>17</v>
      </c>
      <c r="D953" s="226">
        <v>0</v>
      </c>
      <c r="E953" t="s">
        <v>661</v>
      </c>
    </row>
    <row r="954" spans="1:5" hidden="1" x14ac:dyDescent="0.3">
      <c r="A954" t="s">
        <v>552</v>
      </c>
      <c r="B954" t="s">
        <v>660</v>
      </c>
      <c r="C954" t="s">
        <v>18</v>
      </c>
      <c r="D954" s="226">
        <v>987.5</v>
      </c>
      <c r="E954" t="s">
        <v>661</v>
      </c>
    </row>
    <row r="955" spans="1:5" hidden="1" x14ac:dyDescent="0.3">
      <c r="A955" t="s">
        <v>552</v>
      </c>
      <c r="B955" t="s">
        <v>660</v>
      </c>
      <c r="C955" t="s">
        <v>20</v>
      </c>
      <c r="D955" s="226">
        <v>138967.1</v>
      </c>
      <c r="E955" t="s">
        <v>661</v>
      </c>
    </row>
    <row r="956" spans="1:5" hidden="1" x14ac:dyDescent="0.3">
      <c r="A956" t="s">
        <v>552</v>
      </c>
      <c r="B956" t="s">
        <v>660</v>
      </c>
      <c r="C956" t="s">
        <v>23</v>
      </c>
      <c r="D956" s="226">
        <v>0</v>
      </c>
      <c r="E956" t="s">
        <v>661</v>
      </c>
    </row>
    <row r="957" spans="1:5" hidden="1" x14ac:dyDescent="0.3">
      <c r="A957" t="s">
        <v>552</v>
      </c>
      <c r="B957" t="s">
        <v>660</v>
      </c>
      <c r="C957" t="s">
        <v>25</v>
      </c>
      <c r="D957" s="226">
        <v>3000</v>
      </c>
      <c r="E957" t="s">
        <v>661</v>
      </c>
    </row>
    <row r="958" spans="1:5" hidden="1" x14ac:dyDescent="0.3">
      <c r="A958" t="s">
        <v>552</v>
      </c>
      <c r="B958" t="s">
        <v>660</v>
      </c>
      <c r="C958" t="s">
        <v>26</v>
      </c>
      <c r="D958" s="226">
        <v>2200</v>
      </c>
      <c r="E958" t="s">
        <v>661</v>
      </c>
    </row>
    <row r="959" spans="1:5" hidden="1" x14ac:dyDescent="0.3">
      <c r="A959" t="s">
        <v>552</v>
      </c>
      <c r="B959" t="s">
        <v>660</v>
      </c>
      <c r="C959" t="s">
        <v>27</v>
      </c>
      <c r="D959" s="226">
        <v>0</v>
      </c>
      <c r="E959" t="s">
        <v>661</v>
      </c>
    </row>
    <row r="960" spans="1:5" hidden="1" x14ac:dyDescent="0.3">
      <c r="A960" t="s">
        <v>552</v>
      </c>
      <c r="B960" t="s">
        <v>660</v>
      </c>
      <c r="C960" t="s">
        <v>29</v>
      </c>
      <c r="D960" s="226">
        <v>17609</v>
      </c>
      <c r="E960" t="s">
        <v>661</v>
      </c>
    </row>
    <row r="961" spans="1:5" hidden="1" x14ac:dyDescent="0.3">
      <c r="A961" t="s">
        <v>552</v>
      </c>
      <c r="B961" t="s">
        <v>660</v>
      </c>
      <c r="C961" t="s">
        <v>31</v>
      </c>
      <c r="D961" s="226">
        <v>0</v>
      </c>
      <c r="E961" t="s">
        <v>661</v>
      </c>
    </row>
    <row r="962" spans="1:5" hidden="1" x14ac:dyDescent="0.3">
      <c r="A962" t="s">
        <v>552</v>
      </c>
      <c r="B962" t="s">
        <v>660</v>
      </c>
      <c r="C962" t="s">
        <v>34</v>
      </c>
      <c r="D962" s="226">
        <v>-21088.01</v>
      </c>
      <c r="E962" t="s">
        <v>661</v>
      </c>
    </row>
    <row r="963" spans="1:5" hidden="1" x14ac:dyDescent="0.3">
      <c r="A963" t="s">
        <v>552</v>
      </c>
      <c r="B963" t="s">
        <v>660</v>
      </c>
      <c r="C963" t="s">
        <v>38</v>
      </c>
      <c r="D963" s="226">
        <v>-21088.01</v>
      </c>
      <c r="E963" t="s">
        <v>661</v>
      </c>
    </row>
    <row r="964" spans="1:5" hidden="1" x14ac:dyDescent="0.3">
      <c r="A964" t="s">
        <v>552</v>
      </c>
      <c r="B964" t="s">
        <v>660</v>
      </c>
      <c r="C964" t="s">
        <v>40</v>
      </c>
      <c r="D964" s="226">
        <v>0</v>
      </c>
      <c r="E964" t="s">
        <v>661</v>
      </c>
    </row>
    <row r="965" spans="1:5" hidden="1" x14ac:dyDescent="0.3">
      <c r="A965" t="s">
        <v>552</v>
      </c>
      <c r="B965" t="s">
        <v>660</v>
      </c>
      <c r="C965" t="s">
        <v>42</v>
      </c>
      <c r="D965" s="226">
        <v>0</v>
      </c>
      <c r="E965" t="s">
        <v>661</v>
      </c>
    </row>
    <row r="966" spans="1:5" hidden="1" x14ac:dyDescent="0.3">
      <c r="A966" t="s">
        <v>552</v>
      </c>
      <c r="B966" t="s">
        <v>660</v>
      </c>
      <c r="C966" t="s">
        <v>44</v>
      </c>
      <c r="D966" s="226">
        <v>-0.02</v>
      </c>
      <c r="E966" t="s">
        <v>661</v>
      </c>
    </row>
    <row r="967" spans="1:5" hidden="1" x14ac:dyDescent="0.3">
      <c r="A967" t="s">
        <v>552</v>
      </c>
      <c r="B967" t="s">
        <v>660</v>
      </c>
      <c r="C967" t="s">
        <v>45</v>
      </c>
      <c r="D967" s="226">
        <v>-74585.36</v>
      </c>
      <c r="E967" t="s">
        <v>661</v>
      </c>
    </row>
    <row r="968" spans="1:5" hidden="1" x14ac:dyDescent="0.3">
      <c r="A968" t="s">
        <v>552</v>
      </c>
      <c r="B968" t="s">
        <v>660</v>
      </c>
      <c r="C968" t="s">
        <v>46</v>
      </c>
      <c r="D968" s="226">
        <v>-39742.559999999998</v>
      </c>
      <c r="E968" t="s">
        <v>661</v>
      </c>
    </row>
    <row r="969" spans="1:5" hidden="1" x14ac:dyDescent="0.3">
      <c r="A969" t="s">
        <v>552</v>
      </c>
      <c r="B969" t="s">
        <v>660</v>
      </c>
      <c r="C969" t="s">
        <v>48</v>
      </c>
      <c r="D969" s="226">
        <v>-34842.800000000003</v>
      </c>
      <c r="E969" t="s">
        <v>661</v>
      </c>
    </row>
    <row r="970" spans="1:5" hidden="1" x14ac:dyDescent="0.3">
      <c r="A970" t="s">
        <v>552</v>
      </c>
      <c r="B970" t="s">
        <v>660</v>
      </c>
      <c r="C970" t="s">
        <v>49</v>
      </c>
      <c r="D970" s="226">
        <v>0</v>
      </c>
      <c r="E970" t="s">
        <v>661</v>
      </c>
    </row>
    <row r="971" spans="1:5" hidden="1" x14ac:dyDescent="0.3">
      <c r="A971" t="s">
        <v>552</v>
      </c>
      <c r="B971" t="s">
        <v>660</v>
      </c>
      <c r="C971" t="s">
        <v>50</v>
      </c>
      <c r="D971" s="226">
        <v>1153219.1299999999</v>
      </c>
      <c r="E971" t="s">
        <v>661</v>
      </c>
    </row>
    <row r="972" spans="1:5" hidden="1" x14ac:dyDescent="0.3">
      <c r="A972" t="s">
        <v>552</v>
      </c>
      <c r="B972" t="s">
        <v>660</v>
      </c>
      <c r="C972" t="s">
        <v>51</v>
      </c>
      <c r="D972" s="226">
        <v>-331822.65999999997</v>
      </c>
      <c r="E972" t="s">
        <v>661</v>
      </c>
    </row>
    <row r="973" spans="1:5" hidden="1" x14ac:dyDescent="0.3">
      <c r="A973" t="s">
        <v>552</v>
      </c>
      <c r="B973" t="s">
        <v>660</v>
      </c>
      <c r="C973" t="s">
        <v>52</v>
      </c>
      <c r="D973" s="226">
        <v>-223095.04000000001</v>
      </c>
      <c r="E973" t="s">
        <v>661</v>
      </c>
    </row>
    <row r="974" spans="1:5" hidden="1" x14ac:dyDescent="0.3">
      <c r="A974" t="s">
        <v>552</v>
      </c>
      <c r="B974" t="s">
        <v>660</v>
      </c>
      <c r="C974" t="s">
        <v>53</v>
      </c>
      <c r="D974" s="226">
        <v>-107657.74</v>
      </c>
      <c r="E974" t="s">
        <v>661</v>
      </c>
    </row>
    <row r="975" spans="1:5" hidden="1" x14ac:dyDescent="0.3">
      <c r="A975" t="s">
        <v>552</v>
      </c>
      <c r="B975" t="s">
        <v>660</v>
      </c>
      <c r="C975" t="s">
        <v>54</v>
      </c>
      <c r="D975" s="226">
        <v>-1069.8800000000001</v>
      </c>
      <c r="E975" t="s">
        <v>661</v>
      </c>
    </row>
    <row r="976" spans="1:5" hidden="1" x14ac:dyDescent="0.3">
      <c r="A976" t="s">
        <v>552</v>
      </c>
      <c r="B976" t="s">
        <v>660</v>
      </c>
      <c r="C976" t="s">
        <v>23</v>
      </c>
      <c r="D976" s="226">
        <v>0</v>
      </c>
      <c r="E976" t="s">
        <v>661</v>
      </c>
    </row>
    <row r="977" spans="1:5" hidden="1" x14ac:dyDescent="0.3">
      <c r="A977" t="s">
        <v>552</v>
      </c>
      <c r="B977" t="s">
        <v>660</v>
      </c>
      <c r="C977" t="s">
        <v>44</v>
      </c>
      <c r="D977" s="226">
        <v>-0.3</v>
      </c>
      <c r="E977" t="s">
        <v>661</v>
      </c>
    </row>
    <row r="978" spans="1:5" hidden="1" x14ac:dyDescent="0.3">
      <c r="A978" t="s">
        <v>552</v>
      </c>
      <c r="B978" t="s">
        <v>660</v>
      </c>
      <c r="C978" t="s">
        <v>55</v>
      </c>
      <c r="D978" s="226">
        <v>-0.28999999999999998</v>
      </c>
      <c r="E978" t="s">
        <v>661</v>
      </c>
    </row>
    <row r="979" spans="1:5" hidden="1" x14ac:dyDescent="0.3">
      <c r="A979" t="s">
        <v>552</v>
      </c>
      <c r="B979" t="s">
        <v>660</v>
      </c>
      <c r="C979" t="s">
        <v>56</v>
      </c>
      <c r="D979" s="226">
        <v>-81.319999999999993</v>
      </c>
      <c r="E979" t="s">
        <v>661</v>
      </c>
    </row>
    <row r="980" spans="1:5" hidden="1" x14ac:dyDescent="0.3">
      <c r="A980" t="s">
        <v>552</v>
      </c>
      <c r="B980" t="s">
        <v>660</v>
      </c>
      <c r="C980" t="s">
        <v>57</v>
      </c>
      <c r="D980" s="226">
        <v>-81.319999999999993</v>
      </c>
      <c r="E980" t="s">
        <v>661</v>
      </c>
    </row>
    <row r="981" spans="1:5" hidden="1" x14ac:dyDescent="0.3">
      <c r="A981" t="s">
        <v>552</v>
      </c>
      <c r="B981" t="s">
        <v>660</v>
      </c>
      <c r="C981" t="s">
        <v>58</v>
      </c>
      <c r="D981" s="226">
        <v>0</v>
      </c>
      <c r="E981" t="s">
        <v>661</v>
      </c>
    </row>
    <row r="982" spans="1:5" hidden="1" x14ac:dyDescent="0.3">
      <c r="A982" t="s">
        <v>552</v>
      </c>
      <c r="B982" t="s">
        <v>660</v>
      </c>
      <c r="C982" t="s">
        <v>59</v>
      </c>
      <c r="D982" s="226">
        <v>-81.319999999999993</v>
      </c>
      <c r="E982" t="s">
        <v>661</v>
      </c>
    </row>
    <row r="983" spans="1:5" hidden="1" x14ac:dyDescent="0.3">
      <c r="A983" t="s">
        <v>552</v>
      </c>
      <c r="B983" t="s">
        <v>660</v>
      </c>
      <c r="C983" t="s">
        <v>61</v>
      </c>
      <c r="D983" s="226">
        <v>0</v>
      </c>
      <c r="E983" t="s">
        <v>661</v>
      </c>
    </row>
    <row r="984" spans="1:5" hidden="1" x14ac:dyDescent="0.3">
      <c r="A984" t="s">
        <v>552</v>
      </c>
      <c r="B984" t="s">
        <v>660</v>
      </c>
      <c r="C984" t="s">
        <v>62</v>
      </c>
      <c r="D984" s="226">
        <v>0</v>
      </c>
      <c r="E984" t="s">
        <v>661</v>
      </c>
    </row>
    <row r="985" spans="1:5" hidden="1" x14ac:dyDescent="0.3">
      <c r="A985" t="s">
        <v>552</v>
      </c>
      <c r="B985" t="s">
        <v>660</v>
      </c>
      <c r="C985" t="s">
        <v>64</v>
      </c>
      <c r="D985" s="226">
        <v>0</v>
      </c>
      <c r="E985" t="s">
        <v>661</v>
      </c>
    </row>
    <row r="986" spans="1:5" hidden="1" x14ac:dyDescent="0.3">
      <c r="A986" t="s">
        <v>552</v>
      </c>
      <c r="B986" t="s">
        <v>660</v>
      </c>
      <c r="C986" t="s">
        <v>65</v>
      </c>
      <c r="D986" s="226">
        <v>0</v>
      </c>
      <c r="E986" t="s">
        <v>661</v>
      </c>
    </row>
    <row r="987" spans="1:5" hidden="1" x14ac:dyDescent="0.3">
      <c r="A987" t="s">
        <v>552</v>
      </c>
      <c r="B987" t="s">
        <v>660</v>
      </c>
      <c r="C987" t="s">
        <v>66</v>
      </c>
      <c r="D987" s="226">
        <v>0</v>
      </c>
      <c r="E987" t="s">
        <v>661</v>
      </c>
    </row>
    <row r="988" spans="1:5" hidden="1" x14ac:dyDescent="0.3">
      <c r="A988" t="s">
        <v>552</v>
      </c>
      <c r="B988" t="s">
        <v>660</v>
      </c>
      <c r="C988" t="s">
        <v>68</v>
      </c>
      <c r="D988" s="226">
        <v>0</v>
      </c>
      <c r="E988" t="s">
        <v>661</v>
      </c>
    </row>
    <row r="989" spans="1:5" hidden="1" x14ac:dyDescent="0.3">
      <c r="A989" t="s">
        <v>552</v>
      </c>
      <c r="B989" t="s">
        <v>660</v>
      </c>
      <c r="C989" t="s">
        <v>69</v>
      </c>
      <c r="D989" s="226">
        <v>0</v>
      </c>
      <c r="E989" t="s">
        <v>661</v>
      </c>
    </row>
    <row r="990" spans="1:5" hidden="1" x14ac:dyDescent="0.3">
      <c r="A990" t="s">
        <v>552</v>
      </c>
      <c r="B990" t="s">
        <v>660</v>
      </c>
      <c r="C990" t="s">
        <v>70</v>
      </c>
      <c r="D990" s="226">
        <v>0</v>
      </c>
      <c r="E990" t="s">
        <v>661</v>
      </c>
    </row>
    <row r="991" spans="1:5" hidden="1" x14ac:dyDescent="0.3">
      <c r="A991" t="s">
        <v>552</v>
      </c>
      <c r="B991" t="s">
        <v>660</v>
      </c>
      <c r="C991" t="s">
        <v>44</v>
      </c>
      <c r="D991" s="226">
        <v>0</v>
      </c>
      <c r="E991" t="s">
        <v>661</v>
      </c>
    </row>
    <row r="992" spans="1:5" hidden="1" x14ac:dyDescent="0.3">
      <c r="A992" t="s">
        <v>552</v>
      </c>
      <c r="B992" t="s">
        <v>660</v>
      </c>
      <c r="C992" t="s">
        <v>71</v>
      </c>
      <c r="D992" s="226">
        <v>-800</v>
      </c>
      <c r="E992" t="s">
        <v>661</v>
      </c>
    </row>
    <row r="993" spans="1:5" hidden="1" x14ac:dyDescent="0.3">
      <c r="A993" t="s">
        <v>552</v>
      </c>
      <c r="B993" t="s">
        <v>660</v>
      </c>
      <c r="C993" t="s">
        <v>72</v>
      </c>
      <c r="D993" s="226">
        <v>-800</v>
      </c>
      <c r="E993" t="s">
        <v>661</v>
      </c>
    </row>
    <row r="994" spans="1:5" hidden="1" x14ac:dyDescent="0.3">
      <c r="A994" t="s">
        <v>552</v>
      </c>
      <c r="B994" t="s">
        <v>660</v>
      </c>
      <c r="C994" t="s">
        <v>73</v>
      </c>
      <c r="D994" s="226">
        <v>0</v>
      </c>
      <c r="E994" t="s">
        <v>661</v>
      </c>
    </row>
    <row r="995" spans="1:5" hidden="1" x14ac:dyDescent="0.3">
      <c r="A995" t="s">
        <v>552</v>
      </c>
      <c r="B995" t="s">
        <v>660</v>
      </c>
      <c r="C995" t="s">
        <v>75</v>
      </c>
      <c r="D995" s="226">
        <v>-800</v>
      </c>
      <c r="E995" t="s">
        <v>661</v>
      </c>
    </row>
    <row r="996" spans="1:5" hidden="1" x14ac:dyDescent="0.3">
      <c r="A996" t="s">
        <v>552</v>
      </c>
      <c r="B996" t="s">
        <v>660</v>
      </c>
      <c r="C996" t="s">
        <v>77</v>
      </c>
      <c r="D996" s="226">
        <v>0</v>
      </c>
      <c r="E996" t="s">
        <v>661</v>
      </c>
    </row>
    <row r="997" spans="1:5" hidden="1" x14ac:dyDescent="0.3">
      <c r="A997" t="s">
        <v>552</v>
      </c>
      <c r="B997" t="s">
        <v>660</v>
      </c>
      <c r="C997" t="s">
        <v>78</v>
      </c>
      <c r="D997" s="226">
        <v>0</v>
      </c>
      <c r="E997" t="s">
        <v>661</v>
      </c>
    </row>
    <row r="998" spans="1:5" hidden="1" x14ac:dyDescent="0.3">
      <c r="A998" t="s">
        <v>552</v>
      </c>
      <c r="B998" t="s">
        <v>660</v>
      </c>
      <c r="C998" t="s">
        <v>80</v>
      </c>
      <c r="D998" s="226">
        <v>0</v>
      </c>
      <c r="E998" t="s">
        <v>661</v>
      </c>
    </row>
    <row r="999" spans="1:5" hidden="1" x14ac:dyDescent="0.3">
      <c r="A999" t="s">
        <v>552</v>
      </c>
      <c r="B999" t="s">
        <v>660</v>
      </c>
      <c r="C999" t="s">
        <v>82</v>
      </c>
      <c r="D999" s="226">
        <v>0</v>
      </c>
      <c r="E999" t="s">
        <v>661</v>
      </c>
    </row>
    <row r="1000" spans="1:5" hidden="1" x14ac:dyDescent="0.3">
      <c r="A1000" t="s">
        <v>552</v>
      </c>
      <c r="B1000" t="s">
        <v>660</v>
      </c>
      <c r="C1000" t="s">
        <v>84</v>
      </c>
      <c r="D1000" s="226">
        <v>0</v>
      </c>
      <c r="E1000" t="s">
        <v>661</v>
      </c>
    </row>
    <row r="1001" spans="1:5" hidden="1" x14ac:dyDescent="0.3">
      <c r="A1001" t="s">
        <v>552</v>
      </c>
      <c r="B1001" t="s">
        <v>660</v>
      </c>
      <c r="C1001" t="s">
        <v>85</v>
      </c>
      <c r="D1001" s="226">
        <v>0</v>
      </c>
      <c r="E1001" t="s">
        <v>661</v>
      </c>
    </row>
    <row r="1002" spans="1:5" hidden="1" x14ac:dyDescent="0.3">
      <c r="A1002" t="s">
        <v>552</v>
      </c>
      <c r="B1002" t="s">
        <v>660</v>
      </c>
      <c r="C1002" t="s">
        <v>86</v>
      </c>
      <c r="D1002" s="226">
        <v>0</v>
      </c>
      <c r="E1002" t="s">
        <v>661</v>
      </c>
    </row>
    <row r="1003" spans="1:5" hidden="1" x14ac:dyDescent="0.3">
      <c r="A1003" t="s">
        <v>552</v>
      </c>
      <c r="B1003" t="s">
        <v>660</v>
      </c>
      <c r="C1003" t="s">
        <v>87</v>
      </c>
      <c r="D1003" s="226">
        <v>0</v>
      </c>
      <c r="E1003" t="s">
        <v>661</v>
      </c>
    </row>
    <row r="1004" spans="1:5" hidden="1" x14ac:dyDescent="0.3">
      <c r="A1004" t="s">
        <v>552</v>
      </c>
      <c r="B1004" t="s">
        <v>660</v>
      </c>
      <c r="C1004" t="s">
        <v>88</v>
      </c>
      <c r="D1004" s="226">
        <v>0</v>
      </c>
      <c r="E1004" t="s">
        <v>661</v>
      </c>
    </row>
    <row r="1005" spans="1:5" hidden="1" x14ac:dyDescent="0.3">
      <c r="A1005" t="s">
        <v>552</v>
      </c>
      <c r="B1005" t="s">
        <v>660</v>
      </c>
      <c r="C1005" t="s">
        <v>89</v>
      </c>
      <c r="D1005" s="226">
        <v>0</v>
      </c>
      <c r="E1005" t="s">
        <v>661</v>
      </c>
    </row>
    <row r="1006" spans="1:5" hidden="1" x14ac:dyDescent="0.3">
      <c r="A1006" t="s">
        <v>552</v>
      </c>
      <c r="B1006" t="s">
        <v>660</v>
      </c>
      <c r="C1006" t="s">
        <v>90</v>
      </c>
      <c r="D1006" s="226">
        <v>0</v>
      </c>
      <c r="E1006" t="s">
        <v>661</v>
      </c>
    </row>
    <row r="1007" spans="1:5" hidden="1" x14ac:dyDescent="0.3">
      <c r="A1007" t="s">
        <v>552</v>
      </c>
      <c r="B1007" t="s">
        <v>660</v>
      </c>
      <c r="C1007" t="s">
        <v>91</v>
      </c>
      <c r="D1007" s="226">
        <v>0</v>
      </c>
      <c r="E1007" t="s">
        <v>661</v>
      </c>
    </row>
    <row r="1008" spans="1:5" hidden="1" x14ac:dyDescent="0.3">
      <c r="A1008" t="s">
        <v>552</v>
      </c>
      <c r="B1008" t="s">
        <v>660</v>
      </c>
      <c r="C1008" t="s">
        <v>93</v>
      </c>
      <c r="D1008" s="226">
        <v>0</v>
      </c>
      <c r="E1008" t="s">
        <v>661</v>
      </c>
    </row>
    <row r="1009" spans="1:5" hidden="1" x14ac:dyDescent="0.3">
      <c r="A1009" t="s">
        <v>552</v>
      </c>
      <c r="B1009" t="s">
        <v>660</v>
      </c>
      <c r="C1009" t="s">
        <v>95</v>
      </c>
      <c r="D1009" s="226">
        <v>0</v>
      </c>
      <c r="E1009" t="s">
        <v>661</v>
      </c>
    </row>
    <row r="1010" spans="1:5" hidden="1" x14ac:dyDescent="0.3">
      <c r="A1010" t="s">
        <v>552</v>
      </c>
      <c r="B1010" t="s">
        <v>660</v>
      </c>
      <c r="C1010" t="s">
        <v>96</v>
      </c>
      <c r="D1010" s="226">
        <v>0</v>
      </c>
      <c r="E1010" t="s">
        <v>661</v>
      </c>
    </row>
    <row r="1011" spans="1:5" hidden="1" x14ac:dyDescent="0.3">
      <c r="A1011" t="s">
        <v>552</v>
      </c>
      <c r="B1011" t="s">
        <v>660</v>
      </c>
      <c r="C1011" t="s">
        <v>98</v>
      </c>
      <c r="D1011" s="226">
        <v>0</v>
      </c>
      <c r="E1011" t="s">
        <v>661</v>
      </c>
    </row>
    <row r="1012" spans="1:5" hidden="1" x14ac:dyDescent="0.3">
      <c r="A1012" t="s">
        <v>552</v>
      </c>
      <c r="B1012" t="s">
        <v>660</v>
      </c>
      <c r="C1012" t="s">
        <v>100</v>
      </c>
      <c r="D1012" s="226">
        <v>0</v>
      </c>
      <c r="E1012" t="s">
        <v>661</v>
      </c>
    </row>
    <row r="1013" spans="1:5" hidden="1" x14ac:dyDescent="0.3">
      <c r="A1013" t="s">
        <v>552</v>
      </c>
      <c r="B1013" t="s">
        <v>660</v>
      </c>
      <c r="C1013" t="s">
        <v>101</v>
      </c>
      <c r="D1013" s="226">
        <v>0</v>
      </c>
      <c r="E1013" t="s">
        <v>661</v>
      </c>
    </row>
    <row r="1014" spans="1:5" hidden="1" x14ac:dyDescent="0.3">
      <c r="A1014" t="s">
        <v>552</v>
      </c>
      <c r="B1014" t="s">
        <v>660</v>
      </c>
      <c r="C1014" t="s">
        <v>102</v>
      </c>
      <c r="D1014" s="226">
        <v>0</v>
      </c>
      <c r="E1014" t="s">
        <v>661</v>
      </c>
    </row>
    <row r="1015" spans="1:5" hidden="1" x14ac:dyDescent="0.3">
      <c r="A1015" t="s">
        <v>552</v>
      </c>
      <c r="B1015" t="s">
        <v>660</v>
      </c>
      <c r="C1015" t="s">
        <v>103</v>
      </c>
      <c r="D1015" s="226">
        <v>0</v>
      </c>
      <c r="E1015" t="s">
        <v>661</v>
      </c>
    </row>
    <row r="1016" spans="1:5" hidden="1" x14ac:dyDescent="0.3">
      <c r="A1016" t="s">
        <v>552</v>
      </c>
      <c r="B1016" t="s">
        <v>660</v>
      </c>
      <c r="C1016" t="s">
        <v>104</v>
      </c>
      <c r="D1016" s="226">
        <v>0</v>
      </c>
      <c r="E1016" t="s">
        <v>661</v>
      </c>
    </row>
    <row r="1017" spans="1:5" hidden="1" x14ac:dyDescent="0.3">
      <c r="A1017" t="s">
        <v>552</v>
      </c>
      <c r="B1017" t="s">
        <v>660</v>
      </c>
      <c r="C1017" t="s">
        <v>105</v>
      </c>
      <c r="D1017" s="226">
        <v>0</v>
      </c>
      <c r="E1017" t="s">
        <v>661</v>
      </c>
    </row>
    <row r="1018" spans="1:5" hidden="1" x14ac:dyDescent="0.3">
      <c r="A1018" t="s">
        <v>552</v>
      </c>
      <c r="B1018" t="s">
        <v>660</v>
      </c>
      <c r="C1018" t="s">
        <v>107</v>
      </c>
      <c r="D1018" s="226">
        <v>0</v>
      </c>
      <c r="E1018" t="s">
        <v>661</v>
      </c>
    </row>
    <row r="1019" spans="1:5" hidden="1" x14ac:dyDescent="0.3">
      <c r="A1019" t="s">
        <v>552</v>
      </c>
      <c r="B1019" t="s">
        <v>660</v>
      </c>
      <c r="C1019" t="s">
        <v>108</v>
      </c>
      <c r="D1019" s="226">
        <v>0</v>
      </c>
      <c r="E1019" t="s">
        <v>661</v>
      </c>
    </row>
    <row r="1020" spans="1:5" hidden="1" x14ac:dyDescent="0.3">
      <c r="A1020" t="s">
        <v>552</v>
      </c>
      <c r="B1020" t="s">
        <v>660</v>
      </c>
      <c r="C1020" t="s">
        <v>109</v>
      </c>
      <c r="D1020" s="226">
        <v>0</v>
      </c>
      <c r="E1020" t="s">
        <v>661</v>
      </c>
    </row>
    <row r="1021" spans="1:5" hidden="1" x14ac:dyDescent="0.3">
      <c r="A1021" t="s">
        <v>552</v>
      </c>
      <c r="B1021" t="s">
        <v>660</v>
      </c>
      <c r="C1021" t="s">
        <v>110</v>
      </c>
      <c r="D1021" s="226">
        <v>-0.15</v>
      </c>
      <c r="E1021" t="s">
        <v>661</v>
      </c>
    </row>
    <row r="1022" spans="1:5" hidden="1" x14ac:dyDescent="0.3">
      <c r="A1022" t="s">
        <v>552</v>
      </c>
      <c r="B1022" t="s">
        <v>660</v>
      </c>
      <c r="C1022" t="s">
        <v>44</v>
      </c>
      <c r="D1022" s="226">
        <v>0</v>
      </c>
      <c r="E1022" t="s">
        <v>661</v>
      </c>
    </row>
    <row r="1023" spans="1:5" hidden="1" x14ac:dyDescent="0.3">
      <c r="A1023" t="s">
        <v>552</v>
      </c>
      <c r="B1023" t="s">
        <v>660</v>
      </c>
      <c r="C1023" t="s">
        <v>111</v>
      </c>
      <c r="D1023" s="226">
        <v>-88365.94</v>
      </c>
      <c r="E1023" t="s">
        <v>661</v>
      </c>
    </row>
    <row r="1024" spans="1:5" hidden="1" x14ac:dyDescent="0.3">
      <c r="A1024" t="s">
        <v>552</v>
      </c>
      <c r="B1024" t="s">
        <v>660</v>
      </c>
      <c r="C1024" t="s">
        <v>555</v>
      </c>
      <c r="D1024" s="226">
        <v>-88365.94</v>
      </c>
      <c r="E1024" t="s">
        <v>661</v>
      </c>
    </row>
    <row r="1025" spans="1:5" hidden="1" x14ac:dyDescent="0.3">
      <c r="A1025" t="s">
        <v>552</v>
      </c>
      <c r="B1025" t="s">
        <v>660</v>
      </c>
      <c r="C1025" t="s">
        <v>44</v>
      </c>
      <c r="D1025" s="226">
        <v>-7.0000000000000007E-2</v>
      </c>
      <c r="E1025" t="s">
        <v>661</v>
      </c>
    </row>
    <row r="1026" spans="1:5" hidden="1" x14ac:dyDescent="0.3">
      <c r="A1026" t="s">
        <v>552</v>
      </c>
      <c r="B1026" t="s">
        <v>660</v>
      </c>
      <c r="C1026" t="s">
        <v>115</v>
      </c>
      <c r="D1026" s="226">
        <v>-26142.42</v>
      </c>
      <c r="E1026" t="s">
        <v>661</v>
      </c>
    </row>
    <row r="1027" spans="1:5" hidden="1" x14ac:dyDescent="0.3">
      <c r="A1027" t="s">
        <v>552</v>
      </c>
      <c r="B1027" t="s">
        <v>660</v>
      </c>
      <c r="C1027" t="s">
        <v>116</v>
      </c>
      <c r="D1027" s="226">
        <v>-23725.61</v>
      </c>
      <c r="E1027" t="s">
        <v>661</v>
      </c>
    </row>
    <row r="1028" spans="1:5" hidden="1" x14ac:dyDescent="0.3">
      <c r="A1028" t="s">
        <v>552</v>
      </c>
      <c r="B1028" t="s">
        <v>660</v>
      </c>
      <c r="C1028" t="s">
        <v>118</v>
      </c>
      <c r="D1028" s="226">
        <v>0</v>
      </c>
      <c r="E1028" t="s">
        <v>661</v>
      </c>
    </row>
    <row r="1029" spans="1:5" hidden="1" x14ac:dyDescent="0.3">
      <c r="A1029" t="s">
        <v>552</v>
      </c>
      <c r="B1029" t="s">
        <v>660</v>
      </c>
      <c r="C1029" t="s">
        <v>120</v>
      </c>
      <c r="D1029" s="226">
        <v>0</v>
      </c>
      <c r="E1029" t="s">
        <v>661</v>
      </c>
    </row>
    <row r="1030" spans="1:5" hidden="1" x14ac:dyDescent="0.3">
      <c r="A1030" t="s">
        <v>552</v>
      </c>
      <c r="B1030" t="s">
        <v>660</v>
      </c>
      <c r="C1030" t="s">
        <v>122</v>
      </c>
      <c r="D1030" s="226">
        <v>-2416.81</v>
      </c>
      <c r="E1030" t="s">
        <v>661</v>
      </c>
    </row>
    <row r="1031" spans="1:5" hidden="1" x14ac:dyDescent="0.3">
      <c r="A1031" t="s">
        <v>552</v>
      </c>
      <c r="B1031" t="s">
        <v>660</v>
      </c>
      <c r="C1031" t="s">
        <v>44</v>
      </c>
      <c r="D1031" s="226">
        <v>-0.02</v>
      </c>
      <c r="E1031" t="s">
        <v>661</v>
      </c>
    </row>
    <row r="1032" spans="1:5" hidden="1" x14ac:dyDescent="0.3">
      <c r="A1032" t="s">
        <v>552</v>
      </c>
      <c r="B1032" t="s">
        <v>660</v>
      </c>
      <c r="C1032" t="s">
        <v>125</v>
      </c>
      <c r="D1032" s="226">
        <v>706006.79</v>
      </c>
      <c r="E1032" t="s">
        <v>661</v>
      </c>
    </row>
    <row r="1033" spans="1:5" hidden="1" x14ac:dyDescent="0.3">
      <c r="A1033" t="s">
        <v>552</v>
      </c>
      <c r="B1033" t="s">
        <v>660</v>
      </c>
      <c r="C1033" t="s">
        <v>126</v>
      </c>
      <c r="D1033" s="226">
        <v>0.56999999999999995</v>
      </c>
      <c r="E1033" t="s">
        <v>661</v>
      </c>
    </row>
    <row r="1034" spans="1:5" hidden="1" x14ac:dyDescent="0.3">
      <c r="A1034" t="s">
        <v>552</v>
      </c>
      <c r="B1034" t="s">
        <v>660</v>
      </c>
      <c r="C1034" t="s">
        <v>127</v>
      </c>
      <c r="D1034" s="226">
        <v>-254178.06</v>
      </c>
      <c r="E1034" t="s">
        <v>661</v>
      </c>
    </row>
    <row r="1035" spans="1:5" hidden="1" x14ac:dyDescent="0.3">
      <c r="A1035" t="s">
        <v>552</v>
      </c>
      <c r="B1035" t="s">
        <v>660</v>
      </c>
      <c r="C1035" t="s">
        <v>128</v>
      </c>
      <c r="D1035" s="226">
        <v>-43170</v>
      </c>
      <c r="E1035" t="s">
        <v>661</v>
      </c>
    </row>
    <row r="1036" spans="1:5" hidden="1" x14ac:dyDescent="0.3">
      <c r="A1036" t="s">
        <v>552</v>
      </c>
      <c r="B1036" t="s">
        <v>660</v>
      </c>
      <c r="C1036" t="s">
        <v>556</v>
      </c>
      <c r="D1036" s="226">
        <v>-9750</v>
      </c>
      <c r="E1036" t="s">
        <v>661</v>
      </c>
    </row>
    <row r="1037" spans="1:5" hidden="1" x14ac:dyDescent="0.3">
      <c r="A1037" t="s">
        <v>552</v>
      </c>
      <c r="B1037" t="s">
        <v>660</v>
      </c>
      <c r="C1037" t="s">
        <v>557</v>
      </c>
      <c r="D1037" s="226">
        <v>-5280</v>
      </c>
      <c r="E1037" t="s">
        <v>661</v>
      </c>
    </row>
    <row r="1038" spans="1:5" hidden="1" x14ac:dyDescent="0.3">
      <c r="A1038" t="s">
        <v>552</v>
      </c>
      <c r="B1038" t="s">
        <v>660</v>
      </c>
      <c r="C1038" t="s">
        <v>558</v>
      </c>
      <c r="D1038" s="226">
        <v>0</v>
      </c>
      <c r="E1038" t="s">
        <v>661</v>
      </c>
    </row>
    <row r="1039" spans="1:5" hidden="1" x14ac:dyDescent="0.3">
      <c r="A1039" t="s">
        <v>552</v>
      </c>
      <c r="B1039" t="s">
        <v>660</v>
      </c>
      <c r="C1039" t="s">
        <v>559</v>
      </c>
      <c r="D1039" s="226">
        <v>-14640</v>
      </c>
      <c r="E1039" t="s">
        <v>661</v>
      </c>
    </row>
    <row r="1040" spans="1:5" hidden="1" x14ac:dyDescent="0.3">
      <c r="A1040" t="s">
        <v>552</v>
      </c>
      <c r="B1040" t="s">
        <v>660</v>
      </c>
      <c r="C1040" t="s">
        <v>560</v>
      </c>
      <c r="D1040" s="226">
        <v>-2500</v>
      </c>
      <c r="E1040" t="s">
        <v>661</v>
      </c>
    </row>
    <row r="1041" spans="1:5" hidden="1" x14ac:dyDescent="0.3">
      <c r="A1041" t="s">
        <v>552</v>
      </c>
      <c r="B1041" t="s">
        <v>660</v>
      </c>
      <c r="C1041" t="s">
        <v>561</v>
      </c>
      <c r="D1041" s="226">
        <v>-7000</v>
      </c>
      <c r="E1041" t="s">
        <v>661</v>
      </c>
    </row>
    <row r="1042" spans="1:5" hidden="1" x14ac:dyDescent="0.3">
      <c r="A1042" t="s">
        <v>552</v>
      </c>
      <c r="B1042" t="s">
        <v>660</v>
      </c>
      <c r="C1042" t="s">
        <v>562</v>
      </c>
      <c r="D1042" s="226">
        <v>-4000</v>
      </c>
      <c r="E1042" t="s">
        <v>661</v>
      </c>
    </row>
    <row r="1043" spans="1:5" hidden="1" x14ac:dyDescent="0.3">
      <c r="A1043" t="s">
        <v>552</v>
      </c>
      <c r="B1043" t="s">
        <v>660</v>
      </c>
      <c r="C1043" t="s">
        <v>563</v>
      </c>
      <c r="D1043" s="226">
        <v>0</v>
      </c>
      <c r="E1043" t="s">
        <v>661</v>
      </c>
    </row>
    <row r="1044" spans="1:5" hidden="1" x14ac:dyDescent="0.3">
      <c r="A1044" t="s">
        <v>552</v>
      </c>
      <c r="B1044" t="s">
        <v>660</v>
      </c>
      <c r="C1044" t="s">
        <v>564</v>
      </c>
      <c r="D1044" s="226">
        <v>0</v>
      </c>
      <c r="E1044" t="s">
        <v>661</v>
      </c>
    </row>
    <row r="1045" spans="1:5" hidden="1" x14ac:dyDescent="0.3">
      <c r="A1045" t="s">
        <v>552</v>
      </c>
      <c r="B1045" t="s">
        <v>660</v>
      </c>
      <c r="C1045" t="s">
        <v>565</v>
      </c>
      <c r="D1045" s="226">
        <v>0</v>
      </c>
      <c r="E1045" t="s">
        <v>661</v>
      </c>
    </row>
    <row r="1046" spans="1:5" hidden="1" x14ac:dyDescent="0.3">
      <c r="A1046" t="s">
        <v>552</v>
      </c>
      <c r="B1046" t="s">
        <v>660</v>
      </c>
      <c r="C1046" t="s">
        <v>566</v>
      </c>
      <c r="D1046" s="226">
        <v>0</v>
      </c>
      <c r="E1046" t="s">
        <v>661</v>
      </c>
    </row>
    <row r="1047" spans="1:5" hidden="1" x14ac:dyDescent="0.3">
      <c r="A1047" t="s">
        <v>552</v>
      </c>
      <c r="B1047" t="s">
        <v>660</v>
      </c>
      <c r="C1047" t="s">
        <v>567</v>
      </c>
      <c r="D1047" s="226">
        <v>0</v>
      </c>
      <c r="E1047" t="s">
        <v>661</v>
      </c>
    </row>
    <row r="1048" spans="1:5" hidden="1" x14ac:dyDescent="0.3">
      <c r="A1048" t="s">
        <v>552</v>
      </c>
      <c r="B1048" t="s">
        <v>660</v>
      </c>
      <c r="C1048" t="s">
        <v>141</v>
      </c>
      <c r="D1048" s="226">
        <v>-54279.55</v>
      </c>
      <c r="E1048" t="s">
        <v>661</v>
      </c>
    </row>
    <row r="1049" spans="1:5" hidden="1" x14ac:dyDescent="0.3">
      <c r="A1049" t="s">
        <v>552</v>
      </c>
      <c r="B1049" t="s">
        <v>660</v>
      </c>
      <c r="C1049" t="s">
        <v>568</v>
      </c>
      <c r="D1049" s="226">
        <v>3596</v>
      </c>
      <c r="E1049" t="s">
        <v>661</v>
      </c>
    </row>
    <row r="1050" spans="1:5" hidden="1" x14ac:dyDescent="0.3">
      <c r="A1050" t="s">
        <v>552</v>
      </c>
      <c r="B1050" t="s">
        <v>660</v>
      </c>
      <c r="C1050" t="s">
        <v>569</v>
      </c>
      <c r="D1050" s="226">
        <v>2272.67</v>
      </c>
      <c r="E1050" t="s">
        <v>661</v>
      </c>
    </row>
    <row r="1051" spans="1:5" hidden="1" x14ac:dyDescent="0.3">
      <c r="A1051" t="s">
        <v>552</v>
      </c>
      <c r="B1051" t="s">
        <v>660</v>
      </c>
      <c r="C1051" t="s">
        <v>570</v>
      </c>
      <c r="D1051" s="226">
        <v>2264.67</v>
      </c>
      <c r="E1051" t="s">
        <v>661</v>
      </c>
    </row>
    <row r="1052" spans="1:5" hidden="1" x14ac:dyDescent="0.3">
      <c r="A1052" t="s">
        <v>552</v>
      </c>
      <c r="B1052" t="s">
        <v>660</v>
      </c>
      <c r="C1052" t="s">
        <v>571</v>
      </c>
      <c r="D1052" s="226">
        <v>2264.67</v>
      </c>
      <c r="E1052" t="s">
        <v>661</v>
      </c>
    </row>
    <row r="1053" spans="1:5" hidden="1" x14ac:dyDescent="0.3">
      <c r="A1053" t="s">
        <v>552</v>
      </c>
      <c r="B1053" t="s">
        <v>660</v>
      </c>
      <c r="C1053" t="s">
        <v>572</v>
      </c>
      <c r="D1053" s="226">
        <v>0</v>
      </c>
      <c r="E1053" t="s">
        <v>661</v>
      </c>
    </row>
    <row r="1054" spans="1:5" hidden="1" x14ac:dyDescent="0.3">
      <c r="A1054" t="s">
        <v>552</v>
      </c>
      <c r="B1054" t="s">
        <v>660</v>
      </c>
      <c r="C1054" t="s">
        <v>573</v>
      </c>
      <c r="D1054" s="226">
        <v>1834.03</v>
      </c>
      <c r="E1054" t="s">
        <v>661</v>
      </c>
    </row>
    <row r="1055" spans="1:5" hidden="1" x14ac:dyDescent="0.3">
      <c r="A1055" t="s">
        <v>552</v>
      </c>
      <c r="B1055" t="s">
        <v>660</v>
      </c>
      <c r="C1055" t="s">
        <v>574</v>
      </c>
      <c r="D1055" s="226">
        <v>0</v>
      </c>
      <c r="E1055" t="s">
        <v>661</v>
      </c>
    </row>
    <row r="1056" spans="1:5" hidden="1" x14ac:dyDescent="0.3">
      <c r="A1056" t="s">
        <v>552</v>
      </c>
      <c r="B1056" t="s">
        <v>660</v>
      </c>
      <c r="C1056" t="s">
        <v>575</v>
      </c>
      <c r="D1056" s="226">
        <v>0</v>
      </c>
      <c r="E1056" t="s">
        <v>661</v>
      </c>
    </row>
    <row r="1057" spans="1:5" hidden="1" x14ac:dyDescent="0.3">
      <c r="A1057" t="s">
        <v>552</v>
      </c>
      <c r="B1057" t="s">
        <v>660</v>
      </c>
      <c r="C1057" t="s">
        <v>576</v>
      </c>
      <c r="D1057" s="226">
        <v>2667.52</v>
      </c>
      <c r="E1057" t="s">
        <v>661</v>
      </c>
    </row>
    <row r="1058" spans="1:5" hidden="1" x14ac:dyDescent="0.3">
      <c r="A1058" t="s">
        <v>552</v>
      </c>
      <c r="B1058" t="s">
        <v>660</v>
      </c>
      <c r="C1058" t="s">
        <v>577</v>
      </c>
      <c r="D1058" s="226">
        <v>2019.27</v>
      </c>
      <c r="E1058" t="s">
        <v>661</v>
      </c>
    </row>
    <row r="1059" spans="1:5" hidden="1" x14ac:dyDescent="0.3">
      <c r="A1059" t="s">
        <v>552</v>
      </c>
      <c r="B1059" t="s">
        <v>660</v>
      </c>
      <c r="C1059" t="s">
        <v>578</v>
      </c>
      <c r="D1059" s="226">
        <v>1834.03</v>
      </c>
      <c r="E1059" t="s">
        <v>661</v>
      </c>
    </row>
    <row r="1060" spans="1:5" hidden="1" x14ac:dyDescent="0.3">
      <c r="A1060" t="s">
        <v>552</v>
      </c>
      <c r="B1060" t="s">
        <v>660</v>
      </c>
      <c r="C1060" t="s">
        <v>579</v>
      </c>
      <c r="D1060" s="226">
        <v>0</v>
      </c>
      <c r="E1060" t="s">
        <v>661</v>
      </c>
    </row>
    <row r="1061" spans="1:5" hidden="1" x14ac:dyDescent="0.3">
      <c r="A1061" t="s">
        <v>552</v>
      </c>
      <c r="B1061" t="s">
        <v>660</v>
      </c>
      <c r="C1061" t="s">
        <v>580</v>
      </c>
      <c r="D1061" s="226">
        <v>0</v>
      </c>
      <c r="E1061" t="s">
        <v>661</v>
      </c>
    </row>
    <row r="1062" spans="1:5" hidden="1" x14ac:dyDescent="0.3">
      <c r="A1062" t="s">
        <v>552</v>
      </c>
      <c r="B1062" t="s">
        <v>660</v>
      </c>
      <c r="C1062" t="s">
        <v>581</v>
      </c>
      <c r="D1062" s="226">
        <v>0</v>
      </c>
      <c r="E1062" t="s">
        <v>661</v>
      </c>
    </row>
    <row r="1063" spans="1:5" hidden="1" x14ac:dyDescent="0.3">
      <c r="A1063" t="s">
        <v>552</v>
      </c>
      <c r="B1063" t="s">
        <v>660</v>
      </c>
      <c r="C1063" t="s">
        <v>582</v>
      </c>
      <c r="D1063" s="226">
        <v>0</v>
      </c>
      <c r="E1063" t="s">
        <v>661</v>
      </c>
    </row>
    <row r="1064" spans="1:5" hidden="1" x14ac:dyDescent="0.3">
      <c r="A1064" t="s">
        <v>552</v>
      </c>
      <c r="B1064" t="s">
        <v>660</v>
      </c>
      <c r="C1064" t="s">
        <v>583</v>
      </c>
      <c r="D1064" s="226">
        <v>0</v>
      </c>
      <c r="E1064" t="s">
        <v>661</v>
      </c>
    </row>
    <row r="1065" spans="1:5" hidden="1" x14ac:dyDescent="0.3">
      <c r="A1065" t="s">
        <v>552</v>
      </c>
      <c r="B1065" t="s">
        <v>660</v>
      </c>
      <c r="C1065" t="s">
        <v>584</v>
      </c>
      <c r="D1065" s="226">
        <v>0</v>
      </c>
      <c r="E1065" t="s">
        <v>661</v>
      </c>
    </row>
    <row r="1066" spans="1:5" hidden="1" x14ac:dyDescent="0.3">
      <c r="A1066" t="s">
        <v>552</v>
      </c>
      <c r="B1066" t="s">
        <v>660</v>
      </c>
      <c r="C1066" t="s">
        <v>585</v>
      </c>
      <c r="D1066" s="226">
        <v>0</v>
      </c>
      <c r="E1066" t="s">
        <v>661</v>
      </c>
    </row>
    <row r="1067" spans="1:5" hidden="1" x14ac:dyDescent="0.3">
      <c r="A1067" t="s">
        <v>552</v>
      </c>
      <c r="B1067" t="s">
        <v>660</v>
      </c>
      <c r="C1067" t="s">
        <v>586</v>
      </c>
      <c r="D1067" s="226">
        <v>3503</v>
      </c>
      <c r="E1067" t="s">
        <v>661</v>
      </c>
    </row>
    <row r="1068" spans="1:5" hidden="1" x14ac:dyDescent="0.3">
      <c r="A1068" t="s">
        <v>552</v>
      </c>
      <c r="B1068" t="s">
        <v>660</v>
      </c>
      <c r="C1068" t="s">
        <v>587</v>
      </c>
      <c r="D1068" s="226">
        <v>2669.58</v>
      </c>
      <c r="E1068" t="s">
        <v>661</v>
      </c>
    </row>
    <row r="1069" spans="1:5" hidden="1" x14ac:dyDescent="0.3">
      <c r="A1069" t="s">
        <v>552</v>
      </c>
      <c r="B1069" t="s">
        <v>660</v>
      </c>
      <c r="C1069" t="s">
        <v>588</v>
      </c>
      <c r="D1069" s="226">
        <v>2320.77</v>
      </c>
      <c r="E1069" t="s">
        <v>661</v>
      </c>
    </row>
    <row r="1070" spans="1:5" hidden="1" x14ac:dyDescent="0.3">
      <c r="A1070" t="s">
        <v>552</v>
      </c>
      <c r="B1070" t="s">
        <v>660</v>
      </c>
      <c r="C1070" t="s">
        <v>589</v>
      </c>
      <c r="D1070" s="226">
        <v>2020.27</v>
      </c>
      <c r="E1070" t="s">
        <v>661</v>
      </c>
    </row>
    <row r="1071" spans="1:5" hidden="1" x14ac:dyDescent="0.3">
      <c r="A1071" t="s">
        <v>552</v>
      </c>
      <c r="B1071" t="s">
        <v>660</v>
      </c>
      <c r="C1071" t="s">
        <v>590</v>
      </c>
      <c r="D1071" s="226">
        <v>1834.03</v>
      </c>
      <c r="E1071" t="s">
        <v>661</v>
      </c>
    </row>
    <row r="1072" spans="1:5" hidden="1" x14ac:dyDescent="0.3">
      <c r="A1072" t="s">
        <v>552</v>
      </c>
      <c r="B1072" t="s">
        <v>660</v>
      </c>
      <c r="C1072" t="s">
        <v>591</v>
      </c>
      <c r="D1072" s="226">
        <v>0</v>
      </c>
      <c r="E1072" t="s">
        <v>661</v>
      </c>
    </row>
    <row r="1073" spans="1:5" hidden="1" x14ac:dyDescent="0.3">
      <c r="A1073" t="s">
        <v>552</v>
      </c>
      <c r="B1073" t="s">
        <v>660</v>
      </c>
      <c r="C1073" t="s">
        <v>592</v>
      </c>
      <c r="D1073" s="226">
        <v>1834.03</v>
      </c>
      <c r="E1073" t="s">
        <v>661</v>
      </c>
    </row>
    <row r="1074" spans="1:5" hidden="1" x14ac:dyDescent="0.3">
      <c r="A1074" t="s">
        <v>552</v>
      </c>
      <c r="B1074" t="s">
        <v>660</v>
      </c>
      <c r="C1074" t="s">
        <v>593</v>
      </c>
      <c r="D1074" s="226">
        <v>0</v>
      </c>
      <c r="E1074" t="s">
        <v>661</v>
      </c>
    </row>
    <row r="1075" spans="1:5" hidden="1" x14ac:dyDescent="0.3">
      <c r="A1075" t="s">
        <v>552</v>
      </c>
      <c r="B1075" t="s">
        <v>660</v>
      </c>
      <c r="C1075" t="s">
        <v>594</v>
      </c>
      <c r="D1075" s="226">
        <v>0</v>
      </c>
      <c r="E1075" t="s">
        <v>661</v>
      </c>
    </row>
    <row r="1076" spans="1:5" hidden="1" x14ac:dyDescent="0.3">
      <c r="A1076" t="s">
        <v>552</v>
      </c>
      <c r="B1076" t="s">
        <v>660</v>
      </c>
      <c r="C1076" t="s">
        <v>595</v>
      </c>
      <c r="D1076" s="226">
        <v>0</v>
      </c>
      <c r="E1076" t="s">
        <v>661</v>
      </c>
    </row>
    <row r="1077" spans="1:5" hidden="1" x14ac:dyDescent="0.3">
      <c r="A1077" t="s">
        <v>552</v>
      </c>
      <c r="B1077" t="s">
        <v>660</v>
      </c>
      <c r="C1077" t="s">
        <v>596</v>
      </c>
      <c r="D1077" s="226">
        <v>0</v>
      </c>
      <c r="E1077" t="s">
        <v>661</v>
      </c>
    </row>
    <row r="1078" spans="1:5" hidden="1" x14ac:dyDescent="0.3">
      <c r="A1078" t="s">
        <v>552</v>
      </c>
      <c r="B1078" t="s">
        <v>660</v>
      </c>
      <c r="C1078" t="s">
        <v>597</v>
      </c>
      <c r="D1078" s="226">
        <v>0</v>
      </c>
      <c r="E1078" t="s">
        <v>661</v>
      </c>
    </row>
    <row r="1079" spans="1:5" hidden="1" x14ac:dyDescent="0.3">
      <c r="A1079" t="s">
        <v>552</v>
      </c>
      <c r="B1079" t="s">
        <v>660</v>
      </c>
      <c r="C1079" t="s">
        <v>598</v>
      </c>
      <c r="D1079" s="226">
        <v>0</v>
      </c>
      <c r="E1079" t="s">
        <v>661</v>
      </c>
    </row>
    <row r="1080" spans="1:5" hidden="1" x14ac:dyDescent="0.3">
      <c r="A1080" t="s">
        <v>552</v>
      </c>
      <c r="B1080" t="s">
        <v>660</v>
      </c>
      <c r="C1080" t="s">
        <v>599</v>
      </c>
      <c r="D1080" s="226">
        <v>0</v>
      </c>
      <c r="E1080" t="s">
        <v>661</v>
      </c>
    </row>
    <row r="1081" spans="1:5" hidden="1" x14ac:dyDescent="0.3">
      <c r="A1081" t="s">
        <v>552</v>
      </c>
      <c r="B1081" t="s">
        <v>660</v>
      </c>
      <c r="C1081" t="s">
        <v>600</v>
      </c>
      <c r="D1081" s="226">
        <v>0</v>
      </c>
      <c r="E1081" t="s">
        <v>661</v>
      </c>
    </row>
    <row r="1082" spans="1:5" hidden="1" x14ac:dyDescent="0.3">
      <c r="A1082" t="s">
        <v>552</v>
      </c>
      <c r="B1082" t="s">
        <v>660</v>
      </c>
      <c r="C1082" t="s">
        <v>601</v>
      </c>
      <c r="D1082" s="226">
        <v>0</v>
      </c>
      <c r="E1082" t="s">
        <v>661</v>
      </c>
    </row>
    <row r="1083" spans="1:5" hidden="1" x14ac:dyDescent="0.3">
      <c r="A1083" t="s">
        <v>552</v>
      </c>
      <c r="B1083" t="s">
        <v>660</v>
      </c>
      <c r="C1083" t="s">
        <v>602</v>
      </c>
      <c r="D1083" s="226">
        <v>0</v>
      </c>
      <c r="E1083" t="s">
        <v>661</v>
      </c>
    </row>
    <row r="1084" spans="1:5" hidden="1" x14ac:dyDescent="0.3">
      <c r="A1084" t="s">
        <v>552</v>
      </c>
      <c r="B1084" t="s">
        <v>660</v>
      </c>
      <c r="C1084" t="s">
        <v>603</v>
      </c>
      <c r="D1084" s="226">
        <v>0</v>
      </c>
      <c r="E1084" t="s">
        <v>661</v>
      </c>
    </row>
    <row r="1085" spans="1:5" hidden="1" x14ac:dyDescent="0.3">
      <c r="A1085" t="s">
        <v>552</v>
      </c>
      <c r="B1085" t="s">
        <v>660</v>
      </c>
      <c r="C1085" t="s">
        <v>604</v>
      </c>
      <c r="D1085" s="226">
        <v>1835.03</v>
      </c>
      <c r="E1085" t="s">
        <v>661</v>
      </c>
    </row>
    <row r="1086" spans="1:5" hidden="1" x14ac:dyDescent="0.3">
      <c r="A1086" t="s">
        <v>552</v>
      </c>
      <c r="B1086" t="s">
        <v>660</v>
      </c>
      <c r="C1086" t="s">
        <v>605</v>
      </c>
      <c r="D1086" s="226">
        <v>0</v>
      </c>
      <c r="E1086" t="s">
        <v>661</v>
      </c>
    </row>
    <row r="1087" spans="1:5" hidden="1" x14ac:dyDescent="0.3">
      <c r="A1087" t="s">
        <v>552</v>
      </c>
      <c r="B1087" t="s">
        <v>660</v>
      </c>
      <c r="C1087" t="s">
        <v>606</v>
      </c>
      <c r="D1087" s="226">
        <v>0</v>
      </c>
      <c r="E1087" t="s">
        <v>661</v>
      </c>
    </row>
    <row r="1088" spans="1:5" hidden="1" x14ac:dyDescent="0.3">
      <c r="A1088" t="s">
        <v>552</v>
      </c>
      <c r="B1088" t="s">
        <v>660</v>
      </c>
      <c r="C1088" t="s">
        <v>607</v>
      </c>
      <c r="D1088" s="226">
        <v>0</v>
      </c>
      <c r="E1088" t="s">
        <v>661</v>
      </c>
    </row>
    <row r="1089" spans="1:5" hidden="1" x14ac:dyDescent="0.3">
      <c r="A1089" t="s">
        <v>552</v>
      </c>
      <c r="B1089" t="s">
        <v>660</v>
      </c>
      <c r="C1089" t="s">
        <v>608</v>
      </c>
      <c r="D1089" s="226">
        <v>0</v>
      </c>
      <c r="E1089" t="s">
        <v>661</v>
      </c>
    </row>
    <row r="1090" spans="1:5" hidden="1" x14ac:dyDescent="0.3">
      <c r="A1090" t="s">
        <v>552</v>
      </c>
      <c r="B1090" t="s">
        <v>660</v>
      </c>
      <c r="C1090" t="s">
        <v>609</v>
      </c>
      <c r="D1090" s="226">
        <v>0</v>
      </c>
      <c r="E1090" t="s">
        <v>661</v>
      </c>
    </row>
    <row r="1091" spans="1:5" hidden="1" x14ac:dyDescent="0.3">
      <c r="A1091" t="s">
        <v>552</v>
      </c>
      <c r="B1091" t="s">
        <v>660</v>
      </c>
      <c r="C1091" t="s">
        <v>610</v>
      </c>
      <c r="D1091" s="226">
        <v>0</v>
      </c>
      <c r="E1091" t="s">
        <v>661</v>
      </c>
    </row>
    <row r="1092" spans="1:5" hidden="1" x14ac:dyDescent="0.3">
      <c r="A1092" t="s">
        <v>552</v>
      </c>
      <c r="B1092" t="s">
        <v>660</v>
      </c>
      <c r="C1092" t="s">
        <v>611</v>
      </c>
      <c r="D1092" s="226">
        <v>0</v>
      </c>
      <c r="E1092" t="s">
        <v>661</v>
      </c>
    </row>
    <row r="1093" spans="1:5" hidden="1" x14ac:dyDescent="0.3">
      <c r="A1093" t="s">
        <v>552</v>
      </c>
      <c r="B1093" t="s">
        <v>660</v>
      </c>
      <c r="C1093" t="s">
        <v>612</v>
      </c>
      <c r="D1093" s="226">
        <v>0</v>
      </c>
      <c r="E1093" t="s">
        <v>661</v>
      </c>
    </row>
    <row r="1094" spans="1:5" hidden="1" x14ac:dyDescent="0.3">
      <c r="A1094" t="s">
        <v>552</v>
      </c>
      <c r="B1094" t="s">
        <v>660</v>
      </c>
      <c r="C1094" t="s">
        <v>613</v>
      </c>
      <c r="D1094" s="226">
        <v>0</v>
      </c>
      <c r="E1094" t="s">
        <v>661</v>
      </c>
    </row>
    <row r="1095" spans="1:5" hidden="1" x14ac:dyDescent="0.3">
      <c r="A1095" t="s">
        <v>552</v>
      </c>
      <c r="B1095" t="s">
        <v>660</v>
      </c>
      <c r="C1095" t="s">
        <v>614</v>
      </c>
      <c r="D1095" s="226">
        <v>0</v>
      </c>
      <c r="E1095" t="s">
        <v>661</v>
      </c>
    </row>
    <row r="1096" spans="1:5" hidden="1" x14ac:dyDescent="0.3">
      <c r="A1096" t="s">
        <v>552</v>
      </c>
      <c r="B1096" t="s">
        <v>660</v>
      </c>
      <c r="C1096" t="s">
        <v>615</v>
      </c>
      <c r="D1096" s="226">
        <v>0</v>
      </c>
      <c r="E1096" t="s">
        <v>661</v>
      </c>
    </row>
    <row r="1097" spans="1:5" hidden="1" x14ac:dyDescent="0.3">
      <c r="A1097" t="s">
        <v>552</v>
      </c>
      <c r="B1097" t="s">
        <v>660</v>
      </c>
      <c r="C1097" t="s">
        <v>616</v>
      </c>
      <c r="D1097" s="226">
        <v>0</v>
      </c>
      <c r="E1097" t="s">
        <v>661</v>
      </c>
    </row>
    <row r="1098" spans="1:5" hidden="1" x14ac:dyDescent="0.3">
      <c r="A1098" t="s">
        <v>552</v>
      </c>
      <c r="B1098" t="s">
        <v>660</v>
      </c>
      <c r="C1098" t="s">
        <v>617</v>
      </c>
      <c r="D1098" s="226">
        <v>0</v>
      </c>
      <c r="E1098" t="s">
        <v>661</v>
      </c>
    </row>
    <row r="1099" spans="1:5" hidden="1" x14ac:dyDescent="0.3">
      <c r="A1099" t="s">
        <v>552</v>
      </c>
      <c r="B1099" t="s">
        <v>660</v>
      </c>
      <c r="C1099" t="s">
        <v>618</v>
      </c>
      <c r="D1099" s="226">
        <v>0</v>
      </c>
      <c r="E1099" t="s">
        <v>661</v>
      </c>
    </row>
    <row r="1100" spans="1:5" hidden="1" x14ac:dyDescent="0.3">
      <c r="A1100" t="s">
        <v>552</v>
      </c>
      <c r="B1100" t="s">
        <v>660</v>
      </c>
      <c r="C1100" t="s">
        <v>619</v>
      </c>
      <c r="D1100" s="226">
        <v>2318.77</v>
      </c>
      <c r="E1100" t="s">
        <v>661</v>
      </c>
    </row>
    <row r="1101" spans="1:5" hidden="1" x14ac:dyDescent="0.3">
      <c r="A1101" t="s">
        <v>552</v>
      </c>
      <c r="B1101" t="s">
        <v>660</v>
      </c>
      <c r="C1101" t="s">
        <v>620</v>
      </c>
      <c r="D1101" s="226">
        <v>0</v>
      </c>
      <c r="E1101" t="s">
        <v>661</v>
      </c>
    </row>
    <row r="1102" spans="1:5" hidden="1" x14ac:dyDescent="0.3">
      <c r="A1102" t="s">
        <v>552</v>
      </c>
      <c r="B1102" t="s">
        <v>660</v>
      </c>
      <c r="C1102" t="s">
        <v>621</v>
      </c>
      <c r="D1102" s="226">
        <v>0</v>
      </c>
      <c r="E1102" t="s">
        <v>661</v>
      </c>
    </row>
    <row r="1103" spans="1:5" hidden="1" x14ac:dyDescent="0.3">
      <c r="A1103" t="s">
        <v>552</v>
      </c>
      <c r="B1103" t="s">
        <v>660</v>
      </c>
      <c r="C1103" t="s">
        <v>622</v>
      </c>
      <c r="D1103" s="226">
        <v>0</v>
      </c>
      <c r="E1103" t="s">
        <v>661</v>
      </c>
    </row>
    <row r="1104" spans="1:5" hidden="1" x14ac:dyDescent="0.3">
      <c r="A1104" t="s">
        <v>552</v>
      </c>
      <c r="B1104" t="s">
        <v>660</v>
      </c>
      <c r="C1104" t="s">
        <v>623</v>
      </c>
      <c r="D1104" s="226">
        <v>1907.49</v>
      </c>
      <c r="E1104" t="s">
        <v>661</v>
      </c>
    </row>
    <row r="1105" spans="1:5" hidden="1" x14ac:dyDescent="0.3">
      <c r="A1105" t="s">
        <v>552</v>
      </c>
      <c r="B1105" t="s">
        <v>660</v>
      </c>
      <c r="C1105" t="s">
        <v>624</v>
      </c>
      <c r="D1105" s="226">
        <v>0</v>
      </c>
      <c r="E1105" t="s">
        <v>661</v>
      </c>
    </row>
    <row r="1106" spans="1:5" hidden="1" x14ac:dyDescent="0.3">
      <c r="A1106" t="s">
        <v>552</v>
      </c>
      <c r="B1106" t="s">
        <v>660</v>
      </c>
      <c r="C1106" t="s">
        <v>200</v>
      </c>
      <c r="D1106" s="226">
        <v>-82519.490000000005</v>
      </c>
      <c r="E1106" t="s">
        <v>661</v>
      </c>
    </row>
    <row r="1107" spans="1:5" hidden="1" x14ac:dyDescent="0.3">
      <c r="A1107" t="s">
        <v>552</v>
      </c>
      <c r="B1107" t="s">
        <v>660</v>
      </c>
      <c r="C1107" t="s">
        <v>202</v>
      </c>
      <c r="D1107" s="226">
        <v>-82519.490000000005</v>
      </c>
      <c r="E1107" t="s">
        <v>661</v>
      </c>
    </row>
    <row r="1108" spans="1:5" hidden="1" x14ac:dyDescent="0.3">
      <c r="A1108" t="s">
        <v>552</v>
      </c>
      <c r="B1108" t="s">
        <v>660</v>
      </c>
      <c r="C1108" t="s">
        <v>625</v>
      </c>
      <c r="D1108" s="226">
        <v>41259.75</v>
      </c>
      <c r="E1108" t="s">
        <v>661</v>
      </c>
    </row>
    <row r="1109" spans="1:5" hidden="1" x14ac:dyDescent="0.3">
      <c r="A1109" t="s">
        <v>552</v>
      </c>
      <c r="B1109" t="s">
        <v>660</v>
      </c>
      <c r="C1109" t="s">
        <v>204</v>
      </c>
      <c r="D1109" s="226">
        <v>-36770.949999999997</v>
      </c>
      <c r="E1109" t="s">
        <v>661</v>
      </c>
    </row>
    <row r="1110" spans="1:5" hidden="1" x14ac:dyDescent="0.3">
      <c r="A1110" t="s">
        <v>552</v>
      </c>
      <c r="B1110" t="s">
        <v>660</v>
      </c>
      <c r="C1110" t="s">
        <v>626</v>
      </c>
      <c r="D1110" s="226">
        <v>-5555.24</v>
      </c>
      <c r="E1110" t="s">
        <v>661</v>
      </c>
    </row>
    <row r="1111" spans="1:5" hidden="1" x14ac:dyDescent="0.3">
      <c r="A1111" t="s">
        <v>552</v>
      </c>
      <c r="B1111" t="s">
        <v>660</v>
      </c>
      <c r="C1111" t="s">
        <v>627</v>
      </c>
      <c r="D1111" s="226">
        <v>0</v>
      </c>
      <c r="E1111" t="s">
        <v>661</v>
      </c>
    </row>
    <row r="1112" spans="1:5" hidden="1" x14ac:dyDescent="0.3">
      <c r="A1112" t="s">
        <v>552</v>
      </c>
      <c r="B1112" t="s">
        <v>660</v>
      </c>
      <c r="C1112" t="s">
        <v>628</v>
      </c>
      <c r="D1112" s="226">
        <v>0</v>
      </c>
      <c r="E1112" t="s">
        <v>661</v>
      </c>
    </row>
    <row r="1113" spans="1:5" hidden="1" x14ac:dyDescent="0.3">
      <c r="A1113" t="s">
        <v>552</v>
      </c>
      <c r="B1113" t="s">
        <v>660</v>
      </c>
      <c r="C1113" t="s">
        <v>629</v>
      </c>
      <c r="D1113" s="226">
        <v>-10560.91</v>
      </c>
      <c r="E1113" t="s">
        <v>661</v>
      </c>
    </row>
    <row r="1114" spans="1:5" hidden="1" x14ac:dyDescent="0.3">
      <c r="A1114" t="s">
        <v>552</v>
      </c>
      <c r="B1114" t="s">
        <v>660</v>
      </c>
      <c r="C1114" t="s">
        <v>630</v>
      </c>
      <c r="D1114" s="226">
        <v>0</v>
      </c>
      <c r="E1114" t="s">
        <v>661</v>
      </c>
    </row>
    <row r="1115" spans="1:5" hidden="1" x14ac:dyDescent="0.3">
      <c r="A1115" t="s">
        <v>552</v>
      </c>
      <c r="B1115" t="s">
        <v>660</v>
      </c>
      <c r="C1115" t="s">
        <v>631</v>
      </c>
      <c r="D1115" s="226">
        <v>-3558.29</v>
      </c>
      <c r="E1115" t="s">
        <v>661</v>
      </c>
    </row>
    <row r="1116" spans="1:5" hidden="1" x14ac:dyDescent="0.3">
      <c r="A1116" t="s">
        <v>552</v>
      </c>
      <c r="B1116" t="s">
        <v>660</v>
      </c>
      <c r="C1116" t="s">
        <v>632</v>
      </c>
      <c r="D1116" s="226">
        <v>-1063.69</v>
      </c>
      <c r="E1116" t="s">
        <v>661</v>
      </c>
    </row>
    <row r="1117" spans="1:5" hidden="1" x14ac:dyDescent="0.3">
      <c r="A1117" t="s">
        <v>552</v>
      </c>
      <c r="B1117" t="s">
        <v>660</v>
      </c>
      <c r="C1117" t="s">
        <v>633</v>
      </c>
      <c r="D1117" s="226">
        <v>0</v>
      </c>
      <c r="E1117" t="s">
        <v>661</v>
      </c>
    </row>
    <row r="1118" spans="1:5" hidden="1" x14ac:dyDescent="0.3">
      <c r="A1118" t="s">
        <v>552</v>
      </c>
      <c r="B1118" t="s">
        <v>660</v>
      </c>
      <c r="C1118" t="s">
        <v>634</v>
      </c>
      <c r="D1118" s="226">
        <v>0</v>
      </c>
      <c r="E1118" t="s">
        <v>661</v>
      </c>
    </row>
    <row r="1119" spans="1:5" hidden="1" x14ac:dyDescent="0.3">
      <c r="A1119" t="s">
        <v>552</v>
      </c>
      <c r="B1119" t="s">
        <v>660</v>
      </c>
      <c r="C1119" t="s">
        <v>635</v>
      </c>
      <c r="D1119" s="226">
        <v>0</v>
      </c>
      <c r="E1119" t="s">
        <v>661</v>
      </c>
    </row>
    <row r="1120" spans="1:5" hidden="1" x14ac:dyDescent="0.3">
      <c r="A1120" t="s">
        <v>552</v>
      </c>
      <c r="B1120" t="s">
        <v>660</v>
      </c>
      <c r="C1120" t="s">
        <v>636</v>
      </c>
      <c r="D1120" s="226">
        <v>-338.22</v>
      </c>
      <c r="E1120" t="s">
        <v>661</v>
      </c>
    </row>
    <row r="1121" spans="1:5" hidden="1" x14ac:dyDescent="0.3">
      <c r="A1121" t="s">
        <v>552</v>
      </c>
      <c r="B1121" t="s">
        <v>660</v>
      </c>
      <c r="C1121" t="s">
        <v>637</v>
      </c>
      <c r="D1121" s="226">
        <v>-12500</v>
      </c>
      <c r="E1121" t="s">
        <v>661</v>
      </c>
    </row>
    <row r="1122" spans="1:5" hidden="1" x14ac:dyDescent="0.3">
      <c r="A1122" t="s">
        <v>552</v>
      </c>
      <c r="B1122" t="s">
        <v>660</v>
      </c>
      <c r="C1122" t="s">
        <v>638</v>
      </c>
      <c r="D1122" s="226">
        <v>0</v>
      </c>
      <c r="E1122" t="s">
        <v>661</v>
      </c>
    </row>
    <row r="1123" spans="1:5" hidden="1" x14ac:dyDescent="0.3">
      <c r="A1123" t="s">
        <v>552</v>
      </c>
      <c r="B1123" t="s">
        <v>660</v>
      </c>
      <c r="C1123" t="s">
        <v>639</v>
      </c>
      <c r="D1123" s="226">
        <v>-3194.6</v>
      </c>
      <c r="E1123" t="s">
        <v>661</v>
      </c>
    </row>
    <row r="1124" spans="1:5" hidden="1" x14ac:dyDescent="0.3">
      <c r="A1124" t="s">
        <v>552</v>
      </c>
      <c r="B1124" t="s">
        <v>660</v>
      </c>
      <c r="C1124" t="s">
        <v>640</v>
      </c>
      <c r="D1124" s="226">
        <v>0</v>
      </c>
      <c r="E1124" t="s">
        <v>661</v>
      </c>
    </row>
    <row r="1125" spans="1:5" hidden="1" x14ac:dyDescent="0.3">
      <c r="A1125" t="s">
        <v>552</v>
      </c>
      <c r="B1125" t="s">
        <v>660</v>
      </c>
      <c r="C1125" t="s">
        <v>641</v>
      </c>
      <c r="D1125" s="226">
        <v>0</v>
      </c>
      <c r="E1125" t="s">
        <v>661</v>
      </c>
    </row>
    <row r="1126" spans="1:5" hidden="1" x14ac:dyDescent="0.3">
      <c r="A1126" t="s">
        <v>552</v>
      </c>
      <c r="B1126" t="s">
        <v>660</v>
      </c>
      <c r="C1126" t="s">
        <v>237</v>
      </c>
      <c r="D1126" s="226">
        <v>-9299.5300000000007</v>
      </c>
      <c r="E1126" t="s">
        <v>661</v>
      </c>
    </row>
    <row r="1127" spans="1:5" hidden="1" x14ac:dyDescent="0.3">
      <c r="A1127" t="s">
        <v>552</v>
      </c>
      <c r="B1127" t="s">
        <v>660</v>
      </c>
      <c r="C1127" t="s">
        <v>642</v>
      </c>
      <c r="D1127" s="226">
        <v>-9299.49</v>
      </c>
      <c r="E1127" t="s">
        <v>661</v>
      </c>
    </row>
    <row r="1128" spans="1:5" hidden="1" x14ac:dyDescent="0.3">
      <c r="A1128" t="s">
        <v>552</v>
      </c>
      <c r="B1128" t="s">
        <v>660</v>
      </c>
      <c r="C1128" t="s">
        <v>643</v>
      </c>
      <c r="D1128" s="226">
        <v>0</v>
      </c>
      <c r="E1128" t="s">
        <v>661</v>
      </c>
    </row>
    <row r="1129" spans="1:5" hidden="1" x14ac:dyDescent="0.3">
      <c r="A1129" t="s">
        <v>552</v>
      </c>
      <c r="B1129" t="s">
        <v>660</v>
      </c>
      <c r="C1129" t="s">
        <v>644</v>
      </c>
      <c r="D1129" s="226">
        <v>0</v>
      </c>
      <c r="E1129" t="s">
        <v>661</v>
      </c>
    </row>
    <row r="1130" spans="1:5" hidden="1" x14ac:dyDescent="0.3">
      <c r="A1130" t="s">
        <v>552</v>
      </c>
      <c r="B1130" t="s">
        <v>660</v>
      </c>
      <c r="C1130" t="s">
        <v>645</v>
      </c>
      <c r="D1130" s="226">
        <v>-0.04</v>
      </c>
      <c r="E1130" t="s">
        <v>661</v>
      </c>
    </row>
    <row r="1131" spans="1:5" hidden="1" x14ac:dyDescent="0.3">
      <c r="A1131" t="s">
        <v>552</v>
      </c>
      <c r="B1131" t="s">
        <v>660</v>
      </c>
      <c r="C1131" t="s">
        <v>646</v>
      </c>
      <c r="D1131" s="226">
        <v>0</v>
      </c>
      <c r="E1131" t="s">
        <v>661</v>
      </c>
    </row>
    <row r="1132" spans="1:5" hidden="1" x14ac:dyDescent="0.3">
      <c r="A1132" t="s">
        <v>552</v>
      </c>
      <c r="B1132" t="s">
        <v>660</v>
      </c>
      <c r="C1132" t="s">
        <v>244</v>
      </c>
      <c r="D1132" s="226">
        <v>-28138.55</v>
      </c>
      <c r="E1132" t="s">
        <v>661</v>
      </c>
    </row>
    <row r="1133" spans="1:5" hidden="1" x14ac:dyDescent="0.3">
      <c r="A1133" t="s">
        <v>552</v>
      </c>
      <c r="B1133" t="s">
        <v>660</v>
      </c>
      <c r="C1133" t="s">
        <v>647</v>
      </c>
      <c r="D1133" s="226">
        <v>-240</v>
      </c>
      <c r="E1133" t="s">
        <v>661</v>
      </c>
    </row>
    <row r="1134" spans="1:5" hidden="1" x14ac:dyDescent="0.3">
      <c r="A1134" t="s">
        <v>552</v>
      </c>
      <c r="B1134" t="s">
        <v>660</v>
      </c>
      <c r="C1134" t="s">
        <v>648</v>
      </c>
      <c r="D1134" s="226">
        <v>-627.30999999999995</v>
      </c>
      <c r="E1134" t="s">
        <v>661</v>
      </c>
    </row>
    <row r="1135" spans="1:5" hidden="1" x14ac:dyDescent="0.3">
      <c r="A1135" t="s">
        <v>552</v>
      </c>
      <c r="B1135" t="s">
        <v>660</v>
      </c>
      <c r="C1135" t="s">
        <v>649</v>
      </c>
      <c r="D1135" s="226">
        <v>0</v>
      </c>
      <c r="E1135" t="s">
        <v>661</v>
      </c>
    </row>
    <row r="1136" spans="1:5" hidden="1" x14ac:dyDescent="0.3">
      <c r="A1136" t="s">
        <v>552</v>
      </c>
      <c r="B1136" t="s">
        <v>660</v>
      </c>
      <c r="C1136" t="s">
        <v>650</v>
      </c>
      <c r="D1136" s="226">
        <v>0</v>
      </c>
      <c r="E1136" t="s">
        <v>661</v>
      </c>
    </row>
    <row r="1137" spans="1:5" hidden="1" x14ac:dyDescent="0.3">
      <c r="A1137" t="s">
        <v>552</v>
      </c>
      <c r="B1137" t="s">
        <v>660</v>
      </c>
      <c r="C1137" t="s">
        <v>651</v>
      </c>
      <c r="D1137" s="226">
        <v>0</v>
      </c>
      <c r="E1137" t="s">
        <v>661</v>
      </c>
    </row>
    <row r="1138" spans="1:5" hidden="1" x14ac:dyDescent="0.3">
      <c r="A1138" t="s">
        <v>552</v>
      </c>
      <c r="B1138" t="s">
        <v>660</v>
      </c>
      <c r="C1138" t="s">
        <v>652</v>
      </c>
      <c r="D1138" s="226">
        <v>-27271.24</v>
      </c>
      <c r="E1138" t="s">
        <v>661</v>
      </c>
    </row>
    <row r="1139" spans="1:5" hidden="1" x14ac:dyDescent="0.3">
      <c r="A1139" t="s">
        <v>552</v>
      </c>
      <c r="B1139" t="s">
        <v>660</v>
      </c>
      <c r="C1139" t="s">
        <v>653</v>
      </c>
      <c r="D1139" s="226">
        <v>0</v>
      </c>
      <c r="E1139" t="s">
        <v>661</v>
      </c>
    </row>
    <row r="1140" spans="1:5" hidden="1" x14ac:dyDescent="0.3">
      <c r="A1140" t="s">
        <v>552</v>
      </c>
      <c r="B1140" t="s">
        <v>660</v>
      </c>
      <c r="C1140" t="s">
        <v>253</v>
      </c>
      <c r="D1140" s="226">
        <v>-0.2</v>
      </c>
      <c r="E1140" t="s">
        <v>661</v>
      </c>
    </row>
    <row r="1141" spans="1:5" hidden="1" x14ac:dyDescent="0.3">
      <c r="A1141" t="s">
        <v>552</v>
      </c>
      <c r="B1141" t="s">
        <v>660</v>
      </c>
      <c r="C1141" t="s">
        <v>254</v>
      </c>
      <c r="D1141" s="226">
        <v>-0.17</v>
      </c>
      <c r="E1141" t="s">
        <v>661</v>
      </c>
    </row>
    <row r="1142" spans="1:5" hidden="1" x14ac:dyDescent="0.3">
      <c r="A1142" t="s">
        <v>552</v>
      </c>
      <c r="B1142" t="s">
        <v>660</v>
      </c>
      <c r="C1142" t="s">
        <v>255</v>
      </c>
      <c r="D1142" s="226">
        <v>-35245.03</v>
      </c>
      <c r="E1142" t="s">
        <v>661</v>
      </c>
    </row>
    <row r="1143" spans="1:5" hidden="1" x14ac:dyDescent="0.3">
      <c r="A1143" t="s">
        <v>552</v>
      </c>
      <c r="B1143" t="s">
        <v>660</v>
      </c>
      <c r="C1143" t="s">
        <v>256</v>
      </c>
      <c r="D1143" s="226">
        <v>-22875.41</v>
      </c>
      <c r="E1143" t="s">
        <v>661</v>
      </c>
    </row>
    <row r="1144" spans="1:5" hidden="1" x14ac:dyDescent="0.3">
      <c r="A1144" t="s">
        <v>552</v>
      </c>
      <c r="B1144" t="s">
        <v>660</v>
      </c>
      <c r="C1144" t="s">
        <v>257</v>
      </c>
      <c r="D1144" s="226">
        <v>-10639.69</v>
      </c>
      <c r="E1144" t="s">
        <v>661</v>
      </c>
    </row>
    <row r="1145" spans="1:5" hidden="1" x14ac:dyDescent="0.3">
      <c r="A1145" t="s">
        <v>552</v>
      </c>
      <c r="B1145" t="s">
        <v>660</v>
      </c>
      <c r="C1145" t="s">
        <v>258</v>
      </c>
      <c r="D1145" s="226">
        <v>-1729.93</v>
      </c>
      <c r="E1145" t="s">
        <v>661</v>
      </c>
    </row>
    <row r="1146" spans="1:5" hidden="1" x14ac:dyDescent="0.3">
      <c r="A1146" t="s">
        <v>552</v>
      </c>
      <c r="B1146" t="s">
        <v>660</v>
      </c>
      <c r="C1146" t="s">
        <v>259</v>
      </c>
      <c r="D1146" s="226">
        <v>0</v>
      </c>
      <c r="E1146" t="s">
        <v>661</v>
      </c>
    </row>
    <row r="1147" spans="1:5" hidden="1" x14ac:dyDescent="0.3">
      <c r="A1147" t="s">
        <v>552</v>
      </c>
      <c r="B1147" t="s">
        <v>660</v>
      </c>
      <c r="C1147" t="s">
        <v>260</v>
      </c>
      <c r="D1147" s="226">
        <v>0</v>
      </c>
      <c r="E1147" t="s">
        <v>661</v>
      </c>
    </row>
    <row r="1148" spans="1:5" hidden="1" x14ac:dyDescent="0.3">
      <c r="A1148" t="s">
        <v>552</v>
      </c>
      <c r="B1148" t="s">
        <v>660</v>
      </c>
      <c r="C1148" t="s">
        <v>261</v>
      </c>
      <c r="D1148" s="226">
        <v>0</v>
      </c>
      <c r="E1148" t="s">
        <v>661</v>
      </c>
    </row>
    <row r="1149" spans="1:5" hidden="1" x14ac:dyDescent="0.3">
      <c r="A1149" t="s">
        <v>552</v>
      </c>
      <c r="B1149" t="s">
        <v>660</v>
      </c>
      <c r="C1149" t="s">
        <v>262</v>
      </c>
      <c r="D1149" s="226">
        <v>0</v>
      </c>
      <c r="E1149" t="s">
        <v>661</v>
      </c>
    </row>
    <row r="1150" spans="1:5" hidden="1" x14ac:dyDescent="0.3">
      <c r="A1150" t="s">
        <v>552</v>
      </c>
      <c r="B1150" t="s">
        <v>660</v>
      </c>
      <c r="C1150" t="s">
        <v>44</v>
      </c>
      <c r="D1150" s="226">
        <v>-0.03</v>
      </c>
      <c r="E1150" t="s">
        <v>661</v>
      </c>
    </row>
    <row r="1151" spans="1:5" hidden="1" x14ac:dyDescent="0.3">
      <c r="A1151" t="s">
        <v>552</v>
      </c>
      <c r="B1151" t="s">
        <v>660</v>
      </c>
      <c r="C1151" t="s">
        <v>263</v>
      </c>
      <c r="D1151" s="226">
        <v>-69817.7</v>
      </c>
      <c r="E1151" t="s">
        <v>661</v>
      </c>
    </row>
    <row r="1152" spans="1:5" hidden="1" x14ac:dyDescent="0.3">
      <c r="A1152" t="s">
        <v>552</v>
      </c>
      <c r="B1152" t="s">
        <v>660</v>
      </c>
      <c r="C1152" t="s">
        <v>264</v>
      </c>
      <c r="D1152" s="226">
        <v>-12672</v>
      </c>
      <c r="E1152" t="s">
        <v>661</v>
      </c>
    </row>
    <row r="1153" spans="1:5" hidden="1" x14ac:dyDescent="0.3">
      <c r="A1153" t="s">
        <v>552</v>
      </c>
      <c r="B1153" t="s">
        <v>660</v>
      </c>
      <c r="C1153" t="s">
        <v>265</v>
      </c>
      <c r="D1153" s="226">
        <v>-15310.75</v>
      </c>
      <c r="E1153" t="s">
        <v>661</v>
      </c>
    </row>
    <row r="1154" spans="1:5" hidden="1" x14ac:dyDescent="0.3">
      <c r="A1154" t="s">
        <v>552</v>
      </c>
      <c r="B1154" t="s">
        <v>660</v>
      </c>
      <c r="C1154" t="s">
        <v>266</v>
      </c>
      <c r="D1154" s="226">
        <v>-12118.6</v>
      </c>
      <c r="E1154" t="s">
        <v>661</v>
      </c>
    </row>
    <row r="1155" spans="1:5" hidden="1" x14ac:dyDescent="0.3">
      <c r="A1155" t="s">
        <v>552</v>
      </c>
      <c r="B1155" t="s">
        <v>660</v>
      </c>
      <c r="C1155" t="s">
        <v>267</v>
      </c>
      <c r="D1155" s="226">
        <v>-15263.12</v>
      </c>
      <c r="E1155" t="s">
        <v>661</v>
      </c>
    </row>
    <row r="1156" spans="1:5" hidden="1" x14ac:dyDescent="0.3">
      <c r="A1156" t="s">
        <v>552</v>
      </c>
      <c r="B1156" t="s">
        <v>660</v>
      </c>
      <c r="C1156" t="s">
        <v>268</v>
      </c>
      <c r="D1156" s="226">
        <v>0</v>
      </c>
      <c r="E1156" t="s">
        <v>661</v>
      </c>
    </row>
    <row r="1157" spans="1:5" hidden="1" x14ac:dyDescent="0.3">
      <c r="A1157" t="s">
        <v>552</v>
      </c>
      <c r="B1157" t="s">
        <v>660</v>
      </c>
      <c r="C1157" t="s">
        <v>269</v>
      </c>
      <c r="D1157" s="226">
        <v>-600</v>
      </c>
      <c r="E1157" t="s">
        <v>661</v>
      </c>
    </row>
    <row r="1158" spans="1:5" hidden="1" x14ac:dyDescent="0.3">
      <c r="A1158" t="s">
        <v>552</v>
      </c>
      <c r="B1158" t="s">
        <v>660</v>
      </c>
      <c r="C1158" t="s">
        <v>270</v>
      </c>
      <c r="D1158" s="226">
        <v>-3249.19</v>
      </c>
      <c r="E1158" t="s">
        <v>661</v>
      </c>
    </row>
    <row r="1159" spans="1:5" hidden="1" x14ac:dyDescent="0.3">
      <c r="A1159" t="s">
        <v>552</v>
      </c>
      <c r="B1159" t="s">
        <v>660</v>
      </c>
      <c r="C1159" t="s">
        <v>271</v>
      </c>
      <c r="D1159" s="226">
        <v>-3050.88</v>
      </c>
      <c r="E1159" t="s">
        <v>661</v>
      </c>
    </row>
    <row r="1160" spans="1:5" hidden="1" x14ac:dyDescent="0.3">
      <c r="A1160" t="s">
        <v>552</v>
      </c>
      <c r="B1160" t="s">
        <v>660</v>
      </c>
      <c r="C1160" t="s">
        <v>272</v>
      </c>
      <c r="D1160" s="226">
        <v>0</v>
      </c>
      <c r="E1160" t="s">
        <v>661</v>
      </c>
    </row>
    <row r="1161" spans="1:5" hidden="1" x14ac:dyDescent="0.3">
      <c r="A1161" t="s">
        <v>552</v>
      </c>
      <c r="B1161" t="s">
        <v>660</v>
      </c>
      <c r="C1161" t="s">
        <v>273</v>
      </c>
      <c r="D1161" s="226">
        <v>0</v>
      </c>
      <c r="E1161" t="s">
        <v>661</v>
      </c>
    </row>
    <row r="1162" spans="1:5" hidden="1" x14ac:dyDescent="0.3">
      <c r="A1162" t="s">
        <v>552</v>
      </c>
      <c r="B1162" t="s">
        <v>660</v>
      </c>
      <c r="C1162" t="s">
        <v>274</v>
      </c>
      <c r="D1162" s="226">
        <v>-129.08000000000001</v>
      </c>
      <c r="E1162" t="s">
        <v>661</v>
      </c>
    </row>
    <row r="1163" spans="1:5" hidden="1" x14ac:dyDescent="0.3">
      <c r="A1163" t="s">
        <v>552</v>
      </c>
      <c r="B1163" t="s">
        <v>660</v>
      </c>
      <c r="C1163" t="s">
        <v>275</v>
      </c>
      <c r="D1163" s="226">
        <v>-368.58</v>
      </c>
      <c r="E1163" t="s">
        <v>661</v>
      </c>
    </row>
    <row r="1164" spans="1:5" hidden="1" x14ac:dyDescent="0.3">
      <c r="A1164" t="s">
        <v>552</v>
      </c>
      <c r="B1164" t="s">
        <v>660</v>
      </c>
      <c r="C1164" t="s">
        <v>276</v>
      </c>
      <c r="D1164" s="226">
        <v>0</v>
      </c>
      <c r="E1164" t="s">
        <v>661</v>
      </c>
    </row>
    <row r="1165" spans="1:5" hidden="1" x14ac:dyDescent="0.3">
      <c r="A1165" t="s">
        <v>552</v>
      </c>
      <c r="B1165" t="s">
        <v>660</v>
      </c>
      <c r="C1165" t="s">
        <v>277</v>
      </c>
      <c r="D1165" s="226">
        <v>-7055.5</v>
      </c>
      <c r="E1165" t="s">
        <v>661</v>
      </c>
    </row>
    <row r="1166" spans="1:5" hidden="1" x14ac:dyDescent="0.3">
      <c r="A1166" t="s">
        <v>552</v>
      </c>
      <c r="B1166" t="s">
        <v>660</v>
      </c>
      <c r="C1166" t="s">
        <v>44</v>
      </c>
      <c r="D1166" s="226">
        <v>-0.06</v>
      </c>
      <c r="E1166" t="s">
        <v>661</v>
      </c>
    </row>
    <row r="1167" spans="1:5" hidden="1" x14ac:dyDescent="0.3">
      <c r="A1167" t="s">
        <v>552</v>
      </c>
      <c r="B1167" t="s">
        <v>660</v>
      </c>
      <c r="C1167" t="s">
        <v>278</v>
      </c>
      <c r="D1167" s="226">
        <v>-7339.84</v>
      </c>
      <c r="E1167" t="s">
        <v>661</v>
      </c>
    </row>
    <row r="1168" spans="1:5" hidden="1" x14ac:dyDescent="0.3">
      <c r="A1168" t="s">
        <v>552</v>
      </c>
      <c r="B1168" t="s">
        <v>660</v>
      </c>
      <c r="C1168" t="s">
        <v>279</v>
      </c>
      <c r="D1168" s="226">
        <v>0</v>
      </c>
      <c r="E1168" t="s">
        <v>661</v>
      </c>
    </row>
    <row r="1169" spans="1:5" hidden="1" x14ac:dyDescent="0.3">
      <c r="A1169" t="s">
        <v>552</v>
      </c>
      <c r="B1169" t="s">
        <v>660</v>
      </c>
      <c r="C1169" t="s">
        <v>280</v>
      </c>
      <c r="D1169" s="226">
        <v>-293.56</v>
      </c>
      <c r="E1169" t="s">
        <v>661</v>
      </c>
    </row>
    <row r="1170" spans="1:5" hidden="1" x14ac:dyDescent="0.3">
      <c r="A1170" t="s">
        <v>552</v>
      </c>
      <c r="B1170" t="s">
        <v>660</v>
      </c>
      <c r="C1170" t="s">
        <v>281</v>
      </c>
      <c r="D1170" s="226">
        <v>0</v>
      </c>
      <c r="E1170" t="s">
        <v>661</v>
      </c>
    </row>
    <row r="1171" spans="1:5" hidden="1" x14ac:dyDescent="0.3">
      <c r="A1171" t="s">
        <v>552</v>
      </c>
      <c r="B1171" t="s">
        <v>660</v>
      </c>
      <c r="C1171" t="s">
        <v>282</v>
      </c>
      <c r="D1171" s="226">
        <v>-815</v>
      </c>
      <c r="E1171" t="s">
        <v>661</v>
      </c>
    </row>
    <row r="1172" spans="1:5" hidden="1" x14ac:dyDescent="0.3">
      <c r="A1172" t="s">
        <v>552</v>
      </c>
      <c r="B1172" t="s">
        <v>660</v>
      </c>
      <c r="C1172" t="s">
        <v>283</v>
      </c>
      <c r="D1172" s="226">
        <v>-6231.28</v>
      </c>
      <c r="E1172" t="s">
        <v>661</v>
      </c>
    </row>
    <row r="1173" spans="1:5" hidden="1" x14ac:dyDescent="0.3">
      <c r="A1173" t="s">
        <v>552</v>
      </c>
      <c r="B1173" t="s">
        <v>660</v>
      </c>
      <c r="C1173" t="s">
        <v>284</v>
      </c>
      <c r="D1173" s="226">
        <v>0</v>
      </c>
      <c r="E1173" t="s">
        <v>661</v>
      </c>
    </row>
    <row r="1174" spans="1:5" hidden="1" x14ac:dyDescent="0.3">
      <c r="A1174" t="s">
        <v>552</v>
      </c>
      <c r="B1174" t="s">
        <v>660</v>
      </c>
      <c r="C1174" t="s">
        <v>285</v>
      </c>
      <c r="D1174" s="226">
        <v>0</v>
      </c>
      <c r="E1174" t="s">
        <v>661</v>
      </c>
    </row>
    <row r="1175" spans="1:5" hidden="1" x14ac:dyDescent="0.3">
      <c r="A1175" t="s">
        <v>552</v>
      </c>
      <c r="B1175" t="s">
        <v>660</v>
      </c>
      <c r="C1175" t="s">
        <v>44</v>
      </c>
      <c r="D1175" s="226">
        <v>-0.01</v>
      </c>
      <c r="E1175" t="s">
        <v>661</v>
      </c>
    </row>
    <row r="1176" spans="1:5" hidden="1" x14ac:dyDescent="0.3">
      <c r="A1176" t="s">
        <v>552</v>
      </c>
      <c r="B1176" t="s">
        <v>660</v>
      </c>
      <c r="C1176" t="s">
        <v>286</v>
      </c>
      <c r="D1176" s="226">
        <v>-11514.55</v>
      </c>
      <c r="E1176" t="s">
        <v>661</v>
      </c>
    </row>
    <row r="1177" spans="1:5" hidden="1" x14ac:dyDescent="0.3">
      <c r="A1177" t="s">
        <v>552</v>
      </c>
      <c r="B1177" t="s">
        <v>660</v>
      </c>
      <c r="C1177" t="s">
        <v>287</v>
      </c>
      <c r="D1177" s="226">
        <v>-10886.36</v>
      </c>
      <c r="E1177" t="s">
        <v>661</v>
      </c>
    </row>
    <row r="1178" spans="1:5" hidden="1" x14ac:dyDescent="0.3">
      <c r="A1178" t="s">
        <v>552</v>
      </c>
      <c r="B1178" t="s">
        <v>660</v>
      </c>
      <c r="C1178" t="s">
        <v>288</v>
      </c>
      <c r="D1178" s="226">
        <v>0</v>
      </c>
      <c r="E1178" t="s">
        <v>661</v>
      </c>
    </row>
    <row r="1179" spans="1:5" hidden="1" x14ac:dyDescent="0.3">
      <c r="A1179" t="s">
        <v>552</v>
      </c>
      <c r="B1179" t="s">
        <v>660</v>
      </c>
      <c r="C1179" t="s">
        <v>289</v>
      </c>
      <c r="D1179" s="226">
        <v>0</v>
      </c>
      <c r="E1179" t="s">
        <v>661</v>
      </c>
    </row>
    <row r="1180" spans="1:5" hidden="1" x14ac:dyDescent="0.3">
      <c r="A1180" t="s">
        <v>552</v>
      </c>
      <c r="B1180" t="s">
        <v>660</v>
      </c>
      <c r="C1180" t="s">
        <v>290</v>
      </c>
      <c r="D1180" s="226">
        <v>0</v>
      </c>
      <c r="E1180" t="s">
        <v>661</v>
      </c>
    </row>
    <row r="1181" spans="1:5" hidden="1" x14ac:dyDescent="0.3">
      <c r="A1181" t="s">
        <v>552</v>
      </c>
      <c r="B1181" t="s">
        <v>660</v>
      </c>
      <c r="C1181" t="s">
        <v>291</v>
      </c>
      <c r="D1181" s="226">
        <v>0</v>
      </c>
      <c r="E1181" t="s">
        <v>661</v>
      </c>
    </row>
    <row r="1182" spans="1:5" hidden="1" x14ac:dyDescent="0.3">
      <c r="A1182" t="s">
        <v>552</v>
      </c>
      <c r="B1182" t="s">
        <v>660</v>
      </c>
      <c r="C1182" t="s">
        <v>292</v>
      </c>
      <c r="D1182" s="226">
        <v>-363.36</v>
      </c>
      <c r="E1182" t="s">
        <v>661</v>
      </c>
    </row>
    <row r="1183" spans="1:5" hidden="1" x14ac:dyDescent="0.3">
      <c r="A1183" t="s">
        <v>552</v>
      </c>
      <c r="B1183" t="s">
        <v>660</v>
      </c>
      <c r="C1183" t="s">
        <v>293</v>
      </c>
      <c r="D1183" s="226">
        <v>-264.83</v>
      </c>
      <c r="E1183" t="s">
        <v>661</v>
      </c>
    </row>
    <row r="1184" spans="1:5" hidden="1" x14ac:dyDescent="0.3">
      <c r="A1184" t="s">
        <v>552</v>
      </c>
      <c r="B1184" t="s">
        <v>660</v>
      </c>
      <c r="C1184" t="s">
        <v>294</v>
      </c>
      <c r="D1184" s="226">
        <v>0</v>
      </c>
      <c r="E1184" t="s">
        <v>661</v>
      </c>
    </row>
    <row r="1185" spans="1:5" hidden="1" x14ac:dyDescent="0.3">
      <c r="A1185" t="s">
        <v>552</v>
      </c>
      <c r="B1185" t="s">
        <v>660</v>
      </c>
      <c r="C1185" t="s">
        <v>44</v>
      </c>
      <c r="D1185" s="226">
        <v>-0.01</v>
      </c>
      <c r="E1185" t="s">
        <v>661</v>
      </c>
    </row>
    <row r="1186" spans="1:5" hidden="1" x14ac:dyDescent="0.3">
      <c r="A1186" t="s">
        <v>552</v>
      </c>
      <c r="B1186" t="s">
        <v>660</v>
      </c>
      <c r="C1186" t="s">
        <v>295</v>
      </c>
      <c r="D1186" s="226">
        <v>-13210</v>
      </c>
      <c r="E1186" t="s">
        <v>661</v>
      </c>
    </row>
    <row r="1187" spans="1:5" hidden="1" x14ac:dyDescent="0.3">
      <c r="A1187" t="s">
        <v>552</v>
      </c>
      <c r="B1187" t="s">
        <v>660</v>
      </c>
      <c r="C1187" t="s">
        <v>296</v>
      </c>
      <c r="D1187" s="226">
        <v>-12750</v>
      </c>
      <c r="E1187" t="s">
        <v>661</v>
      </c>
    </row>
    <row r="1188" spans="1:5" hidden="1" x14ac:dyDescent="0.3">
      <c r="A1188" t="s">
        <v>552</v>
      </c>
      <c r="B1188" t="s">
        <v>660</v>
      </c>
      <c r="C1188" t="s">
        <v>297</v>
      </c>
      <c r="D1188" s="226">
        <v>-460</v>
      </c>
      <c r="E1188" t="s">
        <v>661</v>
      </c>
    </row>
    <row r="1189" spans="1:5" hidden="1" x14ac:dyDescent="0.3">
      <c r="A1189" t="s">
        <v>552</v>
      </c>
      <c r="B1189" t="s">
        <v>660</v>
      </c>
      <c r="C1189" t="s">
        <v>298</v>
      </c>
      <c r="D1189" s="226">
        <v>0</v>
      </c>
      <c r="E1189" t="s">
        <v>661</v>
      </c>
    </row>
    <row r="1190" spans="1:5" hidden="1" x14ac:dyDescent="0.3">
      <c r="A1190" t="s">
        <v>552</v>
      </c>
      <c r="B1190" t="s">
        <v>660</v>
      </c>
      <c r="C1190" t="s">
        <v>299</v>
      </c>
      <c r="D1190" s="226">
        <v>0</v>
      </c>
      <c r="E1190" t="s">
        <v>661</v>
      </c>
    </row>
    <row r="1191" spans="1:5" hidden="1" x14ac:dyDescent="0.3">
      <c r="A1191" t="s">
        <v>552</v>
      </c>
      <c r="B1191" t="s">
        <v>660</v>
      </c>
      <c r="C1191" t="s">
        <v>300</v>
      </c>
      <c r="D1191" s="226">
        <v>0</v>
      </c>
      <c r="E1191" t="s">
        <v>661</v>
      </c>
    </row>
    <row r="1192" spans="1:5" hidden="1" x14ac:dyDescent="0.3">
      <c r="A1192" t="s">
        <v>552</v>
      </c>
      <c r="B1192" t="s">
        <v>660</v>
      </c>
      <c r="C1192" t="s">
        <v>301</v>
      </c>
      <c r="D1192" s="226">
        <v>0</v>
      </c>
      <c r="E1192" t="s">
        <v>661</v>
      </c>
    </row>
    <row r="1193" spans="1:5" hidden="1" x14ac:dyDescent="0.3">
      <c r="A1193" t="s">
        <v>552</v>
      </c>
      <c r="B1193" t="s">
        <v>660</v>
      </c>
      <c r="C1193" t="s">
        <v>302</v>
      </c>
      <c r="D1193" s="226">
        <v>0</v>
      </c>
      <c r="E1193" t="s">
        <v>661</v>
      </c>
    </row>
    <row r="1194" spans="1:5" hidden="1" x14ac:dyDescent="0.3">
      <c r="A1194" t="s">
        <v>552</v>
      </c>
      <c r="B1194" t="s">
        <v>660</v>
      </c>
      <c r="C1194" t="s">
        <v>303</v>
      </c>
      <c r="D1194" s="226">
        <v>0</v>
      </c>
      <c r="E1194" t="s">
        <v>661</v>
      </c>
    </row>
    <row r="1195" spans="1:5" hidden="1" x14ac:dyDescent="0.3">
      <c r="A1195" t="s">
        <v>552</v>
      </c>
      <c r="B1195" t="s">
        <v>660</v>
      </c>
      <c r="C1195" t="s">
        <v>304</v>
      </c>
      <c r="D1195" s="226">
        <v>0</v>
      </c>
      <c r="E1195" t="s">
        <v>661</v>
      </c>
    </row>
    <row r="1196" spans="1:5" hidden="1" x14ac:dyDescent="0.3">
      <c r="A1196" t="s">
        <v>552</v>
      </c>
      <c r="B1196" t="s">
        <v>660</v>
      </c>
      <c r="C1196" t="s">
        <v>305</v>
      </c>
      <c r="D1196" s="226">
        <v>0</v>
      </c>
      <c r="E1196" t="s">
        <v>661</v>
      </c>
    </row>
    <row r="1197" spans="1:5" hidden="1" x14ac:dyDescent="0.3">
      <c r="A1197" t="s">
        <v>552</v>
      </c>
      <c r="B1197" t="s">
        <v>660</v>
      </c>
      <c r="C1197" t="s">
        <v>306</v>
      </c>
      <c r="D1197" s="226">
        <v>0</v>
      </c>
      <c r="E1197" t="s">
        <v>661</v>
      </c>
    </row>
    <row r="1198" spans="1:5" hidden="1" x14ac:dyDescent="0.3">
      <c r="A1198" t="s">
        <v>552</v>
      </c>
      <c r="B1198" t="s">
        <v>660</v>
      </c>
      <c r="C1198" t="s">
        <v>44</v>
      </c>
      <c r="D1198" s="226">
        <v>-0.01</v>
      </c>
      <c r="E1198" t="s">
        <v>661</v>
      </c>
    </row>
    <row r="1199" spans="1:5" hidden="1" x14ac:dyDescent="0.3">
      <c r="A1199" t="s">
        <v>552</v>
      </c>
      <c r="B1199" t="s">
        <v>660</v>
      </c>
      <c r="C1199" t="s">
        <v>307</v>
      </c>
      <c r="D1199" s="226">
        <v>-15834.27</v>
      </c>
      <c r="E1199" t="s">
        <v>661</v>
      </c>
    </row>
    <row r="1200" spans="1:5" hidden="1" x14ac:dyDescent="0.3">
      <c r="A1200" t="s">
        <v>552</v>
      </c>
      <c r="B1200" t="s">
        <v>660</v>
      </c>
      <c r="C1200" t="s">
        <v>308</v>
      </c>
      <c r="D1200" s="226">
        <v>-1250</v>
      </c>
      <c r="E1200" t="s">
        <v>661</v>
      </c>
    </row>
    <row r="1201" spans="1:5" hidden="1" x14ac:dyDescent="0.3">
      <c r="A1201" t="s">
        <v>552</v>
      </c>
      <c r="B1201" t="s">
        <v>660</v>
      </c>
      <c r="C1201" t="s">
        <v>309</v>
      </c>
      <c r="D1201" s="226">
        <v>0</v>
      </c>
      <c r="E1201" t="s">
        <v>661</v>
      </c>
    </row>
    <row r="1202" spans="1:5" hidden="1" x14ac:dyDescent="0.3">
      <c r="A1202" t="s">
        <v>552</v>
      </c>
      <c r="B1202" t="s">
        <v>660</v>
      </c>
      <c r="C1202" t="s">
        <v>310</v>
      </c>
      <c r="D1202" s="226">
        <v>-4324.2700000000004</v>
      </c>
      <c r="E1202" t="s">
        <v>661</v>
      </c>
    </row>
    <row r="1203" spans="1:5" hidden="1" x14ac:dyDescent="0.3">
      <c r="A1203" t="s">
        <v>552</v>
      </c>
      <c r="B1203" t="s">
        <v>660</v>
      </c>
      <c r="C1203" t="s">
        <v>311</v>
      </c>
      <c r="D1203" s="226">
        <v>0</v>
      </c>
      <c r="E1203" t="s">
        <v>661</v>
      </c>
    </row>
    <row r="1204" spans="1:5" hidden="1" x14ac:dyDescent="0.3">
      <c r="A1204" t="s">
        <v>552</v>
      </c>
      <c r="B1204" t="s">
        <v>660</v>
      </c>
      <c r="C1204" t="s">
        <v>312</v>
      </c>
      <c r="D1204" s="226">
        <v>0</v>
      </c>
      <c r="E1204" t="s">
        <v>661</v>
      </c>
    </row>
    <row r="1205" spans="1:5" hidden="1" x14ac:dyDescent="0.3">
      <c r="A1205" t="s">
        <v>552</v>
      </c>
      <c r="B1205" t="s">
        <v>660</v>
      </c>
      <c r="C1205" t="s">
        <v>313</v>
      </c>
      <c r="D1205" s="226">
        <v>0</v>
      </c>
      <c r="E1205" t="s">
        <v>661</v>
      </c>
    </row>
    <row r="1206" spans="1:5" hidden="1" x14ac:dyDescent="0.3">
      <c r="A1206" t="s">
        <v>552</v>
      </c>
      <c r="B1206" t="s">
        <v>660</v>
      </c>
      <c r="C1206" t="s">
        <v>314</v>
      </c>
      <c r="D1206" s="226">
        <v>0</v>
      </c>
      <c r="E1206" t="s">
        <v>661</v>
      </c>
    </row>
    <row r="1207" spans="1:5" hidden="1" x14ac:dyDescent="0.3">
      <c r="A1207" t="s">
        <v>552</v>
      </c>
      <c r="B1207" t="s">
        <v>660</v>
      </c>
      <c r="C1207" t="s">
        <v>315</v>
      </c>
      <c r="D1207" s="226">
        <v>-10260</v>
      </c>
      <c r="E1207" t="s">
        <v>661</v>
      </c>
    </row>
    <row r="1208" spans="1:5" hidden="1" x14ac:dyDescent="0.3">
      <c r="A1208" t="s">
        <v>552</v>
      </c>
      <c r="B1208" t="s">
        <v>660</v>
      </c>
      <c r="C1208" t="s">
        <v>316</v>
      </c>
      <c r="D1208" s="226">
        <v>0</v>
      </c>
      <c r="E1208" t="s">
        <v>661</v>
      </c>
    </row>
    <row r="1209" spans="1:5" hidden="1" x14ac:dyDescent="0.3">
      <c r="A1209" t="s">
        <v>552</v>
      </c>
      <c r="B1209" t="s">
        <v>660</v>
      </c>
      <c r="C1209" t="s">
        <v>44</v>
      </c>
      <c r="D1209" s="226">
        <v>-0.01</v>
      </c>
      <c r="E1209" t="s">
        <v>661</v>
      </c>
    </row>
    <row r="1210" spans="1:5" hidden="1" x14ac:dyDescent="0.3">
      <c r="A1210" t="s">
        <v>552</v>
      </c>
      <c r="B1210" t="s">
        <v>660</v>
      </c>
      <c r="C1210" t="s">
        <v>317</v>
      </c>
      <c r="D1210" s="226">
        <v>-6494.64</v>
      </c>
      <c r="E1210" t="s">
        <v>661</v>
      </c>
    </row>
    <row r="1211" spans="1:5" hidden="1" x14ac:dyDescent="0.3">
      <c r="A1211" t="s">
        <v>552</v>
      </c>
      <c r="B1211" t="s">
        <v>660</v>
      </c>
      <c r="C1211" t="s">
        <v>318</v>
      </c>
      <c r="D1211" s="226">
        <v>-6494.64</v>
      </c>
      <c r="E1211" t="s">
        <v>661</v>
      </c>
    </row>
    <row r="1212" spans="1:5" hidden="1" x14ac:dyDescent="0.3">
      <c r="A1212" t="s">
        <v>552</v>
      </c>
      <c r="B1212" t="s">
        <v>660</v>
      </c>
      <c r="C1212" t="s">
        <v>319</v>
      </c>
      <c r="D1212" s="226">
        <v>0</v>
      </c>
      <c r="E1212" t="s">
        <v>661</v>
      </c>
    </row>
    <row r="1213" spans="1:5" hidden="1" x14ac:dyDescent="0.3">
      <c r="A1213" t="s">
        <v>552</v>
      </c>
      <c r="B1213" t="s">
        <v>660</v>
      </c>
      <c r="C1213" t="s">
        <v>320</v>
      </c>
      <c r="D1213" s="226">
        <v>0</v>
      </c>
      <c r="E1213" t="s">
        <v>661</v>
      </c>
    </row>
    <row r="1214" spans="1:5" hidden="1" x14ac:dyDescent="0.3">
      <c r="A1214" t="s">
        <v>552</v>
      </c>
      <c r="B1214" t="s">
        <v>660</v>
      </c>
      <c r="C1214" t="s">
        <v>321</v>
      </c>
      <c r="D1214" s="226">
        <v>0</v>
      </c>
      <c r="E1214" t="s">
        <v>661</v>
      </c>
    </row>
    <row r="1215" spans="1:5" hidden="1" x14ac:dyDescent="0.3">
      <c r="A1215" t="s">
        <v>552</v>
      </c>
      <c r="B1215" t="s">
        <v>660</v>
      </c>
      <c r="C1215" t="s">
        <v>44</v>
      </c>
      <c r="D1215" s="226">
        <v>-0.01</v>
      </c>
      <c r="E1215" t="s">
        <v>661</v>
      </c>
    </row>
    <row r="1216" spans="1:5" hidden="1" x14ac:dyDescent="0.3">
      <c r="A1216" t="s">
        <v>552</v>
      </c>
      <c r="B1216" t="s">
        <v>660</v>
      </c>
      <c r="C1216" t="s">
        <v>322</v>
      </c>
      <c r="D1216" s="226">
        <v>-62444.63</v>
      </c>
      <c r="E1216" t="s">
        <v>661</v>
      </c>
    </row>
    <row r="1217" spans="1:5" hidden="1" x14ac:dyDescent="0.3">
      <c r="A1217" t="s">
        <v>552</v>
      </c>
      <c r="B1217" t="s">
        <v>660</v>
      </c>
      <c r="C1217" t="s">
        <v>323</v>
      </c>
      <c r="D1217" s="226">
        <v>0</v>
      </c>
      <c r="E1217" t="s">
        <v>661</v>
      </c>
    </row>
    <row r="1218" spans="1:5" hidden="1" x14ac:dyDescent="0.3">
      <c r="A1218" t="s">
        <v>552</v>
      </c>
      <c r="B1218" t="s">
        <v>660</v>
      </c>
      <c r="C1218" t="s">
        <v>324</v>
      </c>
      <c r="D1218" s="226">
        <v>0</v>
      </c>
      <c r="E1218" t="s">
        <v>661</v>
      </c>
    </row>
    <row r="1219" spans="1:5" hidden="1" x14ac:dyDescent="0.3">
      <c r="A1219" t="s">
        <v>552</v>
      </c>
      <c r="B1219" t="s">
        <v>660</v>
      </c>
      <c r="C1219" t="s">
        <v>325</v>
      </c>
      <c r="D1219" s="226">
        <v>-62444.63</v>
      </c>
      <c r="E1219" t="s">
        <v>661</v>
      </c>
    </row>
    <row r="1220" spans="1:5" hidden="1" x14ac:dyDescent="0.3">
      <c r="A1220" t="s">
        <v>552</v>
      </c>
      <c r="B1220" t="s">
        <v>660</v>
      </c>
      <c r="C1220" t="s">
        <v>44</v>
      </c>
      <c r="D1220" s="226">
        <v>-0.05</v>
      </c>
      <c r="E1220" t="s">
        <v>661</v>
      </c>
    </row>
    <row r="1221" spans="1:5" hidden="1" x14ac:dyDescent="0.3">
      <c r="A1221" t="s">
        <v>552</v>
      </c>
      <c r="B1221" t="s">
        <v>660</v>
      </c>
      <c r="C1221" t="s">
        <v>327</v>
      </c>
      <c r="D1221" s="226">
        <v>-476078.72</v>
      </c>
      <c r="E1221" t="s">
        <v>661</v>
      </c>
    </row>
    <row r="1222" spans="1:5" hidden="1" x14ac:dyDescent="0.3">
      <c r="A1222" t="s">
        <v>552</v>
      </c>
      <c r="B1222" t="s">
        <v>660</v>
      </c>
      <c r="C1222" t="s">
        <v>44</v>
      </c>
      <c r="D1222" s="226">
        <v>-0.38</v>
      </c>
      <c r="E1222" t="s">
        <v>661</v>
      </c>
    </row>
    <row r="1223" spans="1:5" hidden="1" x14ac:dyDescent="0.3">
      <c r="A1223" t="s">
        <v>552</v>
      </c>
      <c r="B1223" t="s">
        <v>660</v>
      </c>
      <c r="C1223" t="s">
        <v>328</v>
      </c>
      <c r="D1223" s="226">
        <v>229928.07</v>
      </c>
      <c r="E1223" t="s">
        <v>661</v>
      </c>
    </row>
    <row r="1224" spans="1:5" hidden="1" x14ac:dyDescent="0.3">
      <c r="A1224" t="s">
        <v>552</v>
      </c>
      <c r="B1224" t="s">
        <v>660</v>
      </c>
      <c r="C1224" t="s">
        <v>44</v>
      </c>
      <c r="D1224" s="226">
        <v>0.18</v>
      </c>
      <c r="E1224" t="s">
        <v>661</v>
      </c>
    </row>
    <row r="1225" spans="1:5" hidden="1" x14ac:dyDescent="0.3">
      <c r="A1225" t="s">
        <v>552</v>
      </c>
      <c r="B1225" t="s">
        <v>660</v>
      </c>
      <c r="C1225" t="s">
        <v>329</v>
      </c>
      <c r="D1225" s="226">
        <v>0</v>
      </c>
      <c r="E1225" t="s">
        <v>661</v>
      </c>
    </row>
    <row r="1226" spans="1:5" hidden="1" x14ac:dyDescent="0.3">
      <c r="A1226" t="s">
        <v>552</v>
      </c>
      <c r="B1226" t="s">
        <v>660</v>
      </c>
      <c r="C1226" t="s">
        <v>331</v>
      </c>
      <c r="D1226" s="226">
        <v>229928.07</v>
      </c>
      <c r="E1226" t="s">
        <v>661</v>
      </c>
    </row>
    <row r="1227" spans="1:5" hidden="1" x14ac:dyDescent="0.3">
      <c r="A1227" t="s">
        <v>552</v>
      </c>
      <c r="B1227" t="s">
        <v>660</v>
      </c>
      <c r="C1227" t="s">
        <v>332</v>
      </c>
      <c r="D1227" s="226">
        <v>-1334.64</v>
      </c>
      <c r="E1227" t="s">
        <v>661</v>
      </c>
    </row>
    <row r="1228" spans="1:5" hidden="1" x14ac:dyDescent="0.3">
      <c r="A1228" t="s">
        <v>552</v>
      </c>
      <c r="B1228" t="s">
        <v>660</v>
      </c>
      <c r="C1228" t="s">
        <v>333</v>
      </c>
      <c r="D1228" s="226">
        <v>0</v>
      </c>
      <c r="E1228" t="s">
        <v>661</v>
      </c>
    </row>
    <row r="1229" spans="1:5" hidden="1" x14ac:dyDescent="0.3">
      <c r="A1229" t="s">
        <v>552</v>
      </c>
      <c r="B1229" t="s">
        <v>660</v>
      </c>
      <c r="C1229" t="s">
        <v>335</v>
      </c>
      <c r="D1229" s="226">
        <v>-10708.08</v>
      </c>
      <c r="E1229" t="s">
        <v>661</v>
      </c>
    </row>
    <row r="1230" spans="1:5" hidden="1" x14ac:dyDescent="0.3">
      <c r="A1230" t="s">
        <v>552</v>
      </c>
      <c r="B1230" t="s">
        <v>660</v>
      </c>
      <c r="C1230" t="s">
        <v>337</v>
      </c>
      <c r="D1230" s="226">
        <v>217885.35</v>
      </c>
      <c r="E1230" t="s">
        <v>661</v>
      </c>
    </row>
    <row r="1231" spans="1:5" hidden="1" x14ac:dyDescent="0.3">
      <c r="A1231" t="s">
        <v>552</v>
      </c>
      <c r="B1231" t="s">
        <v>660</v>
      </c>
      <c r="C1231" t="s">
        <v>338</v>
      </c>
      <c r="D1231" s="226">
        <v>-39403.22</v>
      </c>
      <c r="E1231" t="s">
        <v>661</v>
      </c>
    </row>
    <row r="1232" spans="1:5" hidden="1" x14ac:dyDescent="0.3">
      <c r="A1232" t="s">
        <v>552</v>
      </c>
      <c r="B1232" t="s">
        <v>660</v>
      </c>
      <c r="C1232" t="s">
        <v>341</v>
      </c>
      <c r="D1232" s="226">
        <v>-6846.98</v>
      </c>
      <c r="E1232" t="s">
        <v>661</v>
      </c>
    </row>
    <row r="1233" spans="1:5" hidden="1" x14ac:dyDescent="0.3">
      <c r="A1233" t="s">
        <v>552</v>
      </c>
      <c r="B1233" t="s">
        <v>660</v>
      </c>
      <c r="C1233" t="s">
        <v>343</v>
      </c>
      <c r="D1233" s="226">
        <v>-13066.05</v>
      </c>
      <c r="E1233" t="s">
        <v>661</v>
      </c>
    </row>
    <row r="1234" spans="1:5" hidden="1" x14ac:dyDescent="0.3">
      <c r="A1234" t="s">
        <v>552</v>
      </c>
      <c r="B1234" t="s">
        <v>660</v>
      </c>
      <c r="C1234" t="s">
        <v>344</v>
      </c>
      <c r="D1234" s="226">
        <v>-7730.75</v>
      </c>
      <c r="E1234" t="s">
        <v>661</v>
      </c>
    </row>
    <row r="1235" spans="1:5" hidden="1" x14ac:dyDescent="0.3">
      <c r="A1235" t="s">
        <v>552</v>
      </c>
      <c r="B1235" t="s">
        <v>660</v>
      </c>
      <c r="C1235" t="s">
        <v>345</v>
      </c>
      <c r="D1235" s="226">
        <v>-11759.44</v>
      </c>
      <c r="E1235" t="s">
        <v>661</v>
      </c>
    </row>
    <row r="1236" spans="1:5" hidden="1" x14ac:dyDescent="0.3">
      <c r="A1236" t="s">
        <v>552</v>
      </c>
      <c r="B1236" t="s">
        <v>660</v>
      </c>
      <c r="C1236" t="s">
        <v>346</v>
      </c>
      <c r="D1236" s="226">
        <v>178482.12</v>
      </c>
      <c r="E1236" t="s">
        <v>661</v>
      </c>
    </row>
    <row r="1237" spans="1:5" hidden="1" x14ac:dyDescent="0.3">
      <c r="A1237" t="s">
        <v>552</v>
      </c>
      <c r="B1237" t="s">
        <v>660</v>
      </c>
      <c r="C1237" t="s">
        <v>44</v>
      </c>
      <c r="D1237" s="226">
        <v>0.14000000000000001</v>
      </c>
      <c r="E1237" t="s">
        <v>661</v>
      </c>
    </row>
    <row r="1238" spans="1:5" hidden="1" x14ac:dyDescent="0.3">
      <c r="A1238" t="s">
        <v>552</v>
      </c>
      <c r="B1238" t="s">
        <v>660</v>
      </c>
      <c r="C1238" t="s">
        <v>347</v>
      </c>
      <c r="D1238" s="226">
        <v>-5939.46</v>
      </c>
      <c r="E1238" t="s">
        <v>661</v>
      </c>
    </row>
    <row r="1239" spans="1:5" hidden="1" x14ac:dyDescent="0.3">
      <c r="A1239" t="s">
        <v>552</v>
      </c>
      <c r="B1239" t="s">
        <v>660</v>
      </c>
      <c r="C1239" t="s">
        <v>654</v>
      </c>
      <c r="D1239" s="226">
        <v>-3160</v>
      </c>
      <c r="E1239" t="s">
        <v>661</v>
      </c>
    </row>
    <row r="1240" spans="1:5" hidden="1" x14ac:dyDescent="0.3">
      <c r="A1240" t="s">
        <v>552</v>
      </c>
      <c r="B1240" t="s">
        <v>660</v>
      </c>
      <c r="C1240" t="s">
        <v>349</v>
      </c>
      <c r="D1240" s="226">
        <v>-2779.46</v>
      </c>
      <c r="E1240" t="s">
        <v>661</v>
      </c>
    </row>
    <row r="1241" spans="1:5" hidden="1" x14ac:dyDescent="0.3">
      <c r="A1241" t="s">
        <v>552</v>
      </c>
      <c r="B1241" t="s">
        <v>660</v>
      </c>
      <c r="C1241" t="s">
        <v>350</v>
      </c>
      <c r="D1241" s="226">
        <v>0</v>
      </c>
      <c r="E1241" t="s">
        <v>661</v>
      </c>
    </row>
    <row r="1242" spans="1:5" hidden="1" x14ac:dyDescent="0.3">
      <c r="A1242" t="s">
        <v>552</v>
      </c>
      <c r="B1242" t="s">
        <v>660</v>
      </c>
      <c r="C1242" t="s">
        <v>351</v>
      </c>
      <c r="D1242" s="226">
        <v>0</v>
      </c>
      <c r="E1242" t="s">
        <v>661</v>
      </c>
    </row>
    <row r="1243" spans="1:5" hidden="1" x14ac:dyDescent="0.3">
      <c r="A1243" t="s">
        <v>552</v>
      </c>
      <c r="B1243" t="s">
        <v>660</v>
      </c>
      <c r="C1243" t="s">
        <v>352</v>
      </c>
      <c r="D1243" s="226">
        <v>0</v>
      </c>
      <c r="E1243" t="s">
        <v>661</v>
      </c>
    </row>
    <row r="1244" spans="1:5" hidden="1" x14ac:dyDescent="0.3">
      <c r="A1244" t="s">
        <v>552</v>
      </c>
      <c r="B1244" t="s">
        <v>660</v>
      </c>
      <c r="C1244" t="s">
        <v>353</v>
      </c>
      <c r="D1244" s="226">
        <v>0</v>
      </c>
      <c r="E1244" t="s">
        <v>661</v>
      </c>
    </row>
    <row r="1245" spans="1:5" hidden="1" x14ac:dyDescent="0.3">
      <c r="A1245" t="s">
        <v>552</v>
      </c>
      <c r="B1245" t="s">
        <v>660</v>
      </c>
      <c r="C1245" t="s">
        <v>354</v>
      </c>
      <c r="D1245" s="226">
        <v>0</v>
      </c>
      <c r="E1245" t="s">
        <v>661</v>
      </c>
    </row>
    <row r="1246" spans="1:5" hidden="1" x14ac:dyDescent="0.3">
      <c r="A1246" t="s">
        <v>552</v>
      </c>
      <c r="B1246" t="s">
        <v>660</v>
      </c>
      <c r="C1246" t="s">
        <v>355</v>
      </c>
      <c r="D1246" s="226">
        <v>0</v>
      </c>
      <c r="E1246" t="s">
        <v>661</v>
      </c>
    </row>
    <row r="1247" spans="1:5" hidden="1" x14ac:dyDescent="0.3">
      <c r="A1247" t="s">
        <v>552</v>
      </c>
      <c r="B1247" t="s">
        <v>660</v>
      </c>
      <c r="C1247" t="s">
        <v>356</v>
      </c>
      <c r="D1247" s="226">
        <v>0</v>
      </c>
      <c r="E1247" t="s">
        <v>661</v>
      </c>
    </row>
    <row r="1248" spans="1:5" hidden="1" x14ac:dyDescent="0.3">
      <c r="A1248" t="s">
        <v>552</v>
      </c>
      <c r="B1248" t="s">
        <v>660</v>
      </c>
      <c r="C1248" t="s">
        <v>357</v>
      </c>
      <c r="D1248" s="226">
        <v>0</v>
      </c>
      <c r="E1248" t="s">
        <v>661</v>
      </c>
    </row>
    <row r="1249" spans="1:5" hidden="1" x14ac:dyDescent="0.3">
      <c r="A1249" t="s">
        <v>552</v>
      </c>
      <c r="B1249" t="s">
        <v>660</v>
      </c>
      <c r="C1249" t="s">
        <v>358</v>
      </c>
      <c r="D1249" s="226">
        <v>0</v>
      </c>
      <c r="E1249" t="s">
        <v>661</v>
      </c>
    </row>
    <row r="1250" spans="1:5" hidden="1" x14ac:dyDescent="0.3">
      <c r="A1250" t="s">
        <v>552</v>
      </c>
      <c r="B1250" t="s">
        <v>660</v>
      </c>
      <c r="C1250" t="s">
        <v>359</v>
      </c>
      <c r="D1250" s="226">
        <v>0</v>
      </c>
      <c r="E1250" t="s">
        <v>661</v>
      </c>
    </row>
    <row r="1251" spans="1:5" hidden="1" x14ac:dyDescent="0.3">
      <c r="A1251" t="s">
        <v>552</v>
      </c>
      <c r="B1251" t="s">
        <v>660</v>
      </c>
      <c r="C1251" t="s">
        <v>360</v>
      </c>
      <c r="D1251" s="226">
        <v>0</v>
      </c>
      <c r="E1251" t="s">
        <v>661</v>
      </c>
    </row>
    <row r="1252" spans="1:5" hidden="1" x14ac:dyDescent="0.3">
      <c r="A1252" t="s">
        <v>552</v>
      </c>
      <c r="B1252" t="s">
        <v>660</v>
      </c>
      <c r="C1252" t="s">
        <v>361</v>
      </c>
      <c r="D1252" s="226">
        <v>0</v>
      </c>
      <c r="E1252" t="s">
        <v>661</v>
      </c>
    </row>
    <row r="1253" spans="1:5" hidden="1" x14ac:dyDescent="0.3">
      <c r="A1253" t="s">
        <v>552</v>
      </c>
      <c r="B1253" t="s">
        <v>660</v>
      </c>
      <c r="C1253" t="s">
        <v>362</v>
      </c>
      <c r="D1253" s="226">
        <v>0</v>
      </c>
      <c r="E1253" t="s">
        <v>661</v>
      </c>
    </row>
    <row r="1254" spans="1:5" hidden="1" x14ac:dyDescent="0.3">
      <c r="A1254" t="s">
        <v>552</v>
      </c>
      <c r="B1254" t="s">
        <v>660</v>
      </c>
      <c r="C1254" t="s">
        <v>363</v>
      </c>
      <c r="D1254" s="226">
        <v>0</v>
      </c>
      <c r="E1254" t="s">
        <v>661</v>
      </c>
    </row>
    <row r="1255" spans="1:5" hidden="1" x14ac:dyDescent="0.3">
      <c r="A1255" t="s">
        <v>552</v>
      </c>
      <c r="B1255" t="s">
        <v>660</v>
      </c>
      <c r="C1255" t="s">
        <v>364</v>
      </c>
      <c r="D1255" s="226">
        <v>0</v>
      </c>
      <c r="E1255" t="s">
        <v>661</v>
      </c>
    </row>
    <row r="1256" spans="1:5" hidden="1" x14ac:dyDescent="0.3">
      <c r="A1256" t="s">
        <v>552</v>
      </c>
      <c r="B1256" t="s">
        <v>660</v>
      </c>
      <c r="C1256" t="s">
        <v>365</v>
      </c>
      <c r="D1256" s="226">
        <v>0</v>
      </c>
      <c r="E1256" t="s">
        <v>661</v>
      </c>
    </row>
    <row r="1257" spans="1:5" hidden="1" x14ac:dyDescent="0.3">
      <c r="A1257" t="s">
        <v>552</v>
      </c>
      <c r="B1257" t="s">
        <v>660</v>
      </c>
      <c r="C1257" t="s">
        <v>366</v>
      </c>
      <c r="D1257" s="226">
        <v>0</v>
      </c>
      <c r="E1257" t="s">
        <v>661</v>
      </c>
    </row>
    <row r="1258" spans="1:5" hidden="1" x14ac:dyDescent="0.3">
      <c r="A1258" t="s">
        <v>552</v>
      </c>
      <c r="B1258" t="s">
        <v>660</v>
      </c>
      <c r="C1258" t="s">
        <v>367</v>
      </c>
      <c r="D1258" s="226">
        <v>0</v>
      </c>
      <c r="E1258" t="s">
        <v>661</v>
      </c>
    </row>
    <row r="1259" spans="1:5" hidden="1" x14ac:dyDescent="0.3">
      <c r="A1259" t="s">
        <v>552</v>
      </c>
      <c r="B1259" t="s">
        <v>660</v>
      </c>
      <c r="C1259" t="s">
        <v>368</v>
      </c>
      <c r="D1259" s="226">
        <v>0</v>
      </c>
      <c r="E1259" t="s">
        <v>661</v>
      </c>
    </row>
    <row r="1260" spans="1:5" hidden="1" x14ac:dyDescent="0.3">
      <c r="A1260" t="s">
        <v>552</v>
      </c>
      <c r="B1260" t="s">
        <v>660</v>
      </c>
      <c r="C1260" t="s">
        <v>369</v>
      </c>
      <c r="D1260" s="226">
        <v>0</v>
      </c>
      <c r="E1260" t="s">
        <v>661</v>
      </c>
    </row>
    <row r="1261" spans="1:5" hidden="1" x14ac:dyDescent="0.3">
      <c r="A1261" t="s">
        <v>552</v>
      </c>
      <c r="B1261" t="s">
        <v>660</v>
      </c>
      <c r="C1261" t="s">
        <v>370</v>
      </c>
      <c r="D1261" s="226">
        <v>0</v>
      </c>
      <c r="E1261" t="s">
        <v>661</v>
      </c>
    </row>
    <row r="1262" spans="1:5" hidden="1" x14ac:dyDescent="0.3">
      <c r="A1262" t="s">
        <v>552</v>
      </c>
      <c r="B1262" t="s">
        <v>660</v>
      </c>
      <c r="C1262" t="s">
        <v>371</v>
      </c>
      <c r="D1262" s="226">
        <v>0</v>
      </c>
      <c r="E1262" t="s">
        <v>661</v>
      </c>
    </row>
    <row r="1263" spans="1:5" hidden="1" x14ac:dyDescent="0.3">
      <c r="A1263" t="s">
        <v>552</v>
      </c>
      <c r="B1263" t="s">
        <v>660</v>
      </c>
      <c r="C1263" t="s">
        <v>372</v>
      </c>
      <c r="D1263" s="226">
        <v>-5939.46</v>
      </c>
      <c r="E1263" t="s">
        <v>661</v>
      </c>
    </row>
    <row r="1264" spans="1:5" hidden="1" x14ac:dyDescent="0.3">
      <c r="A1264" t="s">
        <v>552</v>
      </c>
      <c r="B1264" t="s">
        <v>660</v>
      </c>
      <c r="C1264" t="s">
        <v>373</v>
      </c>
      <c r="D1264" s="226">
        <v>172542.66</v>
      </c>
      <c r="E1264" t="s">
        <v>661</v>
      </c>
    </row>
    <row r="1265" spans="1:5" hidden="1" x14ac:dyDescent="0.3">
      <c r="A1265" t="s">
        <v>552</v>
      </c>
      <c r="B1265" t="s">
        <v>660</v>
      </c>
      <c r="C1265" t="s">
        <v>655</v>
      </c>
      <c r="D1265" s="226">
        <v>0</v>
      </c>
      <c r="E1265" t="s">
        <v>661</v>
      </c>
    </row>
    <row r="1266" spans="1:5" hidden="1" x14ac:dyDescent="0.3">
      <c r="A1266" t="s">
        <v>552</v>
      </c>
      <c r="B1266" t="s">
        <v>662</v>
      </c>
      <c r="C1266" t="s">
        <v>11</v>
      </c>
      <c r="D1266" s="226">
        <v>1335291.1200000001</v>
      </c>
      <c r="E1266" t="s">
        <v>663</v>
      </c>
    </row>
    <row r="1267" spans="1:5" hidden="1" x14ac:dyDescent="0.3">
      <c r="A1267" t="s">
        <v>552</v>
      </c>
      <c r="B1267" t="s">
        <v>662</v>
      </c>
      <c r="C1267" t="s">
        <v>13</v>
      </c>
      <c r="D1267" s="226">
        <v>637237</v>
      </c>
      <c r="E1267" t="s">
        <v>663</v>
      </c>
    </row>
    <row r="1268" spans="1:5" hidden="1" x14ac:dyDescent="0.3">
      <c r="A1268" t="s">
        <v>552</v>
      </c>
      <c r="B1268" t="s">
        <v>662</v>
      </c>
      <c r="C1268" t="s">
        <v>16</v>
      </c>
      <c r="D1268" s="226">
        <v>527760.9</v>
      </c>
      <c r="E1268" t="s">
        <v>663</v>
      </c>
    </row>
    <row r="1269" spans="1:5" hidden="1" x14ac:dyDescent="0.3">
      <c r="A1269" t="s">
        <v>552</v>
      </c>
      <c r="B1269" t="s">
        <v>662</v>
      </c>
      <c r="C1269" t="s">
        <v>17</v>
      </c>
      <c r="D1269" s="226">
        <v>0</v>
      </c>
      <c r="E1269" t="s">
        <v>663</v>
      </c>
    </row>
    <row r="1270" spans="1:5" hidden="1" x14ac:dyDescent="0.3">
      <c r="A1270" t="s">
        <v>552</v>
      </c>
      <c r="B1270" t="s">
        <v>662</v>
      </c>
      <c r="C1270" t="s">
        <v>18</v>
      </c>
      <c r="D1270" s="226">
        <v>725</v>
      </c>
      <c r="E1270" t="s">
        <v>663</v>
      </c>
    </row>
    <row r="1271" spans="1:5" hidden="1" x14ac:dyDescent="0.3">
      <c r="A1271" t="s">
        <v>552</v>
      </c>
      <c r="B1271" t="s">
        <v>662</v>
      </c>
      <c r="C1271" t="s">
        <v>20</v>
      </c>
      <c r="D1271" s="226">
        <v>149128.22</v>
      </c>
      <c r="E1271" t="s">
        <v>663</v>
      </c>
    </row>
    <row r="1272" spans="1:5" hidden="1" x14ac:dyDescent="0.3">
      <c r="A1272" t="s">
        <v>552</v>
      </c>
      <c r="B1272" t="s">
        <v>662</v>
      </c>
      <c r="C1272" t="s">
        <v>23</v>
      </c>
      <c r="D1272" s="226">
        <v>0</v>
      </c>
      <c r="E1272" t="s">
        <v>663</v>
      </c>
    </row>
    <row r="1273" spans="1:5" hidden="1" x14ac:dyDescent="0.3">
      <c r="A1273" t="s">
        <v>552</v>
      </c>
      <c r="B1273" t="s">
        <v>662</v>
      </c>
      <c r="C1273" t="s">
        <v>25</v>
      </c>
      <c r="D1273" s="226">
        <v>0</v>
      </c>
      <c r="E1273" t="s">
        <v>663</v>
      </c>
    </row>
    <row r="1274" spans="1:5" hidden="1" x14ac:dyDescent="0.3">
      <c r="A1274" t="s">
        <v>552</v>
      </c>
      <c r="B1274" t="s">
        <v>662</v>
      </c>
      <c r="C1274" t="s">
        <v>26</v>
      </c>
      <c r="D1274" s="226">
        <v>0</v>
      </c>
      <c r="E1274" t="s">
        <v>663</v>
      </c>
    </row>
    <row r="1275" spans="1:5" hidden="1" x14ac:dyDescent="0.3">
      <c r="A1275" t="s">
        <v>552</v>
      </c>
      <c r="B1275" t="s">
        <v>662</v>
      </c>
      <c r="C1275" t="s">
        <v>27</v>
      </c>
      <c r="D1275" s="226">
        <v>0</v>
      </c>
      <c r="E1275" t="s">
        <v>663</v>
      </c>
    </row>
    <row r="1276" spans="1:5" hidden="1" x14ac:dyDescent="0.3">
      <c r="A1276" t="s">
        <v>552</v>
      </c>
      <c r="B1276" t="s">
        <v>662</v>
      </c>
      <c r="C1276" t="s">
        <v>29</v>
      </c>
      <c r="D1276" s="226">
        <v>20440</v>
      </c>
      <c r="E1276" t="s">
        <v>663</v>
      </c>
    </row>
    <row r="1277" spans="1:5" hidden="1" x14ac:dyDescent="0.3">
      <c r="A1277" t="s">
        <v>552</v>
      </c>
      <c r="B1277" t="s">
        <v>662</v>
      </c>
      <c r="C1277" t="s">
        <v>31</v>
      </c>
      <c r="D1277" s="226">
        <v>0</v>
      </c>
      <c r="E1277" t="s">
        <v>663</v>
      </c>
    </row>
    <row r="1278" spans="1:5" hidden="1" x14ac:dyDescent="0.3">
      <c r="A1278" t="s">
        <v>552</v>
      </c>
      <c r="B1278" t="s">
        <v>662</v>
      </c>
      <c r="C1278" t="s">
        <v>34</v>
      </c>
      <c r="D1278" s="226">
        <v>-20139.04</v>
      </c>
      <c r="E1278" t="s">
        <v>663</v>
      </c>
    </row>
    <row r="1279" spans="1:5" hidden="1" x14ac:dyDescent="0.3">
      <c r="A1279" t="s">
        <v>552</v>
      </c>
      <c r="B1279" t="s">
        <v>662</v>
      </c>
      <c r="C1279" t="s">
        <v>38</v>
      </c>
      <c r="D1279" s="226">
        <v>-20139.04</v>
      </c>
      <c r="E1279" t="s">
        <v>663</v>
      </c>
    </row>
    <row r="1280" spans="1:5" hidden="1" x14ac:dyDescent="0.3">
      <c r="A1280" t="s">
        <v>552</v>
      </c>
      <c r="B1280" t="s">
        <v>662</v>
      </c>
      <c r="C1280" t="s">
        <v>40</v>
      </c>
      <c r="D1280" s="226">
        <v>0</v>
      </c>
      <c r="E1280" t="s">
        <v>663</v>
      </c>
    </row>
    <row r="1281" spans="1:5" hidden="1" x14ac:dyDescent="0.3">
      <c r="A1281" t="s">
        <v>552</v>
      </c>
      <c r="B1281" t="s">
        <v>662</v>
      </c>
      <c r="C1281" t="s">
        <v>42</v>
      </c>
      <c r="D1281" s="226">
        <v>0</v>
      </c>
      <c r="E1281" t="s">
        <v>663</v>
      </c>
    </row>
    <row r="1282" spans="1:5" hidden="1" x14ac:dyDescent="0.3">
      <c r="A1282" t="s">
        <v>552</v>
      </c>
      <c r="B1282" t="s">
        <v>662</v>
      </c>
      <c r="C1282" t="s">
        <v>44</v>
      </c>
      <c r="D1282" s="226">
        <v>-0.02</v>
      </c>
      <c r="E1282" t="s">
        <v>663</v>
      </c>
    </row>
    <row r="1283" spans="1:5" hidden="1" x14ac:dyDescent="0.3">
      <c r="A1283" t="s">
        <v>552</v>
      </c>
      <c r="B1283" t="s">
        <v>662</v>
      </c>
      <c r="C1283" t="s">
        <v>45</v>
      </c>
      <c r="D1283" s="226">
        <v>-79872.63</v>
      </c>
      <c r="E1283" t="s">
        <v>663</v>
      </c>
    </row>
    <row r="1284" spans="1:5" hidden="1" x14ac:dyDescent="0.3">
      <c r="A1284" t="s">
        <v>552</v>
      </c>
      <c r="B1284" t="s">
        <v>662</v>
      </c>
      <c r="C1284" t="s">
        <v>46</v>
      </c>
      <c r="D1284" s="226">
        <v>-42559.87</v>
      </c>
      <c r="E1284" t="s">
        <v>663</v>
      </c>
    </row>
    <row r="1285" spans="1:5" hidden="1" x14ac:dyDescent="0.3">
      <c r="A1285" t="s">
        <v>552</v>
      </c>
      <c r="B1285" t="s">
        <v>662</v>
      </c>
      <c r="C1285" t="s">
        <v>48</v>
      </c>
      <c r="D1285" s="226">
        <v>-37312.76</v>
      </c>
      <c r="E1285" t="s">
        <v>663</v>
      </c>
    </row>
    <row r="1286" spans="1:5" hidden="1" x14ac:dyDescent="0.3">
      <c r="A1286" t="s">
        <v>552</v>
      </c>
      <c r="B1286" t="s">
        <v>662</v>
      </c>
      <c r="C1286" t="s">
        <v>49</v>
      </c>
      <c r="D1286" s="226">
        <v>0</v>
      </c>
      <c r="E1286" t="s">
        <v>663</v>
      </c>
    </row>
    <row r="1287" spans="1:5" hidden="1" x14ac:dyDescent="0.3">
      <c r="A1287" t="s">
        <v>552</v>
      </c>
      <c r="B1287" t="s">
        <v>662</v>
      </c>
      <c r="C1287" t="s">
        <v>50</v>
      </c>
      <c r="D1287" s="226">
        <v>1235279.45</v>
      </c>
      <c r="E1287" t="s">
        <v>663</v>
      </c>
    </row>
    <row r="1288" spans="1:5" hidden="1" x14ac:dyDescent="0.3">
      <c r="A1288" t="s">
        <v>552</v>
      </c>
      <c r="B1288" t="s">
        <v>662</v>
      </c>
      <c r="C1288" t="s">
        <v>51</v>
      </c>
      <c r="D1288" s="226">
        <v>-360122.12</v>
      </c>
      <c r="E1288" t="s">
        <v>663</v>
      </c>
    </row>
    <row r="1289" spans="1:5" hidden="1" x14ac:dyDescent="0.3">
      <c r="A1289" t="s">
        <v>552</v>
      </c>
      <c r="B1289" t="s">
        <v>662</v>
      </c>
      <c r="C1289" t="s">
        <v>52</v>
      </c>
      <c r="D1289" s="226">
        <v>-237451.07</v>
      </c>
      <c r="E1289" t="s">
        <v>663</v>
      </c>
    </row>
    <row r="1290" spans="1:5" hidden="1" x14ac:dyDescent="0.3">
      <c r="A1290" t="s">
        <v>552</v>
      </c>
      <c r="B1290" t="s">
        <v>662</v>
      </c>
      <c r="C1290" t="s">
        <v>53</v>
      </c>
      <c r="D1290" s="226">
        <v>-121330.31</v>
      </c>
      <c r="E1290" t="s">
        <v>663</v>
      </c>
    </row>
    <row r="1291" spans="1:5" hidden="1" x14ac:dyDescent="0.3">
      <c r="A1291" t="s">
        <v>552</v>
      </c>
      <c r="B1291" t="s">
        <v>662</v>
      </c>
      <c r="C1291" t="s">
        <v>54</v>
      </c>
      <c r="D1291" s="226">
        <v>-1340.75</v>
      </c>
      <c r="E1291" t="s">
        <v>663</v>
      </c>
    </row>
    <row r="1292" spans="1:5" hidden="1" x14ac:dyDescent="0.3">
      <c r="A1292" t="s">
        <v>552</v>
      </c>
      <c r="B1292" t="s">
        <v>662</v>
      </c>
      <c r="C1292" t="s">
        <v>23</v>
      </c>
      <c r="D1292" s="226">
        <v>0</v>
      </c>
      <c r="E1292" t="s">
        <v>663</v>
      </c>
    </row>
    <row r="1293" spans="1:5" hidden="1" x14ac:dyDescent="0.3">
      <c r="A1293" t="s">
        <v>552</v>
      </c>
      <c r="B1293" t="s">
        <v>662</v>
      </c>
      <c r="C1293" t="s">
        <v>44</v>
      </c>
      <c r="D1293" s="226">
        <v>-0.3</v>
      </c>
      <c r="E1293" t="s">
        <v>663</v>
      </c>
    </row>
    <row r="1294" spans="1:5" hidden="1" x14ac:dyDescent="0.3">
      <c r="A1294" t="s">
        <v>552</v>
      </c>
      <c r="B1294" t="s">
        <v>662</v>
      </c>
      <c r="C1294" t="s">
        <v>55</v>
      </c>
      <c r="D1294" s="226">
        <v>-0.28999999999999998</v>
      </c>
      <c r="E1294" t="s">
        <v>663</v>
      </c>
    </row>
    <row r="1295" spans="1:5" hidden="1" x14ac:dyDescent="0.3">
      <c r="A1295" t="s">
        <v>552</v>
      </c>
      <c r="B1295" t="s">
        <v>662</v>
      </c>
      <c r="C1295" t="s">
        <v>56</v>
      </c>
      <c r="D1295" s="226">
        <v>0</v>
      </c>
      <c r="E1295" t="s">
        <v>663</v>
      </c>
    </row>
    <row r="1296" spans="1:5" hidden="1" x14ac:dyDescent="0.3">
      <c r="A1296" t="s">
        <v>552</v>
      </c>
      <c r="B1296" t="s">
        <v>662</v>
      </c>
      <c r="C1296" t="s">
        <v>57</v>
      </c>
      <c r="D1296" s="226">
        <v>0</v>
      </c>
      <c r="E1296" t="s">
        <v>663</v>
      </c>
    </row>
    <row r="1297" spans="1:5" hidden="1" x14ac:dyDescent="0.3">
      <c r="A1297" t="s">
        <v>552</v>
      </c>
      <c r="B1297" t="s">
        <v>662</v>
      </c>
      <c r="C1297" t="s">
        <v>58</v>
      </c>
      <c r="D1297" s="226">
        <v>0</v>
      </c>
      <c r="E1297" t="s">
        <v>663</v>
      </c>
    </row>
    <row r="1298" spans="1:5" hidden="1" x14ac:dyDescent="0.3">
      <c r="A1298" t="s">
        <v>552</v>
      </c>
      <c r="B1298" t="s">
        <v>662</v>
      </c>
      <c r="C1298" t="s">
        <v>59</v>
      </c>
      <c r="D1298" s="226">
        <v>0</v>
      </c>
      <c r="E1298" t="s">
        <v>663</v>
      </c>
    </row>
    <row r="1299" spans="1:5" hidden="1" x14ac:dyDescent="0.3">
      <c r="A1299" t="s">
        <v>552</v>
      </c>
      <c r="B1299" t="s">
        <v>662</v>
      </c>
      <c r="C1299" t="s">
        <v>61</v>
      </c>
      <c r="D1299" s="226">
        <v>0</v>
      </c>
      <c r="E1299" t="s">
        <v>663</v>
      </c>
    </row>
    <row r="1300" spans="1:5" hidden="1" x14ac:dyDescent="0.3">
      <c r="A1300" t="s">
        <v>552</v>
      </c>
      <c r="B1300" t="s">
        <v>662</v>
      </c>
      <c r="C1300" t="s">
        <v>62</v>
      </c>
      <c r="D1300" s="226">
        <v>0</v>
      </c>
      <c r="E1300" t="s">
        <v>663</v>
      </c>
    </row>
    <row r="1301" spans="1:5" hidden="1" x14ac:dyDescent="0.3">
      <c r="A1301" t="s">
        <v>552</v>
      </c>
      <c r="B1301" t="s">
        <v>662</v>
      </c>
      <c r="C1301" t="s">
        <v>64</v>
      </c>
      <c r="D1301" s="226">
        <v>0</v>
      </c>
      <c r="E1301" t="s">
        <v>663</v>
      </c>
    </row>
    <row r="1302" spans="1:5" hidden="1" x14ac:dyDescent="0.3">
      <c r="A1302" t="s">
        <v>552</v>
      </c>
      <c r="B1302" t="s">
        <v>662</v>
      </c>
      <c r="C1302" t="s">
        <v>65</v>
      </c>
      <c r="D1302" s="226">
        <v>0</v>
      </c>
      <c r="E1302" t="s">
        <v>663</v>
      </c>
    </row>
    <row r="1303" spans="1:5" hidden="1" x14ac:dyDescent="0.3">
      <c r="A1303" t="s">
        <v>552</v>
      </c>
      <c r="B1303" t="s">
        <v>662</v>
      </c>
      <c r="C1303" t="s">
        <v>66</v>
      </c>
      <c r="D1303" s="226">
        <v>0</v>
      </c>
      <c r="E1303" t="s">
        <v>663</v>
      </c>
    </row>
    <row r="1304" spans="1:5" hidden="1" x14ac:dyDescent="0.3">
      <c r="A1304" t="s">
        <v>552</v>
      </c>
      <c r="B1304" t="s">
        <v>662</v>
      </c>
      <c r="C1304" t="s">
        <v>68</v>
      </c>
      <c r="D1304" s="226">
        <v>0</v>
      </c>
      <c r="E1304" t="s">
        <v>663</v>
      </c>
    </row>
    <row r="1305" spans="1:5" hidden="1" x14ac:dyDescent="0.3">
      <c r="A1305" t="s">
        <v>552</v>
      </c>
      <c r="B1305" t="s">
        <v>662</v>
      </c>
      <c r="C1305" t="s">
        <v>69</v>
      </c>
      <c r="D1305" s="226">
        <v>0</v>
      </c>
      <c r="E1305" t="s">
        <v>663</v>
      </c>
    </row>
    <row r="1306" spans="1:5" hidden="1" x14ac:dyDescent="0.3">
      <c r="A1306" t="s">
        <v>552</v>
      </c>
      <c r="B1306" t="s">
        <v>662</v>
      </c>
      <c r="C1306" t="s">
        <v>70</v>
      </c>
      <c r="D1306" s="226">
        <v>0</v>
      </c>
      <c r="E1306" t="s">
        <v>663</v>
      </c>
    </row>
    <row r="1307" spans="1:5" hidden="1" x14ac:dyDescent="0.3">
      <c r="A1307" t="s">
        <v>552</v>
      </c>
      <c r="B1307" t="s">
        <v>662</v>
      </c>
      <c r="C1307" t="s">
        <v>44</v>
      </c>
      <c r="D1307" s="226">
        <v>0</v>
      </c>
      <c r="E1307" t="s">
        <v>663</v>
      </c>
    </row>
    <row r="1308" spans="1:5" hidden="1" x14ac:dyDescent="0.3">
      <c r="A1308" t="s">
        <v>552</v>
      </c>
      <c r="B1308" t="s">
        <v>662</v>
      </c>
      <c r="C1308" t="s">
        <v>71</v>
      </c>
      <c r="D1308" s="226">
        <v>0</v>
      </c>
      <c r="E1308" t="s">
        <v>663</v>
      </c>
    </row>
    <row r="1309" spans="1:5" hidden="1" x14ac:dyDescent="0.3">
      <c r="A1309" t="s">
        <v>552</v>
      </c>
      <c r="B1309" t="s">
        <v>662</v>
      </c>
      <c r="C1309" t="s">
        <v>72</v>
      </c>
      <c r="D1309" s="226">
        <v>0</v>
      </c>
      <c r="E1309" t="s">
        <v>663</v>
      </c>
    </row>
    <row r="1310" spans="1:5" hidden="1" x14ac:dyDescent="0.3">
      <c r="A1310" t="s">
        <v>552</v>
      </c>
      <c r="B1310" t="s">
        <v>662</v>
      </c>
      <c r="C1310" t="s">
        <v>73</v>
      </c>
      <c r="D1310" s="226">
        <v>0</v>
      </c>
      <c r="E1310" t="s">
        <v>663</v>
      </c>
    </row>
    <row r="1311" spans="1:5" hidden="1" x14ac:dyDescent="0.3">
      <c r="A1311" t="s">
        <v>552</v>
      </c>
      <c r="B1311" t="s">
        <v>662</v>
      </c>
      <c r="C1311" t="s">
        <v>75</v>
      </c>
      <c r="D1311" s="226">
        <v>0</v>
      </c>
      <c r="E1311" t="s">
        <v>663</v>
      </c>
    </row>
    <row r="1312" spans="1:5" hidden="1" x14ac:dyDescent="0.3">
      <c r="A1312" t="s">
        <v>552</v>
      </c>
      <c r="B1312" t="s">
        <v>662</v>
      </c>
      <c r="C1312" t="s">
        <v>77</v>
      </c>
      <c r="D1312" s="226">
        <v>0</v>
      </c>
      <c r="E1312" t="s">
        <v>663</v>
      </c>
    </row>
    <row r="1313" spans="1:5" hidden="1" x14ac:dyDescent="0.3">
      <c r="A1313" t="s">
        <v>552</v>
      </c>
      <c r="B1313" t="s">
        <v>662</v>
      </c>
      <c r="C1313" t="s">
        <v>78</v>
      </c>
      <c r="D1313" s="226">
        <v>0</v>
      </c>
      <c r="E1313" t="s">
        <v>663</v>
      </c>
    </row>
    <row r="1314" spans="1:5" hidden="1" x14ac:dyDescent="0.3">
      <c r="A1314" t="s">
        <v>552</v>
      </c>
      <c r="B1314" t="s">
        <v>662</v>
      </c>
      <c r="C1314" t="s">
        <v>80</v>
      </c>
      <c r="D1314" s="226">
        <v>0</v>
      </c>
      <c r="E1314" t="s">
        <v>663</v>
      </c>
    </row>
    <row r="1315" spans="1:5" hidden="1" x14ac:dyDescent="0.3">
      <c r="A1315" t="s">
        <v>552</v>
      </c>
      <c r="B1315" t="s">
        <v>662</v>
      </c>
      <c r="C1315" t="s">
        <v>82</v>
      </c>
      <c r="D1315" s="226">
        <v>0</v>
      </c>
      <c r="E1315" t="s">
        <v>663</v>
      </c>
    </row>
    <row r="1316" spans="1:5" hidden="1" x14ac:dyDescent="0.3">
      <c r="A1316" t="s">
        <v>552</v>
      </c>
      <c r="B1316" t="s">
        <v>662</v>
      </c>
      <c r="C1316" t="s">
        <v>84</v>
      </c>
      <c r="D1316" s="226">
        <v>0</v>
      </c>
      <c r="E1316" t="s">
        <v>663</v>
      </c>
    </row>
    <row r="1317" spans="1:5" hidden="1" x14ac:dyDescent="0.3">
      <c r="A1317" t="s">
        <v>552</v>
      </c>
      <c r="B1317" t="s">
        <v>662</v>
      </c>
      <c r="C1317" t="s">
        <v>85</v>
      </c>
      <c r="D1317" s="226">
        <v>0</v>
      </c>
      <c r="E1317" t="s">
        <v>663</v>
      </c>
    </row>
    <row r="1318" spans="1:5" hidden="1" x14ac:dyDescent="0.3">
      <c r="A1318" t="s">
        <v>552</v>
      </c>
      <c r="B1318" t="s">
        <v>662</v>
      </c>
      <c r="C1318" t="s">
        <v>86</v>
      </c>
      <c r="D1318" s="226">
        <v>0</v>
      </c>
      <c r="E1318" t="s">
        <v>663</v>
      </c>
    </row>
    <row r="1319" spans="1:5" hidden="1" x14ac:dyDescent="0.3">
      <c r="A1319" t="s">
        <v>552</v>
      </c>
      <c r="B1319" t="s">
        <v>662</v>
      </c>
      <c r="C1319" t="s">
        <v>87</v>
      </c>
      <c r="D1319" s="226">
        <v>0</v>
      </c>
      <c r="E1319" t="s">
        <v>663</v>
      </c>
    </row>
    <row r="1320" spans="1:5" hidden="1" x14ac:dyDescent="0.3">
      <c r="A1320" t="s">
        <v>552</v>
      </c>
      <c r="B1320" t="s">
        <v>662</v>
      </c>
      <c r="C1320" t="s">
        <v>88</v>
      </c>
      <c r="D1320" s="226">
        <v>0</v>
      </c>
      <c r="E1320" t="s">
        <v>663</v>
      </c>
    </row>
    <row r="1321" spans="1:5" hidden="1" x14ac:dyDescent="0.3">
      <c r="A1321" t="s">
        <v>552</v>
      </c>
      <c r="B1321" t="s">
        <v>662</v>
      </c>
      <c r="C1321" t="s">
        <v>89</v>
      </c>
      <c r="D1321" s="226">
        <v>0</v>
      </c>
      <c r="E1321" t="s">
        <v>663</v>
      </c>
    </row>
    <row r="1322" spans="1:5" hidden="1" x14ac:dyDescent="0.3">
      <c r="A1322" t="s">
        <v>552</v>
      </c>
      <c r="B1322" t="s">
        <v>662</v>
      </c>
      <c r="C1322" t="s">
        <v>90</v>
      </c>
      <c r="D1322" s="226">
        <v>0</v>
      </c>
      <c r="E1322" t="s">
        <v>663</v>
      </c>
    </row>
    <row r="1323" spans="1:5" hidden="1" x14ac:dyDescent="0.3">
      <c r="A1323" t="s">
        <v>552</v>
      </c>
      <c r="B1323" t="s">
        <v>662</v>
      </c>
      <c r="C1323" t="s">
        <v>91</v>
      </c>
      <c r="D1323" s="226">
        <v>0</v>
      </c>
      <c r="E1323" t="s">
        <v>663</v>
      </c>
    </row>
    <row r="1324" spans="1:5" hidden="1" x14ac:dyDescent="0.3">
      <c r="A1324" t="s">
        <v>552</v>
      </c>
      <c r="B1324" t="s">
        <v>662</v>
      </c>
      <c r="C1324" t="s">
        <v>93</v>
      </c>
      <c r="D1324" s="226">
        <v>0</v>
      </c>
      <c r="E1324" t="s">
        <v>663</v>
      </c>
    </row>
    <row r="1325" spans="1:5" hidden="1" x14ac:dyDescent="0.3">
      <c r="A1325" t="s">
        <v>552</v>
      </c>
      <c r="B1325" t="s">
        <v>662</v>
      </c>
      <c r="C1325" t="s">
        <v>95</v>
      </c>
      <c r="D1325" s="226">
        <v>0</v>
      </c>
      <c r="E1325" t="s">
        <v>663</v>
      </c>
    </row>
    <row r="1326" spans="1:5" hidden="1" x14ac:dyDescent="0.3">
      <c r="A1326" t="s">
        <v>552</v>
      </c>
      <c r="B1326" t="s">
        <v>662</v>
      </c>
      <c r="C1326" t="s">
        <v>96</v>
      </c>
      <c r="D1326" s="226">
        <v>0</v>
      </c>
      <c r="E1326" t="s">
        <v>663</v>
      </c>
    </row>
    <row r="1327" spans="1:5" hidden="1" x14ac:dyDescent="0.3">
      <c r="A1327" t="s">
        <v>552</v>
      </c>
      <c r="B1327" t="s">
        <v>662</v>
      </c>
      <c r="C1327" t="s">
        <v>98</v>
      </c>
      <c r="D1327" s="226">
        <v>0</v>
      </c>
      <c r="E1327" t="s">
        <v>663</v>
      </c>
    </row>
    <row r="1328" spans="1:5" hidden="1" x14ac:dyDescent="0.3">
      <c r="A1328" t="s">
        <v>552</v>
      </c>
      <c r="B1328" t="s">
        <v>662</v>
      </c>
      <c r="C1328" t="s">
        <v>100</v>
      </c>
      <c r="D1328" s="226">
        <v>0</v>
      </c>
      <c r="E1328" t="s">
        <v>663</v>
      </c>
    </row>
    <row r="1329" spans="1:5" hidden="1" x14ac:dyDescent="0.3">
      <c r="A1329" t="s">
        <v>552</v>
      </c>
      <c r="B1329" t="s">
        <v>662</v>
      </c>
      <c r="C1329" t="s">
        <v>101</v>
      </c>
      <c r="D1329" s="226">
        <v>0</v>
      </c>
      <c r="E1329" t="s">
        <v>663</v>
      </c>
    </row>
    <row r="1330" spans="1:5" hidden="1" x14ac:dyDescent="0.3">
      <c r="A1330" t="s">
        <v>552</v>
      </c>
      <c r="B1330" t="s">
        <v>662</v>
      </c>
      <c r="C1330" t="s">
        <v>102</v>
      </c>
      <c r="D1330" s="226">
        <v>0</v>
      </c>
      <c r="E1330" t="s">
        <v>663</v>
      </c>
    </row>
    <row r="1331" spans="1:5" hidden="1" x14ac:dyDescent="0.3">
      <c r="A1331" t="s">
        <v>552</v>
      </c>
      <c r="B1331" t="s">
        <v>662</v>
      </c>
      <c r="C1331" t="s">
        <v>103</v>
      </c>
      <c r="D1331" s="226">
        <v>0</v>
      </c>
      <c r="E1331" t="s">
        <v>663</v>
      </c>
    </row>
    <row r="1332" spans="1:5" hidden="1" x14ac:dyDescent="0.3">
      <c r="A1332" t="s">
        <v>552</v>
      </c>
      <c r="B1332" t="s">
        <v>662</v>
      </c>
      <c r="C1332" t="s">
        <v>104</v>
      </c>
      <c r="D1332" s="226">
        <v>0</v>
      </c>
      <c r="E1332" t="s">
        <v>663</v>
      </c>
    </row>
    <row r="1333" spans="1:5" hidden="1" x14ac:dyDescent="0.3">
      <c r="A1333" t="s">
        <v>552</v>
      </c>
      <c r="B1333" t="s">
        <v>662</v>
      </c>
      <c r="C1333" t="s">
        <v>105</v>
      </c>
      <c r="D1333" s="226">
        <v>0</v>
      </c>
      <c r="E1333" t="s">
        <v>663</v>
      </c>
    </row>
    <row r="1334" spans="1:5" hidden="1" x14ac:dyDescent="0.3">
      <c r="A1334" t="s">
        <v>552</v>
      </c>
      <c r="B1334" t="s">
        <v>662</v>
      </c>
      <c r="C1334" t="s">
        <v>107</v>
      </c>
      <c r="D1334" s="226">
        <v>0</v>
      </c>
      <c r="E1334" t="s">
        <v>663</v>
      </c>
    </row>
    <row r="1335" spans="1:5" hidden="1" x14ac:dyDescent="0.3">
      <c r="A1335" t="s">
        <v>552</v>
      </c>
      <c r="B1335" t="s">
        <v>662</v>
      </c>
      <c r="C1335" t="s">
        <v>108</v>
      </c>
      <c r="D1335" s="226">
        <v>0</v>
      </c>
      <c r="E1335" t="s">
        <v>663</v>
      </c>
    </row>
    <row r="1336" spans="1:5" hidden="1" x14ac:dyDescent="0.3">
      <c r="A1336" t="s">
        <v>552</v>
      </c>
      <c r="B1336" t="s">
        <v>662</v>
      </c>
      <c r="C1336" t="s">
        <v>109</v>
      </c>
      <c r="D1336" s="226">
        <v>0</v>
      </c>
      <c r="E1336" t="s">
        <v>663</v>
      </c>
    </row>
    <row r="1337" spans="1:5" hidden="1" x14ac:dyDescent="0.3">
      <c r="A1337" t="s">
        <v>552</v>
      </c>
      <c r="B1337" t="s">
        <v>662</v>
      </c>
      <c r="C1337" t="s">
        <v>110</v>
      </c>
      <c r="D1337" s="226">
        <v>0</v>
      </c>
      <c r="E1337" t="s">
        <v>663</v>
      </c>
    </row>
    <row r="1338" spans="1:5" hidden="1" x14ac:dyDescent="0.3">
      <c r="A1338" t="s">
        <v>552</v>
      </c>
      <c r="B1338" t="s">
        <v>662</v>
      </c>
      <c r="C1338" t="s">
        <v>44</v>
      </c>
      <c r="D1338" s="226">
        <v>0</v>
      </c>
      <c r="E1338" t="s">
        <v>663</v>
      </c>
    </row>
    <row r="1339" spans="1:5" hidden="1" x14ac:dyDescent="0.3">
      <c r="A1339" t="s">
        <v>552</v>
      </c>
      <c r="B1339" t="s">
        <v>662</v>
      </c>
      <c r="C1339" t="s">
        <v>111</v>
      </c>
      <c r="D1339" s="226">
        <v>-95484</v>
      </c>
      <c r="E1339" t="s">
        <v>663</v>
      </c>
    </row>
    <row r="1340" spans="1:5" hidden="1" x14ac:dyDescent="0.3">
      <c r="A1340" t="s">
        <v>552</v>
      </c>
      <c r="B1340" t="s">
        <v>662</v>
      </c>
      <c r="C1340" t="s">
        <v>555</v>
      </c>
      <c r="D1340" s="226">
        <v>-95484</v>
      </c>
      <c r="E1340" t="s">
        <v>663</v>
      </c>
    </row>
    <row r="1341" spans="1:5" hidden="1" x14ac:dyDescent="0.3">
      <c r="A1341" t="s">
        <v>552</v>
      </c>
      <c r="B1341" t="s">
        <v>662</v>
      </c>
      <c r="C1341" t="s">
        <v>44</v>
      </c>
      <c r="D1341" s="226">
        <v>-7.0000000000000007E-2</v>
      </c>
      <c r="E1341" t="s">
        <v>663</v>
      </c>
    </row>
    <row r="1342" spans="1:5" hidden="1" x14ac:dyDescent="0.3">
      <c r="A1342" t="s">
        <v>552</v>
      </c>
      <c r="B1342" t="s">
        <v>662</v>
      </c>
      <c r="C1342" t="s">
        <v>115</v>
      </c>
      <c r="D1342" s="226">
        <v>-27399.42</v>
      </c>
      <c r="E1342" t="s">
        <v>663</v>
      </c>
    </row>
    <row r="1343" spans="1:5" hidden="1" x14ac:dyDescent="0.3">
      <c r="A1343" t="s">
        <v>552</v>
      </c>
      <c r="B1343" t="s">
        <v>662</v>
      </c>
      <c r="C1343" t="s">
        <v>116</v>
      </c>
      <c r="D1343" s="226">
        <v>-25703.82</v>
      </c>
      <c r="E1343" t="s">
        <v>663</v>
      </c>
    </row>
    <row r="1344" spans="1:5" hidden="1" x14ac:dyDescent="0.3">
      <c r="A1344" t="s">
        <v>552</v>
      </c>
      <c r="B1344" t="s">
        <v>662</v>
      </c>
      <c r="C1344" t="s">
        <v>118</v>
      </c>
      <c r="D1344" s="226">
        <v>0</v>
      </c>
      <c r="E1344" t="s">
        <v>663</v>
      </c>
    </row>
    <row r="1345" spans="1:5" hidden="1" x14ac:dyDescent="0.3">
      <c r="A1345" t="s">
        <v>552</v>
      </c>
      <c r="B1345" t="s">
        <v>662</v>
      </c>
      <c r="C1345" t="s">
        <v>120</v>
      </c>
      <c r="D1345" s="226">
        <v>0</v>
      </c>
      <c r="E1345" t="s">
        <v>663</v>
      </c>
    </row>
    <row r="1346" spans="1:5" hidden="1" x14ac:dyDescent="0.3">
      <c r="A1346" t="s">
        <v>552</v>
      </c>
      <c r="B1346" t="s">
        <v>662</v>
      </c>
      <c r="C1346" t="s">
        <v>122</v>
      </c>
      <c r="D1346" s="226">
        <v>-1695.6</v>
      </c>
      <c r="E1346" t="s">
        <v>663</v>
      </c>
    </row>
    <row r="1347" spans="1:5" hidden="1" x14ac:dyDescent="0.3">
      <c r="A1347" t="s">
        <v>552</v>
      </c>
      <c r="B1347" t="s">
        <v>662</v>
      </c>
      <c r="C1347" t="s">
        <v>44</v>
      </c>
      <c r="D1347" s="226">
        <v>-0.02</v>
      </c>
      <c r="E1347" t="s">
        <v>663</v>
      </c>
    </row>
    <row r="1348" spans="1:5" hidden="1" x14ac:dyDescent="0.3">
      <c r="A1348" t="s">
        <v>552</v>
      </c>
      <c r="B1348" t="s">
        <v>662</v>
      </c>
      <c r="C1348" t="s">
        <v>125</v>
      </c>
      <c r="D1348" s="226">
        <v>752273.91</v>
      </c>
      <c r="E1348" t="s">
        <v>663</v>
      </c>
    </row>
    <row r="1349" spans="1:5" hidden="1" x14ac:dyDescent="0.3">
      <c r="A1349" t="s">
        <v>552</v>
      </c>
      <c r="B1349" t="s">
        <v>662</v>
      </c>
      <c r="C1349" t="s">
        <v>126</v>
      </c>
      <c r="D1349" s="226">
        <v>0.56000000000000005</v>
      </c>
      <c r="E1349" t="s">
        <v>663</v>
      </c>
    </row>
    <row r="1350" spans="1:5" hidden="1" x14ac:dyDescent="0.3">
      <c r="A1350" t="s">
        <v>552</v>
      </c>
      <c r="B1350" t="s">
        <v>662</v>
      </c>
      <c r="C1350" t="s">
        <v>127</v>
      </c>
      <c r="D1350" s="226">
        <v>-264548.40000000002</v>
      </c>
      <c r="E1350" t="s">
        <v>663</v>
      </c>
    </row>
    <row r="1351" spans="1:5" hidden="1" x14ac:dyDescent="0.3">
      <c r="A1351" t="s">
        <v>552</v>
      </c>
      <c r="B1351" t="s">
        <v>662</v>
      </c>
      <c r="C1351" t="s">
        <v>128</v>
      </c>
      <c r="D1351" s="226">
        <v>-43670</v>
      </c>
      <c r="E1351" t="s">
        <v>663</v>
      </c>
    </row>
    <row r="1352" spans="1:5" hidden="1" x14ac:dyDescent="0.3">
      <c r="A1352" t="s">
        <v>552</v>
      </c>
      <c r="B1352" t="s">
        <v>662</v>
      </c>
      <c r="C1352" t="s">
        <v>556</v>
      </c>
      <c r="D1352" s="226">
        <v>-10250</v>
      </c>
      <c r="E1352" t="s">
        <v>663</v>
      </c>
    </row>
    <row r="1353" spans="1:5" hidden="1" x14ac:dyDescent="0.3">
      <c r="A1353" t="s">
        <v>552</v>
      </c>
      <c r="B1353" t="s">
        <v>662</v>
      </c>
      <c r="C1353" t="s">
        <v>557</v>
      </c>
      <c r="D1353" s="226">
        <v>-5280</v>
      </c>
      <c r="E1353" t="s">
        <v>663</v>
      </c>
    </row>
    <row r="1354" spans="1:5" hidden="1" x14ac:dyDescent="0.3">
      <c r="A1354" t="s">
        <v>552</v>
      </c>
      <c r="B1354" t="s">
        <v>662</v>
      </c>
      <c r="C1354" t="s">
        <v>558</v>
      </c>
      <c r="D1354" s="226">
        <v>0</v>
      </c>
      <c r="E1354" t="s">
        <v>663</v>
      </c>
    </row>
    <row r="1355" spans="1:5" hidden="1" x14ac:dyDescent="0.3">
      <c r="A1355" t="s">
        <v>552</v>
      </c>
      <c r="B1355" t="s">
        <v>662</v>
      </c>
      <c r="C1355" t="s">
        <v>559</v>
      </c>
      <c r="D1355" s="226">
        <v>-14640</v>
      </c>
      <c r="E1355" t="s">
        <v>663</v>
      </c>
    </row>
    <row r="1356" spans="1:5" hidden="1" x14ac:dyDescent="0.3">
      <c r="A1356" t="s">
        <v>552</v>
      </c>
      <c r="B1356" t="s">
        <v>662</v>
      </c>
      <c r="C1356" t="s">
        <v>560</v>
      </c>
      <c r="D1356" s="226">
        <v>-2500</v>
      </c>
      <c r="E1356" t="s">
        <v>663</v>
      </c>
    </row>
    <row r="1357" spans="1:5" hidden="1" x14ac:dyDescent="0.3">
      <c r="A1357" t="s">
        <v>552</v>
      </c>
      <c r="B1357" t="s">
        <v>662</v>
      </c>
      <c r="C1357" t="s">
        <v>561</v>
      </c>
      <c r="D1357" s="226">
        <v>-7000</v>
      </c>
      <c r="E1357" t="s">
        <v>663</v>
      </c>
    </row>
    <row r="1358" spans="1:5" hidden="1" x14ac:dyDescent="0.3">
      <c r="A1358" t="s">
        <v>552</v>
      </c>
      <c r="B1358" t="s">
        <v>662</v>
      </c>
      <c r="C1358" t="s">
        <v>562</v>
      </c>
      <c r="D1358" s="226">
        <v>-4000</v>
      </c>
      <c r="E1358" t="s">
        <v>663</v>
      </c>
    </row>
    <row r="1359" spans="1:5" hidden="1" x14ac:dyDescent="0.3">
      <c r="A1359" t="s">
        <v>552</v>
      </c>
      <c r="B1359" t="s">
        <v>662</v>
      </c>
      <c r="C1359" t="s">
        <v>563</v>
      </c>
      <c r="D1359" s="226">
        <v>0</v>
      </c>
      <c r="E1359" t="s">
        <v>663</v>
      </c>
    </row>
    <row r="1360" spans="1:5" hidden="1" x14ac:dyDescent="0.3">
      <c r="A1360" t="s">
        <v>552</v>
      </c>
      <c r="B1360" t="s">
        <v>662</v>
      </c>
      <c r="C1360" t="s">
        <v>564</v>
      </c>
      <c r="D1360" s="226">
        <v>0</v>
      </c>
      <c r="E1360" t="s">
        <v>663</v>
      </c>
    </row>
    <row r="1361" spans="1:5" hidden="1" x14ac:dyDescent="0.3">
      <c r="A1361" t="s">
        <v>552</v>
      </c>
      <c r="B1361" t="s">
        <v>662</v>
      </c>
      <c r="C1361" t="s">
        <v>565</v>
      </c>
      <c r="D1361" s="226">
        <v>0</v>
      </c>
      <c r="E1361" t="s">
        <v>663</v>
      </c>
    </row>
    <row r="1362" spans="1:5" hidden="1" x14ac:dyDescent="0.3">
      <c r="A1362" t="s">
        <v>552</v>
      </c>
      <c r="B1362" t="s">
        <v>662</v>
      </c>
      <c r="C1362" t="s">
        <v>566</v>
      </c>
      <c r="D1362" s="226">
        <v>0</v>
      </c>
      <c r="E1362" t="s">
        <v>663</v>
      </c>
    </row>
    <row r="1363" spans="1:5" hidden="1" x14ac:dyDescent="0.3">
      <c r="A1363" t="s">
        <v>552</v>
      </c>
      <c r="B1363" t="s">
        <v>662</v>
      </c>
      <c r="C1363" t="s">
        <v>567</v>
      </c>
      <c r="D1363" s="226">
        <v>0</v>
      </c>
      <c r="E1363" t="s">
        <v>663</v>
      </c>
    </row>
    <row r="1364" spans="1:5" hidden="1" x14ac:dyDescent="0.3">
      <c r="A1364" t="s">
        <v>552</v>
      </c>
      <c r="B1364" t="s">
        <v>662</v>
      </c>
      <c r="C1364" t="s">
        <v>141</v>
      </c>
      <c r="D1364" s="226">
        <v>-63599.08</v>
      </c>
      <c r="E1364" t="s">
        <v>663</v>
      </c>
    </row>
    <row r="1365" spans="1:5" hidden="1" x14ac:dyDescent="0.3">
      <c r="A1365" t="s">
        <v>552</v>
      </c>
      <c r="B1365" t="s">
        <v>662</v>
      </c>
      <c r="C1365" t="s">
        <v>568</v>
      </c>
      <c r="D1365" s="226">
        <v>3596</v>
      </c>
      <c r="E1365" t="s">
        <v>663</v>
      </c>
    </row>
    <row r="1366" spans="1:5" hidden="1" x14ac:dyDescent="0.3">
      <c r="A1366" t="s">
        <v>552</v>
      </c>
      <c r="B1366" t="s">
        <v>662</v>
      </c>
      <c r="C1366" t="s">
        <v>569</v>
      </c>
      <c r="D1366" s="226">
        <v>2272.67</v>
      </c>
      <c r="E1366" t="s">
        <v>663</v>
      </c>
    </row>
    <row r="1367" spans="1:5" hidden="1" x14ac:dyDescent="0.3">
      <c r="A1367" t="s">
        <v>552</v>
      </c>
      <c r="B1367" t="s">
        <v>662</v>
      </c>
      <c r="C1367" t="s">
        <v>570</v>
      </c>
      <c r="D1367" s="226">
        <v>2264.67</v>
      </c>
      <c r="E1367" t="s">
        <v>663</v>
      </c>
    </row>
    <row r="1368" spans="1:5" hidden="1" x14ac:dyDescent="0.3">
      <c r="A1368" t="s">
        <v>552</v>
      </c>
      <c r="B1368" t="s">
        <v>662</v>
      </c>
      <c r="C1368" t="s">
        <v>571</v>
      </c>
      <c r="D1368" s="226">
        <v>2264.67</v>
      </c>
      <c r="E1368" t="s">
        <v>663</v>
      </c>
    </row>
    <row r="1369" spans="1:5" hidden="1" x14ac:dyDescent="0.3">
      <c r="A1369" t="s">
        <v>552</v>
      </c>
      <c r="B1369" t="s">
        <v>662</v>
      </c>
      <c r="C1369" t="s">
        <v>572</v>
      </c>
      <c r="D1369" s="226">
        <v>0</v>
      </c>
      <c r="E1369" t="s">
        <v>663</v>
      </c>
    </row>
    <row r="1370" spans="1:5" hidden="1" x14ac:dyDescent="0.3">
      <c r="A1370" t="s">
        <v>552</v>
      </c>
      <c r="B1370" t="s">
        <v>662</v>
      </c>
      <c r="C1370" t="s">
        <v>573</v>
      </c>
      <c r="D1370" s="226">
        <v>1834.03</v>
      </c>
      <c r="E1370" t="s">
        <v>663</v>
      </c>
    </row>
    <row r="1371" spans="1:5" hidden="1" x14ac:dyDescent="0.3">
      <c r="A1371" t="s">
        <v>552</v>
      </c>
      <c r="B1371" t="s">
        <v>662</v>
      </c>
      <c r="C1371" t="s">
        <v>574</v>
      </c>
      <c r="D1371" s="226">
        <v>0</v>
      </c>
      <c r="E1371" t="s">
        <v>663</v>
      </c>
    </row>
    <row r="1372" spans="1:5" hidden="1" x14ac:dyDescent="0.3">
      <c r="A1372" t="s">
        <v>552</v>
      </c>
      <c r="B1372" t="s">
        <v>662</v>
      </c>
      <c r="C1372" t="s">
        <v>575</v>
      </c>
      <c r="D1372" s="226">
        <v>0</v>
      </c>
      <c r="E1372" t="s">
        <v>663</v>
      </c>
    </row>
    <row r="1373" spans="1:5" hidden="1" x14ac:dyDescent="0.3">
      <c r="A1373" t="s">
        <v>552</v>
      </c>
      <c r="B1373" t="s">
        <v>662</v>
      </c>
      <c r="C1373" t="s">
        <v>576</v>
      </c>
      <c r="D1373" s="226">
        <v>2667.52</v>
      </c>
      <c r="E1373" t="s">
        <v>663</v>
      </c>
    </row>
    <row r="1374" spans="1:5" hidden="1" x14ac:dyDescent="0.3">
      <c r="A1374" t="s">
        <v>552</v>
      </c>
      <c r="B1374" t="s">
        <v>662</v>
      </c>
      <c r="C1374" t="s">
        <v>577</v>
      </c>
      <c r="D1374" s="226">
        <v>2019.27</v>
      </c>
      <c r="E1374" t="s">
        <v>663</v>
      </c>
    </row>
    <row r="1375" spans="1:5" hidden="1" x14ac:dyDescent="0.3">
      <c r="A1375" t="s">
        <v>552</v>
      </c>
      <c r="B1375" t="s">
        <v>662</v>
      </c>
      <c r="C1375" t="s">
        <v>578</v>
      </c>
      <c r="D1375" s="226">
        <v>1834.03</v>
      </c>
      <c r="E1375" t="s">
        <v>663</v>
      </c>
    </row>
    <row r="1376" spans="1:5" hidden="1" x14ac:dyDescent="0.3">
      <c r="A1376" t="s">
        <v>552</v>
      </c>
      <c r="B1376" t="s">
        <v>662</v>
      </c>
      <c r="C1376" t="s">
        <v>579</v>
      </c>
      <c r="D1376" s="226">
        <v>0</v>
      </c>
      <c r="E1376" t="s">
        <v>663</v>
      </c>
    </row>
    <row r="1377" spans="1:5" hidden="1" x14ac:dyDescent="0.3">
      <c r="A1377" t="s">
        <v>552</v>
      </c>
      <c r="B1377" t="s">
        <v>662</v>
      </c>
      <c r="C1377" t="s">
        <v>580</v>
      </c>
      <c r="D1377" s="226">
        <v>0</v>
      </c>
      <c r="E1377" t="s">
        <v>663</v>
      </c>
    </row>
    <row r="1378" spans="1:5" hidden="1" x14ac:dyDescent="0.3">
      <c r="A1378" t="s">
        <v>552</v>
      </c>
      <c r="B1378" t="s">
        <v>662</v>
      </c>
      <c r="C1378" t="s">
        <v>581</v>
      </c>
      <c r="D1378" s="226">
        <v>0</v>
      </c>
      <c r="E1378" t="s">
        <v>663</v>
      </c>
    </row>
    <row r="1379" spans="1:5" hidden="1" x14ac:dyDescent="0.3">
      <c r="A1379" t="s">
        <v>552</v>
      </c>
      <c r="B1379" t="s">
        <v>662</v>
      </c>
      <c r="C1379" t="s">
        <v>582</v>
      </c>
      <c r="D1379" s="226">
        <v>0</v>
      </c>
      <c r="E1379" t="s">
        <v>663</v>
      </c>
    </row>
    <row r="1380" spans="1:5" hidden="1" x14ac:dyDescent="0.3">
      <c r="A1380" t="s">
        <v>552</v>
      </c>
      <c r="B1380" t="s">
        <v>662</v>
      </c>
      <c r="C1380" t="s">
        <v>583</v>
      </c>
      <c r="D1380" s="226">
        <v>0</v>
      </c>
      <c r="E1380" t="s">
        <v>663</v>
      </c>
    </row>
    <row r="1381" spans="1:5" hidden="1" x14ac:dyDescent="0.3">
      <c r="A1381" t="s">
        <v>552</v>
      </c>
      <c r="B1381" t="s">
        <v>662</v>
      </c>
      <c r="C1381" t="s">
        <v>584</v>
      </c>
      <c r="D1381" s="226">
        <v>0</v>
      </c>
      <c r="E1381" t="s">
        <v>663</v>
      </c>
    </row>
    <row r="1382" spans="1:5" hidden="1" x14ac:dyDescent="0.3">
      <c r="A1382" t="s">
        <v>552</v>
      </c>
      <c r="B1382" t="s">
        <v>662</v>
      </c>
      <c r="C1382" t="s">
        <v>585</v>
      </c>
      <c r="D1382" s="226">
        <v>0</v>
      </c>
      <c r="E1382" t="s">
        <v>663</v>
      </c>
    </row>
    <row r="1383" spans="1:5" hidden="1" x14ac:dyDescent="0.3">
      <c r="A1383" t="s">
        <v>552</v>
      </c>
      <c r="B1383" t="s">
        <v>662</v>
      </c>
      <c r="C1383" t="s">
        <v>586</v>
      </c>
      <c r="D1383" s="226">
        <v>3503</v>
      </c>
      <c r="E1383" t="s">
        <v>663</v>
      </c>
    </row>
    <row r="1384" spans="1:5" hidden="1" x14ac:dyDescent="0.3">
      <c r="A1384" t="s">
        <v>552</v>
      </c>
      <c r="B1384" t="s">
        <v>662</v>
      </c>
      <c r="C1384" t="s">
        <v>587</v>
      </c>
      <c r="D1384" s="226">
        <v>2669.58</v>
      </c>
      <c r="E1384" t="s">
        <v>663</v>
      </c>
    </row>
    <row r="1385" spans="1:5" hidden="1" x14ac:dyDescent="0.3">
      <c r="A1385" t="s">
        <v>552</v>
      </c>
      <c r="B1385" t="s">
        <v>662</v>
      </c>
      <c r="C1385" t="s">
        <v>588</v>
      </c>
      <c r="D1385" s="226">
        <v>2320.77</v>
      </c>
      <c r="E1385" t="s">
        <v>663</v>
      </c>
    </row>
    <row r="1386" spans="1:5" hidden="1" x14ac:dyDescent="0.3">
      <c r="A1386" t="s">
        <v>552</v>
      </c>
      <c r="B1386" t="s">
        <v>662</v>
      </c>
      <c r="C1386" t="s">
        <v>589</v>
      </c>
      <c r="D1386" s="226">
        <v>2020.27</v>
      </c>
      <c r="E1386" t="s">
        <v>663</v>
      </c>
    </row>
    <row r="1387" spans="1:5" hidden="1" x14ac:dyDescent="0.3">
      <c r="A1387" t="s">
        <v>552</v>
      </c>
      <c r="B1387" t="s">
        <v>662</v>
      </c>
      <c r="C1387" t="s">
        <v>590</v>
      </c>
      <c r="D1387" s="226">
        <v>1834.03</v>
      </c>
      <c r="E1387" t="s">
        <v>663</v>
      </c>
    </row>
    <row r="1388" spans="1:5" hidden="1" x14ac:dyDescent="0.3">
      <c r="A1388" t="s">
        <v>552</v>
      </c>
      <c r="B1388" t="s">
        <v>662</v>
      </c>
      <c r="C1388" t="s">
        <v>591</v>
      </c>
      <c r="D1388" s="226">
        <v>0</v>
      </c>
      <c r="E1388" t="s">
        <v>663</v>
      </c>
    </row>
    <row r="1389" spans="1:5" hidden="1" x14ac:dyDescent="0.3">
      <c r="A1389" t="s">
        <v>552</v>
      </c>
      <c r="B1389" t="s">
        <v>662</v>
      </c>
      <c r="C1389" t="s">
        <v>592</v>
      </c>
      <c r="D1389" s="226">
        <v>1834.03</v>
      </c>
      <c r="E1389" t="s">
        <v>663</v>
      </c>
    </row>
    <row r="1390" spans="1:5" hidden="1" x14ac:dyDescent="0.3">
      <c r="A1390" t="s">
        <v>552</v>
      </c>
      <c r="B1390" t="s">
        <v>662</v>
      </c>
      <c r="C1390" t="s">
        <v>593</v>
      </c>
      <c r="D1390" s="226">
        <v>0</v>
      </c>
      <c r="E1390" t="s">
        <v>663</v>
      </c>
    </row>
    <row r="1391" spans="1:5" hidden="1" x14ac:dyDescent="0.3">
      <c r="A1391" t="s">
        <v>552</v>
      </c>
      <c r="B1391" t="s">
        <v>662</v>
      </c>
      <c r="C1391" t="s">
        <v>594</v>
      </c>
      <c r="D1391" s="226">
        <v>0</v>
      </c>
      <c r="E1391" t="s">
        <v>663</v>
      </c>
    </row>
    <row r="1392" spans="1:5" hidden="1" x14ac:dyDescent="0.3">
      <c r="A1392" t="s">
        <v>552</v>
      </c>
      <c r="B1392" t="s">
        <v>662</v>
      </c>
      <c r="C1392" t="s">
        <v>595</v>
      </c>
      <c r="D1392" s="226">
        <v>0</v>
      </c>
      <c r="E1392" t="s">
        <v>663</v>
      </c>
    </row>
    <row r="1393" spans="1:5" hidden="1" x14ac:dyDescent="0.3">
      <c r="A1393" t="s">
        <v>552</v>
      </c>
      <c r="B1393" t="s">
        <v>662</v>
      </c>
      <c r="C1393" t="s">
        <v>596</v>
      </c>
      <c r="D1393" s="226">
        <v>0</v>
      </c>
      <c r="E1393" t="s">
        <v>663</v>
      </c>
    </row>
    <row r="1394" spans="1:5" hidden="1" x14ac:dyDescent="0.3">
      <c r="A1394" t="s">
        <v>552</v>
      </c>
      <c r="B1394" t="s">
        <v>662</v>
      </c>
      <c r="C1394" t="s">
        <v>597</v>
      </c>
      <c r="D1394" s="226">
        <v>0</v>
      </c>
      <c r="E1394" t="s">
        <v>663</v>
      </c>
    </row>
    <row r="1395" spans="1:5" hidden="1" x14ac:dyDescent="0.3">
      <c r="A1395" t="s">
        <v>552</v>
      </c>
      <c r="B1395" t="s">
        <v>662</v>
      </c>
      <c r="C1395" t="s">
        <v>598</v>
      </c>
      <c r="D1395" s="226">
        <v>0</v>
      </c>
      <c r="E1395" t="s">
        <v>663</v>
      </c>
    </row>
    <row r="1396" spans="1:5" hidden="1" x14ac:dyDescent="0.3">
      <c r="A1396" t="s">
        <v>552</v>
      </c>
      <c r="B1396" t="s">
        <v>662</v>
      </c>
      <c r="C1396" t="s">
        <v>599</v>
      </c>
      <c r="D1396" s="226">
        <v>0</v>
      </c>
      <c r="E1396" t="s">
        <v>663</v>
      </c>
    </row>
    <row r="1397" spans="1:5" hidden="1" x14ac:dyDescent="0.3">
      <c r="A1397" t="s">
        <v>552</v>
      </c>
      <c r="B1397" t="s">
        <v>662</v>
      </c>
      <c r="C1397" t="s">
        <v>600</v>
      </c>
      <c r="D1397" s="226">
        <v>0</v>
      </c>
      <c r="E1397" t="s">
        <v>663</v>
      </c>
    </row>
    <row r="1398" spans="1:5" hidden="1" x14ac:dyDescent="0.3">
      <c r="A1398" t="s">
        <v>552</v>
      </c>
      <c r="B1398" t="s">
        <v>662</v>
      </c>
      <c r="C1398" t="s">
        <v>601</v>
      </c>
      <c r="D1398" s="226">
        <v>0</v>
      </c>
      <c r="E1398" t="s">
        <v>663</v>
      </c>
    </row>
    <row r="1399" spans="1:5" hidden="1" x14ac:dyDescent="0.3">
      <c r="A1399" t="s">
        <v>552</v>
      </c>
      <c r="B1399" t="s">
        <v>662</v>
      </c>
      <c r="C1399" t="s">
        <v>602</v>
      </c>
      <c r="D1399" s="226">
        <v>0</v>
      </c>
      <c r="E1399" t="s">
        <v>663</v>
      </c>
    </row>
    <row r="1400" spans="1:5" hidden="1" x14ac:dyDescent="0.3">
      <c r="A1400" t="s">
        <v>552</v>
      </c>
      <c r="B1400" t="s">
        <v>662</v>
      </c>
      <c r="C1400" t="s">
        <v>603</v>
      </c>
      <c r="D1400" s="226">
        <v>0</v>
      </c>
      <c r="E1400" t="s">
        <v>663</v>
      </c>
    </row>
    <row r="1401" spans="1:5" hidden="1" x14ac:dyDescent="0.3">
      <c r="A1401" t="s">
        <v>552</v>
      </c>
      <c r="B1401" t="s">
        <v>662</v>
      </c>
      <c r="C1401" t="s">
        <v>604</v>
      </c>
      <c r="D1401" s="226">
        <v>1835.03</v>
      </c>
      <c r="E1401" t="s">
        <v>663</v>
      </c>
    </row>
    <row r="1402" spans="1:5" hidden="1" x14ac:dyDescent="0.3">
      <c r="A1402" t="s">
        <v>552</v>
      </c>
      <c r="B1402" t="s">
        <v>662</v>
      </c>
      <c r="C1402" t="s">
        <v>605</v>
      </c>
      <c r="D1402" s="226">
        <v>0</v>
      </c>
      <c r="E1402" t="s">
        <v>663</v>
      </c>
    </row>
    <row r="1403" spans="1:5" hidden="1" x14ac:dyDescent="0.3">
      <c r="A1403" t="s">
        <v>552</v>
      </c>
      <c r="B1403" t="s">
        <v>662</v>
      </c>
      <c r="C1403" t="s">
        <v>606</v>
      </c>
      <c r="D1403" s="226">
        <v>0</v>
      </c>
      <c r="E1403" t="s">
        <v>663</v>
      </c>
    </row>
    <row r="1404" spans="1:5" hidden="1" x14ac:dyDescent="0.3">
      <c r="A1404" t="s">
        <v>552</v>
      </c>
      <c r="B1404" t="s">
        <v>662</v>
      </c>
      <c r="C1404" t="s">
        <v>607</v>
      </c>
      <c r="D1404" s="226">
        <v>0</v>
      </c>
      <c r="E1404" t="s">
        <v>663</v>
      </c>
    </row>
    <row r="1405" spans="1:5" hidden="1" x14ac:dyDescent="0.3">
      <c r="A1405" t="s">
        <v>552</v>
      </c>
      <c r="B1405" t="s">
        <v>662</v>
      </c>
      <c r="C1405" t="s">
        <v>608</v>
      </c>
      <c r="D1405" s="226">
        <v>0</v>
      </c>
      <c r="E1405" t="s">
        <v>663</v>
      </c>
    </row>
    <row r="1406" spans="1:5" hidden="1" x14ac:dyDescent="0.3">
      <c r="A1406" t="s">
        <v>552</v>
      </c>
      <c r="B1406" t="s">
        <v>662</v>
      </c>
      <c r="C1406" t="s">
        <v>609</v>
      </c>
      <c r="D1406" s="226">
        <v>0</v>
      </c>
      <c r="E1406" t="s">
        <v>663</v>
      </c>
    </row>
    <row r="1407" spans="1:5" hidden="1" x14ac:dyDescent="0.3">
      <c r="A1407" t="s">
        <v>552</v>
      </c>
      <c r="B1407" t="s">
        <v>662</v>
      </c>
      <c r="C1407" t="s">
        <v>610</v>
      </c>
      <c r="D1407" s="226">
        <v>0</v>
      </c>
      <c r="E1407" t="s">
        <v>663</v>
      </c>
    </row>
    <row r="1408" spans="1:5" hidden="1" x14ac:dyDescent="0.3">
      <c r="A1408" t="s">
        <v>552</v>
      </c>
      <c r="B1408" t="s">
        <v>662</v>
      </c>
      <c r="C1408" t="s">
        <v>611</v>
      </c>
      <c r="D1408" s="226">
        <v>0</v>
      </c>
      <c r="E1408" t="s">
        <v>663</v>
      </c>
    </row>
    <row r="1409" spans="1:5" hidden="1" x14ac:dyDescent="0.3">
      <c r="A1409" t="s">
        <v>552</v>
      </c>
      <c r="B1409" t="s">
        <v>662</v>
      </c>
      <c r="C1409" t="s">
        <v>612</v>
      </c>
      <c r="D1409" s="226">
        <v>0</v>
      </c>
      <c r="E1409" t="s">
        <v>663</v>
      </c>
    </row>
    <row r="1410" spans="1:5" hidden="1" x14ac:dyDescent="0.3">
      <c r="A1410" t="s">
        <v>552</v>
      </c>
      <c r="B1410" t="s">
        <v>662</v>
      </c>
      <c r="C1410" t="s">
        <v>613</v>
      </c>
      <c r="D1410" s="226">
        <v>0</v>
      </c>
      <c r="E1410" t="s">
        <v>663</v>
      </c>
    </row>
    <row r="1411" spans="1:5" hidden="1" x14ac:dyDescent="0.3">
      <c r="A1411" t="s">
        <v>552</v>
      </c>
      <c r="B1411" t="s">
        <v>662</v>
      </c>
      <c r="C1411" t="s">
        <v>614</v>
      </c>
      <c r="D1411" s="226">
        <v>0</v>
      </c>
      <c r="E1411" t="s">
        <v>663</v>
      </c>
    </row>
    <row r="1412" spans="1:5" hidden="1" x14ac:dyDescent="0.3">
      <c r="A1412" t="s">
        <v>552</v>
      </c>
      <c r="B1412" t="s">
        <v>662</v>
      </c>
      <c r="C1412" t="s">
        <v>615</v>
      </c>
      <c r="D1412" s="226">
        <v>0</v>
      </c>
      <c r="E1412" t="s">
        <v>663</v>
      </c>
    </row>
    <row r="1413" spans="1:5" hidden="1" x14ac:dyDescent="0.3">
      <c r="A1413" t="s">
        <v>552</v>
      </c>
      <c r="B1413" t="s">
        <v>662</v>
      </c>
      <c r="C1413" t="s">
        <v>616</v>
      </c>
      <c r="D1413" s="226">
        <v>0</v>
      </c>
      <c r="E1413" t="s">
        <v>663</v>
      </c>
    </row>
    <row r="1414" spans="1:5" hidden="1" x14ac:dyDescent="0.3">
      <c r="A1414" t="s">
        <v>552</v>
      </c>
      <c r="B1414" t="s">
        <v>662</v>
      </c>
      <c r="C1414" t="s">
        <v>617</v>
      </c>
      <c r="D1414" s="226">
        <v>0</v>
      </c>
      <c r="E1414" t="s">
        <v>663</v>
      </c>
    </row>
    <row r="1415" spans="1:5" hidden="1" x14ac:dyDescent="0.3">
      <c r="A1415" t="s">
        <v>552</v>
      </c>
      <c r="B1415" t="s">
        <v>662</v>
      </c>
      <c r="C1415" t="s">
        <v>618</v>
      </c>
      <c r="D1415" s="226">
        <v>0</v>
      </c>
      <c r="E1415" t="s">
        <v>663</v>
      </c>
    </row>
    <row r="1416" spans="1:5" hidden="1" x14ac:dyDescent="0.3">
      <c r="A1416" t="s">
        <v>552</v>
      </c>
      <c r="B1416" t="s">
        <v>662</v>
      </c>
      <c r="C1416" t="s">
        <v>619</v>
      </c>
      <c r="D1416" s="226">
        <v>2318.77</v>
      </c>
      <c r="E1416" t="s">
        <v>663</v>
      </c>
    </row>
    <row r="1417" spans="1:5" hidden="1" x14ac:dyDescent="0.3">
      <c r="A1417" t="s">
        <v>552</v>
      </c>
      <c r="B1417" t="s">
        <v>662</v>
      </c>
      <c r="C1417" t="s">
        <v>620</v>
      </c>
      <c r="D1417" s="226">
        <v>0</v>
      </c>
      <c r="E1417" t="s">
        <v>663</v>
      </c>
    </row>
    <row r="1418" spans="1:5" hidden="1" x14ac:dyDescent="0.3">
      <c r="A1418" t="s">
        <v>552</v>
      </c>
      <c r="B1418" t="s">
        <v>662</v>
      </c>
      <c r="C1418" t="s">
        <v>621</v>
      </c>
      <c r="D1418" s="226">
        <v>0</v>
      </c>
      <c r="E1418" t="s">
        <v>663</v>
      </c>
    </row>
    <row r="1419" spans="1:5" hidden="1" x14ac:dyDescent="0.3">
      <c r="A1419" t="s">
        <v>552</v>
      </c>
      <c r="B1419" t="s">
        <v>662</v>
      </c>
      <c r="C1419" t="s">
        <v>622</v>
      </c>
      <c r="D1419" s="226">
        <v>0</v>
      </c>
      <c r="E1419" t="s">
        <v>663</v>
      </c>
    </row>
    <row r="1420" spans="1:5" hidden="1" x14ac:dyDescent="0.3">
      <c r="A1420" t="s">
        <v>552</v>
      </c>
      <c r="B1420" t="s">
        <v>662</v>
      </c>
      <c r="C1420" t="s">
        <v>623</v>
      </c>
      <c r="D1420" s="226">
        <v>1907.49</v>
      </c>
      <c r="E1420" t="s">
        <v>663</v>
      </c>
    </row>
    <row r="1421" spans="1:5" hidden="1" x14ac:dyDescent="0.3">
      <c r="A1421" t="s">
        <v>552</v>
      </c>
      <c r="B1421" t="s">
        <v>662</v>
      </c>
      <c r="C1421" t="s">
        <v>624</v>
      </c>
      <c r="D1421" s="226">
        <v>0</v>
      </c>
      <c r="E1421" t="s">
        <v>663</v>
      </c>
    </row>
    <row r="1422" spans="1:5" hidden="1" x14ac:dyDescent="0.3">
      <c r="A1422" t="s">
        <v>552</v>
      </c>
      <c r="B1422" t="s">
        <v>662</v>
      </c>
      <c r="C1422" t="s">
        <v>200</v>
      </c>
      <c r="D1422" s="226">
        <v>-83818.17</v>
      </c>
      <c r="E1422" t="s">
        <v>663</v>
      </c>
    </row>
    <row r="1423" spans="1:5" hidden="1" x14ac:dyDescent="0.3">
      <c r="A1423" t="s">
        <v>552</v>
      </c>
      <c r="B1423" t="s">
        <v>662</v>
      </c>
      <c r="C1423" t="s">
        <v>202</v>
      </c>
      <c r="D1423" s="226">
        <v>-83818.17</v>
      </c>
      <c r="E1423" t="s">
        <v>663</v>
      </c>
    </row>
    <row r="1424" spans="1:5" hidden="1" x14ac:dyDescent="0.3">
      <c r="A1424" t="s">
        <v>552</v>
      </c>
      <c r="B1424" t="s">
        <v>662</v>
      </c>
      <c r="C1424" t="s">
        <v>625</v>
      </c>
      <c r="D1424" s="226">
        <v>41909.089999999997</v>
      </c>
      <c r="E1424" t="s">
        <v>663</v>
      </c>
    </row>
    <row r="1425" spans="1:5" hidden="1" x14ac:dyDescent="0.3">
      <c r="A1425" t="s">
        <v>552</v>
      </c>
      <c r="B1425" t="s">
        <v>662</v>
      </c>
      <c r="C1425" t="s">
        <v>204</v>
      </c>
      <c r="D1425" s="226">
        <v>-36126.519999999997</v>
      </c>
      <c r="E1425" t="s">
        <v>663</v>
      </c>
    </row>
    <row r="1426" spans="1:5" hidden="1" x14ac:dyDescent="0.3">
      <c r="A1426" t="s">
        <v>552</v>
      </c>
      <c r="B1426" t="s">
        <v>662</v>
      </c>
      <c r="C1426" t="s">
        <v>626</v>
      </c>
      <c r="D1426" s="226">
        <v>-5922.05</v>
      </c>
      <c r="E1426" t="s">
        <v>663</v>
      </c>
    </row>
    <row r="1427" spans="1:5" hidden="1" x14ac:dyDescent="0.3">
      <c r="A1427" t="s">
        <v>552</v>
      </c>
      <c r="B1427" t="s">
        <v>662</v>
      </c>
      <c r="C1427" t="s">
        <v>627</v>
      </c>
      <c r="D1427" s="226">
        <v>0</v>
      </c>
      <c r="E1427" t="s">
        <v>663</v>
      </c>
    </row>
    <row r="1428" spans="1:5" hidden="1" x14ac:dyDescent="0.3">
      <c r="A1428" t="s">
        <v>552</v>
      </c>
      <c r="B1428" t="s">
        <v>662</v>
      </c>
      <c r="C1428" t="s">
        <v>628</v>
      </c>
      <c r="D1428" s="226">
        <v>0</v>
      </c>
      <c r="E1428" t="s">
        <v>663</v>
      </c>
    </row>
    <row r="1429" spans="1:5" hidden="1" x14ac:dyDescent="0.3">
      <c r="A1429" t="s">
        <v>552</v>
      </c>
      <c r="B1429" t="s">
        <v>662</v>
      </c>
      <c r="C1429" t="s">
        <v>629</v>
      </c>
      <c r="D1429" s="226">
        <v>-11011.56</v>
      </c>
      <c r="E1429" t="s">
        <v>663</v>
      </c>
    </row>
    <row r="1430" spans="1:5" hidden="1" x14ac:dyDescent="0.3">
      <c r="A1430" t="s">
        <v>552</v>
      </c>
      <c r="B1430" t="s">
        <v>662</v>
      </c>
      <c r="C1430" t="s">
        <v>630</v>
      </c>
      <c r="D1430" s="226">
        <v>0</v>
      </c>
      <c r="E1430" t="s">
        <v>663</v>
      </c>
    </row>
    <row r="1431" spans="1:5" hidden="1" x14ac:dyDescent="0.3">
      <c r="A1431" t="s">
        <v>552</v>
      </c>
      <c r="B1431" t="s">
        <v>662</v>
      </c>
      <c r="C1431" t="s">
        <v>631</v>
      </c>
      <c r="D1431" s="226">
        <v>-3710.13</v>
      </c>
      <c r="E1431" t="s">
        <v>663</v>
      </c>
    </row>
    <row r="1432" spans="1:5" hidden="1" x14ac:dyDescent="0.3">
      <c r="A1432" t="s">
        <v>552</v>
      </c>
      <c r="B1432" t="s">
        <v>662</v>
      </c>
      <c r="C1432" t="s">
        <v>632</v>
      </c>
      <c r="D1432" s="226">
        <v>-1109.08</v>
      </c>
      <c r="E1432" t="s">
        <v>663</v>
      </c>
    </row>
    <row r="1433" spans="1:5" hidden="1" x14ac:dyDescent="0.3">
      <c r="A1433" t="s">
        <v>552</v>
      </c>
      <c r="B1433" t="s">
        <v>662</v>
      </c>
      <c r="C1433" t="s">
        <v>633</v>
      </c>
      <c r="D1433" s="226">
        <v>0</v>
      </c>
      <c r="E1433" t="s">
        <v>663</v>
      </c>
    </row>
    <row r="1434" spans="1:5" hidden="1" x14ac:dyDescent="0.3">
      <c r="A1434" t="s">
        <v>552</v>
      </c>
      <c r="B1434" t="s">
        <v>662</v>
      </c>
      <c r="C1434" t="s">
        <v>634</v>
      </c>
      <c r="D1434" s="226">
        <v>0</v>
      </c>
      <c r="E1434" t="s">
        <v>663</v>
      </c>
    </row>
    <row r="1435" spans="1:5" hidden="1" x14ac:dyDescent="0.3">
      <c r="A1435" t="s">
        <v>552</v>
      </c>
      <c r="B1435" t="s">
        <v>662</v>
      </c>
      <c r="C1435" t="s">
        <v>635</v>
      </c>
      <c r="D1435" s="226">
        <v>0</v>
      </c>
      <c r="E1435" t="s">
        <v>663</v>
      </c>
    </row>
    <row r="1436" spans="1:5" hidden="1" x14ac:dyDescent="0.3">
      <c r="A1436" t="s">
        <v>552</v>
      </c>
      <c r="B1436" t="s">
        <v>662</v>
      </c>
      <c r="C1436" t="s">
        <v>636</v>
      </c>
      <c r="D1436" s="226">
        <v>0</v>
      </c>
      <c r="E1436" t="s">
        <v>663</v>
      </c>
    </row>
    <row r="1437" spans="1:5" hidden="1" x14ac:dyDescent="0.3">
      <c r="A1437" t="s">
        <v>552</v>
      </c>
      <c r="B1437" t="s">
        <v>662</v>
      </c>
      <c r="C1437" t="s">
        <v>637</v>
      </c>
      <c r="D1437" s="226">
        <v>-10000</v>
      </c>
      <c r="E1437" t="s">
        <v>663</v>
      </c>
    </row>
    <row r="1438" spans="1:5" hidden="1" x14ac:dyDescent="0.3">
      <c r="A1438" t="s">
        <v>552</v>
      </c>
      <c r="B1438" t="s">
        <v>662</v>
      </c>
      <c r="C1438" t="s">
        <v>638</v>
      </c>
      <c r="D1438" s="226">
        <v>0</v>
      </c>
      <c r="E1438" t="s">
        <v>663</v>
      </c>
    </row>
    <row r="1439" spans="1:5" hidden="1" x14ac:dyDescent="0.3">
      <c r="A1439" t="s">
        <v>552</v>
      </c>
      <c r="B1439" t="s">
        <v>662</v>
      </c>
      <c r="C1439" t="s">
        <v>639</v>
      </c>
      <c r="D1439" s="226">
        <v>-4373.71</v>
      </c>
      <c r="E1439" t="s">
        <v>663</v>
      </c>
    </row>
    <row r="1440" spans="1:5" hidden="1" x14ac:dyDescent="0.3">
      <c r="A1440" t="s">
        <v>552</v>
      </c>
      <c r="B1440" t="s">
        <v>662</v>
      </c>
      <c r="C1440" t="s">
        <v>640</v>
      </c>
      <c r="D1440" s="226">
        <v>0</v>
      </c>
      <c r="E1440" t="s">
        <v>663</v>
      </c>
    </row>
    <row r="1441" spans="1:5" hidden="1" x14ac:dyDescent="0.3">
      <c r="A1441" t="s">
        <v>552</v>
      </c>
      <c r="B1441" t="s">
        <v>662</v>
      </c>
      <c r="C1441" t="s">
        <v>641</v>
      </c>
      <c r="D1441" s="226">
        <v>0</v>
      </c>
      <c r="E1441" t="s">
        <v>663</v>
      </c>
    </row>
    <row r="1442" spans="1:5" hidden="1" x14ac:dyDescent="0.3">
      <c r="A1442" t="s">
        <v>552</v>
      </c>
      <c r="B1442" t="s">
        <v>662</v>
      </c>
      <c r="C1442" t="s">
        <v>237</v>
      </c>
      <c r="D1442" s="226">
        <v>-9444.5</v>
      </c>
      <c r="E1442" t="s">
        <v>663</v>
      </c>
    </row>
    <row r="1443" spans="1:5" hidden="1" x14ac:dyDescent="0.3">
      <c r="A1443" t="s">
        <v>552</v>
      </c>
      <c r="B1443" t="s">
        <v>662</v>
      </c>
      <c r="C1443" t="s">
        <v>642</v>
      </c>
      <c r="D1443" s="226">
        <v>-9444.5</v>
      </c>
      <c r="E1443" t="s">
        <v>663</v>
      </c>
    </row>
    <row r="1444" spans="1:5" hidden="1" x14ac:dyDescent="0.3">
      <c r="A1444" t="s">
        <v>552</v>
      </c>
      <c r="B1444" t="s">
        <v>662</v>
      </c>
      <c r="C1444" t="s">
        <v>643</v>
      </c>
      <c r="D1444" s="226">
        <v>0</v>
      </c>
      <c r="E1444" t="s">
        <v>663</v>
      </c>
    </row>
    <row r="1445" spans="1:5" hidden="1" x14ac:dyDescent="0.3">
      <c r="A1445" t="s">
        <v>552</v>
      </c>
      <c r="B1445" t="s">
        <v>662</v>
      </c>
      <c r="C1445" t="s">
        <v>644</v>
      </c>
      <c r="D1445" s="226">
        <v>0</v>
      </c>
      <c r="E1445" t="s">
        <v>663</v>
      </c>
    </row>
    <row r="1446" spans="1:5" hidden="1" x14ac:dyDescent="0.3">
      <c r="A1446" t="s">
        <v>552</v>
      </c>
      <c r="B1446" t="s">
        <v>662</v>
      </c>
      <c r="C1446" t="s">
        <v>645</v>
      </c>
      <c r="D1446" s="226">
        <v>0</v>
      </c>
      <c r="E1446" t="s">
        <v>663</v>
      </c>
    </row>
    <row r="1447" spans="1:5" hidden="1" x14ac:dyDescent="0.3">
      <c r="A1447" t="s">
        <v>552</v>
      </c>
      <c r="B1447" t="s">
        <v>662</v>
      </c>
      <c r="C1447" t="s">
        <v>646</v>
      </c>
      <c r="D1447" s="226">
        <v>0</v>
      </c>
      <c r="E1447" t="s">
        <v>663</v>
      </c>
    </row>
    <row r="1448" spans="1:5" hidden="1" x14ac:dyDescent="0.3">
      <c r="A1448" t="s">
        <v>552</v>
      </c>
      <c r="B1448" t="s">
        <v>662</v>
      </c>
      <c r="C1448" t="s">
        <v>244</v>
      </c>
      <c r="D1448" s="226">
        <v>-27890.12</v>
      </c>
      <c r="E1448" t="s">
        <v>663</v>
      </c>
    </row>
    <row r="1449" spans="1:5" hidden="1" x14ac:dyDescent="0.3">
      <c r="A1449" t="s">
        <v>552</v>
      </c>
      <c r="B1449" t="s">
        <v>662</v>
      </c>
      <c r="C1449" t="s">
        <v>647</v>
      </c>
      <c r="D1449" s="226">
        <v>-343</v>
      </c>
      <c r="E1449" t="s">
        <v>663</v>
      </c>
    </row>
    <row r="1450" spans="1:5" hidden="1" x14ac:dyDescent="0.3">
      <c r="A1450" t="s">
        <v>552</v>
      </c>
      <c r="B1450" t="s">
        <v>662</v>
      </c>
      <c r="C1450" t="s">
        <v>648</v>
      </c>
      <c r="D1450" s="226">
        <v>-806.86</v>
      </c>
      <c r="E1450" t="s">
        <v>663</v>
      </c>
    </row>
    <row r="1451" spans="1:5" hidden="1" x14ac:dyDescent="0.3">
      <c r="A1451" t="s">
        <v>552</v>
      </c>
      <c r="B1451" t="s">
        <v>662</v>
      </c>
      <c r="C1451" t="s">
        <v>649</v>
      </c>
      <c r="D1451" s="226">
        <v>0</v>
      </c>
      <c r="E1451" t="s">
        <v>663</v>
      </c>
    </row>
    <row r="1452" spans="1:5" hidden="1" x14ac:dyDescent="0.3">
      <c r="A1452" t="s">
        <v>552</v>
      </c>
      <c r="B1452" t="s">
        <v>662</v>
      </c>
      <c r="C1452" t="s">
        <v>650</v>
      </c>
      <c r="D1452" s="226">
        <v>0</v>
      </c>
      <c r="E1452" t="s">
        <v>663</v>
      </c>
    </row>
    <row r="1453" spans="1:5" hidden="1" x14ac:dyDescent="0.3">
      <c r="A1453" t="s">
        <v>552</v>
      </c>
      <c r="B1453" t="s">
        <v>662</v>
      </c>
      <c r="C1453" t="s">
        <v>651</v>
      </c>
      <c r="D1453" s="226">
        <v>0</v>
      </c>
      <c r="E1453" t="s">
        <v>663</v>
      </c>
    </row>
    <row r="1454" spans="1:5" hidden="1" x14ac:dyDescent="0.3">
      <c r="A1454" t="s">
        <v>552</v>
      </c>
      <c r="B1454" t="s">
        <v>662</v>
      </c>
      <c r="C1454" t="s">
        <v>652</v>
      </c>
      <c r="D1454" s="226">
        <v>-26740.26</v>
      </c>
      <c r="E1454" t="s">
        <v>663</v>
      </c>
    </row>
    <row r="1455" spans="1:5" hidden="1" x14ac:dyDescent="0.3">
      <c r="A1455" t="s">
        <v>552</v>
      </c>
      <c r="B1455" t="s">
        <v>662</v>
      </c>
      <c r="C1455" t="s">
        <v>653</v>
      </c>
      <c r="D1455" s="226">
        <v>0</v>
      </c>
      <c r="E1455" t="s">
        <v>663</v>
      </c>
    </row>
    <row r="1456" spans="1:5" hidden="1" x14ac:dyDescent="0.3">
      <c r="A1456" t="s">
        <v>552</v>
      </c>
      <c r="B1456" t="s">
        <v>662</v>
      </c>
      <c r="C1456" t="s">
        <v>253</v>
      </c>
      <c r="D1456" s="226">
        <v>-0.2</v>
      </c>
      <c r="E1456" t="s">
        <v>663</v>
      </c>
    </row>
    <row r="1457" spans="1:5" hidden="1" x14ac:dyDescent="0.3">
      <c r="A1457" t="s">
        <v>552</v>
      </c>
      <c r="B1457" t="s">
        <v>662</v>
      </c>
      <c r="C1457" t="s">
        <v>254</v>
      </c>
      <c r="D1457" s="226">
        <v>-0.17</v>
      </c>
      <c r="E1457" t="s">
        <v>663</v>
      </c>
    </row>
    <row r="1458" spans="1:5" hidden="1" x14ac:dyDescent="0.3">
      <c r="A1458" t="s">
        <v>552</v>
      </c>
      <c r="B1458" t="s">
        <v>662</v>
      </c>
      <c r="C1458" t="s">
        <v>255</v>
      </c>
      <c r="D1458" s="226">
        <v>-37265.03</v>
      </c>
      <c r="E1458" t="s">
        <v>663</v>
      </c>
    </row>
    <row r="1459" spans="1:5" hidden="1" x14ac:dyDescent="0.3">
      <c r="A1459" t="s">
        <v>552</v>
      </c>
      <c r="B1459" t="s">
        <v>662</v>
      </c>
      <c r="C1459" t="s">
        <v>256</v>
      </c>
      <c r="D1459" s="226">
        <v>-22875.41</v>
      </c>
      <c r="E1459" t="s">
        <v>663</v>
      </c>
    </row>
    <row r="1460" spans="1:5" hidden="1" x14ac:dyDescent="0.3">
      <c r="A1460" t="s">
        <v>552</v>
      </c>
      <c r="B1460" t="s">
        <v>662</v>
      </c>
      <c r="C1460" t="s">
        <v>257</v>
      </c>
      <c r="D1460" s="226">
        <v>-12659.69</v>
      </c>
      <c r="E1460" t="s">
        <v>663</v>
      </c>
    </row>
    <row r="1461" spans="1:5" hidden="1" x14ac:dyDescent="0.3">
      <c r="A1461" t="s">
        <v>552</v>
      </c>
      <c r="B1461" t="s">
        <v>662</v>
      </c>
      <c r="C1461" t="s">
        <v>258</v>
      </c>
      <c r="D1461" s="226">
        <v>-1729.93</v>
      </c>
      <c r="E1461" t="s">
        <v>663</v>
      </c>
    </row>
    <row r="1462" spans="1:5" hidden="1" x14ac:dyDescent="0.3">
      <c r="A1462" t="s">
        <v>552</v>
      </c>
      <c r="B1462" t="s">
        <v>662</v>
      </c>
      <c r="C1462" t="s">
        <v>259</v>
      </c>
      <c r="D1462" s="226">
        <v>0</v>
      </c>
      <c r="E1462" t="s">
        <v>663</v>
      </c>
    </row>
    <row r="1463" spans="1:5" hidden="1" x14ac:dyDescent="0.3">
      <c r="A1463" t="s">
        <v>552</v>
      </c>
      <c r="B1463" t="s">
        <v>662</v>
      </c>
      <c r="C1463" t="s">
        <v>260</v>
      </c>
      <c r="D1463" s="226">
        <v>0</v>
      </c>
      <c r="E1463" t="s">
        <v>663</v>
      </c>
    </row>
    <row r="1464" spans="1:5" hidden="1" x14ac:dyDescent="0.3">
      <c r="A1464" t="s">
        <v>552</v>
      </c>
      <c r="B1464" t="s">
        <v>662</v>
      </c>
      <c r="C1464" t="s">
        <v>261</v>
      </c>
      <c r="D1464" s="226">
        <v>0</v>
      </c>
      <c r="E1464" t="s">
        <v>663</v>
      </c>
    </row>
    <row r="1465" spans="1:5" hidden="1" x14ac:dyDescent="0.3">
      <c r="A1465" t="s">
        <v>552</v>
      </c>
      <c r="B1465" t="s">
        <v>662</v>
      </c>
      <c r="C1465" t="s">
        <v>262</v>
      </c>
      <c r="D1465" s="226">
        <v>0</v>
      </c>
      <c r="E1465" t="s">
        <v>663</v>
      </c>
    </row>
    <row r="1466" spans="1:5" hidden="1" x14ac:dyDescent="0.3">
      <c r="A1466" t="s">
        <v>552</v>
      </c>
      <c r="B1466" t="s">
        <v>662</v>
      </c>
      <c r="C1466" t="s">
        <v>44</v>
      </c>
      <c r="D1466" s="226">
        <v>-0.03</v>
      </c>
      <c r="E1466" t="s">
        <v>663</v>
      </c>
    </row>
    <row r="1467" spans="1:5" hidden="1" x14ac:dyDescent="0.3">
      <c r="A1467" t="s">
        <v>552</v>
      </c>
      <c r="B1467" t="s">
        <v>662</v>
      </c>
      <c r="C1467" t="s">
        <v>263</v>
      </c>
      <c r="D1467" s="226">
        <v>-74437.009999999995</v>
      </c>
      <c r="E1467" t="s">
        <v>663</v>
      </c>
    </row>
    <row r="1468" spans="1:5" hidden="1" x14ac:dyDescent="0.3">
      <c r="A1468" t="s">
        <v>552</v>
      </c>
      <c r="B1468" t="s">
        <v>662</v>
      </c>
      <c r="C1468" t="s">
        <v>264</v>
      </c>
      <c r="D1468" s="226">
        <v>-11436</v>
      </c>
      <c r="E1468" t="s">
        <v>663</v>
      </c>
    </row>
    <row r="1469" spans="1:5" hidden="1" x14ac:dyDescent="0.3">
      <c r="A1469" t="s">
        <v>552</v>
      </c>
      <c r="B1469" t="s">
        <v>662</v>
      </c>
      <c r="C1469" t="s">
        <v>265</v>
      </c>
      <c r="D1469" s="226">
        <v>-15604.77</v>
      </c>
      <c r="E1469" t="s">
        <v>663</v>
      </c>
    </row>
    <row r="1470" spans="1:5" hidden="1" x14ac:dyDescent="0.3">
      <c r="A1470" t="s">
        <v>552</v>
      </c>
      <c r="B1470" t="s">
        <v>662</v>
      </c>
      <c r="C1470" t="s">
        <v>266</v>
      </c>
      <c r="D1470" s="226">
        <v>-11861.65</v>
      </c>
      <c r="E1470" t="s">
        <v>663</v>
      </c>
    </row>
    <row r="1471" spans="1:5" hidden="1" x14ac:dyDescent="0.3">
      <c r="A1471" t="s">
        <v>552</v>
      </c>
      <c r="B1471" t="s">
        <v>662</v>
      </c>
      <c r="C1471" t="s">
        <v>267</v>
      </c>
      <c r="D1471" s="226">
        <v>-18396.79</v>
      </c>
      <c r="E1471" t="s">
        <v>663</v>
      </c>
    </row>
    <row r="1472" spans="1:5" hidden="1" x14ac:dyDescent="0.3">
      <c r="A1472" t="s">
        <v>552</v>
      </c>
      <c r="B1472" t="s">
        <v>662</v>
      </c>
      <c r="C1472" t="s">
        <v>268</v>
      </c>
      <c r="D1472" s="226">
        <v>0</v>
      </c>
      <c r="E1472" t="s">
        <v>663</v>
      </c>
    </row>
    <row r="1473" spans="1:5" hidden="1" x14ac:dyDescent="0.3">
      <c r="A1473" t="s">
        <v>552</v>
      </c>
      <c r="B1473" t="s">
        <v>662</v>
      </c>
      <c r="C1473" t="s">
        <v>269</v>
      </c>
      <c r="D1473" s="226">
        <v>-600</v>
      </c>
      <c r="E1473" t="s">
        <v>663</v>
      </c>
    </row>
    <row r="1474" spans="1:5" hidden="1" x14ac:dyDescent="0.3">
      <c r="A1474" t="s">
        <v>552</v>
      </c>
      <c r="B1474" t="s">
        <v>662</v>
      </c>
      <c r="C1474" t="s">
        <v>270</v>
      </c>
      <c r="D1474" s="226">
        <v>-4319.17</v>
      </c>
      <c r="E1474" t="s">
        <v>663</v>
      </c>
    </row>
    <row r="1475" spans="1:5" hidden="1" x14ac:dyDescent="0.3">
      <c r="A1475" t="s">
        <v>552</v>
      </c>
      <c r="B1475" t="s">
        <v>662</v>
      </c>
      <c r="C1475" t="s">
        <v>271</v>
      </c>
      <c r="D1475" s="226">
        <v>-5787.55</v>
      </c>
      <c r="E1475" t="s">
        <v>663</v>
      </c>
    </row>
    <row r="1476" spans="1:5" hidden="1" x14ac:dyDescent="0.3">
      <c r="A1476" t="s">
        <v>552</v>
      </c>
      <c r="B1476" t="s">
        <v>662</v>
      </c>
      <c r="C1476" t="s">
        <v>272</v>
      </c>
      <c r="D1476" s="226">
        <v>0</v>
      </c>
      <c r="E1476" t="s">
        <v>663</v>
      </c>
    </row>
    <row r="1477" spans="1:5" hidden="1" x14ac:dyDescent="0.3">
      <c r="A1477" t="s">
        <v>552</v>
      </c>
      <c r="B1477" t="s">
        <v>662</v>
      </c>
      <c r="C1477" t="s">
        <v>273</v>
      </c>
      <c r="D1477" s="226">
        <v>-177.9</v>
      </c>
      <c r="E1477" t="s">
        <v>663</v>
      </c>
    </row>
    <row r="1478" spans="1:5" hidden="1" x14ac:dyDescent="0.3">
      <c r="A1478" t="s">
        <v>552</v>
      </c>
      <c r="B1478" t="s">
        <v>662</v>
      </c>
      <c r="C1478" t="s">
        <v>274</v>
      </c>
      <c r="D1478" s="226">
        <v>-848.18</v>
      </c>
      <c r="E1478" t="s">
        <v>663</v>
      </c>
    </row>
    <row r="1479" spans="1:5" hidden="1" x14ac:dyDescent="0.3">
      <c r="A1479" t="s">
        <v>552</v>
      </c>
      <c r="B1479" t="s">
        <v>662</v>
      </c>
      <c r="C1479" t="s">
        <v>275</v>
      </c>
      <c r="D1479" s="226">
        <v>0</v>
      </c>
      <c r="E1479" t="s">
        <v>663</v>
      </c>
    </row>
    <row r="1480" spans="1:5" hidden="1" x14ac:dyDescent="0.3">
      <c r="A1480" t="s">
        <v>552</v>
      </c>
      <c r="B1480" t="s">
        <v>662</v>
      </c>
      <c r="C1480" t="s">
        <v>276</v>
      </c>
      <c r="D1480" s="226">
        <v>0</v>
      </c>
      <c r="E1480" t="s">
        <v>663</v>
      </c>
    </row>
    <row r="1481" spans="1:5" hidden="1" x14ac:dyDescent="0.3">
      <c r="A1481" t="s">
        <v>552</v>
      </c>
      <c r="B1481" t="s">
        <v>662</v>
      </c>
      <c r="C1481" t="s">
        <v>277</v>
      </c>
      <c r="D1481" s="226">
        <v>-5405</v>
      </c>
      <c r="E1481" t="s">
        <v>663</v>
      </c>
    </row>
    <row r="1482" spans="1:5" hidden="1" x14ac:dyDescent="0.3">
      <c r="A1482" t="s">
        <v>552</v>
      </c>
      <c r="B1482" t="s">
        <v>662</v>
      </c>
      <c r="C1482" t="s">
        <v>44</v>
      </c>
      <c r="D1482" s="226">
        <v>-0.06</v>
      </c>
      <c r="E1482" t="s">
        <v>663</v>
      </c>
    </row>
    <row r="1483" spans="1:5" hidden="1" x14ac:dyDescent="0.3">
      <c r="A1483" t="s">
        <v>552</v>
      </c>
      <c r="B1483" t="s">
        <v>662</v>
      </c>
      <c r="C1483" t="s">
        <v>278</v>
      </c>
      <c r="D1483" s="226">
        <v>-9872.9599999999991</v>
      </c>
      <c r="E1483" t="s">
        <v>663</v>
      </c>
    </row>
    <row r="1484" spans="1:5" hidden="1" x14ac:dyDescent="0.3">
      <c r="A1484" t="s">
        <v>552</v>
      </c>
      <c r="B1484" t="s">
        <v>662</v>
      </c>
      <c r="C1484" t="s">
        <v>279</v>
      </c>
      <c r="D1484" s="226">
        <v>0</v>
      </c>
      <c r="E1484" t="s">
        <v>663</v>
      </c>
    </row>
    <row r="1485" spans="1:5" hidden="1" x14ac:dyDescent="0.3">
      <c r="A1485" t="s">
        <v>552</v>
      </c>
      <c r="B1485" t="s">
        <v>662</v>
      </c>
      <c r="C1485" t="s">
        <v>280</v>
      </c>
      <c r="D1485" s="226">
        <v>-293.56</v>
      </c>
      <c r="E1485" t="s">
        <v>663</v>
      </c>
    </row>
    <row r="1486" spans="1:5" hidden="1" x14ac:dyDescent="0.3">
      <c r="A1486" t="s">
        <v>552</v>
      </c>
      <c r="B1486" t="s">
        <v>662</v>
      </c>
      <c r="C1486" t="s">
        <v>281</v>
      </c>
      <c r="D1486" s="226">
        <v>0</v>
      </c>
      <c r="E1486" t="s">
        <v>663</v>
      </c>
    </row>
    <row r="1487" spans="1:5" hidden="1" x14ac:dyDescent="0.3">
      <c r="A1487" t="s">
        <v>552</v>
      </c>
      <c r="B1487" t="s">
        <v>662</v>
      </c>
      <c r="C1487" t="s">
        <v>282</v>
      </c>
      <c r="D1487" s="226">
        <v>-815</v>
      </c>
      <c r="E1487" t="s">
        <v>663</v>
      </c>
    </row>
    <row r="1488" spans="1:5" hidden="1" x14ac:dyDescent="0.3">
      <c r="A1488" t="s">
        <v>552</v>
      </c>
      <c r="B1488" t="s">
        <v>662</v>
      </c>
      <c r="C1488" t="s">
        <v>283</v>
      </c>
      <c r="D1488" s="226">
        <v>-8764.4</v>
      </c>
      <c r="E1488" t="s">
        <v>663</v>
      </c>
    </row>
    <row r="1489" spans="1:5" hidden="1" x14ac:dyDescent="0.3">
      <c r="A1489" t="s">
        <v>552</v>
      </c>
      <c r="B1489" t="s">
        <v>662</v>
      </c>
      <c r="C1489" t="s">
        <v>284</v>
      </c>
      <c r="D1489" s="226">
        <v>0</v>
      </c>
      <c r="E1489" t="s">
        <v>663</v>
      </c>
    </row>
    <row r="1490" spans="1:5" hidden="1" x14ac:dyDescent="0.3">
      <c r="A1490" t="s">
        <v>552</v>
      </c>
      <c r="B1490" t="s">
        <v>662</v>
      </c>
      <c r="C1490" t="s">
        <v>285</v>
      </c>
      <c r="D1490" s="226">
        <v>0</v>
      </c>
      <c r="E1490" t="s">
        <v>663</v>
      </c>
    </row>
    <row r="1491" spans="1:5" hidden="1" x14ac:dyDescent="0.3">
      <c r="A1491" t="s">
        <v>552</v>
      </c>
      <c r="B1491" t="s">
        <v>662</v>
      </c>
      <c r="C1491" t="s">
        <v>44</v>
      </c>
      <c r="D1491" s="226">
        <v>-0.01</v>
      </c>
      <c r="E1491" t="s">
        <v>663</v>
      </c>
    </row>
    <row r="1492" spans="1:5" hidden="1" x14ac:dyDescent="0.3">
      <c r="A1492" t="s">
        <v>552</v>
      </c>
      <c r="B1492" t="s">
        <v>662</v>
      </c>
      <c r="C1492" t="s">
        <v>286</v>
      </c>
      <c r="D1492" s="226">
        <v>-8724.02</v>
      </c>
      <c r="E1492" t="s">
        <v>663</v>
      </c>
    </row>
    <row r="1493" spans="1:5" hidden="1" x14ac:dyDescent="0.3">
      <c r="A1493" t="s">
        <v>552</v>
      </c>
      <c r="B1493" t="s">
        <v>662</v>
      </c>
      <c r="C1493" t="s">
        <v>287</v>
      </c>
      <c r="D1493" s="226">
        <v>-7722.64</v>
      </c>
      <c r="E1493" t="s">
        <v>663</v>
      </c>
    </row>
    <row r="1494" spans="1:5" hidden="1" x14ac:dyDescent="0.3">
      <c r="A1494" t="s">
        <v>552</v>
      </c>
      <c r="B1494" t="s">
        <v>662</v>
      </c>
      <c r="C1494" t="s">
        <v>288</v>
      </c>
      <c r="D1494" s="226">
        <v>0</v>
      </c>
      <c r="E1494" t="s">
        <v>663</v>
      </c>
    </row>
    <row r="1495" spans="1:5" hidden="1" x14ac:dyDescent="0.3">
      <c r="A1495" t="s">
        <v>552</v>
      </c>
      <c r="B1495" t="s">
        <v>662</v>
      </c>
      <c r="C1495" t="s">
        <v>289</v>
      </c>
      <c r="D1495" s="226">
        <v>0</v>
      </c>
      <c r="E1495" t="s">
        <v>663</v>
      </c>
    </row>
    <row r="1496" spans="1:5" hidden="1" x14ac:dyDescent="0.3">
      <c r="A1496" t="s">
        <v>552</v>
      </c>
      <c r="B1496" t="s">
        <v>662</v>
      </c>
      <c r="C1496" t="s">
        <v>290</v>
      </c>
      <c r="D1496" s="226">
        <v>0</v>
      </c>
      <c r="E1496" t="s">
        <v>663</v>
      </c>
    </row>
    <row r="1497" spans="1:5" hidden="1" x14ac:dyDescent="0.3">
      <c r="A1497" t="s">
        <v>552</v>
      </c>
      <c r="B1497" t="s">
        <v>662</v>
      </c>
      <c r="C1497" t="s">
        <v>291</v>
      </c>
      <c r="D1497" s="226">
        <v>-600</v>
      </c>
      <c r="E1497" t="s">
        <v>663</v>
      </c>
    </row>
    <row r="1498" spans="1:5" hidden="1" x14ac:dyDescent="0.3">
      <c r="A1498" t="s">
        <v>552</v>
      </c>
      <c r="B1498" t="s">
        <v>662</v>
      </c>
      <c r="C1498" t="s">
        <v>292</v>
      </c>
      <c r="D1498" s="226">
        <v>-306.52</v>
      </c>
      <c r="E1498" t="s">
        <v>663</v>
      </c>
    </row>
    <row r="1499" spans="1:5" hidden="1" x14ac:dyDescent="0.3">
      <c r="A1499" t="s">
        <v>552</v>
      </c>
      <c r="B1499" t="s">
        <v>662</v>
      </c>
      <c r="C1499" t="s">
        <v>293</v>
      </c>
      <c r="D1499" s="226">
        <v>-94.86</v>
      </c>
      <c r="E1499" t="s">
        <v>663</v>
      </c>
    </row>
    <row r="1500" spans="1:5" hidden="1" x14ac:dyDescent="0.3">
      <c r="A1500" t="s">
        <v>552</v>
      </c>
      <c r="B1500" t="s">
        <v>662</v>
      </c>
      <c r="C1500" t="s">
        <v>294</v>
      </c>
      <c r="D1500" s="226">
        <v>0</v>
      </c>
      <c r="E1500" t="s">
        <v>663</v>
      </c>
    </row>
    <row r="1501" spans="1:5" hidden="1" x14ac:dyDescent="0.3">
      <c r="A1501" t="s">
        <v>552</v>
      </c>
      <c r="B1501" t="s">
        <v>662</v>
      </c>
      <c r="C1501" t="s">
        <v>44</v>
      </c>
      <c r="D1501" s="226">
        <v>-0.01</v>
      </c>
      <c r="E1501" t="s">
        <v>663</v>
      </c>
    </row>
    <row r="1502" spans="1:5" hidden="1" x14ac:dyDescent="0.3">
      <c r="A1502" t="s">
        <v>552</v>
      </c>
      <c r="B1502" t="s">
        <v>662</v>
      </c>
      <c r="C1502" t="s">
        <v>295</v>
      </c>
      <c r="D1502" s="226">
        <v>-14549.98</v>
      </c>
      <c r="E1502" t="s">
        <v>663</v>
      </c>
    </row>
    <row r="1503" spans="1:5" hidden="1" x14ac:dyDescent="0.3">
      <c r="A1503" t="s">
        <v>552</v>
      </c>
      <c r="B1503" t="s">
        <v>662</v>
      </c>
      <c r="C1503" t="s">
        <v>296</v>
      </c>
      <c r="D1503" s="226">
        <v>-12750</v>
      </c>
      <c r="E1503" t="s">
        <v>663</v>
      </c>
    </row>
    <row r="1504" spans="1:5" hidden="1" x14ac:dyDescent="0.3">
      <c r="A1504" t="s">
        <v>552</v>
      </c>
      <c r="B1504" t="s">
        <v>662</v>
      </c>
      <c r="C1504" t="s">
        <v>297</v>
      </c>
      <c r="D1504" s="226">
        <v>-460</v>
      </c>
      <c r="E1504" t="s">
        <v>663</v>
      </c>
    </row>
    <row r="1505" spans="1:5" hidden="1" x14ac:dyDescent="0.3">
      <c r="A1505" t="s">
        <v>552</v>
      </c>
      <c r="B1505" t="s">
        <v>662</v>
      </c>
      <c r="C1505" t="s">
        <v>298</v>
      </c>
      <c r="D1505" s="226">
        <v>0</v>
      </c>
      <c r="E1505" t="s">
        <v>663</v>
      </c>
    </row>
    <row r="1506" spans="1:5" hidden="1" x14ac:dyDescent="0.3">
      <c r="A1506" t="s">
        <v>552</v>
      </c>
      <c r="B1506" t="s">
        <v>662</v>
      </c>
      <c r="C1506" t="s">
        <v>299</v>
      </c>
      <c r="D1506" s="226">
        <v>0</v>
      </c>
      <c r="E1506" t="s">
        <v>663</v>
      </c>
    </row>
    <row r="1507" spans="1:5" hidden="1" x14ac:dyDescent="0.3">
      <c r="A1507" t="s">
        <v>552</v>
      </c>
      <c r="B1507" t="s">
        <v>662</v>
      </c>
      <c r="C1507" t="s">
        <v>300</v>
      </c>
      <c r="D1507" s="226">
        <v>0</v>
      </c>
      <c r="E1507" t="s">
        <v>663</v>
      </c>
    </row>
    <row r="1508" spans="1:5" hidden="1" x14ac:dyDescent="0.3">
      <c r="A1508" t="s">
        <v>552</v>
      </c>
      <c r="B1508" t="s">
        <v>662</v>
      </c>
      <c r="C1508" t="s">
        <v>301</v>
      </c>
      <c r="D1508" s="226">
        <v>0</v>
      </c>
      <c r="E1508" t="s">
        <v>663</v>
      </c>
    </row>
    <row r="1509" spans="1:5" hidden="1" x14ac:dyDescent="0.3">
      <c r="A1509" t="s">
        <v>552</v>
      </c>
      <c r="B1509" t="s">
        <v>662</v>
      </c>
      <c r="C1509" t="s">
        <v>302</v>
      </c>
      <c r="D1509" s="226">
        <v>0</v>
      </c>
      <c r="E1509" t="s">
        <v>663</v>
      </c>
    </row>
    <row r="1510" spans="1:5" hidden="1" x14ac:dyDescent="0.3">
      <c r="A1510" t="s">
        <v>552</v>
      </c>
      <c r="B1510" t="s">
        <v>662</v>
      </c>
      <c r="C1510" t="s">
        <v>303</v>
      </c>
      <c r="D1510" s="226">
        <v>0</v>
      </c>
      <c r="E1510" t="s">
        <v>663</v>
      </c>
    </row>
    <row r="1511" spans="1:5" hidden="1" x14ac:dyDescent="0.3">
      <c r="A1511" t="s">
        <v>552</v>
      </c>
      <c r="B1511" t="s">
        <v>662</v>
      </c>
      <c r="C1511" t="s">
        <v>304</v>
      </c>
      <c r="D1511" s="226">
        <v>-750</v>
      </c>
      <c r="E1511" t="s">
        <v>663</v>
      </c>
    </row>
    <row r="1512" spans="1:5" hidden="1" x14ac:dyDescent="0.3">
      <c r="A1512" t="s">
        <v>552</v>
      </c>
      <c r="B1512" t="s">
        <v>662</v>
      </c>
      <c r="C1512" t="s">
        <v>305</v>
      </c>
      <c r="D1512" s="226">
        <v>0</v>
      </c>
      <c r="E1512" t="s">
        <v>663</v>
      </c>
    </row>
    <row r="1513" spans="1:5" hidden="1" x14ac:dyDescent="0.3">
      <c r="A1513" t="s">
        <v>552</v>
      </c>
      <c r="B1513" t="s">
        <v>662</v>
      </c>
      <c r="C1513" t="s">
        <v>306</v>
      </c>
      <c r="D1513" s="226">
        <v>-589.98</v>
      </c>
      <c r="E1513" t="s">
        <v>663</v>
      </c>
    </row>
    <row r="1514" spans="1:5" hidden="1" x14ac:dyDescent="0.3">
      <c r="A1514" t="s">
        <v>552</v>
      </c>
      <c r="B1514" t="s">
        <v>662</v>
      </c>
      <c r="C1514" t="s">
        <v>44</v>
      </c>
      <c r="D1514" s="226">
        <v>-0.01</v>
      </c>
      <c r="E1514" t="s">
        <v>663</v>
      </c>
    </row>
    <row r="1515" spans="1:5" hidden="1" x14ac:dyDescent="0.3">
      <c r="A1515" t="s">
        <v>552</v>
      </c>
      <c r="B1515" t="s">
        <v>662</v>
      </c>
      <c r="C1515" t="s">
        <v>307</v>
      </c>
      <c r="D1515" s="226">
        <v>-14224.27</v>
      </c>
      <c r="E1515" t="s">
        <v>663</v>
      </c>
    </row>
    <row r="1516" spans="1:5" hidden="1" x14ac:dyDescent="0.3">
      <c r="A1516" t="s">
        <v>552</v>
      </c>
      <c r="B1516" t="s">
        <v>662</v>
      </c>
      <c r="C1516" t="s">
        <v>308</v>
      </c>
      <c r="D1516" s="226">
        <v>-1250</v>
      </c>
      <c r="E1516" t="s">
        <v>663</v>
      </c>
    </row>
    <row r="1517" spans="1:5" hidden="1" x14ac:dyDescent="0.3">
      <c r="A1517" t="s">
        <v>552</v>
      </c>
      <c r="B1517" t="s">
        <v>662</v>
      </c>
      <c r="C1517" t="s">
        <v>309</v>
      </c>
      <c r="D1517" s="226">
        <v>0</v>
      </c>
      <c r="E1517" t="s">
        <v>663</v>
      </c>
    </row>
    <row r="1518" spans="1:5" hidden="1" x14ac:dyDescent="0.3">
      <c r="A1518" t="s">
        <v>552</v>
      </c>
      <c r="B1518" t="s">
        <v>662</v>
      </c>
      <c r="C1518" t="s">
        <v>310</v>
      </c>
      <c r="D1518" s="226">
        <v>-1194.27</v>
      </c>
      <c r="E1518" t="s">
        <v>663</v>
      </c>
    </row>
    <row r="1519" spans="1:5" hidden="1" x14ac:dyDescent="0.3">
      <c r="A1519" t="s">
        <v>552</v>
      </c>
      <c r="B1519" t="s">
        <v>662</v>
      </c>
      <c r="C1519" t="s">
        <v>311</v>
      </c>
      <c r="D1519" s="226">
        <v>0</v>
      </c>
      <c r="E1519" t="s">
        <v>663</v>
      </c>
    </row>
    <row r="1520" spans="1:5" hidden="1" x14ac:dyDescent="0.3">
      <c r="A1520" t="s">
        <v>552</v>
      </c>
      <c r="B1520" t="s">
        <v>662</v>
      </c>
      <c r="C1520" t="s">
        <v>312</v>
      </c>
      <c r="D1520" s="226">
        <v>0</v>
      </c>
      <c r="E1520" t="s">
        <v>663</v>
      </c>
    </row>
    <row r="1521" spans="1:5" hidden="1" x14ac:dyDescent="0.3">
      <c r="A1521" t="s">
        <v>552</v>
      </c>
      <c r="B1521" t="s">
        <v>662</v>
      </c>
      <c r="C1521" t="s">
        <v>313</v>
      </c>
      <c r="D1521" s="226">
        <v>0</v>
      </c>
      <c r="E1521" t="s">
        <v>663</v>
      </c>
    </row>
    <row r="1522" spans="1:5" hidden="1" x14ac:dyDescent="0.3">
      <c r="A1522" t="s">
        <v>552</v>
      </c>
      <c r="B1522" t="s">
        <v>662</v>
      </c>
      <c r="C1522" t="s">
        <v>314</v>
      </c>
      <c r="D1522" s="226">
        <v>0</v>
      </c>
      <c r="E1522" t="s">
        <v>663</v>
      </c>
    </row>
    <row r="1523" spans="1:5" hidden="1" x14ac:dyDescent="0.3">
      <c r="A1523" t="s">
        <v>552</v>
      </c>
      <c r="B1523" t="s">
        <v>662</v>
      </c>
      <c r="C1523" t="s">
        <v>315</v>
      </c>
      <c r="D1523" s="226">
        <v>-11780</v>
      </c>
      <c r="E1523" t="s">
        <v>663</v>
      </c>
    </row>
    <row r="1524" spans="1:5" hidden="1" x14ac:dyDescent="0.3">
      <c r="A1524" t="s">
        <v>552</v>
      </c>
      <c r="B1524" t="s">
        <v>662</v>
      </c>
      <c r="C1524" t="s">
        <v>316</v>
      </c>
      <c r="D1524" s="226">
        <v>0</v>
      </c>
      <c r="E1524" t="s">
        <v>663</v>
      </c>
    </row>
    <row r="1525" spans="1:5" hidden="1" x14ac:dyDescent="0.3">
      <c r="A1525" t="s">
        <v>552</v>
      </c>
      <c r="B1525" t="s">
        <v>662</v>
      </c>
      <c r="C1525" t="s">
        <v>44</v>
      </c>
      <c r="D1525" s="226">
        <v>-0.01</v>
      </c>
      <c r="E1525" t="s">
        <v>663</v>
      </c>
    </row>
    <row r="1526" spans="1:5" hidden="1" x14ac:dyDescent="0.3">
      <c r="A1526" t="s">
        <v>552</v>
      </c>
      <c r="B1526" t="s">
        <v>662</v>
      </c>
      <c r="C1526" t="s">
        <v>317</v>
      </c>
      <c r="D1526" s="226">
        <v>-6494.64</v>
      </c>
      <c r="E1526" t="s">
        <v>663</v>
      </c>
    </row>
    <row r="1527" spans="1:5" hidden="1" x14ac:dyDescent="0.3">
      <c r="A1527" t="s">
        <v>552</v>
      </c>
      <c r="B1527" t="s">
        <v>662</v>
      </c>
      <c r="C1527" t="s">
        <v>318</v>
      </c>
      <c r="D1527" s="226">
        <v>-6494.64</v>
      </c>
      <c r="E1527" t="s">
        <v>663</v>
      </c>
    </row>
    <row r="1528" spans="1:5" hidden="1" x14ac:dyDescent="0.3">
      <c r="A1528" t="s">
        <v>552</v>
      </c>
      <c r="B1528" t="s">
        <v>662</v>
      </c>
      <c r="C1528" t="s">
        <v>319</v>
      </c>
      <c r="D1528" s="226">
        <v>0</v>
      </c>
      <c r="E1528" t="s">
        <v>663</v>
      </c>
    </row>
    <row r="1529" spans="1:5" hidden="1" x14ac:dyDescent="0.3">
      <c r="A1529" t="s">
        <v>552</v>
      </c>
      <c r="B1529" t="s">
        <v>662</v>
      </c>
      <c r="C1529" t="s">
        <v>320</v>
      </c>
      <c r="D1529" s="226">
        <v>0</v>
      </c>
      <c r="E1529" t="s">
        <v>663</v>
      </c>
    </row>
    <row r="1530" spans="1:5" hidden="1" x14ac:dyDescent="0.3">
      <c r="A1530" t="s">
        <v>552</v>
      </c>
      <c r="B1530" t="s">
        <v>662</v>
      </c>
      <c r="C1530" t="s">
        <v>321</v>
      </c>
      <c r="D1530" s="226">
        <v>0</v>
      </c>
      <c r="E1530" t="s">
        <v>663</v>
      </c>
    </row>
    <row r="1531" spans="1:5" hidden="1" x14ac:dyDescent="0.3">
      <c r="A1531" t="s">
        <v>552</v>
      </c>
      <c r="B1531" t="s">
        <v>662</v>
      </c>
      <c r="C1531" t="s">
        <v>44</v>
      </c>
      <c r="D1531" s="226">
        <v>0</v>
      </c>
      <c r="E1531" t="s">
        <v>663</v>
      </c>
    </row>
    <row r="1532" spans="1:5" hidden="1" x14ac:dyDescent="0.3">
      <c r="A1532" t="s">
        <v>552</v>
      </c>
      <c r="B1532" t="s">
        <v>662</v>
      </c>
      <c r="C1532" t="s">
        <v>322</v>
      </c>
      <c r="D1532" s="226">
        <v>-66764.56</v>
      </c>
      <c r="E1532" t="s">
        <v>663</v>
      </c>
    </row>
    <row r="1533" spans="1:5" hidden="1" x14ac:dyDescent="0.3">
      <c r="A1533" t="s">
        <v>552</v>
      </c>
      <c r="B1533" t="s">
        <v>662</v>
      </c>
      <c r="C1533" t="s">
        <v>323</v>
      </c>
      <c r="D1533" s="226">
        <v>0</v>
      </c>
      <c r="E1533" t="s">
        <v>663</v>
      </c>
    </row>
    <row r="1534" spans="1:5" hidden="1" x14ac:dyDescent="0.3">
      <c r="A1534" t="s">
        <v>552</v>
      </c>
      <c r="B1534" t="s">
        <v>662</v>
      </c>
      <c r="C1534" t="s">
        <v>324</v>
      </c>
      <c r="D1534" s="226">
        <v>0</v>
      </c>
      <c r="E1534" t="s">
        <v>663</v>
      </c>
    </row>
    <row r="1535" spans="1:5" hidden="1" x14ac:dyDescent="0.3">
      <c r="A1535" t="s">
        <v>552</v>
      </c>
      <c r="B1535" t="s">
        <v>662</v>
      </c>
      <c r="C1535" t="s">
        <v>325</v>
      </c>
      <c r="D1535" s="226">
        <v>-66764.56</v>
      </c>
      <c r="E1535" t="s">
        <v>663</v>
      </c>
    </row>
    <row r="1536" spans="1:5" hidden="1" x14ac:dyDescent="0.3">
      <c r="A1536" t="s">
        <v>552</v>
      </c>
      <c r="B1536" t="s">
        <v>662</v>
      </c>
      <c r="C1536" t="s">
        <v>44</v>
      </c>
      <c r="D1536" s="226">
        <v>-0.05</v>
      </c>
      <c r="E1536" t="s">
        <v>663</v>
      </c>
    </row>
    <row r="1537" spans="1:5" hidden="1" x14ac:dyDescent="0.3">
      <c r="A1537" t="s">
        <v>552</v>
      </c>
      <c r="B1537" t="s">
        <v>662</v>
      </c>
      <c r="C1537" t="s">
        <v>327</v>
      </c>
      <c r="D1537" s="226">
        <v>-496880.87</v>
      </c>
      <c r="E1537" t="s">
        <v>663</v>
      </c>
    </row>
    <row r="1538" spans="1:5" hidden="1" x14ac:dyDescent="0.3">
      <c r="A1538" t="s">
        <v>552</v>
      </c>
      <c r="B1538" t="s">
        <v>662</v>
      </c>
      <c r="C1538" t="s">
        <v>44</v>
      </c>
      <c r="D1538" s="226">
        <v>-0.37</v>
      </c>
      <c r="E1538" t="s">
        <v>663</v>
      </c>
    </row>
    <row r="1539" spans="1:5" hidden="1" x14ac:dyDescent="0.3">
      <c r="A1539" t="s">
        <v>552</v>
      </c>
      <c r="B1539" t="s">
        <v>662</v>
      </c>
      <c r="C1539" t="s">
        <v>328</v>
      </c>
      <c r="D1539" s="226">
        <v>255393.04</v>
      </c>
      <c r="E1539" t="s">
        <v>663</v>
      </c>
    </row>
    <row r="1540" spans="1:5" hidden="1" x14ac:dyDescent="0.3">
      <c r="A1540" t="s">
        <v>552</v>
      </c>
      <c r="B1540" t="s">
        <v>662</v>
      </c>
      <c r="C1540" t="s">
        <v>44</v>
      </c>
      <c r="D1540" s="226">
        <v>0.19</v>
      </c>
      <c r="E1540" t="s">
        <v>663</v>
      </c>
    </row>
    <row r="1541" spans="1:5" hidden="1" x14ac:dyDescent="0.3">
      <c r="A1541" t="s">
        <v>552</v>
      </c>
      <c r="B1541" t="s">
        <v>662</v>
      </c>
      <c r="C1541" t="s">
        <v>329</v>
      </c>
      <c r="D1541" s="226">
        <v>0</v>
      </c>
      <c r="E1541" t="s">
        <v>663</v>
      </c>
    </row>
    <row r="1542" spans="1:5" hidden="1" x14ac:dyDescent="0.3">
      <c r="A1542" t="s">
        <v>552</v>
      </c>
      <c r="B1542" t="s">
        <v>662</v>
      </c>
      <c r="C1542" t="s">
        <v>331</v>
      </c>
      <c r="D1542" s="226">
        <v>255393.04</v>
      </c>
      <c r="E1542" t="s">
        <v>663</v>
      </c>
    </row>
    <row r="1543" spans="1:5" hidden="1" x14ac:dyDescent="0.3">
      <c r="A1543" t="s">
        <v>552</v>
      </c>
      <c r="B1543" t="s">
        <v>662</v>
      </c>
      <c r="C1543" t="s">
        <v>332</v>
      </c>
      <c r="D1543" s="226">
        <v>0</v>
      </c>
      <c r="E1543" t="s">
        <v>663</v>
      </c>
    </row>
    <row r="1544" spans="1:5" hidden="1" x14ac:dyDescent="0.3">
      <c r="A1544" t="s">
        <v>552</v>
      </c>
      <c r="B1544" t="s">
        <v>662</v>
      </c>
      <c r="C1544" t="s">
        <v>333</v>
      </c>
      <c r="D1544" s="226">
        <v>0</v>
      </c>
      <c r="E1544" t="s">
        <v>663</v>
      </c>
    </row>
    <row r="1545" spans="1:5" hidden="1" x14ac:dyDescent="0.3">
      <c r="A1545" t="s">
        <v>552</v>
      </c>
      <c r="B1545" t="s">
        <v>662</v>
      </c>
      <c r="C1545" t="s">
        <v>335</v>
      </c>
      <c r="D1545" s="226">
        <v>0</v>
      </c>
      <c r="E1545" t="s">
        <v>663</v>
      </c>
    </row>
    <row r="1546" spans="1:5" hidden="1" x14ac:dyDescent="0.3">
      <c r="A1546" t="s">
        <v>552</v>
      </c>
      <c r="B1546" t="s">
        <v>662</v>
      </c>
      <c r="C1546" t="s">
        <v>337</v>
      </c>
      <c r="D1546" s="226">
        <v>255393.04</v>
      </c>
      <c r="E1546" t="s">
        <v>663</v>
      </c>
    </row>
    <row r="1547" spans="1:5" hidden="1" x14ac:dyDescent="0.3">
      <c r="A1547" t="s">
        <v>552</v>
      </c>
      <c r="B1547" t="s">
        <v>662</v>
      </c>
      <c r="C1547" t="s">
        <v>338</v>
      </c>
      <c r="D1547" s="226">
        <v>-42500.1</v>
      </c>
      <c r="E1547" t="s">
        <v>663</v>
      </c>
    </row>
    <row r="1548" spans="1:5" hidden="1" x14ac:dyDescent="0.3">
      <c r="A1548" t="s">
        <v>552</v>
      </c>
      <c r="B1548" t="s">
        <v>662</v>
      </c>
      <c r="C1548" t="s">
        <v>341</v>
      </c>
      <c r="D1548" s="226">
        <v>-7635.99</v>
      </c>
      <c r="E1548" t="s">
        <v>663</v>
      </c>
    </row>
    <row r="1549" spans="1:5" hidden="1" x14ac:dyDescent="0.3">
      <c r="A1549" t="s">
        <v>552</v>
      </c>
      <c r="B1549" t="s">
        <v>662</v>
      </c>
      <c r="C1549" t="s">
        <v>343</v>
      </c>
      <c r="D1549" s="226">
        <v>-13992.29</v>
      </c>
      <c r="E1549" t="s">
        <v>663</v>
      </c>
    </row>
    <row r="1550" spans="1:5" hidden="1" x14ac:dyDescent="0.3">
      <c r="A1550" t="s">
        <v>552</v>
      </c>
      <c r="B1550" t="s">
        <v>662</v>
      </c>
      <c r="C1550" t="s">
        <v>344</v>
      </c>
      <c r="D1550" s="226">
        <v>-8278.77</v>
      </c>
      <c r="E1550" t="s">
        <v>663</v>
      </c>
    </row>
    <row r="1551" spans="1:5" hidden="1" x14ac:dyDescent="0.3">
      <c r="A1551" t="s">
        <v>552</v>
      </c>
      <c r="B1551" t="s">
        <v>662</v>
      </c>
      <c r="C1551" t="s">
        <v>345</v>
      </c>
      <c r="D1551" s="226">
        <v>-12593.06</v>
      </c>
      <c r="E1551" t="s">
        <v>663</v>
      </c>
    </row>
    <row r="1552" spans="1:5" hidden="1" x14ac:dyDescent="0.3">
      <c r="A1552" t="s">
        <v>552</v>
      </c>
      <c r="B1552" t="s">
        <v>662</v>
      </c>
      <c r="C1552" t="s">
        <v>346</v>
      </c>
      <c r="D1552" s="226">
        <v>212892.94</v>
      </c>
      <c r="E1552" t="s">
        <v>663</v>
      </c>
    </row>
    <row r="1553" spans="1:5" hidden="1" x14ac:dyDescent="0.3">
      <c r="A1553" t="s">
        <v>552</v>
      </c>
      <c r="B1553" t="s">
        <v>662</v>
      </c>
      <c r="C1553" t="s">
        <v>44</v>
      </c>
      <c r="D1553" s="226">
        <v>0.16</v>
      </c>
      <c r="E1553" t="s">
        <v>663</v>
      </c>
    </row>
    <row r="1554" spans="1:5" hidden="1" x14ac:dyDescent="0.3">
      <c r="A1554" t="s">
        <v>552</v>
      </c>
      <c r="B1554" t="s">
        <v>662</v>
      </c>
      <c r="C1554" t="s">
        <v>347</v>
      </c>
      <c r="D1554" s="226">
        <v>-2089.9899999999998</v>
      </c>
      <c r="E1554" t="s">
        <v>663</v>
      </c>
    </row>
    <row r="1555" spans="1:5" hidden="1" x14ac:dyDescent="0.3">
      <c r="A1555" t="s">
        <v>552</v>
      </c>
      <c r="B1555" t="s">
        <v>662</v>
      </c>
      <c r="C1555" t="s">
        <v>654</v>
      </c>
      <c r="D1555" s="226">
        <v>-1390</v>
      </c>
      <c r="E1555" t="s">
        <v>663</v>
      </c>
    </row>
    <row r="1556" spans="1:5" hidden="1" x14ac:dyDescent="0.3">
      <c r="A1556" t="s">
        <v>552</v>
      </c>
      <c r="B1556" t="s">
        <v>662</v>
      </c>
      <c r="C1556" t="s">
        <v>349</v>
      </c>
      <c r="D1556" s="226">
        <v>-699.99</v>
      </c>
      <c r="E1556" t="s">
        <v>663</v>
      </c>
    </row>
    <row r="1557" spans="1:5" hidden="1" x14ac:dyDescent="0.3">
      <c r="A1557" t="s">
        <v>552</v>
      </c>
      <c r="B1557" t="s">
        <v>662</v>
      </c>
      <c r="C1557" t="s">
        <v>350</v>
      </c>
      <c r="D1557" s="226">
        <v>0</v>
      </c>
      <c r="E1557" t="s">
        <v>663</v>
      </c>
    </row>
    <row r="1558" spans="1:5" hidden="1" x14ac:dyDescent="0.3">
      <c r="A1558" t="s">
        <v>552</v>
      </c>
      <c r="B1558" t="s">
        <v>662</v>
      </c>
      <c r="C1558" t="s">
        <v>351</v>
      </c>
      <c r="D1558" s="226">
        <v>0</v>
      </c>
      <c r="E1558" t="s">
        <v>663</v>
      </c>
    </row>
    <row r="1559" spans="1:5" hidden="1" x14ac:dyDescent="0.3">
      <c r="A1559" t="s">
        <v>552</v>
      </c>
      <c r="B1559" t="s">
        <v>662</v>
      </c>
      <c r="C1559" t="s">
        <v>352</v>
      </c>
      <c r="D1559" s="226">
        <v>0</v>
      </c>
      <c r="E1559" t="s">
        <v>663</v>
      </c>
    </row>
    <row r="1560" spans="1:5" hidden="1" x14ac:dyDescent="0.3">
      <c r="A1560" t="s">
        <v>552</v>
      </c>
      <c r="B1560" t="s">
        <v>662</v>
      </c>
      <c r="C1560" t="s">
        <v>353</v>
      </c>
      <c r="D1560" s="226">
        <v>0</v>
      </c>
      <c r="E1560" t="s">
        <v>663</v>
      </c>
    </row>
    <row r="1561" spans="1:5" hidden="1" x14ac:dyDescent="0.3">
      <c r="A1561" t="s">
        <v>552</v>
      </c>
      <c r="B1561" t="s">
        <v>662</v>
      </c>
      <c r="C1561" t="s">
        <v>354</v>
      </c>
      <c r="D1561" s="226">
        <v>0</v>
      </c>
      <c r="E1561" t="s">
        <v>663</v>
      </c>
    </row>
    <row r="1562" spans="1:5" hidden="1" x14ac:dyDescent="0.3">
      <c r="A1562" t="s">
        <v>552</v>
      </c>
      <c r="B1562" t="s">
        <v>662</v>
      </c>
      <c r="C1562" t="s">
        <v>355</v>
      </c>
      <c r="D1562" s="226">
        <v>0</v>
      </c>
      <c r="E1562" t="s">
        <v>663</v>
      </c>
    </row>
    <row r="1563" spans="1:5" hidden="1" x14ac:dyDescent="0.3">
      <c r="A1563" t="s">
        <v>552</v>
      </c>
      <c r="B1563" t="s">
        <v>662</v>
      </c>
      <c r="C1563" t="s">
        <v>356</v>
      </c>
      <c r="D1563" s="226">
        <v>0</v>
      </c>
      <c r="E1563" t="s">
        <v>663</v>
      </c>
    </row>
    <row r="1564" spans="1:5" hidden="1" x14ac:dyDescent="0.3">
      <c r="A1564" t="s">
        <v>552</v>
      </c>
      <c r="B1564" t="s">
        <v>662</v>
      </c>
      <c r="C1564" t="s">
        <v>357</v>
      </c>
      <c r="D1564" s="226">
        <v>0</v>
      </c>
      <c r="E1564" t="s">
        <v>663</v>
      </c>
    </row>
    <row r="1565" spans="1:5" hidden="1" x14ac:dyDescent="0.3">
      <c r="A1565" t="s">
        <v>552</v>
      </c>
      <c r="B1565" t="s">
        <v>662</v>
      </c>
      <c r="C1565" t="s">
        <v>358</v>
      </c>
      <c r="D1565" s="226">
        <v>0</v>
      </c>
      <c r="E1565" t="s">
        <v>663</v>
      </c>
    </row>
    <row r="1566" spans="1:5" hidden="1" x14ac:dyDescent="0.3">
      <c r="A1566" t="s">
        <v>552</v>
      </c>
      <c r="B1566" t="s">
        <v>662</v>
      </c>
      <c r="C1566" t="s">
        <v>359</v>
      </c>
      <c r="D1566" s="226">
        <v>0</v>
      </c>
      <c r="E1566" t="s">
        <v>663</v>
      </c>
    </row>
    <row r="1567" spans="1:5" hidden="1" x14ac:dyDescent="0.3">
      <c r="A1567" t="s">
        <v>552</v>
      </c>
      <c r="B1567" t="s">
        <v>662</v>
      </c>
      <c r="C1567" t="s">
        <v>360</v>
      </c>
      <c r="D1567" s="226">
        <v>0</v>
      </c>
      <c r="E1567" t="s">
        <v>663</v>
      </c>
    </row>
    <row r="1568" spans="1:5" hidden="1" x14ac:dyDescent="0.3">
      <c r="A1568" t="s">
        <v>552</v>
      </c>
      <c r="B1568" t="s">
        <v>662</v>
      </c>
      <c r="C1568" t="s">
        <v>361</v>
      </c>
      <c r="D1568" s="226">
        <v>0</v>
      </c>
      <c r="E1568" t="s">
        <v>663</v>
      </c>
    </row>
    <row r="1569" spans="1:5" hidden="1" x14ac:dyDescent="0.3">
      <c r="A1569" t="s">
        <v>552</v>
      </c>
      <c r="B1569" t="s">
        <v>662</v>
      </c>
      <c r="C1569" t="s">
        <v>362</v>
      </c>
      <c r="D1569" s="226">
        <v>0</v>
      </c>
      <c r="E1569" t="s">
        <v>663</v>
      </c>
    </row>
    <row r="1570" spans="1:5" hidden="1" x14ac:dyDescent="0.3">
      <c r="A1570" t="s">
        <v>552</v>
      </c>
      <c r="B1570" t="s">
        <v>662</v>
      </c>
      <c r="C1570" t="s">
        <v>363</v>
      </c>
      <c r="D1570" s="226">
        <v>0</v>
      </c>
      <c r="E1570" t="s">
        <v>663</v>
      </c>
    </row>
    <row r="1571" spans="1:5" hidden="1" x14ac:dyDescent="0.3">
      <c r="A1571" t="s">
        <v>552</v>
      </c>
      <c r="B1571" t="s">
        <v>662</v>
      </c>
      <c r="C1571" t="s">
        <v>364</v>
      </c>
      <c r="D1571" s="226">
        <v>0</v>
      </c>
      <c r="E1571" t="s">
        <v>663</v>
      </c>
    </row>
    <row r="1572" spans="1:5" hidden="1" x14ac:dyDescent="0.3">
      <c r="A1572" t="s">
        <v>552</v>
      </c>
      <c r="B1572" t="s">
        <v>662</v>
      </c>
      <c r="C1572" t="s">
        <v>365</v>
      </c>
      <c r="D1572" s="226">
        <v>0</v>
      </c>
      <c r="E1572" t="s">
        <v>663</v>
      </c>
    </row>
    <row r="1573" spans="1:5" hidden="1" x14ac:dyDescent="0.3">
      <c r="A1573" t="s">
        <v>552</v>
      </c>
      <c r="B1573" t="s">
        <v>662</v>
      </c>
      <c r="C1573" t="s">
        <v>366</v>
      </c>
      <c r="D1573" s="226">
        <v>0</v>
      </c>
      <c r="E1573" t="s">
        <v>663</v>
      </c>
    </row>
    <row r="1574" spans="1:5" hidden="1" x14ac:dyDescent="0.3">
      <c r="A1574" t="s">
        <v>552</v>
      </c>
      <c r="B1574" t="s">
        <v>662</v>
      </c>
      <c r="C1574" t="s">
        <v>367</v>
      </c>
      <c r="D1574" s="226">
        <v>0</v>
      </c>
      <c r="E1574" t="s">
        <v>663</v>
      </c>
    </row>
    <row r="1575" spans="1:5" hidden="1" x14ac:dyDescent="0.3">
      <c r="A1575" t="s">
        <v>552</v>
      </c>
      <c r="B1575" t="s">
        <v>662</v>
      </c>
      <c r="C1575" t="s">
        <v>368</v>
      </c>
      <c r="D1575" s="226">
        <v>0</v>
      </c>
      <c r="E1575" t="s">
        <v>663</v>
      </c>
    </row>
    <row r="1576" spans="1:5" hidden="1" x14ac:dyDescent="0.3">
      <c r="A1576" t="s">
        <v>552</v>
      </c>
      <c r="B1576" t="s">
        <v>662</v>
      </c>
      <c r="C1576" t="s">
        <v>369</v>
      </c>
      <c r="D1576" s="226">
        <v>0</v>
      </c>
      <c r="E1576" t="s">
        <v>663</v>
      </c>
    </row>
    <row r="1577" spans="1:5" hidden="1" x14ac:dyDescent="0.3">
      <c r="A1577" t="s">
        <v>552</v>
      </c>
      <c r="B1577" t="s">
        <v>662</v>
      </c>
      <c r="C1577" t="s">
        <v>370</v>
      </c>
      <c r="D1577" s="226">
        <v>0</v>
      </c>
      <c r="E1577" t="s">
        <v>663</v>
      </c>
    </row>
    <row r="1578" spans="1:5" hidden="1" x14ac:dyDescent="0.3">
      <c r="A1578" t="s">
        <v>552</v>
      </c>
      <c r="B1578" t="s">
        <v>662</v>
      </c>
      <c r="C1578" t="s">
        <v>371</v>
      </c>
      <c r="D1578" s="226">
        <v>0</v>
      </c>
      <c r="E1578" t="s">
        <v>663</v>
      </c>
    </row>
    <row r="1579" spans="1:5" hidden="1" x14ac:dyDescent="0.3">
      <c r="A1579" t="s">
        <v>552</v>
      </c>
      <c r="B1579" t="s">
        <v>662</v>
      </c>
      <c r="C1579" t="s">
        <v>372</v>
      </c>
      <c r="D1579" s="226">
        <v>-2089.9899999999998</v>
      </c>
      <c r="E1579" t="s">
        <v>663</v>
      </c>
    </row>
    <row r="1580" spans="1:5" hidden="1" x14ac:dyDescent="0.3">
      <c r="A1580" t="s">
        <v>552</v>
      </c>
      <c r="B1580" t="s">
        <v>662</v>
      </c>
      <c r="C1580" t="s">
        <v>373</v>
      </c>
      <c r="D1580" s="226">
        <v>210802.95</v>
      </c>
      <c r="E1580" t="s">
        <v>663</v>
      </c>
    </row>
    <row r="1581" spans="1:5" hidden="1" x14ac:dyDescent="0.3">
      <c r="A1581" t="s">
        <v>552</v>
      </c>
      <c r="B1581" t="s">
        <v>662</v>
      </c>
      <c r="C1581" t="s">
        <v>655</v>
      </c>
      <c r="D1581" s="226">
        <v>0</v>
      </c>
      <c r="E1581" t="s">
        <v>663</v>
      </c>
    </row>
    <row r="1582" spans="1:5" hidden="1" x14ac:dyDescent="0.3">
      <c r="A1582" t="s">
        <v>552</v>
      </c>
      <c r="B1582" t="s">
        <v>664</v>
      </c>
      <c r="C1582" t="s">
        <v>11</v>
      </c>
      <c r="D1582" s="226">
        <v>1377397.17</v>
      </c>
      <c r="E1582" t="s">
        <v>665</v>
      </c>
    </row>
    <row r="1583" spans="1:5" hidden="1" x14ac:dyDescent="0.3">
      <c r="A1583" t="s">
        <v>552</v>
      </c>
      <c r="B1583" t="s">
        <v>664</v>
      </c>
      <c r="C1583" t="s">
        <v>13</v>
      </c>
      <c r="D1583" s="226">
        <v>632099.5</v>
      </c>
      <c r="E1583" t="s">
        <v>665</v>
      </c>
    </row>
    <row r="1584" spans="1:5" hidden="1" x14ac:dyDescent="0.3">
      <c r="A1584" t="s">
        <v>552</v>
      </c>
      <c r="B1584" t="s">
        <v>664</v>
      </c>
      <c r="C1584" t="s">
        <v>16</v>
      </c>
      <c r="D1584" s="226">
        <v>551092.80000000005</v>
      </c>
      <c r="E1584" t="s">
        <v>665</v>
      </c>
    </row>
    <row r="1585" spans="1:5" hidden="1" x14ac:dyDescent="0.3">
      <c r="A1585" t="s">
        <v>552</v>
      </c>
      <c r="B1585" t="s">
        <v>664</v>
      </c>
      <c r="C1585" t="s">
        <v>17</v>
      </c>
      <c r="D1585" s="226">
        <v>2283</v>
      </c>
      <c r="E1585" t="s">
        <v>665</v>
      </c>
    </row>
    <row r="1586" spans="1:5" hidden="1" x14ac:dyDescent="0.3">
      <c r="A1586" t="s">
        <v>552</v>
      </c>
      <c r="B1586" t="s">
        <v>664</v>
      </c>
      <c r="C1586" t="s">
        <v>18</v>
      </c>
      <c r="D1586" s="226">
        <v>810</v>
      </c>
      <c r="E1586" t="s">
        <v>665</v>
      </c>
    </row>
    <row r="1587" spans="1:5" hidden="1" x14ac:dyDescent="0.3">
      <c r="A1587" t="s">
        <v>552</v>
      </c>
      <c r="B1587" t="s">
        <v>664</v>
      </c>
      <c r="C1587" t="s">
        <v>20</v>
      </c>
      <c r="D1587" s="226">
        <v>151859.87</v>
      </c>
      <c r="E1587" t="s">
        <v>665</v>
      </c>
    </row>
    <row r="1588" spans="1:5" hidden="1" x14ac:dyDescent="0.3">
      <c r="A1588" t="s">
        <v>552</v>
      </c>
      <c r="B1588" t="s">
        <v>664</v>
      </c>
      <c r="C1588" t="s">
        <v>23</v>
      </c>
      <c r="D1588" s="226">
        <v>10600</v>
      </c>
      <c r="E1588" t="s">
        <v>665</v>
      </c>
    </row>
    <row r="1589" spans="1:5" hidden="1" x14ac:dyDescent="0.3">
      <c r="A1589" t="s">
        <v>552</v>
      </c>
      <c r="B1589" t="s">
        <v>664</v>
      </c>
      <c r="C1589" t="s">
        <v>25</v>
      </c>
      <c r="D1589" s="226">
        <v>300</v>
      </c>
      <c r="E1589" t="s">
        <v>665</v>
      </c>
    </row>
    <row r="1590" spans="1:5" hidden="1" x14ac:dyDescent="0.3">
      <c r="A1590" t="s">
        <v>552</v>
      </c>
      <c r="B1590" t="s">
        <v>664</v>
      </c>
      <c r="C1590" t="s">
        <v>26</v>
      </c>
      <c r="D1590" s="226">
        <v>8600</v>
      </c>
      <c r="E1590" t="s">
        <v>665</v>
      </c>
    </row>
    <row r="1591" spans="1:5" hidden="1" x14ac:dyDescent="0.3">
      <c r="A1591" t="s">
        <v>552</v>
      </c>
      <c r="B1591" t="s">
        <v>664</v>
      </c>
      <c r="C1591" t="s">
        <v>27</v>
      </c>
      <c r="D1591" s="226">
        <v>0</v>
      </c>
      <c r="E1591" t="s">
        <v>665</v>
      </c>
    </row>
    <row r="1592" spans="1:5" hidden="1" x14ac:dyDescent="0.3">
      <c r="A1592" t="s">
        <v>552</v>
      </c>
      <c r="B1592" t="s">
        <v>664</v>
      </c>
      <c r="C1592" t="s">
        <v>29</v>
      </c>
      <c r="D1592" s="226">
        <v>19752</v>
      </c>
      <c r="E1592" t="s">
        <v>665</v>
      </c>
    </row>
    <row r="1593" spans="1:5" hidden="1" x14ac:dyDescent="0.3">
      <c r="A1593" t="s">
        <v>552</v>
      </c>
      <c r="B1593" t="s">
        <v>664</v>
      </c>
      <c r="C1593" t="s">
        <v>31</v>
      </c>
      <c r="D1593" s="226">
        <v>0</v>
      </c>
      <c r="E1593" t="s">
        <v>665</v>
      </c>
    </row>
    <row r="1594" spans="1:5" hidden="1" x14ac:dyDescent="0.3">
      <c r="A1594" t="s">
        <v>552</v>
      </c>
      <c r="B1594" t="s">
        <v>664</v>
      </c>
      <c r="C1594" t="s">
        <v>34</v>
      </c>
      <c r="D1594" s="226">
        <v>-22171.73</v>
      </c>
      <c r="E1594" t="s">
        <v>665</v>
      </c>
    </row>
    <row r="1595" spans="1:5" hidden="1" x14ac:dyDescent="0.3">
      <c r="A1595" t="s">
        <v>552</v>
      </c>
      <c r="B1595" t="s">
        <v>664</v>
      </c>
      <c r="C1595" t="s">
        <v>38</v>
      </c>
      <c r="D1595" s="226">
        <v>-22171.73</v>
      </c>
      <c r="E1595" t="s">
        <v>665</v>
      </c>
    </row>
    <row r="1596" spans="1:5" hidden="1" x14ac:dyDescent="0.3">
      <c r="A1596" t="s">
        <v>552</v>
      </c>
      <c r="B1596" t="s">
        <v>664</v>
      </c>
      <c r="C1596" t="s">
        <v>40</v>
      </c>
      <c r="D1596" s="226">
        <v>0</v>
      </c>
      <c r="E1596" t="s">
        <v>665</v>
      </c>
    </row>
    <row r="1597" spans="1:5" hidden="1" x14ac:dyDescent="0.3">
      <c r="A1597" t="s">
        <v>552</v>
      </c>
      <c r="B1597" t="s">
        <v>664</v>
      </c>
      <c r="C1597" t="s">
        <v>42</v>
      </c>
      <c r="D1597" s="226">
        <v>0</v>
      </c>
      <c r="E1597" t="s">
        <v>665</v>
      </c>
    </row>
    <row r="1598" spans="1:5" hidden="1" x14ac:dyDescent="0.3">
      <c r="A1598" t="s">
        <v>552</v>
      </c>
      <c r="B1598" t="s">
        <v>664</v>
      </c>
      <c r="C1598" t="s">
        <v>44</v>
      </c>
      <c r="D1598" s="226">
        <v>-0.02</v>
      </c>
      <c r="E1598" t="s">
        <v>665</v>
      </c>
    </row>
    <row r="1599" spans="1:5" hidden="1" x14ac:dyDescent="0.3">
      <c r="A1599" t="s">
        <v>552</v>
      </c>
      <c r="B1599" t="s">
        <v>664</v>
      </c>
      <c r="C1599" t="s">
        <v>45</v>
      </c>
      <c r="D1599" s="226">
        <v>-82735.490000000005</v>
      </c>
      <c r="E1599" t="s">
        <v>665</v>
      </c>
    </row>
    <row r="1600" spans="1:5" hidden="1" x14ac:dyDescent="0.3">
      <c r="A1600" t="s">
        <v>552</v>
      </c>
      <c r="B1600" t="s">
        <v>664</v>
      </c>
      <c r="C1600" t="s">
        <v>46</v>
      </c>
      <c r="D1600" s="226">
        <v>-43922.84</v>
      </c>
      <c r="E1600" t="s">
        <v>665</v>
      </c>
    </row>
    <row r="1601" spans="1:5" hidden="1" x14ac:dyDescent="0.3">
      <c r="A1601" t="s">
        <v>552</v>
      </c>
      <c r="B1601" t="s">
        <v>664</v>
      </c>
      <c r="C1601" t="s">
        <v>48</v>
      </c>
      <c r="D1601" s="226">
        <v>-38168.5</v>
      </c>
      <c r="E1601" t="s">
        <v>665</v>
      </c>
    </row>
    <row r="1602" spans="1:5" hidden="1" x14ac:dyDescent="0.3">
      <c r="A1602" t="s">
        <v>552</v>
      </c>
      <c r="B1602" t="s">
        <v>664</v>
      </c>
      <c r="C1602" t="s">
        <v>49</v>
      </c>
      <c r="D1602" s="226">
        <v>-644.15</v>
      </c>
      <c r="E1602" t="s">
        <v>665</v>
      </c>
    </row>
    <row r="1603" spans="1:5" hidden="1" x14ac:dyDescent="0.3">
      <c r="A1603" t="s">
        <v>552</v>
      </c>
      <c r="B1603" t="s">
        <v>664</v>
      </c>
      <c r="C1603" t="s">
        <v>50</v>
      </c>
      <c r="D1603" s="226">
        <v>1272489.95</v>
      </c>
      <c r="E1603" t="s">
        <v>665</v>
      </c>
    </row>
    <row r="1604" spans="1:5" hidden="1" x14ac:dyDescent="0.3">
      <c r="A1604" t="s">
        <v>552</v>
      </c>
      <c r="B1604" t="s">
        <v>664</v>
      </c>
      <c r="C1604" t="s">
        <v>51</v>
      </c>
      <c r="D1604" s="226">
        <v>-353565.18</v>
      </c>
      <c r="E1604" t="s">
        <v>665</v>
      </c>
    </row>
    <row r="1605" spans="1:5" hidden="1" x14ac:dyDescent="0.3">
      <c r="A1605" t="s">
        <v>552</v>
      </c>
      <c r="B1605" t="s">
        <v>664</v>
      </c>
      <c r="C1605" t="s">
        <v>52</v>
      </c>
      <c r="D1605" s="226">
        <v>-222504.3</v>
      </c>
      <c r="E1605" t="s">
        <v>665</v>
      </c>
    </row>
    <row r="1606" spans="1:5" hidden="1" x14ac:dyDescent="0.3">
      <c r="A1606" t="s">
        <v>552</v>
      </c>
      <c r="B1606" t="s">
        <v>664</v>
      </c>
      <c r="C1606" t="s">
        <v>53</v>
      </c>
      <c r="D1606" s="226">
        <v>-131060.88</v>
      </c>
      <c r="E1606" t="s">
        <v>665</v>
      </c>
    </row>
    <row r="1607" spans="1:5" hidden="1" x14ac:dyDescent="0.3">
      <c r="A1607" t="s">
        <v>552</v>
      </c>
      <c r="B1607" t="s">
        <v>664</v>
      </c>
      <c r="C1607" t="s">
        <v>54</v>
      </c>
      <c r="D1607" s="226">
        <v>0</v>
      </c>
      <c r="E1607" t="s">
        <v>665</v>
      </c>
    </row>
    <row r="1608" spans="1:5" hidden="1" x14ac:dyDescent="0.3">
      <c r="A1608" t="s">
        <v>552</v>
      </c>
      <c r="B1608" t="s">
        <v>664</v>
      </c>
      <c r="C1608" t="s">
        <v>23</v>
      </c>
      <c r="D1608" s="226">
        <v>0</v>
      </c>
      <c r="E1608" t="s">
        <v>665</v>
      </c>
    </row>
    <row r="1609" spans="1:5" hidden="1" x14ac:dyDescent="0.3">
      <c r="A1609" t="s">
        <v>552</v>
      </c>
      <c r="B1609" t="s">
        <v>664</v>
      </c>
      <c r="C1609" t="s">
        <v>44</v>
      </c>
      <c r="D1609" s="226">
        <v>-0.28999999999999998</v>
      </c>
      <c r="E1609" t="s">
        <v>665</v>
      </c>
    </row>
    <row r="1610" spans="1:5" hidden="1" x14ac:dyDescent="0.3">
      <c r="A1610" t="s">
        <v>552</v>
      </c>
      <c r="B1610" t="s">
        <v>664</v>
      </c>
      <c r="C1610" t="s">
        <v>55</v>
      </c>
      <c r="D1610" s="226">
        <v>-0.28000000000000003</v>
      </c>
      <c r="E1610" t="s">
        <v>665</v>
      </c>
    </row>
    <row r="1611" spans="1:5" hidden="1" x14ac:dyDescent="0.3">
      <c r="A1611" t="s">
        <v>552</v>
      </c>
      <c r="B1611" t="s">
        <v>664</v>
      </c>
      <c r="C1611" t="s">
        <v>56</v>
      </c>
      <c r="D1611" s="226">
        <v>-164.01</v>
      </c>
      <c r="E1611" t="s">
        <v>665</v>
      </c>
    </row>
    <row r="1612" spans="1:5" hidden="1" x14ac:dyDescent="0.3">
      <c r="A1612" t="s">
        <v>552</v>
      </c>
      <c r="B1612" t="s">
        <v>664</v>
      </c>
      <c r="C1612" t="s">
        <v>57</v>
      </c>
      <c r="D1612" s="226">
        <v>-164.01</v>
      </c>
      <c r="E1612" t="s">
        <v>665</v>
      </c>
    </row>
    <row r="1613" spans="1:5" hidden="1" x14ac:dyDescent="0.3">
      <c r="A1613" t="s">
        <v>552</v>
      </c>
      <c r="B1613" t="s">
        <v>664</v>
      </c>
      <c r="C1613" t="s">
        <v>58</v>
      </c>
      <c r="D1613" s="226">
        <v>0</v>
      </c>
      <c r="E1613" t="s">
        <v>665</v>
      </c>
    </row>
    <row r="1614" spans="1:5" hidden="1" x14ac:dyDescent="0.3">
      <c r="A1614" t="s">
        <v>552</v>
      </c>
      <c r="B1614" t="s">
        <v>664</v>
      </c>
      <c r="C1614" t="s">
        <v>59</v>
      </c>
      <c r="D1614" s="226">
        <v>-164.01</v>
      </c>
      <c r="E1614" t="s">
        <v>665</v>
      </c>
    </row>
    <row r="1615" spans="1:5" hidden="1" x14ac:dyDescent="0.3">
      <c r="A1615" t="s">
        <v>552</v>
      </c>
      <c r="B1615" t="s">
        <v>664</v>
      </c>
      <c r="C1615" t="s">
        <v>61</v>
      </c>
      <c r="D1615" s="226">
        <v>0</v>
      </c>
      <c r="E1615" t="s">
        <v>665</v>
      </c>
    </row>
    <row r="1616" spans="1:5" hidden="1" x14ac:dyDescent="0.3">
      <c r="A1616" t="s">
        <v>552</v>
      </c>
      <c r="B1616" t="s">
        <v>664</v>
      </c>
      <c r="C1616" t="s">
        <v>62</v>
      </c>
      <c r="D1616" s="226">
        <v>0</v>
      </c>
      <c r="E1616" t="s">
        <v>665</v>
      </c>
    </row>
    <row r="1617" spans="1:5" hidden="1" x14ac:dyDescent="0.3">
      <c r="A1617" t="s">
        <v>552</v>
      </c>
      <c r="B1617" t="s">
        <v>664</v>
      </c>
      <c r="C1617" t="s">
        <v>64</v>
      </c>
      <c r="D1617" s="226">
        <v>0</v>
      </c>
      <c r="E1617" t="s">
        <v>665</v>
      </c>
    </row>
    <row r="1618" spans="1:5" hidden="1" x14ac:dyDescent="0.3">
      <c r="A1618" t="s">
        <v>552</v>
      </c>
      <c r="B1618" t="s">
        <v>664</v>
      </c>
      <c r="C1618" t="s">
        <v>65</v>
      </c>
      <c r="D1618" s="226">
        <v>0</v>
      </c>
      <c r="E1618" t="s">
        <v>665</v>
      </c>
    </row>
    <row r="1619" spans="1:5" hidden="1" x14ac:dyDescent="0.3">
      <c r="A1619" t="s">
        <v>552</v>
      </c>
      <c r="B1619" t="s">
        <v>664</v>
      </c>
      <c r="C1619" t="s">
        <v>66</v>
      </c>
      <c r="D1619" s="226">
        <v>0</v>
      </c>
      <c r="E1619" t="s">
        <v>665</v>
      </c>
    </row>
    <row r="1620" spans="1:5" hidden="1" x14ac:dyDescent="0.3">
      <c r="A1620" t="s">
        <v>552</v>
      </c>
      <c r="B1620" t="s">
        <v>664</v>
      </c>
      <c r="C1620" t="s">
        <v>68</v>
      </c>
      <c r="D1620" s="226">
        <v>0</v>
      </c>
      <c r="E1620" t="s">
        <v>665</v>
      </c>
    </row>
    <row r="1621" spans="1:5" hidden="1" x14ac:dyDescent="0.3">
      <c r="A1621" t="s">
        <v>552</v>
      </c>
      <c r="B1621" t="s">
        <v>664</v>
      </c>
      <c r="C1621" t="s">
        <v>69</v>
      </c>
      <c r="D1621" s="226">
        <v>0</v>
      </c>
      <c r="E1621" t="s">
        <v>665</v>
      </c>
    </row>
    <row r="1622" spans="1:5" hidden="1" x14ac:dyDescent="0.3">
      <c r="A1622" t="s">
        <v>552</v>
      </c>
      <c r="B1622" t="s">
        <v>664</v>
      </c>
      <c r="C1622" t="s">
        <v>70</v>
      </c>
      <c r="D1622" s="226">
        <v>-7.0000000000000007E-2</v>
      </c>
      <c r="E1622" t="s">
        <v>665</v>
      </c>
    </row>
    <row r="1623" spans="1:5" hidden="1" x14ac:dyDescent="0.3">
      <c r="A1623" t="s">
        <v>552</v>
      </c>
      <c r="B1623" t="s">
        <v>664</v>
      </c>
      <c r="C1623" t="s">
        <v>44</v>
      </c>
      <c r="D1623" s="226">
        <v>0</v>
      </c>
      <c r="E1623" t="s">
        <v>665</v>
      </c>
    </row>
    <row r="1624" spans="1:5" hidden="1" x14ac:dyDescent="0.3">
      <c r="A1624" t="s">
        <v>552</v>
      </c>
      <c r="B1624" t="s">
        <v>664</v>
      </c>
      <c r="C1624" t="s">
        <v>71</v>
      </c>
      <c r="D1624" s="226">
        <v>-1200</v>
      </c>
      <c r="E1624" t="s">
        <v>665</v>
      </c>
    </row>
    <row r="1625" spans="1:5" hidden="1" x14ac:dyDescent="0.3">
      <c r="A1625" t="s">
        <v>552</v>
      </c>
      <c r="B1625" t="s">
        <v>664</v>
      </c>
      <c r="C1625" t="s">
        <v>72</v>
      </c>
      <c r="D1625" s="226">
        <v>-1200</v>
      </c>
      <c r="E1625" t="s">
        <v>665</v>
      </c>
    </row>
    <row r="1626" spans="1:5" hidden="1" x14ac:dyDescent="0.3">
      <c r="A1626" t="s">
        <v>552</v>
      </c>
      <c r="B1626" t="s">
        <v>664</v>
      </c>
      <c r="C1626" t="s">
        <v>73</v>
      </c>
      <c r="D1626" s="226">
        <v>0</v>
      </c>
      <c r="E1626" t="s">
        <v>665</v>
      </c>
    </row>
    <row r="1627" spans="1:5" hidden="1" x14ac:dyDescent="0.3">
      <c r="A1627" t="s">
        <v>552</v>
      </c>
      <c r="B1627" t="s">
        <v>664</v>
      </c>
      <c r="C1627" t="s">
        <v>75</v>
      </c>
      <c r="D1627" s="226">
        <v>-1200</v>
      </c>
      <c r="E1627" t="s">
        <v>665</v>
      </c>
    </row>
    <row r="1628" spans="1:5" hidden="1" x14ac:dyDescent="0.3">
      <c r="A1628" t="s">
        <v>552</v>
      </c>
      <c r="B1628" t="s">
        <v>664</v>
      </c>
      <c r="C1628" t="s">
        <v>77</v>
      </c>
      <c r="D1628" s="226">
        <v>0</v>
      </c>
      <c r="E1628" t="s">
        <v>665</v>
      </c>
    </row>
    <row r="1629" spans="1:5" hidden="1" x14ac:dyDescent="0.3">
      <c r="A1629" t="s">
        <v>552</v>
      </c>
      <c r="B1629" t="s">
        <v>664</v>
      </c>
      <c r="C1629" t="s">
        <v>78</v>
      </c>
      <c r="D1629" s="226">
        <v>0</v>
      </c>
      <c r="E1629" t="s">
        <v>665</v>
      </c>
    </row>
    <row r="1630" spans="1:5" hidden="1" x14ac:dyDescent="0.3">
      <c r="A1630" t="s">
        <v>552</v>
      </c>
      <c r="B1630" t="s">
        <v>664</v>
      </c>
      <c r="C1630" t="s">
        <v>80</v>
      </c>
      <c r="D1630" s="226">
        <v>0</v>
      </c>
      <c r="E1630" t="s">
        <v>665</v>
      </c>
    </row>
    <row r="1631" spans="1:5" hidden="1" x14ac:dyDescent="0.3">
      <c r="A1631" t="s">
        <v>552</v>
      </c>
      <c r="B1631" t="s">
        <v>664</v>
      </c>
      <c r="C1631" t="s">
        <v>82</v>
      </c>
      <c r="D1631" s="226">
        <v>0</v>
      </c>
      <c r="E1631" t="s">
        <v>665</v>
      </c>
    </row>
    <row r="1632" spans="1:5" hidden="1" x14ac:dyDescent="0.3">
      <c r="A1632" t="s">
        <v>552</v>
      </c>
      <c r="B1632" t="s">
        <v>664</v>
      </c>
      <c r="C1632" t="s">
        <v>84</v>
      </c>
      <c r="D1632" s="226">
        <v>0</v>
      </c>
      <c r="E1632" t="s">
        <v>665</v>
      </c>
    </row>
    <row r="1633" spans="1:5" hidden="1" x14ac:dyDescent="0.3">
      <c r="A1633" t="s">
        <v>552</v>
      </c>
      <c r="B1633" t="s">
        <v>664</v>
      </c>
      <c r="C1633" t="s">
        <v>85</v>
      </c>
      <c r="D1633" s="226">
        <v>0</v>
      </c>
      <c r="E1633" t="s">
        <v>665</v>
      </c>
    </row>
    <row r="1634" spans="1:5" hidden="1" x14ac:dyDescent="0.3">
      <c r="A1634" t="s">
        <v>552</v>
      </c>
      <c r="B1634" t="s">
        <v>664</v>
      </c>
      <c r="C1634" t="s">
        <v>86</v>
      </c>
      <c r="D1634" s="226">
        <v>0</v>
      </c>
      <c r="E1634" t="s">
        <v>665</v>
      </c>
    </row>
    <row r="1635" spans="1:5" hidden="1" x14ac:dyDescent="0.3">
      <c r="A1635" t="s">
        <v>552</v>
      </c>
      <c r="B1635" t="s">
        <v>664</v>
      </c>
      <c r="C1635" t="s">
        <v>87</v>
      </c>
      <c r="D1635" s="226">
        <v>0</v>
      </c>
      <c r="E1635" t="s">
        <v>665</v>
      </c>
    </row>
    <row r="1636" spans="1:5" hidden="1" x14ac:dyDescent="0.3">
      <c r="A1636" t="s">
        <v>552</v>
      </c>
      <c r="B1636" t="s">
        <v>664</v>
      </c>
      <c r="C1636" t="s">
        <v>88</v>
      </c>
      <c r="D1636" s="226">
        <v>0</v>
      </c>
      <c r="E1636" t="s">
        <v>665</v>
      </c>
    </row>
    <row r="1637" spans="1:5" hidden="1" x14ac:dyDescent="0.3">
      <c r="A1637" t="s">
        <v>552</v>
      </c>
      <c r="B1637" t="s">
        <v>664</v>
      </c>
      <c r="C1637" t="s">
        <v>89</v>
      </c>
      <c r="D1637" s="226">
        <v>0</v>
      </c>
      <c r="E1637" t="s">
        <v>665</v>
      </c>
    </row>
    <row r="1638" spans="1:5" hidden="1" x14ac:dyDescent="0.3">
      <c r="A1638" t="s">
        <v>552</v>
      </c>
      <c r="B1638" t="s">
        <v>664</v>
      </c>
      <c r="C1638" t="s">
        <v>90</v>
      </c>
      <c r="D1638" s="226">
        <v>0</v>
      </c>
      <c r="E1638" t="s">
        <v>665</v>
      </c>
    </row>
    <row r="1639" spans="1:5" hidden="1" x14ac:dyDescent="0.3">
      <c r="A1639" t="s">
        <v>552</v>
      </c>
      <c r="B1639" t="s">
        <v>664</v>
      </c>
      <c r="C1639" t="s">
        <v>91</v>
      </c>
      <c r="D1639" s="226">
        <v>0</v>
      </c>
      <c r="E1639" t="s">
        <v>665</v>
      </c>
    </row>
    <row r="1640" spans="1:5" hidden="1" x14ac:dyDescent="0.3">
      <c r="A1640" t="s">
        <v>552</v>
      </c>
      <c r="B1640" t="s">
        <v>664</v>
      </c>
      <c r="C1640" t="s">
        <v>93</v>
      </c>
      <c r="D1640" s="226">
        <v>0</v>
      </c>
      <c r="E1640" t="s">
        <v>665</v>
      </c>
    </row>
    <row r="1641" spans="1:5" hidden="1" x14ac:dyDescent="0.3">
      <c r="A1641" t="s">
        <v>552</v>
      </c>
      <c r="B1641" t="s">
        <v>664</v>
      </c>
      <c r="C1641" t="s">
        <v>95</v>
      </c>
      <c r="D1641" s="226">
        <v>0</v>
      </c>
      <c r="E1641" t="s">
        <v>665</v>
      </c>
    </row>
    <row r="1642" spans="1:5" hidden="1" x14ac:dyDescent="0.3">
      <c r="A1642" t="s">
        <v>552</v>
      </c>
      <c r="B1642" t="s">
        <v>664</v>
      </c>
      <c r="C1642" t="s">
        <v>96</v>
      </c>
      <c r="D1642" s="226">
        <v>0</v>
      </c>
      <c r="E1642" t="s">
        <v>665</v>
      </c>
    </row>
    <row r="1643" spans="1:5" hidden="1" x14ac:dyDescent="0.3">
      <c r="A1643" t="s">
        <v>552</v>
      </c>
      <c r="B1643" t="s">
        <v>664</v>
      </c>
      <c r="C1643" t="s">
        <v>98</v>
      </c>
      <c r="D1643" s="226">
        <v>0</v>
      </c>
      <c r="E1643" t="s">
        <v>665</v>
      </c>
    </row>
    <row r="1644" spans="1:5" hidden="1" x14ac:dyDescent="0.3">
      <c r="A1644" t="s">
        <v>552</v>
      </c>
      <c r="B1644" t="s">
        <v>664</v>
      </c>
      <c r="C1644" t="s">
        <v>100</v>
      </c>
      <c r="D1644" s="226">
        <v>0</v>
      </c>
      <c r="E1644" t="s">
        <v>665</v>
      </c>
    </row>
    <row r="1645" spans="1:5" hidden="1" x14ac:dyDescent="0.3">
      <c r="A1645" t="s">
        <v>552</v>
      </c>
      <c r="B1645" t="s">
        <v>664</v>
      </c>
      <c r="C1645" t="s">
        <v>101</v>
      </c>
      <c r="D1645" s="226">
        <v>0</v>
      </c>
      <c r="E1645" t="s">
        <v>665</v>
      </c>
    </row>
    <row r="1646" spans="1:5" hidden="1" x14ac:dyDescent="0.3">
      <c r="A1646" t="s">
        <v>552</v>
      </c>
      <c r="B1646" t="s">
        <v>664</v>
      </c>
      <c r="C1646" t="s">
        <v>102</v>
      </c>
      <c r="D1646" s="226">
        <v>0</v>
      </c>
      <c r="E1646" t="s">
        <v>665</v>
      </c>
    </row>
    <row r="1647" spans="1:5" hidden="1" x14ac:dyDescent="0.3">
      <c r="A1647" t="s">
        <v>552</v>
      </c>
      <c r="B1647" t="s">
        <v>664</v>
      </c>
      <c r="C1647" t="s">
        <v>103</v>
      </c>
      <c r="D1647" s="226">
        <v>0</v>
      </c>
      <c r="E1647" t="s">
        <v>665</v>
      </c>
    </row>
    <row r="1648" spans="1:5" hidden="1" x14ac:dyDescent="0.3">
      <c r="A1648" t="s">
        <v>552</v>
      </c>
      <c r="B1648" t="s">
        <v>664</v>
      </c>
      <c r="C1648" t="s">
        <v>104</v>
      </c>
      <c r="D1648" s="226">
        <v>0</v>
      </c>
      <c r="E1648" t="s">
        <v>665</v>
      </c>
    </row>
    <row r="1649" spans="1:5" hidden="1" x14ac:dyDescent="0.3">
      <c r="A1649" t="s">
        <v>552</v>
      </c>
      <c r="B1649" t="s">
        <v>664</v>
      </c>
      <c r="C1649" t="s">
        <v>105</v>
      </c>
      <c r="D1649" s="226">
        <v>0</v>
      </c>
      <c r="E1649" t="s">
        <v>665</v>
      </c>
    </row>
    <row r="1650" spans="1:5" hidden="1" x14ac:dyDescent="0.3">
      <c r="A1650" t="s">
        <v>552</v>
      </c>
      <c r="B1650" t="s">
        <v>664</v>
      </c>
      <c r="C1650" t="s">
        <v>107</v>
      </c>
      <c r="D1650" s="226">
        <v>0</v>
      </c>
      <c r="E1650" t="s">
        <v>665</v>
      </c>
    </row>
    <row r="1651" spans="1:5" hidden="1" x14ac:dyDescent="0.3">
      <c r="A1651" t="s">
        <v>552</v>
      </c>
      <c r="B1651" t="s">
        <v>664</v>
      </c>
      <c r="C1651" t="s">
        <v>108</v>
      </c>
      <c r="D1651" s="226">
        <v>0</v>
      </c>
      <c r="E1651" t="s">
        <v>665</v>
      </c>
    </row>
    <row r="1652" spans="1:5" hidden="1" x14ac:dyDescent="0.3">
      <c r="A1652" t="s">
        <v>552</v>
      </c>
      <c r="B1652" t="s">
        <v>664</v>
      </c>
      <c r="C1652" t="s">
        <v>109</v>
      </c>
      <c r="D1652" s="226">
        <v>0</v>
      </c>
      <c r="E1652" t="s">
        <v>665</v>
      </c>
    </row>
    <row r="1653" spans="1:5" hidden="1" x14ac:dyDescent="0.3">
      <c r="A1653" t="s">
        <v>552</v>
      </c>
      <c r="B1653" t="s">
        <v>664</v>
      </c>
      <c r="C1653" t="s">
        <v>110</v>
      </c>
      <c r="D1653" s="226">
        <v>-0.06</v>
      </c>
      <c r="E1653" t="s">
        <v>665</v>
      </c>
    </row>
    <row r="1654" spans="1:5" hidden="1" x14ac:dyDescent="0.3">
      <c r="A1654" t="s">
        <v>552</v>
      </c>
      <c r="B1654" t="s">
        <v>664</v>
      </c>
      <c r="C1654" t="s">
        <v>44</v>
      </c>
      <c r="D1654" s="226">
        <v>0</v>
      </c>
      <c r="E1654" t="s">
        <v>665</v>
      </c>
    </row>
    <row r="1655" spans="1:5" hidden="1" x14ac:dyDescent="0.3">
      <c r="A1655" t="s">
        <v>552</v>
      </c>
      <c r="B1655" t="s">
        <v>664</v>
      </c>
      <c r="C1655" t="s">
        <v>111</v>
      </c>
      <c r="D1655" s="226">
        <v>-97070.14</v>
      </c>
      <c r="E1655" t="s">
        <v>665</v>
      </c>
    </row>
    <row r="1656" spans="1:5" hidden="1" x14ac:dyDescent="0.3">
      <c r="A1656" t="s">
        <v>552</v>
      </c>
      <c r="B1656" t="s">
        <v>664</v>
      </c>
      <c r="C1656" t="s">
        <v>555</v>
      </c>
      <c r="D1656" s="226">
        <v>-97070.14</v>
      </c>
      <c r="E1656" t="s">
        <v>665</v>
      </c>
    </row>
    <row r="1657" spans="1:5" hidden="1" x14ac:dyDescent="0.3">
      <c r="A1657" t="s">
        <v>552</v>
      </c>
      <c r="B1657" t="s">
        <v>664</v>
      </c>
      <c r="C1657" t="s">
        <v>44</v>
      </c>
      <c r="D1657" s="226">
        <v>-7.0000000000000007E-2</v>
      </c>
      <c r="E1657" t="s">
        <v>665</v>
      </c>
    </row>
    <row r="1658" spans="1:5" hidden="1" x14ac:dyDescent="0.3">
      <c r="A1658" t="s">
        <v>552</v>
      </c>
      <c r="B1658" t="s">
        <v>664</v>
      </c>
      <c r="C1658" t="s">
        <v>115</v>
      </c>
      <c r="D1658" s="226">
        <v>-30289.66</v>
      </c>
      <c r="E1658" t="s">
        <v>665</v>
      </c>
    </row>
    <row r="1659" spans="1:5" hidden="1" x14ac:dyDescent="0.3">
      <c r="A1659" t="s">
        <v>552</v>
      </c>
      <c r="B1659" t="s">
        <v>664</v>
      </c>
      <c r="C1659" t="s">
        <v>116</v>
      </c>
      <c r="D1659" s="226">
        <v>-25403.99</v>
      </c>
      <c r="E1659" t="s">
        <v>665</v>
      </c>
    </row>
    <row r="1660" spans="1:5" hidden="1" x14ac:dyDescent="0.3">
      <c r="A1660" t="s">
        <v>552</v>
      </c>
      <c r="B1660" t="s">
        <v>664</v>
      </c>
      <c r="C1660" t="s">
        <v>118</v>
      </c>
      <c r="D1660" s="226">
        <v>0</v>
      </c>
      <c r="E1660" t="s">
        <v>665</v>
      </c>
    </row>
    <row r="1661" spans="1:5" hidden="1" x14ac:dyDescent="0.3">
      <c r="A1661" t="s">
        <v>552</v>
      </c>
      <c r="B1661" t="s">
        <v>664</v>
      </c>
      <c r="C1661" t="s">
        <v>120</v>
      </c>
      <c r="D1661" s="226">
        <v>0</v>
      </c>
      <c r="E1661" t="s">
        <v>665</v>
      </c>
    </row>
    <row r="1662" spans="1:5" hidden="1" x14ac:dyDescent="0.3">
      <c r="A1662" t="s">
        <v>552</v>
      </c>
      <c r="B1662" t="s">
        <v>664</v>
      </c>
      <c r="C1662" t="s">
        <v>122</v>
      </c>
      <c r="D1662" s="226">
        <v>-4885.67</v>
      </c>
      <c r="E1662" t="s">
        <v>665</v>
      </c>
    </row>
    <row r="1663" spans="1:5" hidden="1" x14ac:dyDescent="0.3">
      <c r="A1663" t="s">
        <v>552</v>
      </c>
      <c r="B1663" t="s">
        <v>664</v>
      </c>
      <c r="C1663" t="s">
        <v>44</v>
      </c>
      <c r="D1663" s="226">
        <v>-0.02</v>
      </c>
      <c r="E1663" t="s">
        <v>665</v>
      </c>
    </row>
    <row r="1664" spans="1:5" hidden="1" x14ac:dyDescent="0.3">
      <c r="A1664" t="s">
        <v>552</v>
      </c>
      <c r="B1664" t="s">
        <v>664</v>
      </c>
      <c r="C1664" t="s">
        <v>125</v>
      </c>
      <c r="D1664" s="226">
        <v>790200.96</v>
      </c>
      <c r="E1664" t="s">
        <v>665</v>
      </c>
    </row>
    <row r="1665" spans="1:5" hidden="1" x14ac:dyDescent="0.3">
      <c r="A1665" t="s">
        <v>552</v>
      </c>
      <c r="B1665" t="s">
        <v>664</v>
      </c>
      <c r="C1665" t="s">
        <v>126</v>
      </c>
      <c r="D1665" s="226">
        <v>0.56999999999999995</v>
      </c>
      <c r="E1665" t="s">
        <v>665</v>
      </c>
    </row>
    <row r="1666" spans="1:5" hidden="1" x14ac:dyDescent="0.3">
      <c r="A1666" t="s">
        <v>552</v>
      </c>
      <c r="B1666" t="s">
        <v>664</v>
      </c>
      <c r="C1666" t="s">
        <v>127</v>
      </c>
      <c r="D1666" s="226">
        <v>-267992.33</v>
      </c>
      <c r="E1666" t="s">
        <v>665</v>
      </c>
    </row>
    <row r="1667" spans="1:5" hidden="1" x14ac:dyDescent="0.3">
      <c r="A1667" t="s">
        <v>552</v>
      </c>
      <c r="B1667" t="s">
        <v>664</v>
      </c>
      <c r="C1667" t="s">
        <v>128</v>
      </c>
      <c r="D1667" s="226">
        <v>-43670</v>
      </c>
      <c r="E1667" t="s">
        <v>665</v>
      </c>
    </row>
    <row r="1668" spans="1:5" hidden="1" x14ac:dyDescent="0.3">
      <c r="A1668" t="s">
        <v>552</v>
      </c>
      <c r="B1668" t="s">
        <v>664</v>
      </c>
      <c r="C1668" t="s">
        <v>556</v>
      </c>
      <c r="D1668" s="226">
        <v>-10250</v>
      </c>
      <c r="E1668" t="s">
        <v>665</v>
      </c>
    </row>
    <row r="1669" spans="1:5" hidden="1" x14ac:dyDescent="0.3">
      <c r="A1669" t="s">
        <v>552</v>
      </c>
      <c r="B1669" t="s">
        <v>664</v>
      </c>
      <c r="C1669" t="s">
        <v>557</v>
      </c>
      <c r="D1669" s="226">
        <v>-5280</v>
      </c>
      <c r="E1669" t="s">
        <v>665</v>
      </c>
    </row>
    <row r="1670" spans="1:5" hidden="1" x14ac:dyDescent="0.3">
      <c r="A1670" t="s">
        <v>552</v>
      </c>
      <c r="B1670" t="s">
        <v>664</v>
      </c>
      <c r="C1670" t="s">
        <v>558</v>
      </c>
      <c r="D1670" s="226">
        <v>0</v>
      </c>
      <c r="E1670" t="s">
        <v>665</v>
      </c>
    </row>
    <row r="1671" spans="1:5" hidden="1" x14ac:dyDescent="0.3">
      <c r="A1671" t="s">
        <v>552</v>
      </c>
      <c r="B1671" t="s">
        <v>664</v>
      </c>
      <c r="C1671" t="s">
        <v>559</v>
      </c>
      <c r="D1671" s="226">
        <v>-14640</v>
      </c>
      <c r="E1671" t="s">
        <v>665</v>
      </c>
    </row>
    <row r="1672" spans="1:5" hidden="1" x14ac:dyDescent="0.3">
      <c r="A1672" t="s">
        <v>552</v>
      </c>
      <c r="B1672" t="s">
        <v>664</v>
      </c>
      <c r="C1672" t="s">
        <v>560</v>
      </c>
      <c r="D1672" s="226">
        <v>-2500</v>
      </c>
      <c r="E1672" t="s">
        <v>665</v>
      </c>
    </row>
    <row r="1673" spans="1:5" hidden="1" x14ac:dyDescent="0.3">
      <c r="A1673" t="s">
        <v>552</v>
      </c>
      <c r="B1673" t="s">
        <v>664</v>
      </c>
      <c r="C1673" t="s">
        <v>561</v>
      </c>
      <c r="D1673" s="226">
        <v>-7000</v>
      </c>
      <c r="E1673" t="s">
        <v>665</v>
      </c>
    </row>
    <row r="1674" spans="1:5" hidden="1" x14ac:dyDescent="0.3">
      <c r="A1674" t="s">
        <v>552</v>
      </c>
      <c r="B1674" t="s">
        <v>664</v>
      </c>
      <c r="C1674" t="s">
        <v>562</v>
      </c>
      <c r="D1674" s="226">
        <v>-4000</v>
      </c>
      <c r="E1674" t="s">
        <v>665</v>
      </c>
    </row>
    <row r="1675" spans="1:5" hidden="1" x14ac:dyDescent="0.3">
      <c r="A1675" t="s">
        <v>552</v>
      </c>
      <c r="B1675" t="s">
        <v>664</v>
      </c>
      <c r="C1675" t="s">
        <v>563</v>
      </c>
      <c r="D1675" s="226">
        <v>0</v>
      </c>
      <c r="E1675" t="s">
        <v>665</v>
      </c>
    </row>
    <row r="1676" spans="1:5" hidden="1" x14ac:dyDescent="0.3">
      <c r="A1676" t="s">
        <v>552</v>
      </c>
      <c r="B1676" t="s">
        <v>664</v>
      </c>
      <c r="C1676" t="s">
        <v>564</v>
      </c>
      <c r="D1676" s="226">
        <v>0</v>
      </c>
      <c r="E1676" t="s">
        <v>665</v>
      </c>
    </row>
    <row r="1677" spans="1:5" hidden="1" x14ac:dyDescent="0.3">
      <c r="A1677" t="s">
        <v>552</v>
      </c>
      <c r="B1677" t="s">
        <v>664</v>
      </c>
      <c r="C1677" t="s">
        <v>565</v>
      </c>
      <c r="D1677" s="226">
        <v>0</v>
      </c>
      <c r="E1677" t="s">
        <v>665</v>
      </c>
    </row>
    <row r="1678" spans="1:5" hidden="1" x14ac:dyDescent="0.3">
      <c r="A1678" t="s">
        <v>552</v>
      </c>
      <c r="B1678" t="s">
        <v>664</v>
      </c>
      <c r="C1678" t="s">
        <v>566</v>
      </c>
      <c r="D1678" s="226">
        <v>0</v>
      </c>
      <c r="E1678" t="s">
        <v>665</v>
      </c>
    </row>
    <row r="1679" spans="1:5" hidden="1" x14ac:dyDescent="0.3">
      <c r="A1679" t="s">
        <v>552</v>
      </c>
      <c r="B1679" t="s">
        <v>664</v>
      </c>
      <c r="C1679" t="s">
        <v>567</v>
      </c>
      <c r="D1679" s="226">
        <v>0</v>
      </c>
      <c r="E1679" t="s">
        <v>665</v>
      </c>
    </row>
    <row r="1680" spans="1:5" hidden="1" x14ac:dyDescent="0.3">
      <c r="A1680" t="s">
        <v>552</v>
      </c>
      <c r="B1680" t="s">
        <v>664</v>
      </c>
      <c r="C1680" t="s">
        <v>141</v>
      </c>
      <c r="D1680" s="226">
        <v>-64967.82</v>
      </c>
      <c r="E1680" t="s">
        <v>665</v>
      </c>
    </row>
    <row r="1681" spans="1:5" hidden="1" x14ac:dyDescent="0.3">
      <c r="A1681" t="s">
        <v>552</v>
      </c>
      <c r="B1681" t="s">
        <v>664</v>
      </c>
      <c r="C1681" t="s">
        <v>568</v>
      </c>
      <c r="D1681" s="226">
        <v>3596</v>
      </c>
      <c r="E1681" t="s">
        <v>665</v>
      </c>
    </row>
    <row r="1682" spans="1:5" hidden="1" x14ac:dyDescent="0.3">
      <c r="A1682" t="s">
        <v>552</v>
      </c>
      <c r="B1682" t="s">
        <v>664</v>
      </c>
      <c r="C1682" t="s">
        <v>569</v>
      </c>
      <c r="D1682" s="226">
        <v>2272.67</v>
      </c>
      <c r="E1682" t="s">
        <v>665</v>
      </c>
    </row>
    <row r="1683" spans="1:5" hidden="1" x14ac:dyDescent="0.3">
      <c r="A1683" t="s">
        <v>552</v>
      </c>
      <c r="B1683" t="s">
        <v>664</v>
      </c>
      <c r="C1683" t="s">
        <v>570</v>
      </c>
      <c r="D1683" s="226">
        <v>2264.67</v>
      </c>
      <c r="E1683" t="s">
        <v>665</v>
      </c>
    </row>
    <row r="1684" spans="1:5" hidden="1" x14ac:dyDescent="0.3">
      <c r="A1684" t="s">
        <v>552</v>
      </c>
      <c r="B1684" t="s">
        <v>664</v>
      </c>
      <c r="C1684" t="s">
        <v>571</v>
      </c>
      <c r="D1684" s="226">
        <v>2264.67</v>
      </c>
      <c r="E1684" t="s">
        <v>665</v>
      </c>
    </row>
    <row r="1685" spans="1:5" hidden="1" x14ac:dyDescent="0.3">
      <c r="A1685" t="s">
        <v>552</v>
      </c>
      <c r="B1685" t="s">
        <v>664</v>
      </c>
      <c r="C1685" t="s">
        <v>572</v>
      </c>
      <c r="D1685" s="226">
        <v>0</v>
      </c>
      <c r="E1685" t="s">
        <v>665</v>
      </c>
    </row>
    <row r="1686" spans="1:5" hidden="1" x14ac:dyDescent="0.3">
      <c r="A1686" t="s">
        <v>552</v>
      </c>
      <c r="B1686" t="s">
        <v>664</v>
      </c>
      <c r="C1686" t="s">
        <v>573</v>
      </c>
      <c r="D1686" s="226">
        <v>1834.03</v>
      </c>
      <c r="E1686" t="s">
        <v>665</v>
      </c>
    </row>
    <row r="1687" spans="1:5" hidden="1" x14ac:dyDescent="0.3">
      <c r="A1687" t="s">
        <v>552</v>
      </c>
      <c r="B1687" t="s">
        <v>664</v>
      </c>
      <c r="C1687" t="s">
        <v>574</v>
      </c>
      <c r="D1687" s="226">
        <v>0</v>
      </c>
      <c r="E1687" t="s">
        <v>665</v>
      </c>
    </row>
    <row r="1688" spans="1:5" hidden="1" x14ac:dyDescent="0.3">
      <c r="A1688" t="s">
        <v>552</v>
      </c>
      <c r="B1688" t="s">
        <v>664</v>
      </c>
      <c r="C1688" t="s">
        <v>575</v>
      </c>
      <c r="D1688" s="226">
        <v>0</v>
      </c>
      <c r="E1688" t="s">
        <v>665</v>
      </c>
    </row>
    <row r="1689" spans="1:5" hidden="1" x14ac:dyDescent="0.3">
      <c r="A1689" t="s">
        <v>552</v>
      </c>
      <c r="B1689" t="s">
        <v>664</v>
      </c>
      <c r="C1689" t="s">
        <v>576</v>
      </c>
      <c r="D1689" s="226">
        <v>2667.52</v>
      </c>
      <c r="E1689" t="s">
        <v>665</v>
      </c>
    </row>
    <row r="1690" spans="1:5" hidden="1" x14ac:dyDescent="0.3">
      <c r="A1690" t="s">
        <v>552</v>
      </c>
      <c r="B1690" t="s">
        <v>664</v>
      </c>
      <c r="C1690" t="s">
        <v>577</v>
      </c>
      <c r="D1690" s="226">
        <v>2019.27</v>
      </c>
      <c r="E1690" t="s">
        <v>665</v>
      </c>
    </row>
    <row r="1691" spans="1:5" hidden="1" x14ac:dyDescent="0.3">
      <c r="A1691" t="s">
        <v>552</v>
      </c>
      <c r="B1691" t="s">
        <v>664</v>
      </c>
      <c r="C1691" t="s">
        <v>578</v>
      </c>
      <c r="D1691" s="226">
        <v>1834.03</v>
      </c>
      <c r="E1691" t="s">
        <v>665</v>
      </c>
    </row>
    <row r="1692" spans="1:5" hidden="1" x14ac:dyDescent="0.3">
      <c r="A1692" t="s">
        <v>552</v>
      </c>
      <c r="B1692" t="s">
        <v>664</v>
      </c>
      <c r="C1692" t="s">
        <v>579</v>
      </c>
      <c r="D1692" s="226">
        <v>0</v>
      </c>
      <c r="E1692" t="s">
        <v>665</v>
      </c>
    </row>
    <row r="1693" spans="1:5" hidden="1" x14ac:dyDescent="0.3">
      <c r="A1693" t="s">
        <v>552</v>
      </c>
      <c r="B1693" t="s">
        <v>664</v>
      </c>
      <c r="C1693" t="s">
        <v>580</v>
      </c>
      <c r="D1693" s="226">
        <v>0</v>
      </c>
      <c r="E1693" t="s">
        <v>665</v>
      </c>
    </row>
    <row r="1694" spans="1:5" hidden="1" x14ac:dyDescent="0.3">
      <c r="A1694" t="s">
        <v>552</v>
      </c>
      <c r="B1694" t="s">
        <v>664</v>
      </c>
      <c r="C1694" t="s">
        <v>581</v>
      </c>
      <c r="D1694" s="226">
        <v>0</v>
      </c>
      <c r="E1694" t="s">
        <v>665</v>
      </c>
    </row>
    <row r="1695" spans="1:5" hidden="1" x14ac:dyDescent="0.3">
      <c r="A1695" t="s">
        <v>552</v>
      </c>
      <c r="B1695" t="s">
        <v>664</v>
      </c>
      <c r="C1695" t="s">
        <v>582</v>
      </c>
      <c r="D1695" s="226">
        <v>0</v>
      </c>
      <c r="E1695" t="s">
        <v>665</v>
      </c>
    </row>
    <row r="1696" spans="1:5" hidden="1" x14ac:dyDescent="0.3">
      <c r="A1696" t="s">
        <v>552</v>
      </c>
      <c r="B1696" t="s">
        <v>664</v>
      </c>
      <c r="C1696" t="s">
        <v>583</v>
      </c>
      <c r="D1696" s="226">
        <v>0</v>
      </c>
      <c r="E1696" t="s">
        <v>665</v>
      </c>
    </row>
    <row r="1697" spans="1:5" hidden="1" x14ac:dyDescent="0.3">
      <c r="A1697" t="s">
        <v>552</v>
      </c>
      <c r="B1697" t="s">
        <v>664</v>
      </c>
      <c r="C1697" t="s">
        <v>584</v>
      </c>
      <c r="D1697" s="226">
        <v>0</v>
      </c>
      <c r="E1697" t="s">
        <v>665</v>
      </c>
    </row>
    <row r="1698" spans="1:5" hidden="1" x14ac:dyDescent="0.3">
      <c r="A1698" t="s">
        <v>552</v>
      </c>
      <c r="B1698" t="s">
        <v>664</v>
      </c>
      <c r="C1698" t="s">
        <v>585</v>
      </c>
      <c r="D1698" s="226">
        <v>0</v>
      </c>
      <c r="E1698" t="s">
        <v>665</v>
      </c>
    </row>
    <row r="1699" spans="1:5" hidden="1" x14ac:dyDescent="0.3">
      <c r="A1699" t="s">
        <v>552</v>
      </c>
      <c r="B1699" t="s">
        <v>664</v>
      </c>
      <c r="C1699" t="s">
        <v>586</v>
      </c>
      <c r="D1699" s="226">
        <v>3503</v>
      </c>
      <c r="E1699" t="s">
        <v>665</v>
      </c>
    </row>
    <row r="1700" spans="1:5" hidden="1" x14ac:dyDescent="0.3">
      <c r="A1700" t="s">
        <v>552</v>
      </c>
      <c r="B1700" t="s">
        <v>664</v>
      </c>
      <c r="C1700" t="s">
        <v>587</v>
      </c>
      <c r="D1700" s="226">
        <v>2669.58</v>
      </c>
      <c r="E1700" t="s">
        <v>665</v>
      </c>
    </row>
    <row r="1701" spans="1:5" hidden="1" x14ac:dyDescent="0.3">
      <c r="A1701" t="s">
        <v>552</v>
      </c>
      <c r="B1701" t="s">
        <v>664</v>
      </c>
      <c r="C1701" t="s">
        <v>588</v>
      </c>
      <c r="D1701" s="226">
        <v>2320.77</v>
      </c>
      <c r="E1701" t="s">
        <v>665</v>
      </c>
    </row>
    <row r="1702" spans="1:5" hidden="1" x14ac:dyDescent="0.3">
      <c r="A1702" t="s">
        <v>552</v>
      </c>
      <c r="B1702" t="s">
        <v>664</v>
      </c>
      <c r="C1702" t="s">
        <v>589</v>
      </c>
      <c r="D1702" s="226">
        <v>2020.27</v>
      </c>
      <c r="E1702" t="s">
        <v>665</v>
      </c>
    </row>
    <row r="1703" spans="1:5" hidden="1" x14ac:dyDescent="0.3">
      <c r="A1703" t="s">
        <v>552</v>
      </c>
      <c r="B1703" t="s">
        <v>664</v>
      </c>
      <c r="C1703" t="s">
        <v>590</v>
      </c>
      <c r="D1703" s="226">
        <v>1834.03</v>
      </c>
      <c r="E1703" t="s">
        <v>665</v>
      </c>
    </row>
    <row r="1704" spans="1:5" hidden="1" x14ac:dyDescent="0.3">
      <c r="A1704" t="s">
        <v>552</v>
      </c>
      <c r="B1704" t="s">
        <v>664</v>
      </c>
      <c r="C1704" t="s">
        <v>591</v>
      </c>
      <c r="D1704" s="226">
        <v>0</v>
      </c>
      <c r="E1704" t="s">
        <v>665</v>
      </c>
    </row>
    <row r="1705" spans="1:5" hidden="1" x14ac:dyDescent="0.3">
      <c r="A1705" t="s">
        <v>552</v>
      </c>
      <c r="B1705" t="s">
        <v>664</v>
      </c>
      <c r="C1705" t="s">
        <v>592</v>
      </c>
      <c r="D1705" s="226">
        <v>1834.03</v>
      </c>
      <c r="E1705" t="s">
        <v>665</v>
      </c>
    </row>
    <row r="1706" spans="1:5" hidden="1" x14ac:dyDescent="0.3">
      <c r="A1706" t="s">
        <v>552</v>
      </c>
      <c r="B1706" t="s">
        <v>664</v>
      </c>
      <c r="C1706" t="s">
        <v>593</v>
      </c>
      <c r="D1706" s="226">
        <v>0</v>
      </c>
      <c r="E1706" t="s">
        <v>665</v>
      </c>
    </row>
    <row r="1707" spans="1:5" hidden="1" x14ac:dyDescent="0.3">
      <c r="A1707" t="s">
        <v>552</v>
      </c>
      <c r="B1707" t="s">
        <v>664</v>
      </c>
      <c r="C1707" t="s">
        <v>594</v>
      </c>
      <c r="D1707" s="226">
        <v>0</v>
      </c>
      <c r="E1707" t="s">
        <v>665</v>
      </c>
    </row>
    <row r="1708" spans="1:5" hidden="1" x14ac:dyDescent="0.3">
      <c r="A1708" t="s">
        <v>552</v>
      </c>
      <c r="B1708" t="s">
        <v>664</v>
      </c>
      <c r="C1708" t="s">
        <v>595</v>
      </c>
      <c r="D1708" s="226">
        <v>0</v>
      </c>
      <c r="E1708" t="s">
        <v>665</v>
      </c>
    </row>
    <row r="1709" spans="1:5" hidden="1" x14ac:dyDescent="0.3">
      <c r="A1709" t="s">
        <v>552</v>
      </c>
      <c r="B1709" t="s">
        <v>664</v>
      </c>
      <c r="C1709" t="s">
        <v>596</v>
      </c>
      <c r="D1709" s="226">
        <v>0</v>
      </c>
      <c r="E1709" t="s">
        <v>665</v>
      </c>
    </row>
    <row r="1710" spans="1:5" hidden="1" x14ac:dyDescent="0.3">
      <c r="A1710" t="s">
        <v>552</v>
      </c>
      <c r="B1710" t="s">
        <v>664</v>
      </c>
      <c r="C1710" t="s">
        <v>597</v>
      </c>
      <c r="D1710" s="226">
        <v>0</v>
      </c>
      <c r="E1710" t="s">
        <v>665</v>
      </c>
    </row>
    <row r="1711" spans="1:5" hidden="1" x14ac:dyDescent="0.3">
      <c r="A1711" t="s">
        <v>552</v>
      </c>
      <c r="B1711" t="s">
        <v>664</v>
      </c>
      <c r="C1711" t="s">
        <v>598</v>
      </c>
      <c r="D1711" s="226">
        <v>0</v>
      </c>
      <c r="E1711" t="s">
        <v>665</v>
      </c>
    </row>
    <row r="1712" spans="1:5" hidden="1" x14ac:dyDescent="0.3">
      <c r="A1712" t="s">
        <v>552</v>
      </c>
      <c r="B1712" t="s">
        <v>664</v>
      </c>
      <c r="C1712" t="s">
        <v>599</v>
      </c>
      <c r="D1712" s="226">
        <v>0</v>
      </c>
      <c r="E1712" t="s">
        <v>665</v>
      </c>
    </row>
    <row r="1713" spans="1:5" hidden="1" x14ac:dyDescent="0.3">
      <c r="A1713" t="s">
        <v>552</v>
      </c>
      <c r="B1713" t="s">
        <v>664</v>
      </c>
      <c r="C1713" t="s">
        <v>600</v>
      </c>
      <c r="D1713" s="226">
        <v>0</v>
      </c>
      <c r="E1713" t="s">
        <v>665</v>
      </c>
    </row>
    <row r="1714" spans="1:5" hidden="1" x14ac:dyDescent="0.3">
      <c r="A1714" t="s">
        <v>552</v>
      </c>
      <c r="B1714" t="s">
        <v>664</v>
      </c>
      <c r="C1714" t="s">
        <v>601</v>
      </c>
      <c r="D1714" s="226">
        <v>0</v>
      </c>
      <c r="E1714" t="s">
        <v>665</v>
      </c>
    </row>
    <row r="1715" spans="1:5" hidden="1" x14ac:dyDescent="0.3">
      <c r="A1715" t="s">
        <v>552</v>
      </c>
      <c r="B1715" t="s">
        <v>664</v>
      </c>
      <c r="C1715" t="s">
        <v>602</v>
      </c>
      <c r="D1715" s="226">
        <v>0</v>
      </c>
      <c r="E1715" t="s">
        <v>665</v>
      </c>
    </row>
    <row r="1716" spans="1:5" hidden="1" x14ac:dyDescent="0.3">
      <c r="A1716" t="s">
        <v>552</v>
      </c>
      <c r="B1716" t="s">
        <v>664</v>
      </c>
      <c r="C1716" t="s">
        <v>603</v>
      </c>
      <c r="D1716" s="226">
        <v>0</v>
      </c>
      <c r="E1716" t="s">
        <v>665</v>
      </c>
    </row>
    <row r="1717" spans="1:5" hidden="1" x14ac:dyDescent="0.3">
      <c r="A1717" t="s">
        <v>552</v>
      </c>
      <c r="B1717" t="s">
        <v>664</v>
      </c>
      <c r="C1717" t="s">
        <v>604</v>
      </c>
      <c r="D1717" s="226">
        <v>1835.03</v>
      </c>
      <c r="E1717" t="s">
        <v>665</v>
      </c>
    </row>
    <row r="1718" spans="1:5" hidden="1" x14ac:dyDescent="0.3">
      <c r="A1718" t="s">
        <v>552</v>
      </c>
      <c r="B1718" t="s">
        <v>664</v>
      </c>
      <c r="C1718" t="s">
        <v>605</v>
      </c>
      <c r="D1718" s="226">
        <v>0</v>
      </c>
      <c r="E1718" t="s">
        <v>665</v>
      </c>
    </row>
    <row r="1719" spans="1:5" hidden="1" x14ac:dyDescent="0.3">
      <c r="A1719" t="s">
        <v>552</v>
      </c>
      <c r="B1719" t="s">
        <v>664</v>
      </c>
      <c r="C1719" t="s">
        <v>606</v>
      </c>
      <c r="D1719" s="226">
        <v>0</v>
      </c>
      <c r="E1719" t="s">
        <v>665</v>
      </c>
    </row>
    <row r="1720" spans="1:5" hidden="1" x14ac:dyDescent="0.3">
      <c r="A1720" t="s">
        <v>552</v>
      </c>
      <c r="B1720" t="s">
        <v>664</v>
      </c>
      <c r="C1720" t="s">
        <v>607</v>
      </c>
      <c r="D1720" s="226">
        <v>0</v>
      </c>
      <c r="E1720" t="s">
        <v>665</v>
      </c>
    </row>
    <row r="1721" spans="1:5" hidden="1" x14ac:dyDescent="0.3">
      <c r="A1721" t="s">
        <v>552</v>
      </c>
      <c r="B1721" t="s">
        <v>664</v>
      </c>
      <c r="C1721" t="s">
        <v>608</v>
      </c>
      <c r="D1721" s="226">
        <v>0</v>
      </c>
      <c r="E1721" t="s">
        <v>665</v>
      </c>
    </row>
    <row r="1722" spans="1:5" hidden="1" x14ac:dyDescent="0.3">
      <c r="A1722" t="s">
        <v>552</v>
      </c>
      <c r="B1722" t="s">
        <v>664</v>
      </c>
      <c r="C1722" t="s">
        <v>609</v>
      </c>
      <c r="D1722" s="226">
        <v>0</v>
      </c>
      <c r="E1722" t="s">
        <v>665</v>
      </c>
    </row>
    <row r="1723" spans="1:5" hidden="1" x14ac:dyDescent="0.3">
      <c r="A1723" t="s">
        <v>552</v>
      </c>
      <c r="B1723" t="s">
        <v>664</v>
      </c>
      <c r="C1723" t="s">
        <v>610</v>
      </c>
      <c r="D1723" s="226">
        <v>0</v>
      </c>
      <c r="E1723" t="s">
        <v>665</v>
      </c>
    </row>
    <row r="1724" spans="1:5" hidden="1" x14ac:dyDescent="0.3">
      <c r="A1724" t="s">
        <v>552</v>
      </c>
      <c r="B1724" t="s">
        <v>664</v>
      </c>
      <c r="C1724" t="s">
        <v>611</v>
      </c>
      <c r="D1724" s="226">
        <v>0</v>
      </c>
      <c r="E1724" t="s">
        <v>665</v>
      </c>
    </row>
    <row r="1725" spans="1:5" hidden="1" x14ac:dyDescent="0.3">
      <c r="A1725" t="s">
        <v>552</v>
      </c>
      <c r="B1725" t="s">
        <v>664</v>
      </c>
      <c r="C1725" t="s">
        <v>612</v>
      </c>
      <c r="D1725" s="226">
        <v>0</v>
      </c>
      <c r="E1725" t="s">
        <v>665</v>
      </c>
    </row>
    <row r="1726" spans="1:5" hidden="1" x14ac:dyDescent="0.3">
      <c r="A1726" t="s">
        <v>552</v>
      </c>
      <c r="B1726" t="s">
        <v>664</v>
      </c>
      <c r="C1726" t="s">
        <v>613</v>
      </c>
      <c r="D1726" s="226">
        <v>0</v>
      </c>
      <c r="E1726" t="s">
        <v>665</v>
      </c>
    </row>
    <row r="1727" spans="1:5" hidden="1" x14ac:dyDescent="0.3">
      <c r="A1727" t="s">
        <v>552</v>
      </c>
      <c r="B1727" t="s">
        <v>664</v>
      </c>
      <c r="C1727" t="s">
        <v>614</v>
      </c>
      <c r="D1727" s="226">
        <v>0</v>
      </c>
      <c r="E1727" t="s">
        <v>665</v>
      </c>
    </row>
    <row r="1728" spans="1:5" hidden="1" x14ac:dyDescent="0.3">
      <c r="A1728" t="s">
        <v>552</v>
      </c>
      <c r="B1728" t="s">
        <v>664</v>
      </c>
      <c r="C1728" t="s">
        <v>615</v>
      </c>
      <c r="D1728" s="226">
        <v>0</v>
      </c>
      <c r="E1728" t="s">
        <v>665</v>
      </c>
    </row>
    <row r="1729" spans="1:5" hidden="1" x14ac:dyDescent="0.3">
      <c r="A1729" t="s">
        <v>552</v>
      </c>
      <c r="B1729" t="s">
        <v>664</v>
      </c>
      <c r="C1729" t="s">
        <v>616</v>
      </c>
      <c r="D1729" s="226">
        <v>0</v>
      </c>
      <c r="E1729" t="s">
        <v>665</v>
      </c>
    </row>
    <row r="1730" spans="1:5" hidden="1" x14ac:dyDescent="0.3">
      <c r="A1730" t="s">
        <v>552</v>
      </c>
      <c r="B1730" t="s">
        <v>664</v>
      </c>
      <c r="C1730" t="s">
        <v>617</v>
      </c>
      <c r="D1730" s="226">
        <v>0</v>
      </c>
      <c r="E1730" t="s">
        <v>665</v>
      </c>
    </row>
    <row r="1731" spans="1:5" hidden="1" x14ac:dyDescent="0.3">
      <c r="A1731" t="s">
        <v>552</v>
      </c>
      <c r="B1731" t="s">
        <v>664</v>
      </c>
      <c r="C1731" t="s">
        <v>618</v>
      </c>
      <c r="D1731" s="226">
        <v>0</v>
      </c>
      <c r="E1731" t="s">
        <v>665</v>
      </c>
    </row>
    <row r="1732" spans="1:5" hidden="1" x14ac:dyDescent="0.3">
      <c r="A1732" t="s">
        <v>552</v>
      </c>
      <c r="B1732" t="s">
        <v>664</v>
      </c>
      <c r="C1732" t="s">
        <v>619</v>
      </c>
      <c r="D1732" s="226">
        <v>2318.77</v>
      </c>
      <c r="E1732" t="s">
        <v>665</v>
      </c>
    </row>
    <row r="1733" spans="1:5" hidden="1" x14ac:dyDescent="0.3">
      <c r="A1733" t="s">
        <v>552</v>
      </c>
      <c r="B1733" t="s">
        <v>664</v>
      </c>
      <c r="C1733" t="s">
        <v>620</v>
      </c>
      <c r="D1733" s="226">
        <v>0</v>
      </c>
      <c r="E1733" t="s">
        <v>665</v>
      </c>
    </row>
    <row r="1734" spans="1:5" hidden="1" x14ac:dyDescent="0.3">
      <c r="A1734" t="s">
        <v>552</v>
      </c>
      <c r="B1734" t="s">
        <v>664</v>
      </c>
      <c r="C1734" t="s">
        <v>621</v>
      </c>
      <c r="D1734" s="226">
        <v>0</v>
      </c>
      <c r="E1734" t="s">
        <v>665</v>
      </c>
    </row>
    <row r="1735" spans="1:5" hidden="1" x14ac:dyDescent="0.3">
      <c r="A1735" t="s">
        <v>552</v>
      </c>
      <c r="B1735" t="s">
        <v>664</v>
      </c>
      <c r="C1735" t="s">
        <v>622</v>
      </c>
      <c r="D1735" s="226">
        <v>0</v>
      </c>
      <c r="E1735" t="s">
        <v>665</v>
      </c>
    </row>
    <row r="1736" spans="1:5" hidden="1" x14ac:dyDescent="0.3">
      <c r="A1736" t="s">
        <v>552</v>
      </c>
      <c r="B1736" t="s">
        <v>664</v>
      </c>
      <c r="C1736" t="s">
        <v>623</v>
      </c>
      <c r="D1736" s="226">
        <v>1907.49</v>
      </c>
      <c r="E1736" t="s">
        <v>665</v>
      </c>
    </row>
    <row r="1737" spans="1:5" hidden="1" x14ac:dyDescent="0.3">
      <c r="A1737" t="s">
        <v>552</v>
      </c>
      <c r="B1737" t="s">
        <v>664</v>
      </c>
      <c r="C1737" t="s">
        <v>624</v>
      </c>
      <c r="D1737" s="226">
        <v>0</v>
      </c>
      <c r="E1737" t="s">
        <v>665</v>
      </c>
    </row>
    <row r="1738" spans="1:5" hidden="1" x14ac:dyDescent="0.3">
      <c r="A1738" t="s">
        <v>552</v>
      </c>
      <c r="B1738" t="s">
        <v>664</v>
      </c>
      <c r="C1738" t="s">
        <v>200</v>
      </c>
      <c r="D1738" s="226">
        <v>-82244.63</v>
      </c>
      <c r="E1738" t="s">
        <v>665</v>
      </c>
    </row>
    <row r="1739" spans="1:5" hidden="1" x14ac:dyDescent="0.3">
      <c r="A1739" t="s">
        <v>552</v>
      </c>
      <c r="B1739" t="s">
        <v>664</v>
      </c>
      <c r="C1739" t="s">
        <v>202</v>
      </c>
      <c r="D1739" s="226">
        <v>-82244.63</v>
      </c>
      <c r="E1739" t="s">
        <v>665</v>
      </c>
    </row>
    <row r="1740" spans="1:5" hidden="1" x14ac:dyDescent="0.3">
      <c r="A1740" t="s">
        <v>552</v>
      </c>
      <c r="B1740" t="s">
        <v>664</v>
      </c>
      <c r="C1740" t="s">
        <v>625</v>
      </c>
      <c r="D1740" s="226">
        <v>41122.32</v>
      </c>
      <c r="E1740" t="s">
        <v>665</v>
      </c>
    </row>
    <row r="1741" spans="1:5" hidden="1" x14ac:dyDescent="0.3">
      <c r="A1741" t="s">
        <v>552</v>
      </c>
      <c r="B1741" t="s">
        <v>664</v>
      </c>
      <c r="C1741" t="s">
        <v>204</v>
      </c>
      <c r="D1741" s="226">
        <v>-43203.97</v>
      </c>
      <c r="E1741" t="s">
        <v>665</v>
      </c>
    </row>
    <row r="1742" spans="1:5" hidden="1" x14ac:dyDescent="0.3">
      <c r="A1742" t="s">
        <v>552</v>
      </c>
      <c r="B1742" t="s">
        <v>664</v>
      </c>
      <c r="C1742" t="s">
        <v>626</v>
      </c>
      <c r="D1742" s="226">
        <v>-6408.75</v>
      </c>
      <c r="E1742" t="s">
        <v>665</v>
      </c>
    </row>
    <row r="1743" spans="1:5" hidden="1" x14ac:dyDescent="0.3">
      <c r="A1743" t="s">
        <v>552</v>
      </c>
      <c r="B1743" t="s">
        <v>664</v>
      </c>
      <c r="C1743" t="s">
        <v>627</v>
      </c>
      <c r="D1743" s="226">
        <v>0</v>
      </c>
      <c r="E1743" t="s">
        <v>665</v>
      </c>
    </row>
    <row r="1744" spans="1:5" hidden="1" x14ac:dyDescent="0.3">
      <c r="A1744" t="s">
        <v>552</v>
      </c>
      <c r="B1744" t="s">
        <v>664</v>
      </c>
      <c r="C1744" t="s">
        <v>628</v>
      </c>
      <c r="D1744" s="226">
        <v>0</v>
      </c>
      <c r="E1744" t="s">
        <v>665</v>
      </c>
    </row>
    <row r="1745" spans="1:5" hidden="1" x14ac:dyDescent="0.3">
      <c r="A1745" t="s">
        <v>552</v>
      </c>
      <c r="B1745" t="s">
        <v>664</v>
      </c>
      <c r="C1745" t="s">
        <v>629</v>
      </c>
      <c r="D1745" s="226">
        <v>-11221.62</v>
      </c>
      <c r="E1745" t="s">
        <v>665</v>
      </c>
    </row>
    <row r="1746" spans="1:5" hidden="1" x14ac:dyDescent="0.3">
      <c r="A1746" t="s">
        <v>552</v>
      </c>
      <c r="B1746" t="s">
        <v>664</v>
      </c>
      <c r="C1746" t="s">
        <v>630</v>
      </c>
      <c r="D1746" s="226">
        <v>-7031.44</v>
      </c>
      <c r="E1746" t="s">
        <v>665</v>
      </c>
    </row>
    <row r="1747" spans="1:5" hidden="1" x14ac:dyDescent="0.3">
      <c r="A1747" t="s">
        <v>552</v>
      </c>
      <c r="B1747" t="s">
        <v>664</v>
      </c>
      <c r="C1747" t="s">
        <v>631</v>
      </c>
      <c r="D1747" s="226">
        <v>-3780.91</v>
      </c>
      <c r="E1747" t="s">
        <v>665</v>
      </c>
    </row>
    <row r="1748" spans="1:5" hidden="1" x14ac:dyDescent="0.3">
      <c r="A1748" t="s">
        <v>552</v>
      </c>
      <c r="B1748" t="s">
        <v>664</v>
      </c>
      <c r="C1748" t="s">
        <v>632</v>
      </c>
      <c r="D1748" s="226">
        <v>-1130.24</v>
      </c>
      <c r="E1748" t="s">
        <v>665</v>
      </c>
    </row>
    <row r="1749" spans="1:5" hidden="1" x14ac:dyDescent="0.3">
      <c r="A1749" t="s">
        <v>552</v>
      </c>
      <c r="B1749" t="s">
        <v>664</v>
      </c>
      <c r="C1749" t="s">
        <v>633</v>
      </c>
      <c r="D1749" s="226">
        <v>0</v>
      </c>
      <c r="E1749" t="s">
        <v>665</v>
      </c>
    </row>
    <row r="1750" spans="1:5" hidden="1" x14ac:dyDescent="0.3">
      <c r="A1750" t="s">
        <v>552</v>
      </c>
      <c r="B1750" t="s">
        <v>664</v>
      </c>
      <c r="C1750" t="s">
        <v>634</v>
      </c>
      <c r="D1750" s="226">
        <v>0</v>
      </c>
      <c r="E1750" t="s">
        <v>665</v>
      </c>
    </row>
    <row r="1751" spans="1:5" hidden="1" x14ac:dyDescent="0.3">
      <c r="A1751" t="s">
        <v>552</v>
      </c>
      <c r="B1751" t="s">
        <v>664</v>
      </c>
      <c r="C1751" t="s">
        <v>635</v>
      </c>
      <c r="D1751" s="226">
        <v>0</v>
      </c>
      <c r="E1751" t="s">
        <v>665</v>
      </c>
    </row>
    <row r="1752" spans="1:5" hidden="1" x14ac:dyDescent="0.3">
      <c r="A1752" t="s">
        <v>552</v>
      </c>
      <c r="B1752" t="s">
        <v>664</v>
      </c>
      <c r="C1752" t="s">
        <v>636</v>
      </c>
      <c r="D1752" s="226">
        <v>0</v>
      </c>
      <c r="E1752" t="s">
        <v>665</v>
      </c>
    </row>
    <row r="1753" spans="1:5" hidden="1" x14ac:dyDescent="0.3">
      <c r="A1753" t="s">
        <v>552</v>
      </c>
      <c r="B1753" t="s">
        <v>664</v>
      </c>
      <c r="C1753" t="s">
        <v>637</v>
      </c>
      <c r="D1753" s="226">
        <v>-12500</v>
      </c>
      <c r="E1753" t="s">
        <v>665</v>
      </c>
    </row>
    <row r="1754" spans="1:5" hidden="1" x14ac:dyDescent="0.3">
      <c r="A1754" t="s">
        <v>552</v>
      </c>
      <c r="B1754" t="s">
        <v>664</v>
      </c>
      <c r="C1754" t="s">
        <v>638</v>
      </c>
      <c r="D1754" s="226">
        <v>0</v>
      </c>
      <c r="E1754" t="s">
        <v>665</v>
      </c>
    </row>
    <row r="1755" spans="1:5" hidden="1" x14ac:dyDescent="0.3">
      <c r="A1755" t="s">
        <v>552</v>
      </c>
      <c r="B1755" t="s">
        <v>664</v>
      </c>
      <c r="C1755" t="s">
        <v>639</v>
      </c>
      <c r="D1755" s="226">
        <v>-1131.02</v>
      </c>
      <c r="E1755" t="s">
        <v>665</v>
      </c>
    </row>
    <row r="1756" spans="1:5" hidden="1" x14ac:dyDescent="0.3">
      <c r="A1756" t="s">
        <v>552</v>
      </c>
      <c r="B1756" t="s">
        <v>664</v>
      </c>
      <c r="C1756" t="s">
        <v>640</v>
      </c>
      <c r="D1756" s="226">
        <v>0</v>
      </c>
      <c r="E1756" t="s">
        <v>665</v>
      </c>
    </row>
    <row r="1757" spans="1:5" hidden="1" x14ac:dyDescent="0.3">
      <c r="A1757" t="s">
        <v>552</v>
      </c>
      <c r="B1757" t="s">
        <v>664</v>
      </c>
      <c r="C1757" t="s">
        <v>641</v>
      </c>
      <c r="D1757" s="226">
        <v>0</v>
      </c>
      <c r="E1757" t="s">
        <v>665</v>
      </c>
    </row>
    <row r="1758" spans="1:5" hidden="1" x14ac:dyDescent="0.3">
      <c r="A1758" t="s">
        <v>552</v>
      </c>
      <c r="B1758" t="s">
        <v>664</v>
      </c>
      <c r="C1758" t="s">
        <v>237</v>
      </c>
      <c r="D1758" s="226">
        <v>-7676.67</v>
      </c>
      <c r="E1758" t="s">
        <v>665</v>
      </c>
    </row>
    <row r="1759" spans="1:5" hidden="1" x14ac:dyDescent="0.3">
      <c r="A1759" t="s">
        <v>552</v>
      </c>
      <c r="B1759" t="s">
        <v>664</v>
      </c>
      <c r="C1759" t="s">
        <v>642</v>
      </c>
      <c r="D1759" s="226">
        <v>-7676.67</v>
      </c>
      <c r="E1759" t="s">
        <v>665</v>
      </c>
    </row>
    <row r="1760" spans="1:5" hidden="1" x14ac:dyDescent="0.3">
      <c r="A1760" t="s">
        <v>552</v>
      </c>
      <c r="B1760" t="s">
        <v>664</v>
      </c>
      <c r="C1760" t="s">
        <v>643</v>
      </c>
      <c r="D1760" s="226">
        <v>0</v>
      </c>
      <c r="E1760" t="s">
        <v>665</v>
      </c>
    </row>
    <row r="1761" spans="1:5" hidden="1" x14ac:dyDescent="0.3">
      <c r="A1761" t="s">
        <v>552</v>
      </c>
      <c r="B1761" t="s">
        <v>664</v>
      </c>
      <c r="C1761" t="s">
        <v>644</v>
      </c>
      <c r="D1761" s="226">
        <v>0</v>
      </c>
      <c r="E1761" t="s">
        <v>665</v>
      </c>
    </row>
    <row r="1762" spans="1:5" hidden="1" x14ac:dyDescent="0.3">
      <c r="A1762" t="s">
        <v>552</v>
      </c>
      <c r="B1762" t="s">
        <v>664</v>
      </c>
      <c r="C1762" t="s">
        <v>645</v>
      </c>
      <c r="D1762" s="226">
        <v>0</v>
      </c>
      <c r="E1762" t="s">
        <v>665</v>
      </c>
    </row>
    <row r="1763" spans="1:5" hidden="1" x14ac:dyDescent="0.3">
      <c r="A1763" t="s">
        <v>552</v>
      </c>
      <c r="B1763" t="s">
        <v>664</v>
      </c>
      <c r="C1763" t="s">
        <v>646</v>
      </c>
      <c r="D1763" s="226">
        <v>0</v>
      </c>
      <c r="E1763" t="s">
        <v>665</v>
      </c>
    </row>
    <row r="1764" spans="1:5" hidden="1" x14ac:dyDescent="0.3">
      <c r="A1764" t="s">
        <v>552</v>
      </c>
      <c r="B1764" t="s">
        <v>664</v>
      </c>
      <c r="C1764" t="s">
        <v>244</v>
      </c>
      <c r="D1764" s="226">
        <v>-26229.24</v>
      </c>
      <c r="E1764" t="s">
        <v>665</v>
      </c>
    </row>
    <row r="1765" spans="1:5" hidden="1" x14ac:dyDescent="0.3">
      <c r="A1765" t="s">
        <v>552</v>
      </c>
      <c r="B1765" t="s">
        <v>664</v>
      </c>
      <c r="C1765" t="s">
        <v>647</v>
      </c>
      <c r="D1765" s="226">
        <v>-487</v>
      </c>
      <c r="E1765" t="s">
        <v>665</v>
      </c>
    </row>
    <row r="1766" spans="1:5" hidden="1" x14ac:dyDescent="0.3">
      <c r="A1766" t="s">
        <v>552</v>
      </c>
      <c r="B1766" t="s">
        <v>664</v>
      </c>
      <c r="C1766" t="s">
        <v>648</v>
      </c>
      <c r="D1766" s="226">
        <v>-357.9</v>
      </c>
      <c r="E1766" t="s">
        <v>665</v>
      </c>
    </row>
    <row r="1767" spans="1:5" hidden="1" x14ac:dyDescent="0.3">
      <c r="A1767" t="s">
        <v>552</v>
      </c>
      <c r="B1767" t="s">
        <v>664</v>
      </c>
      <c r="C1767" t="s">
        <v>649</v>
      </c>
      <c r="D1767" s="226">
        <v>0</v>
      </c>
      <c r="E1767" t="s">
        <v>665</v>
      </c>
    </row>
    <row r="1768" spans="1:5" hidden="1" x14ac:dyDescent="0.3">
      <c r="A1768" t="s">
        <v>552</v>
      </c>
      <c r="B1768" t="s">
        <v>664</v>
      </c>
      <c r="C1768" t="s">
        <v>650</v>
      </c>
      <c r="D1768" s="226">
        <v>0</v>
      </c>
      <c r="E1768" t="s">
        <v>665</v>
      </c>
    </row>
    <row r="1769" spans="1:5" hidden="1" x14ac:dyDescent="0.3">
      <c r="A1769" t="s">
        <v>552</v>
      </c>
      <c r="B1769" t="s">
        <v>664</v>
      </c>
      <c r="C1769" t="s">
        <v>651</v>
      </c>
      <c r="D1769" s="226">
        <v>0</v>
      </c>
      <c r="E1769" t="s">
        <v>665</v>
      </c>
    </row>
    <row r="1770" spans="1:5" hidden="1" x14ac:dyDescent="0.3">
      <c r="A1770" t="s">
        <v>552</v>
      </c>
      <c r="B1770" t="s">
        <v>664</v>
      </c>
      <c r="C1770" t="s">
        <v>652</v>
      </c>
      <c r="D1770" s="226">
        <v>-25384.34</v>
      </c>
      <c r="E1770" t="s">
        <v>665</v>
      </c>
    </row>
    <row r="1771" spans="1:5" hidden="1" x14ac:dyDescent="0.3">
      <c r="A1771" t="s">
        <v>552</v>
      </c>
      <c r="B1771" t="s">
        <v>664</v>
      </c>
      <c r="C1771" t="s">
        <v>653</v>
      </c>
      <c r="D1771" s="226">
        <v>0</v>
      </c>
      <c r="E1771" t="s">
        <v>665</v>
      </c>
    </row>
    <row r="1772" spans="1:5" hidden="1" x14ac:dyDescent="0.3">
      <c r="A1772" t="s">
        <v>552</v>
      </c>
      <c r="B1772" t="s">
        <v>664</v>
      </c>
      <c r="C1772" t="s">
        <v>253</v>
      </c>
      <c r="D1772" s="226">
        <v>-0.19</v>
      </c>
      <c r="E1772" t="s">
        <v>665</v>
      </c>
    </row>
    <row r="1773" spans="1:5" hidden="1" x14ac:dyDescent="0.3">
      <c r="A1773" t="s">
        <v>552</v>
      </c>
      <c r="B1773" t="s">
        <v>664</v>
      </c>
      <c r="C1773" t="s">
        <v>254</v>
      </c>
      <c r="D1773" s="226">
        <v>-0.16</v>
      </c>
      <c r="E1773" t="s">
        <v>665</v>
      </c>
    </row>
    <row r="1774" spans="1:5" hidden="1" x14ac:dyDescent="0.3">
      <c r="A1774" t="s">
        <v>552</v>
      </c>
      <c r="B1774" t="s">
        <v>664</v>
      </c>
      <c r="C1774" t="s">
        <v>255</v>
      </c>
      <c r="D1774" s="226">
        <v>-35379.01</v>
      </c>
      <c r="E1774" t="s">
        <v>665</v>
      </c>
    </row>
    <row r="1775" spans="1:5" hidden="1" x14ac:dyDescent="0.3">
      <c r="A1775" t="s">
        <v>552</v>
      </c>
      <c r="B1775" t="s">
        <v>664</v>
      </c>
      <c r="C1775" t="s">
        <v>256</v>
      </c>
      <c r="D1775" s="226">
        <v>-22875.41</v>
      </c>
      <c r="E1775" t="s">
        <v>665</v>
      </c>
    </row>
    <row r="1776" spans="1:5" hidden="1" x14ac:dyDescent="0.3">
      <c r="A1776" t="s">
        <v>552</v>
      </c>
      <c r="B1776" t="s">
        <v>664</v>
      </c>
      <c r="C1776" t="s">
        <v>257</v>
      </c>
      <c r="D1776" s="226">
        <v>-10773.67</v>
      </c>
      <c r="E1776" t="s">
        <v>665</v>
      </c>
    </row>
    <row r="1777" spans="1:5" hidden="1" x14ac:dyDescent="0.3">
      <c r="A1777" t="s">
        <v>552</v>
      </c>
      <c r="B1777" t="s">
        <v>664</v>
      </c>
      <c r="C1777" t="s">
        <v>258</v>
      </c>
      <c r="D1777" s="226">
        <v>-1729.93</v>
      </c>
      <c r="E1777" t="s">
        <v>665</v>
      </c>
    </row>
    <row r="1778" spans="1:5" hidden="1" x14ac:dyDescent="0.3">
      <c r="A1778" t="s">
        <v>552</v>
      </c>
      <c r="B1778" t="s">
        <v>664</v>
      </c>
      <c r="C1778" t="s">
        <v>259</v>
      </c>
      <c r="D1778" s="226">
        <v>0</v>
      </c>
      <c r="E1778" t="s">
        <v>665</v>
      </c>
    </row>
    <row r="1779" spans="1:5" hidden="1" x14ac:dyDescent="0.3">
      <c r="A1779" t="s">
        <v>552</v>
      </c>
      <c r="B1779" t="s">
        <v>664</v>
      </c>
      <c r="C1779" t="s">
        <v>260</v>
      </c>
      <c r="D1779" s="226">
        <v>0</v>
      </c>
      <c r="E1779" t="s">
        <v>665</v>
      </c>
    </row>
    <row r="1780" spans="1:5" hidden="1" x14ac:dyDescent="0.3">
      <c r="A1780" t="s">
        <v>552</v>
      </c>
      <c r="B1780" t="s">
        <v>664</v>
      </c>
      <c r="C1780" t="s">
        <v>261</v>
      </c>
      <c r="D1780" s="226">
        <v>0</v>
      </c>
      <c r="E1780" t="s">
        <v>665</v>
      </c>
    </row>
    <row r="1781" spans="1:5" hidden="1" x14ac:dyDescent="0.3">
      <c r="A1781" t="s">
        <v>552</v>
      </c>
      <c r="B1781" t="s">
        <v>664</v>
      </c>
      <c r="C1781" t="s">
        <v>262</v>
      </c>
      <c r="D1781" s="226">
        <v>0</v>
      </c>
      <c r="E1781" t="s">
        <v>665</v>
      </c>
    </row>
    <row r="1782" spans="1:5" hidden="1" x14ac:dyDescent="0.3">
      <c r="A1782" t="s">
        <v>552</v>
      </c>
      <c r="B1782" t="s">
        <v>664</v>
      </c>
      <c r="C1782" t="s">
        <v>44</v>
      </c>
      <c r="D1782" s="226">
        <v>-0.03</v>
      </c>
      <c r="E1782" t="s">
        <v>665</v>
      </c>
    </row>
    <row r="1783" spans="1:5" hidden="1" x14ac:dyDescent="0.3">
      <c r="A1783" t="s">
        <v>552</v>
      </c>
      <c r="B1783" t="s">
        <v>664</v>
      </c>
      <c r="C1783" t="s">
        <v>263</v>
      </c>
      <c r="D1783" s="226">
        <v>-82803.37</v>
      </c>
      <c r="E1783" t="s">
        <v>665</v>
      </c>
    </row>
    <row r="1784" spans="1:5" hidden="1" x14ac:dyDescent="0.3">
      <c r="A1784" t="s">
        <v>552</v>
      </c>
      <c r="B1784" t="s">
        <v>664</v>
      </c>
      <c r="C1784" t="s">
        <v>264</v>
      </c>
      <c r="D1784" s="226">
        <v>-20125.8</v>
      </c>
      <c r="E1784" t="s">
        <v>665</v>
      </c>
    </row>
    <row r="1785" spans="1:5" hidden="1" x14ac:dyDescent="0.3">
      <c r="A1785" t="s">
        <v>552</v>
      </c>
      <c r="B1785" t="s">
        <v>664</v>
      </c>
      <c r="C1785" t="s">
        <v>265</v>
      </c>
      <c r="D1785" s="226">
        <v>-13440.72</v>
      </c>
      <c r="E1785" t="s">
        <v>665</v>
      </c>
    </row>
    <row r="1786" spans="1:5" hidden="1" x14ac:dyDescent="0.3">
      <c r="A1786" t="s">
        <v>552</v>
      </c>
      <c r="B1786" t="s">
        <v>664</v>
      </c>
      <c r="C1786" t="s">
        <v>266</v>
      </c>
      <c r="D1786" s="226">
        <v>-12691.07</v>
      </c>
      <c r="E1786" t="s">
        <v>665</v>
      </c>
    </row>
    <row r="1787" spans="1:5" hidden="1" x14ac:dyDescent="0.3">
      <c r="A1787" t="s">
        <v>552</v>
      </c>
      <c r="B1787" t="s">
        <v>664</v>
      </c>
      <c r="C1787" t="s">
        <v>267</v>
      </c>
      <c r="D1787" s="226">
        <v>-23894.43</v>
      </c>
      <c r="E1787" t="s">
        <v>665</v>
      </c>
    </row>
    <row r="1788" spans="1:5" hidden="1" x14ac:dyDescent="0.3">
      <c r="A1788" t="s">
        <v>552</v>
      </c>
      <c r="B1788" t="s">
        <v>664</v>
      </c>
      <c r="C1788" t="s">
        <v>268</v>
      </c>
      <c r="D1788" s="226">
        <v>0</v>
      </c>
      <c r="E1788" t="s">
        <v>665</v>
      </c>
    </row>
    <row r="1789" spans="1:5" hidden="1" x14ac:dyDescent="0.3">
      <c r="A1789" t="s">
        <v>552</v>
      </c>
      <c r="B1789" t="s">
        <v>664</v>
      </c>
      <c r="C1789" t="s">
        <v>269</v>
      </c>
      <c r="D1789" s="226">
        <v>-600</v>
      </c>
      <c r="E1789" t="s">
        <v>665</v>
      </c>
    </row>
    <row r="1790" spans="1:5" hidden="1" x14ac:dyDescent="0.3">
      <c r="A1790" t="s">
        <v>552</v>
      </c>
      <c r="B1790" t="s">
        <v>664</v>
      </c>
      <c r="C1790" t="s">
        <v>270</v>
      </c>
      <c r="D1790" s="226">
        <v>-3272.46</v>
      </c>
      <c r="E1790" t="s">
        <v>665</v>
      </c>
    </row>
    <row r="1791" spans="1:5" hidden="1" x14ac:dyDescent="0.3">
      <c r="A1791" t="s">
        <v>552</v>
      </c>
      <c r="B1791" t="s">
        <v>664</v>
      </c>
      <c r="C1791" t="s">
        <v>271</v>
      </c>
      <c r="D1791" s="226">
        <v>-3409.7</v>
      </c>
      <c r="E1791" t="s">
        <v>665</v>
      </c>
    </row>
    <row r="1792" spans="1:5" hidden="1" x14ac:dyDescent="0.3">
      <c r="A1792" t="s">
        <v>552</v>
      </c>
      <c r="B1792" t="s">
        <v>664</v>
      </c>
      <c r="C1792" t="s">
        <v>272</v>
      </c>
      <c r="D1792" s="226">
        <v>0</v>
      </c>
      <c r="E1792" t="s">
        <v>665</v>
      </c>
    </row>
    <row r="1793" spans="1:5" hidden="1" x14ac:dyDescent="0.3">
      <c r="A1793" t="s">
        <v>552</v>
      </c>
      <c r="B1793" t="s">
        <v>664</v>
      </c>
      <c r="C1793" t="s">
        <v>273</v>
      </c>
      <c r="D1793" s="226">
        <v>0</v>
      </c>
      <c r="E1793" t="s">
        <v>665</v>
      </c>
    </row>
    <row r="1794" spans="1:5" hidden="1" x14ac:dyDescent="0.3">
      <c r="A1794" t="s">
        <v>552</v>
      </c>
      <c r="B1794" t="s">
        <v>664</v>
      </c>
      <c r="C1794" t="s">
        <v>274</v>
      </c>
      <c r="D1794" s="226">
        <v>-334.84</v>
      </c>
      <c r="E1794" t="s">
        <v>665</v>
      </c>
    </row>
    <row r="1795" spans="1:5" hidden="1" x14ac:dyDescent="0.3">
      <c r="A1795" t="s">
        <v>552</v>
      </c>
      <c r="B1795" t="s">
        <v>664</v>
      </c>
      <c r="C1795" t="s">
        <v>275</v>
      </c>
      <c r="D1795" s="226">
        <v>0</v>
      </c>
      <c r="E1795" t="s">
        <v>665</v>
      </c>
    </row>
    <row r="1796" spans="1:5" hidden="1" x14ac:dyDescent="0.3">
      <c r="A1796" t="s">
        <v>552</v>
      </c>
      <c r="B1796" t="s">
        <v>664</v>
      </c>
      <c r="C1796" t="s">
        <v>276</v>
      </c>
      <c r="D1796" s="226">
        <v>0</v>
      </c>
      <c r="E1796" t="s">
        <v>665</v>
      </c>
    </row>
    <row r="1797" spans="1:5" hidden="1" x14ac:dyDescent="0.3">
      <c r="A1797" t="s">
        <v>552</v>
      </c>
      <c r="B1797" t="s">
        <v>664</v>
      </c>
      <c r="C1797" t="s">
        <v>277</v>
      </c>
      <c r="D1797" s="226">
        <v>-5034.3500000000004</v>
      </c>
      <c r="E1797" t="s">
        <v>665</v>
      </c>
    </row>
    <row r="1798" spans="1:5" hidden="1" x14ac:dyDescent="0.3">
      <c r="A1798" t="s">
        <v>552</v>
      </c>
      <c r="B1798" t="s">
        <v>664</v>
      </c>
      <c r="C1798" t="s">
        <v>44</v>
      </c>
      <c r="D1798" s="226">
        <v>-0.06</v>
      </c>
      <c r="E1798" t="s">
        <v>665</v>
      </c>
    </row>
    <row r="1799" spans="1:5" hidden="1" x14ac:dyDescent="0.3">
      <c r="A1799" t="s">
        <v>552</v>
      </c>
      <c r="B1799" t="s">
        <v>664</v>
      </c>
      <c r="C1799" t="s">
        <v>278</v>
      </c>
      <c r="D1799" s="226">
        <v>-8280.19</v>
      </c>
      <c r="E1799" t="s">
        <v>665</v>
      </c>
    </row>
    <row r="1800" spans="1:5" hidden="1" x14ac:dyDescent="0.3">
      <c r="A1800" t="s">
        <v>552</v>
      </c>
      <c r="B1800" t="s">
        <v>664</v>
      </c>
      <c r="C1800" t="s">
        <v>279</v>
      </c>
      <c r="D1800" s="226">
        <v>0</v>
      </c>
      <c r="E1800" t="s">
        <v>665</v>
      </c>
    </row>
    <row r="1801" spans="1:5" hidden="1" x14ac:dyDescent="0.3">
      <c r="A1801" t="s">
        <v>552</v>
      </c>
      <c r="B1801" t="s">
        <v>664</v>
      </c>
      <c r="C1801" t="s">
        <v>280</v>
      </c>
      <c r="D1801" s="226">
        <v>-2108.54</v>
      </c>
      <c r="E1801" t="s">
        <v>665</v>
      </c>
    </row>
    <row r="1802" spans="1:5" hidden="1" x14ac:dyDescent="0.3">
      <c r="A1802" t="s">
        <v>552</v>
      </c>
      <c r="B1802" t="s">
        <v>664</v>
      </c>
      <c r="C1802" t="s">
        <v>281</v>
      </c>
      <c r="D1802" s="226">
        <v>0</v>
      </c>
      <c r="E1802" t="s">
        <v>665</v>
      </c>
    </row>
    <row r="1803" spans="1:5" hidden="1" x14ac:dyDescent="0.3">
      <c r="A1803" t="s">
        <v>552</v>
      </c>
      <c r="B1803" t="s">
        <v>664</v>
      </c>
      <c r="C1803" t="s">
        <v>282</v>
      </c>
      <c r="D1803" s="226">
        <v>-815</v>
      </c>
      <c r="E1803" t="s">
        <v>665</v>
      </c>
    </row>
    <row r="1804" spans="1:5" hidden="1" x14ac:dyDescent="0.3">
      <c r="A1804" t="s">
        <v>552</v>
      </c>
      <c r="B1804" t="s">
        <v>664</v>
      </c>
      <c r="C1804" t="s">
        <v>283</v>
      </c>
      <c r="D1804" s="226">
        <v>-5356.65</v>
      </c>
      <c r="E1804" t="s">
        <v>665</v>
      </c>
    </row>
    <row r="1805" spans="1:5" hidden="1" x14ac:dyDescent="0.3">
      <c r="A1805" t="s">
        <v>552</v>
      </c>
      <c r="B1805" t="s">
        <v>664</v>
      </c>
      <c r="C1805" t="s">
        <v>284</v>
      </c>
      <c r="D1805" s="226">
        <v>0</v>
      </c>
      <c r="E1805" t="s">
        <v>665</v>
      </c>
    </row>
    <row r="1806" spans="1:5" hidden="1" x14ac:dyDescent="0.3">
      <c r="A1806" t="s">
        <v>552</v>
      </c>
      <c r="B1806" t="s">
        <v>664</v>
      </c>
      <c r="C1806" t="s">
        <v>285</v>
      </c>
      <c r="D1806" s="226">
        <v>0</v>
      </c>
      <c r="E1806" t="s">
        <v>665</v>
      </c>
    </row>
    <row r="1807" spans="1:5" hidden="1" x14ac:dyDescent="0.3">
      <c r="A1807" t="s">
        <v>552</v>
      </c>
      <c r="B1807" t="s">
        <v>664</v>
      </c>
      <c r="C1807" t="s">
        <v>44</v>
      </c>
      <c r="D1807" s="226">
        <v>-0.01</v>
      </c>
      <c r="E1807" t="s">
        <v>665</v>
      </c>
    </row>
    <row r="1808" spans="1:5" hidden="1" x14ac:dyDescent="0.3">
      <c r="A1808" t="s">
        <v>552</v>
      </c>
      <c r="B1808" t="s">
        <v>664</v>
      </c>
      <c r="C1808" t="s">
        <v>286</v>
      </c>
      <c r="D1808" s="226">
        <v>-8800.4699999999993</v>
      </c>
      <c r="E1808" t="s">
        <v>665</v>
      </c>
    </row>
    <row r="1809" spans="1:5" hidden="1" x14ac:dyDescent="0.3">
      <c r="A1809" t="s">
        <v>552</v>
      </c>
      <c r="B1809" t="s">
        <v>664</v>
      </c>
      <c r="C1809" t="s">
        <v>287</v>
      </c>
      <c r="D1809" s="226">
        <v>-8440.17</v>
      </c>
      <c r="E1809" t="s">
        <v>665</v>
      </c>
    </row>
    <row r="1810" spans="1:5" hidden="1" x14ac:dyDescent="0.3">
      <c r="A1810" t="s">
        <v>552</v>
      </c>
      <c r="B1810" t="s">
        <v>664</v>
      </c>
      <c r="C1810" t="s">
        <v>288</v>
      </c>
      <c r="D1810" s="226">
        <v>0</v>
      </c>
      <c r="E1810" t="s">
        <v>665</v>
      </c>
    </row>
    <row r="1811" spans="1:5" hidden="1" x14ac:dyDescent="0.3">
      <c r="A1811" t="s">
        <v>552</v>
      </c>
      <c r="B1811" t="s">
        <v>664</v>
      </c>
      <c r="C1811" t="s">
        <v>289</v>
      </c>
      <c r="D1811" s="226">
        <v>0</v>
      </c>
      <c r="E1811" t="s">
        <v>665</v>
      </c>
    </row>
    <row r="1812" spans="1:5" hidden="1" x14ac:dyDescent="0.3">
      <c r="A1812" t="s">
        <v>552</v>
      </c>
      <c r="B1812" t="s">
        <v>664</v>
      </c>
      <c r="C1812" t="s">
        <v>290</v>
      </c>
      <c r="D1812" s="226">
        <v>0</v>
      </c>
      <c r="E1812" t="s">
        <v>665</v>
      </c>
    </row>
    <row r="1813" spans="1:5" hidden="1" x14ac:dyDescent="0.3">
      <c r="A1813" t="s">
        <v>552</v>
      </c>
      <c r="B1813" t="s">
        <v>664</v>
      </c>
      <c r="C1813" t="s">
        <v>291</v>
      </c>
      <c r="D1813" s="226">
        <v>0</v>
      </c>
      <c r="E1813" t="s">
        <v>665</v>
      </c>
    </row>
    <row r="1814" spans="1:5" hidden="1" x14ac:dyDescent="0.3">
      <c r="A1814" t="s">
        <v>552</v>
      </c>
      <c r="B1814" t="s">
        <v>664</v>
      </c>
      <c r="C1814" t="s">
        <v>292</v>
      </c>
      <c r="D1814" s="226">
        <v>-268.27</v>
      </c>
      <c r="E1814" t="s">
        <v>665</v>
      </c>
    </row>
    <row r="1815" spans="1:5" hidden="1" x14ac:dyDescent="0.3">
      <c r="A1815" t="s">
        <v>552</v>
      </c>
      <c r="B1815" t="s">
        <v>664</v>
      </c>
      <c r="C1815" t="s">
        <v>293</v>
      </c>
      <c r="D1815" s="226">
        <v>-92.03</v>
      </c>
      <c r="E1815" t="s">
        <v>665</v>
      </c>
    </row>
    <row r="1816" spans="1:5" hidden="1" x14ac:dyDescent="0.3">
      <c r="A1816" t="s">
        <v>552</v>
      </c>
      <c r="B1816" t="s">
        <v>664</v>
      </c>
      <c r="C1816" t="s">
        <v>294</v>
      </c>
      <c r="D1816" s="226">
        <v>0</v>
      </c>
      <c r="E1816" t="s">
        <v>665</v>
      </c>
    </row>
    <row r="1817" spans="1:5" hidden="1" x14ac:dyDescent="0.3">
      <c r="A1817" t="s">
        <v>552</v>
      </c>
      <c r="B1817" t="s">
        <v>664</v>
      </c>
      <c r="C1817" t="s">
        <v>44</v>
      </c>
      <c r="D1817" s="226">
        <v>-0.01</v>
      </c>
      <c r="E1817" t="s">
        <v>665</v>
      </c>
    </row>
    <row r="1818" spans="1:5" hidden="1" x14ac:dyDescent="0.3">
      <c r="A1818" t="s">
        <v>552</v>
      </c>
      <c r="B1818" t="s">
        <v>664</v>
      </c>
      <c r="C1818" t="s">
        <v>295</v>
      </c>
      <c r="D1818" s="226">
        <v>-16970</v>
      </c>
      <c r="E1818" t="s">
        <v>665</v>
      </c>
    </row>
    <row r="1819" spans="1:5" hidden="1" x14ac:dyDescent="0.3">
      <c r="A1819" t="s">
        <v>552</v>
      </c>
      <c r="B1819" t="s">
        <v>664</v>
      </c>
      <c r="C1819" t="s">
        <v>296</v>
      </c>
      <c r="D1819" s="226">
        <v>-12750</v>
      </c>
      <c r="E1819" t="s">
        <v>665</v>
      </c>
    </row>
    <row r="1820" spans="1:5" hidden="1" x14ac:dyDescent="0.3">
      <c r="A1820" t="s">
        <v>552</v>
      </c>
      <c r="B1820" t="s">
        <v>664</v>
      </c>
      <c r="C1820" t="s">
        <v>297</v>
      </c>
      <c r="D1820" s="226">
        <v>-460</v>
      </c>
      <c r="E1820" t="s">
        <v>665</v>
      </c>
    </row>
    <row r="1821" spans="1:5" hidden="1" x14ac:dyDescent="0.3">
      <c r="A1821" t="s">
        <v>552</v>
      </c>
      <c r="B1821" t="s">
        <v>664</v>
      </c>
      <c r="C1821" t="s">
        <v>298</v>
      </c>
      <c r="D1821" s="226">
        <v>0</v>
      </c>
      <c r="E1821" t="s">
        <v>665</v>
      </c>
    </row>
    <row r="1822" spans="1:5" hidden="1" x14ac:dyDescent="0.3">
      <c r="A1822" t="s">
        <v>552</v>
      </c>
      <c r="B1822" t="s">
        <v>664</v>
      </c>
      <c r="C1822" t="s">
        <v>299</v>
      </c>
      <c r="D1822" s="226">
        <v>0</v>
      </c>
      <c r="E1822" t="s">
        <v>665</v>
      </c>
    </row>
    <row r="1823" spans="1:5" hidden="1" x14ac:dyDescent="0.3">
      <c r="A1823" t="s">
        <v>552</v>
      </c>
      <c r="B1823" t="s">
        <v>664</v>
      </c>
      <c r="C1823" t="s">
        <v>300</v>
      </c>
      <c r="D1823" s="226">
        <v>0</v>
      </c>
      <c r="E1823" t="s">
        <v>665</v>
      </c>
    </row>
    <row r="1824" spans="1:5" hidden="1" x14ac:dyDescent="0.3">
      <c r="A1824" t="s">
        <v>552</v>
      </c>
      <c r="B1824" t="s">
        <v>664</v>
      </c>
      <c r="C1824" t="s">
        <v>301</v>
      </c>
      <c r="D1824" s="226">
        <v>0</v>
      </c>
      <c r="E1824" t="s">
        <v>665</v>
      </c>
    </row>
    <row r="1825" spans="1:5" hidden="1" x14ac:dyDescent="0.3">
      <c r="A1825" t="s">
        <v>552</v>
      </c>
      <c r="B1825" t="s">
        <v>664</v>
      </c>
      <c r="C1825" t="s">
        <v>302</v>
      </c>
      <c r="D1825" s="226">
        <v>0</v>
      </c>
      <c r="E1825" t="s">
        <v>665</v>
      </c>
    </row>
    <row r="1826" spans="1:5" hidden="1" x14ac:dyDescent="0.3">
      <c r="A1826" t="s">
        <v>552</v>
      </c>
      <c r="B1826" t="s">
        <v>664</v>
      </c>
      <c r="C1826" t="s">
        <v>303</v>
      </c>
      <c r="D1826" s="226">
        <v>0</v>
      </c>
      <c r="E1826" t="s">
        <v>665</v>
      </c>
    </row>
    <row r="1827" spans="1:5" hidden="1" x14ac:dyDescent="0.3">
      <c r="A1827" t="s">
        <v>552</v>
      </c>
      <c r="B1827" t="s">
        <v>664</v>
      </c>
      <c r="C1827" t="s">
        <v>304</v>
      </c>
      <c r="D1827" s="226">
        <v>-3200</v>
      </c>
      <c r="E1827" t="s">
        <v>665</v>
      </c>
    </row>
    <row r="1828" spans="1:5" hidden="1" x14ac:dyDescent="0.3">
      <c r="A1828" t="s">
        <v>552</v>
      </c>
      <c r="B1828" t="s">
        <v>664</v>
      </c>
      <c r="C1828" t="s">
        <v>305</v>
      </c>
      <c r="D1828" s="226">
        <v>0</v>
      </c>
      <c r="E1828" t="s">
        <v>665</v>
      </c>
    </row>
    <row r="1829" spans="1:5" hidden="1" x14ac:dyDescent="0.3">
      <c r="A1829" t="s">
        <v>552</v>
      </c>
      <c r="B1829" t="s">
        <v>664</v>
      </c>
      <c r="C1829" t="s">
        <v>306</v>
      </c>
      <c r="D1829" s="226">
        <v>-560</v>
      </c>
      <c r="E1829" t="s">
        <v>665</v>
      </c>
    </row>
    <row r="1830" spans="1:5" hidden="1" x14ac:dyDescent="0.3">
      <c r="A1830" t="s">
        <v>552</v>
      </c>
      <c r="B1830" t="s">
        <v>664</v>
      </c>
      <c r="C1830" t="s">
        <v>44</v>
      </c>
      <c r="D1830" s="226">
        <v>-0.01</v>
      </c>
      <c r="E1830" t="s">
        <v>665</v>
      </c>
    </row>
    <row r="1831" spans="1:5" hidden="1" x14ac:dyDescent="0.3">
      <c r="A1831" t="s">
        <v>552</v>
      </c>
      <c r="B1831" t="s">
        <v>664</v>
      </c>
      <c r="C1831" t="s">
        <v>307</v>
      </c>
      <c r="D1831" s="226">
        <v>-14194.27</v>
      </c>
      <c r="E1831" t="s">
        <v>665</v>
      </c>
    </row>
    <row r="1832" spans="1:5" hidden="1" x14ac:dyDescent="0.3">
      <c r="A1832" t="s">
        <v>552</v>
      </c>
      <c r="B1832" t="s">
        <v>664</v>
      </c>
      <c r="C1832" t="s">
        <v>308</v>
      </c>
      <c r="D1832" s="226">
        <v>-1250</v>
      </c>
      <c r="E1832" t="s">
        <v>665</v>
      </c>
    </row>
    <row r="1833" spans="1:5" hidden="1" x14ac:dyDescent="0.3">
      <c r="A1833" t="s">
        <v>552</v>
      </c>
      <c r="B1833" t="s">
        <v>664</v>
      </c>
      <c r="C1833" t="s">
        <v>309</v>
      </c>
      <c r="D1833" s="226">
        <v>0</v>
      </c>
      <c r="E1833" t="s">
        <v>665</v>
      </c>
    </row>
    <row r="1834" spans="1:5" hidden="1" x14ac:dyDescent="0.3">
      <c r="A1834" t="s">
        <v>552</v>
      </c>
      <c r="B1834" t="s">
        <v>664</v>
      </c>
      <c r="C1834" t="s">
        <v>310</v>
      </c>
      <c r="D1834" s="226">
        <v>-1734.27</v>
      </c>
      <c r="E1834" t="s">
        <v>665</v>
      </c>
    </row>
    <row r="1835" spans="1:5" hidden="1" x14ac:dyDescent="0.3">
      <c r="A1835" t="s">
        <v>552</v>
      </c>
      <c r="B1835" t="s">
        <v>664</v>
      </c>
      <c r="C1835" t="s">
        <v>311</v>
      </c>
      <c r="D1835" s="226">
        <v>0</v>
      </c>
      <c r="E1835" t="s">
        <v>665</v>
      </c>
    </row>
    <row r="1836" spans="1:5" hidden="1" x14ac:dyDescent="0.3">
      <c r="A1836" t="s">
        <v>552</v>
      </c>
      <c r="B1836" t="s">
        <v>664</v>
      </c>
      <c r="C1836" t="s">
        <v>312</v>
      </c>
      <c r="D1836" s="226">
        <v>0</v>
      </c>
      <c r="E1836" t="s">
        <v>665</v>
      </c>
    </row>
    <row r="1837" spans="1:5" hidden="1" x14ac:dyDescent="0.3">
      <c r="A1837" t="s">
        <v>552</v>
      </c>
      <c r="B1837" t="s">
        <v>664</v>
      </c>
      <c r="C1837" t="s">
        <v>313</v>
      </c>
      <c r="D1837" s="226">
        <v>0</v>
      </c>
      <c r="E1837" t="s">
        <v>665</v>
      </c>
    </row>
    <row r="1838" spans="1:5" hidden="1" x14ac:dyDescent="0.3">
      <c r="A1838" t="s">
        <v>552</v>
      </c>
      <c r="B1838" t="s">
        <v>664</v>
      </c>
      <c r="C1838" t="s">
        <v>314</v>
      </c>
      <c r="D1838" s="226">
        <v>0</v>
      </c>
      <c r="E1838" t="s">
        <v>665</v>
      </c>
    </row>
    <row r="1839" spans="1:5" hidden="1" x14ac:dyDescent="0.3">
      <c r="A1839" t="s">
        <v>552</v>
      </c>
      <c r="B1839" t="s">
        <v>664</v>
      </c>
      <c r="C1839" t="s">
        <v>315</v>
      </c>
      <c r="D1839" s="226">
        <v>-11210</v>
      </c>
      <c r="E1839" t="s">
        <v>665</v>
      </c>
    </row>
    <row r="1840" spans="1:5" hidden="1" x14ac:dyDescent="0.3">
      <c r="A1840" t="s">
        <v>552</v>
      </c>
      <c r="B1840" t="s">
        <v>664</v>
      </c>
      <c r="C1840" t="s">
        <v>316</v>
      </c>
      <c r="D1840" s="226">
        <v>0</v>
      </c>
      <c r="E1840" t="s">
        <v>665</v>
      </c>
    </row>
    <row r="1841" spans="1:5" hidden="1" x14ac:dyDescent="0.3">
      <c r="A1841" t="s">
        <v>552</v>
      </c>
      <c r="B1841" t="s">
        <v>664</v>
      </c>
      <c r="C1841" t="s">
        <v>44</v>
      </c>
      <c r="D1841" s="226">
        <v>-0.01</v>
      </c>
      <c r="E1841" t="s">
        <v>665</v>
      </c>
    </row>
    <row r="1842" spans="1:5" hidden="1" x14ac:dyDescent="0.3">
      <c r="A1842" t="s">
        <v>552</v>
      </c>
      <c r="B1842" t="s">
        <v>664</v>
      </c>
      <c r="C1842" t="s">
        <v>317</v>
      </c>
      <c r="D1842" s="226">
        <v>-6494.64</v>
      </c>
      <c r="E1842" t="s">
        <v>665</v>
      </c>
    </row>
    <row r="1843" spans="1:5" hidden="1" x14ac:dyDescent="0.3">
      <c r="A1843" t="s">
        <v>552</v>
      </c>
      <c r="B1843" t="s">
        <v>664</v>
      </c>
      <c r="C1843" t="s">
        <v>318</v>
      </c>
      <c r="D1843" s="226">
        <v>-6494.64</v>
      </c>
      <c r="E1843" t="s">
        <v>665</v>
      </c>
    </row>
    <row r="1844" spans="1:5" hidden="1" x14ac:dyDescent="0.3">
      <c r="A1844" t="s">
        <v>552</v>
      </c>
      <c r="B1844" t="s">
        <v>664</v>
      </c>
      <c r="C1844" t="s">
        <v>319</v>
      </c>
      <c r="D1844" s="226">
        <v>0</v>
      </c>
      <c r="E1844" t="s">
        <v>665</v>
      </c>
    </row>
    <row r="1845" spans="1:5" hidden="1" x14ac:dyDescent="0.3">
      <c r="A1845" t="s">
        <v>552</v>
      </c>
      <c r="B1845" t="s">
        <v>664</v>
      </c>
      <c r="C1845" t="s">
        <v>320</v>
      </c>
      <c r="D1845" s="226">
        <v>0</v>
      </c>
      <c r="E1845" t="s">
        <v>665</v>
      </c>
    </row>
    <row r="1846" spans="1:5" hidden="1" x14ac:dyDescent="0.3">
      <c r="A1846" t="s">
        <v>552</v>
      </c>
      <c r="B1846" t="s">
        <v>664</v>
      </c>
      <c r="C1846" t="s">
        <v>321</v>
      </c>
      <c r="D1846" s="226">
        <v>0</v>
      </c>
      <c r="E1846" t="s">
        <v>665</v>
      </c>
    </row>
    <row r="1847" spans="1:5" hidden="1" x14ac:dyDescent="0.3">
      <c r="A1847" t="s">
        <v>552</v>
      </c>
      <c r="B1847" t="s">
        <v>664</v>
      </c>
      <c r="C1847" t="s">
        <v>44</v>
      </c>
      <c r="D1847" s="226">
        <v>0</v>
      </c>
      <c r="E1847" t="s">
        <v>665</v>
      </c>
    </row>
    <row r="1848" spans="1:5" hidden="1" x14ac:dyDescent="0.3">
      <c r="A1848" t="s">
        <v>552</v>
      </c>
      <c r="B1848" t="s">
        <v>664</v>
      </c>
      <c r="C1848" t="s">
        <v>322</v>
      </c>
      <c r="D1848" s="226">
        <v>-68869.86</v>
      </c>
      <c r="E1848" t="s">
        <v>665</v>
      </c>
    </row>
    <row r="1849" spans="1:5" hidden="1" x14ac:dyDescent="0.3">
      <c r="A1849" t="s">
        <v>552</v>
      </c>
      <c r="B1849" t="s">
        <v>664</v>
      </c>
      <c r="C1849" t="s">
        <v>323</v>
      </c>
      <c r="D1849" s="226">
        <v>0</v>
      </c>
      <c r="E1849" t="s">
        <v>665</v>
      </c>
    </row>
    <row r="1850" spans="1:5" hidden="1" x14ac:dyDescent="0.3">
      <c r="A1850" t="s">
        <v>552</v>
      </c>
      <c r="B1850" t="s">
        <v>664</v>
      </c>
      <c r="C1850" t="s">
        <v>324</v>
      </c>
      <c r="D1850" s="226">
        <v>0</v>
      </c>
      <c r="E1850" t="s">
        <v>665</v>
      </c>
    </row>
    <row r="1851" spans="1:5" hidden="1" x14ac:dyDescent="0.3">
      <c r="A1851" t="s">
        <v>552</v>
      </c>
      <c r="B1851" t="s">
        <v>664</v>
      </c>
      <c r="C1851" t="s">
        <v>325</v>
      </c>
      <c r="D1851" s="226">
        <v>-68869.86</v>
      </c>
      <c r="E1851" t="s">
        <v>665</v>
      </c>
    </row>
    <row r="1852" spans="1:5" hidden="1" x14ac:dyDescent="0.3">
      <c r="A1852" t="s">
        <v>552</v>
      </c>
      <c r="B1852" t="s">
        <v>664</v>
      </c>
      <c r="C1852" t="s">
        <v>44</v>
      </c>
      <c r="D1852" s="226">
        <v>-0.05</v>
      </c>
      <c r="E1852" t="s">
        <v>665</v>
      </c>
    </row>
    <row r="1853" spans="1:5" hidden="1" x14ac:dyDescent="0.3">
      <c r="A1853" t="s">
        <v>552</v>
      </c>
      <c r="B1853" t="s">
        <v>664</v>
      </c>
      <c r="C1853" t="s">
        <v>327</v>
      </c>
      <c r="D1853" s="226">
        <v>-509784.14</v>
      </c>
      <c r="E1853" t="s">
        <v>665</v>
      </c>
    </row>
    <row r="1854" spans="1:5" hidden="1" x14ac:dyDescent="0.3">
      <c r="A1854" t="s">
        <v>552</v>
      </c>
      <c r="B1854" t="s">
        <v>664</v>
      </c>
      <c r="C1854" t="s">
        <v>44</v>
      </c>
      <c r="D1854" s="226">
        <v>-0.37</v>
      </c>
      <c r="E1854" t="s">
        <v>665</v>
      </c>
    </row>
    <row r="1855" spans="1:5" hidden="1" x14ac:dyDescent="0.3">
      <c r="A1855" t="s">
        <v>552</v>
      </c>
      <c r="B1855" t="s">
        <v>664</v>
      </c>
      <c r="C1855" t="s">
        <v>328</v>
      </c>
      <c r="D1855" s="226">
        <v>280416.81</v>
      </c>
      <c r="E1855" t="s">
        <v>665</v>
      </c>
    </row>
    <row r="1856" spans="1:5" hidden="1" x14ac:dyDescent="0.3">
      <c r="A1856" t="s">
        <v>552</v>
      </c>
      <c r="B1856" t="s">
        <v>664</v>
      </c>
      <c r="C1856" t="s">
        <v>44</v>
      </c>
      <c r="D1856" s="226">
        <v>0.2</v>
      </c>
      <c r="E1856" t="s">
        <v>665</v>
      </c>
    </row>
    <row r="1857" spans="1:5" hidden="1" x14ac:dyDescent="0.3">
      <c r="A1857" t="s">
        <v>552</v>
      </c>
      <c r="B1857" t="s">
        <v>664</v>
      </c>
      <c r="C1857" t="s">
        <v>329</v>
      </c>
      <c r="D1857" s="226">
        <v>0</v>
      </c>
      <c r="E1857" t="s">
        <v>665</v>
      </c>
    </row>
    <row r="1858" spans="1:5" hidden="1" x14ac:dyDescent="0.3">
      <c r="A1858" t="s">
        <v>552</v>
      </c>
      <c r="B1858" t="s">
        <v>664</v>
      </c>
      <c r="C1858" t="s">
        <v>331</v>
      </c>
      <c r="D1858" s="226">
        <v>280416.81</v>
      </c>
      <c r="E1858" t="s">
        <v>665</v>
      </c>
    </row>
    <row r="1859" spans="1:5" hidden="1" x14ac:dyDescent="0.3">
      <c r="A1859" t="s">
        <v>552</v>
      </c>
      <c r="B1859" t="s">
        <v>664</v>
      </c>
      <c r="C1859" t="s">
        <v>332</v>
      </c>
      <c r="D1859" s="226">
        <v>-1404.57</v>
      </c>
      <c r="E1859" t="s">
        <v>665</v>
      </c>
    </row>
    <row r="1860" spans="1:5" hidden="1" x14ac:dyDescent="0.3">
      <c r="A1860" t="s">
        <v>552</v>
      </c>
      <c r="B1860" t="s">
        <v>664</v>
      </c>
      <c r="C1860" t="s">
        <v>333</v>
      </c>
      <c r="D1860" s="226">
        <v>5000</v>
      </c>
      <c r="E1860" t="s">
        <v>665</v>
      </c>
    </row>
    <row r="1861" spans="1:5" hidden="1" x14ac:dyDescent="0.3">
      <c r="A1861" t="s">
        <v>552</v>
      </c>
      <c r="B1861" t="s">
        <v>664</v>
      </c>
      <c r="C1861" t="s">
        <v>335</v>
      </c>
      <c r="D1861" s="226">
        <v>-8008.16</v>
      </c>
      <c r="E1861" t="s">
        <v>665</v>
      </c>
    </row>
    <row r="1862" spans="1:5" hidden="1" x14ac:dyDescent="0.3">
      <c r="A1862" t="s">
        <v>552</v>
      </c>
      <c r="B1862" t="s">
        <v>664</v>
      </c>
      <c r="C1862" t="s">
        <v>337</v>
      </c>
      <c r="D1862" s="226">
        <v>276004.08</v>
      </c>
      <c r="E1862" t="s">
        <v>665</v>
      </c>
    </row>
    <row r="1863" spans="1:5" hidden="1" x14ac:dyDescent="0.3">
      <c r="A1863" t="s">
        <v>552</v>
      </c>
      <c r="B1863" t="s">
        <v>664</v>
      </c>
      <c r="C1863" t="s">
        <v>338</v>
      </c>
      <c r="D1863" s="226">
        <v>-43758.45</v>
      </c>
      <c r="E1863" t="s">
        <v>665</v>
      </c>
    </row>
    <row r="1864" spans="1:5" hidden="1" x14ac:dyDescent="0.3">
      <c r="A1864" t="s">
        <v>552</v>
      </c>
      <c r="B1864" t="s">
        <v>664</v>
      </c>
      <c r="C1864" t="s">
        <v>341</v>
      </c>
      <c r="D1864" s="226">
        <v>-7777.82</v>
      </c>
      <c r="E1864" t="s">
        <v>665</v>
      </c>
    </row>
    <row r="1865" spans="1:5" hidden="1" x14ac:dyDescent="0.3">
      <c r="A1865" t="s">
        <v>552</v>
      </c>
      <c r="B1865" t="s">
        <v>664</v>
      </c>
      <c r="C1865" t="s">
        <v>343</v>
      </c>
      <c r="D1865" s="226">
        <v>-14440.39</v>
      </c>
      <c r="E1865" t="s">
        <v>665</v>
      </c>
    </row>
    <row r="1866" spans="1:5" hidden="1" x14ac:dyDescent="0.3">
      <c r="A1866" t="s">
        <v>552</v>
      </c>
      <c r="B1866" t="s">
        <v>664</v>
      </c>
      <c r="C1866" t="s">
        <v>344</v>
      </c>
      <c r="D1866" s="226">
        <v>-8543.9</v>
      </c>
      <c r="E1866" t="s">
        <v>665</v>
      </c>
    </row>
    <row r="1867" spans="1:5" hidden="1" x14ac:dyDescent="0.3">
      <c r="A1867" t="s">
        <v>552</v>
      </c>
      <c r="B1867" t="s">
        <v>664</v>
      </c>
      <c r="C1867" t="s">
        <v>345</v>
      </c>
      <c r="D1867" s="226">
        <v>-12996.35</v>
      </c>
      <c r="E1867" t="s">
        <v>665</v>
      </c>
    </row>
    <row r="1868" spans="1:5" hidden="1" x14ac:dyDescent="0.3">
      <c r="A1868" t="s">
        <v>552</v>
      </c>
      <c r="B1868" t="s">
        <v>664</v>
      </c>
      <c r="C1868" t="s">
        <v>346</v>
      </c>
      <c r="D1868" s="226">
        <v>232245.63</v>
      </c>
      <c r="E1868" t="s">
        <v>665</v>
      </c>
    </row>
    <row r="1869" spans="1:5" hidden="1" x14ac:dyDescent="0.3">
      <c r="A1869" t="s">
        <v>552</v>
      </c>
      <c r="B1869" t="s">
        <v>664</v>
      </c>
      <c r="C1869" t="s">
        <v>44</v>
      </c>
      <c r="D1869" s="226">
        <v>0.17</v>
      </c>
      <c r="E1869" t="s">
        <v>665</v>
      </c>
    </row>
    <row r="1870" spans="1:5" hidden="1" x14ac:dyDescent="0.3">
      <c r="A1870" t="s">
        <v>552</v>
      </c>
      <c r="B1870" t="s">
        <v>664</v>
      </c>
      <c r="C1870" t="s">
        <v>347</v>
      </c>
      <c r="D1870" s="226">
        <v>0</v>
      </c>
      <c r="E1870" t="s">
        <v>665</v>
      </c>
    </row>
    <row r="1871" spans="1:5" hidden="1" x14ac:dyDescent="0.3">
      <c r="A1871" t="s">
        <v>552</v>
      </c>
      <c r="B1871" t="s">
        <v>664</v>
      </c>
      <c r="C1871" t="s">
        <v>654</v>
      </c>
      <c r="D1871" s="226">
        <v>0</v>
      </c>
      <c r="E1871" t="s">
        <v>665</v>
      </c>
    </row>
    <row r="1872" spans="1:5" hidden="1" x14ac:dyDescent="0.3">
      <c r="A1872" t="s">
        <v>552</v>
      </c>
      <c r="B1872" t="s">
        <v>664</v>
      </c>
      <c r="C1872" t="s">
        <v>349</v>
      </c>
      <c r="D1872" s="226">
        <v>0</v>
      </c>
      <c r="E1872" t="s">
        <v>665</v>
      </c>
    </row>
    <row r="1873" spans="1:5" hidden="1" x14ac:dyDescent="0.3">
      <c r="A1873" t="s">
        <v>552</v>
      </c>
      <c r="B1873" t="s">
        <v>664</v>
      </c>
      <c r="C1873" t="s">
        <v>350</v>
      </c>
      <c r="D1873" s="226">
        <v>0</v>
      </c>
      <c r="E1873" t="s">
        <v>665</v>
      </c>
    </row>
    <row r="1874" spans="1:5" hidden="1" x14ac:dyDescent="0.3">
      <c r="A1874" t="s">
        <v>552</v>
      </c>
      <c r="B1874" t="s">
        <v>664</v>
      </c>
      <c r="C1874" t="s">
        <v>351</v>
      </c>
      <c r="D1874" s="226">
        <v>0</v>
      </c>
      <c r="E1874" t="s">
        <v>665</v>
      </c>
    </row>
    <row r="1875" spans="1:5" hidden="1" x14ac:dyDescent="0.3">
      <c r="A1875" t="s">
        <v>552</v>
      </c>
      <c r="B1875" t="s">
        <v>664</v>
      </c>
      <c r="C1875" t="s">
        <v>352</v>
      </c>
      <c r="D1875" s="226">
        <v>0</v>
      </c>
      <c r="E1875" t="s">
        <v>665</v>
      </c>
    </row>
    <row r="1876" spans="1:5" hidden="1" x14ac:dyDescent="0.3">
      <c r="A1876" t="s">
        <v>552</v>
      </c>
      <c r="B1876" t="s">
        <v>664</v>
      </c>
      <c r="C1876" t="s">
        <v>353</v>
      </c>
      <c r="D1876" s="226">
        <v>0</v>
      </c>
      <c r="E1876" t="s">
        <v>665</v>
      </c>
    </row>
    <row r="1877" spans="1:5" hidden="1" x14ac:dyDescent="0.3">
      <c r="A1877" t="s">
        <v>552</v>
      </c>
      <c r="B1877" t="s">
        <v>664</v>
      </c>
      <c r="C1877" t="s">
        <v>354</v>
      </c>
      <c r="D1877" s="226">
        <v>0</v>
      </c>
      <c r="E1877" t="s">
        <v>665</v>
      </c>
    </row>
    <row r="1878" spans="1:5" hidden="1" x14ac:dyDescent="0.3">
      <c r="A1878" t="s">
        <v>552</v>
      </c>
      <c r="B1878" t="s">
        <v>664</v>
      </c>
      <c r="C1878" t="s">
        <v>355</v>
      </c>
      <c r="D1878" s="226">
        <v>0</v>
      </c>
      <c r="E1878" t="s">
        <v>665</v>
      </c>
    </row>
    <row r="1879" spans="1:5" hidden="1" x14ac:dyDescent="0.3">
      <c r="A1879" t="s">
        <v>552</v>
      </c>
      <c r="B1879" t="s">
        <v>664</v>
      </c>
      <c r="C1879" t="s">
        <v>356</v>
      </c>
      <c r="D1879" s="226">
        <v>0</v>
      </c>
      <c r="E1879" t="s">
        <v>665</v>
      </c>
    </row>
    <row r="1880" spans="1:5" hidden="1" x14ac:dyDescent="0.3">
      <c r="A1880" t="s">
        <v>552</v>
      </c>
      <c r="B1880" t="s">
        <v>664</v>
      </c>
      <c r="C1880" t="s">
        <v>357</v>
      </c>
      <c r="D1880" s="226">
        <v>0</v>
      </c>
      <c r="E1880" t="s">
        <v>665</v>
      </c>
    </row>
    <row r="1881" spans="1:5" hidden="1" x14ac:dyDescent="0.3">
      <c r="A1881" t="s">
        <v>552</v>
      </c>
      <c r="B1881" t="s">
        <v>664</v>
      </c>
      <c r="C1881" t="s">
        <v>358</v>
      </c>
      <c r="D1881" s="226">
        <v>0</v>
      </c>
      <c r="E1881" t="s">
        <v>665</v>
      </c>
    </row>
    <row r="1882" spans="1:5" hidden="1" x14ac:dyDescent="0.3">
      <c r="A1882" t="s">
        <v>552</v>
      </c>
      <c r="B1882" t="s">
        <v>664</v>
      </c>
      <c r="C1882" t="s">
        <v>359</v>
      </c>
      <c r="D1882" s="226">
        <v>0</v>
      </c>
      <c r="E1882" t="s">
        <v>665</v>
      </c>
    </row>
    <row r="1883" spans="1:5" hidden="1" x14ac:dyDescent="0.3">
      <c r="A1883" t="s">
        <v>552</v>
      </c>
      <c r="B1883" t="s">
        <v>664</v>
      </c>
      <c r="C1883" t="s">
        <v>360</v>
      </c>
      <c r="D1883" s="226">
        <v>0</v>
      </c>
      <c r="E1883" t="s">
        <v>665</v>
      </c>
    </row>
    <row r="1884" spans="1:5" hidden="1" x14ac:dyDescent="0.3">
      <c r="A1884" t="s">
        <v>552</v>
      </c>
      <c r="B1884" t="s">
        <v>664</v>
      </c>
      <c r="C1884" t="s">
        <v>361</v>
      </c>
      <c r="D1884" s="226">
        <v>0</v>
      </c>
      <c r="E1884" t="s">
        <v>665</v>
      </c>
    </row>
    <row r="1885" spans="1:5" hidden="1" x14ac:dyDescent="0.3">
      <c r="A1885" t="s">
        <v>552</v>
      </c>
      <c r="B1885" t="s">
        <v>664</v>
      </c>
      <c r="C1885" t="s">
        <v>362</v>
      </c>
      <c r="D1885" s="226">
        <v>0</v>
      </c>
      <c r="E1885" t="s">
        <v>665</v>
      </c>
    </row>
    <row r="1886" spans="1:5" hidden="1" x14ac:dyDescent="0.3">
      <c r="A1886" t="s">
        <v>552</v>
      </c>
      <c r="B1886" t="s">
        <v>664</v>
      </c>
      <c r="C1886" t="s">
        <v>363</v>
      </c>
      <c r="D1886" s="226">
        <v>0</v>
      </c>
      <c r="E1886" t="s">
        <v>665</v>
      </c>
    </row>
    <row r="1887" spans="1:5" hidden="1" x14ac:dyDescent="0.3">
      <c r="A1887" t="s">
        <v>552</v>
      </c>
      <c r="B1887" t="s">
        <v>664</v>
      </c>
      <c r="C1887" t="s">
        <v>364</v>
      </c>
      <c r="D1887" s="226">
        <v>0</v>
      </c>
      <c r="E1887" t="s">
        <v>665</v>
      </c>
    </row>
    <row r="1888" spans="1:5" hidden="1" x14ac:dyDescent="0.3">
      <c r="A1888" t="s">
        <v>552</v>
      </c>
      <c r="B1888" t="s">
        <v>664</v>
      </c>
      <c r="C1888" t="s">
        <v>365</v>
      </c>
      <c r="D1888" s="226">
        <v>0</v>
      </c>
      <c r="E1888" t="s">
        <v>665</v>
      </c>
    </row>
    <row r="1889" spans="1:5" hidden="1" x14ac:dyDescent="0.3">
      <c r="A1889" t="s">
        <v>552</v>
      </c>
      <c r="B1889" t="s">
        <v>664</v>
      </c>
      <c r="C1889" t="s">
        <v>366</v>
      </c>
      <c r="D1889" s="226">
        <v>0</v>
      </c>
      <c r="E1889" t="s">
        <v>665</v>
      </c>
    </row>
    <row r="1890" spans="1:5" hidden="1" x14ac:dyDescent="0.3">
      <c r="A1890" t="s">
        <v>552</v>
      </c>
      <c r="B1890" t="s">
        <v>664</v>
      </c>
      <c r="C1890" t="s">
        <v>367</v>
      </c>
      <c r="D1890" s="226">
        <v>0</v>
      </c>
      <c r="E1890" t="s">
        <v>665</v>
      </c>
    </row>
    <row r="1891" spans="1:5" hidden="1" x14ac:dyDescent="0.3">
      <c r="A1891" t="s">
        <v>552</v>
      </c>
      <c r="B1891" t="s">
        <v>664</v>
      </c>
      <c r="C1891" t="s">
        <v>368</v>
      </c>
      <c r="D1891" s="226">
        <v>0</v>
      </c>
      <c r="E1891" t="s">
        <v>665</v>
      </c>
    </row>
    <row r="1892" spans="1:5" hidden="1" x14ac:dyDescent="0.3">
      <c r="A1892" t="s">
        <v>552</v>
      </c>
      <c r="B1892" t="s">
        <v>664</v>
      </c>
      <c r="C1892" t="s">
        <v>369</v>
      </c>
      <c r="D1892" s="226">
        <v>0</v>
      </c>
      <c r="E1892" t="s">
        <v>665</v>
      </c>
    </row>
    <row r="1893" spans="1:5" hidden="1" x14ac:dyDescent="0.3">
      <c r="A1893" t="s">
        <v>552</v>
      </c>
      <c r="B1893" t="s">
        <v>664</v>
      </c>
      <c r="C1893" t="s">
        <v>370</v>
      </c>
      <c r="D1893" s="226">
        <v>0</v>
      </c>
      <c r="E1893" t="s">
        <v>665</v>
      </c>
    </row>
    <row r="1894" spans="1:5" hidden="1" x14ac:dyDescent="0.3">
      <c r="A1894" t="s">
        <v>552</v>
      </c>
      <c r="B1894" t="s">
        <v>664</v>
      </c>
      <c r="C1894" t="s">
        <v>371</v>
      </c>
      <c r="D1894" s="226">
        <v>0</v>
      </c>
      <c r="E1894" t="s">
        <v>665</v>
      </c>
    </row>
    <row r="1895" spans="1:5" hidden="1" x14ac:dyDescent="0.3">
      <c r="A1895" t="s">
        <v>552</v>
      </c>
      <c r="B1895" t="s">
        <v>664</v>
      </c>
      <c r="C1895" t="s">
        <v>372</v>
      </c>
      <c r="D1895" s="226">
        <v>0</v>
      </c>
      <c r="E1895" t="s">
        <v>665</v>
      </c>
    </row>
    <row r="1896" spans="1:5" hidden="1" x14ac:dyDescent="0.3">
      <c r="A1896" t="s">
        <v>552</v>
      </c>
      <c r="B1896" t="s">
        <v>664</v>
      </c>
      <c r="C1896" t="s">
        <v>373</v>
      </c>
      <c r="D1896" s="226">
        <v>232245.63</v>
      </c>
      <c r="E1896" t="s">
        <v>665</v>
      </c>
    </row>
    <row r="1897" spans="1:5" hidden="1" x14ac:dyDescent="0.3">
      <c r="A1897" t="s">
        <v>552</v>
      </c>
      <c r="B1897" t="s">
        <v>664</v>
      </c>
      <c r="C1897" t="s">
        <v>655</v>
      </c>
      <c r="D1897" s="226">
        <v>0</v>
      </c>
      <c r="E1897" t="s">
        <v>665</v>
      </c>
    </row>
    <row r="1898" spans="1:5" hidden="1" x14ac:dyDescent="0.3">
      <c r="A1898" t="s">
        <v>552</v>
      </c>
      <c r="B1898" t="s">
        <v>666</v>
      </c>
      <c r="C1898" t="s">
        <v>11</v>
      </c>
      <c r="D1898" s="226">
        <v>1292379.8</v>
      </c>
      <c r="E1898" t="s">
        <v>667</v>
      </c>
    </row>
    <row r="1899" spans="1:5" hidden="1" x14ac:dyDescent="0.3">
      <c r="A1899" t="s">
        <v>552</v>
      </c>
      <c r="B1899" t="s">
        <v>666</v>
      </c>
      <c r="C1899" t="s">
        <v>13</v>
      </c>
      <c r="D1899" s="226">
        <v>612152</v>
      </c>
      <c r="E1899" t="s">
        <v>667</v>
      </c>
    </row>
    <row r="1900" spans="1:5" hidden="1" x14ac:dyDescent="0.3">
      <c r="A1900" t="s">
        <v>552</v>
      </c>
      <c r="B1900" t="s">
        <v>666</v>
      </c>
      <c r="C1900" t="s">
        <v>16</v>
      </c>
      <c r="D1900" s="226">
        <v>477495.1</v>
      </c>
      <c r="E1900" t="s">
        <v>667</v>
      </c>
    </row>
    <row r="1901" spans="1:5" hidden="1" x14ac:dyDescent="0.3">
      <c r="A1901" t="s">
        <v>552</v>
      </c>
      <c r="B1901" t="s">
        <v>666</v>
      </c>
      <c r="C1901" t="s">
        <v>17</v>
      </c>
      <c r="D1901" s="226">
        <v>530</v>
      </c>
      <c r="E1901" t="s">
        <v>667</v>
      </c>
    </row>
    <row r="1902" spans="1:5" hidden="1" x14ac:dyDescent="0.3">
      <c r="A1902" t="s">
        <v>552</v>
      </c>
      <c r="B1902" t="s">
        <v>666</v>
      </c>
      <c r="C1902" t="s">
        <v>18</v>
      </c>
      <c r="D1902" s="226">
        <v>810</v>
      </c>
      <c r="E1902" t="s">
        <v>667</v>
      </c>
    </row>
    <row r="1903" spans="1:5" hidden="1" x14ac:dyDescent="0.3">
      <c r="A1903" t="s">
        <v>552</v>
      </c>
      <c r="B1903" t="s">
        <v>666</v>
      </c>
      <c r="C1903" t="s">
        <v>20</v>
      </c>
      <c r="D1903" s="226">
        <v>174621.7</v>
      </c>
      <c r="E1903" t="s">
        <v>667</v>
      </c>
    </row>
    <row r="1904" spans="1:5" hidden="1" x14ac:dyDescent="0.3">
      <c r="A1904" t="s">
        <v>552</v>
      </c>
      <c r="B1904" t="s">
        <v>666</v>
      </c>
      <c r="C1904" t="s">
        <v>23</v>
      </c>
      <c r="D1904" s="226">
        <v>0</v>
      </c>
      <c r="E1904" t="s">
        <v>667</v>
      </c>
    </row>
    <row r="1905" spans="1:5" hidden="1" x14ac:dyDescent="0.3">
      <c r="A1905" t="s">
        <v>552</v>
      </c>
      <c r="B1905" t="s">
        <v>666</v>
      </c>
      <c r="C1905" t="s">
        <v>25</v>
      </c>
      <c r="D1905" s="226">
        <v>0</v>
      </c>
      <c r="E1905" t="s">
        <v>667</v>
      </c>
    </row>
    <row r="1906" spans="1:5" hidden="1" x14ac:dyDescent="0.3">
      <c r="A1906" t="s">
        <v>552</v>
      </c>
      <c r="B1906" t="s">
        <v>666</v>
      </c>
      <c r="C1906" t="s">
        <v>26</v>
      </c>
      <c r="D1906" s="226">
        <v>4000</v>
      </c>
      <c r="E1906" t="s">
        <v>667</v>
      </c>
    </row>
    <row r="1907" spans="1:5" hidden="1" x14ac:dyDescent="0.3">
      <c r="A1907" t="s">
        <v>552</v>
      </c>
      <c r="B1907" t="s">
        <v>666</v>
      </c>
      <c r="C1907" t="s">
        <v>27</v>
      </c>
      <c r="D1907" s="226">
        <v>0</v>
      </c>
      <c r="E1907" t="s">
        <v>667</v>
      </c>
    </row>
    <row r="1908" spans="1:5" hidden="1" x14ac:dyDescent="0.3">
      <c r="A1908" t="s">
        <v>552</v>
      </c>
      <c r="B1908" t="s">
        <v>666</v>
      </c>
      <c r="C1908" t="s">
        <v>29</v>
      </c>
      <c r="D1908" s="226">
        <v>22771</v>
      </c>
      <c r="E1908" t="s">
        <v>667</v>
      </c>
    </row>
    <row r="1909" spans="1:5" hidden="1" x14ac:dyDescent="0.3">
      <c r="A1909" t="s">
        <v>552</v>
      </c>
      <c r="B1909" t="s">
        <v>666</v>
      </c>
      <c r="C1909" t="s">
        <v>31</v>
      </c>
      <c r="D1909" s="226">
        <v>0</v>
      </c>
      <c r="E1909" t="s">
        <v>667</v>
      </c>
    </row>
    <row r="1910" spans="1:5" hidden="1" x14ac:dyDescent="0.3">
      <c r="A1910" t="s">
        <v>552</v>
      </c>
      <c r="B1910" t="s">
        <v>666</v>
      </c>
      <c r="C1910" t="s">
        <v>34</v>
      </c>
      <c r="D1910" s="226">
        <v>-21660.32</v>
      </c>
      <c r="E1910" t="s">
        <v>667</v>
      </c>
    </row>
    <row r="1911" spans="1:5" hidden="1" x14ac:dyDescent="0.3">
      <c r="A1911" t="s">
        <v>552</v>
      </c>
      <c r="B1911" t="s">
        <v>666</v>
      </c>
      <c r="C1911" t="s">
        <v>38</v>
      </c>
      <c r="D1911" s="226">
        <v>-21660.32</v>
      </c>
      <c r="E1911" t="s">
        <v>667</v>
      </c>
    </row>
    <row r="1912" spans="1:5" hidden="1" x14ac:dyDescent="0.3">
      <c r="A1912" t="s">
        <v>552</v>
      </c>
      <c r="B1912" t="s">
        <v>666</v>
      </c>
      <c r="C1912" t="s">
        <v>40</v>
      </c>
      <c r="D1912" s="226">
        <v>0</v>
      </c>
      <c r="E1912" t="s">
        <v>667</v>
      </c>
    </row>
    <row r="1913" spans="1:5" hidden="1" x14ac:dyDescent="0.3">
      <c r="A1913" t="s">
        <v>552</v>
      </c>
      <c r="B1913" t="s">
        <v>666</v>
      </c>
      <c r="C1913" t="s">
        <v>42</v>
      </c>
      <c r="D1913" s="226">
        <v>0</v>
      </c>
      <c r="E1913" t="s">
        <v>667</v>
      </c>
    </row>
    <row r="1914" spans="1:5" hidden="1" x14ac:dyDescent="0.3">
      <c r="A1914" t="s">
        <v>552</v>
      </c>
      <c r="B1914" t="s">
        <v>666</v>
      </c>
      <c r="C1914" t="s">
        <v>44</v>
      </c>
      <c r="D1914" s="226">
        <v>-0.02</v>
      </c>
      <c r="E1914" t="s">
        <v>667</v>
      </c>
    </row>
    <row r="1915" spans="1:5" hidden="1" x14ac:dyDescent="0.3">
      <c r="A1915" t="s">
        <v>552</v>
      </c>
      <c r="B1915" t="s">
        <v>666</v>
      </c>
      <c r="C1915" t="s">
        <v>45</v>
      </c>
      <c r="D1915" s="226">
        <v>-75109.2</v>
      </c>
      <c r="E1915" t="s">
        <v>667</v>
      </c>
    </row>
    <row r="1916" spans="1:5" hidden="1" x14ac:dyDescent="0.3">
      <c r="A1916" t="s">
        <v>552</v>
      </c>
      <c r="B1916" t="s">
        <v>666</v>
      </c>
      <c r="C1916" t="s">
        <v>46</v>
      </c>
      <c r="D1916" s="226">
        <v>-40007.57</v>
      </c>
      <c r="E1916" t="s">
        <v>667</v>
      </c>
    </row>
    <row r="1917" spans="1:5" hidden="1" x14ac:dyDescent="0.3">
      <c r="A1917" t="s">
        <v>552</v>
      </c>
      <c r="B1917" t="s">
        <v>666</v>
      </c>
      <c r="C1917" t="s">
        <v>48</v>
      </c>
      <c r="D1917" s="226">
        <v>-35075.129999999997</v>
      </c>
      <c r="E1917" t="s">
        <v>667</v>
      </c>
    </row>
    <row r="1918" spans="1:5" hidden="1" x14ac:dyDescent="0.3">
      <c r="A1918" t="s">
        <v>552</v>
      </c>
      <c r="B1918" t="s">
        <v>666</v>
      </c>
      <c r="C1918" t="s">
        <v>49</v>
      </c>
      <c r="D1918" s="226">
        <v>-26.5</v>
      </c>
      <c r="E1918" t="s">
        <v>667</v>
      </c>
    </row>
    <row r="1919" spans="1:5" hidden="1" x14ac:dyDescent="0.3">
      <c r="A1919" t="s">
        <v>552</v>
      </c>
      <c r="B1919" t="s">
        <v>666</v>
      </c>
      <c r="C1919" t="s">
        <v>50</v>
      </c>
      <c r="D1919" s="226">
        <v>1195610.28</v>
      </c>
      <c r="E1919" t="s">
        <v>667</v>
      </c>
    </row>
    <row r="1920" spans="1:5" hidden="1" x14ac:dyDescent="0.3">
      <c r="A1920" t="s">
        <v>552</v>
      </c>
      <c r="B1920" t="s">
        <v>666</v>
      </c>
      <c r="C1920" t="s">
        <v>51</v>
      </c>
      <c r="D1920" s="226">
        <v>-333078.45</v>
      </c>
      <c r="E1920" t="s">
        <v>667</v>
      </c>
    </row>
    <row r="1921" spans="1:5" hidden="1" x14ac:dyDescent="0.3">
      <c r="A1921" t="s">
        <v>552</v>
      </c>
      <c r="B1921" t="s">
        <v>666</v>
      </c>
      <c r="C1921" t="s">
        <v>52</v>
      </c>
      <c r="D1921" s="226">
        <v>-211273.15</v>
      </c>
      <c r="E1921" t="s">
        <v>667</v>
      </c>
    </row>
    <row r="1922" spans="1:5" hidden="1" x14ac:dyDescent="0.3">
      <c r="A1922" t="s">
        <v>552</v>
      </c>
      <c r="B1922" t="s">
        <v>666</v>
      </c>
      <c r="C1922" t="s">
        <v>53</v>
      </c>
      <c r="D1922" s="226">
        <v>-119884.04</v>
      </c>
      <c r="E1922" t="s">
        <v>667</v>
      </c>
    </row>
    <row r="1923" spans="1:5" hidden="1" x14ac:dyDescent="0.3">
      <c r="A1923" t="s">
        <v>552</v>
      </c>
      <c r="B1923" t="s">
        <v>666</v>
      </c>
      <c r="C1923" t="s">
        <v>54</v>
      </c>
      <c r="D1923" s="226">
        <v>-1921.26</v>
      </c>
      <c r="E1923" t="s">
        <v>667</v>
      </c>
    </row>
    <row r="1924" spans="1:5" hidden="1" x14ac:dyDescent="0.3">
      <c r="A1924" t="s">
        <v>552</v>
      </c>
      <c r="B1924" t="s">
        <v>666</v>
      </c>
      <c r="C1924" t="s">
        <v>23</v>
      </c>
      <c r="D1924" s="226">
        <v>0</v>
      </c>
      <c r="E1924" t="s">
        <v>667</v>
      </c>
    </row>
    <row r="1925" spans="1:5" hidden="1" x14ac:dyDescent="0.3">
      <c r="A1925" t="s">
        <v>552</v>
      </c>
      <c r="B1925" t="s">
        <v>666</v>
      </c>
      <c r="C1925" t="s">
        <v>44</v>
      </c>
      <c r="D1925" s="226">
        <v>-0.3</v>
      </c>
      <c r="E1925" t="s">
        <v>667</v>
      </c>
    </row>
    <row r="1926" spans="1:5" hidden="1" x14ac:dyDescent="0.3">
      <c r="A1926" t="s">
        <v>552</v>
      </c>
      <c r="B1926" t="s">
        <v>666</v>
      </c>
      <c r="C1926" t="s">
        <v>55</v>
      </c>
      <c r="D1926" s="226">
        <v>-0.28000000000000003</v>
      </c>
      <c r="E1926" t="s">
        <v>667</v>
      </c>
    </row>
    <row r="1927" spans="1:5" hidden="1" x14ac:dyDescent="0.3">
      <c r="A1927" t="s">
        <v>552</v>
      </c>
      <c r="B1927" t="s">
        <v>666</v>
      </c>
      <c r="C1927" t="s">
        <v>56</v>
      </c>
      <c r="D1927" s="226">
        <v>0</v>
      </c>
      <c r="E1927" t="s">
        <v>667</v>
      </c>
    </row>
    <row r="1928" spans="1:5" hidden="1" x14ac:dyDescent="0.3">
      <c r="A1928" t="s">
        <v>552</v>
      </c>
      <c r="B1928" t="s">
        <v>666</v>
      </c>
      <c r="C1928" t="s">
        <v>57</v>
      </c>
      <c r="D1928" s="226">
        <v>0</v>
      </c>
      <c r="E1928" t="s">
        <v>667</v>
      </c>
    </row>
    <row r="1929" spans="1:5" hidden="1" x14ac:dyDescent="0.3">
      <c r="A1929" t="s">
        <v>552</v>
      </c>
      <c r="B1929" t="s">
        <v>666</v>
      </c>
      <c r="C1929" t="s">
        <v>58</v>
      </c>
      <c r="D1929" s="226">
        <v>0</v>
      </c>
      <c r="E1929" t="s">
        <v>667</v>
      </c>
    </row>
    <row r="1930" spans="1:5" hidden="1" x14ac:dyDescent="0.3">
      <c r="A1930" t="s">
        <v>552</v>
      </c>
      <c r="B1930" t="s">
        <v>666</v>
      </c>
      <c r="C1930" t="s">
        <v>59</v>
      </c>
      <c r="D1930" s="226">
        <v>0</v>
      </c>
      <c r="E1930" t="s">
        <v>667</v>
      </c>
    </row>
    <row r="1931" spans="1:5" hidden="1" x14ac:dyDescent="0.3">
      <c r="A1931" t="s">
        <v>552</v>
      </c>
      <c r="B1931" t="s">
        <v>666</v>
      </c>
      <c r="C1931" t="s">
        <v>61</v>
      </c>
      <c r="D1931" s="226">
        <v>0</v>
      </c>
      <c r="E1931" t="s">
        <v>667</v>
      </c>
    </row>
    <row r="1932" spans="1:5" hidden="1" x14ac:dyDescent="0.3">
      <c r="A1932" t="s">
        <v>552</v>
      </c>
      <c r="B1932" t="s">
        <v>666</v>
      </c>
      <c r="C1932" t="s">
        <v>62</v>
      </c>
      <c r="D1932" s="226">
        <v>0</v>
      </c>
      <c r="E1932" t="s">
        <v>667</v>
      </c>
    </row>
    <row r="1933" spans="1:5" hidden="1" x14ac:dyDescent="0.3">
      <c r="A1933" t="s">
        <v>552</v>
      </c>
      <c r="B1933" t="s">
        <v>666</v>
      </c>
      <c r="C1933" t="s">
        <v>64</v>
      </c>
      <c r="D1933" s="226">
        <v>0</v>
      </c>
      <c r="E1933" t="s">
        <v>667</v>
      </c>
    </row>
    <row r="1934" spans="1:5" hidden="1" x14ac:dyDescent="0.3">
      <c r="A1934" t="s">
        <v>552</v>
      </c>
      <c r="B1934" t="s">
        <v>666</v>
      </c>
      <c r="C1934" t="s">
        <v>65</v>
      </c>
      <c r="D1934" s="226">
        <v>0</v>
      </c>
      <c r="E1934" t="s">
        <v>667</v>
      </c>
    </row>
    <row r="1935" spans="1:5" hidden="1" x14ac:dyDescent="0.3">
      <c r="A1935" t="s">
        <v>552</v>
      </c>
      <c r="B1935" t="s">
        <v>666</v>
      </c>
      <c r="C1935" t="s">
        <v>66</v>
      </c>
      <c r="D1935" s="226">
        <v>0</v>
      </c>
      <c r="E1935" t="s">
        <v>667</v>
      </c>
    </row>
    <row r="1936" spans="1:5" hidden="1" x14ac:dyDescent="0.3">
      <c r="A1936" t="s">
        <v>552</v>
      </c>
      <c r="B1936" t="s">
        <v>666</v>
      </c>
      <c r="C1936" t="s">
        <v>68</v>
      </c>
      <c r="D1936" s="226">
        <v>0</v>
      </c>
      <c r="E1936" t="s">
        <v>667</v>
      </c>
    </row>
    <row r="1937" spans="1:5" hidden="1" x14ac:dyDescent="0.3">
      <c r="A1937" t="s">
        <v>552</v>
      </c>
      <c r="B1937" t="s">
        <v>666</v>
      </c>
      <c r="C1937" t="s">
        <v>69</v>
      </c>
      <c r="D1937" s="226">
        <v>0</v>
      </c>
      <c r="E1937" t="s">
        <v>667</v>
      </c>
    </row>
    <row r="1938" spans="1:5" hidden="1" x14ac:dyDescent="0.3">
      <c r="A1938" t="s">
        <v>552</v>
      </c>
      <c r="B1938" t="s">
        <v>666</v>
      </c>
      <c r="C1938" t="s">
        <v>70</v>
      </c>
      <c r="D1938" s="226">
        <v>0</v>
      </c>
      <c r="E1938" t="s">
        <v>667</v>
      </c>
    </row>
    <row r="1939" spans="1:5" hidden="1" x14ac:dyDescent="0.3">
      <c r="A1939" t="s">
        <v>552</v>
      </c>
      <c r="B1939" t="s">
        <v>666</v>
      </c>
      <c r="C1939" t="s">
        <v>44</v>
      </c>
      <c r="D1939" s="226">
        <v>0</v>
      </c>
      <c r="E1939" t="s">
        <v>667</v>
      </c>
    </row>
    <row r="1940" spans="1:5" hidden="1" x14ac:dyDescent="0.3">
      <c r="A1940" t="s">
        <v>552</v>
      </c>
      <c r="B1940" t="s">
        <v>666</v>
      </c>
      <c r="C1940" t="s">
        <v>71</v>
      </c>
      <c r="D1940" s="226">
        <v>0</v>
      </c>
      <c r="E1940" t="s">
        <v>667</v>
      </c>
    </row>
    <row r="1941" spans="1:5" hidden="1" x14ac:dyDescent="0.3">
      <c r="A1941" t="s">
        <v>552</v>
      </c>
      <c r="B1941" t="s">
        <v>666</v>
      </c>
      <c r="C1941" t="s">
        <v>72</v>
      </c>
      <c r="D1941" s="226">
        <v>0</v>
      </c>
      <c r="E1941" t="s">
        <v>667</v>
      </c>
    </row>
    <row r="1942" spans="1:5" hidden="1" x14ac:dyDescent="0.3">
      <c r="A1942" t="s">
        <v>552</v>
      </c>
      <c r="B1942" t="s">
        <v>666</v>
      </c>
      <c r="C1942" t="s">
        <v>73</v>
      </c>
      <c r="D1942" s="226">
        <v>0</v>
      </c>
      <c r="E1942" t="s">
        <v>667</v>
      </c>
    </row>
    <row r="1943" spans="1:5" hidden="1" x14ac:dyDescent="0.3">
      <c r="A1943" t="s">
        <v>552</v>
      </c>
      <c r="B1943" t="s">
        <v>666</v>
      </c>
      <c r="C1943" t="s">
        <v>75</v>
      </c>
      <c r="D1943" s="226">
        <v>0</v>
      </c>
      <c r="E1943" t="s">
        <v>667</v>
      </c>
    </row>
    <row r="1944" spans="1:5" hidden="1" x14ac:dyDescent="0.3">
      <c r="A1944" t="s">
        <v>552</v>
      </c>
      <c r="B1944" t="s">
        <v>666</v>
      </c>
      <c r="C1944" t="s">
        <v>77</v>
      </c>
      <c r="D1944" s="226">
        <v>0</v>
      </c>
      <c r="E1944" t="s">
        <v>667</v>
      </c>
    </row>
    <row r="1945" spans="1:5" hidden="1" x14ac:dyDescent="0.3">
      <c r="A1945" t="s">
        <v>552</v>
      </c>
      <c r="B1945" t="s">
        <v>666</v>
      </c>
      <c r="C1945" t="s">
        <v>78</v>
      </c>
      <c r="D1945" s="226">
        <v>0</v>
      </c>
      <c r="E1945" t="s">
        <v>667</v>
      </c>
    </row>
    <row r="1946" spans="1:5" hidden="1" x14ac:dyDescent="0.3">
      <c r="A1946" t="s">
        <v>552</v>
      </c>
      <c r="B1946" t="s">
        <v>666</v>
      </c>
      <c r="C1946" t="s">
        <v>80</v>
      </c>
      <c r="D1946" s="226">
        <v>0</v>
      </c>
      <c r="E1946" t="s">
        <v>667</v>
      </c>
    </row>
    <row r="1947" spans="1:5" hidden="1" x14ac:dyDescent="0.3">
      <c r="A1947" t="s">
        <v>552</v>
      </c>
      <c r="B1947" t="s">
        <v>666</v>
      </c>
      <c r="C1947" t="s">
        <v>82</v>
      </c>
      <c r="D1947" s="226">
        <v>0</v>
      </c>
      <c r="E1947" t="s">
        <v>667</v>
      </c>
    </row>
    <row r="1948" spans="1:5" hidden="1" x14ac:dyDescent="0.3">
      <c r="A1948" t="s">
        <v>552</v>
      </c>
      <c r="B1948" t="s">
        <v>666</v>
      </c>
      <c r="C1948" t="s">
        <v>84</v>
      </c>
      <c r="D1948" s="226">
        <v>0</v>
      </c>
      <c r="E1948" t="s">
        <v>667</v>
      </c>
    </row>
    <row r="1949" spans="1:5" hidden="1" x14ac:dyDescent="0.3">
      <c r="A1949" t="s">
        <v>552</v>
      </c>
      <c r="B1949" t="s">
        <v>666</v>
      </c>
      <c r="C1949" t="s">
        <v>85</v>
      </c>
      <c r="D1949" s="226">
        <v>0</v>
      </c>
      <c r="E1949" t="s">
        <v>667</v>
      </c>
    </row>
    <row r="1950" spans="1:5" hidden="1" x14ac:dyDescent="0.3">
      <c r="A1950" t="s">
        <v>552</v>
      </c>
      <c r="B1950" t="s">
        <v>666</v>
      </c>
      <c r="C1950" t="s">
        <v>86</v>
      </c>
      <c r="D1950" s="226">
        <v>0</v>
      </c>
      <c r="E1950" t="s">
        <v>667</v>
      </c>
    </row>
    <row r="1951" spans="1:5" hidden="1" x14ac:dyDescent="0.3">
      <c r="A1951" t="s">
        <v>552</v>
      </c>
      <c r="B1951" t="s">
        <v>666</v>
      </c>
      <c r="C1951" t="s">
        <v>87</v>
      </c>
      <c r="D1951" s="226">
        <v>0</v>
      </c>
      <c r="E1951" t="s">
        <v>667</v>
      </c>
    </row>
    <row r="1952" spans="1:5" hidden="1" x14ac:dyDescent="0.3">
      <c r="A1952" t="s">
        <v>552</v>
      </c>
      <c r="B1952" t="s">
        <v>666</v>
      </c>
      <c r="C1952" t="s">
        <v>88</v>
      </c>
      <c r="D1952" s="226">
        <v>0</v>
      </c>
      <c r="E1952" t="s">
        <v>667</v>
      </c>
    </row>
    <row r="1953" spans="1:5" hidden="1" x14ac:dyDescent="0.3">
      <c r="A1953" t="s">
        <v>552</v>
      </c>
      <c r="B1953" t="s">
        <v>666</v>
      </c>
      <c r="C1953" t="s">
        <v>89</v>
      </c>
      <c r="D1953" s="226">
        <v>0</v>
      </c>
      <c r="E1953" t="s">
        <v>667</v>
      </c>
    </row>
    <row r="1954" spans="1:5" hidden="1" x14ac:dyDescent="0.3">
      <c r="A1954" t="s">
        <v>552</v>
      </c>
      <c r="B1954" t="s">
        <v>666</v>
      </c>
      <c r="C1954" t="s">
        <v>90</v>
      </c>
      <c r="D1954" s="226">
        <v>0</v>
      </c>
      <c r="E1954" t="s">
        <v>667</v>
      </c>
    </row>
    <row r="1955" spans="1:5" hidden="1" x14ac:dyDescent="0.3">
      <c r="A1955" t="s">
        <v>552</v>
      </c>
      <c r="B1955" t="s">
        <v>666</v>
      </c>
      <c r="C1955" t="s">
        <v>91</v>
      </c>
      <c r="D1955" s="226">
        <v>0</v>
      </c>
      <c r="E1955" t="s">
        <v>667</v>
      </c>
    </row>
    <row r="1956" spans="1:5" hidden="1" x14ac:dyDescent="0.3">
      <c r="A1956" t="s">
        <v>552</v>
      </c>
      <c r="B1956" t="s">
        <v>666</v>
      </c>
      <c r="C1956" t="s">
        <v>93</v>
      </c>
      <c r="D1956" s="226">
        <v>0</v>
      </c>
      <c r="E1956" t="s">
        <v>667</v>
      </c>
    </row>
    <row r="1957" spans="1:5" hidden="1" x14ac:dyDescent="0.3">
      <c r="A1957" t="s">
        <v>552</v>
      </c>
      <c r="B1957" t="s">
        <v>666</v>
      </c>
      <c r="C1957" t="s">
        <v>95</v>
      </c>
      <c r="D1957" s="226">
        <v>0</v>
      </c>
      <c r="E1957" t="s">
        <v>667</v>
      </c>
    </row>
    <row r="1958" spans="1:5" hidden="1" x14ac:dyDescent="0.3">
      <c r="A1958" t="s">
        <v>552</v>
      </c>
      <c r="B1958" t="s">
        <v>666</v>
      </c>
      <c r="C1958" t="s">
        <v>96</v>
      </c>
      <c r="D1958" s="226">
        <v>0</v>
      </c>
      <c r="E1958" t="s">
        <v>667</v>
      </c>
    </row>
    <row r="1959" spans="1:5" hidden="1" x14ac:dyDescent="0.3">
      <c r="A1959" t="s">
        <v>552</v>
      </c>
      <c r="B1959" t="s">
        <v>666</v>
      </c>
      <c r="C1959" t="s">
        <v>98</v>
      </c>
      <c r="D1959" s="226">
        <v>0</v>
      </c>
      <c r="E1959" t="s">
        <v>667</v>
      </c>
    </row>
    <row r="1960" spans="1:5" hidden="1" x14ac:dyDescent="0.3">
      <c r="A1960" t="s">
        <v>552</v>
      </c>
      <c r="B1960" t="s">
        <v>666</v>
      </c>
      <c r="C1960" t="s">
        <v>100</v>
      </c>
      <c r="D1960" s="226">
        <v>0</v>
      </c>
      <c r="E1960" t="s">
        <v>667</v>
      </c>
    </row>
    <row r="1961" spans="1:5" hidden="1" x14ac:dyDescent="0.3">
      <c r="A1961" t="s">
        <v>552</v>
      </c>
      <c r="B1961" t="s">
        <v>666</v>
      </c>
      <c r="C1961" t="s">
        <v>101</v>
      </c>
      <c r="D1961" s="226">
        <v>0</v>
      </c>
      <c r="E1961" t="s">
        <v>667</v>
      </c>
    </row>
    <row r="1962" spans="1:5" hidden="1" x14ac:dyDescent="0.3">
      <c r="A1962" t="s">
        <v>552</v>
      </c>
      <c r="B1962" t="s">
        <v>666</v>
      </c>
      <c r="C1962" t="s">
        <v>102</v>
      </c>
      <c r="D1962" s="226">
        <v>0</v>
      </c>
      <c r="E1962" t="s">
        <v>667</v>
      </c>
    </row>
    <row r="1963" spans="1:5" hidden="1" x14ac:dyDescent="0.3">
      <c r="A1963" t="s">
        <v>552</v>
      </c>
      <c r="B1963" t="s">
        <v>666</v>
      </c>
      <c r="C1963" t="s">
        <v>103</v>
      </c>
      <c r="D1963" s="226">
        <v>0</v>
      </c>
      <c r="E1963" t="s">
        <v>667</v>
      </c>
    </row>
    <row r="1964" spans="1:5" hidden="1" x14ac:dyDescent="0.3">
      <c r="A1964" t="s">
        <v>552</v>
      </c>
      <c r="B1964" t="s">
        <v>666</v>
      </c>
      <c r="C1964" t="s">
        <v>104</v>
      </c>
      <c r="D1964" s="226">
        <v>0</v>
      </c>
      <c r="E1964" t="s">
        <v>667</v>
      </c>
    </row>
    <row r="1965" spans="1:5" hidden="1" x14ac:dyDescent="0.3">
      <c r="A1965" t="s">
        <v>552</v>
      </c>
      <c r="B1965" t="s">
        <v>666</v>
      </c>
      <c r="C1965" t="s">
        <v>105</v>
      </c>
      <c r="D1965" s="226">
        <v>0</v>
      </c>
      <c r="E1965" t="s">
        <v>667</v>
      </c>
    </row>
    <row r="1966" spans="1:5" hidden="1" x14ac:dyDescent="0.3">
      <c r="A1966" t="s">
        <v>552</v>
      </c>
      <c r="B1966" t="s">
        <v>666</v>
      </c>
      <c r="C1966" t="s">
        <v>107</v>
      </c>
      <c r="D1966" s="226">
        <v>0</v>
      </c>
      <c r="E1966" t="s">
        <v>667</v>
      </c>
    </row>
    <row r="1967" spans="1:5" hidden="1" x14ac:dyDescent="0.3">
      <c r="A1967" t="s">
        <v>552</v>
      </c>
      <c r="B1967" t="s">
        <v>666</v>
      </c>
      <c r="C1967" t="s">
        <v>108</v>
      </c>
      <c r="D1967" s="226">
        <v>0</v>
      </c>
      <c r="E1967" t="s">
        <v>667</v>
      </c>
    </row>
    <row r="1968" spans="1:5" hidden="1" x14ac:dyDescent="0.3">
      <c r="A1968" t="s">
        <v>552</v>
      </c>
      <c r="B1968" t="s">
        <v>666</v>
      </c>
      <c r="C1968" t="s">
        <v>109</v>
      </c>
      <c r="D1968" s="226">
        <v>0</v>
      </c>
      <c r="E1968" t="s">
        <v>667</v>
      </c>
    </row>
    <row r="1969" spans="1:5" hidden="1" x14ac:dyDescent="0.3">
      <c r="A1969" t="s">
        <v>552</v>
      </c>
      <c r="B1969" t="s">
        <v>666</v>
      </c>
      <c r="C1969" t="s">
        <v>110</v>
      </c>
      <c r="D1969" s="226">
        <v>0</v>
      </c>
      <c r="E1969" t="s">
        <v>667</v>
      </c>
    </row>
    <row r="1970" spans="1:5" hidden="1" x14ac:dyDescent="0.3">
      <c r="A1970" t="s">
        <v>552</v>
      </c>
      <c r="B1970" t="s">
        <v>666</v>
      </c>
      <c r="C1970" t="s">
        <v>44</v>
      </c>
      <c r="D1970" s="226">
        <v>0</v>
      </c>
      <c r="E1970" t="s">
        <v>667</v>
      </c>
    </row>
    <row r="1971" spans="1:5" hidden="1" x14ac:dyDescent="0.3">
      <c r="A1971" t="s">
        <v>552</v>
      </c>
      <c r="B1971" t="s">
        <v>666</v>
      </c>
      <c r="C1971" t="s">
        <v>111</v>
      </c>
      <c r="D1971" s="226">
        <v>-90004</v>
      </c>
      <c r="E1971" t="s">
        <v>667</v>
      </c>
    </row>
    <row r="1972" spans="1:5" hidden="1" x14ac:dyDescent="0.3">
      <c r="A1972" t="s">
        <v>552</v>
      </c>
      <c r="B1972" t="s">
        <v>666</v>
      </c>
      <c r="C1972" t="s">
        <v>555</v>
      </c>
      <c r="D1972" s="226">
        <v>-90004</v>
      </c>
      <c r="E1972" t="s">
        <v>667</v>
      </c>
    </row>
    <row r="1973" spans="1:5" hidden="1" x14ac:dyDescent="0.3">
      <c r="A1973" t="s">
        <v>552</v>
      </c>
      <c r="B1973" t="s">
        <v>666</v>
      </c>
      <c r="C1973" t="s">
        <v>44</v>
      </c>
      <c r="D1973" s="226">
        <v>-7.0000000000000007E-2</v>
      </c>
      <c r="E1973" t="s">
        <v>667</v>
      </c>
    </row>
    <row r="1974" spans="1:5" hidden="1" x14ac:dyDescent="0.3">
      <c r="A1974" t="s">
        <v>552</v>
      </c>
      <c r="B1974" t="s">
        <v>666</v>
      </c>
      <c r="C1974" t="s">
        <v>115</v>
      </c>
      <c r="D1974" s="226">
        <v>-29046.21</v>
      </c>
      <c r="E1974" t="s">
        <v>667</v>
      </c>
    </row>
    <row r="1975" spans="1:5" hidden="1" x14ac:dyDescent="0.3">
      <c r="A1975" t="s">
        <v>552</v>
      </c>
      <c r="B1975" t="s">
        <v>666</v>
      </c>
      <c r="C1975" t="s">
        <v>116</v>
      </c>
      <c r="D1975" s="226">
        <v>-23213.279999999999</v>
      </c>
      <c r="E1975" t="s">
        <v>667</v>
      </c>
    </row>
    <row r="1976" spans="1:5" hidden="1" x14ac:dyDescent="0.3">
      <c r="A1976" t="s">
        <v>552</v>
      </c>
      <c r="B1976" t="s">
        <v>666</v>
      </c>
      <c r="C1976" t="s">
        <v>118</v>
      </c>
      <c r="D1976" s="226">
        <v>0</v>
      </c>
      <c r="E1976" t="s">
        <v>667</v>
      </c>
    </row>
    <row r="1977" spans="1:5" hidden="1" x14ac:dyDescent="0.3">
      <c r="A1977" t="s">
        <v>552</v>
      </c>
      <c r="B1977" t="s">
        <v>666</v>
      </c>
      <c r="C1977" t="s">
        <v>120</v>
      </c>
      <c r="D1977" s="226">
        <v>0</v>
      </c>
      <c r="E1977" t="s">
        <v>667</v>
      </c>
    </row>
    <row r="1978" spans="1:5" hidden="1" x14ac:dyDescent="0.3">
      <c r="A1978" t="s">
        <v>552</v>
      </c>
      <c r="B1978" t="s">
        <v>666</v>
      </c>
      <c r="C1978" t="s">
        <v>122</v>
      </c>
      <c r="D1978" s="226">
        <v>-5832.93</v>
      </c>
      <c r="E1978" t="s">
        <v>667</v>
      </c>
    </row>
    <row r="1979" spans="1:5" hidden="1" x14ac:dyDescent="0.3">
      <c r="A1979" t="s">
        <v>552</v>
      </c>
      <c r="B1979" t="s">
        <v>666</v>
      </c>
      <c r="C1979" t="s">
        <v>44</v>
      </c>
      <c r="D1979" s="226">
        <v>-0.02</v>
      </c>
      <c r="E1979" t="s">
        <v>667</v>
      </c>
    </row>
    <row r="1980" spans="1:5" hidden="1" x14ac:dyDescent="0.3">
      <c r="A1980" t="s">
        <v>552</v>
      </c>
      <c r="B1980" t="s">
        <v>666</v>
      </c>
      <c r="C1980" t="s">
        <v>125</v>
      </c>
      <c r="D1980" s="226">
        <v>743481.62</v>
      </c>
      <c r="E1980" t="s">
        <v>667</v>
      </c>
    </row>
    <row r="1981" spans="1:5" hidden="1" x14ac:dyDescent="0.3">
      <c r="A1981" t="s">
        <v>552</v>
      </c>
      <c r="B1981" t="s">
        <v>666</v>
      </c>
      <c r="C1981" t="s">
        <v>126</v>
      </c>
      <c r="D1981" s="226">
        <v>0.57999999999999996</v>
      </c>
      <c r="E1981" t="s">
        <v>667</v>
      </c>
    </row>
    <row r="1982" spans="1:5" hidden="1" x14ac:dyDescent="0.3">
      <c r="A1982" t="s">
        <v>552</v>
      </c>
      <c r="B1982" t="s">
        <v>666</v>
      </c>
      <c r="C1982" t="s">
        <v>127</v>
      </c>
      <c r="D1982" s="226">
        <v>-275698.78000000003</v>
      </c>
      <c r="E1982" t="s">
        <v>667</v>
      </c>
    </row>
    <row r="1983" spans="1:5" hidden="1" x14ac:dyDescent="0.3">
      <c r="A1983" t="s">
        <v>552</v>
      </c>
      <c r="B1983" t="s">
        <v>666</v>
      </c>
      <c r="C1983" t="s">
        <v>128</v>
      </c>
      <c r="D1983" s="226">
        <v>-43670</v>
      </c>
      <c r="E1983" t="s">
        <v>667</v>
      </c>
    </row>
    <row r="1984" spans="1:5" hidden="1" x14ac:dyDescent="0.3">
      <c r="A1984" t="s">
        <v>552</v>
      </c>
      <c r="B1984" t="s">
        <v>666</v>
      </c>
      <c r="C1984" t="s">
        <v>556</v>
      </c>
      <c r="D1984" s="226">
        <v>-10250</v>
      </c>
      <c r="E1984" t="s">
        <v>667</v>
      </c>
    </row>
    <row r="1985" spans="1:5" hidden="1" x14ac:dyDescent="0.3">
      <c r="A1985" t="s">
        <v>552</v>
      </c>
      <c r="B1985" t="s">
        <v>666</v>
      </c>
      <c r="C1985" t="s">
        <v>557</v>
      </c>
      <c r="D1985" s="226">
        <v>-5280</v>
      </c>
      <c r="E1985" t="s">
        <v>667</v>
      </c>
    </row>
    <row r="1986" spans="1:5" hidden="1" x14ac:dyDescent="0.3">
      <c r="A1986" t="s">
        <v>552</v>
      </c>
      <c r="B1986" t="s">
        <v>666</v>
      </c>
      <c r="C1986" t="s">
        <v>558</v>
      </c>
      <c r="D1986" s="226">
        <v>0</v>
      </c>
      <c r="E1986" t="s">
        <v>667</v>
      </c>
    </row>
    <row r="1987" spans="1:5" hidden="1" x14ac:dyDescent="0.3">
      <c r="A1987" t="s">
        <v>552</v>
      </c>
      <c r="B1987" t="s">
        <v>666</v>
      </c>
      <c r="C1987" t="s">
        <v>559</v>
      </c>
      <c r="D1987" s="226">
        <v>-14640</v>
      </c>
      <c r="E1987" t="s">
        <v>667</v>
      </c>
    </row>
    <row r="1988" spans="1:5" hidden="1" x14ac:dyDescent="0.3">
      <c r="A1988" t="s">
        <v>552</v>
      </c>
      <c r="B1988" t="s">
        <v>666</v>
      </c>
      <c r="C1988" t="s">
        <v>560</v>
      </c>
      <c r="D1988" s="226">
        <v>-2500</v>
      </c>
      <c r="E1988" t="s">
        <v>667</v>
      </c>
    </row>
    <row r="1989" spans="1:5" hidden="1" x14ac:dyDescent="0.3">
      <c r="A1989" t="s">
        <v>552</v>
      </c>
      <c r="B1989" t="s">
        <v>666</v>
      </c>
      <c r="C1989" t="s">
        <v>561</v>
      </c>
      <c r="D1989" s="226">
        <v>-7000</v>
      </c>
      <c r="E1989" t="s">
        <v>667</v>
      </c>
    </row>
    <row r="1990" spans="1:5" hidden="1" x14ac:dyDescent="0.3">
      <c r="A1990" t="s">
        <v>552</v>
      </c>
      <c r="B1990" t="s">
        <v>666</v>
      </c>
      <c r="C1990" t="s">
        <v>562</v>
      </c>
      <c r="D1990" s="226">
        <v>-4000</v>
      </c>
      <c r="E1990" t="s">
        <v>667</v>
      </c>
    </row>
    <row r="1991" spans="1:5" hidden="1" x14ac:dyDescent="0.3">
      <c r="A1991" t="s">
        <v>552</v>
      </c>
      <c r="B1991" t="s">
        <v>666</v>
      </c>
      <c r="C1991" t="s">
        <v>563</v>
      </c>
      <c r="D1991" s="226">
        <v>0</v>
      </c>
      <c r="E1991" t="s">
        <v>667</v>
      </c>
    </row>
    <row r="1992" spans="1:5" hidden="1" x14ac:dyDescent="0.3">
      <c r="A1992" t="s">
        <v>552</v>
      </c>
      <c r="B1992" t="s">
        <v>666</v>
      </c>
      <c r="C1992" t="s">
        <v>564</v>
      </c>
      <c r="D1992" s="226">
        <v>0</v>
      </c>
      <c r="E1992" t="s">
        <v>667</v>
      </c>
    </row>
    <row r="1993" spans="1:5" hidden="1" x14ac:dyDescent="0.3">
      <c r="A1993" t="s">
        <v>552</v>
      </c>
      <c r="B1993" t="s">
        <v>666</v>
      </c>
      <c r="C1993" t="s">
        <v>565</v>
      </c>
      <c r="D1993" s="226">
        <v>0</v>
      </c>
      <c r="E1993" t="s">
        <v>667</v>
      </c>
    </row>
    <row r="1994" spans="1:5" hidden="1" x14ac:dyDescent="0.3">
      <c r="A1994" t="s">
        <v>552</v>
      </c>
      <c r="B1994" t="s">
        <v>666</v>
      </c>
      <c r="C1994" t="s">
        <v>566</v>
      </c>
      <c r="D1994" s="226">
        <v>0</v>
      </c>
      <c r="E1994" t="s">
        <v>667</v>
      </c>
    </row>
    <row r="1995" spans="1:5" hidden="1" x14ac:dyDescent="0.3">
      <c r="A1995" t="s">
        <v>552</v>
      </c>
      <c r="B1995" t="s">
        <v>666</v>
      </c>
      <c r="C1995" t="s">
        <v>567</v>
      </c>
      <c r="D1995" s="226">
        <v>0</v>
      </c>
      <c r="E1995" t="s">
        <v>667</v>
      </c>
    </row>
    <row r="1996" spans="1:5" hidden="1" x14ac:dyDescent="0.3">
      <c r="A1996" t="s">
        <v>552</v>
      </c>
      <c r="B1996" t="s">
        <v>666</v>
      </c>
      <c r="C1996" t="s">
        <v>141</v>
      </c>
      <c r="D1996" s="226">
        <v>-72125.36</v>
      </c>
      <c r="E1996" t="s">
        <v>667</v>
      </c>
    </row>
    <row r="1997" spans="1:5" hidden="1" x14ac:dyDescent="0.3">
      <c r="A1997" t="s">
        <v>552</v>
      </c>
      <c r="B1997" t="s">
        <v>666</v>
      </c>
      <c r="C1997" t="s">
        <v>568</v>
      </c>
      <c r="D1997" s="226">
        <v>0</v>
      </c>
      <c r="E1997" t="s">
        <v>667</v>
      </c>
    </row>
    <row r="1998" spans="1:5" hidden="1" x14ac:dyDescent="0.3">
      <c r="A1998" t="s">
        <v>552</v>
      </c>
      <c r="B1998" t="s">
        <v>666</v>
      </c>
      <c r="C1998" t="s">
        <v>569</v>
      </c>
      <c r="D1998" s="226">
        <v>0</v>
      </c>
      <c r="E1998" t="s">
        <v>667</v>
      </c>
    </row>
    <row r="1999" spans="1:5" hidden="1" x14ac:dyDescent="0.3">
      <c r="A1999" t="s">
        <v>552</v>
      </c>
      <c r="B1999" t="s">
        <v>666</v>
      </c>
      <c r="C1999" t="s">
        <v>570</v>
      </c>
      <c r="D1999" s="226">
        <v>0</v>
      </c>
      <c r="E1999" t="s">
        <v>667</v>
      </c>
    </row>
    <row r="2000" spans="1:5" hidden="1" x14ac:dyDescent="0.3">
      <c r="A2000" t="s">
        <v>552</v>
      </c>
      <c r="B2000" t="s">
        <v>666</v>
      </c>
      <c r="C2000" t="s">
        <v>571</v>
      </c>
      <c r="D2000" s="226">
        <v>0</v>
      </c>
      <c r="E2000" t="s">
        <v>667</v>
      </c>
    </row>
    <row r="2001" spans="1:5" hidden="1" x14ac:dyDescent="0.3">
      <c r="A2001" t="s">
        <v>552</v>
      </c>
      <c r="B2001" t="s">
        <v>666</v>
      </c>
      <c r="C2001" t="s">
        <v>572</v>
      </c>
      <c r="D2001" s="226">
        <v>0</v>
      </c>
      <c r="E2001" t="s">
        <v>667</v>
      </c>
    </row>
    <row r="2002" spans="1:5" hidden="1" x14ac:dyDescent="0.3">
      <c r="A2002" t="s">
        <v>552</v>
      </c>
      <c r="B2002" t="s">
        <v>666</v>
      </c>
      <c r="C2002" t="s">
        <v>573</v>
      </c>
      <c r="D2002" s="226">
        <v>0</v>
      </c>
      <c r="E2002" t="s">
        <v>667</v>
      </c>
    </row>
    <row r="2003" spans="1:5" hidden="1" x14ac:dyDescent="0.3">
      <c r="A2003" t="s">
        <v>552</v>
      </c>
      <c r="B2003" t="s">
        <v>666</v>
      </c>
      <c r="C2003" t="s">
        <v>574</v>
      </c>
      <c r="D2003" s="226">
        <v>0</v>
      </c>
      <c r="E2003" t="s">
        <v>667</v>
      </c>
    </row>
    <row r="2004" spans="1:5" hidden="1" x14ac:dyDescent="0.3">
      <c r="A2004" t="s">
        <v>552</v>
      </c>
      <c r="B2004" t="s">
        <v>666</v>
      </c>
      <c r="C2004" t="s">
        <v>575</v>
      </c>
      <c r="D2004" s="226">
        <v>0</v>
      </c>
      <c r="E2004" t="s">
        <v>667</v>
      </c>
    </row>
    <row r="2005" spans="1:5" hidden="1" x14ac:dyDescent="0.3">
      <c r="A2005" t="s">
        <v>552</v>
      </c>
      <c r="B2005" t="s">
        <v>666</v>
      </c>
      <c r="C2005" t="s">
        <v>576</v>
      </c>
      <c r="D2005" s="226">
        <v>0</v>
      </c>
      <c r="E2005" t="s">
        <v>667</v>
      </c>
    </row>
    <row r="2006" spans="1:5" hidden="1" x14ac:dyDescent="0.3">
      <c r="A2006" t="s">
        <v>552</v>
      </c>
      <c r="B2006" t="s">
        <v>666</v>
      </c>
      <c r="C2006" t="s">
        <v>577</v>
      </c>
      <c r="D2006" s="226">
        <v>0</v>
      </c>
      <c r="E2006" t="s">
        <v>667</v>
      </c>
    </row>
    <row r="2007" spans="1:5" hidden="1" x14ac:dyDescent="0.3">
      <c r="A2007" t="s">
        <v>552</v>
      </c>
      <c r="B2007" t="s">
        <v>666</v>
      </c>
      <c r="C2007" t="s">
        <v>578</v>
      </c>
      <c r="D2007" s="226">
        <v>0</v>
      </c>
      <c r="E2007" t="s">
        <v>667</v>
      </c>
    </row>
    <row r="2008" spans="1:5" hidden="1" x14ac:dyDescent="0.3">
      <c r="A2008" t="s">
        <v>552</v>
      </c>
      <c r="B2008" t="s">
        <v>666</v>
      </c>
      <c r="C2008" t="s">
        <v>579</v>
      </c>
      <c r="D2008" s="226">
        <v>0</v>
      </c>
      <c r="E2008" t="s">
        <v>667</v>
      </c>
    </row>
    <row r="2009" spans="1:5" hidden="1" x14ac:dyDescent="0.3">
      <c r="A2009" t="s">
        <v>552</v>
      </c>
      <c r="B2009" t="s">
        <v>666</v>
      </c>
      <c r="C2009" t="s">
        <v>580</v>
      </c>
      <c r="D2009" s="226">
        <v>0</v>
      </c>
      <c r="E2009" t="s">
        <v>667</v>
      </c>
    </row>
    <row r="2010" spans="1:5" hidden="1" x14ac:dyDescent="0.3">
      <c r="A2010" t="s">
        <v>552</v>
      </c>
      <c r="B2010" t="s">
        <v>666</v>
      </c>
      <c r="C2010" t="s">
        <v>581</v>
      </c>
      <c r="D2010" s="226">
        <v>0</v>
      </c>
      <c r="E2010" t="s">
        <v>667</v>
      </c>
    </row>
    <row r="2011" spans="1:5" hidden="1" x14ac:dyDescent="0.3">
      <c r="A2011" t="s">
        <v>552</v>
      </c>
      <c r="B2011" t="s">
        <v>666</v>
      </c>
      <c r="C2011" t="s">
        <v>582</v>
      </c>
      <c r="D2011" s="226">
        <v>0</v>
      </c>
      <c r="E2011" t="s">
        <v>667</v>
      </c>
    </row>
    <row r="2012" spans="1:5" hidden="1" x14ac:dyDescent="0.3">
      <c r="A2012" t="s">
        <v>552</v>
      </c>
      <c r="B2012" t="s">
        <v>666</v>
      </c>
      <c r="C2012" t="s">
        <v>583</v>
      </c>
      <c r="D2012" s="226">
        <v>0</v>
      </c>
      <c r="E2012" t="s">
        <v>667</v>
      </c>
    </row>
    <row r="2013" spans="1:5" hidden="1" x14ac:dyDescent="0.3">
      <c r="A2013" t="s">
        <v>552</v>
      </c>
      <c r="B2013" t="s">
        <v>666</v>
      </c>
      <c r="C2013" t="s">
        <v>584</v>
      </c>
      <c r="D2013" s="226">
        <v>0</v>
      </c>
      <c r="E2013" t="s">
        <v>667</v>
      </c>
    </row>
    <row r="2014" spans="1:5" hidden="1" x14ac:dyDescent="0.3">
      <c r="A2014" t="s">
        <v>552</v>
      </c>
      <c r="B2014" t="s">
        <v>666</v>
      </c>
      <c r="C2014" t="s">
        <v>585</v>
      </c>
      <c r="D2014" s="226">
        <v>0</v>
      </c>
      <c r="E2014" t="s">
        <v>667</v>
      </c>
    </row>
    <row r="2015" spans="1:5" hidden="1" x14ac:dyDescent="0.3">
      <c r="A2015" t="s">
        <v>552</v>
      </c>
      <c r="B2015" t="s">
        <v>666</v>
      </c>
      <c r="C2015" t="s">
        <v>586</v>
      </c>
      <c r="D2015" s="226">
        <v>0</v>
      </c>
      <c r="E2015" t="s">
        <v>667</v>
      </c>
    </row>
    <row r="2016" spans="1:5" hidden="1" x14ac:dyDescent="0.3">
      <c r="A2016" t="s">
        <v>552</v>
      </c>
      <c r="B2016" t="s">
        <v>666</v>
      </c>
      <c r="C2016" t="s">
        <v>587</v>
      </c>
      <c r="D2016" s="226">
        <v>0</v>
      </c>
      <c r="E2016" t="s">
        <v>667</v>
      </c>
    </row>
    <row r="2017" spans="1:5" hidden="1" x14ac:dyDescent="0.3">
      <c r="A2017" t="s">
        <v>552</v>
      </c>
      <c r="B2017" t="s">
        <v>666</v>
      </c>
      <c r="C2017" t="s">
        <v>588</v>
      </c>
      <c r="D2017" s="226">
        <v>0</v>
      </c>
      <c r="E2017" t="s">
        <v>667</v>
      </c>
    </row>
    <row r="2018" spans="1:5" hidden="1" x14ac:dyDescent="0.3">
      <c r="A2018" t="s">
        <v>552</v>
      </c>
      <c r="B2018" t="s">
        <v>666</v>
      </c>
      <c r="C2018" t="s">
        <v>589</v>
      </c>
      <c r="D2018" s="226">
        <v>0</v>
      </c>
      <c r="E2018" t="s">
        <v>667</v>
      </c>
    </row>
    <row r="2019" spans="1:5" hidden="1" x14ac:dyDescent="0.3">
      <c r="A2019" t="s">
        <v>552</v>
      </c>
      <c r="B2019" t="s">
        <v>666</v>
      </c>
      <c r="C2019" t="s">
        <v>590</v>
      </c>
      <c r="D2019" s="226">
        <v>0</v>
      </c>
      <c r="E2019" t="s">
        <v>667</v>
      </c>
    </row>
    <row r="2020" spans="1:5" hidden="1" x14ac:dyDescent="0.3">
      <c r="A2020" t="s">
        <v>552</v>
      </c>
      <c r="B2020" t="s">
        <v>666</v>
      </c>
      <c r="C2020" t="s">
        <v>591</v>
      </c>
      <c r="D2020" s="226">
        <v>0</v>
      </c>
      <c r="E2020" t="s">
        <v>667</v>
      </c>
    </row>
    <row r="2021" spans="1:5" hidden="1" x14ac:dyDescent="0.3">
      <c r="A2021" t="s">
        <v>552</v>
      </c>
      <c r="B2021" t="s">
        <v>666</v>
      </c>
      <c r="C2021" t="s">
        <v>592</v>
      </c>
      <c r="D2021" s="226">
        <v>0</v>
      </c>
      <c r="E2021" t="s">
        <v>667</v>
      </c>
    </row>
    <row r="2022" spans="1:5" hidden="1" x14ac:dyDescent="0.3">
      <c r="A2022" t="s">
        <v>552</v>
      </c>
      <c r="B2022" t="s">
        <v>666</v>
      </c>
      <c r="C2022" t="s">
        <v>593</v>
      </c>
      <c r="D2022" s="226">
        <v>0</v>
      </c>
      <c r="E2022" t="s">
        <v>667</v>
      </c>
    </row>
    <row r="2023" spans="1:5" hidden="1" x14ac:dyDescent="0.3">
      <c r="A2023" t="s">
        <v>552</v>
      </c>
      <c r="B2023" t="s">
        <v>666</v>
      </c>
      <c r="C2023" t="s">
        <v>594</v>
      </c>
      <c r="D2023" s="226">
        <v>0</v>
      </c>
      <c r="E2023" t="s">
        <v>667</v>
      </c>
    </row>
    <row r="2024" spans="1:5" hidden="1" x14ac:dyDescent="0.3">
      <c r="A2024" t="s">
        <v>552</v>
      </c>
      <c r="B2024" t="s">
        <v>666</v>
      </c>
      <c r="C2024" t="s">
        <v>595</v>
      </c>
      <c r="D2024" s="226">
        <v>0</v>
      </c>
      <c r="E2024" t="s">
        <v>667</v>
      </c>
    </row>
    <row r="2025" spans="1:5" hidden="1" x14ac:dyDescent="0.3">
      <c r="A2025" t="s">
        <v>552</v>
      </c>
      <c r="B2025" t="s">
        <v>666</v>
      </c>
      <c r="C2025" t="s">
        <v>596</v>
      </c>
      <c r="D2025" s="226">
        <v>0</v>
      </c>
      <c r="E2025" t="s">
        <v>667</v>
      </c>
    </row>
    <row r="2026" spans="1:5" hidden="1" x14ac:dyDescent="0.3">
      <c r="A2026" t="s">
        <v>552</v>
      </c>
      <c r="B2026" t="s">
        <v>666</v>
      </c>
      <c r="C2026" t="s">
        <v>597</v>
      </c>
      <c r="D2026" s="226">
        <v>0</v>
      </c>
      <c r="E2026" t="s">
        <v>667</v>
      </c>
    </row>
    <row r="2027" spans="1:5" hidden="1" x14ac:dyDescent="0.3">
      <c r="A2027" t="s">
        <v>552</v>
      </c>
      <c r="B2027" t="s">
        <v>666</v>
      </c>
      <c r="C2027" t="s">
        <v>598</v>
      </c>
      <c r="D2027" s="226">
        <v>0</v>
      </c>
      <c r="E2027" t="s">
        <v>667</v>
      </c>
    </row>
    <row r="2028" spans="1:5" hidden="1" x14ac:dyDescent="0.3">
      <c r="A2028" t="s">
        <v>552</v>
      </c>
      <c r="B2028" t="s">
        <v>666</v>
      </c>
      <c r="C2028" t="s">
        <v>599</v>
      </c>
      <c r="D2028" s="226">
        <v>0</v>
      </c>
      <c r="E2028" t="s">
        <v>667</v>
      </c>
    </row>
    <row r="2029" spans="1:5" hidden="1" x14ac:dyDescent="0.3">
      <c r="A2029" t="s">
        <v>552</v>
      </c>
      <c r="B2029" t="s">
        <v>666</v>
      </c>
      <c r="C2029" t="s">
        <v>600</v>
      </c>
      <c r="D2029" s="226">
        <v>0</v>
      </c>
      <c r="E2029" t="s">
        <v>667</v>
      </c>
    </row>
    <row r="2030" spans="1:5" hidden="1" x14ac:dyDescent="0.3">
      <c r="A2030" t="s">
        <v>552</v>
      </c>
      <c r="B2030" t="s">
        <v>666</v>
      </c>
      <c r="C2030" t="s">
        <v>601</v>
      </c>
      <c r="D2030" s="226">
        <v>0</v>
      </c>
      <c r="E2030" t="s">
        <v>667</v>
      </c>
    </row>
    <row r="2031" spans="1:5" hidden="1" x14ac:dyDescent="0.3">
      <c r="A2031" t="s">
        <v>552</v>
      </c>
      <c r="B2031" t="s">
        <v>666</v>
      </c>
      <c r="C2031" t="s">
        <v>602</v>
      </c>
      <c r="D2031" s="226">
        <v>0</v>
      </c>
      <c r="E2031" t="s">
        <v>667</v>
      </c>
    </row>
    <row r="2032" spans="1:5" hidden="1" x14ac:dyDescent="0.3">
      <c r="A2032" t="s">
        <v>552</v>
      </c>
      <c r="B2032" t="s">
        <v>666</v>
      </c>
      <c r="C2032" t="s">
        <v>603</v>
      </c>
      <c r="D2032" s="226">
        <v>0</v>
      </c>
      <c r="E2032" t="s">
        <v>667</v>
      </c>
    </row>
    <row r="2033" spans="1:5" hidden="1" x14ac:dyDescent="0.3">
      <c r="A2033" t="s">
        <v>552</v>
      </c>
      <c r="B2033" t="s">
        <v>666</v>
      </c>
      <c r="C2033" t="s">
        <v>604</v>
      </c>
      <c r="D2033" s="226">
        <v>0</v>
      </c>
      <c r="E2033" t="s">
        <v>667</v>
      </c>
    </row>
    <row r="2034" spans="1:5" hidden="1" x14ac:dyDescent="0.3">
      <c r="A2034" t="s">
        <v>552</v>
      </c>
      <c r="B2034" t="s">
        <v>666</v>
      </c>
      <c r="C2034" t="s">
        <v>605</v>
      </c>
      <c r="D2034" s="226">
        <v>0</v>
      </c>
      <c r="E2034" t="s">
        <v>667</v>
      </c>
    </row>
    <row r="2035" spans="1:5" hidden="1" x14ac:dyDescent="0.3">
      <c r="A2035" t="s">
        <v>552</v>
      </c>
      <c r="B2035" t="s">
        <v>666</v>
      </c>
      <c r="C2035" t="s">
        <v>606</v>
      </c>
      <c r="D2035" s="226">
        <v>0</v>
      </c>
      <c r="E2035" t="s">
        <v>667</v>
      </c>
    </row>
    <row r="2036" spans="1:5" hidden="1" x14ac:dyDescent="0.3">
      <c r="A2036" t="s">
        <v>552</v>
      </c>
      <c r="B2036" t="s">
        <v>666</v>
      </c>
      <c r="C2036" t="s">
        <v>607</v>
      </c>
      <c r="D2036" s="226">
        <v>0</v>
      </c>
      <c r="E2036" t="s">
        <v>667</v>
      </c>
    </row>
    <row r="2037" spans="1:5" hidden="1" x14ac:dyDescent="0.3">
      <c r="A2037" t="s">
        <v>552</v>
      </c>
      <c r="B2037" t="s">
        <v>666</v>
      </c>
      <c r="C2037" t="s">
        <v>608</v>
      </c>
      <c r="D2037" s="226">
        <v>0</v>
      </c>
      <c r="E2037" t="s">
        <v>667</v>
      </c>
    </row>
    <row r="2038" spans="1:5" hidden="1" x14ac:dyDescent="0.3">
      <c r="A2038" t="s">
        <v>552</v>
      </c>
      <c r="B2038" t="s">
        <v>666</v>
      </c>
      <c r="C2038" t="s">
        <v>609</v>
      </c>
      <c r="D2038" s="226">
        <v>0</v>
      </c>
      <c r="E2038" t="s">
        <v>667</v>
      </c>
    </row>
    <row r="2039" spans="1:5" hidden="1" x14ac:dyDescent="0.3">
      <c r="A2039" t="s">
        <v>552</v>
      </c>
      <c r="B2039" t="s">
        <v>666</v>
      </c>
      <c r="C2039" t="s">
        <v>610</v>
      </c>
      <c r="D2039" s="226">
        <v>0</v>
      </c>
      <c r="E2039" t="s">
        <v>667</v>
      </c>
    </row>
    <row r="2040" spans="1:5" hidden="1" x14ac:dyDescent="0.3">
      <c r="A2040" t="s">
        <v>552</v>
      </c>
      <c r="B2040" t="s">
        <v>666</v>
      </c>
      <c r="C2040" t="s">
        <v>611</v>
      </c>
      <c r="D2040" s="226">
        <v>0</v>
      </c>
      <c r="E2040" t="s">
        <v>667</v>
      </c>
    </row>
    <row r="2041" spans="1:5" hidden="1" x14ac:dyDescent="0.3">
      <c r="A2041" t="s">
        <v>552</v>
      </c>
      <c r="B2041" t="s">
        <v>666</v>
      </c>
      <c r="C2041" t="s">
        <v>612</v>
      </c>
      <c r="D2041" s="226">
        <v>0</v>
      </c>
      <c r="E2041" t="s">
        <v>667</v>
      </c>
    </row>
    <row r="2042" spans="1:5" hidden="1" x14ac:dyDescent="0.3">
      <c r="A2042" t="s">
        <v>552</v>
      </c>
      <c r="B2042" t="s">
        <v>666</v>
      </c>
      <c r="C2042" t="s">
        <v>613</v>
      </c>
      <c r="D2042" s="226">
        <v>0</v>
      </c>
      <c r="E2042" t="s">
        <v>667</v>
      </c>
    </row>
    <row r="2043" spans="1:5" hidden="1" x14ac:dyDescent="0.3">
      <c r="A2043" t="s">
        <v>552</v>
      </c>
      <c r="B2043" t="s">
        <v>666</v>
      </c>
      <c r="C2043" t="s">
        <v>614</v>
      </c>
      <c r="D2043" s="226">
        <v>0</v>
      </c>
      <c r="E2043" t="s">
        <v>667</v>
      </c>
    </row>
    <row r="2044" spans="1:5" hidden="1" x14ac:dyDescent="0.3">
      <c r="A2044" t="s">
        <v>552</v>
      </c>
      <c r="B2044" t="s">
        <v>666</v>
      </c>
      <c r="C2044" t="s">
        <v>615</v>
      </c>
      <c r="D2044" s="226">
        <v>0</v>
      </c>
      <c r="E2044" t="s">
        <v>667</v>
      </c>
    </row>
    <row r="2045" spans="1:5" hidden="1" x14ac:dyDescent="0.3">
      <c r="A2045" t="s">
        <v>552</v>
      </c>
      <c r="B2045" t="s">
        <v>666</v>
      </c>
      <c r="C2045" t="s">
        <v>616</v>
      </c>
      <c r="D2045" s="226">
        <v>0</v>
      </c>
      <c r="E2045" t="s">
        <v>667</v>
      </c>
    </row>
    <row r="2046" spans="1:5" hidden="1" x14ac:dyDescent="0.3">
      <c r="A2046" t="s">
        <v>552</v>
      </c>
      <c r="B2046" t="s">
        <v>666</v>
      </c>
      <c r="C2046" t="s">
        <v>617</v>
      </c>
      <c r="D2046" s="226">
        <v>0</v>
      </c>
      <c r="E2046" t="s">
        <v>667</v>
      </c>
    </row>
    <row r="2047" spans="1:5" hidden="1" x14ac:dyDescent="0.3">
      <c r="A2047" t="s">
        <v>552</v>
      </c>
      <c r="B2047" t="s">
        <v>666</v>
      </c>
      <c r="C2047" t="s">
        <v>618</v>
      </c>
      <c r="D2047" s="226">
        <v>0</v>
      </c>
      <c r="E2047" t="s">
        <v>667</v>
      </c>
    </row>
    <row r="2048" spans="1:5" hidden="1" x14ac:dyDescent="0.3">
      <c r="A2048" t="s">
        <v>552</v>
      </c>
      <c r="B2048" t="s">
        <v>666</v>
      </c>
      <c r="C2048" t="s">
        <v>619</v>
      </c>
      <c r="D2048" s="226">
        <v>0</v>
      </c>
      <c r="E2048" t="s">
        <v>667</v>
      </c>
    </row>
    <row r="2049" spans="1:5" hidden="1" x14ac:dyDescent="0.3">
      <c r="A2049" t="s">
        <v>552</v>
      </c>
      <c r="B2049" t="s">
        <v>666</v>
      </c>
      <c r="C2049" t="s">
        <v>620</v>
      </c>
      <c r="D2049" s="226">
        <v>0</v>
      </c>
      <c r="E2049" t="s">
        <v>667</v>
      </c>
    </row>
    <row r="2050" spans="1:5" hidden="1" x14ac:dyDescent="0.3">
      <c r="A2050" t="s">
        <v>552</v>
      </c>
      <c r="B2050" t="s">
        <v>666</v>
      </c>
      <c r="C2050" t="s">
        <v>621</v>
      </c>
      <c r="D2050" s="226">
        <v>0</v>
      </c>
      <c r="E2050" t="s">
        <v>667</v>
      </c>
    </row>
    <row r="2051" spans="1:5" hidden="1" x14ac:dyDescent="0.3">
      <c r="A2051" t="s">
        <v>552</v>
      </c>
      <c r="B2051" t="s">
        <v>666</v>
      </c>
      <c r="C2051" t="s">
        <v>622</v>
      </c>
      <c r="D2051" s="226">
        <v>0</v>
      </c>
      <c r="E2051" t="s">
        <v>667</v>
      </c>
    </row>
    <row r="2052" spans="1:5" hidden="1" x14ac:dyDescent="0.3">
      <c r="A2052" t="s">
        <v>552</v>
      </c>
      <c r="B2052" t="s">
        <v>666</v>
      </c>
      <c r="C2052" t="s">
        <v>623</v>
      </c>
      <c r="D2052" s="226">
        <v>0</v>
      </c>
      <c r="E2052" t="s">
        <v>667</v>
      </c>
    </row>
    <row r="2053" spans="1:5" hidden="1" x14ac:dyDescent="0.3">
      <c r="A2053" t="s">
        <v>552</v>
      </c>
      <c r="B2053" t="s">
        <v>666</v>
      </c>
      <c r="C2053" t="s">
        <v>624</v>
      </c>
      <c r="D2053" s="226">
        <v>0</v>
      </c>
      <c r="E2053" t="s">
        <v>667</v>
      </c>
    </row>
    <row r="2054" spans="1:5" hidden="1" x14ac:dyDescent="0.3">
      <c r="A2054" t="s">
        <v>552</v>
      </c>
      <c r="B2054" t="s">
        <v>666</v>
      </c>
      <c r="C2054" t="s">
        <v>200</v>
      </c>
      <c r="D2054" s="226">
        <v>-75364.14</v>
      </c>
      <c r="E2054" t="s">
        <v>667</v>
      </c>
    </row>
    <row r="2055" spans="1:5" hidden="1" x14ac:dyDescent="0.3">
      <c r="A2055" t="s">
        <v>552</v>
      </c>
      <c r="B2055" t="s">
        <v>666</v>
      </c>
      <c r="C2055" t="s">
        <v>202</v>
      </c>
      <c r="D2055" s="226">
        <v>-75364.14</v>
      </c>
      <c r="E2055" t="s">
        <v>667</v>
      </c>
    </row>
    <row r="2056" spans="1:5" hidden="1" x14ac:dyDescent="0.3">
      <c r="A2056" t="s">
        <v>552</v>
      </c>
      <c r="B2056" t="s">
        <v>666</v>
      </c>
      <c r="C2056" t="s">
        <v>625</v>
      </c>
      <c r="D2056" s="226">
        <v>37682.07</v>
      </c>
      <c r="E2056" t="s">
        <v>667</v>
      </c>
    </row>
    <row r="2057" spans="1:5" hidden="1" x14ac:dyDescent="0.3">
      <c r="A2057" t="s">
        <v>552</v>
      </c>
      <c r="B2057" t="s">
        <v>666</v>
      </c>
      <c r="C2057" t="s">
        <v>204</v>
      </c>
      <c r="D2057" s="226">
        <v>-47998.38</v>
      </c>
      <c r="E2057" t="s">
        <v>667</v>
      </c>
    </row>
    <row r="2058" spans="1:5" hidden="1" x14ac:dyDescent="0.3">
      <c r="A2058" t="s">
        <v>552</v>
      </c>
      <c r="B2058" t="s">
        <v>666</v>
      </c>
      <c r="C2058" t="s">
        <v>626</v>
      </c>
      <c r="D2058" s="226">
        <v>-11293.91</v>
      </c>
      <c r="E2058" t="s">
        <v>667</v>
      </c>
    </row>
    <row r="2059" spans="1:5" hidden="1" x14ac:dyDescent="0.3">
      <c r="A2059" t="s">
        <v>552</v>
      </c>
      <c r="B2059" t="s">
        <v>666</v>
      </c>
      <c r="C2059" t="s">
        <v>627</v>
      </c>
      <c r="D2059" s="226">
        <v>0</v>
      </c>
      <c r="E2059" t="s">
        <v>667</v>
      </c>
    </row>
    <row r="2060" spans="1:5" hidden="1" x14ac:dyDescent="0.3">
      <c r="A2060" t="s">
        <v>552</v>
      </c>
      <c r="B2060" t="s">
        <v>666</v>
      </c>
      <c r="C2060" t="s">
        <v>628</v>
      </c>
      <c r="D2060" s="226">
        <v>0</v>
      </c>
      <c r="E2060" t="s">
        <v>667</v>
      </c>
    </row>
    <row r="2061" spans="1:5" hidden="1" x14ac:dyDescent="0.3">
      <c r="A2061" t="s">
        <v>552</v>
      </c>
      <c r="B2061" t="s">
        <v>666</v>
      </c>
      <c r="C2061" t="s">
        <v>629</v>
      </c>
      <c r="D2061" s="226">
        <v>-11438.27</v>
      </c>
      <c r="E2061" t="s">
        <v>667</v>
      </c>
    </row>
    <row r="2062" spans="1:5" hidden="1" x14ac:dyDescent="0.3">
      <c r="A2062" t="s">
        <v>552</v>
      </c>
      <c r="B2062" t="s">
        <v>666</v>
      </c>
      <c r="C2062" t="s">
        <v>630</v>
      </c>
      <c r="D2062" s="226">
        <v>-3428.74</v>
      </c>
      <c r="E2062" t="s">
        <v>667</v>
      </c>
    </row>
    <row r="2063" spans="1:5" hidden="1" x14ac:dyDescent="0.3">
      <c r="A2063" t="s">
        <v>552</v>
      </c>
      <c r="B2063" t="s">
        <v>666</v>
      </c>
      <c r="C2063" t="s">
        <v>631</v>
      </c>
      <c r="D2063" s="226">
        <v>-3853.9</v>
      </c>
      <c r="E2063" t="s">
        <v>667</v>
      </c>
    </row>
    <row r="2064" spans="1:5" hidden="1" x14ac:dyDescent="0.3">
      <c r="A2064" t="s">
        <v>552</v>
      </c>
      <c r="B2064" t="s">
        <v>666</v>
      </c>
      <c r="C2064" t="s">
        <v>632</v>
      </c>
      <c r="D2064" s="226">
        <v>-1152.06</v>
      </c>
      <c r="E2064" t="s">
        <v>667</v>
      </c>
    </row>
    <row r="2065" spans="1:5" hidden="1" x14ac:dyDescent="0.3">
      <c r="A2065" t="s">
        <v>552</v>
      </c>
      <c r="B2065" t="s">
        <v>666</v>
      </c>
      <c r="C2065" t="s">
        <v>633</v>
      </c>
      <c r="D2065" s="226">
        <v>0</v>
      </c>
      <c r="E2065" t="s">
        <v>667</v>
      </c>
    </row>
    <row r="2066" spans="1:5" hidden="1" x14ac:dyDescent="0.3">
      <c r="A2066" t="s">
        <v>552</v>
      </c>
      <c r="B2066" t="s">
        <v>666</v>
      </c>
      <c r="C2066" t="s">
        <v>634</v>
      </c>
      <c r="D2066" s="226">
        <v>0</v>
      </c>
      <c r="E2066" t="s">
        <v>667</v>
      </c>
    </row>
    <row r="2067" spans="1:5" hidden="1" x14ac:dyDescent="0.3">
      <c r="A2067" t="s">
        <v>552</v>
      </c>
      <c r="B2067" t="s">
        <v>666</v>
      </c>
      <c r="C2067" t="s">
        <v>635</v>
      </c>
      <c r="D2067" s="226">
        <v>0</v>
      </c>
      <c r="E2067" t="s">
        <v>667</v>
      </c>
    </row>
    <row r="2068" spans="1:5" hidden="1" x14ac:dyDescent="0.3">
      <c r="A2068" t="s">
        <v>552</v>
      </c>
      <c r="B2068" t="s">
        <v>666</v>
      </c>
      <c r="C2068" t="s">
        <v>636</v>
      </c>
      <c r="D2068" s="226">
        <v>0</v>
      </c>
      <c r="E2068" t="s">
        <v>667</v>
      </c>
    </row>
    <row r="2069" spans="1:5" hidden="1" x14ac:dyDescent="0.3">
      <c r="A2069" t="s">
        <v>552</v>
      </c>
      <c r="B2069" t="s">
        <v>666</v>
      </c>
      <c r="C2069" t="s">
        <v>637</v>
      </c>
      <c r="D2069" s="226">
        <v>-15000</v>
      </c>
      <c r="E2069" t="s">
        <v>667</v>
      </c>
    </row>
    <row r="2070" spans="1:5" hidden="1" x14ac:dyDescent="0.3">
      <c r="A2070" t="s">
        <v>552</v>
      </c>
      <c r="B2070" t="s">
        <v>666</v>
      </c>
      <c r="C2070" t="s">
        <v>638</v>
      </c>
      <c r="D2070" s="226">
        <v>0</v>
      </c>
      <c r="E2070" t="s">
        <v>667</v>
      </c>
    </row>
    <row r="2071" spans="1:5" hidden="1" x14ac:dyDescent="0.3">
      <c r="A2071" t="s">
        <v>552</v>
      </c>
      <c r="B2071" t="s">
        <v>666</v>
      </c>
      <c r="C2071" t="s">
        <v>639</v>
      </c>
      <c r="D2071" s="226">
        <v>-1831.5</v>
      </c>
      <c r="E2071" t="s">
        <v>667</v>
      </c>
    </row>
    <row r="2072" spans="1:5" hidden="1" x14ac:dyDescent="0.3">
      <c r="A2072" t="s">
        <v>552</v>
      </c>
      <c r="B2072" t="s">
        <v>666</v>
      </c>
      <c r="C2072" t="s">
        <v>640</v>
      </c>
      <c r="D2072" s="226">
        <v>0</v>
      </c>
      <c r="E2072" t="s">
        <v>667</v>
      </c>
    </row>
    <row r="2073" spans="1:5" hidden="1" x14ac:dyDescent="0.3">
      <c r="A2073" t="s">
        <v>552</v>
      </c>
      <c r="B2073" t="s">
        <v>666</v>
      </c>
      <c r="C2073" t="s">
        <v>641</v>
      </c>
      <c r="D2073" s="226">
        <v>0</v>
      </c>
      <c r="E2073" t="s">
        <v>667</v>
      </c>
    </row>
    <row r="2074" spans="1:5" hidden="1" x14ac:dyDescent="0.3">
      <c r="A2074" t="s">
        <v>552</v>
      </c>
      <c r="B2074" t="s">
        <v>666</v>
      </c>
      <c r="C2074" t="s">
        <v>237</v>
      </c>
      <c r="D2074" s="226">
        <v>-9886.64</v>
      </c>
      <c r="E2074" t="s">
        <v>667</v>
      </c>
    </row>
    <row r="2075" spans="1:5" hidden="1" x14ac:dyDescent="0.3">
      <c r="A2075" t="s">
        <v>552</v>
      </c>
      <c r="B2075" t="s">
        <v>666</v>
      </c>
      <c r="C2075" t="s">
        <v>642</v>
      </c>
      <c r="D2075" s="226">
        <v>-9886.64</v>
      </c>
      <c r="E2075" t="s">
        <v>667</v>
      </c>
    </row>
    <row r="2076" spans="1:5" hidden="1" x14ac:dyDescent="0.3">
      <c r="A2076" t="s">
        <v>552</v>
      </c>
      <c r="B2076" t="s">
        <v>666</v>
      </c>
      <c r="C2076" t="s">
        <v>643</v>
      </c>
      <c r="D2076" s="226">
        <v>0</v>
      </c>
      <c r="E2076" t="s">
        <v>667</v>
      </c>
    </row>
    <row r="2077" spans="1:5" hidden="1" x14ac:dyDescent="0.3">
      <c r="A2077" t="s">
        <v>552</v>
      </c>
      <c r="B2077" t="s">
        <v>666</v>
      </c>
      <c r="C2077" t="s">
        <v>644</v>
      </c>
      <c r="D2077" s="226">
        <v>0</v>
      </c>
      <c r="E2077" t="s">
        <v>667</v>
      </c>
    </row>
    <row r="2078" spans="1:5" hidden="1" x14ac:dyDescent="0.3">
      <c r="A2078" t="s">
        <v>552</v>
      </c>
      <c r="B2078" t="s">
        <v>666</v>
      </c>
      <c r="C2078" t="s">
        <v>645</v>
      </c>
      <c r="D2078" s="226">
        <v>0</v>
      </c>
      <c r="E2078" t="s">
        <v>667</v>
      </c>
    </row>
    <row r="2079" spans="1:5" hidden="1" x14ac:dyDescent="0.3">
      <c r="A2079" t="s">
        <v>552</v>
      </c>
      <c r="B2079" t="s">
        <v>666</v>
      </c>
      <c r="C2079" t="s">
        <v>646</v>
      </c>
      <c r="D2079" s="226">
        <v>0</v>
      </c>
      <c r="E2079" t="s">
        <v>667</v>
      </c>
    </row>
    <row r="2080" spans="1:5" hidden="1" x14ac:dyDescent="0.3">
      <c r="A2080" t="s">
        <v>552</v>
      </c>
      <c r="B2080" t="s">
        <v>666</v>
      </c>
      <c r="C2080" t="s">
        <v>244</v>
      </c>
      <c r="D2080" s="226">
        <v>-26654.26</v>
      </c>
      <c r="E2080" t="s">
        <v>667</v>
      </c>
    </row>
    <row r="2081" spans="1:5" hidden="1" x14ac:dyDescent="0.3">
      <c r="A2081" t="s">
        <v>552</v>
      </c>
      <c r="B2081" t="s">
        <v>666</v>
      </c>
      <c r="C2081" t="s">
        <v>647</v>
      </c>
      <c r="D2081" s="226">
        <v>-222</v>
      </c>
      <c r="E2081" t="s">
        <v>667</v>
      </c>
    </row>
    <row r="2082" spans="1:5" hidden="1" x14ac:dyDescent="0.3">
      <c r="A2082" t="s">
        <v>552</v>
      </c>
      <c r="B2082" t="s">
        <v>666</v>
      </c>
      <c r="C2082" t="s">
        <v>648</v>
      </c>
      <c r="D2082" s="226">
        <v>-331.37</v>
      </c>
      <c r="E2082" t="s">
        <v>667</v>
      </c>
    </row>
    <row r="2083" spans="1:5" hidden="1" x14ac:dyDescent="0.3">
      <c r="A2083" t="s">
        <v>552</v>
      </c>
      <c r="B2083" t="s">
        <v>666</v>
      </c>
      <c r="C2083" t="s">
        <v>649</v>
      </c>
      <c r="D2083" s="226">
        <v>0</v>
      </c>
      <c r="E2083" t="s">
        <v>667</v>
      </c>
    </row>
    <row r="2084" spans="1:5" hidden="1" x14ac:dyDescent="0.3">
      <c r="A2084" t="s">
        <v>552</v>
      </c>
      <c r="B2084" t="s">
        <v>666</v>
      </c>
      <c r="C2084" t="s">
        <v>650</v>
      </c>
      <c r="D2084" s="226">
        <v>0</v>
      </c>
      <c r="E2084" t="s">
        <v>667</v>
      </c>
    </row>
    <row r="2085" spans="1:5" hidden="1" x14ac:dyDescent="0.3">
      <c r="A2085" t="s">
        <v>552</v>
      </c>
      <c r="B2085" t="s">
        <v>666</v>
      </c>
      <c r="C2085" t="s">
        <v>651</v>
      </c>
      <c r="D2085" s="226">
        <v>0</v>
      </c>
      <c r="E2085" t="s">
        <v>667</v>
      </c>
    </row>
    <row r="2086" spans="1:5" hidden="1" x14ac:dyDescent="0.3">
      <c r="A2086" t="s">
        <v>552</v>
      </c>
      <c r="B2086" t="s">
        <v>666</v>
      </c>
      <c r="C2086" t="s">
        <v>652</v>
      </c>
      <c r="D2086" s="226">
        <v>-26100.89</v>
      </c>
      <c r="E2086" t="s">
        <v>667</v>
      </c>
    </row>
    <row r="2087" spans="1:5" hidden="1" x14ac:dyDescent="0.3">
      <c r="A2087" t="s">
        <v>552</v>
      </c>
      <c r="B2087" t="s">
        <v>666</v>
      </c>
      <c r="C2087" t="s">
        <v>653</v>
      </c>
      <c r="D2087" s="226">
        <v>0</v>
      </c>
      <c r="E2087" t="s">
        <v>667</v>
      </c>
    </row>
    <row r="2088" spans="1:5" hidden="1" x14ac:dyDescent="0.3">
      <c r="A2088" t="s">
        <v>552</v>
      </c>
      <c r="B2088" t="s">
        <v>666</v>
      </c>
      <c r="C2088" t="s">
        <v>253</v>
      </c>
      <c r="D2088" s="226">
        <v>-0.21</v>
      </c>
      <c r="E2088" t="s">
        <v>667</v>
      </c>
    </row>
    <row r="2089" spans="1:5" hidden="1" x14ac:dyDescent="0.3">
      <c r="A2089" t="s">
        <v>552</v>
      </c>
      <c r="B2089" t="s">
        <v>666</v>
      </c>
      <c r="C2089" t="s">
        <v>254</v>
      </c>
      <c r="D2089" s="226">
        <v>-0.18</v>
      </c>
      <c r="E2089" t="s">
        <v>667</v>
      </c>
    </row>
    <row r="2090" spans="1:5" hidden="1" x14ac:dyDescent="0.3">
      <c r="A2090" t="s">
        <v>552</v>
      </c>
      <c r="B2090" t="s">
        <v>666</v>
      </c>
      <c r="C2090" t="s">
        <v>255</v>
      </c>
      <c r="D2090" s="226">
        <v>-35679.31</v>
      </c>
      <c r="E2090" t="s">
        <v>667</v>
      </c>
    </row>
    <row r="2091" spans="1:5" hidden="1" x14ac:dyDescent="0.3">
      <c r="A2091" t="s">
        <v>552</v>
      </c>
      <c r="B2091" t="s">
        <v>666</v>
      </c>
      <c r="C2091" t="s">
        <v>256</v>
      </c>
      <c r="D2091" s="226">
        <v>-22875.41</v>
      </c>
      <c r="E2091" t="s">
        <v>667</v>
      </c>
    </row>
    <row r="2092" spans="1:5" hidden="1" x14ac:dyDescent="0.3">
      <c r="A2092" t="s">
        <v>552</v>
      </c>
      <c r="B2092" t="s">
        <v>666</v>
      </c>
      <c r="C2092" t="s">
        <v>257</v>
      </c>
      <c r="D2092" s="226">
        <v>-10773.67</v>
      </c>
      <c r="E2092" t="s">
        <v>667</v>
      </c>
    </row>
    <row r="2093" spans="1:5" hidden="1" x14ac:dyDescent="0.3">
      <c r="A2093" t="s">
        <v>552</v>
      </c>
      <c r="B2093" t="s">
        <v>666</v>
      </c>
      <c r="C2093" t="s">
        <v>258</v>
      </c>
      <c r="D2093" s="226">
        <v>-1729.93</v>
      </c>
      <c r="E2093" t="s">
        <v>667</v>
      </c>
    </row>
    <row r="2094" spans="1:5" hidden="1" x14ac:dyDescent="0.3">
      <c r="A2094" t="s">
        <v>552</v>
      </c>
      <c r="B2094" t="s">
        <v>666</v>
      </c>
      <c r="C2094" t="s">
        <v>259</v>
      </c>
      <c r="D2094" s="226">
        <v>-300.3</v>
      </c>
      <c r="E2094" t="s">
        <v>667</v>
      </c>
    </row>
    <row r="2095" spans="1:5" hidden="1" x14ac:dyDescent="0.3">
      <c r="A2095" t="s">
        <v>552</v>
      </c>
      <c r="B2095" t="s">
        <v>666</v>
      </c>
      <c r="C2095" t="s">
        <v>260</v>
      </c>
      <c r="D2095" s="226">
        <v>0</v>
      </c>
      <c r="E2095" t="s">
        <v>667</v>
      </c>
    </row>
    <row r="2096" spans="1:5" hidden="1" x14ac:dyDescent="0.3">
      <c r="A2096" t="s">
        <v>552</v>
      </c>
      <c r="B2096" t="s">
        <v>666</v>
      </c>
      <c r="C2096" t="s">
        <v>261</v>
      </c>
      <c r="D2096" s="226">
        <v>0</v>
      </c>
      <c r="E2096" t="s">
        <v>667</v>
      </c>
    </row>
    <row r="2097" spans="1:5" hidden="1" x14ac:dyDescent="0.3">
      <c r="A2097" t="s">
        <v>552</v>
      </c>
      <c r="B2097" t="s">
        <v>666</v>
      </c>
      <c r="C2097" t="s">
        <v>262</v>
      </c>
      <c r="D2097" s="226">
        <v>0</v>
      </c>
      <c r="E2097" t="s">
        <v>667</v>
      </c>
    </row>
    <row r="2098" spans="1:5" hidden="1" x14ac:dyDescent="0.3">
      <c r="A2098" t="s">
        <v>552</v>
      </c>
      <c r="B2098" t="s">
        <v>666</v>
      </c>
      <c r="C2098" t="s">
        <v>44</v>
      </c>
      <c r="D2098" s="226">
        <v>-0.03</v>
      </c>
      <c r="E2098" t="s">
        <v>667</v>
      </c>
    </row>
    <row r="2099" spans="1:5" hidden="1" x14ac:dyDescent="0.3">
      <c r="A2099" t="s">
        <v>552</v>
      </c>
      <c r="B2099" t="s">
        <v>666</v>
      </c>
      <c r="C2099" t="s">
        <v>263</v>
      </c>
      <c r="D2099" s="226">
        <v>-80053.570000000007</v>
      </c>
      <c r="E2099" t="s">
        <v>667</v>
      </c>
    </row>
    <row r="2100" spans="1:5" hidden="1" x14ac:dyDescent="0.3">
      <c r="A2100" t="s">
        <v>552</v>
      </c>
      <c r="B2100" t="s">
        <v>666</v>
      </c>
      <c r="C2100" t="s">
        <v>264</v>
      </c>
      <c r="D2100" s="226">
        <v>-15480</v>
      </c>
      <c r="E2100" t="s">
        <v>667</v>
      </c>
    </row>
    <row r="2101" spans="1:5" hidden="1" x14ac:dyDescent="0.3">
      <c r="A2101" t="s">
        <v>552</v>
      </c>
      <c r="B2101" t="s">
        <v>666</v>
      </c>
      <c r="C2101" t="s">
        <v>265</v>
      </c>
      <c r="D2101" s="226">
        <v>-14089.62</v>
      </c>
      <c r="E2101" t="s">
        <v>667</v>
      </c>
    </row>
    <row r="2102" spans="1:5" hidden="1" x14ac:dyDescent="0.3">
      <c r="A2102" t="s">
        <v>552</v>
      </c>
      <c r="B2102" t="s">
        <v>666</v>
      </c>
      <c r="C2102" t="s">
        <v>266</v>
      </c>
      <c r="D2102" s="226">
        <v>-13452.14</v>
      </c>
      <c r="E2102" t="s">
        <v>667</v>
      </c>
    </row>
    <row r="2103" spans="1:5" hidden="1" x14ac:dyDescent="0.3">
      <c r="A2103" t="s">
        <v>552</v>
      </c>
      <c r="B2103" t="s">
        <v>666</v>
      </c>
      <c r="C2103" t="s">
        <v>267</v>
      </c>
      <c r="D2103" s="226">
        <v>-19054.13</v>
      </c>
      <c r="E2103" t="s">
        <v>667</v>
      </c>
    </row>
    <row r="2104" spans="1:5" hidden="1" x14ac:dyDescent="0.3">
      <c r="A2104" t="s">
        <v>552</v>
      </c>
      <c r="B2104" t="s">
        <v>666</v>
      </c>
      <c r="C2104" t="s">
        <v>268</v>
      </c>
      <c r="D2104" s="226">
        <v>-30</v>
      </c>
      <c r="E2104" t="s">
        <v>667</v>
      </c>
    </row>
    <row r="2105" spans="1:5" hidden="1" x14ac:dyDescent="0.3">
      <c r="A2105" t="s">
        <v>552</v>
      </c>
      <c r="B2105" t="s">
        <v>666</v>
      </c>
      <c r="C2105" t="s">
        <v>269</v>
      </c>
      <c r="D2105" s="226">
        <v>-580</v>
      </c>
      <c r="E2105" t="s">
        <v>667</v>
      </c>
    </row>
    <row r="2106" spans="1:5" hidden="1" x14ac:dyDescent="0.3">
      <c r="A2106" t="s">
        <v>552</v>
      </c>
      <c r="B2106" t="s">
        <v>666</v>
      </c>
      <c r="C2106" t="s">
        <v>270</v>
      </c>
      <c r="D2106" s="226">
        <v>-3519.18</v>
      </c>
      <c r="E2106" t="s">
        <v>667</v>
      </c>
    </row>
    <row r="2107" spans="1:5" hidden="1" x14ac:dyDescent="0.3">
      <c r="A2107" t="s">
        <v>552</v>
      </c>
      <c r="B2107" t="s">
        <v>666</v>
      </c>
      <c r="C2107" t="s">
        <v>271</v>
      </c>
      <c r="D2107" s="226">
        <v>-2629.84</v>
      </c>
      <c r="E2107" t="s">
        <v>667</v>
      </c>
    </row>
    <row r="2108" spans="1:5" hidden="1" x14ac:dyDescent="0.3">
      <c r="A2108" t="s">
        <v>552</v>
      </c>
      <c r="B2108" t="s">
        <v>666</v>
      </c>
      <c r="C2108" t="s">
        <v>272</v>
      </c>
      <c r="D2108" s="226">
        <v>0</v>
      </c>
      <c r="E2108" t="s">
        <v>667</v>
      </c>
    </row>
    <row r="2109" spans="1:5" hidden="1" x14ac:dyDescent="0.3">
      <c r="A2109" t="s">
        <v>552</v>
      </c>
      <c r="B2109" t="s">
        <v>666</v>
      </c>
      <c r="C2109" t="s">
        <v>273</v>
      </c>
      <c r="D2109" s="226">
        <v>0</v>
      </c>
      <c r="E2109" t="s">
        <v>667</v>
      </c>
    </row>
    <row r="2110" spans="1:5" hidden="1" x14ac:dyDescent="0.3">
      <c r="A2110" t="s">
        <v>552</v>
      </c>
      <c r="B2110" t="s">
        <v>666</v>
      </c>
      <c r="C2110" t="s">
        <v>274</v>
      </c>
      <c r="D2110" s="226">
        <v>-294.95999999999998</v>
      </c>
      <c r="E2110" t="s">
        <v>667</v>
      </c>
    </row>
    <row r="2111" spans="1:5" hidden="1" x14ac:dyDescent="0.3">
      <c r="A2111" t="s">
        <v>552</v>
      </c>
      <c r="B2111" t="s">
        <v>666</v>
      </c>
      <c r="C2111" t="s">
        <v>275</v>
      </c>
      <c r="D2111" s="226">
        <v>-2300</v>
      </c>
      <c r="E2111" t="s">
        <v>667</v>
      </c>
    </row>
    <row r="2112" spans="1:5" hidden="1" x14ac:dyDescent="0.3">
      <c r="A2112" t="s">
        <v>552</v>
      </c>
      <c r="B2112" t="s">
        <v>666</v>
      </c>
      <c r="C2112" t="s">
        <v>276</v>
      </c>
      <c r="D2112" s="226">
        <v>0</v>
      </c>
      <c r="E2112" t="s">
        <v>667</v>
      </c>
    </row>
    <row r="2113" spans="1:5" hidden="1" x14ac:dyDescent="0.3">
      <c r="A2113" t="s">
        <v>552</v>
      </c>
      <c r="B2113" t="s">
        <v>666</v>
      </c>
      <c r="C2113" t="s">
        <v>277</v>
      </c>
      <c r="D2113" s="226">
        <v>-8623.7000000000007</v>
      </c>
      <c r="E2113" t="s">
        <v>667</v>
      </c>
    </row>
    <row r="2114" spans="1:5" hidden="1" x14ac:dyDescent="0.3">
      <c r="A2114" t="s">
        <v>552</v>
      </c>
      <c r="B2114" t="s">
        <v>666</v>
      </c>
      <c r="C2114" t="s">
        <v>44</v>
      </c>
      <c r="D2114" s="226">
        <v>-0.06</v>
      </c>
      <c r="E2114" t="s">
        <v>667</v>
      </c>
    </row>
    <row r="2115" spans="1:5" hidden="1" x14ac:dyDescent="0.3">
      <c r="A2115" t="s">
        <v>552</v>
      </c>
      <c r="B2115" t="s">
        <v>666</v>
      </c>
      <c r="C2115" t="s">
        <v>278</v>
      </c>
      <c r="D2115" s="226">
        <v>-7479.6</v>
      </c>
      <c r="E2115" t="s">
        <v>667</v>
      </c>
    </row>
    <row r="2116" spans="1:5" hidden="1" x14ac:dyDescent="0.3">
      <c r="A2116" t="s">
        <v>552</v>
      </c>
      <c r="B2116" t="s">
        <v>666</v>
      </c>
      <c r="C2116" t="s">
        <v>279</v>
      </c>
      <c r="D2116" s="226">
        <v>0</v>
      </c>
      <c r="E2116" t="s">
        <v>667</v>
      </c>
    </row>
    <row r="2117" spans="1:5" hidden="1" x14ac:dyDescent="0.3">
      <c r="A2117" t="s">
        <v>552</v>
      </c>
      <c r="B2117" t="s">
        <v>666</v>
      </c>
      <c r="C2117" t="s">
        <v>280</v>
      </c>
      <c r="D2117" s="226">
        <v>-532.11</v>
      </c>
      <c r="E2117" t="s">
        <v>667</v>
      </c>
    </row>
    <row r="2118" spans="1:5" hidden="1" x14ac:dyDescent="0.3">
      <c r="A2118" t="s">
        <v>552</v>
      </c>
      <c r="B2118" t="s">
        <v>666</v>
      </c>
      <c r="C2118" t="s">
        <v>281</v>
      </c>
      <c r="D2118" s="226">
        <v>0</v>
      </c>
      <c r="E2118" t="s">
        <v>667</v>
      </c>
    </row>
    <row r="2119" spans="1:5" hidden="1" x14ac:dyDescent="0.3">
      <c r="A2119" t="s">
        <v>552</v>
      </c>
      <c r="B2119" t="s">
        <v>666</v>
      </c>
      <c r="C2119" t="s">
        <v>282</v>
      </c>
      <c r="D2119" s="226">
        <v>-815</v>
      </c>
      <c r="E2119" t="s">
        <v>667</v>
      </c>
    </row>
    <row r="2120" spans="1:5" hidden="1" x14ac:dyDescent="0.3">
      <c r="A2120" t="s">
        <v>552</v>
      </c>
      <c r="B2120" t="s">
        <v>666</v>
      </c>
      <c r="C2120" t="s">
        <v>283</v>
      </c>
      <c r="D2120" s="226">
        <v>-6132.49</v>
      </c>
      <c r="E2120" t="s">
        <v>667</v>
      </c>
    </row>
    <row r="2121" spans="1:5" hidden="1" x14ac:dyDescent="0.3">
      <c r="A2121" t="s">
        <v>552</v>
      </c>
      <c r="B2121" t="s">
        <v>666</v>
      </c>
      <c r="C2121" t="s">
        <v>284</v>
      </c>
      <c r="D2121" s="226">
        <v>0</v>
      </c>
      <c r="E2121" t="s">
        <v>667</v>
      </c>
    </row>
    <row r="2122" spans="1:5" hidden="1" x14ac:dyDescent="0.3">
      <c r="A2122" t="s">
        <v>552</v>
      </c>
      <c r="B2122" t="s">
        <v>666</v>
      </c>
      <c r="C2122" t="s">
        <v>285</v>
      </c>
      <c r="D2122" s="226">
        <v>0</v>
      </c>
      <c r="E2122" t="s">
        <v>667</v>
      </c>
    </row>
    <row r="2123" spans="1:5" hidden="1" x14ac:dyDescent="0.3">
      <c r="A2123" t="s">
        <v>552</v>
      </c>
      <c r="B2123" t="s">
        <v>666</v>
      </c>
      <c r="C2123" t="s">
        <v>44</v>
      </c>
      <c r="D2123" s="226">
        <v>-0.01</v>
      </c>
      <c r="E2123" t="s">
        <v>667</v>
      </c>
    </row>
    <row r="2124" spans="1:5" hidden="1" x14ac:dyDescent="0.3">
      <c r="A2124" t="s">
        <v>552</v>
      </c>
      <c r="B2124" t="s">
        <v>666</v>
      </c>
      <c r="C2124" t="s">
        <v>286</v>
      </c>
      <c r="D2124" s="226">
        <v>-8239.19</v>
      </c>
      <c r="E2124" t="s">
        <v>667</v>
      </c>
    </row>
    <row r="2125" spans="1:5" hidden="1" x14ac:dyDescent="0.3">
      <c r="A2125" t="s">
        <v>552</v>
      </c>
      <c r="B2125" t="s">
        <v>666</v>
      </c>
      <c r="C2125" t="s">
        <v>287</v>
      </c>
      <c r="D2125" s="226">
        <v>-8143.91</v>
      </c>
      <c r="E2125" t="s">
        <v>667</v>
      </c>
    </row>
    <row r="2126" spans="1:5" hidden="1" x14ac:dyDescent="0.3">
      <c r="A2126" t="s">
        <v>552</v>
      </c>
      <c r="B2126" t="s">
        <v>666</v>
      </c>
      <c r="C2126" t="s">
        <v>288</v>
      </c>
      <c r="D2126" s="226">
        <v>0</v>
      </c>
      <c r="E2126" t="s">
        <v>667</v>
      </c>
    </row>
    <row r="2127" spans="1:5" hidden="1" x14ac:dyDescent="0.3">
      <c r="A2127" t="s">
        <v>552</v>
      </c>
      <c r="B2127" t="s">
        <v>666</v>
      </c>
      <c r="C2127" t="s">
        <v>289</v>
      </c>
      <c r="D2127" s="226">
        <v>0</v>
      </c>
      <c r="E2127" t="s">
        <v>667</v>
      </c>
    </row>
    <row r="2128" spans="1:5" hidden="1" x14ac:dyDescent="0.3">
      <c r="A2128" t="s">
        <v>552</v>
      </c>
      <c r="B2128" t="s">
        <v>666</v>
      </c>
      <c r="C2128" t="s">
        <v>290</v>
      </c>
      <c r="D2128" s="226">
        <v>0</v>
      </c>
      <c r="E2128" t="s">
        <v>667</v>
      </c>
    </row>
    <row r="2129" spans="1:5" hidden="1" x14ac:dyDescent="0.3">
      <c r="A2129" t="s">
        <v>552</v>
      </c>
      <c r="B2129" t="s">
        <v>666</v>
      </c>
      <c r="C2129" t="s">
        <v>291</v>
      </c>
      <c r="D2129" s="226">
        <v>0</v>
      </c>
      <c r="E2129" t="s">
        <v>667</v>
      </c>
    </row>
    <row r="2130" spans="1:5" hidden="1" x14ac:dyDescent="0.3">
      <c r="A2130" t="s">
        <v>552</v>
      </c>
      <c r="B2130" t="s">
        <v>666</v>
      </c>
      <c r="C2130" t="s">
        <v>292</v>
      </c>
      <c r="D2130" s="226">
        <v>-81.63</v>
      </c>
      <c r="E2130" t="s">
        <v>667</v>
      </c>
    </row>
    <row r="2131" spans="1:5" hidden="1" x14ac:dyDescent="0.3">
      <c r="A2131" t="s">
        <v>552</v>
      </c>
      <c r="B2131" t="s">
        <v>666</v>
      </c>
      <c r="C2131" t="s">
        <v>293</v>
      </c>
      <c r="D2131" s="226">
        <v>-13.65</v>
      </c>
      <c r="E2131" t="s">
        <v>667</v>
      </c>
    </row>
    <row r="2132" spans="1:5" hidden="1" x14ac:dyDescent="0.3">
      <c r="A2132" t="s">
        <v>552</v>
      </c>
      <c r="B2132" t="s">
        <v>666</v>
      </c>
      <c r="C2132" t="s">
        <v>294</v>
      </c>
      <c r="D2132" s="226">
        <v>0</v>
      </c>
      <c r="E2132" t="s">
        <v>667</v>
      </c>
    </row>
    <row r="2133" spans="1:5" hidden="1" x14ac:dyDescent="0.3">
      <c r="A2133" t="s">
        <v>552</v>
      </c>
      <c r="B2133" t="s">
        <v>666</v>
      </c>
      <c r="C2133" t="s">
        <v>44</v>
      </c>
      <c r="D2133" s="226">
        <v>-0.01</v>
      </c>
      <c r="E2133" t="s">
        <v>667</v>
      </c>
    </row>
    <row r="2134" spans="1:5" hidden="1" x14ac:dyDescent="0.3">
      <c r="A2134" t="s">
        <v>552</v>
      </c>
      <c r="B2134" t="s">
        <v>666</v>
      </c>
      <c r="C2134" t="s">
        <v>295</v>
      </c>
      <c r="D2134" s="226">
        <v>-18115.7</v>
      </c>
      <c r="E2134" t="s">
        <v>667</v>
      </c>
    </row>
    <row r="2135" spans="1:5" hidden="1" x14ac:dyDescent="0.3">
      <c r="A2135" t="s">
        <v>552</v>
      </c>
      <c r="B2135" t="s">
        <v>666</v>
      </c>
      <c r="C2135" t="s">
        <v>296</v>
      </c>
      <c r="D2135" s="226">
        <v>-12750</v>
      </c>
      <c r="E2135" t="s">
        <v>667</v>
      </c>
    </row>
    <row r="2136" spans="1:5" hidden="1" x14ac:dyDescent="0.3">
      <c r="A2136" t="s">
        <v>552</v>
      </c>
      <c r="B2136" t="s">
        <v>666</v>
      </c>
      <c r="C2136" t="s">
        <v>297</v>
      </c>
      <c r="D2136" s="226">
        <v>-460</v>
      </c>
      <c r="E2136" t="s">
        <v>667</v>
      </c>
    </row>
    <row r="2137" spans="1:5" hidden="1" x14ac:dyDescent="0.3">
      <c r="A2137" t="s">
        <v>552</v>
      </c>
      <c r="B2137" t="s">
        <v>666</v>
      </c>
      <c r="C2137" t="s">
        <v>298</v>
      </c>
      <c r="D2137" s="226">
        <v>0</v>
      </c>
      <c r="E2137" t="s">
        <v>667</v>
      </c>
    </row>
    <row r="2138" spans="1:5" hidden="1" x14ac:dyDescent="0.3">
      <c r="A2138" t="s">
        <v>552</v>
      </c>
      <c r="B2138" t="s">
        <v>666</v>
      </c>
      <c r="C2138" t="s">
        <v>299</v>
      </c>
      <c r="D2138" s="226">
        <v>0</v>
      </c>
      <c r="E2138" t="s">
        <v>667</v>
      </c>
    </row>
    <row r="2139" spans="1:5" hidden="1" x14ac:dyDescent="0.3">
      <c r="A2139" t="s">
        <v>552</v>
      </c>
      <c r="B2139" t="s">
        <v>666</v>
      </c>
      <c r="C2139" t="s">
        <v>300</v>
      </c>
      <c r="D2139" s="226">
        <v>-345.7</v>
      </c>
      <c r="E2139" t="s">
        <v>667</v>
      </c>
    </row>
    <row r="2140" spans="1:5" hidden="1" x14ac:dyDescent="0.3">
      <c r="A2140" t="s">
        <v>552</v>
      </c>
      <c r="B2140" t="s">
        <v>666</v>
      </c>
      <c r="C2140" t="s">
        <v>301</v>
      </c>
      <c r="D2140" s="226">
        <v>0</v>
      </c>
      <c r="E2140" t="s">
        <v>667</v>
      </c>
    </row>
    <row r="2141" spans="1:5" hidden="1" x14ac:dyDescent="0.3">
      <c r="A2141" t="s">
        <v>552</v>
      </c>
      <c r="B2141" t="s">
        <v>666</v>
      </c>
      <c r="C2141" t="s">
        <v>302</v>
      </c>
      <c r="D2141" s="226">
        <v>0</v>
      </c>
      <c r="E2141" t="s">
        <v>667</v>
      </c>
    </row>
    <row r="2142" spans="1:5" hidden="1" x14ac:dyDescent="0.3">
      <c r="A2142" t="s">
        <v>552</v>
      </c>
      <c r="B2142" t="s">
        <v>666</v>
      </c>
      <c r="C2142" t="s">
        <v>303</v>
      </c>
      <c r="D2142" s="226">
        <v>0</v>
      </c>
      <c r="E2142" t="s">
        <v>667</v>
      </c>
    </row>
    <row r="2143" spans="1:5" hidden="1" x14ac:dyDescent="0.3">
      <c r="A2143" t="s">
        <v>552</v>
      </c>
      <c r="B2143" t="s">
        <v>666</v>
      </c>
      <c r="C2143" t="s">
        <v>304</v>
      </c>
      <c r="D2143" s="226">
        <v>0</v>
      </c>
      <c r="E2143" t="s">
        <v>667</v>
      </c>
    </row>
    <row r="2144" spans="1:5" hidden="1" x14ac:dyDescent="0.3">
      <c r="A2144" t="s">
        <v>552</v>
      </c>
      <c r="B2144" t="s">
        <v>666</v>
      </c>
      <c r="C2144" t="s">
        <v>305</v>
      </c>
      <c r="D2144" s="226">
        <v>0</v>
      </c>
      <c r="E2144" t="s">
        <v>667</v>
      </c>
    </row>
    <row r="2145" spans="1:5" hidden="1" x14ac:dyDescent="0.3">
      <c r="A2145" t="s">
        <v>552</v>
      </c>
      <c r="B2145" t="s">
        <v>666</v>
      </c>
      <c r="C2145" t="s">
        <v>306</v>
      </c>
      <c r="D2145" s="226">
        <v>-4560</v>
      </c>
      <c r="E2145" t="s">
        <v>667</v>
      </c>
    </row>
    <row r="2146" spans="1:5" hidden="1" x14ac:dyDescent="0.3">
      <c r="A2146" t="s">
        <v>552</v>
      </c>
      <c r="B2146" t="s">
        <v>666</v>
      </c>
      <c r="C2146" t="s">
        <v>44</v>
      </c>
      <c r="D2146" s="226">
        <v>-0.01</v>
      </c>
      <c r="E2146" t="s">
        <v>667</v>
      </c>
    </row>
    <row r="2147" spans="1:5" hidden="1" x14ac:dyDescent="0.3">
      <c r="A2147" t="s">
        <v>552</v>
      </c>
      <c r="B2147" t="s">
        <v>666</v>
      </c>
      <c r="C2147" t="s">
        <v>307</v>
      </c>
      <c r="D2147" s="226">
        <v>-13436.27</v>
      </c>
      <c r="E2147" t="s">
        <v>667</v>
      </c>
    </row>
    <row r="2148" spans="1:5" hidden="1" x14ac:dyDescent="0.3">
      <c r="A2148" t="s">
        <v>552</v>
      </c>
      <c r="B2148" t="s">
        <v>666</v>
      </c>
      <c r="C2148" t="s">
        <v>308</v>
      </c>
      <c r="D2148" s="226">
        <v>-1412</v>
      </c>
      <c r="E2148" t="s">
        <v>667</v>
      </c>
    </row>
    <row r="2149" spans="1:5" hidden="1" x14ac:dyDescent="0.3">
      <c r="A2149" t="s">
        <v>552</v>
      </c>
      <c r="B2149" t="s">
        <v>666</v>
      </c>
      <c r="C2149" t="s">
        <v>309</v>
      </c>
      <c r="D2149" s="226">
        <v>0</v>
      </c>
      <c r="E2149" t="s">
        <v>667</v>
      </c>
    </row>
    <row r="2150" spans="1:5" hidden="1" x14ac:dyDescent="0.3">
      <c r="A2150" t="s">
        <v>552</v>
      </c>
      <c r="B2150" t="s">
        <v>666</v>
      </c>
      <c r="C2150" t="s">
        <v>310</v>
      </c>
      <c r="D2150" s="226">
        <v>-1194.27</v>
      </c>
      <c r="E2150" t="s">
        <v>667</v>
      </c>
    </row>
    <row r="2151" spans="1:5" hidden="1" x14ac:dyDescent="0.3">
      <c r="A2151" t="s">
        <v>552</v>
      </c>
      <c r="B2151" t="s">
        <v>666</v>
      </c>
      <c r="C2151" t="s">
        <v>311</v>
      </c>
      <c r="D2151" s="226">
        <v>0</v>
      </c>
      <c r="E2151" t="s">
        <v>667</v>
      </c>
    </row>
    <row r="2152" spans="1:5" hidden="1" x14ac:dyDescent="0.3">
      <c r="A2152" t="s">
        <v>552</v>
      </c>
      <c r="B2152" t="s">
        <v>666</v>
      </c>
      <c r="C2152" t="s">
        <v>312</v>
      </c>
      <c r="D2152" s="226">
        <v>0</v>
      </c>
      <c r="E2152" t="s">
        <v>667</v>
      </c>
    </row>
    <row r="2153" spans="1:5" hidden="1" x14ac:dyDescent="0.3">
      <c r="A2153" t="s">
        <v>552</v>
      </c>
      <c r="B2153" t="s">
        <v>666</v>
      </c>
      <c r="C2153" t="s">
        <v>313</v>
      </c>
      <c r="D2153" s="226">
        <v>0</v>
      </c>
      <c r="E2153" t="s">
        <v>667</v>
      </c>
    </row>
    <row r="2154" spans="1:5" hidden="1" x14ac:dyDescent="0.3">
      <c r="A2154" t="s">
        <v>552</v>
      </c>
      <c r="B2154" t="s">
        <v>666</v>
      </c>
      <c r="C2154" t="s">
        <v>314</v>
      </c>
      <c r="D2154" s="226">
        <v>0</v>
      </c>
      <c r="E2154" t="s">
        <v>667</v>
      </c>
    </row>
    <row r="2155" spans="1:5" hidden="1" x14ac:dyDescent="0.3">
      <c r="A2155" t="s">
        <v>552</v>
      </c>
      <c r="B2155" t="s">
        <v>666</v>
      </c>
      <c r="C2155" t="s">
        <v>315</v>
      </c>
      <c r="D2155" s="226">
        <v>-10830</v>
      </c>
      <c r="E2155" t="s">
        <v>667</v>
      </c>
    </row>
    <row r="2156" spans="1:5" hidden="1" x14ac:dyDescent="0.3">
      <c r="A2156" t="s">
        <v>552</v>
      </c>
      <c r="B2156" t="s">
        <v>666</v>
      </c>
      <c r="C2156" t="s">
        <v>316</v>
      </c>
      <c r="D2156" s="226">
        <v>0</v>
      </c>
      <c r="E2156" t="s">
        <v>667</v>
      </c>
    </row>
    <row r="2157" spans="1:5" hidden="1" x14ac:dyDescent="0.3">
      <c r="A2157" t="s">
        <v>552</v>
      </c>
      <c r="B2157" t="s">
        <v>666</v>
      </c>
      <c r="C2157" t="s">
        <v>44</v>
      </c>
      <c r="D2157" s="226">
        <v>-0.01</v>
      </c>
      <c r="E2157" t="s">
        <v>667</v>
      </c>
    </row>
    <row r="2158" spans="1:5" hidden="1" x14ac:dyDescent="0.3">
      <c r="A2158" t="s">
        <v>552</v>
      </c>
      <c r="B2158" t="s">
        <v>666</v>
      </c>
      <c r="C2158" t="s">
        <v>317</v>
      </c>
      <c r="D2158" s="226">
        <v>-5491.88</v>
      </c>
      <c r="E2158" t="s">
        <v>667</v>
      </c>
    </row>
    <row r="2159" spans="1:5" hidden="1" x14ac:dyDescent="0.3">
      <c r="A2159" t="s">
        <v>552</v>
      </c>
      <c r="B2159" t="s">
        <v>666</v>
      </c>
      <c r="C2159" t="s">
        <v>318</v>
      </c>
      <c r="D2159" s="226">
        <v>-5491.88</v>
      </c>
      <c r="E2159" t="s">
        <v>667</v>
      </c>
    </row>
    <row r="2160" spans="1:5" hidden="1" x14ac:dyDescent="0.3">
      <c r="A2160" t="s">
        <v>552</v>
      </c>
      <c r="B2160" t="s">
        <v>666</v>
      </c>
      <c r="C2160" t="s">
        <v>319</v>
      </c>
      <c r="D2160" s="226">
        <v>0</v>
      </c>
      <c r="E2160" t="s">
        <v>667</v>
      </c>
    </row>
    <row r="2161" spans="1:5" hidden="1" x14ac:dyDescent="0.3">
      <c r="A2161" t="s">
        <v>552</v>
      </c>
      <c r="B2161" t="s">
        <v>666</v>
      </c>
      <c r="C2161" t="s">
        <v>320</v>
      </c>
      <c r="D2161" s="226">
        <v>0</v>
      </c>
      <c r="E2161" t="s">
        <v>667</v>
      </c>
    </row>
    <row r="2162" spans="1:5" hidden="1" x14ac:dyDescent="0.3">
      <c r="A2162" t="s">
        <v>552</v>
      </c>
      <c r="B2162" t="s">
        <v>666</v>
      </c>
      <c r="C2162" t="s">
        <v>321</v>
      </c>
      <c r="D2162" s="226">
        <v>0</v>
      </c>
      <c r="E2162" t="s">
        <v>667</v>
      </c>
    </row>
    <row r="2163" spans="1:5" hidden="1" x14ac:dyDescent="0.3">
      <c r="A2163" t="s">
        <v>552</v>
      </c>
      <c r="B2163" t="s">
        <v>666</v>
      </c>
      <c r="C2163" t="s">
        <v>44</v>
      </c>
      <c r="D2163" s="226">
        <v>0</v>
      </c>
      <c r="E2163" t="s">
        <v>667</v>
      </c>
    </row>
    <row r="2164" spans="1:5" hidden="1" x14ac:dyDescent="0.3">
      <c r="A2164" t="s">
        <v>552</v>
      </c>
      <c r="B2164" t="s">
        <v>666</v>
      </c>
      <c r="C2164" t="s">
        <v>322</v>
      </c>
      <c r="D2164" s="226">
        <v>-64618.99</v>
      </c>
      <c r="E2164" t="s">
        <v>667</v>
      </c>
    </row>
    <row r="2165" spans="1:5" hidden="1" x14ac:dyDescent="0.3">
      <c r="A2165" t="s">
        <v>552</v>
      </c>
      <c r="B2165" t="s">
        <v>666</v>
      </c>
      <c r="C2165" t="s">
        <v>323</v>
      </c>
      <c r="D2165" s="226">
        <v>0</v>
      </c>
      <c r="E2165" t="s">
        <v>667</v>
      </c>
    </row>
    <row r="2166" spans="1:5" hidden="1" x14ac:dyDescent="0.3">
      <c r="A2166" t="s">
        <v>552</v>
      </c>
      <c r="B2166" t="s">
        <v>666</v>
      </c>
      <c r="C2166" t="s">
        <v>324</v>
      </c>
      <c r="D2166" s="226">
        <v>0</v>
      </c>
      <c r="E2166" t="s">
        <v>667</v>
      </c>
    </row>
    <row r="2167" spans="1:5" hidden="1" x14ac:dyDescent="0.3">
      <c r="A2167" t="s">
        <v>552</v>
      </c>
      <c r="B2167" t="s">
        <v>666</v>
      </c>
      <c r="C2167" t="s">
        <v>325</v>
      </c>
      <c r="D2167" s="226">
        <v>-64618.99</v>
      </c>
      <c r="E2167" t="s">
        <v>667</v>
      </c>
    </row>
    <row r="2168" spans="1:5" hidden="1" x14ac:dyDescent="0.3">
      <c r="A2168" t="s">
        <v>552</v>
      </c>
      <c r="B2168" t="s">
        <v>666</v>
      </c>
      <c r="C2168" t="s">
        <v>44</v>
      </c>
      <c r="D2168" s="226">
        <v>-0.05</v>
      </c>
      <c r="E2168" t="s">
        <v>667</v>
      </c>
    </row>
    <row r="2169" spans="1:5" hidden="1" x14ac:dyDescent="0.3">
      <c r="A2169" t="s">
        <v>552</v>
      </c>
      <c r="B2169" t="s">
        <v>666</v>
      </c>
      <c r="C2169" t="s">
        <v>327</v>
      </c>
      <c r="D2169" s="226">
        <v>-508813.29</v>
      </c>
      <c r="E2169" t="s">
        <v>667</v>
      </c>
    </row>
    <row r="2170" spans="1:5" hidden="1" x14ac:dyDescent="0.3">
      <c r="A2170" t="s">
        <v>552</v>
      </c>
      <c r="B2170" t="s">
        <v>666</v>
      </c>
      <c r="C2170" t="s">
        <v>44</v>
      </c>
      <c r="D2170" s="226">
        <v>-0.39</v>
      </c>
      <c r="E2170" t="s">
        <v>667</v>
      </c>
    </row>
    <row r="2171" spans="1:5" hidden="1" x14ac:dyDescent="0.3">
      <c r="A2171" t="s">
        <v>552</v>
      </c>
      <c r="B2171" t="s">
        <v>666</v>
      </c>
      <c r="C2171" t="s">
        <v>328</v>
      </c>
      <c r="D2171" s="226">
        <v>234668.32</v>
      </c>
      <c r="E2171" t="s">
        <v>667</v>
      </c>
    </row>
    <row r="2172" spans="1:5" hidden="1" x14ac:dyDescent="0.3">
      <c r="A2172" t="s">
        <v>552</v>
      </c>
      <c r="B2172" t="s">
        <v>666</v>
      </c>
      <c r="C2172" t="s">
        <v>44</v>
      </c>
      <c r="D2172" s="226">
        <v>0.18</v>
      </c>
      <c r="E2172" t="s">
        <v>667</v>
      </c>
    </row>
    <row r="2173" spans="1:5" hidden="1" x14ac:dyDescent="0.3">
      <c r="A2173" t="s">
        <v>552</v>
      </c>
      <c r="B2173" t="s">
        <v>666</v>
      </c>
      <c r="C2173" t="s">
        <v>329</v>
      </c>
      <c r="D2173" s="226">
        <v>0</v>
      </c>
      <c r="E2173" t="s">
        <v>667</v>
      </c>
    </row>
    <row r="2174" spans="1:5" hidden="1" x14ac:dyDescent="0.3">
      <c r="A2174" t="s">
        <v>552</v>
      </c>
      <c r="B2174" t="s">
        <v>666</v>
      </c>
      <c r="C2174" t="s">
        <v>331</v>
      </c>
      <c r="D2174" s="226">
        <v>234668.32</v>
      </c>
      <c r="E2174" t="s">
        <v>667</v>
      </c>
    </row>
    <row r="2175" spans="1:5" hidden="1" x14ac:dyDescent="0.3">
      <c r="A2175" t="s">
        <v>552</v>
      </c>
      <c r="B2175" t="s">
        <v>666</v>
      </c>
      <c r="C2175" t="s">
        <v>332</v>
      </c>
      <c r="D2175" s="226">
        <v>-659.54</v>
      </c>
      <c r="E2175" t="s">
        <v>667</v>
      </c>
    </row>
    <row r="2176" spans="1:5" hidden="1" x14ac:dyDescent="0.3">
      <c r="A2176" t="s">
        <v>552</v>
      </c>
      <c r="B2176" t="s">
        <v>666</v>
      </c>
      <c r="C2176" t="s">
        <v>333</v>
      </c>
      <c r="D2176" s="226">
        <v>5000</v>
      </c>
      <c r="E2176" t="s">
        <v>667</v>
      </c>
    </row>
    <row r="2177" spans="1:5" hidden="1" x14ac:dyDescent="0.3">
      <c r="A2177" t="s">
        <v>552</v>
      </c>
      <c r="B2177" t="s">
        <v>666</v>
      </c>
      <c r="C2177" t="s">
        <v>335</v>
      </c>
      <c r="D2177" s="226">
        <v>-60813.05</v>
      </c>
      <c r="E2177" t="s">
        <v>667</v>
      </c>
    </row>
    <row r="2178" spans="1:5" hidden="1" x14ac:dyDescent="0.3">
      <c r="A2178" t="s">
        <v>552</v>
      </c>
      <c r="B2178" t="s">
        <v>666</v>
      </c>
      <c r="C2178" t="s">
        <v>337</v>
      </c>
      <c r="D2178" s="226">
        <v>178195.73</v>
      </c>
      <c r="E2178" t="s">
        <v>667</v>
      </c>
    </row>
    <row r="2179" spans="1:5" hidden="1" x14ac:dyDescent="0.3">
      <c r="A2179" t="s">
        <v>552</v>
      </c>
      <c r="B2179" t="s">
        <v>666</v>
      </c>
      <c r="C2179" t="s">
        <v>338</v>
      </c>
      <c r="D2179" s="226">
        <v>-40555.53</v>
      </c>
      <c r="E2179" t="s">
        <v>667</v>
      </c>
    </row>
    <row r="2180" spans="1:5" hidden="1" x14ac:dyDescent="0.3">
      <c r="A2180" t="s">
        <v>552</v>
      </c>
      <c r="B2180" t="s">
        <v>666</v>
      </c>
      <c r="C2180" t="s">
        <v>341</v>
      </c>
      <c r="D2180" s="226">
        <v>-7782.21</v>
      </c>
      <c r="E2180" t="s">
        <v>667</v>
      </c>
    </row>
    <row r="2181" spans="1:5" hidden="1" x14ac:dyDescent="0.3">
      <c r="A2181" t="s">
        <v>552</v>
      </c>
      <c r="B2181" t="s">
        <v>666</v>
      </c>
      <c r="C2181" t="s">
        <v>343</v>
      </c>
      <c r="D2181" s="226">
        <v>-13153.17</v>
      </c>
      <c r="E2181" t="s">
        <v>667</v>
      </c>
    </row>
    <row r="2182" spans="1:5" hidden="1" x14ac:dyDescent="0.3">
      <c r="A2182" t="s">
        <v>552</v>
      </c>
      <c r="B2182" t="s">
        <v>666</v>
      </c>
      <c r="C2182" t="s">
        <v>344</v>
      </c>
      <c r="D2182" s="226">
        <v>-7782.29</v>
      </c>
      <c r="E2182" t="s">
        <v>667</v>
      </c>
    </row>
    <row r="2183" spans="1:5" hidden="1" x14ac:dyDescent="0.3">
      <c r="A2183" t="s">
        <v>552</v>
      </c>
      <c r="B2183" t="s">
        <v>666</v>
      </c>
      <c r="C2183" t="s">
        <v>345</v>
      </c>
      <c r="D2183" s="226">
        <v>-11837.86</v>
      </c>
      <c r="E2183" t="s">
        <v>667</v>
      </c>
    </row>
    <row r="2184" spans="1:5" hidden="1" x14ac:dyDescent="0.3">
      <c r="A2184" t="s">
        <v>552</v>
      </c>
      <c r="B2184" t="s">
        <v>666</v>
      </c>
      <c r="C2184" t="s">
        <v>346</v>
      </c>
      <c r="D2184" s="226">
        <v>137640.20000000001</v>
      </c>
      <c r="E2184" t="s">
        <v>667</v>
      </c>
    </row>
    <row r="2185" spans="1:5" hidden="1" x14ac:dyDescent="0.3">
      <c r="A2185" t="s">
        <v>552</v>
      </c>
      <c r="B2185" t="s">
        <v>666</v>
      </c>
      <c r="C2185" t="s">
        <v>44</v>
      </c>
      <c r="D2185" s="226">
        <v>0.11</v>
      </c>
      <c r="E2185" t="s">
        <v>667</v>
      </c>
    </row>
    <row r="2186" spans="1:5" hidden="1" x14ac:dyDescent="0.3">
      <c r="A2186" t="s">
        <v>552</v>
      </c>
      <c r="B2186" t="s">
        <v>666</v>
      </c>
      <c r="C2186" t="s">
        <v>347</v>
      </c>
      <c r="D2186" s="226">
        <v>-8466.43</v>
      </c>
      <c r="E2186" t="s">
        <v>667</v>
      </c>
    </row>
    <row r="2187" spans="1:5" hidden="1" x14ac:dyDescent="0.3">
      <c r="A2187" t="s">
        <v>552</v>
      </c>
      <c r="B2187" t="s">
        <v>666</v>
      </c>
      <c r="C2187" t="s">
        <v>654</v>
      </c>
      <c r="D2187" s="226">
        <v>-6580</v>
      </c>
      <c r="E2187" t="s">
        <v>667</v>
      </c>
    </row>
    <row r="2188" spans="1:5" hidden="1" x14ac:dyDescent="0.3">
      <c r="A2188" t="s">
        <v>552</v>
      </c>
      <c r="B2188" t="s">
        <v>666</v>
      </c>
      <c r="C2188" t="s">
        <v>349</v>
      </c>
      <c r="D2188" s="226">
        <v>-1886.43</v>
      </c>
      <c r="E2188" t="s">
        <v>667</v>
      </c>
    </row>
    <row r="2189" spans="1:5" hidden="1" x14ac:dyDescent="0.3">
      <c r="A2189" t="s">
        <v>552</v>
      </c>
      <c r="B2189" t="s">
        <v>666</v>
      </c>
      <c r="C2189" t="s">
        <v>350</v>
      </c>
      <c r="D2189" s="226">
        <v>0</v>
      </c>
      <c r="E2189" t="s">
        <v>667</v>
      </c>
    </row>
    <row r="2190" spans="1:5" hidden="1" x14ac:dyDescent="0.3">
      <c r="A2190" t="s">
        <v>552</v>
      </c>
      <c r="B2190" t="s">
        <v>666</v>
      </c>
      <c r="C2190" t="s">
        <v>351</v>
      </c>
      <c r="D2190" s="226">
        <v>0</v>
      </c>
      <c r="E2190" t="s">
        <v>667</v>
      </c>
    </row>
    <row r="2191" spans="1:5" hidden="1" x14ac:dyDescent="0.3">
      <c r="A2191" t="s">
        <v>552</v>
      </c>
      <c r="B2191" t="s">
        <v>666</v>
      </c>
      <c r="C2191" t="s">
        <v>352</v>
      </c>
      <c r="D2191" s="226">
        <v>0</v>
      </c>
      <c r="E2191" t="s">
        <v>667</v>
      </c>
    </row>
    <row r="2192" spans="1:5" hidden="1" x14ac:dyDescent="0.3">
      <c r="A2192" t="s">
        <v>552</v>
      </c>
      <c r="B2192" t="s">
        <v>666</v>
      </c>
      <c r="C2192" t="s">
        <v>353</v>
      </c>
      <c r="D2192" s="226">
        <v>0</v>
      </c>
      <c r="E2192" t="s">
        <v>667</v>
      </c>
    </row>
    <row r="2193" spans="1:5" hidden="1" x14ac:dyDescent="0.3">
      <c r="A2193" t="s">
        <v>552</v>
      </c>
      <c r="B2193" t="s">
        <v>666</v>
      </c>
      <c r="C2193" t="s">
        <v>354</v>
      </c>
      <c r="D2193" s="226">
        <v>0</v>
      </c>
      <c r="E2193" t="s">
        <v>667</v>
      </c>
    </row>
    <row r="2194" spans="1:5" hidden="1" x14ac:dyDescent="0.3">
      <c r="A2194" t="s">
        <v>552</v>
      </c>
      <c r="B2194" t="s">
        <v>666</v>
      </c>
      <c r="C2194" t="s">
        <v>355</v>
      </c>
      <c r="D2194" s="226">
        <v>0</v>
      </c>
      <c r="E2194" t="s">
        <v>667</v>
      </c>
    </row>
    <row r="2195" spans="1:5" hidden="1" x14ac:dyDescent="0.3">
      <c r="A2195" t="s">
        <v>552</v>
      </c>
      <c r="B2195" t="s">
        <v>666</v>
      </c>
      <c r="C2195" t="s">
        <v>356</v>
      </c>
      <c r="D2195" s="226">
        <v>0</v>
      </c>
      <c r="E2195" t="s">
        <v>667</v>
      </c>
    </row>
    <row r="2196" spans="1:5" hidden="1" x14ac:dyDescent="0.3">
      <c r="A2196" t="s">
        <v>552</v>
      </c>
      <c r="B2196" t="s">
        <v>666</v>
      </c>
      <c r="C2196" t="s">
        <v>357</v>
      </c>
      <c r="D2196" s="226">
        <v>0</v>
      </c>
      <c r="E2196" t="s">
        <v>667</v>
      </c>
    </row>
    <row r="2197" spans="1:5" hidden="1" x14ac:dyDescent="0.3">
      <c r="A2197" t="s">
        <v>552</v>
      </c>
      <c r="B2197" t="s">
        <v>666</v>
      </c>
      <c r="C2197" t="s">
        <v>358</v>
      </c>
      <c r="D2197" s="226">
        <v>0</v>
      </c>
      <c r="E2197" t="s">
        <v>667</v>
      </c>
    </row>
    <row r="2198" spans="1:5" hidden="1" x14ac:dyDescent="0.3">
      <c r="A2198" t="s">
        <v>552</v>
      </c>
      <c r="B2198" t="s">
        <v>666</v>
      </c>
      <c r="C2198" t="s">
        <v>359</v>
      </c>
      <c r="D2198" s="226">
        <v>0</v>
      </c>
      <c r="E2198" t="s">
        <v>667</v>
      </c>
    </row>
    <row r="2199" spans="1:5" hidden="1" x14ac:dyDescent="0.3">
      <c r="A2199" t="s">
        <v>552</v>
      </c>
      <c r="B2199" t="s">
        <v>666</v>
      </c>
      <c r="C2199" t="s">
        <v>360</v>
      </c>
      <c r="D2199" s="226">
        <v>0</v>
      </c>
      <c r="E2199" t="s">
        <v>667</v>
      </c>
    </row>
    <row r="2200" spans="1:5" hidden="1" x14ac:dyDescent="0.3">
      <c r="A2200" t="s">
        <v>552</v>
      </c>
      <c r="B2200" t="s">
        <v>666</v>
      </c>
      <c r="C2200" t="s">
        <v>361</v>
      </c>
      <c r="D2200" s="226">
        <v>0</v>
      </c>
      <c r="E2200" t="s">
        <v>667</v>
      </c>
    </row>
    <row r="2201" spans="1:5" hidden="1" x14ac:dyDescent="0.3">
      <c r="A2201" t="s">
        <v>552</v>
      </c>
      <c r="B2201" t="s">
        <v>666</v>
      </c>
      <c r="C2201" t="s">
        <v>362</v>
      </c>
      <c r="D2201" s="226">
        <v>0</v>
      </c>
      <c r="E2201" t="s">
        <v>667</v>
      </c>
    </row>
    <row r="2202" spans="1:5" hidden="1" x14ac:dyDescent="0.3">
      <c r="A2202" t="s">
        <v>552</v>
      </c>
      <c r="B2202" t="s">
        <v>666</v>
      </c>
      <c r="C2202" t="s">
        <v>363</v>
      </c>
      <c r="D2202" s="226">
        <v>0</v>
      </c>
      <c r="E2202" t="s">
        <v>667</v>
      </c>
    </row>
    <row r="2203" spans="1:5" hidden="1" x14ac:dyDescent="0.3">
      <c r="A2203" t="s">
        <v>552</v>
      </c>
      <c r="B2203" t="s">
        <v>666</v>
      </c>
      <c r="C2203" t="s">
        <v>364</v>
      </c>
      <c r="D2203" s="226">
        <v>0</v>
      </c>
      <c r="E2203" t="s">
        <v>667</v>
      </c>
    </row>
    <row r="2204" spans="1:5" hidden="1" x14ac:dyDescent="0.3">
      <c r="A2204" t="s">
        <v>552</v>
      </c>
      <c r="B2204" t="s">
        <v>666</v>
      </c>
      <c r="C2204" t="s">
        <v>365</v>
      </c>
      <c r="D2204" s="226">
        <v>0</v>
      </c>
      <c r="E2204" t="s">
        <v>667</v>
      </c>
    </row>
    <row r="2205" spans="1:5" hidden="1" x14ac:dyDescent="0.3">
      <c r="A2205" t="s">
        <v>552</v>
      </c>
      <c r="B2205" t="s">
        <v>666</v>
      </c>
      <c r="C2205" t="s">
        <v>366</v>
      </c>
      <c r="D2205" s="226">
        <v>0</v>
      </c>
      <c r="E2205" t="s">
        <v>667</v>
      </c>
    </row>
    <row r="2206" spans="1:5" hidden="1" x14ac:dyDescent="0.3">
      <c r="A2206" t="s">
        <v>552</v>
      </c>
      <c r="B2206" t="s">
        <v>666</v>
      </c>
      <c r="C2206" t="s">
        <v>367</v>
      </c>
      <c r="D2206" s="226">
        <v>0</v>
      </c>
      <c r="E2206" t="s">
        <v>667</v>
      </c>
    </row>
    <row r="2207" spans="1:5" hidden="1" x14ac:dyDescent="0.3">
      <c r="A2207" t="s">
        <v>552</v>
      </c>
      <c r="B2207" t="s">
        <v>666</v>
      </c>
      <c r="C2207" t="s">
        <v>368</v>
      </c>
      <c r="D2207" s="226">
        <v>0</v>
      </c>
      <c r="E2207" t="s">
        <v>667</v>
      </c>
    </row>
    <row r="2208" spans="1:5" hidden="1" x14ac:dyDescent="0.3">
      <c r="A2208" t="s">
        <v>552</v>
      </c>
      <c r="B2208" t="s">
        <v>666</v>
      </c>
      <c r="C2208" t="s">
        <v>369</v>
      </c>
      <c r="D2208" s="226">
        <v>0</v>
      </c>
      <c r="E2208" t="s">
        <v>667</v>
      </c>
    </row>
    <row r="2209" spans="1:5" hidden="1" x14ac:dyDescent="0.3">
      <c r="A2209" t="s">
        <v>552</v>
      </c>
      <c r="B2209" t="s">
        <v>666</v>
      </c>
      <c r="C2209" t="s">
        <v>370</v>
      </c>
      <c r="D2209" s="226">
        <v>0</v>
      </c>
      <c r="E2209" t="s">
        <v>667</v>
      </c>
    </row>
    <row r="2210" spans="1:5" hidden="1" x14ac:dyDescent="0.3">
      <c r="A2210" t="s">
        <v>552</v>
      </c>
      <c r="B2210" t="s">
        <v>666</v>
      </c>
      <c r="C2210" t="s">
        <v>371</v>
      </c>
      <c r="D2210" s="226">
        <v>0</v>
      </c>
      <c r="E2210" t="s">
        <v>667</v>
      </c>
    </row>
    <row r="2211" spans="1:5" hidden="1" x14ac:dyDescent="0.3">
      <c r="A2211" t="s">
        <v>552</v>
      </c>
      <c r="B2211" t="s">
        <v>666</v>
      </c>
      <c r="C2211" t="s">
        <v>372</v>
      </c>
      <c r="D2211" s="226">
        <v>-8466.43</v>
      </c>
      <c r="E2211" t="s">
        <v>667</v>
      </c>
    </row>
    <row r="2212" spans="1:5" hidden="1" x14ac:dyDescent="0.3">
      <c r="A2212" t="s">
        <v>552</v>
      </c>
      <c r="B2212" t="s">
        <v>666</v>
      </c>
      <c r="C2212" t="s">
        <v>373</v>
      </c>
      <c r="D2212" s="226">
        <v>129173.77</v>
      </c>
      <c r="E2212" t="s">
        <v>667</v>
      </c>
    </row>
    <row r="2213" spans="1:5" hidden="1" x14ac:dyDescent="0.3">
      <c r="A2213" t="s">
        <v>552</v>
      </c>
      <c r="B2213" t="s">
        <v>666</v>
      </c>
      <c r="C2213" t="s">
        <v>655</v>
      </c>
      <c r="D2213" s="226">
        <v>0</v>
      </c>
      <c r="E2213" t="s">
        <v>667</v>
      </c>
    </row>
    <row r="2214" spans="1:5" hidden="1" x14ac:dyDescent="0.3">
      <c r="A2214" t="s">
        <v>552</v>
      </c>
      <c r="B2214" t="s">
        <v>668</v>
      </c>
      <c r="C2214" t="s">
        <v>11</v>
      </c>
      <c r="D2214" s="226">
        <v>1345197.51</v>
      </c>
      <c r="E2214" t="s">
        <v>669</v>
      </c>
    </row>
    <row r="2215" spans="1:5" hidden="1" x14ac:dyDescent="0.3">
      <c r="A2215" t="s">
        <v>552</v>
      </c>
      <c r="B2215" t="s">
        <v>668</v>
      </c>
      <c r="C2215" t="s">
        <v>13</v>
      </c>
      <c r="D2215" s="226">
        <v>633982.55000000005</v>
      </c>
      <c r="E2215" t="s">
        <v>669</v>
      </c>
    </row>
    <row r="2216" spans="1:5" hidden="1" x14ac:dyDescent="0.3">
      <c r="A2216" t="s">
        <v>552</v>
      </c>
      <c r="B2216" t="s">
        <v>668</v>
      </c>
      <c r="C2216" t="s">
        <v>16</v>
      </c>
      <c r="D2216" s="226">
        <v>524930.44999999995</v>
      </c>
      <c r="E2216" t="s">
        <v>669</v>
      </c>
    </row>
    <row r="2217" spans="1:5" hidden="1" x14ac:dyDescent="0.3">
      <c r="A2217" t="s">
        <v>552</v>
      </c>
      <c r="B2217" t="s">
        <v>668</v>
      </c>
      <c r="C2217" t="s">
        <v>17</v>
      </c>
      <c r="D2217" s="226">
        <v>0</v>
      </c>
      <c r="E2217" t="s">
        <v>669</v>
      </c>
    </row>
    <row r="2218" spans="1:5" hidden="1" x14ac:dyDescent="0.3">
      <c r="A2218" t="s">
        <v>552</v>
      </c>
      <c r="B2218" t="s">
        <v>668</v>
      </c>
      <c r="C2218" t="s">
        <v>18</v>
      </c>
      <c r="D2218" s="226">
        <v>850.5</v>
      </c>
      <c r="E2218" t="s">
        <v>669</v>
      </c>
    </row>
    <row r="2219" spans="1:5" hidden="1" x14ac:dyDescent="0.3">
      <c r="A2219" t="s">
        <v>552</v>
      </c>
      <c r="B2219" t="s">
        <v>668</v>
      </c>
      <c r="C2219" t="s">
        <v>20</v>
      </c>
      <c r="D2219" s="226">
        <v>147676.01</v>
      </c>
      <c r="E2219" t="s">
        <v>669</v>
      </c>
    </row>
    <row r="2220" spans="1:5" hidden="1" x14ac:dyDescent="0.3">
      <c r="A2220" t="s">
        <v>552</v>
      </c>
      <c r="B2220" t="s">
        <v>668</v>
      </c>
      <c r="C2220" t="s">
        <v>23</v>
      </c>
      <c r="D2220" s="226">
        <v>4800</v>
      </c>
      <c r="E2220" t="s">
        <v>669</v>
      </c>
    </row>
    <row r="2221" spans="1:5" hidden="1" x14ac:dyDescent="0.3">
      <c r="A2221" t="s">
        <v>552</v>
      </c>
      <c r="B2221" t="s">
        <v>668</v>
      </c>
      <c r="C2221" t="s">
        <v>25</v>
      </c>
      <c r="D2221" s="226">
        <v>0</v>
      </c>
      <c r="E2221" t="s">
        <v>669</v>
      </c>
    </row>
    <row r="2222" spans="1:5" hidden="1" x14ac:dyDescent="0.3">
      <c r="A2222" t="s">
        <v>552</v>
      </c>
      <c r="B2222" t="s">
        <v>668</v>
      </c>
      <c r="C2222" t="s">
        <v>26</v>
      </c>
      <c r="D2222" s="226">
        <v>9250</v>
      </c>
      <c r="E2222" t="s">
        <v>669</v>
      </c>
    </row>
    <row r="2223" spans="1:5" hidden="1" x14ac:dyDescent="0.3">
      <c r="A2223" t="s">
        <v>552</v>
      </c>
      <c r="B2223" t="s">
        <v>668</v>
      </c>
      <c r="C2223" t="s">
        <v>27</v>
      </c>
      <c r="D2223" s="226">
        <v>0</v>
      </c>
      <c r="E2223" t="s">
        <v>669</v>
      </c>
    </row>
    <row r="2224" spans="1:5" hidden="1" x14ac:dyDescent="0.3">
      <c r="A2224" t="s">
        <v>552</v>
      </c>
      <c r="B2224" t="s">
        <v>668</v>
      </c>
      <c r="C2224" t="s">
        <v>29</v>
      </c>
      <c r="D2224" s="226">
        <v>23708</v>
      </c>
      <c r="E2224" t="s">
        <v>669</v>
      </c>
    </row>
    <row r="2225" spans="1:5" hidden="1" x14ac:dyDescent="0.3">
      <c r="A2225" t="s">
        <v>552</v>
      </c>
      <c r="B2225" t="s">
        <v>668</v>
      </c>
      <c r="C2225" t="s">
        <v>31</v>
      </c>
      <c r="D2225" s="226">
        <v>0</v>
      </c>
      <c r="E2225" t="s">
        <v>669</v>
      </c>
    </row>
    <row r="2226" spans="1:5" hidden="1" x14ac:dyDescent="0.3">
      <c r="A2226" t="s">
        <v>552</v>
      </c>
      <c r="B2226" t="s">
        <v>668</v>
      </c>
      <c r="C2226" t="s">
        <v>34</v>
      </c>
      <c r="D2226" s="226">
        <v>-22407.39</v>
      </c>
      <c r="E2226" t="s">
        <v>669</v>
      </c>
    </row>
    <row r="2227" spans="1:5" hidden="1" x14ac:dyDescent="0.3">
      <c r="A2227" t="s">
        <v>552</v>
      </c>
      <c r="B2227" t="s">
        <v>668</v>
      </c>
      <c r="C2227" t="s">
        <v>38</v>
      </c>
      <c r="D2227" s="226">
        <v>-22407.39</v>
      </c>
      <c r="E2227" t="s">
        <v>669</v>
      </c>
    </row>
    <row r="2228" spans="1:5" hidden="1" x14ac:dyDescent="0.3">
      <c r="A2228" t="s">
        <v>552</v>
      </c>
      <c r="B2228" t="s">
        <v>668</v>
      </c>
      <c r="C2228" t="s">
        <v>40</v>
      </c>
      <c r="D2228" s="226">
        <v>0</v>
      </c>
      <c r="E2228" t="s">
        <v>669</v>
      </c>
    </row>
    <row r="2229" spans="1:5" hidden="1" x14ac:dyDescent="0.3">
      <c r="A2229" t="s">
        <v>552</v>
      </c>
      <c r="B2229" t="s">
        <v>668</v>
      </c>
      <c r="C2229" t="s">
        <v>42</v>
      </c>
      <c r="D2229" s="226">
        <v>0</v>
      </c>
      <c r="E2229" t="s">
        <v>669</v>
      </c>
    </row>
    <row r="2230" spans="1:5" hidden="1" x14ac:dyDescent="0.3">
      <c r="A2230" t="s">
        <v>552</v>
      </c>
      <c r="B2230" t="s">
        <v>668</v>
      </c>
      <c r="C2230" t="s">
        <v>44</v>
      </c>
      <c r="D2230" s="226">
        <v>-0.02</v>
      </c>
      <c r="E2230" t="s">
        <v>669</v>
      </c>
    </row>
    <row r="2231" spans="1:5" hidden="1" x14ac:dyDescent="0.3">
      <c r="A2231" t="s">
        <v>552</v>
      </c>
      <c r="B2231" t="s">
        <v>668</v>
      </c>
      <c r="C2231" t="s">
        <v>45</v>
      </c>
      <c r="D2231" s="226">
        <v>-80581.72</v>
      </c>
      <c r="E2231" t="s">
        <v>669</v>
      </c>
    </row>
    <row r="2232" spans="1:5" hidden="1" x14ac:dyDescent="0.3">
      <c r="A2232" t="s">
        <v>552</v>
      </c>
      <c r="B2232" t="s">
        <v>668</v>
      </c>
      <c r="C2232" t="s">
        <v>46</v>
      </c>
      <c r="D2232" s="226">
        <v>-42891.67</v>
      </c>
      <c r="E2232" t="s">
        <v>669</v>
      </c>
    </row>
    <row r="2233" spans="1:5" hidden="1" x14ac:dyDescent="0.3">
      <c r="A2233" t="s">
        <v>552</v>
      </c>
      <c r="B2233" t="s">
        <v>668</v>
      </c>
      <c r="C2233" t="s">
        <v>48</v>
      </c>
      <c r="D2233" s="226">
        <v>-37450.050000000003</v>
      </c>
      <c r="E2233" t="s">
        <v>669</v>
      </c>
    </row>
    <row r="2234" spans="1:5" hidden="1" x14ac:dyDescent="0.3">
      <c r="A2234" t="s">
        <v>552</v>
      </c>
      <c r="B2234" t="s">
        <v>668</v>
      </c>
      <c r="C2234" t="s">
        <v>49</v>
      </c>
      <c r="D2234" s="226">
        <v>-240</v>
      </c>
      <c r="E2234" t="s">
        <v>669</v>
      </c>
    </row>
    <row r="2235" spans="1:5" hidden="1" x14ac:dyDescent="0.3">
      <c r="A2235" t="s">
        <v>552</v>
      </c>
      <c r="B2235" t="s">
        <v>668</v>
      </c>
      <c r="C2235" t="s">
        <v>50</v>
      </c>
      <c r="D2235" s="226">
        <v>1242208.3999999999</v>
      </c>
      <c r="E2235" t="s">
        <v>669</v>
      </c>
    </row>
    <row r="2236" spans="1:5" hidden="1" x14ac:dyDescent="0.3">
      <c r="A2236" t="s">
        <v>552</v>
      </c>
      <c r="B2236" t="s">
        <v>668</v>
      </c>
      <c r="C2236" t="s">
        <v>51</v>
      </c>
      <c r="D2236" s="226">
        <v>-342862.06</v>
      </c>
      <c r="E2236" t="s">
        <v>669</v>
      </c>
    </row>
    <row r="2237" spans="1:5" hidden="1" x14ac:dyDescent="0.3">
      <c r="A2237" t="s">
        <v>552</v>
      </c>
      <c r="B2237" t="s">
        <v>668</v>
      </c>
      <c r="C2237" t="s">
        <v>52</v>
      </c>
      <c r="D2237" s="226">
        <v>-220585.65</v>
      </c>
      <c r="E2237" t="s">
        <v>669</v>
      </c>
    </row>
    <row r="2238" spans="1:5" hidden="1" x14ac:dyDescent="0.3">
      <c r="A2238" t="s">
        <v>552</v>
      </c>
      <c r="B2238" t="s">
        <v>668</v>
      </c>
      <c r="C2238" t="s">
        <v>53</v>
      </c>
      <c r="D2238" s="226">
        <v>-120536.15</v>
      </c>
      <c r="E2238" t="s">
        <v>669</v>
      </c>
    </row>
    <row r="2239" spans="1:5" hidden="1" x14ac:dyDescent="0.3">
      <c r="A2239" t="s">
        <v>552</v>
      </c>
      <c r="B2239" t="s">
        <v>668</v>
      </c>
      <c r="C2239" t="s">
        <v>54</v>
      </c>
      <c r="D2239" s="226">
        <v>-1740.26</v>
      </c>
      <c r="E2239" t="s">
        <v>669</v>
      </c>
    </row>
    <row r="2240" spans="1:5" hidden="1" x14ac:dyDescent="0.3">
      <c r="A2240" t="s">
        <v>552</v>
      </c>
      <c r="B2240" t="s">
        <v>668</v>
      </c>
      <c r="C2240" t="s">
        <v>23</v>
      </c>
      <c r="D2240" s="226">
        <v>0</v>
      </c>
      <c r="E2240" t="s">
        <v>669</v>
      </c>
    </row>
    <row r="2241" spans="1:5" hidden="1" x14ac:dyDescent="0.3">
      <c r="A2241" t="s">
        <v>552</v>
      </c>
      <c r="B2241" t="s">
        <v>668</v>
      </c>
      <c r="C2241" t="s">
        <v>44</v>
      </c>
      <c r="D2241" s="226">
        <v>-0.28999999999999998</v>
      </c>
      <c r="E2241" t="s">
        <v>669</v>
      </c>
    </row>
    <row r="2242" spans="1:5" hidden="1" x14ac:dyDescent="0.3">
      <c r="A2242" t="s">
        <v>552</v>
      </c>
      <c r="B2242" t="s">
        <v>668</v>
      </c>
      <c r="C2242" t="s">
        <v>55</v>
      </c>
      <c r="D2242" s="226">
        <v>-0.28000000000000003</v>
      </c>
      <c r="E2242" t="s">
        <v>669</v>
      </c>
    </row>
    <row r="2243" spans="1:5" hidden="1" x14ac:dyDescent="0.3">
      <c r="A2243" t="s">
        <v>552</v>
      </c>
      <c r="B2243" t="s">
        <v>668</v>
      </c>
      <c r="C2243" t="s">
        <v>56</v>
      </c>
      <c r="D2243" s="226">
        <v>-7354</v>
      </c>
      <c r="E2243" t="s">
        <v>669</v>
      </c>
    </row>
    <row r="2244" spans="1:5" hidden="1" x14ac:dyDescent="0.3">
      <c r="A2244" t="s">
        <v>552</v>
      </c>
      <c r="B2244" t="s">
        <v>668</v>
      </c>
      <c r="C2244" t="s">
        <v>57</v>
      </c>
      <c r="D2244" s="226">
        <v>-7354</v>
      </c>
      <c r="E2244" t="s">
        <v>669</v>
      </c>
    </row>
    <row r="2245" spans="1:5" hidden="1" x14ac:dyDescent="0.3">
      <c r="A2245" t="s">
        <v>552</v>
      </c>
      <c r="B2245" t="s">
        <v>668</v>
      </c>
      <c r="C2245" t="s">
        <v>58</v>
      </c>
      <c r="D2245" s="226">
        <v>0</v>
      </c>
      <c r="E2245" t="s">
        <v>669</v>
      </c>
    </row>
    <row r="2246" spans="1:5" hidden="1" x14ac:dyDescent="0.3">
      <c r="A2246" t="s">
        <v>552</v>
      </c>
      <c r="B2246" t="s">
        <v>668</v>
      </c>
      <c r="C2246" t="s">
        <v>59</v>
      </c>
      <c r="D2246" s="226">
        <v>-7354</v>
      </c>
      <c r="E2246" t="s">
        <v>669</v>
      </c>
    </row>
    <row r="2247" spans="1:5" hidden="1" x14ac:dyDescent="0.3">
      <c r="A2247" t="s">
        <v>552</v>
      </c>
      <c r="B2247" t="s">
        <v>668</v>
      </c>
      <c r="C2247" t="s">
        <v>61</v>
      </c>
      <c r="D2247" s="226">
        <v>0</v>
      </c>
      <c r="E2247" t="s">
        <v>669</v>
      </c>
    </row>
    <row r="2248" spans="1:5" hidden="1" x14ac:dyDescent="0.3">
      <c r="A2248" t="s">
        <v>552</v>
      </c>
      <c r="B2248" t="s">
        <v>668</v>
      </c>
      <c r="C2248" t="s">
        <v>62</v>
      </c>
      <c r="D2248" s="226">
        <v>0</v>
      </c>
      <c r="E2248" t="s">
        <v>669</v>
      </c>
    </row>
    <row r="2249" spans="1:5" hidden="1" x14ac:dyDescent="0.3">
      <c r="A2249" t="s">
        <v>552</v>
      </c>
      <c r="B2249" t="s">
        <v>668</v>
      </c>
      <c r="C2249" t="s">
        <v>64</v>
      </c>
      <c r="D2249" s="226">
        <v>0</v>
      </c>
      <c r="E2249" t="s">
        <v>669</v>
      </c>
    </row>
    <row r="2250" spans="1:5" hidden="1" x14ac:dyDescent="0.3">
      <c r="A2250" t="s">
        <v>552</v>
      </c>
      <c r="B2250" t="s">
        <v>668</v>
      </c>
      <c r="C2250" t="s">
        <v>65</v>
      </c>
      <c r="D2250" s="226">
        <v>0</v>
      </c>
      <c r="E2250" t="s">
        <v>669</v>
      </c>
    </row>
    <row r="2251" spans="1:5" hidden="1" x14ac:dyDescent="0.3">
      <c r="A2251" t="s">
        <v>552</v>
      </c>
      <c r="B2251" t="s">
        <v>668</v>
      </c>
      <c r="C2251" t="s">
        <v>66</v>
      </c>
      <c r="D2251" s="226">
        <v>0</v>
      </c>
      <c r="E2251" t="s">
        <v>669</v>
      </c>
    </row>
    <row r="2252" spans="1:5" hidden="1" x14ac:dyDescent="0.3">
      <c r="A2252" t="s">
        <v>552</v>
      </c>
      <c r="B2252" t="s">
        <v>668</v>
      </c>
      <c r="C2252" t="s">
        <v>68</v>
      </c>
      <c r="D2252" s="226">
        <v>0</v>
      </c>
      <c r="E2252" t="s">
        <v>669</v>
      </c>
    </row>
    <row r="2253" spans="1:5" hidden="1" x14ac:dyDescent="0.3">
      <c r="A2253" t="s">
        <v>552</v>
      </c>
      <c r="B2253" t="s">
        <v>668</v>
      </c>
      <c r="C2253" t="s">
        <v>69</v>
      </c>
      <c r="D2253" s="226">
        <v>0</v>
      </c>
      <c r="E2253" t="s">
        <v>669</v>
      </c>
    </row>
    <row r="2254" spans="1:5" hidden="1" x14ac:dyDescent="0.3">
      <c r="A2254" t="s">
        <v>552</v>
      </c>
      <c r="B2254" t="s">
        <v>668</v>
      </c>
      <c r="C2254" t="s">
        <v>70</v>
      </c>
      <c r="D2254" s="226">
        <v>0</v>
      </c>
      <c r="E2254" t="s">
        <v>669</v>
      </c>
    </row>
    <row r="2255" spans="1:5" hidden="1" x14ac:dyDescent="0.3">
      <c r="A2255" t="s">
        <v>552</v>
      </c>
      <c r="B2255" t="s">
        <v>668</v>
      </c>
      <c r="C2255" t="s">
        <v>44</v>
      </c>
      <c r="D2255" s="226">
        <v>-0.01</v>
      </c>
      <c r="E2255" t="s">
        <v>669</v>
      </c>
    </row>
    <row r="2256" spans="1:5" hidden="1" x14ac:dyDescent="0.3">
      <c r="A2256" t="s">
        <v>552</v>
      </c>
      <c r="B2256" t="s">
        <v>668</v>
      </c>
      <c r="C2256" t="s">
        <v>71</v>
      </c>
      <c r="D2256" s="226">
        <v>0</v>
      </c>
      <c r="E2256" t="s">
        <v>669</v>
      </c>
    </row>
    <row r="2257" spans="1:5" hidden="1" x14ac:dyDescent="0.3">
      <c r="A2257" t="s">
        <v>552</v>
      </c>
      <c r="B2257" t="s">
        <v>668</v>
      </c>
      <c r="C2257" t="s">
        <v>72</v>
      </c>
      <c r="D2257" s="226">
        <v>0</v>
      </c>
      <c r="E2257" t="s">
        <v>669</v>
      </c>
    </row>
    <row r="2258" spans="1:5" hidden="1" x14ac:dyDescent="0.3">
      <c r="A2258" t="s">
        <v>552</v>
      </c>
      <c r="B2258" t="s">
        <v>668</v>
      </c>
      <c r="C2258" t="s">
        <v>73</v>
      </c>
      <c r="D2258" s="226">
        <v>0</v>
      </c>
      <c r="E2258" t="s">
        <v>669</v>
      </c>
    </row>
    <row r="2259" spans="1:5" hidden="1" x14ac:dyDescent="0.3">
      <c r="A2259" t="s">
        <v>552</v>
      </c>
      <c r="B2259" t="s">
        <v>668</v>
      </c>
      <c r="C2259" t="s">
        <v>75</v>
      </c>
      <c r="D2259" s="226">
        <v>0</v>
      </c>
      <c r="E2259" t="s">
        <v>669</v>
      </c>
    </row>
    <row r="2260" spans="1:5" hidden="1" x14ac:dyDescent="0.3">
      <c r="A2260" t="s">
        <v>552</v>
      </c>
      <c r="B2260" t="s">
        <v>668</v>
      </c>
      <c r="C2260" t="s">
        <v>77</v>
      </c>
      <c r="D2260" s="226">
        <v>0</v>
      </c>
      <c r="E2260" t="s">
        <v>669</v>
      </c>
    </row>
    <row r="2261" spans="1:5" hidden="1" x14ac:dyDescent="0.3">
      <c r="A2261" t="s">
        <v>552</v>
      </c>
      <c r="B2261" t="s">
        <v>668</v>
      </c>
      <c r="C2261" t="s">
        <v>78</v>
      </c>
      <c r="D2261" s="226">
        <v>0</v>
      </c>
      <c r="E2261" t="s">
        <v>669</v>
      </c>
    </row>
    <row r="2262" spans="1:5" hidden="1" x14ac:dyDescent="0.3">
      <c r="A2262" t="s">
        <v>552</v>
      </c>
      <c r="B2262" t="s">
        <v>668</v>
      </c>
      <c r="C2262" t="s">
        <v>80</v>
      </c>
      <c r="D2262" s="226">
        <v>0</v>
      </c>
      <c r="E2262" t="s">
        <v>669</v>
      </c>
    </row>
    <row r="2263" spans="1:5" hidden="1" x14ac:dyDescent="0.3">
      <c r="A2263" t="s">
        <v>552</v>
      </c>
      <c r="B2263" t="s">
        <v>668</v>
      </c>
      <c r="C2263" t="s">
        <v>82</v>
      </c>
      <c r="D2263" s="226">
        <v>0</v>
      </c>
      <c r="E2263" t="s">
        <v>669</v>
      </c>
    </row>
    <row r="2264" spans="1:5" hidden="1" x14ac:dyDescent="0.3">
      <c r="A2264" t="s">
        <v>552</v>
      </c>
      <c r="B2264" t="s">
        <v>668</v>
      </c>
      <c r="C2264" t="s">
        <v>84</v>
      </c>
      <c r="D2264" s="226">
        <v>0</v>
      </c>
      <c r="E2264" t="s">
        <v>669</v>
      </c>
    </row>
    <row r="2265" spans="1:5" hidden="1" x14ac:dyDescent="0.3">
      <c r="A2265" t="s">
        <v>552</v>
      </c>
      <c r="B2265" t="s">
        <v>668</v>
      </c>
      <c r="C2265" t="s">
        <v>85</v>
      </c>
      <c r="D2265" s="226">
        <v>0</v>
      </c>
      <c r="E2265" t="s">
        <v>669</v>
      </c>
    </row>
    <row r="2266" spans="1:5" hidden="1" x14ac:dyDescent="0.3">
      <c r="A2266" t="s">
        <v>552</v>
      </c>
      <c r="B2266" t="s">
        <v>668</v>
      </c>
      <c r="C2266" t="s">
        <v>86</v>
      </c>
      <c r="D2266" s="226">
        <v>0</v>
      </c>
      <c r="E2266" t="s">
        <v>669</v>
      </c>
    </row>
    <row r="2267" spans="1:5" hidden="1" x14ac:dyDescent="0.3">
      <c r="A2267" t="s">
        <v>552</v>
      </c>
      <c r="B2267" t="s">
        <v>668</v>
      </c>
      <c r="C2267" t="s">
        <v>87</v>
      </c>
      <c r="D2267" s="226">
        <v>0</v>
      </c>
      <c r="E2267" t="s">
        <v>669</v>
      </c>
    </row>
    <row r="2268" spans="1:5" hidden="1" x14ac:dyDescent="0.3">
      <c r="A2268" t="s">
        <v>552</v>
      </c>
      <c r="B2268" t="s">
        <v>668</v>
      </c>
      <c r="C2268" t="s">
        <v>88</v>
      </c>
      <c r="D2268" s="226">
        <v>0</v>
      </c>
      <c r="E2268" t="s">
        <v>669</v>
      </c>
    </row>
    <row r="2269" spans="1:5" hidden="1" x14ac:dyDescent="0.3">
      <c r="A2269" t="s">
        <v>552</v>
      </c>
      <c r="B2269" t="s">
        <v>668</v>
      </c>
      <c r="C2269" t="s">
        <v>89</v>
      </c>
      <c r="D2269" s="226">
        <v>0</v>
      </c>
      <c r="E2269" t="s">
        <v>669</v>
      </c>
    </row>
    <row r="2270" spans="1:5" hidden="1" x14ac:dyDescent="0.3">
      <c r="A2270" t="s">
        <v>552</v>
      </c>
      <c r="B2270" t="s">
        <v>668</v>
      </c>
      <c r="C2270" t="s">
        <v>90</v>
      </c>
      <c r="D2270" s="226">
        <v>0</v>
      </c>
      <c r="E2270" t="s">
        <v>669</v>
      </c>
    </row>
    <row r="2271" spans="1:5" hidden="1" x14ac:dyDescent="0.3">
      <c r="A2271" t="s">
        <v>552</v>
      </c>
      <c r="B2271" t="s">
        <v>668</v>
      </c>
      <c r="C2271" t="s">
        <v>91</v>
      </c>
      <c r="D2271" s="226">
        <v>0</v>
      </c>
      <c r="E2271" t="s">
        <v>669</v>
      </c>
    </row>
    <row r="2272" spans="1:5" hidden="1" x14ac:dyDescent="0.3">
      <c r="A2272" t="s">
        <v>552</v>
      </c>
      <c r="B2272" t="s">
        <v>668</v>
      </c>
      <c r="C2272" t="s">
        <v>93</v>
      </c>
      <c r="D2272" s="226">
        <v>0</v>
      </c>
      <c r="E2272" t="s">
        <v>669</v>
      </c>
    </row>
    <row r="2273" spans="1:5" hidden="1" x14ac:dyDescent="0.3">
      <c r="A2273" t="s">
        <v>552</v>
      </c>
      <c r="B2273" t="s">
        <v>668</v>
      </c>
      <c r="C2273" t="s">
        <v>95</v>
      </c>
      <c r="D2273" s="226">
        <v>0</v>
      </c>
      <c r="E2273" t="s">
        <v>669</v>
      </c>
    </row>
    <row r="2274" spans="1:5" hidden="1" x14ac:dyDescent="0.3">
      <c r="A2274" t="s">
        <v>552</v>
      </c>
      <c r="B2274" t="s">
        <v>668</v>
      </c>
      <c r="C2274" t="s">
        <v>96</v>
      </c>
      <c r="D2274" s="226">
        <v>0</v>
      </c>
      <c r="E2274" t="s">
        <v>669</v>
      </c>
    </row>
    <row r="2275" spans="1:5" hidden="1" x14ac:dyDescent="0.3">
      <c r="A2275" t="s">
        <v>552</v>
      </c>
      <c r="B2275" t="s">
        <v>668</v>
      </c>
      <c r="C2275" t="s">
        <v>98</v>
      </c>
      <c r="D2275" s="226">
        <v>0</v>
      </c>
      <c r="E2275" t="s">
        <v>669</v>
      </c>
    </row>
    <row r="2276" spans="1:5" hidden="1" x14ac:dyDescent="0.3">
      <c r="A2276" t="s">
        <v>552</v>
      </c>
      <c r="B2276" t="s">
        <v>668</v>
      </c>
      <c r="C2276" t="s">
        <v>100</v>
      </c>
      <c r="D2276" s="226">
        <v>0</v>
      </c>
      <c r="E2276" t="s">
        <v>669</v>
      </c>
    </row>
    <row r="2277" spans="1:5" hidden="1" x14ac:dyDescent="0.3">
      <c r="A2277" t="s">
        <v>552</v>
      </c>
      <c r="B2277" t="s">
        <v>668</v>
      </c>
      <c r="C2277" t="s">
        <v>101</v>
      </c>
      <c r="D2277" s="226">
        <v>0</v>
      </c>
      <c r="E2277" t="s">
        <v>669</v>
      </c>
    </row>
    <row r="2278" spans="1:5" hidden="1" x14ac:dyDescent="0.3">
      <c r="A2278" t="s">
        <v>552</v>
      </c>
      <c r="B2278" t="s">
        <v>668</v>
      </c>
      <c r="C2278" t="s">
        <v>102</v>
      </c>
      <c r="D2278" s="226">
        <v>0</v>
      </c>
      <c r="E2278" t="s">
        <v>669</v>
      </c>
    </row>
    <row r="2279" spans="1:5" hidden="1" x14ac:dyDescent="0.3">
      <c r="A2279" t="s">
        <v>552</v>
      </c>
      <c r="B2279" t="s">
        <v>668</v>
      </c>
      <c r="C2279" t="s">
        <v>103</v>
      </c>
      <c r="D2279" s="226">
        <v>0</v>
      </c>
      <c r="E2279" t="s">
        <v>669</v>
      </c>
    </row>
    <row r="2280" spans="1:5" hidden="1" x14ac:dyDescent="0.3">
      <c r="A2280" t="s">
        <v>552</v>
      </c>
      <c r="B2280" t="s">
        <v>668</v>
      </c>
      <c r="C2280" t="s">
        <v>104</v>
      </c>
      <c r="D2280" s="226">
        <v>0</v>
      </c>
      <c r="E2280" t="s">
        <v>669</v>
      </c>
    </row>
    <row r="2281" spans="1:5" hidden="1" x14ac:dyDescent="0.3">
      <c r="A2281" t="s">
        <v>552</v>
      </c>
      <c r="B2281" t="s">
        <v>668</v>
      </c>
      <c r="C2281" t="s">
        <v>105</v>
      </c>
      <c r="D2281" s="226">
        <v>0</v>
      </c>
      <c r="E2281" t="s">
        <v>669</v>
      </c>
    </row>
    <row r="2282" spans="1:5" hidden="1" x14ac:dyDescent="0.3">
      <c r="A2282" t="s">
        <v>552</v>
      </c>
      <c r="B2282" t="s">
        <v>668</v>
      </c>
      <c r="C2282" t="s">
        <v>107</v>
      </c>
      <c r="D2282" s="226">
        <v>0</v>
      </c>
      <c r="E2282" t="s">
        <v>669</v>
      </c>
    </row>
    <row r="2283" spans="1:5" hidden="1" x14ac:dyDescent="0.3">
      <c r="A2283" t="s">
        <v>552</v>
      </c>
      <c r="B2283" t="s">
        <v>668</v>
      </c>
      <c r="C2283" t="s">
        <v>108</v>
      </c>
      <c r="D2283" s="226">
        <v>0</v>
      </c>
      <c r="E2283" t="s">
        <v>669</v>
      </c>
    </row>
    <row r="2284" spans="1:5" hidden="1" x14ac:dyDescent="0.3">
      <c r="A2284" t="s">
        <v>552</v>
      </c>
      <c r="B2284" t="s">
        <v>668</v>
      </c>
      <c r="C2284" t="s">
        <v>109</v>
      </c>
      <c r="D2284" s="226">
        <v>0</v>
      </c>
      <c r="E2284" t="s">
        <v>669</v>
      </c>
    </row>
    <row r="2285" spans="1:5" hidden="1" x14ac:dyDescent="0.3">
      <c r="A2285" t="s">
        <v>552</v>
      </c>
      <c r="B2285" t="s">
        <v>668</v>
      </c>
      <c r="C2285" t="s">
        <v>110</v>
      </c>
      <c r="D2285" s="226">
        <v>0</v>
      </c>
      <c r="E2285" t="s">
        <v>669</v>
      </c>
    </row>
    <row r="2286" spans="1:5" hidden="1" x14ac:dyDescent="0.3">
      <c r="A2286" t="s">
        <v>552</v>
      </c>
      <c r="B2286" t="s">
        <v>668</v>
      </c>
      <c r="C2286" t="s">
        <v>44</v>
      </c>
      <c r="D2286" s="226">
        <v>0</v>
      </c>
      <c r="E2286" t="s">
        <v>669</v>
      </c>
    </row>
    <row r="2287" spans="1:5" hidden="1" x14ac:dyDescent="0.3">
      <c r="A2287" t="s">
        <v>552</v>
      </c>
      <c r="B2287" t="s">
        <v>668</v>
      </c>
      <c r="C2287" t="s">
        <v>111</v>
      </c>
      <c r="D2287" s="226">
        <v>-98664.5</v>
      </c>
      <c r="E2287" t="s">
        <v>669</v>
      </c>
    </row>
    <row r="2288" spans="1:5" hidden="1" x14ac:dyDescent="0.3">
      <c r="A2288" t="s">
        <v>552</v>
      </c>
      <c r="B2288" t="s">
        <v>668</v>
      </c>
      <c r="C2288" t="s">
        <v>555</v>
      </c>
      <c r="D2288" s="226">
        <v>-98664.5</v>
      </c>
      <c r="E2288" t="s">
        <v>669</v>
      </c>
    </row>
    <row r="2289" spans="1:5" hidden="1" x14ac:dyDescent="0.3">
      <c r="A2289" t="s">
        <v>552</v>
      </c>
      <c r="B2289" t="s">
        <v>668</v>
      </c>
      <c r="C2289" t="s">
        <v>44</v>
      </c>
      <c r="D2289" s="226">
        <v>-7.0000000000000007E-2</v>
      </c>
      <c r="E2289" t="s">
        <v>669</v>
      </c>
    </row>
    <row r="2290" spans="1:5" hidden="1" x14ac:dyDescent="0.3">
      <c r="A2290" t="s">
        <v>552</v>
      </c>
      <c r="B2290" t="s">
        <v>668</v>
      </c>
      <c r="C2290" t="s">
        <v>115</v>
      </c>
      <c r="D2290" s="226">
        <v>-25895.23</v>
      </c>
      <c r="E2290" t="s">
        <v>669</v>
      </c>
    </row>
    <row r="2291" spans="1:5" hidden="1" x14ac:dyDescent="0.3">
      <c r="A2291" t="s">
        <v>552</v>
      </c>
      <c r="B2291" t="s">
        <v>668</v>
      </c>
      <c r="C2291" t="s">
        <v>116</v>
      </c>
      <c r="D2291" s="226">
        <v>-21627.98</v>
      </c>
      <c r="E2291" t="s">
        <v>669</v>
      </c>
    </row>
    <row r="2292" spans="1:5" hidden="1" x14ac:dyDescent="0.3">
      <c r="A2292" t="s">
        <v>552</v>
      </c>
      <c r="B2292" t="s">
        <v>668</v>
      </c>
      <c r="C2292" t="s">
        <v>118</v>
      </c>
      <c r="D2292" s="226">
        <v>0</v>
      </c>
      <c r="E2292" t="s">
        <v>669</v>
      </c>
    </row>
    <row r="2293" spans="1:5" hidden="1" x14ac:dyDescent="0.3">
      <c r="A2293" t="s">
        <v>552</v>
      </c>
      <c r="B2293" t="s">
        <v>668</v>
      </c>
      <c r="C2293" t="s">
        <v>120</v>
      </c>
      <c r="D2293" s="226">
        <v>0</v>
      </c>
      <c r="E2293" t="s">
        <v>669</v>
      </c>
    </row>
    <row r="2294" spans="1:5" hidden="1" x14ac:dyDescent="0.3">
      <c r="A2294" t="s">
        <v>552</v>
      </c>
      <c r="B2294" t="s">
        <v>668</v>
      </c>
      <c r="C2294" t="s">
        <v>122</v>
      </c>
      <c r="D2294" s="226">
        <v>-4267.25</v>
      </c>
      <c r="E2294" t="s">
        <v>669</v>
      </c>
    </row>
    <row r="2295" spans="1:5" hidden="1" x14ac:dyDescent="0.3">
      <c r="A2295" t="s">
        <v>552</v>
      </c>
      <c r="B2295" t="s">
        <v>668</v>
      </c>
      <c r="C2295" t="s">
        <v>44</v>
      </c>
      <c r="D2295" s="226">
        <v>-0.02</v>
      </c>
      <c r="E2295" t="s">
        <v>669</v>
      </c>
    </row>
    <row r="2296" spans="1:5" hidden="1" x14ac:dyDescent="0.3">
      <c r="A2296" t="s">
        <v>552</v>
      </c>
      <c r="B2296" t="s">
        <v>668</v>
      </c>
      <c r="C2296" t="s">
        <v>125</v>
      </c>
      <c r="D2296" s="226">
        <v>767432.62</v>
      </c>
      <c r="E2296" t="s">
        <v>669</v>
      </c>
    </row>
    <row r="2297" spans="1:5" hidden="1" x14ac:dyDescent="0.3">
      <c r="A2297" t="s">
        <v>552</v>
      </c>
      <c r="B2297" t="s">
        <v>668</v>
      </c>
      <c r="C2297" t="s">
        <v>126</v>
      </c>
      <c r="D2297" s="226">
        <v>0.56999999999999995</v>
      </c>
      <c r="E2297" t="s">
        <v>669</v>
      </c>
    </row>
    <row r="2298" spans="1:5" hidden="1" x14ac:dyDescent="0.3">
      <c r="A2298" t="s">
        <v>552</v>
      </c>
      <c r="B2298" t="s">
        <v>668</v>
      </c>
      <c r="C2298" t="s">
        <v>127</v>
      </c>
      <c r="D2298" s="226">
        <v>-301687.90999999997</v>
      </c>
      <c r="E2298" t="s">
        <v>669</v>
      </c>
    </row>
    <row r="2299" spans="1:5" hidden="1" x14ac:dyDescent="0.3">
      <c r="A2299" t="s">
        <v>552</v>
      </c>
      <c r="B2299" t="s">
        <v>668</v>
      </c>
      <c r="C2299" t="s">
        <v>128</v>
      </c>
      <c r="D2299" s="226">
        <v>-49050</v>
      </c>
      <c r="E2299" t="s">
        <v>669</v>
      </c>
    </row>
    <row r="2300" spans="1:5" hidden="1" x14ac:dyDescent="0.3">
      <c r="A2300" t="s">
        <v>552</v>
      </c>
      <c r="B2300" t="s">
        <v>668</v>
      </c>
      <c r="C2300" t="s">
        <v>556</v>
      </c>
      <c r="D2300" s="226">
        <v>-12750</v>
      </c>
      <c r="E2300" t="s">
        <v>669</v>
      </c>
    </row>
    <row r="2301" spans="1:5" hidden="1" x14ac:dyDescent="0.3">
      <c r="A2301" t="s">
        <v>552</v>
      </c>
      <c r="B2301" t="s">
        <v>668</v>
      </c>
      <c r="C2301" t="s">
        <v>557</v>
      </c>
      <c r="D2301" s="226">
        <v>-6600</v>
      </c>
      <c r="E2301" t="s">
        <v>669</v>
      </c>
    </row>
    <row r="2302" spans="1:5" hidden="1" x14ac:dyDescent="0.3">
      <c r="A2302" t="s">
        <v>552</v>
      </c>
      <c r="B2302" t="s">
        <v>668</v>
      </c>
      <c r="C2302" t="s">
        <v>558</v>
      </c>
      <c r="D2302" s="226">
        <v>-5100</v>
      </c>
      <c r="E2302" t="s">
        <v>669</v>
      </c>
    </row>
    <row r="2303" spans="1:5" hidden="1" x14ac:dyDescent="0.3">
      <c r="A2303" t="s">
        <v>552</v>
      </c>
      <c r="B2303" t="s">
        <v>668</v>
      </c>
      <c r="C2303" t="s">
        <v>559</v>
      </c>
      <c r="D2303" s="226">
        <v>-8400</v>
      </c>
      <c r="E2303" t="s">
        <v>669</v>
      </c>
    </row>
    <row r="2304" spans="1:5" hidden="1" x14ac:dyDescent="0.3">
      <c r="A2304" t="s">
        <v>552</v>
      </c>
      <c r="B2304" t="s">
        <v>668</v>
      </c>
      <c r="C2304" t="s">
        <v>560</v>
      </c>
      <c r="D2304" s="226">
        <v>-2500</v>
      </c>
      <c r="E2304" t="s">
        <v>669</v>
      </c>
    </row>
    <row r="2305" spans="1:5" hidden="1" x14ac:dyDescent="0.3">
      <c r="A2305" t="s">
        <v>552</v>
      </c>
      <c r="B2305" t="s">
        <v>668</v>
      </c>
      <c r="C2305" t="s">
        <v>561</v>
      </c>
      <c r="D2305" s="226">
        <v>-7000</v>
      </c>
      <c r="E2305" t="s">
        <v>669</v>
      </c>
    </row>
    <row r="2306" spans="1:5" hidden="1" x14ac:dyDescent="0.3">
      <c r="A2306" t="s">
        <v>552</v>
      </c>
      <c r="B2306" t="s">
        <v>668</v>
      </c>
      <c r="C2306" t="s">
        <v>562</v>
      </c>
      <c r="D2306" s="226">
        <v>-4000</v>
      </c>
      <c r="E2306" t="s">
        <v>669</v>
      </c>
    </row>
    <row r="2307" spans="1:5" hidden="1" x14ac:dyDescent="0.3">
      <c r="A2307" t="s">
        <v>552</v>
      </c>
      <c r="B2307" t="s">
        <v>668</v>
      </c>
      <c r="C2307" t="s">
        <v>563</v>
      </c>
      <c r="D2307" s="226">
        <v>0</v>
      </c>
      <c r="E2307" t="s">
        <v>669</v>
      </c>
    </row>
    <row r="2308" spans="1:5" hidden="1" x14ac:dyDescent="0.3">
      <c r="A2308" t="s">
        <v>552</v>
      </c>
      <c r="B2308" t="s">
        <v>668</v>
      </c>
      <c r="C2308" t="s">
        <v>564</v>
      </c>
      <c r="D2308" s="226">
        <v>0</v>
      </c>
      <c r="E2308" t="s">
        <v>669</v>
      </c>
    </row>
    <row r="2309" spans="1:5" hidden="1" x14ac:dyDescent="0.3">
      <c r="A2309" t="s">
        <v>552</v>
      </c>
      <c r="B2309" t="s">
        <v>668</v>
      </c>
      <c r="C2309" t="s">
        <v>565</v>
      </c>
      <c r="D2309" s="226">
        <v>-2700</v>
      </c>
      <c r="E2309" t="s">
        <v>669</v>
      </c>
    </row>
    <row r="2310" spans="1:5" hidden="1" x14ac:dyDescent="0.3">
      <c r="A2310" t="s">
        <v>552</v>
      </c>
      <c r="B2310" t="s">
        <v>668</v>
      </c>
      <c r="C2310" t="s">
        <v>566</v>
      </c>
      <c r="D2310" s="226">
        <v>0</v>
      </c>
      <c r="E2310" t="s">
        <v>669</v>
      </c>
    </row>
    <row r="2311" spans="1:5" hidden="1" x14ac:dyDescent="0.3">
      <c r="A2311" t="s">
        <v>552</v>
      </c>
      <c r="B2311" t="s">
        <v>668</v>
      </c>
      <c r="C2311" t="s">
        <v>567</v>
      </c>
      <c r="D2311" s="226">
        <v>0</v>
      </c>
      <c r="E2311" t="s">
        <v>669</v>
      </c>
    </row>
    <row r="2312" spans="1:5" hidden="1" x14ac:dyDescent="0.3">
      <c r="A2312" t="s">
        <v>552</v>
      </c>
      <c r="B2312" t="s">
        <v>668</v>
      </c>
      <c r="C2312" t="s">
        <v>141</v>
      </c>
      <c r="D2312" s="226">
        <v>-90968.31</v>
      </c>
      <c r="E2312" t="s">
        <v>669</v>
      </c>
    </row>
    <row r="2313" spans="1:5" hidden="1" x14ac:dyDescent="0.3">
      <c r="A2313" t="s">
        <v>552</v>
      </c>
      <c r="B2313" t="s">
        <v>668</v>
      </c>
      <c r="C2313" t="s">
        <v>568</v>
      </c>
      <c r="D2313" s="226">
        <v>0</v>
      </c>
      <c r="E2313" t="s">
        <v>669</v>
      </c>
    </row>
    <row r="2314" spans="1:5" hidden="1" x14ac:dyDescent="0.3">
      <c r="A2314" t="s">
        <v>552</v>
      </c>
      <c r="B2314" t="s">
        <v>668</v>
      </c>
      <c r="C2314" t="s">
        <v>569</v>
      </c>
      <c r="D2314" s="226">
        <v>0</v>
      </c>
      <c r="E2314" t="s">
        <v>669</v>
      </c>
    </row>
    <row r="2315" spans="1:5" hidden="1" x14ac:dyDescent="0.3">
      <c r="A2315" t="s">
        <v>552</v>
      </c>
      <c r="B2315" t="s">
        <v>668</v>
      </c>
      <c r="C2315" t="s">
        <v>570</v>
      </c>
      <c r="D2315" s="226">
        <v>0</v>
      </c>
      <c r="E2315" t="s">
        <v>669</v>
      </c>
    </row>
    <row r="2316" spans="1:5" hidden="1" x14ac:dyDescent="0.3">
      <c r="A2316" t="s">
        <v>552</v>
      </c>
      <c r="B2316" t="s">
        <v>668</v>
      </c>
      <c r="C2316" t="s">
        <v>571</v>
      </c>
      <c r="D2316" s="226">
        <v>0</v>
      </c>
      <c r="E2316" t="s">
        <v>669</v>
      </c>
    </row>
    <row r="2317" spans="1:5" hidden="1" x14ac:dyDescent="0.3">
      <c r="A2317" t="s">
        <v>552</v>
      </c>
      <c r="B2317" t="s">
        <v>668</v>
      </c>
      <c r="C2317" t="s">
        <v>572</v>
      </c>
      <c r="D2317" s="226">
        <v>0</v>
      </c>
      <c r="E2317" t="s">
        <v>669</v>
      </c>
    </row>
    <row r="2318" spans="1:5" hidden="1" x14ac:dyDescent="0.3">
      <c r="A2318" t="s">
        <v>552</v>
      </c>
      <c r="B2318" t="s">
        <v>668</v>
      </c>
      <c r="C2318" t="s">
        <v>573</v>
      </c>
      <c r="D2318" s="226">
        <v>0</v>
      </c>
      <c r="E2318" t="s">
        <v>669</v>
      </c>
    </row>
    <row r="2319" spans="1:5" hidden="1" x14ac:dyDescent="0.3">
      <c r="A2319" t="s">
        <v>552</v>
      </c>
      <c r="B2319" t="s">
        <v>668</v>
      </c>
      <c r="C2319" t="s">
        <v>574</v>
      </c>
      <c r="D2319" s="226">
        <v>0</v>
      </c>
      <c r="E2319" t="s">
        <v>669</v>
      </c>
    </row>
    <row r="2320" spans="1:5" hidden="1" x14ac:dyDescent="0.3">
      <c r="A2320" t="s">
        <v>552</v>
      </c>
      <c r="B2320" t="s">
        <v>668</v>
      </c>
      <c r="C2320" t="s">
        <v>575</v>
      </c>
      <c r="D2320" s="226">
        <v>0</v>
      </c>
      <c r="E2320" t="s">
        <v>669</v>
      </c>
    </row>
    <row r="2321" spans="1:5" hidden="1" x14ac:dyDescent="0.3">
      <c r="A2321" t="s">
        <v>552</v>
      </c>
      <c r="B2321" t="s">
        <v>668</v>
      </c>
      <c r="C2321" t="s">
        <v>576</v>
      </c>
      <c r="D2321" s="226">
        <v>0</v>
      </c>
      <c r="E2321" t="s">
        <v>669</v>
      </c>
    </row>
    <row r="2322" spans="1:5" hidden="1" x14ac:dyDescent="0.3">
      <c r="A2322" t="s">
        <v>552</v>
      </c>
      <c r="B2322" t="s">
        <v>668</v>
      </c>
      <c r="C2322" t="s">
        <v>577</v>
      </c>
      <c r="D2322" s="226">
        <v>0</v>
      </c>
      <c r="E2322" t="s">
        <v>669</v>
      </c>
    </row>
    <row r="2323" spans="1:5" hidden="1" x14ac:dyDescent="0.3">
      <c r="A2323" t="s">
        <v>552</v>
      </c>
      <c r="B2323" t="s">
        <v>668</v>
      </c>
      <c r="C2323" t="s">
        <v>578</v>
      </c>
      <c r="D2323" s="226">
        <v>0</v>
      </c>
      <c r="E2323" t="s">
        <v>669</v>
      </c>
    </row>
    <row r="2324" spans="1:5" hidden="1" x14ac:dyDescent="0.3">
      <c r="A2324" t="s">
        <v>552</v>
      </c>
      <c r="B2324" t="s">
        <v>668</v>
      </c>
      <c r="C2324" t="s">
        <v>579</v>
      </c>
      <c r="D2324" s="226">
        <v>0</v>
      </c>
      <c r="E2324" t="s">
        <v>669</v>
      </c>
    </row>
    <row r="2325" spans="1:5" hidden="1" x14ac:dyDescent="0.3">
      <c r="A2325" t="s">
        <v>552</v>
      </c>
      <c r="B2325" t="s">
        <v>668</v>
      </c>
      <c r="C2325" t="s">
        <v>580</v>
      </c>
      <c r="D2325" s="226">
        <v>0</v>
      </c>
      <c r="E2325" t="s">
        <v>669</v>
      </c>
    </row>
    <row r="2326" spans="1:5" hidden="1" x14ac:dyDescent="0.3">
      <c r="A2326" t="s">
        <v>552</v>
      </c>
      <c r="B2326" t="s">
        <v>668</v>
      </c>
      <c r="C2326" t="s">
        <v>581</v>
      </c>
      <c r="D2326" s="226">
        <v>0</v>
      </c>
      <c r="E2326" t="s">
        <v>669</v>
      </c>
    </row>
    <row r="2327" spans="1:5" hidden="1" x14ac:dyDescent="0.3">
      <c r="A2327" t="s">
        <v>552</v>
      </c>
      <c r="B2327" t="s">
        <v>668</v>
      </c>
      <c r="C2327" t="s">
        <v>582</v>
      </c>
      <c r="D2327" s="226">
        <v>0</v>
      </c>
      <c r="E2327" t="s">
        <v>669</v>
      </c>
    </row>
    <row r="2328" spans="1:5" hidden="1" x14ac:dyDescent="0.3">
      <c r="A2328" t="s">
        <v>552</v>
      </c>
      <c r="B2328" t="s">
        <v>668</v>
      </c>
      <c r="C2328" t="s">
        <v>583</v>
      </c>
      <c r="D2328" s="226">
        <v>0</v>
      </c>
      <c r="E2328" t="s">
        <v>669</v>
      </c>
    </row>
    <row r="2329" spans="1:5" hidden="1" x14ac:dyDescent="0.3">
      <c r="A2329" t="s">
        <v>552</v>
      </c>
      <c r="B2329" t="s">
        <v>668</v>
      </c>
      <c r="C2329" t="s">
        <v>584</v>
      </c>
      <c r="D2329" s="226">
        <v>0</v>
      </c>
      <c r="E2329" t="s">
        <v>669</v>
      </c>
    </row>
    <row r="2330" spans="1:5" hidden="1" x14ac:dyDescent="0.3">
      <c r="A2330" t="s">
        <v>552</v>
      </c>
      <c r="B2330" t="s">
        <v>668</v>
      </c>
      <c r="C2330" t="s">
        <v>585</v>
      </c>
      <c r="D2330" s="226">
        <v>0</v>
      </c>
      <c r="E2330" t="s">
        <v>669</v>
      </c>
    </row>
    <row r="2331" spans="1:5" hidden="1" x14ac:dyDescent="0.3">
      <c r="A2331" t="s">
        <v>552</v>
      </c>
      <c r="B2331" t="s">
        <v>668</v>
      </c>
      <c r="C2331" t="s">
        <v>586</v>
      </c>
      <c r="D2331" s="226">
        <v>0</v>
      </c>
      <c r="E2331" t="s">
        <v>669</v>
      </c>
    </row>
    <row r="2332" spans="1:5" hidden="1" x14ac:dyDescent="0.3">
      <c r="A2332" t="s">
        <v>552</v>
      </c>
      <c r="B2332" t="s">
        <v>668</v>
      </c>
      <c r="C2332" t="s">
        <v>587</v>
      </c>
      <c r="D2332" s="226">
        <v>0</v>
      </c>
      <c r="E2332" t="s">
        <v>669</v>
      </c>
    </row>
    <row r="2333" spans="1:5" hidden="1" x14ac:dyDescent="0.3">
      <c r="A2333" t="s">
        <v>552</v>
      </c>
      <c r="B2333" t="s">
        <v>668</v>
      </c>
      <c r="C2333" t="s">
        <v>588</v>
      </c>
      <c r="D2333" s="226">
        <v>0</v>
      </c>
      <c r="E2333" t="s">
        <v>669</v>
      </c>
    </row>
    <row r="2334" spans="1:5" hidden="1" x14ac:dyDescent="0.3">
      <c r="A2334" t="s">
        <v>552</v>
      </c>
      <c r="B2334" t="s">
        <v>668</v>
      </c>
      <c r="C2334" t="s">
        <v>589</v>
      </c>
      <c r="D2334" s="226">
        <v>0</v>
      </c>
      <c r="E2334" t="s">
        <v>669</v>
      </c>
    </row>
    <row r="2335" spans="1:5" hidden="1" x14ac:dyDescent="0.3">
      <c r="A2335" t="s">
        <v>552</v>
      </c>
      <c r="B2335" t="s">
        <v>668</v>
      </c>
      <c r="C2335" t="s">
        <v>590</v>
      </c>
      <c r="D2335" s="226">
        <v>0</v>
      </c>
      <c r="E2335" t="s">
        <v>669</v>
      </c>
    </row>
    <row r="2336" spans="1:5" hidden="1" x14ac:dyDescent="0.3">
      <c r="A2336" t="s">
        <v>552</v>
      </c>
      <c r="B2336" t="s">
        <v>668</v>
      </c>
      <c r="C2336" t="s">
        <v>591</v>
      </c>
      <c r="D2336" s="226">
        <v>0</v>
      </c>
      <c r="E2336" t="s">
        <v>669</v>
      </c>
    </row>
    <row r="2337" spans="1:5" hidden="1" x14ac:dyDescent="0.3">
      <c r="A2337" t="s">
        <v>552</v>
      </c>
      <c r="B2337" t="s">
        <v>668</v>
      </c>
      <c r="C2337" t="s">
        <v>592</v>
      </c>
      <c r="D2337" s="226">
        <v>0</v>
      </c>
      <c r="E2337" t="s">
        <v>669</v>
      </c>
    </row>
    <row r="2338" spans="1:5" hidden="1" x14ac:dyDescent="0.3">
      <c r="A2338" t="s">
        <v>552</v>
      </c>
      <c r="B2338" t="s">
        <v>668</v>
      </c>
      <c r="C2338" t="s">
        <v>593</v>
      </c>
      <c r="D2338" s="226">
        <v>0</v>
      </c>
      <c r="E2338" t="s">
        <v>669</v>
      </c>
    </row>
    <row r="2339" spans="1:5" hidden="1" x14ac:dyDescent="0.3">
      <c r="A2339" t="s">
        <v>552</v>
      </c>
      <c r="B2339" t="s">
        <v>668</v>
      </c>
      <c r="C2339" t="s">
        <v>594</v>
      </c>
      <c r="D2339" s="226">
        <v>0</v>
      </c>
      <c r="E2339" t="s">
        <v>669</v>
      </c>
    </row>
    <row r="2340" spans="1:5" hidden="1" x14ac:dyDescent="0.3">
      <c r="A2340" t="s">
        <v>552</v>
      </c>
      <c r="B2340" t="s">
        <v>668</v>
      </c>
      <c r="C2340" t="s">
        <v>595</v>
      </c>
      <c r="D2340" s="226">
        <v>0</v>
      </c>
      <c r="E2340" t="s">
        <v>669</v>
      </c>
    </row>
    <row r="2341" spans="1:5" hidden="1" x14ac:dyDescent="0.3">
      <c r="A2341" t="s">
        <v>552</v>
      </c>
      <c r="B2341" t="s">
        <v>668</v>
      </c>
      <c r="C2341" t="s">
        <v>596</v>
      </c>
      <c r="D2341" s="226">
        <v>0</v>
      </c>
      <c r="E2341" t="s">
        <v>669</v>
      </c>
    </row>
    <row r="2342" spans="1:5" hidden="1" x14ac:dyDescent="0.3">
      <c r="A2342" t="s">
        <v>552</v>
      </c>
      <c r="B2342" t="s">
        <v>668</v>
      </c>
      <c r="C2342" t="s">
        <v>597</v>
      </c>
      <c r="D2342" s="226">
        <v>0</v>
      </c>
      <c r="E2342" t="s">
        <v>669</v>
      </c>
    </row>
    <row r="2343" spans="1:5" hidden="1" x14ac:dyDescent="0.3">
      <c r="A2343" t="s">
        <v>552</v>
      </c>
      <c r="B2343" t="s">
        <v>668</v>
      </c>
      <c r="C2343" t="s">
        <v>598</v>
      </c>
      <c r="D2343" s="226">
        <v>0</v>
      </c>
      <c r="E2343" t="s">
        <v>669</v>
      </c>
    </row>
    <row r="2344" spans="1:5" hidden="1" x14ac:dyDescent="0.3">
      <c r="A2344" t="s">
        <v>552</v>
      </c>
      <c r="B2344" t="s">
        <v>668</v>
      </c>
      <c r="C2344" t="s">
        <v>599</v>
      </c>
      <c r="D2344" s="226">
        <v>0</v>
      </c>
      <c r="E2344" t="s">
        <v>669</v>
      </c>
    </row>
    <row r="2345" spans="1:5" hidden="1" x14ac:dyDescent="0.3">
      <c r="A2345" t="s">
        <v>552</v>
      </c>
      <c r="B2345" t="s">
        <v>668</v>
      </c>
      <c r="C2345" t="s">
        <v>600</v>
      </c>
      <c r="D2345" s="226">
        <v>0</v>
      </c>
      <c r="E2345" t="s">
        <v>669</v>
      </c>
    </row>
    <row r="2346" spans="1:5" hidden="1" x14ac:dyDescent="0.3">
      <c r="A2346" t="s">
        <v>552</v>
      </c>
      <c r="B2346" t="s">
        <v>668</v>
      </c>
      <c r="C2346" t="s">
        <v>601</v>
      </c>
      <c r="D2346" s="226">
        <v>0</v>
      </c>
      <c r="E2346" t="s">
        <v>669</v>
      </c>
    </row>
    <row r="2347" spans="1:5" hidden="1" x14ac:dyDescent="0.3">
      <c r="A2347" t="s">
        <v>552</v>
      </c>
      <c r="B2347" t="s">
        <v>668</v>
      </c>
      <c r="C2347" t="s">
        <v>602</v>
      </c>
      <c r="D2347" s="226">
        <v>0</v>
      </c>
      <c r="E2347" t="s">
        <v>669</v>
      </c>
    </row>
    <row r="2348" spans="1:5" hidden="1" x14ac:dyDescent="0.3">
      <c r="A2348" t="s">
        <v>552</v>
      </c>
      <c r="B2348" t="s">
        <v>668</v>
      </c>
      <c r="C2348" t="s">
        <v>603</v>
      </c>
      <c r="D2348" s="226">
        <v>0</v>
      </c>
      <c r="E2348" t="s">
        <v>669</v>
      </c>
    </row>
    <row r="2349" spans="1:5" hidden="1" x14ac:dyDescent="0.3">
      <c r="A2349" t="s">
        <v>552</v>
      </c>
      <c r="B2349" t="s">
        <v>668</v>
      </c>
      <c r="C2349" t="s">
        <v>604</v>
      </c>
      <c r="D2349" s="226">
        <v>0</v>
      </c>
      <c r="E2349" t="s">
        <v>669</v>
      </c>
    </row>
    <row r="2350" spans="1:5" hidden="1" x14ac:dyDescent="0.3">
      <c r="A2350" t="s">
        <v>552</v>
      </c>
      <c r="B2350" t="s">
        <v>668</v>
      </c>
      <c r="C2350" t="s">
        <v>605</v>
      </c>
      <c r="D2350" s="226">
        <v>0</v>
      </c>
      <c r="E2350" t="s">
        <v>669</v>
      </c>
    </row>
    <row r="2351" spans="1:5" hidden="1" x14ac:dyDescent="0.3">
      <c r="A2351" t="s">
        <v>552</v>
      </c>
      <c r="B2351" t="s">
        <v>668</v>
      </c>
      <c r="C2351" t="s">
        <v>606</v>
      </c>
      <c r="D2351" s="226">
        <v>0</v>
      </c>
      <c r="E2351" t="s">
        <v>669</v>
      </c>
    </row>
    <row r="2352" spans="1:5" hidden="1" x14ac:dyDescent="0.3">
      <c r="A2352" t="s">
        <v>552</v>
      </c>
      <c r="B2352" t="s">
        <v>668</v>
      </c>
      <c r="C2352" t="s">
        <v>607</v>
      </c>
      <c r="D2352" s="226">
        <v>0</v>
      </c>
      <c r="E2352" t="s">
        <v>669</v>
      </c>
    </row>
    <row r="2353" spans="1:5" hidden="1" x14ac:dyDescent="0.3">
      <c r="A2353" t="s">
        <v>552</v>
      </c>
      <c r="B2353" t="s">
        <v>668</v>
      </c>
      <c r="C2353" t="s">
        <v>608</v>
      </c>
      <c r="D2353" s="226">
        <v>0</v>
      </c>
      <c r="E2353" t="s">
        <v>669</v>
      </c>
    </row>
    <row r="2354" spans="1:5" hidden="1" x14ac:dyDescent="0.3">
      <c r="A2354" t="s">
        <v>552</v>
      </c>
      <c r="B2354" t="s">
        <v>668</v>
      </c>
      <c r="C2354" t="s">
        <v>609</v>
      </c>
      <c r="D2354" s="226">
        <v>0</v>
      </c>
      <c r="E2354" t="s">
        <v>669</v>
      </c>
    </row>
    <row r="2355" spans="1:5" hidden="1" x14ac:dyDescent="0.3">
      <c r="A2355" t="s">
        <v>552</v>
      </c>
      <c r="B2355" t="s">
        <v>668</v>
      </c>
      <c r="C2355" t="s">
        <v>610</v>
      </c>
      <c r="D2355" s="226">
        <v>0</v>
      </c>
      <c r="E2355" t="s">
        <v>669</v>
      </c>
    </row>
    <row r="2356" spans="1:5" hidden="1" x14ac:dyDescent="0.3">
      <c r="A2356" t="s">
        <v>552</v>
      </c>
      <c r="B2356" t="s">
        <v>668</v>
      </c>
      <c r="C2356" t="s">
        <v>611</v>
      </c>
      <c r="D2356" s="226">
        <v>0</v>
      </c>
      <c r="E2356" t="s">
        <v>669</v>
      </c>
    </row>
    <row r="2357" spans="1:5" hidden="1" x14ac:dyDescent="0.3">
      <c r="A2357" t="s">
        <v>552</v>
      </c>
      <c r="B2357" t="s">
        <v>668</v>
      </c>
      <c r="C2357" t="s">
        <v>612</v>
      </c>
      <c r="D2357" s="226">
        <v>0</v>
      </c>
      <c r="E2357" t="s">
        <v>669</v>
      </c>
    </row>
    <row r="2358" spans="1:5" hidden="1" x14ac:dyDescent="0.3">
      <c r="A2358" t="s">
        <v>552</v>
      </c>
      <c r="B2358" t="s">
        <v>668</v>
      </c>
      <c r="C2358" t="s">
        <v>613</v>
      </c>
      <c r="D2358" s="226">
        <v>0</v>
      </c>
      <c r="E2358" t="s">
        <v>669</v>
      </c>
    </row>
    <row r="2359" spans="1:5" hidden="1" x14ac:dyDescent="0.3">
      <c r="A2359" t="s">
        <v>552</v>
      </c>
      <c r="B2359" t="s">
        <v>668</v>
      </c>
      <c r="C2359" t="s">
        <v>614</v>
      </c>
      <c r="D2359" s="226">
        <v>0</v>
      </c>
      <c r="E2359" t="s">
        <v>669</v>
      </c>
    </row>
    <row r="2360" spans="1:5" hidden="1" x14ac:dyDescent="0.3">
      <c r="A2360" t="s">
        <v>552</v>
      </c>
      <c r="B2360" t="s">
        <v>668</v>
      </c>
      <c r="C2360" t="s">
        <v>615</v>
      </c>
      <c r="D2360" s="226">
        <v>0</v>
      </c>
      <c r="E2360" t="s">
        <v>669</v>
      </c>
    </row>
    <row r="2361" spans="1:5" hidden="1" x14ac:dyDescent="0.3">
      <c r="A2361" t="s">
        <v>552</v>
      </c>
      <c r="B2361" t="s">
        <v>668</v>
      </c>
      <c r="C2361" t="s">
        <v>616</v>
      </c>
      <c r="D2361" s="226">
        <v>0</v>
      </c>
      <c r="E2361" t="s">
        <v>669</v>
      </c>
    </row>
    <row r="2362" spans="1:5" hidden="1" x14ac:dyDescent="0.3">
      <c r="A2362" t="s">
        <v>552</v>
      </c>
      <c r="B2362" t="s">
        <v>668</v>
      </c>
      <c r="C2362" t="s">
        <v>617</v>
      </c>
      <c r="D2362" s="226">
        <v>0</v>
      </c>
      <c r="E2362" t="s">
        <v>669</v>
      </c>
    </row>
    <row r="2363" spans="1:5" hidden="1" x14ac:dyDescent="0.3">
      <c r="A2363" t="s">
        <v>552</v>
      </c>
      <c r="B2363" t="s">
        <v>668</v>
      </c>
      <c r="C2363" t="s">
        <v>618</v>
      </c>
      <c r="D2363" s="226">
        <v>0</v>
      </c>
      <c r="E2363" t="s">
        <v>669</v>
      </c>
    </row>
    <row r="2364" spans="1:5" hidden="1" x14ac:dyDescent="0.3">
      <c r="A2364" t="s">
        <v>552</v>
      </c>
      <c r="B2364" t="s">
        <v>668</v>
      </c>
      <c r="C2364" t="s">
        <v>619</v>
      </c>
      <c r="D2364" s="226">
        <v>0</v>
      </c>
      <c r="E2364" t="s">
        <v>669</v>
      </c>
    </row>
    <row r="2365" spans="1:5" hidden="1" x14ac:dyDescent="0.3">
      <c r="A2365" t="s">
        <v>552</v>
      </c>
      <c r="B2365" t="s">
        <v>668</v>
      </c>
      <c r="C2365" t="s">
        <v>620</v>
      </c>
      <c r="D2365" s="226">
        <v>0</v>
      </c>
      <c r="E2365" t="s">
        <v>669</v>
      </c>
    </row>
    <row r="2366" spans="1:5" hidden="1" x14ac:dyDescent="0.3">
      <c r="A2366" t="s">
        <v>552</v>
      </c>
      <c r="B2366" t="s">
        <v>668</v>
      </c>
      <c r="C2366" t="s">
        <v>621</v>
      </c>
      <c r="D2366" s="226">
        <v>0</v>
      </c>
      <c r="E2366" t="s">
        <v>669</v>
      </c>
    </row>
    <row r="2367" spans="1:5" hidden="1" x14ac:dyDescent="0.3">
      <c r="A2367" t="s">
        <v>552</v>
      </c>
      <c r="B2367" t="s">
        <v>668</v>
      </c>
      <c r="C2367" t="s">
        <v>622</v>
      </c>
      <c r="D2367" s="226">
        <v>0</v>
      </c>
      <c r="E2367" t="s">
        <v>669</v>
      </c>
    </row>
    <row r="2368" spans="1:5" hidden="1" x14ac:dyDescent="0.3">
      <c r="A2368" t="s">
        <v>552</v>
      </c>
      <c r="B2368" t="s">
        <v>668</v>
      </c>
      <c r="C2368" t="s">
        <v>623</v>
      </c>
      <c r="D2368" s="226">
        <v>0</v>
      </c>
      <c r="E2368" t="s">
        <v>669</v>
      </c>
    </row>
    <row r="2369" spans="1:5" hidden="1" x14ac:dyDescent="0.3">
      <c r="A2369" t="s">
        <v>552</v>
      </c>
      <c r="B2369" t="s">
        <v>668</v>
      </c>
      <c r="C2369" t="s">
        <v>624</v>
      </c>
      <c r="D2369" s="226">
        <v>0</v>
      </c>
      <c r="E2369" t="s">
        <v>669</v>
      </c>
    </row>
    <row r="2370" spans="1:5" hidden="1" x14ac:dyDescent="0.3">
      <c r="A2370" t="s">
        <v>552</v>
      </c>
      <c r="B2370" t="s">
        <v>668</v>
      </c>
      <c r="C2370" t="s">
        <v>200</v>
      </c>
      <c r="D2370" s="226">
        <v>-72027.06</v>
      </c>
      <c r="E2370" t="s">
        <v>669</v>
      </c>
    </row>
    <row r="2371" spans="1:5" hidden="1" x14ac:dyDescent="0.3">
      <c r="A2371" t="s">
        <v>552</v>
      </c>
      <c r="B2371" t="s">
        <v>668</v>
      </c>
      <c r="C2371" t="s">
        <v>202</v>
      </c>
      <c r="D2371" s="226">
        <v>-72027.06</v>
      </c>
      <c r="E2371" t="s">
        <v>669</v>
      </c>
    </row>
    <row r="2372" spans="1:5" hidden="1" x14ac:dyDescent="0.3">
      <c r="A2372" t="s">
        <v>552</v>
      </c>
      <c r="B2372" t="s">
        <v>668</v>
      </c>
      <c r="C2372" t="s">
        <v>625</v>
      </c>
      <c r="D2372" s="226">
        <v>36013.53</v>
      </c>
      <c r="E2372" t="s">
        <v>669</v>
      </c>
    </row>
    <row r="2373" spans="1:5" hidden="1" x14ac:dyDescent="0.3">
      <c r="A2373" t="s">
        <v>552</v>
      </c>
      <c r="B2373" t="s">
        <v>668</v>
      </c>
      <c r="C2373" t="s">
        <v>204</v>
      </c>
      <c r="D2373" s="226">
        <v>-50792.55</v>
      </c>
      <c r="E2373" t="s">
        <v>669</v>
      </c>
    </row>
    <row r="2374" spans="1:5" hidden="1" x14ac:dyDescent="0.3">
      <c r="A2374" t="s">
        <v>552</v>
      </c>
      <c r="B2374" t="s">
        <v>668</v>
      </c>
      <c r="C2374" t="s">
        <v>626</v>
      </c>
      <c r="D2374" s="226">
        <v>-11272.67</v>
      </c>
      <c r="E2374" t="s">
        <v>669</v>
      </c>
    </row>
    <row r="2375" spans="1:5" hidden="1" x14ac:dyDescent="0.3">
      <c r="A2375" t="s">
        <v>552</v>
      </c>
      <c r="B2375" t="s">
        <v>668</v>
      </c>
      <c r="C2375" t="s">
        <v>627</v>
      </c>
      <c r="D2375" s="226">
        <v>0</v>
      </c>
      <c r="E2375" t="s">
        <v>669</v>
      </c>
    </row>
    <row r="2376" spans="1:5" hidden="1" x14ac:dyDescent="0.3">
      <c r="A2376" t="s">
        <v>552</v>
      </c>
      <c r="B2376" t="s">
        <v>668</v>
      </c>
      <c r="C2376" t="s">
        <v>628</v>
      </c>
      <c r="D2376" s="226">
        <v>0</v>
      </c>
      <c r="E2376" t="s">
        <v>669</v>
      </c>
    </row>
    <row r="2377" spans="1:5" hidden="1" x14ac:dyDescent="0.3">
      <c r="A2377" t="s">
        <v>552</v>
      </c>
      <c r="B2377" t="s">
        <v>668</v>
      </c>
      <c r="C2377" t="s">
        <v>629</v>
      </c>
      <c r="D2377" s="226">
        <v>-13478.47</v>
      </c>
      <c r="E2377" t="s">
        <v>669</v>
      </c>
    </row>
    <row r="2378" spans="1:5" hidden="1" x14ac:dyDescent="0.3">
      <c r="A2378" t="s">
        <v>552</v>
      </c>
      <c r="B2378" t="s">
        <v>668</v>
      </c>
      <c r="C2378" t="s">
        <v>630</v>
      </c>
      <c r="D2378" s="226">
        <v>-4040.31</v>
      </c>
      <c r="E2378" t="s">
        <v>669</v>
      </c>
    </row>
    <row r="2379" spans="1:5" hidden="1" x14ac:dyDescent="0.3">
      <c r="A2379" t="s">
        <v>552</v>
      </c>
      <c r="B2379" t="s">
        <v>668</v>
      </c>
      <c r="C2379" t="s">
        <v>631</v>
      </c>
      <c r="D2379" s="226">
        <v>-4541.3100000000004</v>
      </c>
      <c r="E2379" t="s">
        <v>669</v>
      </c>
    </row>
    <row r="2380" spans="1:5" hidden="1" x14ac:dyDescent="0.3">
      <c r="A2380" t="s">
        <v>552</v>
      </c>
      <c r="B2380" t="s">
        <v>668</v>
      </c>
      <c r="C2380" t="s">
        <v>632</v>
      </c>
      <c r="D2380" s="226">
        <v>-1357.54</v>
      </c>
      <c r="E2380" t="s">
        <v>669</v>
      </c>
    </row>
    <row r="2381" spans="1:5" hidden="1" x14ac:dyDescent="0.3">
      <c r="A2381" t="s">
        <v>552</v>
      </c>
      <c r="B2381" t="s">
        <v>668</v>
      </c>
      <c r="C2381" t="s">
        <v>633</v>
      </c>
      <c r="D2381" s="226">
        <v>0</v>
      </c>
      <c r="E2381" t="s">
        <v>669</v>
      </c>
    </row>
    <row r="2382" spans="1:5" hidden="1" x14ac:dyDescent="0.3">
      <c r="A2382" t="s">
        <v>552</v>
      </c>
      <c r="B2382" t="s">
        <v>668</v>
      </c>
      <c r="C2382" t="s">
        <v>634</v>
      </c>
      <c r="D2382" s="226">
        <v>0</v>
      </c>
      <c r="E2382" t="s">
        <v>669</v>
      </c>
    </row>
    <row r="2383" spans="1:5" hidden="1" x14ac:dyDescent="0.3">
      <c r="A2383" t="s">
        <v>552</v>
      </c>
      <c r="B2383" t="s">
        <v>668</v>
      </c>
      <c r="C2383" t="s">
        <v>635</v>
      </c>
      <c r="D2383" s="226">
        <v>0</v>
      </c>
      <c r="E2383" t="s">
        <v>669</v>
      </c>
    </row>
    <row r="2384" spans="1:5" hidden="1" x14ac:dyDescent="0.3">
      <c r="A2384" t="s">
        <v>552</v>
      </c>
      <c r="B2384" t="s">
        <v>668</v>
      </c>
      <c r="C2384" t="s">
        <v>636</v>
      </c>
      <c r="D2384" s="226">
        <v>-3576.41</v>
      </c>
      <c r="E2384" t="s">
        <v>669</v>
      </c>
    </row>
    <row r="2385" spans="1:5" hidden="1" x14ac:dyDescent="0.3">
      <c r="A2385" t="s">
        <v>552</v>
      </c>
      <c r="B2385" t="s">
        <v>668</v>
      </c>
      <c r="C2385" t="s">
        <v>637</v>
      </c>
      <c r="D2385" s="226">
        <v>-12500</v>
      </c>
      <c r="E2385" t="s">
        <v>669</v>
      </c>
    </row>
    <row r="2386" spans="1:5" hidden="1" x14ac:dyDescent="0.3">
      <c r="A2386" t="s">
        <v>552</v>
      </c>
      <c r="B2386" t="s">
        <v>668</v>
      </c>
      <c r="C2386" t="s">
        <v>638</v>
      </c>
      <c r="D2386" s="226">
        <v>0</v>
      </c>
      <c r="E2386" t="s">
        <v>669</v>
      </c>
    </row>
    <row r="2387" spans="1:5" hidden="1" x14ac:dyDescent="0.3">
      <c r="A2387" t="s">
        <v>552</v>
      </c>
      <c r="B2387" t="s">
        <v>668</v>
      </c>
      <c r="C2387" t="s">
        <v>639</v>
      </c>
      <c r="D2387" s="226">
        <v>-25.85</v>
      </c>
      <c r="E2387" t="s">
        <v>669</v>
      </c>
    </row>
    <row r="2388" spans="1:5" hidden="1" x14ac:dyDescent="0.3">
      <c r="A2388" t="s">
        <v>552</v>
      </c>
      <c r="B2388" t="s">
        <v>668</v>
      </c>
      <c r="C2388" t="s">
        <v>640</v>
      </c>
      <c r="D2388" s="226">
        <v>0</v>
      </c>
      <c r="E2388" t="s">
        <v>669</v>
      </c>
    </row>
    <row r="2389" spans="1:5" hidden="1" x14ac:dyDescent="0.3">
      <c r="A2389" t="s">
        <v>552</v>
      </c>
      <c r="B2389" t="s">
        <v>668</v>
      </c>
      <c r="C2389" t="s">
        <v>641</v>
      </c>
      <c r="D2389" s="226">
        <v>0</v>
      </c>
      <c r="E2389" t="s">
        <v>669</v>
      </c>
    </row>
    <row r="2390" spans="1:5" hidden="1" x14ac:dyDescent="0.3">
      <c r="A2390" t="s">
        <v>552</v>
      </c>
      <c r="B2390" t="s">
        <v>668</v>
      </c>
      <c r="C2390" t="s">
        <v>237</v>
      </c>
      <c r="D2390" s="226">
        <v>-10398.1</v>
      </c>
      <c r="E2390" t="s">
        <v>669</v>
      </c>
    </row>
    <row r="2391" spans="1:5" hidden="1" x14ac:dyDescent="0.3">
      <c r="A2391" t="s">
        <v>552</v>
      </c>
      <c r="B2391" t="s">
        <v>668</v>
      </c>
      <c r="C2391" t="s">
        <v>642</v>
      </c>
      <c r="D2391" s="226">
        <v>-10319.23</v>
      </c>
      <c r="E2391" t="s">
        <v>669</v>
      </c>
    </row>
    <row r="2392" spans="1:5" hidden="1" x14ac:dyDescent="0.3">
      <c r="A2392" t="s">
        <v>552</v>
      </c>
      <c r="B2392" t="s">
        <v>668</v>
      </c>
      <c r="C2392" t="s">
        <v>643</v>
      </c>
      <c r="D2392" s="226">
        <v>0</v>
      </c>
      <c r="E2392" t="s">
        <v>669</v>
      </c>
    </row>
    <row r="2393" spans="1:5" hidden="1" x14ac:dyDescent="0.3">
      <c r="A2393" t="s">
        <v>552</v>
      </c>
      <c r="B2393" t="s">
        <v>668</v>
      </c>
      <c r="C2393" t="s">
        <v>644</v>
      </c>
      <c r="D2393" s="226">
        <v>0</v>
      </c>
      <c r="E2393" t="s">
        <v>669</v>
      </c>
    </row>
    <row r="2394" spans="1:5" hidden="1" x14ac:dyDescent="0.3">
      <c r="A2394" t="s">
        <v>552</v>
      </c>
      <c r="B2394" t="s">
        <v>668</v>
      </c>
      <c r="C2394" t="s">
        <v>645</v>
      </c>
      <c r="D2394" s="226">
        <v>-78.87</v>
      </c>
      <c r="E2394" t="s">
        <v>669</v>
      </c>
    </row>
    <row r="2395" spans="1:5" hidden="1" x14ac:dyDescent="0.3">
      <c r="A2395" t="s">
        <v>552</v>
      </c>
      <c r="B2395" t="s">
        <v>668</v>
      </c>
      <c r="C2395" t="s">
        <v>646</v>
      </c>
      <c r="D2395" s="226">
        <v>0</v>
      </c>
      <c r="E2395" t="s">
        <v>669</v>
      </c>
    </row>
    <row r="2396" spans="1:5" hidden="1" x14ac:dyDescent="0.3">
      <c r="A2396" t="s">
        <v>552</v>
      </c>
      <c r="B2396" t="s">
        <v>668</v>
      </c>
      <c r="C2396" t="s">
        <v>244</v>
      </c>
      <c r="D2396" s="226">
        <v>-28451.89</v>
      </c>
      <c r="E2396" t="s">
        <v>669</v>
      </c>
    </row>
    <row r="2397" spans="1:5" hidden="1" x14ac:dyDescent="0.3">
      <c r="A2397" t="s">
        <v>552</v>
      </c>
      <c r="B2397" t="s">
        <v>668</v>
      </c>
      <c r="C2397" t="s">
        <v>647</v>
      </c>
      <c r="D2397" s="226">
        <v>-465.98</v>
      </c>
      <c r="E2397" t="s">
        <v>669</v>
      </c>
    </row>
    <row r="2398" spans="1:5" hidden="1" x14ac:dyDescent="0.3">
      <c r="A2398" t="s">
        <v>552</v>
      </c>
      <c r="B2398" t="s">
        <v>668</v>
      </c>
      <c r="C2398" t="s">
        <v>648</v>
      </c>
      <c r="D2398" s="226">
        <v>-617.16999999999996</v>
      </c>
      <c r="E2398" t="s">
        <v>669</v>
      </c>
    </row>
    <row r="2399" spans="1:5" hidden="1" x14ac:dyDescent="0.3">
      <c r="A2399" t="s">
        <v>552</v>
      </c>
      <c r="B2399" t="s">
        <v>668</v>
      </c>
      <c r="C2399" t="s">
        <v>649</v>
      </c>
      <c r="D2399" s="226">
        <v>0</v>
      </c>
      <c r="E2399" t="s">
        <v>669</v>
      </c>
    </row>
    <row r="2400" spans="1:5" hidden="1" x14ac:dyDescent="0.3">
      <c r="A2400" t="s">
        <v>552</v>
      </c>
      <c r="B2400" t="s">
        <v>668</v>
      </c>
      <c r="C2400" t="s">
        <v>650</v>
      </c>
      <c r="D2400" s="226">
        <v>0</v>
      </c>
      <c r="E2400" t="s">
        <v>669</v>
      </c>
    </row>
    <row r="2401" spans="1:5" hidden="1" x14ac:dyDescent="0.3">
      <c r="A2401" t="s">
        <v>552</v>
      </c>
      <c r="B2401" t="s">
        <v>668</v>
      </c>
      <c r="C2401" t="s">
        <v>651</v>
      </c>
      <c r="D2401" s="226">
        <v>0</v>
      </c>
      <c r="E2401" t="s">
        <v>669</v>
      </c>
    </row>
    <row r="2402" spans="1:5" hidden="1" x14ac:dyDescent="0.3">
      <c r="A2402" t="s">
        <v>552</v>
      </c>
      <c r="B2402" t="s">
        <v>668</v>
      </c>
      <c r="C2402" t="s">
        <v>652</v>
      </c>
      <c r="D2402" s="226">
        <v>-27368.74</v>
      </c>
      <c r="E2402" t="s">
        <v>669</v>
      </c>
    </row>
    <row r="2403" spans="1:5" hidden="1" x14ac:dyDescent="0.3">
      <c r="A2403" t="s">
        <v>552</v>
      </c>
      <c r="B2403" t="s">
        <v>668</v>
      </c>
      <c r="C2403" t="s">
        <v>653</v>
      </c>
      <c r="D2403" s="226">
        <v>0</v>
      </c>
      <c r="E2403" t="s">
        <v>669</v>
      </c>
    </row>
    <row r="2404" spans="1:5" hidden="1" x14ac:dyDescent="0.3">
      <c r="A2404" t="s">
        <v>552</v>
      </c>
      <c r="B2404" t="s">
        <v>668</v>
      </c>
      <c r="C2404" t="s">
        <v>253</v>
      </c>
      <c r="D2404" s="226">
        <v>-0.22</v>
      </c>
      <c r="E2404" t="s">
        <v>669</v>
      </c>
    </row>
    <row r="2405" spans="1:5" hidden="1" x14ac:dyDescent="0.3">
      <c r="A2405" t="s">
        <v>552</v>
      </c>
      <c r="B2405" t="s">
        <v>668</v>
      </c>
      <c r="C2405" t="s">
        <v>254</v>
      </c>
      <c r="D2405" s="226">
        <v>-0.19</v>
      </c>
      <c r="E2405" t="s">
        <v>669</v>
      </c>
    </row>
    <row r="2406" spans="1:5" hidden="1" x14ac:dyDescent="0.3">
      <c r="A2406" t="s">
        <v>552</v>
      </c>
      <c r="B2406" t="s">
        <v>668</v>
      </c>
      <c r="C2406" t="s">
        <v>255</v>
      </c>
      <c r="D2406" s="226">
        <v>-35379.01</v>
      </c>
      <c r="E2406" t="s">
        <v>669</v>
      </c>
    </row>
    <row r="2407" spans="1:5" hidden="1" x14ac:dyDescent="0.3">
      <c r="A2407" t="s">
        <v>552</v>
      </c>
      <c r="B2407" t="s">
        <v>668</v>
      </c>
      <c r="C2407" t="s">
        <v>256</v>
      </c>
      <c r="D2407" s="226">
        <v>-22875.41</v>
      </c>
      <c r="E2407" t="s">
        <v>669</v>
      </c>
    </row>
    <row r="2408" spans="1:5" hidden="1" x14ac:dyDescent="0.3">
      <c r="A2408" t="s">
        <v>552</v>
      </c>
      <c r="B2408" t="s">
        <v>668</v>
      </c>
      <c r="C2408" t="s">
        <v>257</v>
      </c>
      <c r="D2408" s="226">
        <v>-10773.67</v>
      </c>
      <c r="E2408" t="s">
        <v>669</v>
      </c>
    </row>
    <row r="2409" spans="1:5" hidden="1" x14ac:dyDescent="0.3">
      <c r="A2409" t="s">
        <v>552</v>
      </c>
      <c r="B2409" t="s">
        <v>668</v>
      </c>
      <c r="C2409" t="s">
        <v>258</v>
      </c>
      <c r="D2409" s="226">
        <v>-1729.93</v>
      </c>
      <c r="E2409" t="s">
        <v>669</v>
      </c>
    </row>
    <row r="2410" spans="1:5" hidden="1" x14ac:dyDescent="0.3">
      <c r="A2410" t="s">
        <v>552</v>
      </c>
      <c r="B2410" t="s">
        <v>668</v>
      </c>
      <c r="C2410" t="s">
        <v>259</v>
      </c>
      <c r="D2410" s="226">
        <v>0</v>
      </c>
      <c r="E2410" t="s">
        <v>669</v>
      </c>
    </row>
    <row r="2411" spans="1:5" hidden="1" x14ac:dyDescent="0.3">
      <c r="A2411" t="s">
        <v>552</v>
      </c>
      <c r="B2411" t="s">
        <v>668</v>
      </c>
      <c r="C2411" t="s">
        <v>260</v>
      </c>
      <c r="D2411" s="226">
        <v>0</v>
      </c>
      <c r="E2411" t="s">
        <v>669</v>
      </c>
    </row>
    <row r="2412" spans="1:5" hidden="1" x14ac:dyDescent="0.3">
      <c r="A2412" t="s">
        <v>552</v>
      </c>
      <c r="B2412" t="s">
        <v>668</v>
      </c>
      <c r="C2412" t="s">
        <v>261</v>
      </c>
      <c r="D2412" s="226">
        <v>0</v>
      </c>
      <c r="E2412" t="s">
        <v>669</v>
      </c>
    </row>
    <row r="2413" spans="1:5" hidden="1" x14ac:dyDescent="0.3">
      <c r="A2413" t="s">
        <v>552</v>
      </c>
      <c r="B2413" t="s">
        <v>668</v>
      </c>
      <c r="C2413" t="s">
        <v>262</v>
      </c>
      <c r="D2413" s="226">
        <v>0</v>
      </c>
      <c r="E2413" t="s">
        <v>669</v>
      </c>
    </row>
    <row r="2414" spans="1:5" hidden="1" x14ac:dyDescent="0.3">
      <c r="A2414" t="s">
        <v>552</v>
      </c>
      <c r="B2414" t="s">
        <v>668</v>
      </c>
      <c r="C2414" t="s">
        <v>44</v>
      </c>
      <c r="D2414" s="226">
        <v>-0.03</v>
      </c>
      <c r="E2414" t="s">
        <v>669</v>
      </c>
    </row>
    <row r="2415" spans="1:5" hidden="1" x14ac:dyDescent="0.3">
      <c r="A2415" t="s">
        <v>552</v>
      </c>
      <c r="B2415" t="s">
        <v>668</v>
      </c>
      <c r="C2415" t="s">
        <v>263</v>
      </c>
      <c r="D2415" s="226">
        <v>-79931.89</v>
      </c>
      <c r="E2415" t="s">
        <v>669</v>
      </c>
    </row>
    <row r="2416" spans="1:5" hidden="1" x14ac:dyDescent="0.3">
      <c r="A2416" t="s">
        <v>552</v>
      </c>
      <c r="B2416" t="s">
        <v>668</v>
      </c>
      <c r="C2416" t="s">
        <v>264</v>
      </c>
      <c r="D2416" s="226">
        <v>-18480</v>
      </c>
      <c r="E2416" t="s">
        <v>669</v>
      </c>
    </row>
    <row r="2417" spans="1:5" hidden="1" x14ac:dyDescent="0.3">
      <c r="A2417" t="s">
        <v>552</v>
      </c>
      <c r="B2417" t="s">
        <v>668</v>
      </c>
      <c r="C2417" t="s">
        <v>265</v>
      </c>
      <c r="D2417" s="226">
        <v>-12128.41</v>
      </c>
      <c r="E2417" t="s">
        <v>669</v>
      </c>
    </row>
    <row r="2418" spans="1:5" hidden="1" x14ac:dyDescent="0.3">
      <c r="A2418" t="s">
        <v>552</v>
      </c>
      <c r="B2418" t="s">
        <v>668</v>
      </c>
      <c r="C2418" t="s">
        <v>266</v>
      </c>
      <c r="D2418" s="226">
        <v>-11777.72</v>
      </c>
      <c r="E2418" t="s">
        <v>669</v>
      </c>
    </row>
    <row r="2419" spans="1:5" hidden="1" x14ac:dyDescent="0.3">
      <c r="A2419" t="s">
        <v>552</v>
      </c>
      <c r="B2419" t="s">
        <v>668</v>
      </c>
      <c r="C2419" t="s">
        <v>267</v>
      </c>
      <c r="D2419" s="226">
        <v>-13377.67</v>
      </c>
      <c r="E2419" t="s">
        <v>669</v>
      </c>
    </row>
    <row r="2420" spans="1:5" hidden="1" x14ac:dyDescent="0.3">
      <c r="A2420" t="s">
        <v>552</v>
      </c>
      <c r="B2420" t="s">
        <v>668</v>
      </c>
      <c r="C2420" t="s">
        <v>268</v>
      </c>
      <c r="D2420" s="226">
        <v>0</v>
      </c>
      <c r="E2420" t="s">
        <v>669</v>
      </c>
    </row>
    <row r="2421" spans="1:5" hidden="1" x14ac:dyDescent="0.3">
      <c r="A2421" t="s">
        <v>552</v>
      </c>
      <c r="B2421" t="s">
        <v>668</v>
      </c>
      <c r="C2421" t="s">
        <v>269</v>
      </c>
      <c r="D2421" s="226">
        <v>-580</v>
      </c>
      <c r="E2421" t="s">
        <v>669</v>
      </c>
    </row>
    <row r="2422" spans="1:5" hidden="1" x14ac:dyDescent="0.3">
      <c r="A2422" t="s">
        <v>552</v>
      </c>
      <c r="B2422" t="s">
        <v>668</v>
      </c>
      <c r="C2422" t="s">
        <v>270</v>
      </c>
      <c r="D2422" s="226">
        <v>-3035.06</v>
      </c>
      <c r="E2422" t="s">
        <v>669</v>
      </c>
    </row>
    <row r="2423" spans="1:5" hidden="1" x14ac:dyDescent="0.3">
      <c r="A2423" t="s">
        <v>552</v>
      </c>
      <c r="B2423" t="s">
        <v>668</v>
      </c>
      <c r="C2423" t="s">
        <v>271</v>
      </c>
      <c r="D2423" s="226">
        <v>-7680.46</v>
      </c>
      <c r="E2423" t="s">
        <v>669</v>
      </c>
    </row>
    <row r="2424" spans="1:5" hidden="1" x14ac:dyDescent="0.3">
      <c r="A2424" t="s">
        <v>552</v>
      </c>
      <c r="B2424" t="s">
        <v>668</v>
      </c>
      <c r="C2424" t="s">
        <v>272</v>
      </c>
      <c r="D2424" s="226">
        <v>0</v>
      </c>
      <c r="E2424" t="s">
        <v>669</v>
      </c>
    </row>
    <row r="2425" spans="1:5" hidden="1" x14ac:dyDescent="0.3">
      <c r="A2425" t="s">
        <v>552</v>
      </c>
      <c r="B2425" t="s">
        <v>668</v>
      </c>
      <c r="C2425" t="s">
        <v>273</v>
      </c>
      <c r="D2425" s="226">
        <v>0</v>
      </c>
      <c r="E2425" t="s">
        <v>669</v>
      </c>
    </row>
    <row r="2426" spans="1:5" hidden="1" x14ac:dyDescent="0.3">
      <c r="A2426" t="s">
        <v>552</v>
      </c>
      <c r="B2426" t="s">
        <v>668</v>
      </c>
      <c r="C2426" t="s">
        <v>274</v>
      </c>
      <c r="D2426" s="226">
        <v>-765.25</v>
      </c>
      <c r="E2426" t="s">
        <v>669</v>
      </c>
    </row>
    <row r="2427" spans="1:5" hidden="1" x14ac:dyDescent="0.3">
      <c r="A2427" t="s">
        <v>552</v>
      </c>
      <c r="B2427" t="s">
        <v>668</v>
      </c>
      <c r="C2427" t="s">
        <v>275</v>
      </c>
      <c r="D2427" s="226">
        <v>-4500</v>
      </c>
      <c r="E2427" t="s">
        <v>669</v>
      </c>
    </row>
    <row r="2428" spans="1:5" hidden="1" x14ac:dyDescent="0.3">
      <c r="A2428" t="s">
        <v>552</v>
      </c>
      <c r="B2428" t="s">
        <v>668</v>
      </c>
      <c r="C2428" t="s">
        <v>276</v>
      </c>
      <c r="D2428" s="226">
        <v>0</v>
      </c>
      <c r="E2428" t="s">
        <v>669</v>
      </c>
    </row>
    <row r="2429" spans="1:5" hidden="1" x14ac:dyDescent="0.3">
      <c r="A2429" t="s">
        <v>552</v>
      </c>
      <c r="B2429" t="s">
        <v>668</v>
      </c>
      <c r="C2429" t="s">
        <v>277</v>
      </c>
      <c r="D2429" s="226">
        <v>-7607.32</v>
      </c>
      <c r="E2429" t="s">
        <v>669</v>
      </c>
    </row>
    <row r="2430" spans="1:5" hidden="1" x14ac:dyDescent="0.3">
      <c r="A2430" t="s">
        <v>552</v>
      </c>
      <c r="B2430" t="s">
        <v>668</v>
      </c>
      <c r="C2430" t="s">
        <v>44</v>
      </c>
      <c r="D2430" s="226">
        <v>-0.06</v>
      </c>
      <c r="E2430" t="s">
        <v>669</v>
      </c>
    </row>
    <row r="2431" spans="1:5" hidden="1" x14ac:dyDescent="0.3">
      <c r="A2431" t="s">
        <v>552</v>
      </c>
      <c r="B2431" t="s">
        <v>668</v>
      </c>
      <c r="C2431" t="s">
        <v>278</v>
      </c>
      <c r="D2431" s="226">
        <v>-8265.75</v>
      </c>
      <c r="E2431" t="s">
        <v>669</v>
      </c>
    </row>
    <row r="2432" spans="1:5" hidden="1" x14ac:dyDescent="0.3">
      <c r="A2432" t="s">
        <v>552</v>
      </c>
      <c r="B2432" t="s">
        <v>668</v>
      </c>
      <c r="C2432" t="s">
        <v>279</v>
      </c>
      <c r="D2432" s="226">
        <v>0</v>
      </c>
      <c r="E2432" t="s">
        <v>669</v>
      </c>
    </row>
    <row r="2433" spans="1:5" hidden="1" x14ac:dyDescent="0.3">
      <c r="A2433" t="s">
        <v>552</v>
      </c>
      <c r="B2433" t="s">
        <v>668</v>
      </c>
      <c r="C2433" t="s">
        <v>280</v>
      </c>
      <c r="D2433" s="226">
        <v>-505.4</v>
      </c>
      <c r="E2433" t="s">
        <v>669</v>
      </c>
    </row>
    <row r="2434" spans="1:5" hidden="1" x14ac:dyDescent="0.3">
      <c r="A2434" t="s">
        <v>552</v>
      </c>
      <c r="B2434" t="s">
        <v>668</v>
      </c>
      <c r="C2434" t="s">
        <v>281</v>
      </c>
      <c r="D2434" s="226">
        <v>0</v>
      </c>
      <c r="E2434" t="s">
        <v>669</v>
      </c>
    </row>
    <row r="2435" spans="1:5" hidden="1" x14ac:dyDescent="0.3">
      <c r="A2435" t="s">
        <v>552</v>
      </c>
      <c r="B2435" t="s">
        <v>668</v>
      </c>
      <c r="C2435" t="s">
        <v>282</v>
      </c>
      <c r="D2435" s="226">
        <v>-815</v>
      </c>
      <c r="E2435" t="s">
        <v>669</v>
      </c>
    </row>
    <row r="2436" spans="1:5" hidden="1" x14ac:dyDescent="0.3">
      <c r="A2436" t="s">
        <v>552</v>
      </c>
      <c r="B2436" t="s">
        <v>668</v>
      </c>
      <c r="C2436" t="s">
        <v>283</v>
      </c>
      <c r="D2436" s="226">
        <v>-6945.35</v>
      </c>
      <c r="E2436" t="s">
        <v>669</v>
      </c>
    </row>
    <row r="2437" spans="1:5" hidden="1" x14ac:dyDescent="0.3">
      <c r="A2437" t="s">
        <v>552</v>
      </c>
      <c r="B2437" t="s">
        <v>668</v>
      </c>
      <c r="C2437" t="s">
        <v>284</v>
      </c>
      <c r="D2437" s="226">
        <v>0</v>
      </c>
      <c r="E2437" t="s">
        <v>669</v>
      </c>
    </row>
    <row r="2438" spans="1:5" hidden="1" x14ac:dyDescent="0.3">
      <c r="A2438" t="s">
        <v>552</v>
      </c>
      <c r="B2438" t="s">
        <v>668</v>
      </c>
      <c r="C2438" t="s">
        <v>285</v>
      </c>
      <c r="D2438" s="226">
        <v>0</v>
      </c>
      <c r="E2438" t="s">
        <v>669</v>
      </c>
    </row>
    <row r="2439" spans="1:5" hidden="1" x14ac:dyDescent="0.3">
      <c r="A2439" t="s">
        <v>552</v>
      </c>
      <c r="B2439" t="s">
        <v>668</v>
      </c>
      <c r="C2439" t="s">
        <v>44</v>
      </c>
      <c r="D2439" s="226">
        <v>-0.01</v>
      </c>
      <c r="E2439" t="s">
        <v>669</v>
      </c>
    </row>
    <row r="2440" spans="1:5" hidden="1" x14ac:dyDescent="0.3">
      <c r="A2440" t="s">
        <v>552</v>
      </c>
      <c r="B2440" t="s">
        <v>668</v>
      </c>
      <c r="C2440" t="s">
        <v>286</v>
      </c>
      <c r="D2440" s="226">
        <v>-8702.3799999999992</v>
      </c>
      <c r="E2440" t="s">
        <v>669</v>
      </c>
    </row>
    <row r="2441" spans="1:5" hidden="1" x14ac:dyDescent="0.3">
      <c r="A2441" t="s">
        <v>552</v>
      </c>
      <c r="B2441" t="s">
        <v>668</v>
      </c>
      <c r="C2441" t="s">
        <v>287</v>
      </c>
      <c r="D2441" s="226">
        <v>-8441.19</v>
      </c>
      <c r="E2441" t="s">
        <v>669</v>
      </c>
    </row>
    <row r="2442" spans="1:5" hidden="1" x14ac:dyDescent="0.3">
      <c r="A2442" t="s">
        <v>552</v>
      </c>
      <c r="B2442" t="s">
        <v>668</v>
      </c>
      <c r="C2442" t="s">
        <v>288</v>
      </c>
      <c r="D2442" s="226">
        <v>0</v>
      </c>
      <c r="E2442" t="s">
        <v>669</v>
      </c>
    </row>
    <row r="2443" spans="1:5" hidden="1" x14ac:dyDescent="0.3">
      <c r="A2443" t="s">
        <v>552</v>
      </c>
      <c r="B2443" t="s">
        <v>668</v>
      </c>
      <c r="C2443" t="s">
        <v>289</v>
      </c>
      <c r="D2443" s="226">
        <v>0</v>
      </c>
      <c r="E2443" t="s">
        <v>669</v>
      </c>
    </row>
    <row r="2444" spans="1:5" hidden="1" x14ac:dyDescent="0.3">
      <c r="A2444" t="s">
        <v>552</v>
      </c>
      <c r="B2444" t="s">
        <v>668</v>
      </c>
      <c r="C2444" t="s">
        <v>290</v>
      </c>
      <c r="D2444" s="226">
        <v>0</v>
      </c>
      <c r="E2444" t="s">
        <v>669</v>
      </c>
    </row>
    <row r="2445" spans="1:5" hidden="1" x14ac:dyDescent="0.3">
      <c r="A2445" t="s">
        <v>552</v>
      </c>
      <c r="B2445" t="s">
        <v>668</v>
      </c>
      <c r="C2445" t="s">
        <v>291</v>
      </c>
      <c r="D2445" s="226">
        <v>0</v>
      </c>
      <c r="E2445" t="s">
        <v>669</v>
      </c>
    </row>
    <row r="2446" spans="1:5" hidden="1" x14ac:dyDescent="0.3">
      <c r="A2446" t="s">
        <v>552</v>
      </c>
      <c r="B2446" t="s">
        <v>668</v>
      </c>
      <c r="C2446" t="s">
        <v>292</v>
      </c>
      <c r="D2446" s="226">
        <v>-240.48</v>
      </c>
      <c r="E2446" t="s">
        <v>669</v>
      </c>
    </row>
    <row r="2447" spans="1:5" hidden="1" x14ac:dyDescent="0.3">
      <c r="A2447" t="s">
        <v>552</v>
      </c>
      <c r="B2447" t="s">
        <v>668</v>
      </c>
      <c r="C2447" t="s">
        <v>293</v>
      </c>
      <c r="D2447" s="226">
        <v>-20.71</v>
      </c>
      <c r="E2447" t="s">
        <v>669</v>
      </c>
    </row>
    <row r="2448" spans="1:5" hidden="1" x14ac:dyDescent="0.3">
      <c r="A2448" t="s">
        <v>552</v>
      </c>
      <c r="B2448" t="s">
        <v>668</v>
      </c>
      <c r="C2448" t="s">
        <v>294</v>
      </c>
      <c r="D2448" s="226">
        <v>0</v>
      </c>
      <c r="E2448" t="s">
        <v>669</v>
      </c>
    </row>
    <row r="2449" spans="1:5" hidden="1" x14ac:dyDescent="0.3">
      <c r="A2449" t="s">
        <v>552</v>
      </c>
      <c r="B2449" t="s">
        <v>668</v>
      </c>
      <c r="C2449" t="s">
        <v>44</v>
      </c>
      <c r="D2449" s="226">
        <v>-0.01</v>
      </c>
      <c r="E2449" t="s">
        <v>669</v>
      </c>
    </row>
    <row r="2450" spans="1:5" hidden="1" x14ac:dyDescent="0.3">
      <c r="A2450" t="s">
        <v>552</v>
      </c>
      <c r="B2450" t="s">
        <v>668</v>
      </c>
      <c r="C2450" t="s">
        <v>295</v>
      </c>
      <c r="D2450" s="226">
        <v>-15761.9</v>
      </c>
      <c r="E2450" t="s">
        <v>669</v>
      </c>
    </row>
    <row r="2451" spans="1:5" hidden="1" x14ac:dyDescent="0.3">
      <c r="A2451" t="s">
        <v>552</v>
      </c>
      <c r="B2451" t="s">
        <v>668</v>
      </c>
      <c r="C2451" t="s">
        <v>296</v>
      </c>
      <c r="D2451" s="226">
        <v>-12750</v>
      </c>
      <c r="E2451" t="s">
        <v>669</v>
      </c>
    </row>
    <row r="2452" spans="1:5" hidden="1" x14ac:dyDescent="0.3">
      <c r="A2452" t="s">
        <v>552</v>
      </c>
      <c r="B2452" t="s">
        <v>668</v>
      </c>
      <c r="C2452" t="s">
        <v>297</v>
      </c>
      <c r="D2452" s="226">
        <v>-460</v>
      </c>
      <c r="E2452" t="s">
        <v>669</v>
      </c>
    </row>
    <row r="2453" spans="1:5" hidden="1" x14ac:dyDescent="0.3">
      <c r="A2453" t="s">
        <v>552</v>
      </c>
      <c r="B2453" t="s">
        <v>668</v>
      </c>
      <c r="C2453" t="s">
        <v>298</v>
      </c>
      <c r="D2453" s="226">
        <v>0</v>
      </c>
      <c r="E2453" t="s">
        <v>669</v>
      </c>
    </row>
    <row r="2454" spans="1:5" hidden="1" x14ac:dyDescent="0.3">
      <c r="A2454" t="s">
        <v>552</v>
      </c>
      <c r="B2454" t="s">
        <v>668</v>
      </c>
      <c r="C2454" t="s">
        <v>299</v>
      </c>
      <c r="D2454" s="226">
        <v>0</v>
      </c>
      <c r="E2454" t="s">
        <v>669</v>
      </c>
    </row>
    <row r="2455" spans="1:5" hidden="1" x14ac:dyDescent="0.3">
      <c r="A2455" t="s">
        <v>552</v>
      </c>
      <c r="B2455" t="s">
        <v>668</v>
      </c>
      <c r="C2455" t="s">
        <v>300</v>
      </c>
      <c r="D2455" s="226">
        <v>-405.95</v>
      </c>
      <c r="E2455" t="s">
        <v>669</v>
      </c>
    </row>
    <row r="2456" spans="1:5" hidden="1" x14ac:dyDescent="0.3">
      <c r="A2456" t="s">
        <v>552</v>
      </c>
      <c r="B2456" t="s">
        <v>668</v>
      </c>
      <c r="C2456" t="s">
        <v>301</v>
      </c>
      <c r="D2456" s="226">
        <v>0</v>
      </c>
      <c r="E2456" t="s">
        <v>669</v>
      </c>
    </row>
    <row r="2457" spans="1:5" hidden="1" x14ac:dyDescent="0.3">
      <c r="A2457" t="s">
        <v>552</v>
      </c>
      <c r="B2457" t="s">
        <v>668</v>
      </c>
      <c r="C2457" t="s">
        <v>302</v>
      </c>
      <c r="D2457" s="226">
        <v>0</v>
      </c>
      <c r="E2457" t="s">
        <v>669</v>
      </c>
    </row>
    <row r="2458" spans="1:5" hidden="1" x14ac:dyDescent="0.3">
      <c r="A2458" t="s">
        <v>552</v>
      </c>
      <c r="B2458" t="s">
        <v>668</v>
      </c>
      <c r="C2458" t="s">
        <v>303</v>
      </c>
      <c r="D2458" s="226">
        <v>0</v>
      </c>
      <c r="E2458" t="s">
        <v>669</v>
      </c>
    </row>
    <row r="2459" spans="1:5" hidden="1" x14ac:dyDescent="0.3">
      <c r="A2459" t="s">
        <v>552</v>
      </c>
      <c r="B2459" t="s">
        <v>668</v>
      </c>
      <c r="C2459" t="s">
        <v>304</v>
      </c>
      <c r="D2459" s="226">
        <v>-245.4</v>
      </c>
      <c r="E2459" t="s">
        <v>669</v>
      </c>
    </row>
    <row r="2460" spans="1:5" hidden="1" x14ac:dyDescent="0.3">
      <c r="A2460" t="s">
        <v>552</v>
      </c>
      <c r="B2460" t="s">
        <v>668</v>
      </c>
      <c r="C2460" t="s">
        <v>305</v>
      </c>
      <c r="D2460" s="226">
        <v>0</v>
      </c>
      <c r="E2460" t="s">
        <v>669</v>
      </c>
    </row>
    <row r="2461" spans="1:5" hidden="1" x14ac:dyDescent="0.3">
      <c r="A2461" t="s">
        <v>552</v>
      </c>
      <c r="B2461" t="s">
        <v>668</v>
      </c>
      <c r="C2461" t="s">
        <v>306</v>
      </c>
      <c r="D2461" s="226">
        <v>-1900.55</v>
      </c>
      <c r="E2461" t="s">
        <v>669</v>
      </c>
    </row>
    <row r="2462" spans="1:5" hidden="1" x14ac:dyDescent="0.3">
      <c r="A2462" t="s">
        <v>552</v>
      </c>
      <c r="B2462" t="s">
        <v>668</v>
      </c>
      <c r="C2462" t="s">
        <v>44</v>
      </c>
      <c r="D2462" s="226">
        <v>-0.01</v>
      </c>
      <c r="E2462" t="s">
        <v>669</v>
      </c>
    </row>
    <row r="2463" spans="1:5" hidden="1" x14ac:dyDescent="0.3">
      <c r="A2463" t="s">
        <v>552</v>
      </c>
      <c r="B2463" t="s">
        <v>668</v>
      </c>
      <c r="C2463" t="s">
        <v>307</v>
      </c>
      <c r="D2463" s="226">
        <v>-14941.27</v>
      </c>
      <c r="E2463" t="s">
        <v>669</v>
      </c>
    </row>
    <row r="2464" spans="1:5" hidden="1" x14ac:dyDescent="0.3">
      <c r="A2464" t="s">
        <v>552</v>
      </c>
      <c r="B2464" t="s">
        <v>668</v>
      </c>
      <c r="C2464" t="s">
        <v>308</v>
      </c>
      <c r="D2464" s="226">
        <v>-1412</v>
      </c>
      <c r="E2464" t="s">
        <v>669</v>
      </c>
    </row>
    <row r="2465" spans="1:5" hidden="1" x14ac:dyDescent="0.3">
      <c r="A2465" t="s">
        <v>552</v>
      </c>
      <c r="B2465" t="s">
        <v>668</v>
      </c>
      <c r="C2465" t="s">
        <v>309</v>
      </c>
      <c r="D2465" s="226">
        <v>0</v>
      </c>
      <c r="E2465" t="s">
        <v>669</v>
      </c>
    </row>
    <row r="2466" spans="1:5" hidden="1" x14ac:dyDescent="0.3">
      <c r="A2466" t="s">
        <v>552</v>
      </c>
      <c r="B2466" t="s">
        <v>668</v>
      </c>
      <c r="C2466" t="s">
        <v>310</v>
      </c>
      <c r="D2466" s="226">
        <v>-2319.27</v>
      </c>
      <c r="E2466" t="s">
        <v>669</v>
      </c>
    </row>
    <row r="2467" spans="1:5" hidden="1" x14ac:dyDescent="0.3">
      <c r="A2467" t="s">
        <v>552</v>
      </c>
      <c r="B2467" t="s">
        <v>668</v>
      </c>
      <c r="C2467" t="s">
        <v>311</v>
      </c>
      <c r="D2467" s="226">
        <v>0</v>
      </c>
      <c r="E2467" t="s">
        <v>669</v>
      </c>
    </row>
    <row r="2468" spans="1:5" hidden="1" x14ac:dyDescent="0.3">
      <c r="A2468" t="s">
        <v>552</v>
      </c>
      <c r="B2468" t="s">
        <v>668</v>
      </c>
      <c r="C2468" t="s">
        <v>312</v>
      </c>
      <c r="D2468" s="226">
        <v>0</v>
      </c>
      <c r="E2468" t="s">
        <v>669</v>
      </c>
    </row>
    <row r="2469" spans="1:5" hidden="1" x14ac:dyDescent="0.3">
      <c r="A2469" t="s">
        <v>552</v>
      </c>
      <c r="B2469" t="s">
        <v>668</v>
      </c>
      <c r="C2469" t="s">
        <v>313</v>
      </c>
      <c r="D2469" s="226">
        <v>0</v>
      </c>
      <c r="E2469" t="s">
        <v>669</v>
      </c>
    </row>
    <row r="2470" spans="1:5" hidden="1" x14ac:dyDescent="0.3">
      <c r="A2470" t="s">
        <v>552</v>
      </c>
      <c r="B2470" t="s">
        <v>668</v>
      </c>
      <c r="C2470" t="s">
        <v>314</v>
      </c>
      <c r="D2470" s="226">
        <v>0</v>
      </c>
      <c r="E2470" t="s">
        <v>669</v>
      </c>
    </row>
    <row r="2471" spans="1:5" hidden="1" x14ac:dyDescent="0.3">
      <c r="A2471" t="s">
        <v>552</v>
      </c>
      <c r="B2471" t="s">
        <v>668</v>
      </c>
      <c r="C2471" t="s">
        <v>315</v>
      </c>
      <c r="D2471" s="226">
        <v>-11210</v>
      </c>
      <c r="E2471" t="s">
        <v>669</v>
      </c>
    </row>
    <row r="2472" spans="1:5" hidden="1" x14ac:dyDescent="0.3">
      <c r="A2472" t="s">
        <v>552</v>
      </c>
      <c r="B2472" t="s">
        <v>668</v>
      </c>
      <c r="C2472" t="s">
        <v>316</v>
      </c>
      <c r="D2472" s="226">
        <v>0</v>
      </c>
      <c r="E2472" t="s">
        <v>669</v>
      </c>
    </row>
    <row r="2473" spans="1:5" hidden="1" x14ac:dyDescent="0.3">
      <c r="A2473" t="s">
        <v>552</v>
      </c>
      <c r="B2473" t="s">
        <v>668</v>
      </c>
      <c r="C2473" t="s">
        <v>44</v>
      </c>
      <c r="D2473" s="226">
        <v>-0.01</v>
      </c>
      <c r="E2473" t="s">
        <v>669</v>
      </c>
    </row>
    <row r="2474" spans="1:5" hidden="1" x14ac:dyDescent="0.3">
      <c r="A2474" t="s">
        <v>552</v>
      </c>
      <c r="B2474" t="s">
        <v>668</v>
      </c>
      <c r="C2474" t="s">
        <v>317</v>
      </c>
      <c r="D2474" s="226">
        <v>-5568.7</v>
      </c>
      <c r="E2474" t="s">
        <v>669</v>
      </c>
    </row>
    <row r="2475" spans="1:5" hidden="1" x14ac:dyDescent="0.3">
      <c r="A2475" t="s">
        <v>552</v>
      </c>
      <c r="B2475" t="s">
        <v>668</v>
      </c>
      <c r="C2475" t="s">
        <v>318</v>
      </c>
      <c r="D2475" s="226">
        <v>-5568.7</v>
      </c>
      <c r="E2475" t="s">
        <v>669</v>
      </c>
    </row>
    <row r="2476" spans="1:5" hidden="1" x14ac:dyDescent="0.3">
      <c r="A2476" t="s">
        <v>552</v>
      </c>
      <c r="B2476" t="s">
        <v>668</v>
      </c>
      <c r="C2476" t="s">
        <v>319</v>
      </c>
      <c r="D2476" s="226">
        <v>0</v>
      </c>
      <c r="E2476" t="s">
        <v>669</v>
      </c>
    </row>
    <row r="2477" spans="1:5" hidden="1" x14ac:dyDescent="0.3">
      <c r="A2477" t="s">
        <v>552</v>
      </c>
      <c r="B2477" t="s">
        <v>668</v>
      </c>
      <c r="C2477" t="s">
        <v>320</v>
      </c>
      <c r="D2477" s="226">
        <v>0</v>
      </c>
      <c r="E2477" t="s">
        <v>669</v>
      </c>
    </row>
    <row r="2478" spans="1:5" hidden="1" x14ac:dyDescent="0.3">
      <c r="A2478" t="s">
        <v>552</v>
      </c>
      <c r="B2478" t="s">
        <v>668</v>
      </c>
      <c r="C2478" t="s">
        <v>321</v>
      </c>
      <c r="D2478" s="226">
        <v>0</v>
      </c>
      <c r="E2478" t="s">
        <v>669</v>
      </c>
    </row>
    <row r="2479" spans="1:5" hidden="1" x14ac:dyDescent="0.3">
      <c r="A2479" t="s">
        <v>552</v>
      </c>
      <c r="B2479" t="s">
        <v>668</v>
      </c>
      <c r="C2479" t="s">
        <v>44</v>
      </c>
      <c r="D2479" s="226">
        <v>0</v>
      </c>
      <c r="E2479" t="s">
        <v>669</v>
      </c>
    </row>
    <row r="2480" spans="1:5" hidden="1" x14ac:dyDescent="0.3">
      <c r="A2480" t="s">
        <v>552</v>
      </c>
      <c r="B2480" t="s">
        <v>668</v>
      </c>
      <c r="C2480" t="s">
        <v>322</v>
      </c>
      <c r="D2480" s="226">
        <v>-67259.88</v>
      </c>
      <c r="E2480" t="s">
        <v>669</v>
      </c>
    </row>
    <row r="2481" spans="1:5" hidden="1" x14ac:dyDescent="0.3">
      <c r="A2481" t="s">
        <v>552</v>
      </c>
      <c r="B2481" t="s">
        <v>668</v>
      </c>
      <c r="C2481" t="s">
        <v>323</v>
      </c>
      <c r="D2481" s="226">
        <v>0</v>
      </c>
      <c r="E2481" t="s">
        <v>669</v>
      </c>
    </row>
    <row r="2482" spans="1:5" hidden="1" x14ac:dyDescent="0.3">
      <c r="A2482" t="s">
        <v>552</v>
      </c>
      <c r="B2482" t="s">
        <v>668</v>
      </c>
      <c r="C2482" t="s">
        <v>324</v>
      </c>
      <c r="D2482" s="226">
        <v>0</v>
      </c>
      <c r="E2482" t="s">
        <v>669</v>
      </c>
    </row>
    <row r="2483" spans="1:5" hidden="1" x14ac:dyDescent="0.3">
      <c r="A2483" t="s">
        <v>552</v>
      </c>
      <c r="B2483" t="s">
        <v>668</v>
      </c>
      <c r="C2483" t="s">
        <v>325</v>
      </c>
      <c r="D2483" s="226">
        <v>-67259.88</v>
      </c>
      <c r="E2483" t="s">
        <v>669</v>
      </c>
    </row>
    <row r="2484" spans="1:5" hidden="1" x14ac:dyDescent="0.3">
      <c r="A2484" t="s">
        <v>552</v>
      </c>
      <c r="B2484" t="s">
        <v>668</v>
      </c>
      <c r="C2484" t="s">
        <v>44</v>
      </c>
      <c r="D2484" s="226">
        <v>-0.05</v>
      </c>
      <c r="E2484" t="s">
        <v>669</v>
      </c>
    </row>
    <row r="2485" spans="1:5" hidden="1" x14ac:dyDescent="0.3">
      <c r="A2485" t="s">
        <v>552</v>
      </c>
      <c r="B2485" t="s">
        <v>668</v>
      </c>
      <c r="C2485" t="s">
        <v>327</v>
      </c>
      <c r="D2485" s="226">
        <v>-537498.68000000005</v>
      </c>
      <c r="E2485" t="s">
        <v>669</v>
      </c>
    </row>
    <row r="2486" spans="1:5" hidden="1" x14ac:dyDescent="0.3">
      <c r="A2486" t="s">
        <v>552</v>
      </c>
      <c r="B2486" t="s">
        <v>668</v>
      </c>
      <c r="C2486" t="s">
        <v>44</v>
      </c>
      <c r="D2486" s="226">
        <v>-0.4</v>
      </c>
      <c r="E2486" t="s">
        <v>669</v>
      </c>
    </row>
    <row r="2487" spans="1:5" hidden="1" x14ac:dyDescent="0.3">
      <c r="A2487" t="s">
        <v>552</v>
      </c>
      <c r="B2487" t="s">
        <v>668</v>
      </c>
      <c r="C2487" t="s">
        <v>328</v>
      </c>
      <c r="D2487" s="226">
        <v>229933.93</v>
      </c>
      <c r="E2487" t="s">
        <v>669</v>
      </c>
    </row>
    <row r="2488" spans="1:5" hidden="1" x14ac:dyDescent="0.3">
      <c r="A2488" t="s">
        <v>552</v>
      </c>
      <c r="B2488" t="s">
        <v>668</v>
      </c>
      <c r="C2488" t="s">
        <v>44</v>
      </c>
      <c r="D2488" s="226">
        <v>0.17</v>
      </c>
      <c r="E2488" t="s">
        <v>669</v>
      </c>
    </row>
    <row r="2489" spans="1:5" hidden="1" x14ac:dyDescent="0.3">
      <c r="A2489" t="s">
        <v>552</v>
      </c>
      <c r="B2489" t="s">
        <v>668</v>
      </c>
      <c r="C2489" t="s">
        <v>329</v>
      </c>
      <c r="D2489" s="226">
        <v>0</v>
      </c>
      <c r="E2489" t="s">
        <v>669</v>
      </c>
    </row>
    <row r="2490" spans="1:5" hidden="1" x14ac:dyDescent="0.3">
      <c r="A2490" t="s">
        <v>552</v>
      </c>
      <c r="B2490" t="s">
        <v>668</v>
      </c>
      <c r="C2490" t="s">
        <v>331</v>
      </c>
      <c r="D2490" s="226">
        <v>229933.93</v>
      </c>
      <c r="E2490" t="s">
        <v>669</v>
      </c>
    </row>
    <row r="2491" spans="1:5" hidden="1" x14ac:dyDescent="0.3">
      <c r="A2491" t="s">
        <v>552</v>
      </c>
      <c r="B2491" t="s">
        <v>668</v>
      </c>
      <c r="C2491" t="s">
        <v>332</v>
      </c>
      <c r="D2491" s="226">
        <v>-929.39</v>
      </c>
      <c r="E2491" t="s">
        <v>669</v>
      </c>
    </row>
    <row r="2492" spans="1:5" hidden="1" x14ac:dyDescent="0.3">
      <c r="A2492" t="s">
        <v>552</v>
      </c>
      <c r="B2492" t="s">
        <v>668</v>
      </c>
      <c r="C2492" t="s">
        <v>333</v>
      </c>
      <c r="D2492" s="226">
        <v>0</v>
      </c>
      <c r="E2492" t="s">
        <v>669</v>
      </c>
    </row>
    <row r="2493" spans="1:5" hidden="1" x14ac:dyDescent="0.3">
      <c r="A2493" t="s">
        <v>552</v>
      </c>
      <c r="B2493" t="s">
        <v>668</v>
      </c>
      <c r="C2493" t="s">
        <v>335</v>
      </c>
      <c r="D2493" s="226">
        <v>-30440</v>
      </c>
      <c r="E2493" t="s">
        <v>669</v>
      </c>
    </row>
    <row r="2494" spans="1:5" hidden="1" x14ac:dyDescent="0.3">
      <c r="A2494" t="s">
        <v>552</v>
      </c>
      <c r="B2494" t="s">
        <v>668</v>
      </c>
      <c r="C2494" t="s">
        <v>337</v>
      </c>
      <c r="D2494" s="226">
        <v>198564.54</v>
      </c>
      <c r="E2494" t="s">
        <v>669</v>
      </c>
    </row>
    <row r="2495" spans="1:5" hidden="1" x14ac:dyDescent="0.3">
      <c r="A2495" t="s">
        <v>552</v>
      </c>
      <c r="B2495" t="s">
        <v>668</v>
      </c>
      <c r="C2495" t="s">
        <v>338</v>
      </c>
      <c r="D2495" s="226">
        <v>-44238.29</v>
      </c>
      <c r="E2495" t="s">
        <v>669</v>
      </c>
    </row>
    <row r="2496" spans="1:5" hidden="1" x14ac:dyDescent="0.3">
      <c r="A2496" t="s">
        <v>552</v>
      </c>
      <c r="B2496" t="s">
        <v>668</v>
      </c>
      <c r="C2496" t="s">
        <v>341</v>
      </c>
      <c r="D2496" s="226">
        <v>-9102.3700000000008</v>
      </c>
      <c r="E2496" t="s">
        <v>669</v>
      </c>
    </row>
    <row r="2497" spans="1:5" hidden="1" x14ac:dyDescent="0.3">
      <c r="A2497" t="s">
        <v>552</v>
      </c>
      <c r="B2497" t="s">
        <v>668</v>
      </c>
      <c r="C2497" t="s">
        <v>343</v>
      </c>
      <c r="D2497" s="226">
        <v>-14101.37</v>
      </c>
      <c r="E2497" t="s">
        <v>669</v>
      </c>
    </row>
    <row r="2498" spans="1:5" hidden="1" x14ac:dyDescent="0.3">
      <c r="A2498" t="s">
        <v>552</v>
      </c>
      <c r="B2498" t="s">
        <v>668</v>
      </c>
      <c r="C2498" t="s">
        <v>344</v>
      </c>
      <c r="D2498" s="226">
        <v>-8343.31</v>
      </c>
      <c r="E2498" t="s">
        <v>669</v>
      </c>
    </row>
    <row r="2499" spans="1:5" hidden="1" x14ac:dyDescent="0.3">
      <c r="A2499" t="s">
        <v>552</v>
      </c>
      <c r="B2499" t="s">
        <v>668</v>
      </c>
      <c r="C2499" t="s">
        <v>345</v>
      </c>
      <c r="D2499" s="226">
        <v>-12691.23</v>
      </c>
      <c r="E2499" t="s">
        <v>669</v>
      </c>
    </row>
    <row r="2500" spans="1:5" hidden="1" x14ac:dyDescent="0.3">
      <c r="A2500" t="s">
        <v>552</v>
      </c>
      <c r="B2500" t="s">
        <v>668</v>
      </c>
      <c r="C2500" t="s">
        <v>346</v>
      </c>
      <c r="D2500" s="226">
        <v>154326.26</v>
      </c>
      <c r="E2500" t="s">
        <v>669</v>
      </c>
    </row>
    <row r="2501" spans="1:5" hidden="1" x14ac:dyDescent="0.3">
      <c r="A2501" t="s">
        <v>552</v>
      </c>
      <c r="B2501" t="s">
        <v>668</v>
      </c>
      <c r="C2501" t="s">
        <v>44</v>
      </c>
      <c r="D2501" s="226">
        <v>0.11</v>
      </c>
      <c r="E2501" t="s">
        <v>669</v>
      </c>
    </row>
    <row r="2502" spans="1:5" hidden="1" x14ac:dyDescent="0.3">
      <c r="A2502" t="s">
        <v>552</v>
      </c>
      <c r="B2502" t="s">
        <v>668</v>
      </c>
      <c r="C2502" t="s">
        <v>347</v>
      </c>
      <c r="D2502" s="226">
        <v>0</v>
      </c>
      <c r="E2502" t="s">
        <v>669</v>
      </c>
    </row>
    <row r="2503" spans="1:5" hidden="1" x14ac:dyDescent="0.3">
      <c r="A2503" t="s">
        <v>552</v>
      </c>
      <c r="B2503" t="s">
        <v>668</v>
      </c>
      <c r="C2503" t="s">
        <v>654</v>
      </c>
      <c r="D2503" s="226">
        <v>0</v>
      </c>
      <c r="E2503" t="s">
        <v>669</v>
      </c>
    </row>
    <row r="2504" spans="1:5" hidden="1" x14ac:dyDescent="0.3">
      <c r="A2504" t="s">
        <v>552</v>
      </c>
      <c r="B2504" t="s">
        <v>668</v>
      </c>
      <c r="C2504" t="s">
        <v>349</v>
      </c>
      <c r="D2504" s="226">
        <v>0</v>
      </c>
      <c r="E2504" t="s">
        <v>669</v>
      </c>
    </row>
    <row r="2505" spans="1:5" hidden="1" x14ac:dyDescent="0.3">
      <c r="A2505" t="s">
        <v>552</v>
      </c>
      <c r="B2505" t="s">
        <v>668</v>
      </c>
      <c r="C2505" t="s">
        <v>350</v>
      </c>
      <c r="D2505" s="226">
        <v>0</v>
      </c>
      <c r="E2505" t="s">
        <v>669</v>
      </c>
    </row>
    <row r="2506" spans="1:5" hidden="1" x14ac:dyDescent="0.3">
      <c r="A2506" t="s">
        <v>552</v>
      </c>
      <c r="B2506" t="s">
        <v>668</v>
      </c>
      <c r="C2506" t="s">
        <v>351</v>
      </c>
      <c r="D2506" s="226">
        <v>0</v>
      </c>
      <c r="E2506" t="s">
        <v>669</v>
      </c>
    </row>
    <row r="2507" spans="1:5" hidden="1" x14ac:dyDescent="0.3">
      <c r="A2507" t="s">
        <v>552</v>
      </c>
      <c r="B2507" t="s">
        <v>668</v>
      </c>
      <c r="C2507" t="s">
        <v>352</v>
      </c>
      <c r="D2507" s="226">
        <v>0</v>
      </c>
      <c r="E2507" t="s">
        <v>669</v>
      </c>
    </row>
    <row r="2508" spans="1:5" hidden="1" x14ac:dyDescent="0.3">
      <c r="A2508" t="s">
        <v>552</v>
      </c>
      <c r="B2508" t="s">
        <v>668</v>
      </c>
      <c r="C2508" t="s">
        <v>353</v>
      </c>
      <c r="D2508" s="226">
        <v>0</v>
      </c>
      <c r="E2508" t="s">
        <v>669</v>
      </c>
    </row>
    <row r="2509" spans="1:5" hidden="1" x14ac:dyDescent="0.3">
      <c r="A2509" t="s">
        <v>552</v>
      </c>
      <c r="B2509" t="s">
        <v>668</v>
      </c>
      <c r="C2509" t="s">
        <v>354</v>
      </c>
      <c r="D2509" s="226">
        <v>0</v>
      </c>
      <c r="E2509" t="s">
        <v>669</v>
      </c>
    </row>
    <row r="2510" spans="1:5" hidden="1" x14ac:dyDescent="0.3">
      <c r="A2510" t="s">
        <v>552</v>
      </c>
      <c r="B2510" t="s">
        <v>668</v>
      </c>
      <c r="C2510" t="s">
        <v>355</v>
      </c>
      <c r="D2510" s="226">
        <v>0</v>
      </c>
      <c r="E2510" t="s">
        <v>669</v>
      </c>
    </row>
    <row r="2511" spans="1:5" hidden="1" x14ac:dyDescent="0.3">
      <c r="A2511" t="s">
        <v>552</v>
      </c>
      <c r="B2511" t="s">
        <v>668</v>
      </c>
      <c r="C2511" t="s">
        <v>356</v>
      </c>
      <c r="D2511" s="226">
        <v>0</v>
      </c>
      <c r="E2511" t="s">
        <v>669</v>
      </c>
    </row>
    <row r="2512" spans="1:5" hidden="1" x14ac:dyDescent="0.3">
      <c r="A2512" t="s">
        <v>552</v>
      </c>
      <c r="B2512" t="s">
        <v>668</v>
      </c>
      <c r="C2512" t="s">
        <v>357</v>
      </c>
      <c r="D2512" s="226">
        <v>0</v>
      </c>
      <c r="E2512" t="s">
        <v>669</v>
      </c>
    </row>
    <row r="2513" spans="1:5" hidden="1" x14ac:dyDescent="0.3">
      <c r="A2513" t="s">
        <v>552</v>
      </c>
      <c r="B2513" t="s">
        <v>668</v>
      </c>
      <c r="C2513" t="s">
        <v>358</v>
      </c>
      <c r="D2513" s="226">
        <v>0</v>
      </c>
      <c r="E2513" t="s">
        <v>669</v>
      </c>
    </row>
    <row r="2514" spans="1:5" hidden="1" x14ac:dyDescent="0.3">
      <c r="A2514" t="s">
        <v>552</v>
      </c>
      <c r="B2514" t="s">
        <v>668</v>
      </c>
      <c r="C2514" t="s">
        <v>359</v>
      </c>
      <c r="D2514" s="226">
        <v>0</v>
      </c>
      <c r="E2514" t="s">
        <v>669</v>
      </c>
    </row>
    <row r="2515" spans="1:5" hidden="1" x14ac:dyDescent="0.3">
      <c r="A2515" t="s">
        <v>552</v>
      </c>
      <c r="B2515" t="s">
        <v>668</v>
      </c>
      <c r="C2515" t="s">
        <v>360</v>
      </c>
      <c r="D2515" s="226">
        <v>0</v>
      </c>
      <c r="E2515" t="s">
        <v>669</v>
      </c>
    </row>
    <row r="2516" spans="1:5" hidden="1" x14ac:dyDescent="0.3">
      <c r="A2516" t="s">
        <v>552</v>
      </c>
      <c r="B2516" t="s">
        <v>668</v>
      </c>
      <c r="C2516" t="s">
        <v>361</v>
      </c>
      <c r="D2516" s="226">
        <v>0</v>
      </c>
      <c r="E2516" t="s">
        <v>669</v>
      </c>
    </row>
    <row r="2517" spans="1:5" hidden="1" x14ac:dyDescent="0.3">
      <c r="A2517" t="s">
        <v>552</v>
      </c>
      <c r="B2517" t="s">
        <v>668</v>
      </c>
      <c r="C2517" t="s">
        <v>362</v>
      </c>
      <c r="D2517" s="226">
        <v>0</v>
      </c>
      <c r="E2517" t="s">
        <v>669</v>
      </c>
    </row>
    <row r="2518" spans="1:5" hidden="1" x14ac:dyDescent="0.3">
      <c r="A2518" t="s">
        <v>552</v>
      </c>
      <c r="B2518" t="s">
        <v>668</v>
      </c>
      <c r="C2518" t="s">
        <v>363</v>
      </c>
      <c r="D2518" s="226">
        <v>0</v>
      </c>
      <c r="E2518" t="s">
        <v>669</v>
      </c>
    </row>
    <row r="2519" spans="1:5" hidden="1" x14ac:dyDescent="0.3">
      <c r="A2519" t="s">
        <v>552</v>
      </c>
      <c r="B2519" t="s">
        <v>668</v>
      </c>
      <c r="C2519" t="s">
        <v>364</v>
      </c>
      <c r="D2519" s="226">
        <v>0</v>
      </c>
      <c r="E2519" t="s">
        <v>669</v>
      </c>
    </row>
    <row r="2520" spans="1:5" hidden="1" x14ac:dyDescent="0.3">
      <c r="A2520" t="s">
        <v>552</v>
      </c>
      <c r="B2520" t="s">
        <v>668</v>
      </c>
      <c r="C2520" t="s">
        <v>365</v>
      </c>
      <c r="D2520" s="226">
        <v>0</v>
      </c>
      <c r="E2520" t="s">
        <v>669</v>
      </c>
    </row>
    <row r="2521" spans="1:5" hidden="1" x14ac:dyDescent="0.3">
      <c r="A2521" t="s">
        <v>552</v>
      </c>
      <c r="B2521" t="s">
        <v>668</v>
      </c>
      <c r="C2521" t="s">
        <v>366</v>
      </c>
      <c r="D2521" s="226">
        <v>0</v>
      </c>
      <c r="E2521" t="s">
        <v>669</v>
      </c>
    </row>
    <row r="2522" spans="1:5" hidden="1" x14ac:dyDescent="0.3">
      <c r="A2522" t="s">
        <v>552</v>
      </c>
      <c r="B2522" t="s">
        <v>668</v>
      </c>
      <c r="C2522" t="s">
        <v>367</v>
      </c>
      <c r="D2522" s="226">
        <v>0</v>
      </c>
      <c r="E2522" t="s">
        <v>669</v>
      </c>
    </row>
    <row r="2523" spans="1:5" hidden="1" x14ac:dyDescent="0.3">
      <c r="A2523" t="s">
        <v>552</v>
      </c>
      <c r="B2523" t="s">
        <v>668</v>
      </c>
      <c r="C2523" t="s">
        <v>368</v>
      </c>
      <c r="D2523" s="226">
        <v>0</v>
      </c>
      <c r="E2523" t="s">
        <v>669</v>
      </c>
    </row>
    <row r="2524" spans="1:5" hidden="1" x14ac:dyDescent="0.3">
      <c r="A2524" t="s">
        <v>552</v>
      </c>
      <c r="B2524" t="s">
        <v>668</v>
      </c>
      <c r="C2524" t="s">
        <v>369</v>
      </c>
      <c r="D2524" s="226">
        <v>0</v>
      </c>
      <c r="E2524" t="s">
        <v>669</v>
      </c>
    </row>
    <row r="2525" spans="1:5" hidden="1" x14ac:dyDescent="0.3">
      <c r="A2525" t="s">
        <v>552</v>
      </c>
      <c r="B2525" t="s">
        <v>668</v>
      </c>
      <c r="C2525" t="s">
        <v>370</v>
      </c>
      <c r="D2525" s="226">
        <v>0</v>
      </c>
      <c r="E2525" t="s">
        <v>669</v>
      </c>
    </row>
    <row r="2526" spans="1:5" hidden="1" x14ac:dyDescent="0.3">
      <c r="A2526" t="s">
        <v>552</v>
      </c>
      <c r="B2526" t="s">
        <v>668</v>
      </c>
      <c r="C2526" t="s">
        <v>371</v>
      </c>
      <c r="D2526" s="226">
        <v>0</v>
      </c>
      <c r="E2526" t="s">
        <v>669</v>
      </c>
    </row>
    <row r="2527" spans="1:5" hidden="1" x14ac:dyDescent="0.3">
      <c r="A2527" t="s">
        <v>552</v>
      </c>
      <c r="B2527" t="s">
        <v>668</v>
      </c>
      <c r="C2527" t="s">
        <v>372</v>
      </c>
      <c r="D2527" s="226">
        <v>0</v>
      </c>
      <c r="E2527" t="s">
        <v>669</v>
      </c>
    </row>
    <row r="2528" spans="1:5" hidden="1" x14ac:dyDescent="0.3">
      <c r="A2528" t="s">
        <v>552</v>
      </c>
      <c r="B2528" t="s">
        <v>668</v>
      </c>
      <c r="C2528" t="s">
        <v>373</v>
      </c>
      <c r="D2528" s="226">
        <v>154326.26</v>
      </c>
      <c r="E2528" t="s">
        <v>669</v>
      </c>
    </row>
    <row r="2529" spans="1:5" hidden="1" x14ac:dyDescent="0.3">
      <c r="A2529" t="s">
        <v>552</v>
      </c>
      <c r="B2529" t="s">
        <v>668</v>
      </c>
      <c r="C2529" t="s">
        <v>655</v>
      </c>
      <c r="D2529" s="226">
        <v>0</v>
      </c>
      <c r="E2529" t="s">
        <v>669</v>
      </c>
    </row>
    <row r="2530" spans="1:5" hidden="1" x14ac:dyDescent="0.3">
      <c r="A2530" t="s">
        <v>552</v>
      </c>
      <c r="B2530" t="s">
        <v>670</v>
      </c>
      <c r="C2530" t="s">
        <v>11</v>
      </c>
      <c r="D2530" s="226">
        <v>1337157.6599999999</v>
      </c>
      <c r="E2530" t="s">
        <v>671</v>
      </c>
    </row>
    <row r="2531" spans="1:5" hidden="1" x14ac:dyDescent="0.3">
      <c r="A2531" t="s">
        <v>552</v>
      </c>
      <c r="B2531" t="s">
        <v>670</v>
      </c>
      <c r="C2531" t="s">
        <v>13</v>
      </c>
      <c r="D2531" s="226">
        <v>649818.5</v>
      </c>
      <c r="E2531" t="s">
        <v>671</v>
      </c>
    </row>
    <row r="2532" spans="1:5" hidden="1" x14ac:dyDescent="0.3">
      <c r="A2532" t="s">
        <v>552</v>
      </c>
      <c r="B2532" t="s">
        <v>670</v>
      </c>
      <c r="C2532" t="s">
        <v>16</v>
      </c>
      <c r="D2532" s="226">
        <v>495727.2</v>
      </c>
      <c r="E2532" t="s">
        <v>671</v>
      </c>
    </row>
    <row r="2533" spans="1:5" hidden="1" x14ac:dyDescent="0.3">
      <c r="A2533" t="s">
        <v>552</v>
      </c>
      <c r="B2533" t="s">
        <v>670</v>
      </c>
      <c r="C2533" t="s">
        <v>17</v>
      </c>
      <c r="D2533" s="226">
        <v>0</v>
      </c>
      <c r="E2533" t="s">
        <v>671</v>
      </c>
    </row>
    <row r="2534" spans="1:5" hidden="1" x14ac:dyDescent="0.3">
      <c r="A2534" t="s">
        <v>552</v>
      </c>
      <c r="B2534" t="s">
        <v>670</v>
      </c>
      <c r="C2534" t="s">
        <v>18</v>
      </c>
      <c r="D2534" s="226">
        <v>1836</v>
      </c>
      <c r="E2534" t="s">
        <v>671</v>
      </c>
    </row>
    <row r="2535" spans="1:5" hidden="1" x14ac:dyDescent="0.3">
      <c r="A2535" t="s">
        <v>552</v>
      </c>
      <c r="B2535" t="s">
        <v>670</v>
      </c>
      <c r="C2535" t="s">
        <v>20</v>
      </c>
      <c r="D2535" s="226">
        <v>146072.16</v>
      </c>
      <c r="E2535" t="s">
        <v>671</v>
      </c>
    </row>
    <row r="2536" spans="1:5" hidden="1" x14ac:dyDescent="0.3">
      <c r="A2536" t="s">
        <v>552</v>
      </c>
      <c r="B2536" t="s">
        <v>670</v>
      </c>
      <c r="C2536" t="s">
        <v>23</v>
      </c>
      <c r="D2536" s="226">
        <v>18818.8</v>
      </c>
      <c r="E2536" t="s">
        <v>671</v>
      </c>
    </row>
    <row r="2537" spans="1:5" hidden="1" x14ac:dyDescent="0.3">
      <c r="A2537" t="s">
        <v>552</v>
      </c>
      <c r="B2537" t="s">
        <v>670</v>
      </c>
      <c r="C2537" t="s">
        <v>25</v>
      </c>
      <c r="D2537" s="226">
        <v>0</v>
      </c>
      <c r="E2537" t="s">
        <v>671</v>
      </c>
    </row>
    <row r="2538" spans="1:5" hidden="1" x14ac:dyDescent="0.3">
      <c r="A2538" t="s">
        <v>552</v>
      </c>
      <c r="B2538" t="s">
        <v>670</v>
      </c>
      <c r="C2538" t="s">
        <v>26</v>
      </c>
      <c r="D2538" s="226">
        <v>2260</v>
      </c>
      <c r="E2538" t="s">
        <v>671</v>
      </c>
    </row>
    <row r="2539" spans="1:5" hidden="1" x14ac:dyDescent="0.3">
      <c r="A2539" t="s">
        <v>552</v>
      </c>
      <c r="B2539" t="s">
        <v>670</v>
      </c>
      <c r="C2539" t="s">
        <v>27</v>
      </c>
      <c r="D2539" s="226">
        <v>0</v>
      </c>
      <c r="E2539" t="s">
        <v>671</v>
      </c>
    </row>
    <row r="2540" spans="1:5" hidden="1" x14ac:dyDescent="0.3">
      <c r="A2540" t="s">
        <v>552</v>
      </c>
      <c r="B2540" t="s">
        <v>670</v>
      </c>
      <c r="C2540" t="s">
        <v>29</v>
      </c>
      <c r="D2540" s="226">
        <v>22625</v>
      </c>
      <c r="E2540" t="s">
        <v>671</v>
      </c>
    </row>
    <row r="2541" spans="1:5" hidden="1" x14ac:dyDescent="0.3">
      <c r="A2541" t="s">
        <v>552</v>
      </c>
      <c r="B2541" t="s">
        <v>670</v>
      </c>
      <c r="C2541" t="s">
        <v>31</v>
      </c>
      <c r="D2541" s="226">
        <v>0</v>
      </c>
      <c r="E2541" t="s">
        <v>671</v>
      </c>
    </row>
    <row r="2542" spans="1:5" hidden="1" x14ac:dyDescent="0.3">
      <c r="A2542" t="s">
        <v>552</v>
      </c>
      <c r="B2542" t="s">
        <v>670</v>
      </c>
      <c r="C2542" t="s">
        <v>34</v>
      </c>
      <c r="D2542" s="226">
        <v>-16125.27</v>
      </c>
      <c r="E2542" t="s">
        <v>671</v>
      </c>
    </row>
    <row r="2543" spans="1:5" hidden="1" x14ac:dyDescent="0.3">
      <c r="A2543" t="s">
        <v>552</v>
      </c>
      <c r="B2543" t="s">
        <v>670</v>
      </c>
      <c r="C2543" t="s">
        <v>38</v>
      </c>
      <c r="D2543" s="226">
        <v>-16125.27</v>
      </c>
      <c r="E2543" t="s">
        <v>671</v>
      </c>
    </row>
    <row r="2544" spans="1:5" hidden="1" x14ac:dyDescent="0.3">
      <c r="A2544" t="s">
        <v>552</v>
      </c>
      <c r="B2544" t="s">
        <v>670</v>
      </c>
      <c r="C2544" t="s">
        <v>40</v>
      </c>
      <c r="D2544" s="226">
        <v>0</v>
      </c>
      <c r="E2544" t="s">
        <v>671</v>
      </c>
    </row>
    <row r="2545" spans="1:5" hidden="1" x14ac:dyDescent="0.3">
      <c r="A2545" t="s">
        <v>552</v>
      </c>
      <c r="B2545" t="s">
        <v>670</v>
      </c>
      <c r="C2545" t="s">
        <v>42</v>
      </c>
      <c r="D2545" s="226">
        <v>0</v>
      </c>
      <c r="E2545" t="s">
        <v>671</v>
      </c>
    </row>
    <row r="2546" spans="1:5" hidden="1" x14ac:dyDescent="0.3">
      <c r="A2546" t="s">
        <v>552</v>
      </c>
      <c r="B2546" t="s">
        <v>670</v>
      </c>
      <c r="C2546" t="s">
        <v>44</v>
      </c>
      <c r="D2546" s="226">
        <v>-0.01</v>
      </c>
      <c r="E2546" t="s">
        <v>671</v>
      </c>
    </row>
    <row r="2547" spans="1:5" hidden="1" x14ac:dyDescent="0.3">
      <c r="A2547" t="s">
        <v>552</v>
      </c>
      <c r="B2547" t="s">
        <v>670</v>
      </c>
      <c r="C2547" t="s">
        <v>45</v>
      </c>
      <c r="D2547" s="226">
        <v>-80823.509999999995</v>
      </c>
      <c r="E2547" t="s">
        <v>671</v>
      </c>
    </row>
    <row r="2548" spans="1:5" hidden="1" x14ac:dyDescent="0.3">
      <c r="A2548" t="s">
        <v>552</v>
      </c>
      <c r="B2548" t="s">
        <v>670</v>
      </c>
      <c r="C2548" t="s">
        <v>46</v>
      </c>
      <c r="D2548" s="226">
        <v>-42886.05</v>
      </c>
      <c r="E2548" t="s">
        <v>671</v>
      </c>
    </row>
    <row r="2549" spans="1:5" hidden="1" x14ac:dyDescent="0.3">
      <c r="A2549" t="s">
        <v>552</v>
      </c>
      <c r="B2549" t="s">
        <v>670</v>
      </c>
      <c r="C2549" t="s">
        <v>48</v>
      </c>
      <c r="D2549" s="226">
        <v>-36996.53</v>
      </c>
      <c r="E2549" t="s">
        <v>671</v>
      </c>
    </row>
    <row r="2550" spans="1:5" hidden="1" x14ac:dyDescent="0.3">
      <c r="A2550" t="s">
        <v>552</v>
      </c>
      <c r="B2550" t="s">
        <v>670</v>
      </c>
      <c r="C2550" t="s">
        <v>49</v>
      </c>
      <c r="D2550" s="226">
        <v>-940.94</v>
      </c>
      <c r="E2550" t="s">
        <v>671</v>
      </c>
    </row>
    <row r="2551" spans="1:5" hidden="1" x14ac:dyDescent="0.3">
      <c r="A2551" t="s">
        <v>552</v>
      </c>
      <c r="B2551" t="s">
        <v>670</v>
      </c>
      <c r="C2551" t="s">
        <v>50</v>
      </c>
      <c r="D2551" s="226">
        <v>1240208.8799999999</v>
      </c>
      <c r="E2551" t="s">
        <v>671</v>
      </c>
    </row>
    <row r="2552" spans="1:5" hidden="1" x14ac:dyDescent="0.3">
      <c r="A2552" t="s">
        <v>552</v>
      </c>
      <c r="B2552" t="s">
        <v>670</v>
      </c>
      <c r="C2552" t="s">
        <v>51</v>
      </c>
      <c r="D2552" s="226">
        <v>-356824.17</v>
      </c>
      <c r="E2552" t="s">
        <v>671</v>
      </c>
    </row>
    <row r="2553" spans="1:5" hidden="1" x14ac:dyDescent="0.3">
      <c r="A2553" t="s">
        <v>552</v>
      </c>
      <c r="B2553" t="s">
        <v>670</v>
      </c>
      <c r="C2553" t="s">
        <v>52</v>
      </c>
      <c r="D2553" s="226">
        <v>-232043.01</v>
      </c>
      <c r="E2553" t="s">
        <v>671</v>
      </c>
    </row>
    <row r="2554" spans="1:5" hidden="1" x14ac:dyDescent="0.3">
      <c r="A2554" t="s">
        <v>552</v>
      </c>
      <c r="B2554" t="s">
        <v>670</v>
      </c>
      <c r="C2554" t="s">
        <v>53</v>
      </c>
      <c r="D2554" s="226">
        <v>-121519.14</v>
      </c>
      <c r="E2554" t="s">
        <v>671</v>
      </c>
    </row>
    <row r="2555" spans="1:5" hidden="1" x14ac:dyDescent="0.3">
      <c r="A2555" t="s">
        <v>552</v>
      </c>
      <c r="B2555" t="s">
        <v>670</v>
      </c>
      <c r="C2555" t="s">
        <v>54</v>
      </c>
      <c r="D2555" s="226">
        <v>-3262.02</v>
      </c>
      <c r="E2555" t="s">
        <v>671</v>
      </c>
    </row>
    <row r="2556" spans="1:5" hidden="1" x14ac:dyDescent="0.3">
      <c r="A2556" t="s">
        <v>552</v>
      </c>
      <c r="B2556" t="s">
        <v>670</v>
      </c>
      <c r="C2556" t="s">
        <v>23</v>
      </c>
      <c r="D2556" s="226">
        <v>0</v>
      </c>
      <c r="E2556" t="s">
        <v>671</v>
      </c>
    </row>
    <row r="2557" spans="1:5" hidden="1" x14ac:dyDescent="0.3">
      <c r="A2557" t="s">
        <v>552</v>
      </c>
      <c r="B2557" t="s">
        <v>670</v>
      </c>
      <c r="C2557" t="s">
        <v>44</v>
      </c>
      <c r="D2557" s="226">
        <v>-0.3</v>
      </c>
      <c r="E2557" t="s">
        <v>671</v>
      </c>
    </row>
    <row r="2558" spans="1:5" hidden="1" x14ac:dyDescent="0.3">
      <c r="A2558" t="s">
        <v>552</v>
      </c>
      <c r="B2558" t="s">
        <v>670</v>
      </c>
      <c r="C2558" t="s">
        <v>55</v>
      </c>
      <c r="D2558" s="226">
        <v>-0.28999999999999998</v>
      </c>
      <c r="E2558" t="s">
        <v>671</v>
      </c>
    </row>
    <row r="2559" spans="1:5" hidden="1" x14ac:dyDescent="0.3">
      <c r="A2559" t="s">
        <v>552</v>
      </c>
      <c r="B2559" t="s">
        <v>670</v>
      </c>
      <c r="C2559" t="s">
        <v>56</v>
      </c>
      <c r="D2559" s="226">
        <v>0</v>
      </c>
      <c r="E2559" t="s">
        <v>671</v>
      </c>
    </row>
    <row r="2560" spans="1:5" hidden="1" x14ac:dyDescent="0.3">
      <c r="A2560" t="s">
        <v>552</v>
      </c>
      <c r="B2560" t="s">
        <v>670</v>
      </c>
      <c r="C2560" t="s">
        <v>57</v>
      </c>
      <c r="D2560" s="226">
        <v>0</v>
      </c>
      <c r="E2560" t="s">
        <v>671</v>
      </c>
    </row>
    <row r="2561" spans="1:5" hidden="1" x14ac:dyDescent="0.3">
      <c r="A2561" t="s">
        <v>552</v>
      </c>
      <c r="B2561" t="s">
        <v>670</v>
      </c>
      <c r="C2561" t="s">
        <v>58</v>
      </c>
      <c r="D2561" s="226">
        <v>0</v>
      </c>
      <c r="E2561" t="s">
        <v>671</v>
      </c>
    </row>
    <row r="2562" spans="1:5" hidden="1" x14ac:dyDescent="0.3">
      <c r="A2562" t="s">
        <v>552</v>
      </c>
      <c r="B2562" t="s">
        <v>670</v>
      </c>
      <c r="C2562" t="s">
        <v>59</v>
      </c>
      <c r="D2562" s="226">
        <v>0</v>
      </c>
      <c r="E2562" t="s">
        <v>671</v>
      </c>
    </row>
    <row r="2563" spans="1:5" hidden="1" x14ac:dyDescent="0.3">
      <c r="A2563" t="s">
        <v>552</v>
      </c>
      <c r="B2563" t="s">
        <v>670</v>
      </c>
      <c r="C2563" t="s">
        <v>61</v>
      </c>
      <c r="D2563" s="226">
        <v>0</v>
      </c>
      <c r="E2563" t="s">
        <v>671</v>
      </c>
    </row>
    <row r="2564" spans="1:5" hidden="1" x14ac:dyDescent="0.3">
      <c r="A2564" t="s">
        <v>552</v>
      </c>
      <c r="B2564" t="s">
        <v>670</v>
      </c>
      <c r="C2564" t="s">
        <v>62</v>
      </c>
      <c r="D2564" s="226">
        <v>0</v>
      </c>
      <c r="E2564" t="s">
        <v>671</v>
      </c>
    </row>
    <row r="2565" spans="1:5" hidden="1" x14ac:dyDescent="0.3">
      <c r="A2565" t="s">
        <v>552</v>
      </c>
      <c r="B2565" t="s">
        <v>670</v>
      </c>
      <c r="C2565" t="s">
        <v>64</v>
      </c>
      <c r="D2565" s="226">
        <v>0</v>
      </c>
      <c r="E2565" t="s">
        <v>671</v>
      </c>
    </row>
    <row r="2566" spans="1:5" hidden="1" x14ac:dyDescent="0.3">
      <c r="A2566" t="s">
        <v>552</v>
      </c>
      <c r="B2566" t="s">
        <v>670</v>
      </c>
      <c r="C2566" t="s">
        <v>65</v>
      </c>
      <c r="D2566" s="226">
        <v>0</v>
      </c>
      <c r="E2566" t="s">
        <v>671</v>
      </c>
    </row>
    <row r="2567" spans="1:5" hidden="1" x14ac:dyDescent="0.3">
      <c r="A2567" t="s">
        <v>552</v>
      </c>
      <c r="B2567" t="s">
        <v>670</v>
      </c>
      <c r="C2567" t="s">
        <v>66</v>
      </c>
      <c r="D2567" s="226">
        <v>0</v>
      </c>
      <c r="E2567" t="s">
        <v>671</v>
      </c>
    </row>
    <row r="2568" spans="1:5" hidden="1" x14ac:dyDescent="0.3">
      <c r="A2568" t="s">
        <v>552</v>
      </c>
      <c r="B2568" t="s">
        <v>670</v>
      </c>
      <c r="C2568" t="s">
        <v>68</v>
      </c>
      <c r="D2568" s="226">
        <v>0</v>
      </c>
      <c r="E2568" t="s">
        <v>671</v>
      </c>
    </row>
    <row r="2569" spans="1:5" hidden="1" x14ac:dyDescent="0.3">
      <c r="A2569" t="s">
        <v>552</v>
      </c>
      <c r="B2569" t="s">
        <v>670</v>
      </c>
      <c r="C2569" t="s">
        <v>69</v>
      </c>
      <c r="D2569" s="226">
        <v>0</v>
      </c>
      <c r="E2569" t="s">
        <v>671</v>
      </c>
    </row>
    <row r="2570" spans="1:5" hidden="1" x14ac:dyDescent="0.3">
      <c r="A2570" t="s">
        <v>552</v>
      </c>
      <c r="B2570" t="s">
        <v>670</v>
      </c>
      <c r="C2570" t="s">
        <v>70</v>
      </c>
      <c r="D2570" s="226">
        <v>0</v>
      </c>
      <c r="E2570" t="s">
        <v>671</v>
      </c>
    </row>
    <row r="2571" spans="1:5" hidden="1" x14ac:dyDescent="0.3">
      <c r="A2571" t="s">
        <v>552</v>
      </c>
      <c r="B2571" t="s">
        <v>670</v>
      </c>
      <c r="C2571" t="s">
        <v>44</v>
      </c>
      <c r="D2571" s="226">
        <v>0</v>
      </c>
      <c r="E2571" t="s">
        <v>671</v>
      </c>
    </row>
    <row r="2572" spans="1:5" hidden="1" x14ac:dyDescent="0.3">
      <c r="A2572" t="s">
        <v>552</v>
      </c>
      <c r="B2572" t="s">
        <v>670</v>
      </c>
      <c r="C2572" t="s">
        <v>71</v>
      </c>
      <c r="D2572" s="226">
        <v>0</v>
      </c>
      <c r="E2572" t="s">
        <v>671</v>
      </c>
    </row>
    <row r="2573" spans="1:5" hidden="1" x14ac:dyDescent="0.3">
      <c r="A2573" t="s">
        <v>552</v>
      </c>
      <c r="B2573" t="s">
        <v>670</v>
      </c>
      <c r="C2573" t="s">
        <v>72</v>
      </c>
      <c r="D2573" s="226">
        <v>0</v>
      </c>
      <c r="E2573" t="s">
        <v>671</v>
      </c>
    </row>
    <row r="2574" spans="1:5" hidden="1" x14ac:dyDescent="0.3">
      <c r="A2574" t="s">
        <v>552</v>
      </c>
      <c r="B2574" t="s">
        <v>670</v>
      </c>
      <c r="C2574" t="s">
        <v>73</v>
      </c>
      <c r="D2574" s="226">
        <v>0</v>
      </c>
      <c r="E2574" t="s">
        <v>671</v>
      </c>
    </row>
    <row r="2575" spans="1:5" hidden="1" x14ac:dyDescent="0.3">
      <c r="A2575" t="s">
        <v>552</v>
      </c>
      <c r="B2575" t="s">
        <v>670</v>
      </c>
      <c r="C2575" t="s">
        <v>75</v>
      </c>
      <c r="D2575" s="226">
        <v>0</v>
      </c>
      <c r="E2575" t="s">
        <v>671</v>
      </c>
    </row>
    <row r="2576" spans="1:5" hidden="1" x14ac:dyDescent="0.3">
      <c r="A2576" t="s">
        <v>552</v>
      </c>
      <c r="B2576" t="s">
        <v>670</v>
      </c>
      <c r="C2576" t="s">
        <v>77</v>
      </c>
      <c r="D2576" s="226">
        <v>0</v>
      </c>
      <c r="E2576" t="s">
        <v>671</v>
      </c>
    </row>
    <row r="2577" spans="1:5" hidden="1" x14ac:dyDescent="0.3">
      <c r="A2577" t="s">
        <v>552</v>
      </c>
      <c r="B2577" t="s">
        <v>670</v>
      </c>
      <c r="C2577" t="s">
        <v>78</v>
      </c>
      <c r="D2577" s="226">
        <v>0</v>
      </c>
      <c r="E2577" t="s">
        <v>671</v>
      </c>
    </row>
    <row r="2578" spans="1:5" hidden="1" x14ac:dyDescent="0.3">
      <c r="A2578" t="s">
        <v>552</v>
      </c>
      <c r="B2578" t="s">
        <v>670</v>
      </c>
      <c r="C2578" t="s">
        <v>80</v>
      </c>
      <c r="D2578" s="226">
        <v>0</v>
      </c>
      <c r="E2578" t="s">
        <v>671</v>
      </c>
    </row>
    <row r="2579" spans="1:5" hidden="1" x14ac:dyDescent="0.3">
      <c r="A2579" t="s">
        <v>552</v>
      </c>
      <c r="B2579" t="s">
        <v>670</v>
      </c>
      <c r="C2579" t="s">
        <v>82</v>
      </c>
      <c r="D2579" s="226">
        <v>0</v>
      </c>
      <c r="E2579" t="s">
        <v>671</v>
      </c>
    </row>
    <row r="2580" spans="1:5" hidden="1" x14ac:dyDescent="0.3">
      <c r="A2580" t="s">
        <v>552</v>
      </c>
      <c r="B2580" t="s">
        <v>670</v>
      </c>
      <c r="C2580" t="s">
        <v>84</v>
      </c>
      <c r="D2580" s="226">
        <v>0</v>
      </c>
      <c r="E2580" t="s">
        <v>671</v>
      </c>
    </row>
    <row r="2581" spans="1:5" hidden="1" x14ac:dyDescent="0.3">
      <c r="A2581" t="s">
        <v>552</v>
      </c>
      <c r="B2581" t="s">
        <v>670</v>
      </c>
      <c r="C2581" t="s">
        <v>85</v>
      </c>
      <c r="D2581" s="226">
        <v>0</v>
      </c>
      <c r="E2581" t="s">
        <v>671</v>
      </c>
    </row>
    <row r="2582" spans="1:5" hidden="1" x14ac:dyDescent="0.3">
      <c r="A2582" t="s">
        <v>552</v>
      </c>
      <c r="B2582" t="s">
        <v>670</v>
      </c>
      <c r="C2582" t="s">
        <v>86</v>
      </c>
      <c r="D2582" s="226">
        <v>0</v>
      </c>
      <c r="E2582" t="s">
        <v>671</v>
      </c>
    </row>
    <row r="2583" spans="1:5" hidden="1" x14ac:dyDescent="0.3">
      <c r="A2583" t="s">
        <v>552</v>
      </c>
      <c r="B2583" t="s">
        <v>670</v>
      </c>
      <c r="C2583" t="s">
        <v>87</v>
      </c>
      <c r="D2583" s="226">
        <v>0</v>
      </c>
      <c r="E2583" t="s">
        <v>671</v>
      </c>
    </row>
    <row r="2584" spans="1:5" hidden="1" x14ac:dyDescent="0.3">
      <c r="A2584" t="s">
        <v>552</v>
      </c>
      <c r="B2584" t="s">
        <v>670</v>
      </c>
      <c r="C2584" t="s">
        <v>88</v>
      </c>
      <c r="D2584" s="226">
        <v>0</v>
      </c>
      <c r="E2584" t="s">
        <v>671</v>
      </c>
    </row>
    <row r="2585" spans="1:5" hidden="1" x14ac:dyDescent="0.3">
      <c r="A2585" t="s">
        <v>552</v>
      </c>
      <c r="B2585" t="s">
        <v>670</v>
      </c>
      <c r="C2585" t="s">
        <v>89</v>
      </c>
      <c r="D2585" s="226">
        <v>0</v>
      </c>
      <c r="E2585" t="s">
        <v>671</v>
      </c>
    </row>
    <row r="2586" spans="1:5" hidden="1" x14ac:dyDescent="0.3">
      <c r="A2586" t="s">
        <v>552</v>
      </c>
      <c r="B2586" t="s">
        <v>670</v>
      </c>
      <c r="C2586" t="s">
        <v>90</v>
      </c>
      <c r="D2586" s="226">
        <v>0</v>
      </c>
      <c r="E2586" t="s">
        <v>671</v>
      </c>
    </row>
    <row r="2587" spans="1:5" hidden="1" x14ac:dyDescent="0.3">
      <c r="A2587" t="s">
        <v>552</v>
      </c>
      <c r="B2587" t="s">
        <v>670</v>
      </c>
      <c r="C2587" t="s">
        <v>91</v>
      </c>
      <c r="D2587" s="226">
        <v>0</v>
      </c>
      <c r="E2587" t="s">
        <v>671</v>
      </c>
    </row>
    <row r="2588" spans="1:5" hidden="1" x14ac:dyDescent="0.3">
      <c r="A2588" t="s">
        <v>552</v>
      </c>
      <c r="B2588" t="s">
        <v>670</v>
      </c>
      <c r="C2588" t="s">
        <v>93</v>
      </c>
      <c r="D2588" s="226">
        <v>0</v>
      </c>
      <c r="E2588" t="s">
        <v>671</v>
      </c>
    </row>
    <row r="2589" spans="1:5" hidden="1" x14ac:dyDescent="0.3">
      <c r="A2589" t="s">
        <v>552</v>
      </c>
      <c r="B2589" t="s">
        <v>670</v>
      </c>
      <c r="C2589" t="s">
        <v>95</v>
      </c>
      <c r="D2589" s="226">
        <v>0</v>
      </c>
      <c r="E2589" t="s">
        <v>671</v>
      </c>
    </row>
    <row r="2590" spans="1:5" hidden="1" x14ac:dyDescent="0.3">
      <c r="A2590" t="s">
        <v>552</v>
      </c>
      <c r="B2590" t="s">
        <v>670</v>
      </c>
      <c r="C2590" t="s">
        <v>96</v>
      </c>
      <c r="D2590" s="226">
        <v>0</v>
      </c>
      <c r="E2590" t="s">
        <v>671</v>
      </c>
    </row>
    <row r="2591" spans="1:5" hidden="1" x14ac:dyDescent="0.3">
      <c r="A2591" t="s">
        <v>552</v>
      </c>
      <c r="B2591" t="s">
        <v>670</v>
      </c>
      <c r="C2591" t="s">
        <v>98</v>
      </c>
      <c r="D2591" s="226">
        <v>0</v>
      </c>
      <c r="E2591" t="s">
        <v>671</v>
      </c>
    </row>
    <row r="2592" spans="1:5" hidden="1" x14ac:dyDescent="0.3">
      <c r="A2592" t="s">
        <v>552</v>
      </c>
      <c r="B2592" t="s">
        <v>670</v>
      </c>
      <c r="C2592" t="s">
        <v>100</v>
      </c>
      <c r="D2592" s="226">
        <v>0</v>
      </c>
      <c r="E2592" t="s">
        <v>671</v>
      </c>
    </row>
    <row r="2593" spans="1:5" hidden="1" x14ac:dyDescent="0.3">
      <c r="A2593" t="s">
        <v>552</v>
      </c>
      <c r="B2593" t="s">
        <v>670</v>
      </c>
      <c r="C2593" t="s">
        <v>101</v>
      </c>
      <c r="D2593" s="226">
        <v>0</v>
      </c>
      <c r="E2593" t="s">
        <v>671</v>
      </c>
    </row>
    <row r="2594" spans="1:5" hidden="1" x14ac:dyDescent="0.3">
      <c r="A2594" t="s">
        <v>552</v>
      </c>
      <c r="B2594" t="s">
        <v>670</v>
      </c>
      <c r="C2594" t="s">
        <v>102</v>
      </c>
      <c r="D2594" s="226">
        <v>0</v>
      </c>
      <c r="E2594" t="s">
        <v>671</v>
      </c>
    </row>
    <row r="2595" spans="1:5" hidden="1" x14ac:dyDescent="0.3">
      <c r="A2595" t="s">
        <v>552</v>
      </c>
      <c r="B2595" t="s">
        <v>670</v>
      </c>
      <c r="C2595" t="s">
        <v>103</v>
      </c>
      <c r="D2595" s="226">
        <v>0</v>
      </c>
      <c r="E2595" t="s">
        <v>671</v>
      </c>
    </row>
    <row r="2596" spans="1:5" hidden="1" x14ac:dyDescent="0.3">
      <c r="A2596" t="s">
        <v>552</v>
      </c>
      <c r="B2596" t="s">
        <v>670</v>
      </c>
      <c r="C2596" t="s">
        <v>104</v>
      </c>
      <c r="D2596" s="226">
        <v>0</v>
      </c>
      <c r="E2596" t="s">
        <v>671</v>
      </c>
    </row>
    <row r="2597" spans="1:5" hidden="1" x14ac:dyDescent="0.3">
      <c r="A2597" t="s">
        <v>552</v>
      </c>
      <c r="B2597" t="s">
        <v>670</v>
      </c>
      <c r="C2597" t="s">
        <v>105</v>
      </c>
      <c r="D2597" s="226">
        <v>0</v>
      </c>
      <c r="E2597" t="s">
        <v>671</v>
      </c>
    </row>
    <row r="2598" spans="1:5" hidden="1" x14ac:dyDescent="0.3">
      <c r="A2598" t="s">
        <v>552</v>
      </c>
      <c r="B2598" t="s">
        <v>670</v>
      </c>
      <c r="C2598" t="s">
        <v>107</v>
      </c>
      <c r="D2598" s="226">
        <v>0</v>
      </c>
      <c r="E2598" t="s">
        <v>671</v>
      </c>
    </row>
    <row r="2599" spans="1:5" hidden="1" x14ac:dyDescent="0.3">
      <c r="A2599" t="s">
        <v>552</v>
      </c>
      <c r="B2599" t="s">
        <v>670</v>
      </c>
      <c r="C2599" t="s">
        <v>108</v>
      </c>
      <c r="D2599" s="226">
        <v>0</v>
      </c>
      <c r="E2599" t="s">
        <v>671</v>
      </c>
    </row>
    <row r="2600" spans="1:5" hidden="1" x14ac:dyDescent="0.3">
      <c r="A2600" t="s">
        <v>552</v>
      </c>
      <c r="B2600" t="s">
        <v>670</v>
      </c>
      <c r="C2600" t="s">
        <v>109</v>
      </c>
      <c r="D2600" s="226">
        <v>0</v>
      </c>
      <c r="E2600" t="s">
        <v>671</v>
      </c>
    </row>
    <row r="2601" spans="1:5" hidden="1" x14ac:dyDescent="0.3">
      <c r="A2601" t="s">
        <v>552</v>
      </c>
      <c r="B2601" t="s">
        <v>670</v>
      </c>
      <c r="C2601" t="s">
        <v>110</v>
      </c>
      <c r="D2601" s="226">
        <v>0</v>
      </c>
      <c r="E2601" t="s">
        <v>671</v>
      </c>
    </row>
    <row r="2602" spans="1:5" hidden="1" x14ac:dyDescent="0.3">
      <c r="A2602" t="s">
        <v>552</v>
      </c>
      <c r="B2602" t="s">
        <v>670</v>
      </c>
      <c r="C2602" t="s">
        <v>44</v>
      </c>
      <c r="D2602" s="226">
        <v>0</v>
      </c>
      <c r="E2602" t="s">
        <v>671</v>
      </c>
    </row>
    <row r="2603" spans="1:5" hidden="1" x14ac:dyDescent="0.3">
      <c r="A2603" t="s">
        <v>552</v>
      </c>
      <c r="B2603" t="s">
        <v>670</v>
      </c>
      <c r="C2603" t="s">
        <v>111</v>
      </c>
      <c r="D2603" s="226">
        <v>-92662.6</v>
      </c>
      <c r="E2603" t="s">
        <v>671</v>
      </c>
    </row>
    <row r="2604" spans="1:5" hidden="1" x14ac:dyDescent="0.3">
      <c r="A2604" t="s">
        <v>552</v>
      </c>
      <c r="B2604" t="s">
        <v>670</v>
      </c>
      <c r="C2604" t="s">
        <v>555</v>
      </c>
      <c r="D2604" s="226">
        <v>-92662.6</v>
      </c>
      <c r="E2604" t="s">
        <v>671</v>
      </c>
    </row>
    <row r="2605" spans="1:5" hidden="1" x14ac:dyDescent="0.3">
      <c r="A2605" t="s">
        <v>552</v>
      </c>
      <c r="B2605" t="s">
        <v>670</v>
      </c>
      <c r="C2605" t="s">
        <v>44</v>
      </c>
      <c r="D2605" s="226">
        <v>-7.0000000000000007E-2</v>
      </c>
      <c r="E2605" t="s">
        <v>671</v>
      </c>
    </row>
    <row r="2606" spans="1:5" hidden="1" x14ac:dyDescent="0.3">
      <c r="A2606" t="s">
        <v>552</v>
      </c>
      <c r="B2606" t="s">
        <v>670</v>
      </c>
      <c r="C2606" t="s">
        <v>115</v>
      </c>
      <c r="D2606" s="226">
        <v>-20265.64</v>
      </c>
      <c r="E2606" t="s">
        <v>671</v>
      </c>
    </row>
    <row r="2607" spans="1:5" hidden="1" x14ac:dyDescent="0.3">
      <c r="A2607" t="s">
        <v>552</v>
      </c>
      <c r="B2607" t="s">
        <v>670</v>
      </c>
      <c r="C2607" t="s">
        <v>116</v>
      </c>
      <c r="D2607" s="226">
        <v>-15504.88</v>
      </c>
      <c r="E2607" t="s">
        <v>671</v>
      </c>
    </row>
    <row r="2608" spans="1:5" hidden="1" x14ac:dyDescent="0.3">
      <c r="A2608" t="s">
        <v>552</v>
      </c>
      <c r="B2608" t="s">
        <v>670</v>
      </c>
      <c r="C2608" t="s">
        <v>118</v>
      </c>
      <c r="D2608" s="226">
        <v>0</v>
      </c>
      <c r="E2608" t="s">
        <v>671</v>
      </c>
    </row>
    <row r="2609" spans="1:5" hidden="1" x14ac:dyDescent="0.3">
      <c r="A2609" t="s">
        <v>552</v>
      </c>
      <c r="B2609" t="s">
        <v>670</v>
      </c>
      <c r="C2609" t="s">
        <v>120</v>
      </c>
      <c r="D2609" s="226">
        <v>0</v>
      </c>
      <c r="E2609" t="s">
        <v>671</v>
      </c>
    </row>
    <row r="2610" spans="1:5" hidden="1" x14ac:dyDescent="0.3">
      <c r="A2610" t="s">
        <v>552</v>
      </c>
      <c r="B2610" t="s">
        <v>670</v>
      </c>
      <c r="C2610" t="s">
        <v>122</v>
      </c>
      <c r="D2610" s="226">
        <v>-4760.76</v>
      </c>
      <c r="E2610" t="s">
        <v>671</v>
      </c>
    </row>
    <row r="2611" spans="1:5" hidden="1" x14ac:dyDescent="0.3">
      <c r="A2611" t="s">
        <v>552</v>
      </c>
      <c r="B2611" t="s">
        <v>670</v>
      </c>
      <c r="C2611" t="s">
        <v>44</v>
      </c>
      <c r="D2611" s="226">
        <v>-0.02</v>
      </c>
      <c r="E2611" t="s">
        <v>671</v>
      </c>
    </row>
    <row r="2612" spans="1:5" hidden="1" x14ac:dyDescent="0.3">
      <c r="A2612" t="s">
        <v>552</v>
      </c>
      <c r="B2612" t="s">
        <v>670</v>
      </c>
      <c r="C2612" t="s">
        <v>125</v>
      </c>
      <c r="D2612" s="226">
        <v>770456.47</v>
      </c>
      <c r="E2612" t="s">
        <v>671</v>
      </c>
    </row>
    <row r="2613" spans="1:5" hidden="1" x14ac:dyDescent="0.3">
      <c r="A2613" t="s">
        <v>552</v>
      </c>
      <c r="B2613" t="s">
        <v>670</v>
      </c>
      <c r="C2613" t="s">
        <v>126</v>
      </c>
      <c r="D2613" s="226">
        <v>0.57999999999999996</v>
      </c>
      <c r="E2613" t="s">
        <v>671</v>
      </c>
    </row>
    <row r="2614" spans="1:5" hidden="1" x14ac:dyDescent="0.3">
      <c r="A2614" t="s">
        <v>552</v>
      </c>
      <c r="B2614" t="s">
        <v>670</v>
      </c>
      <c r="C2614" t="s">
        <v>127</v>
      </c>
      <c r="D2614" s="226">
        <v>-281501.53000000003</v>
      </c>
      <c r="E2614" t="s">
        <v>671</v>
      </c>
    </row>
    <row r="2615" spans="1:5" hidden="1" x14ac:dyDescent="0.3">
      <c r="A2615" t="s">
        <v>552</v>
      </c>
      <c r="B2615" t="s">
        <v>670</v>
      </c>
      <c r="C2615" t="s">
        <v>128</v>
      </c>
      <c r="D2615" s="226">
        <v>-48396.66</v>
      </c>
      <c r="E2615" t="s">
        <v>671</v>
      </c>
    </row>
    <row r="2616" spans="1:5" hidden="1" x14ac:dyDescent="0.3">
      <c r="A2616" t="s">
        <v>552</v>
      </c>
      <c r="B2616" t="s">
        <v>670</v>
      </c>
      <c r="C2616" t="s">
        <v>556</v>
      </c>
      <c r="D2616" s="226">
        <v>-11496.66</v>
      </c>
      <c r="E2616" t="s">
        <v>671</v>
      </c>
    </row>
    <row r="2617" spans="1:5" hidden="1" x14ac:dyDescent="0.3">
      <c r="A2617" t="s">
        <v>552</v>
      </c>
      <c r="B2617" t="s">
        <v>670</v>
      </c>
      <c r="C2617" t="s">
        <v>557</v>
      </c>
      <c r="D2617" s="226">
        <v>-6600</v>
      </c>
      <c r="E2617" t="s">
        <v>671</v>
      </c>
    </row>
    <row r="2618" spans="1:5" hidden="1" x14ac:dyDescent="0.3">
      <c r="A2618" t="s">
        <v>552</v>
      </c>
      <c r="B2618" t="s">
        <v>670</v>
      </c>
      <c r="C2618" t="s">
        <v>558</v>
      </c>
      <c r="D2618" s="226">
        <v>0</v>
      </c>
      <c r="E2618" t="s">
        <v>671</v>
      </c>
    </row>
    <row r="2619" spans="1:5" hidden="1" x14ac:dyDescent="0.3">
      <c r="A2619" t="s">
        <v>552</v>
      </c>
      <c r="B2619" t="s">
        <v>670</v>
      </c>
      <c r="C2619" t="s">
        <v>559</v>
      </c>
      <c r="D2619" s="226">
        <v>-16800</v>
      </c>
      <c r="E2619" t="s">
        <v>671</v>
      </c>
    </row>
    <row r="2620" spans="1:5" hidden="1" x14ac:dyDescent="0.3">
      <c r="A2620" t="s">
        <v>552</v>
      </c>
      <c r="B2620" t="s">
        <v>670</v>
      </c>
      <c r="C2620" t="s">
        <v>560</v>
      </c>
      <c r="D2620" s="226">
        <v>-2500</v>
      </c>
      <c r="E2620" t="s">
        <v>671</v>
      </c>
    </row>
    <row r="2621" spans="1:5" hidden="1" x14ac:dyDescent="0.3">
      <c r="A2621" t="s">
        <v>552</v>
      </c>
      <c r="B2621" t="s">
        <v>670</v>
      </c>
      <c r="C2621" t="s">
        <v>561</v>
      </c>
      <c r="D2621" s="226">
        <v>-7000</v>
      </c>
      <c r="E2621" t="s">
        <v>671</v>
      </c>
    </row>
    <row r="2622" spans="1:5" hidden="1" x14ac:dyDescent="0.3">
      <c r="A2622" t="s">
        <v>552</v>
      </c>
      <c r="B2622" t="s">
        <v>670</v>
      </c>
      <c r="C2622" t="s">
        <v>562</v>
      </c>
      <c r="D2622" s="226">
        <v>-4000</v>
      </c>
      <c r="E2622" t="s">
        <v>671</v>
      </c>
    </row>
    <row r="2623" spans="1:5" hidden="1" x14ac:dyDescent="0.3">
      <c r="A2623" t="s">
        <v>552</v>
      </c>
      <c r="B2623" t="s">
        <v>670</v>
      </c>
      <c r="C2623" t="s">
        <v>563</v>
      </c>
      <c r="D2623" s="226">
        <v>0</v>
      </c>
      <c r="E2623" t="s">
        <v>671</v>
      </c>
    </row>
    <row r="2624" spans="1:5" hidden="1" x14ac:dyDescent="0.3">
      <c r="A2624" t="s">
        <v>552</v>
      </c>
      <c r="B2624" t="s">
        <v>670</v>
      </c>
      <c r="C2624" t="s">
        <v>564</v>
      </c>
      <c r="D2624" s="226">
        <v>0</v>
      </c>
      <c r="E2624" t="s">
        <v>671</v>
      </c>
    </row>
    <row r="2625" spans="1:5" hidden="1" x14ac:dyDescent="0.3">
      <c r="A2625" t="s">
        <v>552</v>
      </c>
      <c r="B2625" t="s">
        <v>670</v>
      </c>
      <c r="C2625" t="s">
        <v>565</v>
      </c>
      <c r="D2625" s="226">
        <v>0</v>
      </c>
      <c r="E2625" t="s">
        <v>671</v>
      </c>
    </row>
    <row r="2626" spans="1:5" hidden="1" x14ac:dyDescent="0.3">
      <c r="A2626" t="s">
        <v>552</v>
      </c>
      <c r="B2626" t="s">
        <v>670</v>
      </c>
      <c r="C2626" t="s">
        <v>566</v>
      </c>
      <c r="D2626" s="226">
        <v>0</v>
      </c>
      <c r="E2626" t="s">
        <v>671</v>
      </c>
    </row>
    <row r="2627" spans="1:5" hidden="1" x14ac:dyDescent="0.3">
      <c r="A2627" t="s">
        <v>552</v>
      </c>
      <c r="B2627" t="s">
        <v>670</v>
      </c>
      <c r="C2627" t="s">
        <v>567</v>
      </c>
      <c r="D2627" s="226">
        <v>0</v>
      </c>
      <c r="E2627" t="s">
        <v>671</v>
      </c>
    </row>
    <row r="2628" spans="1:5" hidden="1" x14ac:dyDescent="0.3">
      <c r="A2628" t="s">
        <v>552</v>
      </c>
      <c r="B2628" t="s">
        <v>670</v>
      </c>
      <c r="C2628" t="s">
        <v>141</v>
      </c>
      <c r="D2628" s="226">
        <v>-69069.62</v>
      </c>
      <c r="E2628" t="s">
        <v>671</v>
      </c>
    </row>
    <row r="2629" spans="1:5" hidden="1" x14ac:dyDescent="0.3">
      <c r="A2629" t="s">
        <v>552</v>
      </c>
      <c r="B2629" t="s">
        <v>670</v>
      </c>
      <c r="C2629" t="s">
        <v>568</v>
      </c>
      <c r="D2629" s="226">
        <v>0</v>
      </c>
      <c r="E2629" t="s">
        <v>671</v>
      </c>
    </row>
    <row r="2630" spans="1:5" hidden="1" x14ac:dyDescent="0.3">
      <c r="A2630" t="s">
        <v>552</v>
      </c>
      <c r="B2630" t="s">
        <v>670</v>
      </c>
      <c r="C2630" t="s">
        <v>569</v>
      </c>
      <c r="D2630" s="226">
        <v>1955.06</v>
      </c>
      <c r="E2630" t="s">
        <v>671</v>
      </c>
    </row>
    <row r="2631" spans="1:5" hidden="1" x14ac:dyDescent="0.3">
      <c r="A2631" t="s">
        <v>552</v>
      </c>
      <c r="B2631" t="s">
        <v>670</v>
      </c>
      <c r="C2631" t="s">
        <v>570</v>
      </c>
      <c r="D2631" s="226">
        <v>0</v>
      </c>
      <c r="E2631" t="s">
        <v>671</v>
      </c>
    </row>
    <row r="2632" spans="1:5" hidden="1" x14ac:dyDescent="0.3">
      <c r="A2632" t="s">
        <v>552</v>
      </c>
      <c r="B2632" t="s">
        <v>670</v>
      </c>
      <c r="C2632" t="s">
        <v>571</v>
      </c>
      <c r="D2632" s="226">
        <v>2594.7800000000002</v>
      </c>
      <c r="E2632" t="s">
        <v>671</v>
      </c>
    </row>
    <row r="2633" spans="1:5" hidden="1" x14ac:dyDescent="0.3">
      <c r="A2633" t="s">
        <v>552</v>
      </c>
      <c r="B2633" t="s">
        <v>670</v>
      </c>
      <c r="C2633" t="s">
        <v>572</v>
      </c>
      <c r="D2633" s="226">
        <v>0</v>
      </c>
      <c r="E2633" t="s">
        <v>671</v>
      </c>
    </row>
    <row r="2634" spans="1:5" hidden="1" x14ac:dyDescent="0.3">
      <c r="A2634" t="s">
        <v>552</v>
      </c>
      <c r="B2634" t="s">
        <v>670</v>
      </c>
      <c r="C2634" t="s">
        <v>573</v>
      </c>
      <c r="D2634" s="226">
        <v>2357.58</v>
      </c>
      <c r="E2634" t="s">
        <v>671</v>
      </c>
    </row>
    <row r="2635" spans="1:5" hidden="1" x14ac:dyDescent="0.3">
      <c r="A2635" t="s">
        <v>552</v>
      </c>
      <c r="B2635" t="s">
        <v>670</v>
      </c>
      <c r="C2635" t="s">
        <v>574</v>
      </c>
      <c r="D2635" s="226">
        <v>3854.82</v>
      </c>
      <c r="E2635" t="s">
        <v>671</v>
      </c>
    </row>
    <row r="2636" spans="1:5" hidden="1" x14ac:dyDescent="0.3">
      <c r="A2636" t="s">
        <v>552</v>
      </c>
      <c r="B2636" t="s">
        <v>670</v>
      </c>
      <c r="C2636" t="s">
        <v>575</v>
      </c>
      <c r="D2636" s="226">
        <v>0</v>
      </c>
      <c r="E2636" t="s">
        <v>671</v>
      </c>
    </row>
    <row r="2637" spans="1:5" hidden="1" x14ac:dyDescent="0.3">
      <c r="A2637" t="s">
        <v>552</v>
      </c>
      <c r="B2637" t="s">
        <v>670</v>
      </c>
      <c r="C2637" t="s">
        <v>576</v>
      </c>
      <c r="D2637" s="226">
        <v>3427.31</v>
      </c>
      <c r="E2637" t="s">
        <v>671</v>
      </c>
    </row>
    <row r="2638" spans="1:5" hidden="1" x14ac:dyDescent="0.3">
      <c r="A2638" t="s">
        <v>552</v>
      </c>
      <c r="B2638" t="s">
        <v>670</v>
      </c>
      <c r="C2638" t="s">
        <v>577</v>
      </c>
      <c r="D2638" s="226">
        <v>2591.7800000000002</v>
      </c>
      <c r="E2638" t="s">
        <v>671</v>
      </c>
    </row>
    <row r="2639" spans="1:5" hidden="1" x14ac:dyDescent="0.3">
      <c r="A2639" t="s">
        <v>552</v>
      </c>
      <c r="B2639" t="s">
        <v>670</v>
      </c>
      <c r="C2639" t="s">
        <v>578</v>
      </c>
      <c r="D2639" s="226">
        <v>2356.58</v>
      </c>
      <c r="E2639" t="s">
        <v>671</v>
      </c>
    </row>
    <row r="2640" spans="1:5" hidden="1" x14ac:dyDescent="0.3">
      <c r="A2640" t="s">
        <v>552</v>
      </c>
      <c r="B2640" t="s">
        <v>670</v>
      </c>
      <c r="C2640" t="s">
        <v>579</v>
      </c>
      <c r="D2640" s="226">
        <v>0</v>
      </c>
      <c r="E2640" t="s">
        <v>671</v>
      </c>
    </row>
    <row r="2641" spans="1:5" hidden="1" x14ac:dyDescent="0.3">
      <c r="A2641" t="s">
        <v>552</v>
      </c>
      <c r="B2641" t="s">
        <v>670</v>
      </c>
      <c r="C2641" t="s">
        <v>580</v>
      </c>
      <c r="D2641" s="226">
        <v>0</v>
      </c>
      <c r="E2641" t="s">
        <v>671</v>
      </c>
    </row>
    <row r="2642" spans="1:5" hidden="1" x14ac:dyDescent="0.3">
      <c r="A2642" t="s">
        <v>552</v>
      </c>
      <c r="B2642" t="s">
        <v>670</v>
      </c>
      <c r="C2642" t="s">
        <v>581</v>
      </c>
      <c r="D2642" s="226">
        <v>0</v>
      </c>
      <c r="E2642" t="s">
        <v>671</v>
      </c>
    </row>
    <row r="2643" spans="1:5" hidden="1" x14ac:dyDescent="0.3">
      <c r="A2643" t="s">
        <v>552</v>
      </c>
      <c r="B2643" t="s">
        <v>670</v>
      </c>
      <c r="C2643" t="s">
        <v>582</v>
      </c>
      <c r="D2643" s="226">
        <v>0</v>
      </c>
      <c r="E2643" t="s">
        <v>671</v>
      </c>
    </row>
    <row r="2644" spans="1:5" hidden="1" x14ac:dyDescent="0.3">
      <c r="A2644" t="s">
        <v>552</v>
      </c>
      <c r="B2644" t="s">
        <v>670</v>
      </c>
      <c r="C2644" t="s">
        <v>583</v>
      </c>
      <c r="D2644" s="226">
        <v>0</v>
      </c>
      <c r="E2644" t="s">
        <v>671</v>
      </c>
    </row>
    <row r="2645" spans="1:5" hidden="1" x14ac:dyDescent="0.3">
      <c r="A2645" t="s">
        <v>552</v>
      </c>
      <c r="B2645" t="s">
        <v>670</v>
      </c>
      <c r="C2645" t="s">
        <v>584</v>
      </c>
      <c r="D2645" s="226">
        <v>0</v>
      </c>
      <c r="E2645" t="s">
        <v>671</v>
      </c>
    </row>
    <row r="2646" spans="1:5" hidden="1" x14ac:dyDescent="0.3">
      <c r="A2646" t="s">
        <v>552</v>
      </c>
      <c r="B2646" t="s">
        <v>670</v>
      </c>
      <c r="C2646" t="s">
        <v>585</v>
      </c>
      <c r="D2646" s="226">
        <v>0</v>
      </c>
      <c r="E2646" t="s">
        <v>671</v>
      </c>
    </row>
    <row r="2647" spans="1:5" hidden="1" x14ac:dyDescent="0.3">
      <c r="A2647" t="s">
        <v>552</v>
      </c>
      <c r="B2647" t="s">
        <v>670</v>
      </c>
      <c r="C2647" t="s">
        <v>586</v>
      </c>
      <c r="D2647" s="226">
        <v>3941.38</v>
      </c>
      <c r="E2647" t="s">
        <v>671</v>
      </c>
    </row>
    <row r="2648" spans="1:5" hidden="1" x14ac:dyDescent="0.3">
      <c r="A2648" t="s">
        <v>552</v>
      </c>
      <c r="B2648" t="s">
        <v>670</v>
      </c>
      <c r="C2648" t="s">
        <v>587</v>
      </c>
      <c r="D2648" s="226">
        <v>0</v>
      </c>
      <c r="E2648" t="s">
        <v>671</v>
      </c>
    </row>
    <row r="2649" spans="1:5" hidden="1" x14ac:dyDescent="0.3">
      <c r="A2649" t="s">
        <v>552</v>
      </c>
      <c r="B2649" t="s">
        <v>670</v>
      </c>
      <c r="C2649" t="s">
        <v>588</v>
      </c>
      <c r="D2649" s="226">
        <v>0</v>
      </c>
      <c r="E2649" t="s">
        <v>671</v>
      </c>
    </row>
    <row r="2650" spans="1:5" hidden="1" x14ac:dyDescent="0.3">
      <c r="A2650" t="s">
        <v>552</v>
      </c>
      <c r="B2650" t="s">
        <v>670</v>
      </c>
      <c r="C2650" t="s">
        <v>589</v>
      </c>
      <c r="D2650" s="226">
        <v>2592.44</v>
      </c>
      <c r="E2650" t="s">
        <v>671</v>
      </c>
    </row>
    <row r="2651" spans="1:5" hidden="1" x14ac:dyDescent="0.3">
      <c r="A2651" t="s">
        <v>552</v>
      </c>
      <c r="B2651" t="s">
        <v>670</v>
      </c>
      <c r="C2651" t="s">
        <v>590</v>
      </c>
      <c r="D2651" s="226">
        <v>2358.58</v>
      </c>
      <c r="E2651" t="s">
        <v>671</v>
      </c>
    </row>
    <row r="2652" spans="1:5" hidden="1" x14ac:dyDescent="0.3">
      <c r="A2652" t="s">
        <v>552</v>
      </c>
      <c r="B2652" t="s">
        <v>670</v>
      </c>
      <c r="C2652" t="s">
        <v>591</v>
      </c>
      <c r="D2652" s="226">
        <v>0</v>
      </c>
      <c r="E2652" t="s">
        <v>671</v>
      </c>
    </row>
    <row r="2653" spans="1:5" hidden="1" x14ac:dyDescent="0.3">
      <c r="A2653" t="s">
        <v>552</v>
      </c>
      <c r="B2653" t="s">
        <v>670</v>
      </c>
      <c r="C2653" t="s">
        <v>592</v>
      </c>
      <c r="D2653" s="226">
        <v>2265.94</v>
      </c>
      <c r="E2653" t="s">
        <v>671</v>
      </c>
    </row>
    <row r="2654" spans="1:5" hidden="1" x14ac:dyDescent="0.3">
      <c r="A2654" t="s">
        <v>552</v>
      </c>
      <c r="B2654" t="s">
        <v>670</v>
      </c>
      <c r="C2654" t="s">
        <v>593</v>
      </c>
      <c r="D2654" s="226">
        <v>0</v>
      </c>
      <c r="E2654" t="s">
        <v>671</v>
      </c>
    </row>
    <row r="2655" spans="1:5" hidden="1" x14ac:dyDescent="0.3">
      <c r="A2655" t="s">
        <v>552</v>
      </c>
      <c r="B2655" t="s">
        <v>670</v>
      </c>
      <c r="C2655" t="s">
        <v>594</v>
      </c>
      <c r="D2655" s="226">
        <v>0</v>
      </c>
      <c r="E2655" t="s">
        <v>671</v>
      </c>
    </row>
    <row r="2656" spans="1:5" hidden="1" x14ac:dyDescent="0.3">
      <c r="A2656" t="s">
        <v>552</v>
      </c>
      <c r="B2656" t="s">
        <v>670</v>
      </c>
      <c r="C2656" t="s">
        <v>595</v>
      </c>
      <c r="D2656" s="226">
        <v>0</v>
      </c>
      <c r="E2656" t="s">
        <v>671</v>
      </c>
    </row>
    <row r="2657" spans="1:5" hidden="1" x14ac:dyDescent="0.3">
      <c r="A2657" t="s">
        <v>552</v>
      </c>
      <c r="B2657" t="s">
        <v>670</v>
      </c>
      <c r="C2657" t="s">
        <v>596</v>
      </c>
      <c r="D2657" s="226">
        <v>0</v>
      </c>
      <c r="E2657" t="s">
        <v>671</v>
      </c>
    </row>
    <row r="2658" spans="1:5" hidden="1" x14ac:dyDescent="0.3">
      <c r="A2658" t="s">
        <v>552</v>
      </c>
      <c r="B2658" t="s">
        <v>670</v>
      </c>
      <c r="C2658" t="s">
        <v>597</v>
      </c>
      <c r="D2658" s="226">
        <v>2356.58</v>
      </c>
      <c r="E2658" t="s">
        <v>671</v>
      </c>
    </row>
    <row r="2659" spans="1:5" hidden="1" x14ac:dyDescent="0.3">
      <c r="A2659" t="s">
        <v>552</v>
      </c>
      <c r="B2659" t="s">
        <v>670</v>
      </c>
      <c r="C2659" t="s">
        <v>598</v>
      </c>
      <c r="D2659" s="226">
        <v>2590.44</v>
      </c>
      <c r="E2659" t="s">
        <v>671</v>
      </c>
    </row>
    <row r="2660" spans="1:5" hidden="1" x14ac:dyDescent="0.3">
      <c r="A2660" t="s">
        <v>552</v>
      </c>
      <c r="B2660" t="s">
        <v>670</v>
      </c>
      <c r="C2660" t="s">
        <v>599</v>
      </c>
      <c r="D2660" s="226">
        <v>2356.58</v>
      </c>
      <c r="E2660" t="s">
        <v>671</v>
      </c>
    </row>
    <row r="2661" spans="1:5" hidden="1" x14ac:dyDescent="0.3">
      <c r="A2661" t="s">
        <v>552</v>
      </c>
      <c r="B2661" t="s">
        <v>670</v>
      </c>
      <c r="C2661" t="s">
        <v>600</v>
      </c>
      <c r="D2661" s="226">
        <v>0</v>
      </c>
      <c r="E2661" t="s">
        <v>671</v>
      </c>
    </row>
    <row r="2662" spans="1:5" hidden="1" x14ac:dyDescent="0.3">
      <c r="A2662" t="s">
        <v>552</v>
      </c>
      <c r="B2662" t="s">
        <v>670</v>
      </c>
      <c r="C2662" t="s">
        <v>601</v>
      </c>
      <c r="D2662" s="226">
        <v>0</v>
      </c>
      <c r="E2662" t="s">
        <v>671</v>
      </c>
    </row>
    <row r="2663" spans="1:5" hidden="1" x14ac:dyDescent="0.3">
      <c r="A2663" t="s">
        <v>552</v>
      </c>
      <c r="B2663" t="s">
        <v>670</v>
      </c>
      <c r="C2663" t="s">
        <v>602</v>
      </c>
      <c r="D2663" s="226">
        <v>0</v>
      </c>
      <c r="E2663" t="s">
        <v>671</v>
      </c>
    </row>
    <row r="2664" spans="1:5" hidden="1" x14ac:dyDescent="0.3">
      <c r="A2664" t="s">
        <v>552</v>
      </c>
      <c r="B2664" t="s">
        <v>670</v>
      </c>
      <c r="C2664" t="s">
        <v>603</v>
      </c>
      <c r="D2664" s="226">
        <v>0</v>
      </c>
      <c r="E2664" t="s">
        <v>671</v>
      </c>
    </row>
    <row r="2665" spans="1:5" hidden="1" x14ac:dyDescent="0.3">
      <c r="A2665" t="s">
        <v>552</v>
      </c>
      <c r="B2665" t="s">
        <v>670</v>
      </c>
      <c r="C2665" t="s">
        <v>604</v>
      </c>
      <c r="D2665" s="226">
        <v>2357.58</v>
      </c>
      <c r="E2665" t="s">
        <v>671</v>
      </c>
    </row>
    <row r="2666" spans="1:5" hidden="1" x14ac:dyDescent="0.3">
      <c r="A2666" t="s">
        <v>552</v>
      </c>
      <c r="B2666" t="s">
        <v>670</v>
      </c>
      <c r="C2666" t="s">
        <v>605</v>
      </c>
      <c r="D2666" s="226">
        <v>0</v>
      </c>
      <c r="E2666" t="s">
        <v>671</v>
      </c>
    </row>
    <row r="2667" spans="1:5" hidden="1" x14ac:dyDescent="0.3">
      <c r="A2667" t="s">
        <v>552</v>
      </c>
      <c r="B2667" t="s">
        <v>670</v>
      </c>
      <c r="C2667" t="s">
        <v>606</v>
      </c>
      <c r="D2667" s="226">
        <v>0</v>
      </c>
      <c r="E2667" t="s">
        <v>671</v>
      </c>
    </row>
    <row r="2668" spans="1:5" hidden="1" x14ac:dyDescent="0.3">
      <c r="A2668" t="s">
        <v>552</v>
      </c>
      <c r="B2668" t="s">
        <v>670</v>
      </c>
      <c r="C2668" t="s">
        <v>607</v>
      </c>
      <c r="D2668" s="226">
        <v>0</v>
      </c>
      <c r="E2668" t="s">
        <v>671</v>
      </c>
    </row>
    <row r="2669" spans="1:5" hidden="1" x14ac:dyDescent="0.3">
      <c r="A2669" t="s">
        <v>552</v>
      </c>
      <c r="B2669" t="s">
        <v>670</v>
      </c>
      <c r="C2669" t="s">
        <v>608</v>
      </c>
      <c r="D2669" s="226">
        <v>0</v>
      </c>
      <c r="E2669" t="s">
        <v>671</v>
      </c>
    </row>
    <row r="2670" spans="1:5" hidden="1" x14ac:dyDescent="0.3">
      <c r="A2670" t="s">
        <v>552</v>
      </c>
      <c r="B2670" t="s">
        <v>670</v>
      </c>
      <c r="C2670" t="s">
        <v>609</v>
      </c>
      <c r="D2670" s="226">
        <v>0</v>
      </c>
      <c r="E2670" t="s">
        <v>671</v>
      </c>
    </row>
    <row r="2671" spans="1:5" hidden="1" x14ac:dyDescent="0.3">
      <c r="A2671" t="s">
        <v>552</v>
      </c>
      <c r="B2671" t="s">
        <v>670</v>
      </c>
      <c r="C2671" t="s">
        <v>610</v>
      </c>
      <c r="D2671" s="226">
        <v>0</v>
      </c>
      <c r="E2671" t="s">
        <v>671</v>
      </c>
    </row>
    <row r="2672" spans="1:5" hidden="1" x14ac:dyDescent="0.3">
      <c r="A2672" t="s">
        <v>552</v>
      </c>
      <c r="B2672" t="s">
        <v>670</v>
      </c>
      <c r="C2672" t="s">
        <v>611</v>
      </c>
      <c r="D2672" s="226">
        <v>0</v>
      </c>
      <c r="E2672" t="s">
        <v>671</v>
      </c>
    </row>
    <row r="2673" spans="1:5" hidden="1" x14ac:dyDescent="0.3">
      <c r="A2673" t="s">
        <v>552</v>
      </c>
      <c r="B2673" t="s">
        <v>670</v>
      </c>
      <c r="C2673" t="s">
        <v>612</v>
      </c>
      <c r="D2673" s="226">
        <v>0</v>
      </c>
      <c r="E2673" t="s">
        <v>671</v>
      </c>
    </row>
    <row r="2674" spans="1:5" hidden="1" x14ac:dyDescent="0.3">
      <c r="A2674" t="s">
        <v>552</v>
      </c>
      <c r="B2674" t="s">
        <v>670</v>
      </c>
      <c r="C2674" t="s">
        <v>613</v>
      </c>
      <c r="D2674" s="226">
        <v>0</v>
      </c>
      <c r="E2674" t="s">
        <v>671</v>
      </c>
    </row>
    <row r="2675" spans="1:5" hidden="1" x14ac:dyDescent="0.3">
      <c r="A2675" t="s">
        <v>552</v>
      </c>
      <c r="B2675" t="s">
        <v>670</v>
      </c>
      <c r="C2675" t="s">
        <v>614</v>
      </c>
      <c r="D2675" s="226">
        <v>0</v>
      </c>
      <c r="E2675" t="s">
        <v>671</v>
      </c>
    </row>
    <row r="2676" spans="1:5" hidden="1" x14ac:dyDescent="0.3">
      <c r="A2676" t="s">
        <v>552</v>
      </c>
      <c r="B2676" t="s">
        <v>670</v>
      </c>
      <c r="C2676" t="s">
        <v>615</v>
      </c>
      <c r="D2676" s="226">
        <v>0</v>
      </c>
      <c r="E2676" t="s">
        <v>671</v>
      </c>
    </row>
    <row r="2677" spans="1:5" hidden="1" x14ac:dyDescent="0.3">
      <c r="A2677" t="s">
        <v>552</v>
      </c>
      <c r="B2677" t="s">
        <v>670</v>
      </c>
      <c r="C2677" t="s">
        <v>616</v>
      </c>
      <c r="D2677" s="226">
        <v>0</v>
      </c>
      <c r="E2677" t="s">
        <v>671</v>
      </c>
    </row>
    <row r="2678" spans="1:5" hidden="1" x14ac:dyDescent="0.3">
      <c r="A2678" t="s">
        <v>552</v>
      </c>
      <c r="B2678" t="s">
        <v>670</v>
      </c>
      <c r="C2678" t="s">
        <v>617</v>
      </c>
      <c r="D2678" s="226">
        <v>0</v>
      </c>
      <c r="E2678" t="s">
        <v>671</v>
      </c>
    </row>
    <row r="2679" spans="1:5" hidden="1" x14ac:dyDescent="0.3">
      <c r="A2679" t="s">
        <v>552</v>
      </c>
      <c r="B2679" t="s">
        <v>670</v>
      </c>
      <c r="C2679" t="s">
        <v>618</v>
      </c>
      <c r="D2679" s="226">
        <v>0</v>
      </c>
      <c r="E2679" t="s">
        <v>671</v>
      </c>
    </row>
    <row r="2680" spans="1:5" hidden="1" x14ac:dyDescent="0.3">
      <c r="A2680" t="s">
        <v>552</v>
      </c>
      <c r="B2680" t="s">
        <v>670</v>
      </c>
      <c r="C2680" t="s">
        <v>619</v>
      </c>
      <c r="D2680" s="226">
        <v>3469.34</v>
      </c>
      <c r="E2680" t="s">
        <v>671</v>
      </c>
    </row>
    <row r="2681" spans="1:5" hidden="1" x14ac:dyDescent="0.3">
      <c r="A2681" t="s">
        <v>552</v>
      </c>
      <c r="B2681" t="s">
        <v>670</v>
      </c>
      <c r="C2681" t="s">
        <v>620</v>
      </c>
      <c r="D2681" s="226">
        <v>2680.85</v>
      </c>
      <c r="E2681" t="s">
        <v>671</v>
      </c>
    </row>
    <row r="2682" spans="1:5" hidden="1" x14ac:dyDescent="0.3">
      <c r="A2682" t="s">
        <v>552</v>
      </c>
      <c r="B2682" t="s">
        <v>670</v>
      </c>
      <c r="C2682" t="s">
        <v>621</v>
      </c>
      <c r="D2682" s="226">
        <v>3212.35</v>
      </c>
      <c r="E2682" t="s">
        <v>671</v>
      </c>
    </row>
    <row r="2683" spans="1:5" hidden="1" x14ac:dyDescent="0.3">
      <c r="A2683" t="s">
        <v>552</v>
      </c>
      <c r="B2683" t="s">
        <v>670</v>
      </c>
      <c r="C2683" t="s">
        <v>622</v>
      </c>
      <c r="D2683" s="226">
        <v>0</v>
      </c>
      <c r="E2683" t="s">
        <v>671</v>
      </c>
    </row>
    <row r="2684" spans="1:5" hidden="1" x14ac:dyDescent="0.3">
      <c r="A2684" t="s">
        <v>552</v>
      </c>
      <c r="B2684" t="s">
        <v>670</v>
      </c>
      <c r="C2684" t="s">
        <v>623</v>
      </c>
      <c r="D2684" s="226">
        <v>0</v>
      </c>
      <c r="E2684" t="s">
        <v>671</v>
      </c>
    </row>
    <row r="2685" spans="1:5" hidden="1" x14ac:dyDescent="0.3">
      <c r="A2685" t="s">
        <v>552</v>
      </c>
      <c r="B2685" t="s">
        <v>670</v>
      </c>
      <c r="C2685" t="s">
        <v>624</v>
      </c>
      <c r="D2685" s="226">
        <v>2451.67</v>
      </c>
      <c r="E2685" t="s">
        <v>671</v>
      </c>
    </row>
    <row r="2686" spans="1:5" hidden="1" x14ac:dyDescent="0.3">
      <c r="A2686" t="s">
        <v>552</v>
      </c>
      <c r="B2686" t="s">
        <v>670</v>
      </c>
      <c r="C2686" t="s">
        <v>200</v>
      </c>
      <c r="D2686" s="226">
        <v>-78524.649999999994</v>
      </c>
      <c r="E2686" t="s">
        <v>671</v>
      </c>
    </row>
    <row r="2687" spans="1:5" hidden="1" x14ac:dyDescent="0.3">
      <c r="A2687" t="s">
        <v>552</v>
      </c>
      <c r="B2687" t="s">
        <v>670</v>
      </c>
      <c r="C2687" t="s">
        <v>202</v>
      </c>
      <c r="D2687" s="226">
        <v>-78524.649999999994</v>
      </c>
      <c r="E2687" t="s">
        <v>671</v>
      </c>
    </row>
    <row r="2688" spans="1:5" hidden="1" x14ac:dyDescent="0.3">
      <c r="A2688" t="s">
        <v>552</v>
      </c>
      <c r="B2688" t="s">
        <v>670</v>
      </c>
      <c r="C2688" t="s">
        <v>625</v>
      </c>
      <c r="D2688" s="226">
        <v>39262.33</v>
      </c>
      <c r="E2688" t="s">
        <v>671</v>
      </c>
    </row>
    <row r="2689" spans="1:5" hidden="1" x14ac:dyDescent="0.3">
      <c r="A2689" t="s">
        <v>552</v>
      </c>
      <c r="B2689" t="s">
        <v>670</v>
      </c>
      <c r="C2689" t="s">
        <v>204</v>
      </c>
      <c r="D2689" s="226">
        <v>-47488.33</v>
      </c>
      <c r="E2689" t="s">
        <v>671</v>
      </c>
    </row>
    <row r="2690" spans="1:5" hidden="1" x14ac:dyDescent="0.3">
      <c r="A2690" t="s">
        <v>552</v>
      </c>
      <c r="B2690" t="s">
        <v>670</v>
      </c>
      <c r="C2690" t="s">
        <v>626</v>
      </c>
      <c r="D2690" s="226">
        <v>-11241.69</v>
      </c>
      <c r="E2690" t="s">
        <v>671</v>
      </c>
    </row>
    <row r="2691" spans="1:5" hidden="1" x14ac:dyDescent="0.3">
      <c r="A2691" t="s">
        <v>552</v>
      </c>
      <c r="B2691" t="s">
        <v>670</v>
      </c>
      <c r="C2691" t="s">
        <v>627</v>
      </c>
      <c r="D2691" s="226">
        <v>-258.55</v>
      </c>
      <c r="E2691" t="s">
        <v>671</v>
      </c>
    </row>
    <row r="2692" spans="1:5" hidden="1" x14ac:dyDescent="0.3">
      <c r="A2692" t="s">
        <v>552</v>
      </c>
      <c r="B2692" t="s">
        <v>670</v>
      </c>
      <c r="C2692" t="s">
        <v>628</v>
      </c>
      <c r="D2692" s="226">
        <v>0</v>
      </c>
      <c r="E2692" t="s">
        <v>671</v>
      </c>
    </row>
    <row r="2693" spans="1:5" hidden="1" x14ac:dyDescent="0.3">
      <c r="A2693" t="s">
        <v>552</v>
      </c>
      <c r="B2693" t="s">
        <v>670</v>
      </c>
      <c r="C2693" t="s">
        <v>629</v>
      </c>
      <c r="D2693" s="226">
        <v>-11290.66</v>
      </c>
      <c r="E2693" t="s">
        <v>671</v>
      </c>
    </row>
    <row r="2694" spans="1:5" hidden="1" x14ac:dyDescent="0.3">
      <c r="A2694" t="s">
        <v>552</v>
      </c>
      <c r="B2694" t="s">
        <v>670</v>
      </c>
      <c r="C2694" t="s">
        <v>630</v>
      </c>
      <c r="D2694" s="226">
        <v>-3384.49</v>
      </c>
      <c r="E2694" t="s">
        <v>671</v>
      </c>
    </row>
    <row r="2695" spans="1:5" hidden="1" x14ac:dyDescent="0.3">
      <c r="A2695" t="s">
        <v>552</v>
      </c>
      <c r="B2695" t="s">
        <v>670</v>
      </c>
      <c r="C2695" t="s">
        <v>631</v>
      </c>
      <c r="D2695" s="226">
        <v>-3804.17</v>
      </c>
      <c r="E2695" t="s">
        <v>671</v>
      </c>
    </row>
    <row r="2696" spans="1:5" hidden="1" x14ac:dyDescent="0.3">
      <c r="A2696" t="s">
        <v>552</v>
      </c>
      <c r="B2696" t="s">
        <v>670</v>
      </c>
      <c r="C2696" t="s">
        <v>632</v>
      </c>
      <c r="D2696" s="226">
        <v>-1137.19</v>
      </c>
      <c r="E2696" t="s">
        <v>671</v>
      </c>
    </row>
    <row r="2697" spans="1:5" hidden="1" x14ac:dyDescent="0.3">
      <c r="A2697" t="s">
        <v>552</v>
      </c>
      <c r="B2697" t="s">
        <v>670</v>
      </c>
      <c r="C2697" t="s">
        <v>633</v>
      </c>
      <c r="D2697" s="226">
        <v>0</v>
      </c>
      <c r="E2697" t="s">
        <v>671</v>
      </c>
    </row>
    <row r="2698" spans="1:5" hidden="1" x14ac:dyDescent="0.3">
      <c r="A2698" t="s">
        <v>552</v>
      </c>
      <c r="B2698" t="s">
        <v>670</v>
      </c>
      <c r="C2698" t="s">
        <v>634</v>
      </c>
      <c r="D2698" s="226">
        <v>0</v>
      </c>
      <c r="E2698" t="s">
        <v>671</v>
      </c>
    </row>
    <row r="2699" spans="1:5" hidden="1" x14ac:dyDescent="0.3">
      <c r="A2699" t="s">
        <v>552</v>
      </c>
      <c r="B2699" t="s">
        <v>670</v>
      </c>
      <c r="C2699" t="s">
        <v>635</v>
      </c>
      <c r="D2699" s="226">
        <v>0</v>
      </c>
      <c r="E2699" t="s">
        <v>671</v>
      </c>
    </row>
    <row r="2700" spans="1:5" hidden="1" x14ac:dyDescent="0.3">
      <c r="A2700" t="s">
        <v>552</v>
      </c>
      <c r="B2700" t="s">
        <v>670</v>
      </c>
      <c r="C2700" t="s">
        <v>636</v>
      </c>
      <c r="D2700" s="226">
        <v>0</v>
      </c>
      <c r="E2700" t="s">
        <v>671</v>
      </c>
    </row>
    <row r="2701" spans="1:5" hidden="1" x14ac:dyDescent="0.3">
      <c r="A2701" t="s">
        <v>552</v>
      </c>
      <c r="B2701" t="s">
        <v>670</v>
      </c>
      <c r="C2701" t="s">
        <v>637</v>
      </c>
      <c r="D2701" s="226">
        <v>-12500</v>
      </c>
      <c r="E2701" t="s">
        <v>671</v>
      </c>
    </row>
    <row r="2702" spans="1:5" hidden="1" x14ac:dyDescent="0.3">
      <c r="A2702" t="s">
        <v>552</v>
      </c>
      <c r="B2702" t="s">
        <v>670</v>
      </c>
      <c r="C2702" t="s">
        <v>638</v>
      </c>
      <c r="D2702" s="226">
        <v>0</v>
      </c>
      <c r="E2702" t="s">
        <v>671</v>
      </c>
    </row>
    <row r="2703" spans="1:5" hidden="1" x14ac:dyDescent="0.3">
      <c r="A2703" t="s">
        <v>552</v>
      </c>
      <c r="B2703" t="s">
        <v>670</v>
      </c>
      <c r="C2703" t="s">
        <v>639</v>
      </c>
      <c r="D2703" s="226">
        <v>-3871.59</v>
      </c>
      <c r="E2703" t="s">
        <v>671</v>
      </c>
    </row>
    <row r="2704" spans="1:5" hidden="1" x14ac:dyDescent="0.3">
      <c r="A2704" t="s">
        <v>552</v>
      </c>
      <c r="B2704" t="s">
        <v>670</v>
      </c>
      <c r="C2704" t="s">
        <v>640</v>
      </c>
      <c r="D2704" s="226">
        <v>0</v>
      </c>
      <c r="E2704" t="s">
        <v>671</v>
      </c>
    </row>
    <row r="2705" spans="1:5" hidden="1" x14ac:dyDescent="0.3">
      <c r="A2705" t="s">
        <v>552</v>
      </c>
      <c r="B2705" t="s">
        <v>670</v>
      </c>
      <c r="C2705" t="s">
        <v>641</v>
      </c>
      <c r="D2705" s="226">
        <v>0</v>
      </c>
      <c r="E2705" t="s">
        <v>671</v>
      </c>
    </row>
    <row r="2706" spans="1:5" hidden="1" x14ac:dyDescent="0.3">
      <c r="A2706" t="s">
        <v>552</v>
      </c>
      <c r="B2706" t="s">
        <v>670</v>
      </c>
      <c r="C2706" t="s">
        <v>237</v>
      </c>
      <c r="D2706" s="226">
        <v>-9979.7800000000007</v>
      </c>
      <c r="E2706" t="s">
        <v>671</v>
      </c>
    </row>
    <row r="2707" spans="1:5" hidden="1" x14ac:dyDescent="0.3">
      <c r="A2707" t="s">
        <v>552</v>
      </c>
      <c r="B2707" t="s">
        <v>670</v>
      </c>
      <c r="C2707" t="s">
        <v>642</v>
      </c>
      <c r="D2707" s="226">
        <v>-9900.91</v>
      </c>
      <c r="E2707" t="s">
        <v>671</v>
      </c>
    </row>
    <row r="2708" spans="1:5" hidden="1" x14ac:dyDescent="0.3">
      <c r="A2708" t="s">
        <v>552</v>
      </c>
      <c r="B2708" t="s">
        <v>670</v>
      </c>
      <c r="C2708" t="s">
        <v>643</v>
      </c>
      <c r="D2708" s="226">
        <v>0</v>
      </c>
      <c r="E2708" t="s">
        <v>671</v>
      </c>
    </row>
    <row r="2709" spans="1:5" hidden="1" x14ac:dyDescent="0.3">
      <c r="A2709" t="s">
        <v>552</v>
      </c>
      <c r="B2709" t="s">
        <v>670</v>
      </c>
      <c r="C2709" t="s">
        <v>644</v>
      </c>
      <c r="D2709" s="226">
        <v>0</v>
      </c>
      <c r="E2709" t="s">
        <v>671</v>
      </c>
    </row>
    <row r="2710" spans="1:5" hidden="1" x14ac:dyDescent="0.3">
      <c r="A2710" t="s">
        <v>552</v>
      </c>
      <c r="B2710" t="s">
        <v>670</v>
      </c>
      <c r="C2710" t="s">
        <v>645</v>
      </c>
      <c r="D2710" s="226">
        <v>-78.87</v>
      </c>
      <c r="E2710" t="s">
        <v>671</v>
      </c>
    </row>
    <row r="2711" spans="1:5" hidden="1" x14ac:dyDescent="0.3">
      <c r="A2711" t="s">
        <v>552</v>
      </c>
      <c r="B2711" t="s">
        <v>670</v>
      </c>
      <c r="C2711" t="s">
        <v>646</v>
      </c>
      <c r="D2711" s="226">
        <v>0</v>
      </c>
      <c r="E2711" t="s">
        <v>671</v>
      </c>
    </row>
    <row r="2712" spans="1:5" hidden="1" x14ac:dyDescent="0.3">
      <c r="A2712" t="s">
        <v>552</v>
      </c>
      <c r="B2712" t="s">
        <v>670</v>
      </c>
      <c r="C2712" t="s">
        <v>244</v>
      </c>
      <c r="D2712" s="226">
        <v>-28042.48</v>
      </c>
      <c r="E2712" t="s">
        <v>671</v>
      </c>
    </row>
    <row r="2713" spans="1:5" hidden="1" x14ac:dyDescent="0.3">
      <c r="A2713" t="s">
        <v>552</v>
      </c>
      <c r="B2713" t="s">
        <v>670</v>
      </c>
      <c r="C2713" t="s">
        <v>647</v>
      </c>
      <c r="D2713" s="226">
        <v>-444</v>
      </c>
      <c r="E2713" t="s">
        <v>671</v>
      </c>
    </row>
    <row r="2714" spans="1:5" hidden="1" x14ac:dyDescent="0.3">
      <c r="A2714" t="s">
        <v>552</v>
      </c>
      <c r="B2714" t="s">
        <v>670</v>
      </c>
      <c r="C2714" t="s">
        <v>648</v>
      </c>
      <c r="D2714" s="226">
        <v>-578.87</v>
      </c>
      <c r="E2714" t="s">
        <v>671</v>
      </c>
    </row>
    <row r="2715" spans="1:5" hidden="1" x14ac:dyDescent="0.3">
      <c r="A2715" t="s">
        <v>552</v>
      </c>
      <c r="B2715" t="s">
        <v>670</v>
      </c>
      <c r="C2715" t="s">
        <v>649</v>
      </c>
      <c r="D2715" s="226">
        <v>0</v>
      </c>
      <c r="E2715" t="s">
        <v>671</v>
      </c>
    </row>
    <row r="2716" spans="1:5" hidden="1" x14ac:dyDescent="0.3">
      <c r="A2716" t="s">
        <v>552</v>
      </c>
      <c r="B2716" t="s">
        <v>670</v>
      </c>
      <c r="C2716" t="s">
        <v>650</v>
      </c>
      <c r="D2716" s="226">
        <v>0</v>
      </c>
      <c r="E2716" t="s">
        <v>671</v>
      </c>
    </row>
    <row r="2717" spans="1:5" hidden="1" x14ac:dyDescent="0.3">
      <c r="A2717" t="s">
        <v>552</v>
      </c>
      <c r="B2717" t="s">
        <v>670</v>
      </c>
      <c r="C2717" t="s">
        <v>651</v>
      </c>
      <c r="D2717" s="226">
        <v>0</v>
      </c>
      <c r="E2717" t="s">
        <v>671</v>
      </c>
    </row>
    <row r="2718" spans="1:5" hidden="1" x14ac:dyDescent="0.3">
      <c r="A2718" t="s">
        <v>552</v>
      </c>
      <c r="B2718" t="s">
        <v>670</v>
      </c>
      <c r="C2718" t="s">
        <v>652</v>
      </c>
      <c r="D2718" s="226">
        <v>-27019.61</v>
      </c>
      <c r="E2718" t="s">
        <v>671</v>
      </c>
    </row>
    <row r="2719" spans="1:5" hidden="1" x14ac:dyDescent="0.3">
      <c r="A2719" t="s">
        <v>552</v>
      </c>
      <c r="B2719" t="s">
        <v>670</v>
      </c>
      <c r="C2719" t="s">
        <v>653</v>
      </c>
      <c r="D2719" s="226">
        <v>0</v>
      </c>
      <c r="E2719" t="s">
        <v>671</v>
      </c>
    </row>
    <row r="2720" spans="1:5" hidden="1" x14ac:dyDescent="0.3">
      <c r="A2720" t="s">
        <v>552</v>
      </c>
      <c r="B2720" t="s">
        <v>670</v>
      </c>
      <c r="C2720" t="s">
        <v>253</v>
      </c>
      <c r="D2720" s="226">
        <v>-0.21</v>
      </c>
      <c r="E2720" t="s">
        <v>671</v>
      </c>
    </row>
    <row r="2721" spans="1:5" hidden="1" x14ac:dyDescent="0.3">
      <c r="A2721" t="s">
        <v>552</v>
      </c>
      <c r="B2721" t="s">
        <v>670</v>
      </c>
      <c r="C2721" t="s">
        <v>254</v>
      </c>
      <c r="D2721" s="226">
        <v>-0.17</v>
      </c>
      <c r="E2721" t="s">
        <v>671</v>
      </c>
    </row>
    <row r="2722" spans="1:5" hidden="1" x14ac:dyDescent="0.3">
      <c r="A2722" t="s">
        <v>552</v>
      </c>
      <c r="B2722" t="s">
        <v>670</v>
      </c>
      <c r="C2722" t="s">
        <v>255</v>
      </c>
      <c r="D2722" s="226">
        <v>-40484.6</v>
      </c>
      <c r="E2722" t="s">
        <v>671</v>
      </c>
    </row>
    <row r="2723" spans="1:5" hidden="1" x14ac:dyDescent="0.3">
      <c r="A2723" t="s">
        <v>552</v>
      </c>
      <c r="B2723" t="s">
        <v>670</v>
      </c>
      <c r="C2723" t="s">
        <v>256</v>
      </c>
      <c r="D2723" s="226">
        <v>-28000</v>
      </c>
      <c r="E2723" t="s">
        <v>671</v>
      </c>
    </row>
    <row r="2724" spans="1:5" hidden="1" x14ac:dyDescent="0.3">
      <c r="A2724" t="s">
        <v>552</v>
      </c>
      <c r="B2724" t="s">
        <v>670</v>
      </c>
      <c r="C2724" t="s">
        <v>257</v>
      </c>
      <c r="D2724" s="226">
        <v>-10754.67</v>
      </c>
      <c r="E2724" t="s">
        <v>671</v>
      </c>
    </row>
    <row r="2725" spans="1:5" hidden="1" x14ac:dyDescent="0.3">
      <c r="A2725" t="s">
        <v>552</v>
      </c>
      <c r="B2725" t="s">
        <v>670</v>
      </c>
      <c r="C2725" t="s">
        <v>258</v>
      </c>
      <c r="D2725" s="226">
        <v>-1729.93</v>
      </c>
      <c r="E2725" t="s">
        <v>671</v>
      </c>
    </row>
    <row r="2726" spans="1:5" hidden="1" x14ac:dyDescent="0.3">
      <c r="A2726" t="s">
        <v>552</v>
      </c>
      <c r="B2726" t="s">
        <v>670</v>
      </c>
      <c r="C2726" t="s">
        <v>259</v>
      </c>
      <c r="D2726" s="226">
        <v>0</v>
      </c>
      <c r="E2726" t="s">
        <v>671</v>
      </c>
    </row>
    <row r="2727" spans="1:5" hidden="1" x14ac:dyDescent="0.3">
      <c r="A2727" t="s">
        <v>552</v>
      </c>
      <c r="B2727" t="s">
        <v>670</v>
      </c>
      <c r="C2727" t="s">
        <v>260</v>
      </c>
      <c r="D2727" s="226">
        <v>0</v>
      </c>
      <c r="E2727" t="s">
        <v>671</v>
      </c>
    </row>
    <row r="2728" spans="1:5" hidden="1" x14ac:dyDescent="0.3">
      <c r="A2728" t="s">
        <v>552</v>
      </c>
      <c r="B2728" t="s">
        <v>670</v>
      </c>
      <c r="C2728" t="s">
        <v>261</v>
      </c>
      <c r="D2728" s="226">
        <v>0</v>
      </c>
      <c r="E2728" t="s">
        <v>671</v>
      </c>
    </row>
    <row r="2729" spans="1:5" hidden="1" x14ac:dyDescent="0.3">
      <c r="A2729" t="s">
        <v>552</v>
      </c>
      <c r="B2729" t="s">
        <v>670</v>
      </c>
      <c r="C2729" t="s">
        <v>262</v>
      </c>
      <c r="D2729" s="226">
        <v>0</v>
      </c>
      <c r="E2729" t="s">
        <v>671</v>
      </c>
    </row>
    <row r="2730" spans="1:5" hidden="1" x14ac:dyDescent="0.3">
      <c r="A2730" t="s">
        <v>552</v>
      </c>
      <c r="B2730" t="s">
        <v>670</v>
      </c>
      <c r="C2730" t="s">
        <v>44</v>
      </c>
      <c r="D2730" s="226">
        <v>-0.03</v>
      </c>
      <c r="E2730" t="s">
        <v>671</v>
      </c>
    </row>
    <row r="2731" spans="1:5" hidden="1" x14ac:dyDescent="0.3">
      <c r="A2731" t="s">
        <v>552</v>
      </c>
      <c r="B2731" t="s">
        <v>670</v>
      </c>
      <c r="C2731" t="s">
        <v>263</v>
      </c>
      <c r="D2731" s="226">
        <v>-73673.789999999994</v>
      </c>
      <c r="E2731" t="s">
        <v>671</v>
      </c>
    </row>
    <row r="2732" spans="1:5" hidden="1" x14ac:dyDescent="0.3">
      <c r="A2732" t="s">
        <v>552</v>
      </c>
      <c r="B2732" t="s">
        <v>670</v>
      </c>
      <c r="C2732" t="s">
        <v>264</v>
      </c>
      <c r="D2732" s="226">
        <v>-17520</v>
      </c>
      <c r="E2732" t="s">
        <v>671</v>
      </c>
    </row>
    <row r="2733" spans="1:5" hidden="1" x14ac:dyDescent="0.3">
      <c r="A2733" t="s">
        <v>552</v>
      </c>
      <c r="B2733" t="s">
        <v>670</v>
      </c>
      <c r="C2733" t="s">
        <v>265</v>
      </c>
      <c r="D2733" s="226">
        <v>-12988.38</v>
      </c>
      <c r="E2733" t="s">
        <v>671</v>
      </c>
    </row>
    <row r="2734" spans="1:5" hidden="1" x14ac:dyDescent="0.3">
      <c r="A2734" t="s">
        <v>552</v>
      </c>
      <c r="B2734" t="s">
        <v>670</v>
      </c>
      <c r="C2734" t="s">
        <v>266</v>
      </c>
      <c r="D2734" s="226">
        <v>-11510.45</v>
      </c>
      <c r="E2734" t="s">
        <v>671</v>
      </c>
    </row>
    <row r="2735" spans="1:5" hidden="1" x14ac:dyDescent="0.3">
      <c r="A2735" t="s">
        <v>552</v>
      </c>
      <c r="B2735" t="s">
        <v>670</v>
      </c>
      <c r="C2735" t="s">
        <v>267</v>
      </c>
      <c r="D2735" s="226">
        <v>-14566.4</v>
      </c>
      <c r="E2735" t="s">
        <v>671</v>
      </c>
    </row>
    <row r="2736" spans="1:5" hidden="1" x14ac:dyDescent="0.3">
      <c r="A2736" t="s">
        <v>552</v>
      </c>
      <c r="B2736" t="s">
        <v>670</v>
      </c>
      <c r="C2736" t="s">
        <v>268</v>
      </c>
      <c r="D2736" s="226">
        <v>0</v>
      </c>
      <c r="E2736" t="s">
        <v>671</v>
      </c>
    </row>
    <row r="2737" spans="1:5" hidden="1" x14ac:dyDescent="0.3">
      <c r="A2737" t="s">
        <v>552</v>
      </c>
      <c r="B2737" t="s">
        <v>670</v>
      </c>
      <c r="C2737" t="s">
        <v>269</v>
      </c>
      <c r="D2737" s="226">
        <v>-580</v>
      </c>
      <c r="E2737" t="s">
        <v>671</v>
      </c>
    </row>
    <row r="2738" spans="1:5" hidden="1" x14ac:dyDescent="0.3">
      <c r="A2738" t="s">
        <v>552</v>
      </c>
      <c r="B2738" t="s">
        <v>670</v>
      </c>
      <c r="C2738" t="s">
        <v>270</v>
      </c>
      <c r="D2738" s="226">
        <v>-3030.4</v>
      </c>
      <c r="E2738" t="s">
        <v>671</v>
      </c>
    </row>
    <row r="2739" spans="1:5" hidden="1" x14ac:dyDescent="0.3">
      <c r="A2739" t="s">
        <v>552</v>
      </c>
      <c r="B2739" t="s">
        <v>670</v>
      </c>
      <c r="C2739" t="s">
        <v>271</v>
      </c>
      <c r="D2739" s="226">
        <v>-5033.5200000000004</v>
      </c>
      <c r="E2739" t="s">
        <v>671</v>
      </c>
    </row>
    <row r="2740" spans="1:5" hidden="1" x14ac:dyDescent="0.3">
      <c r="A2740" t="s">
        <v>552</v>
      </c>
      <c r="B2740" t="s">
        <v>670</v>
      </c>
      <c r="C2740" t="s">
        <v>272</v>
      </c>
      <c r="D2740" s="226">
        <v>0</v>
      </c>
      <c r="E2740" t="s">
        <v>671</v>
      </c>
    </row>
    <row r="2741" spans="1:5" hidden="1" x14ac:dyDescent="0.3">
      <c r="A2741" t="s">
        <v>552</v>
      </c>
      <c r="B2741" t="s">
        <v>670</v>
      </c>
      <c r="C2741" t="s">
        <v>273</v>
      </c>
      <c r="D2741" s="226">
        <v>0</v>
      </c>
      <c r="E2741" t="s">
        <v>671</v>
      </c>
    </row>
    <row r="2742" spans="1:5" hidden="1" x14ac:dyDescent="0.3">
      <c r="A2742" t="s">
        <v>552</v>
      </c>
      <c r="B2742" t="s">
        <v>670</v>
      </c>
      <c r="C2742" t="s">
        <v>274</v>
      </c>
      <c r="D2742" s="226">
        <v>-749.78</v>
      </c>
      <c r="E2742" t="s">
        <v>671</v>
      </c>
    </row>
    <row r="2743" spans="1:5" hidden="1" x14ac:dyDescent="0.3">
      <c r="A2743" t="s">
        <v>552</v>
      </c>
      <c r="B2743" t="s">
        <v>670</v>
      </c>
      <c r="C2743" t="s">
        <v>275</v>
      </c>
      <c r="D2743" s="226">
        <v>0</v>
      </c>
      <c r="E2743" t="s">
        <v>671</v>
      </c>
    </row>
    <row r="2744" spans="1:5" hidden="1" x14ac:dyDescent="0.3">
      <c r="A2744" t="s">
        <v>552</v>
      </c>
      <c r="B2744" t="s">
        <v>670</v>
      </c>
      <c r="C2744" t="s">
        <v>276</v>
      </c>
      <c r="D2744" s="226">
        <v>0</v>
      </c>
      <c r="E2744" t="s">
        <v>671</v>
      </c>
    </row>
    <row r="2745" spans="1:5" hidden="1" x14ac:dyDescent="0.3">
      <c r="A2745" t="s">
        <v>552</v>
      </c>
      <c r="B2745" t="s">
        <v>670</v>
      </c>
      <c r="C2745" t="s">
        <v>277</v>
      </c>
      <c r="D2745" s="226">
        <v>-7694.86</v>
      </c>
      <c r="E2745" t="s">
        <v>671</v>
      </c>
    </row>
    <row r="2746" spans="1:5" hidden="1" x14ac:dyDescent="0.3">
      <c r="A2746" t="s">
        <v>552</v>
      </c>
      <c r="B2746" t="s">
        <v>670</v>
      </c>
      <c r="C2746" t="s">
        <v>44</v>
      </c>
      <c r="D2746" s="226">
        <v>-0.06</v>
      </c>
      <c r="E2746" t="s">
        <v>671</v>
      </c>
    </row>
    <row r="2747" spans="1:5" hidden="1" x14ac:dyDescent="0.3">
      <c r="A2747" t="s">
        <v>552</v>
      </c>
      <c r="B2747" t="s">
        <v>670</v>
      </c>
      <c r="C2747" t="s">
        <v>278</v>
      </c>
      <c r="D2747" s="226">
        <v>-7020.19</v>
      </c>
      <c r="E2747" t="s">
        <v>671</v>
      </c>
    </row>
    <row r="2748" spans="1:5" hidden="1" x14ac:dyDescent="0.3">
      <c r="A2748" t="s">
        <v>552</v>
      </c>
      <c r="B2748" t="s">
        <v>670</v>
      </c>
      <c r="C2748" t="s">
        <v>279</v>
      </c>
      <c r="D2748" s="226">
        <v>0</v>
      </c>
      <c r="E2748" t="s">
        <v>671</v>
      </c>
    </row>
    <row r="2749" spans="1:5" hidden="1" x14ac:dyDescent="0.3">
      <c r="A2749" t="s">
        <v>552</v>
      </c>
      <c r="B2749" t="s">
        <v>670</v>
      </c>
      <c r="C2749" t="s">
        <v>280</v>
      </c>
      <c r="D2749" s="226">
        <v>-459.88</v>
      </c>
      <c r="E2749" t="s">
        <v>671</v>
      </c>
    </row>
    <row r="2750" spans="1:5" hidden="1" x14ac:dyDescent="0.3">
      <c r="A2750" t="s">
        <v>552</v>
      </c>
      <c r="B2750" t="s">
        <v>670</v>
      </c>
      <c r="C2750" t="s">
        <v>281</v>
      </c>
      <c r="D2750" s="226">
        <v>-43.8</v>
      </c>
      <c r="E2750" t="s">
        <v>671</v>
      </c>
    </row>
    <row r="2751" spans="1:5" hidden="1" x14ac:dyDescent="0.3">
      <c r="A2751" t="s">
        <v>552</v>
      </c>
      <c r="B2751" t="s">
        <v>670</v>
      </c>
      <c r="C2751" t="s">
        <v>282</v>
      </c>
      <c r="D2751" s="226">
        <v>-815</v>
      </c>
      <c r="E2751" t="s">
        <v>671</v>
      </c>
    </row>
    <row r="2752" spans="1:5" hidden="1" x14ac:dyDescent="0.3">
      <c r="A2752" t="s">
        <v>552</v>
      </c>
      <c r="B2752" t="s">
        <v>670</v>
      </c>
      <c r="C2752" t="s">
        <v>283</v>
      </c>
      <c r="D2752" s="226">
        <v>-5701.51</v>
      </c>
      <c r="E2752" t="s">
        <v>671</v>
      </c>
    </row>
    <row r="2753" spans="1:5" hidden="1" x14ac:dyDescent="0.3">
      <c r="A2753" t="s">
        <v>552</v>
      </c>
      <c r="B2753" t="s">
        <v>670</v>
      </c>
      <c r="C2753" t="s">
        <v>284</v>
      </c>
      <c r="D2753" s="226">
        <v>0</v>
      </c>
      <c r="E2753" t="s">
        <v>671</v>
      </c>
    </row>
    <row r="2754" spans="1:5" hidden="1" x14ac:dyDescent="0.3">
      <c r="A2754" t="s">
        <v>552</v>
      </c>
      <c r="B2754" t="s">
        <v>670</v>
      </c>
      <c r="C2754" t="s">
        <v>285</v>
      </c>
      <c r="D2754" s="226">
        <v>0</v>
      </c>
      <c r="E2754" t="s">
        <v>671</v>
      </c>
    </row>
    <row r="2755" spans="1:5" hidden="1" x14ac:dyDescent="0.3">
      <c r="A2755" t="s">
        <v>552</v>
      </c>
      <c r="B2755" t="s">
        <v>670</v>
      </c>
      <c r="C2755" t="s">
        <v>44</v>
      </c>
      <c r="D2755" s="226">
        <v>-0.01</v>
      </c>
      <c r="E2755" t="s">
        <v>671</v>
      </c>
    </row>
    <row r="2756" spans="1:5" hidden="1" x14ac:dyDescent="0.3">
      <c r="A2756" t="s">
        <v>552</v>
      </c>
      <c r="B2756" t="s">
        <v>670</v>
      </c>
      <c r="C2756" t="s">
        <v>286</v>
      </c>
      <c r="D2756" s="226">
        <v>-11352.21</v>
      </c>
      <c r="E2756" t="s">
        <v>671</v>
      </c>
    </row>
    <row r="2757" spans="1:5" hidden="1" x14ac:dyDescent="0.3">
      <c r="A2757" t="s">
        <v>552</v>
      </c>
      <c r="B2757" t="s">
        <v>670</v>
      </c>
      <c r="C2757" t="s">
        <v>287</v>
      </c>
      <c r="D2757" s="226">
        <v>-11236.69</v>
      </c>
      <c r="E2757" t="s">
        <v>671</v>
      </c>
    </row>
    <row r="2758" spans="1:5" hidden="1" x14ac:dyDescent="0.3">
      <c r="A2758" t="s">
        <v>552</v>
      </c>
      <c r="B2758" t="s">
        <v>670</v>
      </c>
      <c r="C2758" t="s">
        <v>288</v>
      </c>
      <c r="D2758" s="226">
        <v>0</v>
      </c>
      <c r="E2758" t="s">
        <v>671</v>
      </c>
    </row>
    <row r="2759" spans="1:5" hidden="1" x14ac:dyDescent="0.3">
      <c r="A2759" t="s">
        <v>552</v>
      </c>
      <c r="B2759" t="s">
        <v>670</v>
      </c>
      <c r="C2759" t="s">
        <v>289</v>
      </c>
      <c r="D2759" s="226">
        <v>0</v>
      </c>
      <c r="E2759" t="s">
        <v>671</v>
      </c>
    </row>
    <row r="2760" spans="1:5" hidden="1" x14ac:dyDescent="0.3">
      <c r="A2760" t="s">
        <v>552</v>
      </c>
      <c r="B2760" t="s">
        <v>670</v>
      </c>
      <c r="C2760" t="s">
        <v>290</v>
      </c>
      <c r="D2760" s="226">
        <v>0</v>
      </c>
      <c r="E2760" t="s">
        <v>671</v>
      </c>
    </row>
    <row r="2761" spans="1:5" hidden="1" x14ac:dyDescent="0.3">
      <c r="A2761" t="s">
        <v>552</v>
      </c>
      <c r="B2761" t="s">
        <v>670</v>
      </c>
      <c r="C2761" t="s">
        <v>291</v>
      </c>
      <c r="D2761" s="226">
        <v>0</v>
      </c>
      <c r="E2761" t="s">
        <v>671</v>
      </c>
    </row>
    <row r="2762" spans="1:5" hidden="1" x14ac:dyDescent="0.3">
      <c r="A2762" t="s">
        <v>552</v>
      </c>
      <c r="B2762" t="s">
        <v>670</v>
      </c>
      <c r="C2762" t="s">
        <v>292</v>
      </c>
      <c r="D2762" s="226">
        <v>0</v>
      </c>
      <c r="E2762" t="s">
        <v>671</v>
      </c>
    </row>
    <row r="2763" spans="1:5" hidden="1" x14ac:dyDescent="0.3">
      <c r="A2763" t="s">
        <v>552</v>
      </c>
      <c r="B2763" t="s">
        <v>670</v>
      </c>
      <c r="C2763" t="s">
        <v>293</v>
      </c>
      <c r="D2763" s="226">
        <v>-115.52</v>
      </c>
      <c r="E2763" t="s">
        <v>671</v>
      </c>
    </row>
    <row r="2764" spans="1:5" hidden="1" x14ac:dyDescent="0.3">
      <c r="A2764" t="s">
        <v>552</v>
      </c>
      <c r="B2764" t="s">
        <v>670</v>
      </c>
      <c r="C2764" t="s">
        <v>294</v>
      </c>
      <c r="D2764" s="226">
        <v>0</v>
      </c>
      <c r="E2764" t="s">
        <v>671</v>
      </c>
    </row>
    <row r="2765" spans="1:5" hidden="1" x14ac:dyDescent="0.3">
      <c r="A2765" t="s">
        <v>552</v>
      </c>
      <c r="B2765" t="s">
        <v>670</v>
      </c>
      <c r="C2765" t="s">
        <v>44</v>
      </c>
      <c r="D2765" s="226">
        <v>-0.01</v>
      </c>
      <c r="E2765" t="s">
        <v>671</v>
      </c>
    </row>
    <row r="2766" spans="1:5" hidden="1" x14ac:dyDescent="0.3">
      <c r="A2766" t="s">
        <v>552</v>
      </c>
      <c r="B2766" t="s">
        <v>670</v>
      </c>
      <c r="C2766" t="s">
        <v>295</v>
      </c>
      <c r="D2766" s="226">
        <v>-13169.67</v>
      </c>
      <c r="E2766" t="s">
        <v>671</v>
      </c>
    </row>
    <row r="2767" spans="1:5" hidden="1" x14ac:dyDescent="0.3">
      <c r="A2767" t="s">
        <v>552</v>
      </c>
      <c r="B2767" t="s">
        <v>670</v>
      </c>
      <c r="C2767" t="s">
        <v>296</v>
      </c>
      <c r="D2767" s="226">
        <v>-4500</v>
      </c>
      <c r="E2767" t="s">
        <v>671</v>
      </c>
    </row>
    <row r="2768" spans="1:5" hidden="1" x14ac:dyDescent="0.3">
      <c r="A2768" t="s">
        <v>552</v>
      </c>
      <c r="B2768" t="s">
        <v>670</v>
      </c>
      <c r="C2768" t="s">
        <v>297</v>
      </c>
      <c r="D2768" s="226">
        <v>-460</v>
      </c>
      <c r="E2768" t="s">
        <v>671</v>
      </c>
    </row>
    <row r="2769" spans="1:5" hidden="1" x14ac:dyDescent="0.3">
      <c r="A2769" t="s">
        <v>552</v>
      </c>
      <c r="B2769" t="s">
        <v>670</v>
      </c>
      <c r="C2769" t="s">
        <v>298</v>
      </c>
      <c r="D2769" s="226">
        <v>0</v>
      </c>
      <c r="E2769" t="s">
        <v>671</v>
      </c>
    </row>
    <row r="2770" spans="1:5" hidden="1" x14ac:dyDescent="0.3">
      <c r="A2770" t="s">
        <v>552</v>
      </c>
      <c r="B2770" t="s">
        <v>670</v>
      </c>
      <c r="C2770" t="s">
        <v>299</v>
      </c>
      <c r="D2770" s="226">
        <v>0</v>
      </c>
      <c r="E2770" t="s">
        <v>671</v>
      </c>
    </row>
    <row r="2771" spans="1:5" hidden="1" x14ac:dyDescent="0.3">
      <c r="A2771" t="s">
        <v>552</v>
      </c>
      <c r="B2771" t="s">
        <v>670</v>
      </c>
      <c r="C2771" t="s">
        <v>300</v>
      </c>
      <c r="D2771" s="226">
        <v>-879.2</v>
      </c>
      <c r="E2771" t="s">
        <v>671</v>
      </c>
    </row>
    <row r="2772" spans="1:5" hidden="1" x14ac:dyDescent="0.3">
      <c r="A2772" t="s">
        <v>552</v>
      </c>
      <c r="B2772" t="s">
        <v>670</v>
      </c>
      <c r="C2772" t="s">
        <v>301</v>
      </c>
      <c r="D2772" s="226">
        <v>0</v>
      </c>
      <c r="E2772" t="s">
        <v>671</v>
      </c>
    </row>
    <row r="2773" spans="1:5" hidden="1" x14ac:dyDescent="0.3">
      <c r="A2773" t="s">
        <v>552</v>
      </c>
      <c r="B2773" t="s">
        <v>670</v>
      </c>
      <c r="C2773" t="s">
        <v>302</v>
      </c>
      <c r="D2773" s="226">
        <v>0</v>
      </c>
      <c r="E2773" t="s">
        <v>671</v>
      </c>
    </row>
    <row r="2774" spans="1:5" hidden="1" x14ac:dyDescent="0.3">
      <c r="A2774" t="s">
        <v>552</v>
      </c>
      <c r="B2774" t="s">
        <v>670</v>
      </c>
      <c r="C2774" t="s">
        <v>303</v>
      </c>
      <c r="D2774" s="226">
        <v>-660</v>
      </c>
      <c r="E2774" t="s">
        <v>671</v>
      </c>
    </row>
    <row r="2775" spans="1:5" hidden="1" x14ac:dyDescent="0.3">
      <c r="A2775" t="s">
        <v>552</v>
      </c>
      <c r="B2775" t="s">
        <v>670</v>
      </c>
      <c r="C2775" t="s">
        <v>304</v>
      </c>
      <c r="D2775" s="226">
        <v>-4869.71</v>
      </c>
      <c r="E2775" t="s">
        <v>671</v>
      </c>
    </row>
    <row r="2776" spans="1:5" hidden="1" x14ac:dyDescent="0.3">
      <c r="A2776" t="s">
        <v>552</v>
      </c>
      <c r="B2776" t="s">
        <v>670</v>
      </c>
      <c r="C2776" t="s">
        <v>305</v>
      </c>
      <c r="D2776" s="226">
        <v>0</v>
      </c>
      <c r="E2776" t="s">
        <v>671</v>
      </c>
    </row>
    <row r="2777" spans="1:5" hidden="1" x14ac:dyDescent="0.3">
      <c r="A2777" t="s">
        <v>552</v>
      </c>
      <c r="B2777" t="s">
        <v>670</v>
      </c>
      <c r="C2777" t="s">
        <v>306</v>
      </c>
      <c r="D2777" s="226">
        <v>-1800.76</v>
      </c>
      <c r="E2777" t="s">
        <v>671</v>
      </c>
    </row>
    <row r="2778" spans="1:5" hidden="1" x14ac:dyDescent="0.3">
      <c r="A2778" t="s">
        <v>552</v>
      </c>
      <c r="B2778" t="s">
        <v>670</v>
      </c>
      <c r="C2778" t="s">
        <v>44</v>
      </c>
      <c r="D2778" s="226">
        <v>-0.01</v>
      </c>
      <c r="E2778" t="s">
        <v>671</v>
      </c>
    </row>
    <row r="2779" spans="1:5" hidden="1" x14ac:dyDescent="0.3">
      <c r="A2779" t="s">
        <v>552</v>
      </c>
      <c r="B2779" t="s">
        <v>670</v>
      </c>
      <c r="C2779" t="s">
        <v>307</v>
      </c>
      <c r="D2779" s="226">
        <v>-18180.52</v>
      </c>
      <c r="E2779" t="s">
        <v>671</v>
      </c>
    </row>
    <row r="2780" spans="1:5" hidden="1" x14ac:dyDescent="0.3">
      <c r="A2780" t="s">
        <v>552</v>
      </c>
      <c r="B2780" t="s">
        <v>670</v>
      </c>
      <c r="C2780" t="s">
        <v>308</v>
      </c>
      <c r="D2780" s="226">
        <v>-5411.25</v>
      </c>
      <c r="E2780" t="s">
        <v>671</v>
      </c>
    </row>
    <row r="2781" spans="1:5" hidden="1" x14ac:dyDescent="0.3">
      <c r="A2781" t="s">
        <v>552</v>
      </c>
      <c r="B2781" t="s">
        <v>670</v>
      </c>
      <c r="C2781" t="s">
        <v>309</v>
      </c>
      <c r="D2781" s="226">
        <v>0</v>
      </c>
      <c r="E2781" t="s">
        <v>671</v>
      </c>
    </row>
    <row r="2782" spans="1:5" hidden="1" x14ac:dyDescent="0.3">
      <c r="A2782" t="s">
        <v>552</v>
      </c>
      <c r="B2782" t="s">
        <v>670</v>
      </c>
      <c r="C2782" t="s">
        <v>310</v>
      </c>
      <c r="D2782" s="226">
        <v>-2319.27</v>
      </c>
      <c r="E2782" t="s">
        <v>671</v>
      </c>
    </row>
    <row r="2783" spans="1:5" hidden="1" x14ac:dyDescent="0.3">
      <c r="A2783" t="s">
        <v>552</v>
      </c>
      <c r="B2783" t="s">
        <v>670</v>
      </c>
      <c r="C2783" t="s">
        <v>311</v>
      </c>
      <c r="D2783" s="226">
        <v>0</v>
      </c>
      <c r="E2783" t="s">
        <v>671</v>
      </c>
    </row>
    <row r="2784" spans="1:5" hidden="1" x14ac:dyDescent="0.3">
      <c r="A2784" t="s">
        <v>552</v>
      </c>
      <c r="B2784" t="s">
        <v>670</v>
      </c>
      <c r="C2784" t="s">
        <v>312</v>
      </c>
      <c r="D2784" s="226">
        <v>0</v>
      </c>
      <c r="E2784" t="s">
        <v>671</v>
      </c>
    </row>
    <row r="2785" spans="1:5" hidden="1" x14ac:dyDescent="0.3">
      <c r="A2785" t="s">
        <v>552</v>
      </c>
      <c r="B2785" t="s">
        <v>670</v>
      </c>
      <c r="C2785" t="s">
        <v>313</v>
      </c>
      <c r="D2785" s="226">
        <v>0</v>
      </c>
      <c r="E2785" t="s">
        <v>671</v>
      </c>
    </row>
    <row r="2786" spans="1:5" hidden="1" x14ac:dyDescent="0.3">
      <c r="A2786" t="s">
        <v>552</v>
      </c>
      <c r="B2786" t="s">
        <v>670</v>
      </c>
      <c r="C2786" t="s">
        <v>314</v>
      </c>
      <c r="D2786" s="226">
        <v>0</v>
      </c>
      <c r="E2786" t="s">
        <v>671</v>
      </c>
    </row>
    <row r="2787" spans="1:5" hidden="1" x14ac:dyDescent="0.3">
      <c r="A2787" t="s">
        <v>552</v>
      </c>
      <c r="B2787" t="s">
        <v>670</v>
      </c>
      <c r="C2787" t="s">
        <v>315</v>
      </c>
      <c r="D2787" s="226">
        <v>-10450</v>
      </c>
      <c r="E2787" t="s">
        <v>671</v>
      </c>
    </row>
    <row r="2788" spans="1:5" hidden="1" x14ac:dyDescent="0.3">
      <c r="A2788" t="s">
        <v>552</v>
      </c>
      <c r="B2788" t="s">
        <v>670</v>
      </c>
      <c r="C2788" t="s">
        <v>316</v>
      </c>
      <c r="D2788" s="226">
        <v>0</v>
      </c>
      <c r="E2788" t="s">
        <v>671</v>
      </c>
    </row>
    <row r="2789" spans="1:5" hidden="1" x14ac:dyDescent="0.3">
      <c r="A2789" t="s">
        <v>552</v>
      </c>
      <c r="B2789" t="s">
        <v>670</v>
      </c>
      <c r="C2789" t="s">
        <v>44</v>
      </c>
      <c r="D2789" s="226">
        <v>-0.01</v>
      </c>
      <c r="E2789" t="s">
        <v>671</v>
      </c>
    </row>
    <row r="2790" spans="1:5" hidden="1" x14ac:dyDescent="0.3">
      <c r="A2790" t="s">
        <v>552</v>
      </c>
      <c r="B2790" t="s">
        <v>670</v>
      </c>
      <c r="C2790" t="s">
        <v>317</v>
      </c>
      <c r="D2790" s="226">
        <v>-5444.85</v>
      </c>
      <c r="E2790" t="s">
        <v>671</v>
      </c>
    </row>
    <row r="2791" spans="1:5" hidden="1" x14ac:dyDescent="0.3">
      <c r="A2791" t="s">
        <v>552</v>
      </c>
      <c r="B2791" t="s">
        <v>670</v>
      </c>
      <c r="C2791" t="s">
        <v>318</v>
      </c>
      <c r="D2791" s="226">
        <v>-5444.85</v>
      </c>
      <c r="E2791" t="s">
        <v>671</v>
      </c>
    </row>
    <row r="2792" spans="1:5" hidden="1" x14ac:dyDescent="0.3">
      <c r="A2792" t="s">
        <v>552</v>
      </c>
      <c r="B2792" t="s">
        <v>670</v>
      </c>
      <c r="C2792" t="s">
        <v>319</v>
      </c>
      <c r="D2792" s="226">
        <v>0</v>
      </c>
      <c r="E2792" t="s">
        <v>671</v>
      </c>
    </row>
    <row r="2793" spans="1:5" hidden="1" x14ac:dyDescent="0.3">
      <c r="A2793" t="s">
        <v>552</v>
      </c>
      <c r="B2793" t="s">
        <v>670</v>
      </c>
      <c r="C2793" t="s">
        <v>320</v>
      </c>
      <c r="D2793" s="226">
        <v>0</v>
      </c>
      <c r="E2793" t="s">
        <v>671</v>
      </c>
    </row>
    <row r="2794" spans="1:5" hidden="1" x14ac:dyDescent="0.3">
      <c r="A2794" t="s">
        <v>552</v>
      </c>
      <c r="B2794" t="s">
        <v>670</v>
      </c>
      <c r="C2794" t="s">
        <v>321</v>
      </c>
      <c r="D2794" s="226">
        <v>0</v>
      </c>
      <c r="E2794" t="s">
        <v>671</v>
      </c>
    </row>
    <row r="2795" spans="1:5" hidden="1" x14ac:dyDescent="0.3">
      <c r="A2795" t="s">
        <v>552</v>
      </c>
      <c r="B2795" t="s">
        <v>670</v>
      </c>
      <c r="C2795" t="s">
        <v>44</v>
      </c>
      <c r="D2795" s="226">
        <v>0</v>
      </c>
      <c r="E2795" t="s">
        <v>671</v>
      </c>
    </row>
    <row r="2796" spans="1:5" hidden="1" x14ac:dyDescent="0.3">
      <c r="A2796" t="s">
        <v>552</v>
      </c>
      <c r="B2796" t="s">
        <v>670</v>
      </c>
      <c r="C2796" t="s">
        <v>322</v>
      </c>
      <c r="D2796" s="226">
        <v>-66857.88</v>
      </c>
      <c r="E2796" t="s">
        <v>671</v>
      </c>
    </row>
    <row r="2797" spans="1:5" hidden="1" x14ac:dyDescent="0.3">
      <c r="A2797" t="s">
        <v>552</v>
      </c>
      <c r="B2797" t="s">
        <v>670</v>
      </c>
      <c r="C2797" t="s">
        <v>323</v>
      </c>
      <c r="D2797" s="226">
        <v>0</v>
      </c>
      <c r="E2797" t="s">
        <v>671</v>
      </c>
    </row>
    <row r="2798" spans="1:5" hidden="1" x14ac:dyDescent="0.3">
      <c r="A2798" t="s">
        <v>552</v>
      </c>
      <c r="B2798" t="s">
        <v>670</v>
      </c>
      <c r="C2798" t="s">
        <v>324</v>
      </c>
      <c r="D2798" s="226">
        <v>0</v>
      </c>
      <c r="E2798" t="s">
        <v>671</v>
      </c>
    </row>
    <row r="2799" spans="1:5" hidden="1" x14ac:dyDescent="0.3">
      <c r="A2799" t="s">
        <v>552</v>
      </c>
      <c r="B2799" t="s">
        <v>670</v>
      </c>
      <c r="C2799" t="s">
        <v>325</v>
      </c>
      <c r="D2799" s="226">
        <v>-66857.88</v>
      </c>
      <c r="E2799" t="s">
        <v>671</v>
      </c>
    </row>
    <row r="2800" spans="1:5" hidden="1" x14ac:dyDescent="0.3">
      <c r="A2800" t="s">
        <v>552</v>
      </c>
      <c r="B2800" t="s">
        <v>670</v>
      </c>
      <c r="C2800" t="s">
        <v>44</v>
      </c>
      <c r="D2800" s="226">
        <v>-0.05</v>
      </c>
      <c r="E2800" t="s">
        <v>671</v>
      </c>
    </row>
    <row r="2801" spans="1:5" hidden="1" x14ac:dyDescent="0.3">
      <c r="A2801" t="s">
        <v>552</v>
      </c>
      <c r="B2801" t="s">
        <v>670</v>
      </c>
      <c r="C2801" t="s">
        <v>327</v>
      </c>
      <c r="D2801" s="226">
        <v>-517685.25</v>
      </c>
      <c r="E2801" t="s">
        <v>671</v>
      </c>
    </row>
    <row r="2802" spans="1:5" hidden="1" x14ac:dyDescent="0.3">
      <c r="A2802" t="s">
        <v>552</v>
      </c>
      <c r="B2802" t="s">
        <v>670</v>
      </c>
      <c r="C2802" t="s">
        <v>44</v>
      </c>
      <c r="D2802" s="226">
        <v>-0.39</v>
      </c>
      <c r="E2802" t="s">
        <v>671</v>
      </c>
    </row>
    <row r="2803" spans="1:5" hidden="1" x14ac:dyDescent="0.3">
      <c r="A2803" t="s">
        <v>552</v>
      </c>
      <c r="B2803" t="s">
        <v>670</v>
      </c>
      <c r="C2803" t="s">
        <v>328</v>
      </c>
      <c r="D2803" s="226">
        <v>252771.22</v>
      </c>
      <c r="E2803" t="s">
        <v>671</v>
      </c>
    </row>
    <row r="2804" spans="1:5" hidden="1" x14ac:dyDescent="0.3">
      <c r="A2804" t="s">
        <v>552</v>
      </c>
      <c r="B2804" t="s">
        <v>670</v>
      </c>
      <c r="C2804" t="s">
        <v>44</v>
      </c>
      <c r="D2804" s="226">
        <v>0.19</v>
      </c>
      <c r="E2804" t="s">
        <v>671</v>
      </c>
    </row>
    <row r="2805" spans="1:5" hidden="1" x14ac:dyDescent="0.3">
      <c r="A2805" t="s">
        <v>552</v>
      </c>
      <c r="B2805" t="s">
        <v>670</v>
      </c>
      <c r="C2805" t="s">
        <v>329</v>
      </c>
      <c r="D2805" s="226">
        <v>0</v>
      </c>
      <c r="E2805" t="s">
        <v>671</v>
      </c>
    </row>
    <row r="2806" spans="1:5" hidden="1" x14ac:dyDescent="0.3">
      <c r="A2806" t="s">
        <v>552</v>
      </c>
      <c r="B2806" t="s">
        <v>670</v>
      </c>
      <c r="C2806" t="s">
        <v>331</v>
      </c>
      <c r="D2806" s="226">
        <v>252771.22</v>
      </c>
      <c r="E2806" t="s">
        <v>671</v>
      </c>
    </row>
    <row r="2807" spans="1:5" hidden="1" x14ac:dyDescent="0.3">
      <c r="A2807" t="s">
        <v>552</v>
      </c>
      <c r="B2807" t="s">
        <v>670</v>
      </c>
      <c r="C2807" t="s">
        <v>332</v>
      </c>
      <c r="D2807" s="226">
        <v>-771.51</v>
      </c>
      <c r="E2807" t="s">
        <v>671</v>
      </c>
    </row>
    <row r="2808" spans="1:5" hidden="1" x14ac:dyDescent="0.3">
      <c r="A2808" t="s">
        <v>552</v>
      </c>
      <c r="B2808" t="s">
        <v>670</v>
      </c>
      <c r="C2808" t="s">
        <v>333</v>
      </c>
      <c r="D2808" s="226">
        <v>0</v>
      </c>
      <c r="E2808" t="s">
        <v>671</v>
      </c>
    </row>
    <row r="2809" spans="1:5" hidden="1" x14ac:dyDescent="0.3">
      <c r="A2809" t="s">
        <v>552</v>
      </c>
      <c r="B2809" t="s">
        <v>670</v>
      </c>
      <c r="C2809" t="s">
        <v>335</v>
      </c>
      <c r="D2809" s="226">
        <v>-11686.38</v>
      </c>
      <c r="E2809" t="s">
        <v>671</v>
      </c>
    </row>
    <row r="2810" spans="1:5" hidden="1" x14ac:dyDescent="0.3">
      <c r="A2810" t="s">
        <v>552</v>
      </c>
      <c r="B2810" t="s">
        <v>670</v>
      </c>
      <c r="C2810" t="s">
        <v>337</v>
      </c>
      <c r="D2810" s="226">
        <v>240313.33</v>
      </c>
      <c r="E2810" t="s">
        <v>671</v>
      </c>
    </row>
    <row r="2811" spans="1:5" hidden="1" x14ac:dyDescent="0.3">
      <c r="A2811" t="s">
        <v>552</v>
      </c>
      <c r="B2811" t="s">
        <v>670</v>
      </c>
      <c r="C2811" t="s">
        <v>338</v>
      </c>
      <c r="D2811" s="226">
        <v>-42894.46</v>
      </c>
      <c r="E2811" t="s">
        <v>671</v>
      </c>
    </row>
    <row r="2812" spans="1:5" hidden="1" x14ac:dyDescent="0.3">
      <c r="A2812" t="s">
        <v>552</v>
      </c>
      <c r="B2812" t="s">
        <v>670</v>
      </c>
      <c r="C2812" t="s">
        <v>341</v>
      </c>
      <c r="D2812" s="226">
        <v>-7763.15</v>
      </c>
      <c r="E2812" t="s">
        <v>671</v>
      </c>
    </row>
    <row r="2813" spans="1:5" hidden="1" x14ac:dyDescent="0.3">
      <c r="A2813" t="s">
        <v>552</v>
      </c>
      <c r="B2813" t="s">
        <v>670</v>
      </c>
      <c r="C2813" t="s">
        <v>343</v>
      </c>
      <c r="D2813" s="226">
        <v>-14099.52</v>
      </c>
      <c r="E2813" t="s">
        <v>671</v>
      </c>
    </row>
    <row r="2814" spans="1:5" hidden="1" x14ac:dyDescent="0.3">
      <c r="A2814" t="s">
        <v>552</v>
      </c>
      <c r="B2814" t="s">
        <v>670</v>
      </c>
      <c r="C2814" t="s">
        <v>344</v>
      </c>
      <c r="D2814" s="226">
        <v>-8342.2199999999993</v>
      </c>
      <c r="E2814" t="s">
        <v>671</v>
      </c>
    </row>
    <row r="2815" spans="1:5" hidden="1" x14ac:dyDescent="0.3">
      <c r="A2815" t="s">
        <v>552</v>
      </c>
      <c r="B2815" t="s">
        <v>670</v>
      </c>
      <c r="C2815" t="s">
        <v>345</v>
      </c>
      <c r="D2815" s="226">
        <v>-12689.57</v>
      </c>
      <c r="E2815" t="s">
        <v>671</v>
      </c>
    </row>
    <row r="2816" spans="1:5" hidden="1" x14ac:dyDescent="0.3">
      <c r="A2816" t="s">
        <v>552</v>
      </c>
      <c r="B2816" t="s">
        <v>670</v>
      </c>
      <c r="C2816" t="s">
        <v>346</v>
      </c>
      <c r="D2816" s="226">
        <v>197418.87</v>
      </c>
      <c r="E2816" t="s">
        <v>671</v>
      </c>
    </row>
    <row r="2817" spans="1:5" hidden="1" x14ac:dyDescent="0.3">
      <c r="A2817" t="s">
        <v>552</v>
      </c>
      <c r="B2817" t="s">
        <v>670</v>
      </c>
      <c r="C2817" t="s">
        <v>44</v>
      </c>
      <c r="D2817" s="226">
        <v>0.15</v>
      </c>
      <c r="E2817" t="s">
        <v>671</v>
      </c>
    </row>
    <row r="2818" spans="1:5" hidden="1" x14ac:dyDescent="0.3">
      <c r="A2818" t="s">
        <v>552</v>
      </c>
      <c r="B2818" t="s">
        <v>670</v>
      </c>
      <c r="C2818" t="s">
        <v>347</v>
      </c>
      <c r="D2818" s="226">
        <v>-33432.699999999997</v>
      </c>
      <c r="E2818" t="s">
        <v>671</v>
      </c>
    </row>
    <row r="2819" spans="1:5" hidden="1" x14ac:dyDescent="0.3">
      <c r="A2819" t="s">
        <v>552</v>
      </c>
      <c r="B2819" t="s">
        <v>670</v>
      </c>
      <c r="C2819" t="s">
        <v>654</v>
      </c>
      <c r="D2819" s="226">
        <v>-33432.699999999997</v>
      </c>
      <c r="E2819" t="s">
        <v>671</v>
      </c>
    </row>
    <row r="2820" spans="1:5" hidden="1" x14ac:dyDescent="0.3">
      <c r="A2820" t="s">
        <v>552</v>
      </c>
      <c r="B2820" t="s">
        <v>670</v>
      </c>
      <c r="C2820" t="s">
        <v>349</v>
      </c>
      <c r="D2820" s="226">
        <v>0</v>
      </c>
      <c r="E2820" t="s">
        <v>671</v>
      </c>
    </row>
    <row r="2821" spans="1:5" hidden="1" x14ac:dyDescent="0.3">
      <c r="A2821" t="s">
        <v>552</v>
      </c>
      <c r="B2821" t="s">
        <v>670</v>
      </c>
      <c r="C2821" t="s">
        <v>350</v>
      </c>
      <c r="D2821" s="226">
        <v>0</v>
      </c>
      <c r="E2821" t="s">
        <v>671</v>
      </c>
    </row>
    <row r="2822" spans="1:5" hidden="1" x14ac:dyDescent="0.3">
      <c r="A2822" t="s">
        <v>552</v>
      </c>
      <c r="B2822" t="s">
        <v>670</v>
      </c>
      <c r="C2822" t="s">
        <v>351</v>
      </c>
      <c r="D2822" s="226">
        <v>0</v>
      </c>
      <c r="E2822" t="s">
        <v>671</v>
      </c>
    </row>
    <row r="2823" spans="1:5" hidden="1" x14ac:dyDescent="0.3">
      <c r="A2823" t="s">
        <v>552</v>
      </c>
      <c r="B2823" t="s">
        <v>670</v>
      </c>
      <c r="C2823" t="s">
        <v>352</v>
      </c>
      <c r="D2823" s="226">
        <v>0</v>
      </c>
      <c r="E2823" t="s">
        <v>671</v>
      </c>
    </row>
    <row r="2824" spans="1:5" hidden="1" x14ac:dyDescent="0.3">
      <c r="A2824" t="s">
        <v>552</v>
      </c>
      <c r="B2824" t="s">
        <v>670</v>
      </c>
      <c r="C2824" t="s">
        <v>353</v>
      </c>
      <c r="D2824" s="226">
        <v>0</v>
      </c>
      <c r="E2824" t="s">
        <v>671</v>
      </c>
    </row>
    <row r="2825" spans="1:5" hidden="1" x14ac:dyDescent="0.3">
      <c r="A2825" t="s">
        <v>552</v>
      </c>
      <c r="B2825" t="s">
        <v>670</v>
      </c>
      <c r="C2825" t="s">
        <v>354</v>
      </c>
      <c r="D2825" s="226">
        <v>0</v>
      </c>
      <c r="E2825" t="s">
        <v>671</v>
      </c>
    </row>
    <row r="2826" spans="1:5" hidden="1" x14ac:dyDescent="0.3">
      <c r="A2826" t="s">
        <v>552</v>
      </c>
      <c r="B2826" t="s">
        <v>670</v>
      </c>
      <c r="C2826" t="s">
        <v>355</v>
      </c>
      <c r="D2826" s="226">
        <v>0</v>
      </c>
      <c r="E2826" t="s">
        <v>671</v>
      </c>
    </row>
    <row r="2827" spans="1:5" hidden="1" x14ac:dyDescent="0.3">
      <c r="A2827" t="s">
        <v>552</v>
      </c>
      <c r="B2827" t="s">
        <v>670</v>
      </c>
      <c r="C2827" t="s">
        <v>356</v>
      </c>
      <c r="D2827" s="226">
        <v>0</v>
      </c>
      <c r="E2827" t="s">
        <v>671</v>
      </c>
    </row>
    <row r="2828" spans="1:5" hidden="1" x14ac:dyDescent="0.3">
      <c r="A2828" t="s">
        <v>552</v>
      </c>
      <c r="B2828" t="s">
        <v>670</v>
      </c>
      <c r="C2828" t="s">
        <v>357</v>
      </c>
      <c r="D2828" s="226">
        <v>0</v>
      </c>
      <c r="E2828" t="s">
        <v>671</v>
      </c>
    </row>
    <row r="2829" spans="1:5" hidden="1" x14ac:dyDescent="0.3">
      <c r="A2829" t="s">
        <v>552</v>
      </c>
      <c r="B2829" t="s">
        <v>670</v>
      </c>
      <c r="C2829" t="s">
        <v>358</v>
      </c>
      <c r="D2829" s="226">
        <v>0</v>
      </c>
      <c r="E2829" t="s">
        <v>671</v>
      </c>
    </row>
    <row r="2830" spans="1:5" hidden="1" x14ac:dyDescent="0.3">
      <c r="A2830" t="s">
        <v>552</v>
      </c>
      <c r="B2830" t="s">
        <v>670</v>
      </c>
      <c r="C2830" t="s">
        <v>359</v>
      </c>
      <c r="D2830" s="226">
        <v>0</v>
      </c>
      <c r="E2830" t="s">
        <v>671</v>
      </c>
    </row>
    <row r="2831" spans="1:5" hidden="1" x14ac:dyDescent="0.3">
      <c r="A2831" t="s">
        <v>552</v>
      </c>
      <c r="B2831" t="s">
        <v>670</v>
      </c>
      <c r="C2831" t="s">
        <v>360</v>
      </c>
      <c r="D2831" s="226">
        <v>0</v>
      </c>
      <c r="E2831" t="s">
        <v>671</v>
      </c>
    </row>
    <row r="2832" spans="1:5" hidden="1" x14ac:dyDescent="0.3">
      <c r="A2832" t="s">
        <v>552</v>
      </c>
      <c r="B2832" t="s">
        <v>670</v>
      </c>
      <c r="C2832" t="s">
        <v>361</v>
      </c>
      <c r="D2832" s="226">
        <v>0</v>
      </c>
      <c r="E2832" t="s">
        <v>671</v>
      </c>
    </row>
    <row r="2833" spans="1:5" hidden="1" x14ac:dyDescent="0.3">
      <c r="A2833" t="s">
        <v>552</v>
      </c>
      <c r="B2833" t="s">
        <v>670</v>
      </c>
      <c r="C2833" t="s">
        <v>362</v>
      </c>
      <c r="D2833" s="226">
        <v>0</v>
      </c>
      <c r="E2833" t="s">
        <v>671</v>
      </c>
    </row>
    <row r="2834" spans="1:5" hidden="1" x14ac:dyDescent="0.3">
      <c r="A2834" t="s">
        <v>552</v>
      </c>
      <c r="B2834" t="s">
        <v>670</v>
      </c>
      <c r="C2834" t="s">
        <v>363</v>
      </c>
      <c r="D2834" s="226">
        <v>0</v>
      </c>
      <c r="E2834" t="s">
        <v>671</v>
      </c>
    </row>
    <row r="2835" spans="1:5" hidden="1" x14ac:dyDescent="0.3">
      <c r="A2835" t="s">
        <v>552</v>
      </c>
      <c r="B2835" t="s">
        <v>670</v>
      </c>
      <c r="C2835" t="s">
        <v>364</v>
      </c>
      <c r="D2835" s="226">
        <v>0</v>
      </c>
      <c r="E2835" t="s">
        <v>671</v>
      </c>
    </row>
    <row r="2836" spans="1:5" hidden="1" x14ac:dyDescent="0.3">
      <c r="A2836" t="s">
        <v>552</v>
      </c>
      <c r="B2836" t="s">
        <v>670</v>
      </c>
      <c r="C2836" t="s">
        <v>365</v>
      </c>
      <c r="D2836" s="226">
        <v>0</v>
      </c>
      <c r="E2836" t="s">
        <v>671</v>
      </c>
    </row>
    <row r="2837" spans="1:5" hidden="1" x14ac:dyDescent="0.3">
      <c r="A2837" t="s">
        <v>552</v>
      </c>
      <c r="B2837" t="s">
        <v>670</v>
      </c>
      <c r="C2837" t="s">
        <v>366</v>
      </c>
      <c r="D2837" s="226">
        <v>0</v>
      </c>
      <c r="E2837" t="s">
        <v>671</v>
      </c>
    </row>
    <row r="2838" spans="1:5" hidden="1" x14ac:dyDescent="0.3">
      <c r="A2838" t="s">
        <v>552</v>
      </c>
      <c r="B2838" t="s">
        <v>670</v>
      </c>
      <c r="C2838" t="s">
        <v>367</v>
      </c>
      <c r="D2838" s="226">
        <v>0</v>
      </c>
      <c r="E2838" t="s">
        <v>671</v>
      </c>
    </row>
    <row r="2839" spans="1:5" hidden="1" x14ac:dyDescent="0.3">
      <c r="A2839" t="s">
        <v>552</v>
      </c>
      <c r="B2839" t="s">
        <v>670</v>
      </c>
      <c r="C2839" t="s">
        <v>368</v>
      </c>
      <c r="D2839" s="226">
        <v>0</v>
      </c>
      <c r="E2839" t="s">
        <v>671</v>
      </c>
    </row>
    <row r="2840" spans="1:5" hidden="1" x14ac:dyDescent="0.3">
      <c r="A2840" t="s">
        <v>552</v>
      </c>
      <c r="B2840" t="s">
        <v>670</v>
      </c>
      <c r="C2840" t="s">
        <v>369</v>
      </c>
      <c r="D2840" s="226">
        <v>0</v>
      </c>
      <c r="E2840" t="s">
        <v>671</v>
      </c>
    </row>
    <row r="2841" spans="1:5" hidden="1" x14ac:dyDescent="0.3">
      <c r="A2841" t="s">
        <v>552</v>
      </c>
      <c r="B2841" t="s">
        <v>670</v>
      </c>
      <c r="C2841" t="s">
        <v>370</v>
      </c>
      <c r="D2841" s="226">
        <v>0</v>
      </c>
      <c r="E2841" t="s">
        <v>671</v>
      </c>
    </row>
    <row r="2842" spans="1:5" hidden="1" x14ac:dyDescent="0.3">
      <c r="A2842" t="s">
        <v>552</v>
      </c>
      <c r="B2842" t="s">
        <v>670</v>
      </c>
      <c r="C2842" t="s">
        <v>371</v>
      </c>
      <c r="D2842" s="226">
        <v>0</v>
      </c>
      <c r="E2842" t="s">
        <v>671</v>
      </c>
    </row>
    <row r="2843" spans="1:5" hidden="1" x14ac:dyDescent="0.3">
      <c r="A2843" t="s">
        <v>552</v>
      </c>
      <c r="B2843" t="s">
        <v>670</v>
      </c>
      <c r="C2843" t="s">
        <v>372</v>
      </c>
      <c r="D2843" s="226">
        <v>-33432.699999999997</v>
      </c>
      <c r="E2843" t="s">
        <v>671</v>
      </c>
    </row>
    <row r="2844" spans="1:5" hidden="1" x14ac:dyDescent="0.3">
      <c r="A2844" t="s">
        <v>552</v>
      </c>
      <c r="B2844" t="s">
        <v>670</v>
      </c>
      <c r="C2844" t="s">
        <v>373</v>
      </c>
      <c r="D2844" s="226">
        <v>163986.17000000001</v>
      </c>
      <c r="E2844" t="s">
        <v>671</v>
      </c>
    </row>
    <row r="2845" spans="1:5" hidden="1" x14ac:dyDescent="0.3">
      <c r="A2845" t="s">
        <v>552</v>
      </c>
      <c r="B2845" t="s">
        <v>670</v>
      </c>
      <c r="C2845" t="s">
        <v>655</v>
      </c>
      <c r="D2845" s="226">
        <v>0</v>
      </c>
      <c r="E2845" t="s">
        <v>671</v>
      </c>
    </row>
    <row r="2846" spans="1:5" hidden="1" x14ac:dyDescent="0.3">
      <c r="A2846" t="s">
        <v>552</v>
      </c>
      <c r="B2846" t="s">
        <v>672</v>
      </c>
      <c r="C2846" t="s">
        <v>11</v>
      </c>
      <c r="D2846" s="226">
        <v>1226652.3500000001</v>
      </c>
      <c r="E2846" t="s">
        <v>673</v>
      </c>
    </row>
    <row r="2847" spans="1:5" hidden="1" x14ac:dyDescent="0.3">
      <c r="A2847" t="s">
        <v>552</v>
      </c>
      <c r="B2847" t="s">
        <v>672</v>
      </c>
      <c r="C2847" t="s">
        <v>13</v>
      </c>
      <c r="D2847" s="226">
        <v>615929</v>
      </c>
      <c r="E2847" t="s">
        <v>673</v>
      </c>
    </row>
    <row r="2848" spans="1:5" hidden="1" x14ac:dyDescent="0.3">
      <c r="A2848" t="s">
        <v>552</v>
      </c>
      <c r="B2848" t="s">
        <v>672</v>
      </c>
      <c r="C2848" t="s">
        <v>16</v>
      </c>
      <c r="D2848" s="226">
        <v>437272.8</v>
      </c>
      <c r="E2848" t="s">
        <v>673</v>
      </c>
    </row>
    <row r="2849" spans="1:5" hidden="1" x14ac:dyDescent="0.3">
      <c r="A2849" t="s">
        <v>552</v>
      </c>
      <c r="B2849" t="s">
        <v>672</v>
      </c>
      <c r="C2849" t="s">
        <v>17</v>
      </c>
      <c r="D2849" s="226">
        <v>0</v>
      </c>
      <c r="E2849" t="s">
        <v>673</v>
      </c>
    </row>
    <row r="2850" spans="1:5" hidden="1" x14ac:dyDescent="0.3">
      <c r="A2850" t="s">
        <v>552</v>
      </c>
      <c r="B2850" t="s">
        <v>672</v>
      </c>
      <c r="C2850" t="s">
        <v>18</v>
      </c>
      <c r="D2850" s="226">
        <v>1080</v>
      </c>
      <c r="E2850" t="s">
        <v>673</v>
      </c>
    </row>
    <row r="2851" spans="1:5" hidden="1" x14ac:dyDescent="0.3">
      <c r="A2851" t="s">
        <v>552</v>
      </c>
      <c r="B2851" t="s">
        <v>672</v>
      </c>
      <c r="C2851" t="s">
        <v>20</v>
      </c>
      <c r="D2851" s="226">
        <v>133812.54999999999</v>
      </c>
      <c r="E2851" t="s">
        <v>673</v>
      </c>
    </row>
    <row r="2852" spans="1:5" hidden="1" x14ac:dyDescent="0.3">
      <c r="A2852" t="s">
        <v>552</v>
      </c>
      <c r="B2852" t="s">
        <v>672</v>
      </c>
      <c r="C2852" t="s">
        <v>23</v>
      </c>
      <c r="D2852" s="226">
        <v>11400</v>
      </c>
      <c r="E2852" t="s">
        <v>673</v>
      </c>
    </row>
    <row r="2853" spans="1:5" hidden="1" x14ac:dyDescent="0.3">
      <c r="A2853" t="s">
        <v>552</v>
      </c>
      <c r="B2853" t="s">
        <v>672</v>
      </c>
      <c r="C2853" t="s">
        <v>25</v>
      </c>
      <c r="D2853" s="226">
        <v>0</v>
      </c>
      <c r="E2853" t="s">
        <v>673</v>
      </c>
    </row>
    <row r="2854" spans="1:5" hidden="1" x14ac:dyDescent="0.3">
      <c r="A2854" t="s">
        <v>552</v>
      </c>
      <c r="B2854" t="s">
        <v>672</v>
      </c>
      <c r="C2854" t="s">
        <v>26</v>
      </c>
      <c r="D2854" s="226">
        <v>4000</v>
      </c>
      <c r="E2854" t="s">
        <v>673</v>
      </c>
    </row>
    <row r="2855" spans="1:5" hidden="1" x14ac:dyDescent="0.3">
      <c r="A2855" t="s">
        <v>552</v>
      </c>
      <c r="B2855" t="s">
        <v>672</v>
      </c>
      <c r="C2855" t="s">
        <v>27</v>
      </c>
      <c r="D2855" s="226">
        <v>0</v>
      </c>
      <c r="E2855" t="s">
        <v>673</v>
      </c>
    </row>
    <row r="2856" spans="1:5" hidden="1" x14ac:dyDescent="0.3">
      <c r="A2856" t="s">
        <v>552</v>
      </c>
      <c r="B2856" t="s">
        <v>672</v>
      </c>
      <c r="C2856" t="s">
        <v>29</v>
      </c>
      <c r="D2856" s="226">
        <v>23158</v>
      </c>
      <c r="E2856" t="s">
        <v>673</v>
      </c>
    </row>
    <row r="2857" spans="1:5" hidden="1" x14ac:dyDescent="0.3">
      <c r="A2857" t="s">
        <v>552</v>
      </c>
      <c r="B2857" t="s">
        <v>672</v>
      </c>
      <c r="C2857" t="s">
        <v>31</v>
      </c>
      <c r="D2857" s="226">
        <v>0</v>
      </c>
      <c r="E2857" t="s">
        <v>673</v>
      </c>
    </row>
    <row r="2858" spans="1:5" hidden="1" x14ac:dyDescent="0.3">
      <c r="A2858" t="s">
        <v>552</v>
      </c>
      <c r="B2858" t="s">
        <v>672</v>
      </c>
      <c r="C2858" t="s">
        <v>34</v>
      </c>
      <c r="D2858" s="226">
        <v>-21754.1</v>
      </c>
      <c r="E2858" t="s">
        <v>673</v>
      </c>
    </row>
    <row r="2859" spans="1:5" hidden="1" x14ac:dyDescent="0.3">
      <c r="A2859" t="s">
        <v>552</v>
      </c>
      <c r="B2859" t="s">
        <v>672</v>
      </c>
      <c r="C2859" t="s">
        <v>38</v>
      </c>
      <c r="D2859" s="226">
        <v>-21754.1</v>
      </c>
      <c r="E2859" t="s">
        <v>673</v>
      </c>
    </row>
    <row r="2860" spans="1:5" hidden="1" x14ac:dyDescent="0.3">
      <c r="A2860" t="s">
        <v>552</v>
      </c>
      <c r="B2860" t="s">
        <v>672</v>
      </c>
      <c r="C2860" t="s">
        <v>40</v>
      </c>
      <c r="D2860" s="226">
        <v>0</v>
      </c>
      <c r="E2860" t="s">
        <v>673</v>
      </c>
    </row>
    <row r="2861" spans="1:5" hidden="1" x14ac:dyDescent="0.3">
      <c r="A2861" t="s">
        <v>552</v>
      </c>
      <c r="B2861" t="s">
        <v>672</v>
      </c>
      <c r="C2861" t="s">
        <v>42</v>
      </c>
      <c r="D2861" s="226">
        <v>0</v>
      </c>
      <c r="E2861" t="s">
        <v>673</v>
      </c>
    </row>
    <row r="2862" spans="1:5" hidden="1" x14ac:dyDescent="0.3">
      <c r="A2862" t="s">
        <v>552</v>
      </c>
      <c r="B2862" t="s">
        <v>672</v>
      </c>
      <c r="C2862" t="s">
        <v>44</v>
      </c>
      <c r="D2862" s="226">
        <v>-0.02</v>
      </c>
      <c r="E2862" t="s">
        <v>673</v>
      </c>
    </row>
    <row r="2863" spans="1:5" hidden="1" x14ac:dyDescent="0.3">
      <c r="A2863" t="s">
        <v>552</v>
      </c>
      <c r="B2863" t="s">
        <v>672</v>
      </c>
      <c r="C2863" t="s">
        <v>45</v>
      </c>
      <c r="D2863" s="226">
        <v>-73574.570000000007</v>
      </c>
      <c r="E2863" t="s">
        <v>673</v>
      </c>
    </row>
    <row r="2864" spans="1:5" hidden="1" x14ac:dyDescent="0.3">
      <c r="A2864" t="s">
        <v>552</v>
      </c>
      <c r="B2864" t="s">
        <v>672</v>
      </c>
      <c r="C2864" t="s">
        <v>46</v>
      </c>
      <c r="D2864" s="226">
        <v>-39094.629999999997</v>
      </c>
      <c r="E2864" t="s">
        <v>673</v>
      </c>
    </row>
    <row r="2865" spans="1:5" hidden="1" x14ac:dyDescent="0.3">
      <c r="A2865" t="s">
        <v>552</v>
      </c>
      <c r="B2865" t="s">
        <v>672</v>
      </c>
      <c r="C2865" t="s">
        <v>48</v>
      </c>
      <c r="D2865" s="226">
        <v>-33909.94</v>
      </c>
      <c r="E2865" t="s">
        <v>673</v>
      </c>
    </row>
    <row r="2866" spans="1:5" hidden="1" x14ac:dyDescent="0.3">
      <c r="A2866" t="s">
        <v>552</v>
      </c>
      <c r="B2866" t="s">
        <v>672</v>
      </c>
      <c r="C2866" t="s">
        <v>49</v>
      </c>
      <c r="D2866" s="226">
        <v>-570</v>
      </c>
      <c r="E2866" t="s">
        <v>673</v>
      </c>
    </row>
    <row r="2867" spans="1:5" hidden="1" x14ac:dyDescent="0.3">
      <c r="A2867" t="s">
        <v>552</v>
      </c>
      <c r="B2867" t="s">
        <v>672</v>
      </c>
      <c r="C2867" t="s">
        <v>50</v>
      </c>
      <c r="D2867" s="226">
        <v>1131323.68</v>
      </c>
      <c r="E2867" t="s">
        <v>673</v>
      </c>
    </row>
    <row r="2868" spans="1:5" hidden="1" x14ac:dyDescent="0.3">
      <c r="A2868" t="s">
        <v>552</v>
      </c>
      <c r="B2868" t="s">
        <v>672</v>
      </c>
      <c r="C2868" t="s">
        <v>51</v>
      </c>
      <c r="D2868" s="226">
        <v>-339313.97</v>
      </c>
      <c r="E2868" t="s">
        <v>673</v>
      </c>
    </row>
    <row r="2869" spans="1:5" hidden="1" x14ac:dyDescent="0.3">
      <c r="A2869" t="s">
        <v>552</v>
      </c>
      <c r="B2869" t="s">
        <v>672</v>
      </c>
      <c r="C2869" t="s">
        <v>52</v>
      </c>
      <c r="D2869" s="226">
        <v>-231275.61</v>
      </c>
      <c r="E2869" t="s">
        <v>673</v>
      </c>
    </row>
    <row r="2870" spans="1:5" hidden="1" x14ac:dyDescent="0.3">
      <c r="A2870" t="s">
        <v>552</v>
      </c>
      <c r="B2870" t="s">
        <v>672</v>
      </c>
      <c r="C2870" t="s">
        <v>53</v>
      </c>
      <c r="D2870" s="226">
        <v>-106697.60000000001</v>
      </c>
      <c r="E2870" t="s">
        <v>673</v>
      </c>
    </row>
    <row r="2871" spans="1:5" hidden="1" x14ac:dyDescent="0.3">
      <c r="A2871" t="s">
        <v>552</v>
      </c>
      <c r="B2871" t="s">
        <v>672</v>
      </c>
      <c r="C2871" t="s">
        <v>54</v>
      </c>
      <c r="D2871" s="226">
        <v>-1340.76</v>
      </c>
      <c r="E2871" t="s">
        <v>673</v>
      </c>
    </row>
    <row r="2872" spans="1:5" hidden="1" x14ac:dyDescent="0.3">
      <c r="A2872" t="s">
        <v>552</v>
      </c>
      <c r="B2872" t="s">
        <v>672</v>
      </c>
      <c r="C2872" t="s">
        <v>23</v>
      </c>
      <c r="D2872" s="226">
        <v>0</v>
      </c>
      <c r="E2872" t="s">
        <v>673</v>
      </c>
    </row>
    <row r="2873" spans="1:5" hidden="1" x14ac:dyDescent="0.3">
      <c r="A2873" t="s">
        <v>552</v>
      </c>
      <c r="B2873" t="s">
        <v>672</v>
      </c>
      <c r="C2873" t="s">
        <v>44</v>
      </c>
      <c r="D2873" s="226">
        <v>-0.31</v>
      </c>
      <c r="E2873" t="s">
        <v>673</v>
      </c>
    </row>
    <row r="2874" spans="1:5" hidden="1" x14ac:dyDescent="0.3">
      <c r="A2874" t="s">
        <v>552</v>
      </c>
      <c r="B2874" t="s">
        <v>672</v>
      </c>
      <c r="C2874" t="s">
        <v>55</v>
      </c>
      <c r="D2874" s="226">
        <v>-0.3</v>
      </c>
      <c r="E2874" t="s">
        <v>673</v>
      </c>
    </row>
    <row r="2875" spans="1:5" hidden="1" x14ac:dyDescent="0.3">
      <c r="A2875" t="s">
        <v>552</v>
      </c>
      <c r="B2875" t="s">
        <v>672</v>
      </c>
      <c r="C2875" t="s">
        <v>56</v>
      </c>
      <c r="D2875" s="226">
        <v>0</v>
      </c>
      <c r="E2875" t="s">
        <v>673</v>
      </c>
    </row>
    <row r="2876" spans="1:5" hidden="1" x14ac:dyDescent="0.3">
      <c r="A2876" t="s">
        <v>552</v>
      </c>
      <c r="B2876" t="s">
        <v>672</v>
      </c>
      <c r="C2876" t="s">
        <v>57</v>
      </c>
      <c r="D2876" s="226">
        <v>0</v>
      </c>
      <c r="E2876" t="s">
        <v>673</v>
      </c>
    </row>
    <row r="2877" spans="1:5" hidden="1" x14ac:dyDescent="0.3">
      <c r="A2877" t="s">
        <v>552</v>
      </c>
      <c r="B2877" t="s">
        <v>672</v>
      </c>
      <c r="C2877" t="s">
        <v>58</v>
      </c>
      <c r="D2877" s="226">
        <v>0</v>
      </c>
      <c r="E2877" t="s">
        <v>673</v>
      </c>
    </row>
    <row r="2878" spans="1:5" hidden="1" x14ac:dyDescent="0.3">
      <c r="A2878" t="s">
        <v>552</v>
      </c>
      <c r="B2878" t="s">
        <v>672</v>
      </c>
      <c r="C2878" t="s">
        <v>59</v>
      </c>
      <c r="D2878" s="226">
        <v>0</v>
      </c>
      <c r="E2878" t="s">
        <v>673</v>
      </c>
    </row>
    <row r="2879" spans="1:5" hidden="1" x14ac:dyDescent="0.3">
      <c r="A2879" t="s">
        <v>552</v>
      </c>
      <c r="B2879" t="s">
        <v>672</v>
      </c>
      <c r="C2879" t="s">
        <v>61</v>
      </c>
      <c r="D2879" s="226">
        <v>0</v>
      </c>
      <c r="E2879" t="s">
        <v>673</v>
      </c>
    </row>
    <row r="2880" spans="1:5" hidden="1" x14ac:dyDescent="0.3">
      <c r="A2880" t="s">
        <v>552</v>
      </c>
      <c r="B2880" t="s">
        <v>672</v>
      </c>
      <c r="C2880" t="s">
        <v>62</v>
      </c>
      <c r="D2880" s="226">
        <v>0</v>
      </c>
      <c r="E2880" t="s">
        <v>673</v>
      </c>
    </row>
    <row r="2881" spans="1:5" hidden="1" x14ac:dyDescent="0.3">
      <c r="A2881" t="s">
        <v>552</v>
      </c>
      <c r="B2881" t="s">
        <v>672</v>
      </c>
      <c r="C2881" t="s">
        <v>64</v>
      </c>
      <c r="D2881" s="226">
        <v>0</v>
      </c>
      <c r="E2881" t="s">
        <v>673</v>
      </c>
    </row>
    <row r="2882" spans="1:5" hidden="1" x14ac:dyDescent="0.3">
      <c r="A2882" t="s">
        <v>552</v>
      </c>
      <c r="B2882" t="s">
        <v>672</v>
      </c>
      <c r="C2882" t="s">
        <v>65</v>
      </c>
      <c r="D2882" s="226">
        <v>0</v>
      </c>
      <c r="E2882" t="s">
        <v>673</v>
      </c>
    </row>
    <row r="2883" spans="1:5" hidden="1" x14ac:dyDescent="0.3">
      <c r="A2883" t="s">
        <v>552</v>
      </c>
      <c r="B2883" t="s">
        <v>672</v>
      </c>
      <c r="C2883" t="s">
        <v>66</v>
      </c>
      <c r="D2883" s="226">
        <v>0</v>
      </c>
      <c r="E2883" t="s">
        <v>673</v>
      </c>
    </row>
    <row r="2884" spans="1:5" hidden="1" x14ac:dyDescent="0.3">
      <c r="A2884" t="s">
        <v>552</v>
      </c>
      <c r="B2884" t="s">
        <v>672</v>
      </c>
      <c r="C2884" t="s">
        <v>68</v>
      </c>
      <c r="D2884" s="226">
        <v>0</v>
      </c>
      <c r="E2884" t="s">
        <v>673</v>
      </c>
    </row>
    <row r="2885" spans="1:5" hidden="1" x14ac:dyDescent="0.3">
      <c r="A2885" t="s">
        <v>552</v>
      </c>
      <c r="B2885" t="s">
        <v>672</v>
      </c>
      <c r="C2885" t="s">
        <v>69</v>
      </c>
      <c r="D2885" s="226">
        <v>0</v>
      </c>
      <c r="E2885" t="s">
        <v>673</v>
      </c>
    </row>
    <row r="2886" spans="1:5" hidden="1" x14ac:dyDescent="0.3">
      <c r="A2886" t="s">
        <v>552</v>
      </c>
      <c r="B2886" t="s">
        <v>672</v>
      </c>
      <c r="C2886" t="s">
        <v>70</v>
      </c>
      <c r="D2886" s="226">
        <v>0</v>
      </c>
      <c r="E2886" t="s">
        <v>673</v>
      </c>
    </row>
    <row r="2887" spans="1:5" hidden="1" x14ac:dyDescent="0.3">
      <c r="A2887" t="s">
        <v>552</v>
      </c>
      <c r="B2887" t="s">
        <v>672</v>
      </c>
      <c r="C2887" t="s">
        <v>44</v>
      </c>
      <c r="D2887" s="226">
        <v>0</v>
      </c>
      <c r="E2887" t="s">
        <v>673</v>
      </c>
    </row>
    <row r="2888" spans="1:5" hidden="1" x14ac:dyDescent="0.3">
      <c r="A2888" t="s">
        <v>552</v>
      </c>
      <c r="B2888" t="s">
        <v>672</v>
      </c>
      <c r="C2888" t="s">
        <v>71</v>
      </c>
      <c r="D2888" s="226">
        <v>0</v>
      </c>
      <c r="E2888" t="s">
        <v>673</v>
      </c>
    </row>
    <row r="2889" spans="1:5" hidden="1" x14ac:dyDescent="0.3">
      <c r="A2889" t="s">
        <v>552</v>
      </c>
      <c r="B2889" t="s">
        <v>672</v>
      </c>
      <c r="C2889" t="s">
        <v>72</v>
      </c>
      <c r="D2889" s="226">
        <v>0</v>
      </c>
      <c r="E2889" t="s">
        <v>673</v>
      </c>
    </row>
    <row r="2890" spans="1:5" hidden="1" x14ac:dyDescent="0.3">
      <c r="A2890" t="s">
        <v>552</v>
      </c>
      <c r="B2890" t="s">
        <v>672</v>
      </c>
      <c r="C2890" t="s">
        <v>73</v>
      </c>
      <c r="D2890" s="226">
        <v>0</v>
      </c>
      <c r="E2890" t="s">
        <v>673</v>
      </c>
    </row>
    <row r="2891" spans="1:5" hidden="1" x14ac:dyDescent="0.3">
      <c r="A2891" t="s">
        <v>552</v>
      </c>
      <c r="B2891" t="s">
        <v>672</v>
      </c>
      <c r="C2891" t="s">
        <v>75</v>
      </c>
      <c r="D2891" s="226">
        <v>0</v>
      </c>
      <c r="E2891" t="s">
        <v>673</v>
      </c>
    </row>
    <row r="2892" spans="1:5" hidden="1" x14ac:dyDescent="0.3">
      <c r="A2892" t="s">
        <v>552</v>
      </c>
      <c r="B2892" t="s">
        <v>672</v>
      </c>
      <c r="C2892" t="s">
        <v>77</v>
      </c>
      <c r="D2892" s="226">
        <v>0</v>
      </c>
      <c r="E2892" t="s">
        <v>673</v>
      </c>
    </row>
    <row r="2893" spans="1:5" hidden="1" x14ac:dyDescent="0.3">
      <c r="A2893" t="s">
        <v>552</v>
      </c>
      <c r="B2893" t="s">
        <v>672</v>
      </c>
      <c r="C2893" t="s">
        <v>78</v>
      </c>
      <c r="D2893" s="226">
        <v>0</v>
      </c>
      <c r="E2893" t="s">
        <v>673</v>
      </c>
    </row>
    <row r="2894" spans="1:5" hidden="1" x14ac:dyDescent="0.3">
      <c r="A2894" t="s">
        <v>552</v>
      </c>
      <c r="B2894" t="s">
        <v>672</v>
      </c>
      <c r="C2894" t="s">
        <v>80</v>
      </c>
      <c r="D2894" s="226">
        <v>0</v>
      </c>
      <c r="E2894" t="s">
        <v>673</v>
      </c>
    </row>
    <row r="2895" spans="1:5" hidden="1" x14ac:dyDescent="0.3">
      <c r="A2895" t="s">
        <v>552</v>
      </c>
      <c r="B2895" t="s">
        <v>672</v>
      </c>
      <c r="C2895" t="s">
        <v>82</v>
      </c>
      <c r="D2895" s="226">
        <v>0</v>
      </c>
      <c r="E2895" t="s">
        <v>673</v>
      </c>
    </row>
    <row r="2896" spans="1:5" hidden="1" x14ac:dyDescent="0.3">
      <c r="A2896" t="s">
        <v>552</v>
      </c>
      <c r="B2896" t="s">
        <v>672</v>
      </c>
      <c r="C2896" t="s">
        <v>84</v>
      </c>
      <c r="D2896" s="226">
        <v>0</v>
      </c>
      <c r="E2896" t="s">
        <v>673</v>
      </c>
    </row>
    <row r="2897" spans="1:5" hidden="1" x14ac:dyDescent="0.3">
      <c r="A2897" t="s">
        <v>552</v>
      </c>
      <c r="B2897" t="s">
        <v>672</v>
      </c>
      <c r="C2897" t="s">
        <v>85</v>
      </c>
      <c r="D2897" s="226">
        <v>0</v>
      </c>
      <c r="E2897" t="s">
        <v>673</v>
      </c>
    </row>
    <row r="2898" spans="1:5" hidden="1" x14ac:dyDescent="0.3">
      <c r="A2898" t="s">
        <v>552</v>
      </c>
      <c r="B2898" t="s">
        <v>672</v>
      </c>
      <c r="C2898" t="s">
        <v>86</v>
      </c>
      <c r="D2898" s="226">
        <v>0</v>
      </c>
      <c r="E2898" t="s">
        <v>673</v>
      </c>
    </row>
    <row r="2899" spans="1:5" hidden="1" x14ac:dyDescent="0.3">
      <c r="A2899" t="s">
        <v>552</v>
      </c>
      <c r="B2899" t="s">
        <v>672</v>
      </c>
      <c r="C2899" t="s">
        <v>87</v>
      </c>
      <c r="D2899" s="226">
        <v>0</v>
      </c>
      <c r="E2899" t="s">
        <v>673</v>
      </c>
    </row>
    <row r="2900" spans="1:5" hidden="1" x14ac:dyDescent="0.3">
      <c r="A2900" t="s">
        <v>552</v>
      </c>
      <c r="B2900" t="s">
        <v>672</v>
      </c>
      <c r="C2900" t="s">
        <v>88</v>
      </c>
      <c r="D2900" s="226">
        <v>0</v>
      </c>
      <c r="E2900" t="s">
        <v>673</v>
      </c>
    </row>
    <row r="2901" spans="1:5" hidden="1" x14ac:dyDescent="0.3">
      <c r="A2901" t="s">
        <v>552</v>
      </c>
      <c r="B2901" t="s">
        <v>672</v>
      </c>
      <c r="C2901" t="s">
        <v>89</v>
      </c>
      <c r="D2901" s="226">
        <v>0</v>
      </c>
      <c r="E2901" t="s">
        <v>673</v>
      </c>
    </row>
    <row r="2902" spans="1:5" hidden="1" x14ac:dyDescent="0.3">
      <c r="A2902" t="s">
        <v>552</v>
      </c>
      <c r="B2902" t="s">
        <v>672</v>
      </c>
      <c r="C2902" t="s">
        <v>90</v>
      </c>
      <c r="D2902" s="226">
        <v>0</v>
      </c>
      <c r="E2902" t="s">
        <v>673</v>
      </c>
    </row>
    <row r="2903" spans="1:5" hidden="1" x14ac:dyDescent="0.3">
      <c r="A2903" t="s">
        <v>552</v>
      </c>
      <c r="B2903" t="s">
        <v>672</v>
      </c>
      <c r="C2903" t="s">
        <v>91</v>
      </c>
      <c r="D2903" s="226">
        <v>0</v>
      </c>
      <c r="E2903" t="s">
        <v>673</v>
      </c>
    </row>
    <row r="2904" spans="1:5" hidden="1" x14ac:dyDescent="0.3">
      <c r="A2904" t="s">
        <v>552</v>
      </c>
      <c r="B2904" t="s">
        <v>672</v>
      </c>
      <c r="C2904" t="s">
        <v>93</v>
      </c>
      <c r="D2904" s="226">
        <v>0</v>
      </c>
      <c r="E2904" t="s">
        <v>673</v>
      </c>
    </row>
    <row r="2905" spans="1:5" hidden="1" x14ac:dyDescent="0.3">
      <c r="A2905" t="s">
        <v>552</v>
      </c>
      <c r="B2905" t="s">
        <v>672</v>
      </c>
      <c r="C2905" t="s">
        <v>95</v>
      </c>
      <c r="D2905" s="226">
        <v>0</v>
      </c>
      <c r="E2905" t="s">
        <v>673</v>
      </c>
    </row>
    <row r="2906" spans="1:5" hidden="1" x14ac:dyDescent="0.3">
      <c r="A2906" t="s">
        <v>552</v>
      </c>
      <c r="B2906" t="s">
        <v>672</v>
      </c>
      <c r="C2906" t="s">
        <v>96</v>
      </c>
      <c r="D2906" s="226">
        <v>0</v>
      </c>
      <c r="E2906" t="s">
        <v>673</v>
      </c>
    </row>
    <row r="2907" spans="1:5" hidden="1" x14ac:dyDescent="0.3">
      <c r="A2907" t="s">
        <v>552</v>
      </c>
      <c r="B2907" t="s">
        <v>672</v>
      </c>
      <c r="C2907" t="s">
        <v>98</v>
      </c>
      <c r="D2907" s="226">
        <v>0</v>
      </c>
      <c r="E2907" t="s">
        <v>673</v>
      </c>
    </row>
    <row r="2908" spans="1:5" hidden="1" x14ac:dyDescent="0.3">
      <c r="A2908" t="s">
        <v>552</v>
      </c>
      <c r="B2908" t="s">
        <v>672</v>
      </c>
      <c r="C2908" t="s">
        <v>100</v>
      </c>
      <c r="D2908" s="226">
        <v>0</v>
      </c>
      <c r="E2908" t="s">
        <v>673</v>
      </c>
    </row>
    <row r="2909" spans="1:5" hidden="1" x14ac:dyDescent="0.3">
      <c r="A2909" t="s">
        <v>552</v>
      </c>
      <c r="B2909" t="s">
        <v>672</v>
      </c>
      <c r="C2909" t="s">
        <v>101</v>
      </c>
      <c r="D2909" s="226">
        <v>0</v>
      </c>
      <c r="E2909" t="s">
        <v>673</v>
      </c>
    </row>
    <row r="2910" spans="1:5" hidden="1" x14ac:dyDescent="0.3">
      <c r="A2910" t="s">
        <v>552</v>
      </c>
      <c r="B2910" t="s">
        <v>672</v>
      </c>
      <c r="C2910" t="s">
        <v>102</v>
      </c>
      <c r="D2910" s="226">
        <v>0</v>
      </c>
      <c r="E2910" t="s">
        <v>673</v>
      </c>
    </row>
    <row r="2911" spans="1:5" hidden="1" x14ac:dyDescent="0.3">
      <c r="A2911" t="s">
        <v>552</v>
      </c>
      <c r="B2911" t="s">
        <v>672</v>
      </c>
      <c r="C2911" t="s">
        <v>103</v>
      </c>
      <c r="D2911" s="226">
        <v>0</v>
      </c>
      <c r="E2911" t="s">
        <v>673</v>
      </c>
    </row>
    <row r="2912" spans="1:5" hidden="1" x14ac:dyDescent="0.3">
      <c r="A2912" t="s">
        <v>552</v>
      </c>
      <c r="B2912" t="s">
        <v>672</v>
      </c>
      <c r="C2912" t="s">
        <v>104</v>
      </c>
      <c r="D2912" s="226">
        <v>0</v>
      </c>
      <c r="E2912" t="s">
        <v>673</v>
      </c>
    </row>
    <row r="2913" spans="1:5" hidden="1" x14ac:dyDescent="0.3">
      <c r="A2913" t="s">
        <v>552</v>
      </c>
      <c r="B2913" t="s">
        <v>672</v>
      </c>
      <c r="C2913" t="s">
        <v>105</v>
      </c>
      <c r="D2913" s="226">
        <v>0</v>
      </c>
      <c r="E2913" t="s">
        <v>673</v>
      </c>
    </row>
    <row r="2914" spans="1:5" hidden="1" x14ac:dyDescent="0.3">
      <c r="A2914" t="s">
        <v>552</v>
      </c>
      <c r="B2914" t="s">
        <v>672</v>
      </c>
      <c r="C2914" t="s">
        <v>107</v>
      </c>
      <c r="D2914" s="226">
        <v>0</v>
      </c>
      <c r="E2914" t="s">
        <v>673</v>
      </c>
    </row>
    <row r="2915" spans="1:5" hidden="1" x14ac:dyDescent="0.3">
      <c r="A2915" t="s">
        <v>552</v>
      </c>
      <c r="B2915" t="s">
        <v>672</v>
      </c>
      <c r="C2915" t="s">
        <v>108</v>
      </c>
      <c r="D2915" s="226">
        <v>0</v>
      </c>
      <c r="E2915" t="s">
        <v>673</v>
      </c>
    </row>
    <row r="2916" spans="1:5" hidden="1" x14ac:dyDescent="0.3">
      <c r="A2916" t="s">
        <v>552</v>
      </c>
      <c r="B2916" t="s">
        <v>672</v>
      </c>
      <c r="C2916" t="s">
        <v>109</v>
      </c>
      <c r="D2916" s="226">
        <v>0</v>
      </c>
      <c r="E2916" t="s">
        <v>673</v>
      </c>
    </row>
    <row r="2917" spans="1:5" hidden="1" x14ac:dyDescent="0.3">
      <c r="A2917" t="s">
        <v>552</v>
      </c>
      <c r="B2917" t="s">
        <v>672</v>
      </c>
      <c r="C2917" t="s">
        <v>110</v>
      </c>
      <c r="D2917" s="226">
        <v>0</v>
      </c>
      <c r="E2917" t="s">
        <v>673</v>
      </c>
    </row>
    <row r="2918" spans="1:5" hidden="1" x14ac:dyDescent="0.3">
      <c r="A2918" t="s">
        <v>552</v>
      </c>
      <c r="B2918" t="s">
        <v>672</v>
      </c>
      <c r="C2918" t="s">
        <v>44</v>
      </c>
      <c r="D2918" s="226">
        <v>0</v>
      </c>
      <c r="E2918" t="s">
        <v>673</v>
      </c>
    </row>
    <row r="2919" spans="1:5" hidden="1" x14ac:dyDescent="0.3">
      <c r="A2919" t="s">
        <v>552</v>
      </c>
      <c r="B2919" t="s">
        <v>672</v>
      </c>
      <c r="C2919" t="s">
        <v>111</v>
      </c>
      <c r="D2919" s="226">
        <v>-90634</v>
      </c>
      <c r="E2919" t="s">
        <v>673</v>
      </c>
    </row>
    <row r="2920" spans="1:5" hidden="1" x14ac:dyDescent="0.3">
      <c r="A2920" t="s">
        <v>552</v>
      </c>
      <c r="B2920" t="s">
        <v>672</v>
      </c>
      <c r="C2920" t="s">
        <v>555</v>
      </c>
      <c r="D2920" s="226">
        <v>-90634</v>
      </c>
      <c r="E2920" t="s">
        <v>673</v>
      </c>
    </row>
    <row r="2921" spans="1:5" hidden="1" x14ac:dyDescent="0.3">
      <c r="A2921" t="s">
        <v>552</v>
      </c>
      <c r="B2921" t="s">
        <v>672</v>
      </c>
      <c r="C2921" t="s">
        <v>44</v>
      </c>
      <c r="D2921" s="226">
        <v>-7.0000000000000007E-2</v>
      </c>
      <c r="E2921" t="s">
        <v>673</v>
      </c>
    </row>
    <row r="2922" spans="1:5" hidden="1" x14ac:dyDescent="0.3">
      <c r="A2922" t="s">
        <v>552</v>
      </c>
      <c r="B2922" t="s">
        <v>672</v>
      </c>
      <c r="C2922" t="s">
        <v>115</v>
      </c>
      <c r="D2922" s="226">
        <v>-20991.08</v>
      </c>
      <c r="E2922" t="s">
        <v>673</v>
      </c>
    </row>
    <row r="2923" spans="1:5" hidden="1" x14ac:dyDescent="0.3">
      <c r="A2923" t="s">
        <v>552</v>
      </c>
      <c r="B2923" t="s">
        <v>672</v>
      </c>
      <c r="C2923" t="s">
        <v>116</v>
      </c>
      <c r="D2923" s="226">
        <v>-14757.44</v>
      </c>
      <c r="E2923" t="s">
        <v>673</v>
      </c>
    </row>
    <row r="2924" spans="1:5" hidden="1" x14ac:dyDescent="0.3">
      <c r="A2924" t="s">
        <v>552</v>
      </c>
      <c r="B2924" t="s">
        <v>672</v>
      </c>
      <c r="C2924" t="s">
        <v>118</v>
      </c>
      <c r="D2924" s="226">
        <v>0</v>
      </c>
      <c r="E2924" t="s">
        <v>673</v>
      </c>
    </row>
    <row r="2925" spans="1:5" hidden="1" x14ac:dyDescent="0.3">
      <c r="A2925" t="s">
        <v>552</v>
      </c>
      <c r="B2925" t="s">
        <v>672</v>
      </c>
      <c r="C2925" t="s">
        <v>120</v>
      </c>
      <c r="D2925" s="226">
        <v>0</v>
      </c>
      <c r="E2925" t="s">
        <v>673</v>
      </c>
    </row>
    <row r="2926" spans="1:5" hidden="1" x14ac:dyDescent="0.3">
      <c r="A2926" t="s">
        <v>552</v>
      </c>
      <c r="B2926" t="s">
        <v>672</v>
      </c>
      <c r="C2926" t="s">
        <v>122</v>
      </c>
      <c r="D2926" s="226">
        <v>-6233.64</v>
      </c>
      <c r="E2926" t="s">
        <v>673</v>
      </c>
    </row>
    <row r="2927" spans="1:5" hidden="1" x14ac:dyDescent="0.3">
      <c r="A2927" t="s">
        <v>552</v>
      </c>
      <c r="B2927" t="s">
        <v>672</v>
      </c>
      <c r="C2927" t="s">
        <v>44</v>
      </c>
      <c r="D2927" s="226">
        <v>-0.02</v>
      </c>
      <c r="E2927" t="s">
        <v>673</v>
      </c>
    </row>
    <row r="2928" spans="1:5" hidden="1" x14ac:dyDescent="0.3">
      <c r="A2928" t="s">
        <v>552</v>
      </c>
      <c r="B2928" t="s">
        <v>672</v>
      </c>
      <c r="C2928" t="s">
        <v>125</v>
      </c>
      <c r="D2928" s="226">
        <v>680384.63</v>
      </c>
      <c r="E2928" t="s">
        <v>673</v>
      </c>
    </row>
    <row r="2929" spans="1:5" hidden="1" x14ac:dyDescent="0.3">
      <c r="A2929" t="s">
        <v>552</v>
      </c>
      <c r="B2929" t="s">
        <v>672</v>
      </c>
      <c r="C2929" t="s">
        <v>126</v>
      </c>
      <c r="D2929" s="226">
        <v>0.55000000000000004</v>
      </c>
      <c r="E2929" t="s">
        <v>673</v>
      </c>
    </row>
    <row r="2930" spans="1:5" hidden="1" x14ac:dyDescent="0.3">
      <c r="A2930" t="s">
        <v>552</v>
      </c>
      <c r="B2930" t="s">
        <v>672</v>
      </c>
      <c r="C2930" t="s">
        <v>127</v>
      </c>
      <c r="D2930" s="226">
        <v>-269343.28999999998</v>
      </c>
      <c r="E2930" t="s">
        <v>673</v>
      </c>
    </row>
    <row r="2931" spans="1:5" hidden="1" x14ac:dyDescent="0.3">
      <c r="A2931" t="s">
        <v>552</v>
      </c>
      <c r="B2931" t="s">
        <v>672</v>
      </c>
      <c r="C2931" t="s">
        <v>128</v>
      </c>
      <c r="D2931" s="226">
        <v>-48000.33</v>
      </c>
      <c r="E2931" t="s">
        <v>673</v>
      </c>
    </row>
    <row r="2932" spans="1:5" hidden="1" x14ac:dyDescent="0.3">
      <c r="A2932" t="s">
        <v>552</v>
      </c>
      <c r="B2932" t="s">
        <v>672</v>
      </c>
      <c r="C2932" t="s">
        <v>556</v>
      </c>
      <c r="D2932" s="226">
        <v>-11100.33</v>
      </c>
      <c r="E2932" t="s">
        <v>673</v>
      </c>
    </row>
    <row r="2933" spans="1:5" hidden="1" x14ac:dyDescent="0.3">
      <c r="A2933" t="s">
        <v>552</v>
      </c>
      <c r="B2933" t="s">
        <v>672</v>
      </c>
      <c r="C2933" t="s">
        <v>557</v>
      </c>
      <c r="D2933" s="226">
        <v>-6600</v>
      </c>
      <c r="E2933" t="s">
        <v>673</v>
      </c>
    </row>
    <row r="2934" spans="1:5" hidden="1" x14ac:dyDescent="0.3">
      <c r="A2934" t="s">
        <v>552</v>
      </c>
      <c r="B2934" t="s">
        <v>672</v>
      </c>
      <c r="C2934" t="s">
        <v>558</v>
      </c>
      <c r="D2934" s="226">
        <v>0</v>
      </c>
      <c r="E2934" t="s">
        <v>673</v>
      </c>
    </row>
    <row r="2935" spans="1:5" hidden="1" x14ac:dyDescent="0.3">
      <c r="A2935" t="s">
        <v>552</v>
      </c>
      <c r="B2935" t="s">
        <v>672</v>
      </c>
      <c r="C2935" t="s">
        <v>559</v>
      </c>
      <c r="D2935" s="226">
        <v>-16800</v>
      </c>
      <c r="E2935" t="s">
        <v>673</v>
      </c>
    </row>
    <row r="2936" spans="1:5" hidden="1" x14ac:dyDescent="0.3">
      <c r="A2936" t="s">
        <v>552</v>
      </c>
      <c r="B2936" t="s">
        <v>672</v>
      </c>
      <c r="C2936" t="s">
        <v>560</v>
      </c>
      <c r="D2936" s="226">
        <v>-2500</v>
      </c>
      <c r="E2936" t="s">
        <v>673</v>
      </c>
    </row>
    <row r="2937" spans="1:5" hidden="1" x14ac:dyDescent="0.3">
      <c r="A2937" t="s">
        <v>552</v>
      </c>
      <c r="B2937" t="s">
        <v>672</v>
      </c>
      <c r="C2937" t="s">
        <v>561</v>
      </c>
      <c r="D2937" s="226">
        <v>-7000</v>
      </c>
      <c r="E2937" t="s">
        <v>673</v>
      </c>
    </row>
    <row r="2938" spans="1:5" hidden="1" x14ac:dyDescent="0.3">
      <c r="A2938" t="s">
        <v>552</v>
      </c>
      <c r="B2938" t="s">
        <v>672</v>
      </c>
      <c r="C2938" t="s">
        <v>562</v>
      </c>
      <c r="D2938" s="226">
        <v>-4000</v>
      </c>
      <c r="E2938" t="s">
        <v>673</v>
      </c>
    </row>
    <row r="2939" spans="1:5" hidden="1" x14ac:dyDescent="0.3">
      <c r="A2939" t="s">
        <v>552</v>
      </c>
      <c r="B2939" t="s">
        <v>672</v>
      </c>
      <c r="C2939" t="s">
        <v>563</v>
      </c>
      <c r="D2939" s="226">
        <v>0</v>
      </c>
      <c r="E2939" t="s">
        <v>673</v>
      </c>
    </row>
    <row r="2940" spans="1:5" hidden="1" x14ac:dyDescent="0.3">
      <c r="A2940" t="s">
        <v>552</v>
      </c>
      <c r="B2940" t="s">
        <v>672</v>
      </c>
      <c r="C2940" t="s">
        <v>564</v>
      </c>
      <c r="D2940" s="226">
        <v>0</v>
      </c>
      <c r="E2940" t="s">
        <v>673</v>
      </c>
    </row>
    <row r="2941" spans="1:5" hidden="1" x14ac:dyDescent="0.3">
      <c r="A2941" t="s">
        <v>552</v>
      </c>
      <c r="B2941" t="s">
        <v>672</v>
      </c>
      <c r="C2941" t="s">
        <v>565</v>
      </c>
      <c r="D2941" s="226">
        <v>0</v>
      </c>
      <c r="E2941" t="s">
        <v>673</v>
      </c>
    </row>
    <row r="2942" spans="1:5" hidden="1" x14ac:dyDescent="0.3">
      <c r="A2942" t="s">
        <v>552</v>
      </c>
      <c r="B2942" t="s">
        <v>672</v>
      </c>
      <c r="C2942" t="s">
        <v>566</v>
      </c>
      <c r="D2942" s="226">
        <v>0</v>
      </c>
      <c r="E2942" t="s">
        <v>673</v>
      </c>
    </row>
    <row r="2943" spans="1:5" hidden="1" x14ac:dyDescent="0.3">
      <c r="A2943" t="s">
        <v>552</v>
      </c>
      <c r="B2943" t="s">
        <v>672</v>
      </c>
      <c r="C2943" t="s">
        <v>567</v>
      </c>
      <c r="D2943" s="226">
        <v>0</v>
      </c>
      <c r="E2943" t="s">
        <v>673</v>
      </c>
    </row>
    <row r="2944" spans="1:5" hidden="1" x14ac:dyDescent="0.3">
      <c r="A2944" t="s">
        <v>552</v>
      </c>
      <c r="B2944" t="s">
        <v>672</v>
      </c>
      <c r="C2944" t="s">
        <v>141</v>
      </c>
      <c r="D2944" s="226">
        <v>-69731.37</v>
      </c>
      <c r="E2944" t="s">
        <v>673</v>
      </c>
    </row>
    <row r="2945" spans="1:5" hidden="1" x14ac:dyDescent="0.3">
      <c r="A2945" t="s">
        <v>552</v>
      </c>
      <c r="B2945" t="s">
        <v>672</v>
      </c>
      <c r="C2945" t="s">
        <v>568</v>
      </c>
      <c r="D2945" s="226">
        <v>0</v>
      </c>
      <c r="E2945" t="s">
        <v>673</v>
      </c>
    </row>
    <row r="2946" spans="1:5" hidden="1" x14ac:dyDescent="0.3">
      <c r="A2946" t="s">
        <v>552</v>
      </c>
      <c r="B2946" t="s">
        <v>672</v>
      </c>
      <c r="C2946" t="s">
        <v>569</v>
      </c>
      <c r="D2946" s="226">
        <v>-1955.06</v>
      </c>
      <c r="E2946" t="s">
        <v>673</v>
      </c>
    </row>
    <row r="2947" spans="1:5" hidden="1" x14ac:dyDescent="0.3">
      <c r="A2947" t="s">
        <v>552</v>
      </c>
      <c r="B2947" t="s">
        <v>672</v>
      </c>
      <c r="C2947" t="s">
        <v>570</v>
      </c>
      <c r="D2947" s="226">
        <v>0</v>
      </c>
      <c r="E2947" t="s">
        <v>673</v>
      </c>
    </row>
    <row r="2948" spans="1:5" hidden="1" x14ac:dyDescent="0.3">
      <c r="A2948" t="s">
        <v>552</v>
      </c>
      <c r="B2948" t="s">
        <v>672</v>
      </c>
      <c r="C2948" t="s">
        <v>571</v>
      </c>
      <c r="D2948" s="226">
        <v>-2594.7800000000002</v>
      </c>
      <c r="E2948" t="s">
        <v>673</v>
      </c>
    </row>
    <row r="2949" spans="1:5" hidden="1" x14ac:dyDescent="0.3">
      <c r="A2949" t="s">
        <v>552</v>
      </c>
      <c r="B2949" t="s">
        <v>672</v>
      </c>
      <c r="C2949" t="s">
        <v>572</v>
      </c>
      <c r="D2949" s="226">
        <v>0</v>
      </c>
      <c r="E2949" t="s">
        <v>673</v>
      </c>
    </row>
    <row r="2950" spans="1:5" hidden="1" x14ac:dyDescent="0.3">
      <c r="A2950" t="s">
        <v>552</v>
      </c>
      <c r="B2950" t="s">
        <v>672</v>
      </c>
      <c r="C2950" t="s">
        <v>573</v>
      </c>
      <c r="D2950" s="226">
        <v>-2357.58</v>
      </c>
      <c r="E2950" t="s">
        <v>673</v>
      </c>
    </row>
    <row r="2951" spans="1:5" hidden="1" x14ac:dyDescent="0.3">
      <c r="A2951" t="s">
        <v>552</v>
      </c>
      <c r="B2951" t="s">
        <v>672</v>
      </c>
      <c r="C2951" t="s">
        <v>574</v>
      </c>
      <c r="D2951" s="226">
        <v>-3854.82</v>
      </c>
      <c r="E2951" t="s">
        <v>673</v>
      </c>
    </row>
    <row r="2952" spans="1:5" hidden="1" x14ac:dyDescent="0.3">
      <c r="A2952" t="s">
        <v>552</v>
      </c>
      <c r="B2952" t="s">
        <v>672</v>
      </c>
      <c r="C2952" t="s">
        <v>575</v>
      </c>
      <c r="D2952" s="226">
        <v>0</v>
      </c>
      <c r="E2952" t="s">
        <v>673</v>
      </c>
    </row>
    <row r="2953" spans="1:5" hidden="1" x14ac:dyDescent="0.3">
      <c r="A2953" t="s">
        <v>552</v>
      </c>
      <c r="B2953" t="s">
        <v>672</v>
      </c>
      <c r="C2953" t="s">
        <v>576</v>
      </c>
      <c r="D2953" s="226">
        <v>-3427.31</v>
      </c>
      <c r="E2953" t="s">
        <v>673</v>
      </c>
    </row>
    <row r="2954" spans="1:5" hidden="1" x14ac:dyDescent="0.3">
      <c r="A2954" t="s">
        <v>552</v>
      </c>
      <c r="B2954" t="s">
        <v>672</v>
      </c>
      <c r="C2954" t="s">
        <v>577</v>
      </c>
      <c r="D2954" s="226">
        <v>-2591.7800000000002</v>
      </c>
      <c r="E2954" t="s">
        <v>673</v>
      </c>
    </row>
    <row r="2955" spans="1:5" hidden="1" x14ac:dyDescent="0.3">
      <c r="A2955" t="s">
        <v>552</v>
      </c>
      <c r="B2955" t="s">
        <v>672</v>
      </c>
      <c r="C2955" t="s">
        <v>578</v>
      </c>
      <c r="D2955" s="226">
        <v>-2356.58</v>
      </c>
      <c r="E2955" t="s">
        <v>673</v>
      </c>
    </row>
    <row r="2956" spans="1:5" hidden="1" x14ac:dyDescent="0.3">
      <c r="A2956" t="s">
        <v>552</v>
      </c>
      <c r="B2956" t="s">
        <v>672</v>
      </c>
      <c r="C2956" t="s">
        <v>579</v>
      </c>
      <c r="D2956" s="226">
        <v>0</v>
      </c>
      <c r="E2956" t="s">
        <v>673</v>
      </c>
    </row>
    <row r="2957" spans="1:5" hidden="1" x14ac:dyDescent="0.3">
      <c r="A2957" t="s">
        <v>552</v>
      </c>
      <c r="B2957" t="s">
        <v>672</v>
      </c>
      <c r="C2957" t="s">
        <v>580</v>
      </c>
      <c r="D2957" s="226">
        <v>0</v>
      </c>
      <c r="E2957" t="s">
        <v>673</v>
      </c>
    </row>
    <row r="2958" spans="1:5" hidden="1" x14ac:dyDescent="0.3">
      <c r="A2958" t="s">
        <v>552</v>
      </c>
      <c r="B2958" t="s">
        <v>672</v>
      </c>
      <c r="C2958" t="s">
        <v>581</v>
      </c>
      <c r="D2958" s="226">
        <v>0</v>
      </c>
      <c r="E2958" t="s">
        <v>673</v>
      </c>
    </row>
    <row r="2959" spans="1:5" hidden="1" x14ac:dyDescent="0.3">
      <c r="A2959" t="s">
        <v>552</v>
      </c>
      <c r="B2959" t="s">
        <v>672</v>
      </c>
      <c r="C2959" t="s">
        <v>582</v>
      </c>
      <c r="D2959" s="226">
        <v>0</v>
      </c>
      <c r="E2959" t="s">
        <v>673</v>
      </c>
    </row>
    <row r="2960" spans="1:5" hidden="1" x14ac:dyDescent="0.3">
      <c r="A2960" t="s">
        <v>552</v>
      </c>
      <c r="B2960" t="s">
        <v>672</v>
      </c>
      <c r="C2960" t="s">
        <v>583</v>
      </c>
      <c r="D2960" s="226">
        <v>0</v>
      </c>
      <c r="E2960" t="s">
        <v>673</v>
      </c>
    </row>
    <row r="2961" spans="1:5" hidden="1" x14ac:dyDescent="0.3">
      <c r="A2961" t="s">
        <v>552</v>
      </c>
      <c r="B2961" t="s">
        <v>672</v>
      </c>
      <c r="C2961" t="s">
        <v>584</v>
      </c>
      <c r="D2961" s="226">
        <v>0</v>
      </c>
      <c r="E2961" t="s">
        <v>673</v>
      </c>
    </row>
    <row r="2962" spans="1:5" hidden="1" x14ac:dyDescent="0.3">
      <c r="A2962" t="s">
        <v>552</v>
      </c>
      <c r="B2962" t="s">
        <v>672</v>
      </c>
      <c r="C2962" t="s">
        <v>585</v>
      </c>
      <c r="D2962" s="226">
        <v>0</v>
      </c>
      <c r="E2962" t="s">
        <v>673</v>
      </c>
    </row>
    <row r="2963" spans="1:5" hidden="1" x14ac:dyDescent="0.3">
      <c r="A2963" t="s">
        <v>552</v>
      </c>
      <c r="B2963" t="s">
        <v>672</v>
      </c>
      <c r="C2963" t="s">
        <v>586</v>
      </c>
      <c r="D2963" s="226">
        <v>-3941.38</v>
      </c>
      <c r="E2963" t="s">
        <v>673</v>
      </c>
    </row>
    <row r="2964" spans="1:5" hidden="1" x14ac:dyDescent="0.3">
      <c r="A2964" t="s">
        <v>552</v>
      </c>
      <c r="B2964" t="s">
        <v>672</v>
      </c>
      <c r="C2964" t="s">
        <v>587</v>
      </c>
      <c r="D2964" s="226">
        <v>0</v>
      </c>
      <c r="E2964" t="s">
        <v>673</v>
      </c>
    </row>
    <row r="2965" spans="1:5" hidden="1" x14ac:dyDescent="0.3">
      <c r="A2965" t="s">
        <v>552</v>
      </c>
      <c r="B2965" t="s">
        <v>672</v>
      </c>
      <c r="C2965" t="s">
        <v>588</v>
      </c>
      <c r="D2965" s="226">
        <v>0</v>
      </c>
      <c r="E2965" t="s">
        <v>673</v>
      </c>
    </row>
    <row r="2966" spans="1:5" hidden="1" x14ac:dyDescent="0.3">
      <c r="A2966" t="s">
        <v>552</v>
      </c>
      <c r="B2966" t="s">
        <v>672</v>
      </c>
      <c r="C2966" t="s">
        <v>589</v>
      </c>
      <c r="D2966" s="226">
        <v>-2592.44</v>
      </c>
      <c r="E2966" t="s">
        <v>673</v>
      </c>
    </row>
    <row r="2967" spans="1:5" hidden="1" x14ac:dyDescent="0.3">
      <c r="A2967" t="s">
        <v>552</v>
      </c>
      <c r="B2967" t="s">
        <v>672</v>
      </c>
      <c r="C2967" t="s">
        <v>590</v>
      </c>
      <c r="D2967" s="226">
        <v>-2358.58</v>
      </c>
      <c r="E2967" t="s">
        <v>673</v>
      </c>
    </row>
    <row r="2968" spans="1:5" hidden="1" x14ac:dyDescent="0.3">
      <c r="A2968" t="s">
        <v>552</v>
      </c>
      <c r="B2968" t="s">
        <v>672</v>
      </c>
      <c r="C2968" t="s">
        <v>591</v>
      </c>
      <c r="D2968" s="226">
        <v>0</v>
      </c>
      <c r="E2968" t="s">
        <v>673</v>
      </c>
    </row>
    <row r="2969" spans="1:5" hidden="1" x14ac:dyDescent="0.3">
      <c r="A2969" t="s">
        <v>552</v>
      </c>
      <c r="B2969" t="s">
        <v>672</v>
      </c>
      <c r="C2969" t="s">
        <v>592</v>
      </c>
      <c r="D2969" s="226">
        <v>-2265.94</v>
      </c>
      <c r="E2969" t="s">
        <v>673</v>
      </c>
    </row>
    <row r="2970" spans="1:5" hidden="1" x14ac:dyDescent="0.3">
      <c r="A2970" t="s">
        <v>552</v>
      </c>
      <c r="B2970" t="s">
        <v>672</v>
      </c>
      <c r="C2970" t="s">
        <v>593</v>
      </c>
      <c r="D2970" s="226">
        <v>0</v>
      </c>
      <c r="E2970" t="s">
        <v>673</v>
      </c>
    </row>
    <row r="2971" spans="1:5" hidden="1" x14ac:dyDescent="0.3">
      <c r="A2971" t="s">
        <v>552</v>
      </c>
      <c r="B2971" t="s">
        <v>672</v>
      </c>
      <c r="C2971" t="s">
        <v>594</v>
      </c>
      <c r="D2971" s="226">
        <v>0</v>
      </c>
      <c r="E2971" t="s">
        <v>673</v>
      </c>
    </row>
    <row r="2972" spans="1:5" hidden="1" x14ac:dyDescent="0.3">
      <c r="A2972" t="s">
        <v>552</v>
      </c>
      <c r="B2972" t="s">
        <v>672</v>
      </c>
      <c r="C2972" t="s">
        <v>595</v>
      </c>
      <c r="D2972" s="226">
        <v>0</v>
      </c>
      <c r="E2972" t="s">
        <v>673</v>
      </c>
    </row>
    <row r="2973" spans="1:5" hidden="1" x14ac:dyDescent="0.3">
      <c r="A2973" t="s">
        <v>552</v>
      </c>
      <c r="B2973" t="s">
        <v>672</v>
      </c>
      <c r="C2973" t="s">
        <v>596</v>
      </c>
      <c r="D2973" s="226">
        <v>0</v>
      </c>
      <c r="E2973" t="s">
        <v>673</v>
      </c>
    </row>
    <row r="2974" spans="1:5" hidden="1" x14ac:dyDescent="0.3">
      <c r="A2974" t="s">
        <v>552</v>
      </c>
      <c r="B2974" t="s">
        <v>672</v>
      </c>
      <c r="C2974" t="s">
        <v>597</v>
      </c>
      <c r="D2974" s="226">
        <v>-2356.58</v>
      </c>
      <c r="E2974" t="s">
        <v>673</v>
      </c>
    </row>
    <row r="2975" spans="1:5" hidden="1" x14ac:dyDescent="0.3">
      <c r="A2975" t="s">
        <v>552</v>
      </c>
      <c r="B2975" t="s">
        <v>672</v>
      </c>
      <c r="C2975" t="s">
        <v>598</v>
      </c>
      <c r="D2975" s="226">
        <v>-2590.44</v>
      </c>
      <c r="E2975" t="s">
        <v>673</v>
      </c>
    </row>
    <row r="2976" spans="1:5" hidden="1" x14ac:dyDescent="0.3">
      <c r="A2976" t="s">
        <v>552</v>
      </c>
      <c r="B2976" t="s">
        <v>672</v>
      </c>
      <c r="C2976" t="s">
        <v>599</v>
      </c>
      <c r="D2976" s="226">
        <v>-2356.58</v>
      </c>
      <c r="E2976" t="s">
        <v>673</v>
      </c>
    </row>
    <row r="2977" spans="1:5" hidden="1" x14ac:dyDescent="0.3">
      <c r="A2977" t="s">
        <v>552</v>
      </c>
      <c r="B2977" t="s">
        <v>672</v>
      </c>
      <c r="C2977" t="s">
        <v>600</v>
      </c>
      <c r="D2977" s="226">
        <v>0</v>
      </c>
      <c r="E2977" t="s">
        <v>673</v>
      </c>
    </row>
    <row r="2978" spans="1:5" hidden="1" x14ac:dyDescent="0.3">
      <c r="A2978" t="s">
        <v>552</v>
      </c>
      <c r="B2978" t="s">
        <v>672</v>
      </c>
      <c r="C2978" t="s">
        <v>601</v>
      </c>
      <c r="D2978" s="226">
        <v>0</v>
      </c>
      <c r="E2978" t="s">
        <v>673</v>
      </c>
    </row>
    <row r="2979" spans="1:5" hidden="1" x14ac:dyDescent="0.3">
      <c r="A2979" t="s">
        <v>552</v>
      </c>
      <c r="B2979" t="s">
        <v>672</v>
      </c>
      <c r="C2979" t="s">
        <v>602</v>
      </c>
      <c r="D2979" s="226">
        <v>0</v>
      </c>
      <c r="E2979" t="s">
        <v>673</v>
      </c>
    </row>
    <row r="2980" spans="1:5" hidden="1" x14ac:dyDescent="0.3">
      <c r="A2980" t="s">
        <v>552</v>
      </c>
      <c r="B2980" t="s">
        <v>672</v>
      </c>
      <c r="C2980" t="s">
        <v>603</v>
      </c>
      <c r="D2980" s="226">
        <v>0</v>
      </c>
      <c r="E2980" t="s">
        <v>673</v>
      </c>
    </row>
    <row r="2981" spans="1:5" hidden="1" x14ac:dyDescent="0.3">
      <c r="A2981" t="s">
        <v>552</v>
      </c>
      <c r="B2981" t="s">
        <v>672</v>
      </c>
      <c r="C2981" t="s">
        <v>604</v>
      </c>
      <c r="D2981" s="226">
        <v>-2357.58</v>
      </c>
      <c r="E2981" t="s">
        <v>673</v>
      </c>
    </row>
    <row r="2982" spans="1:5" hidden="1" x14ac:dyDescent="0.3">
      <c r="A2982" t="s">
        <v>552</v>
      </c>
      <c r="B2982" t="s">
        <v>672</v>
      </c>
      <c r="C2982" t="s">
        <v>605</v>
      </c>
      <c r="D2982" s="226">
        <v>0</v>
      </c>
      <c r="E2982" t="s">
        <v>673</v>
      </c>
    </row>
    <row r="2983" spans="1:5" hidden="1" x14ac:dyDescent="0.3">
      <c r="A2983" t="s">
        <v>552</v>
      </c>
      <c r="B2983" t="s">
        <v>672</v>
      </c>
      <c r="C2983" t="s">
        <v>606</v>
      </c>
      <c r="D2983" s="226">
        <v>0</v>
      </c>
      <c r="E2983" t="s">
        <v>673</v>
      </c>
    </row>
    <row r="2984" spans="1:5" hidden="1" x14ac:dyDescent="0.3">
      <c r="A2984" t="s">
        <v>552</v>
      </c>
      <c r="B2984" t="s">
        <v>672</v>
      </c>
      <c r="C2984" t="s">
        <v>607</v>
      </c>
      <c r="D2984" s="226">
        <v>0</v>
      </c>
      <c r="E2984" t="s">
        <v>673</v>
      </c>
    </row>
    <row r="2985" spans="1:5" hidden="1" x14ac:dyDescent="0.3">
      <c r="A2985" t="s">
        <v>552</v>
      </c>
      <c r="B2985" t="s">
        <v>672</v>
      </c>
      <c r="C2985" t="s">
        <v>608</v>
      </c>
      <c r="D2985" s="226">
        <v>0</v>
      </c>
      <c r="E2985" t="s">
        <v>673</v>
      </c>
    </row>
    <row r="2986" spans="1:5" hidden="1" x14ac:dyDescent="0.3">
      <c r="A2986" t="s">
        <v>552</v>
      </c>
      <c r="B2986" t="s">
        <v>672</v>
      </c>
      <c r="C2986" t="s">
        <v>609</v>
      </c>
      <c r="D2986" s="226">
        <v>0</v>
      </c>
      <c r="E2986" t="s">
        <v>673</v>
      </c>
    </row>
    <row r="2987" spans="1:5" hidden="1" x14ac:dyDescent="0.3">
      <c r="A2987" t="s">
        <v>552</v>
      </c>
      <c r="B2987" t="s">
        <v>672</v>
      </c>
      <c r="C2987" t="s">
        <v>610</v>
      </c>
      <c r="D2987" s="226">
        <v>0</v>
      </c>
      <c r="E2987" t="s">
        <v>673</v>
      </c>
    </row>
    <row r="2988" spans="1:5" hidden="1" x14ac:dyDescent="0.3">
      <c r="A2988" t="s">
        <v>552</v>
      </c>
      <c r="B2988" t="s">
        <v>672</v>
      </c>
      <c r="C2988" t="s">
        <v>611</v>
      </c>
      <c r="D2988" s="226">
        <v>0</v>
      </c>
      <c r="E2988" t="s">
        <v>673</v>
      </c>
    </row>
    <row r="2989" spans="1:5" hidden="1" x14ac:dyDescent="0.3">
      <c r="A2989" t="s">
        <v>552</v>
      </c>
      <c r="B2989" t="s">
        <v>672</v>
      </c>
      <c r="C2989" t="s">
        <v>612</v>
      </c>
      <c r="D2989" s="226">
        <v>0</v>
      </c>
      <c r="E2989" t="s">
        <v>673</v>
      </c>
    </row>
    <row r="2990" spans="1:5" hidden="1" x14ac:dyDescent="0.3">
      <c r="A2990" t="s">
        <v>552</v>
      </c>
      <c r="B2990" t="s">
        <v>672</v>
      </c>
      <c r="C2990" t="s">
        <v>613</v>
      </c>
      <c r="D2990" s="226">
        <v>0</v>
      </c>
      <c r="E2990" t="s">
        <v>673</v>
      </c>
    </row>
    <row r="2991" spans="1:5" hidden="1" x14ac:dyDescent="0.3">
      <c r="A2991" t="s">
        <v>552</v>
      </c>
      <c r="B2991" t="s">
        <v>672</v>
      </c>
      <c r="C2991" t="s">
        <v>614</v>
      </c>
      <c r="D2991" s="226">
        <v>0</v>
      </c>
      <c r="E2991" t="s">
        <v>673</v>
      </c>
    </row>
    <row r="2992" spans="1:5" hidden="1" x14ac:dyDescent="0.3">
      <c r="A2992" t="s">
        <v>552</v>
      </c>
      <c r="B2992" t="s">
        <v>672</v>
      </c>
      <c r="C2992" t="s">
        <v>615</v>
      </c>
      <c r="D2992" s="226">
        <v>0</v>
      </c>
      <c r="E2992" t="s">
        <v>673</v>
      </c>
    </row>
    <row r="2993" spans="1:5" hidden="1" x14ac:dyDescent="0.3">
      <c r="A2993" t="s">
        <v>552</v>
      </c>
      <c r="B2993" t="s">
        <v>672</v>
      </c>
      <c r="C2993" t="s">
        <v>616</v>
      </c>
      <c r="D2993" s="226">
        <v>0</v>
      </c>
      <c r="E2993" t="s">
        <v>673</v>
      </c>
    </row>
    <row r="2994" spans="1:5" hidden="1" x14ac:dyDescent="0.3">
      <c r="A2994" t="s">
        <v>552</v>
      </c>
      <c r="B2994" t="s">
        <v>672</v>
      </c>
      <c r="C2994" t="s">
        <v>617</v>
      </c>
      <c r="D2994" s="226">
        <v>0</v>
      </c>
      <c r="E2994" t="s">
        <v>673</v>
      </c>
    </row>
    <row r="2995" spans="1:5" hidden="1" x14ac:dyDescent="0.3">
      <c r="A2995" t="s">
        <v>552</v>
      </c>
      <c r="B2995" t="s">
        <v>672</v>
      </c>
      <c r="C2995" t="s">
        <v>618</v>
      </c>
      <c r="D2995" s="226">
        <v>0</v>
      </c>
      <c r="E2995" t="s">
        <v>673</v>
      </c>
    </row>
    <row r="2996" spans="1:5" hidden="1" x14ac:dyDescent="0.3">
      <c r="A2996" t="s">
        <v>552</v>
      </c>
      <c r="B2996" t="s">
        <v>672</v>
      </c>
      <c r="C2996" t="s">
        <v>619</v>
      </c>
      <c r="D2996" s="226">
        <v>-3469.34</v>
      </c>
      <c r="E2996" t="s">
        <v>673</v>
      </c>
    </row>
    <row r="2997" spans="1:5" hidden="1" x14ac:dyDescent="0.3">
      <c r="A2997" t="s">
        <v>552</v>
      </c>
      <c r="B2997" t="s">
        <v>672</v>
      </c>
      <c r="C2997" t="s">
        <v>620</v>
      </c>
      <c r="D2997" s="226">
        <v>-2680.85</v>
      </c>
      <c r="E2997" t="s">
        <v>673</v>
      </c>
    </row>
    <row r="2998" spans="1:5" hidden="1" x14ac:dyDescent="0.3">
      <c r="A2998" t="s">
        <v>552</v>
      </c>
      <c r="B2998" t="s">
        <v>672</v>
      </c>
      <c r="C2998" t="s">
        <v>621</v>
      </c>
      <c r="D2998" s="226">
        <v>-3212.35</v>
      </c>
      <c r="E2998" t="s">
        <v>673</v>
      </c>
    </row>
    <row r="2999" spans="1:5" hidden="1" x14ac:dyDescent="0.3">
      <c r="A2999" t="s">
        <v>552</v>
      </c>
      <c r="B2999" t="s">
        <v>672</v>
      </c>
      <c r="C2999" t="s">
        <v>622</v>
      </c>
      <c r="D2999" s="226">
        <v>0</v>
      </c>
      <c r="E2999" t="s">
        <v>673</v>
      </c>
    </row>
    <row r="3000" spans="1:5" hidden="1" x14ac:dyDescent="0.3">
      <c r="A3000" t="s">
        <v>552</v>
      </c>
      <c r="B3000" t="s">
        <v>672</v>
      </c>
      <c r="C3000" t="s">
        <v>623</v>
      </c>
      <c r="D3000" s="226">
        <v>0</v>
      </c>
      <c r="E3000" t="s">
        <v>673</v>
      </c>
    </row>
    <row r="3001" spans="1:5" hidden="1" x14ac:dyDescent="0.3">
      <c r="A3001" t="s">
        <v>552</v>
      </c>
      <c r="B3001" t="s">
        <v>672</v>
      </c>
      <c r="C3001" t="s">
        <v>624</v>
      </c>
      <c r="D3001" s="226">
        <v>-2451.67</v>
      </c>
      <c r="E3001" t="s">
        <v>673</v>
      </c>
    </row>
    <row r="3002" spans="1:5" hidden="1" x14ac:dyDescent="0.3">
      <c r="A3002" t="s">
        <v>552</v>
      </c>
      <c r="B3002" t="s">
        <v>672</v>
      </c>
      <c r="C3002" t="s">
        <v>200</v>
      </c>
      <c r="D3002" s="226">
        <v>-75189.460000000006</v>
      </c>
      <c r="E3002" t="s">
        <v>673</v>
      </c>
    </row>
    <row r="3003" spans="1:5" hidden="1" x14ac:dyDescent="0.3">
      <c r="A3003" t="s">
        <v>552</v>
      </c>
      <c r="B3003" t="s">
        <v>672</v>
      </c>
      <c r="C3003" t="s">
        <v>202</v>
      </c>
      <c r="D3003" s="226">
        <v>-75189.460000000006</v>
      </c>
      <c r="E3003" t="s">
        <v>673</v>
      </c>
    </row>
    <row r="3004" spans="1:5" hidden="1" x14ac:dyDescent="0.3">
      <c r="A3004" t="s">
        <v>552</v>
      </c>
      <c r="B3004" t="s">
        <v>672</v>
      </c>
      <c r="C3004" t="s">
        <v>625</v>
      </c>
      <c r="D3004" s="226">
        <v>37594.730000000003</v>
      </c>
      <c r="E3004" t="s">
        <v>673</v>
      </c>
    </row>
    <row r="3005" spans="1:5" hidden="1" x14ac:dyDescent="0.3">
      <c r="A3005" t="s">
        <v>552</v>
      </c>
      <c r="B3005" t="s">
        <v>672</v>
      </c>
      <c r="C3005" t="s">
        <v>204</v>
      </c>
      <c r="D3005" s="226">
        <v>-36931.29</v>
      </c>
      <c r="E3005" t="s">
        <v>673</v>
      </c>
    </row>
    <row r="3006" spans="1:5" hidden="1" x14ac:dyDescent="0.3">
      <c r="A3006" t="s">
        <v>552</v>
      </c>
      <c r="B3006" t="s">
        <v>672</v>
      </c>
      <c r="C3006" t="s">
        <v>626</v>
      </c>
      <c r="D3006" s="226">
        <v>-6474.69</v>
      </c>
      <c r="E3006" t="s">
        <v>673</v>
      </c>
    </row>
    <row r="3007" spans="1:5" hidden="1" x14ac:dyDescent="0.3">
      <c r="A3007" t="s">
        <v>552</v>
      </c>
      <c r="B3007" t="s">
        <v>672</v>
      </c>
      <c r="C3007" t="s">
        <v>627</v>
      </c>
      <c r="D3007" s="226">
        <v>0</v>
      </c>
      <c r="E3007" t="s">
        <v>673</v>
      </c>
    </row>
    <row r="3008" spans="1:5" hidden="1" x14ac:dyDescent="0.3">
      <c r="A3008" t="s">
        <v>552</v>
      </c>
      <c r="B3008" t="s">
        <v>672</v>
      </c>
      <c r="C3008" t="s">
        <v>628</v>
      </c>
      <c r="D3008" s="226">
        <v>0</v>
      </c>
      <c r="E3008" t="s">
        <v>673</v>
      </c>
    </row>
    <row r="3009" spans="1:5" hidden="1" x14ac:dyDescent="0.3">
      <c r="A3009" t="s">
        <v>552</v>
      </c>
      <c r="B3009" t="s">
        <v>672</v>
      </c>
      <c r="C3009" t="s">
        <v>629</v>
      </c>
      <c r="D3009" s="226">
        <v>-11234.93</v>
      </c>
      <c r="E3009" t="s">
        <v>673</v>
      </c>
    </row>
    <row r="3010" spans="1:5" hidden="1" x14ac:dyDescent="0.3">
      <c r="A3010" t="s">
        <v>552</v>
      </c>
      <c r="B3010" t="s">
        <v>672</v>
      </c>
      <c r="C3010" t="s">
        <v>630</v>
      </c>
      <c r="D3010" s="226">
        <v>0</v>
      </c>
      <c r="E3010" t="s">
        <v>673</v>
      </c>
    </row>
    <row r="3011" spans="1:5" hidden="1" x14ac:dyDescent="0.3">
      <c r="A3011" t="s">
        <v>552</v>
      </c>
      <c r="B3011" t="s">
        <v>672</v>
      </c>
      <c r="C3011" t="s">
        <v>631</v>
      </c>
      <c r="D3011" s="226">
        <v>-3785.39</v>
      </c>
      <c r="E3011" t="s">
        <v>673</v>
      </c>
    </row>
    <row r="3012" spans="1:5" hidden="1" x14ac:dyDescent="0.3">
      <c r="A3012" t="s">
        <v>552</v>
      </c>
      <c r="B3012" t="s">
        <v>672</v>
      </c>
      <c r="C3012" t="s">
        <v>632</v>
      </c>
      <c r="D3012" s="226">
        <v>-1131.58</v>
      </c>
      <c r="E3012" t="s">
        <v>673</v>
      </c>
    </row>
    <row r="3013" spans="1:5" hidden="1" x14ac:dyDescent="0.3">
      <c r="A3013" t="s">
        <v>552</v>
      </c>
      <c r="B3013" t="s">
        <v>672</v>
      </c>
      <c r="C3013" t="s">
        <v>633</v>
      </c>
      <c r="D3013" s="226">
        <v>0</v>
      </c>
      <c r="E3013" t="s">
        <v>673</v>
      </c>
    </row>
    <row r="3014" spans="1:5" hidden="1" x14ac:dyDescent="0.3">
      <c r="A3014" t="s">
        <v>552</v>
      </c>
      <c r="B3014" t="s">
        <v>672</v>
      </c>
      <c r="C3014" t="s">
        <v>634</v>
      </c>
      <c r="D3014" s="226">
        <v>0</v>
      </c>
      <c r="E3014" t="s">
        <v>673</v>
      </c>
    </row>
    <row r="3015" spans="1:5" hidden="1" x14ac:dyDescent="0.3">
      <c r="A3015" t="s">
        <v>552</v>
      </c>
      <c r="B3015" t="s">
        <v>672</v>
      </c>
      <c r="C3015" t="s">
        <v>635</v>
      </c>
      <c r="D3015" s="226">
        <v>0</v>
      </c>
      <c r="E3015" t="s">
        <v>673</v>
      </c>
    </row>
    <row r="3016" spans="1:5" hidden="1" x14ac:dyDescent="0.3">
      <c r="A3016" t="s">
        <v>552</v>
      </c>
      <c r="B3016" t="s">
        <v>672</v>
      </c>
      <c r="C3016" t="s">
        <v>636</v>
      </c>
      <c r="D3016" s="226">
        <v>0</v>
      </c>
      <c r="E3016" t="s">
        <v>673</v>
      </c>
    </row>
    <row r="3017" spans="1:5" hidden="1" x14ac:dyDescent="0.3">
      <c r="A3017" t="s">
        <v>552</v>
      </c>
      <c r="B3017" t="s">
        <v>672</v>
      </c>
      <c r="C3017" t="s">
        <v>637</v>
      </c>
      <c r="D3017" s="226">
        <v>-10500</v>
      </c>
      <c r="E3017" t="s">
        <v>673</v>
      </c>
    </row>
    <row r="3018" spans="1:5" hidden="1" x14ac:dyDescent="0.3">
      <c r="A3018" t="s">
        <v>552</v>
      </c>
      <c r="B3018" t="s">
        <v>672</v>
      </c>
      <c r="C3018" t="s">
        <v>638</v>
      </c>
      <c r="D3018" s="226">
        <v>0</v>
      </c>
      <c r="E3018" t="s">
        <v>673</v>
      </c>
    </row>
    <row r="3019" spans="1:5" hidden="1" x14ac:dyDescent="0.3">
      <c r="A3019" t="s">
        <v>552</v>
      </c>
      <c r="B3019" t="s">
        <v>672</v>
      </c>
      <c r="C3019" t="s">
        <v>639</v>
      </c>
      <c r="D3019" s="226">
        <v>-3804.71</v>
      </c>
      <c r="E3019" t="s">
        <v>673</v>
      </c>
    </row>
    <row r="3020" spans="1:5" hidden="1" x14ac:dyDescent="0.3">
      <c r="A3020" t="s">
        <v>552</v>
      </c>
      <c r="B3020" t="s">
        <v>672</v>
      </c>
      <c r="C3020" t="s">
        <v>640</v>
      </c>
      <c r="D3020" s="226">
        <v>0</v>
      </c>
      <c r="E3020" t="s">
        <v>673</v>
      </c>
    </row>
    <row r="3021" spans="1:5" hidden="1" x14ac:dyDescent="0.3">
      <c r="A3021" t="s">
        <v>552</v>
      </c>
      <c r="B3021" t="s">
        <v>672</v>
      </c>
      <c r="C3021" t="s">
        <v>641</v>
      </c>
      <c r="D3021" s="226">
        <v>0</v>
      </c>
      <c r="E3021" t="s">
        <v>673</v>
      </c>
    </row>
    <row r="3022" spans="1:5" hidden="1" x14ac:dyDescent="0.3">
      <c r="A3022" t="s">
        <v>552</v>
      </c>
      <c r="B3022" t="s">
        <v>672</v>
      </c>
      <c r="C3022" t="s">
        <v>237</v>
      </c>
      <c r="D3022" s="226">
        <v>-10468.86</v>
      </c>
      <c r="E3022" t="s">
        <v>673</v>
      </c>
    </row>
    <row r="3023" spans="1:5" hidden="1" x14ac:dyDescent="0.3">
      <c r="A3023" t="s">
        <v>552</v>
      </c>
      <c r="B3023" t="s">
        <v>672</v>
      </c>
      <c r="C3023" t="s">
        <v>642</v>
      </c>
      <c r="D3023" s="226">
        <v>-10389.99</v>
      </c>
      <c r="E3023" t="s">
        <v>673</v>
      </c>
    </row>
    <row r="3024" spans="1:5" hidden="1" x14ac:dyDescent="0.3">
      <c r="A3024" t="s">
        <v>552</v>
      </c>
      <c r="B3024" t="s">
        <v>672</v>
      </c>
      <c r="C3024" t="s">
        <v>643</v>
      </c>
      <c r="D3024" s="226">
        <v>0</v>
      </c>
      <c r="E3024" t="s">
        <v>673</v>
      </c>
    </row>
    <row r="3025" spans="1:5" hidden="1" x14ac:dyDescent="0.3">
      <c r="A3025" t="s">
        <v>552</v>
      </c>
      <c r="B3025" t="s">
        <v>672</v>
      </c>
      <c r="C3025" t="s">
        <v>644</v>
      </c>
      <c r="D3025" s="226">
        <v>0</v>
      </c>
      <c r="E3025" t="s">
        <v>673</v>
      </c>
    </row>
    <row r="3026" spans="1:5" hidden="1" x14ac:dyDescent="0.3">
      <c r="A3026" t="s">
        <v>552</v>
      </c>
      <c r="B3026" t="s">
        <v>672</v>
      </c>
      <c r="C3026" t="s">
        <v>645</v>
      </c>
      <c r="D3026" s="226">
        <v>-78.87</v>
      </c>
      <c r="E3026" t="s">
        <v>673</v>
      </c>
    </row>
    <row r="3027" spans="1:5" hidden="1" x14ac:dyDescent="0.3">
      <c r="A3027" t="s">
        <v>552</v>
      </c>
      <c r="B3027" t="s">
        <v>672</v>
      </c>
      <c r="C3027" t="s">
        <v>646</v>
      </c>
      <c r="D3027" s="226">
        <v>0</v>
      </c>
      <c r="E3027" t="s">
        <v>673</v>
      </c>
    </row>
    <row r="3028" spans="1:5" hidden="1" x14ac:dyDescent="0.3">
      <c r="A3028" t="s">
        <v>552</v>
      </c>
      <c r="B3028" t="s">
        <v>672</v>
      </c>
      <c r="C3028" t="s">
        <v>244</v>
      </c>
      <c r="D3028" s="226">
        <v>-29021.98</v>
      </c>
      <c r="E3028" t="s">
        <v>673</v>
      </c>
    </row>
    <row r="3029" spans="1:5" hidden="1" x14ac:dyDescent="0.3">
      <c r="A3029" t="s">
        <v>552</v>
      </c>
      <c r="B3029" t="s">
        <v>672</v>
      </c>
      <c r="C3029" t="s">
        <v>647</v>
      </c>
      <c r="D3029" s="226">
        <v>-1283</v>
      </c>
      <c r="E3029" t="s">
        <v>673</v>
      </c>
    </row>
    <row r="3030" spans="1:5" hidden="1" x14ac:dyDescent="0.3">
      <c r="A3030" t="s">
        <v>552</v>
      </c>
      <c r="B3030" t="s">
        <v>672</v>
      </c>
      <c r="C3030" t="s">
        <v>648</v>
      </c>
      <c r="D3030" s="226">
        <v>-269.92</v>
      </c>
      <c r="E3030" t="s">
        <v>673</v>
      </c>
    </row>
    <row r="3031" spans="1:5" hidden="1" x14ac:dyDescent="0.3">
      <c r="A3031" t="s">
        <v>552</v>
      </c>
      <c r="B3031" t="s">
        <v>672</v>
      </c>
      <c r="C3031" t="s">
        <v>649</v>
      </c>
      <c r="D3031" s="226">
        <v>0</v>
      </c>
      <c r="E3031" t="s">
        <v>673</v>
      </c>
    </row>
    <row r="3032" spans="1:5" hidden="1" x14ac:dyDescent="0.3">
      <c r="A3032" t="s">
        <v>552</v>
      </c>
      <c r="B3032" t="s">
        <v>672</v>
      </c>
      <c r="C3032" t="s">
        <v>650</v>
      </c>
      <c r="D3032" s="226">
        <v>0</v>
      </c>
      <c r="E3032" t="s">
        <v>673</v>
      </c>
    </row>
    <row r="3033" spans="1:5" hidden="1" x14ac:dyDescent="0.3">
      <c r="A3033" t="s">
        <v>552</v>
      </c>
      <c r="B3033" t="s">
        <v>672</v>
      </c>
      <c r="C3033" t="s">
        <v>651</v>
      </c>
      <c r="D3033" s="226">
        <v>0</v>
      </c>
      <c r="E3033" t="s">
        <v>673</v>
      </c>
    </row>
    <row r="3034" spans="1:5" hidden="1" x14ac:dyDescent="0.3">
      <c r="A3034" t="s">
        <v>552</v>
      </c>
      <c r="B3034" t="s">
        <v>672</v>
      </c>
      <c r="C3034" t="s">
        <v>652</v>
      </c>
      <c r="D3034" s="226">
        <v>-27469.06</v>
      </c>
      <c r="E3034" t="s">
        <v>673</v>
      </c>
    </row>
    <row r="3035" spans="1:5" hidden="1" x14ac:dyDescent="0.3">
      <c r="A3035" t="s">
        <v>552</v>
      </c>
      <c r="B3035" t="s">
        <v>672</v>
      </c>
      <c r="C3035" t="s">
        <v>653</v>
      </c>
      <c r="D3035" s="226">
        <v>0</v>
      </c>
      <c r="E3035" t="s">
        <v>673</v>
      </c>
    </row>
    <row r="3036" spans="1:5" hidden="1" x14ac:dyDescent="0.3">
      <c r="A3036" t="s">
        <v>552</v>
      </c>
      <c r="B3036" t="s">
        <v>672</v>
      </c>
      <c r="C3036" t="s">
        <v>253</v>
      </c>
      <c r="D3036" s="226">
        <v>-0.22</v>
      </c>
      <c r="E3036" t="s">
        <v>673</v>
      </c>
    </row>
    <row r="3037" spans="1:5" hidden="1" x14ac:dyDescent="0.3">
      <c r="A3037" t="s">
        <v>552</v>
      </c>
      <c r="B3037" t="s">
        <v>672</v>
      </c>
      <c r="C3037" t="s">
        <v>254</v>
      </c>
      <c r="D3037" s="226">
        <v>-0.18</v>
      </c>
      <c r="E3037" t="s">
        <v>673</v>
      </c>
    </row>
    <row r="3038" spans="1:5" hidden="1" x14ac:dyDescent="0.3">
      <c r="A3038" t="s">
        <v>552</v>
      </c>
      <c r="B3038" t="s">
        <v>672</v>
      </c>
      <c r="C3038" t="s">
        <v>255</v>
      </c>
      <c r="D3038" s="226">
        <v>-40344.370000000003</v>
      </c>
      <c r="E3038" t="s">
        <v>673</v>
      </c>
    </row>
    <row r="3039" spans="1:5" hidden="1" x14ac:dyDescent="0.3">
      <c r="A3039" t="s">
        <v>552</v>
      </c>
      <c r="B3039" t="s">
        <v>672</v>
      </c>
      <c r="C3039" t="s">
        <v>256</v>
      </c>
      <c r="D3039" s="226">
        <v>-26200.639999999999</v>
      </c>
      <c r="E3039" t="s">
        <v>673</v>
      </c>
    </row>
    <row r="3040" spans="1:5" hidden="1" x14ac:dyDescent="0.3">
      <c r="A3040" t="s">
        <v>552</v>
      </c>
      <c r="B3040" t="s">
        <v>672</v>
      </c>
      <c r="C3040" t="s">
        <v>257</v>
      </c>
      <c r="D3040" s="226">
        <v>-12413.8</v>
      </c>
      <c r="E3040" t="s">
        <v>673</v>
      </c>
    </row>
    <row r="3041" spans="1:5" hidden="1" x14ac:dyDescent="0.3">
      <c r="A3041" t="s">
        <v>552</v>
      </c>
      <c r="B3041" t="s">
        <v>672</v>
      </c>
      <c r="C3041" t="s">
        <v>258</v>
      </c>
      <c r="D3041" s="226">
        <v>-1729.93</v>
      </c>
      <c r="E3041" t="s">
        <v>673</v>
      </c>
    </row>
    <row r="3042" spans="1:5" hidden="1" x14ac:dyDescent="0.3">
      <c r="A3042" t="s">
        <v>552</v>
      </c>
      <c r="B3042" t="s">
        <v>672</v>
      </c>
      <c r="C3042" t="s">
        <v>259</v>
      </c>
      <c r="D3042" s="226">
        <v>0</v>
      </c>
      <c r="E3042" t="s">
        <v>673</v>
      </c>
    </row>
    <row r="3043" spans="1:5" hidden="1" x14ac:dyDescent="0.3">
      <c r="A3043" t="s">
        <v>552</v>
      </c>
      <c r="B3043" t="s">
        <v>672</v>
      </c>
      <c r="C3043" t="s">
        <v>260</v>
      </c>
      <c r="D3043" s="226">
        <v>0</v>
      </c>
      <c r="E3043" t="s">
        <v>673</v>
      </c>
    </row>
    <row r="3044" spans="1:5" hidden="1" x14ac:dyDescent="0.3">
      <c r="A3044" t="s">
        <v>552</v>
      </c>
      <c r="B3044" t="s">
        <v>672</v>
      </c>
      <c r="C3044" t="s">
        <v>261</v>
      </c>
      <c r="D3044" s="226">
        <v>0</v>
      </c>
      <c r="E3044" t="s">
        <v>673</v>
      </c>
    </row>
    <row r="3045" spans="1:5" hidden="1" x14ac:dyDescent="0.3">
      <c r="A3045" t="s">
        <v>552</v>
      </c>
      <c r="B3045" t="s">
        <v>672</v>
      </c>
      <c r="C3045" t="s">
        <v>262</v>
      </c>
      <c r="D3045" s="226">
        <v>0</v>
      </c>
      <c r="E3045" t="s">
        <v>673</v>
      </c>
    </row>
    <row r="3046" spans="1:5" hidden="1" x14ac:dyDescent="0.3">
      <c r="A3046" t="s">
        <v>552</v>
      </c>
      <c r="B3046" t="s">
        <v>672</v>
      </c>
      <c r="C3046" t="s">
        <v>44</v>
      </c>
      <c r="D3046" s="226">
        <v>-0.03</v>
      </c>
      <c r="E3046" t="s">
        <v>673</v>
      </c>
    </row>
    <row r="3047" spans="1:5" hidden="1" x14ac:dyDescent="0.3">
      <c r="A3047" t="s">
        <v>552</v>
      </c>
      <c r="B3047" t="s">
        <v>672</v>
      </c>
      <c r="C3047" t="s">
        <v>263</v>
      </c>
      <c r="D3047" s="226">
        <v>-79984.320000000007</v>
      </c>
      <c r="E3047" t="s">
        <v>673</v>
      </c>
    </row>
    <row r="3048" spans="1:5" hidden="1" x14ac:dyDescent="0.3">
      <c r="A3048" t="s">
        <v>552</v>
      </c>
      <c r="B3048" t="s">
        <v>672</v>
      </c>
      <c r="C3048" t="s">
        <v>264</v>
      </c>
      <c r="D3048" s="226">
        <v>-16020</v>
      </c>
      <c r="E3048" t="s">
        <v>673</v>
      </c>
    </row>
    <row r="3049" spans="1:5" hidden="1" x14ac:dyDescent="0.3">
      <c r="A3049" t="s">
        <v>552</v>
      </c>
      <c r="B3049" t="s">
        <v>672</v>
      </c>
      <c r="C3049" t="s">
        <v>265</v>
      </c>
      <c r="D3049" s="226">
        <v>-15706.9</v>
      </c>
      <c r="E3049" t="s">
        <v>673</v>
      </c>
    </row>
    <row r="3050" spans="1:5" hidden="1" x14ac:dyDescent="0.3">
      <c r="A3050" t="s">
        <v>552</v>
      </c>
      <c r="B3050" t="s">
        <v>672</v>
      </c>
      <c r="C3050" t="s">
        <v>266</v>
      </c>
      <c r="D3050" s="226">
        <v>-13213.39</v>
      </c>
      <c r="E3050" t="s">
        <v>673</v>
      </c>
    </row>
    <row r="3051" spans="1:5" hidden="1" x14ac:dyDescent="0.3">
      <c r="A3051" t="s">
        <v>552</v>
      </c>
      <c r="B3051" t="s">
        <v>672</v>
      </c>
      <c r="C3051" t="s">
        <v>267</v>
      </c>
      <c r="D3051" s="226">
        <v>-16973.5</v>
      </c>
      <c r="E3051" t="s">
        <v>673</v>
      </c>
    </row>
    <row r="3052" spans="1:5" hidden="1" x14ac:dyDescent="0.3">
      <c r="A3052" t="s">
        <v>552</v>
      </c>
      <c r="B3052" t="s">
        <v>672</v>
      </c>
      <c r="C3052" t="s">
        <v>268</v>
      </c>
      <c r="D3052" s="226">
        <v>0</v>
      </c>
      <c r="E3052" t="s">
        <v>673</v>
      </c>
    </row>
    <row r="3053" spans="1:5" hidden="1" x14ac:dyDescent="0.3">
      <c r="A3053" t="s">
        <v>552</v>
      </c>
      <c r="B3053" t="s">
        <v>672</v>
      </c>
      <c r="C3053" t="s">
        <v>269</v>
      </c>
      <c r="D3053" s="226">
        <v>-580</v>
      </c>
      <c r="E3053" t="s">
        <v>673</v>
      </c>
    </row>
    <row r="3054" spans="1:5" hidden="1" x14ac:dyDescent="0.3">
      <c r="A3054" t="s">
        <v>552</v>
      </c>
      <c r="B3054" t="s">
        <v>672</v>
      </c>
      <c r="C3054" t="s">
        <v>270</v>
      </c>
      <c r="D3054" s="226">
        <v>-3286.43</v>
      </c>
      <c r="E3054" t="s">
        <v>673</v>
      </c>
    </row>
    <row r="3055" spans="1:5" hidden="1" x14ac:dyDescent="0.3">
      <c r="A3055" t="s">
        <v>552</v>
      </c>
      <c r="B3055" t="s">
        <v>672</v>
      </c>
      <c r="C3055" t="s">
        <v>271</v>
      </c>
      <c r="D3055" s="226">
        <v>-2002.09</v>
      </c>
      <c r="E3055" t="s">
        <v>673</v>
      </c>
    </row>
    <row r="3056" spans="1:5" hidden="1" x14ac:dyDescent="0.3">
      <c r="A3056" t="s">
        <v>552</v>
      </c>
      <c r="B3056" t="s">
        <v>672</v>
      </c>
      <c r="C3056" t="s">
        <v>272</v>
      </c>
      <c r="D3056" s="226">
        <v>0</v>
      </c>
      <c r="E3056" t="s">
        <v>673</v>
      </c>
    </row>
    <row r="3057" spans="1:5" hidden="1" x14ac:dyDescent="0.3">
      <c r="A3057" t="s">
        <v>552</v>
      </c>
      <c r="B3057" t="s">
        <v>672</v>
      </c>
      <c r="C3057" t="s">
        <v>273</v>
      </c>
      <c r="D3057" s="226">
        <v>0</v>
      </c>
      <c r="E3057" t="s">
        <v>673</v>
      </c>
    </row>
    <row r="3058" spans="1:5" hidden="1" x14ac:dyDescent="0.3">
      <c r="A3058" t="s">
        <v>552</v>
      </c>
      <c r="B3058" t="s">
        <v>672</v>
      </c>
      <c r="C3058" t="s">
        <v>274</v>
      </c>
      <c r="D3058" s="226">
        <v>-1554.16</v>
      </c>
      <c r="E3058" t="s">
        <v>673</v>
      </c>
    </row>
    <row r="3059" spans="1:5" hidden="1" x14ac:dyDescent="0.3">
      <c r="A3059" t="s">
        <v>552</v>
      </c>
      <c r="B3059" t="s">
        <v>672</v>
      </c>
      <c r="C3059" t="s">
        <v>275</v>
      </c>
      <c r="D3059" s="226">
        <v>0</v>
      </c>
      <c r="E3059" t="s">
        <v>673</v>
      </c>
    </row>
    <row r="3060" spans="1:5" hidden="1" x14ac:dyDescent="0.3">
      <c r="A3060" t="s">
        <v>552</v>
      </c>
      <c r="B3060" t="s">
        <v>672</v>
      </c>
      <c r="C3060" t="s">
        <v>276</v>
      </c>
      <c r="D3060" s="226">
        <v>0</v>
      </c>
      <c r="E3060" t="s">
        <v>673</v>
      </c>
    </row>
    <row r="3061" spans="1:5" hidden="1" x14ac:dyDescent="0.3">
      <c r="A3061" t="s">
        <v>552</v>
      </c>
      <c r="B3061" t="s">
        <v>672</v>
      </c>
      <c r="C3061" t="s">
        <v>277</v>
      </c>
      <c r="D3061" s="226">
        <v>-10647.85</v>
      </c>
      <c r="E3061" t="s">
        <v>673</v>
      </c>
    </row>
    <row r="3062" spans="1:5" hidden="1" x14ac:dyDescent="0.3">
      <c r="A3062" t="s">
        <v>552</v>
      </c>
      <c r="B3062" t="s">
        <v>672</v>
      </c>
      <c r="C3062" t="s">
        <v>44</v>
      </c>
      <c r="D3062" s="226">
        <v>-7.0000000000000007E-2</v>
      </c>
      <c r="E3062" t="s">
        <v>673</v>
      </c>
    </row>
    <row r="3063" spans="1:5" hidden="1" x14ac:dyDescent="0.3">
      <c r="A3063" t="s">
        <v>552</v>
      </c>
      <c r="B3063" t="s">
        <v>672</v>
      </c>
      <c r="C3063" t="s">
        <v>278</v>
      </c>
      <c r="D3063" s="226">
        <v>-8319.57</v>
      </c>
      <c r="E3063" t="s">
        <v>673</v>
      </c>
    </row>
    <row r="3064" spans="1:5" hidden="1" x14ac:dyDescent="0.3">
      <c r="A3064" t="s">
        <v>552</v>
      </c>
      <c r="B3064" t="s">
        <v>672</v>
      </c>
      <c r="C3064" t="s">
        <v>279</v>
      </c>
      <c r="D3064" s="226">
        <v>0</v>
      </c>
      <c r="E3064" t="s">
        <v>673</v>
      </c>
    </row>
    <row r="3065" spans="1:5" hidden="1" x14ac:dyDescent="0.3">
      <c r="A3065" t="s">
        <v>552</v>
      </c>
      <c r="B3065" t="s">
        <v>672</v>
      </c>
      <c r="C3065" t="s">
        <v>280</v>
      </c>
      <c r="D3065" s="226">
        <v>-459.88</v>
      </c>
      <c r="E3065" t="s">
        <v>673</v>
      </c>
    </row>
    <row r="3066" spans="1:5" hidden="1" x14ac:dyDescent="0.3">
      <c r="A3066" t="s">
        <v>552</v>
      </c>
      <c r="B3066" t="s">
        <v>672</v>
      </c>
      <c r="C3066" t="s">
        <v>281</v>
      </c>
      <c r="D3066" s="226">
        <v>-21.9</v>
      </c>
      <c r="E3066" t="s">
        <v>673</v>
      </c>
    </row>
    <row r="3067" spans="1:5" hidden="1" x14ac:dyDescent="0.3">
      <c r="A3067" t="s">
        <v>552</v>
      </c>
      <c r="B3067" t="s">
        <v>672</v>
      </c>
      <c r="C3067" t="s">
        <v>282</v>
      </c>
      <c r="D3067" s="226">
        <v>-815</v>
      </c>
      <c r="E3067" t="s">
        <v>673</v>
      </c>
    </row>
    <row r="3068" spans="1:5" hidden="1" x14ac:dyDescent="0.3">
      <c r="A3068" t="s">
        <v>552</v>
      </c>
      <c r="B3068" t="s">
        <v>672</v>
      </c>
      <c r="C3068" t="s">
        <v>283</v>
      </c>
      <c r="D3068" s="226">
        <v>-7022.79</v>
      </c>
      <c r="E3068" t="s">
        <v>673</v>
      </c>
    </row>
    <row r="3069" spans="1:5" hidden="1" x14ac:dyDescent="0.3">
      <c r="A3069" t="s">
        <v>552</v>
      </c>
      <c r="B3069" t="s">
        <v>672</v>
      </c>
      <c r="C3069" t="s">
        <v>284</v>
      </c>
      <c r="D3069" s="226">
        <v>0</v>
      </c>
      <c r="E3069" t="s">
        <v>673</v>
      </c>
    </row>
    <row r="3070" spans="1:5" hidden="1" x14ac:dyDescent="0.3">
      <c r="A3070" t="s">
        <v>552</v>
      </c>
      <c r="B3070" t="s">
        <v>672</v>
      </c>
      <c r="C3070" t="s">
        <v>285</v>
      </c>
      <c r="D3070" s="226">
        <v>0</v>
      </c>
      <c r="E3070" t="s">
        <v>673</v>
      </c>
    </row>
    <row r="3071" spans="1:5" hidden="1" x14ac:dyDescent="0.3">
      <c r="A3071" t="s">
        <v>552</v>
      </c>
      <c r="B3071" t="s">
        <v>672</v>
      </c>
      <c r="C3071" t="s">
        <v>44</v>
      </c>
      <c r="D3071" s="226">
        <v>-0.01</v>
      </c>
      <c r="E3071" t="s">
        <v>673</v>
      </c>
    </row>
    <row r="3072" spans="1:5" hidden="1" x14ac:dyDescent="0.3">
      <c r="A3072" t="s">
        <v>552</v>
      </c>
      <c r="B3072" t="s">
        <v>672</v>
      </c>
      <c r="C3072" t="s">
        <v>286</v>
      </c>
      <c r="D3072" s="226">
        <v>-8004.44</v>
      </c>
      <c r="E3072" t="s">
        <v>673</v>
      </c>
    </row>
    <row r="3073" spans="1:5" hidden="1" x14ac:dyDescent="0.3">
      <c r="A3073" t="s">
        <v>552</v>
      </c>
      <c r="B3073" t="s">
        <v>672</v>
      </c>
      <c r="C3073" t="s">
        <v>287</v>
      </c>
      <c r="D3073" s="226">
        <v>-7666.68</v>
      </c>
      <c r="E3073" t="s">
        <v>673</v>
      </c>
    </row>
    <row r="3074" spans="1:5" hidden="1" x14ac:dyDescent="0.3">
      <c r="A3074" t="s">
        <v>552</v>
      </c>
      <c r="B3074" t="s">
        <v>672</v>
      </c>
      <c r="C3074" t="s">
        <v>288</v>
      </c>
      <c r="D3074" s="226">
        <v>0</v>
      </c>
      <c r="E3074" t="s">
        <v>673</v>
      </c>
    </row>
    <row r="3075" spans="1:5" hidden="1" x14ac:dyDescent="0.3">
      <c r="A3075" t="s">
        <v>552</v>
      </c>
      <c r="B3075" t="s">
        <v>672</v>
      </c>
      <c r="C3075" t="s">
        <v>289</v>
      </c>
      <c r="D3075" s="226">
        <v>0</v>
      </c>
      <c r="E3075" t="s">
        <v>673</v>
      </c>
    </row>
    <row r="3076" spans="1:5" hidden="1" x14ac:dyDescent="0.3">
      <c r="A3076" t="s">
        <v>552</v>
      </c>
      <c r="B3076" t="s">
        <v>672</v>
      </c>
      <c r="C3076" t="s">
        <v>290</v>
      </c>
      <c r="D3076" s="226">
        <v>0</v>
      </c>
      <c r="E3076" t="s">
        <v>673</v>
      </c>
    </row>
    <row r="3077" spans="1:5" hidden="1" x14ac:dyDescent="0.3">
      <c r="A3077" t="s">
        <v>552</v>
      </c>
      <c r="B3077" t="s">
        <v>672</v>
      </c>
      <c r="C3077" t="s">
        <v>291</v>
      </c>
      <c r="D3077" s="226">
        <v>0</v>
      </c>
      <c r="E3077" t="s">
        <v>673</v>
      </c>
    </row>
    <row r="3078" spans="1:5" hidden="1" x14ac:dyDescent="0.3">
      <c r="A3078" t="s">
        <v>552</v>
      </c>
      <c r="B3078" t="s">
        <v>672</v>
      </c>
      <c r="C3078" t="s">
        <v>292</v>
      </c>
      <c r="D3078" s="226">
        <v>-223.75</v>
      </c>
      <c r="E3078" t="s">
        <v>673</v>
      </c>
    </row>
    <row r="3079" spans="1:5" hidden="1" x14ac:dyDescent="0.3">
      <c r="A3079" t="s">
        <v>552</v>
      </c>
      <c r="B3079" t="s">
        <v>672</v>
      </c>
      <c r="C3079" t="s">
        <v>293</v>
      </c>
      <c r="D3079" s="226">
        <v>-114.01</v>
      </c>
      <c r="E3079" t="s">
        <v>673</v>
      </c>
    </row>
    <row r="3080" spans="1:5" hidden="1" x14ac:dyDescent="0.3">
      <c r="A3080" t="s">
        <v>552</v>
      </c>
      <c r="B3080" t="s">
        <v>672</v>
      </c>
      <c r="C3080" t="s">
        <v>294</v>
      </c>
      <c r="D3080" s="226">
        <v>0</v>
      </c>
      <c r="E3080" t="s">
        <v>673</v>
      </c>
    </row>
    <row r="3081" spans="1:5" hidden="1" x14ac:dyDescent="0.3">
      <c r="A3081" t="s">
        <v>552</v>
      </c>
      <c r="B3081" t="s">
        <v>672</v>
      </c>
      <c r="C3081" t="s">
        <v>44</v>
      </c>
      <c r="D3081" s="226">
        <v>-0.01</v>
      </c>
      <c r="E3081" t="s">
        <v>673</v>
      </c>
    </row>
    <row r="3082" spans="1:5" hidden="1" x14ac:dyDescent="0.3">
      <c r="A3082" t="s">
        <v>552</v>
      </c>
      <c r="B3082" t="s">
        <v>672</v>
      </c>
      <c r="C3082" t="s">
        <v>295</v>
      </c>
      <c r="D3082" s="226">
        <v>-6827.01</v>
      </c>
      <c r="E3082" t="s">
        <v>673</v>
      </c>
    </row>
    <row r="3083" spans="1:5" hidden="1" x14ac:dyDescent="0.3">
      <c r="A3083" t="s">
        <v>552</v>
      </c>
      <c r="B3083" t="s">
        <v>672</v>
      </c>
      <c r="C3083" t="s">
        <v>296</v>
      </c>
      <c r="D3083" s="226">
        <v>-4500</v>
      </c>
      <c r="E3083" t="s">
        <v>673</v>
      </c>
    </row>
    <row r="3084" spans="1:5" hidden="1" x14ac:dyDescent="0.3">
      <c r="A3084" t="s">
        <v>552</v>
      </c>
      <c r="B3084" t="s">
        <v>672</v>
      </c>
      <c r="C3084" t="s">
        <v>297</v>
      </c>
      <c r="D3084" s="226">
        <v>-460</v>
      </c>
      <c r="E3084" t="s">
        <v>673</v>
      </c>
    </row>
    <row r="3085" spans="1:5" hidden="1" x14ac:dyDescent="0.3">
      <c r="A3085" t="s">
        <v>552</v>
      </c>
      <c r="B3085" t="s">
        <v>672</v>
      </c>
      <c r="C3085" t="s">
        <v>298</v>
      </c>
      <c r="D3085" s="226">
        <v>0</v>
      </c>
      <c r="E3085" t="s">
        <v>673</v>
      </c>
    </row>
    <row r="3086" spans="1:5" hidden="1" x14ac:dyDescent="0.3">
      <c r="A3086" t="s">
        <v>552</v>
      </c>
      <c r="B3086" t="s">
        <v>672</v>
      </c>
      <c r="C3086" t="s">
        <v>299</v>
      </c>
      <c r="D3086" s="226">
        <v>0</v>
      </c>
      <c r="E3086" t="s">
        <v>673</v>
      </c>
    </row>
    <row r="3087" spans="1:5" hidden="1" x14ac:dyDescent="0.3">
      <c r="A3087" t="s">
        <v>552</v>
      </c>
      <c r="B3087" t="s">
        <v>672</v>
      </c>
      <c r="C3087" t="s">
        <v>300</v>
      </c>
      <c r="D3087" s="226">
        <v>-568.4</v>
      </c>
      <c r="E3087" t="s">
        <v>673</v>
      </c>
    </row>
    <row r="3088" spans="1:5" hidden="1" x14ac:dyDescent="0.3">
      <c r="A3088" t="s">
        <v>552</v>
      </c>
      <c r="B3088" t="s">
        <v>672</v>
      </c>
      <c r="C3088" t="s">
        <v>301</v>
      </c>
      <c r="D3088" s="226">
        <v>0</v>
      </c>
      <c r="E3088" t="s">
        <v>673</v>
      </c>
    </row>
    <row r="3089" spans="1:5" hidden="1" x14ac:dyDescent="0.3">
      <c r="A3089" t="s">
        <v>552</v>
      </c>
      <c r="B3089" t="s">
        <v>672</v>
      </c>
      <c r="C3089" t="s">
        <v>302</v>
      </c>
      <c r="D3089" s="226">
        <v>0</v>
      </c>
      <c r="E3089" t="s">
        <v>673</v>
      </c>
    </row>
    <row r="3090" spans="1:5" hidden="1" x14ac:dyDescent="0.3">
      <c r="A3090" t="s">
        <v>552</v>
      </c>
      <c r="B3090" t="s">
        <v>672</v>
      </c>
      <c r="C3090" t="s">
        <v>303</v>
      </c>
      <c r="D3090" s="226">
        <v>0</v>
      </c>
      <c r="E3090" t="s">
        <v>673</v>
      </c>
    </row>
    <row r="3091" spans="1:5" hidden="1" x14ac:dyDescent="0.3">
      <c r="A3091" t="s">
        <v>552</v>
      </c>
      <c r="B3091" t="s">
        <v>672</v>
      </c>
      <c r="C3091" t="s">
        <v>304</v>
      </c>
      <c r="D3091" s="226">
        <v>0</v>
      </c>
      <c r="E3091" t="s">
        <v>673</v>
      </c>
    </row>
    <row r="3092" spans="1:5" hidden="1" x14ac:dyDescent="0.3">
      <c r="A3092" t="s">
        <v>552</v>
      </c>
      <c r="B3092" t="s">
        <v>672</v>
      </c>
      <c r="C3092" t="s">
        <v>305</v>
      </c>
      <c r="D3092" s="226">
        <v>0</v>
      </c>
      <c r="E3092" t="s">
        <v>673</v>
      </c>
    </row>
    <row r="3093" spans="1:5" hidden="1" x14ac:dyDescent="0.3">
      <c r="A3093" t="s">
        <v>552</v>
      </c>
      <c r="B3093" t="s">
        <v>672</v>
      </c>
      <c r="C3093" t="s">
        <v>306</v>
      </c>
      <c r="D3093" s="226">
        <v>-1298.6099999999999</v>
      </c>
      <c r="E3093" t="s">
        <v>673</v>
      </c>
    </row>
    <row r="3094" spans="1:5" hidden="1" x14ac:dyDescent="0.3">
      <c r="A3094" t="s">
        <v>552</v>
      </c>
      <c r="B3094" t="s">
        <v>672</v>
      </c>
      <c r="C3094" t="s">
        <v>44</v>
      </c>
      <c r="D3094" s="226">
        <v>-0.01</v>
      </c>
      <c r="E3094" t="s">
        <v>673</v>
      </c>
    </row>
    <row r="3095" spans="1:5" hidden="1" x14ac:dyDescent="0.3">
      <c r="A3095" t="s">
        <v>552</v>
      </c>
      <c r="B3095" t="s">
        <v>672</v>
      </c>
      <c r="C3095" t="s">
        <v>307</v>
      </c>
      <c r="D3095" s="226">
        <v>-17970.52</v>
      </c>
      <c r="E3095" t="s">
        <v>673</v>
      </c>
    </row>
    <row r="3096" spans="1:5" hidden="1" x14ac:dyDescent="0.3">
      <c r="A3096" t="s">
        <v>552</v>
      </c>
      <c r="B3096" t="s">
        <v>672</v>
      </c>
      <c r="C3096" t="s">
        <v>308</v>
      </c>
      <c r="D3096" s="226">
        <v>-5011.25</v>
      </c>
      <c r="E3096" t="s">
        <v>673</v>
      </c>
    </row>
    <row r="3097" spans="1:5" hidden="1" x14ac:dyDescent="0.3">
      <c r="A3097" t="s">
        <v>552</v>
      </c>
      <c r="B3097" t="s">
        <v>672</v>
      </c>
      <c r="C3097" t="s">
        <v>309</v>
      </c>
      <c r="D3097" s="226">
        <v>0</v>
      </c>
      <c r="E3097" t="s">
        <v>673</v>
      </c>
    </row>
    <row r="3098" spans="1:5" hidden="1" x14ac:dyDescent="0.3">
      <c r="A3098" t="s">
        <v>552</v>
      </c>
      <c r="B3098" t="s">
        <v>672</v>
      </c>
      <c r="C3098" t="s">
        <v>310</v>
      </c>
      <c r="D3098" s="226">
        <v>-2319.27</v>
      </c>
      <c r="E3098" t="s">
        <v>673</v>
      </c>
    </row>
    <row r="3099" spans="1:5" hidden="1" x14ac:dyDescent="0.3">
      <c r="A3099" t="s">
        <v>552</v>
      </c>
      <c r="B3099" t="s">
        <v>672</v>
      </c>
      <c r="C3099" t="s">
        <v>311</v>
      </c>
      <c r="D3099" s="226">
        <v>0</v>
      </c>
      <c r="E3099" t="s">
        <v>673</v>
      </c>
    </row>
    <row r="3100" spans="1:5" hidden="1" x14ac:dyDescent="0.3">
      <c r="A3100" t="s">
        <v>552</v>
      </c>
      <c r="B3100" t="s">
        <v>672</v>
      </c>
      <c r="C3100" t="s">
        <v>312</v>
      </c>
      <c r="D3100" s="226">
        <v>0</v>
      </c>
      <c r="E3100" t="s">
        <v>673</v>
      </c>
    </row>
    <row r="3101" spans="1:5" hidden="1" x14ac:dyDescent="0.3">
      <c r="A3101" t="s">
        <v>552</v>
      </c>
      <c r="B3101" t="s">
        <v>672</v>
      </c>
      <c r="C3101" t="s">
        <v>313</v>
      </c>
      <c r="D3101" s="226">
        <v>0</v>
      </c>
      <c r="E3101" t="s">
        <v>673</v>
      </c>
    </row>
    <row r="3102" spans="1:5" hidden="1" x14ac:dyDescent="0.3">
      <c r="A3102" t="s">
        <v>552</v>
      </c>
      <c r="B3102" t="s">
        <v>672</v>
      </c>
      <c r="C3102" t="s">
        <v>314</v>
      </c>
      <c r="D3102" s="226">
        <v>0</v>
      </c>
      <c r="E3102" t="s">
        <v>673</v>
      </c>
    </row>
    <row r="3103" spans="1:5" hidden="1" x14ac:dyDescent="0.3">
      <c r="A3103" t="s">
        <v>552</v>
      </c>
      <c r="B3103" t="s">
        <v>672</v>
      </c>
      <c r="C3103" t="s">
        <v>315</v>
      </c>
      <c r="D3103" s="226">
        <v>-10640</v>
      </c>
      <c r="E3103" t="s">
        <v>673</v>
      </c>
    </row>
    <row r="3104" spans="1:5" hidden="1" x14ac:dyDescent="0.3">
      <c r="A3104" t="s">
        <v>552</v>
      </c>
      <c r="B3104" t="s">
        <v>672</v>
      </c>
      <c r="C3104" t="s">
        <v>316</v>
      </c>
      <c r="D3104" s="226">
        <v>0</v>
      </c>
      <c r="E3104" t="s">
        <v>673</v>
      </c>
    </row>
    <row r="3105" spans="1:5" hidden="1" x14ac:dyDescent="0.3">
      <c r="A3105" t="s">
        <v>552</v>
      </c>
      <c r="B3105" t="s">
        <v>672</v>
      </c>
      <c r="C3105" t="s">
        <v>44</v>
      </c>
      <c r="D3105" s="226">
        <v>-0.01</v>
      </c>
      <c r="E3105" t="s">
        <v>673</v>
      </c>
    </row>
    <row r="3106" spans="1:5" hidden="1" x14ac:dyDescent="0.3">
      <c r="A3106" t="s">
        <v>552</v>
      </c>
      <c r="B3106" t="s">
        <v>672</v>
      </c>
      <c r="C3106" t="s">
        <v>317</v>
      </c>
      <c r="D3106" s="226">
        <v>-5633.32</v>
      </c>
      <c r="E3106" t="s">
        <v>673</v>
      </c>
    </row>
    <row r="3107" spans="1:5" hidden="1" x14ac:dyDescent="0.3">
      <c r="A3107" t="s">
        <v>552</v>
      </c>
      <c r="B3107" t="s">
        <v>672</v>
      </c>
      <c r="C3107" t="s">
        <v>318</v>
      </c>
      <c r="D3107" s="226">
        <v>-5633.32</v>
      </c>
      <c r="E3107" t="s">
        <v>673</v>
      </c>
    </row>
    <row r="3108" spans="1:5" hidden="1" x14ac:dyDescent="0.3">
      <c r="A3108" t="s">
        <v>552</v>
      </c>
      <c r="B3108" t="s">
        <v>672</v>
      </c>
      <c r="C3108" t="s">
        <v>319</v>
      </c>
      <c r="D3108" s="226">
        <v>0</v>
      </c>
      <c r="E3108" t="s">
        <v>673</v>
      </c>
    </row>
    <row r="3109" spans="1:5" hidden="1" x14ac:dyDescent="0.3">
      <c r="A3109" t="s">
        <v>552</v>
      </c>
      <c r="B3109" t="s">
        <v>672</v>
      </c>
      <c r="C3109" t="s">
        <v>320</v>
      </c>
      <c r="D3109" s="226">
        <v>0</v>
      </c>
      <c r="E3109" t="s">
        <v>673</v>
      </c>
    </row>
    <row r="3110" spans="1:5" hidden="1" x14ac:dyDescent="0.3">
      <c r="A3110" t="s">
        <v>552</v>
      </c>
      <c r="B3110" t="s">
        <v>672</v>
      </c>
      <c r="C3110" t="s">
        <v>321</v>
      </c>
      <c r="D3110" s="226">
        <v>0</v>
      </c>
      <c r="E3110" t="s">
        <v>673</v>
      </c>
    </row>
    <row r="3111" spans="1:5" hidden="1" x14ac:dyDescent="0.3">
      <c r="A3111" t="s">
        <v>552</v>
      </c>
      <c r="B3111" t="s">
        <v>672</v>
      </c>
      <c r="C3111" t="s">
        <v>44</v>
      </c>
      <c r="D3111" s="226">
        <v>0</v>
      </c>
      <c r="E3111" t="s">
        <v>673</v>
      </c>
    </row>
    <row r="3112" spans="1:5" hidden="1" x14ac:dyDescent="0.3">
      <c r="A3112" t="s">
        <v>552</v>
      </c>
      <c r="B3112" t="s">
        <v>672</v>
      </c>
      <c r="C3112" t="s">
        <v>322</v>
      </c>
      <c r="D3112" s="226">
        <v>-61332.62</v>
      </c>
      <c r="E3112" t="s">
        <v>673</v>
      </c>
    </row>
    <row r="3113" spans="1:5" hidden="1" x14ac:dyDescent="0.3">
      <c r="A3113" t="s">
        <v>552</v>
      </c>
      <c r="B3113" t="s">
        <v>672</v>
      </c>
      <c r="C3113" t="s">
        <v>323</v>
      </c>
      <c r="D3113" s="226">
        <v>0</v>
      </c>
      <c r="E3113" t="s">
        <v>673</v>
      </c>
    </row>
    <row r="3114" spans="1:5" hidden="1" x14ac:dyDescent="0.3">
      <c r="A3114" t="s">
        <v>552</v>
      </c>
      <c r="B3114" t="s">
        <v>672</v>
      </c>
      <c r="C3114" t="s">
        <v>324</v>
      </c>
      <c r="D3114" s="226">
        <v>0</v>
      </c>
      <c r="E3114" t="s">
        <v>673</v>
      </c>
    </row>
    <row r="3115" spans="1:5" hidden="1" x14ac:dyDescent="0.3">
      <c r="A3115" t="s">
        <v>552</v>
      </c>
      <c r="B3115" t="s">
        <v>672</v>
      </c>
      <c r="C3115" t="s">
        <v>325</v>
      </c>
      <c r="D3115" s="226">
        <v>-61332.62</v>
      </c>
      <c r="E3115" t="s">
        <v>673</v>
      </c>
    </row>
    <row r="3116" spans="1:5" hidden="1" x14ac:dyDescent="0.3">
      <c r="A3116" t="s">
        <v>552</v>
      </c>
      <c r="B3116" t="s">
        <v>672</v>
      </c>
      <c r="C3116" t="s">
        <v>44</v>
      </c>
      <c r="D3116" s="226">
        <v>-0.05</v>
      </c>
      <c r="E3116" t="s">
        <v>673</v>
      </c>
    </row>
    <row r="3117" spans="1:5" hidden="1" x14ac:dyDescent="0.3">
      <c r="A3117" t="s">
        <v>552</v>
      </c>
      <c r="B3117" t="s">
        <v>672</v>
      </c>
      <c r="C3117" t="s">
        <v>327</v>
      </c>
      <c r="D3117" s="226">
        <v>-497759.46</v>
      </c>
      <c r="E3117" t="s">
        <v>673</v>
      </c>
    </row>
    <row r="3118" spans="1:5" hidden="1" x14ac:dyDescent="0.3">
      <c r="A3118" t="s">
        <v>552</v>
      </c>
      <c r="B3118" t="s">
        <v>672</v>
      </c>
      <c r="C3118" t="s">
        <v>44</v>
      </c>
      <c r="D3118" s="226">
        <v>-0.41</v>
      </c>
      <c r="E3118" t="s">
        <v>673</v>
      </c>
    </row>
    <row r="3119" spans="1:5" hidden="1" x14ac:dyDescent="0.3">
      <c r="A3119" t="s">
        <v>552</v>
      </c>
      <c r="B3119" t="s">
        <v>672</v>
      </c>
      <c r="C3119" t="s">
        <v>328</v>
      </c>
      <c r="D3119" s="226">
        <v>182625.17</v>
      </c>
      <c r="E3119" t="s">
        <v>673</v>
      </c>
    </row>
    <row r="3120" spans="1:5" hidden="1" x14ac:dyDescent="0.3">
      <c r="A3120" t="s">
        <v>552</v>
      </c>
      <c r="B3120" t="s">
        <v>672</v>
      </c>
      <c r="C3120" t="s">
        <v>44</v>
      </c>
      <c r="D3120" s="226">
        <v>0.15</v>
      </c>
      <c r="E3120" t="s">
        <v>673</v>
      </c>
    </row>
    <row r="3121" spans="1:5" hidden="1" x14ac:dyDescent="0.3">
      <c r="A3121" t="s">
        <v>552</v>
      </c>
      <c r="B3121" t="s">
        <v>672</v>
      </c>
      <c r="C3121" t="s">
        <v>329</v>
      </c>
      <c r="D3121" s="226">
        <v>0</v>
      </c>
      <c r="E3121" t="s">
        <v>673</v>
      </c>
    </row>
    <row r="3122" spans="1:5" hidden="1" x14ac:dyDescent="0.3">
      <c r="A3122" t="s">
        <v>552</v>
      </c>
      <c r="B3122" t="s">
        <v>672</v>
      </c>
      <c r="C3122" t="s">
        <v>331</v>
      </c>
      <c r="D3122" s="226">
        <v>182625.17</v>
      </c>
      <c r="E3122" t="s">
        <v>673</v>
      </c>
    </row>
    <row r="3123" spans="1:5" hidden="1" x14ac:dyDescent="0.3">
      <c r="A3123" t="s">
        <v>552</v>
      </c>
      <c r="B3123" t="s">
        <v>672</v>
      </c>
      <c r="C3123" t="s">
        <v>332</v>
      </c>
      <c r="D3123" s="226">
        <v>-190</v>
      </c>
      <c r="E3123" t="s">
        <v>673</v>
      </c>
    </row>
    <row r="3124" spans="1:5" hidden="1" x14ac:dyDescent="0.3">
      <c r="A3124" t="s">
        <v>552</v>
      </c>
      <c r="B3124" t="s">
        <v>672</v>
      </c>
      <c r="C3124" t="s">
        <v>333</v>
      </c>
      <c r="D3124" s="226">
        <v>0</v>
      </c>
      <c r="E3124" t="s">
        <v>673</v>
      </c>
    </row>
    <row r="3125" spans="1:5" hidden="1" x14ac:dyDescent="0.3">
      <c r="A3125" t="s">
        <v>552</v>
      </c>
      <c r="B3125" t="s">
        <v>672</v>
      </c>
      <c r="C3125" t="s">
        <v>335</v>
      </c>
      <c r="D3125" s="226">
        <v>-4250</v>
      </c>
      <c r="E3125" t="s">
        <v>673</v>
      </c>
    </row>
    <row r="3126" spans="1:5" hidden="1" x14ac:dyDescent="0.3">
      <c r="A3126" t="s">
        <v>552</v>
      </c>
      <c r="B3126" t="s">
        <v>672</v>
      </c>
      <c r="C3126" t="s">
        <v>337</v>
      </c>
      <c r="D3126" s="226">
        <v>356370.34</v>
      </c>
      <c r="E3126" t="s">
        <v>673</v>
      </c>
    </row>
    <row r="3127" spans="1:5" hidden="1" x14ac:dyDescent="0.3">
      <c r="A3127" t="s">
        <v>552</v>
      </c>
      <c r="B3127" t="s">
        <v>672</v>
      </c>
      <c r="C3127" t="s">
        <v>338</v>
      </c>
      <c r="D3127" s="226">
        <v>-39723</v>
      </c>
      <c r="E3127" t="s">
        <v>673</v>
      </c>
    </row>
    <row r="3128" spans="1:5" hidden="1" x14ac:dyDescent="0.3">
      <c r="A3128" t="s">
        <v>552</v>
      </c>
      <c r="B3128" t="s">
        <v>672</v>
      </c>
      <c r="C3128" t="s">
        <v>341</v>
      </c>
      <c r="D3128" s="226">
        <v>-7697.54</v>
      </c>
      <c r="E3128" t="s">
        <v>673</v>
      </c>
    </row>
    <row r="3129" spans="1:5" hidden="1" x14ac:dyDescent="0.3">
      <c r="A3129" t="s">
        <v>552</v>
      </c>
      <c r="B3129" t="s">
        <v>672</v>
      </c>
      <c r="C3129" t="s">
        <v>343</v>
      </c>
      <c r="D3129" s="226">
        <v>-12853.03</v>
      </c>
      <c r="E3129" t="s">
        <v>673</v>
      </c>
    </row>
    <row r="3130" spans="1:5" hidden="1" x14ac:dyDescent="0.3">
      <c r="A3130" t="s">
        <v>552</v>
      </c>
      <c r="B3130" t="s">
        <v>672</v>
      </c>
      <c r="C3130" t="s">
        <v>344</v>
      </c>
      <c r="D3130" s="226">
        <v>-7604.71</v>
      </c>
      <c r="E3130" t="s">
        <v>673</v>
      </c>
    </row>
    <row r="3131" spans="1:5" hidden="1" x14ac:dyDescent="0.3">
      <c r="A3131" t="s">
        <v>552</v>
      </c>
      <c r="B3131" t="s">
        <v>672</v>
      </c>
      <c r="C3131" t="s">
        <v>345</v>
      </c>
      <c r="D3131" s="226">
        <v>-11567.73</v>
      </c>
      <c r="E3131" t="s">
        <v>673</v>
      </c>
    </row>
    <row r="3132" spans="1:5" hidden="1" x14ac:dyDescent="0.3">
      <c r="A3132" t="s">
        <v>552</v>
      </c>
      <c r="B3132" t="s">
        <v>672</v>
      </c>
      <c r="C3132" t="s">
        <v>346</v>
      </c>
      <c r="D3132" s="226">
        <v>316647.34000000003</v>
      </c>
      <c r="E3132" t="s">
        <v>673</v>
      </c>
    </row>
    <row r="3133" spans="1:5" hidden="1" x14ac:dyDescent="0.3">
      <c r="A3133" t="s">
        <v>552</v>
      </c>
      <c r="B3133" t="s">
        <v>672</v>
      </c>
      <c r="C3133" t="s">
        <v>44</v>
      </c>
      <c r="D3133" s="226">
        <v>0.26</v>
      </c>
      <c r="E3133" t="s">
        <v>673</v>
      </c>
    </row>
    <row r="3134" spans="1:5" hidden="1" x14ac:dyDescent="0.3">
      <c r="A3134" t="s">
        <v>552</v>
      </c>
      <c r="B3134" t="s">
        <v>672</v>
      </c>
      <c r="C3134" t="s">
        <v>347</v>
      </c>
      <c r="D3134" s="226">
        <v>-53910.34</v>
      </c>
      <c r="E3134" t="s">
        <v>673</v>
      </c>
    </row>
    <row r="3135" spans="1:5" hidden="1" x14ac:dyDescent="0.3">
      <c r="A3135" t="s">
        <v>552</v>
      </c>
      <c r="B3135" t="s">
        <v>672</v>
      </c>
      <c r="C3135" t="s">
        <v>654</v>
      </c>
      <c r="D3135" s="226">
        <v>-49253.599999999999</v>
      </c>
      <c r="E3135" t="s">
        <v>673</v>
      </c>
    </row>
    <row r="3136" spans="1:5" hidden="1" x14ac:dyDescent="0.3">
      <c r="A3136" t="s">
        <v>552</v>
      </c>
      <c r="B3136" t="s">
        <v>672</v>
      </c>
      <c r="C3136" t="s">
        <v>349</v>
      </c>
      <c r="D3136" s="226">
        <v>-4656.74</v>
      </c>
      <c r="E3136" t="s">
        <v>673</v>
      </c>
    </row>
    <row r="3137" spans="1:5" hidden="1" x14ac:dyDescent="0.3">
      <c r="A3137" t="s">
        <v>552</v>
      </c>
      <c r="B3137" t="s">
        <v>672</v>
      </c>
      <c r="C3137" t="s">
        <v>350</v>
      </c>
      <c r="D3137" s="226">
        <v>0</v>
      </c>
      <c r="E3137" t="s">
        <v>673</v>
      </c>
    </row>
    <row r="3138" spans="1:5" hidden="1" x14ac:dyDescent="0.3">
      <c r="A3138" t="s">
        <v>552</v>
      </c>
      <c r="B3138" t="s">
        <v>672</v>
      </c>
      <c r="C3138" t="s">
        <v>351</v>
      </c>
      <c r="D3138" s="226">
        <v>0</v>
      </c>
      <c r="E3138" t="s">
        <v>673</v>
      </c>
    </row>
    <row r="3139" spans="1:5" hidden="1" x14ac:dyDescent="0.3">
      <c r="A3139" t="s">
        <v>552</v>
      </c>
      <c r="B3139" t="s">
        <v>672</v>
      </c>
      <c r="C3139" t="s">
        <v>352</v>
      </c>
      <c r="D3139" s="226">
        <v>0</v>
      </c>
      <c r="E3139" t="s">
        <v>673</v>
      </c>
    </row>
    <row r="3140" spans="1:5" hidden="1" x14ac:dyDescent="0.3">
      <c r="A3140" t="s">
        <v>552</v>
      </c>
      <c r="B3140" t="s">
        <v>672</v>
      </c>
      <c r="C3140" t="s">
        <v>353</v>
      </c>
      <c r="D3140" s="226">
        <v>0</v>
      </c>
      <c r="E3140" t="s">
        <v>673</v>
      </c>
    </row>
    <row r="3141" spans="1:5" hidden="1" x14ac:dyDescent="0.3">
      <c r="A3141" t="s">
        <v>552</v>
      </c>
      <c r="B3141" t="s">
        <v>672</v>
      </c>
      <c r="C3141" t="s">
        <v>354</v>
      </c>
      <c r="D3141" s="226">
        <v>0</v>
      </c>
      <c r="E3141" t="s">
        <v>673</v>
      </c>
    </row>
    <row r="3142" spans="1:5" hidden="1" x14ac:dyDescent="0.3">
      <c r="A3142" t="s">
        <v>552</v>
      </c>
      <c r="B3142" t="s">
        <v>672</v>
      </c>
      <c r="C3142" t="s">
        <v>355</v>
      </c>
      <c r="D3142" s="226">
        <v>0</v>
      </c>
      <c r="E3142" t="s">
        <v>673</v>
      </c>
    </row>
    <row r="3143" spans="1:5" hidden="1" x14ac:dyDescent="0.3">
      <c r="A3143" t="s">
        <v>552</v>
      </c>
      <c r="B3143" t="s">
        <v>672</v>
      </c>
      <c r="C3143" t="s">
        <v>356</v>
      </c>
      <c r="D3143" s="226">
        <v>0</v>
      </c>
      <c r="E3143" t="s">
        <v>673</v>
      </c>
    </row>
    <row r="3144" spans="1:5" hidden="1" x14ac:dyDescent="0.3">
      <c r="A3144" t="s">
        <v>552</v>
      </c>
      <c r="B3144" t="s">
        <v>672</v>
      </c>
      <c r="C3144" t="s">
        <v>357</v>
      </c>
      <c r="D3144" s="226">
        <v>0</v>
      </c>
      <c r="E3144" t="s">
        <v>673</v>
      </c>
    </row>
    <row r="3145" spans="1:5" hidden="1" x14ac:dyDescent="0.3">
      <c r="A3145" t="s">
        <v>552</v>
      </c>
      <c r="B3145" t="s">
        <v>672</v>
      </c>
      <c r="C3145" t="s">
        <v>358</v>
      </c>
      <c r="D3145" s="226">
        <v>0</v>
      </c>
      <c r="E3145" t="s">
        <v>673</v>
      </c>
    </row>
    <row r="3146" spans="1:5" hidden="1" x14ac:dyDescent="0.3">
      <c r="A3146" t="s">
        <v>552</v>
      </c>
      <c r="B3146" t="s">
        <v>672</v>
      </c>
      <c r="C3146" t="s">
        <v>359</v>
      </c>
      <c r="D3146" s="226">
        <v>0</v>
      </c>
      <c r="E3146" t="s">
        <v>673</v>
      </c>
    </row>
    <row r="3147" spans="1:5" hidden="1" x14ac:dyDescent="0.3">
      <c r="A3147" t="s">
        <v>552</v>
      </c>
      <c r="B3147" t="s">
        <v>672</v>
      </c>
      <c r="C3147" t="s">
        <v>360</v>
      </c>
      <c r="D3147" s="226">
        <v>0</v>
      </c>
      <c r="E3147" t="s">
        <v>673</v>
      </c>
    </row>
    <row r="3148" spans="1:5" hidden="1" x14ac:dyDescent="0.3">
      <c r="A3148" t="s">
        <v>552</v>
      </c>
      <c r="B3148" t="s">
        <v>672</v>
      </c>
      <c r="C3148" t="s">
        <v>361</v>
      </c>
      <c r="D3148" s="226">
        <v>0</v>
      </c>
      <c r="E3148" t="s">
        <v>673</v>
      </c>
    </row>
    <row r="3149" spans="1:5" hidden="1" x14ac:dyDescent="0.3">
      <c r="A3149" t="s">
        <v>552</v>
      </c>
      <c r="B3149" t="s">
        <v>672</v>
      </c>
      <c r="C3149" t="s">
        <v>362</v>
      </c>
      <c r="D3149" s="226">
        <v>0</v>
      </c>
      <c r="E3149" t="s">
        <v>673</v>
      </c>
    </row>
    <row r="3150" spans="1:5" hidden="1" x14ac:dyDescent="0.3">
      <c r="A3150" t="s">
        <v>552</v>
      </c>
      <c r="B3150" t="s">
        <v>672</v>
      </c>
      <c r="C3150" t="s">
        <v>363</v>
      </c>
      <c r="D3150" s="226">
        <v>0</v>
      </c>
      <c r="E3150" t="s">
        <v>673</v>
      </c>
    </row>
    <row r="3151" spans="1:5" hidden="1" x14ac:dyDescent="0.3">
      <c r="A3151" t="s">
        <v>552</v>
      </c>
      <c r="B3151" t="s">
        <v>672</v>
      </c>
      <c r="C3151" t="s">
        <v>364</v>
      </c>
      <c r="D3151" s="226">
        <v>0</v>
      </c>
      <c r="E3151" t="s">
        <v>673</v>
      </c>
    </row>
    <row r="3152" spans="1:5" hidden="1" x14ac:dyDescent="0.3">
      <c r="A3152" t="s">
        <v>552</v>
      </c>
      <c r="B3152" t="s">
        <v>672</v>
      </c>
      <c r="C3152" t="s">
        <v>365</v>
      </c>
      <c r="D3152" s="226">
        <v>0</v>
      </c>
      <c r="E3152" t="s">
        <v>673</v>
      </c>
    </row>
    <row r="3153" spans="1:5" hidden="1" x14ac:dyDescent="0.3">
      <c r="A3153" t="s">
        <v>552</v>
      </c>
      <c r="B3153" t="s">
        <v>672</v>
      </c>
      <c r="C3153" t="s">
        <v>366</v>
      </c>
      <c r="D3153" s="226">
        <v>0</v>
      </c>
      <c r="E3153" t="s">
        <v>673</v>
      </c>
    </row>
    <row r="3154" spans="1:5" hidden="1" x14ac:dyDescent="0.3">
      <c r="A3154" t="s">
        <v>552</v>
      </c>
      <c r="B3154" t="s">
        <v>672</v>
      </c>
      <c r="C3154" t="s">
        <v>367</v>
      </c>
      <c r="D3154" s="226">
        <v>0</v>
      </c>
      <c r="E3154" t="s">
        <v>673</v>
      </c>
    </row>
    <row r="3155" spans="1:5" hidden="1" x14ac:dyDescent="0.3">
      <c r="A3155" t="s">
        <v>552</v>
      </c>
      <c r="B3155" t="s">
        <v>672</v>
      </c>
      <c r="C3155" t="s">
        <v>368</v>
      </c>
      <c r="D3155" s="226">
        <v>0</v>
      </c>
      <c r="E3155" t="s">
        <v>673</v>
      </c>
    </row>
    <row r="3156" spans="1:5" hidden="1" x14ac:dyDescent="0.3">
      <c r="A3156" t="s">
        <v>552</v>
      </c>
      <c r="B3156" t="s">
        <v>672</v>
      </c>
      <c r="C3156" t="s">
        <v>369</v>
      </c>
      <c r="D3156" s="226">
        <v>0</v>
      </c>
      <c r="E3156" t="s">
        <v>673</v>
      </c>
    </row>
    <row r="3157" spans="1:5" hidden="1" x14ac:dyDescent="0.3">
      <c r="A3157" t="s">
        <v>552</v>
      </c>
      <c r="B3157" t="s">
        <v>672</v>
      </c>
      <c r="C3157" t="s">
        <v>370</v>
      </c>
      <c r="D3157" s="226">
        <v>0</v>
      </c>
      <c r="E3157" t="s">
        <v>673</v>
      </c>
    </row>
    <row r="3158" spans="1:5" hidden="1" x14ac:dyDescent="0.3">
      <c r="A3158" t="s">
        <v>552</v>
      </c>
      <c r="B3158" t="s">
        <v>672</v>
      </c>
      <c r="C3158" t="s">
        <v>371</v>
      </c>
      <c r="D3158" s="226">
        <v>0</v>
      </c>
      <c r="E3158" t="s">
        <v>673</v>
      </c>
    </row>
    <row r="3159" spans="1:5" hidden="1" x14ac:dyDescent="0.3">
      <c r="A3159" t="s">
        <v>552</v>
      </c>
      <c r="B3159" t="s">
        <v>672</v>
      </c>
      <c r="C3159" t="s">
        <v>372</v>
      </c>
      <c r="D3159" s="226">
        <v>-53910.34</v>
      </c>
      <c r="E3159" t="s">
        <v>673</v>
      </c>
    </row>
    <row r="3160" spans="1:5" hidden="1" x14ac:dyDescent="0.3">
      <c r="A3160" t="s">
        <v>552</v>
      </c>
      <c r="B3160" t="s">
        <v>672</v>
      </c>
      <c r="C3160" t="s">
        <v>373</v>
      </c>
      <c r="D3160" s="226">
        <v>262737</v>
      </c>
      <c r="E3160" t="s">
        <v>673</v>
      </c>
    </row>
    <row r="3161" spans="1:5" hidden="1" x14ac:dyDescent="0.3">
      <c r="A3161" t="s">
        <v>552</v>
      </c>
      <c r="B3161" t="s">
        <v>672</v>
      </c>
      <c r="C3161" t="s">
        <v>655</v>
      </c>
      <c r="D3161" s="226">
        <v>0</v>
      </c>
      <c r="E3161" t="s">
        <v>673</v>
      </c>
    </row>
    <row r="3162" spans="1:5" hidden="1" x14ac:dyDescent="0.3">
      <c r="A3162" t="s">
        <v>552</v>
      </c>
      <c r="B3162" t="s">
        <v>674</v>
      </c>
      <c r="C3162" t="s">
        <v>11</v>
      </c>
      <c r="D3162" s="226">
        <v>1468537.34</v>
      </c>
      <c r="E3162" t="s">
        <v>675</v>
      </c>
    </row>
    <row r="3163" spans="1:5" hidden="1" x14ac:dyDescent="0.3">
      <c r="A3163" t="s">
        <v>552</v>
      </c>
      <c r="B3163" t="s">
        <v>674</v>
      </c>
      <c r="C3163" t="s">
        <v>13</v>
      </c>
      <c r="D3163" s="226">
        <v>703011</v>
      </c>
      <c r="E3163" t="s">
        <v>675</v>
      </c>
    </row>
    <row r="3164" spans="1:5" hidden="1" x14ac:dyDescent="0.3">
      <c r="A3164" t="s">
        <v>552</v>
      </c>
      <c r="B3164" t="s">
        <v>674</v>
      </c>
      <c r="C3164" t="s">
        <v>16</v>
      </c>
      <c r="D3164" s="226">
        <v>529628.5</v>
      </c>
      <c r="E3164" t="s">
        <v>675</v>
      </c>
    </row>
    <row r="3165" spans="1:5" hidden="1" x14ac:dyDescent="0.3">
      <c r="A3165" t="s">
        <v>552</v>
      </c>
      <c r="B3165" t="s">
        <v>674</v>
      </c>
      <c r="C3165" t="s">
        <v>17</v>
      </c>
      <c r="D3165" s="226">
        <v>0</v>
      </c>
      <c r="E3165" t="s">
        <v>675</v>
      </c>
    </row>
    <row r="3166" spans="1:5" hidden="1" x14ac:dyDescent="0.3">
      <c r="A3166" t="s">
        <v>552</v>
      </c>
      <c r="B3166" t="s">
        <v>674</v>
      </c>
      <c r="C3166" t="s">
        <v>18</v>
      </c>
      <c r="D3166" s="226">
        <v>1107</v>
      </c>
      <c r="E3166" t="s">
        <v>675</v>
      </c>
    </row>
    <row r="3167" spans="1:5" hidden="1" x14ac:dyDescent="0.3">
      <c r="A3167" t="s">
        <v>552</v>
      </c>
      <c r="B3167" t="s">
        <v>674</v>
      </c>
      <c r="C3167" t="s">
        <v>20</v>
      </c>
      <c r="D3167" s="226">
        <v>156237.84</v>
      </c>
      <c r="E3167" t="s">
        <v>675</v>
      </c>
    </row>
    <row r="3168" spans="1:5" hidden="1" x14ac:dyDescent="0.3">
      <c r="A3168" t="s">
        <v>552</v>
      </c>
      <c r="B3168" t="s">
        <v>674</v>
      </c>
      <c r="C3168" t="s">
        <v>23</v>
      </c>
      <c r="D3168" s="226">
        <v>39070</v>
      </c>
      <c r="E3168" t="s">
        <v>675</v>
      </c>
    </row>
    <row r="3169" spans="1:5" hidden="1" x14ac:dyDescent="0.3">
      <c r="A3169" t="s">
        <v>552</v>
      </c>
      <c r="B3169" t="s">
        <v>674</v>
      </c>
      <c r="C3169" t="s">
        <v>25</v>
      </c>
      <c r="D3169" s="226">
        <v>0</v>
      </c>
      <c r="E3169" t="s">
        <v>675</v>
      </c>
    </row>
    <row r="3170" spans="1:5" hidden="1" x14ac:dyDescent="0.3">
      <c r="A3170" t="s">
        <v>552</v>
      </c>
      <c r="B3170" t="s">
        <v>674</v>
      </c>
      <c r="C3170" t="s">
        <v>26</v>
      </c>
      <c r="D3170" s="226">
        <v>16825</v>
      </c>
      <c r="E3170" t="s">
        <v>675</v>
      </c>
    </row>
    <row r="3171" spans="1:5" hidden="1" x14ac:dyDescent="0.3">
      <c r="A3171" t="s">
        <v>552</v>
      </c>
      <c r="B3171" t="s">
        <v>674</v>
      </c>
      <c r="C3171" t="s">
        <v>27</v>
      </c>
      <c r="D3171" s="226">
        <v>0</v>
      </c>
      <c r="E3171" t="s">
        <v>675</v>
      </c>
    </row>
    <row r="3172" spans="1:5" hidden="1" x14ac:dyDescent="0.3">
      <c r="A3172" t="s">
        <v>552</v>
      </c>
      <c r="B3172" t="s">
        <v>674</v>
      </c>
      <c r="C3172" t="s">
        <v>29</v>
      </c>
      <c r="D3172" s="226">
        <v>22658</v>
      </c>
      <c r="E3172" t="s">
        <v>675</v>
      </c>
    </row>
    <row r="3173" spans="1:5" hidden="1" x14ac:dyDescent="0.3">
      <c r="A3173" t="s">
        <v>552</v>
      </c>
      <c r="B3173" t="s">
        <v>674</v>
      </c>
      <c r="C3173" t="s">
        <v>31</v>
      </c>
      <c r="D3173" s="226">
        <v>0</v>
      </c>
      <c r="E3173" t="s">
        <v>675</v>
      </c>
    </row>
    <row r="3174" spans="1:5" hidden="1" x14ac:dyDescent="0.3">
      <c r="A3174" t="s">
        <v>552</v>
      </c>
      <c r="B3174" t="s">
        <v>674</v>
      </c>
      <c r="C3174" t="s">
        <v>34</v>
      </c>
      <c r="D3174" s="226">
        <v>-11069.04</v>
      </c>
      <c r="E3174" t="s">
        <v>675</v>
      </c>
    </row>
    <row r="3175" spans="1:5" hidden="1" x14ac:dyDescent="0.3">
      <c r="A3175" t="s">
        <v>552</v>
      </c>
      <c r="B3175" t="s">
        <v>674</v>
      </c>
      <c r="C3175" t="s">
        <v>38</v>
      </c>
      <c r="D3175" s="226">
        <v>-11069.04</v>
      </c>
      <c r="E3175" t="s">
        <v>675</v>
      </c>
    </row>
    <row r="3176" spans="1:5" hidden="1" x14ac:dyDescent="0.3">
      <c r="A3176" t="s">
        <v>552</v>
      </c>
      <c r="B3176" t="s">
        <v>674</v>
      </c>
      <c r="C3176" t="s">
        <v>40</v>
      </c>
      <c r="D3176" s="226">
        <v>0</v>
      </c>
      <c r="E3176" t="s">
        <v>675</v>
      </c>
    </row>
    <row r="3177" spans="1:5" hidden="1" x14ac:dyDescent="0.3">
      <c r="A3177" t="s">
        <v>552</v>
      </c>
      <c r="B3177" t="s">
        <v>674</v>
      </c>
      <c r="C3177" t="s">
        <v>42</v>
      </c>
      <c r="D3177" s="226">
        <v>0</v>
      </c>
      <c r="E3177" t="s">
        <v>675</v>
      </c>
    </row>
    <row r="3178" spans="1:5" hidden="1" x14ac:dyDescent="0.3">
      <c r="A3178" t="s">
        <v>552</v>
      </c>
      <c r="B3178" t="s">
        <v>674</v>
      </c>
      <c r="C3178" t="s">
        <v>44</v>
      </c>
      <c r="D3178" s="226">
        <v>-0.01</v>
      </c>
      <c r="E3178" t="s">
        <v>675</v>
      </c>
    </row>
    <row r="3179" spans="1:5" hidden="1" x14ac:dyDescent="0.3">
      <c r="A3179" t="s">
        <v>552</v>
      </c>
      <c r="B3179" t="s">
        <v>674</v>
      </c>
      <c r="C3179" t="s">
        <v>45</v>
      </c>
      <c r="D3179" s="226">
        <v>-89837.55</v>
      </c>
      <c r="E3179" t="s">
        <v>675</v>
      </c>
    </row>
    <row r="3180" spans="1:5" hidden="1" x14ac:dyDescent="0.3">
      <c r="A3180" t="s">
        <v>552</v>
      </c>
      <c r="B3180" t="s">
        <v>674</v>
      </c>
      <c r="C3180" t="s">
        <v>46</v>
      </c>
      <c r="D3180" s="226">
        <v>-47494.91</v>
      </c>
      <c r="E3180" t="s">
        <v>675</v>
      </c>
    </row>
    <row r="3181" spans="1:5" hidden="1" x14ac:dyDescent="0.3">
      <c r="A3181" t="s">
        <v>552</v>
      </c>
      <c r="B3181" t="s">
        <v>674</v>
      </c>
      <c r="C3181" t="s">
        <v>48</v>
      </c>
      <c r="D3181" s="226">
        <v>-40389.129999999997</v>
      </c>
      <c r="E3181" t="s">
        <v>675</v>
      </c>
    </row>
    <row r="3182" spans="1:5" hidden="1" x14ac:dyDescent="0.3">
      <c r="A3182" t="s">
        <v>552</v>
      </c>
      <c r="B3182" t="s">
        <v>674</v>
      </c>
      <c r="C3182" t="s">
        <v>49</v>
      </c>
      <c r="D3182" s="226">
        <v>-1953.5</v>
      </c>
      <c r="E3182" t="s">
        <v>675</v>
      </c>
    </row>
    <row r="3183" spans="1:5" hidden="1" x14ac:dyDescent="0.3">
      <c r="A3183" t="s">
        <v>552</v>
      </c>
      <c r="B3183" t="s">
        <v>674</v>
      </c>
      <c r="C3183" t="s">
        <v>50</v>
      </c>
      <c r="D3183" s="226">
        <v>1367630.75</v>
      </c>
      <c r="E3183" t="s">
        <v>675</v>
      </c>
    </row>
    <row r="3184" spans="1:5" hidden="1" x14ac:dyDescent="0.3">
      <c r="A3184" t="s">
        <v>552</v>
      </c>
      <c r="B3184" t="s">
        <v>674</v>
      </c>
      <c r="C3184" t="s">
        <v>51</v>
      </c>
      <c r="D3184" s="226">
        <v>-383662.56</v>
      </c>
      <c r="E3184" t="s">
        <v>675</v>
      </c>
    </row>
    <row r="3185" spans="1:5" hidden="1" x14ac:dyDescent="0.3">
      <c r="A3185" t="s">
        <v>552</v>
      </c>
      <c r="B3185" t="s">
        <v>674</v>
      </c>
      <c r="C3185" t="s">
        <v>52</v>
      </c>
      <c r="D3185" s="226">
        <v>-247705.92</v>
      </c>
      <c r="E3185" t="s">
        <v>675</v>
      </c>
    </row>
    <row r="3186" spans="1:5" hidden="1" x14ac:dyDescent="0.3">
      <c r="A3186" t="s">
        <v>552</v>
      </c>
      <c r="B3186" t="s">
        <v>674</v>
      </c>
      <c r="C3186" t="s">
        <v>53</v>
      </c>
      <c r="D3186" s="226">
        <v>-134705.76</v>
      </c>
      <c r="E3186" t="s">
        <v>675</v>
      </c>
    </row>
    <row r="3187" spans="1:5" hidden="1" x14ac:dyDescent="0.3">
      <c r="A3187" t="s">
        <v>552</v>
      </c>
      <c r="B3187" t="s">
        <v>674</v>
      </c>
      <c r="C3187" t="s">
        <v>54</v>
      </c>
      <c r="D3187" s="226">
        <v>-1250.8800000000001</v>
      </c>
      <c r="E3187" t="s">
        <v>675</v>
      </c>
    </row>
    <row r="3188" spans="1:5" hidden="1" x14ac:dyDescent="0.3">
      <c r="A3188" t="s">
        <v>552</v>
      </c>
      <c r="B3188" t="s">
        <v>674</v>
      </c>
      <c r="C3188" t="s">
        <v>23</v>
      </c>
      <c r="D3188" s="226">
        <v>0</v>
      </c>
      <c r="E3188" t="s">
        <v>675</v>
      </c>
    </row>
    <row r="3189" spans="1:5" hidden="1" x14ac:dyDescent="0.3">
      <c r="A3189" t="s">
        <v>552</v>
      </c>
      <c r="B3189" t="s">
        <v>674</v>
      </c>
      <c r="C3189" t="s">
        <v>44</v>
      </c>
      <c r="D3189" s="226">
        <v>-0.3</v>
      </c>
      <c r="E3189" t="s">
        <v>675</v>
      </c>
    </row>
    <row r="3190" spans="1:5" hidden="1" x14ac:dyDescent="0.3">
      <c r="A3190" t="s">
        <v>552</v>
      </c>
      <c r="B3190" t="s">
        <v>674</v>
      </c>
      <c r="C3190" t="s">
        <v>55</v>
      </c>
      <c r="D3190" s="226">
        <v>-0.28000000000000003</v>
      </c>
      <c r="E3190" t="s">
        <v>675</v>
      </c>
    </row>
    <row r="3191" spans="1:5" hidden="1" x14ac:dyDescent="0.3">
      <c r="A3191" t="s">
        <v>552</v>
      </c>
      <c r="B3191" t="s">
        <v>674</v>
      </c>
      <c r="C3191" t="s">
        <v>56</v>
      </c>
      <c r="D3191" s="226">
        <v>0</v>
      </c>
      <c r="E3191" t="s">
        <v>675</v>
      </c>
    </row>
    <row r="3192" spans="1:5" hidden="1" x14ac:dyDescent="0.3">
      <c r="A3192" t="s">
        <v>552</v>
      </c>
      <c r="B3192" t="s">
        <v>674</v>
      </c>
      <c r="C3192" t="s">
        <v>57</v>
      </c>
      <c r="D3192" s="226">
        <v>0</v>
      </c>
      <c r="E3192" t="s">
        <v>675</v>
      </c>
    </row>
    <row r="3193" spans="1:5" hidden="1" x14ac:dyDescent="0.3">
      <c r="A3193" t="s">
        <v>552</v>
      </c>
      <c r="B3193" t="s">
        <v>674</v>
      </c>
      <c r="C3193" t="s">
        <v>58</v>
      </c>
      <c r="D3193" s="226">
        <v>0</v>
      </c>
      <c r="E3193" t="s">
        <v>675</v>
      </c>
    </row>
    <row r="3194" spans="1:5" hidden="1" x14ac:dyDescent="0.3">
      <c r="A3194" t="s">
        <v>552</v>
      </c>
      <c r="B3194" t="s">
        <v>674</v>
      </c>
      <c r="C3194" t="s">
        <v>59</v>
      </c>
      <c r="D3194" s="226">
        <v>0</v>
      </c>
      <c r="E3194" t="s">
        <v>675</v>
      </c>
    </row>
    <row r="3195" spans="1:5" hidden="1" x14ac:dyDescent="0.3">
      <c r="A3195" t="s">
        <v>552</v>
      </c>
      <c r="B3195" t="s">
        <v>674</v>
      </c>
      <c r="C3195" t="s">
        <v>61</v>
      </c>
      <c r="D3195" s="226">
        <v>0</v>
      </c>
      <c r="E3195" t="s">
        <v>675</v>
      </c>
    </row>
    <row r="3196" spans="1:5" hidden="1" x14ac:dyDescent="0.3">
      <c r="A3196" t="s">
        <v>552</v>
      </c>
      <c r="B3196" t="s">
        <v>674</v>
      </c>
      <c r="C3196" t="s">
        <v>62</v>
      </c>
      <c r="D3196" s="226">
        <v>0</v>
      </c>
      <c r="E3196" t="s">
        <v>675</v>
      </c>
    </row>
    <row r="3197" spans="1:5" hidden="1" x14ac:dyDescent="0.3">
      <c r="A3197" t="s">
        <v>552</v>
      </c>
      <c r="B3197" t="s">
        <v>674</v>
      </c>
      <c r="C3197" t="s">
        <v>64</v>
      </c>
      <c r="D3197" s="226">
        <v>0</v>
      </c>
      <c r="E3197" t="s">
        <v>675</v>
      </c>
    </row>
    <row r="3198" spans="1:5" hidden="1" x14ac:dyDescent="0.3">
      <c r="A3198" t="s">
        <v>552</v>
      </c>
      <c r="B3198" t="s">
        <v>674</v>
      </c>
      <c r="C3198" t="s">
        <v>65</v>
      </c>
      <c r="D3198" s="226">
        <v>0</v>
      </c>
      <c r="E3198" t="s">
        <v>675</v>
      </c>
    </row>
    <row r="3199" spans="1:5" hidden="1" x14ac:dyDescent="0.3">
      <c r="A3199" t="s">
        <v>552</v>
      </c>
      <c r="B3199" t="s">
        <v>674</v>
      </c>
      <c r="C3199" t="s">
        <v>66</v>
      </c>
      <c r="D3199" s="226">
        <v>0</v>
      </c>
      <c r="E3199" t="s">
        <v>675</v>
      </c>
    </row>
    <row r="3200" spans="1:5" hidden="1" x14ac:dyDescent="0.3">
      <c r="A3200" t="s">
        <v>552</v>
      </c>
      <c r="B3200" t="s">
        <v>674</v>
      </c>
      <c r="C3200" t="s">
        <v>68</v>
      </c>
      <c r="D3200" s="226">
        <v>0</v>
      </c>
      <c r="E3200" t="s">
        <v>675</v>
      </c>
    </row>
    <row r="3201" spans="1:5" hidden="1" x14ac:dyDescent="0.3">
      <c r="A3201" t="s">
        <v>552</v>
      </c>
      <c r="B3201" t="s">
        <v>674</v>
      </c>
      <c r="C3201" t="s">
        <v>69</v>
      </c>
      <c r="D3201" s="226">
        <v>0</v>
      </c>
      <c r="E3201" t="s">
        <v>675</v>
      </c>
    </row>
    <row r="3202" spans="1:5" hidden="1" x14ac:dyDescent="0.3">
      <c r="A3202" t="s">
        <v>552</v>
      </c>
      <c r="B3202" t="s">
        <v>674</v>
      </c>
      <c r="C3202" t="s">
        <v>70</v>
      </c>
      <c r="D3202" s="226">
        <v>0</v>
      </c>
      <c r="E3202" t="s">
        <v>675</v>
      </c>
    </row>
    <row r="3203" spans="1:5" hidden="1" x14ac:dyDescent="0.3">
      <c r="A3203" t="s">
        <v>552</v>
      </c>
      <c r="B3203" t="s">
        <v>674</v>
      </c>
      <c r="C3203" t="s">
        <v>44</v>
      </c>
      <c r="D3203" s="226">
        <v>0</v>
      </c>
      <c r="E3203" t="s">
        <v>675</v>
      </c>
    </row>
    <row r="3204" spans="1:5" hidden="1" x14ac:dyDescent="0.3">
      <c r="A3204" t="s">
        <v>552</v>
      </c>
      <c r="B3204" t="s">
        <v>674</v>
      </c>
      <c r="C3204" t="s">
        <v>71</v>
      </c>
      <c r="D3204" s="226">
        <v>0</v>
      </c>
      <c r="E3204" t="s">
        <v>675</v>
      </c>
    </row>
    <row r="3205" spans="1:5" hidden="1" x14ac:dyDescent="0.3">
      <c r="A3205" t="s">
        <v>552</v>
      </c>
      <c r="B3205" t="s">
        <v>674</v>
      </c>
      <c r="C3205" t="s">
        <v>72</v>
      </c>
      <c r="D3205" s="226">
        <v>0</v>
      </c>
      <c r="E3205" t="s">
        <v>675</v>
      </c>
    </row>
    <row r="3206" spans="1:5" hidden="1" x14ac:dyDescent="0.3">
      <c r="A3206" t="s">
        <v>552</v>
      </c>
      <c r="B3206" t="s">
        <v>674</v>
      </c>
      <c r="C3206" t="s">
        <v>73</v>
      </c>
      <c r="D3206" s="226">
        <v>0</v>
      </c>
      <c r="E3206" t="s">
        <v>675</v>
      </c>
    </row>
    <row r="3207" spans="1:5" hidden="1" x14ac:dyDescent="0.3">
      <c r="A3207" t="s">
        <v>552</v>
      </c>
      <c r="B3207" t="s">
        <v>674</v>
      </c>
      <c r="C3207" t="s">
        <v>75</v>
      </c>
      <c r="D3207" s="226">
        <v>0</v>
      </c>
      <c r="E3207" t="s">
        <v>675</v>
      </c>
    </row>
    <row r="3208" spans="1:5" hidden="1" x14ac:dyDescent="0.3">
      <c r="A3208" t="s">
        <v>552</v>
      </c>
      <c r="B3208" t="s">
        <v>674</v>
      </c>
      <c r="C3208" t="s">
        <v>77</v>
      </c>
      <c r="D3208" s="226">
        <v>0</v>
      </c>
      <c r="E3208" t="s">
        <v>675</v>
      </c>
    </row>
    <row r="3209" spans="1:5" hidden="1" x14ac:dyDescent="0.3">
      <c r="A3209" t="s">
        <v>552</v>
      </c>
      <c r="B3209" t="s">
        <v>674</v>
      </c>
      <c r="C3209" t="s">
        <v>78</v>
      </c>
      <c r="D3209" s="226">
        <v>0</v>
      </c>
      <c r="E3209" t="s">
        <v>675</v>
      </c>
    </row>
    <row r="3210" spans="1:5" hidden="1" x14ac:dyDescent="0.3">
      <c r="A3210" t="s">
        <v>552</v>
      </c>
      <c r="B3210" t="s">
        <v>674</v>
      </c>
      <c r="C3210" t="s">
        <v>80</v>
      </c>
      <c r="D3210" s="226">
        <v>0</v>
      </c>
      <c r="E3210" t="s">
        <v>675</v>
      </c>
    </row>
    <row r="3211" spans="1:5" hidden="1" x14ac:dyDescent="0.3">
      <c r="A3211" t="s">
        <v>552</v>
      </c>
      <c r="B3211" t="s">
        <v>674</v>
      </c>
      <c r="C3211" t="s">
        <v>82</v>
      </c>
      <c r="D3211" s="226">
        <v>0</v>
      </c>
      <c r="E3211" t="s">
        <v>675</v>
      </c>
    </row>
    <row r="3212" spans="1:5" hidden="1" x14ac:dyDescent="0.3">
      <c r="A3212" t="s">
        <v>552</v>
      </c>
      <c r="B3212" t="s">
        <v>674</v>
      </c>
      <c r="C3212" t="s">
        <v>84</v>
      </c>
      <c r="D3212" s="226">
        <v>0</v>
      </c>
      <c r="E3212" t="s">
        <v>675</v>
      </c>
    </row>
    <row r="3213" spans="1:5" hidden="1" x14ac:dyDescent="0.3">
      <c r="A3213" t="s">
        <v>552</v>
      </c>
      <c r="B3213" t="s">
        <v>674</v>
      </c>
      <c r="C3213" t="s">
        <v>85</v>
      </c>
      <c r="D3213" s="226">
        <v>0</v>
      </c>
      <c r="E3213" t="s">
        <v>675</v>
      </c>
    </row>
    <row r="3214" spans="1:5" hidden="1" x14ac:dyDescent="0.3">
      <c r="A3214" t="s">
        <v>552</v>
      </c>
      <c r="B3214" t="s">
        <v>674</v>
      </c>
      <c r="C3214" t="s">
        <v>86</v>
      </c>
      <c r="D3214" s="226">
        <v>0</v>
      </c>
      <c r="E3214" t="s">
        <v>675</v>
      </c>
    </row>
    <row r="3215" spans="1:5" hidden="1" x14ac:dyDescent="0.3">
      <c r="A3215" t="s">
        <v>552</v>
      </c>
      <c r="B3215" t="s">
        <v>674</v>
      </c>
      <c r="C3215" t="s">
        <v>87</v>
      </c>
      <c r="D3215" s="226">
        <v>0</v>
      </c>
      <c r="E3215" t="s">
        <v>675</v>
      </c>
    </row>
    <row r="3216" spans="1:5" hidden="1" x14ac:dyDescent="0.3">
      <c r="A3216" t="s">
        <v>552</v>
      </c>
      <c r="B3216" t="s">
        <v>674</v>
      </c>
      <c r="C3216" t="s">
        <v>88</v>
      </c>
      <c r="D3216" s="226">
        <v>0</v>
      </c>
      <c r="E3216" t="s">
        <v>675</v>
      </c>
    </row>
    <row r="3217" spans="1:5" hidden="1" x14ac:dyDescent="0.3">
      <c r="A3217" t="s">
        <v>552</v>
      </c>
      <c r="B3217" t="s">
        <v>674</v>
      </c>
      <c r="C3217" t="s">
        <v>89</v>
      </c>
      <c r="D3217" s="226">
        <v>0</v>
      </c>
      <c r="E3217" t="s">
        <v>675</v>
      </c>
    </row>
    <row r="3218" spans="1:5" hidden="1" x14ac:dyDescent="0.3">
      <c r="A3218" t="s">
        <v>552</v>
      </c>
      <c r="B3218" t="s">
        <v>674</v>
      </c>
      <c r="C3218" t="s">
        <v>90</v>
      </c>
      <c r="D3218" s="226">
        <v>0</v>
      </c>
      <c r="E3218" t="s">
        <v>675</v>
      </c>
    </row>
    <row r="3219" spans="1:5" hidden="1" x14ac:dyDescent="0.3">
      <c r="A3219" t="s">
        <v>552</v>
      </c>
      <c r="B3219" t="s">
        <v>674</v>
      </c>
      <c r="C3219" t="s">
        <v>91</v>
      </c>
      <c r="D3219" s="226">
        <v>0</v>
      </c>
      <c r="E3219" t="s">
        <v>675</v>
      </c>
    </row>
    <row r="3220" spans="1:5" hidden="1" x14ac:dyDescent="0.3">
      <c r="A3220" t="s">
        <v>552</v>
      </c>
      <c r="B3220" t="s">
        <v>674</v>
      </c>
      <c r="C3220" t="s">
        <v>93</v>
      </c>
      <c r="D3220" s="226">
        <v>0</v>
      </c>
      <c r="E3220" t="s">
        <v>675</v>
      </c>
    </row>
    <row r="3221" spans="1:5" hidden="1" x14ac:dyDescent="0.3">
      <c r="A3221" t="s">
        <v>552</v>
      </c>
      <c r="B3221" t="s">
        <v>674</v>
      </c>
      <c r="C3221" t="s">
        <v>95</v>
      </c>
      <c r="D3221" s="226">
        <v>0</v>
      </c>
      <c r="E3221" t="s">
        <v>675</v>
      </c>
    </row>
    <row r="3222" spans="1:5" hidden="1" x14ac:dyDescent="0.3">
      <c r="A3222" t="s">
        <v>552</v>
      </c>
      <c r="B3222" t="s">
        <v>674</v>
      </c>
      <c r="C3222" t="s">
        <v>96</v>
      </c>
      <c r="D3222" s="226">
        <v>0</v>
      </c>
      <c r="E3222" t="s">
        <v>675</v>
      </c>
    </row>
    <row r="3223" spans="1:5" hidden="1" x14ac:dyDescent="0.3">
      <c r="A3223" t="s">
        <v>552</v>
      </c>
      <c r="B3223" t="s">
        <v>674</v>
      </c>
      <c r="C3223" t="s">
        <v>98</v>
      </c>
      <c r="D3223" s="226">
        <v>0</v>
      </c>
      <c r="E3223" t="s">
        <v>675</v>
      </c>
    </row>
    <row r="3224" spans="1:5" hidden="1" x14ac:dyDescent="0.3">
      <c r="A3224" t="s">
        <v>552</v>
      </c>
      <c r="B3224" t="s">
        <v>674</v>
      </c>
      <c r="C3224" t="s">
        <v>100</v>
      </c>
      <c r="D3224" s="226">
        <v>0</v>
      </c>
      <c r="E3224" t="s">
        <v>675</v>
      </c>
    </row>
    <row r="3225" spans="1:5" hidden="1" x14ac:dyDescent="0.3">
      <c r="A3225" t="s">
        <v>552</v>
      </c>
      <c r="B3225" t="s">
        <v>674</v>
      </c>
      <c r="C3225" t="s">
        <v>101</v>
      </c>
      <c r="D3225" s="226">
        <v>0</v>
      </c>
      <c r="E3225" t="s">
        <v>675</v>
      </c>
    </row>
    <row r="3226" spans="1:5" hidden="1" x14ac:dyDescent="0.3">
      <c r="A3226" t="s">
        <v>552</v>
      </c>
      <c r="B3226" t="s">
        <v>674</v>
      </c>
      <c r="C3226" t="s">
        <v>102</v>
      </c>
      <c r="D3226" s="226">
        <v>0</v>
      </c>
      <c r="E3226" t="s">
        <v>675</v>
      </c>
    </row>
    <row r="3227" spans="1:5" hidden="1" x14ac:dyDescent="0.3">
      <c r="A3227" t="s">
        <v>552</v>
      </c>
      <c r="B3227" t="s">
        <v>674</v>
      </c>
      <c r="C3227" t="s">
        <v>103</v>
      </c>
      <c r="D3227" s="226">
        <v>0</v>
      </c>
      <c r="E3227" t="s">
        <v>675</v>
      </c>
    </row>
    <row r="3228" spans="1:5" hidden="1" x14ac:dyDescent="0.3">
      <c r="A3228" t="s">
        <v>552</v>
      </c>
      <c r="B3228" t="s">
        <v>674</v>
      </c>
      <c r="C3228" t="s">
        <v>104</v>
      </c>
      <c r="D3228" s="226">
        <v>0</v>
      </c>
      <c r="E3228" t="s">
        <v>675</v>
      </c>
    </row>
    <row r="3229" spans="1:5" hidden="1" x14ac:dyDescent="0.3">
      <c r="A3229" t="s">
        <v>552</v>
      </c>
      <c r="B3229" t="s">
        <v>674</v>
      </c>
      <c r="C3229" t="s">
        <v>105</v>
      </c>
      <c r="D3229" s="226">
        <v>0</v>
      </c>
      <c r="E3229" t="s">
        <v>675</v>
      </c>
    </row>
    <row r="3230" spans="1:5" hidden="1" x14ac:dyDescent="0.3">
      <c r="A3230" t="s">
        <v>552</v>
      </c>
      <c r="B3230" t="s">
        <v>674</v>
      </c>
      <c r="C3230" t="s">
        <v>107</v>
      </c>
      <c r="D3230" s="226">
        <v>0</v>
      </c>
      <c r="E3230" t="s">
        <v>675</v>
      </c>
    </row>
    <row r="3231" spans="1:5" hidden="1" x14ac:dyDescent="0.3">
      <c r="A3231" t="s">
        <v>552</v>
      </c>
      <c r="B3231" t="s">
        <v>674</v>
      </c>
      <c r="C3231" t="s">
        <v>108</v>
      </c>
      <c r="D3231" s="226">
        <v>0</v>
      </c>
      <c r="E3231" t="s">
        <v>675</v>
      </c>
    </row>
    <row r="3232" spans="1:5" hidden="1" x14ac:dyDescent="0.3">
      <c r="A3232" t="s">
        <v>552</v>
      </c>
      <c r="B3232" t="s">
        <v>674</v>
      </c>
      <c r="C3232" t="s">
        <v>109</v>
      </c>
      <c r="D3232" s="226">
        <v>0</v>
      </c>
      <c r="E3232" t="s">
        <v>675</v>
      </c>
    </row>
    <row r="3233" spans="1:5" hidden="1" x14ac:dyDescent="0.3">
      <c r="A3233" t="s">
        <v>552</v>
      </c>
      <c r="B3233" t="s">
        <v>674</v>
      </c>
      <c r="C3233" t="s">
        <v>110</v>
      </c>
      <c r="D3233" s="226">
        <v>0</v>
      </c>
      <c r="E3233" t="s">
        <v>675</v>
      </c>
    </row>
    <row r="3234" spans="1:5" hidden="1" x14ac:dyDescent="0.3">
      <c r="A3234" t="s">
        <v>552</v>
      </c>
      <c r="B3234" t="s">
        <v>674</v>
      </c>
      <c r="C3234" t="s">
        <v>44</v>
      </c>
      <c r="D3234" s="226">
        <v>0</v>
      </c>
      <c r="E3234" t="s">
        <v>675</v>
      </c>
    </row>
    <row r="3235" spans="1:5" hidden="1" x14ac:dyDescent="0.3">
      <c r="A3235" t="s">
        <v>552</v>
      </c>
      <c r="B3235" t="s">
        <v>674</v>
      </c>
      <c r="C3235" t="s">
        <v>111</v>
      </c>
      <c r="D3235" s="226">
        <v>-93408.95</v>
      </c>
      <c r="E3235" t="s">
        <v>675</v>
      </c>
    </row>
    <row r="3236" spans="1:5" hidden="1" x14ac:dyDescent="0.3">
      <c r="A3236" t="s">
        <v>552</v>
      </c>
      <c r="B3236" t="s">
        <v>674</v>
      </c>
      <c r="C3236" t="s">
        <v>555</v>
      </c>
      <c r="D3236" s="226">
        <v>-93408.95</v>
      </c>
      <c r="E3236" t="s">
        <v>675</v>
      </c>
    </row>
    <row r="3237" spans="1:5" hidden="1" x14ac:dyDescent="0.3">
      <c r="A3237" t="s">
        <v>552</v>
      </c>
      <c r="B3237" t="s">
        <v>674</v>
      </c>
      <c r="C3237" t="s">
        <v>44</v>
      </c>
      <c r="D3237" s="226">
        <v>-0.06</v>
      </c>
      <c r="E3237" t="s">
        <v>675</v>
      </c>
    </row>
    <row r="3238" spans="1:5" hidden="1" x14ac:dyDescent="0.3">
      <c r="A3238" t="s">
        <v>552</v>
      </c>
      <c r="B3238" t="s">
        <v>674</v>
      </c>
      <c r="C3238" t="s">
        <v>115</v>
      </c>
      <c r="D3238" s="226">
        <v>-25320.19</v>
      </c>
      <c r="E3238" t="s">
        <v>675</v>
      </c>
    </row>
    <row r="3239" spans="1:5" hidden="1" x14ac:dyDescent="0.3">
      <c r="A3239" t="s">
        <v>552</v>
      </c>
      <c r="B3239" t="s">
        <v>674</v>
      </c>
      <c r="C3239" t="s">
        <v>116</v>
      </c>
      <c r="D3239" s="226">
        <v>-17362.62</v>
      </c>
      <c r="E3239" t="s">
        <v>675</v>
      </c>
    </row>
    <row r="3240" spans="1:5" hidden="1" x14ac:dyDescent="0.3">
      <c r="A3240" t="s">
        <v>552</v>
      </c>
      <c r="B3240" t="s">
        <v>674</v>
      </c>
      <c r="C3240" t="s">
        <v>118</v>
      </c>
      <c r="D3240" s="226">
        <v>0</v>
      </c>
      <c r="E3240" t="s">
        <v>675</v>
      </c>
    </row>
    <row r="3241" spans="1:5" hidden="1" x14ac:dyDescent="0.3">
      <c r="A3241" t="s">
        <v>552</v>
      </c>
      <c r="B3241" t="s">
        <v>674</v>
      </c>
      <c r="C3241" t="s">
        <v>120</v>
      </c>
      <c r="D3241" s="226">
        <v>0</v>
      </c>
      <c r="E3241" t="s">
        <v>675</v>
      </c>
    </row>
    <row r="3242" spans="1:5" hidden="1" x14ac:dyDescent="0.3">
      <c r="A3242" t="s">
        <v>552</v>
      </c>
      <c r="B3242" t="s">
        <v>674</v>
      </c>
      <c r="C3242" t="s">
        <v>122</v>
      </c>
      <c r="D3242" s="226">
        <v>-7957.57</v>
      </c>
      <c r="E3242" t="s">
        <v>675</v>
      </c>
    </row>
    <row r="3243" spans="1:5" hidden="1" x14ac:dyDescent="0.3">
      <c r="A3243" t="s">
        <v>552</v>
      </c>
      <c r="B3243" t="s">
        <v>674</v>
      </c>
      <c r="C3243" t="s">
        <v>44</v>
      </c>
      <c r="D3243" s="226">
        <v>-0.02</v>
      </c>
      <c r="E3243" t="s">
        <v>675</v>
      </c>
    </row>
    <row r="3244" spans="1:5" hidden="1" x14ac:dyDescent="0.3">
      <c r="A3244" t="s">
        <v>552</v>
      </c>
      <c r="B3244" t="s">
        <v>674</v>
      </c>
      <c r="C3244" t="s">
        <v>125</v>
      </c>
      <c r="D3244" s="226">
        <v>865239.05</v>
      </c>
      <c r="E3244" t="s">
        <v>675</v>
      </c>
    </row>
    <row r="3245" spans="1:5" hidden="1" x14ac:dyDescent="0.3">
      <c r="A3245" t="s">
        <v>552</v>
      </c>
      <c r="B3245" t="s">
        <v>674</v>
      </c>
      <c r="C3245" t="s">
        <v>126</v>
      </c>
      <c r="D3245" s="226">
        <v>0.59</v>
      </c>
      <c r="E3245" t="s">
        <v>675</v>
      </c>
    </row>
    <row r="3246" spans="1:5" hidden="1" x14ac:dyDescent="0.3">
      <c r="A3246" t="s">
        <v>552</v>
      </c>
      <c r="B3246" t="s">
        <v>674</v>
      </c>
      <c r="C3246" t="s">
        <v>127</v>
      </c>
      <c r="D3246" s="226">
        <v>-316407.01</v>
      </c>
      <c r="E3246" t="s">
        <v>675</v>
      </c>
    </row>
    <row r="3247" spans="1:5" hidden="1" x14ac:dyDescent="0.3">
      <c r="A3247" t="s">
        <v>552</v>
      </c>
      <c r="B3247" t="s">
        <v>674</v>
      </c>
      <c r="C3247" t="s">
        <v>128</v>
      </c>
      <c r="D3247" s="226">
        <v>-49350</v>
      </c>
      <c r="E3247" t="s">
        <v>675</v>
      </c>
    </row>
    <row r="3248" spans="1:5" hidden="1" x14ac:dyDescent="0.3">
      <c r="A3248" t="s">
        <v>552</v>
      </c>
      <c r="B3248" t="s">
        <v>674</v>
      </c>
      <c r="C3248" t="s">
        <v>556</v>
      </c>
      <c r="D3248" s="226">
        <v>-12450</v>
      </c>
      <c r="E3248" t="s">
        <v>675</v>
      </c>
    </row>
    <row r="3249" spans="1:5" hidden="1" x14ac:dyDescent="0.3">
      <c r="A3249" t="s">
        <v>552</v>
      </c>
      <c r="B3249" t="s">
        <v>674</v>
      </c>
      <c r="C3249" t="s">
        <v>557</v>
      </c>
      <c r="D3249" s="226">
        <v>-6600</v>
      </c>
      <c r="E3249" t="s">
        <v>675</v>
      </c>
    </row>
    <row r="3250" spans="1:5" hidden="1" x14ac:dyDescent="0.3">
      <c r="A3250" t="s">
        <v>552</v>
      </c>
      <c r="B3250" t="s">
        <v>674</v>
      </c>
      <c r="C3250" t="s">
        <v>558</v>
      </c>
      <c r="D3250" s="226">
        <v>0</v>
      </c>
      <c r="E3250" t="s">
        <v>675</v>
      </c>
    </row>
    <row r="3251" spans="1:5" hidden="1" x14ac:dyDescent="0.3">
      <c r="A3251" t="s">
        <v>552</v>
      </c>
      <c r="B3251" t="s">
        <v>674</v>
      </c>
      <c r="C3251" t="s">
        <v>559</v>
      </c>
      <c r="D3251" s="226">
        <v>-16800</v>
      </c>
      <c r="E3251" t="s">
        <v>675</v>
      </c>
    </row>
    <row r="3252" spans="1:5" hidden="1" x14ac:dyDescent="0.3">
      <c r="A3252" t="s">
        <v>552</v>
      </c>
      <c r="B3252" t="s">
        <v>674</v>
      </c>
      <c r="C3252" t="s">
        <v>560</v>
      </c>
      <c r="D3252" s="226">
        <v>-2500</v>
      </c>
      <c r="E3252" t="s">
        <v>675</v>
      </c>
    </row>
    <row r="3253" spans="1:5" hidden="1" x14ac:dyDescent="0.3">
      <c r="A3253" t="s">
        <v>552</v>
      </c>
      <c r="B3253" t="s">
        <v>674</v>
      </c>
      <c r="C3253" t="s">
        <v>561</v>
      </c>
      <c r="D3253" s="226">
        <v>-7000</v>
      </c>
      <c r="E3253" t="s">
        <v>675</v>
      </c>
    </row>
    <row r="3254" spans="1:5" hidden="1" x14ac:dyDescent="0.3">
      <c r="A3254" t="s">
        <v>552</v>
      </c>
      <c r="B3254" t="s">
        <v>674</v>
      </c>
      <c r="C3254" t="s">
        <v>562</v>
      </c>
      <c r="D3254" s="226">
        <v>-4000</v>
      </c>
      <c r="E3254" t="s">
        <v>675</v>
      </c>
    </row>
    <row r="3255" spans="1:5" hidden="1" x14ac:dyDescent="0.3">
      <c r="A3255" t="s">
        <v>552</v>
      </c>
      <c r="B3255" t="s">
        <v>674</v>
      </c>
      <c r="C3255" t="s">
        <v>563</v>
      </c>
      <c r="D3255" s="226">
        <v>0</v>
      </c>
      <c r="E3255" t="s">
        <v>675</v>
      </c>
    </row>
    <row r="3256" spans="1:5" hidden="1" x14ac:dyDescent="0.3">
      <c r="A3256" t="s">
        <v>552</v>
      </c>
      <c r="B3256" t="s">
        <v>674</v>
      </c>
      <c r="C3256" t="s">
        <v>564</v>
      </c>
      <c r="D3256" s="226">
        <v>0</v>
      </c>
      <c r="E3256" t="s">
        <v>675</v>
      </c>
    </row>
    <row r="3257" spans="1:5" hidden="1" x14ac:dyDescent="0.3">
      <c r="A3257" t="s">
        <v>552</v>
      </c>
      <c r="B3257" t="s">
        <v>674</v>
      </c>
      <c r="C3257" t="s">
        <v>565</v>
      </c>
      <c r="D3257" s="226">
        <v>0</v>
      </c>
      <c r="E3257" t="s">
        <v>675</v>
      </c>
    </row>
    <row r="3258" spans="1:5" hidden="1" x14ac:dyDescent="0.3">
      <c r="A3258" t="s">
        <v>552</v>
      </c>
      <c r="B3258" t="s">
        <v>674</v>
      </c>
      <c r="C3258" t="s">
        <v>566</v>
      </c>
      <c r="D3258" s="226">
        <v>0</v>
      </c>
      <c r="E3258" t="s">
        <v>675</v>
      </c>
    </row>
    <row r="3259" spans="1:5" hidden="1" x14ac:dyDescent="0.3">
      <c r="A3259" t="s">
        <v>552</v>
      </c>
      <c r="B3259" t="s">
        <v>674</v>
      </c>
      <c r="C3259" t="s">
        <v>567</v>
      </c>
      <c r="D3259" s="226">
        <v>0</v>
      </c>
      <c r="E3259" t="s">
        <v>675</v>
      </c>
    </row>
    <row r="3260" spans="1:5" hidden="1" x14ac:dyDescent="0.3">
      <c r="A3260" t="s">
        <v>552</v>
      </c>
      <c r="B3260" t="s">
        <v>674</v>
      </c>
      <c r="C3260" t="s">
        <v>141</v>
      </c>
      <c r="D3260" s="226">
        <v>-74881.48</v>
      </c>
      <c r="E3260" t="s">
        <v>675</v>
      </c>
    </row>
    <row r="3261" spans="1:5" hidden="1" x14ac:dyDescent="0.3">
      <c r="A3261" t="s">
        <v>552</v>
      </c>
      <c r="B3261" t="s">
        <v>674</v>
      </c>
      <c r="C3261" t="s">
        <v>568</v>
      </c>
      <c r="D3261" s="226">
        <v>0</v>
      </c>
      <c r="E3261" t="s">
        <v>675</v>
      </c>
    </row>
    <row r="3262" spans="1:5" hidden="1" x14ac:dyDescent="0.3">
      <c r="A3262" t="s">
        <v>552</v>
      </c>
      <c r="B3262" t="s">
        <v>674</v>
      </c>
      <c r="C3262" t="s">
        <v>569</v>
      </c>
      <c r="D3262" s="226">
        <v>0</v>
      </c>
      <c r="E3262" t="s">
        <v>675</v>
      </c>
    </row>
    <row r="3263" spans="1:5" hidden="1" x14ac:dyDescent="0.3">
      <c r="A3263" t="s">
        <v>552</v>
      </c>
      <c r="B3263" t="s">
        <v>674</v>
      </c>
      <c r="C3263" t="s">
        <v>570</v>
      </c>
      <c r="D3263" s="226">
        <v>0</v>
      </c>
      <c r="E3263" t="s">
        <v>675</v>
      </c>
    </row>
    <row r="3264" spans="1:5" hidden="1" x14ac:dyDescent="0.3">
      <c r="A3264" t="s">
        <v>552</v>
      </c>
      <c r="B3264" t="s">
        <v>674</v>
      </c>
      <c r="C3264" t="s">
        <v>571</v>
      </c>
      <c r="D3264" s="226">
        <v>0</v>
      </c>
      <c r="E3264" t="s">
        <v>675</v>
      </c>
    </row>
    <row r="3265" spans="1:5" hidden="1" x14ac:dyDescent="0.3">
      <c r="A3265" t="s">
        <v>552</v>
      </c>
      <c r="B3265" t="s">
        <v>674</v>
      </c>
      <c r="C3265" t="s">
        <v>572</v>
      </c>
      <c r="D3265" s="226">
        <v>0</v>
      </c>
      <c r="E3265" t="s">
        <v>675</v>
      </c>
    </row>
    <row r="3266" spans="1:5" hidden="1" x14ac:dyDescent="0.3">
      <c r="A3266" t="s">
        <v>552</v>
      </c>
      <c r="B3266" t="s">
        <v>674</v>
      </c>
      <c r="C3266" t="s">
        <v>573</v>
      </c>
      <c r="D3266" s="226">
        <v>0</v>
      </c>
      <c r="E3266" t="s">
        <v>675</v>
      </c>
    </row>
    <row r="3267" spans="1:5" hidden="1" x14ac:dyDescent="0.3">
      <c r="A3267" t="s">
        <v>552</v>
      </c>
      <c r="B3267" t="s">
        <v>674</v>
      </c>
      <c r="C3267" t="s">
        <v>574</v>
      </c>
      <c r="D3267" s="226">
        <v>0</v>
      </c>
      <c r="E3267" t="s">
        <v>675</v>
      </c>
    </row>
    <row r="3268" spans="1:5" hidden="1" x14ac:dyDescent="0.3">
      <c r="A3268" t="s">
        <v>552</v>
      </c>
      <c r="B3268" t="s">
        <v>674</v>
      </c>
      <c r="C3268" t="s">
        <v>575</v>
      </c>
      <c r="D3268" s="226">
        <v>0</v>
      </c>
      <c r="E3268" t="s">
        <v>675</v>
      </c>
    </row>
    <row r="3269" spans="1:5" hidden="1" x14ac:dyDescent="0.3">
      <c r="A3269" t="s">
        <v>552</v>
      </c>
      <c r="B3269" t="s">
        <v>674</v>
      </c>
      <c r="C3269" t="s">
        <v>576</v>
      </c>
      <c r="D3269" s="226">
        <v>0</v>
      </c>
      <c r="E3269" t="s">
        <v>675</v>
      </c>
    </row>
    <row r="3270" spans="1:5" hidden="1" x14ac:dyDescent="0.3">
      <c r="A3270" t="s">
        <v>552</v>
      </c>
      <c r="B3270" t="s">
        <v>674</v>
      </c>
      <c r="C3270" t="s">
        <v>577</v>
      </c>
      <c r="D3270" s="226">
        <v>0</v>
      </c>
      <c r="E3270" t="s">
        <v>675</v>
      </c>
    </row>
    <row r="3271" spans="1:5" hidden="1" x14ac:dyDescent="0.3">
      <c r="A3271" t="s">
        <v>552</v>
      </c>
      <c r="B3271" t="s">
        <v>674</v>
      </c>
      <c r="C3271" t="s">
        <v>578</v>
      </c>
      <c r="D3271" s="226">
        <v>0</v>
      </c>
      <c r="E3271" t="s">
        <v>675</v>
      </c>
    </row>
    <row r="3272" spans="1:5" hidden="1" x14ac:dyDescent="0.3">
      <c r="A3272" t="s">
        <v>552</v>
      </c>
      <c r="B3272" t="s">
        <v>674</v>
      </c>
      <c r="C3272" t="s">
        <v>579</v>
      </c>
      <c r="D3272" s="226">
        <v>0</v>
      </c>
      <c r="E3272" t="s">
        <v>675</v>
      </c>
    </row>
    <row r="3273" spans="1:5" hidden="1" x14ac:dyDescent="0.3">
      <c r="A3273" t="s">
        <v>552</v>
      </c>
      <c r="B3273" t="s">
        <v>674</v>
      </c>
      <c r="C3273" t="s">
        <v>580</v>
      </c>
      <c r="D3273" s="226">
        <v>0</v>
      </c>
      <c r="E3273" t="s">
        <v>675</v>
      </c>
    </row>
    <row r="3274" spans="1:5" hidden="1" x14ac:dyDescent="0.3">
      <c r="A3274" t="s">
        <v>552</v>
      </c>
      <c r="B3274" t="s">
        <v>674</v>
      </c>
      <c r="C3274" t="s">
        <v>581</v>
      </c>
      <c r="D3274" s="226">
        <v>0</v>
      </c>
      <c r="E3274" t="s">
        <v>675</v>
      </c>
    </row>
    <row r="3275" spans="1:5" hidden="1" x14ac:dyDescent="0.3">
      <c r="A3275" t="s">
        <v>552</v>
      </c>
      <c r="B3275" t="s">
        <v>674</v>
      </c>
      <c r="C3275" t="s">
        <v>582</v>
      </c>
      <c r="D3275" s="226">
        <v>0</v>
      </c>
      <c r="E3275" t="s">
        <v>675</v>
      </c>
    </row>
    <row r="3276" spans="1:5" hidden="1" x14ac:dyDescent="0.3">
      <c r="A3276" t="s">
        <v>552</v>
      </c>
      <c r="B3276" t="s">
        <v>674</v>
      </c>
      <c r="C3276" t="s">
        <v>583</v>
      </c>
      <c r="D3276" s="226">
        <v>0</v>
      </c>
      <c r="E3276" t="s">
        <v>675</v>
      </c>
    </row>
    <row r="3277" spans="1:5" hidden="1" x14ac:dyDescent="0.3">
      <c r="A3277" t="s">
        <v>552</v>
      </c>
      <c r="B3277" t="s">
        <v>674</v>
      </c>
      <c r="C3277" t="s">
        <v>584</v>
      </c>
      <c r="D3277" s="226">
        <v>0</v>
      </c>
      <c r="E3277" t="s">
        <v>675</v>
      </c>
    </row>
    <row r="3278" spans="1:5" hidden="1" x14ac:dyDescent="0.3">
      <c r="A3278" t="s">
        <v>552</v>
      </c>
      <c r="B3278" t="s">
        <v>674</v>
      </c>
      <c r="C3278" t="s">
        <v>585</v>
      </c>
      <c r="D3278" s="226">
        <v>0</v>
      </c>
      <c r="E3278" t="s">
        <v>675</v>
      </c>
    </row>
    <row r="3279" spans="1:5" hidden="1" x14ac:dyDescent="0.3">
      <c r="A3279" t="s">
        <v>552</v>
      </c>
      <c r="B3279" t="s">
        <v>674</v>
      </c>
      <c r="C3279" t="s">
        <v>586</v>
      </c>
      <c r="D3279" s="226">
        <v>0</v>
      </c>
      <c r="E3279" t="s">
        <v>675</v>
      </c>
    </row>
    <row r="3280" spans="1:5" hidden="1" x14ac:dyDescent="0.3">
      <c r="A3280" t="s">
        <v>552</v>
      </c>
      <c r="B3280" t="s">
        <v>674</v>
      </c>
      <c r="C3280" t="s">
        <v>587</v>
      </c>
      <c r="D3280" s="226">
        <v>0</v>
      </c>
      <c r="E3280" t="s">
        <v>675</v>
      </c>
    </row>
    <row r="3281" spans="1:5" hidden="1" x14ac:dyDescent="0.3">
      <c r="A3281" t="s">
        <v>552</v>
      </c>
      <c r="B3281" t="s">
        <v>674</v>
      </c>
      <c r="C3281" t="s">
        <v>588</v>
      </c>
      <c r="D3281" s="226">
        <v>0</v>
      </c>
      <c r="E3281" t="s">
        <v>675</v>
      </c>
    </row>
    <row r="3282" spans="1:5" hidden="1" x14ac:dyDescent="0.3">
      <c r="A3282" t="s">
        <v>552</v>
      </c>
      <c r="B3282" t="s">
        <v>674</v>
      </c>
      <c r="C3282" t="s">
        <v>589</v>
      </c>
      <c r="D3282" s="226">
        <v>0</v>
      </c>
      <c r="E3282" t="s">
        <v>675</v>
      </c>
    </row>
    <row r="3283" spans="1:5" hidden="1" x14ac:dyDescent="0.3">
      <c r="A3283" t="s">
        <v>552</v>
      </c>
      <c r="B3283" t="s">
        <v>674</v>
      </c>
      <c r="C3283" t="s">
        <v>590</v>
      </c>
      <c r="D3283" s="226">
        <v>0</v>
      </c>
      <c r="E3283" t="s">
        <v>675</v>
      </c>
    </row>
    <row r="3284" spans="1:5" hidden="1" x14ac:dyDescent="0.3">
      <c r="A3284" t="s">
        <v>552</v>
      </c>
      <c r="B3284" t="s">
        <v>674</v>
      </c>
      <c r="C3284" t="s">
        <v>591</v>
      </c>
      <c r="D3284" s="226">
        <v>0</v>
      </c>
      <c r="E3284" t="s">
        <v>675</v>
      </c>
    </row>
    <row r="3285" spans="1:5" hidden="1" x14ac:dyDescent="0.3">
      <c r="A3285" t="s">
        <v>552</v>
      </c>
      <c r="B3285" t="s">
        <v>674</v>
      </c>
      <c r="C3285" t="s">
        <v>592</v>
      </c>
      <c r="D3285" s="226">
        <v>0</v>
      </c>
      <c r="E3285" t="s">
        <v>675</v>
      </c>
    </row>
    <row r="3286" spans="1:5" hidden="1" x14ac:dyDescent="0.3">
      <c r="A3286" t="s">
        <v>552</v>
      </c>
      <c r="B3286" t="s">
        <v>674</v>
      </c>
      <c r="C3286" t="s">
        <v>593</v>
      </c>
      <c r="D3286" s="226">
        <v>0</v>
      </c>
      <c r="E3286" t="s">
        <v>675</v>
      </c>
    </row>
    <row r="3287" spans="1:5" hidden="1" x14ac:dyDescent="0.3">
      <c r="A3287" t="s">
        <v>552</v>
      </c>
      <c r="B3287" t="s">
        <v>674</v>
      </c>
      <c r="C3287" t="s">
        <v>594</v>
      </c>
      <c r="D3287" s="226">
        <v>0</v>
      </c>
      <c r="E3287" t="s">
        <v>675</v>
      </c>
    </row>
    <row r="3288" spans="1:5" hidden="1" x14ac:dyDescent="0.3">
      <c r="A3288" t="s">
        <v>552</v>
      </c>
      <c r="B3288" t="s">
        <v>674</v>
      </c>
      <c r="C3288" t="s">
        <v>595</v>
      </c>
      <c r="D3288" s="226">
        <v>0</v>
      </c>
      <c r="E3288" t="s">
        <v>675</v>
      </c>
    </row>
    <row r="3289" spans="1:5" hidden="1" x14ac:dyDescent="0.3">
      <c r="A3289" t="s">
        <v>552</v>
      </c>
      <c r="B3289" t="s">
        <v>674</v>
      </c>
      <c r="C3289" t="s">
        <v>596</v>
      </c>
      <c r="D3289" s="226">
        <v>0</v>
      </c>
      <c r="E3289" t="s">
        <v>675</v>
      </c>
    </row>
    <row r="3290" spans="1:5" hidden="1" x14ac:dyDescent="0.3">
      <c r="A3290" t="s">
        <v>552</v>
      </c>
      <c r="B3290" t="s">
        <v>674</v>
      </c>
      <c r="C3290" t="s">
        <v>597</v>
      </c>
      <c r="D3290" s="226">
        <v>0</v>
      </c>
      <c r="E3290" t="s">
        <v>675</v>
      </c>
    </row>
    <row r="3291" spans="1:5" hidden="1" x14ac:dyDescent="0.3">
      <c r="A3291" t="s">
        <v>552</v>
      </c>
      <c r="B3291" t="s">
        <v>674</v>
      </c>
      <c r="C3291" t="s">
        <v>598</v>
      </c>
      <c r="D3291" s="226">
        <v>0</v>
      </c>
      <c r="E3291" t="s">
        <v>675</v>
      </c>
    </row>
    <row r="3292" spans="1:5" hidden="1" x14ac:dyDescent="0.3">
      <c r="A3292" t="s">
        <v>552</v>
      </c>
      <c r="B3292" t="s">
        <v>674</v>
      </c>
      <c r="C3292" t="s">
        <v>599</v>
      </c>
      <c r="D3292" s="226">
        <v>0</v>
      </c>
      <c r="E3292" t="s">
        <v>675</v>
      </c>
    </row>
    <row r="3293" spans="1:5" hidden="1" x14ac:dyDescent="0.3">
      <c r="A3293" t="s">
        <v>552</v>
      </c>
      <c r="B3293" t="s">
        <v>674</v>
      </c>
      <c r="C3293" t="s">
        <v>600</v>
      </c>
      <c r="D3293" s="226">
        <v>0</v>
      </c>
      <c r="E3293" t="s">
        <v>675</v>
      </c>
    </row>
    <row r="3294" spans="1:5" hidden="1" x14ac:dyDescent="0.3">
      <c r="A3294" t="s">
        <v>552</v>
      </c>
      <c r="B3294" t="s">
        <v>674</v>
      </c>
      <c r="C3294" t="s">
        <v>601</v>
      </c>
      <c r="D3294" s="226">
        <v>0</v>
      </c>
      <c r="E3294" t="s">
        <v>675</v>
      </c>
    </row>
    <row r="3295" spans="1:5" hidden="1" x14ac:dyDescent="0.3">
      <c r="A3295" t="s">
        <v>552</v>
      </c>
      <c r="B3295" t="s">
        <v>674</v>
      </c>
      <c r="C3295" t="s">
        <v>602</v>
      </c>
      <c r="D3295" s="226">
        <v>0</v>
      </c>
      <c r="E3295" t="s">
        <v>675</v>
      </c>
    </row>
    <row r="3296" spans="1:5" hidden="1" x14ac:dyDescent="0.3">
      <c r="A3296" t="s">
        <v>552</v>
      </c>
      <c r="B3296" t="s">
        <v>674</v>
      </c>
      <c r="C3296" t="s">
        <v>603</v>
      </c>
      <c r="D3296" s="226">
        <v>0</v>
      </c>
      <c r="E3296" t="s">
        <v>675</v>
      </c>
    </row>
    <row r="3297" spans="1:5" hidden="1" x14ac:dyDescent="0.3">
      <c r="A3297" t="s">
        <v>552</v>
      </c>
      <c r="B3297" t="s">
        <v>674</v>
      </c>
      <c r="C3297" t="s">
        <v>604</v>
      </c>
      <c r="D3297" s="226">
        <v>0</v>
      </c>
      <c r="E3297" t="s">
        <v>675</v>
      </c>
    </row>
    <row r="3298" spans="1:5" hidden="1" x14ac:dyDescent="0.3">
      <c r="A3298" t="s">
        <v>552</v>
      </c>
      <c r="B3298" t="s">
        <v>674</v>
      </c>
      <c r="C3298" t="s">
        <v>605</v>
      </c>
      <c r="D3298" s="226">
        <v>0</v>
      </c>
      <c r="E3298" t="s">
        <v>675</v>
      </c>
    </row>
    <row r="3299" spans="1:5" hidden="1" x14ac:dyDescent="0.3">
      <c r="A3299" t="s">
        <v>552</v>
      </c>
      <c r="B3299" t="s">
        <v>674</v>
      </c>
      <c r="C3299" t="s">
        <v>606</v>
      </c>
      <c r="D3299" s="226">
        <v>0</v>
      </c>
      <c r="E3299" t="s">
        <v>675</v>
      </c>
    </row>
    <row r="3300" spans="1:5" hidden="1" x14ac:dyDescent="0.3">
      <c r="A3300" t="s">
        <v>552</v>
      </c>
      <c r="B3300" t="s">
        <v>674</v>
      </c>
      <c r="C3300" t="s">
        <v>607</v>
      </c>
      <c r="D3300" s="226">
        <v>0</v>
      </c>
      <c r="E3300" t="s">
        <v>675</v>
      </c>
    </row>
    <row r="3301" spans="1:5" hidden="1" x14ac:dyDescent="0.3">
      <c r="A3301" t="s">
        <v>552</v>
      </c>
      <c r="B3301" t="s">
        <v>674</v>
      </c>
      <c r="C3301" t="s">
        <v>608</v>
      </c>
      <c r="D3301" s="226">
        <v>0</v>
      </c>
      <c r="E3301" t="s">
        <v>675</v>
      </c>
    </row>
    <row r="3302" spans="1:5" hidden="1" x14ac:dyDescent="0.3">
      <c r="A3302" t="s">
        <v>552</v>
      </c>
      <c r="B3302" t="s">
        <v>674</v>
      </c>
      <c r="C3302" t="s">
        <v>609</v>
      </c>
      <c r="D3302" s="226">
        <v>0</v>
      </c>
      <c r="E3302" t="s">
        <v>675</v>
      </c>
    </row>
    <row r="3303" spans="1:5" hidden="1" x14ac:dyDescent="0.3">
      <c r="A3303" t="s">
        <v>552</v>
      </c>
      <c r="B3303" t="s">
        <v>674</v>
      </c>
      <c r="C3303" t="s">
        <v>610</v>
      </c>
      <c r="D3303" s="226">
        <v>0</v>
      </c>
      <c r="E3303" t="s">
        <v>675</v>
      </c>
    </row>
    <row r="3304" spans="1:5" hidden="1" x14ac:dyDescent="0.3">
      <c r="A3304" t="s">
        <v>552</v>
      </c>
      <c r="B3304" t="s">
        <v>674</v>
      </c>
      <c r="C3304" t="s">
        <v>611</v>
      </c>
      <c r="D3304" s="226">
        <v>0</v>
      </c>
      <c r="E3304" t="s">
        <v>675</v>
      </c>
    </row>
    <row r="3305" spans="1:5" hidden="1" x14ac:dyDescent="0.3">
      <c r="A3305" t="s">
        <v>552</v>
      </c>
      <c r="B3305" t="s">
        <v>674</v>
      </c>
      <c r="C3305" t="s">
        <v>612</v>
      </c>
      <c r="D3305" s="226">
        <v>0</v>
      </c>
      <c r="E3305" t="s">
        <v>675</v>
      </c>
    </row>
    <row r="3306" spans="1:5" hidden="1" x14ac:dyDescent="0.3">
      <c r="A3306" t="s">
        <v>552</v>
      </c>
      <c r="B3306" t="s">
        <v>674</v>
      </c>
      <c r="C3306" t="s">
        <v>613</v>
      </c>
      <c r="D3306" s="226">
        <v>0</v>
      </c>
      <c r="E3306" t="s">
        <v>675</v>
      </c>
    </row>
    <row r="3307" spans="1:5" hidden="1" x14ac:dyDescent="0.3">
      <c r="A3307" t="s">
        <v>552</v>
      </c>
      <c r="B3307" t="s">
        <v>674</v>
      </c>
      <c r="C3307" t="s">
        <v>614</v>
      </c>
      <c r="D3307" s="226">
        <v>0</v>
      </c>
      <c r="E3307" t="s">
        <v>675</v>
      </c>
    </row>
    <row r="3308" spans="1:5" hidden="1" x14ac:dyDescent="0.3">
      <c r="A3308" t="s">
        <v>552</v>
      </c>
      <c r="B3308" t="s">
        <v>674</v>
      </c>
      <c r="C3308" t="s">
        <v>615</v>
      </c>
      <c r="D3308" s="226">
        <v>0</v>
      </c>
      <c r="E3308" t="s">
        <v>675</v>
      </c>
    </row>
    <row r="3309" spans="1:5" hidden="1" x14ac:dyDescent="0.3">
      <c r="A3309" t="s">
        <v>552</v>
      </c>
      <c r="B3309" t="s">
        <v>674</v>
      </c>
      <c r="C3309" t="s">
        <v>616</v>
      </c>
      <c r="D3309" s="226">
        <v>0</v>
      </c>
      <c r="E3309" t="s">
        <v>675</v>
      </c>
    </row>
    <row r="3310" spans="1:5" hidden="1" x14ac:dyDescent="0.3">
      <c r="A3310" t="s">
        <v>552</v>
      </c>
      <c r="B3310" t="s">
        <v>674</v>
      </c>
      <c r="C3310" t="s">
        <v>617</v>
      </c>
      <c r="D3310" s="226">
        <v>0</v>
      </c>
      <c r="E3310" t="s">
        <v>675</v>
      </c>
    </row>
    <row r="3311" spans="1:5" hidden="1" x14ac:dyDescent="0.3">
      <c r="A3311" t="s">
        <v>552</v>
      </c>
      <c r="B3311" t="s">
        <v>674</v>
      </c>
      <c r="C3311" t="s">
        <v>618</v>
      </c>
      <c r="D3311" s="226">
        <v>0</v>
      </c>
      <c r="E3311" t="s">
        <v>675</v>
      </c>
    </row>
    <row r="3312" spans="1:5" hidden="1" x14ac:dyDescent="0.3">
      <c r="A3312" t="s">
        <v>552</v>
      </c>
      <c r="B3312" t="s">
        <v>674</v>
      </c>
      <c r="C3312" t="s">
        <v>619</v>
      </c>
      <c r="D3312" s="226">
        <v>0</v>
      </c>
      <c r="E3312" t="s">
        <v>675</v>
      </c>
    </row>
    <row r="3313" spans="1:5" hidden="1" x14ac:dyDescent="0.3">
      <c r="A3313" t="s">
        <v>552</v>
      </c>
      <c r="B3313" t="s">
        <v>674</v>
      </c>
      <c r="C3313" t="s">
        <v>620</v>
      </c>
      <c r="D3313" s="226">
        <v>0</v>
      </c>
      <c r="E3313" t="s">
        <v>675</v>
      </c>
    </row>
    <row r="3314" spans="1:5" hidden="1" x14ac:dyDescent="0.3">
      <c r="A3314" t="s">
        <v>552</v>
      </c>
      <c r="B3314" t="s">
        <v>674</v>
      </c>
      <c r="C3314" t="s">
        <v>621</v>
      </c>
      <c r="D3314" s="226">
        <v>0</v>
      </c>
      <c r="E3314" t="s">
        <v>675</v>
      </c>
    </row>
    <row r="3315" spans="1:5" hidden="1" x14ac:dyDescent="0.3">
      <c r="A3315" t="s">
        <v>552</v>
      </c>
      <c r="B3315" t="s">
        <v>674</v>
      </c>
      <c r="C3315" t="s">
        <v>622</v>
      </c>
      <c r="D3315" s="226">
        <v>0</v>
      </c>
      <c r="E3315" t="s">
        <v>675</v>
      </c>
    </row>
    <row r="3316" spans="1:5" hidden="1" x14ac:dyDescent="0.3">
      <c r="A3316" t="s">
        <v>552</v>
      </c>
      <c r="B3316" t="s">
        <v>674</v>
      </c>
      <c r="C3316" t="s">
        <v>623</v>
      </c>
      <c r="D3316" s="226">
        <v>0</v>
      </c>
      <c r="E3316" t="s">
        <v>675</v>
      </c>
    </row>
    <row r="3317" spans="1:5" hidden="1" x14ac:dyDescent="0.3">
      <c r="A3317" t="s">
        <v>552</v>
      </c>
      <c r="B3317" t="s">
        <v>674</v>
      </c>
      <c r="C3317" t="s">
        <v>624</v>
      </c>
      <c r="D3317" s="226">
        <v>0</v>
      </c>
      <c r="E3317" t="s">
        <v>675</v>
      </c>
    </row>
    <row r="3318" spans="1:5" hidden="1" x14ac:dyDescent="0.3">
      <c r="A3318" t="s">
        <v>552</v>
      </c>
      <c r="B3318" t="s">
        <v>674</v>
      </c>
      <c r="C3318" t="s">
        <v>200</v>
      </c>
      <c r="D3318" s="226">
        <v>-87914.17</v>
      </c>
      <c r="E3318" t="s">
        <v>675</v>
      </c>
    </row>
    <row r="3319" spans="1:5" hidden="1" x14ac:dyDescent="0.3">
      <c r="A3319" t="s">
        <v>552</v>
      </c>
      <c r="B3319" t="s">
        <v>674</v>
      </c>
      <c r="C3319" t="s">
        <v>202</v>
      </c>
      <c r="D3319" s="226">
        <v>-87914.17</v>
      </c>
      <c r="E3319" t="s">
        <v>675</v>
      </c>
    </row>
    <row r="3320" spans="1:5" hidden="1" x14ac:dyDescent="0.3">
      <c r="A3320" t="s">
        <v>552</v>
      </c>
      <c r="B3320" t="s">
        <v>674</v>
      </c>
      <c r="C3320" t="s">
        <v>625</v>
      </c>
      <c r="D3320" s="226">
        <v>43957.09</v>
      </c>
      <c r="E3320" t="s">
        <v>675</v>
      </c>
    </row>
    <row r="3321" spans="1:5" hidden="1" x14ac:dyDescent="0.3">
      <c r="A3321" t="s">
        <v>552</v>
      </c>
      <c r="B3321" t="s">
        <v>674</v>
      </c>
      <c r="C3321" t="s">
        <v>204</v>
      </c>
      <c r="D3321" s="226">
        <v>-59923.03</v>
      </c>
      <c r="E3321" t="s">
        <v>675</v>
      </c>
    </row>
    <row r="3322" spans="1:5" hidden="1" x14ac:dyDescent="0.3">
      <c r="A3322" t="s">
        <v>552</v>
      </c>
      <c r="B3322" t="s">
        <v>674</v>
      </c>
      <c r="C3322" t="s">
        <v>626</v>
      </c>
      <c r="D3322" s="226">
        <v>-13815.13</v>
      </c>
      <c r="E3322" t="s">
        <v>675</v>
      </c>
    </row>
    <row r="3323" spans="1:5" hidden="1" x14ac:dyDescent="0.3">
      <c r="A3323" t="s">
        <v>552</v>
      </c>
      <c r="B3323" t="s">
        <v>674</v>
      </c>
      <c r="C3323" t="s">
        <v>627</v>
      </c>
      <c r="D3323" s="226">
        <v>0</v>
      </c>
      <c r="E3323" t="s">
        <v>675</v>
      </c>
    </row>
    <row r="3324" spans="1:5" hidden="1" x14ac:dyDescent="0.3">
      <c r="A3324" t="s">
        <v>552</v>
      </c>
      <c r="B3324" t="s">
        <v>674</v>
      </c>
      <c r="C3324" t="s">
        <v>628</v>
      </c>
      <c r="D3324" s="226">
        <v>0</v>
      </c>
      <c r="E3324" t="s">
        <v>675</v>
      </c>
    </row>
    <row r="3325" spans="1:5" hidden="1" x14ac:dyDescent="0.3">
      <c r="A3325" t="s">
        <v>552</v>
      </c>
      <c r="B3325" t="s">
        <v>674</v>
      </c>
      <c r="C3325" t="s">
        <v>629</v>
      </c>
      <c r="D3325" s="226">
        <v>-11800.39</v>
      </c>
      <c r="E3325" t="s">
        <v>675</v>
      </c>
    </row>
    <row r="3326" spans="1:5" hidden="1" x14ac:dyDescent="0.3">
      <c r="A3326" t="s">
        <v>552</v>
      </c>
      <c r="B3326" t="s">
        <v>674</v>
      </c>
      <c r="C3326" t="s">
        <v>630</v>
      </c>
      <c r="D3326" s="226">
        <v>-5795.6</v>
      </c>
      <c r="E3326" t="s">
        <v>675</v>
      </c>
    </row>
    <row r="3327" spans="1:5" hidden="1" x14ac:dyDescent="0.3">
      <c r="A3327" t="s">
        <v>552</v>
      </c>
      <c r="B3327" t="s">
        <v>674</v>
      </c>
      <c r="C3327" t="s">
        <v>631</v>
      </c>
      <c r="D3327" s="226">
        <v>-3975.91</v>
      </c>
      <c r="E3327" t="s">
        <v>675</v>
      </c>
    </row>
    <row r="3328" spans="1:5" hidden="1" x14ac:dyDescent="0.3">
      <c r="A3328" t="s">
        <v>552</v>
      </c>
      <c r="B3328" t="s">
        <v>674</v>
      </c>
      <c r="C3328" t="s">
        <v>632</v>
      </c>
      <c r="D3328" s="226">
        <v>-1188.53</v>
      </c>
      <c r="E3328" t="s">
        <v>675</v>
      </c>
    </row>
    <row r="3329" spans="1:5" hidden="1" x14ac:dyDescent="0.3">
      <c r="A3329" t="s">
        <v>552</v>
      </c>
      <c r="B3329" t="s">
        <v>674</v>
      </c>
      <c r="C3329" t="s">
        <v>633</v>
      </c>
      <c r="D3329" s="226">
        <v>0</v>
      </c>
      <c r="E3329" t="s">
        <v>675</v>
      </c>
    </row>
    <row r="3330" spans="1:5" hidden="1" x14ac:dyDescent="0.3">
      <c r="A3330" t="s">
        <v>552</v>
      </c>
      <c r="B3330" t="s">
        <v>674</v>
      </c>
      <c r="C3330" t="s">
        <v>634</v>
      </c>
      <c r="D3330" s="226">
        <v>0</v>
      </c>
      <c r="E3330" t="s">
        <v>675</v>
      </c>
    </row>
    <row r="3331" spans="1:5" hidden="1" x14ac:dyDescent="0.3">
      <c r="A3331" t="s">
        <v>552</v>
      </c>
      <c r="B3331" t="s">
        <v>674</v>
      </c>
      <c r="C3331" t="s">
        <v>635</v>
      </c>
      <c r="D3331" s="226">
        <v>0</v>
      </c>
      <c r="E3331" t="s">
        <v>675</v>
      </c>
    </row>
    <row r="3332" spans="1:5" hidden="1" x14ac:dyDescent="0.3">
      <c r="A3332" t="s">
        <v>552</v>
      </c>
      <c r="B3332" t="s">
        <v>674</v>
      </c>
      <c r="C3332" t="s">
        <v>636</v>
      </c>
      <c r="D3332" s="226">
        <v>0</v>
      </c>
      <c r="E3332" t="s">
        <v>675</v>
      </c>
    </row>
    <row r="3333" spans="1:5" hidden="1" x14ac:dyDescent="0.3">
      <c r="A3333" t="s">
        <v>552</v>
      </c>
      <c r="B3333" t="s">
        <v>674</v>
      </c>
      <c r="C3333" t="s">
        <v>637</v>
      </c>
      <c r="D3333" s="226">
        <v>-8000</v>
      </c>
      <c r="E3333" t="s">
        <v>675</v>
      </c>
    </row>
    <row r="3334" spans="1:5" hidden="1" x14ac:dyDescent="0.3">
      <c r="A3334" t="s">
        <v>552</v>
      </c>
      <c r="B3334" t="s">
        <v>674</v>
      </c>
      <c r="C3334" t="s">
        <v>638</v>
      </c>
      <c r="D3334" s="226">
        <v>0</v>
      </c>
      <c r="E3334" t="s">
        <v>675</v>
      </c>
    </row>
    <row r="3335" spans="1:5" hidden="1" x14ac:dyDescent="0.3">
      <c r="A3335" t="s">
        <v>552</v>
      </c>
      <c r="B3335" t="s">
        <v>674</v>
      </c>
      <c r="C3335" t="s">
        <v>639</v>
      </c>
      <c r="D3335" s="226">
        <v>-15347.47</v>
      </c>
      <c r="E3335" t="s">
        <v>675</v>
      </c>
    </row>
    <row r="3336" spans="1:5" hidden="1" x14ac:dyDescent="0.3">
      <c r="A3336" t="s">
        <v>552</v>
      </c>
      <c r="B3336" t="s">
        <v>674</v>
      </c>
      <c r="C3336" t="s">
        <v>640</v>
      </c>
      <c r="D3336" s="226">
        <v>0</v>
      </c>
      <c r="E3336" t="s">
        <v>675</v>
      </c>
    </row>
    <row r="3337" spans="1:5" hidden="1" x14ac:dyDescent="0.3">
      <c r="A3337" t="s">
        <v>552</v>
      </c>
      <c r="B3337" t="s">
        <v>674</v>
      </c>
      <c r="C3337" t="s">
        <v>641</v>
      </c>
      <c r="D3337" s="226">
        <v>0</v>
      </c>
      <c r="E3337" t="s">
        <v>675</v>
      </c>
    </row>
    <row r="3338" spans="1:5" hidden="1" x14ac:dyDescent="0.3">
      <c r="A3338" t="s">
        <v>552</v>
      </c>
      <c r="B3338" t="s">
        <v>674</v>
      </c>
      <c r="C3338" t="s">
        <v>237</v>
      </c>
      <c r="D3338" s="226">
        <v>-11739.51</v>
      </c>
      <c r="E3338" t="s">
        <v>675</v>
      </c>
    </row>
    <row r="3339" spans="1:5" hidden="1" x14ac:dyDescent="0.3">
      <c r="A3339" t="s">
        <v>552</v>
      </c>
      <c r="B3339" t="s">
        <v>674</v>
      </c>
      <c r="C3339" t="s">
        <v>642</v>
      </c>
      <c r="D3339" s="226">
        <v>-11665.57</v>
      </c>
      <c r="E3339" t="s">
        <v>675</v>
      </c>
    </row>
    <row r="3340" spans="1:5" hidden="1" x14ac:dyDescent="0.3">
      <c r="A3340" t="s">
        <v>552</v>
      </c>
      <c r="B3340" t="s">
        <v>674</v>
      </c>
      <c r="C3340" t="s">
        <v>643</v>
      </c>
      <c r="D3340" s="226">
        <v>0</v>
      </c>
      <c r="E3340" t="s">
        <v>675</v>
      </c>
    </row>
    <row r="3341" spans="1:5" hidden="1" x14ac:dyDescent="0.3">
      <c r="A3341" t="s">
        <v>552</v>
      </c>
      <c r="B3341" t="s">
        <v>674</v>
      </c>
      <c r="C3341" t="s">
        <v>644</v>
      </c>
      <c r="D3341" s="226">
        <v>0</v>
      </c>
      <c r="E3341" t="s">
        <v>675</v>
      </c>
    </row>
    <row r="3342" spans="1:5" hidden="1" x14ac:dyDescent="0.3">
      <c r="A3342" t="s">
        <v>552</v>
      </c>
      <c r="B3342" t="s">
        <v>674</v>
      </c>
      <c r="C3342" t="s">
        <v>645</v>
      </c>
      <c r="D3342" s="226">
        <v>-73.94</v>
      </c>
      <c r="E3342" t="s">
        <v>675</v>
      </c>
    </row>
    <row r="3343" spans="1:5" hidden="1" x14ac:dyDescent="0.3">
      <c r="A3343" t="s">
        <v>552</v>
      </c>
      <c r="B3343" t="s">
        <v>674</v>
      </c>
      <c r="C3343" t="s">
        <v>646</v>
      </c>
      <c r="D3343" s="226">
        <v>0</v>
      </c>
      <c r="E3343" t="s">
        <v>675</v>
      </c>
    </row>
    <row r="3344" spans="1:5" hidden="1" x14ac:dyDescent="0.3">
      <c r="A3344" t="s">
        <v>552</v>
      </c>
      <c r="B3344" t="s">
        <v>674</v>
      </c>
      <c r="C3344" t="s">
        <v>244</v>
      </c>
      <c r="D3344" s="226">
        <v>-32598.82</v>
      </c>
      <c r="E3344" t="s">
        <v>675</v>
      </c>
    </row>
    <row r="3345" spans="1:5" hidden="1" x14ac:dyDescent="0.3">
      <c r="A3345" t="s">
        <v>552</v>
      </c>
      <c r="B3345" t="s">
        <v>674</v>
      </c>
      <c r="C3345" t="s">
        <v>647</v>
      </c>
      <c r="D3345" s="226">
        <v>-1627</v>
      </c>
      <c r="E3345" t="s">
        <v>675</v>
      </c>
    </row>
    <row r="3346" spans="1:5" hidden="1" x14ac:dyDescent="0.3">
      <c r="A3346" t="s">
        <v>552</v>
      </c>
      <c r="B3346" t="s">
        <v>674</v>
      </c>
      <c r="C3346" t="s">
        <v>648</v>
      </c>
      <c r="D3346" s="226">
        <v>-2086.7399999999998</v>
      </c>
      <c r="E3346" t="s">
        <v>675</v>
      </c>
    </row>
    <row r="3347" spans="1:5" hidden="1" x14ac:dyDescent="0.3">
      <c r="A3347" t="s">
        <v>552</v>
      </c>
      <c r="B3347" t="s">
        <v>674</v>
      </c>
      <c r="C3347" t="s">
        <v>649</v>
      </c>
      <c r="D3347" s="226">
        <v>0</v>
      </c>
      <c r="E3347" t="s">
        <v>675</v>
      </c>
    </row>
    <row r="3348" spans="1:5" hidden="1" x14ac:dyDescent="0.3">
      <c r="A3348" t="s">
        <v>552</v>
      </c>
      <c r="B3348" t="s">
        <v>674</v>
      </c>
      <c r="C3348" t="s">
        <v>650</v>
      </c>
      <c r="D3348" s="226">
        <v>0</v>
      </c>
      <c r="E3348" t="s">
        <v>675</v>
      </c>
    </row>
    <row r="3349" spans="1:5" hidden="1" x14ac:dyDescent="0.3">
      <c r="A3349" t="s">
        <v>552</v>
      </c>
      <c r="B3349" t="s">
        <v>674</v>
      </c>
      <c r="C3349" t="s">
        <v>651</v>
      </c>
      <c r="D3349" s="226">
        <v>0</v>
      </c>
      <c r="E3349" t="s">
        <v>675</v>
      </c>
    </row>
    <row r="3350" spans="1:5" hidden="1" x14ac:dyDescent="0.3">
      <c r="A3350" t="s">
        <v>552</v>
      </c>
      <c r="B3350" t="s">
        <v>674</v>
      </c>
      <c r="C3350" t="s">
        <v>652</v>
      </c>
      <c r="D3350" s="226">
        <v>-28885.08</v>
      </c>
      <c r="E3350" t="s">
        <v>675</v>
      </c>
    </row>
    <row r="3351" spans="1:5" hidden="1" x14ac:dyDescent="0.3">
      <c r="A3351" t="s">
        <v>552</v>
      </c>
      <c r="B3351" t="s">
        <v>674</v>
      </c>
      <c r="C3351" t="s">
        <v>653</v>
      </c>
      <c r="D3351" s="226">
        <v>0</v>
      </c>
      <c r="E3351" t="s">
        <v>675</v>
      </c>
    </row>
    <row r="3352" spans="1:5" hidden="1" x14ac:dyDescent="0.3">
      <c r="A3352" t="s">
        <v>552</v>
      </c>
      <c r="B3352" t="s">
        <v>674</v>
      </c>
      <c r="C3352" t="s">
        <v>253</v>
      </c>
      <c r="D3352" s="226">
        <v>-0.22</v>
      </c>
      <c r="E3352" t="s">
        <v>675</v>
      </c>
    </row>
    <row r="3353" spans="1:5" hidden="1" x14ac:dyDescent="0.3">
      <c r="A3353" t="s">
        <v>552</v>
      </c>
      <c r="B3353" t="s">
        <v>674</v>
      </c>
      <c r="C3353" t="s">
        <v>254</v>
      </c>
      <c r="D3353" s="226">
        <v>-0.18</v>
      </c>
      <c r="E3353" t="s">
        <v>675</v>
      </c>
    </row>
    <row r="3354" spans="1:5" hidden="1" x14ac:dyDescent="0.3">
      <c r="A3354" t="s">
        <v>552</v>
      </c>
      <c r="B3354" t="s">
        <v>674</v>
      </c>
      <c r="C3354" t="s">
        <v>255</v>
      </c>
      <c r="D3354" s="226">
        <v>-44976.639999999999</v>
      </c>
      <c r="E3354" t="s">
        <v>675</v>
      </c>
    </row>
    <row r="3355" spans="1:5" hidden="1" x14ac:dyDescent="0.3">
      <c r="A3355" t="s">
        <v>552</v>
      </c>
      <c r="B3355" t="s">
        <v>674</v>
      </c>
      <c r="C3355" t="s">
        <v>256</v>
      </c>
      <c r="D3355" s="226">
        <v>-30072.92</v>
      </c>
      <c r="E3355" t="s">
        <v>675</v>
      </c>
    </row>
    <row r="3356" spans="1:5" hidden="1" x14ac:dyDescent="0.3">
      <c r="A3356" t="s">
        <v>552</v>
      </c>
      <c r="B3356" t="s">
        <v>674</v>
      </c>
      <c r="C3356" t="s">
        <v>257</v>
      </c>
      <c r="D3356" s="226">
        <v>-12413.8</v>
      </c>
      <c r="E3356" t="s">
        <v>675</v>
      </c>
    </row>
    <row r="3357" spans="1:5" hidden="1" x14ac:dyDescent="0.3">
      <c r="A3357" t="s">
        <v>552</v>
      </c>
      <c r="B3357" t="s">
        <v>674</v>
      </c>
      <c r="C3357" t="s">
        <v>258</v>
      </c>
      <c r="D3357" s="226">
        <v>-1729.93</v>
      </c>
      <c r="E3357" t="s">
        <v>675</v>
      </c>
    </row>
    <row r="3358" spans="1:5" hidden="1" x14ac:dyDescent="0.3">
      <c r="A3358" t="s">
        <v>552</v>
      </c>
      <c r="B3358" t="s">
        <v>674</v>
      </c>
      <c r="C3358" t="s">
        <v>259</v>
      </c>
      <c r="D3358" s="226">
        <v>0</v>
      </c>
      <c r="E3358" t="s">
        <v>675</v>
      </c>
    </row>
    <row r="3359" spans="1:5" hidden="1" x14ac:dyDescent="0.3">
      <c r="A3359" t="s">
        <v>552</v>
      </c>
      <c r="B3359" t="s">
        <v>674</v>
      </c>
      <c r="C3359" t="s">
        <v>260</v>
      </c>
      <c r="D3359" s="226">
        <v>-759.99</v>
      </c>
      <c r="E3359" t="s">
        <v>675</v>
      </c>
    </row>
    <row r="3360" spans="1:5" hidden="1" x14ac:dyDescent="0.3">
      <c r="A3360" t="s">
        <v>552</v>
      </c>
      <c r="B3360" t="s">
        <v>674</v>
      </c>
      <c r="C3360" t="s">
        <v>261</v>
      </c>
      <c r="D3360" s="226">
        <v>0</v>
      </c>
      <c r="E3360" t="s">
        <v>675</v>
      </c>
    </row>
    <row r="3361" spans="1:5" hidden="1" x14ac:dyDescent="0.3">
      <c r="A3361" t="s">
        <v>552</v>
      </c>
      <c r="B3361" t="s">
        <v>674</v>
      </c>
      <c r="C3361" t="s">
        <v>262</v>
      </c>
      <c r="D3361" s="226">
        <v>0</v>
      </c>
      <c r="E3361" t="s">
        <v>675</v>
      </c>
    </row>
    <row r="3362" spans="1:5" hidden="1" x14ac:dyDescent="0.3">
      <c r="A3362" t="s">
        <v>552</v>
      </c>
      <c r="B3362" t="s">
        <v>674</v>
      </c>
      <c r="C3362" t="s">
        <v>44</v>
      </c>
      <c r="D3362" s="226">
        <v>-0.03</v>
      </c>
      <c r="E3362" t="s">
        <v>675</v>
      </c>
    </row>
    <row r="3363" spans="1:5" hidden="1" x14ac:dyDescent="0.3">
      <c r="A3363" t="s">
        <v>552</v>
      </c>
      <c r="B3363" t="s">
        <v>674</v>
      </c>
      <c r="C3363" t="s">
        <v>263</v>
      </c>
      <c r="D3363" s="226">
        <v>-79948.399999999994</v>
      </c>
      <c r="E3363" t="s">
        <v>675</v>
      </c>
    </row>
    <row r="3364" spans="1:5" hidden="1" x14ac:dyDescent="0.3">
      <c r="A3364" t="s">
        <v>552</v>
      </c>
      <c r="B3364" t="s">
        <v>674</v>
      </c>
      <c r="C3364" t="s">
        <v>264</v>
      </c>
      <c r="D3364" s="226">
        <v>-16980</v>
      </c>
      <c r="E3364" t="s">
        <v>675</v>
      </c>
    </row>
    <row r="3365" spans="1:5" hidden="1" x14ac:dyDescent="0.3">
      <c r="A3365" t="s">
        <v>552</v>
      </c>
      <c r="B3365" t="s">
        <v>674</v>
      </c>
      <c r="C3365" t="s">
        <v>265</v>
      </c>
      <c r="D3365" s="226">
        <v>-16086.88</v>
      </c>
      <c r="E3365" t="s">
        <v>675</v>
      </c>
    </row>
    <row r="3366" spans="1:5" hidden="1" x14ac:dyDescent="0.3">
      <c r="A3366" t="s">
        <v>552</v>
      </c>
      <c r="B3366" t="s">
        <v>674</v>
      </c>
      <c r="C3366" t="s">
        <v>266</v>
      </c>
      <c r="D3366" s="226">
        <v>-12527.79</v>
      </c>
      <c r="E3366" t="s">
        <v>675</v>
      </c>
    </row>
    <row r="3367" spans="1:5" hidden="1" x14ac:dyDescent="0.3">
      <c r="A3367" t="s">
        <v>552</v>
      </c>
      <c r="B3367" t="s">
        <v>674</v>
      </c>
      <c r="C3367" t="s">
        <v>267</v>
      </c>
      <c r="D3367" s="226">
        <v>-15284.5</v>
      </c>
      <c r="E3367" t="s">
        <v>675</v>
      </c>
    </row>
    <row r="3368" spans="1:5" hidden="1" x14ac:dyDescent="0.3">
      <c r="A3368" t="s">
        <v>552</v>
      </c>
      <c r="B3368" t="s">
        <v>674</v>
      </c>
      <c r="C3368" t="s">
        <v>268</v>
      </c>
      <c r="D3368" s="226">
        <v>0</v>
      </c>
      <c r="E3368" t="s">
        <v>675</v>
      </c>
    </row>
    <row r="3369" spans="1:5" hidden="1" x14ac:dyDescent="0.3">
      <c r="A3369" t="s">
        <v>552</v>
      </c>
      <c r="B3369" t="s">
        <v>674</v>
      </c>
      <c r="C3369" t="s">
        <v>269</v>
      </c>
      <c r="D3369" s="226">
        <v>-580</v>
      </c>
      <c r="E3369" t="s">
        <v>675</v>
      </c>
    </row>
    <row r="3370" spans="1:5" hidden="1" x14ac:dyDescent="0.3">
      <c r="A3370" t="s">
        <v>552</v>
      </c>
      <c r="B3370" t="s">
        <v>674</v>
      </c>
      <c r="C3370" t="s">
        <v>270</v>
      </c>
      <c r="D3370" s="226">
        <v>-3029.66</v>
      </c>
      <c r="E3370" t="s">
        <v>675</v>
      </c>
    </row>
    <row r="3371" spans="1:5" hidden="1" x14ac:dyDescent="0.3">
      <c r="A3371" t="s">
        <v>552</v>
      </c>
      <c r="B3371" t="s">
        <v>674</v>
      </c>
      <c r="C3371" t="s">
        <v>271</v>
      </c>
      <c r="D3371" s="226">
        <v>-7223.19</v>
      </c>
      <c r="E3371" t="s">
        <v>675</v>
      </c>
    </row>
    <row r="3372" spans="1:5" hidden="1" x14ac:dyDescent="0.3">
      <c r="A3372" t="s">
        <v>552</v>
      </c>
      <c r="B3372" t="s">
        <v>674</v>
      </c>
      <c r="C3372" t="s">
        <v>272</v>
      </c>
      <c r="D3372" s="226">
        <v>0</v>
      </c>
      <c r="E3372" t="s">
        <v>675</v>
      </c>
    </row>
    <row r="3373" spans="1:5" hidden="1" x14ac:dyDescent="0.3">
      <c r="A3373" t="s">
        <v>552</v>
      </c>
      <c r="B3373" t="s">
        <v>674</v>
      </c>
      <c r="C3373" t="s">
        <v>273</v>
      </c>
      <c r="D3373" s="226">
        <v>0</v>
      </c>
      <c r="E3373" t="s">
        <v>675</v>
      </c>
    </row>
    <row r="3374" spans="1:5" hidden="1" x14ac:dyDescent="0.3">
      <c r="A3374" t="s">
        <v>552</v>
      </c>
      <c r="B3374" t="s">
        <v>674</v>
      </c>
      <c r="C3374" t="s">
        <v>274</v>
      </c>
      <c r="D3374" s="226">
        <v>-476.38</v>
      </c>
      <c r="E3374" t="s">
        <v>675</v>
      </c>
    </row>
    <row r="3375" spans="1:5" hidden="1" x14ac:dyDescent="0.3">
      <c r="A3375" t="s">
        <v>552</v>
      </c>
      <c r="B3375" t="s">
        <v>674</v>
      </c>
      <c r="C3375" t="s">
        <v>275</v>
      </c>
      <c r="D3375" s="226">
        <v>0</v>
      </c>
      <c r="E3375" t="s">
        <v>675</v>
      </c>
    </row>
    <row r="3376" spans="1:5" hidden="1" x14ac:dyDescent="0.3">
      <c r="A3376" t="s">
        <v>552</v>
      </c>
      <c r="B3376" t="s">
        <v>674</v>
      </c>
      <c r="C3376" t="s">
        <v>276</v>
      </c>
      <c r="D3376" s="226">
        <v>0</v>
      </c>
      <c r="E3376" t="s">
        <v>675</v>
      </c>
    </row>
    <row r="3377" spans="1:5" hidden="1" x14ac:dyDescent="0.3">
      <c r="A3377" t="s">
        <v>552</v>
      </c>
      <c r="B3377" t="s">
        <v>674</v>
      </c>
      <c r="C3377" t="s">
        <v>277</v>
      </c>
      <c r="D3377" s="226">
        <v>-7760</v>
      </c>
      <c r="E3377" t="s">
        <v>675</v>
      </c>
    </row>
    <row r="3378" spans="1:5" hidden="1" x14ac:dyDescent="0.3">
      <c r="A3378" t="s">
        <v>552</v>
      </c>
      <c r="B3378" t="s">
        <v>674</v>
      </c>
      <c r="C3378" t="s">
        <v>44</v>
      </c>
      <c r="D3378" s="226">
        <v>-0.05</v>
      </c>
      <c r="E3378" t="s">
        <v>675</v>
      </c>
    </row>
    <row r="3379" spans="1:5" hidden="1" x14ac:dyDescent="0.3">
      <c r="A3379" t="s">
        <v>552</v>
      </c>
      <c r="B3379" t="s">
        <v>674</v>
      </c>
      <c r="C3379" t="s">
        <v>278</v>
      </c>
      <c r="D3379" s="226">
        <v>-7425.12</v>
      </c>
      <c r="E3379" t="s">
        <v>675</v>
      </c>
    </row>
    <row r="3380" spans="1:5" hidden="1" x14ac:dyDescent="0.3">
      <c r="A3380" t="s">
        <v>552</v>
      </c>
      <c r="B3380" t="s">
        <v>674</v>
      </c>
      <c r="C3380" t="s">
        <v>279</v>
      </c>
      <c r="D3380" s="226">
        <v>0</v>
      </c>
      <c r="E3380" t="s">
        <v>675</v>
      </c>
    </row>
    <row r="3381" spans="1:5" hidden="1" x14ac:dyDescent="0.3">
      <c r="A3381" t="s">
        <v>552</v>
      </c>
      <c r="B3381" t="s">
        <v>674</v>
      </c>
      <c r="C3381" t="s">
        <v>280</v>
      </c>
      <c r="D3381" s="226">
        <v>-459.88</v>
      </c>
      <c r="E3381" t="s">
        <v>675</v>
      </c>
    </row>
    <row r="3382" spans="1:5" hidden="1" x14ac:dyDescent="0.3">
      <c r="A3382" t="s">
        <v>552</v>
      </c>
      <c r="B3382" t="s">
        <v>674</v>
      </c>
      <c r="C3382" t="s">
        <v>281</v>
      </c>
      <c r="D3382" s="226">
        <v>-21.9</v>
      </c>
      <c r="E3382" t="s">
        <v>675</v>
      </c>
    </row>
    <row r="3383" spans="1:5" hidden="1" x14ac:dyDescent="0.3">
      <c r="A3383" t="s">
        <v>552</v>
      </c>
      <c r="B3383" t="s">
        <v>674</v>
      </c>
      <c r="C3383" t="s">
        <v>282</v>
      </c>
      <c r="D3383" s="226">
        <v>-815</v>
      </c>
      <c r="E3383" t="s">
        <v>675</v>
      </c>
    </row>
    <row r="3384" spans="1:5" hidden="1" x14ac:dyDescent="0.3">
      <c r="A3384" t="s">
        <v>552</v>
      </c>
      <c r="B3384" t="s">
        <v>674</v>
      </c>
      <c r="C3384" t="s">
        <v>283</v>
      </c>
      <c r="D3384" s="226">
        <v>-6128.34</v>
      </c>
      <c r="E3384" t="s">
        <v>675</v>
      </c>
    </row>
    <row r="3385" spans="1:5" hidden="1" x14ac:dyDescent="0.3">
      <c r="A3385" t="s">
        <v>552</v>
      </c>
      <c r="B3385" t="s">
        <v>674</v>
      </c>
      <c r="C3385" t="s">
        <v>284</v>
      </c>
      <c r="D3385" s="226">
        <v>0</v>
      </c>
      <c r="E3385" t="s">
        <v>675</v>
      </c>
    </row>
    <row r="3386" spans="1:5" hidden="1" x14ac:dyDescent="0.3">
      <c r="A3386" t="s">
        <v>552</v>
      </c>
      <c r="B3386" t="s">
        <v>674</v>
      </c>
      <c r="C3386" t="s">
        <v>285</v>
      </c>
      <c r="D3386" s="226">
        <v>0</v>
      </c>
      <c r="E3386" t="s">
        <v>675</v>
      </c>
    </row>
    <row r="3387" spans="1:5" hidden="1" x14ac:dyDescent="0.3">
      <c r="A3387" t="s">
        <v>552</v>
      </c>
      <c r="B3387" t="s">
        <v>674</v>
      </c>
      <c r="C3387" t="s">
        <v>44</v>
      </c>
      <c r="D3387" s="226">
        <v>-0.01</v>
      </c>
      <c r="E3387" t="s">
        <v>675</v>
      </c>
    </row>
    <row r="3388" spans="1:5" hidden="1" x14ac:dyDescent="0.3">
      <c r="A3388" t="s">
        <v>552</v>
      </c>
      <c r="B3388" t="s">
        <v>674</v>
      </c>
      <c r="C3388" t="s">
        <v>286</v>
      </c>
      <c r="D3388" s="226">
        <v>-9419.31</v>
      </c>
      <c r="E3388" t="s">
        <v>675</v>
      </c>
    </row>
    <row r="3389" spans="1:5" hidden="1" x14ac:dyDescent="0.3">
      <c r="A3389" t="s">
        <v>552</v>
      </c>
      <c r="B3389" t="s">
        <v>674</v>
      </c>
      <c r="C3389" t="s">
        <v>287</v>
      </c>
      <c r="D3389" s="226">
        <v>-9419.31</v>
      </c>
      <c r="E3389" t="s">
        <v>675</v>
      </c>
    </row>
    <row r="3390" spans="1:5" hidden="1" x14ac:dyDescent="0.3">
      <c r="A3390" t="s">
        <v>552</v>
      </c>
      <c r="B3390" t="s">
        <v>674</v>
      </c>
      <c r="C3390" t="s">
        <v>288</v>
      </c>
      <c r="D3390" s="226">
        <v>0</v>
      </c>
      <c r="E3390" t="s">
        <v>675</v>
      </c>
    </row>
    <row r="3391" spans="1:5" hidden="1" x14ac:dyDescent="0.3">
      <c r="A3391" t="s">
        <v>552</v>
      </c>
      <c r="B3391" t="s">
        <v>674</v>
      </c>
      <c r="C3391" t="s">
        <v>289</v>
      </c>
      <c r="D3391" s="226">
        <v>0</v>
      </c>
      <c r="E3391" t="s">
        <v>675</v>
      </c>
    </row>
    <row r="3392" spans="1:5" hidden="1" x14ac:dyDescent="0.3">
      <c r="A3392" t="s">
        <v>552</v>
      </c>
      <c r="B3392" t="s">
        <v>674</v>
      </c>
      <c r="C3392" t="s">
        <v>290</v>
      </c>
      <c r="D3392" s="226">
        <v>0</v>
      </c>
      <c r="E3392" t="s">
        <v>675</v>
      </c>
    </row>
    <row r="3393" spans="1:5" hidden="1" x14ac:dyDescent="0.3">
      <c r="A3393" t="s">
        <v>552</v>
      </c>
      <c r="B3393" t="s">
        <v>674</v>
      </c>
      <c r="C3393" t="s">
        <v>291</v>
      </c>
      <c r="D3393" s="226">
        <v>0</v>
      </c>
      <c r="E3393" t="s">
        <v>675</v>
      </c>
    </row>
    <row r="3394" spans="1:5" hidden="1" x14ac:dyDescent="0.3">
      <c r="A3394" t="s">
        <v>552</v>
      </c>
      <c r="B3394" t="s">
        <v>674</v>
      </c>
      <c r="C3394" t="s">
        <v>292</v>
      </c>
      <c r="D3394" s="226">
        <v>0</v>
      </c>
      <c r="E3394" t="s">
        <v>675</v>
      </c>
    </row>
    <row r="3395" spans="1:5" hidden="1" x14ac:dyDescent="0.3">
      <c r="A3395" t="s">
        <v>552</v>
      </c>
      <c r="B3395" t="s">
        <v>674</v>
      </c>
      <c r="C3395" t="s">
        <v>293</v>
      </c>
      <c r="D3395" s="226">
        <v>0</v>
      </c>
      <c r="E3395" t="s">
        <v>675</v>
      </c>
    </row>
    <row r="3396" spans="1:5" hidden="1" x14ac:dyDescent="0.3">
      <c r="A3396" t="s">
        <v>552</v>
      </c>
      <c r="B3396" t="s">
        <v>674</v>
      </c>
      <c r="C3396" t="s">
        <v>294</v>
      </c>
      <c r="D3396" s="226">
        <v>0</v>
      </c>
      <c r="E3396" t="s">
        <v>675</v>
      </c>
    </row>
    <row r="3397" spans="1:5" hidden="1" x14ac:dyDescent="0.3">
      <c r="A3397" t="s">
        <v>552</v>
      </c>
      <c r="B3397" t="s">
        <v>674</v>
      </c>
      <c r="C3397" t="s">
        <v>44</v>
      </c>
      <c r="D3397" s="226">
        <v>-0.01</v>
      </c>
      <c r="E3397" t="s">
        <v>675</v>
      </c>
    </row>
    <row r="3398" spans="1:5" hidden="1" x14ac:dyDescent="0.3">
      <c r="A3398" t="s">
        <v>552</v>
      </c>
      <c r="B3398" t="s">
        <v>674</v>
      </c>
      <c r="C3398" t="s">
        <v>295</v>
      </c>
      <c r="D3398" s="226">
        <v>-11253.07</v>
      </c>
      <c r="E3398" t="s">
        <v>675</v>
      </c>
    </row>
    <row r="3399" spans="1:5" hidden="1" x14ac:dyDescent="0.3">
      <c r="A3399" t="s">
        <v>552</v>
      </c>
      <c r="B3399" t="s">
        <v>674</v>
      </c>
      <c r="C3399" t="s">
        <v>296</v>
      </c>
      <c r="D3399" s="226">
        <v>-4500</v>
      </c>
      <c r="E3399" t="s">
        <v>675</v>
      </c>
    </row>
    <row r="3400" spans="1:5" hidden="1" x14ac:dyDescent="0.3">
      <c r="A3400" t="s">
        <v>552</v>
      </c>
      <c r="B3400" t="s">
        <v>674</v>
      </c>
      <c r="C3400" t="s">
        <v>297</v>
      </c>
      <c r="D3400" s="226">
        <v>-460</v>
      </c>
      <c r="E3400" t="s">
        <v>675</v>
      </c>
    </row>
    <row r="3401" spans="1:5" hidden="1" x14ac:dyDescent="0.3">
      <c r="A3401" t="s">
        <v>552</v>
      </c>
      <c r="B3401" t="s">
        <v>674</v>
      </c>
      <c r="C3401" t="s">
        <v>298</v>
      </c>
      <c r="D3401" s="226">
        <v>0</v>
      </c>
      <c r="E3401" t="s">
        <v>675</v>
      </c>
    </row>
    <row r="3402" spans="1:5" hidden="1" x14ac:dyDescent="0.3">
      <c r="A3402" t="s">
        <v>552</v>
      </c>
      <c r="B3402" t="s">
        <v>674</v>
      </c>
      <c r="C3402" t="s">
        <v>299</v>
      </c>
      <c r="D3402" s="226">
        <v>0</v>
      </c>
      <c r="E3402" t="s">
        <v>675</v>
      </c>
    </row>
    <row r="3403" spans="1:5" hidden="1" x14ac:dyDescent="0.3">
      <c r="A3403" t="s">
        <v>552</v>
      </c>
      <c r="B3403" t="s">
        <v>674</v>
      </c>
      <c r="C3403" t="s">
        <v>300</v>
      </c>
      <c r="D3403" s="226">
        <v>-5337.36</v>
      </c>
      <c r="E3403" t="s">
        <v>675</v>
      </c>
    </row>
    <row r="3404" spans="1:5" hidden="1" x14ac:dyDescent="0.3">
      <c r="A3404" t="s">
        <v>552</v>
      </c>
      <c r="B3404" t="s">
        <v>674</v>
      </c>
      <c r="C3404" t="s">
        <v>301</v>
      </c>
      <c r="D3404" s="226">
        <v>0</v>
      </c>
      <c r="E3404" t="s">
        <v>675</v>
      </c>
    </row>
    <row r="3405" spans="1:5" hidden="1" x14ac:dyDescent="0.3">
      <c r="A3405" t="s">
        <v>552</v>
      </c>
      <c r="B3405" t="s">
        <v>674</v>
      </c>
      <c r="C3405" t="s">
        <v>302</v>
      </c>
      <c r="D3405" s="226">
        <v>0</v>
      </c>
      <c r="E3405" t="s">
        <v>675</v>
      </c>
    </row>
    <row r="3406" spans="1:5" hidden="1" x14ac:dyDescent="0.3">
      <c r="A3406" t="s">
        <v>552</v>
      </c>
      <c r="B3406" t="s">
        <v>674</v>
      </c>
      <c r="C3406" t="s">
        <v>303</v>
      </c>
      <c r="D3406" s="226">
        <v>0</v>
      </c>
      <c r="E3406" t="s">
        <v>675</v>
      </c>
    </row>
    <row r="3407" spans="1:5" hidden="1" x14ac:dyDescent="0.3">
      <c r="A3407" t="s">
        <v>552</v>
      </c>
      <c r="B3407" t="s">
        <v>674</v>
      </c>
      <c r="C3407" t="s">
        <v>304</v>
      </c>
      <c r="D3407" s="226">
        <v>-13.4</v>
      </c>
      <c r="E3407" t="s">
        <v>675</v>
      </c>
    </row>
    <row r="3408" spans="1:5" hidden="1" x14ac:dyDescent="0.3">
      <c r="A3408" t="s">
        <v>552</v>
      </c>
      <c r="B3408" t="s">
        <v>674</v>
      </c>
      <c r="C3408" t="s">
        <v>305</v>
      </c>
      <c r="D3408" s="226">
        <v>0</v>
      </c>
      <c r="E3408" t="s">
        <v>675</v>
      </c>
    </row>
    <row r="3409" spans="1:5" hidden="1" x14ac:dyDescent="0.3">
      <c r="A3409" t="s">
        <v>552</v>
      </c>
      <c r="B3409" t="s">
        <v>674</v>
      </c>
      <c r="C3409" t="s">
        <v>306</v>
      </c>
      <c r="D3409" s="226">
        <v>-942.31</v>
      </c>
      <c r="E3409" t="s">
        <v>675</v>
      </c>
    </row>
    <row r="3410" spans="1:5" hidden="1" x14ac:dyDescent="0.3">
      <c r="A3410" t="s">
        <v>552</v>
      </c>
      <c r="B3410" t="s">
        <v>674</v>
      </c>
      <c r="C3410" t="s">
        <v>44</v>
      </c>
      <c r="D3410" s="226">
        <v>-0.01</v>
      </c>
      <c r="E3410" t="s">
        <v>675</v>
      </c>
    </row>
    <row r="3411" spans="1:5" hidden="1" x14ac:dyDescent="0.3">
      <c r="A3411" t="s">
        <v>552</v>
      </c>
      <c r="B3411" t="s">
        <v>674</v>
      </c>
      <c r="C3411" t="s">
        <v>307</v>
      </c>
      <c r="D3411" s="226">
        <v>-19320.52</v>
      </c>
      <c r="E3411" t="s">
        <v>675</v>
      </c>
    </row>
    <row r="3412" spans="1:5" hidden="1" x14ac:dyDescent="0.3">
      <c r="A3412" t="s">
        <v>552</v>
      </c>
      <c r="B3412" t="s">
        <v>674</v>
      </c>
      <c r="C3412" t="s">
        <v>308</v>
      </c>
      <c r="D3412" s="226">
        <v>-5411.25</v>
      </c>
      <c r="E3412" t="s">
        <v>675</v>
      </c>
    </row>
    <row r="3413" spans="1:5" hidden="1" x14ac:dyDescent="0.3">
      <c r="A3413" t="s">
        <v>552</v>
      </c>
      <c r="B3413" t="s">
        <v>674</v>
      </c>
      <c r="C3413" t="s">
        <v>309</v>
      </c>
      <c r="D3413" s="226">
        <v>0</v>
      </c>
      <c r="E3413" t="s">
        <v>675</v>
      </c>
    </row>
    <row r="3414" spans="1:5" hidden="1" x14ac:dyDescent="0.3">
      <c r="A3414" t="s">
        <v>552</v>
      </c>
      <c r="B3414" t="s">
        <v>674</v>
      </c>
      <c r="C3414" t="s">
        <v>310</v>
      </c>
      <c r="D3414" s="226">
        <v>-2319.27</v>
      </c>
      <c r="E3414" t="s">
        <v>675</v>
      </c>
    </row>
    <row r="3415" spans="1:5" hidden="1" x14ac:dyDescent="0.3">
      <c r="A3415" t="s">
        <v>552</v>
      </c>
      <c r="B3415" t="s">
        <v>674</v>
      </c>
      <c r="C3415" t="s">
        <v>311</v>
      </c>
      <c r="D3415" s="226">
        <v>0</v>
      </c>
      <c r="E3415" t="s">
        <v>675</v>
      </c>
    </row>
    <row r="3416" spans="1:5" hidden="1" x14ac:dyDescent="0.3">
      <c r="A3416" t="s">
        <v>552</v>
      </c>
      <c r="B3416" t="s">
        <v>674</v>
      </c>
      <c r="C3416" t="s">
        <v>312</v>
      </c>
      <c r="D3416" s="226">
        <v>0</v>
      </c>
      <c r="E3416" t="s">
        <v>675</v>
      </c>
    </row>
    <row r="3417" spans="1:5" hidden="1" x14ac:dyDescent="0.3">
      <c r="A3417" t="s">
        <v>552</v>
      </c>
      <c r="B3417" t="s">
        <v>674</v>
      </c>
      <c r="C3417" t="s">
        <v>313</v>
      </c>
      <c r="D3417" s="226">
        <v>0</v>
      </c>
      <c r="E3417" t="s">
        <v>675</v>
      </c>
    </row>
    <row r="3418" spans="1:5" hidden="1" x14ac:dyDescent="0.3">
      <c r="A3418" t="s">
        <v>552</v>
      </c>
      <c r="B3418" t="s">
        <v>674</v>
      </c>
      <c r="C3418" t="s">
        <v>314</v>
      </c>
      <c r="D3418" s="226">
        <v>0</v>
      </c>
      <c r="E3418" t="s">
        <v>675</v>
      </c>
    </row>
    <row r="3419" spans="1:5" hidden="1" x14ac:dyDescent="0.3">
      <c r="A3419" t="s">
        <v>552</v>
      </c>
      <c r="B3419" t="s">
        <v>674</v>
      </c>
      <c r="C3419" t="s">
        <v>315</v>
      </c>
      <c r="D3419" s="226">
        <v>-11590</v>
      </c>
      <c r="E3419" t="s">
        <v>675</v>
      </c>
    </row>
    <row r="3420" spans="1:5" hidden="1" x14ac:dyDescent="0.3">
      <c r="A3420" t="s">
        <v>552</v>
      </c>
      <c r="B3420" t="s">
        <v>674</v>
      </c>
      <c r="C3420" t="s">
        <v>316</v>
      </c>
      <c r="D3420" s="226">
        <v>0</v>
      </c>
      <c r="E3420" t="s">
        <v>675</v>
      </c>
    </row>
    <row r="3421" spans="1:5" hidden="1" x14ac:dyDescent="0.3">
      <c r="A3421" t="s">
        <v>552</v>
      </c>
      <c r="B3421" t="s">
        <v>674</v>
      </c>
      <c r="C3421" t="s">
        <v>44</v>
      </c>
      <c r="D3421" s="226">
        <v>-0.01</v>
      </c>
      <c r="E3421" t="s">
        <v>675</v>
      </c>
    </row>
    <row r="3422" spans="1:5" hidden="1" x14ac:dyDescent="0.3">
      <c r="A3422" t="s">
        <v>552</v>
      </c>
      <c r="B3422" t="s">
        <v>674</v>
      </c>
      <c r="C3422" t="s">
        <v>317</v>
      </c>
      <c r="D3422" s="226">
        <v>-5076.32</v>
      </c>
      <c r="E3422" t="s">
        <v>675</v>
      </c>
    </row>
    <row r="3423" spans="1:5" hidden="1" x14ac:dyDescent="0.3">
      <c r="A3423" t="s">
        <v>552</v>
      </c>
      <c r="B3423" t="s">
        <v>674</v>
      </c>
      <c r="C3423" t="s">
        <v>318</v>
      </c>
      <c r="D3423" s="226">
        <v>-5076.32</v>
      </c>
      <c r="E3423" t="s">
        <v>675</v>
      </c>
    </row>
    <row r="3424" spans="1:5" hidden="1" x14ac:dyDescent="0.3">
      <c r="A3424" t="s">
        <v>552</v>
      </c>
      <c r="B3424" t="s">
        <v>674</v>
      </c>
      <c r="C3424" t="s">
        <v>319</v>
      </c>
      <c r="D3424" s="226">
        <v>0</v>
      </c>
      <c r="E3424" t="s">
        <v>675</v>
      </c>
    </row>
    <row r="3425" spans="1:5" hidden="1" x14ac:dyDescent="0.3">
      <c r="A3425" t="s">
        <v>552</v>
      </c>
      <c r="B3425" t="s">
        <v>674</v>
      </c>
      <c r="C3425" t="s">
        <v>320</v>
      </c>
      <c r="D3425" s="226">
        <v>0</v>
      </c>
      <c r="E3425" t="s">
        <v>675</v>
      </c>
    </row>
    <row r="3426" spans="1:5" hidden="1" x14ac:dyDescent="0.3">
      <c r="A3426" t="s">
        <v>552</v>
      </c>
      <c r="B3426" t="s">
        <v>674</v>
      </c>
      <c r="C3426" t="s">
        <v>321</v>
      </c>
      <c r="D3426" s="226">
        <v>0</v>
      </c>
      <c r="E3426" t="s">
        <v>675</v>
      </c>
    </row>
    <row r="3427" spans="1:5" hidden="1" x14ac:dyDescent="0.3">
      <c r="A3427" t="s">
        <v>552</v>
      </c>
      <c r="B3427" t="s">
        <v>674</v>
      </c>
      <c r="C3427" t="s">
        <v>44</v>
      </c>
      <c r="D3427" s="226">
        <v>0</v>
      </c>
      <c r="E3427" t="s">
        <v>675</v>
      </c>
    </row>
    <row r="3428" spans="1:5" hidden="1" x14ac:dyDescent="0.3">
      <c r="A3428" t="s">
        <v>552</v>
      </c>
      <c r="B3428" t="s">
        <v>674</v>
      </c>
      <c r="C3428" t="s">
        <v>322</v>
      </c>
      <c r="D3428" s="226">
        <v>-73426.87</v>
      </c>
      <c r="E3428" t="s">
        <v>675</v>
      </c>
    </row>
    <row r="3429" spans="1:5" hidden="1" x14ac:dyDescent="0.3">
      <c r="A3429" t="s">
        <v>552</v>
      </c>
      <c r="B3429" t="s">
        <v>674</v>
      </c>
      <c r="C3429" t="s">
        <v>323</v>
      </c>
      <c r="D3429" s="226">
        <v>0</v>
      </c>
      <c r="E3429" t="s">
        <v>675</v>
      </c>
    </row>
    <row r="3430" spans="1:5" hidden="1" x14ac:dyDescent="0.3">
      <c r="A3430" t="s">
        <v>552</v>
      </c>
      <c r="B3430" t="s">
        <v>674</v>
      </c>
      <c r="C3430" t="s">
        <v>324</v>
      </c>
      <c r="D3430" s="226">
        <v>0</v>
      </c>
      <c r="E3430" t="s">
        <v>675</v>
      </c>
    </row>
    <row r="3431" spans="1:5" hidden="1" x14ac:dyDescent="0.3">
      <c r="A3431" t="s">
        <v>552</v>
      </c>
      <c r="B3431" t="s">
        <v>674</v>
      </c>
      <c r="C3431" t="s">
        <v>325</v>
      </c>
      <c r="D3431" s="226">
        <v>-73426.87</v>
      </c>
      <c r="E3431" t="s">
        <v>675</v>
      </c>
    </row>
    <row r="3432" spans="1:5" hidden="1" x14ac:dyDescent="0.3">
      <c r="A3432" t="s">
        <v>552</v>
      </c>
      <c r="B3432" t="s">
        <v>674</v>
      </c>
      <c r="C3432" t="s">
        <v>44</v>
      </c>
      <c r="D3432" s="226">
        <v>-0.05</v>
      </c>
      <c r="E3432" t="s">
        <v>675</v>
      </c>
    </row>
    <row r="3433" spans="1:5" hidden="1" x14ac:dyDescent="0.3">
      <c r="A3433" t="s">
        <v>552</v>
      </c>
      <c r="B3433" t="s">
        <v>674</v>
      </c>
      <c r="C3433" t="s">
        <v>327</v>
      </c>
      <c r="D3433" s="226">
        <v>-567253.26</v>
      </c>
      <c r="E3433" t="s">
        <v>675</v>
      </c>
    </row>
    <row r="3434" spans="1:5" hidden="1" x14ac:dyDescent="0.3">
      <c r="A3434" t="s">
        <v>552</v>
      </c>
      <c r="B3434" t="s">
        <v>674</v>
      </c>
      <c r="C3434" t="s">
        <v>44</v>
      </c>
      <c r="D3434" s="226">
        <v>-0.39</v>
      </c>
      <c r="E3434" t="s">
        <v>675</v>
      </c>
    </row>
    <row r="3435" spans="1:5" hidden="1" x14ac:dyDescent="0.3">
      <c r="A3435" t="s">
        <v>552</v>
      </c>
      <c r="B3435" t="s">
        <v>674</v>
      </c>
      <c r="C3435" t="s">
        <v>328</v>
      </c>
      <c r="D3435" s="226">
        <v>297985.78999999998</v>
      </c>
      <c r="E3435" t="s">
        <v>675</v>
      </c>
    </row>
    <row r="3436" spans="1:5" hidden="1" x14ac:dyDescent="0.3">
      <c r="A3436" t="s">
        <v>552</v>
      </c>
      <c r="B3436" t="s">
        <v>674</v>
      </c>
      <c r="C3436" t="s">
        <v>44</v>
      </c>
      <c r="D3436" s="226">
        <v>0.2</v>
      </c>
      <c r="E3436" t="s">
        <v>675</v>
      </c>
    </row>
    <row r="3437" spans="1:5" hidden="1" x14ac:dyDescent="0.3">
      <c r="A3437" t="s">
        <v>552</v>
      </c>
      <c r="B3437" t="s">
        <v>674</v>
      </c>
      <c r="C3437" t="s">
        <v>329</v>
      </c>
      <c r="D3437" s="226">
        <v>0</v>
      </c>
      <c r="E3437" t="s">
        <v>675</v>
      </c>
    </row>
    <row r="3438" spans="1:5" hidden="1" x14ac:dyDescent="0.3">
      <c r="A3438" t="s">
        <v>552</v>
      </c>
      <c r="B3438" t="s">
        <v>674</v>
      </c>
      <c r="C3438" t="s">
        <v>331</v>
      </c>
      <c r="D3438" s="226">
        <v>297985.78999999998</v>
      </c>
      <c r="E3438" t="s">
        <v>675</v>
      </c>
    </row>
    <row r="3439" spans="1:5" hidden="1" x14ac:dyDescent="0.3">
      <c r="A3439" t="s">
        <v>552</v>
      </c>
      <c r="B3439" t="s">
        <v>674</v>
      </c>
      <c r="C3439" t="s">
        <v>332</v>
      </c>
      <c r="D3439" s="226">
        <v>-367.97</v>
      </c>
      <c r="E3439" t="s">
        <v>675</v>
      </c>
    </row>
    <row r="3440" spans="1:5" hidden="1" x14ac:dyDescent="0.3">
      <c r="A3440" t="s">
        <v>552</v>
      </c>
      <c r="B3440" t="s">
        <v>674</v>
      </c>
      <c r="C3440" t="s">
        <v>333</v>
      </c>
      <c r="D3440" s="226">
        <v>0</v>
      </c>
      <c r="E3440" t="s">
        <v>675</v>
      </c>
    </row>
    <row r="3441" spans="1:5" hidden="1" x14ac:dyDescent="0.3">
      <c r="A3441" t="s">
        <v>552</v>
      </c>
      <c r="B3441" t="s">
        <v>674</v>
      </c>
      <c r="C3441" t="s">
        <v>335</v>
      </c>
      <c r="D3441" s="226">
        <v>-7320</v>
      </c>
      <c r="E3441" t="s">
        <v>675</v>
      </c>
    </row>
    <row r="3442" spans="1:5" hidden="1" x14ac:dyDescent="0.3">
      <c r="A3442" t="s">
        <v>552</v>
      </c>
      <c r="B3442" t="s">
        <v>674</v>
      </c>
      <c r="C3442" t="s">
        <v>337</v>
      </c>
      <c r="D3442" s="226">
        <v>580595.64</v>
      </c>
      <c r="E3442" t="s">
        <v>675</v>
      </c>
    </row>
    <row r="3443" spans="1:5" hidden="1" x14ac:dyDescent="0.3">
      <c r="A3443" t="s">
        <v>552</v>
      </c>
      <c r="B3443" t="s">
        <v>674</v>
      </c>
      <c r="C3443" t="s">
        <v>338</v>
      </c>
      <c r="D3443" s="226">
        <v>-46984.73</v>
      </c>
      <c r="E3443" t="s">
        <v>675</v>
      </c>
    </row>
    <row r="3444" spans="1:5" hidden="1" x14ac:dyDescent="0.3">
      <c r="A3444" t="s">
        <v>552</v>
      </c>
      <c r="B3444" t="s">
        <v>674</v>
      </c>
      <c r="C3444" t="s">
        <v>341</v>
      </c>
      <c r="D3444" s="226">
        <v>-8077.94</v>
      </c>
      <c r="E3444" t="s">
        <v>675</v>
      </c>
    </row>
    <row r="3445" spans="1:5" hidden="1" x14ac:dyDescent="0.3">
      <c r="A3445" t="s">
        <v>552</v>
      </c>
      <c r="B3445" t="s">
        <v>674</v>
      </c>
      <c r="C3445" t="s">
        <v>343</v>
      </c>
      <c r="D3445" s="226">
        <v>-15614.77</v>
      </c>
      <c r="E3445" t="s">
        <v>675</v>
      </c>
    </row>
    <row r="3446" spans="1:5" hidden="1" x14ac:dyDescent="0.3">
      <c r="A3446" t="s">
        <v>552</v>
      </c>
      <c r="B3446" t="s">
        <v>674</v>
      </c>
      <c r="C3446" t="s">
        <v>344</v>
      </c>
      <c r="D3446" s="226">
        <v>-9238.74</v>
      </c>
      <c r="E3446" t="s">
        <v>675</v>
      </c>
    </row>
    <row r="3447" spans="1:5" hidden="1" x14ac:dyDescent="0.3">
      <c r="A3447" t="s">
        <v>552</v>
      </c>
      <c r="B3447" t="s">
        <v>674</v>
      </c>
      <c r="C3447" t="s">
        <v>345</v>
      </c>
      <c r="D3447" s="226">
        <v>-14053.29</v>
      </c>
      <c r="E3447" t="s">
        <v>675</v>
      </c>
    </row>
    <row r="3448" spans="1:5" hidden="1" x14ac:dyDescent="0.3">
      <c r="A3448" t="s">
        <v>552</v>
      </c>
      <c r="B3448" t="s">
        <v>674</v>
      </c>
      <c r="C3448" t="s">
        <v>346</v>
      </c>
      <c r="D3448" s="226">
        <v>533610.91</v>
      </c>
      <c r="E3448" t="s">
        <v>675</v>
      </c>
    </row>
    <row r="3449" spans="1:5" hidden="1" x14ac:dyDescent="0.3">
      <c r="A3449" t="s">
        <v>552</v>
      </c>
      <c r="B3449" t="s">
        <v>674</v>
      </c>
      <c r="C3449" t="s">
        <v>44</v>
      </c>
      <c r="D3449" s="226">
        <v>0.36</v>
      </c>
      <c r="E3449" t="s">
        <v>675</v>
      </c>
    </row>
    <row r="3450" spans="1:5" hidden="1" x14ac:dyDescent="0.3">
      <c r="A3450" t="s">
        <v>552</v>
      </c>
      <c r="B3450" t="s">
        <v>674</v>
      </c>
      <c r="C3450" t="s">
        <v>347</v>
      </c>
      <c r="D3450" s="226">
        <v>-32014</v>
      </c>
      <c r="E3450" t="s">
        <v>675</v>
      </c>
    </row>
    <row r="3451" spans="1:5" hidden="1" x14ac:dyDescent="0.3">
      <c r="A3451" t="s">
        <v>552</v>
      </c>
      <c r="B3451" t="s">
        <v>674</v>
      </c>
      <c r="C3451" t="s">
        <v>654</v>
      </c>
      <c r="D3451" s="226">
        <v>-28513.7</v>
      </c>
      <c r="E3451" t="s">
        <v>675</v>
      </c>
    </row>
    <row r="3452" spans="1:5" hidden="1" x14ac:dyDescent="0.3">
      <c r="A3452" t="s">
        <v>552</v>
      </c>
      <c r="B3452" t="s">
        <v>674</v>
      </c>
      <c r="C3452" t="s">
        <v>349</v>
      </c>
      <c r="D3452" s="226">
        <v>-3500.3</v>
      </c>
      <c r="E3452" t="s">
        <v>675</v>
      </c>
    </row>
    <row r="3453" spans="1:5" hidden="1" x14ac:dyDescent="0.3">
      <c r="A3453" t="s">
        <v>552</v>
      </c>
      <c r="B3453" t="s">
        <v>674</v>
      </c>
      <c r="C3453" t="s">
        <v>350</v>
      </c>
      <c r="D3453" s="226">
        <v>0</v>
      </c>
      <c r="E3453" t="s">
        <v>675</v>
      </c>
    </row>
    <row r="3454" spans="1:5" hidden="1" x14ac:dyDescent="0.3">
      <c r="A3454" t="s">
        <v>552</v>
      </c>
      <c r="B3454" t="s">
        <v>674</v>
      </c>
      <c r="C3454" t="s">
        <v>351</v>
      </c>
      <c r="D3454" s="226">
        <v>0</v>
      </c>
      <c r="E3454" t="s">
        <v>675</v>
      </c>
    </row>
    <row r="3455" spans="1:5" hidden="1" x14ac:dyDescent="0.3">
      <c r="A3455" t="s">
        <v>552</v>
      </c>
      <c r="B3455" t="s">
        <v>674</v>
      </c>
      <c r="C3455" t="s">
        <v>352</v>
      </c>
      <c r="D3455" s="226">
        <v>0</v>
      </c>
      <c r="E3455" t="s">
        <v>675</v>
      </c>
    </row>
    <row r="3456" spans="1:5" hidden="1" x14ac:dyDescent="0.3">
      <c r="A3456" t="s">
        <v>552</v>
      </c>
      <c r="B3456" t="s">
        <v>674</v>
      </c>
      <c r="C3456" t="s">
        <v>353</v>
      </c>
      <c r="D3456" s="226">
        <v>0</v>
      </c>
      <c r="E3456" t="s">
        <v>675</v>
      </c>
    </row>
    <row r="3457" spans="1:5" hidden="1" x14ac:dyDescent="0.3">
      <c r="A3457" t="s">
        <v>552</v>
      </c>
      <c r="B3457" t="s">
        <v>674</v>
      </c>
      <c r="C3457" t="s">
        <v>354</v>
      </c>
      <c r="D3457" s="226">
        <v>0</v>
      </c>
      <c r="E3457" t="s">
        <v>675</v>
      </c>
    </row>
    <row r="3458" spans="1:5" hidden="1" x14ac:dyDescent="0.3">
      <c r="A3458" t="s">
        <v>552</v>
      </c>
      <c r="B3458" t="s">
        <v>674</v>
      </c>
      <c r="C3458" t="s">
        <v>355</v>
      </c>
      <c r="D3458" s="226">
        <v>0</v>
      </c>
      <c r="E3458" t="s">
        <v>675</v>
      </c>
    </row>
    <row r="3459" spans="1:5" hidden="1" x14ac:dyDescent="0.3">
      <c r="A3459" t="s">
        <v>552</v>
      </c>
      <c r="B3459" t="s">
        <v>674</v>
      </c>
      <c r="C3459" t="s">
        <v>356</v>
      </c>
      <c r="D3459" s="226">
        <v>0</v>
      </c>
      <c r="E3459" t="s">
        <v>675</v>
      </c>
    </row>
    <row r="3460" spans="1:5" hidden="1" x14ac:dyDescent="0.3">
      <c r="A3460" t="s">
        <v>552</v>
      </c>
      <c r="B3460" t="s">
        <v>674</v>
      </c>
      <c r="C3460" t="s">
        <v>357</v>
      </c>
      <c r="D3460" s="226">
        <v>0</v>
      </c>
      <c r="E3460" t="s">
        <v>675</v>
      </c>
    </row>
    <row r="3461" spans="1:5" hidden="1" x14ac:dyDescent="0.3">
      <c r="A3461" t="s">
        <v>552</v>
      </c>
      <c r="B3461" t="s">
        <v>674</v>
      </c>
      <c r="C3461" t="s">
        <v>358</v>
      </c>
      <c r="D3461" s="226">
        <v>0</v>
      </c>
      <c r="E3461" t="s">
        <v>675</v>
      </c>
    </row>
    <row r="3462" spans="1:5" hidden="1" x14ac:dyDescent="0.3">
      <c r="A3462" t="s">
        <v>552</v>
      </c>
      <c r="B3462" t="s">
        <v>674</v>
      </c>
      <c r="C3462" t="s">
        <v>359</v>
      </c>
      <c r="D3462" s="226">
        <v>0</v>
      </c>
      <c r="E3462" t="s">
        <v>675</v>
      </c>
    </row>
    <row r="3463" spans="1:5" hidden="1" x14ac:dyDescent="0.3">
      <c r="A3463" t="s">
        <v>552</v>
      </c>
      <c r="B3463" t="s">
        <v>674</v>
      </c>
      <c r="C3463" t="s">
        <v>360</v>
      </c>
      <c r="D3463" s="226">
        <v>0</v>
      </c>
      <c r="E3463" t="s">
        <v>675</v>
      </c>
    </row>
    <row r="3464" spans="1:5" hidden="1" x14ac:dyDescent="0.3">
      <c r="A3464" t="s">
        <v>552</v>
      </c>
      <c r="B3464" t="s">
        <v>674</v>
      </c>
      <c r="C3464" t="s">
        <v>361</v>
      </c>
      <c r="D3464" s="226">
        <v>0</v>
      </c>
      <c r="E3464" t="s">
        <v>675</v>
      </c>
    </row>
    <row r="3465" spans="1:5" hidden="1" x14ac:dyDescent="0.3">
      <c r="A3465" t="s">
        <v>552</v>
      </c>
      <c r="B3465" t="s">
        <v>674</v>
      </c>
      <c r="C3465" t="s">
        <v>362</v>
      </c>
      <c r="D3465" s="226">
        <v>0</v>
      </c>
      <c r="E3465" t="s">
        <v>675</v>
      </c>
    </row>
    <row r="3466" spans="1:5" hidden="1" x14ac:dyDescent="0.3">
      <c r="A3466" t="s">
        <v>552</v>
      </c>
      <c r="B3466" t="s">
        <v>674</v>
      </c>
      <c r="C3466" t="s">
        <v>363</v>
      </c>
      <c r="D3466" s="226">
        <v>0</v>
      </c>
      <c r="E3466" t="s">
        <v>675</v>
      </c>
    </row>
    <row r="3467" spans="1:5" hidden="1" x14ac:dyDescent="0.3">
      <c r="A3467" t="s">
        <v>552</v>
      </c>
      <c r="B3467" t="s">
        <v>674</v>
      </c>
      <c r="C3467" t="s">
        <v>364</v>
      </c>
      <c r="D3467" s="226">
        <v>0</v>
      </c>
      <c r="E3467" t="s">
        <v>675</v>
      </c>
    </row>
    <row r="3468" spans="1:5" hidden="1" x14ac:dyDescent="0.3">
      <c r="A3468" t="s">
        <v>552</v>
      </c>
      <c r="B3468" t="s">
        <v>674</v>
      </c>
      <c r="C3468" t="s">
        <v>365</v>
      </c>
      <c r="D3468" s="226">
        <v>0</v>
      </c>
      <c r="E3468" t="s">
        <v>675</v>
      </c>
    </row>
    <row r="3469" spans="1:5" hidden="1" x14ac:dyDescent="0.3">
      <c r="A3469" t="s">
        <v>552</v>
      </c>
      <c r="B3469" t="s">
        <v>674</v>
      </c>
      <c r="C3469" t="s">
        <v>366</v>
      </c>
      <c r="D3469" s="226">
        <v>0</v>
      </c>
      <c r="E3469" t="s">
        <v>675</v>
      </c>
    </row>
    <row r="3470" spans="1:5" hidden="1" x14ac:dyDescent="0.3">
      <c r="A3470" t="s">
        <v>552</v>
      </c>
      <c r="B3470" t="s">
        <v>674</v>
      </c>
      <c r="C3470" t="s">
        <v>367</v>
      </c>
      <c r="D3470" s="226">
        <v>0</v>
      </c>
      <c r="E3470" t="s">
        <v>675</v>
      </c>
    </row>
    <row r="3471" spans="1:5" hidden="1" x14ac:dyDescent="0.3">
      <c r="A3471" t="s">
        <v>552</v>
      </c>
      <c r="B3471" t="s">
        <v>674</v>
      </c>
      <c r="C3471" t="s">
        <v>368</v>
      </c>
      <c r="D3471" s="226">
        <v>0</v>
      </c>
      <c r="E3471" t="s">
        <v>675</v>
      </c>
    </row>
    <row r="3472" spans="1:5" hidden="1" x14ac:dyDescent="0.3">
      <c r="A3472" t="s">
        <v>552</v>
      </c>
      <c r="B3472" t="s">
        <v>674</v>
      </c>
      <c r="C3472" t="s">
        <v>369</v>
      </c>
      <c r="D3472" s="226">
        <v>0</v>
      </c>
      <c r="E3472" t="s">
        <v>675</v>
      </c>
    </row>
    <row r="3473" spans="1:5" hidden="1" x14ac:dyDescent="0.3">
      <c r="A3473" t="s">
        <v>552</v>
      </c>
      <c r="B3473" t="s">
        <v>674</v>
      </c>
      <c r="C3473" t="s">
        <v>370</v>
      </c>
      <c r="D3473" s="226">
        <v>0</v>
      </c>
      <c r="E3473" t="s">
        <v>675</v>
      </c>
    </row>
    <row r="3474" spans="1:5" hidden="1" x14ac:dyDescent="0.3">
      <c r="A3474" t="s">
        <v>552</v>
      </c>
      <c r="B3474" t="s">
        <v>674</v>
      </c>
      <c r="C3474" t="s">
        <v>371</v>
      </c>
      <c r="D3474" s="226">
        <v>0</v>
      </c>
      <c r="E3474" t="s">
        <v>675</v>
      </c>
    </row>
    <row r="3475" spans="1:5" hidden="1" x14ac:dyDescent="0.3">
      <c r="A3475" t="s">
        <v>552</v>
      </c>
      <c r="B3475" t="s">
        <v>674</v>
      </c>
      <c r="C3475" t="s">
        <v>372</v>
      </c>
      <c r="D3475" s="226">
        <v>-32014</v>
      </c>
      <c r="E3475" t="s">
        <v>675</v>
      </c>
    </row>
    <row r="3476" spans="1:5" hidden="1" x14ac:dyDescent="0.3">
      <c r="A3476" t="s">
        <v>552</v>
      </c>
      <c r="B3476" t="s">
        <v>674</v>
      </c>
      <c r="C3476" t="s">
        <v>373</v>
      </c>
      <c r="D3476" s="226">
        <v>501596.91</v>
      </c>
      <c r="E3476" t="s">
        <v>675</v>
      </c>
    </row>
    <row r="3477" spans="1:5" hidden="1" x14ac:dyDescent="0.3">
      <c r="A3477" t="s">
        <v>552</v>
      </c>
      <c r="B3477" t="s">
        <v>674</v>
      </c>
      <c r="C3477" t="s">
        <v>655</v>
      </c>
      <c r="D3477" s="226">
        <v>0</v>
      </c>
      <c r="E3477" t="s">
        <v>675</v>
      </c>
    </row>
    <row r="3478" spans="1:5" hidden="1" x14ac:dyDescent="0.3">
      <c r="A3478" t="s">
        <v>552</v>
      </c>
      <c r="B3478" t="s">
        <v>676</v>
      </c>
      <c r="C3478" t="s">
        <v>11</v>
      </c>
      <c r="D3478" s="226">
        <v>1606026.15</v>
      </c>
      <c r="E3478" t="s">
        <v>677</v>
      </c>
    </row>
    <row r="3479" spans="1:5" hidden="1" x14ac:dyDescent="0.3">
      <c r="A3479" t="s">
        <v>552</v>
      </c>
      <c r="B3479" t="s">
        <v>676</v>
      </c>
      <c r="C3479" t="s">
        <v>13</v>
      </c>
      <c r="D3479" s="226">
        <v>714946.9</v>
      </c>
      <c r="E3479" t="s">
        <v>677</v>
      </c>
    </row>
    <row r="3480" spans="1:5" hidden="1" x14ac:dyDescent="0.3">
      <c r="A3480" t="s">
        <v>552</v>
      </c>
      <c r="B3480" t="s">
        <v>676</v>
      </c>
      <c r="C3480" t="s">
        <v>16</v>
      </c>
      <c r="D3480" s="226">
        <v>545955.30000000005</v>
      </c>
      <c r="E3480" t="s">
        <v>677</v>
      </c>
    </row>
    <row r="3481" spans="1:5" hidden="1" x14ac:dyDescent="0.3">
      <c r="A3481" t="s">
        <v>552</v>
      </c>
      <c r="B3481" t="s">
        <v>676</v>
      </c>
      <c r="C3481" t="s">
        <v>17</v>
      </c>
      <c r="D3481" s="226">
        <v>0</v>
      </c>
      <c r="E3481" t="s">
        <v>677</v>
      </c>
    </row>
    <row r="3482" spans="1:5" hidden="1" x14ac:dyDescent="0.3">
      <c r="A3482" t="s">
        <v>552</v>
      </c>
      <c r="B3482" t="s">
        <v>676</v>
      </c>
      <c r="C3482" t="s">
        <v>18</v>
      </c>
      <c r="D3482" s="226">
        <v>972</v>
      </c>
      <c r="E3482" t="s">
        <v>677</v>
      </c>
    </row>
    <row r="3483" spans="1:5" hidden="1" x14ac:dyDescent="0.3">
      <c r="A3483" t="s">
        <v>552</v>
      </c>
      <c r="B3483" t="s">
        <v>676</v>
      </c>
      <c r="C3483" t="s">
        <v>20</v>
      </c>
      <c r="D3483" s="226">
        <v>158177.95000000001</v>
      </c>
      <c r="E3483" t="s">
        <v>677</v>
      </c>
    </row>
    <row r="3484" spans="1:5" hidden="1" x14ac:dyDescent="0.3">
      <c r="A3484" t="s">
        <v>552</v>
      </c>
      <c r="B3484" t="s">
        <v>676</v>
      </c>
      <c r="C3484" t="s">
        <v>23</v>
      </c>
      <c r="D3484" s="226">
        <v>132840</v>
      </c>
      <c r="E3484" t="s">
        <v>677</v>
      </c>
    </row>
    <row r="3485" spans="1:5" hidden="1" x14ac:dyDescent="0.3">
      <c r="A3485" t="s">
        <v>552</v>
      </c>
      <c r="B3485" t="s">
        <v>676</v>
      </c>
      <c r="C3485" t="s">
        <v>25</v>
      </c>
      <c r="D3485" s="226">
        <v>0</v>
      </c>
      <c r="E3485" t="s">
        <v>677</v>
      </c>
    </row>
    <row r="3486" spans="1:5" hidden="1" x14ac:dyDescent="0.3">
      <c r="A3486" t="s">
        <v>552</v>
      </c>
      <c r="B3486" t="s">
        <v>676</v>
      </c>
      <c r="C3486" t="s">
        <v>26</v>
      </c>
      <c r="D3486" s="226">
        <v>34855</v>
      </c>
      <c r="E3486" t="s">
        <v>677</v>
      </c>
    </row>
    <row r="3487" spans="1:5" hidden="1" x14ac:dyDescent="0.3">
      <c r="A3487" t="s">
        <v>552</v>
      </c>
      <c r="B3487" t="s">
        <v>676</v>
      </c>
      <c r="C3487" t="s">
        <v>27</v>
      </c>
      <c r="D3487" s="226">
        <v>0</v>
      </c>
      <c r="E3487" t="s">
        <v>677</v>
      </c>
    </row>
    <row r="3488" spans="1:5" hidden="1" x14ac:dyDescent="0.3">
      <c r="A3488" t="s">
        <v>552</v>
      </c>
      <c r="B3488" t="s">
        <v>676</v>
      </c>
      <c r="C3488" t="s">
        <v>29</v>
      </c>
      <c r="D3488" s="226">
        <v>18279</v>
      </c>
      <c r="E3488" t="s">
        <v>677</v>
      </c>
    </row>
    <row r="3489" spans="1:5" hidden="1" x14ac:dyDescent="0.3">
      <c r="A3489" t="s">
        <v>552</v>
      </c>
      <c r="B3489" t="s">
        <v>676</v>
      </c>
      <c r="C3489" t="s">
        <v>31</v>
      </c>
      <c r="D3489" s="226">
        <v>0</v>
      </c>
      <c r="E3489" t="s">
        <v>677</v>
      </c>
    </row>
    <row r="3490" spans="1:5" hidden="1" x14ac:dyDescent="0.3">
      <c r="A3490" t="s">
        <v>552</v>
      </c>
      <c r="B3490" t="s">
        <v>676</v>
      </c>
      <c r="C3490" t="s">
        <v>34</v>
      </c>
      <c r="D3490" s="226">
        <v>-21398.66</v>
      </c>
      <c r="E3490" t="s">
        <v>677</v>
      </c>
    </row>
    <row r="3491" spans="1:5" hidden="1" x14ac:dyDescent="0.3">
      <c r="A3491" t="s">
        <v>552</v>
      </c>
      <c r="B3491" t="s">
        <v>676</v>
      </c>
      <c r="C3491" t="s">
        <v>38</v>
      </c>
      <c r="D3491" s="226">
        <v>-21398.66</v>
      </c>
      <c r="E3491" t="s">
        <v>677</v>
      </c>
    </row>
    <row r="3492" spans="1:5" hidden="1" x14ac:dyDescent="0.3">
      <c r="A3492" t="s">
        <v>552</v>
      </c>
      <c r="B3492" t="s">
        <v>676</v>
      </c>
      <c r="C3492" t="s">
        <v>40</v>
      </c>
      <c r="D3492" s="226">
        <v>0</v>
      </c>
      <c r="E3492" t="s">
        <v>677</v>
      </c>
    </row>
    <row r="3493" spans="1:5" hidden="1" x14ac:dyDescent="0.3">
      <c r="A3493" t="s">
        <v>552</v>
      </c>
      <c r="B3493" t="s">
        <v>676</v>
      </c>
      <c r="C3493" t="s">
        <v>42</v>
      </c>
      <c r="D3493" s="226">
        <v>0</v>
      </c>
      <c r="E3493" t="s">
        <v>677</v>
      </c>
    </row>
    <row r="3494" spans="1:5" hidden="1" x14ac:dyDescent="0.3">
      <c r="A3494" t="s">
        <v>552</v>
      </c>
      <c r="B3494" t="s">
        <v>676</v>
      </c>
      <c r="C3494" t="s">
        <v>44</v>
      </c>
      <c r="D3494" s="226">
        <v>-0.01</v>
      </c>
      <c r="E3494" t="s">
        <v>677</v>
      </c>
    </row>
    <row r="3495" spans="1:5" hidden="1" x14ac:dyDescent="0.3">
      <c r="A3495" t="s">
        <v>552</v>
      </c>
      <c r="B3495" t="s">
        <v>676</v>
      </c>
      <c r="C3495" t="s">
        <v>45</v>
      </c>
      <c r="D3495" s="226">
        <v>-100102.91</v>
      </c>
      <c r="E3495" t="s">
        <v>677</v>
      </c>
    </row>
    <row r="3496" spans="1:5" hidden="1" x14ac:dyDescent="0.3">
      <c r="A3496" t="s">
        <v>552</v>
      </c>
      <c r="B3496" t="s">
        <v>676</v>
      </c>
      <c r="C3496" t="s">
        <v>46</v>
      </c>
      <c r="D3496" s="226">
        <v>-52065.41</v>
      </c>
      <c r="E3496" t="s">
        <v>677</v>
      </c>
    </row>
    <row r="3497" spans="1:5" hidden="1" x14ac:dyDescent="0.3">
      <c r="A3497" t="s">
        <v>552</v>
      </c>
      <c r="B3497" t="s">
        <v>676</v>
      </c>
      <c r="C3497" t="s">
        <v>48</v>
      </c>
      <c r="D3497" s="226">
        <v>-41395.51</v>
      </c>
      <c r="E3497" t="s">
        <v>677</v>
      </c>
    </row>
    <row r="3498" spans="1:5" hidden="1" x14ac:dyDescent="0.3">
      <c r="A3498" t="s">
        <v>552</v>
      </c>
      <c r="B3498" t="s">
        <v>676</v>
      </c>
      <c r="C3498" t="s">
        <v>49</v>
      </c>
      <c r="D3498" s="226">
        <v>-6642</v>
      </c>
      <c r="E3498" t="s">
        <v>677</v>
      </c>
    </row>
    <row r="3499" spans="1:5" hidden="1" x14ac:dyDescent="0.3">
      <c r="A3499" t="s">
        <v>552</v>
      </c>
      <c r="B3499" t="s">
        <v>676</v>
      </c>
      <c r="C3499" t="s">
        <v>50</v>
      </c>
      <c r="D3499" s="226">
        <v>1484524.57</v>
      </c>
      <c r="E3499" t="s">
        <v>677</v>
      </c>
    </row>
    <row r="3500" spans="1:5" hidden="1" x14ac:dyDescent="0.3">
      <c r="A3500" t="s">
        <v>552</v>
      </c>
      <c r="B3500" t="s">
        <v>676</v>
      </c>
      <c r="C3500" t="s">
        <v>51</v>
      </c>
      <c r="D3500" s="226">
        <v>-395730.27</v>
      </c>
      <c r="E3500" t="s">
        <v>677</v>
      </c>
    </row>
    <row r="3501" spans="1:5" hidden="1" x14ac:dyDescent="0.3">
      <c r="A3501" t="s">
        <v>552</v>
      </c>
      <c r="B3501" t="s">
        <v>676</v>
      </c>
      <c r="C3501" t="s">
        <v>52</v>
      </c>
      <c r="D3501" s="226">
        <v>-248518.42</v>
      </c>
      <c r="E3501" t="s">
        <v>677</v>
      </c>
    </row>
    <row r="3502" spans="1:5" hidden="1" x14ac:dyDescent="0.3">
      <c r="A3502" t="s">
        <v>552</v>
      </c>
      <c r="B3502" t="s">
        <v>676</v>
      </c>
      <c r="C3502" t="s">
        <v>53</v>
      </c>
      <c r="D3502" s="226">
        <v>-141229.6</v>
      </c>
      <c r="E3502" t="s">
        <v>677</v>
      </c>
    </row>
    <row r="3503" spans="1:5" hidden="1" x14ac:dyDescent="0.3">
      <c r="A3503" t="s">
        <v>552</v>
      </c>
      <c r="B3503" t="s">
        <v>676</v>
      </c>
      <c r="C3503" t="s">
        <v>54</v>
      </c>
      <c r="D3503" s="226">
        <v>-5982.25</v>
      </c>
      <c r="E3503" t="s">
        <v>677</v>
      </c>
    </row>
    <row r="3504" spans="1:5" hidden="1" x14ac:dyDescent="0.3">
      <c r="A3504" t="s">
        <v>552</v>
      </c>
      <c r="B3504" t="s">
        <v>676</v>
      </c>
      <c r="C3504" t="s">
        <v>23</v>
      </c>
      <c r="D3504" s="226">
        <v>0</v>
      </c>
      <c r="E3504" t="s">
        <v>677</v>
      </c>
    </row>
    <row r="3505" spans="1:5" hidden="1" x14ac:dyDescent="0.3">
      <c r="A3505" t="s">
        <v>552</v>
      </c>
      <c r="B3505" t="s">
        <v>676</v>
      </c>
      <c r="C3505" t="s">
        <v>44</v>
      </c>
      <c r="D3505" s="226">
        <v>-0.28000000000000003</v>
      </c>
      <c r="E3505" t="s">
        <v>677</v>
      </c>
    </row>
    <row r="3506" spans="1:5" hidden="1" x14ac:dyDescent="0.3">
      <c r="A3506" t="s">
        <v>552</v>
      </c>
      <c r="B3506" t="s">
        <v>676</v>
      </c>
      <c r="C3506" t="s">
        <v>55</v>
      </c>
      <c r="D3506" s="226">
        <v>-0.27</v>
      </c>
      <c r="E3506" t="s">
        <v>677</v>
      </c>
    </row>
    <row r="3507" spans="1:5" hidden="1" x14ac:dyDescent="0.3">
      <c r="A3507" t="s">
        <v>552</v>
      </c>
      <c r="B3507" t="s">
        <v>676</v>
      </c>
      <c r="C3507" t="s">
        <v>56</v>
      </c>
      <c r="D3507" s="226">
        <v>0</v>
      </c>
      <c r="E3507" t="s">
        <v>677</v>
      </c>
    </row>
    <row r="3508" spans="1:5" hidden="1" x14ac:dyDescent="0.3">
      <c r="A3508" t="s">
        <v>552</v>
      </c>
      <c r="B3508" t="s">
        <v>676</v>
      </c>
      <c r="C3508" t="s">
        <v>57</v>
      </c>
      <c r="D3508" s="226">
        <v>0</v>
      </c>
      <c r="E3508" t="s">
        <v>677</v>
      </c>
    </row>
    <row r="3509" spans="1:5" hidden="1" x14ac:dyDescent="0.3">
      <c r="A3509" t="s">
        <v>552</v>
      </c>
      <c r="B3509" t="s">
        <v>676</v>
      </c>
      <c r="C3509" t="s">
        <v>58</v>
      </c>
      <c r="D3509" s="226">
        <v>0</v>
      </c>
      <c r="E3509" t="s">
        <v>677</v>
      </c>
    </row>
    <row r="3510" spans="1:5" hidden="1" x14ac:dyDescent="0.3">
      <c r="A3510" t="s">
        <v>552</v>
      </c>
      <c r="B3510" t="s">
        <v>676</v>
      </c>
      <c r="C3510" t="s">
        <v>59</v>
      </c>
      <c r="D3510" s="226">
        <v>0</v>
      </c>
      <c r="E3510" t="s">
        <v>677</v>
      </c>
    </row>
    <row r="3511" spans="1:5" hidden="1" x14ac:dyDescent="0.3">
      <c r="A3511" t="s">
        <v>552</v>
      </c>
      <c r="B3511" t="s">
        <v>676</v>
      </c>
      <c r="C3511" t="s">
        <v>61</v>
      </c>
      <c r="D3511" s="226">
        <v>0</v>
      </c>
      <c r="E3511" t="s">
        <v>677</v>
      </c>
    </row>
    <row r="3512" spans="1:5" hidden="1" x14ac:dyDescent="0.3">
      <c r="A3512" t="s">
        <v>552</v>
      </c>
      <c r="B3512" t="s">
        <v>676</v>
      </c>
      <c r="C3512" t="s">
        <v>62</v>
      </c>
      <c r="D3512" s="226">
        <v>0</v>
      </c>
      <c r="E3512" t="s">
        <v>677</v>
      </c>
    </row>
    <row r="3513" spans="1:5" hidden="1" x14ac:dyDescent="0.3">
      <c r="A3513" t="s">
        <v>552</v>
      </c>
      <c r="B3513" t="s">
        <v>676</v>
      </c>
      <c r="C3513" t="s">
        <v>64</v>
      </c>
      <c r="D3513" s="226">
        <v>0</v>
      </c>
      <c r="E3513" t="s">
        <v>677</v>
      </c>
    </row>
    <row r="3514" spans="1:5" hidden="1" x14ac:dyDescent="0.3">
      <c r="A3514" t="s">
        <v>552</v>
      </c>
      <c r="B3514" t="s">
        <v>676</v>
      </c>
      <c r="C3514" t="s">
        <v>65</v>
      </c>
      <c r="D3514" s="226">
        <v>0</v>
      </c>
      <c r="E3514" t="s">
        <v>677</v>
      </c>
    </row>
    <row r="3515" spans="1:5" hidden="1" x14ac:dyDescent="0.3">
      <c r="A3515" t="s">
        <v>552</v>
      </c>
      <c r="B3515" t="s">
        <v>676</v>
      </c>
      <c r="C3515" t="s">
        <v>66</v>
      </c>
      <c r="D3515" s="226">
        <v>0</v>
      </c>
      <c r="E3515" t="s">
        <v>677</v>
      </c>
    </row>
    <row r="3516" spans="1:5" hidden="1" x14ac:dyDescent="0.3">
      <c r="A3516" t="s">
        <v>552</v>
      </c>
      <c r="B3516" t="s">
        <v>676</v>
      </c>
      <c r="C3516" t="s">
        <v>68</v>
      </c>
      <c r="D3516" s="226">
        <v>0</v>
      </c>
      <c r="E3516" t="s">
        <v>677</v>
      </c>
    </row>
    <row r="3517" spans="1:5" hidden="1" x14ac:dyDescent="0.3">
      <c r="A3517" t="s">
        <v>552</v>
      </c>
      <c r="B3517" t="s">
        <v>676</v>
      </c>
      <c r="C3517" t="s">
        <v>69</v>
      </c>
      <c r="D3517" s="226">
        <v>0</v>
      </c>
      <c r="E3517" t="s">
        <v>677</v>
      </c>
    </row>
    <row r="3518" spans="1:5" hidden="1" x14ac:dyDescent="0.3">
      <c r="A3518" t="s">
        <v>552</v>
      </c>
      <c r="B3518" t="s">
        <v>676</v>
      </c>
      <c r="C3518" t="s">
        <v>70</v>
      </c>
      <c r="D3518" s="226">
        <v>0</v>
      </c>
      <c r="E3518" t="s">
        <v>677</v>
      </c>
    </row>
    <row r="3519" spans="1:5" hidden="1" x14ac:dyDescent="0.3">
      <c r="A3519" t="s">
        <v>552</v>
      </c>
      <c r="B3519" t="s">
        <v>676</v>
      </c>
      <c r="C3519" t="s">
        <v>44</v>
      </c>
      <c r="D3519" s="226">
        <v>0</v>
      </c>
      <c r="E3519" t="s">
        <v>677</v>
      </c>
    </row>
    <row r="3520" spans="1:5" hidden="1" x14ac:dyDescent="0.3">
      <c r="A3520" t="s">
        <v>552</v>
      </c>
      <c r="B3520" t="s">
        <v>676</v>
      </c>
      <c r="C3520" t="s">
        <v>71</v>
      </c>
      <c r="D3520" s="226">
        <v>0</v>
      </c>
      <c r="E3520" t="s">
        <v>677</v>
      </c>
    </row>
    <row r="3521" spans="1:5" hidden="1" x14ac:dyDescent="0.3">
      <c r="A3521" t="s">
        <v>552</v>
      </c>
      <c r="B3521" t="s">
        <v>676</v>
      </c>
      <c r="C3521" t="s">
        <v>72</v>
      </c>
      <c r="D3521" s="226">
        <v>0</v>
      </c>
      <c r="E3521" t="s">
        <v>677</v>
      </c>
    </row>
    <row r="3522" spans="1:5" hidden="1" x14ac:dyDescent="0.3">
      <c r="A3522" t="s">
        <v>552</v>
      </c>
      <c r="B3522" t="s">
        <v>676</v>
      </c>
      <c r="C3522" t="s">
        <v>73</v>
      </c>
      <c r="D3522" s="226">
        <v>0</v>
      </c>
      <c r="E3522" t="s">
        <v>677</v>
      </c>
    </row>
    <row r="3523" spans="1:5" hidden="1" x14ac:dyDescent="0.3">
      <c r="A3523" t="s">
        <v>552</v>
      </c>
      <c r="B3523" t="s">
        <v>676</v>
      </c>
      <c r="C3523" t="s">
        <v>75</v>
      </c>
      <c r="D3523" s="226">
        <v>0</v>
      </c>
      <c r="E3523" t="s">
        <v>677</v>
      </c>
    </row>
    <row r="3524" spans="1:5" hidden="1" x14ac:dyDescent="0.3">
      <c r="A3524" t="s">
        <v>552</v>
      </c>
      <c r="B3524" t="s">
        <v>676</v>
      </c>
      <c r="C3524" t="s">
        <v>77</v>
      </c>
      <c r="D3524" s="226">
        <v>0</v>
      </c>
      <c r="E3524" t="s">
        <v>677</v>
      </c>
    </row>
    <row r="3525" spans="1:5" hidden="1" x14ac:dyDescent="0.3">
      <c r="A3525" t="s">
        <v>552</v>
      </c>
      <c r="B3525" t="s">
        <v>676</v>
      </c>
      <c r="C3525" t="s">
        <v>78</v>
      </c>
      <c r="D3525" s="226">
        <v>0</v>
      </c>
      <c r="E3525" t="s">
        <v>677</v>
      </c>
    </row>
    <row r="3526" spans="1:5" hidden="1" x14ac:dyDescent="0.3">
      <c r="A3526" t="s">
        <v>552</v>
      </c>
      <c r="B3526" t="s">
        <v>676</v>
      </c>
      <c r="C3526" t="s">
        <v>80</v>
      </c>
      <c r="D3526" s="226">
        <v>0</v>
      </c>
      <c r="E3526" t="s">
        <v>677</v>
      </c>
    </row>
    <row r="3527" spans="1:5" hidden="1" x14ac:dyDescent="0.3">
      <c r="A3527" t="s">
        <v>552</v>
      </c>
      <c r="B3527" t="s">
        <v>676</v>
      </c>
      <c r="C3527" t="s">
        <v>82</v>
      </c>
      <c r="D3527" s="226">
        <v>0</v>
      </c>
      <c r="E3527" t="s">
        <v>677</v>
      </c>
    </row>
    <row r="3528" spans="1:5" hidden="1" x14ac:dyDescent="0.3">
      <c r="A3528" t="s">
        <v>552</v>
      </c>
      <c r="B3528" t="s">
        <v>676</v>
      </c>
      <c r="C3528" t="s">
        <v>84</v>
      </c>
      <c r="D3528" s="226">
        <v>0</v>
      </c>
      <c r="E3528" t="s">
        <v>677</v>
      </c>
    </row>
    <row r="3529" spans="1:5" hidden="1" x14ac:dyDescent="0.3">
      <c r="A3529" t="s">
        <v>552</v>
      </c>
      <c r="B3529" t="s">
        <v>676</v>
      </c>
      <c r="C3529" t="s">
        <v>85</v>
      </c>
      <c r="D3529" s="226">
        <v>0</v>
      </c>
      <c r="E3529" t="s">
        <v>677</v>
      </c>
    </row>
    <row r="3530" spans="1:5" hidden="1" x14ac:dyDescent="0.3">
      <c r="A3530" t="s">
        <v>552</v>
      </c>
      <c r="B3530" t="s">
        <v>676</v>
      </c>
      <c r="C3530" t="s">
        <v>86</v>
      </c>
      <c r="D3530" s="226">
        <v>0</v>
      </c>
      <c r="E3530" t="s">
        <v>677</v>
      </c>
    </row>
    <row r="3531" spans="1:5" hidden="1" x14ac:dyDescent="0.3">
      <c r="A3531" t="s">
        <v>552</v>
      </c>
      <c r="B3531" t="s">
        <v>676</v>
      </c>
      <c r="C3531" t="s">
        <v>87</v>
      </c>
      <c r="D3531" s="226">
        <v>0</v>
      </c>
      <c r="E3531" t="s">
        <v>677</v>
      </c>
    </row>
    <row r="3532" spans="1:5" hidden="1" x14ac:dyDescent="0.3">
      <c r="A3532" t="s">
        <v>552</v>
      </c>
      <c r="B3532" t="s">
        <v>676</v>
      </c>
      <c r="C3532" t="s">
        <v>88</v>
      </c>
      <c r="D3532" s="226">
        <v>0</v>
      </c>
      <c r="E3532" t="s">
        <v>677</v>
      </c>
    </row>
    <row r="3533" spans="1:5" hidden="1" x14ac:dyDescent="0.3">
      <c r="A3533" t="s">
        <v>552</v>
      </c>
      <c r="B3533" t="s">
        <v>676</v>
      </c>
      <c r="C3533" t="s">
        <v>89</v>
      </c>
      <c r="D3533" s="226">
        <v>0</v>
      </c>
      <c r="E3533" t="s">
        <v>677</v>
      </c>
    </row>
    <row r="3534" spans="1:5" hidden="1" x14ac:dyDescent="0.3">
      <c r="A3534" t="s">
        <v>552</v>
      </c>
      <c r="B3534" t="s">
        <v>676</v>
      </c>
      <c r="C3534" t="s">
        <v>90</v>
      </c>
      <c r="D3534" s="226">
        <v>0</v>
      </c>
      <c r="E3534" t="s">
        <v>677</v>
      </c>
    </row>
    <row r="3535" spans="1:5" hidden="1" x14ac:dyDescent="0.3">
      <c r="A3535" t="s">
        <v>552</v>
      </c>
      <c r="B3535" t="s">
        <v>676</v>
      </c>
      <c r="C3535" t="s">
        <v>91</v>
      </c>
      <c r="D3535" s="226">
        <v>0</v>
      </c>
      <c r="E3535" t="s">
        <v>677</v>
      </c>
    </row>
    <row r="3536" spans="1:5" hidden="1" x14ac:dyDescent="0.3">
      <c r="A3536" t="s">
        <v>552</v>
      </c>
      <c r="B3536" t="s">
        <v>676</v>
      </c>
      <c r="C3536" t="s">
        <v>93</v>
      </c>
      <c r="D3536" s="226">
        <v>0</v>
      </c>
      <c r="E3536" t="s">
        <v>677</v>
      </c>
    </row>
    <row r="3537" spans="1:5" hidden="1" x14ac:dyDescent="0.3">
      <c r="A3537" t="s">
        <v>552</v>
      </c>
      <c r="B3537" t="s">
        <v>676</v>
      </c>
      <c r="C3537" t="s">
        <v>95</v>
      </c>
      <c r="D3537" s="226">
        <v>0</v>
      </c>
      <c r="E3537" t="s">
        <v>677</v>
      </c>
    </row>
    <row r="3538" spans="1:5" hidden="1" x14ac:dyDescent="0.3">
      <c r="A3538" t="s">
        <v>552</v>
      </c>
      <c r="B3538" t="s">
        <v>676</v>
      </c>
      <c r="C3538" t="s">
        <v>96</v>
      </c>
      <c r="D3538" s="226">
        <v>0</v>
      </c>
      <c r="E3538" t="s">
        <v>677</v>
      </c>
    </row>
    <row r="3539" spans="1:5" hidden="1" x14ac:dyDescent="0.3">
      <c r="A3539" t="s">
        <v>552</v>
      </c>
      <c r="B3539" t="s">
        <v>676</v>
      </c>
      <c r="C3539" t="s">
        <v>98</v>
      </c>
      <c r="D3539" s="226">
        <v>0</v>
      </c>
      <c r="E3539" t="s">
        <v>677</v>
      </c>
    </row>
    <row r="3540" spans="1:5" hidden="1" x14ac:dyDescent="0.3">
      <c r="A3540" t="s">
        <v>552</v>
      </c>
      <c r="B3540" t="s">
        <v>676</v>
      </c>
      <c r="C3540" t="s">
        <v>100</v>
      </c>
      <c r="D3540" s="226">
        <v>0</v>
      </c>
      <c r="E3540" t="s">
        <v>677</v>
      </c>
    </row>
    <row r="3541" spans="1:5" hidden="1" x14ac:dyDescent="0.3">
      <c r="A3541" t="s">
        <v>552</v>
      </c>
      <c r="B3541" t="s">
        <v>676</v>
      </c>
      <c r="C3541" t="s">
        <v>101</v>
      </c>
      <c r="D3541" s="226">
        <v>0</v>
      </c>
      <c r="E3541" t="s">
        <v>677</v>
      </c>
    </row>
    <row r="3542" spans="1:5" hidden="1" x14ac:dyDescent="0.3">
      <c r="A3542" t="s">
        <v>552</v>
      </c>
      <c r="B3542" t="s">
        <v>676</v>
      </c>
      <c r="C3542" t="s">
        <v>102</v>
      </c>
      <c r="D3542" s="226">
        <v>0</v>
      </c>
      <c r="E3542" t="s">
        <v>677</v>
      </c>
    </row>
    <row r="3543" spans="1:5" hidden="1" x14ac:dyDescent="0.3">
      <c r="A3543" t="s">
        <v>552</v>
      </c>
      <c r="B3543" t="s">
        <v>676</v>
      </c>
      <c r="C3543" t="s">
        <v>103</v>
      </c>
      <c r="D3543" s="226">
        <v>-3700</v>
      </c>
      <c r="E3543" t="s">
        <v>677</v>
      </c>
    </row>
    <row r="3544" spans="1:5" hidden="1" x14ac:dyDescent="0.3">
      <c r="A3544" t="s">
        <v>552</v>
      </c>
      <c r="B3544" t="s">
        <v>676</v>
      </c>
      <c r="C3544" t="s">
        <v>104</v>
      </c>
      <c r="D3544" s="226">
        <v>0</v>
      </c>
      <c r="E3544" t="s">
        <v>677</v>
      </c>
    </row>
    <row r="3545" spans="1:5" hidden="1" x14ac:dyDescent="0.3">
      <c r="A3545" t="s">
        <v>552</v>
      </c>
      <c r="B3545" t="s">
        <v>676</v>
      </c>
      <c r="C3545" t="s">
        <v>105</v>
      </c>
      <c r="D3545" s="226">
        <v>0</v>
      </c>
      <c r="E3545" t="s">
        <v>677</v>
      </c>
    </row>
    <row r="3546" spans="1:5" hidden="1" x14ac:dyDescent="0.3">
      <c r="A3546" t="s">
        <v>552</v>
      </c>
      <c r="B3546" t="s">
        <v>676</v>
      </c>
      <c r="C3546" t="s">
        <v>107</v>
      </c>
      <c r="D3546" s="226">
        <v>0</v>
      </c>
      <c r="E3546" t="s">
        <v>677</v>
      </c>
    </row>
    <row r="3547" spans="1:5" hidden="1" x14ac:dyDescent="0.3">
      <c r="A3547" t="s">
        <v>552</v>
      </c>
      <c r="B3547" t="s">
        <v>676</v>
      </c>
      <c r="C3547" t="s">
        <v>108</v>
      </c>
      <c r="D3547" s="226">
        <v>0</v>
      </c>
      <c r="E3547" t="s">
        <v>677</v>
      </c>
    </row>
    <row r="3548" spans="1:5" hidden="1" x14ac:dyDescent="0.3">
      <c r="A3548" t="s">
        <v>552</v>
      </c>
      <c r="B3548" t="s">
        <v>676</v>
      </c>
      <c r="C3548" t="s">
        <v>109</v>
      </c>
      <c r="D3548" s="226">
        <v>0</v>
      </c>
      <c r="E3548" t="s">
        <v>677</v>
      </c>
    </row>
    <row r="3549" spans="1:5" hidden="1" x14ac:dyDescent="0.3">
      <c r="A3549" t="s">
        <v>552</v>
      </c>
      <c r="B3549" t="s">
        <v>676</v>
      </c>
      <c r="C3549" t="s">
        <v>110</v>
      </c>
      <c r="D3549" s="226">
        <v>0</v>
      </c>
      <c r="E3549" t="s">
        <v>677</v>
      </c>
    </row>
    <row r="3550" spans="1:5" hidden="1" x14ac:dyDescent="0.3">
      <c r="A3550" t="s">
        <v>552</v>
      </c>
      <c r="B3550" t="s">
        <v>676</v>
      </c>
      <c r="C3550" t="s">
        <v>44</v>
      </c>
      <c r="D3550" s="226">
        <v>0</v>
      </c>
      <c r="E3550" t="s">
        <v>677</v>
      </c>
    </row>
    <row r="3551" spans="1:5" hidden="1" x14ac:dyDescent="0.3">
      <c r="A3551" t="s">
        <v>552</v>
      </c>
      <c r="B3551" t="s">
        <v>676</v>
      </c>
      <c r="C3551" t="s">
        <v>111</v>
      </c>
      <c r="D3551" s="226">
        <v>-114712.68</v>
      </c>
      <c r="E3551" t="s">
        <v>677</v>
      </c>
    </row>
    <row r="3552" spans="1:5" hidden="1" x14ac:dyDescent="0.3">
      <c r="A3552" t="s">
        <v>552</v>
      </c>
      <c r="B3552" t="s">
        <v>676</v>
      </c>
      <c r="C3552" t="s">
        <v>555</v>
      </c>
      <c r="D3552" s="226">
        <v>-114712.68</v>
      </c>
      <c r="E3552" t="s">
        <v>677</v>
      </c>
    </row>
    <row r="3553" spans="1:5" hidden="1" x14ac:dyDescent="0.3">
      <c r="A3553" t="s">
        <v>552</v>
      </c>
      <c r="B3553" t="s">
        <v>676</v>
      </c>
      <c r="C3553" t="s">
        <v>44</v>
      </c>
      <c r="D3553" s="226">
        <v>-7.0000000000000007E-2</v>
      </c>
      <c r="E3553" t="s">
        <v>677</v>
      </c>
    </row>
    <row r="3554" spans="1:5" hidden="1" x14ac:dyDescent="0.3">
      <c r="A3554" t="s">
        <v>552</v>
      </c>
      <c r="B3554" t="s">
        <v>676</v>
      </c>
      <c r="C3554" t="s">
        <v>115</v>
      </c>
      <c r="D3554" s="226">
        <v>-22593.439999999999</v>
      </c>
      <c r="E3554" t="s">
        <v>677</v>
      </c>
    </row>
    <row r="3555" spans="1:5" hidden="1" x14ac:dyDescent="0.3">
      <c r="A3555" t="s">
        <v>552</v>
      </c>
      <c r="B3555" t="s">
        <v>676</v>
      </c>
      <c r="C3555" t="s">
        <v>116</v>
      </c>
      <c r="D3555" s="226">
        <v>-17816.810000000001</v>
      </c>
      <c r="E3555" t="s">
        <v>677</v>
      </c>
    </row>
    <row r="3556" spans="1:5" hidden="1" x14ac:dyDescent="0.3">
      <c r="A3556" t="s">
        <v>552</v>
      </c>
      <c r="B3556" t="s">
        <v>676</v>
      </c>
      <c r="C3556" t="s">
        <v>118</v>
      </c>
      <c r="D3556" s="226">
        <v>0</v>
      </c>
      <c r="E3556" t="s">
        <v>677</v>
      </c>
    </row>
    <row r="3557" spans="1:5" hidden="1" x14ac:dyDescent="0.3">
      <c r="A3557" t="s">
        <v>552</v>
      </c>
      <c r="B3557" t="s">
        <v>676</v>
      </c>
      <c r="C3557" t="s">
        <v>120</v>
      </c>
      <c r="D3557" s="226">
        <v>0</v>
      </c>
      <c r="E3557" t="s">
        <v>677</v>
      </c>
    </row>
    <row r="3558" spans="1:5" hidden="1" x14ac:dyDescent="0.3">
      <c r="A3558" t="s">
        <v>552</v>
      </c>
      <c r="B3558" t="s">
        <v>676</v>
      </c>
      <c r="C3558" t="s">
        <v>122</v>
      </c>
      <c r="D3558" s="226">
        <v>-4776.63</v>
      </c>
      <c r="E3558" t="s">
        <v>677</v>
      </c>
    </row>
    <row r="3559" spans="1:5" hidden="1" x14ac:dyDescent="0.3">
      <c r="A3559" t="s">
        <v>552</v>
      </c>
      <c r="B3559" t="s">
        <v>676</v>
      </c>
      <c r="C3559" t="s">
        <v>44</v>
      </c>
      <c r="D3559" s="226">
        <v>-0.01</v>
      </c>
      <c r="E3559" t="s">
        <v>677</v>
      </c>
    </row>
    <row r="3560" spans="1:5" hidden="1" x14ac:dyDescent="0.3">
      <c r="A3560" t="s">
        <v>552</v>
      </c>
      <c r="B3560" t="s">
        <v>676</v>
      </c>
      <c r="C3560" t="s">
        <v>125</v>
      </c>
      <c r="D3560" s="226">
        <v>951488.18</v>
      </c>
      <c r="E3560" t="s">
        <v>677</v>
      </c>
    </row>
    <row r="3561" spans="1:5" hidden="1" x14ac:dyDescent="0.3">
      <c r="A3561" t="s">
        <v>552</v>
      </c>
      <c r="B3561" t="s">
        <v>676</v>
      </c>
      <c r="C3561" t="s">
        <v>126</v>
      </c>
      <c r="D3561" s="226">
        <v>0.59</v>
      </c>
      <c r="E3561" t="s">
        <v>677</v>
      </c>
    </row>
    <row r="3562" spans="1:5" hidden="1" x14ac:dyDescent="0.3">
      <c r="A3562" t="s">
        <v>552</v>
      </c>
      <c r="B3562" t="s">
        <v>676</v>
      </c>
      <c r="C3562" t="s">
        <v>127</v>
      </c>
      <c r="D3562" s="226">
        <v>-302820.32</v>
      </c>
      <c r="E3562" t="s">
        <v>677</v>
      </c>
    </row>
    <row r="3563" spans="1:5" hidden="1" x14ac:dyDescent="0.3">
      <c r="A3563" t="s">
        <v>552</v>
      </c>
      <c r="B3563" t="s">
        <v>676</v>
      </c>
      <c r="C3563" t="s">
        <v>128</v>
      </c>
      <c r="D3563" s="226">
        <v>-46550</v>
      </c>
      <c r="E3563" t="s">
        <v>677</v>
      </c>
    </row>
    <row r="3564" spans="1:5" hidden="1" x14ac:dyDescent="0.3">
      <c r="A3564" t="s">
        <v>552</v>
      </c>
      <c r="B3564" t="s">
        <v>676</v>
      </c>
      <c r="C3564" t="s">
        <v>556</v>
      </c>
      <c r="D3564" s="226">
        <v>-12450</v>
      </c>
      <c r="E3564" t="s">
        <v>677</v>
      </c>
    </row>
    <row r="3565" spans="1:5" hidden="1" x14ac:dyDescent="0.3">
      <c r="A3565" t="s">
        <v>552</v>
      </c>
      <c r="B3565" t="s">
        <v>676</v>
      </c>
      <c r="C3565" t="s">
        <v>557</v>
      </c>
      <c r="D3565" s="226">
        <v>-6600</v>
      </c>
      <c r="E3565" t="s">
        <v>677</v>
      </c>
    </row>
    <row r="3566" spans="1:5" hidden="1" x14ac:dyDescent="0.3">
      <c r="A3566" t="s">
        <v>552</v>
      </c>
      <c r="B3566" t="s">
        <v>676</v>
      </c>
      <c r="C3566" t="s">
        <v>558</v>
      </c>
      <c r="D3566" s="226">
        <v>0</v>
      </c>
      <c r="E3566" t="s">
        <v>677</v>
      </c>
    </row>
    <row r="3567" spans="1:5" hidden="1" x14ac:dyDescent="0.3">
      <c r="A3567" t="s">
        <v>552</v>
      </c>
      <c r="B3567" t="s">
        <v>676</v>
      </c>
      <c r="C3567" t="s">
        <v>559</v>
      </c>
      <c r="D3567" s="226">
        <v>-14000</v>
      </c>
      <c r="E3567" t="s">
        <v>677</v>
      </c>
    </row>
    <row r="3568" spans="1:5" hidden="1" x14ac:dyDescent="0.3">
      <c r="A3568" t="s">
        <v>552</v>
      </c>
      <c r="B3568" t="s">
        <v>676</v>
      </c>
      <c r="C3568" t="s">
        <v>560</v>
      </c>
      <c r="D3568" s="226">
        <v>-2500</v>
      </c>
      <c r="E3568" t="s">
        <v>677</v>
      </c>
    </row>
    <row r="3569" spans="1:5" hidden="1" x14ac:dyDescent="0.3">
      <c r="A3569" t="s">
        <v>552</v>
      </c>
      <c r="B3569" t="s">
        <v>676</v>
      </c>
      <c r="C3569" t="s">
        <v>561</v>
      </c>
      <c r="D3569" s="226">
        <v>-7000</v>
      </c>
      <c r="E3569" t="s">
        <v>677</v>
      </c>
    </row>
    <row r="3570" spans="1:5" hidden="1" x14ac:dyDescent="0.3">
      <c r="A3570" t="s">
        <v>552</v>
      </c>
      <c r="B3570" t="s">
        <v>676</v>
      </c>
      <c r="C3570" t="s">
        <v>562</v>
      </c>
      <c r="D3570" s="226">
        <v>-4000</v>
      </c>
      <c r="E3570" t="s">
        <v>677</v>
      </c>
    </row>
    <row r="3571" spans="1:5" hidden="1" x14ac:dyDescent="0.3">
      <c r="A3571" t="s">
        <v>552</v>
      </c>
      <c r="B3571" t="s">
        <v>676</v>
      </c>
      <c r="C3571" t="s">
        <v>563</v>
      </c>
      <c r="D3571" s="226">
        <v>0</v>
      </c>
      <c r="E3571" t="s">
        <v>677</v>
      </c>
    </row>
    <row r="3572" spans="1:5" hidden="1" x14ac:dyDescent="0.3">
      <c r="A3572" t="s">
        <v>552</v>
      </c>
      <c r="B3572" t="s">
        <v>676</v>
      </c>
      <c r="C3572" t="s">
        <v>564</v>
      </c>
      <c r="D3572" s="226">
        <v>0</v>
      </c>
      <c r="E3572" t="s">
        <v>677</v>
      </c>
    </row>
    <row r="3573" spans="1:5" hidden="1" x14ac:dyDescent="0.3">
      <c r="A3573" t="s">
        <v>552</v>
      </c>
      <c r="B3573" t="s">
        <v>676</v>
      </c>
      <c r="C3573" t="s">
        <v>565</v>
      </c>
      <c r="D3573" s="226">
        <v>0</v>
      </c>
      <c r="E3573" t="s">
        <v>677</v>
      </c>
    </row>
    <row r="3574" spans="1:5" hidden="1" x14ac:dyDescent="0.3">
      <c r="A3574" t="s">
        <v>552</v>
      </c>
      <c r="B3574" t="s">
        <v>676</v>
      </c>
      <c r="C3574" t="s">
        <v>566</v>
      </c>
      <c r="D3574" s="226">
        <v>0</v>
      </c>
      <c r="E3574" t="s">
        <v>677</v>
      </c>
    </row>
    <row r="3575" spans="1:5" hidden="1" x14ac:dyDescent="0.3">
      <c r="A3575" t="s">
        <v>552</v>
      </c>
      <c r="B3575" t="s">
        <v>676</v>
      </c>
      <c r="C3575" t="s">
        <v>567</v>
      </c>
      <c r="D3575" s="226">
        <v>0</v>
      </c>
      <c r="E3575" t="s">
        <v>677</v>
      </c>
    </row>
    <row r="3576" spans="1:5" hidden="1" x14ac:dyDescent="0.3">
      <c r="A3576" t="s">
        <v>552</v>
      </c>
      <c r="B3576" t="s">
        <v>676</v>
      </c>
      <c r="C3576" t="s">
        <v>141</v>
      </c>
      <c r="D3576" s="226">
        <v>-74989.72</v>
      </c>
      <c r="E3576" t="s">
        <v>677</v>
      </c>
    </row>
    <row r="3577" spans="1:5" hidden="1" x14ac:dyDescent="0.3">
      <c r="A3577" t="s">
        <v>552</v>
      </c>
      <c r="B3577" t="s">
        <v>676</v>
      </c>
      <c r="C3577" t="s">
        <v>568</v>
      </c>
      <c r="D3577" s="226">
        <v>0</v>
      </c>
      <c r="E3577" t="s">
        <v>677</v>
      </c>
    </row>
    <row r="3578" spans="1:5" hidden="1" x14ac:dyDescent="0.3">
      <c r="A3578" t="s">
        <v>552</v>
      </c>
      <c r="B3578" t="s">
        <v>676</v>
      </c>
      <c r="C3578" t="s">
        <v>569</v>
      </c>
      <c r="D3578" s="226">
        <v>0</v>
      </c>
      <c r="E3578" t="s">
        <v>677</v>
      </c>
    </row>
    <row r="3579" spans="1:5" hidden="1" x14ac:dyDescent="0.3">
      <c r="A3579" t="s">
        <v>552</v>
      </c>
      <c r="B3579" t="s">
        <v>676</v>
      </c>
      <c r="C3579" t="s">
        <v>570</v>
      </c>
      <c r="D3579" s="226">
        <v>0</v>
      </c>
      <c r="E3579" t="s">
        <v>677</v>
      </c>
    </row>
    <row r="3580" spans="1:5" hidden="1" x14ac:dyDescent="0.3">
      <c r="A3580" t="s">
        <v>552</v>
      </c>
      <c r="B3580" t="s">
        <v>676</v>
      </c>
      <c r="C3580" t="s">
        <v>571</v>
      </c>
      <c r="D3580" s="226">
        <v>0</v>
      </c>
      <c r="E3580" t="s">
        <v>677</v>
      </c>
    </row>
    <row r="3581" spans="1:5" hidden="1" x14ac:dyDescent="0.3">
      <c r="A3581" t="s">
        <v>552</v>
      </c>
      <c r="B3581" t="s">
        <v>676</v>
      </c>
      <c r="C3581" t="s">
        <v>572</v>
      </c>
      <c r="D3581" s="226">
        <v>0</v>
      </c>
      <c r="E3581" t="s">
        <v>677</v>
      </c>
    </row>
    <row r="3582" spans="1:5" hidden="1" x14ac:dyDescent="0.3">
      <c r="A3582" t="s">
        <v>552</v>
      </c>
      <c r="B3582" t="s">
        <v>676</v>
      </c>
      <c r="C3582" t="s">
        <v>573</v>
      </c>
      <c r="D3582" s="226">
        <v>0</v>
      </c>
      <c r="E3582" t="s">
        <v>677</v>
      </c>
    </row>
    <row r="3583" spans="1:5" hidden="1" x14ac:dyDescent="0.3">
      <c r="A3583" t="s">
        <v>552</v>
      </c>
      <c r="B3583" t="s">
        <v>676</v>
      </c>
      <c r="C3583" t="s">
        <v>574</v>
      </c>
      <c r="D3583" s="226">
        <v>0</v>
      </c>
      <c r="E3583" t="s">
        <v>677</v>
      </c>
    </row>
    <row r="3584" spans="1:5" hidden="1" x14ac:dyDescent="0.3">
      <c r="A3584" t="s">
        <v>552</v>
      </c>
      <c r="B3584" t="s">
        <v>676</v>
      </c>
      <c r="C3584" t="s">
        <v>575</v>
      </c>
      <c r="D3584" s="226">
        <v>0</v>
      </c>
      <c r="E3584" t="s">
        <v>677</v>
      </c>
    </row>
    <row r="3585" spans="1:5" hidden="1" x14ac:dyDescent="0.3">
      <c r="A3585" t="s">
        <v>552</v>
      </c>
      <c r="B3585" t="s">
        <v>676</v>
      </c>
      <c r="C3585" t="s">
        <v>576</v>
      </c>
      <c r="D3585" s="226">
        <v>0</v>
      </c>
      <c r="E3585" t="s">
        <v>677</v>
      </c>
    </row>
    <row r="3586" spans="1:5" hidden="1" x14ac:dyDescent="0.3">
      <c r="A3586" t="s">
        <v>552</v>
      </c>
      <c r="B3586" t="s">
        <v>676</v>
      </c>
      <c r="C3586" t="s">
        <v>577</v>
      </c>
      <c r="D3586" s="226">
        <v>0</v>
      </c>
      <c r="E3586" t="s">
        <v>677</v>
      </c>
    </row>
    <row r="3587" spans="1:5" hidden="1" x14ac:dyDescent="0.3">
      <c r="A3587" t="s">
        <v>552</v>
      </c>
      <c r="B3587" t="s">
        <v>676</v>
      </c>
      <c r="C3587" t="s">
        <v>578</v>
      </c>
      <c r="D3587" s="226">
        <v>0</v>
      </c>
      <c r="E3587" t="s">
        <v>677</v>
      </c>
    </row>
    <row r="3588" spans="1:5" hidden="1" x14ac:dyDescent="0.3">
      <c r="A3588" t="s">
        <v>552</v>
      </c>
      <c r="B3588" t="s">
        <v>676</v>
      </c>
      <c r="C3588" t="s">
        <v>579</v>
      </c>
      <c r="D3588" s="226">
        <v>0</v>
      </c>
      <c r="E3588" t="s">
        <v>677</v>
      </c>
    </row>
    <row r="3589" spans="1:5" hidden="1" x14ac:dyDescent="0.3">
      <c r="A3589" t="s">
        <v>552</v>
      </c>
      <c r="B3589" t="s">
        <v>676</v>
      </c>
      <c r="C3589" t="s">
        <v>580</v>
      </c>
      <c r="D3589" s="226">
        <v>0</v>
      </c>
      <c r="E3589" t="s">
        <v>677</v>
      </c>
    </row>
    <row r="3590" spans="1:5" hidden="1" x14ac:dyDescent="0.3">
      <c r="A3590" t="s">
        <v>552</v>
      </c>
      <c r="B3590" t="s">
        <v>676</v>
      </c>
      <c r="C3590" t="s">
        <v>581</v>
      </c>
      <c r="D3590" s="226">
        <v>0</v>
      </c>
      <c r="E3590" t="s">
        <v>677</v>
      </c>
    </row>
    <row r="3591" spans="1:5" hidden="1" x14ac:dyDescent="0.3">
      <c r="A3591" t="s">
        <v>552</v>
      </c>
      <c r="B3591" t="s">
        <v>676</v>
      </c>
      <c r="C3591" t="s">
        <v>582</v>
      </c>
      <c r="D3591" s="226">
        <v>0</v>
      </c>
      <c r="E3591" t="s">
        <v>677</v>
      </c>
    </row>
    <row r="3592" spans="1:5" hidden="1" x14ac:dyDescent="0.3">
      <c r="A3592" t="s">
        <v>552</v>
      </c>
      <c r="B3592" t="s">
        <v>676</v>
      </c>
      <c r="C3592" t="s">
        <v>583</v>
      </c>
      <c r="D3592" s="226">
        <v>0</v>
      </c>
      <c r="E3592" t="s">
        <v>677</v>
      </c>
    </row>
    <row r="3593" spans="1:5" hidden="1" x14ac:dyDescent="0.3">
      <c r="A3593" t="s">
        <v>552</v>
      </c>
      <c r="B3593" t="s">
        <v>676</v>
      </c>
      <c r="C3593" t="s">
        <v>584</v>
      </c>
      <c r="D3593" s="226">
        <v>0</v>
      </c>
      <c r="E3593" t="s">
        <v>677</v>
      </c>
    </row>
    <row r="3594" spans="1:5" hidden="1" x14ac:dyDescent="0.3">
      <c r="A3594" t="s">
        <v>552</v>
      </c>
      <c r="B3594" t="s">
        <v>676</v>
      </c>
      <c r="C3594" t="s">
        <v>585</v>
      </c>
      <c r="D3594" s="226">
        <v>0</v>
      </c>
      <c r="E3594" t="s">
        <v>677</v>
      </c>
    </row>
    <row r="3595" spans="1:5" hidden="1" x14ac:dyDescent="0.3">
      <c r="A3595" t="s">
        <v>552</v>
      </c>
      <c r="B3595" t="s">
        <v>676</v>
      </c>
      <c r="C3595" t="s">
        <v>586</v>
      </c>
      <c r="D3595" s="226">
        <v>0</v>
      </c>
      <c r="E3595" t="s">
        <v>677</v>
      </c>
    </row>
    <row r="3596" spans="1:5" hidden="1" x14ac:dyDescent="0.3">
      <c r="A3596" t="s">
        <v>552</v>
      </c>
      <c r="B3596" t="s">
        <v>676</v>
      </c>
      <c r="C3596" t="s">
        <v>587</v>
      </c>
      <c r="D3596" s="226">
        <v>0</v>
      </c>
      <c r="E3596" t="s">
        <v>677</v>
      </c>
    </row>
    <row r="3597" spans="1:5" hidden="1" x14ac:dyDescent="0.3">
      <c r="A3597" t="s">
        <v>552</v>
      </c>
      <c r="B3597" t="s">
        <v>676</v>
      </c>
      <c r="C3597" t="s">
        <v>588</v>
      </c>
      <c r="D3597" s="226">
        <v>0</v>
      </c>
      <c r="E3597" t="s">
        <v>677</v>
      </c>
    </row>
    <row r="3598" spans="1:5" hidden="1" x14ac:dyDescent="0.3">
      <c r="A3598" t="s">
        <v>552</v>
      </c>
      <c r="B3598" t="s">
        <v>676</v>
      </c>
      <c r="C3598" t="s">
        <v>589</v>
      </c>
      <c r="D3598" s="226">
        <v>0</v>
      </c>
      <c r="E3598" t="s">
        <v>677</v>
      </c>
    </row>
    <row r="3599" spans="1:5" hidden="1" x14ac:dyDescent="0.3">
      <c r="A3599" t="s">
        <v>552</v>
      </c>
      <c r="B3599" t="s">
        <v>676</v>
      </c>
      <c r="C3599" t="s">
        <v>590</v>
      </c>
      <c r="D3599" s="226">
        <v>0</v>
      </c>
      <c r="E3599" t="s">
        <v>677</v>
      </c>
    </row>
    <row r="3600" spans="1:5" hidden="1" x14ac:dyDescent="0.3">
      <c r="A3600" t="s">
        <v>552</v>
      </c>
      <c r="B3600" t="s">
        <v>676</v>
      </c>
      <c r="C3600" t="s">
        <v>591</v>
      </c>
      <c r="D3600" s="226">
        <v>0</v>
      </c>
      <c r="E3600" t="s">
        <v>677</v>
      </c>
    </row>
    <row r="3601" spans="1:5" hidden="1" x14ac:dyDescent="0.3">
      <c r="A3601" t="s">
        <v>552</v>
      </c>
      <c r="B3601" t="s">
        <v>676</v>
      </c>
      <c r="C3601" t="s">
        <v>592</v>
      </c>
      <c r="D3601" s="226">
        <v>0</v>
      </c>
      <c r="E3601" t="s">
        <v>677</v>
      </c>
    </row>
    <row r="3602" spans="1:5" hidden="1" x14ac:dyDescent="0.3">
      <c r="A3602" t="s">
        <v>552</v>
      </c>
      <c r="B3602" t="s">
        <v>676</v>
      </c>
      <c r="C3602" t="s">
        <v>593</v>
      </c>
      <c r="D3602" s="226">
        <v>0</v>
      </c>
      <c r="E3602" t="s">
        <v>677</v>
      </c>
    </row>
    <row r="3603" spans="1:5" hidden="1" x14ac:dyDescent="0.3">
      <c r="A3603" t="s">
        <v>552</v>
      </c>
      <c r="B3603" t="s">
        <v>676</v>
      </c>
      <c r="C3603" t="s">
        <v>594</v>
      </c>
      <c r="D3603" s="226">
        <v>0</v>
      </c>
      <c r="E3603" t="s">
        <v>677</v>
      </c>
    </row>
    <row r="3604" spans="1:5" hidden="1" x14ac:dyDescent="0.3">
      <c r="A3604" t="s">
        <v>552</v>
      </c>
      <c r="B3604" t="s">
        <v>676</v>
      </c>
      <c r="C3604" t="s">
        <v>595</v>
      </c>
      <c r="D3604" s="226">
        <v>0</v>
      </c>
      <c r="E3604" t="s">
        <v>677</v>
      </c>
    </row>
    <row r="3605" spans="1:5" hidden="1" x14ac:dyDescent="0.3">
      <c r="A3605" t="s">
        <v>552</v>
      </c>
      <c r="B3605" t="s">
        <v>676</v>
      </c>
      <c r="C3605" t="s">
        <v>596</v>
      </c>
      <c r="D3605" s="226">
        <v>0</v>
      </c>
      <c r="E3605" t="s">
        <v>677</v>
      </c>
    </row>
    <row r="3606" spans="1:5" hidden="1" x14ac:dyDescent="0.3">
      <c r="A3606" t="s">
        <v>552</v>
      </c>
      <c r="B3606" t="s">
        <v>676</v>
      </c>
      <c r="C3606" t="s">
        <v>597</v>
      </c>
      <c r="D3606" s="226">
        <v>0</v>
      </c>
      <c r="E3606" t="s">
        <v>677</v>
      </c>
    </row>
    <row r="3607" spans="1:5" hidden="1" x14ac:dyDescent="0.3">
      <c r="A3607" t="s">
        <v>552</v>
      </c>
      <c r="B3607" t="s">
        <v>676</v>
      </c>
      <c r="C3607" t="s">
        <v>598</v>
      </c>
      <c r="D3607" s="226">
        <v>0</v>
      </c>
      <c r="E3607" t="s">
        <v>677</v>
      </c>
    </row>
    <row r="3608" spans="1:5" hidden="1" x14ac:dyDescent="0.3">
      <c r="A3608" t="s">
        <v>552</v>
      </c>
      <c r="B3608" t="s">
        <v>676</v>
      </c>
      <c r="C3608" t="s">
        <v>599</v>
      </c>
      <c r="D3608" s="226">
        <v>0</v>
      </c>
      <c r="E3608" t="s">
        <v>677</v>
      </c>
    </row>
    <row r="3609" spans="1:5" hidden="1" x14ac:dyDescent="0.3">
      <c r="A3609" t="s">
        <v>552</v>
      </c>
      <c r="B3609" t="s">
        <v>676</v>
      </c>
      <c r="C3609" t="s">
        <v>600</v>
      </c>
      <c r="D3609" s="226">
        <v>0</v>
      </c>
      <c r="E3609" t="s">
        <v>677</v>
      </c>
    </row>
    <row r="3610" spans="1:5" hidden="1" x14ac:dyDescent="0.3">
      <c r="A3610" t="s">
        <v>552</v>
      </c>
      <c r="B3610" t="s">
        <v>676</v>
      </c>
      <c r="C3610" t="s">
        <v>601</v>
      </c>
      <c r="D3610" s="226">
        <v>0</v>
      </c>
      <c r="E3610" t="s">
        <v>677</v>
      </c>
    </row>
    <row r="3611" spans="1:5" hidden="1" x14ac:dyDescent="0.3">
      <c r="A3611" t="s">
        <v>552</v>
      </c>
      <c r="B3611" t="s">
        <v>676</v>
      </c>
      <c r="C3611" t="s">
        <v>602</v>
      </c>
      <c r="D3611" s="226">
        <v>0</v>
      </c>
      <c r="E3611" t="s">
        <v>677</v>
      </c>
    </row>
    <row r="3612" spans="1:5" hidden="1" x14ac:dyDescent="0.3">
      <c r="A3612" t="s">
        <v>552</v>
      </c>
      <c r="B3612" t="s">
        <v>676</v>
      </c>
      <c r="C3612" t="s">
        <v>603</v>
      </c>
      <c r="D3612" s="226">
        <v>0</v>
      </c>
      <c r="E3612" t="s">
        <v>677</v>
      </c>
    </row>
    <row r="3613" spans="1:5" hidden="1" x14ac:dyDescent="0.3">
      <c r="A3613" t="s">
        <v>552</v>
      </c>
      <c r="B3613" t="s">
        <v>676</v>
      </c>
      <c r="C3613" t="s">
        <v>604</v>
      </c>
      <c r="D3613" s="226">
        <v>0</v>
      </c>
      <c r="E3613" t="s">
        <v>677</v>
      </c>
    </row>
    <row r="3614" spans="1:5" hidden="1" x14ac:dyDescent="0.3">
      <c r="A3614" t="s">
        <v>552</v>
      </c>
      <c r="B3614" t="s">
        <v>676</v>
      </c>
      <c r="C3614" t="s">
        <v>605</v>
      </c>
      <c r="D3614" s="226">
        <v>0</v>
      </c>
      <c r="E3614" t="s">
        <v>677</v>
      </c>
    </row>
    <row r="3615" spans="1:5" hidden="1" x14ac:dyDescent="0.3">
      <c r="A3615" t="s">
        <v>552</v>
      </c>
      <c r="B3615" t="s">
        <v>676</v>
      </c>
      <c r="C3615" t="s">
        <v>606</v>
      </c>
      <c r="D3615" s="226">
        <v>0</v>
      </c>
      <c r="E3615" t="s">
        <v>677</v>
      </c>
    </row>
    <row r="3616" spans="1:5" hidden="1" x14ac:dyDescent="0.3">
      <c r="A3616" t="s">
        <v>552</v>
      </c>
      <c r="B3616" t="s">
        <v>676</v>
      </c>
      <c r="C3616" t="s">
        <v>607</v>
      </c>
      <c r="D3616" s="226">
        <v>0</v>
      </c>
      <c r="E3616" t="s">
        <v>677</v>
      </c>
    </row>
    <row r="3617" spans="1:5" hidden="1" x14ac:dyDescent="0.3">
      <c r="A3617" t="s">
        <v>552</v>
      </c>
      <c r="B3617" t="s">
        <v>676</v>
      </c>
      <c r="C3617" t="s">
        <v>608</v>
      </c>
      <c r="D3617" s="226">
        <v>0</v>
      </c>
      <c r="E3617" t="s">
        <v>677</v>
      </c>
    </row>
    <row r="3618" spans="1:5" hidden="1" x14ac:dyDescent="0.3">
      <c r="A3618" t="s">
        <v>552</v>
      </c>
      <c r="B3618" t="s">
        <v>676</v>
      </c>
      <c r="C3618" t="s">
        <v>609</v>
      </c>
      <c r="D3618" s="226">
        <v>0</v>
      </c>
      <c r="E3618" t="s">
        <v>677</v>
      </c>
    </row>
    <row r="3619" spans="1:5" hidden="1" x14ac:dyDescent="0.3">
      <c r="A3619" t="s">
        <v>552</v>
      </c>
      <c r="B3619" t="s">
        <v>676</v>
      </c>
      <c r="C3619" t="s">
        <v>610</v>
      </c>
      <c r="D3619" s="226">
        <v>0</v>
      </c>
      <c r="E3619" t="s">
        <v>677</v>
      </c>
    </row>
    <row r="3620" spans="1:5" hidden="1" x14ac:dyDescent="0.3">
      <c r="A3620" t="s">
        <v>552</v>
      </c>
      <c r="B3620" t="s">
        <v>676</v>
      </c>
      <c r="C3620" t="s">
        <v>611</v>
      </c>
      <c r="D3620" s="226">
        <v>0</v>
      </c>
      <c r="E3620" t="s">
        <v>677</v>
      </c>
    </row>
    <row r="3621" spans="1:5" hidden="1" x14ac:dyDescent="0.3">
      <c r="A3621" t="s">
        <v>552</v>
      </c>
      <c r="B3621" t="s">
        <v>676</v>
      </c>
      <c r="C3621" t="s">
        <v>612</v>
      </c>
      <c r="D3621" s="226">
        <v>0</v>
      </c>
      <c r="E3621" t="s">
        <v>677</v>
      </c>
    </row>
    <row r="3622" spans="1:5" hidden="1" x14ac:dyDescent="0.3">
      <c r="A3622" t="s">
        <v>552</v>
      </c>
      <c r="B3622" t="s">
        <v>676</v>
      </c>
      <c r="C3622" t="s">
        <v>613</v>
      </c>
      <c r="D3622" s="226">
        <v>0</v>
      </c>
      <c r="E3622" t="s">
        <v>677</v>
      </c>
    </row>
    <row r="3623" spans="1:5" hidden="1" x14ac:dyDescent="0.3">
      <c r="A3623" t="s">
        <v>552</v>
      </c>
      <c r="B3623" t="s">
        <v>676</v>
      </c>
      <c r="C3623" t="s">
        <v>614</v>
      </c>
      <c r="D3623" s="226">
        <v>0</v>
      </c>
      <c r="E3623" t="s">
        <v>677</v>
      </c>
    </row>
    <row r="3624" spans="1:5" hidden="1" x14ac:dyDescent="0.3">
      <c r="A3624" t="s">
        <v>552</v>
      </c>
      <c r="B3624" t="s">
        <v>676</v>
      </c>
      <c r="C3624" t="s">
        <v>615</v>
      </c>
      <c r="D3624" s="226">
        <v>0</v>
      </c>
      <c r="E3624" t="s">
        <v>677</v>
      </c>
    </row>
    <row r="3625" spans="1:5" hidden="1" x14ac:dyDescent="0.3">
      <c r="A3625" t="s">
        <v>552</v>
      </c>
      <c r="B3625" t="s">
        <v>676</v>
      </c>
      <c r="C3625" t="s">
        <v>616</v>
      </c>
      <c r="D3625" s="226">
        <v>0</v>
      </c>
      <c r="E3625" t="s">
        <v>677</v>
      </c>
    </row>
    <row r="3626" spans="1:5" hidden="1" x14ac:dyDescent="0.3">
      <c r="A3626" t="s">
        <v>552</v>
      </c>
      <c r="B3626" t="s">
        <v>676</v>
      </c>
      <c r="C3626" t="s">
        <v>617</v>
      </c>
      <c r="D3626" s="226">
        <v>0</v>
      </c>
      <c r="E3626" t="s">
        <v>677</v>
      </c>
    </row>
    <row r="3627" spans="1:5" hidden="1" x14ac:dyDescent="0.3">
      <c r="A3627" t="s">
        <v>552</v>
      </c>
      <c r="B3627" t="s">
        <v>676</v>
      </c>
      <c r="C3627" t="s">
        <v>618</v>
      </c>
      <c r="D3627" s="226">
        <v>0</v>
      </c>
      <c r="E3627" t="s">
        <v>677</v>
      </c>
    </row>
    <row r="3628" spans="1:5" hidden="1" x14ac:dyDescent="0.3">
      <c r="A3628" t="s">
        <v>552</v>
      </c>
      <c r="B3628" t="s">
        <v>676</v>
      </c>
      <c r="C3628" t="s">
        <v>619</v>
      </c>
      <c r="D3628" s="226">
        <v>0</v>
      </c>
      <c r="E3628" t="s">
        <v>677</v>
      </c>
    </row>
    <row r="3629" spans="1:5" hidden="1" x14ac:dyDescent="0.3">
      <c r="A3629" t="s">
        <v>552</v>
      </c>
      <c r="B3629" t="s">
        <v>676</v>
      </c>
      <c r="C3629" t="s">
        <v>620</v>
      </c>
      <c r="D3629" s="226">
        <v>0</v>
      </c>
      <c r="E3629" t="s">
        <v>677</v>
      </c>
    </row>
    <row r="3630" spans="1:5" hidden="1" x14ac:dyDescent="0.3">
      <c r="A3630" t="s">
        <v>552</v>
      </c>
      <c r="B3630" t="s">
        <v>676</v>
      </c>
      <c r="C3630" t="s">
        <v>621</v>
      </c>
      <c r="D3630" s="226">
        <v>0</v>
      </c>
      <c r="E3630" t="s">
        <v>677</v>
      </c>
    </row>
    <row r="3631" spans="1:5" hidden="1" x14ac:dyDescent="0.3">
      <c r="A3631" t="s">
        <v>552</v>
      </c>
      <c r="B3631" t="s">
        <v>676</v>
      </c>
      <c r="C3631" t="s">
        <v>622</v>
      </c>
      <c r="D3631" s="226">
        <v>0</v>
      </c>
      <c r="E3631" t="s">
        <v>677</v>
      </c>
    </row>
    <row r="3632" spans="1:5" hidden="1" x14ac:dyDescent="0.3">
      <c r="A3632" t="s">
        <v>552</v>
      </c>
      <c r="B3632" t="s">
        <v>676</v>
      </c>
      <c r="C3632" t="s">
        <v>623</v>
      </c>
      <c r="D3632" s="226">
        <v>0</v>
      </c>
      <c r="E3632" t="s">
        <v>677</v>
      </c>
    </row>
    <row r="3633" spans="1:5" hidden="1" x14ac:dyDescent="0.3">
      <c r="A3633" t="s">
        <v>552</v>
      </c>
      <c r="B3633" t="s">
        <v>676</v>
      </c>
      <c r="C3633" t="s">
        <v>624</v>
      </c>
      <c r="D3633" s="226">
        <v>0</v>
      </c>
      <c r="E3633" t="s">
        <v>677</v>
      </c>
    </row>
    <row r="3634" spans="1:5" hidden="1" x14ac:dyDescent="0.3">
      <c r="A3634" t="s">
        <v>552</v>
      </c>
      <c r="B3634" t="s">
        <v>676</v>
      </c>
      <c r="C3634" t="s">
        <v>200</v>
      </c>
      <c r="D3634" s="226">
        <v>-91734.17</v>
      </c>
      <c r="E3634" t="s">
        <v>677</v>
      </c>
    </row>
    <row r="3635" spans="1:5" hidden="1" x14ac:dyDescent="0.3">
      <c r="A3635" t="s">
        <v>552</v>
      </c>
      <c r="B3635" t="s">
        <v>676</v>
      </c>
      <c r="C3635" t="s">
        <v>202</v>
      </c>
      <c r="D3635" s="226">
        <v>-91734.17</v>
      </c>
      <c r="E3635" t="s">
        <v>677</v>
      </c>
    </row>
    <row r="3636" spans="1:5" hidden="1" x14ac:dyDescent="0.3">
      <c r="A3636" t="s">
        <v>552</v>
      </c>
      <c r="B3636" t="s">
        <v>676</v>
      </c>
      <c r="C3636" t="s">
        <v>625</v>
      </c>
      <c r="D3636" s="226">
        <v>45867.09</v>
      </c>
      <c r="E3636" t="s">
        <v>677</v>
      </c>
    </row>
    <row r="3637" spans="1:5" hidden="1" x14ac:dyDescent="0.3">
      <c r="A3637" t="s">
        <v>552</v>
      </c>
      <c r="B3637" t="s">
        <v>676</v>
      </c>
      <c r="C3637" t="s">
        <v>204</v>
      </c>
      <c r="D3637" s="226">
        <v>-48474.75</v>
      </c>
      <c r="E3637" t="s">
        <v>677</v>
      </c>
    </row>
    <row r="3638" spans="1:5" hidden="1" x14ac:dyDescent="0.3">
      <c r="A3638" t="s">
        <v>552</v>
      </c>
      <c r="B3638" t="s">
        <v>676</v>
      </c>
      <c r="C3638" t="s">
        <v>626</v>
      </c>
      <c r="D3638" s="226">
        <v>-12170.4</v>
      </c>
      <c r="E3638" t="s">
        <v>677</v>
      </c>
    </row>
    <row r="3639" spans="1:5" hidden="1" x14ac:dyDescent="0.3">
      <c r="A3639" t="s">
        <v>552</v>
      </c>
      <c r="B3639" t="s">
        <v>676</v>
      </c>
      <c r="C3639" t="s">
        <v>627</v>
      </c>
      <c r="D3639" s="226">
        <v>0</v>
      </c>
      <c r="E3639" t="s">
        <v>677</v>
      </c>
    </row>
    <row r="3640" spans="1:5" hidden="1" x14ac:dyDescent="0.3">
      <c r="A3640" t="s">
        <v>552</v>
      </c>
      <c r="B3640" t="s">
        <v>676</v>
      </c>
      <c r="C3640" t="s">
        <v>628</v>
      </c>
      <c r="D3640" s="226">
        <v>0</v>
      </c>
      <c r="E3640" t="s">
        <v>677</v>
      </c>
    </row>
    <row r="3641" spans="1:5" hidden="1" x14ac:dyDescent="0.3">
      <c r="A3641" t="s">
        <v>552</v>
      </c>
      <c r="B3641" t="s">
        <v>676</v>
      </c>
      <c r="C3641" t="s">
        <v>629</v>
      </c>
      <c r="D3641" s="226">
        <v>-12926.14</v>
      </c>
      <c r="E3641" t="s">
        <v>677</v>
      </c>
    </row>
    <row r="3642" spans="1:5" hidden="1" x14ac:dyDescent="0.3">
      <c r="A3642" t="s">
        <v>552</v>
      </c>
      <c r="B3642" t="s">
        <v>676</v>
      </c>
      <c r="C3642" t="s">
        <v>630</v>
      </c>
      <c r="D3642" s="226">
        <v>0</v>
      </c>
      <c r="E3642" t="s">
        <v>677</v>
      </c>
    </row>
    <row r="3643" spans="1:5" hidden="1" x14ac:dyDescent="0.3">
      <c r="A3643" t="s">
        <v>552</v>
      </c>
      <c r="B3643" t="s">
        <v>676</v>
      </c>
      <c r="C3643" t="s">
        <v>631</v>
      </c>
      <c r="D3643" s="226">
        <v>-4355.21</v>
      </c>
      <c r="E3643" t="s">
        <v>677</v>
      </c>
    </row>
    <row r="3644" spans="1:5" hidden="1" x14ac:dyDescent="0.3">
      <c r="A3644" t="s">
        <v>552</v>
      </c>
      <c r="B3644" t="s">
        <v>676</v>
      </c>
      <c r="C3644" t="s">
        <v>632</v>
      </c>
      <c r="D3644" s="226">
        <v>-1301.9100000000001</v>
      </c>
      <c r="E3644" t="s">
        <v>677</v>
      </c>
    </row>
    <row r="3645" spans="1:5" hidden="1" x14ac:dyDescent="0.3">
      <c r="A3645" t="s">
        <v>552</v>
      </c>
      <c r="B3645" t="s">
        <v>676</v>
      </c>
      <c r="C3645" t="s">
        <v>633</v>
      </c>
      <c r="D3645" s="226">
        <v>0</v>
      </c>
      <c r="E3645" t="s">
        <v>677</v>
      </c>
    </row>
    <row r="3646" spans="1:5" hidden="1" x14ac:dyDescent="0.3">
      <c r="A3646" t="s">
        <v>552</v>
      </c>
      <c r="B3646" t="s">
        <v>676</v>
      </c>
      <c r="C3646" t="s">
        <v>634</v>
      </c>
      <c r="D3646" s="226">
        <v>0</v>
      </c>
      <c r="E3646" t="s">
        <v>677</v>
      </c>
    </row>
    <row r="3647" spans="1:5" hidden="1" x14ac:dyDescent="0.3">
      <c r="A3647" t="s">
        <v>552</v>
      </c>
      <c r="B3647" t="s">
        <v>676</v>
      </c>
      <c r="C3647" t="s">
        <v>635</v>
      </c>
      <c r="D3647" s="226">
        <v>0</v>
      </c>
      <c r="E3647" t="s">
        <v>677</v>
      </c>
    </row>
    <row r="3648" spans="1:5" hidden="1" x14ac:dyDescent="0.3">
      <c r="A3648" t="s">
        <v>552</v>
      </c>
      <c r="B3648" t="s">
        <v>676</v>
      </c>
      <c r="C3648" t="s">
        <v>636</v>
      </c>
      <c r="D3648" s="226">
        <v>0</v>
      </c>
      <c r="E3648" t="s">
        <v>677</v>
      </c>
    </row>
    <row r="3649" spans="1:5" hidden="1" x14ac:dyDescent="0.3">
      <c r="A3649" t="s">
        <v>552</v>
      </c>
      <c r="B3649" t="s">
        <v>676</v>
      </c>
      <c r="C3649" t="s">
        <v>637</v>
      </c>
      <c r="D3649" s="226">
        <v>-10500</v>
      </c>
      <c r="E3649" t="s">
        <v>677</v>
      </c>
    </row>
    <row r="3650" spans="1:5" hidden="1" x14ac:dyDescent="0.3">
      <c r="A3650" t="s">
        <v>552</v>
      </c>
      <c r="B3650" t="s">
        <v>676</v>
      </c>
      <c r="C3650" t="s">
        <v>638</v>
      </c>
      <c r="D3650" s="226">
        <v>0</v>
      </c>
      <c r="E3650" t="s">
        <v>677</v>
      </c>
    </row>
    <row r="3651" spans="1:5" hidden="1" x14ac:dyDescent="0.3">
      <c r="A3651" t="s">
        <v>552</v>
      </c>
      <c r="B3651" t="s">
        <v>676</v>
      </c>
      <c r="C3651" t="s">
        <v>639</v>
      </c>
      <c r="D3651" s="226">
        <v>-7221.08</v>
      </c>
      <c r="E3651" t="s">
        <v>677</v>
      </c>
    </row>
    <row r="3652" spans="1:5" hidden="1" x14ac:dyDescent="0.3">
      <c r="A3652" t="s">
        <v>552</v>
      </c>
      <c r="B3652" t="s">
        <v>676</v>
      </c>
      <c r="C3652" t="s">
        <v>640</v>
      </c>
      <c r="D3652" s="226">
        <v>0</v>
      </c>
      <c r="E3652" t="s">
        <v>677</v>
      </c>
    </row>
    <row r="3653" spans="1:5" hidden="1" x14ac:dyDescent="0.3">
      <c r="A3653" t="s">
        <v>552</v>
      </c>
      <c r="B3653" t="s">
        <v>676</v>
      </c>
      <c r="C3653" t="s">
        <v>641</v>
      </c>
      <c r="D3653" s="226">
        <v>0</v>
      </c>
      <c r="E3653" t="s">
        <v>677</v>
      </c>
    </row>
    <row r="3654" spans="1:5" hidden="1" x14ac:dyDescent="0.3">
      <c r="A3654" t="s">
        <v>552</v>
      </c>
      <c r="B3654" t="s">
        <v>676</v>
      </c>
      <c r="C3654" t="s">
        <v>237</v>
      </c>
      <c r="D3654" s="226">
        <v>-9667.1200000000008</v>
      </c>
      <c r="E3654" t="s">
        <v>677</v>
      </c>
    </row>
    <row r="3655" spans="1:5" hidden="1" x14ac:dyDescent="0.3">
      <c r="A3655" t="s">
        <v>552</v>
      </c>
      <c r="B3655" t="s">
        <v>676</v>
      </c>
      <c r="C3655" t="s">
        <v>642</v>
      </c>
      <c r="D3655" s="226">
        <v>-9593.18</v>
      </c>
      <c r="E3655" t="s">
        <v>677</v>
      </c>
    </row>
    <row r="3656" spans="1:5" hidden="1" x14ac:dyDescent="0.3">
      <c r="A3656" t="s">
        <v>552</v>
      </c>
      <c r="B3656" t="s">
        <v>676</v>
      </c>
      <c r="C3656" t="s">
        <v>643</v>
      </c>
      <c r="D3656" s="226">
        <v>0</v>
      </c>
      <c r="E3656" t="s">
        <v>677</v>
      </c>
    </row>
    <row r="3657" spans="1:5" hidden="1" x14ac:dyDescent="0.3">
      <c r="A3657" t="s">
        <v>552</v>
      </c>
      <c r="B3657" t="s">
        <v>676</v>
      </c>
      <c r="C3657" t="s">
        <v>644</v>
      </c>
      <c r="D3657" s="226">
        <v>0</v>
      </c>
      <c r="E3657" t="s">
        <v>677</v>
      </c>
    </row>
    <row r="3658" spans="1:5" hidden="1" x14ac:dyDescent="0.3">
      <c r="A3658" t="s">
        <v>552</v>
      </c>
      <c r="B3658" t="s">
        <v>676</v>
      </c>
      <c r="C3658" t="s">
        <v>645</v>
      </c>
      <c r="D3658" s="226">
        <v>-73.94</v>
      </c>
      <c r="E3658" t="s">
        <v>677</v>
      </c>
    </row>
    <row r="3659" spans="1:5" hidden="1" x14ac:dyDescent="0.3">
      <c r="A3659" t="s">
        <v>552</v>
      </c>
      <c r="B3659" t="s">
        <v>676</v>
      </c>
      <c r="C3659" t="s">
        <v>646</v>
      </c>
      <c r="D3659" s="226">
        <v>0</v>
      </c>
      <c r="E3659" t="s">
        <v>677</v>
      </c>
    </row>
    <row r="3660" spans="1:5" hidden="1" x14ac:dyDescent="0.3">
      <c r="A3660" t="s">
        <v>552</v>
      </c>
      <c r="B3660" t="s">
        <v>676</v>
      </c>
      <c r="C3660" t="s">
        <v>244</v>
      </c>
      <c r="D3660" s="226">
        <v>-31404.560000000001</v>
      </c>
      <c r="E3660" t="s">
        <v>677</v>
      </c>
    </row>
    <row r="3661" spans="1:5" hidden="1" x14ac:dyDescent="0.3">
      <c r="A3661" t="s">
        <v>552</v>
      </c>
      <c r="B3661" t="s">
        <v>676</v>
      </c>
      <c r="C3661" t="s">
        <v>647</v>
      </c>
      <c r="D3661" s="226">
        <v>-1740.25</v>
      </c>
      <c r="E3661" t="s">
        <v>677</v>
      </c>
    </row>
    <row r="3662" spans="1:5" hidden="1" x14ac:dyDescent="0.3">
      <c r="A3662" t="s">
        <v>552</v>
      </c>
      <c r="B3662" t="s">
        <v>676</v>
      </c>
      <c r="C3662" t="s">
        <v>648</v>
      </c>
      <c r="D3662" s="226">
        <v>-807.36</v>
      </c>
      <c r="E3662" t="s">
        <v>677</v>
      </c>
    </row>
    <row r="3663" spans="1:5" hidden="1" x14ac:dyDescent="0.3">
      <c r="A3663" t="s">
        <v>552</v>
      </c>
      <c r="B3663" t="s">
        <v>676</v>
      </c>
      <c r="C3663" t="s">
        <v>649</v>
      </c>
      <c r="D3663" s="226">
        <v>0</v>
      </c>
      <c r="E3663" t="s">
        <v>677</v>
      </c>
    </row>
    <row r="3664" spans="1:5" hidden="1" x14ac:dyDescent="0.3">
      <c r="A3664" t="s">
        <v>552</v>
      </c>
      <c r="B3664" t="s">
        <v>676</v>
      </c>
      <c r="C3664" t="s">
        <v>650</v>
      </c>
      <c r="D3664" s="226">
        <v>0</v>
      </c>
      <c r="E3664" t="s">
        <v>677</v>
      </c>
    </row>
    <row r="3665" spans="1:5" hidden="1" x14ac:dyDescent="0.3">
      <c r="A3665" t="s">
        <v>552</v>
      </c>
      <c r="B3665" t="s">
        <v>676</v>
      </c>
      <c r="C3665" t="s">
        <v>651</v>
      </c>
      <c r="D3665" s="226">
        <v>0</v>
      </c>
      <c r="E3665" t="s">
        <v>677</v>
      </c>
    </row>
    <row r="3666" spans="1:5" hidden="1" x14ac:dyDescent="0.3">
      <c r="A3666" t="s">
        <v>552</v>
      </c>
      <c r="B3666" t="s">
        <v>676</v>
      </c>
      <c r="C3666" t="s">
        <v>652</v>
      </c>
      <c r="D3666" s="226">
        <v>-28856.95</v>
      </c>
      <c r="E3666" t="s">
        <v>677</v>
      </c>
    </row>
    <row r="3667" spans="1:5" hidden="1" x14ac:dyDescent="0.3">
      <c r="A3667" t="s">
        <v>552</v>
      </c>
      <c r="B3667" t="s">
        <v>676</v>
      </c>
      <c r="C3667" t="s">
        <v>653</v>
      </c>
      <c r="D3667" s="226">
        <v>0</v>
      </c>
      <c r="E3667" t="s">
        <v>677</v>
      </c>
    </row>
    <row r="3668" spans="1:5" hidden="1" x14ac:dyDescent="0.3">
      <c r="A3668" t="s">
        <v>552</v>
      </c>
      <c r="B3668" t="s">
        <v>676</v>
      </c>
      <c r="C3668" t="s">
        <v>253</v>
      </c>
      <c r="D3668" s="226">
        <v>-0.19</v>
      </c>
      <c r="E3668" t="s">
        <v>677</v>
      </c>
    </row>
    <row r="3669" spans="1:5" hidden="1" x14ac:dyDescent="0.3">
      <c r="A3669" t="s">
        <v>552</v>
      </c>
      <c r="B3669" t="s">
        <v>676</v>
      </c>
      <c r="C3669" t="s">
        <v>254</v>
      </c>
      <c r="D3669" s="226">
        <v>-0.16</v>
      </c>
      <c r="E3669" t="s">
        <v>677</v>
      </c>
    </row>
    <row r="3670" spans="1:5" hidden="1" x14ac:dyDescent="0.3">
      <c r="A3670" t="s">
        <v>552</v>
      </c>
      <c r="B3670" t="s">
        <v>676</v>
      </c>
      <c r="C3670" t="s">
        <v>255</v>
      </c>
      <c r="D3670" s="226">
        <v>-43006.36</v>
      </c>
      <c r="E3670" t="s">
        <v>677</v>
      </c>
    </row>
    <row r="3671" spans="1:5" hidden="1" x14ac:dyDescent="0.3">
      <c r="A3671" t="s">
        <v>552</v>
      </c>
      <c r="B3671" t="s">
        <v>676</v>
      </c>
      <c r="C3671" t="s">
        <v>256</v>
      </c>
      <c r="D3671" s="226">
        <v>-28000</v>
      </c>
      <c r="E3671" t="s">
        <v>677</v>
      </c>
    </row>
    <row r="3672" spans="1:5" hidden="1" x14ac:dyDescent="0.3">
      <c r="A3672" t="s">
        <v>552</v>
      </c>
      <c r="B3672" t="s">
        <v>676</v>
      </c>
      <c r="C3672" t="s">
        <v>257</v>
      </c>
      <c r="D3672" s="226">
        <v>-12416.8</v>
      </c>
      <c r="E3672" t="s">
        <v>677</v>
      </c>
    </row>
    <row r="3673" spans="1:5" hidden="1" x14ac:dyDescent="0.3">
      <c r="A3673" t="s">
        <v>552</v>
      </c>
      <c r="B3673" t="s">
        <v>676</v>
      </c>
      <c r="C3673" t="s">
        <v>258</v>
      </c>
      <c r="D3673" s="226">
        <v>-1729.93</v>
      </c>
      <c r="E3673" t="s">
        <v>677</v>
      </c>
    </row>
    <row r="3674" spans="1:5" hidden="1" x14ac:dyDescent="0.3">
      <c r="A3674" t="s">
        <v>552</v>
      </c>
      <c r="B3674" t="s">
        <v>676</v>
      </c>
      <c r="C3674" t="s">
        <v>259</v>
      </c>
      <c r="D3674" s="226">
        <v>-99.64</v>
      </c>
      <c r="E3674" t="s">
        <v>677</v>
      </c>
    </row>
    <row r="3675" spans="1:5" hidden="1" x14ac:dyDescent="0.3">
      <c r="A3675" t="s">
        <v>552</v>
      </c>
      <c r="B3675" t="s">
        <v>676</v>
      </c>
      <c r="C3675" t="s">
        <v>260</v>
      </c>
      <c r="D3675" s="226">
        <v>-759.99</v>
      </c>
      <c r="E3675" t="s">
        <v>677</v>
      </c>
    </row>
    <row r="3676" spans="1:5" hidden="1" x14ac:dyDescent="0.3">
      <c r="A3676" t="s">
        <v>552</v>
      </c>
      <c r="B3676" t="s">
        <v>676</v>
      </c>
      <c r="C3676" t="s">
        <v>261</v>
      </c>
      <c r="D3676" s="226">
        <v>0</v>
      </c>
      <c r="E3676" t="s">
        <v>677</v>
      </c>
    </row>
    <row r="3677" spans="1:5" hidden="1" x14ac:dyDescent="0.3">
      <c r="A3677" t="s">
        <v>552</v>
      </c>
      <c r="B3677" t="s">
        <v>676</v>
      </c>
      <c r="C3677" t="s">
        <v>262</v>
      </c>
      <c r="D3677" s="226">
        <v>0</v>
      </c>
      <c r="E3677" t="s">
        <v>677</v>
      </c>
    </row>
    <row r="3678" spans="1:5" hidden="1" x14ac:dyDescent="0.3">
      <c r="A3678" t="s">
        <v>552</v>
      </c>
      <c r="B3678" t="s">
        <v>676</v>
      </c>
      <c r="C3678" t="s">
        <v>44</v>
      </c>
      <c r="D3678" s="226">
        <v>-0.03</v>
      </c>
      <c r="E3678" t="s">
        <v>677</v>
      </c>
    </row>
    <row r="3679" spans="1:5" hidden="1" x14ac:dyDescent="0.3">
      <c r="A3679" t="s">
        <v>552</v>
      </c>
      <c r="B3679" t="s">
        <v>676</v>
      </c>
      <c r="C3679" t="s">
        <v>263</v>
      </c>
      <c r="D3679" s="226">
        <v>-78508.38</v>
      </c>
      <c r="E3679" t="s">
        <v>677</v>
      </c>
    </row>
    <row r="3680" spans="1:5" hidden="1" x14ac:dyDescent="0.3">
      <c r="A3680" t="s">
        <v>552</v>
      </c>
      <c r="B3680" t="s">
        <v>676</v>
      </c>
      <c r="C3680" t="s">
        <v>264</v>
      </c>
      <c r="D3680" s="226">
        <v>-16980</v>
      </c>
      <c r="E3680" t="s">
        <v>677</v>
      </c>
    </row>
    <row r="3681" spans="1:5" hidden="1" x14ac:dyDescent="0.3">
      <c r="A3681" t="s">
        <v>552</v>
      </c>
      <c r="B3681" t="s">
        <v>676</v>
      </c>
      <c r="C3681" t="s">
        <v>265</v>
      </c>
      <c r="D3681" s="226">
        <v>-11377.39</v>
      </c>
      <c r="E3681" t="s">
        <v>677</v>
      </c>
    </row>
    <row r="3682" spans="1:5" hidden="1" x14ac:dyDescent="0.3">
      <c r="A3682" t="s">
        <v>552</v>
      </c>
      <c r="B3682" t="s">
        <v>676</v>
      </c>
      <c r="C3682" t="s">
        <v>266</v>
      </c>
      <c r="D3682" s="226">
        <v>-12268.14</v>
      </c>
      <c r="E3682" t="s">
        <v>677</v>
      </c>
    </row>
    <row r="3683" spans="1:5" hidden="1" x14ac:dyDescent="0.3">
      <c r="A3683" t="s">
        <v>552</v>
      </c>
      <c r="B3683" t="s">
        <v>676</v>
      </c>
      <c r="C3683" t="s">
        <v>267</v>
      </c>
      <c r="D3683" s="226">
        <v>-15558.88</v>
      </c>
      <c r="E3683" t="s">
        <v>677</v>
      </c>
    </row>
    <row r="3684" spans="1:5" hidden="1" x14ac:dyDescent="0.3">
      <c r="A3684" t="s">
        <v>552</v>
      </c>
      <c r="B3684" t="s">
        <v>676</v>
      </c>
      <c r="C3684" t="s">
        <v>268</v>
      </c>
      <c r="D3684" s="226">
        <v>0</v>
      </c>
      <c r="E3684" t="s">
        <v>677</v>
      </c>
    </row>
    <row r="3685" spans="1:5" hidden="1" x14ac:dyDescent="0.3">
      <c r="A3685" t="s">
        <v>552</v>
      </c>
      <c r="B3685" t="s">
        <v>676</v>
      </c>
      <c r="C3685" t="s">
        <v>269</v>
      </c>
      <c r="D3685" s="226">
        <v>-580</v>
      </c>
      <c r="E3685" t="s">
        <v>677</v>
      </c>
    </row>
    <row r="3686" spans="1:5" hidden="1" x14ac:dyDescent="0.3">
      <c r="A3686" t="s">
        <v>552</v>
      </c>
      <c r="B3686" t="s">
        <v>676</v>
      </c>
      <c r="C3686" t="s">
        <v>270</v>
      </c>
      <c r="D3686" s="226">
        <v>-3988.84</v>
      </c>
      <c r="E3686" t="s">
        <v>677</v>
      </c>
    </row>
    <row r="3687" spans="1:5" hidden="1" x14ac:dyDescent="0.3">
      <c r="A3687" t="s">
        <v>552</v>
      </c>
      <c r="B3687" t="s">
        <v>676</v>
      </c>
      <c r="C3687" t="s">
        <v>271</v>
      </c>
      <c r="D3687" s="226">
        <v>-6274.71</v>
      </c>
      <c r="E3687" t="s">
        <v>677</v>
      </c>
    </row>
    <row r="3688" spans="1:5" hidden="1" x14ac:dyDescent="0.3">
      <c r="A3688" t="s">
        <v>552</v>
      </c>
      <c r="B3688" t="s">
        <v>676</v>
      </c>
      <c r="C3688" t="s">
        <v>272</v>
      </c>
      <c r="D3688" s="226">
        <v>0</v>
      </c>
      <c r="E3688" t="s">
        <v>677</v>
      </c>
    </row>
    <row r="3689" spans="1:5" hidden="1" x14ac:dyDescent="0.3">
      <c r="A3689" t="s">
        <v>552</v>
      </c>
      <c r="B3689" t="s">
        <v>676</v>
      </c>
      <c r="C3689" t="s">
        <v>273</v>
      </c>
      <c r="D3689" s="226">
        <v>0</v>
      </c>
      <c r="E3689" t="s">
        <v>677</v>
      </c>
    </row>
    <row r="3690" spans="1:5" hidden="1" x14ac:dyDescent="0.3">
      <c r="A3690" t="s">
        <v>552</v>
      </c>
      <c r="B3690" t="s">
        <v>676</v>
      </c>
      <c r="C3690" t="s">
        <v>274</v>
      </c>
      <c r="D3690" s="226">
        <v>-789.92</v>
      </c>
      <c r="E3690" t="s">
        <v>677</v>
      </c>
    </row>
    <row r="3691" spans="1:5" hidden="1" x14ac:dyDescent="0.3">
      <c r="A3691" t="s">
        <v>552</v>
      </c>
      <c r="B3691" t="s">
        <v>676</v>
      </c>
      <c r="C3691" t="s">
        <v>275</v>
      </c>
      <c r="D3691" s="226">
        <v>-700</v>
      </c>
      <c r="E3691" t="s">
        <v>677</v>
      </c>
    </row>
    <row r="3692" spans="1:5" hidden="1" x14ac:dyDescent="0.3">
      <c r="A3692" t="s">
        <v>552</v>
      </c>
      <c r="B3692" t="s">
        <v>676</v>
      </c>
      <c r="C3692" t="s">
        <v>276</v>
      </c>
      <c r="D3692" s="226">
        <v>0</v>
      </c>
      <c r="E3692" t="s">
        <v>677</v>
      </c>
    </row>
    <row r="3693" spans="1:5" hidden="1" x14ac:dyDescent="0.3">
      <c r="A3693" t="s">
        <v>552</v>
      </c>
      <c r="B3693" t="s">
        <v>676</v>
      </c>
      <c r="C3693" t="s">
        <v>277</v>
      </c>
      <c r="D3693" s="226">
        <v>-9990.5</v>
      </c>
      <c r="E3693" t="s">
        <v>677</v>
      </c>
    </row>
    <row r="3694" spans="1:5" hidden="1" x14ac:dyDescent="0.3">
      <c r="A3694" t="s">
        <v>552</v>
      </c>
      <c r="B3694" t="s">
        <v>676</v>
      </c>
      <c r="C3694" t="s">
        <v>44</v>
      </c>
      <c r="D3694" s="226">
        <v>-0.05</v>
      </c>
      <c r="E3694" t="s">
        <v>677</v>
      </c>
    </row>
    <row r="3695" spans="1:5" hidden="1" x14ac:dyDescent="0.3">
      <c r="A3695" t="s">
        <v>552</v>
      </c>
      <c r="B3695" t="s">
        <v>676</v>
      </c>
      <c r="C3695" t="s">
        <v>278</v>
      </c>
      <c r="D3695" s="226">
        <v>-8270.4599999999991</v>
      </c>
      <c r="E3695" t="s">
        <v>677</v>
      </c>
    </row>
    <row r="3696" spans="1:5" hidden="1" x14ac:dyDescent="0.3">
      <c r="A3696" t="s">
        <v>552</v>
      </c>
      <c r="B3696" t="s">
        <v>676</v>
      </c>
      <c r="C3696" t="s">
        <v>279</v>
      </c>
      <c r="D3696" s="226">
        <v>0</v>
      </c>
      <c r="E3696" t="s">
        <v>677</v>
      </c>
    </row>
    <row r="3697" spans="1:5" hidden="1" x14ac:dyDescent="0.3">
      <c r="A3697" t="s">
        <v>552</v>
      </c>
      <c r="B3697" t="s">
        <v>676</v>
      </c>
      <c r="C3697" t="s">
        <v>280</v>
      </c>
      <c r="D3697" s="226">
        <v>-459.88</v>
      </c>
      <c r="E3697" t="s">
        <v>677</v>
      </c>
    </row>
    <row r="3698" spans="1:5" hidden="1" x14ac:dyDescent="0.3">
      <c r="A3698" t="s">
        <v>552</v>
      </c>
      <c r="B3698" t="s">
        <v>676</v>
      </c>
      <c r="C3698" t="s">
        <v>281</v>
      </c>
      <c r="D3698" s="226">
        <v>-22</v>
      </c>
      <c r="E3698" t="s">
        <v>677</v>
      </c>
    </row>
    <row r="3699" spans="1:5" hidden="1" x14ac:dyDescent="0.3">
      <c r="A3699" t="s">
        <v>552</v>
      </c>
      <c r="B3699" t="s">
        <v>676</v>
      </c>
      <c r="C3699" t="s">
        <v>282</v>
      </c>
      <c r="D3699" s="226">
        <v>-815</v>
      </c>
      <c r="E3699" t="s">
        <v>677</v>
      </c>
    </row>
    <row r="3700" spans="1:5" hidden="1" x14ac:dyDescent="0.3">
      <c r="A3700" t="s">
        <v>552</v>
      </c>
      <c r="B3700" t="s">
        <v>676</v>
      </c>
      <c r="C3700" t="s">
        <v>283</v>
      </c>
      <c r="D3700" s="226">
        <v>-6973.58</v>
      </c>
      <c r="E3700" t="s">
        <v>677</v>
      </c>
    </row>
    <row r="3701" spans="1:5" hidden="1" x14ac:dyDescent="0.3">
      <c r="A3701" t="s">
        <v>552</v>
      </c>
      <c r="B3701" t="s">
        <v>676</v>
      </c>
      <c r="C3701" t="s">
        <v>284</v>
      </c>
      <c r="D3701" s="226">
        <v>0</v>
      </c>
      <c r="E3701" t="s">
        <v>677</v>
      </c>
    </row>
    <row r="3702" spans="1:5" hidden="1" x14ac:dyDescent="0.3">
      <c r="A3702" t="s">
        <v>552</v>
      </c>
      <c r="B3702" t="s">
        <v>676</v>
      </c>
      <c r="C3702" t="s">
        <v>285</v>
      </c>
      <c r="D3702" s="226">
        <v>0</v>
      </c>
      <c r="E3702" t="s">
        <v>677</v>
      </c>
    </row>
    <row r="3703" spans="1:5" hidden="1" x14ac:dyDescent="0.3">
      <c r="A3703" t="s">
        <v>552</v>
      </c>
      <c r="B3703" t="s">
        <v>676</v>
      </c>
      <c r="C3703" t="s">
        <v>44</v>
      </c>
      <c r="D3703" s="226">
        <v>-0.01</v>
      </c>
      <c r="E3703" t="s">
        <v>677</v>
      </c>
    </row>
    <row r="3704" spans="1:5" hidden="1" x14ac:dyDescent="0.3">
      <c r="A3704" t="s">
        <v>552</v>
      </c>
      <c r="B3704" t="s">
        <v>676</v>
      </c>
      <c r="C3704" t="s">
        <v>286</v>
      </c>
      <c r="D3704" s="226">
        <v>-11128.57</v>
      </c>
      <c r="E3704" t="s">
        <v>677</v>
      </c>
    </row>
    <row r="3705" spans="1:5" hidden="1" x14ac:dyDescent="0.3">
      <c r="A3705" t="s">
        <v>552</v>
      </c>
      <c r="B3705" t="s">
        <v>676</v>
      </c>
      <c r="C3705" t="s">
        <v>287</v>
      </c>
      <c r="D3705" s="226">
        <v>-11128.57</v>
      </c>
      <c r="E3705" t="s">
        <v>677</v>
      </c>
    </row>
    <row r="3706" spans="1:5" hidden="1" x14ac:dyDescent="0.3">
      <c r="A3706" t="s">
        <v>552</v>
      </c>
      <c r="B3706" t="s">
        <v>676</v>
      </c>
      <c r="C3706" t="s">
        <v>288</v>
      </c>
      <c r="D3706" s="226">
        <v>0</v>
      </c>
      <c r="E3706" t="s">
        <v>677</v>
      </c>
    </row>
    <row r="3707" spans="1:5" hidden="1" x14ac:dyDescent="0.3">
      <c r="A3707" t="s">
        <v>552</v>
      </c>
      <c r="B3707" t="s">
        <v>676</v>
      </c>
      <c r="C3707" t="s">
        <v>289</v>
      </c>
      <c r="D3707" s="226">
        <v>0</v>
      </c>
      <c r="E3707" t="s">
        <v>677</v>
      </c>
    </row>
    <row r="3708" spans="1:5" hidden="1" x14ac:dyDescent="0.3">
      <c r="A3708" t="s">
        <v>552</v>
      </c>
      <c r="B3708" t="s">
        <v>676</v>
      </c>
      <c r="C3708" t="s">
        <v>290</v>
      </c>
      <c r="D3708" s="226">
        <v>0</v>
      </c>
      <c r="E3708" t="s">
        <v>677</v>
      </c>
    </row>
    <row r="3709" spans="1:5" hidden="1" x14ac:dyDescent="0.3">
      <c r="A3709" t="s">
        <v>552</v>
      </c>
      <c r="B3709" t="s">
        <v>676</v>
      </c>
      <c r="C3709" t="s">
        <v>291</v>
      </c>
      <c r="D3709" s="226">
        <v>0</v>
      </c>
      <c r="E3709" t="s">
        <v>677</v>
      </c>
    </row>
    <row r="3710" spans="1:5" hidden="1" x14ac:dyDescent="0.3">
      <c r="A3710" t="s">
        <v>552</v>
      </c>
      <c r="B3710" t="s">
        <v>676</v>
      </c>
      <c r="C3710" t="s">
        <v>292</v>
      </c>
      <c r="D3710" s="226">
        <v>0</v>
      </c>
      <c r="E3710" t="s">
        <v>677</v>
      </c>
    </row>
    <row r="3711" spans="1:5" hidden="1" x14ac:dyDescent="0.3">
      <c r="A3711" t="s">
        <v>552</v>
      </c>
      <c r="B3711" t="s">
        <v>676</v>
      </c>
      <c r="C3711" t="s">
        <v>293</v>
      </c>
      <c r="D3711" s="226">
        <v>0</v>
      </c>
      <c r="E3711" t="s">
        <v>677</v>
      </c>
    </row>
    <row r="3712" spans="1:5" hidden="1" x14ac:dyDescent="0.3">
      <c r="A3712" t="s">
        <v>552</v>
      </c>
      <c r="B3712" t="s">
        <v>676</v>
      </c>
      <c r="C3712" t="s">
        <v>294</v>
      </c>
      <c r="D3712" s="226">
        <v>0</v>
      </c>
      <c r="E3712" t="s">
        <v>677</v>
      </c>
    </row>
    <row r="3713" spans="1:5" hidden="1" x14ac:dyDescent="0.3">
      <c r="A3713" t="s">
        <v>552</v>
      </c>
      <c r="B3713" t="s">
        <v>676</v>
      </c>
      <c r="C3713" t="s">
        <v>44</v>
      </c>
      <c r="D3713" s="226">
        <v>-0.01</v>
      </c>
      <c r="E3713" t="s">
        <v>677</v>
      </c>
    </row>
    <row r="3714" spans="1:5" hidden="1" x14ac:dyDescent="0.3">
      <c r="A3714" t="s">
        <v>552</v>
      </c>
      <c r="B3714" t="s">
        <v>676</v>
      </c>
      <c r="C3714" t="s">
        <v>295</v>
      </c>
      <c r="D3714" s="226">
        <v>-6985.2</v>
      </c>
      <c r="E3714" t="s">
        <v>677</v>
      </c>
    </row>
    <row r="3715" spans="1:5" hidden="1" x14ac:dyDescent="0.3">
      <c r="A3715" t="s">
        <v>552</v>
      </c>
      <c r="B3715" t="s">
        <v>676</v>
      </c>
      <c r="C3715" t="s">
        <v>296</v>
      </c>
      <c r="D3715" s="226">
        <v>-4500</v>
      </c>
      <c r="E3715" t="s">
        <v>677</v>
      </c>
    </row>
    <row r="3716" spans="1:5" hidden="1" x14ac:dyDescent="0.3">
      <c r="A3716" t="s">
        <v>552</v>
      </c>
      <c r="B3716" t="s">
        <v>676</v>
      </c>
      <c r="C3716" t="s">
        <v>297</v>
      </c>
      <c r="D3716" s="226">
        <v>-460</v>
      </c>
      <c r="E3716" t="s">
        <v>677</v>
      </c>
    </row>
    <row r="3717" spans="1:5" hidden="1" x14ac:dyDescent="0.3">
      <c r="A3717" t="s">
        <v>552</v>
      </c>
      <c r="B3717" t="s">
        <v>676</v>
      </c>
      <c r="C3717" t="s">
        <v>298</v>
      </c>
      <c r="D3717" s="226">
        <v>0</v>
      </c>
      <c r="E3717" t="s">
        <v>677</v>
      </c>
    </row>
    <row r="3718" spans="1:5" hidden="1" x14ac:dyDescent="0.3">
      <c r="A3718" t="s">
        <v>552</v>
      </c>
      <c r="B3718" t="s">
        <v>676</v>
      </c>
      <c r="C3718" t="s">
        <v>299</v>
      </c>
      <c r="D3718" s="226">
        <v>0</v>
      </c>
      <c r="E3718" t="s">
        <v>677</v>
      </c>
    </row>
    <row r="3719" spans="1:5" hidden="1" x14ac:dyDescent="0.3">
      <c r="A3719" t="s">
        <v>552</v>
      </c>
      <c r="B3719" t="s">
        <v>676</v>
      </c>
      <c r="C3719" t="s">
        <v>300</v>
      </c>
      <c r="D3719" s="226">
        <v>-1070.8</v>
      </c>
      <c r="E3719" t="s">
        <v>677</v>
      </c>
    </row>
    <row r="3720" spans="1:5" hidden="1" x14ac:dyDescent="0.3">
      <c r="A3720" t="s">
        <v>552</v>
      </c>
      <c r="B3720" t="s">
        <v>676</v>
      </c>
      <c r="C3720" t="s">
        <v>301</v>
      </c>
      <c r="D3720" s="226">
        <v>0</v>
      </c>
      <c r="E3720" t="s">
        <v>677</v>
      </c>
    </row>
    <row r="3721" spans="1:5" hidden="1" x14ac:dyDescent="0.3">
      <c r="A3721" t="s">
        <v>552</v>
      </c>
      <c r="B3721" t="s">
        <v>676</v>
      </c>
      <c r="C3721" t="s">
        <v>302</v>
      </c>
      <c r="D3721" s="226">
        <v>0</v>
      </c>
      <c r="E3721" t="s">
        <v>677</v>
      </c>
    </row>
    <row r="3722" spans="1:5" hidden="1" x14ac:dyDescent="0.3">
      <c r="A3722" t="s">
        <v>552</v>
      </c>
      <c r="B3722" t="s">
        <v>676</v>
      </c>
      <c r="C3722" t="s">
        <v>303</v>
      </c>
      <c r="D3722" s="226">
        <v>-954.4</v>
      </c>
      <c r="E3722" t="s">
        <v>677</v>
      </c>
    </row>
    <row r="3723" spans="1:5" hidden="1" x14ac:dyDescent="0.3">
      <c r="A3723" t="s">
        <v>552</v>
      </c>
      <c r="B3723" t="s">
        <v>676</v>
      </c>
      <c r="C3723" t="s">
        <v>304</v>
      </c>
      <c r="D3723" s="226">
        <v>0</v>
      </c>
      <c r="E3723" t="s">
        <v>677</v>
      </c>
    </row>
    <row r="3724" spans="1:5" hidden="1" x14ac:dyDescent="0.3">
      <c r="A3724" t="s">
        <v>552</v>
      </c>
      <c r="B3724" t="s">
        <v>676</v>
      </c>
      <c r="C3724" t="s">
        <v>305</v>
      </c>
      <c r="D3724" s="226">
        <v>0</v>
      </c>
      <c r="E3724" t="s">
        <v>677</v>
      </c>
    </row>
    <row r="3725" spans="1:5" hidden="1" x14ac:dyDescent="0.3">
      <c r="A3725" t="s">
        <v>552</v>
      </c>
      <c r="B3725" t="s">
        <v>676</v>
      </c>
      <c r="C3725" t="s">
        <v>306</v>
      </c>
      <c r="D3725" s="226">
        <v>0</v>
      </c>
      <c r="E3725" t="s">
        <v>677</v>
      </c>
    </row>
    <row r="3726" spans="1:5" hidden="1" x14ac:dyDescent="0.3">
      <c r="A3726" t="s">
        <v>552</v>
      </c>
      <c r="B3726" t="s">
        <v>676</v>
      </c>
      <c r="C3726" t="s">
        <v>44</v>
      </c>
      <c r="D3726" s="226">
        <v>0</v>
      </c>
      <c r="E3726" t="s">
        <v>677</v>
      </c>
    </row>
    <row r="3727" spans="1:5" hidden="1" x14ac:dyDescent="0.3">
      <c r="A3727" t="s">
        <v>552</v>
      </c>
      <c r="B3727" t="s">
        <v>676</v>
      </c>
      <c r="C3727" t="s">
        <v>307</v>
      </c>
      <c r="D3727" s="226">
        <v>-16752.77</v>
      </c>
      <c r="E3727" t="s">
        <v>677</v>
      </c>
    </row>
    <row r="3728" spans="1:5" hidden="1" x14ac:dyDescent="0.3">
      <c r="A3728" t="s">
        <v>552</v>
      </c>
      <c r="B3728" t="s">
        <v>676</v>
      </c>
      <c r="C3728" t="s">
        <v>308</v>
      </c>
      <c r="D3728" s="226">
        <v>-3603.5</v>
      </c>
      <c r="E3728" t="s">
        <v>677</v>
      </c>
    </row>
    <row r="3729" spans="1:5" hidden="1" x14ac:dyDescent="0.3">
      <c r="A3729" t="s">
        <v>552</v>
      </c>
      <c r="B3729" t="s">
        <v>676</v>
      </c>
      <c r="C3729" t="s">
        <v>309</v>
      </c>
      <c r="D3729" s="226">
        <v>0</v>
      </c>
      <c r="E3729" t="s">
        <v>677</v>
      </c>
    </row>
    <row r="3730" spans="1:5" hidden="1" x14ac:dyDescent="0.3">
      <c r="A3730" t="s">
        <v>552</v>
      </c>
      <c r="B3730" t="s">
        <v>676</v>
      </c>
      <c r="C3730" t="s">
        <v>310</v>
      </c>
      <c r="D3730" s="226">
        <v>-2319.27</v>
      </c>
      <c r="E3730" t="s">
        <v>677</v>
      </c>
    </row>
    <row r="3731" spans="1:5" hidden="1" x14ac:dyDescent="0.3">
      <c r="A3731" t="s">
        <v>552</v>
      </c>
      <c r="B3731" t="s">
        <v>676</v>
      </c>
      <c r="C3731" t="s">
        <v>311</v>
      </c>
      <c r="D3731" s="226">
        <v>0</v>
      </c>
      <c r="E3731" t="s">
        <v>677</v>
      </c>
    </row>
    <row r="3732" spans="1:5" hidden="1" x14ac:dyDescent="0.3">
      <c r="A3732" t="s">
        <v>552</v>
      </c>
      <c r="B3732" t="s">
        <v>676</v>
      </c>
      <c r="C3732" t="s">
        <v>312</v>
      </c>
      <c r="D3732" s="226">
        <v>0</v>
      </c>
      <c r="E3732" t="s">
        <v>677</v>
      </c>
    </row>
    <row r="3733" spans="1:5" hidden="1" x14ac:dyDescent="0.3">
      <c r="A3733" t="s">
        <v>552</v>
      </c>
      <c r="B3733" t="s">
        <v>676</v>
      </c>
      <c r="C3733" t="s">
        <v>313</v>
      </c>
      <c r="D3733" s="226">
        <v>0</v>
      </c>
      <c r="E3733" t="s">
        <v>677</v>
      </c>
    </row>
    <row r="3734" spans="1:5" hidden="1" x14ac:dyDescent="0.3">
      <c r="A3734" t="s">
        <v>552</v>
      </c>
      <c r="B3734" t="s">
        <v>676</v>
      </c>
      <c r="C3734" t="s">
        <v>314</v>
      </c>
      <c r="D3734" s="226">
        <v>0</v>
      </c>
      <c r="E3734" t="s">
        <v>677</v>
      </c>
    </row>
    <row r="3735" spans="1:5" hidden="1" x14ac:dyDescent="0.3">
      <c r="A3735" t="s">
        <v>552</v>
      </c>
      <c r="B3735" t="s">
        <v>676</v>
      </c>
      <c r="C3735" t="s">
        <v>315</v>
      </c>
      <c r="D3735" s="226">
        <v>-10830</v>
      </c>
      <c r="E3735" t="s">
        <v>677</v>
      </c>
    </row>
    <row r="3736" spans="1:5" hidden="1" x14ac:dyDescent="0.3">
      <c r="A3736" t="s">
        <v>552</v>
      </c>
      <c r="B3736" t="s">
        <v>676</v>
      </c>
      <c r="C3736" t="s">
        <v>316</v>
      </c>
      <c r="D3736" s="226">
        <v>0</v>
      </c>
      <c r="E3736" t="s">
        <v>677</v>
      </c>
    </row>
    <row r="3737" spans="1:5" hidden="1" x14ac:dyDescent="0.3">
      <c r="A3737" t="s">
        <v>552</v>
      </c>
      <c r="B3737" t="s">
        <v>676</v>
      </c>
      <c r="C3737" t="s">
        <v>44</v>
      </c>
      <c r="D3737" s="226">
        <v>-0.01</v>
      </c>
      <c r="E3737" t="s">
        <v>677</v>
      </c>
    </row>
    <row r="3738" spans="1:5" hidden="1" x14ac:dyDescent="0.3">
      <c r="A3738" t="s">
        <v>552</v>
      </c>
      <c r="B3738" t="s">
        <v>676</v>
      </c>
      <c r="C3738" t="s">
        <v>317</v>
      </c>
      <c r="D3738" s="226">
        <v>-5063.96</v>
      </c>
      <c r="E3738" t="s">
        <v>677</v>
      </c>
    </row>
    <row r="3739" spans="1:5" hidden="1" x14ac:dyDescent="0.3">
      <c r="A3739" t="s">
        <v>552</v>
      </c>
      <c r="B3739" t="s">
        <v>676</v>
      </c>
      <c r="C3739" t="s">
        <v>318</v>
      </c>
      <c r="D3739" s="226">
        <v>-5063.96</v>
      </c>
      <c r="E3739" t="s">
        <v>677</v>
      </c>
    </row>
    <row r="3740" spans="1:5" hidden="1" x14ac:dyDescent="0.3">
      <c r="A3740" t="s">
        <v>552</v>
      </c>
      <c r="B3740" t="s">
        <v>676</v>
      </c>
      <c r="C3740" t="s">
        <v>319</v>
      </c>
      <c r="D3740" s="226">
        <v>0</v>
      </c>
      <c r="E3740" t="s">
        <v>677</v>
      </c>
    </row>
    <row r="3741" spans="1:5" hidden="1" x14ac:dyDescent="0.3">
      <c r="A3741" t="s">
        <v>552</v>
      </c>
      <c r="B3741" t="s">
        <v>676</v>
      </c>
      <c r="C3741" t="s">
        <v>320</v>
      </c>
      <c r="D3741" s="226">
        <v>0</v>
      </c>
      <c r="E3741" t="s">
        <v>677</v>
      </c>
    </row>
    <row r="3742" spans="1:5" hidden="1" x14ac:dyDescent="0.3">
      <c r="A3742" t="s">
        <v>552</v>
      </c>
      <c r="B3742" t="s">
        <v>676</v>
      </c>
      <c r="C3742" t="s">
        <v>321</v>
      </c>
      <c r="D3742" s="226">
        <v>0</v>
      </c>
      <c r="E3742" t="s">
        <v>677</v>
      </c>
    </row>
    <row r="3743" spans="1:5" hidden="1" x14ac:dyDescent="0.3">
      <c r="A3743" t="s">
        <v>552</v>
      </c>
      <c r="B3743" t="s">
        <v>676</v>
      </c>
      <c r="C3743" t="s">
        <v>44</v>
      </c>
      <c r="D3743" s="226">
        <v>0</v>
      </c>
      <c r="E3743" t="s">
        <v>677</v>
      </c>
    </row>
    <row r="3744" spans="1:5" hidden="1" x14ac:dyDescent="0.3">
      <c r="A3744" t="s">
        <v>552</v>
      </c>
      <c r="B3744" t="s">
        <v>676</v>
      </c>
      <c r="C3744" t="s">
        <v>322</v>
      </c>
      <c r="D3744" s="226">
        <v>-80301.31</v>
      </c>
      <c r="E3744" t="s">
        <v>677</v>
      </c>
    </row>
    <row r="3745" spans="1:5" hidden="1" x14ac:dyDescent="0.3">
      <c r="A3745" t="s">
        <v>552</v>
      </c>
      <c r="B3745" t="s">
        <v>676</v>
      </c>
      <c r="C3745" t="s">
        <v>323</v>
      </c>
      <c r="D3745" s="226">
        <v>0</v>
      </c>
      <c r="E3745" t="s">
        <v>677</v>
      </c>
    </row>
    <row r="3746" spans="1:5" hidden="1" x14ac:dyDescent="0.3">
      <c r="A3746" t="s">
        <v>552</v>
      </c>
      <c r="B3746" t="s">
        <v>676</v>
      </c>
      <c r="C3746" t="s">
        <v>324</v>
      </c>
      <c r="D3746" s="226">
        <v>0</v>
      </c>
      <c r="E3746" t="s">
        <v>677</v>
      </c>
    </row>
    <row r="3747" spans="1:5" hidden="1" x14ac:dyDescent="0.3">
      <c r="A3747" t="s">
        <v>552</v>
      </c>
      <c r="B3747" t="s">
        <v>676</v>
      </c>
      <c r="C3747" t="s">
        <v>325</v>
      </c>
      <c r="D3747" s="226">
        <v>-80301.31</v>
      </c>
      <c r="E3747" t="s">
        <v>677</v>
      </c>
    </row>
    <row r="3748" spans="1:5" hidden="1" x14ac:dyDescent="0.3">
      <c r="A3748" t="s">
        <v>552</v>
      </c>
      <c r="B3748" t="s">
        <v>676</v>
      </c>
      <c r="C3748" t="s">
        <v>44</v>
      </c>
      <c r="D3748" s="226">
        <v>-0.05</v>
      </c>
      <c r="E3748" t="s">
        <v>677</v>
      </c>
    </row>
    <row r="3749" spans="1:5" hidden="1" x14ac:dyDescent="0.3">
      <c r="A3749" t="s">
        <v>552</v>
      </c>
      <c r="B3749" t="s">
        <v>676</v>
      </c>
      <c r="C3749" t="s">
        <v>327</v>
      </c>
      <c r="D3749" s="226">
        <v>-552837.32999999996</v>
      </c>
      <c r="E3749" t="s">
        <v>677</v>
      </c>
    </row>
    <row r="3750" spans="1:5" hidden="1" x14ac:dyDescent="0.3">
      <c r="A3750" t="s">
        <v>552</v>
      </c>
      <c r="B3750" t="s">
        <v>676</v>
      </c>
      <c r="C3750" t="s">
        <v>44</v>
      </c>
      <c r="D3750" s="226">
        <v>-0.34</v>
      </c>
      <c r="E3750" t="s">
        <v>677</v>
      </c>
    </row>
    <row r="3751" spans="1:5" hidden="1" x14ac:dyDescent="0.3">
      <c r="A3751" t="s">
        <v>552</v>
      </c>
      <c r="B3751" t="s">
        <v>676</v>
      </c>
      <c r="C3751" t="s">
        <v>328</v>
      </c>
      <c r="D3751" s="226">
        <v>398650.85</v>
      </c>
      <c r="E3751" t="s">
        <v>677</v>
      </c>
    </row>
    <row r="3752" spans="1:5" hidden="1" x14ac:dyDescent="0.3">
      <c r="A3752" t="s">
        <v>552</v>
      </c>
      <c r="B3752" t="s">
        <v>676</v>
      </c>
      <c r="C3752" t="s">
        <v>44</v>
      </c>
      <c r="D3752" s="226">
        <v>0.25</v>
      </c>
      <c r="E3752" t="s">
        <v>677</v>
      </c>
    </row>
    <row r="3753" spans="1:5" hidden="1" x14ac:dyDescent="0.3">
      <c r="A3753" t="s">
        <v>552</v>
      </c>
      <c r="B3753" t="s">
        <v>676</v>
      </c>
      <c r="C3753" t="s">
        <v>329</v>
      </c>
      <c r="D3753" s="226">
        <v>0</v>
      </c>
      <c r="E3753" t="s">
        <v>677</v>
      </c>
    </row>
    <row r="3754" spans="1:5" hidden="1" x14ac:dyDescent="0.3">
      <c r="A3754" t="s">
        <v>552</v>
      </c>
      <c r="B3754" t="s">
        <v>676</v>
      </c>
      <c r="C3754" t="s">
        <v>331</v>
      </c>
      <c r="D3754" s="226">
        <v>394950.85</v>
      </c>
      <c r="E3754" t="s">
        <v>677</v>
      </c>
    </row>
    <row r="3755" spans="1:5" hidden="1" x14ac:dyDescent="0.3">
      <c r="A3755" t="s">
        <v>552</v>
      </c>
      <c r="B3755" t="s">
        <v>676</v>
      </c>
      <c r="C3755" t="s">
        <v>332</v>
      </c>
      <c r="D3755" s="226">
        <v>-255.69</v>
      </c>
      <c r="E3755" t="s">
        <v>677</v>
      </c>
    </row>
    <row r="3756" spans="1:5" hidden="1" x14ac:dyDescent="0.3">
      <c r="A3756" t="s">
        <v>552</v>
      </c>
      <c r="B3756" t="s">
        <v>676</v>
      </c>
      <c r="C3756" t="s">
        <v>333</v>
      </c>
      <c r="D3756" s="226">
        <v>0</v>
      </c>
      <c r="E3756" t="s">
        <v>677</v>
      </c>
    </row>
    <row r="3757" spans="1:5" hidden="1" x14ac:dyDescent="0.3">
      <c r="A3757" t="s">
        <v>552</v>
      </c>
      <c r="B3757" t="s">
        <v>676</v>
      </c>
      <c r="C3757" t="s">
        <v>335</v>
      </c>
      <c r="D3757" s="226">
        <v>0</v>
      </c>
      <c r="E3757" t="s">
        <v>677</v>
      </c>
    </row>
    <row r="3758" spans="1:5" hidden="1" x14ac:dyDescent="0.3">
      <c r="A3758" t="s">
        <v>552</v>
      </c>
      <c r="B3758" t="s">
        <v>676</v>
      </c>
      <c r="C3758" t="s">
        <v>337</v>
      </c>
      <c r="D3758" s="226">
        <v>789390.32</v>
      </c>
      <c r="E3758" t="s">
        <v>677</v>
      </c>
    </row>
    <row r="3759" spans="1:5" hidden="1" x14ac:dyDescent="0.3">
      <c r="A3759" t="s">
        <v>552</v>
      </c>
      <c r="B3759" t="s">
        <v>676</v>
      </c>
      <c r="C3759" t="s">
        <v>338</v>
      </c>
      <c r="D3759" s="226">
        <v>-51756.56</v>
      </c>
      <c r="E3759" t="s">
        <v>677</v>
      </c>
    </row>
    <row r="3760" spans="1:5" hidden="1" x14ac:dyDescent="0.3">
      <c r="A3760" t="s">
        <v>552</v>
      </c>
      <c r="B3760" t="s">
        <v>676</v>
      </c>
      <c r="C3760" t="s">
        <v>341</v>
      </c>
      <c r="D3760" s="226">
        <v>-9105.7199999999993</v>
      </c>
      <c r="E3760" t="s">
        <v>677</v>
      </c>
    </row>
    <row r="3761" spans="1:5" hidden="1" x14ac:dyDescent="0.3">
      <c r="A3761" t="s">
        <v>552</v>
      </c>
      <c r="B3761" t="s">
        <v>676</v>
      </c>
      <c r="C3761" t="s">
        <v>343</v>
      </c>
      <c r="D3761" s="226">
        <v>-17117.39</v>
      </c>
      <c r="E3761" t="s">
        <v>677</v>
      </c>
    </row>
    <row r="3762" spans="1:5" hidden="1" x14ac:dyDescent="0.3">
      <c r="A3762" t="s">
        <v>552</v>
      </c>
      <c r="B3762" t="s">
        <v>676</v>
      </c>
      <c r="C3762" t="s">
        <v>344</v>
      </c>
      <c r="D3762" s="226">
        <v>-10127.790000000001</v>
      </c>
      <c r="E3762" t="s">
        <v>677</v>
      </c>
    </row>
    <row r="3763" spans="1:5" hidden="1" x14ac:dyDescent="0.3">
      <c r="A3763" t="s">
        <v>552</v>
      </c>
      <c r="B3763" t="s">
        <v>676</v>
      </c>
      <c r="C3763" t="s">
        <v>345</v>
      </c>
      <c r="D3763" s="226">
        <v>-15405.65</v>
      </c>
      <c r="E3763" t="s">
        <v>677</v>
      </c>
    </row>
    <row r="3764" spans="1:5" hidden="1" x14ac:dyDescent="0.3">
      <c r="A3764" t="s">
        <v>552</v>
      </c>
      <c r="B3764" t="s">
        <v>676</v>
      </c>
      <c r="C3764" t="s">
        <v>346</v>
      </c>
      <c r="D3764" s="226">
        <v>737633.76</v>
      </c>
      <c r="E3764" t="s">
        <v>677</v>
      </c>
    </row>
    <row r="3765" spans="1:5" hidden="1" x14ac:dyDescent="0.3">
      <c r="A3765" t="s">
        <v>552</v>
      </c>
      <c r="B3765" t="s">
        <v>676</v>
      </c>
      <c r="C3765" t="s">
        <v>44</v>
      </c>
      <c r="D3765" s="226">
        <v>0.46</v>
      </c>
      <c r="E3765" t="s">
        <v>677</v>
      </c>
    </row>
    <row r="3766" spans="1:5" hidden="1" x14ac:dyDescent="0.3">
      <c r="A3766" t="s">
        <v>552</v>
      </c>
      <c r="B3766" t="s">
        <v>676</v>
      </c>
      <c r="C3766" t="s">
        <v>347</v>
      </c>
      <c r="D3766" s="226">
        <v>-39649.58</v>
      </c>
      <c r="E3766" t="s">
        <v>677</v>
      </c>
    </row>
    <row r="3767" spans="1:5" hidden="1" x14ac:dyDescent="0.3">
      <c r="A3767" t="s">
        <v>552</v>
      </c>
      <c r="B3767" t="s">
        <v>676</v>
      </c>
      <c r="C3767" t="s">
        <v>654</v>
      </c>
      <c r="D3767" s="226">
        <v>-33020</v>
      </c>
      <c r="E3767" t="s">
        <v>677</v>
      </c>
    </row>
    <row r="3768" spans="1:5" hidden="1" x14ac:dyDescent="0.3">
      <c r="A3768" t="s">
        <v>552</v>
      </c>
      <c r="B3768" t="s">
        <v>676</v>
      </c>
      <c r="C3768" t="s">
        <v>349</v>
      </c>
      <c r="D3768" s="226">
        <v>-4829.58</v>
      </c>
      <c r="E3768" t="s">
        <v>677</v>
      </c>
    </row>
    <row r="3769" spans="1:5" hidden="1" x14ac:dyDescent="0.3">
      <c r="A3769" t="s">
        <v>552</v>
      </c>
      <c r="B3769" t="s">
        <v>676</v>
      </c>
      <c r="C3769" t="s">
        <v>350</v>
      </c>
      <c r="D3769" s="226">
        <v>0</v>
      </c>
      <c r="E3769" t="s">
        <v>677</v>
      </c>
    </row>
    <row r="3770" spans="1:5" hidden="1" x14ac:dyDescent="0.3">
      <c r="A3770" t="s">
        <v>552</v>
      </c>
      <c r="B3770" t="s">
        <v>676</v>
      </c>
      <c r="C3770" t="s">
        <v>351</v>
      </c>
      <c r="D3770" s="226">
        <v>0</v>
      </c>
      <c r="E3770" t="s">
        <v>677</v>
      </c>
    </row>
    <row r="3771" spans="1:5" hidden="1" x14ac:dyDescent="0.3">
      <c r="A3771" t="s">
        <v>552</v>
      </c>
      <c r="B3771" t="s">
        <v>676</v>
      </c>
      <c r="C3771" t="s">
        <v>352</v>
      </c>
      <c r="D3771" s="226">
        <v>0</v>
      </c>
      <c r="E3771" t="s">
        <v>677</v>
      </c>
    </row>
    <row r="3772" spans="1:5" hidden="1" x14ac:dyDescent="0.3">
      <c r="A3772" t="s">
        <v>552</v>
      </c>
      <c r="B3772" t="s">
        <v>676</v>
      </c>
      <c r="C3772" t="s">
        <v>353</v>
      </c>
      <c r="D3772" s="226">
        <v>0</v>
      </c>
      <c r="E3772" t="s">
        <v>677</v>
      </c>
    </row>
    <row r="3773" spans="1:5" hidden="1" x14ac:dyDescent="0.3">
      <c r="A3773" t="s">
        <v>552</v>
      </c>
      <c r="B3773" t="s">
        <v>676</v>
      </c>
      <c r="C3773" t="s">
        <v>354</v>
      </c>
      <c r="D3773" s="226">
        <v>0</v>
      </c>
      <c r="E3773" t="s">
        <v>677</v>
      </c>
    </row>
    <row r="3774" spans="1:5" hidden="1" x14ac:dyDescent="0.3">
      <c r="A3774" t="s">
        <v>552</v>
      </c>
      <c r="B3774" t="s">
        <v>676</v>
      </c>
      <c r="C3774" t="s">
        <v>355</v>
      </c>
      <c r="D3774" s="226">
        <v>0</v>
      </c>
      <c r="E3774" t="s">
        <v>677</v>
      </c>
    </row>
    <row r="3775" spans="1:5" hidden="1" x14ac:dyDescent="0.3">
      <c r="A3775" t="s">
        <v>552</v>
      </c>
      <c r="B3775" t="s">
        <v>676</v>
      </c>
      <c r="C3775" t="s">
        <v>356</v>
      </c>
      <c r="D3775" s="226">
        <v>0</v>
      </c>
      <c r="E3775" t="s">
        <v>677</v>
      </c>
    </row>
    <row r="3776" spans="1:5" hidden="1" x14ac:dyDescent="0.3">
      <c r="A3776" t="s">
        <v>552</v>
      </c>
      <c r="B3776" t="s">
        <v>676</v>
      </c>
      <c r="C3776" t="s">
        <v>357</v>
      </c>
      <c r="D3776" s="226">
        <v>0</v>
      </c>
      <c r="E3776" t="s">
        <v>677</v>
      </c>
    </row>
    <row r="3777" spans="1:5" hidden="1" x14ac:dyDescent="0.3">
      <c r="A3777" t="s">
        <v>552</v>
      </c>
      <c r="B3777" t="s">
        <v>676</v>
      </c>
      <c r="C3777" t="s">
        <v>358</v>
      </c>
      <c r="D3777" s="226">
        <v>0</v>
      </c>
      <c r="E3777" t="s">
        <v>677</v>
      </c>
    </row>
    <row r="3778" spans="1:5" hidden="1" x14ac:dyDescent="0.3">
      <c r="A3778" t="s">
        <v>552</v>
      </c>
      <c r="B3778" t="s">
        <v>676</v>
      </c>
      <c r="C3778" t="s">
        <v>359</v>
      </c>
      <c r="D3778" s="226">
        <v>0</v>
      </c>
      <c r="E3778" t="s">
        <v>677</v>
      </c>
    </row>
    <row r="3779" spans="1:5" hidden="1" x14ac:dyDescent="0.3">
      <c r="A3779" t="s">
        <v>552</v>
      </c>
      <c r="B3779" t="s">
        <v>676</v>
      </c>
      <c r="C3779" t="s">
        <v>360</v>
      </c>
      <c r="D3779" s="226">
        <v>0</v>
      </c>
      <c r="E3779" t="s">
        <v>677</v>
      </c>
    </row>
    <row r="3780" spans="1:5" hidden="1" x14ac:dyDescent="0.3">
      <c r="A3780" t="s">
        <v>552</v>
      </c>
      <c r="B3780" t="s">
        <v>676</v>
      </c>
      <c r="C3780" t="s">
        <v>361</v>
      </c>
      <c r="D3780" s="226">
        <v>0</v>
      </c>
      <c r="E3780" t="s">
        <v>677</v>
      </c>
    </row>
    <row r="3781" spans="1:5" hidden="1" x14ac:dyDescent="0.3">
      <c r="A3781" t="s">
        <v>552</v>
      </c>
      <c r="B3781" t="s">
        <v>676</v>
      </c>
      <c r="C3781" t="s">
        <v>362</v>
      </c>
      <c r="D3781" s="226">
        <v>0</v>
      </c>
      <c r="E3781" t="s">
        <v>677</v>
      </c>
    </row>
    <row r="3782" spans="1:5" hidden="1" x14ac:dyDescent="0.3">
      <c r="A3782" t="s">
        <v>552</v>
      </c>
      <c r="B3782" t="s">
        <v>676</v>
      </c>
      <c r="C3782" t="s">
        <v>363</v>
      </c>
      <c r="D3782" s="226">
        <v>0</v>
      </c>
      <c r="E3782" t="s">
        <v>677</v>
      </c>
    </row>
    <row r="3783" spans="1:5" hidden="1" x14ac:dyDescent="0.3">
      <c r="A3783" t="s">
        <v>552</v>
      </c>
      <c r="B3783" t="s">
        <v>676</v>
      </c>
      <c r="C3783" t="s">
        <v>364</v>
      </c>
      <c r="D3783" s="226">
        <v>0</v>
      </c>
      <c r="E3783" t="s">
        <v>677</v>
      </c>
    </row>
    <row r="3784" spans="1:5" hidden="1" x14ac:dyDescent="0.3">
      <c r="A3784" t="s">
        <v>552</v>
      </c>
      <c r="B3784" t="s">
        <v>676</v>
      </c>
      <c r="C3784" t="s">
        <v>365</v>
      </c>
      <c r="D3784" s="226">
        <v>0</v>
      </c>
      <c r="E3784" t="s">
        <v>677</v>
      </c>
    </row>
    <row r="3785" spans="1:5" hidden="1" x14ac:dyDescent="0.3">
      <c r="A3785" t="s">
        <v>552</v>
      </c>
      <c r="B3785" t="s">
        <v>676</v>
      </c>
      <c r="C3785" t="s">
        <v>366</v>
      </c>
      <c r="D3785" s="226">
        <v>0</v>
      </c>
      <c r="E3785" t="s">
        <v>677</v>
      </c>
    </row>
    <row r="3786" spans="1:5" hidden="1" x14ac:dyDescent="0.3">
      <c r="A3786" t="s">
        <v>552</v>
      </c>
      <c r="B3786" t="s">
        <v>676</v>
      </c>
      <c r="C3786" t="s">
        <v>367</v>
      </c>
      <c r="D3786" s="226">
        <v>0</v>
      </c>
      <c r="E3786" t="s">
        <v>677</v>
      </c>
    </row>
    <row r="3787" spans="1:5" hidden="1" x14ac:dyDescent="0.3">
      <c r="A3787" t="s">
        <v>552</v>
      </c>
      <c r="B3787" t="s">
        <v>676</v>
      </c>
      <c r="C3787" t="s">
        <v>368</v>
      </c>
      <c r="D3787" s="226">
        <v>0</v>
      </c>
      <c r="E3787" t="s">
        <v>677</v>
      </c>
    </row>
    <row r="3788" spans="1:5" hidden="1" x14ac:dyDescent="0.3">
      <c r="A3788" t="s">
        <v>552</v>
      </c>
      <c r="B3788" t="s">
        <v>676</v>
      </c>
      <c r="C3788" t="s">
        <v>369</v>
      </c>
      <c r="D3788" s="226">
        <v>0</v>
      </c>
      <c r="E3788" t="s">
        <v>677</v>
      </c>
    </row>
    <row r="3789" spans="1:5" hidden="1" x14ac:dyDescent="0.3">
      <c r="A3789" t="s">
        <v>552</v>
      </c>
      <c r="B3789" t="s">
        <v>676</v>
      </c>
      <c r="C3789" t="s">
        <v>370</v>
      </c>
      <c r="D3789" s="226">
        <v>0</v>
      </c>
      <c r="E3789" t="s">
        <v>677</v>
      </c>
    </row>
    <row r="3790" spans="1:5" hidden="1" x14ac:dyDescent="0.3">
      <c r="A3790" t="s">
        <v>552</v>
      </c>
      <c r="B3790" t="s">
        <v>676</v>
      </c>
      <c r="C3790" t="s">
        <v>371</v>
      </c>
      <c r="D3790" s="226">
        <v>0</v>
      </c>
      <c r="E3790" t="s">
        <v>677</v>
      </c>
    </row>
    <row r="3791" spans="1:5" hidden="1" x14ac:dyDescent="0.3">
      <c r="A3791" t="s">
        <v>552</v>
      </c>
      <c r="B3791" t="s">
        <v>676</v>
      </c>
      <c r="C3791" t="s">
        <v>372</v>
      </c>
      <c r="D3791" s="226">
        <v>-39649.58</v>
      </c>
      <c r="E3791" t="s">
        <v>677</v>
      </c>
    </row>
    <row r="3792" spans="1:5" hidden="1" x14ac:dyDescent="0.3">
      <c r="A3792" t="s">
        <v>552</v>
      </c>
      <c r="B3792" t="s">
        <v>676</v>
      </c>
      <c r="C3792" t="s">
        <v>373</v>
      </c>
      <c r="D3792" s="226">
        <v>697984.18</v>
      </c>
      <c r="E3792" t="s">
        <v>677</v>
      </c>
    </row>
    <row r="3793" spans="1:5" hidden="1" x14ac:dyDescent="0.3">
      <c r="A3793" t="s">
        <v>552</v>
      </c>
      <c r="B3793" t="s">
        <v>676</v>
      </c>
      <c r="C3793" t="s">
        <v>655</v>
      </c>
      <c r="D3793" s="226">
        <v>0</v>
      </c>
      <c r="E3793" t="s">
        <v>677</v>
      </c>
    </row>
    <row r="3794" spans="1:5" hidden="1" x14ac:dyDescent="0.3">
      <c r="A3794" t="s">
        <v>552</v>
      </c>
      <c r="B3794" t="s">
        <v>678</v>
      </c>
      <c r="C3794" t="s">
        <v>11</v>
      </c>
      <c r="D3794" s="226">
        <v>15736953.73</v>
      </c>
      <c r="E3794" t="s">
        <v>678</v>
      </c>
    </row>
    <row r="3795" spans="1:5" hidden="1" x14ac:dyDescent="0.3">
      <c r="A3795" t="s">
        <v>552</v>
      </c>
      <c r="B3795" t="s">
        <v>678</v>
      </c>
      <c r="C3795" t="s">
        <v>13</v>
      </c>
      <c r="D3795" s="226">
        <v>7416329.4500000002</v>
      </c>
      <c r="E3795" t="s">
        <v>678</v>
      </c>
    </row>
    <row r="3796" spans="1:5" hidden="1" x14ac:dyDescent="0.3">
      <c r="A3796" t="s">
        <v>552</v>
      </c>
      <c r="B3796" t="s">
        <v>678</v>
      </c>
      <c r="C3796" t="s">
        <v>16</v>
      </c>
      <c r="D3796" s="226">
        <v>5939949.1500000004</v>
      </c>
      <c r="E3796" t="s">
        <v>678</v>
      </c>
    </row>
    <row r="3797" spans="1:5" hidden="1" x14ac:dyDescent="0.3">
      <c r="A3797" t="s">
        <v>552</v>
      </c>
      <c r="B3797" t="s">
        <v>678</v>
      </c>
      <c r="C3797" t="s">
        <v>17</v>
      </c>
      <c r="D3797" s="226">
        <v>10992</v>
      </c>
      <c r="E3797" t="s">
        <v>678</v>
      </c>
    </row>
    <row r="3798" spans="1:5" hidden="1" x14ac:dyDescent="0.3">
      <c r="A3798" t="s">
        <v>552</v>
      </c>
      <c r="B3798" t="s">
        <v>678</v>
      </c>
      <c r="C3798" t="s">
        <v>18</v>
      </c>
      <c r="D3798" s="226">
        <v>11315.5</v>
      </c>
      <c r="E3798" t="s">
        <v>678</v>
      </c>
    </row>
    <row r="3799" spans="1:5" hidden="1" x14ac:dyDescent="0.3">
      <c r="A3799" t="s">
        <v>552</v>
      </c>
      <c r="B3799" t="s">
        <v>678</v>
      </c>
      <c r="C3799" t="s">
        <v>20</v>
      </c>
      <c r="D3799" s="226">
        <v>1737191.68</v>
      </c>
      <c r="E3799" t="s">
        <v>678</v>
      </c>
    </row>
    <row r="3800" spans="1:5" hidden="1" x14ac:dyDescent="0.3">
      <c r="A3800" t="s">
        <v>552</v>
      </c>
      <c r="B3800" t="s">
        <v>678</v>
      </c>
      <c r="C3800" t="s">
        <v>23</v>
      </c>
      <c r="D3800" s="226">
        <v>227193.3</v>
      </c>
      <c r="E3800" t="s">
        <v>678</v>
      </c>
    </row>
    <row r="3801" spans="1:5" hidden="1" x14ac:dyDescent="0.3">
      <c r="A3801" t="s">
        <v>552</v>
      </c>
      <c r="B3801" t="s">
        <v>678</v>
      </c>
      <c r="C3801" t="s">
        <v>25</v>
      </c>
      <c r="D3801" s="226">
        <v>26760.5</v>
      </c>
      <c r="E3801" t="s">
        <v>678</v>
      </c>
    </row>
    <row r="3802" spans="1:5" hidden="1" x14ac:dyDescent="0.3">
      <c r="A3802" t="s">
        <v>552</v>
      </c>
      <c r="B3802" t="s">
        <v>678</v>
      </c>
      <c r="C3802" t="s">
        <v>26</v>
      </c>
      <c r="D3802" s="226">
        <v>126490.15</v>
      </c>
      <c r="E3802" t="s">
        <v>678</v>
      </c>
    </row>
    <row r="3803" spans="1:5" hidden="1" x14ac:dyDescent="0.3">
      <c r="A3803" t="s">
        <v>552</v>
      </c>
      <c r="B3803" t="s">
        <v>678</v>
      </c>
      <c r="C3803" t="s">
        <v>27</v>
      </c>
      <c r="D3803" s="226">
        <v>0</v>
      </c>
      <c r="E3803" t="s">
        <v>678</v>
      </c>
    </row>
    <row r="3804" spans="1:5" hidden="1" x14ac:dyDescent="0.3">
      <c r="A3804" t="s">
        <v>552</v>
      </c>
      <c r="B3804" t="s">
        <v>678</v>
      </c>
      <c r="C3804" t="s">
        <v>29</v>
      </c>
      <c r="D3804" s="226">
        <v>240732</v>
      </c>
      <c r="E3804" t="s">
        <v>678</v>
      </c>
    </row>
    <row r="3805" spans="1:5" hidden="1" x14ac:dyDescent="0.3">
      <c r="A3805" t="s">
        <v>552</v>
      </c>
      <c r="B3805" t="s">
        <v>678</v>
      </c>
      <c r="C3805" t="s">
        <v>31</v>
      </c>
      <c r="D3805" s="226">
        <v>0</v>
      </c>
      <c r="E3805" t="s">
        <v>678</v>
      </c>
    </row>
    <row r="3806" spans="1:5" hidden="1" x14ac:dyDescent="0.3">
      <c r="A3806" t="s">
        <v>552</v>
      </c>
      <c r="B3806" t="s">
        <v>678</v>
      </c>
      <c r="C3806" t="s">
        <v>34</v>
      </c>
      <c r="D3806" s="226">
        <v>-232532.94</v>
      </c>
      <c r="E3806" t="s">
        <v>678</v>
      </c>
    </row>
    <row r="3807" spans="1:5" hidden="1" x14ac:dyDescent="0.3">
      <c r="A3807" t="s">
        <v>552</v>
      </c>
      <c r="B3807" t="s">
        <v>678</v>
      </c>
      <c r="C3807" t="s">
        <v>38</v>
      </c>
      <c r="D3807" s="226">
        <v>-232532.94</v>
      </c>
      <c r="E3807" t="s">
        <v>678</v>
      </c>
    </row>
    <row r="3808" spans="1:5" hidden="1" x14ac:dyDescent="0.3">
      <c r="A3808" t="s">
        <v>552</v>
      </c>
      <c r="B3808" t="s">
        <v>678</v>
      </c>
      <c r="C3808" t="s">
        <v>40</v>
      </c>
      <c r="D3808" s="226">
        <v>0</v>
      </c>
      <c r="E3808" t="s">
        <v>678</v>
      </c>
    </row>
    <row r="3809" spans="1:5" hidden="1" x14ac:dyDescent="0.3">
      <c r="A3809" t="s">
        <v>552</v>
      </c>
      <c r="B3809" t="s">
        <v>678</v>
      </c>
      <c r="C3809" t="s">
        <v>42</v>
      </c>
      <c r="D3809" s="226">
        <v>0</v>
      </c>
      <c r="E3809" t="s">
        <v>678</v>
      </c>
    </row>
    <row r="3810" spans="1:5" hidden="1" x14ac:dyDescent="0.3">
      <c r="A3810" t="s">
        <v>552</v>
      </c>
      <c r="B3810" t="s">
        <v>678</v>
      </c>
      <c r="C3810" t="s">
        <v>44</v>
      </c>
      <c r="D3810" s="226">
        <v>-0.01</v>
      </c>
      <c r="E3810" t="s">
        <v>678</v>
      </c>
    </row>
    <row r="3811" spans="1:5" hidden="1" x14ac:dyDescent="0.3">
      <c r="A3811" t="s">
        <v>552</v>
      </c>
      <c r="B3811" t="s">
        <v>678</v>
      </c>
      <c r="C3811" t="s">
        <v>45</v>
      </c>
      <c r="D3811" s="226">
        <v>-947694.27</v>
      </c>
      <c r="E3811" t="s">
        <v>678</v>
      </c>
    </row>
    <row r="3812" spans="1:5" hidden="1" x14ac:dyDescent="0.3">
      <c r="A3812" t="s">
        <v>552</v>
      </c>
      <c r="B3812" t="s">
        <v>678</v>
      </c>
      <c r="C3812" t="s">
        <v>46</v>
      </c>
      <c r="D3812" s="226">
        <v>-502503.86</v>
      </c>
      <c r="E3812" t="s">
        <v>678</v>
      </c>
    </row>
    <row r="3813" spans="1:5" hidden="1" x14ac:dyDescent="0.3">
      <c r="A3813" t="s">
        <v>552</v>
      </c>
      <c r="B3813" t="s">
        <v>678</v>
      </c>
      <c r="C3813" t="s">
        <v>48</v>
      </c>
      <c r="D3813" s="226">
        <v>-433281.15</v>
      </c>
      <c r="E3813" t="s">
        <v>678</v>
      </c>
    </row>
    <row r="3814" spans="1:5" hidden="1" x14ac:dyDescent="0.3">
      <c r="A3814" t="s">
        <v>552</v>
      </c>
      <c r="B3814" t="s">
        <v>678</v>
      </c>
      <c r="C3814" t="s">
        <v>49</v>
      </c>
      <c r="D3814" s="226">
        <v>-11909.27</v>
      </c>
      <c r="E3814" t="s">
        <v>678</v>
      </c>
    </row>
    <row r="3815" spans="1:5" hidden="1" x14ac:dyDescent="0.3">
      <c r="A3815" t="s">
        <v>552</v>
      </c>
      <c r="B3815" t="s">
        <v>678</v>
      </c>
      <c r="C3815" t="s">
        <v>50</v>
      </c>
      <c r="D3815" s="226">
        <v>14556726.52</v>
      </c>
      <c r="E3815" t="s">
        <v>678</v>
      </c>
    </row>
    <row r="3816" spans="1:5" hidden="1" x14ac:dyDescent="0.3">
      <c r="A3816" t="s">
        <v>552</v>
      </c>
      <c r="B3816" t="s">
        <v>678</v>
      </c>
      <c r="C3816" t="s">
        <v>51</v>
      </c>
      <c r="D3816" s="226">
        <v>-4097552.79</v>
      </c>
      <c r="E3816" t="s">
        <v>678</v>
      </c>
    </row>
    <row r="3817" spans="1:5" hidden="1" x14ac:dyDescent="0.3">
      <c r="A3817" t="s">
        <v>552</v>
      </c>
      <c r="B3817" t="s">
        <v>678</v>
      </c>
      <c r="C3817" t="s">
        <v>52</v>
      </c>
      <c r="D3817" s="226">
        <v>-2675924.4700000002</v>
      </c>
      <c r="E3817" t="s">
        <v>678</v>
      </c>
    </row>
    <row r="3818" spans="1:5" hidden="1" x14ac:dyDescent="0.3">
      <c r="A3818" t="s">
        <v>552</v>
      </c>
      <c r="B3818" t="s">
        <v>678</v>
      </c>
      <c r="C3818" t="s">
        <v>53</v>
      </c>
      <c r="D3818" s="226">
        <v>-1398266.1</v>
      </c>
      <c r="E3818" t="s">
        <v>678</v>
      </c>
    </row>
    <row r="3819" spans="1:5" hidden="1" x14ac:dyDescent="0.3">
      <c r="A3819" t="s">
        <v>552</v>
      </c>
      <c r="B3819" t="s">
        <v>678</v>
      </c>
      <c r="C3819" t="s">
        <v>54</v>
      </c>
      <c r="D3819" s="226">
        <v>-23362.22</v>
      </c>
      <c r="E3819" t="s">
        <v>678</v>
      </c>
    </row>
    <row r="3820" spans="1:5" hidden="1" x14ac:dyDescent="0.3">
      <c r="A3820" t="s">
        <v>552</v>
      </c>
      <c r="B3820" t="s">
        <v>678</v>
      </c>
      <c r="C3820" t="s">
        <v>23</v>
      </c>
      <c r="D3820" s="226">
        <v>0</v>
      </c>
      <c r="E3820" t="s">
        <v>678</v>
      </c>
    </row>
    <row r="3821" spans="1:5" hidden="1" x14ac:dyDescent="0.3">
      <c r="A3821" t="s">
        <v>552</v>
      </c>
      <c r="B3821" t="s">
        <v>678</v>
      </c>
      <c r="C3821" t="s">
        <v>44</v>
      </c>
      <c r="D3821" s="226">
        <v>-0.3</v>
      </c>
      <c r="E3821" t="s">
        <v>678</v>
      </c>
    </row>
    <row r="3822" spans="1:5" hidden="1" x14ac:dyDescent="0.3">
      <c r="A3822" t="s">
        <v>552</v>
      </c>
      <c r="B3822" t="s">
        <v>678</v>
      </c>
      <c r="C3822" t="s">
        <v>55</v>
      </c>
      <c r="D3822" s="226">
        <v>-0.28000000000000003</v>
      </c>
      <c r="E3822" t="s">
        <v>678</v>
      </c>
    </row>
    <row r="3823" spans="1:5" hidden="1" x14ac:dyDescent="0.3">
      <c r="A3823" t="s">
        <v>552</v>
      </c>
      <c r="B3823" t="s">
        <v>678</v>
      </c>
      <c r="C3823" t="s">
        <v>56</v>
      </c>
      <c r="D3823" s="226">
        <v>-17842.91</v>
      </c>
      <c r="E3823" t="s">
        <v>678</v>
      </c>
    </row>
    <row r="3824" spans="1:5" hidden="1" x14ac:dyDescent="0.3">
      <c r="A3824" t="s">
        <v>552</v>
      </c>
      <c r="B3824" t="s">
        <v>678</v>
      </c>
      <c r="C3824" t="s">
        <v>57</v>
      </c>
      <c r="D3824" s="226">
        <v>-16542.91</v>
      </c>
      <c r="E3824" t="s">
        <v>678</v>
      </c>
    </row>
    <row r="3825" spans="1:5" hidden="1" x14ac:dyDescent="0.3">
      <c r="A3825" t="s">
        <v>552</v>
      </c>
      <c r="B3825" t="s">
        <v>678</v>
      </c>
      <c r="C3825" t="s">
        <v>58</v>
      </c>
      <c r="D3825" s="226">
        <v>-8176.93</v>
      </c>
      <c r="E3825" t="s">
        <v>678</v>
      </c>
    </row>
    <row r="3826" spans="1:5" hidden="1" x14ac:dyDescent="0.3">
      <c r="A3826" t="s">
        <v>552</v>
      </c>
      <c r="B3826" t="s">
        <v>678</v>
      </c>
      <c r="C3826" t="s">
        <v>59</v>
      </c>
      <c r="D3826" s="226">
        <v>-8365.98</v>
      </c>
      <c r="E3826" t="s">
        <v>678</v>
      </c>
    </row>
    <row r="3827" spans="1:5" hidden="1" x14ac:dyDescent="0.3">
      <c r="A3827" t="s">
        <v>552</v>
      </c>
      <c r="B3827" t="s">
        <v>678</v>
      </c>
      <c r="C3827" t="s">
        <v>61</v>
      </c>
      <c r="D3827" s="226">
        <v>0</v>
      </c>
      <c r="E3827" t="s">
        <v>678</v>
      </c>
    </row>
    <row r="3828" spans="1:5" hidden="1" x14ac:dyDescent="0.3">
      <c r="A3828" t="s">
        <v>552</v>
      </c>
      <c r="B3828" t="s">
        <v>678</v>
      </c>
      <c r="C3828" t="s">
        <v>62</v>
      </c>
      <c r="D3828" s="226">
        <v>0</v>
      </c>
      <c r="E3828" t="s">
        <v>678</v>
      </c>
    </row>
    <row r="3829" spans="1:5" hidden="1" x14ac:dyDescent="0.3">
      <c r="A3829" t="s">
        <v>552</v>
      </c>
      <c r="B3829" t="s">
        <v>678</v>
      </c>
      <c r="C3829" t="s">
        <v>64</v>
      </c>
      <c r="D3829" s="226">
        <v>0</v>
      </c>
      <c r="E3829" t="s">
        <v>678</v>
      </c>
    </row>
    <row r="3830" spans="1:5" hidden="1" x14ac:dyDescent="0.3">
      <c r="A3830" t="s">
        <v>552</v>
      </c>
      <c r="B3830" t="s">
        <v>678</v>
      </c>
      <c r="C3830" t="s">
        <v>65</v>
      </c>
      <c r="D3830" s="226">
        <v>-1300</v>
      </c>
      <c r="E3830" t="s">
        <v>678</v>
      </c>
    </row>
    <row r="3831" spans="1:5" hidden="1" x14ac:dyDescent="0.3">
      <c r="A3831" t="s">
        <v>552</v>
      </c>
      <c r="B3831" t="s">
        <v>678</v>
      </c>
      <c r="C3831" t="s">
        <v>66</v>
      </c>
      <c r="D3831" s="226">
        <v>0</v>
      </c>
      <c r="E3831" t="s">
        <v>678</v>
      </c>
    </row>
    <row r="3832" spans="1:5" hidden="1" x14ac:dyDescent="0.3">
      <c r="A3832" t="s">
        <v>552</v>
      </c>
      <c r="B3832" t="s">
        <v>678</v>
      </c>
      <c r="C3832" t="s">
        <v>68</v>
      </c>
      <c r="D3832" s="226">
        <v>-1300</v>
      </c>
      <c r="E3832" t="s">
        <v>678</v>
      </c>
    </row>
    <row r="3833" spans="1:5" hidden="1" x14ac:dyDescent="0.3">
      <c r="A3833" t="s">
        <v>552</v>
      </c>
      <c r="B3833" t="s">
        <v>678</v>
      </c>
      <c r="C3833" t="s">
        <v>69</v>
      </c>
      <c r="D3833" s="226">
        <v>0</v>
      </c>
      <c r="E3833" t="s">
        <v>678</v>
      </c>
    </row>
    <row r="3834" spans="1:5" hidden="1" x14ac:dyDescent="0.3">
      <c r="A3834" t="s">
        <v>552</v>
      </c>
      <c r="B3834" t="s">
        <v>678</v>
      </c>
      <c r="C3834" t="s">
        <v>70</v>
      </c>
      <c r="D3834" s="226">
        <v>-1.62</v>
      </c>
      <c r="E3834" t="s">
        <v>678</v>
      </c>
    </row>
    <row r="3835" spans="1:5" hidden="1" x14ac:dyDescent="0.3">
      <c r="A3835" t="s">
        <v>552</v>
      </c>
      <c r="B3835" t="s">
        <v>678</v>
      </c>
      <c r="C3835" t="s">
        <v>44</v>
      </c>
      <c r="D3835" s="226">
        <v>0</v>
      </c>
      <c r="E3835" t="s">
        <v>678</v>
      </c>
    </row>
    <row r="3836" spans="1:5" hidden="1" x14ac:dyDescent="0.3">
      <c r="A3836" t="s">
        <v>552</v>
      </c>
      <c r="B3836" t="s">
        <v>678</v>
      </c>
      <c r="C3836" t="s">
        <v>71</v>
      </c>
      <c r="D3836" s="226">
        <v>-6800</v>
      </c>
      <c r="E3836" t="s">
        <v>678</v>
      </c>
    </row>
    <row r="3837" spans="1:5" hidden="1" x14ac:dyDescent="0.3">
      <c r="A3837" t="s">
        <v>552</v>
      </c>
      <c r="B3837" t="s">
        <v>678</v>
      </c>
      <c r="C3837" t="s">
        <v>72</v>
      </c>
      <c r="D3837" s="226">
        <v>-3700</v>
      </c>
      <c r="E3837" t="s">
        <v>678</v>
      </c>
    </row>
    <row r="3838" spans="1:5" hidden="1" x14ac:dyDescent="0.3">
      <c r="A3838" t="s">
        <v>552</v>
      </c>
      <c r="B3838" t="s">
        <v>678</v>
      </c>
      <c r="C3838" t="s">
        <v>73</v>
      </c>
      <c r="D3838" s="226">
        <v>0</v>
      </c>
      <c r="E3838" t="s">
        <v>678</v>
      </c>
    </row>
    <row r="3839" spans="1:5" hidden="1" x14ac:dyDescent="0.3">
      <c r="A3839" t="s">
        <v>552</v>
      </c>
      <c r="B3839" t="s">
        <v>678</v>
      </c>
      <c r="C3839" t="s">
        <v>75</v>
      </c>
      <c r="D3839" s="226">
        <v>-3700</v>
      </c>
      <c r="E3839" t="s">
        <v>678</v>
      </c>
    </row>
    <row r="3840" spans="1:5" hidden="1" x14ac:dyDescent="0.3">
      <c r="A3840" t="s">
        <v>552</v>
      </c>
      <c r="B3840" t="s">
        <v>678</v>
      </c>
      <c r="C3840" t="s">
        <v>77</v>
      </c>
      <c r="D3840" s="226">
        <v>0</v>
      </c>
      <c r="E3840" t="s">
        <v>678</v>
      </c>
    </row>
    <row r="3841" spans="1:5" hidden="1" x14ac:dyDescent="0.3">
      <c r="A3841" t="s">
        <v>552</v>
      </c>
      <c r="B3841" t="s">
        <v>678</v>
      </c>
      <c r="C3841" t="s">
        <v>78</v>
      </c>
      <c r="D3841" s="226">
        <v>0</v>
      </c>
      <c r="E3841" t="s">
        <v>678</v>
      </c>
    </row>
    <row r="3842" spans="1:5" hidden="1" x14ac:dyDescent="0.3">
      <c r="A3842" t="s">
        <v>552</v>
      </c>
      <c r="B3842" t="s">
        <v>678</v>
      </c>
      <c r="C3842" t="s">
        <v>80</v>
      </c>
      <c r="D3842" s="226">
        <v>0</v>
      </c>
      <c r="E3842" t="s">
        <v>678</v>
      </c>
    </row>
    <row r="3843" spans="1:5" hidden="1" x14ac:dyDescent="0.3">
      <c r="A3843" t="s">
        <v>552</v>
      </c>
      <c r="B3843" t="s">
        <v>678</v>
      </c>
      <c r="C3843" t="s">
        <v>82</v>
      </c>
      <c r="D3843" s="226">
        <v>0</v>
      </c>
      <c r="E3843" t="s">
        <v>678</v>
      </c>
    </row>
    <row r="3844" spans="1:5" hidden="1" x14ac:dyDescent="0.3">
      <c r="A3844" t="s">
        <v>552</v>
      </c>
      <c r="B3844" t="s">
        <v>678</v>
      </c>
      <c r="C3844" t="s">
        <v>84</v>
      </c>
      <c r="D3844" s="226">
        <v>0</v>
      </c>
      <c r="E3844" t="s">
        <v>678</v>
      </c>
    </row>
    <row r="3845" spans="1:5" hidden="1" x14ac:dyDescent="0.3">
      <c r="A3845" t="s">
        <v>552</v>
      </c>
      <c r="B3845" t="s">
        <v>678</v>
      </c>
      <c r="C3845" t="s">
        <v>85</v>
      </c>
      <c r="D3845" s="226">
        <v>0</v>
      </c>
      <c r="E3845" t="s">
        <v>678</v>
      </c>
    </row>
    <row r="3846" spans="1:5" hidden="1" x14ac:dyDescent="0.3">
      <c r="A3846" t="s">
        <v>552</v>
      </c>
      <c r="B3846" t="s">
        <v>678</v>
      </c>
      <c r="C3846" t="s">
        <v>86</v>
      </c>
      <c r="D3846" s="226">
        <v>0</v>
      </c>
      <c r="E3846" t="s">
        <v>678</v>
      </c>
    </row>
    <row r="3847" spans="1:5" hidden="1" x14ac:dyDescent="0.3">
      <c r="A3847" t="s">
        <v>552</v>
      </c>
      <c r="B3847" t="s">
        <v>678</v>
      </c>
      <c r="C3847" t="s">
        <v>87</v>
      </c>
      <c r="D3847" s="226">
        <v>0</v>
      </c>
      <c r="E3847" t="s">
        <v>678</v>
      </c>
    </row>
    <row r="3848" spans="1:5" hidden="1" x14ac:dyDescent="0.3">
      <c r="A3848" t="s">
        <v>552</v>
      </c>
      <c r="B3848" t="s">
        <v>678</v>
      </c>
      <c r="C3848" t="s">
        <v>88</v>
      </c>
      <c r="D3848" s="226">
        <v>0</v>
      </c>
      <c r="E3848" t="s">
        <v>678</v>
      </c>
    </row>
    <row r="3849" spans="1:5" hidden="1" x14ac:dyDescent="0.3">
      <c r="A3849" t="s">
        <v>552</v>
      </c>
      <c r="B3849" t="s">
        <v>678</v>
      </c>
      <c r="C3849" t="s">
        <v>89</v>
      </c>
      <c r="D3849" s="226">
        <v>0</v>
      </c>
      <c r="E3849" t="s">
        <v>678</v>
      </c>
    </row>
    <row r="3850" spans="1:5" hidden="1" x14ac:dyDescent="0.3">
      <c r="A3850" t="s">
        <v>552</v>
      </c>
      <c r="B3850" t="s">
        <v>678</v>
      </c>
      <c r="C3850" t="s">
        <v>90</v>
      </c>
      <c r="D3850" s="226">
        <v>0</v>
      </c>
      <c r="E3850" t="s">
        <v>678</v>
      </c>
    </row>
    <row r="3851" spans="1:5" hidden="1" x14ac:dyDescent="0.3">
      <c r="A3851" t="s">
        <v>552</v>
      </c>
      <c r="B3851" t="s">
        <v>678</v>
      </c>
      <c r="C3851" t="s">
        <v>91</v>
      </c>
      <c r="D3851" s="226">
        <v>0</v>
      </c>
      <c r="E3851" t="s">
        <v>678</v>
      </c>
    </row>
    <row r="3852" spans="1:5" hidden="1" x14ac:dyDescent="0.3">
      <c r="A3852" t="s">
        <v>552</v>
      </c>
      <c r="B3852" t="s">
        <v>678</v>
      </c>
      <c r="C3852" t="s">
        <v>93</v>
      </c>
      <c r="D3852" s="226">
        <v>0</v>
      </c>
      <c r="E3852" t="s">
        <v>678</v>
      </c>
    </row>
    <row r="3853" spans="1:5" hidden="1" x14ac:dyDescent="0.3">
      <c r="A3853" t="s">
        <v>552</v>
      </c>
      <c r="B3853" t="s">
        <v>678</v>
      </c>
      <c r="C3853" t="s">
        <v>95</v>
      </c>
      <c r="D3853" s="226">
        <v>0</v>
      </c>
      <c r="E3853" t="s">
        <v>678</v>
      </c>
    </row>
    <row r="3854" spans="1:5" hidden="1" x14ac:dyDescent="0.3">
      <c r="A3854" t="s">
        <v>552</v>
      </c>
      <c r="B3854" t="s">
        <v>678</v>
      </c>
      <c r="C3854" t="s">
        <v>96</v>
      </c>
      <c r="D3854" s="226">
        <v>0</v>
      </c>
      <c r="E3854" t="s">
        <v>678</v>
      </c>
    </row>
    <row r="3855" spans="1:5" hidden="1" x14ac:dyDescent="0.3">
      <c r="A3855" t="s">
        <v>552</v>
      </c>
      <c r="B3855" t="s">
        <v>678</v>
      </c>
      <c r="C3855" t="s">
        <v>98</v>
      </c>
      <c r="D3855" s="226">
        <v>0</v>
      </c>
      <c r="E3855" t="s">
        <v>678</v>
      </c>
    </row>
    <row r="3856" spans="1:5" hidden="1" x14ac:dyDescent="0.3">
      <c r="A3856" t="s">
        <v>552</v>
      </c>
      <c r="B3856" t="s">
        <v>678</v>
      </c>
      <c r="C3856" t="s">
        <v>100</v>
      </c>
      <c r="D3856" s="226">
        <v>0</v>
      </c>
      <c r="E3856" t="s">
        <v>678</v>
      </c>
    </row>
    <row r="3857" spans="1:5" hidden="1" x14ac:dyDescent="0.3">
      <c r="A3857" t="s">
        <v>552</v>
      </c>
      <c r="B3857" t="s">
        <v>678</v>
      </c>
      <c r="C3857" t="s">
        <v>101</v>
      </c>
      <c r="D3857" s="226">
        <v>-3100</v>
      </c>
      <c r="E3857" t="s">
        <v>678</v>
      </c>
    </row>
    <row r="3858" spans="1:5" hidden="1" x14ac:dyDescent="0.3">
      <c r="A3858" t="s">
        <v>552</v>
      </c>
      <c r="B3858" t="s">
        <v>678</v>
      </c>
      <c r="C3858" t="s">
        <v>102</v>
      </c>
      <c r="D3858" s="226">
        <v>0</v>
      </c>
      <c r="E3858" t="s">
        <v>678</v>
      </c>
    </row>
    <row r="3859" spans="1:5" hidden="1" x14ac:dyDescent="0.3">
      <c r="A3859" t="s">
        <v>552</v>
      </c>
      <c r="B3859" t="s">
        <v>678</v>
      </c>
      <c r="C3859" t="s">
        <v>103</v>
      </c>
      <c r="D3859" s="226">
        <v>-6800</v>
      </c>
      <c r="E3859" t="s">
        <v>678</v>
      </c>
    </row>
    <row r="3860" spans="1:5" hidden="1" x14ac:dyDescent="0.3">
      <c r="A3860" t="s">
        <v>552</v>
      </c>
      <c r="B3860" t="s">
        <v>678</v>
      </c>
      <c r="C3860" t="s">
        <v>104</v>
      </c>
      <c r="D3860" s="226">
        <v>0</v>
      </c>
      <c r="E3860" t="s">
        <v>678</v>
      </c>
    </row>
    <row r="3861" spans="1:5" hidden="1" x14ac:dyDescent="0.3">
      <c r="A3861" t="s">
        <v>552</v>
      </c>
      <c r="B3861" t="s">
        <v>678</v>
      </c>
      <c r="C3861" t="s">
        <v>105</v>
      </c>
      <c r="D3861" s="226">
        <v>0</v>
      </c>
      <c r="E3861" t="s">
        <v>678</v>
      </c>
    </row>
    <row r="3862" spans="1:5" hidden="1" x14ac:dyDescent="0.3">
      <c r="A3862" t="s">
        <v>552</v>
      </c>
      <c r="B3862" t="s">
        <v>678</v>
      </c>
      <c r="C3862" t="s">
        <v>107</v>
      </c>
      <c r="D3862" s="226">
        <v>0</v>
      </c>
      <c r="E3862" t="s">
        <v>678</v>
      </c>
    </row>
    <row r="3863" spans="1:5" hidden="1" x14ac:dyDescent="0.3">
      <c r="A3863" t="s">
        <v>552</v>
      </c>
      <c r="B3863" t="s">
        <v>678</v>
      </c>
      <c r="C3863" t="s">
        <v>108</v>
      </c>
      <c r="D3863" s="226">
        <v>0</v>
      </c>
      <c r="E3863" t="s">
        <v>678</v>
      </c>
    </row>
    <row r="3864" spans="1:5" hidden="1" x14ac:dyDescent="0.3">
      <c r="A3864" t="s">
        <v>552</v>
      </c>
      <c r="B3864" t="s">
        <v>678</v>
      </c>
      <c r="C3864" t="s">
        <v>109</v>
      </c>
      <c r="D3864" s="226">
        <v>0</v>
      </c>
      <c r="E3864" t="s">
        <v>678</v>
      </c>
    </row>
    <row r="3865" spans="1:5" hidden="1" x14ac:dyDescent="0.3">
      <c r="A3865" t="s">
        <v>552</v>
      </c>
      <c r="B3865" t="s">
        <v>678</v>
      </c>
      <c r="C3865" t="s">
        <v>110</v>
      </c>
      <c r="D3865" s="226">
        <v>-0.02</v>
      </c>
      <c r="E3865" t="s">
        <v>678</v>
      </c>
    </row>
    <row r="3866" spans="1:5" hidden="1" x14ac:dyDescent="0.3">
      <c r="A3866" t="s">
        <v>552</v>
      </c>
      <c r="B3866" t="s">
        <v>678</v>
      </c>
      <c r="C3866" t="s">
        <v>44</v>
      </c>
      <c r="D3866" s="226">
        <v>0</v>
      </c>
      <c r="E3866" t="s">
        <v>678</v>
      </c>
    </row>
    <row r="3867" spans="1:5" hidden="1" x14ac:dyDescent="0.3">
      <c r="A3867" t="s">
        <v>552</v>
      </c>
      <c r="B3867" t="s">
        <v>678</v>
      </c>
      <c r="C3867" t="s">
        <v>111</v>
      </c>
      <c r="D3867" s="226">
        <v>-1089553.21</v>
      </c>
      <c r="E3867" t="s">
        <v>678</v>
      </c>
    </row>
    <row r="3868" spans="1:5" hidden="1" x14ac:dyDescent="0.3">
      <c r="A3868" t="s">
        <v>552</v>
      </c>
      <c r="B3868" t="s">
        <v>678</v>
      </c>
      <c r="C3868" t="s">
        <v>555</v>
      </c>
      <c r="D3868" s="226">
        <v>-1089553.21</v>
      </c>
      <c r="E3868" t="s">
        <v>678</v>
      </c>
    </row>
    <row r="3869" spans="1:5" hidden="1" x14ac:dyDescent="0.3">
      <c r="A3869" t="s">
        <v>552</v>
      </c>
      <c r="B3869" t="s">
        <v>678</v>
      </c>
      <c r="C3869" t="s">
        <v>44</v>
      </c>
      <c r="D3869" s="226">
        <v>-7.0000000000000007E-2</v>
      </c>
      <c r="E3869" t="s">
        <v>678</v>
      </c>
    </row>
    <row r="3870" spans="1:5" hidden="1" x14ac:dyDescent="0.3">
      <c r="A3870" t="s">
        <v>552</v>
      </c>
      <c r="B3870" t="s">
        <v>678</v>
      </c>
      <c r="C3870" t="s">
        <v>115</v>
      </c>
      <c r="D3870" s="226">
        <v>-304122.09999999998</v>
      </c>
      <c r="E3870" t="s">
        <v>678</v>
      </c>
    </row>
    <row r="3871" spans="1:5" hidden="1" x14ac:dyDescent="0.3">
      <c r="A3871" t="s">
        <v>552</v>
      </c>
      <c r="B3871" t="s">
        <v>678</v>
      </c>
      <c r="C3871" t="s">
        <v>116</v>
      </c>
      <c r="D3871" s="226">
        <v>-249076.19</v>
      </c>
      <c r="E3871" t="s">
        <v>678</v>
      </c>
    </row>
    <row r="3872" spans="1:5" hidden="1" x14ac:dyDescent="0.3">
      <c r="A3872" t="s">
        <v>552</v>
      </c>
      <c r="B3872" t="s">
        <v>678</v>
      </c>
      <c r="C3872" t="s">
        <v>118</v>
      </c>
      <c r="D3872" s="226">
        <v>0</v>
      </c>
      <c r="E3872" t="s">
        <v>678</v>
      </c>
    </row>
    <row r="3873" spans="1:5" hidden="1" x14ac:dyDescent="0.3">
      <c r="A3873" t="s">
        <v>552</v>
      </c>
      <c r="B3873" t="s">
        <v>678</v>
      </c>
      <c r="C3873" t="s">
        <v>120</v>
      </c>
      <c r="D3873" s="226">
        <v>0</v>
      </c>
      <c r="E3873" t="s">
        <v>678</v>
      </c>
    </row>
    <row r="3874" spans="1:5" hidden="1" x14ac:dyDescent="0.3">
      <c r="A3874" t="s">
        <v>552</v>
      </c>
      <c r="B3874" t="s">
        <v>678</v>
      </c>
      <c r="C3874" t="s">
        <v>122</v>
      </c>
      <c r="D3874" s="226">
        <v>-55045.91</v>
      </c>
      <c r="E3874" t="s">
        <v>678</v>
      </c>
    </row>
    <row r="3875" spans="1:5" hidden="1" x14ac:dyDescent="0.3">
      <c r="A3875" t="s">
        <v>552</v>
      </c>
      <c r="B3875" t="s">
        <v>678</v>
      </c>
      <c r="C3875" t="s">
        <v>44</v>
      </c>
      <c r="D3875" s="226">
        <v>-0.02</v>
      </c>
      <c r="E3875" t="s">
        <v>678</v>
      </c>
    </row>
    <row r="3876" spans="1:5" hidden="1" x14ac:dyDescent="0.3">
      <c r="A3876" t="s">
        <v>552</v>
      </c>
      <c r="B3876" t="s">
        <v>678</v>
      </c>
      <c r="C3876" t="s">
        <v>125</v>
      </c>
      <c r="D3876" s="226">
        <v>9040855.5099999998</v>
      </c>
      <c r="E3876" t="s">
        <v>678</v>
      </c>
    </row>
    <row r="3877" spans="1:5" hidden="1" x14ac:dyDescent="0.3">
      <c r="A3877" t="s">
        <v>552</v>
      </c>
      <c r="B3877" t="s">
        <v>678</v>
      </c>
      <c r="C3877" t="s">
        <v>126</v>
      </c>
      <c r="D3877" s="226">
        <v>0.56999999999999995</v>
      </c>
      <c r="E3877" t="s">
        <v>678</v>
      </c>
    </row>
    <row r="3878" spans="1:5" hidden="1" x14ac:dyDescent="0.3">
      <c r="A3878" t="s">
        <v>552</v>
      </c>
      <c r="B3878" t="s">
        <v>678</v>
      </c>
      <c r="C3878" t="s">
        <v>127</v>
      </c>
      <c r="D3878" s="226">
        <v>-3441543.27</v>
      </c>
      <c r="E3878" t="s">
        <v>678</v>
      </c>
    </row>
    <row r="3879" spans="1:5" hidden="1" x14ac:dyDescent="0.3">
      <c r="A3879" t="s">
        <v>552</v>
      </c>
      <c r="B3879" t="s">
        <v>678</v>
      </c>
      <c r="C3879" t="s">
        <v>128</v>
      </c>
      <c r="D3879" s="226">
        <v>-545036.99</v>
      </c>
      <c r="E3879" t="s">
        <v>678</v>
      </c>
    </row>
    <row r="3880" spans="1:5" hidden="1" x14ac:dyDescent="0.3">
      <c r="A3880" t="s">
        <v>552</v>
      </c>
      <c r="B3880" t="s">
        <v>678</v>
      </c>
      <c r="C3880" t="s">
        <v>556</v>
      </c>
      <c r="D3880" s="226">
        <v>-129996.99</v>
      </c>
      <c r="E3880" t="s">
        <v>678</v>
      </c>
    </row>
    <row r="3881" spans="1:5" hidden="1" x14ac:dyDescent="0.3">
      <c r="A3881" t="s">
        <v>552</v>
      </c>
      <c r="B3881" t="s">
        <v>678</v>
      </c>
      <c r="C3881" t="s">
        <v>557</v>
      </c>
      <c r="D3881" s="226">
        <v>-69960</v>
      </c>
      <c r="E3881" t="s">
        <v>678</v>
      </c>
    </row>
    <row r="3882" spans="1:5" hidden="1" x14ac:dyDescent="0.3">
      <c r="A3882" t="s">
        <v>552</v>
      </c>
      <c r="B3882" t="s">
        <v>678</v>
      </c>
      <c r="C3882" t="s">
        <v>558</v>
      </c>
      <c r="D3882" s="226">
        <v>-5100</v>
      </c>
      <c r="E3882" t="s">
        <v>678</v>
      </c>
    </row>
    <row r="3883" spans="1:5" hidden="1" x14ac:dyDescent="0.3">
      <c r="A3883" t="s">
        <v>552</v>
      </c>
      <c r="B3883" t="s">
        <v>678</v>
      </c>
      <c r="C3883" t="s">
        <v>559</v>
      </c>
      <c r="D3883" s="226">
        <v>-175280</v>
      </c>
      <c r="E3883" t="s">
        <v>678</v>
      </c>
    </row>
    <row r="3884" spans="1:5" hidden="1" x14ac:dyDescent="0.3">
      <c r="A3884" t="s">
        <v>552</v>
      </c>
      <c r="B3884" t="s">
        <v>678</v>
      </c>
      <c r="C3884" t="s">
        <v>560</v>
      </c>
      <c r="D3884" s="226">
        <v>-30000</v>
      </c>
      <c r="E3884" t="s">
        <v>678</v>
      </c>
    </row>
    <row r="3885" spans="1:5" hidden="1" x14ac:dyDescent="0.3">
      <c r="A3885" t="s">
        <v>552</v>
      </c>
      <c r="B3885" t="s">
        <v>678</v>
      </c>
      <c r="C3885" t="s">
        <v>561</v>
      </c>
      <c r="D3885" s="226">
        <v>-84000</v>
      </c>
      <c r="E3885" t="s">
        <v>678</v>
      </c>
    </row>
    <row r="3886" spans="1:5" hidden="1" x14ac:dyDescent="0.3">
      <c r="A3886" t="s">
        <v>552</v>
      </c>
      <c r="B3886" t="s">
        <v>678</v>
      </c>
      <c r="C3886" t="s">
        <v>562</v>
      </c>
      <c r="D3886" s="226">
        <v>-48000</v>
      </c>
      <c r="E3886" t="s">
        <v>678</v>
      </c>
    </row>
    <row r="3887" spans="1:5" hidden="1" x14ac:dyDescent="0.3">
      <c r="A3887" t="s">
        <v>552</v>
      </c>
      <c r="B3887" t="s">
        <v>678</v>
      </c>
      <c r="C3887" t="s">
        <v>563</v>
      </c>
      <c r="D3887" s="226">
        <v>0</v>
      </c>
      <c r="E3887" t="s">
        <v>678</v>
      </c>
    </row>
    <row r="3888" spans="1:5" hidden="1" x14ac:dyDescent="0.3">
      <c r="A3888" t="s">
        <v>552</v>
      </c>
      <c r="B3888" t="s">
        <v>678</v>
      </c>
      <c r="C3888" t="s">
        <v>564</v>
      </c>
      <c r="D3888" s="226">
        <v>0</v>
      </c>
      <c r="E3888" t="s">
        <v>678</v>
      </c>
    </row>
    <row r="3889" spans="1:5" hidden="1" x14ac:dyDescent="0.3">
      <c r="A3889" t="s">
        <v>552</v>
      </c>
      <c r="B3889" t="s">
        <v>678</v>
      </c>
      <c r="C3889" t="s">
        <v>565</v>
      </c>
      <c r="D3889" s="226">
        <v>-2700</v>
      </c>
      <c r="E3889" t="s">
        <v>678</v>
      </c>
    </row>
    <row r="3890" spans="1:5" hidden="1" x14ac:dyDescent="0.3">
      <c r="A3890" t="s">
        <v>552</v>
      </c>
      <c r="B3890" t="s">
        <v>678</v>
      </c>
      <c r="C3890" t="s">
        <v>566</v>
      </c>
      <c r="D3890" s="226">
        <v>0</v>
      </c>
      <c r="E3890" t="s">
        <v>678</v>
      </c>
    </row>
    <row r="3891" spans="1:5" hidden="1" x14ac:dyDescent="0.3">
      <c r="A3891" t="s">
        <v>552</v>
      </c>
      <c r="B3891" t="s">
        <v>678</v>
      </c>
      <c r="C3891" t="s">
        <v>567</v>
      </c>
      <c r="D3891" s="226">
        <v>0</v>
      </c>
      <c r="E3891" t="s">
        <v>678</v>
      </c>
    </row>
    <row r="3892" spans="1:5" hidden="1" x14ac:dyDescent="0.3">
      <c r="A3892" t="s">
        <v>552</v>
      </c>
      <c r="B3892" t="s">
        <v>678</v>
      </c>
      <c r="C3892" t="s">
        <v>141</v>
      </c>
      <c r="D3892" s="226">
        <v>-835093.05</v>
      </c>
      <c r="E3892" t="s">
        <v>678</v>
      </c>
    </row>
    <row r="3893" spans="1:5" hidden="1" x14ac:dyDescent="0.3">
      <c r="A3893" t="s">
        <v>552</v>
      </c>
      <c r="B3893" t="s">
        <v>678</v>
      </c>
      <c r="C3893" t="s">
        <v>568</v>
      </c>
      <c r="D3893" s="226">
        <v>10788</v>
      </c>
      <c r="E3893" t="s">
        <v>678</v>
      </c>
    </row>
    <row r="3894" spans="1:5" hidden="1" x14ac:dyDescent="0.3">
      <c r="A3894" t="s">
        <v>552</v>
      </c>
      <c r="B3894" t="s">
        <v>678</v>
      </c>
      <c r="C3894" t="s">
        <v>569</v>
      </c>
      <c r="D3894" s="226">
        <v>6818.01</v>
      </c>
      <c r="E3894" t="s">
        <v>678</v>
      </c>
    </row>
    <row r="3895" spans="1:5" hidden="1" x14ac:dyDescent="0.3">
      <c r="A3895" t="s">
        <v>552</v>
      </c>
      <c r="B3895" t="s">
        <v>678</v>
      </c>
      <c r="C3895" t="s">
        <v>570</v>
      </c>
      <c r="D3895" s="226">
        <v>6794.01</v>
      </c>
      <c r="E3895" t="s">
        <v>678</v>
      </c>
    </row>
    <row r="3896" spans="1:5" hidden="1" x14ac:dyDescent="0.3">
      <c r="A3896" t="s">
        <v>552</v>
      </c>
      <c r="B3896" t="s">
        <v>678</v>
      </c>
      <c r="C3896" t="s">
        <v>571</v>
      </c>
      <c r="D3896" s="226">
        <v>6794.01</v>
      </c>
      <c r="E3896" t="s">
        <v>678</v>
      </c>
    </row>
    <row r="3897" spans="1:5" hidden="1" x14ac:dyDescent="0.3">
      <c r="A3897" t="s">
        <v>552</v>
      </c>
      <c r="B3897" t="s">
        <v>678</v>
      </c>
      <c r="C3897" t="s">
        <v>572</v>
      </c>
      <c r="D3897" s="226">
        <v>0</v>
      </c>
      <c r="E3897" t="s">
        <v>678</v>
      </c>
    </row>
    <row r="3898" spans="1:5" hidden="1" x14ac:dyDescent="0.3">
      <c r="A3898" t="s">
        <v>552</v>
      </c>
      <c r="B3898" t="s">
        <v>678</v>
      </c>
      <c r="C3898" t="s">
        <v>573</v>
      </c>
      <c r="D3898" s="226">
        <v>5502.09</v>
      </c>
      <c r="E3898" t="s">
        <v>678</v>
      </c>
    </row>
    <row r="3899" spans="1:5" hidden="1" x14ac:dyDescent="0.3">
      <c r="A3899" t="s">
        <v>552</v>
      </c>
      <c r="B3899" t="s">
        <v>678</v>
      </c>
      <c r="C3899" t="s">
        <v>574</v>
      </c>
      <c r="D3899" s="226">
        <v>0</v>
      </c>
      <c r="E3899" t="s">
        <v>678</v>
      </c>
    </row>
    <row r="3900" spans="1:5" hidden="1" x14ac:dyDescent="0.3">
      <c r="A3900" t="s">
        <v>552</v>
      </c>
      <c r="B3900" t="s">
        <v>678</v>
      </c>
      <c r="C3900" t="s">
        <v>575</v>
      </c>
      <c r="D3900" s="226">
        <v>0</v>
      </c>
      <c r="E3900" t="s">
        <v>678</v>
      </c>
    </row>
    <row r="3901" spans="1:5" hidden="1" x14ac:dyDescent="0.3">
      <c r="A3901" t="s">
        <v>552</v>
      </c>
      <c r="B3901" t="s">
        <v>678</v>
      </c>
      <c r="C3901" t="s">
        <v>576</v>
      </c>
      <c r="D3901" s="226">
        <v>8002.56</v>
      </c>
      <c r="E3901" t="s">
        <v>678</v>
      </c>
    </row>
    <row r="3902" spans="1:5" hidden="1" x14ac:dyDescent="0.3">
      <c r="A3902" t="s">
        <v>552</v>
      </c>
      <c r="B3902" t="s">
        <v>678</v>
      </c>
      <c r="C3902" t="s">
        <v>577</v>
      </c>
      <c r="D3902" s="226">
        <v>6057.81</v>
      </c>
      <c r="E3902" t="s">
        <v>678</v>
      </c>
    </row>
    <row r="3903" spans="1:5" hidden="1" x14ac:dyDescent="0.3">
      <c r="A3903" t="s">
        <v>552</v>
      </c>
      <c r="B3903" t="s">
        <v>678</v>
      </c>
      <c r="C3903" t="s">
        <v>578</v>
      </c>
      <c r="D3903" s="226">
        <v>5502.09</v>
      </c>
      <c r="E3903" t="s">
        <v>678</v>
      </c>
    </row>
    <row r="3904" spans="1:5" hidden="1" x14ac:dyDescent="0.3">
      <c r="A3904" t="s">
        <v>552</v>
      </c>
      <c r="B3904" t="s">
        <v>678</v>
      </c>
      <c r="C3904" t="s">
        <v>579</v>
      </c>
      <c r="D3904" s="226">
        <v>0</v>
      </c>
      <c r="E3904" t="s">
        <v>678</v>
      </c>
    </row>
    <row r="3905" spans="1:5" hidden="1" x14ac:dyDescent="0.3">
      <c r="A3905" t="s">
        <v>552</v>
      </c>
      <c r="B3905" t="s">
        <v>678</v>
      </c>
      <c r="C3905" t="s">
        <v>580</v>
      </c>
      <c r="D3905" s="226">
        <v>0</v>
      </c>
      <c r="E3905" t="s">
        <v>678</v>
      </c>
    </row>
    <row r="3906" spans="1:5" hidden="1" x14ac:dyDescent="0.3">
      <c r="A3906" t="s">
        <v>552</v>
      </c>
      <c r="B3906" t="s">
        <v>678</v>
      </c>
      <c r="C3906" t="s">
        <v>581</v>
      </c>
      <c r="D3906" s="226">
        <v>0</v>
      </c>
      <c r="E3906" t="s">
        <v>678</v>
      </c>
    </row>
    <row r="3907" spans="1:5" hidden="1" x14ac:dyDescent="0.3">
      <c r="A3907" t="s">
        <v>552</v>
      </c>
      <c r="B3907" t="s">
        <v>678</v>
      </c>
      <c r="C3907" t="s">
        <v>582</v>
      </c>
      <c r="D3907" s="226">
        <v>0</v>
      </c>
      <c r="E3907" t="s">
        <v>678</v>
      </c>
    </row>
    <row r="3908" spans="1:5" hidden="1" x14ac:dyDescent="0.3">
      <c r="A3908" t="s">
        <v>552</v>
      </c>
      <c r="B3908" t="s">
        <v>678</v>
      </c>
      <c r="C3908" t="s">
        <v>583</v>
      </c>
      <c r="D3908" s="226">
        <v>0</v>
      </c>
      <c r="E3908" t="s">
        <v>678</v>
      </c>
    </row>
    <row r="3909" spans="1:5" hidden="1" x14ac:dyDescent="0.3">
      <c r="A3909" t="s">
        <v>552</v>
      </c>
      <c r="B3909" t="s">
        <v>678</v>
      </c>
      <c r="C3909" t="s">
        <v>584</v>
      </c>
      <c r="D3909" s="226">
        <v>0</v>
      </c>
      <c r="E3909" t="s">
        <v>678</v>
      </c>
    </row>
    <row r="3910" spans="1:5" hidden="1" x14ac:dyDescent="0.3">
      <c r="A3910" t="s">
        <v>552</v>
      </c>
      <c r="B3910" t="s">
        <v>678</v>
      </c>
      <c r="C3910" t="s">
        <v>585</v>
      </c>
      <c r="D3910" s="226">
        <v>0</v>
      </c>
      <c r="E3910" t="s">
        <v>678</v>
      </c>
    </row>
    <row r="3911" spans="1:5" hidden="1" x14ac:dyDescent="0.3">
      <c r="A3911" t="s">
        <v>552</v>
      </c>
      <c r="B3911" t="s">
        <v>678</v>
      </c>
      <c r="C3911" t="s">
        <v>586</v>
      </c>
      <c r="D3911" s="226">
        <v>10509</v>
      </c>
      <c r="E3911" t="s">
        <v>678</v>
      </c>
    </row>
    <row r="3912" spans="1:5" hidden="1" x14ac:dyDescent="0.3">
      <c r="A3912" t="s">
        <v>552</v>
      </c>
      <c r="B3912" t="s">
        <v>678</v>
      </c>
      <c r="C3912" t="s">
        <v>587</v>
      </c>
      <c r="D3912" s="226">
        <v>8008.75</v>
      </c>
      <c r="E3912" t="s">
        <v>678</v>
      </c>
    </row>
    <row r="3913" spans="1:5" hidden="1" x14ac:dyDescent="0.3">
      <c r="A3913" t="s">
        <v>552</v>
      </c>
      <c r="B3913" t="s">
        <v>678</v>
      </c>
      <c r="C3913" t="s">
        <v>588</v>
      </c>
      <c r="D3913" s="226">
        <v>6962.3</v>
      </c>
      <c r="E3913" t="s">
        <v>678</v>
      </c>
    </row>
    <row r="3914" spans="1:5" hidden="1" x14ac:dyDescent="0.3">
      <c r="A3914" t="s">
        <v>552</v>
      </c>
      <c r="B3914" t="s">
        <v>678</v>
      </c>
      <c r="C3914" t="s">
        <v>589</v>
      </c>
      <c r="D3914" s="226">
        <v>6060.81</v>
      </c>
      <c r="E3914" t="s">
        <v>678</v>
      </c>
    </row>
    <row r="3915" spans="1:5" hidden="1" x14ac:dyDescent="0.3">
      <c r="A3915" t="s">
        <v>552</v>
      </c>
      <c r="B3915" t="s">
        <v>678</v>
      </c>
      <c r="C3915" t="s">
        <v>590</v>
      </c>
      <c r="D3915" s="226">
        <v>5502.09</v>
      </c>
      <c r="E3915" t="s">
        <v>678</v>
      </c>
    </row>
    <row r="3916" spans="1:5" hidden="1" x14ac:dyDescent="0.3">
      <c r="A3916" t="s">
        <v>552</v>
      </c>
      <c r="B3916" t="s">
        <v>678</v>
      </c>
      <c r="C3916" t="s">
        <v>591</v>
      </c>
      <c r="D3916" s="226">
        <v>0</v>
      </c>
      <c r="E3916" t="s">
        <v>678</v>
      </c>
    </row>
    <row r="3917" spans="1:5" hidden="1" x14ac:dyDescent="0.3">
      <c r="A3917" t="s">
        <v>552</v>
      </c>
      <c r="B3917" t="s">
        <v>678</v>
      </c>
      <c r="C3917" t="s">
        <v>592</v>
      </c>
      <c r="D3917" s="226">
        <v>5502.09</v>
      </c>
      <c r="E3917" t="s">
        <v>678</v>
      </c>
    </row>
    <row r="3918" spans="1:5" hidden="1" x14ac:dyDescent="0.3">
      <c r="A3918" t="s">
        <v>552</v>
      </c>
      <c r="B3918" t="s">
        <v>678</v>
      </c>
      <c r="C3918" t="s">
        <v>593</v>
      </c>
      <c r="D3918" s="226">
        <v>0</v>
      </c>
      <c r="E3918" t="s">
        <v>678</v>
      </c>
    </row>
    <row r="3919" spans="1:5" hidden="1" x14ac:dyDescent="0.3">
      <c r="A3919" t="s">
        <v>552</v>
      </c>
      <c r="B3919" t="s">
        <v>678</v>
      </c>
      <c r="C3919" t="s">
        <v>594</v>
      </c>
      <c r="D3919" s="226">
        <v>0</v>
      </c>
      <c r="E3919" t="s">
        <v>678</v>
      </c>
    </row>
    <row r="3920" spans="1:5" hidden="1" x14ac:dyDescent="0.3">
      <c r="A3920" t="s">
        <v>552</v>
      </c>
      <c r="B3920" t="s">
        <v>678</v>
      </c>
      <c r="C3920" t="s">
        <v>595</v>
      </c>
      <c r="D3920" s="226">
        <v>0</v>
      </c>
      <c r="E3920" t="s">
        <v>678</v>
      </c>
    </row>
    <row r="3921" spans="1:5" hidden="1" x14ac:dyDescent="0.3">
      <c r="A3921" t="s">
        <v>552</v>
      </c>
      <c r="B3921" t="s">
        <v>678</v>
      </c>
      <c r="C3921" t="s">
        <v>596</v>
      </c>
      <c r="D3921" s="226">
        <v>0</v>
      </c>
      <c r="E3921" t="s">
        <v>678</v>
      </c>
    </row>
    <row r="3922" spans="1:5" hidden="1" x14ac:dyDescent="0.3">
      <c r="A3922" t="s">
        <v>552</v>
      </c>
      <c r="B3922" t="s">
        <v>678</v>
      </c>
      <c r="C3922" t="s">
        <v>597</v>
      </c>
      <c r="D3922" s="226">
        <v>0</v>
      </c>
      <c r="E3922" t="s">
        <v>678</v>
      </c>
    </row>
    <row r="3923" spans="1:5" hidden="1" x14ac:dyDescent="0.3">
      <c r="A3923" t="s">
        <v>552</v>
      </c>
      <c r="B3923" t="s">
        <v>678</v>
      </c>
      <c r="C3923" t="s">
        <v>598</v>
      </c>
      <c r="D3923" s="226">
        <v>0</v>
      </c>
      <c r="E3923" t="s">
        <v>678</v>
      </c>
    </row>
    <row r="3924" spans="1:5" hidden="1" x14ac:dyDescent="0.3">
      <c r="A3924" t="s">
        <v>552</v>
      </c>
      <c r="B3924" t="s">
        <v>678</v>
      </c>
      <c r="C3924" t="s">
        <v>599</v>
      </c>
      <c r="D3924" s="226">
        <v>0</v>
      </c>
      <c r="E3924" t="s">
        <v>678</v>
      </c>
    </row>
    <row r="3925" spans="1:5" hidden="1" x14ac:dyDescent="0.3">
      <c r="A3925" t="s">
        <v>552</v>
      </c>
      <c r="B3925" t="s">
        <v>678</v>
      </c>
      <c r="C3925" t="s">
        <v>600</v>
      </c>
      <c r="D3925" s="226">
        <v>0</v>
      </c>
      <c r="E3925" t="s">
        <v>678</v>
      </c>
    </row>
    <row r="3926" spans="1:5" hidden="1" x14ac:dyDescent="0.3">
      <c r="A3926" t="s">
        <v>552</v>
      </c>
      <c r="B3926" t="s">
        <v>678</v>
      </c>
      <c r="C3926" t="s">
        <v>601</v>
      </c>
      <c r="D3926" s="226">
        <v>0</v>
      </c>
      <c r="E3926" t="s">
        <v>678</v>
      </c>
    </row>
    <row r="3927" spans="1:5" hidden="1" x14ac:dyDescent="0.3">
      <c r="A3927" t="s">
        <v>552</v>
      </c>
      <c r="B3927" t="s">
        <v>678</v>
      </c>
      <c r="C3927" t="s">
        <v>602</v>
      </c>
      <c r="D3927" s="226">
        <v>0</v>
      </c>
      <c r="E3927" t="s">
        <v>678</v>
      </c>
    </row>
    <row r="3928" spans="1:5" hidden="1" x14ac:dyDescent="0.3">
      <c r="A3928" t="s">
        <v>552</v>
      </c>
      <c r="B3928" t="s">
        <v>678</v>
      </c>
      <c r="C3928" t="s">
        <v>603</v>
      </c>
      <c r="D3928" s="226">
        <v>0</v>
      </c>
      <c r="E3928" t="s">
        <v>678</v>
      </c>
    </row>
    <row r="3929" spans="1:5" hidden="1" x14ac:dyDescent="0.3">
      <c r="A3929" t="s">
        <v>552</v>
      </c>
      <c r="B3929" t="s">
        <v>678</v>
      </c>
      <c r="C3929" t="s">
        <v>604</v>
      </c>
      <c r="D3929" s="226">
        <v>5505.09</v>
      </c>
      <c r="E3929" t="s">
        <v>678</v>
      </c>
    </row>
    <row r="3930" spans="1:5" hidden="1" x14ac:dyDescent="0.3">
      <c r="A3930" t="s">
        <v>552</v>
      </c>
      <c r="B3930" t="s">
        <v>678</v>
      </c>
      <c r="C3930" t="s">
        <v>605</v>
      </c>
      <c r="D3930" s="226">
        <v>0</v>
      </c>
      <c r="E3930" t="s">
        <v>678</v>
      </c>
    </row>
    <row r="3931" spans="1:5" hidden="1" x14ac:dyDescent="0.3">
      <c r="A3931" t="s">
        <v>552</v>
      </c>
      <c r="B3931" t="s">
        <v>678</v>
      </c>
      <c r="C3931" t="s">
        <v>606</v>
      </c>
      <c r="D3931" s="226">
        <v>0</v>
      </c>
      <c r="E3931" t="s">
        <v>678</v>
      </c>
    </row>
    <row r="3932" spans="1:5" hidden="1" x14ac:dyDescent="0.3">
      <c r="A3932" t="s">
        <v>552</v>
      </c>
      <c r="B3932" t="s">
        <v>678</v>
      </c>
      <c r="C3932" t="s">
        <v>607</v>
      </c>
      <c r="D3932" s="226">
        <v>0</v>
      </c>
      <c r="E3932" t="s">
        <v>678</v>
      </c>
    </row>
    <row r="3933" spans="1:5" hidden="1" x14ac:dyDescent="0.3">
      <c r="A3933" t="s">
        <v>552</v>
      </c>
      <c r="B3933" t="s">
        <v>678</v>
      </c>
      <c r="C3933" t="s">
        <v>608</v>
      </c>
      <c r="D3933" s="226">
        <v>0</v>
      </c>
      <c r="E3933" t="s">
        <v>678</v>
      </c>
    </row>
    <row r="3934" spans="1:5" hidden="1" x14ac:dyDescent="0.3">
      <c r="A3934" t="s">
        <v>552</v>
      </c>
      <c r="B3934" t="s">
        <v>678</v>
      </c>
      <c r="C3934" t="s">
        <v>609</v>
      </c>
      <c r="D3934" s="226">
        <v>0</v>
      </c>
      <c r="E3934" t="s">
        <v>678</v>
      </c>
    </row>
    <row r="3935" spans="1:5" hidden="1" x14ac:dyDescent="0.3">
      <c r="A3935" t="s">
        <v>552</v>
      </c>
      <c r="B3935" t="s">
        <v>678</v>
      </c>
      <c r="C3935" t="s">
        <v>610</v>
      </c>
      <c r="D3935" s="226">
        <v>0</v>
      </c>
      <c r="E3935" t="s">
        <v>678</v>
      </c>
    </row>
    <row r="3936" spans="1:5" hidden="1" x14ac:dyDescent="0.3">
      <c r="A3936" t="s">
        <v>552</v>
      </c>
      <c r="B3936" t="s">
        <v>678</v>
      </c>
      <c r="C3936" t="s">
        <v>611</v>
      </c>
      <c r="D3936" s="226">
        <v>0</v>
      </c>
      <c r="E3936" t="s">
        <v>678</v>
      </c>
    </row>
    <row r="3937" spans="1:5" hidden="1" x14ac:dyDescent="0.3">
      <c r="A3937" t="s">
        <v>552</v>
      </c>
      <c r="B3937" t="s">
        <v>678</v>
      </c>
      <c r="C3937" t="s">
        <v>612</v>
      </c>
      <c r="D3937" s="226">
        <v>0</v>
      </c>
      <c r="E3937" t="s">
        <v>678</v>
      </c>
    </row>
    <row r="3938" spans="1:5" hidden="1" x14ac:dyDescent="0.3">
      <c r="A3938" t="s">
        <v>552</v>
      </c>
      <c r="B3938" t="s">
        <v>678</v>
      </c>
      <c r="C3938" t="s">
        <v>613</v>
      </c>
      <c r="D3938" s="226">
        <v>0</v>
      </c>
      <c r="E3938" t="s">
        <v>678</v>
      </c>
    </row>
    <row r="3939" spans="1:5" hidden="1" x14ac:dyDescent="0.3">
      <c r="A3939" t="s">
        <v>552</v>
      </c>
      <c r="B3939" t="s">
        <v>678</v>
      </c>
      <c r="C3939" t="s">
        <v>614</v>
      </c>
      <c r="D3939" s="226">
        <v>0</v>
      </c>
      <c r="E3939" t="s">
        <v>678</v>
      </c>
    </row>
    <row r="3940" spans="1:5" hidden="1" x14ac:dyDescent="0.3">
      <c r="A3940" t="s">
        <v>552</v>
      </c>
      <c r="B3940" t="s">
        <v>678</v>
      </c>
      <c r="C3940" t="s">
        <v>615</v>
      </c>
      <c r="D3940" s="226">
        <v>0</v>
      </c>
      <c r="E3940" t="s">
        <v>678</v>
      </c>
    </row>
    <row r="3941" spans="1:5" hidden="1" x14ac:dyDescent="0.3">
      <c r="A3941" t="s">
        <v>552</v>
      </c>
      <c r="B3941" t="s">
        <v>678</v>
      </c>
      <c r="C3941" t="s">
        <v>616</v>
      </c>
      <c r="D3941" s="226">
        <v>0</v>
      </c>
      <c r="E3941" t="s">
        <v>678</v>
      </c>
    </row>
    <row r="3942" spans="1:5" hidden="1" x14ac:dyDescent="0.3">
      <c r="A3942" t="s">
        <v>552</v>
      </c>
      <c r="B3942" t="s">
        <v>678</v>
      </c>
      <c r="C3942" t="s">
        <v>617</v>
      </c>
      <c r="D3942" s="226">
        <v>0</v>
      </c>
      <c r="E3942" t="s">
        <v>678</v>
      </c>
    </row>
    <row r="3943" spans="1:5" hidden="1" x14ac:dyDescent="0.3">
      <c r="A3943" t="s">
        <v>552</v>
      </c>
      <c r="B3943" t="s">
        <v>678</v>
      </c>
      <c r="C3943" t="s">
        <v>618</v>
      </c>
      <c r="D3943" s="226">
        <v>0</v>
      </c>
      <c r="E3943" t="s">
        <v>678</v>
      </c>
    </row>
    <row r="3944" spans="1:5" hidden="1" x14ac:dyDescent="0.3">
      <c r="A3944" t="s">
        <v>552</v>
      </c>
      <c r="B3944" t="s">
        <v>678</v>
      </c>
      <c r="C3944" t="s">
        <v>619</v>
      </c>
      <c r="D3944" s="226">
        <v>6956.3</v>
      </c>
      <c r="E3944" t="s">
        <v>678</v>
      </c>
    </row>
    <row r="3945" spans="1:5" hidden="1" x14ac:dyDescent="0.3">
      <c r="A3945" t="s">
        <v>552</v>
      </c>
      <c r="B3945" t="s">
        <v>678</v>
      </c>
      <c r="C3945" t="s">
        <v>620</v>
      </c>
      <c r="D3945" s="226">
        <v>0</v>
      </c>
      <c r="E3945" t="s">
        <v>678</v>
      </c>
    </row>
    <row r="3946" spans="1:5" hidden="1" x14ac:dyDescent="0.3">
      <c r="A3946" t="s">
        <v>552</v>
      </c>
      <c r="B3946" t="s">
        <v>678</v>
      </c>
      <c r="C3946" t="s">
        <v>621</v>
      </c>
      <c r="D3946" s="226">
        <v>0</v>
      </c>
      <c r="E3946" t="s">
        <v>678</v>
      </c>
    </row>
    <row r="3947" spans="1:5" hidden="1" x14ac:dyDescent="0.3">
      <c r="A3947" t="s">
        <v>552</v>
      </c>
      <c r="B3947" t="s">
        <v>678</v>
      </c>
      <c r="C3947" t="s">
        <v>622</v>
      </c>
      <c r="D3947" s="226">
        <v>0</v>
      </c>
      <c r="E3947" t="s">
        <v>678</v>
      </c>
    </row>
    <row r="3948" spans="1:5" hidden="1" x14ac:dyDescent="0.3">
      <c r="A3948" t="s">
        <v>552</v>
      </c>
      <c r="B3948" t="s">
        <v>678</v>
      </c>
      <c r="C3948" t="s">
        <v>623</v>
      </c>
      <c r="D3948" s="226">
        <v>5722.47</v>
      </c>
      <c r="E3948" t="s">
        <v>678</v>
      </c>
    </row>
    <row r="3949" spans="1:5" hidden="1" x14ac:dyDescent="0.3">
      <c r="A3949" t="s">
        <v>552</v>
      </c>
      <c r="B3949" t="s">
        <v>678</v>
      </c>
      <c r="C3949" t="s">
        <v>624</v>
      </c>
      <c r="D3949" s="226">
        <v>0</v>
      </c>
      <c r="E3949" t="s">
        <v>678</v>
      </c>
    </row>
    <row r="3950" spans="1:5" hidden="1" x14ac:dyDescent="0.3">
      <c r="A3950" t="s">
        <v>552</v>
      </c>
      <c r="B3950" t="s">
        <v>678</v>
      </c>
      <c r="C3950" t="s">
        <v>200</v>
      </c>
      <c r="D3950" s="226">
        <v>-974167.43</v>
      </c>
      <c r="E3950" t="s">
        <v>678</v>
      </c>
    </row>
    <row r="3951" spans="1:5" hidden="1" x14ac:dyDescent="0.3">
      <c r="A3951" t="s">
        <v>552</v>
      </c>
      <c r="B3951" t="s">
        <v>678</v>
      </c>
      <c r="C3951" t="s">
        <v>202</v>
      </c>
      <c r="D3951" s="226">
        <v>-974167.43</v>
      </c>
      <c r="E3951" t="s">
        <v>678</v>
      </c>
    </row>
    <row r="3952" spans="1:5" hidden="1" x14ac:dyDescent="0.3">
      <c r="A3952" t="s">
        <v>552</v>
      </c>
      <c r="B3952" t="s">
        <v>678</v>
      </c>
      <c r="C3952" t="s">
        <v>625</v>
      </c>
      <c r="D3952" s="226">
        <v>487083.72</v>
      </c>
      <c r="E3952" t="s">
        <v>678</v>
      </c>
    </row>
    <row r="3953" spans="1:5" hidden="1" x14ac:dyDescent="0.3">
      <c r="A3953" t="s">
        <v>552</v>
      </c>
      <c r="B3953" t="s">
        <v>678</v>
      </c>
      <c r="C3953" t="s">
        <v>204</v>
      </c>
      <c r="D3953" s="226">
        <v>-632309.88</v>
      </c>
      <c r="E3953" t="s">
        <v>678</v>
      </c>
    </row>
    <row r="3954" spans="1:5" hidden="1" x14ac:dyDescent="0.3">
      <c r="A3954" t="s">
        <v>552</v>
      </c>
      <c r="B3954" t="s">
        <v>678</v>
      </c>
      <c r="C3954" t="s">
        <v>626</v>
      </c>
      <c r="D3954" s="226">
        <v>-104755.18</v>
      </c>
      <c r="E3954" t="s">
        <v>678</v>
      </c>
    </row>
    <row r="3955" spans="1:5" hidden="1" x14ac:dyDescent="0.3">
      <c r="A3955" t="s">
        <v>552</v>
      </c>
      <c r="B3955" t="s">
        <v>678</v>
      </c>
      <c r="C3955" t="s">
        <v>627</v>
      </c>
      <c r="D3955" s="226">
        <v>-85872.19</v>
      </c>
      <c r="E3955" t="s">
        <v>678</v>
      </c>
    </row>
    <row r="3956" spans="1:5" hidden="1" x14ac:dyDescent="0.3">
      <c r="A3956" t="s">
        <v>552</v>
      </c>
      <c r="B3956" t="s">
        <v>678</v>
      </c>
      <c r="C3956" t="s">
        <v>628</v>
      </c>
      <c r="D3956" s="226">
        <v>0</v>
      </c>
      <c r="E3956" t="s">
        <v>678</v>
      </c>
    </row>
    <row r="3957" spans="1:5" hidden="1" x14ac:dyDescent="0.3">
      <c r="A3957" t="s">
        <v>552</v>
      </c>
      <c r="B3957" t="s">
        <v>678</v>
      </c>
      <c r="C3957" t="s">
        <v>629</v>
      </c>
      <c r="D3957" s="226">
        <v>-135356.69</v>
      </c>
      <c r="E3957" t="s">
        <v>678</v>
      </c>
    </row>
    <row r="3958" spans="1:5" hidden="1" x14ac:dyDescent="0.3">
      <c r="A3958" t="s">
        <v>552</v>
      </c>
      <c r="B3958" t="s">
        <v>678</v>
      </c>
      <c r="C3958" t="s">
        <v>630</v>
      </c>
      <c r="D3958" s="226">
        <v>-32791.410000000003</v>
      </c>
      <c r="E3958" t="s">
        <v>678</v>
      </c>
    </row>
    <row r="3959" spans="1:5" hidden="1" x14ac:dyDescent="0.3">
      <c r="A3959" t="s">
        <v>552</v>
      </c>
      <c r="B3959" t="s">
        <v>678</v>
      </c>
      <c r="C3959" t="s">
        <v>631</v>
      </c>
      <c r="D3959" s="226">
        <v>-45605.79</v>
      </c>
      <c r="E3959" t="s">
        <v>678</v>
      </c>
    </row>
    <row r="3960" spans="1:5" hidden="1" x14ac:dyDescent="0.3">
      <c r="A3960" t="s">
        <v>552</v>
      </c>
      <c r="B3960" t="s">
        <v>678</v>
      </c>
      <c r="C3960" t="s">
        <v>632</v>
      </c>
      <c r="D3960" s="226">
        <v>-13633.05</v>
      </c>
      <c r="E3960" t="s">
        <v>678</v>
      </c>
    </row>
    <row r="3961" spans="1:5" hidden="1" x14ac:dyDescent="0.3">
      <c r="A3961" t="s">
        <v>552</v>
      </c>
      <c r="B3961" t="s">
        <v>678</v>
      </c>
      <c r="C3961" t="s">
        <v>633</v>
      </c>
      <c r="D3961" s="226">
        <v>0</v>
      </c>
      <c r="E3961" t="s">
        <v>678</v>
      </c>
    </row>
    <row r="3962" spans="1:5" hidden="1" x14ac:dyDescent="0.3">
      <c r="A3962" t="s">
        <v>552</v>
      </c>
      <c r="B3962" t="s">
        <v>678</v>
      </c>
      <c r="C3962" t="s">
        <v>634</v>
      </c>
      <c r="D3962" s="226">
        <v>0</v>
      </c>
      <c r="E3962" t="s">
        <v>678</v>
      </c>
    </row>
    <row r="3963" spans="1:5" hidden="1" x14ac:dyDescent="0.3">
      <c r="A3963" t="s">
        <v>552</v>
      </c>
      <c r="B3963" t="s">
        <v>678</v>
      </c>
      <c r="C3963" t="s">
        <v>635</v>
      </c>
      <c r="D3963" s="226">
        <v>0</v>
      </c>
      <c r="E3963" t="s">
        <v>678</v>
      </c>
    </row>
    <row r="3964" spans="1:5" hidden="1" x14ac:dyDescent="0.3">
      <c r="A3964" t="s">
        <v>552</v>
      </c>
      <c r="B3964" t="s">
        <v>678</v>
      </c>
      <c r="C3964" t="s">
        <v>636</v>
      </c>
      <c r="D3964" s="226">
        <v>-7083.78</v>
      </c>
      <c r="E3964" t="s">
        <v>678</v>
      </c>
    </row>
    <row r="3965" spans="1:5" hidden="1" x14ac:dyDescent="0.3">
      <c r="A3965" t="s">
        <v>552</v>
      </c>
      <c r="B3965" t="s">
        <v>678</v>
      </c>
      <c r="C3965" t="s">
        <v>637</v>
      </c>
      <c r="D3965" s="226">
        <v>-163500</v>
      </c>
      <c r="E3965" t="s">
        <v>678</v>
      </c>
    </row>
    <row r="3966" spans="1:5" hidden="1" x14ac:dyDescent="0.3">
      <c r="A3966" t="s">
        <v>552</v>
      </c>
      <c r="B3966" t="s">
        <v>678</v>
      </c>
      <c r="C3966" t="s">
        <v>638</v>
      </c>
      <c r="D3966" s="226">
        <v>0</v>
      </c>
      <c r="E3966" t="s">
        <v>678</v>
      </c>
    </row>
    <row r="3967" spans="1:5" hidden="1" x14ac:dyDescent="0.3">
      <c r="A3967" t="s">
        <v>552</v>
      </c>
      <c r="B3967" t="s">
        <v>678</v>
      </c>
      <c r="C3967" t="s">
        <v>639</v>
      </c>
      <c r="D3967" s="226">
        <v>-43711.8</v>
      </c>
      <c r="E3967" t="s">
        <v>678</v>
      </c>
    </row>
    <row r="3968" spans="1:5" hidden="1" x14ac:dyDescent="0.3">
      <c r="A3968" t="s">
        <v>552</v>
      </c>
      <c r="B3968" t="s">
        <v>678</v>
      </c>
      <c r="C3968" t="s">
        <v>640</v>
      </c>
      <c r="D3968" s="226">
        <v>0</v>
      </c>
      <c r="E3968" t="s">
        <v>678</v>
      </c>
    </row>
    <row r="3969" spans="1:5" hidden="1" x14ac:dyDescent="0.3">
      <c r="A3969" t="s">
        <v>552</v>
      </c>
      <c r="B3969" t="s">
        <v>678</v>
      </c>
      <c r="C3969" t="s">
        <v>641</v>
      </c>
      <c r="D3969" s="226">
        <v>0</v>
      </c>
      <c r="E3969" t="s">
        <v>678</v>
      </c>
    </row>
    <row r="3970" spans="1:5" hidden="1" x14ac:dyDescent="0.3">
      <c r="A3970" t="s">
        <v>552</v>
      </c>
      <c r="B3970" t="s">
        <v>678</v>
      </c>
      <c r="C3970" t="s">
        <v>237</v>
      </c>
      <c r="D3970" s="226">
        <v>-114309.28</v>
      </c>
      <c r="E3970" t="s">
        <v>678</v>
      </c>
    </row>
    <row r="3971" spans="1:5" hidden="1" x14ac:dyDescent="0.3">
      <c r="A3971" t="s">
        <v>552</v>
      </c>
      <c r="B3971" t="s">
        <v>678</v>
      </c>
      <c r="C3971" t="s">
        <v>642</v>
      </c>
      <c r="D3971" s="226">
        <v>-113525.9</v>
      </c>
      <c r="E3971" t="s">
        <v>678</v>
      </c>
    </row>
    <row r="3972" spans="1:5" hidden="1" x14ac:dyDescent="0.3">
      <c r="A3972" t="s">
        <v>552</v>
      </c>
      <c r="B3972" t="s">
        <v>678</v>
      </c>
      <c r="C3972" t="s">
        <v>643</v>
      </c>
      <c r="D3972" s="226">
        <v>0</v>
      </c>
      <c r="E3972" t="s">
        <v>678</v>
      </c>
    </row>
    <row r="3973" spans="1:5" hidden="1" x14ac:dyDescent="0.3">
      <c r="A3973" t="s">
        <v>552</v>
      </c>
      <c r="B3973" t="s">
        <v>678</v>
      </c>
      <c r="C3973" t="s">
        <v>644</v>
      </c>
      <c r="D3973" s="226">
        <v>0</v>
      </c>
      <c r="E3973" t="s">
        <v>678</v>
      </c>
    </row>
    <row r="3974" spans="1:5" hidden="1" x14ac:dyDescent="0.3">
      <c r="A3974" t="s">
        <v>552</v>
      </c>
      <c r="B3974" t="s">
        <v>678</v>
      </c>
      <c r="C3974" t="s">
        <v>645</v>
      </c>
      <c r="D3974" s="226">
        <v>-783.38</v>
      </c>
      <c r="E3974" t="s">
        <v>678</v>
      </c>
    </row>
    <row r="3975" spans="1:5" hidden="1" x14ac:dyDescent="0.3">
      <c r="A3975" t="s">
        <v>552</v>
      </c>
      <c r="B3975" t="s">
        <v>678</v>
      </c>
      <c r="C3975" t="s">
        <v>646</v>
      </c>
      <c r="D3975" s="226">
        <v>0</v>
      </c>
      <c r="E3975" t="s">
        <v>678</v>
      </c>
    </row>
    <row r="3976" spans="1:5" hidden="1" x14ac:dyDescent="0.3">
      <c r="A3976" t="s">
        <v>552</v>
      </c>
      <c r="B3976" t="s">
        <v>678</v>
      </c>
      <c r="C3976" t="s">
        <v>244</v>
      </c>
      <c r="D3976" s="226">
        <v>-340626.63</v>
      </c>
      <c r="E3976" t="s">
        <v>678</v>
      </c>
    </row>
    <row r="3977" spans="1:5" hidden="1" x14ac:dyDescent="0.3">
      <c r="A3977" t="s">
        <v>552</v>
      </c>
      <c r="B3977" t="s">
        <v>678</v>
      </c>
      <c r="C3977" t="s">
        <v>647</v>
      </c>
      <c r="D3977" s="226">
        <v>-7206.73</v>
      </c>
      <c r="E3977" t="s">
        <v>678</v>
      </c>
    </row>
    <row r="3978" spans="1:5" hidden="1" x14ac:dyDescent="0.3">
      <c r="A3978" t="s">
        <v>552</v>
      </c>
      <c r="B3978" t="s">
        <v>678</v>
      </c>
      <c r="C3978" t="s">
        <v>648</v>
      </c>
      <c r="D3978" s="226">
        <v>-7819.5</v>
      </c>
      <c r="E3978" t="s">
        <v>678</v>
      </c>
    </row>
    <row r="3979" spans="1:5" hidden="1" x14ac:dyDescent="0.3">
      <c r="A3979" t="s">
        <v>552</v>
      </c>
      <c r="B3979" t="s">
        <v>678</v>
      </c>
      <c r="C3979" t="s">
        <v>649</v>
      </c>
      <c r="D3979" s="226">
        <v>0</v>
      </c>
      <c r="E3979" t="s">
        <v>678</v>
      </c>
    </row>
    <row r="3980" spans="1:5" hidden="1" x14ac:dyDescent="0.3">
      <c r="A3980" t="s">
        <v>552</v>
      </c>
      <c r="B3980" t="s">
        <v>678</v>
      </c>
      <c r="C3980" t="s">
        <v>650</v>
      </c>
      <c r="D3980" s="226">
        <v>0</v>
      </c>
      <c r="E3980" t="s">
        <v>678</v>
      </c>
    </row>
    <row r="3981" spans="1:5" hidden="1" x14ac:dyDescent="0.3">
      <c r="A3981" t="s">
        <v>552</v>
      </c>
      <c r="B3981" t="s">
        <v>678</v>
      </c>
      <c r="C3981" t="s">
        <v>651</v>
      </c>
      <c r="D3981" s="226">
        <v>0</v>
      </c>
      <c r="E3981" t="s">
        <v>678</v>
      </c>
    </row>
    <row r="3982" spans="1:5" hidden="1" x14ac:dyDescent="0.3">
      <c r="A3982" t="s">
        <v>552</v>
      </c>
      <c r="B3982" t="s">
        <v>678</v>
      </c>
      <c r="C3982" t="s">
        <v>652</v>
      </c>
      <c r="D3982" s="226">
        <v>-325600.40000000002</v>
      </c>
      <c r="E3982" t="s">
        <v>678</v>
      </c>
    </row>
    <row r="3983" spans="1:5" hidden="1" x14ac:dyDescent="0.3">
      <c r="A3983" t="s">
        <v>552</v>
      </c>
      <c r="B3983" t="s">
        <v>678</v>
      </c>
      <c r="C3983" t="s">
        <v>653</v>
      </c>
      <c r="D3983" s="226">
        <v>0</v>
      </c>
      <c r="E3983" t="s">
        <v>678</v>
      </c>
    </row>
    <row r="3984" spans="1:5" hidden="1" x14ac:dyDescent="0.3">
      <c r="A3984" t="s">
        <v>552</v>
      </c>
      <c r="B3984" t="s">
        <v>678</v>
      </c>
      <c r="C3984" t="s">
        <v>253</v>
      </c>
      <c r="D3984" s="226">
        <v>-0.22</v>
      </c>
      <c r="E3984" t="s">
        <v>678</v>
      </c>
    </row>
    <row r="3985" spans="1:5" hidden="1" x14ac:dyDescent="0.3">
      <c r="A3985" t="s">
        <v>552</v>
      </c>
      <c r="B3985" t="s">
        <v>678</v>
      </c>
      <c r="C3985" t="s">
        <v>254</v>
      </c>
      <c r="D3985" s="226">
        <v>-0.18</v>
      </c>
      <c r="E3985" t="s">
        <v>678</v>
      </c>
    </row>
    <row r="3986" spans="1:5" hidden="1" x14ac:dyDescent="0.3">
      <c r="A3986" t="s">
        <v>552</v>
      </c>
      <c r="B3986" t="s">
        <v>678</v>
      </c>
      <c r="C3986" t="s">
        <v>255</v>
      </c>
      <c r="D3986" s="226">
        <v>-452677.51</v>
      </c>
      <c r="E3986" t="s">
        <v>678</v>
      </c>
    </row>
    <row r="3987" spans="1:5" hidden="1" x14ac:dyDescent="0.3">
      <c r="A3987" t="s">
        <v>552</v>
      </c>
      <c r="B3987" t="s">
        <v>678</v>
      </c>
      <c r="C3987" t="s">
        <v>256</v>
      </c>
      <c r="D3987" s="226">
        <v>-294289.68</v>
      </c>
      <c r="E3987" t="s">
        <v>678</v>
      </c>
    </row>
    <row r="3988" spans="1:5" hidden="1" x14ac:dyDescent="0.3">
      <c r="A3988" t="s">
        <v>552</v>
      </c>
      <c r="B3988" t="s">
        <v>678</v>
      </c>
      <c r="C3988" t="s">
        <v>257</v>
      </c>
      <c r="D3988" s="226">
        <v>-135708.71</v>
      </c>
      <c r="E3988" t="s">
        <v>678</v>
      </c>
    </row>
    <row r="3989" spans="1:5" hidden="1" x14ac:dyDescent="0.3">
      <c r="A3989" t="s">
        <v>552</v>
      </c>
      <c r="B3989" t="s">
        <v>678</v>
      </c>
      <c r="C3989" t="s">
        <v>258</v>
      </c>
      <c r="D3989" s="226">
        <v>-20759.2</v>
      </c>
      <c r="E3989" t="s">
        <v>678</v>
      </c>
    </row>
    <row r="3990" spans="1:5" hidden="1" x14ac:dyDescent="0.3">
      <c r="A3990" t="s">
        <v>552</v>
      </c>
      <c r="B3990" t="s">
        <v>678</v>
      </c>
      <c r="C3990" t="s">
        <v>259</v>
      </c>
      <c r="D3990" s="226">
        <v>-399.94</v>
      </c>
      <c r="E3990" t="s">
        <v>678</v>
      </c>
    </row>
    <row r="3991" spans="1:5" hidden="1" x14ac:dyDescent="0.3">
      <c r="A3991" t="s">
        <v>552</v>
      </c>
      <c r="B3991" t="s">
        <v>678</v>
      </c>
      <c r="C3991" t="s">
        <v>260</v>
      </c>
      <c r="D3991" s="226">
        <v>-1519.98</v>
      </c>
      <c r="E3991" t="s">
        <v>678</v>
      </c>
    </row>
    <row r="3992" spans="1:5" hidden="1" x14ac:dyDescent="0.3">
      <c r="A3992" t="s">
        <v>552</v>
      </c>
      <c r="B3992" t="s">
        <v>678</v>
      </c>
      <c r="C3992" t="s">
        <v>261</v>
      </c>
      <c r="D3992" s="226">
        <v>0</v>
      </c>
      <c r="E3992" t="s">
        <v>678</v>
      </c>
    </row>
    <row r="3993" spans="1:5" hidden="1" x14ac:dyDescent="0.3">
      <c r="A3993" t="s">
        <v>552</v>
      </c>
      <c r="B3993" t="s">
        <v>678</v>
      </c>
      <c r="C3993" t="s">
        <v>262</v>
      </c>
      <c r="D3993" s="226">
        <v>0</v>
      </c>
      <c r="E3993" t="s">
        <v>678</v>
      </c>
    </row>
    <row r="3994" spans="1:5" hidden="1" x14ac:dyDescent="0.3">
      <c r="A3994" t="s">
        <v>552</v>
      </c>
      <c r="B3994" t="s">
        <v>678</v>
      </c>
      <c r="C3994" t="s">
        <v>44</v>
      </c>
      <c r="D3994" s="226">
        <v>-0.03</v>
      </c>
      <c r="E3994" t="s">
        <v>678</v>
      </c>
    </row>
    <row r="3995" spans="1:5" hidden="1" x14ac:dyDescent="0.3">
      <c r="A3995" t="s">
        <v>552</v>
      </c>
      <c r="B3995" t="s">
        <v>678</v>
      </c>
      <c r="C3995" t="s">
        <v>263</v>
      </c>
      <c r="D3995" s="226">
        <v>-917281.16</v>
      </c>
      <c r="E3995" t="s">
        <v>678</v>
      </c>
    </row>
    <row r="3996" spans="1:5" hidden="1" x14ac:dyDescent="0.3">
      <c r="A3996" t="s">
        <v>552</v>
      </c>
      <c r="B3996" t="s">
        <v>678</v>
      </c>
      <c r="C3996" t="s">
        <v>264</v>
      </c>
      <c r="D3996" s="226">
        <v>-190733.8</v>
      </c>
      <c r="E3996" t="s">
        <v>678</v>
      </c>
    </row>
    <row r="3997" spans="1:5" hidden="1" x14ac:dyDescent="0.3">
      <c r="A3997" t="s">
        <v>552</v>
      </c>
      <c r="B3997" t="s">
        <v>678</v>
      </c>
      <c r="C3997" t="s">
        <v>265</v>
      </c>
      <c r="D3997" s="226">
        <v>-172162.58</v>
      </c>
      <c r="E3997" t="s">
        <v>678</v>
      </c>
    </row>
    <row r="3998" spans="1:5" hidden="1" x14ac:dyDescent="0.3">
      <c r="A3998" t="s">
        <v>552</v>
      </c>
      <c r="B3998" t="s">
        <v>678</v>
      </c>
      <c r="C3998" t="s">
        <v>266</v>
      </c>
      <c r="D3998" s="226">
        <v>-150850.57</v>
      </c>
      <c r="E3998" t="s">
        <v>678</v>
      </c>
    </row>
    <row r="3999" spans="1:5" hidden="1" x14ac:dyDescent="0.3">
      <c r="A3999" t="s">
        <v>552</v>
      </c>
      <c r="B3999" t="s">
        <v>678</v>
      </c>
      <c r="C3999" t="s">
        <v>267</v>
      </c>
      <c r="D3999" s="226">
        <v>-192278.16</v>
      </c>
      <c r="E3999" t="s">
        <v>678</v>
      </c>
    </row>
    <row r="4000" spans="1:5" hidden="1" x14ac:dyDescent="0.3">
      <c r="A4000" t="s">
        <v>552</v>
      </c>
      <c r="B4000" t="s">
        <v>678</v>
      </c>
      <c r="C4000" t="s">
        <v>268</v>
      </c>
      <c r="D4000" s="226">
        <v>-30</v>
      </c>
      <c r="E4000" t="s">
        <v>678</v>
      </c>
    </row>
    <row r="4001" spans="1:5" hidden="1" x14ac:dyDescent="0.3">
      <c r="A4001" t="s">
        <v>552</v>
      </c>
      <c r="B4001" t="s">
        <v>678</v>
      </c>
      <c r="C4001" t="s">
        <v>269</v>
      </c>
      <c r="D4001" s="226">
        <v>-7080</v>
      </c>
      <c r="E4001" t="s">
        <v>678</v>
      </c>
    </row>
    <row r="4002" spans="1:5" hidden="1" x14ac:dyDescent="0.3">
      <c r="A4002" t="s">
        <v>552</v>
      </c>
      <c r="B4002" t="s">
        <v>678</v>
      </c>
      <c r="C4002" t="s">
        <v>270</v>
      </c>
      <c r="D4002" s="226">
        <v>-40072.959999999999</v>
      </c>
      <c r="E4002" t="s">
        <v>678</v>
      </c>
    </row>
    <row r="4003" spans="1:5" hidden="1" x14ac:dyDescent="0.3">
      <c r="A4003" t="s">
        <v>552</v>
      </c>
      <c r="B4003" t="s">
        <v>678</v>
      </c>
      <c r="C4003" t="s">
        <v>271</v>
      </c>
      <c r="D4003" s="226">
        <v>-55468.31</v>
      </c>
      <c r="E4003" t="s">
        <v>678</v>
      </c>
    </row>
    <row r="4004" spans="1:5" hidden="1" x14ac:dyDescent="0.3">
      <c r="A4004" t="s">
        <v>552</v>
      </c>
      <c r="B4004" t="s">
        <v>678</v>
      </c>
      <c r="C4004" t="s">
        <v>272</v>
      </c>
      <c r="D4004" s="226">
        <v>-617.5</v>
      </c>
      <c r="E4004" t="s">
        <v>678</v>
      </c>
    </row>
    <row r="4005" spans="1:5" hidden="1" x14ac:dyDescent="0.3">
      <c r="A4005" t="s">
        <v>552</v>
      </c>
      <c r="B4005" t="s">
        <v>678</v>
      </c>
      <c r="C4005" t="s">
        <v>273</v>
      </c>
      <c r="D4005" s="226">
        <v>-177.9</v>
      </c>
      <c r="E4005" t="s">
        <v>678</v>
      </c>
    </row>
    <row r="4006" spans="1:5" hidden="1" x14ac:dyDescent="0.3">
      <c r="A4006" t="s">
        <v>552</v>
      </c>
      <c r="B4006" t="s">
        <v>678</v>
      </c>
      <c r="C4006" t="s">
        <v>274</v>
      </c>
      <c r="D4006" s="226">
        <v>-7231.65</v>
      </c>
      <c r="E4006" t="s">
        <v>678</v>
      </c>
    </row>
    <row r="4007" spans="1:5" hidden="1" x14ac:dyDescent="0.3">
      <c r="A4007" t="s">
        <v>552</v>
      </c>
      <c r="B4007" t="s">
        <v>678</v>
      </c>
      <c r="C4007" t="s">
        <v>275</v>
      </c>
      <c r="D4007" s="226">
        <v>-12468.58</v>
      </c>
      <c r="E4007" t="s">
        <v>678</v>
      </c>
    </row>
    <row r="4008" spans="1:5" hidden="1" x14ac:dyDescent="0.3">
      <c r="A4008" t="s">
        <v>552</v>
      </c>
      <c r="B4008" t="s">
        <v>678</v>
      </c>
      <c r="C4008" t="s">
        <v>276</v>
      </c>
      <c r="D4008" s="226">
        <v>0</v>
      </c>
      <c r="E4008" t="s">
        <v>678</v>
      </c>
    </row>
    <row r="4009" spans="1:5" hidden="1" x14ac:dyDescent="0.3">
      <c r="A4009" t="s">
        <v>552</v>
      </c>
      <c r="B4009" t="s">
        <v>678</v>
      </c>
      <c r="C4009" t="s">
        <v>277</v>
      </c>
      <c r="D4009" s="226">
        <v>-88109.15</v>
      </c>
      <c r="E4009" t="s">
        <v>678</v>
      </c>
    </row>
    <row r="4010" spans="1:5" hidden="1" x14ac:dyDescent="0.3">
      <c r="A4010" t="s">
        <v>552</v>
      </c>
      <c r="B4010" t="s">
        <v>678</v>
      </c>
      <c r="C4010" t="s">
        <v>44</v>
      </c>
      <c r="D4010" s="226">
        <v>-0.06</v>
      </c>
      <c r="E4010" t="s">
        <v>678</v>
      </c>
    </row>
    <row r="4011" spans="1:5" hidden="1" x14ac:dyDescent="0.3">
      <c r="A4011" t="s">
        <v>552</v>
      </c>
      <c r="B4011" t="s">
        <v>678</v>
      </c>
      <c r="C4011" t="s">
        <v>278</v>
      </c>
      <c r="D4011" s="226">
        <v>-89991.88</v>
      </c>
      <c r="E4011" t="s">
        <v>678</v>
      </c>
    </row>
    <row r="4012" spans="1:5" hidden="1" x14ac:dyDescent="0.3">
      <c r="A4012" t="s">
        <v>552</v>
      </c>
      <c r="B4012" t="s">
        <v>678</v>
      </c>
      <c r="C4012" t="s">
        <v>279</v>
      </c>
      <c r="D4012" s="226">
        <v>0</v>
      </c>
      <c r="E4012" t="s">
        <v>678</v>
      </c>
    </row>
    <row r="4013" spans="1:5" hidden="1" x14ac:dyDescent="0.3">
      <c r="A4013" t="s">
        <v>552</v>
      </c>
      <c r="B4013" t="s">
        <v>678</v>
      </c>
      <c r="C4013" t="s">
        <v>280</v>
      </c>
      <c r="D4013" s="226">
        <v>-6453.37</v>
      </c>
      <c r="E4013" t="s">
        <v>678</v>
      </c>
    </row>
    <row r="4014" spans="1:5" hidden="1" x14ac:dyDescent="0.3">
      <c r="A4014" t="s">
        <v>552</v>
      </c>
      <c r="B4014" t="s">
        <v>678</v>
      </c>
      <c r="C4014" t="s">
        <v>281</v>
      </c>
      <c r="D4014" s="226">
        <v>-109.6</v>
      </c>
      <c r="E4014" t="s">
        <v>678</v>
      </c>
    </row>
    <row r="4015" spans="1:5" hidden="1" x14ac:dyDescent="0.3">
      <c r="A4015" t="s">
        <v>552</v>
      </c>
      <c r="B4015" t="s">
        <v>678</v>
      </c>
      <c r="C4015" t="s">
        <v>282</v>
      </c>
      <c r="D4015" s="226">
        <v>-9780</v>
      </c>
      <c r="E4015" t="s">
        <v>678</v>
      </c>
    </row>
    <row r="4016" spans="1:5" hidden="1" x14ac:dyDescent="0.3">
      <c r="A4016" t="s">
        <v>552</v>
      </c>
      <c r="B4016" t="s">
        <v>678</v>
      </c>
      <c r="C4016" t="s">
        <v>283</v>
      </c>
      <c r="D4016" s="226">
        <v>-73648.91</v>
      </c>
      <c r="E4016" t="s">
        <v>678</v>
      </c>
    </row>
    <row r="4017" spans="1:5" hidden="1" x14ac:dyDescent="0.3">
      <c r="A4017" t="s">
        <v>552</v>
      </c>
      <c r="B4017" t="s">
        <v>678</v>
      </c>
      <c r="C4017" t="s">
        <v>284</v>
      </c>
      <c r="D4017" s="226">
        <v>0</v>
      </c>
      <c r="E4017" t="s">
        <v>678</v>
      </c>
    </row>
    <row r="4018" spans="1:5" hidden="1" x14ac:dyDescent="0.3">
      <c r="A4018" t="s">
        <v>552</v>
      </c>
      <c r="B4018" t="s">
        <v>678</v>
      </c>
      <c r="C4018" t="s">
        <v>285</v>
      </c>
      <c r="D4018" s="226">
        <v>0</v>
      </c>
      <c r="E4018" t="s">
        <v>678</v>
      </c>
    </row>
    <row r="4019" spans="1:5" hidden="1" x14ac:dyDescent="0.3">
      <c r="A4019" t="s">
        <v>552</v>
      </c>
      <c r="B4019" t="s">
        <v>678</v>
      </c>
      <c r="C4019" t="s">
        <v>44</v>
      </c>
      <c r="D4019" s="226">
        <v>-0.01</v>
      </c>
      <c r="E4019" t="s">
        <v>678</v>
      </c>
    </row>
    <row r="4020" spans="1:5" hidden="1" x14ac:dyDescent="0.3">
      <c r="A4020" t="s">
        <v>552</v>
      </c>
      <c r="B4020" t="s">
        <v>678</v>
      </c>
      <c r="C4020" t="s">
        <v>286</v>
      </c>
      <c r="D4020" s="226">
        <v>-112552.38</v>
      </c>
      <c r="E4020" t="s">
        <v>678</v>
      </c>
    </row>
    <row r="4021" spans="1:5" hidden="1" x14ac:dyDescent="0.3">
      <c r="A4021" t="s">
        <v>552</v>
      </c>
      <c r="B4021" t="s">
        <v>678</v>
      </c>
      <c r="C4021" t="s">
        <v>287</v>
      </c>
      <c r="D4021" s="226">
        <v>-108653.14</v>
      </c>
      <c r="E4021" t="s">
        <v>678</v>
      </c>
    </row>
    <row r="4022" spans="1:5" hidden="1" x14ac:dyDescent="0.3">
      <c r="A4022" t="s">
        <v>552</v>
      </c>
      <c r="B4022" t="s">
        <v>678</v>
      </c>
      <c r="C4022" t="s">
        <v>288</v>
      </c>
      <c r="D4022" s="226">
        <v>0</v>
      </c>
      <c r="E4022" t="s">
        <v>678</v>
      </c>
    </row>
    <row r="4023" spans="1:5" hidden="1" x14ac:dyDescent="0.3">
      <c r="A4023" t="s">
        <v>552</v>
      </c>
      <c r="B4023" t="s">
        <v>678</v>
      </c>
      <c r="C4023" t="s">
        <v>289</v>
      </c>
      <c r="D4023" s="226">
        <v>0</v>
      </c>
      <c r="E4023" t="s">
        <v>678</v>
      </c>
    </row>
    <row r="4024" spans="1:5" hidden="1" x14ac:dyDescent="0.3">
      <c r="A4024" t="s">
        <v>552</v>
      </c>
      <c r="B4024" t="s">
        <v>678</v>
      </c>
      <c r="C4024" t="s">
        <v>290</v>
      </c>
      <c r="D4024" s="226">
        <v>0</v>
      </c>
      <c r="E4024" t="s">
        <v>678</v>
      </c>
    </row>
    <row r="4025" spans="1:5" hidden="1" x14ac:dyDescent="0.3">
      <c r="A4025" t="s">
        <v>552</v>
      </c>
      <c r="B4025" t="s">
        <v>678</v>
      </c>
      <c r="C4025" t="s">
        <v>291</v>
      </c>
      <c r="D4025" s="226">
        <v>-600</v>
      </c>
      <c r="E4025" t="s">
        <v>678</v>
      </c>
    </row>
    <row r="4026" spans="1:5" hidden="1" x14ac:dyDescent="0.3">
      <c r="A4026" t="s">
        <v>552</v>
      </c>
      <c r="B4026" t="s">
        <v>678</v>
      </c>
      <c r="C4026" t="s">
        <v>292</v>
      </c>
      <c r="D4026" s="226">
        <v>-2472.46</v>
      </c>
      <c r="E4026" t="s">
        <v>678</v>
      </c>
    </row>
    <row r="4027" spans="1:5" hidden="1" x14ac:dyDescent="0.3">
      <c r="A4027" t="s">
        <v>552</v>
      </c>
      <c r="B4027" t="s">
        <v>678</v>
      </c>
      <c r="C4027" t="s">
        <v>293</v>
      </c>
      <c r="D4027" s="226">
        <v>-715.61</v>
      </c>
      <c r="E4027" t="s">
        <v>678</v>
      </c>
    </row>
    <row r="4028" spans="1:5" hidden="1" x14ac:dyDescent="0.3">
      <c r="A4028" t="s">
        <v>552</v>
      </c>
      <c r="B4028" t="s">
        <v>678</v>
      </c>
      <c r="C4028" t="s">
        <v>294</v>
      </c>
      <c r="D4028" s="226">
        <v>-111.17</v>
      </c>
      <c r="E4028" t="s">
        <v>678</v>
      </c>
    </row>
    <row r="4029" spans="1:5" hidden="1" x14ac:dyDescent="0.3">
      <c r="A4029" t="s">
        <v>552</v>
      </c>
      <c r="B4029" t="s">
        <v>678</v>
      </c>
      <c r="C4029" t="s">
        <v>44</v>
      </c>
      <c r="D4029" s="226">
        <v>-0.01</v>
      </c>
      <c r="E4029" t="s">
        <v>678</v>
      </c>
    </row>
    <row r="4030" spans="1:5" hidden="1" x14ac:dyDescent="0.3">
      <c r="A4030" t="s">
        <v>552</v>
      </c>
      <c r="B4030" t="s">
        <v>678</v>
      </c>
      <c r="C4030" t="s">
        <v>295</v>
      </c>
      <c r="D4030" s="226">
        <v>-173932.53</v>
      </c>
      <c r="E4030" t="s">
        <v>678</v>
      </c>
    </row>
    <row r="4031" spans="1:5" hidden="1" x14ac:dyDescent="0.3">
      <c r="A4031" t="s">
        <v>552</v>
      </c>
      <c r="B4031" t="s">
        <v>678</v>
      </c>
      <c r="C4031" t="s">
        <v>296</v>
      </c>
      <c r="D4031" s="226">
        <v>-120000</v>
      </c>
      <c r="E4031" t="s">
        <v>678</v>
      </c>
    </row>
    <row r="4032" spans="1:5" hidden="1" x14ac:dyDescent="0.3">
      <c r="A4032" t="s">
        <v>552</v>
      </c>
      <c r="B4032" t="s">
        <v>678</v>
      </c>
      <c r="C4032" t="s">
        <v>297</v>
      </c>
      <c r="D4032" s="226">
        <v>-5910</v>
      </c>
      <c r="E4032" t="s">
        <v>678</v>
      </c>
    </row>
    <row r="4033" spans="1:5" hidden="1" x14ac:dyDescent="0.3">
      <c r="A4033" t="s">
        <v>552</v>
      </c>
      <c r="B4033" t="s">
        <v>678</v>
      </c>
      <c r="C4033" t="s">
        <v>298</v>
      </c>
      <c r="D4033" s="226">
        <v>0</v>
      </c>
      <c r="E4033" t="s">
        <v>678</v>
      </c>
    </row>
    <row r="4034" spans="1:5" hidden="1" x14ac:dyDescent="0.3">
      <c r="A4034" t="s">
        <v>552</v>
      </c>
      <c r="B4034" t="s">
        <v>678</v>
      </c>
      <c r="C4034" t="s">
        <v>299</v>
      </c>
      <c r="D4034" s="226">
        <v>0</v>
      </c>
      <c r="E4034" t="s">
        <v>678</v>
      </c>
    </row>
    <row r="4035" spans="1:5" hidden="1" x14ac:dyDescent="0.3">
      <c r="A4035" t="s">
        <v>552</v>
      </c>
      <c r="B4035" t="s">
        <v>678</v>
      </c>
      <c r="C4035" t="s">
        <v>300</v>
      </c>
      <c r="D4035" s="226">
        <v>-8607.41</v>
      </c>
      <c r="E4035" t="s">
        <v>678</v>
      </c>
    </row>
    <row r="4036" spans="1:5" hidden="1" x14ac:dyDescent="0.3">
      <c r="A4036" t="s">
        <v>552</v>
      </c>
      <c r="B4036" t="s">
        <v>678</v>
      </c>
      <c r="C4036" t="s">
        <v>301</v>
      </c>
      <c r="D4036" s="226">
        <v>0</v>
      </c>
      <c r="E4036" t="s">
        <v>678</v>
      </c>
    </row>
    <row r="4037" spans="1:5" hidden="1" x14ac:dyDescent="0.3">
      <c r="A4037" t="s">
        <v>552</v>
      </c>
      <c r="B4037" t="s">
        <v>678</v>
      </c>
      <c r="C4037" t="s">
        <v>302</v>
      </c>
      <c r="D4037" s="226">
        <v>0</v>
      </c>
      <c r="E4037" t="s">
        <v>678</v>
      </c>
    </row>
    <row r="4038" spans="1:5" hidden="1" x14ac:dyDescent="0.3">
      <c r="A4038" t="s">
        <v>552</v>
      </c>
      <c r="B4038" t="s">
        <v>678</v>
      </c>
      <c r="C4038" t="s">
        <v>303</v>
      </c>
      <c r="D4038" s="226">
        <v>-1614.4</v>
      </c>
      <c r="E4038" t="s">
        <v>678</v>
      </c>
    </row>
    <row r="4039" spans="1:5" hidden="1" x14ac:dyDescent="0.3">
      <c r="A4039" t="s">
        <v>552</v>
      </c>
      <c r="B4039" t="s">
        <v>678</v>
      </c>
      <c r="C4039" t="s">
        <v>304</v>
      </c>
      <c r="D4039" s="226">
        <v>-17228.509999999998</v>
      </c>
      <c r="E4039" t="s">
        <v>678</v>
      </c>
    </row>
    <row r="4040" spans="1:5" hidden="1" x14ac:dyDescent="0.3">
      <c r="A4040" t="s">
        <v>552</v>
      </c>
      <c r="B4040" t="s">
        <v>678</v>
      </c>
      <c r="C4040" t="s">
        <v>305</v>
      </c>
      <c r="D4040" s="226">
        <v>0</v>
      </c>
      <c r="E4040" t="s">
        <v>678</v>
      </c>
    </row>
    <row r="4041" spans="1:5" hidden="1" x14ac:dyDescent="0.3">
      <c r="A4041" t="s">
        <v>552</v>
      </c>
      <c r="B4041" t="s">
        <v>678</v>
      </c>
      <c r="C4041" t="s">
        <v>306</v>
      </c>
      <c r="D4041" s="226">
        <v>-20572.21</v>
      </c>
      <c r="E4041" t="s">
        <v>678</v>
      </c>
    </row>
    <row r="4042" spans="1:5" hidden="1" x14ac:dyDescent="0.3">
      <c r="A4042" t="s">
        <v>552</v>
      </c>
      <c r="B4042" t="s">
        <v>678</v>
      </c>
      <c r="C4042" t="s">
        <v>44</v>
      </c>
      <c r="D4042" s="226">
        <v>-0.01</v>
      </c>
      <c r="E4042" t="s">
        <v>678</v>
      </c>
    </row>
    <row r="4043" spans="1:5" hidden="1" x14ac:dyDescent="0.3">
      <c r="A4043" t="s">
        <v>552</v>
      </c>
      <c r="B4043" t="s">
        <v>678</v>
      </c>
      <c r="C4043" t="s">
        <v>307</v>
      </c>
      <c r="D4043" s="226">
        <v>-196977.78</v>
      </c>
      <c r="E4043" t="s">
        <v>678</v>
      </c>
    </row>
    <row r="4044" spans="1:5" hidden="1" x14ac:dyDescent="0.3">
      <c r="A4044" t="s">
        <v>552</v>
      </c>
      <c r="B4044" t="s">
        <v>678</v>
      </c>
      <c r="C4044" t="s">
        <v>308</v>
      </c>
      <c r="D4044" s="226">
        <v>-29980.25</v>
      </c>
      <c r="E4044" t="s">
        <v>678</v>
      </c>
    </row>
    <row r="4045" spans="1:5" hidden="1" x14ac:dyDescent="0.3">
      <c r="A4045" t="s">
        <v>552</v>
      </c>
      <c r="B4045" t="s">
        <v>678</v>
      </c>
      <c r="C4045" t="s">
        <v>309</v>
      </c>
      <c r="D4045" s="226">
        <v>0</v>
      </c>
      <c r="E4045" t="s">
        <v>678</v>
      </c>
    </row>
    <row r="4046" spans="1:5" hidden="1" x14ac:dyDescent="0.3">
      <c r="A4046" t="s">
        <v>552</v>
      </c>
      <c r="B4046" t="s">
        <v>678</v>
      </c>
      <c r="C4046" t="s">
        <v>310</v>
      </c>
      <c r="D4046" s="226">
        <v>-34757.53</v>
      </c>
      <c r="E4046" t="s">
        <v>678</v>
      </c>
    </row>
    <row r="4047" spans="1:5" hidden="1" x14ac:dyDescent="0.3">
      <c r="A4047" t="s">
        <v>552</v>
      </c>
      <c r="B4047" t="s">
        <v>678</v>
      </c>
      <c r="C4047" t="s">
        <v>311</v>
      </c>
      <c r="D4047" s="226">
        <v>0</v>
      </c>
      <c r="E4047" t="s">
        <v>678</v>
      </c>
    </row>
    <row r="4048" spans="1:5" hidden="1" x14ac:dyDescent="0.3">
      <c r="A4048" t="s">
        <v>552</v>
      </c>
      <c r="B4048" t="s">
        <v>678</v>
      </c>
      <c r="C4048" t="s">
        <v>312</v>
      </c>
      <c r="D4048" s="226">
        <v>0</v>
      </c>
      <c r="E4048" t="s">
        <v>678</v>
      </c>
    </row>
    <row r="4049" spans="1:5" hidden="1" x14ac:dyDescent="0.3">
      <c r="A4049" t="s">
        <v>552</v>
      </c>
      <c r="B4049" t="s">
        <v>678</v>
      </c>
      <c r="C4049" t="s">
        <v>313</v>
      </c>
      <c r="D4049" s="226">
        <v>0</v>
      </c>
      <c r="E4049" t="s">
        <v>678</v>
      </c>
    </row>
    <row r="4050" spans="1:5" hidden="1" x14ac:dyDescent="0.3">
      <c r="A4050" t="s">
        <v>552</v>
      </c>
      <c r="B4050" t="s">
        <v>678</v>
      </c>
      <c r="C4050" t="s">
        <v>314</v>
      </c>
      <c r="D4050" s="226">
        <v>0</v>
      </c>
      <c r="E4050" t="s">
        <v>678</v>
      </c>
    </row>
    <row r="4051" spans="1:5" hidden="1" x14ac:dyDescent="0.3">
      <c r="A4051" t="s">
        <v>552</v>
      </c>
      <c r="B4051" t="s">
        <v>678</v>
      </c>
      <c r="C4051" t="s">
        <v>315</v>
      </c>
      <c r="D4051" s="226">
        <v>-132240</v>
      </c>
      <c r="E4051" t="s">
        <v>678</v>
      </c>
    </row>
    <row r="4052" spans="1:5" hidden="1" x14ac:dyDescent="0.3">
      <c r="A4052" t="s">
        <v>552</v>
      </c>
      <c r="B4052" t="s">
        <v>678</v>
      </c>
      <c r="C4052" t="s">
        <v>316</v>
      </c>
      <c r="D4052" s="226">
        <v>0</v>
      </c>
      <c r="E4052" t="s">
        <v>678</v>
      </c>
    </row>
    <row r="4053" spans="1:5" hidden="1" x14ac:dyDescent="0.3">
      <c r="A4053" t="s">
        <v>552</v>
      </c>
      <c r="B4053" t="s">
        <v>678</v>
      </c>
      <c r="C4053" t="s">
        <v>44</v>
      </c>
      <c r="D4053" s="226">
        <v>-0.01</v>
      </c>
      <c r="E4053" t="s">
        <v>678</v>
      </c>
    </row>
    <row r="4054" spans="1:5" hidden="1" x14ac:dyDescent="0.3">
      <c r="A4054" t="s">
        <v>552</v>
      </c>
      <c r="B4054" t="s">
        <v>678</v>
      </c>
      <c r="C4054" t="s">
        <v>317</v>
      </c>
      <c r="D4054" s="226">
        <v>-67099.45</v>
      </c>
      <c r="E4054" t="s">
        <v>678</v>
      </c>
    </row>
    <row r="4055" spans="1:5" hidden="1" x14ac:dyDescent="0.3">
      <c r="A4055" t="s">
        <v>552</v>
      </c>
      <c r="B4055" t="s">
        <v>678</v>
      </c>
      <c r="C4055" t="s">
        <v>318</v>
      </c>
      <c r="D4055" s="226">
        <v>-67099.45</v>
      </c>
      <c r="E4055" t="s">
        <v>678</v>
      </c>
    </row>
    <row r="4056" spans="1:5" hidden="1" x14ac:dyDescent="0.3">
      <c r="A4056" t="s">
        <v>552</v>
      </c>
      <c r="B4056" t="s">
        <v>678</v>
      </c>
      <c r="C4056" t="s">
        <v>319</v>
      </c>
      <c r="D4056" s="226">
        <v>0</v>
      </c>
      <c r="E4056" t="s">
        <v>678</v>
      </c>
    </row>
    <row r="4057" spans="1:5" hidden="1" x14ac:dyDescent="0.3">
      <c r="A4057" t="s">
        <v>552</v>
      </c>
      <c r="B4057" t="s">
        <v>678</v>
      </c>
      <c r="C4057" t="s">
        <v>320</v>
      </c>
      <c r="D4057" s="226">
        <v>0</v>
      </c>
      <c r="E4057" t="s">
        <v>678</v>
      </c>
    </row>
    <row r="4058" spans="1:5" hidden="1" x14ac:dyDescent="0.3">
      <c r="A4058" t="s">
        <v>552</v>
      </c>
      <c r="B4058" t="s">
        <v>678</v>
      </c>
      <c r="C4058" t="s">
        <v>321</v>
      </c>
      <c r="D4058" s="226">
        <v>0</v>
      </c>
      <c r="E4058" t="s">
        <v>678</v>
      </c>
    </row>
    <row r="4059" spans="1:5" hidden="1" x14ac:dyDescent="0.3">
      <c r="A4059" t="s">
        <v>552</v>
      </c>
      <c r="B4059" t="s">
        <v>678</v>
      </c>
      <c r="C4059" t="s">
        <v>44</v>
      </c>
      <c r="D4059" s="226">
        <v>0</v>
      </c>
      <c r="E4059" t="s">
        <v>678</v>
      </c>
    </row>
    <row r="4060" spans="1:5" hidden="1" x14ac:dyDescent="0.3">
      <c r="A4060" t="s">
        <v>552</v>
      </c>
      <c r="B4060" t="s">
        <v>678</v>
      </c>
      <c r="C4060" t="s">
        <v>322</v>
      </c>
      <c r="D4060" s="226">
        <v>-786847.69</v>
      </c>
      <c r="E4060" t="s">
        <v>678</v>
      </c>
    </row>
    <row r="4061" spans="1:5" hidden="1" x14ac:dyDescent="0.3">
      <c r="A4061" t="s">
        <v>552</v>
      </c>
      <c r="B4061" t="s">
        <v>678</v>
      </c>
      <c r="C4061" t="s">
        <v>323</v>
      </c>
      <c r="D4061" s="226">
        <v>0</v>
      </c>
      <c r="E4061" t="s">
        <v>678</v>
      </c>
    </row>
    <row r="4062" spans="1:5" hidden="1" x14ac:dyDescent="0.3">
      <c r="A4062" t="s">
        <v>552</v>
      </c>
      <c r="B4062" t="s">
        <v>678</v>
      </c>
      <c r="C4062" t="s">
        <v>324</v>
      </c>
      <c r="D4062" s="226">
        <v>0</v>
      </c>
      <c r="E4062" t="s">
        <v>678</v>
      </c>
    </row>
    <row r="4063" spans="1:5" hidden="1" x14ac:dyDescent="0.3">
      <c r="A4063" t="s">
        <v>552</v>
      </c>
      <c r="B4063" t="s">
        <v>678</v>
      </c>
      <c r="C4063" t="s">
        <v>325</v>
      </c>
      <c r="D4063" s="226">
        <v>-786847.69</v>
      </c>
      <c r="E4063" t="s">
        <v>678</v>
      </c>
    </row>
    <row r="4064" spans="1:5" hidden="1" x14ac:dyDescent="0.3">
      <c r="A4064" t="s">
        <v>552</v>
      </c>
      <c r="B4064" t="s">
        <v>678</v>
      </c>
      <c r="C4064" t="s">
        <v>44</v>
      </c>
      <c r="D4064" s="226">
        <v>-0.05</v>
      </c>
      <c r="E4064" t="s">
        <v>678</v>
      </c>
    </row>
    <row r="4065" spans="1:5" hidden="1" x14ac:dyDescent="0.3">
      <c r="A4065" t="s">
        <v>552</v>
      </c>
      <c r="B4065" t="s">
        <v>678</v>
      </c>
      <c r="C4065" t="s">
        <v>327</v>
      </c>
      <c r="D4065" s="226">
        <v>-6238903.6500000004</v>
      </c>
      <c r="E4065" t="s">
        <v>678</v>
      </c>
    </row>
    <row r="4066" spans="1:5" hidden="1" x14ac:dyDescent="0.3">
      <c r="A4066" t="s">
        <v>552</v>
      </c>
      <c r="B4066" t="s">
        <v>678</v>
      </c>
      <c r="C4066" t="s">
        <v>44</v>
      </c>
      <c r="D4066" s="226">
        <v>-0.4</v>
      </c>
      <c r="E4066" t="s">
        <v>678</v>
      </c>
    </row>
    <row r="4067" spans="1:5" hidden="1" x14ac:dyDescent="0.3">
      <c r="A4067" t="s">
        <v>552</v>
      </c>
      <c r="B4067" t="s">
        <v>678</v>
      </c>
      <c r="C4067" t="s">
        <v>328</v>
      </c>
      <c r="D4067" s="226">
        <v>2801951.86</v>
      </c>
      <c r="E4067" t="s">
        <v>678</v>
      </c>
    </row>
    <row r="4068" spans="1:5" hidden="1" x14ac:dyDescent="0.3">
      <c r="A4068" t="s">
        <v>552</v>
      </c>
      <c r="B4068" t="s">
        <v>678</v>
      </c>
      <c r="C4068" t="s">
        <v>44</v>
      </c>
      <c r="D4068" s="226">
        <v>0.18</v>
      </c>
      <c r="E4068" t="s">
        <v>678</v>
      </c>
    </row>
    <row r="4069" spans="1:5" hidden="1" x14ac:dyDescent="0.3">
      <c r="A4069" t="s">
        <v>552</v>
      </c>
      <c r="B4069" t="s">
        <v>678</v>
      </c>
      <c r="C4069" t="s">
        <v>329</v>
      </c>
      <c r="D4069" s="226">
        <v>0</v>
      </c>
      <c r="E4069" t="s">
        <v>678</v>
      </c>
    </row>
    <row r="4070" spans="1:5" hidden="1" x14ac:dyDescent="0.3">
      <c r="A4070" t="s">
        <v>552</v>
      </c>
      <c r="B4070" t="s">
        <v>678</v>
      </c>
      <c r="C4070" t="s">
        <v>331</v>
      </c>
      <c r="D4070" s="226">
        <v>2801951.86</v>
      </c>
      <c r="E4070" t="s">
        <v>678</v>
      </c>
    </row>
    <row r="4071" spans="1:5" hidden="1" x14ac:dyDescent="0.3">
      <c r="A4071" t="s">
        <v>552</v>
      </c>
      <c r="B4071" t="s">
        <v>678</v>
      </c>
      <c r="C4071" t="s">
        <v>332</v>
      </c>
      <c r="D4071" s="226">
        <v>-9474.8700000000008</v>
      </c>
      <c r="E4071" t="s">
        <v>678</v>
      </c>
    </row>
    <row r="4072" spans="1:5" hidden="1" x14ac:dyDescent="0.3">
      <c r="A4072" t="s">
        <v>552</v>
      </c>
      <c r="B4072" t="s">
        <v>678</v>
      </c>
      <c r="C4072" t="s">
        <v>333</v>
      </c>
      <c r="D4072" s="226">
        <v>10000</v>
      </c>
      <c r="E4072" t="s">
        <v>678</v>
      </c>
    </row>
    <row r="4073" spans="1:5" hidden="1" x14ac:dyDescent="0.3">
      <c r="A4073" t="s">
        <v>552</v>
      </c>
      <c r="B4073" t="s">
        <v>678</v>
      </c>
      <c r="C4073" t="s">
        <v>335</v>
      </c>
      <c r="D4073" s="226">
        <v>-135225.67000000001</v>
      </c>
      <c r="E4073" t="s">
        <v>678</v>
      </c>
    </row>
    <row r="4074" spans="1:5" hidden="1" x14ac:dyDescent="0.3">
      <c r="A4074" t="s">
        <v>552</v>
      </c>
      <c r="B4074" t="s">
        <v>678</v>
      </c>
      <c r="C4074" t="s">
        <v>337</v>
      </c>
      <c r="D4074" s="226">
        <v>3526729.47</v>
      </c>
      <c r="E4074" t="s">
        <v>678</v>
      </c>
    </row>
    <row r="4075" spans="1:5" hidden="1" x14ac:dyDescent="0.3">
      <c r="A4075" t="s">
        <v>552</v>
      </c>
      <c r="B4075" t="s">
        <v>678</v>
      </c>
      <c r="C4075" t="s">
        <v>338</v>
      </c>
      <c r="D4075" s="226">
        <v>-483429.87</v>
      </c>
      <c r="E4075" t="s">
        <v>678</v>
      </c>
    </row>
    <row r="4076" spans="1:5" hidden="1" x14ac:dyDescent="0.3">
      <c r="A4076" t="s">
        <v>552</v>
      </c>
      <c r="B4076" t="s">
        <v>678</v>
      </c>
      <c r="C4076" t="s">
        <v>341</v>
      </c>
      <c r="D4076" s="226">
        <v>-71789.72</v>
      </c>
      <c r="E4076" t="s">
        <v>678</v>
      </c>
    </row>
    <row r="4077" spans="1:5" hidden="1" x14ac:dyDescent="0.3">
      <c r="A4077" t="s">
        <v>552</v>
      </c>
      <c r="B4077" t="s">
        <v>678</v>
      </c>
      <c r="C4077" t="s">
        <v>343</v>
      </c>
      <c r="D4077" s="226">
        <v>-165206.75</v>
      </c>
      <c r="E4077" t="s">
        <v>678</v>
      </c>
    </row>
    <row r="4078" spans="1:5" hidden="1" x14ac:dyDescent="0.3">
      <c r="A4078" t="s">
        <v>552</v>
      </c>
      <c r="B4078" t="s">
        <v>678</v>
      </c>
      <c r="C4078" t="s">
        <v>344</v>
      </c>
      <c r="D4078" s="226">
        <v>-97747.33</v>
      </c>
      <c r="E4078" t="s">
        <v>678</v>
      </c>
    </row>
    <row r="4079" spans="1:5" hidden="1" x14ac:dyDescent="0.3">
      <c r="A4079" t="s">
        <v>552</v>
      </c>
      <c r="B4079" t="s">
        <v>678</v>
      </c>
      <c r="C4079" t="s">
        <v>345</v>
      </c>
      <c r="D4079" s="226">
        <v>-148686.07</v>
      </c>
      <c r="E4079" t="s">
        <v>678</v>
      </c>
    </row>
    <row r="4080" spans="1:5" hidden="1" x14ac:dyDescent="0.3">
      <c r="A4080" t="s">
        <v>552</v>
      </c>
      <c r="B4080" t="s">
        <v>678</v>
      </c>
      <c r="C4080" t="s">
        <v>346</v>
      </c>
      <c r="D4080" s="226">
        <v>3043299.6</v>
      </c>
      <c r="E4080" t="s">
        <v>678</v>
      </c>
    </row>
    <row r="4081" spans="1:5" hidden="1" x14ac:dyDescent="0.3">
      <c r="A4081" t="s">
        <v>552</v>
      </c>
      <c r="B4081" t="s">
        <v>678</v>
      </c>
      <c r="C4081" t="s">
        <v>44</v>
      </c>
      <c r="D4081" s="226">
        <v>0.19</v>
      </c>
      <c r="E4081" t="s">
        <v>678</v>
      </c>
    </row>
    <row r="4082" spans="1:5" hidden="1" x14ac:dyDescent="0.3">
      <c r="A4082" t="s">
        <v>552</v>
      </c>
      <c r="B4082" t="s">
        <v>678</v>
      </c>
      <c r="C4082" t="s">
        <v>347</v>
      </c>
      <c r="D4082" s="226">
        <v>-199687.73</v>
      </c>
      <c r="E4082" t="s">
        <v>678</v>
      </c>
    </row>
    <row r="4083" spans="1:5" hidden="1" x14ac:dyDescent="0.3">
      <c r="A4083" t="s">
        <v>552</v>
      </c>
      <c r="B4083" t="s">
        <v>678</v>
      </c>
      <c r="C4083" t="s">
        <v>654</v>
      </c>
      <c r="D4083" s="226">
        <v>-170898.35</v>
      </c>
      <c r="E4083" t="s">
        <v>678</v>
      </c>
    </row>
    <row r="4084" spans="1:5" hidden="1" x14ac:dyDescent="0.3">
      <c r="A4084" t="s">
        <v>552</v>
      </c>
      <c r="B4084" t="s">
        <v>678</v>
      </c>
      <c r="C4084" t="s">
        <v>349</v>
      </c>
      <c r="D4084" s="226">
        <v>-28789.38</v>
      </c>
      <c r="E4084" t="s">
        <v>678</v>
      </c>
    </row>
    <row r="4085" spans="1:5" hidden="1" x14ac:dyDescent="0.3">
      <c r="A4085" t="s">
        <v>552</v>
      </c>
      <c r="B4085" t="s">
        <v>678</v>
      </c>
      <c r="C4085" t="s">
        <v>350</v>
      </c>
      <c r="D4085" s="226">
        <v>0</v>
      </c>
      <c r="E4085" t="s">
        <v>678</v>
      </c>
    </row>
    <row r="4086" spans="1:5" hidden="1" x14ac:dyDescent="0.3">
      <c r="A4086" t="s">
        <v>552</v>
      </c>
      <c r="B4086" t="s">
        <v>678</v>
      </c>
      <c r="C4086" t="s">
        <v>351</v>
      </c>
      <c r="D4086" s="226">
        <v>0</v>
      </c>
      <c r="E4086" t="s">
        <v>678</v>
      </c>
    </row>
    <row r="4087" spans="1:5" hidden="1" x14ac:dyDescent="0.3">
      <c r="A4087" t="s">
        <v>552</v>
      </c>
      <c r="B4087" t="s">
        <v>678</v>
      </c>
      <c r="C4087" t="s">
        <v>352</v>
      </c>
      <c r="D4087" s="226">
        <v>0</v>
      </c>
      <c r="E4087" t="s">
        <v>678</v>
      </c>
    </row>
    <row r="4088" spans="1:5" hidden="1" x14ac:dyDescent="0.3">
      <c r="A4088" t="s">
        <v>552</v>
      </c>
      <c r="B4088" t="s">
        <v>678</v>
      </c>
      <c r="C4088" t="s">
        <v>353</v>
      </c>
      <c r="D4088" s="226">
        <v>0</v>
      </c>
      <c r="E4088" t="s">
        <v>678</v>
      </c>
    </row>
    <row r="4089" spans="1:5" hidden="1" x14ac:dyDescent="0.3">
      <c r="A4089" t="s">
        <v>552</v>
      </c>
      <c r="B4089" t="s">
        <v>678</v>
      </c>
      <c r="C4089" t="s">
        <v>354</v>
      </c>
      <c r="D4089" s="226">
        <v>0</v>
      </c>
      <c r="E4089" t="s">
        <v>678</v>
      </c>
    </row>
    <row r="4090" spans="1:5" hidden="1" x14ac:dyDescent="0.3">
      <c r="A4090" t="s">
        <v>552</v>
      </c>
      <c r="B4090" t="s">
        <v>678</v>
      </c>
      <c r="C4090" t="s">
        <v>355</v>
      </c>
      <c r="D4090" s="226">
        <v>0</v>
      </c>
      <c r="E4090" t="s">
        <v>678</v>
      </c>
    </row>
    <row r="4091" spans="1:5" hidden="1" x14ac:dyDescent="0.3">
      <c r="A4091" t="s">
        <v>552</v>
      </c>
      <c r="B4091" t="s">
        <v>678</v>
      </c>
      <c r="C4091" t="s">
        <v>356</v>
      </c>
      <c r="D4091" s="226">
        <v>0</v>
      </c>
      <c r="E4091" t="s">
        <v>678</v>
      </c>
    </row>
    <row r="4092" spans="1:5" hidden="1" x14ac:dyDescent="0.3">
      <c r="A4092" t="s">
        <v>552</v>
      </c>
      <c r="B4092" t="s">
        <v>678</v>
      </c>
      <c r="C4092" t="s">
        <v>357</v>
      </c>
      <c r="D4092" s="226">
        <v>0</v>
      </c>
      <c r="E4092" t="s">
        <v>678</v>
      </c>
    </row>
    <row r="4093" spans="1:5" hidden="1" x14ac:dyDescent="0.3">
      <c r="A4093" t="s">
        <v>552</v>
      </c>
      <c r="B4093" t="s">
        <v>678</v>
      </c>
      <c r="C4093" t="s">
        <v>358</v>
      </c>
      <c r="D4093" s="226">
        <v>0</v>
      </c>
      <c r="E4093" t="s">
        <v>678</v>
      </c>
    </row>
    <row r="4094" spans="1:5" hidden="1" x14ac:dyDescent="0.3">
      <c r="A4094" t="s">
        <v>552</v>
      </c>
      <c r="B4094" t="s">
        <v>678</v>
      </c>
      <c r="C4094" t="s">
        <v>359</v>
      </c>
      <c r="D4094" s="226">
        <v>0</v>
      </c>
      <c r="E4094" t="s">
        <v>678</v>
      </c>
    </row>
    <row r="4095" spans="1:5" hidden="1" x14ac:dyDescent="0.3">
      <c r="A4095" t="s">
        <v>552</v>
      </c>
      <c r="B4095" t="s">
        <v>678</v>
      </c>
      <c r="C4095" t="s">
        <v>360</v>
      </c>
      <c r="D4095" s="226">
        <v>0</v>
      </c>
      <c r="E4095" t="s">
        <v>678</v>
      </c>
    </row>
    <row r="4096" spans="1:5" hidden="1" x14ac:dyDescent="0.3">
      <c r="A4096" t="s">
        <v>552</v>
      </c>
      <c r="B4096" t="s">
        <v>678</v>
      </c>
      <c r="C4096" t="s">
        <v>361</v>
      </c>
      <c r="D4096" s="226">
        <v>0</v>
      </c>
      <c r="E4096" t="s">
        <v>678</v>
      </c>
    </row>
    <row r="4097" spans="1:5" hidden="1" x14ac:dyDescent="0.3">
      <c r="A4097" t="s">
        <v>552</v>
      </c>
      <c r="B4097" t="s">
        <v>678</v>
      </c>
      <c r="C4097" t="s">
        <v>362</v>
      </c>
      <c r="D4097" s="226">
        <v>0</v>
      </c>
      <c r="E4097" t="s">
        <v>678</v>
      </c>
    </row>
    <row r="4098" spans="1:5" hidden="1" x14ac:dyDescent="0.3">
      <c r="A4098" t="s">
        <v>552</v>
      </c>
      <c r="B4098" t="s">
        <v>678</v>
      </c>
      <c r="C4098" t="s">
        <v>363</v>
      </c>
      <c r="D4098" s="226">
        <v>0</v>
      </c>
      <c r="E4098" t="s">
        <v>678</v>
      </c>
    </row>
    <row r="4099" spans="1:5" hidden="1" x14ac:dyDescent="0.3">
      <c r="A4099" t="s">
        <v>552</v>
      </c>
      <c r="B4099" t="s">
        <v>678</v>
      </c>
      <c r="C4099" t="s">
        <v>364</v>
      </c>
      <c r="D4099" s="226">
        <v>0</v>
      </c>
      <c r="E4099" t="s">
        <v>678</v>
      </c>
    </row>
    <row r="4100" spans="1:5" hidden="1" x14ac:dyDescent="0.3">
      <c r="A4100" t="s">
        <v>552</v>
      </c>
      <c r="B4100" t="s">
        <v>678</v>
      </c>
      <c r="C4100" t="s">
        <v>365</v>
      </c>
      <c r="D4100" s="226">
        <v>0</v>
      </c>
      <c r="E4100" t="s">
        <v>678</v>
      </c>
    </row>
    <row r="4101" spans="1:5" hidden="1" x14ac:dyDescent="0.3">
      <c r="A4101" t="s">
        <v>552</v>
      </c>
      <c r="B4101" t="s">
        <v>678</v>
      </c>
      <c r="C4101" t="s">
        <v>366</v>
      </c>
      <c r="D4101" s="226">
        <v>0</v>
      </c>
      <c r="E4101" t="s">
        <v>678</v>
      </c>
    </row>
    <row r="4102" spans="1:5" hidden="1" x14ac:dyDescent="0.3">
      <c r="A4102" t="s">
        <v>552</v>
      </c>
      <c r="B4102" t="s">
        <v>678</v>
      </c>
      <c r="C4102" t="s">
        <v>367</v>
      </c>
      <c r="D4102" s="226">
        <v>0</v>
      </c>
      <c r="E4102" t="s">
        <v>678</v>
      </c>
    </row>
    <row r="4103" spans="1:5" hidden="1" x14ac:dyDescent="0.3">
      <c r="A4103" t="s">
        <v>552</v>
      </c>
      <c r="B4103" t="s">
        <v>678</v>
      </c>
      <c r="C4103" t="s">
        <v>368</v>
      </c>
      <c r="D4103" s="226">
        <v>0</v>
      </c>
      <c r="E4103" t="s">
        <v>678</v>
      </c>
    </row>
    <row r="4104" spans="1:5" hidden="1" x14ac:dyDescent="0.3">
      <c r="A4104" t="s">
        <v>552</v>
      </c>
      <c r="B4104" t="s">
        <v>678</v>
      </c>
      <c r="C4104" t="s">
        <v>369</v>
      </c>
      <c r="D4104" s="226">
        <v>0</v>
      </c>
      <c r="E4104" t="s">
        <v>678</v>
      </c>
    </row>
    <row r="4105" spans="1:5" hidden="1" x14ac:dyDescent="0.3">
      <c r="A4105" t="s">
        <v>552</v>
      </c>
      <c r="B4105" t="s">
        <v>678</v>
      </c>
      <c r="C4105" t="s">
        <v>370</v>
      </c>
      <c r="D4105" s="226">
        <v>0</v>
      </c>
      <c r="E4105" t="s">
        <v>678</v>
      </c>
    </row>
    <row r="4106" spans="1:5" hidden="1" x14ac:dyDescent="0.3">
      <c r="A4106" t="s">
        <v>552</v>
      </c>
      <c r="B4106" t="s">
        <v>678</v>
      </c>
      <c r="C4106" t="s">
        <v>371</v>
      </c>
      <c r="D4106" s="226">
        <v>0</v>
      </c>
      <c r="E4106" t="s">
        <v>678</v>
      </c>
    </row>
    <row r="4107" spans="1:5" hidden="1" x14ac:dyDescent="0.3">
      <c r="A4107" t="s">
        <v>552</v>
      </c>
      <c r="B4107" t="s">
        <v>678</v>
      </c>
      <c r="C4107" t="s">
        <v>372</v>
      </c>
      <c r="D4107" s="226">
        <v>-199687.73</v>
      </c>
      <c r="E4107" t="s">
        <v>678</v>
      </c>
    </row>
    <row r="4108" spans="1:5" hidden="1" x14ac:dyDescent="0.3">
      <c r="A4108" t="s">
        <v>552</v>
      </c>
      <c r="B4108" t="s">
        <v>678</v>
      </c>
      <c r="C4108" t="s">
        <v>373</v>
      </c>
      <c r="D4108" s="226">
        <v>2843611.87</v>
      </c>
      <c r="E4108" t="s">
        <v>678</v>
      </c>
    </row>
    <row r="4109" spans="1:5" hidden="1" x14ac:dyDescent="0.3">
      <c r="A4109" t="s">
        <v>552</v>
      </c>
      <c r="B4109" t="s">
        <v>678</v>
      </c>
      <c r="C4109" t="s">
        <v>655</v>
      </c>
      <c r="D4109" s="226">
        <v>0</v>
      </c>
      <c r="E4109" t="s">
        <v>678</v>
      </c>
    </row>
    <row r="4110" spans="1:5" hidden="1" x14ac:dyDescent="0.3">
      <c r="A4110" t="s">
        <v>552</v>
      </c>
      <c r="B4110" t="s">
        <v>679</v>
      </c>
      <c r="C4110" t="s">
        <v>11</v>
      </c>
      <c r="D4110" s="226">
        <v>1087953.08</v>
      </c>
      <c r="E4110" t="s">
        <v>680</v>
      </c>
    </row>
    <row r="4111" spans="1:5" hidden="1" x14ac:dyDescent="0.3">
      <c r="A4111" t="s">
        <v>552</v>
      </c>
      <c r="B4111" t="s">
        <v>679</v>
      </c>
      <c r="C4111" t="s">
        <v>13</v>
      </c>
      <c r="D4111" s="226">
        <v>545467</v>
      </c>
      <c r="E4111" t="s">
        <v>680</v>
      </c>
    </row>
    <row r="4112" spans="1:5" hidden="1" x14ac:dyDescent="0.3">
      <c r="A4112" t="s">
        <v>552</v>
      </c>
      <c r="B4112" t="s">
        <v>679</v>
      </c>
      <c r="C4112" t="s">
        <v>16</v>
      </c>
      <c r="D4112" s="226">
        <v>405413</v>
      </c>
      <c r="E4112" t="s">
        <v>680</v>
      </c>
    </row>
    <row r="4113" spans="1:5" hidden="1" x14ac:dyDescent="0.3">
      <c r="A4113" t="s">
        <v>552</v>
      </c>
      <c r="B4113" t="s">
        <v>679</v>
      </c>
      <c r="C4113" t="s">
        <v>17</v>
      </c>
      <c r="D4113" s="226">
        <v>0</v>
      </c>
      <c r="E4113" t="s">
        <v>680</v>
      </c>
    </row>
    <row r="4114" spans="1:5" hidden="1" x14ac:dyDescent="0.3">
      <c r="A4114" t="s">
        <v>552</v>
      </c>
      <c r="B4114" t="s">
        <v>679</v>
      </c>
      <c r="C4114" t="s">
        <v>18</v>
      </c>
      <c r="D4114" s="226">
        <v>0</v>
      </c>
      <c r="E4114" t="s">
        <v>680</v>
      </c>
    </row>
    <row r="4115" spans="1:5" hidden="1" x14ac:dyDescent="0.3">
      <c r="A4115" t="s">
        <v>552</v>
      </c>
      <c r="B4115" t="s">
        <v>679</v>
      </c>
      <c r="C4115" t="s">
        <v>20</v>
      </c>
      <c r="D4115" s="226">
        <v>120567.58</v>
      </c>
      <c r="E4115" t="s">
        <v>680</v>
      </c>
    </row>
    <row r="4116" spans="1:5" hidden="1" x14ac:dyDescent="0.3">
      <c r="A4116" t="s">
        <v>552</v>
      </c>
      <c r="B4116" t="s">
        <v>679</v>
      </c>
      <c r="C4116" t="s">
        <v>23</v>
      </c>
      <c r="D4116" s="226">
        <v>0</v>
      </c>
      <c r="E4116" t="s">
        <v>680</v>
      </c>
    </row>
    <row r="4117" spans="1:5" hidden="1" x14ac:dyDescent="0.3">
      <c r="A4117" t="s">
        <v>552</v>
      </c>
      <c r="B4117" t="s">
        <v>679</v>
      </c>
      <c r="C4117" t="s">
        <v>25</v>
      </c>
      <c r="D4117" s="226">
        <v>0</v>
      </c>
      <c r="E4117" t="s">
        <v>680</v>
      </c>
    </row>
    <row r="4118" spans="1:5" hidden="1" x14ac:dyDescent="0.3">
      <c r="A4118" t="s">
        <v>552</v>
      </c>
      <c r="B4118" t="s">
        <v>679</v>
      </c>
      <c r="C4118" t="s">
        <v>26</v>
      </c>
      <c r="D4118" s="226">
        <v>0</v>
      </c>
      <c r="E4118" t="s">
        <v>680</v>
      </c>
    </row>
    <row r="4119" spans="1:5" hidden="1" x14ac:dyDescent="0.3">
      <c r="A4119" t="s">
        <v>552</v>
      </c>
      <c r="B4119" t="s">
        <v>679</v>
      </c>
      <c r="C4119" t="s">
        <v>27</v>
      </c>
      <c r="D4119" s="226">
        <v>0</v>
      </c>
      <c r="E4119" t="s">
        <v>680</v>
      </c>
    </row>
    <row r="4120" spans="1:5" hidden="1" x14ac:dyDescent="0.3">
      <c r="A4120" t="s">
        <v>552</v>
      </c>
      <c r="B4120" t="s">
        <v>679</v>
      </c>
      <c r="C4120" t="s">
        <v>29</v>
      </c>
      <c r="D4120" s="226">
        <v>15439</v>
      </c>
      <c r="E4120" t="s">
        <v>680</v>
      </c>
    </row>
    <row r="4121" spans="1:5" hidden="1" x14ac:dyDescent="0.3">
      <c r="A4121" t="s">
        <v>552</v>
      </c>
      <c r="B4121" t="s">
        <v>679</v>
      </c>
      <c r="C4121" t="s">
        <v>31</v>
      </c>
      <c r="D4121" s="226">
        <v>1066.5</v>
      </c>
      <c r="E4121" t="s">
        <v>680</v>
      </c>
    </row>
    <row r="4122" spans="1:5" hidden="1" x14ac:dyDescent="0.3">
      <c r="A4122" t="s">
        <v>552</v>
      </c>
      <c r="B4122" t="s">
        <v>679</v>
      </c>
      <c r="C4122" t="s">
        <v>34</v>
      </c>
      <c r="D4122" s="226">
        <v>-15436.51</v>
      </c>
      <c r="E4122" t="s">
        <v>680</v>
      </c>
    </row>
    <row r="4123" spans="1:5" hidden="1" x14ac:dyDescent="0.3">
      <c r="A4123" t="s">
        <v>552</v>
      </c>
      <c r="B4123" t="s">
        <v>679</v>
      </c>
      <c r="C4123" t="s">
        <v>38</v>
      </c>
      <c r="D4123" s="226">
        <v>-3449.49</v>
      </c>
      <c r="E4123" t="s">
        <v>680</v>
      </c>
    </row>
    <row r="4124" spans="1:5" hidden="1" x14ac:dyDescent="0.3">
      <c r="A4124" t="s">
        <v>552</v>
      </c>
      <c r="B4124" t="s">
        <v>679</v>
      </c>
      <c r="C4124" t="s">
        <v>40</v>
      </c>
      <c r="D4124" s="226">
        <v>-11987.02</v>
      </c>
      <c r="E4124" t="s">
        <v>680</v>
      </c>
    </row>
    <row r="4125" spans="1:5" hidden="1" x14ac:dyDescent="0.3">
      <c r="A4125" t="s">
        <v>552</v>
      </c>
      <c r="B4125" t="s">
        <v>679</v>
      </c>
      <c r="C4125" t="s">
        <v>42</v>
      </c>
      <c r="D4125" s="226">
        <v>0</v>
      </c>
      <c r="E4125" t="s">
        <v>680</v>
      </c>
    </row>
    <row r="4126" spans="1:5" hidden="1" x14ac:dyDescent="0.3">
      <c r="A4126" t="s">
        <v>552</v>
      </c>
      <c r="B4126" t="s">
        <v>679</v>
      </c>
      <c r="C4126" t="s">
        <v>44</v>
      </c>
      <c r="D4126" s="226">
        <v>-0.01</v>
      </c>
      <c r="E4126" t="s">
        <v>680</v>
      </c>
    </row>
    <row r="4127" spans="1:5" hidden="1" x14ac:dyDescent="0.3">
      <c r="A4127" t="s">
        <v>552</v>
      </c>
      <c r="B4127" t="s">
        <v>679</v>
      </c>
      <c r="C4127" t="s">
        <v>45</v>
      </c>
      <c r="D4127" s="226">
        <v>-72976.91</v>
      </c>
      <c r="E4127" t="s">
        <v>680</v>
      </c>
    </row>
    <row r="4128" spans="1:5" hidden="1" x14ac:dyDescent="0.3">
      <c r="A4128" t="s">
        <v>552</v>
      </c>
      <c r="B4128" t="s">
        <v>679</v>
      </c>
      <c r="C4128" t="s">
        <v>46</v>
      </c>
      <c r="D4128" s="226">
        <v>-39146.85</v>
      </c>
      <c r="E4128" t="s">
        <v>680</v>
      </c>
    </row>
    <row r="4129" spans="1:5" hidden="1" x14ac:dyDescent="0.3">
      <c r="A4129" t="s">
        <v>552</v>
      </c>
      <c r="B4129" t="s">
        <v>679</v>
      </c>
      <c r="C4129" t="s">
        <v>48</v>
      </c>
      <c r="D4129" s="226">
        <v>-33830.06</v>
      </c>
      <c r="E4129" t="s">
        <v>680</v>
      </c>
    </row>
    <row r="4130" spans="1:5" hidden="1" x14ac:dyDescent="0.3">
      <c r="A4130" t="s">
        <v>552</v>
      </c>
      <c r="B4130" t="s">
        <v>679</v>
      </c>
      <c r="C4130" t="s">
        <v>49</v>
      </c>
      <c r="D4130" s="226">
        <v>0</v>
      </c>
      <c r="E4130" t="s">
        <v>680</v>
      </c>
    </row>
    <row r="4131" spans="1:5" hidden="1" x14ac:dyDescent="0.3">
      <c r="A4131" t="s">
        <v>552</v>
      </c>
      <c r="B4131" t="s">
        <v>679</v>
      </c>
      <c r="C4131" t="s">
        <v>50</v>
      </c>
      <c r="D4131" s="226">
        <v>999539.66</v>
      </c>
      <c r="E4131" t="s">
        <v>680</v>
      </c>
    </row>
    <row r="4132" spans="1:5" hidden="1" x14ac:dyDescent="0.3">
      <c r="A4132" t="s">
        <v>552</v>
      </c>
      <c r="B4132" t="s">
        <v>679</v>
      </c>
      <c r="C4132" t="s">
        <v>51</v>
      </c>
      <c r="D4132" s="226">
        <v>-297796.65000000002</v>
      </c>
      <c r="E4132" t="s">
        <v>680</v>
      </c>
    </row>
    <row r="4133" spans="1:5" hidden="1" x14ac:dyDescent="0.3">
      <c r="A4133" t="s">
        <v>552</v>
      </c>
      <c r="B4133" t="s">
        <v>679</v>
      </c>
      <c r="C4133" t="s">
        <v>52</v>
      </c>
      <c r="D4133" s="226">
        <v>-202286.4</v>
      </c>
      <c r="E4133" t="s">
        <v>680</v>
      </c>
    </row>
    <row r="4134" spans="1:5" hidden="1" x14ac:dyDescent="0.3">
      <c r="A4134" t="s">
        <v>552</v>
      </c>
      <c r="B4134" t="s">
        <v>679</v>
      </c>
      <c r="C4134" t="s">
        <v>53</v>
      </c>
      <c r="D4134" s="226">
        <v>-95510.25</v>
      </c>
      <c r="E4134" t="s">
        <v>680</v>
      </c>
    </row>
    <row r="4135" spans="1:5" hidden="1" x14ac:dyDescent="0.3">
      <c r="A4135" t="s">
        <v>552</v>
      </c>
      <c r="B4135" t="s">
        <v>679</v>
      </c>
      <c r="C4135" t="s">
        <v>54</v>
      </c>
      <c r="D4135" s="226">
        <v>0</v>
      </c>
      <c r="E4135" t="s">
        <v>680</v>
      </c>
    </row>
    <row r="4136" spans="1:5" hidden="1" x14ac:dyDescent="0.3">
      <c r="A4136" t="s">
        <v>552</v>
      </c>
      <c r="B4136" t="s">
        <v>679</v>
      </c>
      <c r="C4136" t="s">
        <v>23</v>
      </c>
      <c r="D4136" s="226">
        <v>0</v>
      </c>
      <c r="E4136" t="s">
        <v>680</v>
      </c>
    </row>
    <row r="4137" spans="1:5" hidden="1" x14ac:dyDescent="0.3">
      <c r="A4137" t="s">
        <v>552</v>
      </c>
      <c r="B4137" t="s">
        <v>679</v>
      </c>
      <c r="C4137" t="s">
        <v>44</v>
      </c>
      <c r="D4137" s="226">
        <v>-0.31</v>
      </c>
      <c r="E4137" t="s">
        <v>680</v>
      </c>
    </row>
    <row r="4138" spans="1:5" hidden="1" x14ac:dyDescent="0.3">
      <c r="A4138" t="s">
        <v>552</v>
      </c>
      <c r="B4138" t="s">
        <v>679</v>
      </c>
      <c r="C4138" t="s">
        <v>55</v>
      </c>
      <c r="D4138" s="226">
        <v>-0.3</v>
      </c>
      <c r="E4138" t="s">
        <v>680</v>
      </c>
    </row>
    <row r="4139" spans="1:5" hidden="1" x14ac:dyDescent="0.3">
      <c r="A4139" t="s">
        <v>552</v>
      </c>
      <c r="B4139" t="s">
        <v>679</v>
      </c>
      <c r="C4139" t="s">
        <v>56</v>
      </c>
      <c r="D4139" s="226">
        <v>0</v>
      </c>
      <c r="E4139" t="s">
        <v>680</v>
      </c>
    </row>
    <row r="4140" spans="1:5" hidden="1" x14ac:dyDescent="0.3">
      <c r="A4140" t="s">
        <v>552</v>
      </c>
      <c r="B4140" t="s">
        <v>679</v>
      </c>
      <c r="C4140" t="s">
        <v>57</v>
      </c>
      <c r="D4140" s="226">
        <v>0</v>
      </c>
      <c r="E4140" t="s">
        <v>680</v>
      </c>
    </row>
    <row r="4141" spans="1:5" hidden="1" x14ac:dyDescent="0.3">
      <c r="A4141" t="s">
        <v>552</v>
      </c>
      <c r="B4141" t="s">
        <v>679</v>
      </c>
      <c r="C4141" t="s">
        <v>58</v>
      </c>
      <c r="D4141" s="226">
        <v>0</v>
      </c>
      <c r="E4141" t="s">
        <v>680</v>
      </c>
    </row>
    <row r="4142" spans="1:5" hidden="1" x14ac:dyDescent="0.3">
      <c r="A4142" t="s">
        <v>552</v>
      </c>
      <c r="B4142" t="s">
        <v>679</v>
      </c>
      <c r="C4142" t="s">
        <v>59</v>
      </c>
      <c r="D4142" s="226">
        <v>0</v>
      </c>
      <c r="E4142" t="s">
        <v>680</v>
      </c>
    </row>
    <row r="4143" spans="1:5" hidden="1" x14ac:dyDescent="0.3">
      <c r="A4143" t="s">
        <v>552</v>
      </c>
      <c r="B4143" t="s">
        <v>679</v>
      </c>
      <c r="C4143" t="s">
        <v>61</v>
      </c>
      <c r="D4143" s="226">
        <v>0</v>
      </c>
      <c r="E4143" t="s">
        <v>680</v>
      </c>
    </row>
    <row r="4144" spans="1:5" hidden="1" x14ac:dyDescent="0.3">
      <c r="A4144" t="s">
        <v>552</v>
      </c>
      <c r="B4144" t="s">
        <v>679</v>
      </c>
      <c r="C4144" t="s">
        <v>62</v>
      </c>
      <c r="D4144" s="226">
        <v>0</v>
      </c>
      <c r="E4144" t="s">
        <v>680</v>
      </c>
    </row>
    <row r="4145" spans="1:5" hidden="1" x14ac:dyDescent="0.3">
      <c r="A4145" t="s">
        <v>552</v>
      </c>
      <c r="B4145" t="s">
        <v>679</v>
      </c>
      <c r="C4145" t="s">
        <v>64</v>
      </c>
      <c r="D4145" s="226">
        <v>0</v>
      </c>
      <c r="E4145" t="s">
        <v>680</v>
      </c>
    </row>
    <row r="4146" spans="1:5" hidden="1" x14ac:dyDescent="0.3">
      <c r="A4146" t="s">
        <v>552</v>
      </c>
      <c r="B4146" t="s">
        <v>679</v>
      </c>
      <c r="C4146" t="s">
        <v>65</v>
      </c>
      <c r="D4146" s="226">
        <v>0</v>
      </c>
      <c r="E4146" t="s">
        <v>680</v>
      </c>
    </row>
    <row r="4147" spans="1:5" hidden="1" x14ac:dyDescent="0.3">
      <c r="A4147" t="s">
        <v>552</v>
      </c>
      <c r="B4147" t="s">
        <v>679</v>
      </c>
      <c r="C4147" t="s">
        <v>66</v>
      </c>
      <c r="D4147" s="226">
        <v>0</v>
      </c>
      <c r="E4147" t="s">
        <v>680</v>
      </c>
    </row>
    <row r="4148" spans="1:5" hidden="1" x14ac:dyDescent="0.3">
      <c r="A4148" t="s">
        <v>552</v>
      </c>
      <c r="B4148" t="s">
        <v>679</v>
      </c>
      <c r="C4148" t="s">
        <v>68</v>
      </c>
      <c r="D4148" s="226">
        <v>0</v>
      </c>
      <c r="E4148" t="s">
        <v>680</v>
      </c>
    </row>
    <row r="4149" spans="1:5" hidden="1" x14ac:dyDescent="0.3">
      <c r="A4149" t="s">
        <v>552</v>
      </c>
      <c r="B4149" t="s">
        <v>679</v>
      </c>
      <c r="C4149" t="s">
        <v>69</v>
      </c>
      <c r="D4149" s="226">
        <v>0</v>
      </c>
      <c r="E4149" t="s">
        <v>680</v>
      </c>
    </row>
    <row r="4150" spans="1:5" hidden="1" x14ac:dyDescent="0.3">
      <c r="A4150" t="s">
        <v>552</v>
      </c>
      <c r="B4150" t="s">
        <v>679</v>
      </c>
      <c r="C4150" t="s">
        <v>70</v>
      </c>
      <c r="D4150" s="226">
        <v>0</v>
      </c>
      <c r="E4150" t="s">
        <v>680</v>
      </c>
    </row>
    <row r="4151" spans="1:5" hidden="1" x14ac:dyDescent="0.3">
      <c r="A4151" t="s">
        <v>552</v>
      </c>
      <c r="B4151" t="s">
        <v>679</v>
      </c>
      <c r="C4151" t="s">
        <v>44</v>
      </c>
      <c r="D4151" s="226">
        <v>0</v>
      </c>
      <c r="E4151" t="s">
        <v>680</v>
      </c>
    </row>
    <row r="4152" spans="1:5" hidden="1" x14ac:dyDescent="0.3">
      <c r="A4152" t="s">
        <v>552</v>
      </c>
      <c r="B4152" t="s">
        <v>679</v>
      </c>
      <c r="C4152" t="s">
        <v>71</v>
      </c>
      <c r="D4152" s="226">
        <v>-2776.01</v>
      </c>
      <c r="E4152" t="s">
        <v>680</v>
      </c>
    </row>
    <row r="4153" spans="1:5" hidden="1" x14ac:dyDescent="0.3">
      <c r="A4153" t="s">
        <v>552</v>
      </c>
      <c r="B4153" t="s">
        <v>679</v>
      </c>
      <c r="C4153" t="s">
        <v>72</v>
      </c>
      <c r="D4153" s="226">
        <v>-2185.0100000000002</v>
      </c>
      <c r="E4153" t="s">
        <v>680</v>
      </c>
    </row>
    <row r="4154" spans="1:5" hidden="1" x14ac:dyDescent="0.3">
      <c r="A4154" t="s">
        <v>552</v>
      </c>
      <c r="B4154" t="s">
        <v>679</v>
      </c>
      <c r="C4154" t="s">
        <v>73</v>
      </c>
      <c r="D4154" s="226">
        <v>-2000</v>
      </c>
      <c r="E4154" t="s">
        <v>680</v>
      </c>
    </row>
    <row r="4155" spans="1:5" hidden="1" x14ac:dyDescent="0.3">
      <c r="A4155" t="s">
        <v>552</v>
      </c>
      <c r="B4155" t="s">
        <v>679</v>
      </c>
      <c r="C4155" t="s">
        <v>75</v>
      </c>
      <c r="D4155" s="226">
        <v>-185.01</v>
      </c>
      <c r="E4155" t="s">
        <v>680</v>
      </c>
    </row>
    <row r="4156" spans="1:5" hidden="1" x14ac:dyDescent="0.3">
      <c r="A4156" t="s">
        <v>552</v>
      </c>
      <c r="B4156" t="s">
        <v>679</v>
      </c>
      <c r="C4156" t="s">
        <v>77</v>
      </c>
      <c r="D4156" s="226">
        <v>0</v>
      </c>
      <c r="E4156" t="s">
        <v>680</v>
      </c>
    </row>
    <row r="4157" spans="1:5" hidden="1" x14ac:dyDescent="0.3">
      <c r="A4157" t="s">
        <v>552</v>
      </c>
      <c r="B4157" t="s">
        <v>679</v>
      </c>
      <c r="C4157" t="s">
        <v>78</v>
      </c>
      <c r="D4157" s="226">
        <v>0</v>
      </c>
      <c r="E4157" t="s">
        <v>680</v>
      </c>
    </row>
    <row r="4158" spans="1:5" hidden="1" x14ac:dyDescent="0.3">
      <c r="A4158" t="s">
        <v>552</v>
      </c>
      <c r="B4158" t="s">
        <v>679</v>
      </c>
      <c r="C4158" t="s">
        <v>80</v>
      </c>
      <c r="D4158" s="226">
        <v>0</v>
      </c>
      <c r="E4158" t="s">
        <v>680</v>
      </c>
    </row>
    <row r="4159" spans="1:5" hidden="1" x14ac:dyDescent="0.3">
      <c r="A4159" t="s">
        <v>552</v>
      </c>
      <c r="B4159" t="s">
        <v>679</v>
      </c>
      <c r="C4159" t="s">
        <v>82</v>
      </c>
      <c r="D4159" s="226">
        <v>0</v>
      </c>
      <c r="E4159" t="s">
        <v>680</v>
      </c>
    </row>
    <row r="4160" spans="1:5" hidden="1" x14ac:dyDescent="0.3">
      <c r="A4160" t="s">
        <v>552</v>
      </c>
      <c r="B4160" t="s">
        <v>679</v>
      </c>
      <c r="C4160" t="s">
        <v>84</v>
      </c>
      <c r="D4160" s="226">
        <v>0</v>
      </c>
      <c r="E4160" t="s">
        <v>680</v>
      </c>
    </row>
    <row r="4161" spans="1:5" hidden="1" x14ac:dyDescent="0.3">
      <c r="A4161" t="s">
        <v>552</v>
      </c>
      <c r="B4161" t="s">
        <v>679</v>
      </c>
      <c r="C4161" t="s">
        <v>85</v>
      </c>
      <c r="D4161" s="226">
        <v>0</v>
      </c>
      <c r="E4161" t="s">
        <v>680</v>
      </c>
    </row>
    <row r="4162" spans="1:5" hidden="1" x14ac:dyDescent="0.3">
      <c r="A4162" t="s">
        <v>552</v>
      </c>
      <c r="B4162" t="s">
        <v>679</v>
      </c>
      <c r="C4162" t="s">
        <v>86</v>
      </c>
      <c r="D4162" s="226">
        <v>0</v>
      </c>
      <c r="E4162" t="s">
        <v>680</v>
      </c>
    </row>
    <row r="4163" spans="1:5" hidden="1" x14ac:dyDescent="0.3">
      <c r="A4163" t="s">
        <v>552</v>
      </c>
      <c r="B4163" t="s">
        <v>679</v>
      </c>
      <c r="C4163" t="s">
        <v>87</v>
      </c>
      <c r="D4163" s="226">
        <v>0</v>
      </c>
      <c r="E4163" t="s">
        <v>680</v>
      </c>
    </row>
    <row r="4164" spans="1:5" hidden="1" x14ac:dyDescent="0.3">
      <c r="A4164" t="s">
        <v>552</v>
      </c>
      <c r="B4164" t="s">
        <v>679</v>
      </c>
      <c r="C4164" t="s">
        <v>88</v>
      </c>
      <c r="D4164" s="226">
        <v>0</v>
      </c>
      <c r="E4164" t="s">
        <v>680</v>
      </c>
    </row>
    <row r="4165" spans="1:5" hidden="1" x14ac:dyDescent="0.3">
      <c r="A4165" t="s">
        <v>552</v>
      </c>
      <c r="B4165" t="s">
        <v>679</v>
      </c>
      <c r="C4165" t="s">
        <v>89</v>
      </c>
      <c r="D4165" s="226">
        <v>0</v>
      </c>
      <c r="E4165" t="s">
        <v>680</v>
      </c>
    </row>
    <row r="4166" spans="1:5" hidden="1" x14ac:dyDescent="0.3">
      <c r="A4166" t="s">
        <v>552</v>
      </c>
      <c r="B4166" t="s">
        <v>679</v>
      </c>
      <c r="C4166" t="s">
        <v>90</v>
      </c>
      <c r="D4166" s="226">
        <v>0</v>
      </c>
      <c r="E4166" t="s">
        <v>680</v>
      </c>
    </row>
    <row r="4167" spans="1:5" hidden="1" x14ac:dyDescent="0.3">
      <c r="A4167" t="s">
        <v>552</v>
      </c>
      <c r="B4167" t="s">
        <v>679</v>
      </c>
      <c r="C4167" t="s">
        <v>91</v>
      </c>
      <c r="D4167" s="226">
        <v>0</v>
      </c>
      <c r="E4167" t="s">
        <v>680</v>
      </c>
    </row>
    <row r="4168" spans="1:5" hidden="1" x14ac:dyDescent="0.3">
      <c r="A4168" t="s">
        <v>552</v>
      </c>
      <c r="B4168" t="s">
        <v>679</v>
      </c>
      <c r="C4168" t="s">
        <v>93</v>
      </c>
      <c r="D4168" s="226">
        <v>0</v>
      </c>
      <c r="E4168" t="s">
        <v>680</v>
      </c>
    </row>
    <row r="4169" spans="1:5" hidden="1" x14ac:dyDescent="0.3">
      <c r="A4169" t="s">
        <v>552</v>
      </c>
      <c r="B4169" t="s">
        <v>679</v>
      </c>
      <c r="C4169" t="s">
        <v>95</v>
      </c>
      <c r="D4169" s="226">
        <v>0</v>
      </c>
      <c r="E4169" t="s">
        <v>680</v>
      </c>
    </row>
    <row r="4170" spans="1:5" hidden="1" x14ac:dyDescent="0.3">
      <c r="A4170" t="s">
        <v>552</v>
      </c>
      <c r="B4170" t="s">
        <v>679</v>
      </c>
      <c r="C4170" t="s">
        <v>96</v>
      </c>
      <c r="D4170" s="226">
        <v>0</v>
      </c>
      <c r="E4170" t="s">
        <v>680</v>
      </c>
    </row>
    <row r="4171" spans="1:5" hidden="1" x14ac:dyDescent="0.3">
      <c r="A4171" t="s">
        <v>552</v>
      </c>
      <c r="B4171" t="s">
        <v>679</v>
      </c>
      <c r="C4171" t="s">
        <v>98</v>
      </c>
      <c r="D4171" s="226">
        <v>0</v>
      </c>
      <c r="E4171" t="s">
        <v>680</v>
      </c>
    </row>
    <row r="4172" spans="1:5" hidden="1" x14ac:dyDescent="0.3">
      <c r="A4172" t="s">
        <v>552</v>
      </c>
      <c r="B4172" t="s">
        <v>679</v>
      </c>
      <c r="C4172" t="s">
        <v>100</v>
      </c>
      <c r="D4172" s="226">
        <v>0</v>
      </c>
      <c r="E4172" t="s">
        <v>680</v>
      </c>
    </row>
    <row r="4173" spans="1:5" hidden="1" x14ac:dyDescent="0.3">
      <c r="A4173" t="s">
        <v>552</v>
      </c>
      <c r="B4173" t="s">
        <v>679</v>
      </c>
      <c r="C4173" t="s">
        <v>101</v>
      </c>
      <c r="D4173" s="226">
        <v>-591</v>
      </c>
      <c r="E4173" t="s">
        <v>680</v>
      </c>
    </row>
    <row r="4174" spans="1:5" hidden="1" x14ac:dyDescent="0.3">
      <c r="A4174" t="s">
        <v>552</v>
      </c>
      <c r="B4174" t="s">
        <v>679</v>
      </c>
      <c r="C4174" t="s">
        <v>102</v>
      </c>
      <c r="D4174" s="226">
        <v>-591</v>
      </c>
      <c r="E4174" t="s">
        <v>680</v>
      </c>
    </row>
    <row r="4175" spans="1:5" hidden="1" x14ac:dyDescent="0.3">
      <c r="A4175" t="s">
        <v>552</v>
      </c>
      <c r="B4175" t="s">
        <v>679</v>
      </c>
      <c r="C4175" t="s">
        <v>103</v>
      </c>
      <c r="D4175" s="226">
        <v>0</v>
      </c>
      <c r="E4175" t="s">
        <v>680</v>
      </c>
    </row>
    <row r="4176" spans="1:5" hidden="1" x14ac:dyDescent="0.3">
      <c r="A4176" t="s">
        <v>552</v>
      </c>
      <c r="B4176" t="s">
        <v>679</v>
      </c>
      <c r="C4176" t="s">
        <v>104</v>
      </c>
      <c r="D4176" s="226">
        <v>0</v>
      </c>
      <c r="E4176" t="s">
        <v>680</v>
      </c>
    </row>
    <row r="4177" spans="1:5" hidden="1" x14ac:dyDescent="0.3">
      <c r="A4177" t="s">
        <v>552</v>
      </c>
      <c r="B4177" t="s">
        <v>679</v>
      </c>
      <c r="C4177" t="s">
        <v>105</v>
      </c>
      <c r="D4177" s="226">
        <v>0</v>
      </c>
      <c r="E4177" t="s">
        <v>680</v>
      </c>
    </row>
    <row r="4178" spans="1:5" hidden="1" x14ac:dyDescent="0.3">
      <c r="A4178" t="s">
        <v>552</v>
      </c>
      <c r="B4178" t="s">
        <v>679</v>
      </c>
      <c r="C4178" t="s">
        <v>107</v>
      </c>
      <c r="D4178" s="226">
        <v>0</v>
      </c>
      <c r="E4178" t="s">
        <v>680</v>
      </c>
    </row>
    <row r="4179" spans="1:5" hidden="1" x14ac:dyDescent="0.3">
      <c r="A4179" t="s">
        <v>552</v>
      </c>
      <c r="B4179" t="s">
        <v>679</v>
      </c>
      <c r="C4179" t="s">
        <v>108</v>
      </c>
      <c r="D4179" s="226">
        <v>0</v>
      </c>
      <c r="E4179" t="s">
        <v>680</v>
      </c>
    </row>
    <row r="4180" spans="1:5" hidden="1" x14ac:dyDescent="0.3">
      <c r="A4180" t="s">
        <v>552</v>
      </c>
      <c r="B4180" t="s">
        <v>679</v>
      </c>
      <c r="C4180" t="s">
        <v>109</v>
      </c>
      <c r="D4180" s="226">
        <v>0</v>
      </c>
      <c r="E4180" t="s">
        <v>680</v>
      </c>
    </row>
    <row r="4181" spans="1:5" hidden="1" x14ac:dyDescent="0.3">
      <c r="A4181" t="s">
        <v>552</v>
      </c>
      <c r="B4181" t="s">
        <v>679</v>
      </c>
      <c r="C4181" t="s">
        <v>110</v>
      </c>
      <c r="D4181" s="226">
        <v>0</v>
      </c>
      <c r="E4181" t="s">
        <v>680</v>
      </c>
    </row>
    <row r="4182" spans="1:5" hidden="1" x14ac:dyDescent="0.3">
      <c r="A4182" t="s">
        <v>552</v>
      </c>
      <c r="B4182" t="s">
        <v>679</v>
      </c>
      <c r="C4182" t="s">
        <v>44</v>
      </c>
      <c r="D4182" s="226">
        <v>0</v>
      </c>
      <c r="E4182" t="s">
        <v>680</v>
      </c>
    </row>
    <row r="4183" spans="1:5" hidden="1" x14ac:dyDescent="0.3">
      <c r="A4183" t="s">
        <v>552</v>
      </c>
      <c r="B4183" t="s">
        <v>679</v>
      </c>
      <c r="C4183" t="s">
        <v>111</v>
      </c>
      <c r="D4183" s="226">
        <v>-87060</v>
      </c>
      <c r="E4183" t="s">
        <v>680</v>
      </c>
    </row>
    <row r="4184" spans="1:5" hidden="1" x14ac:dyDescent="0.3">
      <c r="A4184" t="s">
        <v>552</v>
      </c>
      <c r="B4184" t="s">
        <v>679</v>
      </c>
      <c r="C4184" t="s">
        <v>555</v>
      </c>
      <c r="D4184" s="226">
        <v>-87060</v>
      </c>
      <c r="E4184" t="s">
        <v>680</v>
      </c>
    </row>
    <row r="4185" spans="1:5" hidden="1" x14ac:dyDescent="0.3">
      <c r="A4185" t="s">
        <v>552</v>
      </c>
      <c r="B4185" t="s">
        <v>679</v>
      </c>
      <c r="C4185" t="s">
        <v>44</v>
      </c>
      <c r="D4185" s="226">
        <v>-0.08</v>
      </c>
      <c r="E4185" t="s">
        <v>680</v>
      </c>
    </row>
    <row r="4186" spans="1:5" hidden="1" x14ac:dyDescent="0.3">
      <c r="A4186" t="s">
        <v>552</v>
      </c>
      <c r="B4186" t="s">
        <v>679</v>
      </c>
      <c r="C4186" t="s">
        <v>115</v>
      </c>
      <c r="D4186" s="226">
        <v>-16188.31</v>
      </c>
      <c r="E4186" t="s">
        <v>680</v>
      </c>
    </row>
    <row r="4187" spans="1:5" hidden="1" x14ac:dyDescent="0.3">
      <c r="A4187" t="s">
        <v>552</v>
      </c>
      <c r="B4187" t="s">
        <v>679</v>
      </c>
      <c r="C4187" t="s">
        <v>116</v>
      </c>
      <c r="D4187" s="226">
        <v>-13753.09</v>
      </c>
      <c r="E4187" t="s">
        <v>680</v>
      </c>
    </row>
    <row r="4188" spans="1:5" hidden="1" x14ac:dyDescent="0.3">
      <c r="A4188" t="s">
        <v>552</v>
      </c>
      <c r="B4188" t="s">
        <v>679</v>
      </c>
      <c r="C4188" t="s">
        <v>118</v>
      </c>
      <c r="D4188" s="226">
        <v>-2366.2199999999998</v>
      </c>
      <c r="E4188" t="s">
        <v>680</v>
      </c>
    </row>
    <row r="4189" spans="1:5" hidden="1" x14ac:dyDescent="0.3">
      <c r="A4189" t="s">
        <v>552</v>
      </c>
      <c r="B4189" t="s">
        <v>679</v>
      </c>
      <c r="C4189" t="s">
        <v>120</v>
      </c>
      <c r="D4189" s="226">
        <v>0</v>
      </c>
      <c r="E4189" t="s">
        <v>680</v>
      </c>
    </row>
    <row r="4190" spans="1:5" hidden="1" x14ac:dyDescent="0.3">
      <c r="A4190" t="s">
        <v>552</v>
      </c>
      <c r="B4190" t="s">
        <v>679</v>
      </c>
      <c r="C4190" t="s">
        <v>122</v>
      </c>
      <c r="D4190" s="226">
        <v>-69</v>
      </c>
      <c r="E4190" t="s">
        <v>680</v>
      </c>
    </row>
    <row r="4191" spans="1:5" hidden="1" x14ac:dyDescent="0.3">
      <c r="A4191" t="s">
        <v>552</v>
      </c>
      <c r="B4191" t="s">
        <v>679</v>
      </c>
      <c r="C4191" t="s">
        <v>44</v>
      </c>
      <c r="D4191" s="226">
        <v>-0.01</v>
      </c>
      <c r="E4191" t="s">
        <v>680</v>
      </c>
    </row>
    <row r="4192" spans="1:5" hidden="1" x14ac:dyDescent="0.3">
      <c r="A4192" t="s">
        <v>552</v>
      </c>
      <c r="B4192" t="s">
        <v>679</v>
      </c>
      <c r="C4192" t="s">
        <v>125</v>
      </c>
      <c r="D4192" s="226">
        <v>595718.68999999994</v>
      </c>
      <c r="E4192" t="s">
        <v>680</v>
      </c>
    </row>
    <row r="4193" spans="1:5" hidden="1" x14ac:dyDescent="0.3">
      <c r="A4193" t="s">
        <v>552</v>
      </c>
      <c r="B4193" t="s">
        <v>679</v>
      </c>
      <c r="C4193" t="s">
        <v>126</v>
      </c>
      <c r="D4193" s="226">
        <v>0.55000000000000004</v>
      </c>
      <c r="E4193" t="s">
        <v>680</v>
      </c>
    </row>
    <row r="4194" spans="1:5" hidden="1" x14ac:dyDescent="0.3">
      <c r="A4194" t="s">
        <v>552</v>
      </c>
      <c r="B4194" t="s">
        <v>679</v>
      </c>
      <c r="C4194" t="s">
        <v>127</v>
      </c>
      <c r="D4194" s="226">
        <v>-266392.5</v>
      </c>
      <c r="E4194" t="s">
        <v>680</v>
      </c>
    </row>
    <row r="4195" spans="1:5" hidden="1" x14ac:dyDescent="0.3">
      <c r="A4195" t="s">
        <v>552</v>
      </c>
      <c r="B4195" t="s">
        <v>679</v>
      </c>
      <c r="C4195" t="s">
        <v>128</v>
      </c>
      <c r="D4195" s="226">
        <v>-43150</v>
      </c>
      <c r="E4195" t="s">
        <v>680</v>
      </c>
    </row>
    <row r="4196" spans="1:5" hidden="1" x14ac:dyDescent="0.3">
      <c r="A4196" t="s">
        <v>552</v>
      </c>
      <c r="B4196" t="s">
        <v>679</v>
      </c>
      <c r="C4196" t="s">
        <v>556</v>
      </c>
      <c r="D4196" s="226">
        <v>-10450</v>
      </c>
      <c r="E4196" t="s">
        <v>680</v>
      </c>
    </row>
    <row r="4197" spans="1:5" hidden="1" x14ac:dyDescent="0.3">
      <c r="A4197" t="s">
        <v>552</v>
      </c>
      <c r="B4197" t="s">
        <v>679</v>
      </c>
      <c r="C4197" t="s">
        <v>557</v>
      </c>
      <c r="D4197" s="226">
        <v>-6600</v>
      </c>
      <c r="E4197" t="s">
        <v>680</v>
      </c>
    </row>
    <row r="4198" spans="1:5" hidden="1" x14ac:dyDescent="0.3">
      <c r="A4198" t="s">
        <v>552</v>
      </c>
      <c r="B4198" t="s">
        <v>679</v>
      </c>
      <c r="C4198" t="s">
        <v>558</v>
      </c>
      <c r="D4198" s="226">
        <v>0</v>
      </c>
      <c r="E4198" t="s">
        <v>680</v>
      </c>
    </row>
    <row r="4199" spans="1:5" hidden="1" x14ac:dyDescent="0.3">
      <c r="A4199" t="s">
        <v>552</v>
      </c>
      <c r="B4199" t="s">
        <v>679</v>
      </c>
      <c r="C4199" t="s">
        <v>559</v>
      </c>
      <c r="D4199" s="226">
        <v>-12600</v>
      </c>
      <c r="E4199" t="s">
        <v>680</v>
      </c>
    </row>
    <row r="4200" spans="1:5" hidden="1" x14ac:dyDescent="0.3">
      <c r="A4200" t="s">
        <v>552</v>
      </c>
      <c r="B4200" t="s">
        <v>679</v>
      </c>
      <c r="C4200" t="s">
        <v>560</v>
      </c>
      <c r="D4200" s="226">
        <v>-2500</v>
      </c>
      <c r="E4200" t="s">
        <v>680</v>
      </c>
    </row>
    <row r="4201" spans="1:5" hidden="1" x14ac:dyDescent="0.3">
      <c r="A4201" t="s">
        <v>552</v>
      </c>
      <c r="B4201" t="s">
        <v>679</v>
      </c>
      <c r="C4201" t="s">
        <v>561</v>
      </c>
      <c r="D4201" s="226">
        <v>-7000</v>
      </c>
      <c r="E4201" t="s">
        <v>680</v>
      </c>
    </row>
    <row r="4202" spans="1:5" hidden="1" x14ac:dyDescent="0.3">
      <c r="A4202" t="s">
        <v>552</v>
      </c>
      <c r="B4202" t="s">
        <v>679</v>
      </c>
      <c r="C4202" t="s">
        <v>562</v>
      </c>
      <c r="D4202" s="226">
        <v>-4000</v>
      </c>
      <c r="E4202" t="s">
        <v>680</v>
      </c>
    </row>
    <row r="4203" spans="1:5" hidden="1" x14ac:dyDescent="0.3">
      <c r="A4203" t="s">
        <v>552</v>
      </c>
      <c r="B4203" t="s">
        <v>679</v>
      </c>
      <c r="C4203" t="s">
        <v>563</v>
      </c>
      <c r="D4203" s="226">
        <v>0</v>
      </c>
      <c r="E4203" t="s">
        <v>680</v>
      </c>
    </row>
    <row r="4204" spans="1:5" hidden="1" x14ac:dyDescent="0.3">
      <c r="A4204" t="s">
        <v>552</v>
      </c>
      <c r="B4204" t="s">
        <v>679</v>
      </c>
      <c r="C4204" t="s">
        <v>564</v>
      </c>
      <c r="D4204" s="226">
        <v>0</v>
      </c>
      <c r="E4204" t="s">
        <v>680</v>
      </c>
    </row>
    <row r="4205" spans="1:5" hidden="1" x14ac:dyDescent="0.3">
      <c r="A4205" t="s">
        <v>552</v>
      </c>
      <c r="B4205" t="s">
        <v>679</v>
      </c>
      <c r="C4205" t="s">
        <v>565</v>
      </c>
      <c r="D4205" s="226">
        <v>0</v>
      </c>
      <c r="E4205" t="s">
        <v>680</v>
      </c>
    </row>
    <row r="4206" spans="1:5" hidden="1" x14ac:dyDescent="0.3">
      <c r="A4206" t="s">
        <v>552</v>
      </c>
      <c r="B4206" t="s">
        <v>679</v>
      </c>
      <c r="C4206" t="s">
        <v>566</v>
      </c>
      <c r="D4206" s="226">
        <v>0</v>
      </c>
      <c r="E4206" t="s">
        <v>680</v>
      </c>
    </row>
    <row r="4207" spans="1:5" hidden="1" x14ac:dyDescent="0.3">
      <c r="A4207" t="s">
        <v>552</v>
      </c>
      <c r="B4207" t="s">
        <v>679</v>
      </c>
      <c r="C4207" t="s">
        <v>567</v>
      </c>
      <c r="D4207" s="226">
        <v>0</v>
      </c>
      <c r="E4207" t="s">
        <v>680</v>
      </c>
    </row>
    <row r="4208" spans="1:5" hidden="1" x14ac:dyDescent="0.3">
      <c r="A4208" t="s">
        <v>552</v>
      </c>
      <c r="B4208" t="s">
        <v>679</v>
      </c>
      <c r="C4208" t="s">
        <v>141</v>
      </c>
      <c r="D4208" s="226">
        <v>-53305.26</v>
      </c>
      <c r="E4208" t="s">
        <v>680</v>
      </c>
    </row>
    <row r="4209" spans="1:5" hidden="1" x14ac:dyDescent="0.3">
      <c r="A4209" t="s">
        <v>552</v>
      </c>
      <c r="B4209" t="s">
        <v>679</v>
      </c>
      <c r="C4209" t="s">
        <v>568</v>
      </c>
      <c r="D4209" s="226">
        <v>0</v>
      </c>
      <c r="E4209" t="s">
        <v>680</v>
      </c>
    </row>
    <row r="4210" spans="1:5" hidden="1" x14ac:dyDescent="0.3">
      <c r="A4210" t="s">
        <v>552</v>
      </c>
      <c r="B4210" t="s">
        <v>679</v>
      </c>
      <c r="C4210" t="s">
        <v>569</v>
      </c>
      <c r="D4210" s="226">
        <v>0</v>
      </c>
      <c r="E4210" t="s">
        <v>680</v>
      </c>
    </row>
    <row r="4211" spans="1:5" hidden="1" x14ac:dyDescent="0.3">
      <c r="A4211" t="s">
        <v>552</v>
      </c>
      <c r="B4211" t="s">
        <v>679</v>
      </c>
      <c r="C4211" t="s">
        <v>570</v>
      </c>
      <c r="D4211" s="226">
        <v>0</v>
      </c>
      <c r="E4211" t="s">
        <v>680</v>
      </c>
    </row>
    <row r="4212" spans="1:5" hidden="1" x14ac:dyDescent="0.3">
      <c r="A4212" t="s">
        <v>552</v>
      </c>
      <c r="B4212" t="s">
        <v>679</v>
      </c>
      <c r="C4212" t="s">
        <v>571</v>
      </c>
      <c r="D4212" s="226">
        <v>0</v>
      </c>
      <c r="E4212" t="s">
        <v>680</v>
      </c>
    </row>
    <row r="4213" spans="1:5" hidden="1" x14ac:dyDescent="0.3">
      <c r="A4213" t="s">
        <v>552</v>
      </c>
      <c r="B4213" t="s">
        <v>679</v>
      </c>
      <c r="C4213" t="s">
        <v>572</v>
      </c>
      <c r="D4213" s="226">
        <v>0</v>
      </c>
      <c r="E4213" t="s">
        <v>680</v>
      </c>
    </row>
    <row r="4214" spans="1:5" hidden="1" x14ac:dyDescent="0.3">
      <c r="A4214" t="s">
        <v>552</v>
      </c>
      <c r="B4214" t="s">
        <v>679</v>
      </c>
      <c r="C4214" t="s">
        <v>573</v>
      </c>
      <c r="D4214" s="226">
        <v>0</v>
      </c>
      <c r="E4214" t="s">
        <v>680</v>
      </c>
    </row>
    <row r="4215" spans="1:5" hidden="1" x14ac:dyDescent="0.3">
      <c r="A4215" t="s">
        <v>552</v>
      </c>
      <c r="B4215" t="s">
        <v>679</v>
      </c>
      <c r="C4215" t="s">
        <v>574</v>
      </c>
      <c r="D4215" s="226">
        <v>0</v>
      </c>
      <c r="E4215" t="s">
        <v>680</v>
      </c>
    </row>
    <row r="4216" spans="1:5" hidden="1" x14ac:dyDescent="0.3">
      <c r="A4216" t="s">
        <v>552</v>
      </c>
      <c r="B4216" t="s">
        <v>679</v>
      </c>
      <c r="C4216" t="s">
        <v>575</v>
      </c>
      <c r="D4216" s="226">
        <v>0</v>
      </c>
      <c r="E4216" t="s">
        <v>680</v>
      </c>
    </row>
    <row r="4217" spans="1:5" hidden="1" x14ac:dyDescent="0.3">
      <c r="A4217" t="s">
        <v>552</v>
      </c>
      <c r="B4217" t="s">
        <v>679</v>
      </c>
      <c r="C4217" t="s">
        <v>576</v>
      </c>
      <c r="D4217" s="226">
        <v>0</v>
      </c>
      <c r="E4217" t="s">
        <v>680</v>
      </c>
    </row>
    <row r="4218" spans="1:5" hidden="1" x14ac:dyDescent="0.3">
      <c r="A4218" t="s">
        <v>552</v>
      </c>
      <c r="B4218" t="s">
        <v>679</v>
      </c>
      <c r="C4218" t="s">
        <v>577</v>
      </c>
      <c r="D4218" s="226">
        <v>0</v>
      </c>
      <c r="E4218" t="s">
        <v>680</v>
      </c>
    </row>
    <row r="4219" spans="1:5" hidden="1" x14ac:dyDescent="0.3">
      <c r="A4219" t="s">
        <v>552</v>
      </c>
      <c r="B4219" t="s">
        <v>679</v>
      </c>
      <c r="C4219" t="s">
        <v>578</v>
      </c>
      <c r="D4219" s="226">
        <v>0</v>
      </c>
      <c r="E4219" t="s">
        <v>680</v>
      </c>
    </row>
    <row r="4220" spans="1:5" hidden="1" x14ac:dyDescent="0.3">
      <c r="A4220" t="s">
        <v>552</v>
      </c>
      <c r="B4220" t="s">
        <v>679</v>
      </c>
      <c r="C4220" t="s">
        <v>579</v>
      </c>
      <c r="D4220" s="226">
        <v>0</v>
      </c>
      <c r="E4220" t="s">
        <v>680</v>
      </c>
    </row>
    <row r="4221" spans="1:5" hidden="1" x14ac:dyDescent="0.3">
      <c r="A4221" t="s">
        <v>552</v>
      </c>
      <c r="B4221" t="s">
        <v>679</v>
      </c>
      <c r="C4221" t="s">
        <v>580</v>
      </c>
      <c r="D4221" s="226">
        <v>0</v>
      </c>
      <c r="E4221" t="s">
        <v>680</v>
      </c>
    </row>
    <row r="4222" spans="1:5" hidden="1" x14ac:dyDescent="0.3">
      <c r="A4222" t="s">
        <v>552</v>
      </c>
      <c r="B4222" t="s">
        <v>679</v>
      </c>
      <c r="C4222" t="s">
        <v>581</v>
      </c>
      <c r="D4222" s="226">
        <v>0</v>
      </c>
      <c r="E4222" t="s">
        <v>680</v>
      </c>
    </row>
    <row r="4223" spans="1:5" hidden="1" x14ac:dyDescent="0.3">
      <c r="A4223" t="s">
        <v>552</v>
      </c>
      <c r="B4223" t="s">
        <v>679</v>
      </c>
      <c r="C4223" t="s">
        <v>582</v>
      </c>
      <c r="D4223" s="226">
        <v>0</v>
      </c>
      <c r="E4223" t="s">
        <v>680</v>
      </c>
    </row>
    <row r="4224" spans="1:5" hidden="1" x14ac:dyDescent="0.3">
      <c r="A4224" t="s">
        <v>552</v>
      </c>
      <c r="B4224" t="s">
        <v>679</v>
      </c>
      <c r="C4224" t="s">
        <v>583</v>
      </c>
      <c r="D4224" s="226">
        <v>0</v>
      </c>
      <c r="E4224" t="s">
        <v>680</v>
      </c>
    </row>
    <row r="4225" spans="1:5" hidden="1" x14ac:dyDescent="0.3">
      <c r="A4225" t="s">
        <v>552</v>
      </c>
      <c r="B4225" t="s">
        <v>679</v>
      </c>
      <c r="C4225" t="s">
        <v>584</v>
      </c>
      <c r="D4225" s="226">
        <v>0</v>
      </c>
      <c r="E4225" t="s">
        <v>680</v>
      </c>
    </row>
    <row r="4226" spans="1:5" hidden="1" x14ac:dyDescent="0.3">
      <c r="A4226" t="s">
        <v>552</v>
      </c>
      <c r="B4226" t="s">
        <v>679</v>
      </c>
      <c r="C4226" t="s">
        <v>585</v>
      </c>
      <c r="D4226" s="226">
        <v>0</v>
      </c>
      <c r="E4226" t="s">
        <v>680</v>
      </c>
    </row>
    <row r="4227" spans="1:5" hidden="1" x14ac:dyDescent="0.3">
      <c r="A4227" t="s">
        <v>552</v>
      </c>
      <c r="B4227" t="s">
        <v>679</v>
      </c>
      <c r="C4227" t="s">
        <v>586</v>
      </c>
      <c r="D4227" s="226">
        <v>0</v>
      </c>
      <c r="E4227" t="s">
        <v>680</v>
      </c>
    </row>
    <row r="4228" spans="1:5" hidden="1" x14ac:dyDescent="0.3">
      <c r="A4228" t="s">
        <v>552</v>
      </c>
      <c r="B4228" t="s">
        <v>679</v>
      </c>
      <c r="C4228" t="s">
        <v>587</v>
      </c>
      <c r="D4228" s="226">
        <v>0</v>
      </c>
      <c r="E4228" t="s">
        <v>680</v>
      </c>
    </row>
    <row r="4229" spans="1:5" hidden="1" x14ac:dyDescent="0.3">
      <c r="A4229" t="s">
        <v>552</v>
      </c>
      <c r="B4229" t="s">
        <v>679</v>
      </c>
      <c r="C4229" t="s">
        <v>588</v>
      </c>
      <c r="D4229" s="226">
        <v>0</v>
      </c>
      <c r="E4229" t="s">
        <v>680</v>
      </c>
    </row>
    <row r="4230" spans="1:5" hidden="1" x14ac:dyDescent="0.3">
      <c r="A4230" t="s">
        <v>552</v>
      </c>
      <c r="B4230" t="s">
        <v>679</v>
      </c>
      <c r="C4230" t="s">
        <v>589</v>
      </c>
      <c r="D4230" s="226">
        <v>0</v>
      </c>
      <c r="E4230" t="s">
        <v>680</v>
      </c>
    </row>
    <row r="4231" spans="1:5" hidden="1" x14ac:dyDescent="0.3">
      <c r="A4231" t="s">
        <v>552</v>
      </c>
      <c r="B4231" t="s">
        <v>679</v>
      </c>
      <c r="C4231" t="s">
        <v>590</v>
      </c>
      <c r="D4231" s="226">
        <v>0</v>
      </c>
      <c r="E4231" t="s">
        <v>680</v>
      </c>
    </row>
    <row r="4232" spans="1:5" hidden="1" x14ac:dyDescent="0.3">
      <c r="A4232" t="s">
        <v>552</v>
      </c>
      <c r="B4232" t="s">
        <v>679</v>
      </c>
      <c r="C4232" t="s">
        <v>591</v>
      </c>
      <c r="D4232" s="226">
        <v>0</v>
      </c>
      <c r="E4232" t="s">
        <v>680</v>
      </c>
    </row>
    <row r="4233" spans="1:5" hidden="1" x14ac:dyDescent="0.3">
      <c r="A4233" t="s">
        <v>552</v>
      </c>
      <c r="B4233" t="s">
        <v>679</v>
      </c>
      <c r="C4233" t="s">
        <v>592</v>
      </c>
      <c r="D4233" s="226">
        <v>0</v>
      </c>
      <c r="E4233" t="s">
        <v>680</v>
      </c>
    </row>
    <row r="4234" spans="1:5" hidden="1" x14ac:dyDescent="0.3">
      <c r="A4234" t="s">
        <v>552</v>
      </c>
      <c r="B4234" t="s">
        <v>679</v>
      </c>
      <c r="C4234" t="s">
        <v>593</v>
      </c>
      <c r="D4234" s="226">
        <v>0</v>
      </c>
      <c r="E4234" t="s">
        <v>680</v>
      </c>
    </row>
    <row r="4235" spans="1:5" hidden="1" x14ac:dyDescent="0.3">
      <c r="A4235" t="s">
        <v>552</v>
      </c>
      <c r="B4235" t="s">
        <v>679</v>
      </c>
      <c r="C4235" t="s">
        <v>594</v>
      </c>
      <c r="D4235" s="226">
        <v>0</v>
      </c>
      <c r="E4235" t="s">
        <v>680</v>
      </c>
    </row>
    <row r="4236" spans="1:5" hidden="1" x14ac:dyDescent="0.3">
      <c r="A4236" t="s">
        <v>552</v>
      </c>
      <c r="B4236" t="s">
        <v>679</v>
      </c>
      <c r="C4236" t="s">
        <v>595</v>
      </c>
      <c r="D4236" s="226">
        <v>0</v>
      </c>
      <c r="E4236" t="s">
        <v>680</v>
      </c>
    </row>
    <row r="4237" spans="1:5" hidden="1" x14ac:dyDescent="0.3">
      <c r="A4237" t="s">
        <v>552</v>
      </c>
      <c r="B4237" t="s">
        <v>679</v>
      </c>
      <c r="C4237" t="s">
        <v>596</v>
      </c>
      <c r="D4237" s="226">
        <v>0</v>
      </c>
      <c r="E4237" t="s">
        <v>680</v>
      </c>
    </row>
    <row r="4238" spans="1:5" hidden="1" x14ac:dyDescent="0.3">
      <c r="A4238" t="s">
        <v>552</v>
      </c>
      <c r="B4238" t="s">
        <v>679</v>
      </c>
      <c r="C4238" t="s">
        <v>597</v>
      </c>
      <c r="D4238" s="226">
        <v>0</v>
      </c>
      <c r="E4238" t="s">
        <v>680</v>
      </c>
    </row>
    <row r="4239" spans="1:5" hidden="1" x14ac:dyDescent="0.3">
      <c r="A4239" t="s">
        <v>552</v>
      </c>
      <c r="B4239" t="s">
        <v>679</v>
      </c>
      <c r="C4239" t="s">
        <v>598</v>
      </c>
      <c r="D4239" s="226">
        <v>0</v>
      </c>
      <c r="E4239" t="s">
        <v>680</v>
      </c>
    </row>
    <row r="4240" spans="1:5" hidden="1" x14ac:dyDescent="0.3">
      <c r="A4240" t="s">
        <v>552</v>
      </c>
      <c r="B4240" t="s">
        <v>679</v>
      </c>
      <c r="C4240" t="s">
        <v>599</v>
      </c>
      <c r="D4240" s="226">
        <v>0</v>
      </c>
      <c r="E4240" t="s">
        <v>680</v>
      </c>
    </row>
    <row r="4241" spans="1:5" hidden="1" x14ac:dyDescent="0.3">
      <c r="A4241" t="s">
        <v>552</v>
      </c>
      <c r="B4241" t="s">
        <v>679</v>
      </c>
      <c r="C4241" t="s">
        <v>600</v>
      </c>
      <c r="D4241" s="226">
        <v>0</v>
      </c>
      <c r="E4241" t="s">
        <v>680</v>
      </c>
    </row>
    <row r="4242" spans="1:5" hidden="1" x14ac:dyDescent="0.3">
      <c r="A4242" t="s">
        <v>552</v>
      </c>
      <c r="B4242" t="s">
        <v>679</v>
      </c>
      <c r="C4242" t="s">
        <v>601</v>
      </c>
      <c r="D4242" s="226">
        <v>0</v>
      </c>
      <c r="E4242" t="s">
        <v>680</v>
      </c>
    </row>
    <row r="4243" spans="1:5" hidden="1" x14ac:dyDescent="0.3">
      <c r="A4243" t="s">
        <v>552</v>
      </c>
      <c r="B4243" t="s">
        <v>679</v>
      </c>
      <c r="C4243" t="s">
        <v>602</v>
      </c>
      <c r="D4243" s="226">
        <v>0</v>
      </c>
      <c r="E4243" t="s">
        <v>680</v>
      </c>
    </row>
    <row r="4244" spans="1:5" hidden="1" x14ac:dyDescent="0.3">
      <c r="A4244" t="s">
        <v>552</v>
      </c>
      <c r="B4244" t="s">
        <v>679</v>
      </c>
      <c r="C4244" t="s">
        <v>603</v>
      </c>
      <c r="D4244" s="226">
        <v>0</v>
      </c>
      <c r="E4244" t="s">
        <v>680</v>
      </c>
    </row>
    <row r="4245" spans="1:5" hidden="1" x14ac:dyDescent="0.3">
      <c r="A4245" t="s">
        <v>552</v>
      </c>
      <c r="B4245" t="s">
        <v>679</v>
      </c>
      <c r="C4245" t="s">
        <v>604</v>
      </c>
      <c r="D4245" s="226">
        <v>0</v>
      </c>
      <c r="E4245" t="s">
        <v>680</v>
      </c>
    </row>
    <row r="4246" spans="1:5" hidden="1" x14ac:dyDescent="0.3">
      <c r="A4246" t="s">
        <v>552</v>
      </c>
      <c r="B4246" t="s">
        <v>679</v>
      </c>
      <c r="C4246" t="s">
        <v>605</v>
      </c>
      <c r="D4246" s="226">
        <v>0</v>
      </c>
      <c r="E4246" t="s">
        <v>680</v>
      </c>
    </row>
    <row r="4247" spans="1:5" hidden="1" x14ac:dyDescent="0.3">
      <c r="A4247" t="s">
        <v>552</v>
      </c>
      <c r="B4247" t="s">
        <v>679</v>
      </c>
      <c r="C4247" t="s">
        <v>606</v>
      </c>
      <c r="D4247" s="226">
        <v>0</v>
      </c>
      <c r="E4247" t="s">
        <v>680</v>
      </c>
    </row>
    <row r="4248" spans="1:5" hidden="1" x14ac:dyDescent="0.3">
      <c r="A4248" t="s">
        <v>552</v>
      </c>
      <c r="B4248" t="s">
        <v>679</v>
      </c>
      <c r="C4248" t="s">
        <v>607</v>
      </c>
      <c r="D4248" s="226">
        <v>0</v>
      </c>
      <c r="E4248" t="s">
        <v>680</v>
      </c>
    </row>
    <row r="4249" spans="1:5" hidden="1" x14ac:dyDescent="0.3">
      <c r="A4249" t="s">
        <v>552</v>
      </c>
      <c r="B4249" t="s">
        <v>679</v>
      </c>
      <c r="C4249" t="s">
        <v>608</v>
      </c>
      <c r="D4249" s="226">
        <v>0</v>
      </c>
      <c r="E4249" t="s">
        <v>680</v>
      </c>
    </row>
    <row r="4250" spans="1:5" hidden="1" x14ac:dyDescent="0.3">
      <c r="A4250" t="s">
        <v>552</v>
      </c>
      <c r="B4250" t="s">
        <v>679</v>
      </c>
      <c r="C4250" t="s">
        <v>609</v>
      </c>
      <c r="D4250" s="226">
        <v>0</v>
      </c>
      <c r="E4250" t="s">
        <v>680</v>
      </c>
    </row>
    <row r="4251" spans="1:5" hidden="1" x14ac:dyDescent="0.3">
      <c r="A4251" t="s">
        <v>552</v>
      </c>
      <c r="B4251" t="s">
        <v>679</v>
      </c>
      <c r="C4251" t="s">
        <v>610</v>
      </c>
      <c r="D4251" s="226">
        <v>0</v>
      </c>
      <c r="E4251" t="s">
        <v>680</v>
      </c>
    </row>
    <row r="4252" spans="1:5" hidden="1" x14ac:dyDescent="0.3">
      <c r="A4252" t="s">
        <v>552</v>
      </c>
      <c r="B4252" t="s">
        <v>679</v>
      </c>
      <c r="C4252" t="s">
        <v>611</v>
      </c>
      <c r="D4252" s="226">
        <v>0</v>
      </c>
      <c r="E4252" t="s">
        <v>680</v>
      </c>
    </row>
    <row r="4253" spans="1:5" hidden="1" x14ac:dyDescent="0.3">
      <c r="A4253" t="s">
        <v>552</v>
      </c>
      <c r="B4253" t="s">
        <v>679</v>
      </c>
      <c r="C4253" t="s">
        <v>612</v>
      </c>
      <c r="D4253" s="226">
        <v>0</v>
      </c>
      <c r="E4253" t="s">
        <v>680</v>
      </c>
    </row>
    <row r="4254" spans="1:5" hidden="1" x14ac:dyDescent="0.3">
      <c r="A4254" t="s">
        <v>552</v>
      </c>
      <c r="B4254" t="s">
        <v>679</v>
      </c>
      <c r="C4254" t="s">
        <v>613</v>
      </c>
      <c r="D4254" s="226">
        <v>0</v>
      </c>
      <c r="E4254" t="s">
        <v>680</v>
      </c>
    </row>
    <row r="4255" spans="1:5" hidden="1" x14ac:dyDescent="0.3">
      <c r="A4255" t="s">
        <v>552</v>
      </c>
      <c r="B4255" t="s">
        <v>679</v>
      </c>
      <c r="C4255" t="s">
        <v>614</v>
      </c>
      <c r="D4255" s="226">
        <v>0</v>
      </c>
      <c r="E4255" t="s">
        <v>680</v>
      </c>
    </row>
    <row r="4256" spans="1:5" hidden="1" x14ac:dyDescent="0.3">
      <c r="A4256" t="s">
        <v>552</v>
      </c>
      <c r="B4256" t="s">
        <v>679</v>
      </c>
      <c r="C4256" t="s">
        <v>615</v>
      </c>
      <c r="D4256" s="226">
        <v>0</v>
      </c>
      <c r="E4256" t="s">
        <v>680</v>
      </c>
    </row>
    <row r="4257" spans="1:5" hidden="1" x14ac:dyDescent="0.3">
      <c r="A4257" t="s">
        <v>552</v>
      </c>
      <c r="B4257" t="s">
        <v>679</v>
      </c>
      <c r="C4257" t="s">
        <v>616</v>
      </c>
      <c r="D4257" s="226">
        <v>0</v>
      </c>
      <c r="E4257" t="s">
        <v>680</v>
      </c>
    </row>
    <row r="4258" spans="1:5" hidden="1" x14ac:dyDescent="0.3">
      <c r="A4258" t="s">
        <v>552</v>
      </c>
      <c r="B4258" t="s">
        <v>679</v>
      </c>
      <c r="C4258" t="s">
        <v>617</v>
      </c>
      <c r="D4258" s="226">
        <v>0</v>
      </c>
      <c r="E4258" t="s">
        <v>680</v>
      </c>
    </row>
    <row r="4259" spans="1:5" hidden="1" x14ac:dyDescent="0.3">
      <c r="A4259" t="s">
        <v>552</v>
      </c>
      <c r="B4259" t="s">
        <v>679</v>
      </c>
      <c r="C4259" t="s">
        <v>618</v>
      </c>
      <c r="D4259" s="226">
        <v>0</v>
      </c>
      <c r="E4259" t="s">
        <v>680</v>
      </c>
    </row>
    <row r="4260" spans="1:5" hidden="1" x14ac:dyDescent="0.3">
      <c r="A4260" t="s">
        <v>552</v>
      </c>
      <c r="B4260" t="s">
        <v>679</v>
      </c>
      <c r="C4260" t="s">
        <v>619</v>
      </c>
      <c r="D4260" s="226">
        <v>0</v>
      </c>
      <c r="E4260" t="s">
        <v>680</v>
      </c>
    </row>
    <row r="4261" spans="1:5" hidden="1" x14ac:dyDescent="0.3">
      <c r="A4261" t="s">
        <v>552</v>
      </c>
      <c r="B4261" t="s">
        <v>679</v>
      </c>
      <c r="C4261" t="s">
        <v>620</v>
      </c>
      <c r="D4261" s="226">
        <v>0</v>
      </c>
      <c r="E4261" t="s">
        <v>680</v>
      </c>
    </row>
    <row r="4262" spans="1:5" hidden="1" x14ac:dyDescent="0.3">
      <c r="A4262" t="s">
        <v>552</v>
      </c>
      <c r="B4262" t="s">
        <v>679</v>
      </c>
      <c r="C4262" t="s">
        <v>621</v>
      </c>
      <c r="D4262" s="226">
        <v>0</v>
      </c>
      <c r="E4262" t="s">
        <v>680</v>
      </c>
    </row>
    <row r="4263" spans="1:5" hidden="1" x14ac:dyDescent="0.3">
      <c r="A4263" t="s">
        <v>552</v>
      </c>
      <c r="B4263" t="s">
        <v>679</v>
      </c>
      <c r="C4263" t="s">
        <v>622</v>
      </c>
      <c r="D4263" s="226">
        <v>0</v>
      </c>
      <c r="E4263" t="s">
        <v>680</v>
      </c>
    </row>
    <row r="4264" spans="1:5" hidden="1" x14ac:dyDescent="0.3">
      <c r="A4264" t="s">
        <v>552</v>
      </c>
      <c r="B4264" t="s">
        <v>679</v>
      </c>
      <c r="C4264" t="s">
        <v>623</v>
      </c>
      <c r="D4264" s="226">
        <v>0</v>
      </c>
      <c r="E4264" t="s">
        <v>680</v>
      </c>
    </row>
    <row r="4265" spans="1:5" hidden="1" x14ac:dyDescent="0.3">
      <c r="A4265" t="s">
        <v>552</v>
      </c>
      <c r="B4265" t="s">
        <v>679</v>
      </c>
      <c r="C4265" t="s">
        <v>624</v>
      </c>
      <c r="D4265" s="226">
        <v>0</v>
      </c>
      <c r="E4265" t="s">
        <v>680</v>
      </c>
    </row>
    <row r="4266" spans="1:5" hidden="1" x14ac:dyDescent="0.3">
      <c r="A4266" t="s">
        <v>552</v>
      </c>
      <c r="B4266" t="s">
        <v>679</v>
      </c>
      <c r="C4266" t="s">
        <v>200</v>
      </c>
      <c r="D4266" s="226">
        <v>-78486.83</v>
      </c>
      <c r="E4266" t="s">
        <v>680</v>
      </c>
    </row>
    <row r="4267" spans="1:5" hidden="1" x14ac:dyDescent="0.3">
      <c r="A4267" t="s">
        <v>552</v>
      </c>
      <c r="B4267" t="s">
        <v>679</v>
      </c>
      <c r="C4267" t="s">
        <v>202</v>
      </c>
      <c r="D4267" s="226">
        <v>-78486.83</v>
      </c>
      <c r="E4267" t="s">
        <v>680</v>
      </c>
    </row>
    <row r="4268" spans="1:5" hidden="1" x14ac:dyDescent="0.3">
      <c r="A4268" t="s">
        <v>552</v>
      </c>
      <c r="B4268" t="s">
        <v>679</v>
      </c>
      <c r="C4268" t="s">
        <v>625</v>
      </c>
      <c r="D4268" s="226">
        <v>39243.42</v>
      </c>
      <c r="E4268" t="s">
        <v>680</v>
      </c>
    </row>
    <row r="4269" spans="1:5" hidden="1" x14ac:dyDescent="0.3">
      <c r="A4269" t="s">
        <v>552</v>
      </c>
      <c r="B4269" t="s">
        <v>679</v>
      </c>
      <c r="C4269" t="s">
        <v>204</v>
      </c>
      <c r="D4269" s="226">
        <v>-47231.88</v>
      </c>
      <c r="E4269" t="s">
        <v>680</v>
      </c>
    </row>
    <row r="4270" spans="1:5" hidden="1" x14ac:dyDescent="0.3">
      <c r="A4270" t="s">
        <v>552</v>
      </c>
      <c r="B4270" t="s">
        <v>679</v>
      </c>
      <c r="C4270" t="s">
        <v>626</v>
      </c>
      <c r="D4270" s="226">
        <v>-10623.67</v>
      </c>
      <c r="E4270" t="s">
        <v>680</v>
      </c>
    </row>
    <row r="4271" spans="1:5" hidden="1" x14ac:dyDescent="0.3">
      <c r="A4271" t="s">
        <v>552</v>
      </c>
      <c r="B4271" t="s">
        <v>679</v>
      </c>
      <c r="C4271" t="s">
        <v>627</v>
      </c>
      <c r="D4271" s="226">
        <v>0</v>
      </c>
      <c r="E4271" t="s">
        <v>680</v>
      </c>
    </row>
    <row r="4272" spans="1:5" hidden="1" x14ac:dyDescent="0.3">
      <c r="A4272" t="s">
        <v>552</v>
      </c>
      <c r="B4272" t="s">
        <v>679</v>
      </c>
      <c r="C4272" t="s">
        <v>628</v>
      </c>
      <c r="D4272" s="226">
        <v>-13662</v>
      </c>
      <c r="E4272" t="s">
        <v>680</v>
      </c>
    </row>
    <row r="4273" spans="1:5" hidden="1" x14ac:dyDescent="0.3">
      <c r="A4273" t="s">
        <v>552</v>
      </c>
      <c r="B4273" t="s">
        <v>679</v>
      </c>
      <c r="C4273" t="s">
        <v>629</v>
      </c>
      <c r="D4273" s="226">
        <v>-4844.82</v>
      </c>
      <c r="E4273" t="s">
        <v>680</v>
      </c>
    </row>
    <row r="4274" spans="1:5" hidden="1" x14ac:dyDescent="0.3">
      <c r="A4274" t="s">
        <v>552</v>
      </c>
      <c r="B4274" t="s">
        <v>679</v>
      </c>
      <c r="C4274" t="s">
        <v>630</v>
      </c>
      <c r="D4274" s="226">
        <v>-6151.08</v>
      </c>
      <c r="E4274" t="s">
        <v>680</v>
      </c>
    </row>
    <row r="4275" spans="1:5" hidden="1" x14ac:dyDescent="0.3">
      <c r="A4275" t="s">
        <v>552</v>
      </c>
      <c r="B4275" t="s">
        <v>679</v>
      </c>
      <c r="C4275" t="s">
        <v>631</v>
      </c>
      <c r="D4275" s="226">
        <v>0</v>
      </c>
      <c r="E4275" t="s">
        <v>680</v>
      </c>
    </row>
    <row r="4276" spans="1:5" hidden="1" x14ac:dyDescent="0.3">
      <c r="A4276" t="s">
        <v>552</v>
      </c>
      <c r="B4276" t="s">
        <v>679</v>
      </c>
      <c r="C4276" t="s">
        <v>632</v>
      </c>
      <c r="D4276" s="226">
        <v>0</v>
      </c>
      <c r="E4276" t="s">
        <v>680</v>
      </c>
    </row>
    <row r="4277" spans="1:5" hidden="1" x14ac:dyDescent="0.3">
      <c r="A4277" t="s">
        <v>552</v>
      </c>
      <c r="B4277" t="s">
        <v>679</v>
      </c>
      <c r="C4277" t="s">
        <v>633</v>
      </c>
      <c r="D4277" s="226">
        <v>-532.92999999999995</v>
      </c>
      <c r="E4277" t="s">
        <v>680</v>
      </c>
    </row>
    <row r="4278" spans="1:5" hidden="1" x14ac:dyDescent="0.3">
      <c r="A4278" t="s">
        <v>552</v>
      </c>
      <c r="B4278" t="s">
        <v>679</v>
      </c>
      <c r="C4278" t="s">
        <v>634</v>
      </c>
      <c r="D4278" s="226">
        <v>0</v>
      </c>
      <c r="E4278" t="s">
        <v>680</v>
      </c>
    </row>
    <row r="4279" spans="1:5" hidden="1" x14ac:dyDescent="0.3">
      <c r="A4279" t="s">
        <v>552</v>
      </c>
      <c r="B4279" t="s">
        <v>679</v>
      </c>
      <c r="C4279" t="s">
        <v>635</v>
      </c>
      <c r="D4279" s="226">
        <v>0</v>
      </c>
      <c r="E4279" t="s">
        <v>680</v>
      </c>
    </row>
    <row r="4280" spans="1:5" hidden="1" x14ac:dyDescent="0.3">
      <c r="A4280" t="s">
        <v>552</v>
      </c>
      <c r="B4280" t="s">
        <v>679</v>
      </c>
      <c r="C4280" t="s">
        <v>636</v>
      </c>
      <c r="D4280" s="226">
        <v>0</v>
      </c>
      <c r="E4280" t="s">
        <v>680</v>
      </c>
    </row>
    <row r="4281" spans="1:5" hidden="1" x14ac:dyDescent="0.3">
      <c r="A4281" t="s">
        <v>552</v>
      </c>
      <c r="B4281" t="s">
        <v>679</v>
      </c>
      <c r="C4281" t="s">
        <v>637</v>
      </c>
      <c r="D4281" s="226">
        <v>-11300</v>
      </c>
      <c r="E4281" t="s">
        <v>680</v>
      </c>
    </row>
    <row r="4282" spans="1:5" hidden="1" x14ac:dyDescent="0.3">
      <c r="A4282" t="s">
        <v>552</v>
      </c>
      <c r="B4282" t="s">
        <v>679</v>
      </c>
      <c r="C4282" t="s">
        <v>638</v>
      </c>
      <c r="D4282" s="226">
        <v>0</v>
      </c>
      <c r="E4282" t="s">
        <v>680</v>
      </c>
    </row>
    <row r="4283" spans="1:5" hidden="1" x14ac:dyDescent="0.3">
      <c r="A4283" t="s">
        <v>552</v>
      </c>
      <c r="B4283" t="s">
        <v>679</v>
      </c>
      <c r="C4283" t="s">
        <v>639</v>
      </c>
      <c r="D4283" s="226">
        <v>-117.38</v>
      </c>
      <c r="E4283" t="s">
        <v>680</v>
      </c>
    </row>
    <row r="4284" spans="1:5" hidden="1" x14ac:dyDescent="0.3">
      <c r="A4284" t="s">
        <v>552</v>
      </c>
      <c r="B4284" t="s">
        <v>679</v>
      </c>
      <c r="C4284" t="s">
        <v>640</v>
      </c>
      <c r="D4284" s="226">
        <v>0</v>
      </c>
      <c r="E4284" t="s">
        <v>680</v>
      </c>
    </row>
    <row r="4285" spans="1:5" hidden="1" x14ac:dyDescent="0.3">
      <c r="A4285" t="s">
        <v>552</v>
      </c>
      <c r="B4285" t="s">
        <v>679</v>
      </c>
      <c r="C4285" t="s">
        <v>641</v>
      </c>
      <c r="D4285" s="226">
        <v>0</v>
      </c>
      <c r="E4285" t="s">
        <v>680</v>
      </c>
    </row>
    <row r="4286" spans="1:5" hidden="1" x14ac:dyDescent="0.3">
      <c r="A4286" t="s">
        <v>552</v>
      </c>
      <c r="B4286" t="s">
        <v>679</v>
      </c>
      <c r="C4286" t="s">
        <v>237</v>
      </c>
      <c r="D4286" s="226">
        <v>-9387.56</v>
      </c>
      <c r="E4286" t="s">
        <v>680</v>
      </c>
    </row>
    <row r="4287" spans="1:5" hidden="1" x14ac:dyDescent="0.3">
      <c r="A4287" t="s">
        <v>552</v>
      </c>
      <c r="B4287" t="s">
        <v>679</v>
      </c>
      <c r="C4287" t="s">
        <v>642</v>
      </c>
      <c r="D4287" s="226">
        <v>-9114.56</v>
      </c>
      <c r="E4287" t="s">
        <v>680</v>
      </c>
    </row>
    <row r="4288" spans="1:5" hidden="1" x14ac:dyDescent="0.3">
      <c r="A4288" t="s">
        <v>552</v>
      </c>
      <c r="B4288" t="s">
        <v>679</v>
      </c>
      <c r="C4288" t="s">
        <v>643</v>
      </c>
      <c r="D4288" s="226">
        <v>0</v>
      </c>
      <c r="E4288" t="s">
        <v>680</v>
      </c>
    </row>
    <row r="4289" spans="1:5" hidden="1" x14ac:dyDescent="0.3">
      <c r="A4289" t="s">
        <v>552</v>
      </c>
      <c r="B4289" t="s">
        <v>679</v>
      </c>
      <c r="C4289" t="s">
        <v>644</v>
      </c>
      <c r="D4289" s="226">
        <v>0</v>
      </c>
      <c r="E4289" t="s">
        <v>680</v>
      </c>
    </row>
    <row r="4290" spans="1:5" hidden="1" x14ac:dyDescent="0.3">
      <c r="A4290" t="s">
        <v>552</v>
      </c>
      <c r="B4290" t="s">
        <v>679</v>
      </c>
      <c r="C4290" t="s">
        <v>645</v>
      </c>
      <c r="D4290" s="226">
        <v>-273</v>
      </c>
      <c r="E4290" t="s">
        <v>680</v>
      </c>
    </row>
    <row r="4291" spans="1:5" hidden="1" x14ac:dyDescent="0.3">
      <c r="A4291" t="s">
        <v>552</v>
      </c>
      <c r="B4291" t="s">
        <v>679</v>
      </c>
      <c r="C4291" t="s">
        <v>646</v>
      </c>
      <c r="D4291" s="226">
        <v>0</v>
      </c>
      <c r="E4291" t="s">
        <v>680</v>
      </c>
    </row>
    <row r="4292" spans="1:5" hidden="1" x14ac:dyDescent="0.3">
      <c r="A4292" t="s">
        <v>552</v>
      </c>
      <c r="B4292" t="s">
        <v>679</v>
      </c>
      <c r="C4292" t="s">
        <v>244</v>
      </c>
      <c r="D4292" s="226">
        <v>-34830.97</v>
      </c>
      <c r="E4292" t="s">
        <v>680</v>
      </c>
    </row>
    <row r="4293" spans="1:5" hidden="1" x14ac:dyDescent="0.3">
      <c r="A4293" t="s">
        <v>552</v>
      </c>
      <c r="B4293" t="s">
        <v>679</v>
      </c>
      <c r="C4293" t="s">
        <v>647</v>
      </c>
      <c r="D4293" s="226">
        <v>0</v>
      </c>
      <c r="E4293" t="s">
        <v>680</v>
      </c>
    </row>
    <row r="4294" spans="1:5" hidden="1" x14ac:dyDescent="0.3">
      <c r="A4294" t="s">
        <v>552</v>
      </c>
      <c r="B4294" t="s">
        <v>679</v>
      </c>
      <c r="C4294" t="s">
        <v>648</v>
      </c>
      <c r="D4294" s="226">
        <v>-308.48</v>
      </c>
      <c r="E4294" t="s">
        <v>680</v>
      </c>
    </row>
    <row r="4295" spans="1:5" hidden="1" x14ac:dyDescent="0.3">
      <c r="A4295" t="s">
        <v>552</v>
      </c>
      <c r="B4295" t="s">
        <v>679</v>
      </c>
      <c r="C4295" t="s">
        <v>649</v>
      </c>
      <c r="D4295" s="226">
        <v>0</v>
      </c>
      <c r="E4295" t="s">
        <v>680</v>
      </c>
    </row>
    <row r="4296" spans="1:5" hidden="1" x14ac:dyDescent="0.3">
      <c r="A4296" t="s">
        <v>552</v>
      </c>
      <c r="B4296" t="s">
        <v>679</v>
      </c>
      <c r="C4296" t="s">
        <v>650</v>
      </c>
      <c r="D4296" s="226">
        <v>-6600</v>
      </c>
      <c r="E4296" t="s">
        <v>680</v>
      </c>
    </row>
    <row r="4297" spans="1:5" hidden="1" x14ac:dyDescent="0.3">
      <c r="A4297" t="s">
        <v>552</v>
      </c>
      <c r="B4297" t="s">
        <v>679</v>
      </c>
      <c r="C4297" t="s">
        <v>651</v>
      </c>
      <c r="D4297" s="226">
        <v>0</v>
      </c>
      <c r="E4297" t="s">
        <v>680</v>
      </c>
    </row>
    <row r="4298" spans="1:5" hidden="1" x14ac:dyDescent="0.3">
      <c r="A4298" t="s">
        <v>552</v>
      </c>
      <c r="B4298" t="s">
        <v>679</v>
      </c>
      <c r="C4298" t="s">
        <v>652</v>
      </c>
      <c r="D4298" s="226">
        <v>-27922.49</v>
      </c>
      <c r="E4298" t="s">
        <v>680</v>
      </c>
    </row>
    <row r="4299" spans="1:5" hidden="1" x14ac:dyDescent="0.3">
      <c r="A4299" t="s">
        <v>552</v>
      </c>
      <c r="B4299" t="s">
        <v>679</v>
      </c>
      <c r="C4299" t="s">
        <v>653</v>
      </c>
      <c r="D4299" s="226">
        <v>0</v>
      </c>
      <c r="E4299" t="s">
        <v>680</v>
      </c>
    </row>
    <row r="4300" spans="1:5" hidden="1" x14ac:dyDescent="0.3">
      <c r="A4300" t="s">
        <v>552</v>
      </c>
      <c r="B4300" t="s">
        <v>679</v>
      </c>
      <c r="C4300" t="s">
        <v>253</v>
      </c>
      <c r="D4300" s="226">
        <v>-0.24</v>
      </c>
      <c r="E4300" t="s">
        <v>680</v>
      </c>
    </row>
    <row r="4301" spans="1:5" hidden="1" x14ac:dyDescent="0.3">
      <c r="A4301" t="s">
        <v>552</v>
      </c>
      <c r="B4301" t="s">
        <v>679</v>
      </c>
      <c r="C4301" t="s">
        <v>254</v>
      </c>
      <c r="D4301" s="226">
        <v>-0.21</v>
      </c>
      <c r="E4301" t="s">
        <v>680</v>
      </c>
    </row>
    <row r="4302" spans="1:5" hidden="1" x14ac:dyDescent="0.3">
      <c r="A4302" t="s">
        <v>552</v>
      </c>
      <c r="B4302" t="s">
        <v>679</v>
      </c>
      <c r="C4302" t="s">
        <v>255</v>
      </c>
      <c r="D4302" s="226">
        <v>-47584.25</v>
      </c>
      <c r="E4302" t="s">
        <v>680</v>
      </c>
    </row>
    <row r="4303" spans="1:5" hidden="1" x14ac:dyDescent="0.3">
      <c r="A4303" t="s">
        <v>552</v>
      </c>
      <c r="B4303" t="s">
        <v>679</v>
      </c>
      <c r="C4303" t="s">
        <v>256</v>
      </c>
      <c r="D4303" s="226">
        <v>-28000</v>
      </c>
      <c r="E4303" t="s">
        <v>680</v>
      </c>
    </row>
    <row r="4304" spans="1:5" hidden="1" x14ac:dyDescent="0.3">
      <c r="A4304" t="s">
        <v>552</v>
      </c>
      <c r="B4304" t="s">
        <v>679</v>
      </c>
      <c r="C4304" t="s">
        <v>257</v>
      </c>
      <c r="D4304" s="226">
        <v>-15710.82</v>
      </c>
      <c r="E4304" t="s">
        <v>680</v>
      </c>
    </row>
    <row r="4305" spans="1:5" hidden="1" x14ac:dyDescent="0.3">
      <c r="A4305" t="s">
        <v>552</v>
      </c>
      <c r="B4305" t="s">
        <v>679</v>
      </c>
      <c r="C4305" t="s">
        <v>258</v>
      </c>
      <c r="D4305" s="226">
        <v>-3873.43</v>
      </c>
      <c r="E4305" t="s">
        <v>680</v>
      </c>
    </row>
    <row r="4306" spans="1:5" hidden="1" x14ac:dyDescent="0.3">
      <c r="A4306" t="s">
        <v>552</v>
      </c>
      <c r="B4306" t="s">
        <v>679</v>
      </c>
      <c r="C4306" t="s">
        <v>259</v>
      </c>
      <c r="D4306" s="226">
        <v>0</v>
      </c>
      <c r="E4306" t="s">
        <v>680</v>
      </c>
    </row>
    <row r="4307" spans="1:5" hidden="1" x14ac:dyDescent="0.3">
      <c r="A4307" t="s">
        <v>552</v>
      </c>
      <c r="B4307" t="s">
        <v>679</v>
      </c>
      <c r="C4307" t="s">
        <v>260</v>
      </c>
      <c r="D4307" s="226">
        <v>0</v>
      </c>
      <c r="E4307" t="s">
        <v>680</v>
      </c>
    </row>
    <row r="4308" spans="1:5" hidden="1" x14ac:dyDescent="0.3">
      <c r="A4308" t="s">
        <v>552</v>
      </c>
      <c r="B4308" t="s">
        <v>679</v>
      </c>
      <c r="C4308" t="s">
        <v>261</v>
      </c>
      <c r="D4308" s="226">
        <v>0</v>
      </c>
      <c r="E4308" t="s">
        <v>680</v>
      </c>
    </row>
    <row r="4309" spans="1:5" hidden="1" x14ac:dyDescent="0.3">
      <c r="A4309" t="s">
        <v>552</v>
      </c>
      <c r="B4309" t="s">
        <v>679</v>
      </c>
      <c r="C4309" t="s">
        <v>262</v>
      </c>
      <c r="D4309" s="226">
        <v>0</v>
      </c>
      <c r="E4309" t="s">
        <v>680</v>
      </c>
    </row>
    <row r="4310" spans="1:5" hidden="1" x14ac:dyDescent="0.3">
      <c r="A4310" t="s">
        <v>552</v>
      </c>
      <c r="B4310" t="s">
        <v>679</v>
      </c>
      <c r="C4310" t="s">
        <v>44</v>
      </c>
      <c r="D4310" s="226">
        <v>-0.04</v>
      </c>
      <c r="E4310" t="s">
        <v>680</v>
      </c>
    </row>
    <row r="4311" spans="1:5" hidden="1" x14ac:dyDescent="0.3">
      <c r="A4311" t="s">
        <v>552</v>
      </c>
      <c r="B4311" t="s">
        <v>679</v>
      </c>
      <c r="C4311" t="s">
        <v>263</v>
      </c>
      <c r="D4311" s="226">
        <v>-79791.210000000006</v>
      </c>
      <c r="E4311" t="s">
        <v>680</v>
      </c>
    </row>
    <row r="4312" spans="1:5" hidden="1" x14ac:dyDescent="0.3">
      <c r="A4312" t="s">
        <v>552</v>
      </c>
      <c r="B4312" t="s">
        <v>679</v>
      </c>
      <c r="C4312" t="s">
        <v>264</v>
      </c>
      <c r="D4312" s="226">
        <v>-16080</v>
      </c>
      <c r="E4312" t="s">
        <v>680</v>
      </c>
    </row>
    <row r="4313" spans="1:5" hidden="1" x14ac:dyDescent="0.3">
      <c r="A4313" t="s">
        <v>552</v>
      </c>
      <c r="B4313" t="s">
        <v>679</v>
      </c>
      <c r="C4313" t="s">
        <v>265</v>
      </c>
      <c r="D4313" s="226">
        <v>-15528.5</v>
      </c>
      <c r="E4313" t="s">
        <v>680</v>
      </c>
    </row>
    <row r="4314" spans="1:5" hidden="1" x14ac:dyDescent="0.3">
      <c r="A4314" t="s">
        <v>552</v>
      </c>
      <c r="B4314" t="s">
        <v>679</v>
      </c>
      <c r="C4314" t="s">
        <v>266</v>
      </c>
      <c r="D4314" s="226">
        <v>-11163.09</v>
      </c>
      <c r="E4314" t="s">
        <v>680</v>
      </c>
    </row>
    <row r="4315" spans="1:5" hidden="1" x14ac:dyDescent="0.3">
      <c r="A4315" t="s">
        <v>552</v>
      </c>
      <c r="B4315" t="s">
        <v>679</v>
      </c>
      <c r="C4315" t="s">
        <v>267</v>
      </c>
      <c r="D4315" s="226">
        <v>-17192.41</v>
      </c>
      <c r="E4315" t="s">
        <v>680</v>
      </c>
    </row>
    <row r="4316" spans="1:5" hidden="1" x14ac:dyDescent="0.3">
      <c r="A4316" t="s">
        <v>552</v>
      </c>
      <c r="B4316" t="s">
        <v>679</v>
      </c>
      <c r="C4316" t="s">
        <v>268</v>
      </c>
      <c r="D4316" s="226">
        <v>-5</v>
      </c>
      <c r="E4316" t="s">
        <v>680</v>
      </c>
    </row>
    <row r="4317" spans="1:5" hidden="1" x14ac:dyDescent="0.3">
      <c r="A4317" t="s">
        <v>552</v>
      </c>
      <c r="B4317" t="s">
        <v>679</v>
      </c>
      <c r="C4317" t="s">
        <v>269</v>
      </c>
      <c r="D4317" s="226">
        <v>-580</v>
      </c>
      <c r="E4317" t="s">
        <v>680</v>
      </c>
    </row>
    <row r="4318" spans="1:5" hidden="1" x14ac:dyDescent="0.3">
      <c r="A4318" t="s">
        <v>552</v>
      </c>
      <c r="B4318" t="s">
        <v>679</v>
      </c>
      <c r="C4318" t="s">
        <v>270</v>
      </c>
      <c r="D4318" s="226">
        <v>-2979.2</v>
      </c>
      <c r="E4318" t="s">
        <v>680</v>
      </c>
    </row>
    <row r="4319" spans="1:5" hidden="1" x14ac:dyDescent="0.3">
      <c r="A4319" t="s">
        <v>552</v>
      </c>
      <c r="B4319" t="s">
        <v>679</v>
      </c>
      <c r="C4319" t="s">
        <v>271</v>
      </c>
      <c r="D4319" s="226">
        <v>-4260.38</v>
      </c>
      <c r="E4319" t="s">
        <v>680</v>
      </c>
    </row>
    <row r="4320" spans="1:5" hidden="1" x14ac:dyDescent="0.3">
      <c r="A4320" t="s">
        <v>552</v>
      </c>
      <c r="B4320" t="s">
        <v>679</v>
      </c>
      <c r="C4320" t="s">
        <v>272</v>
      </c>
      <c r="D4320" s="226">
        <v>0</v>
      </c>
      <c r="E4320" t="s">
        <v>680</v>
      </c>
    </row>
    <row r="4321" spans="1:5" hidden="1" x14ac:dyDescent="0.3">
      <c r="A4321" t="s">
        <v>552</v>
      </c>
      <c r="B4321" t="s">
        <v>679</v>
      </c>
      <c r="C4321" t="s">
        <v>273</v>
      </c>
      <c r="D4321" s="226">
        <v>0</v>
      </c>
      <c r="E4321" t="s">
        <v>680</v>
      </c>
    </row>
    <row r="4322" spans="1:5" hidden="1" x14ac:dyDescent="0.3">
      <c r="A4322" t="s">
        <v>552</v>
      </c>
      <c r="B4322" t="s">
        <v>679</v>
      </c>
      <c r="C4322" t="s">
        <v>274</v>
      </c>
      <c r="D4322" s="226">
        <v>-808.48</v>
      </c>
      <c r="E4322" t="s">
        <v>680</v>
      </c>
    </row>
    <row r="4323" spans="1:5" hidden="1" x14ac:dyDescent="0.3">
      <c r="A4323" t="s">
        <v>552</v>
      </c>
      <c r="B4323" t="s">
        <v>679</v>
      </c>
      <c r="C4323" t="s">
        <v>275</v>
      </c>
      <c r="D4323" s="226">
        <v>0</v>
      </c>
      <c r="E4323" t="s">
        <v>680</v>
      </c>
    </row>
    <row r="4324" spans="1:5" hidden="1" x14ac:dyDescent="0.3">
      <c r="A4324" t="s">
        <v>552</v>
      </c>
      <c r="B4324" t="s">
        <v>679</v>
      </c>
      <c r="C4324" t="s">
        <v>276</v>
      </c>
      <c r="D4324" s="226">
        <v>-1859</v>
      </c>
      <c r="E4324" t="s">
        <v>680</v>
      </c>
    </row>
    <row r="4325" spans="1:5" hidden="1" x14ac:dyDescent="0.3">
      <c r="A4325" t="s">
        <v>552</v>
      </c>
      <c r="B4325" t="s">
        <v>679</v>
      </c>
      <c r="C4325" t="s">
        <v>277</v>
      </c>
      <c r="D4325" s="226">
        <v>-9335.15</v>
      </c>
      <c r="E4325" t="s">
        <v>680</v>
      </c>
    </row>
    <row r="4326" spans="1:5" hidden="1" x14ac:dyDescent="0.3">
      <c r="A4326" t="s">
        <v>552</v>
      </c>
      <c r="B4326" t="s">
        <v>679</v>
      </c>
      <c r="C4326" t="s">
        <v>44</v>
      </c>
      <c r="D4326" s="226">
        <v>-7.0000000000000007E-2</v>
      </c>
      <c r="E4326" t="s">
        <v>680</v>
      </c>
    </row>
    <row r="4327" spans="1:5" hidden="1" x14ac:dyDescent="0.3">
      <c r="A4327" t="s">
        <v>552</v>
      </c>
      <c r="B4327" t="s">
        <v>679</v>
      </c>
      <c r="C4327" t="s">
        <v>278</v>
      </c>
      <c r="D4327" s="226">
        <v>-6205.96</v>
      </c>
      <c r="E4327" t="s">
        <v>680</v>
      </c>
    </row>
    <row r="4328" spans="1:5" hidden="1" x14ac:dyDescent="0.3">
      <c r="A4328" t="s">
        <v>552</v>
      </c>
      <c r="B4328" t="s">
        <v>679</v>
      </c>
      <c r="C4328" t="s">
        <v>279</v>
      </c>
      <c r="D4328" s="226">
        <v>0</v>
      </c>
      <c r="E4328" t="s">
        <v>680</v>
      </c>
    </row>
    <row r="4329" spans="1:5" hidden="1" x14ac:dyDescent="0.3">
      <c r="A4329" t="s">
        <v>552</v>
      </c>
      <c r="B4329" t="s">
        <v>679</v>
      </c>
      <c r="C4329" t="s">
        <v>280</v>
      </c>
      <c r="D4329" s="226">
        <v>-459.88</v>
      </c>
      <c r="E4329" t="s">
        <v>680</v>
      </c>
    </row>
    <row r="4330" spans="1:5" hidden="1" x14ac:dyDescent="0.3">
      <c r="A4330" t="s">
        <v>552</v>
      </c>
      <c r="B4330" t="s">
        <v>679</v>
      </c>
      <c r="C4330" t="s">
        <v>281</v>
      </c>
      <c r="D4330" s="226">
        <v>-21.9</v>
      </c>
      <c r="E4330" t="s">
        <v>680</v>
      </c>
    </row>
    <row r="4331" spans="1:5" hidden="1" x14ac:dyDescent="0.3">
      <c r="A4331" t="s">
        <v>552</v>
      </c>
      <c r="B4331" t="s">
        <v>679</v>
      </c>
      <c r="C4331" t="s">
        <v>282</v>
      </c>
      <c r="D4331" s="226">
        <v>-815</v>
      </c>
      <c r="E4331" t="s">
        <v>680</v>
      </c>
    </row>
    <row r="4332" spans="1:5" hidden="1" x14ac:dyDescent="0.3">
      <c r="A4332" t="s">
        <v>552</v>
      </c>
      <c r="B4332" t="s">
        <v>679</v>
      </c>
      <c r="C4332" t="s">
        <v>283</v>
      </c>
      <c r="D4332" s="226">
        <v>-2870.45</v>
      </c>
      <c r="E4332" t="s">
        <v>680</v>
      </c>
    </row>
    <row r="4333" spans="1:5" hidden="1" x14ac:dyDescent="0.3">
      <c r="A4333" t="s">
        <v>552</v>
      </c>
      <c r="B4333" t="s">
        <v>679</v>
      </c>
      <c r="C4333" t="s">
        <v>284</v>
      </c>
      <c r="D4333" s="226">
        <v>-389</v>
      </c>
      <c r="E4333" t="s">
        <v>680</v>
      </c>
    </row>
    <row r="4334" spans="1:5" hidden="1" x14ac:dyDescent="0.3">
      <c r="A4334" t="s">
        <v>552</v>
      </c>
      <c r="B4334" t="s">
        <v>679</v>
      </c>
      <c r="C4334" t="s">
        <v>285</v>
      </c>
      <c r="D4334" s="226">
        <v>-1649.73</v>
      </c>
      <c r="E4334" t="s">
        <v>680</v>
      </c>
    </row>
    <row r="4335" spans="1:5" hidden="1" x14ac:dyDescent="0.3">
      <c r="A4335" t="s">
        <v>552</v>
      </c>
      <c r="B4335" t="s">
        <v>679</v>
      </c>
      <c r="C4335" t="s">
        <v>44</v>
      </c>
      <c r="D4335" s="226">
        <v>-0.01</v>
      </c>
      <c r="E4335" t="s">
        <v>680</v>
      </c>
    </row>
    <row r="4336" spans="1:5" hidden="1" x14ac:dyDescent="0.3">
      <c r="A4336" t="s">
        <v>552</v>
      </c>
      <c r="B4336" t="s">
        <v>679</v>
      </c>
      <c r="C4336" t="s">
        <v>286</v>
      </c>
      <c r="D4336" s="226">
        <v>-12056.02</v>
      </c>
      <c r="E4336" t="s">
        <v>680</v>
      </c>
    </row>
    <row r="4337" spans="1:5" hidden="1" x14ac:dyDescent="0.3">
      <c r="A4337" t="s">
        <v>552</v>
      </c>
      <c r="B4337" t="s">
        <v>679</v>
      </c>
      <c r="C4337" t="s">
        <v>287</v>
      </c>
      <c r="D4337" s="226">
        <v>-10891.22</v>
      </c>
      <c r="E4337" t="s">
        <v>680</v>
      </c>
    </row>
    <row r="4338" spans="1:5" hidden="1" x14ac:dyDescent="0.3">
      <c r="A4338" t="s">
        <v>552</v>
      </c>
      <c r="B4338" t="s">
        <v>679</v>
      </c>
      <c r="C4338" t="s">
        <v>288</v>
      </c>
      <c r="D4338" s="226">
        <v>-300</v>
      </c>
      <c r="E4338" t="s">
        <v>680</v>
      </c>
    </row>
    <row r="4339" spans="1:5" hidden="1" x14ac:dyDescent="0.3">
      <c r="A4339" t="s">
        <v>552</v>
      </c>
      <c r="B4339" t="s">
        <v>679</v>
      </c>
      <c r="C4339" t="s">
        <v>289</v>
      </c>
      <c r="D4339" s="226">
        <v>0</v>
      </c>
      <c r="E4339" t="s">
        <v>680</v>
      </c>
    </row>
    <row r="4340" spans="1:5" hidden="1" x14ac:dyDescent="0.3">
      <c r="A4340" t="s">
        <v>552</v>
      </c>
      <c r="B4340" t="s">
        <v>679</v>
      </c>
      <c r="C4340" t="s">
        <v>290</v>
      </c>
      <c r="D4340" s="226">
        <v>-837.48</v>
      </c>
      <c r="E4340" t="s">
        <v>680</v>
      </c>
    </row>
    <row r="4341" spans="1:5" hidden="1" x14ac:dyDescent="0.3">
      <c r="A4341" t="s">
        <v>552</v>
      </c>
      <c r="B4341" t="s">
        <v>679</v>
      </c>
      <c r="C4341" t="s">
        <v>291</v>
      </c>
      <c r="D4341" s="226">
        <v>0</v>
      </c>
      <c r="E4341" t="s">
        <v>680</v>
      </c>
    </row>
    <row r="4342" spans="1:5" hidden="1" x14ac:dyDescent="0.3">
      <c r="A4342" t="s">
        <v>552</v>
      </c>
      <c r="B4342" t="s">
        <v>679</v>
      </c>
      <c r="C4342" t="s">
        <v>292</v>
      </c>
      <c r="D4342" s="226">
        <v>0</v>
      </c>
      <c r="E4342" t="s">
        <v>680</v>
      </c>
    </row>
    <row r="4343" spans="1:5" hidden="1" x14ac:dyDescent="0.3">
      <c r="A4343" t="s">
        <v>552</v>
      </c>
      <c r="B4343" t="s">
        <v>679</v>
      </c>
      <c r="C4343" t="s">
        <v>293</v>
      </c>
      <c r="D4343" s="226">
        <v>-27.32</v>
      </c>
      <c r="E4343" t="s">
        <v>680</v>
      </c>
    </row>
    <row r="4344" spans="1:5" hidden="1" x14ac:dyDescent="0.3">
      <c r="A4344" t="s">
        <v>552</v>
      </c>
      <c r="B4344" t="s">
        <v>679</v>
      </c>
      <c r="C4344" t="s">
        <v>294</v>
      </c>
      <c r="D4344" s="226">
        <v>0</v>
      </c>
      <c r="E4344" t="s">
        <v>680</v>
      </c>
    </row>
    <row r="4345" spans="1:5" hidden="1" x14ac:dyDescent="0.3">
      <c r="A4345" t="s">
        <v>552</v>
      </c>
      <c r="B4345" t="s">
        <v>679</v>
      </c>
      <c r="C4345" t="s">
        <v>44</v>
      </c>
      <c r="D4345" s="226">
        <v>-0.01</v>
      </c>
      <c r="E4345" t="s">
        <v>680</v>
      </c>
    </row>
    <row r="4346" spans="1:5" hidden="1" x14ac:dyDescent="0.3">
      <c r="A4346" t="s">
        <v>552</v>
      </c>
      <c r="B4346" t="s">
        <v>679</v>
      </c>
      <c r="C4346" t="s">
        <v>295</v>
      </c>
      <c r="D4346" s="226">
        <v>-8819.1299999999992</v>
      </c>
      <c r="E4346" t="s">
        <v>680</v>
      </c>
    </row>
    <row r="4347" spans="1:5" hidden="1" x14ac:dyDescent="0.3">
      <c r="A4347" t="s">
        <v>552</v>
      </c>
      <c r="B4347" t="s">
        <v>679</v>
      </c>
      <c r="C4347" t="s">
        <v>296</v>
      </c>
      <c r="D4347" s="226">
        <v>-4500</v>
      </c>
      <c r="E4347" t="s">
        <v>680</v>
      </c>
    </row>
    <row r="4348" spans="1:5" hidden="1" x14ac:dyDescent="0.3">
      <c r="A4348" t="s">
        <v>552</v>
      </c>
      <c r="B4348" t="s">
        <v>679</v>
      </c>
      <c r="C4348" t="s">
        <v>297</v>
      </c>
      <c r="D4348" s="226">
        <v>-460</v>
      </c>
      <c r="E4348" t="s">
        <v>680</v>
      </c>
    </row>
    <row r="4349" spans="1:5" hidden="1" x14ac:dyDescent="0.3">
      <c r="A4349" t="s">
        <v>552</v>
      </c>
      <c r="B4349" t="s">
        <v>679</v>
      </c>
      <c r="C4349" t="s">
        <v>298</v>
      </c>
      <c r="D4349" s="226">
        <v>0</v>
      </c>
      <c r="E4349" t="s">
        <v>680</v>
      </c>
    </row>
    <row r="4350" spans="1:5" hidden="1" x14ac:dyDescent="0.3">
      <c r="A4350" t="s">
        <v>552</v>
      </c>
      <c r="B4350" t="s">
        <v>679</v>
      </c>
      <c r="C4350" t="s">
        <v>299</v>
      </c>
      <c r="D4350" s="226">
        <v>0</v>
      </c>
      <c r="E4350" t="s">
        <v>680</v>
      </c>
    </row>
    <row r="4351" spans="1:5" hidden="1" x14ac:dyDescent="0.3">
      <c r="A4351" t="s">
        <v>552</v>
      </c>
      <c r="B4351" t="s">
        <v>679</v>
      </c>
      <c r="C4351" t="s">
        <v>300</v>
      </c>
      <c r="D4351" s="226">
        <v>0</v>
      </c>
      <c r="E4351" t="s">
        <v>680</v>
      </c>
    </row>
    <row r="4352" spans="1:5" hidden="1" x14ac:dyDescent="0.3">
      <c r="A4352" t="s">
        <v>552</v>
      </c>
      <c r="B4352" t="s">
        <v>679</v>
      </c>
      <c r="C4352" t="s">
        <v>301</v>
      </c>
      <c r="D4352" s="226">
        <v>0</v>
      </c>
      <c r="E4352" t="s">
        <v>680</v>
      </c>
    </row>
    <row r="4353" spans="1:5" hidden="1" x14ac:dyDescent="0.3">
      <c r="A4353" t="s">
        <v>552</v>
      </c>
      <c r="B4353" t="s">
        <v>679</v>
      </c>
      <c r="C4353" t="s">
        <v>302</v>
      </c>
      <c r="D4353" s="226">
        <v>0</v>
      </c>
      <c r="E4353" t="s">
        <v>680</v>
      </c>
    </row>
    <row r="4354" spans="1:5" hidden="1" x14ac:dyDescent="0.3">
      <c r="A4354" t="s">
        <v>552</v>
      </c>
      <c r="B4354" t="s">
        <v>679</v>
      </c>
      <c r="C4354" t="s">
        <v>303</v>
      </c>
      <c r="D4354" s="226">
        <v>-2400</v>
      </c>
      <c r="E4354" t="s">
        <v>680</v>
      </c>
    </row>
    <row r="4355" spans="1:5" hidden="1" x14ac:dyDescent="0.3">
      <c r="A4355" t="s">
        <v>552</v>
      </c>
      <c r="B4355" t="s">
        <v>679</v>
      </c>
      <c r="C4355" t="s">
        <v>304</v>
      </c>
      <c r="D4355" s="226">
        <v>0</v>
      </c>
      <c r="E4355" t="s">
        <v>680</v>
      </c>
    </row>
    <row r="4356" spans="1:5" hidden="1" x14ac:dyDescent="0.3">
      <c r="A4356" t="s">
        <v>552</v>
      </c>
      <c r="B4356" t="s">
        <v>679</v>
      </c>
      <c r="C4356" t="s">
        <v>305</v>
      </c>
      <c r="D4356" s="226">
        <v>0</v>
      </c>
      <c r="E4356" t="s">
        <v>680</v>
      </c>
    </row>
    <row r="4357" spans="1:5" hidden="1" x14ac:dyDescent="0.3">
      <c r="A4357" t="s">
        <v>552</v>
      </c>
      <c r="B4357" t="s">
        <v>679</v>
      </c>
      <c r="C4357" t="s">
        <v>306</v>
      </c>
      <c r="D4357" s="226">
        <v>-1459.13</v>
      </c>
      <c r="E4357" t="s">
        <v>680</v>
      </c>
    </row>
    <row r="4358" spans="1:5" hidden="1" x14ac:dyDescent="0.3">
      <c r="A4358" t="s">
        <v>552</v>
      </c>
      <c r="B4358" t="s">
        <v>679</v>
      </c>
      <c r="C4358" t="s">
        <v>44</v>
      </c>
      <c r="D4358" s="226">
        <v>-0.01</v>
      </c>
      <c r="E4358" t="s">
        <v>680</v>
      </c>
    </row>
    <row r="4359" spans="1:5" hidden="1" x14ac:dyDescent="0.3">
      <c r="A4359" t="s">
        <v>552</v>
      </c>
      <c r="B4359" t="s">
        <v>679</v>
      </c>
      <c r="C4359" t="s">
        <v>307</v>
      </c>
      <c r="D4359" s="226">
        <v>-16867.150000000001</v>
      </c>
      <c r="E4359" t="s">
        <v>680</v>
      </c>
    </row>
    <row r="4360" spans="1:5" hidden="1" x14ac:dyDescent="0.3">
      <c r="A4360" t="s">
        <v>552</v>
      </c>
      <c r="B4360" t="s">
        <v>679</v>
      </c>
      <c r="C4360" t="s">
        <v>308</v>
      </c>
      <c r="D4360" s="226">
        <v>-3800</v>
      </c>
      <c r="E4360" t="s">
        <v>680</v>
      </c>
    </row>
    <row r="4361" spans="1:5" hidden="1" x14ac:dyDescent="0.3">
      <c r="A4361" t="s">
        <v>552</v>
      </c>
      <c r="B4361" t="s">
        <v>679</v>
      </c>
      <c r="C4361" t="s">
        <v>309</v>
      </c>
      <c r="D4361" s="226">
        <v>0</v>
      </c>
      <c r="E4361" t="s">
        <v>680</v>
      </c>
    </row>
    <row r="4362" spans="1:5" hidden="1" x14ac:dyDescent="0.3">
      <c r="A4362" t="s">
        <v>552</v>
      </c>
      <c r="B4362" t="s">
        <v>679</v>
      </c>
      <c r="C4362" t="s">
        <v>310</v>
      </c>
      <c r="D4362" s="226">
        <v>0</v>
      </c>
      <c r="E4362" t="s">
        <v>680</v>
      </c>
    </row>
    <row r="4363" spans="1:5" hidden="1" x14ac:dyDescent="0.3">
      <c r="A4363" t="s">
        <v>552</v>
      </c>
      <c r="B4363" t="s">
        <v>679</v>
      </c>
      <c r="C4363" t="s">
        <v>311</v>
      </c>
      <c r="D4363" s="226">
        <v>-185</v>
      </c>
      <c r="E4363" t="s">
        <v>680</v>
      </c>
    </row>
    <row r="4364" spans="1:5" hidden="1" x14ac:dyDescent="0.3">
      <c r="A4364" t="s">
        <v>552</v>
      </c>
      <c r="B4364" t="s">
        <v>679</v>
      </c>
      <c r="C4364" t="s">
        <v>312</v>
      </c>
      <c r="D4364" s="226">
        <v>0</v>
      </c>
      <c r="E4364" t="s">
        <v>680</v>
      </c>
    </row>
    <row r="4365" spans="1:5" hidden="1" x14ac:dyDescent="0.3">
      <c r="A4365" t="s">
        <v>552</v>
      </c>
      <c r="B4365" t="s">
        <v>679</v>
      </c>
      <c r="C4365" t="s">
        <v>313</v>
      </c>
      <c r="D4365" s="226">
        <v>-2622.15</v>
      </c>
      <c r="E4365" t="s">
        <v>680</v>
      </c>
    </row>
    <row r="4366" spans="1:5" hidden="1" x14ac:dyDescent="0.3">
      <c r="A4366" t="s">
        <v>552</v>
      </c>
      <c r="B4366" t="s">
        <v>679</v>
      </c>
      <c r="C4366" t="s">
        <v>314</v>
      </c>
      <c r="D4366" s="226">
        <v>0</v>
      </c>
      <c r="E4366" t="s">
        <v>680</v>
      </c>
    </row>
    <row r="4367" spans="1:5" hidden="1" x14ac:dyDescent="0.3">
      <c r="A4367" t="s">
        <v>552</v>
      </c>
      <c r="B4367" t="s">
        <v>679</v>
      </c>
      <c r="C4367" t="s">
        <v>315</v>
      </c>
      <c r="D4367" s="226">
        <v>-10260</v>
      </c>
      <c r="E4367" t="s">
        <v>680</v>
      </c>
    </row>
    <row r="4368" spans="1:5" hidden="1" x14ac:dyDescent="0.3">
      <c r="A4368" t="s">
        <v>552</v>
      </c>
      <c r="B4368" t="s">
        <v>679</v>
      </c>
      <c r="C4368" t="s">
        <v>316</v>
      </c>
      <c r="D4368" s="226">
        <v>0</v>
      </c>
      <c r="E4368" t="s">
        <v>680</v>
      </c>
    </row>
    <row r="4369" spans="1:5" hidden="1" x14ac:dyDescent="0.3">
      <c r="A4369" t="s">
        <v>552</v>
      </c>
      <c r="B4369" t="s">
        <v>679</v>
      </c>
      <c r="C4369" t="s">
        <v>44</v>
      </c>
      <c r="D4369" s="226">
        <v>-0.02</v>
      </c>
      <c r="E4369" t="s">
        <v>680</v>
      </c>
    </row>
    <row r="4370" spans="1:5" hidden="1" x14ac:dyDescent="0.3">
      <c r="A4370" t="s">
        <v>552</v>
      </c>
      <c r="B4370" t="s">
        <v>679</v>
      </c>
      <c r="C4370" t="s">
        <v>317</v>
      </c>
      <c r="D4370" s="226">
        <v>-5064.0200000000004</v>
      </c>
      <c r="E4370" t="s">
        <v>680</v>
      </c>
    </row>
    <row r="4371" spans="1:5" hidden="1" x14ac:dyDescent="0.3">
      <c r="A4371" t="s">
        <v>552</v>
      </c>
      <c r="B4371" t="s">
        <v>679</v>
      </c>
      <c r="C4371" t="s">
        <v>318</v>
      </c>
      <c r="D4371" s="226">
        <v>-4930</v>
      </c>
      <c r="E4371" t="s">
        <v>680</v>
      </c>
    </row>
    <row r="4372" spans="1:5" hidden="1" x14ac:dyDescent="0.3">
      <c r="A4372" t="s">
        <v>552</v>
      </c>
      <c r="B4372" t="s">
        <v>679</v>
      </c>
      <c r="C4372" t="s">
        <v>319</v>
      </c>
      <c r="D4372" s="226">
        <v>-134.02000000000001</v>
      </c>
      <c r="E4372" t="s">
        <v>680</v>
      </c>
    </row>
    <row r="4373" spans="1:5" hidden="1" x14ac:dyDescent="0.3">
      <c r="A4373" t="s">
        <v>552</v>
      </c>
      <c r="B4373" t="s">
        <v>679</v>
      </c>
      <c r="C4373" t="s">
        <v>320</v>
      </c>
      <c r="D4373" s="226">
        <v>0</v>
      </c>
      <c r="E4373" t="s">
        <v>680</v>
      </c>
    </row>
    <row r="4374" spans="1:5" hidden="1" x14ac:dyDescent="0.3">
      <c r="A4374" t="s">
        <v>552</v>
      </c>
      <c r="B4374" t="s">
        <v>679</v>
      </c>
      <c r="C4374" t="s">
        <v>321</v>
      </c>
      <c r="D4374" s="226">
        <v>0</v>
      </c>
      <c r="E4374" t="s">
        <v>680</v>
      </c>
    </row>
    <row r="4375" spans="1:5" hidden="1" x14ac:dyDescent="0.3">
      <c r="A4375" t="s">
        <v>552</v>
      </c>
      <c r="B4375" t="s">
        <v>679</v>
      </c>
      <c r="C4375" t="s">
        <v>44</v>
      </c>
      <c r="D4375" s="226">
        <v>0</v>
      </c>
      <c r="E4375" t="s">
        <v>680</v>
      </c>
    </row>
    <row r="4376" spans="1:5" hidden="1" x14ac:dyDescent="0.3">
      <c r="A4376" t="s">
        <v>552</v>
      </c>
      <c r="B4376" t="s">
        <v>679</v>
      </c>
      <c r="C4376" t="s">
        <v>322</v>
      </c>
      <c r="D4376" s="226">
        <v>-54397.65</v>
      </c>
      <c r="E4376" t="s">
        <v>680</v>
      </c>
    </row>
    <row r="4377" spans="1:5" hidden="1" x14ac:dyDescent="0.3">
      <c r="A4377" t="s">
        <v>552</v>
      </c>
      <c r="B4377" t="s">
        <v>679</v>
      </c>
      <c r="C4377" t="s">
        <v>323</v>
      </c>
      <c r="D4377" s="226">
        <v>0</v>
      </c>
      <c r="E4377" t="s">
        <v>680</v>
      </c>
    </row>
    <row r="4378" spans="1:5" hidden="1" x14ac:dyDescent="0.3">
      <c r="A4378" t="s">
        <v>552</v>
      </c>
      <c r="B4378" t="s">
        <v>679</v>
      </c>
      <c r="C4378" t="s">
        <v>324</v>
      </c>
      <c r="D4378" s="226">
        <v>0</v>
      </c>
      <c r="E4378" t="s">
        <v>680</v>
      </c>
    </row>
    <row r="4379" spans="1:5" hidden="1" x14ac:dyDescent="0.3">
      <c r="A4379" t="s">
        <v>552</v>
      </c>
      <c r="B4379" t="s">
        <v>679</v>
      </c>
      <c r="C4379" t="s">
        <v>325</v>
      </c>
      <c r="D4379" s="226">
        <v>-54397.65</v>
      </c>
      <c r="E4379" t="s">
        <v>680</v>
      </c>
    </row>
    <row r="4380" spans="1:5" hidden="1" x14ac:dyDescent="0.3">
      <c r="A4380" t="s">
        <v>552</v>
      </c>
      <c r="B4380" t="s">
        <v>679</v>
      </c>
      <c r="C4380" t="s">
        <v>44</v>
      </c>
      <c r="D4380" s="226">
        <v>-0.05</v>
      </c>
      <c r="E4380" t="s">
        <v>680</v>
      </c>
    </row>
    <row r="4381" spans="1:5" hidden="1" x14ac:dyDescent="0.3">
      <c r="A4381" t="s">
        <v>552</v>
      </c>
      <c r="B4381" t="s">
        <v>679</v>
      </c>
      <c r="C4381" t="s">
        <v>327</v>
      </c>
      <c r="D4381" s="226">
        <v>-497177.9</v>
      </c>
      <c r="E4381" t="s">
        <v>680</v>
      </c>
    </row>
    <row r="4382" spans="1:5" hidden="1" x14ac:dyDescent="0.3">
      <c r="A4382" t="s">
        <v>552</v>
      </c>
      <c r="B4382" t="s">
        <v>679</v>
      </c>
      <c r="C4382" t="s">
        <v>44</v>
      </c>
      <c r="D4382" s="226">
        <v>-0.46</v>
      </c>
      <c r="E4382" t="s">
        <v>680</v>
      </c>
    </row>
    <row r="4383" spans="1:5" hidden="1" x14ac:dyDescent="0.3">
      <c r="A4383" t="s">
        <v>552</v>
      </c>
      <c r="B4383" t="s">
        <v>679</v>
      </c>
      <c r="C4383" t="s">
        <v>328</v>
      </c>
      <c r="D4383" s="226">
        <v>98540.79</v>
      </c>
      <c r="E4383" t="s">
        <v>680</v>
      </c>
    </row>
    <row r="4384" spans="1:5" hidden="1" x14ac:dyDescent="0.3">
      <c r="A4384" t="s">
        <v>552</v>
      </c>
      <c r="B4384" t="s">
        <v>679</v>
      </c>
      <c r="C4384" t="s">
        <v>44</v>
      </c>
      <c r="D4384" s="226">
        <v>0.09</v>
      </c>
      <c r="E4384" t="s">
        <v>680</v>
      </c>
    </row>
    <row r="4385" spans="1:5" hidden="1" x14ac:dyDescent="0.3">
      <c r="A4385" t="s">
        <v>552</v>
      </c>
      <c r="B4385" t="s">
        <v>679</v>
      </c>
      <c r="C4385" t="s">
        <v>329</v>
      </c>
      <c r="D4385" s="226">
        <v>0</v>
      </c>
      <c r="E4385" t="s">
        <v>680</v>
      </c>
    </row>
    <row r="4386" spans="1:5" hidden="1" x14ac:dyDescent="0.3">
      <c r="A4386" t="s">
        <v>552</v>
      </c>
      <c r="B4386" t="s">
        <v>679</v>
      </c>
      <c r="C4386" t="s">
        <v>331</v>
      </c>
      <c r="D4386" s="226">
        <v>98540.79</v>
      </c>
      <c r="E4386" t="s">
        <v>680</v>
      </c>
    </row>
    <row r="4387" spans="1:5" hidden="1" x14ac:dyDescent="0.3">
      <c r="A4387" t="s">
        <v>552</v>
      </c>
      <c r="B4387" t="s">
        <v>679</v>
      </c>
      <c r="C4387" t="s">
        <v>332</v>
      </c>
      <c r="D4387" s="226">
        <v>-2340.27</v>
      </c>
      <c r="E4387" t="s">
        <v>680</v>
      </c>
    </row>
    <row r="4388" spans="1:5" hidden="1" x14ac:dyDescent="0.3">
      <c r="A4388" t="s">
        <v>552</v>
      </c>
      <c r="B4388" t="s">
        <v>679</v>
      </c>
      <c r="C4388" t="s">
        <v>333</v>
      </c>
      <c r="D4388" s="226">
        <v>0</v>
      </c>
      <c r="E4388" t="s">
        <v>680</v>
      </c>
    </row>
    <row r="4389" spans="1:5" hidden="1" x14ac:dyDescent="0.3">
      <c r="A4389" t="s">
        <v>552</v>
      </c>
      <c r="B4389" t="s">
        <v>679</v>
      </c>
      <c r="C4389" t="s">
        <v>335</v>
      </c>
      <c r="D4389" s="226">
        <v>-26123.48</v>
      </c>
      <c r="E4389" t="s">
        <v>680</v>
      </c>
    </row>
    <row r="4390" spans="1:5" hidden="1" x14ac:dyDescent="0.3">
      <c r="A4390" t="s">
        <v>552</v>
      </c>
      <c r="B4390" t="s">
        <v>679</v>
      </c>
      <c r="C4390" t="s">
        <v>337</v>
      </c>
      <c r="D4390" s="226">
        <v>70077.039999999994</v>
      </c>
      <c r="E4390" t="s">
        <v>680</v>
      </c>
    </row>
    <row r="4391" spans="1:5" hidden="1" x14ac:dyDescent="0.3">
      <c r="A4391" t="s">
        <v>552</v>
      </c>
      <c r="B4391" t="s">
        <v>679</v>
      </c>
      <c r="C4391" t="s">
        <v>338</v>
      </c>
      <c r="D4391" s="226">
        <v>-22262.93</v>
      </c>
      <c r="E4391" t="s">
        <v>680</v>
      </c>
    </row>
    <row r="4392" spans="1:5" hidden="1" x14ac:dyDescent="0.3">
      <c r="A4392" t="s">
        <v>552</v>
      </c>
      <c r="B4392" t="s">
        <v>679</v>
      </c>
      <c r="C4392" t="s">
        <v>341</v>
      </c>
      <c r="D4392" s="226">
        <v>0</v>
      </c>
      <c r="E4392" t="s">
        <v>680</v>
      </c>
    </row>
    <row r="4393" spans="1:5" hidden="1" x14ac:dyDescent="0.3">
      <c r="A4393" t="s">
        <v>552</v>
      </c>
      <c r="B4393" t="s">
        <v>679</v>
      </c>
      <c r="C4393" t="s">
        <v>343</v>
      </c>
      <c r="D4393" s="226">
        <v>-11746.36</v>
      </c>
      <c r="E4393" t="s">
        <v>680</v>
      </c>
    </row>
    <row r="4394" spans="1:5" hidden="1" x14ac:dyDescent="0.3">
      <c r="A4394" t="s">
        <v>552</v>
      </c>
      <c r="B4394" t="s">
        <v>679</v>
      </c>
      <c r="C4394" t="s">
        <v>344</v>
      </c>
      <c r="D4394" s="226">
        <v>0</v>
      </c>
      <c r="E4394" t="s">
        <v>680</v>
      </c>
    </row>
    <row r="4395" spans="1:5" hidden="1" x14ac:dyDescent="0.3">
      <c r="A4395" t="s">
        <v>552</v>
      </c>
      <c r="B4395" t="s">
        <v>679</v>
      </c>
      <c r="C4395" t="s">
        <v>345</v>
      </c>
      <c r="D4395" s="226">
        <v>-10516.57</v>
      </c>
      <c r="E4395" t="s">
        <v>680</v>
      </c>
    </row>
    <row r="4396" spans="1:5" hidden="1" x14ac:dyDescent="0.3">
      <c r="A4396" t="s">
        <v>552</v>
      </c>
      <c r="B4396" t="s">
        <v>679</v>
      </c>
      <c r="C4396" t="s">
        <v>346</v>
      </c>
      <c r="D4396" s="226">
        <v>47814.12</v>
      </c>
      <c r="E4396" t="s">
        <v>680</v>
      </c>
    </row>
    <row r="4397" spans="1:5" hidden="1" x14ac:dyDescent="0.3">
      <c r="A4397" t="s">
        <v>552</v>
      </c>
      <c r="B4397" t="s">
        <v>679</v>
      </c>
      <c r="C4397" t="s">
        <v>44</v>
      </c>
      <c r="D4397" s="226">
        <v>0.04</v>
      </c>
      <c r="E4397" t="s">
        <v>680</v>
      </c>
    </row>
    <row r="4398" spans="1:5" hidden="1" x14ac:dyDescent="0.3">
      <c r="A4398" t="s">
        <v>552</v>
      </c>
      <c r="B4398" t="s">
        <v>679</v>
      </c>
      <c r="C4398" t="s">
        <v>347</v>
      </c>
      <c r="D4398" s="226">
        <v>-15820.81</v>
      </c>
      <c r="E4398" t="s">
        <v>680</v>
      </c>
    </row>
    <row r="4399" spans="1:5" hidden="1" x14ac:dyDescent="0.3">
      <c r="A4399" t="s">
        <v>552</v>
      </c>
      <c r="B4399" t="s">
        <v>679</v>
      </c>
      <c r="C4399" t="s">
        <v>654</v>
      </c>
      <c r="D4399" s="226">
        <v>-4290</v>
      </c>
      <c r="E4399" t="s">
        <v>680</v>
      </c>
    </row>
    <row r="4400" spans="1:5" hidden="1" x14ac:dyDescent="0.3">
      <c r="A4400" t="s">
        <v>552</v>
      </c>
      <c r="B4400" t="s">
        <v>679</v>
      </c>
      <c r="C4400" t="s">
        <v>349</v>
      </c>
      <c r="D4400" s="226">
        <v>-8820</v>
      </c>
      <c r="E4400" t="s">
        <v>680</v>
      </c>
    </row>
    <row r="4401" spans="1:5" hidden="1" x14ac:dyDescent="0.3">
      <c r="A4401" t="s">
        <v>552</v>
      </c>
      <c r="B4401" t="s">
        <v>679</v>
      </c>
      <c r="C4401" t="s">
        <v>350</v>
      </c>
      <c r="D4401" s="226">
        <v>0</v>
      </c>
      <c r="E4401" t="s">
        <v>680</v>
      </c>
    </row>
    <row r="4402" spans="1:5" hidden="1" x14ac:dyDescent="0.3">
      <c r="A4402" t="s">
        <v>552</v>
      </c>
      <c r="B4402" t="s">
        <v>679</v>
      </c>
      <c r="C4402" t="s">
        <v>351</v>
      </c>
      <c r="D4402" s="226">
        <v>0</v>
      </c>
      <c r="E4402" t="s">
        <v>680</v>
      </c>
    </row>
    <row r="4403" spans="1:5" hidden="1" x14ac:dyDescent="0.3">
      <c r="A4403" t="s">
        <v>552</v>
      </c>
      <c r="B4403" t="s">
        <v>679</v>
      </c>
      <c r="C4403" t="s">
        <v>352</v>
      </c>
      <c r="D4403" s="226">
        <v>0</v>
      </c>
      <c r="E4403" t="s">
        <v>680</v>
      </c>
    </row>
    <row r="4404" spans="1:5" hidden="1" x14ac:dyDescent="0.3">
      <c r="A4404" t="s">
        <v>552</v>
      </c>
      <c r="B4404" t="s">
        <v>679</v>
      </c>
      <c r="C4404" t="s">
        <v>353</v>
      </c>
      <c r="D4404" s="226">
        <v>0</v>
      </c>
      <c r="E4404" t="s">
        <v>680</v>
      </c>
    </row>
    <row r="4405" spans="1:5" hidden="1" x14ac:dyDescent="0.3">
      <c r="A4405" t="s">
        <v>552</v>
      </c>
      <c r="B4405" t="s">
        <v>679</v>
      </c>
      <c r="C4405" t="s">
        <v>354</v>
      </c>
      <c r="D4405" s="226">
        <v>0</v>
      </c>
      <c r="E4405" t="s">
        <v>680</v>
      </c>
    </row>
    <row r="4406" spans="1:5" hidden="1" x14ac:dyDescent="0.3">
      <c r="A4406" t="s">
        <v>552</v>
      </c>
      <c r="B4406" t="s">
        <v>679</v>
      </c>
      <c r="C4406" t="s">
        <v>355</v>
      </c>
      <c r="D4406" s="226">
        <v>0</v>
      </c>
      <c r="E4406" t="s">
        <v>680</v>
      </c>
    </row>
    <row r="4407" spans="1:5" hidden="1" x14ac:dyDescent="0.3">
      <c r="A4407" t="s">
        <v>552</v>
      </c>
      <c r="B4407" t="s">
        <v>679</v>
      </c>
      <c r="C4407" t="s">
        <v>356</v>
      </c>
      <c r="D4407" s="226">
        <v>0</v>
      </c>
      <c r="E4407" t="s">
        <v>680</v>
      </c>
    </row>
    <row r="4408" spans="1:5" hidden="1" x14ac:dyDescent="0.3">
      <c r="A4408" t="s">
        <v>552</v>
      </c>
      <c r="B4408" t="s">
        <v>679</v>
      </c>
      <c r="C4408" t="s">
        <v>357</v>
      </c>
      <c r="D4408" s="226">
        <v>0</v>
      </c>
      <c r="E4408" t="s">
        <v>680</v>
      </c>
    </row>
    <row r="4409" spans="1:5" hidden="1" x14ac:dyDescent="0.3">
      <c r="A4409" t="s">
        <v>552</v>
      </c>
      <c r="B4409" t="s">
        <v>679</v>
      </c>
      <c r="C4409" t="s">
        <v>358</v>
      </c>
      <c r="D4409" s="226">
        <v>-2710.81</v>
      </c>
      <c r="E4409" t="s">
        <v>680</v>
      </c>
    </row>
    <row r="4410" spans="1:5" hidden="1" x14ac:dyDescent="0.3">
      <c r="A4410" t="s">
        <v>552</v>
      </c>
      <c r="B4410" t="s">
        <v>679</v>
      </c>
      <c r="C4410" t="s">
        <v>359</v>
      </c>
      <c r="D4410" s="226">
        <v>0</v>
      </c>
      <c r="E4410" t="s">
        <v>680</v>
      </c>
    </row>
    <row r="4411" spans="1:5" hidden="1" x14ac:dyDescent="0.3">
      <c r="A4411" t="s">
        <v>552</v>
      </c>
      <c r="B4411" t="s">
        <v>679</v>
      </c>
      <c r="C4411" t="s">
        <v>360</v>
      </c>
      <c r="D4411" s="226">
        <v>0</v>
      </c>
      <c r="E4411" t="s">
        <v>680</v>
      </c>
    </row>
    <row r="4412" spans="1:5" hidden="1" x14ac:dyDescent="0.3">
      <c r="A4412" t="s">
        <v>552</v>
      </c>
      <c r="B4412" t="s">
        <v>679</v>
      </c>
      <c r="C4412" t="s">
        <v>361</v>
      </c>
      <c r="D4412" s="226">
        <v>0</v>
      </c>
      <c r="E4412" t="s">
        <v>680</v>
      </c>
    </row>
    <row r="4413" spans="1:5" hidden="1" x14ac:dyDescent="0.3">
      <c r="A4413" t="s">
        <v>552</v>
      </c>
      <c r="B4413" t="s">
        <v>679</v>
      </c>
      <c r="C4413" t="s">
        <v>362</v>
      </c>
      <c r="D4413" s="226">
        <v>0</v>
      </c>
      <c r="E4413" t="s">
        <v>680</v>
      </c>
    </row>
    <row r="4414" spans="1:5" hidden="1" x14ac:dyDescent="0.3">
      <c r="A4414" t="s">
        <v>552</v>
      </c>
      <c r="B4414" t="s">
        <v>679</v>
      </c>
      <c r="C4414" t="s">
        <v>363</v>
      </c>
      <c r="D4414" s="226">
        <v>0</v>
      </c>
      <c r="E4414" t="s">
        <v>680</v>
      </c>
    </row>
    <row r="4415" spans="1:5" hidden="1" x14ac:dyDescent="0.3">
      <c r="A4415" t="s">
        <v>552</v>
      </c>
      <c r="B4415" t="s">
        <v>679</v>
      </c>
      <c r="C4415" t="s">
        <v>364</v>
      </c>
      <c r="D4415" s="226">
        <v>-20252.099999999999</v>
      </c>
      <c r="E4415" t="s">
        <v>680</v>
      </c>
    </row>
    <row r="4416" spans="1:5" hidden="1" x14ac:dyDescent="0.3">
      <c r="A4416" t="s">
        <v>552</v>
      </c>
      <c r="B4416" t="s">
        <v>679</v>
      </c>
      <c r="C4416" t="s">
        <v>365</v>
      </c>
      <c r="D4416" s="226">
        <v>-19431.5</v>
      </c>
      <c r="E4416" t="s">
        <v>680</v>
      </c>
    </row>
    <row r="4417" spans="1:5" hidden="1" x14ac:dyDescent="0.3">
      <c r="A4417" t="s">
        <v>552</v>
      </c>
      <c r="B4417" t="s">
        <v>679</v>
      </c>
      <c r="C4417" t="s">
        <v>366</v>
      </c>
      <c r="D4417" s="226">
        <v>0</v>
      </c>
      <c r="E4417" t="s">
        <v>680</v>
      </c>
    </row>
    <row r="4418" spans="1:5" hidden="1" x14ac:dyDescent="0.3">
      <c r="A4418" t="s">
        <v>552</v>
      </c>
      <c r="B4418" t="s">
        <v>679</v>
      </c>
      <c r="C4418" t="s">
        <v>367</v>
      </c>
      <c r="D4418" s="226">
        <v>-3320.6</v>
      </c>
      <c r="E4418" t="s">
        <v>680</v>
      </c>
    </row>
    <row r="4419" spans="1:5" hidden="1" x14ac:dyDescent="0.3">
      <c r="A4419" t="s">
        <v>552</v>
      </c>
      <c r="B4419" t="s">
        <v>679</v>
      </c>
      <c r="C4419" t="s">
        <v>368</v>
      </c>
      <c r="D4419" s="226">
        <v>2500</v>
      </c>
      <c r="E4419" t="s">
        <v>680</v>
      </c>
    </row>
    <row r="4420" spans="1:5" hidden="1" x14ac:dyDescent="0.3">
      <c r="A4420" t="s">
        <v>552</v>
      </c>
      <c r="B4420" t="s">
        <v>679</v>
      </c>
      <c r="C4420" t="s">
        <v>369</v>
      </c>
      <c r="D4420" s="226">
        <v>0</v>
      </c>
      <c r="E4420" t="s">
        <v>680</v>
      </c>
    </row>
    <row r="4421" spans="1:5" hidden="1" x14ac:dyDescent="0.3">
      <c r="A4421" t="s">
        <v>552</v>
      </c>
      <c r="B4421" t="s">
        <v>679</v>
      </c>
      <c r="C4421" t="s">
        <v>370</v>
      </c>
      <c r="D4421" s="226">
        <v>0</v>
      </c>
      <c r="E4421" t="s">
        <v>680</v>
      </c>
    </row>
    <row r="4422" spans="1:5" hidden="1" x14ac:dyDescent="0.3">
      <c r="A4422" t="s">
        <v>552</v>
      </c>
      <c r="B4422" t="s">
        <v>679</v>
      </c>
      <c r="C4422" t="s">
        <v>371</v>
      </c>
      <c r="D4422" s="226">
        <v>0</v>
      </c>
      <c r="E4422" t="s">
        <v>680</v>
      </c>
    </row>
    <row r="4423" spans="1:5" hidden="1" x14ac:dyDescent="0.3">
      <c r="A4423" t="s">
        <v>552</v>
      </c>
      <c r="B4423" t="s">
        <v>679</v>
      </c>
      <c r="C4423" t="s">
        <v>372</v>
      </c>
      <c r="D4423" s="226">
        <v>-36072.910000000003</v>
      </c>
      <c r="E4423" t="s">
        <v>680</v>
      </c>
    </row>
    <row r="4424" spans="1:5" hidden="1" x14ac:dyDescent="0.3">
      <c r="A4424" t="s">
        <v>552</v>
      </c>
      <c r="B4424" t="s">
        <v>679</v>
      </c>
      <c r="C4424" t="s">
        <v>373</v>
      </c>
      <c r="D4424" s="226">
        <v>11741.21</v>
      </c>
      <c r="E4424" t="s">
        <v>680</v>
      </c>
    </row>
    <row r="4425" spans="1:5" hidden="1" x14ac:dyDescent="0.3">
      <c r="A4425" t="s">
        <v>552</v>
      </c>
      <c r="B4425" t="s">
        <v>679</v>
      </c>
      <c r="C4425" t="s">
        <v>655</v>
      </c>
      <c r="D4425" s="226">
        <v>11741.21</v>
      </c>
      <c r="E4425" t="s">
        <v>680</v>
      </c>
    </row>
    <row r="4426" spans="1:5" hidden="1" x14ac:dyDescent="0.3">
      <c r="A4426" t="s">
        <v>552</v>
      </c>
      <c r="B4426" t="s">
        <v>681</v>
      </c>
      <c r="C4426" t="s">
        <v>11</v>
      </c>
      <c r="D4426" s="226">
        <v>1178746.68</v>
      </c>
      <c r="E4426" t="s">
        <v>682</v>
      </c>
    </row>
    <row r="4427" spans="1:5" hidden="1" x14ac:dyDescent="0.3">
      <c r="A4427" t="s">
        <v>552</v>
      </c>
      <c r="B4427" t="s">
        <v>681</v>
      </c>
      <c r="C4427" t="s">
        <v>13</v>
      </c>
      <c r="D4427" s="226">
        <v>594754.02</v>
      </c>
      <c r="E4427" t="s">
        <v>682</v>
      </c>
    </row>
    <row r="4428" spans="1:5" hidden="1" x14ac:dyDescent="0.3">
      <c r="A4428" t="s">
        <v>552</v>
      </c>
      <c r="B4428" t="s">
        <v>681</v>
      </c>
      <c r="C4428" t="s">
        <v>16</v>
      </c>
      <c r="D4428" s="226">
        <v>421587.09</v>
      </c>
      <c r="E4428" t="s">
        <v>682</v>
      </c>
    </row>
    <row r="4429" spans="1:5" hidden="1" x14ac:dyDescent="0.3">
      <c r="A4429" t="s">
        <v>552</v>
      </c>
      <c r="B4429" t="s">
        <v>681</v>
      </c>
      <c r="C4429" t="s">
        <v>17</v>
      </c>
      <c r="D4429" s="226">
        <v>0</v>
      </c>
      <c r="E4429" t="s">
        <v>682</v>
      </c>
    </row>
    <row r="4430" spans="1:5" hidden="1" x14ac:dyDescent="0.3">
      <c r="A4430" t="s">
        <v>552</v>
      </c>
      <c r="B4430" t="s">
        <v>681</v>
      </c>
      <c r="C4430" t="s">
        <v>18</v>
      </c>
      <c r="D4430" s="226">
        <v>0</v>
      </c>
      <c r="E4430" t="s">
        <v>682</v>
      </c>
    </row>
    <row r="4431" spans="1:5" hidden="1" x14ac:dyDescent="0.3">
      <c r="A4431" t="s">
        <v>552</v>
      </c>
      <c r="B4431" t="s">
        <v>681</v>
      </c>
      <c r="C4431" t="s">
        <v>20</v>
      </c>
      <c r="D4431" s="226">
        <v>128517.08</v>
      </c>
      <c r="E4431" t="s">
        <v>682</v>
      </c>
    </row>
    <row r="4432" spans="1:5" hidden="1" x14ac:dyDescent="0.3">
      <c r="A4432" t="s">
        <v>552</v>
      </c>
      <c r="B4432" t="s">
        <v>681</v>
      </c>
      <c r="C4432" t="s">
        <v>23</v>
      </c>
      <c r="D4432" s="226">
        <v>9950</v>
      </c>
      <c r="E4432" t="s">
        <v>682</v>
      </c>
    </row>
    <row r="4433" spans="1:5" hidden="1" x14ac:dyDescent="0.3">
      <c r="A4433" t="s">
        <v>552</v>
      </c>
      <c r="B4433" t="s">
        <v>681</v>
      </c>
      <c r="C4433" t="s">
        <v>25</v>
      </c>
      <c r="D4433" s="226">
        <v>0</v>
      </c>
      <c r="E4433" t="s">
        <v>682</v>
      </c>
    </row>
    <row r="4434" spans="1:5" hidden="1" x14ac:dyDescent="0.3">
      <c r="A4434" t="s">
        <v>552</v>
      </c>
      <c r="B4434" t="s">
        <v>681</v>
      </c>
      <c r="C4434" t="s">
        <v>26</v>
      </c>
      <c r="D4434" s="226">
        <v>9000</v>
      </c>
      <c r="E4434" t="s">
        <v>682</v>
      </c>
    </row>
    <row r="4435" spans="1:5" hidden="1" x14ac:dyDescent="0.3">
      <c r="A4435" t="s">
        <v>552</v>
      </c>
      <c r="B4435" t="s">
        <v>681</v>
      </c>
      <c r="C4435" t="s">
        <v>27</v>
      </c>
      <c r="D4435" s="226">
        <v>0</v>
      </c>
      <c r="E4435" t="s">
        <v>682</v>
      </c>
    </row>
    <row r="4436" spans="1:5" hidden="1" x14ac:dyDescent="0.3">
      <c r="A4436" t="s">
        <v>552</v>
      </c>
      <c r="B4436" t="s">
        <v>681</v>
      </c>
      <c r="C4436" t="s">
        <v>29</v>
      </c>
      <c r="D4436" s="226">
        <v>14115</v>
      </c>
      <c r="E4436" t="s">
        <v>682</v>
      </c>
    </row>
    <row r="4437" spans="1:5" hidden="1" x14ac:dyDescent="0.3">
      <c r="A4437" t="s">
        <v>552</v>
      </c>
      <c r="B4437" t="s">
        <v>681</v>
      </c>
      <c r="C4437" t="s">
        <v>31</v>
      </c>
      <c r="D4437" s="226">
        <v>823.5</v>
      </c>
      <c r="E4437" t="s">
        <v>682</v>
      </c>
    </row>
    <row r="4438" spans="1:5" hidden="1" x14ac:dyDescent="0.3">
      <c r="A4438" t="s">
        <v>552</v>
      </c>
      <c r="B4438" t="s">
        <v>681</v>
      </c>
      <c r="C4438" t="s">
        <v>34</v>
      </c>
      <c r="D4438" s="226">
        <v>-18960.88</v>
      </c>
      <c r="E4438" t="s">
        <v>682</v>
      </c>
    </row>
    <row r="4439" spans="1:5" hidden="1" x14ac:dyDescent="0.3">
      <c r="A4439" t="s">
        <v>552</v>
      </c>
      <c r="B4439" t="s">
        <v>681</v>
      </c>
      <c r="C4439" t="s">
        <v>38</v>
      </c>
      <c r="D4439" s="226">
        <v>-4531.91</v>
      </c>
      <c r="E4439" t="s">
        <v>682</v>
      </c>
    </row>
    <row r="4440" spans="1:5" hidden="1" x14ac:dyDescent="0.3">
      <c r="A4440" t="s">
        <v>552</v>
      </c>
      <c r="B4440" t="s">
        <v>681</v>
      </c>
      <c r="C4440" t="s">
        <v>40</v>
      </c>
      <c r="D4440" s="226">
        <v>-14242.05</v>
      </c>
      <c r="E4440" t="s">
        <v>682</v>
      </c>
    </row>
    <row r="4441" spans="1:5" hidden="1" x14ac:dyDescent="0.3">
      <c r="A4441" t="s">
        <v>552</v>
      </c>
      <c r="B4441" t="s">
        <v>681</v>
      </c>
      <c r="C4441" t="s">
        <v>42</v>
      </c>
      <c r="D4441" s="226">
        <v>-186.92</v>
      </c>
      <c r="E4441" t="s">
        <v>682</v>
      </c>
    </row>
    <row r="4442" spans="1:5" hidden="1" x14ac:dyDescent="0.3">
      <c r="A4442" t="s">
        <v>552</v>
      </c>
      <c r="B4442" t="s">
        <v>681</v>
      </c>
      <c r="C4442" t="s">
        <v>44</v>
      </c>
      <c r="D4442" s="226">
        <v>-0.02</v>
      </c>
      <c r="E4442" t="s">
        <v>682</v>
      </c>
    </row>
    <row r="4443" spans="1:5" hidden="1" x14ac:dyDescent="0.3">
      <c r="A4443" t="s">
        <v>552</v>
      </c>
      <c r="B4443" t="s">
        <v>681</v>
      </c>
      <c r="C4443" t="s">
        <v>45</v>
      </c>
      <c r="D4443" s="226">
        <v>-78496.570000000007</v>
      </c>
      <c r="E4443" t="s">
        <v>682</v>
      </c>
    </row>
    <row r="4444" spans="1:5" hidden="1" x14ac:dyDescent="0.3">
      <c r="A4444" t="s">
        <v>552</v>
      </c>
      <c r="B4444" t="s">
        <v>681</v>
      </c>
      <c r="C4444" t="s">
        <v>46</v>
      </c>
      <c r="D4444" s="226">
        <v>-41969.01</v>
      </c>
      <c r="E4444" t="s">
        <v>682</v>
      </c>
    </row>
    <row r="4445" spans="1:5" hidden="1" x14ac:dyDescent="0.3">
      <c r="A4445" t="s">
        <v>552</v>
      </c>
      <c r="B4445" t="s">
        <v>681</v>
      </c>
      <c r="C4445" t="s">
        <v>48</v>
      </c>
      <c r="D4445" s="226">
        <v>-36077.56</v>
      </c>
      <c r="E4445" t="s">
        <v>682</v>
      </c>
    </row>
    <row r="4446" spans="1:5" hidden="1" x14ac:dyDescent="0.3">
      <c r="A4446" t="s">
        <v>552</v>
      </c>
      <c r="B4446" t="s">
        <v>681</v>
      </c>
      <c r="C4446" t="s">
        <v>49</v>
      </c>
      <c r="D4446" s="226">
        <v>-450</v>
      </c>
      <c r="E4446" t="s">
        <v>682</v>
      </c>
    </row>
    <row r="4447" spans="1:5" hidden="1" x14ac:dyDescent="0.3">
      <c r="A4447" t="s">
        <v>552</v>
      </c>
      <c r="B4447" t="s">
        <v>681</v>
      </c>
      <c r="C4447" t="s">
        <v>50</v>
      </c>
      <c r="D4447" s="226">
        <v>1081289.23</v>
      </c>
      <c r="E4447" t="s">
        <v>682</v>
      </c>
    </row>
    <row r="4448" spans="1:5" hidden="1" x14ac:dyDescent="0.3">
      <c r="A4448" t="s">
        <v>552</v>
      </c>
      <c r="B4448" t="s">
        <v>681</v>
      </c>
      <c r="C4448" t="s">
        <v>51</v>
      </c>
      <c r="D4448" s="226">
        <v>-303283.78999999998</v>
      </c>
      <c r="E4448" t="s">
        <v>682</v>
      </c>
    </row>
    <row r="4449" spans="1:5" hidden="1" x14ac:dyDescent="0.3">
      <c r="A4449" t="s">
        <v>552</v>
      </c>
      <c r="B4449" t="s">
        <v>681</v>
      </c>
      <c r="C4449" t="s">
        <v>52</v>
      </c>
      <c r="D4449" s="226">
        <v>-205446.35</v>
      </c>
      <c r="E4449" t="s">
        <v>682</v>
      </c>
    </row>
    <row r="4450" spans="1:5" hidden="1" x14ac:dyDescent="0.3">
      <c r="A4450" t="s">
        <v>552</v>
      </c>
      <c r="B4450" t="s">
        <v>681</v>
      </c>
      <c r="C4450" t="s">
        <v>53</v>
      </c>
      <c r="D4450" s="226">
        <v>-97167.44</v>
      </c>
      <c r="E4450" t="s">
        <v>682</v>
      </c>
    </row>
    <row r="4451" spans="1:5" hidden="1" x14ac:dyDescent="0.3">
      <c r="A4451" t="s">
        <v>552</v>
      </c>
      <c r="B4451" t="s">
        <v>681</v>
      </c>
      <c r="C4451" t="s">
        <v>54</v>
      </c>
      <c r="D4451" s="226">
        <v>-670</v>
      </c>
      <c r="E4451" t="s">
        <v>682</v>
      </c>
    </row>
    <row r="4452" spans="1:5" hidden="1" x14ac:dyDescent="0.3">
      <c r="A4452" t="s">
        <v>552</v>
      </c>
      <c r="B4452" t="s">
        <v>681</v>
      </c>
      <c r="C4452" t="s">
        <v>23</v>
      </c>
      <c r="D4452" s="226">
        <v>0</v>
      </c>
      <c r="E4452" t="s">
        <v>682</v>
      </c>
    </row>
    <row r="4453" spans="1:5" hidden="1" x14ac:dyDescent="0.3">
      <c r="A4453" t="s">
        <v>552</v>
      </c>
      <c r="B4453" t="s">
        <v>681</v>
      </c>
      <c r="C4453" t="s">
        <v>44</v>
      </c>
      <c r="D4453" s="226">
        <v>-0.28999999999999998</v>
      </c>
      <c r="E4453" t="s">
        <v>682</v>
      </c>
    </row>
    <row r="4454" spans="1:5" hidden="1" x14ac:dyDescent="0.3">
      <c r="A4454" t="s">
        <v>552</v>
      </c>
      <c r="B4454" t="s">
        <v>681</v>
      </c>
      <c r="C4454" t="s">
        <v>55</v>
      </c>
      <c r="D4454" s="226">
        <v>-0.28000000000000003</v>
      </c>
      <c r="E4454" t="s">
        <v>682</v>
      </c>
    </row>
    <row r="4455" spans="1:5" hidden="1" x14ac:dyDescent="0.3">
      <c r="A4455" t="s">
        <v>552</v>
      </c>
      <c r="B4455" t="s">
        <v>681</v>
      </c>
      <c r="C4455" t="s">
        <v>56</v>
      </c>
      <c r="D4455" s="226">
        <v>0</v>
      </c>
      <c r="E4455" t="s">
        <v>682</v>
      </c>
    </row>
    <row r="4456" spans="1:5" hidden="1" x14ac:dyDescent="0.3">
      <c r="A4456" t="s">
        <v>552</v>
      </c>
      <c r="B4456" t="s">
        <v>681</v>
      </c>
      <c r="C4456" t="s">
        <v>57</v>
      </c>
      <c r="D4456" s="226">
        <v>0</v>
      </c>
      <c r="E4456" t="s">
        <v>682</v>
      </c>
    </row>
    <row r="4457" spans="1:5" hidden="1" x14ac:dyDescent="0.3">
      <c r="A4457" t="s">
        <v>552</v>
      </c>
      <c r="B4457" t="s">
        <v>681</v>
      </c>
      <c r="C4457" t="s">
        <v>58</v>
      </c>
      <c r="D4457" s="226">
        <v>0</v>
      </c>
      <c r="E4457" t="s">
        <v>682</v>
      </c>
    </row>
    <row r="4458" spans="1:5" hidden="1" x14ac:dyDescent="0.3">
      <c r="A4458" t="s">
        <v>552</v>
      </c>
      <c r="B4458" t="s">
        <v>681</v>
      </c>
      <c r="C4458" t="s">
        <v>59</v>
      </c>
      <c r="D4458" s="226">
        <v>0</v>
      </c>
      <c r="E4458" t="s">
        <v>682</v>
      </c>
    </row>
    <row r="4459" spans="1:5" hidden="1" x14ac:dyDescent="0.3">
      <c r="A4459" t="s">
        <v>552</v>
      </c>
      <c r="B4459" t="s">
        <v>681</v>
      </c>
      <c r="C4459" t="s">
        <v>61</v>
      </c>
      <c r="D4459" s="226">
        <v>0</v>
      </c>
      <c r="E4459" t="s">
        <v>682</v>
      </c>
    </row>
    <row r="4460" spans="1:5" hidden="1" x14ac:dyDescent="0.3">
      <c r="A4460" t="s">
        <v>552</v>
      </c>
      <c r="B4460" t="s">
        <v>681</v>
      </c>
      <c r="C4460" t="s">
        <v>62</v>
      </c>
      <c r="D4460" s="226">
        <v>0</v>
      </c>
      <c r="E4460" t="s">
        <v>682</v>
      </c>
    </row>
    <row r="4461" spans="1:5" hidden="1" x14ac:dyDescent="0.3">
      <c r="A4461" t="s">
        <v>552</v>
      </c>
      <c r="B4461" t="s">
        <v>681</v>
      </c>
      <c r="C4461" t="s">
        <v>64</v>
      </c>
      <c r="D4461" s="226">
        <v>0</v>
      </c>
      <c r="E4461" t="s">
        <v>682</v>
      </c>
    </row>
    <row r="4462" spans="1:5" hidden="1" x14ac:dyDescent="0.3">
      <c r="A4462" t="s">
        <v>552</v>
      </c>
      <c r="B4462" t="s">
        <v>681</v>
      </c>
      <c r="C4462" t="s">
        <v>65</v>
      </c>
      <c r="D4462" s="226">
        <v>0</v>
      </c>
      <c r="E4462" t="s">
        <v>682</v>
      </c>
    </row>
    <row r="4463" spans="1:5" hidden="1" x14ac:dyDescent="0.3">
      <c r="A4463" t="s">
        <v>552</v>
      </c>
      <c r="B4463" t="s">
        <v>681</v>
      </c>
      <c r="C4463" t="s">
        <v>66</v>
      </c>
      <c r="D4463" s="226">
        <v>0</v>
      </c>
      <c r="E4463" t="s">
        <v>682</v>
      </c>
    </row>
    <row r="4464" spans="1:5" hidden="1" x14ac:dyDescent="0.3">
      <c r="A4464" t="s">
        <v>552</v>
      </c>
      <c r="B4464" t="s">
        <v>681</v>
      </c>
      <c r="C4464" t="s">
        <v>68</v>
      </c>
      <c r="D4464" s="226">
        <v>0</v>
      </c>
      <c r="E4464" t="s">
        <v>682</v>
      </c>
    </row>
    <row r="4465" spans="1:5" hidden="1" x14ac:dyDescent="0.3">
      <c r="A4465" t="s">
        <v>552</v>
      </c>
      <c r="B4465" t="s">
        <v>681</v>
      </c>
      <c r="C4465" t="s">
        <v>69</v>
      </c>
      <c r="D4465" s="226">
        <v>0</v>
      </c>
      <c r="E4465" t="s">
        <v>682</v>
      </c>
    </row>
    <row r="4466" spans="1:5" hidden="1" x14ac:dyDescent="0.3">
      <c r="A4466" t="s">
        <v>552</v>
      </c>
      <c r="B4466" t="s">
        <v>681</v>
      </c>
      <c r="C4466" t="s">
        <v>70</v>
      </c>
      <c r="D4466" s="226">
        <v>0</v>
      </c>
      <c r="E4466" t="s">
        <v>682</v>
      </c>
    </row>
    <row r="4467" spans="1:5" hidden="1" x14ac:dyDescent="0.3">
      <c r="A4467" t="s">
        <v>552</v>
      </c>
      <c r="B4467" t="s">
        <v>681</v>
      </c>
      <c r="C4467" t="s">
        <v>44</v>
      </c>
      <c r="D4467" s="226">
        <v>0</v>
      </c>
      <c r="E4467" t="s">
        <v>682</v>
      </c>
    </row>
    <row r="4468" spans="1:5" hidden="1" x14ac:dyDescent="0.3">
      <c r="A4468" t="s">
        <v>552</v>
      </c>
      <c r="B4468" t="s">
        <v>681</v>
      </c>
      <c r="C4468" t="s">
        <v>71</v>
      </c>
      <c r="D4468" s="226">
        <v>-8714</v>
      </c>
      <c r="E4468" t="s">
        <v>682</v>
      </c>
    </row>
    <row r="4469" spans="1:5" hidden="1" x14ac:dyDescent="0.3">
      <c r="A4469" t="s">
        <v>552</v>
      </c>
      <c r="B4469" t="s">
        <v>681</v>
      </c>
      <c r="C4469" t="s">
        <v>72</v>
      </c>
      <c r="D4469" s="226">
        <v>-3714</v>
      </c>
      <c r="E4469" t="s">
        <v>682</v>
      </c>
    </row>
    <row r="4470" spans="1:5" hidden="1" x14ac:dyDescent="0.3">
      <c r="A4470" t="s">
        <v>552</v>
      </c>
      <c r="B4470" t="s">
        <v>681</v>
      </c>
      <c r="C4470" t="s">
        <v>73</v>
      </c>
      <c r="D4470" s="226">
        <v>-3120</v>
      </c>
      <c r="E4470" t="s">
        <v>682</v>
      </c>
    </row>
    <row r="4471" spans="1:5" hidden="1" x14ac:dyDescent="0.3">
      <c r="A4471" t="s">
        <v>552</v>
      </c>
      <c r="B4471" t="s">
        <v>681</v>
      </c>
      <c r="C4471" t="s">
        <v>75</v>
      </c>
      <c r="D4471" s="226">
        <v>-594</v>
      </c>
      <c r="E4471" t="s">
        <v>682</v>
      </c>
    </row>
    <row r="4472" spans="1:5" hidden="1" x14ac:dyDescent="0.3">
      <c r="A4472" t="s">
        <v>552</v>
      </c>
      <c r="B4472" t="s">
        <v>681</v>
      </c>
      <c r="C4472" t="s">
        <v>77</v>
      </c>
      <c r="D4472" s="226">
        <v>0</v>
      </c>
      <c r="E4472" t="s">
        <v>682</v>
      </c>
    </row>
    <row r="4473" spans="1:5" hidden="1" x14ac:dyDescent="0.3">
      <c r="A4473" t="s">
        <v>552</v>
      </c>
      <c r="B4473" t="s">
        <v>681</v>
      </c>
      <c r="C4473" t="s">
        <v>78</v>
      </c>
      <c r="D4473" s="226">
        <v>0</v>
      </c>
      <c r="E4473" t="s">
        <v>682</v>
      </c>
    </row>
    <row r="4474" spans="1:5" hidden="1" x14ac:dyDescent="0.3">
      <c r="A4474" t="s">
        <v>552</v>
      </c>
      <c r="B4474" t="s">
        <v>681</v>
      </c>
      <c r="C4474" t="s">
        <v>80</v>
      </c>
      <c r="D4474" s="226">
        <v>0</v>
      </c>
      <c r="E4474" t="s">
        <v>682</v>
      </c>
    </row>
    <row r="4475" spans="1:5" hidden="1" x14ac:dyDescent="0.3">
      <c r="A4475" t="s">
        <v>552</v>
      </c>
      <c r="B4475" t="s">
        <v>681</v>
      </c>
      <c r="C4475" t="s">
        <v>82</v>
      </c>
      <c r="D4475" s="226">
        <v>0</v>
      </c>
      <c r="E4475" t="s">
        <v>682</v>
      </c>
    </row>
    <row r="4476" spans="1:5" hidden="1" x14ac:dyDescent="0.3">
      <c r="A4476" t="s">
        <v>552</v>
      </c>
      <c r="B4476" t="s">
        <v>681</v>
      </c>
      <c r="C4476" t="s">
        <v>84</v>
      </c>
      <c r="D4476" s="226">
        <v>0</v>
      </c>
      <c r="E4476" t="s">
        <v>682</v>
      </c>
    </row>
    <row r="4477" spans="1:5" hidden="1" x14ac:dyDescent="0.3">
      <c r="A4477" t="s">
        <v>552</v>
      </c>
      <c r="B4477" t="s">
        <v>681</v>
      </c>
      <c r="C4477" t="s">
        <v>85</v>
      </c>
      <c r="D4477" s="226">
        <v>0</v>
      </c>
      <c r="E4477" t="s">
        <v>682</v>
      </c>
    </row>
    <row r="4478" spans="1:5" hidden="1" x14ac:dyDescent="0.3">
      <c r="A4478" t="s">
        <v>552</v>
      </c>
      <c r="B4478" t="s">
        <v>681</v>
      </c>
      <c r="C4478" t="s">
        <v>86</v>
      </c>
      <c r="D4478" s="226">
        <v>0</v>
      </c>
      <c r="E4478" t="s">
        <v>682</v>
      </c>
    </row>
    <row r="4479" spans="1:5" hidden="1" x14ac:dyDescent="0.3">
      <c r="A4479" t="s">
        <v>552</v>
      </c>
      <c r="B4479" t="s">
        <v>681</v>
      </c>
      <c r="C4479" t="s">
        <v>87</v>
      </c>
      <c r="D4479" s="226">
        <v>0</v>
      </c>
      <c r="E4479" t="s">
        <v>682</v>
      </c>
    </row>
    <row r="4480" spans="1:5" hidden="1" x14ac:dyDescent="0.3">
      <c r="A4480" t="s">
        <v>552</v>
      </c>
      <c r="B4480" t="s">
        <v>681</v>
      </c>
      <c r="C4480" t="s">
        <v>88</v>
      </c>
      <c r="D4480" s="226">
        <v>0</v>
      </c>
      <c r="E4480" t="s">
        <v>682</v>
      </c>
    </row>
    <row r="4481" spans="1:5" hidden="1" x14ac:dyDescent="0.3">
      <c r="A4481" t="s">
        <v>552</v>
      </c>
      <c r="B4481" t="s">
        <v>681</v>
      </c>
      <c r="C4481" t="s">
        <v>89</v>
      </c>
      <c r="D4481" s="226">
        <v>0</v>
      </c>
      <c r="E4481" t="s">
        <v>682</v>
      </c>
    </row>
    <row r="4482" spans="1:5" hidden="1" x14ac:dyDescent="0.3">
      <c r="A4482" t="s">
        <v>552</v>
      </c>
      <c r="B4482" t="s">
        <v>681</v>
      </c>
      <c r="C4482" t="s">
        <v>90</v>
      </c>
      <c r="D4482" s="226">
        <v>0</v>
      </c>
      <c r="E4482" t="s">
        <v>682</v>
      </c>
    </row>
    <row r="4483" spans="1:5" hidden="1" x14ac:dyDescent="0.3">
      <c r="A4483" t="s">
        <v>552</v>
      </c>
      <c r="B4483" t="s">
        <v>681</v>
      </c>
      <c r="C4483" t="s">
        <v>91</v>
      </c>
      <c r="D4483" s="226">
        <v>0</v>
      </c>
      <c r="E4483" t="s">
        <v>682</v>
      </c>
    </row>
    <row r="4484" spans="1:5" hidden="1" x14ac:dyDescent="0.3">
      <c r="A4484" t="s">
        <v>552</v>
      </c>
      <c r="B4484" t="s">
        <v>681</v>
      </c>
      <c r="C4484" t="s">
        <v>93</v>
      </c>
      <c r="D4484" s="226">
        <v>0</v>
      </c>
      <c r="E4484" t="s">
        <v>682</v>
      </c>
    </row>
    <row r="4485" spans="1:5" hidden="1" x14ac:dyDescent="0.3">
      <c r="A4485" t="s">
        <v>552</v>
      </c>
      <c r="B4485" t="s">
        <v>681</v>
      </c>
      <c r="C4485" t="s">
        <v>95</v>
      </c>
      <c r="D4485" s="226">
        <v>0</v>
      </c>
      <c r="E4485" t="s">
        <v>682</v>
      </c>
    </row>
    <row r="4486" spans="1:5" hidden="1" x14ac:dyDescent="0.3">
      <c r="A4486" t="s">
        <v>552</v>
      </c>
      <c r="B4486" t="s">
        <v>681</v>
      </c>
      <c r="C4486" t="s">
        <v>96</v>
      </c>
      <c r="D4486" s="226">
        <v>0</v>
      </c>
      <c r="E4486" t="s">
        <v>682</v>
      </c>
    </row>
    <row r="4487" spans="1:5" hidden="1" x14ac:dyDescent="0.3">
      <c r="A4487" t="s">
        <v>552</v>
      </c>
      <c r="B4487" t="s">
        <v>681</v>
      </c>
      <c r="C4487" t="s">
        <v>98</v>
      </c>
      <c r="D4487" s="226">
        <v>0</v>
      </c>
      <c r="E4487" t="s">
        <v>682</v>
      </c>
    </row>
    <row r="4488" spans="1:5" hidden="1" x14ac:dyDescent="0.3">
      <c r="A4488" t="s">
        <v>552</v>
      </c>
      <c r="B4488" t="s">
        <v>681</v>
      </c>
      <c r="C4488" t="s">
        <v>100</v>
      </c>
      <c r="D4488" s="226">
        <v>0</v>
      </c>
      <c r="E4488" t="s">
        <v>682</v>
      </c>
    </row>
    <row r="4489" spans="1:5" hidden="1" x14ac:dyDescent="0.3">
      <c r="A4489" t="s">
        <v>552</v>
      </c>
      <c r="B4489" t="s">
        <v>681</v>
      </c>
      <c r="C4489" t="s">
        <v>101</v>
      </c>
      <c r="D4489" s="226">
        <v>-5000</v>
      </c>
      <c r="E4489" t="s">
        <v>682</v>
      </c>
    </row>
    <row r="4490" spans="1:5" hidden="1" x14ac:dyDescent="0.3">
      <c r="A4490" t="s">
        <v>552</v>
      </c>
      <c r="B4490" t="s">
        <v>681</v>
      </c>
      <c r="C4490" t="s">
        <v>102</v>
      </c>
      <c r="D4490" s="226">
        <v>0</v>
      </c>
      <c r="E4490" t="s">
        <v>682</v>
      </c>
    </row>
    <row r="4491" spans="1:5" hidden="1" x14ac:dyDescent="0.3">
      <c r="A4491" t="s">
        <v>552</v>
      </c>
      <c r="B4491" t="s">
        <v>681</v>
      </c>
      <c r="C4491" t="s">
        <v>103</v>
      </c>
      <c r="D4491" s="226">
        <v>-5000</v>
      </c>
      <c r="E4491" t="s">
        <v>682</v>
      </c>
    </row>
    <row r="4492" spans="1:5" hidden="1" x14ac:dyDescent="0.3">
      <c r="A4492" t="s">
        <v>552</v>
      </c>
      <c r="B4492" t="s">
        <v>681</v>
      </c>
      <c r="C4492" t="s">
        <v>104</v>
      </c>
      <c r="D4492" s="226">
        <v>0</v>
      </c>
      <c r="E4492" t="s">
        <v>682</v>
      </c>
    </row>
    <row r="4493" spans="1:5" hidden="1" x14ac:dyDescent="0.3">
      <c r="A4493" t="s">
        <v>552</v>
      </c>
      <c r="B4493" t="s">
        <v>681</v>
      </c>
      <c r="C4493" t="s">
        <v>105</v>
      </c>
      <c r="D4493" s="226">
        <v>0</v>
      </c>
      <c r="E4493" t="s">
        <v>682</v>
      </c>
    </row>
    <row r="4494" spans="1:5" hidden="1" x14ac:dyDescent="0.3">
      <c r="A4494" t="s">
        <v>552</v>
      </c>
      <c r="B4494" t="s">
        <v>681</v>
      </c>
      <c r="C4494" t="s">
        <v>107</v>
      </c>
      <c r="D4494" s="226">
        <v>0</v>
      </c>
      <c r="E4494" t="s">
        <v>682</v>
      </c>
    </row>
    <row r="4495" spans="1:5" hidden="1" x14ac:dyDescent="0.3">
      <c r="A4495" t="s">
        <v>552</v>
      </c>
      <c r="B4495" t="s">
        <v>681</v>
      </c>
      <c r="C4495" t="s">
        <v>108</v>
      </c>
      <c r="D4495" s="226">
        <v>0</v>
      </c>
      <c r="E4495" t="s">
        <v>682</v>
      </c>
    </row>
    <row r="4496" spans="1:5" hidden="1" x14ac:dyDescent="0.3">
      <c r="A4496" t="s">
        <v>552</v>
      </c>
      <c r="B4496" t="s">
        <v>681</v>
      </c>
      <c r="C4496" t="s">
        <v>109</v>
      </c>
      <c r="D4496" s="226">
        <v>0</v>
      </c>
      <c r="E4496" t="s">
        <v>682</v>
      </c>
    </row>
    <row r="4497" spans="1:5" hidden="1" x14ac:dyDescent="0.3">
      <c r="A4497" t="s">
        <v>552</v>
      </c>
      <c r="B4497" t="s">
        <v>681</v>
      </c>
      <c r="C4497" t="s">
        <v>110</v>
      </c>
      <c r="D4497" s="226">
        <v>-0.46</v>
      </c>
      <c r="E4497" t="s">
        <v>682</v>
      </c>
    </row>
    <row r="4498" spans="1:5" hidden="1" x14ac:dyDescent="0.3">
      <c r="A4498" t="s">
        <v>552</v>
      </c>
      <c r="B4498" t="s">
        <v>681</v>
      </c>
      <c r="C4498" t="s">
        <v>44</v>
      </c>
      <c r="D4498" s="226">
        <v>-0.01</v>
      </c>
      <c r="E4498" t="s">
        <v>682</v>
      </c>
    </row>
    <row r="4499" spans="1:5" hidden="1" x14ac:dyDescent="0.3">
      <c r="A4499" t="s">
        <v>552</v>
      </c>
      <c r="B4499" t="s">
        <v>681</v>
      </c>
      <c r="C4499" t="s">
        <v>111</v>
      </c>
      <c r="D4499" s="226">
        <v>-79860</v>
      </c>
      <c r="E4499" t="s">
        <v>682</v>
      </c>
    </row>
    <row r="4500" spans="1:5" hidden="1" x14ac:dyDescent="0.3">
      <c r="A4500" t="s">
        <v>552</v>
      </c>
      <c r="B4500" t="s">
        <v>681</v>
      </c>
      <c r="C4500" t="s">
        <v>555</v>
      </c>
      <c r="D4500" s="226">
        <v>-79860</v>
      </c>
      <c r="E4500" t="s">
        <v>682</v>
      </c>
    </row>
    <row r="4501" spans="1:5" hidden="1" x14ac:dyDescent="0.3">
      <c r="A4501" t="s">
        <v>552</v>
      </c>
      <c r="B4501" t="s">
        <v>681</v>
      </c>
      <c r="C4501" t="s">
        <v>44</v>
      </c>
      <c r="D4501" s="226">
        <v>-7.0000000000000007E-2</v>
      </c>
      <c r="E4501" t="s">
        <v>682</v>
      </c>
    </row>
    <row r="4502" spans="1:5" hidden="1" x14ac:dyDescent="0.3">
      <c r="A4502" t="s">
        <v>552</v>
      </c>
      <c r="B4502" t="s">
        <v>681</v>
      </c>
      <c r="C4502" t="s">
        <v>115</v>
      </c>
      <c r="D4502" s="226">
        <v>-18278.310000000001</v>
      </c>
      <c r="E4502" t="s">
        <v>682</v>
      </c>
    </row>
    <row r="4503" spans="1:5" hidden="1" x14ac:dyDescent="0.3">
      <c r="A4503" t="s">
        <v>552</v>
      </c>
      <c r="B4503" t="s">
        <v>681</v>
      </c>
      <c r="C4503" t="s">
        <v>116</v>
      </c>
      <c r="D4503" s="226">
        <v>-14833.6</v>
      </c>
      <c r="E4503" t="s">
        <v>682</v>
      </c>
    </row>
    <row r="4504" spans="1:5" hidden="1" x14ac:dyDescent="0.3">
      <c r="A4504" t="s">
        <v>552</v>
      </c>
      <c r="B4504" t="s">
        <v>681</v>
      </c>
      <c r="C4504" t="s">
        <v>118</v>
      </c>
      <c r="D4504" s="226">
        <v>-3444.71</v>
      </c>
      <c r="E4504" t="s">
        <v>682</v>
      </c>
    </row>
    <row r="4505" spans="1:5" hidden="1" x14ac:dyDescent="0.3">
      <c r="A4505" t="s">
        <v>552</v>
      </c>
      <c r="B4505" t="s">
        <v>681</v>
      </c>
      <c r="C4505" t="s">
        <v>120</v>
      </c>
      <c r="D4505" s="226">
        <v>0</v>
      </c>
      <c r="E4505" t="s">
        <v>682</v>
      </c>
    </row>
    <row r="4506" spans="1:5" hidden="1" x14ac:dyDescent="0.3">
      <c r="A4506" t="s">
        <v>552</v>
      </c>
      <c r="B4506" t="s">
        <v>681</v>
      </c>
      <c r="C4506" t="s">
        <v>122</v>
      </c>
      <c r="D4506" s="226">
        <v>0</v>
      </c>
      <c r="E4506" t="s">
        <v>682</v>
      </c>
    </row>
    <row r="4507" spans="1:5" hidden="1" x14ac:dyDescent="0.3">
      <c r="A4507" t="s">
        <v>552</v>
      </c>
      <c r="B4507" t="s">
        <v>681</v>
      </c>
      <c r="C4507" t="s">
        <v>44</v>
      </c>
      <c r="D4507" s="226">
        <v>-0.02</v>
      </c>
      <c r="E4507" t="s">
        <v>682</v>
      </c>
    </row>
    <row r="4508" spans="1:5" hidden="1" x14ac:dyDescent="0.3">
      <c r="A4508" t="s">
        <v>552</v>
      </c>
      <c r="B4508" t="s">
        <v>681</v>
      </c>
      <c r="C4508" t="s">
        <v>125</v>
      </c>
      <c r="D4508" s="226">
        <v>671153.13</v>
      </c>
      <c r="E4508" t="s">
        <v>682</v>
      </c>
    </row>
    <row r="4509" spans="1:5" hidden="1" x14ac:dyDescent="0.3">
      <c r="A4509" t="s">
        <v>552</v>
      </c>
      <c r="B4509" t="s">
        <v>681</v>
      </c>
      <c r="C4509" t="s">
        <v>126</v>
      </c>
      <c r="D4509" s="226">
        <v>0.56999999999999995</v>
      </c>
      <c r="E4509" t="s">
        <v>682</v>
      </c>
    </row>
    <row r="4510" spans="1:5" hidden="1" x14ac:dyDescent="0.3">
      <c r="A4510" t="s">
        <v>552</v>
      </c>
      <c r="B4510" t="s">
        <v>681</v>
      </c>
      <c r="C4510" t="s">
        <v>127</v>
      </c>
      <c r="D4510" s="226">
        <v>-263908.03000000003</v>
      </c>
      <c r="E4510" t="s">
        <v>682</v>
      </c>
    </row>
    <row r="4511" spans="1:5" hidden="1" x14ac:dyDescent="0.3">
      <c r="A4511" t="s">
        <v>552</v>
      </c>
      <c r="B4511" t="s">
        <v>681</v>
      </c>
      <c r="C4511" t="s">
        <v>128</v>
      </c>
      <c r="D4511" s="226">
        <v>-45517.86</v>
      </c>
      <c r="E4511" t="s">
        <v>682</v>
      </c>
    </row>
    <row r="4512" spans="1:5" hidden="1" x14ac:dyDescent="0.3">
      <c r="A4512" t="s">
        <v>552</v>
      </c>
      <c r="B4512" t="s">
        <v>681</v>
      </c>
      <c r="C4512" t="s">
        <v>556</v>
      </c>
      <c r="D4512" s="226">
        <v>-10450</v>
      </c>
      <c r="E4512" t="s">
        <v>682</v>
      </c>
    </row>
    <row r="4513" spans="1:5" hidden="1" x14ac:dyDescent="0.3">
      <c r="A4513" t="s">
        <v>552</v>
      </c>
      <c r="B4513" t="s">
        <v>681</v>
      </c>
      <c r="C4513" t="s">
        <v>557</v>
      </c>
      <c r="D4513" s="226">
        <v>-6600</v>
      </c>
      <c r="E4513" t="s">
        <v>682</v>
      </c>
    </row>
    <row r="4514" spans="1:5" hidden="1" x14ac:dyDescent="0.3">
      <c r="A4514" t="s">
        <v>552</v>
      </c>
      <c r="B4514" t="s">
        <v>681</v>
      </c>
      <c r="C4514" t="s">
        <v>558</v>
      </c>
      <c r="D4514" s="226">
        <v>0</v>
      </c>
      <c r="E4514" t="s">
        <v>682</v>
      </c>
    </row>
    <row r="4515" spans="1:5" hidden="1" x14ac:dyDescent="0.3">
      <c r="A4515" t="s">
        <v>552</v>
      </c>
      <c r="B4515" t="s">
        <v>681</v>
      </c>
      <c r="C4515" t="s">
        <v>559</v>
      </c>
      <c r="D4515" s="226">
        <v>-13950</v>
      </c>
      <c r="E4515" t="s">
        <v>682</v>
      </c>
    </row>
    <row r="4516" spans="1:5" hidden="1" x14ac:dyDescent="0.3">
      <c r="A4516" t="s">
        <v>552</v>
      </c>
      <c r="B4516" t="s">
        <v>681</v>
      </c>
      <c r="C4516" t="s">
        <v>560</v>
      </c>
      <c r="D4516" s="226">
        <v>-3517.86</v>
      </c>
      <c r="E4516" t="s">
        <v>682</v>
      </c>
    </row>
    <row r="4517" spans="1:5" hidden="1" x14ac:dyDescent="0.3">
      <c r="A4517" t="s">
        <v>552</v>
      </c>
      <c r="B4517" t="s">
        <v>681</v>
      </c>
      <c r="C4517" t="s">
        <v>561</v>
      </c>
      <c r="D4517" s="226">
        <v>-7000</v>
      </c>
      <c r="E4517" t="s">
        <v>682</v>
      </c>
    </row>
    <row r="4518" spans="1:5" hidden="1" x14ac:dyDescent="0.3">
      <c r="A4518" t="s">
        <v>552</v>
      </c>
      <c r="B4518" t="s">
        <v>681</v>
      </c>
      <c r="C4518" t="s">
        <v>562</v>
      </c>
      <c r="D4518" s="226">
        <v>-4000</v>
      </c>
      <c r="E4518" t="s">
        <v>682</v>
      </c>
    </row>
    <row r="4519" spans="1:5" hidden="1" x14ac:dyDescent="0.3">
      <c r="A4519" t="s">
        <v>552</v>
      </c>
      <c r="B4519" t="s">
        <v>681</v>
      </c>
      <c r="C4519" t="s">
        <v>563</v>
      </c>
      <c r="D4519" s="226">
        <v>0</v>
      </c>
      <c r="E4519" t="s">
        <v>682</v>
      </c>
    </row>
    <row r="4520" spans="1:5" hidden="1" x14ac:dyDescent="0.3">
      <c r="A4520" t="s">
        <v>552</v>
      </c>
      <c r="B4520" t="s">
        <v>681</v>
      </c>
      <c r="C4520" t="s">
        <v>564</v>
      </c>
      <c r="D4520" s="226">
        <v>0</v>
      </c>
      <c r="E4520" t="s">
        <v>682</v>
      </c>
    </row>
    <row r="4521" spans="1:5" hidden="1" x14ac:dyDescent="0.3">
      <c r="A4521" t="s">
        <v>552</v>
      </c>
      <c r="B4521" t="s">
        <v>681</v>
      </c>
      <c r="C4521" t="s">
        <v>565</v>
      </c>
      <c r="D4521" s="226">
        <v>0</v>
      </c>
      <c r="E4521" t="s">
        <v>682</v>
      </c>
    </row>
    <row r="4522" spans="1:5" hidden="1" x14ac:dyDescent="0.3">
      <c r="A4522" t="s">
        <v>552</v>
      </c>
      <c r="B4522" t="s">
        <v>681</v>
      </c>
      <c r="C4522" t="s">
        <v>566</v>
      </c>
      <c r="D4522" s="226">
        <v>0</v>
      </c>
      <c r="E4522" t="s">
        <v>682</v>
      </c>
    </row>
    <row r="4523" spans="1:5" hidden="1" x14ac:dyDescent="0.3">
      <c r="A4523" t="s">
        <v>552</v>
      </c>
      <c r="B4523" t="s">
        <v>681</v>
      </c>
      <c r="C4523" t="s">
        <v>567</v>
      </c>
      <c r="D4523" s="226">
        <v>0</v>
      </c>
      <c r="E4523" t="s">
        <v>682</v>
      </c>
    </row>
    <row r="4524" spans="1:5" hidden="1" x14ac:dyDescent="0.3">
      <c r="A4524" t="s">
        <v>552</v>
      </c>
      <c r="B4524" t="s">
        <v>681</v>
      </c>
      <c r="C4524" t="s">
        <v>141</v>
      </c>
      <c r="D4524" s="226">
        <v>-51609.54</v>
      </c>
      <c r="E4524" t="s">
        <v>682</v>
      </c>
    </row>
    <row r="4525" spans="1:5" hidden="1" x14ac:dyDescent="0.3">
      <c r="A4525" t="s">
        <v>552</v>
      </c>
      <c r="B4525" t="s">
        <v>681</v>
      </c>
      <c r="C4525" t="s">
        <v>568</v>
      </c>
      <c r="D4525" s="226">
        <v>0</v>
      </c>
      <c r="E4525" t="s">
        <v>682</v>
      </c>
    </row>
    <row r="4526" spans="1:5" hidden="1" x14ac:dyDescent="0.3">
      <c r="A4526" t="s">
        <v>552</v>
      </c>
      <c r="B4526" t="s">
        <v>681</v>
      </c>
      <c r="C4526" t="s">
        <v>569</v>
      </c>
      <c r="D4526" s="226">
        <v>0</v>
      </c>
      <c r="E4526" t="s">
        <v>682</v>
      </c>
    </row>
    <row r="4527" spans="1:5" hidden="1" x14ac:dyDescent="0.3">
      <c r="A4527" t="s">
        <v>552</v>
      </c>
      <c r="B4527" t="s">
        <v>681</v>
      </c>
      <c r="C4527" t="s">
        <v>570</v>
      </c>
      <c r="D4527" s="226">
        <v>0</v>
      </c>
      <c r="E4527" t="s">
        <v>682</v>
      </c>
    </row>
    <row r="4528" spans="1:5" hidden="1" x14ac:dyDescent="0.3">
      <c r="A4528" t="s">
        <v>552</v>
      </c>
      <c r="B4528" t="s">
        <v>681</v>
      </c>
      <c r="C4528" t="s">
        <v>571</v>
      </c>
      <c r="D4528" s="226">
        <v>0</v>
      </c>
      <c r="E4528" t="s">
        <v>682</v>
      </c>
    </row>
    <row r="4529" spans="1:5" hidden="1" x14ac:dyDescent="0.3">
      <c r="A4529" t="s">
        <v>552</v>
      </c>
      <c r="B4529" t="s">
        <v>681</v>
      </c>
      <c r="C4529" t="s">
        <v>572</v>
      </c>
      <c r="D4529" s="226">
        <v>0</v>
      </c>
      <c r="E4529" t="s">
        <v>682</v>
      </c>
    </row>
    <row r="4530" spans="1:5" hidden="1" x14ac:dyDescent="0.3">
      <c r="A4530" t="s">
        <v>552</v>
      </c>
      <c r="B4530" t="s">
        <v>681</v>
      </c>
      <c r="C4530" t="s">
        <v>573</v>
      </c>
      <c r="D4530" s="226">
        <v>0</v>
      </c>
      <c r="E4530" t="s">
        <v>682</v>
      </c>
    </row>
    <row r="4531" spans="1:5" hidden="1" x14ac:dyDescent="0.3">
      <c r="A4531" t="s">
        <v>552</v>
      </c>
      <c r="B4531" t="s">
        <v>681</v>
      </c>
      <c r="C4531" t="s">
        <v>574</v>
      </c>
      <c r="D4531" s="226">
        <v>0</v>
      </c>
      <c r="E4531" t="s">
        <v>682</v>
      </c>
    </row>
    <row r="4532" spans="1:5" hidden="1" x14ac:dyDescent="0.3">
      <c r="A4532" t="s">
        <v>552</v>
      </c>
      <c r="B4532" t="s">
        <v>681</v>
      </c>
      <c r="C4532" t="s">
        <v>575</v>
      </c>
      <c r="D4532" s="226">
        <v>0</v>
      </c>
      <c r="E4532" t="s">
        <v>682</v>
      </c>
    </row>
    <row r="4533" spans="1:5" hidden="1" x14ac:dyDescent="0.3">
      <c r="A4533" t="s">
        <v>552</v>
      </c>
      <c r="B4533" t="s">
        <v>681</v>
      </c>
      <c r="C4533" t="s">
        <v>576</v>
      </c>
      <c r="D4533" s="226">
        <v>0</v>
      </c>
      <c r="E4533" t="s">
        <v>682</v>
      </c>
    </row>
    <row r="4534" spans="1:5" hidden="1" x14ac:dyDescent="0.3">
      <c r="A4534" t="s">
        <v>552</v>
      </c>
      <c r="B4534" t="s">
        <v>681</v>
      </c>
      <c r="C4534" t="s">
        <v>577</v>
      </c>
      <c r="D4534" s="226">
        <v>0</v>
      </c>
      <c r="E4534" t="s">
        <v>682</v>
      </c>
    </row>
    <row r="4535" spans="1:5" hidden="1" x14ac:dyDescent="0.3">
      <c r="A4535" t="s">
        <v>552</v>
      </c>
      <c r="B4535" t="s">
        <v>681</v>
      </c>
      <c r="C4535" t="s">
        <v>578</v>
      </c>
      <c r="D4535" s="226">
        <v>0</v>
      </c>
      <c r="E4535" t="s">
        <v>682</v>
      </c>
    </row>
    <row r="4536" spans="1:5" hidden="1" x14ac:dyDescent="0.3">
      <c r="A4536" t="s">
        <v>552</v>
      </c>
      <c r="B4536" t="s">
        <v>681</v>
      </c>
      <c r="C4536" t="s">
        <v>579</v>
      </c>
      <c r="D4536" s="226">
        <v>0</v>
      </c>
      <c r="E4536" t="s">
        <v>682</v>
      </c>
    </row>
    <row r="4537" spans="1:5" hidden="1" x14ac:dyDescent="0.3">
      <c r="A4537" t="s">
        <v>552</v>
      </c>
      <c r="B4537" t="s">
        <v>681</v>
      </c>
      <c r="C4537" t="s">
        <v>580</v>
      </c>
      <c r="D4537" s="226">
        <v>0</v>
      </c>
      <c r="E4537" t="s">
        <v>682</v>
      </c>
    </row>
    <row r="4538" spans="1:5" hidden="1" x14ac:dyDescent="0.3">
      <c r="A4538" t="s">
        <v>552</v>
      </c>
      <c r="B4538" t="s">
        <v>681</v>
      </c>
      <c r="C4538" t="s">
        <v>581</v>
      </c>
      <c r="D4538" s="226">
        <v>0</v>
      </c>
      <c r="E4538" t="s">
        <v>682</v>
      </c>
    </row>
    <row r="4539" spans="1:5" hidden="1" x14ac:dyDescent="0.3">
      <c r="A4539" t="s">
        <v>552</v>
      </c>
      <c r="B4539" t="s">
        <v>681</v>
      </c>
      <c r="C4539" t="s">
        <v>582</v>
      </c>
      <c r="D4539" s="226">
        <v>0</v>
      </c>
      <c r="E4539" t="s">
        <v>682</v>
      </c>
    </row>
    <row r="4540" spans="1:5" hidden="1" x14ac:dyDescent="0.3">
      <c r="A4540" t="s">
        <v>552</v>
      </c>
      <c r="B4540" t="s">
        <v>681</v>
      </c>
      <c r="C4540" t="s">
        <v>583</v>
      </c>
      <c r="D4540" s="226">
        <v>0</v>
      </c>
      <c r="E4540" t="s">
        <v>682</v>
      </c>
    </row>
    <row r="4541" spans="1:5" hidden="1" x14ac:dyDescent="0.3">
      <c r="A4541" t="s">
        <v>552</v>
      </c>
      <c r="B4541" t="s">
        <v>681</v>
      </c>
      <c r="C4541" t="s">
        <v>584</v>
      </c>
      <c r="D4541" s="226">
        <v>0</v>
      </c>
      <c r="E4541" t="s">
        <v>682</v>
      </c>
    </row>
    <row r="4542" spans="1:5" hidden="1" x14ac:dyDescent="0.3">
      <c r="A4542" t="s">
        <v>552</v>
      </c>
      <c r="B4542" t="s">
        <v>681</v>
      </c>
      <c r="C4542" t="s">
        <v>585</v>
      </c>
      <c r="D4542" s="226">
        <v>0</v>
      </c>
      <c r="E4542" t="s">
        <v>682</v>
      </c>
    </row>
    <row r="4543" spans="1:5" hidden="1" x14ac:dyDescent="0.3">
      <c r="A4543" t="s">
        <v>552</v>
      </c>
      <c r="B4543" t="s">
        <v>681</v>
      </c>
      <c r="C4543" t="s">
        <v>586</v>
      </c>
      <c r="D4543" s="226">
        <v>0</v>
      </c>
      <c r="E4543" t="s">
        <v>682</v>
      </c>
    </row>
    <row r="4544" spans="1:5" hidden="1" x14ac:dyDescent="0.3">
      <c r="A4544" t="s">
        <v>552</v>
      </c>
      <c r="B4544" t="s">
        <v>681</v>
      </c>
      <c r="C4544" t="s">
        <v>587</v>
      </c>
      <c r="D4544" s="226">
        <v>0</v>
      </c>
      <c r="E4544" t="s">
        <v>682</v>
      </c>
    </row>
    <row r="4545" spans="1:5" hidden="1" x14ac:dyDescent="0.3">
      <c r="A4545" t="s">
        <v>552</v>
      </c>
      <c r="B4545" t="s">
        <v>681</v>
      </c>
      <c r="C4545" t="s">
        <v>588</v>
      </c>
      <c r="D4545" s="226">
        <v>0</v>
      </c>
      <c r="E4545" t="s">
        <v>682</v>
      </c>
    </row>
    <row r="4546" spans="1:5" hidden="1" x14ac:dyDescent="0.3">
      <c r="A4546" t="s">
        <v>552</v>
      </c>
      <c r="B4546" t="s">
        <v>681</v>
      </c>
      <c r="C4546" t="s">
        <v>589</v>
      </c>
      <c r="D4546" s="226">
        <v>0</v>
      </c>
      <c r="E4546" t="s">
        <v>682</v>
      </c>
    </row>
    <row r="4547" spans="1:5" hidden="1" x14ac:dyDescent="0.3">
      <c r="A4547" t="s">
        <v>552</v>
      </c>
      <c r="B4547" t="s">
        <v>681</v>
      </c>
      <c r="C4547" t="s">
        <v>590</v>
      </c>
      <c r="D4547" s="226">
        <v>0</v>
      </c>
      <c r="E4547" t="s">
        <v>682</v>
      </c>
    </row>
    <row r="4548" spans="1:5" hidden="1" x14ac:dyDescent="0.3">
      <c r="A4548" t="s">
        <v>552</v>
      </c>
      <c r="B4548" t="s">
        <v>681</v>
      </c>
      <c r="C4548" t="s">
        <v>591</v>
      </c>
      <c r="D4548" s="226">
        <v>0</v>
      </c>
      <c r="E4548" t="s">
        <v>682</v>
      </c>
    </row>
    <row r="4549" spans="1:5" hidden="1" x14ac:dyDescent="0.3">
      <c r="A4549" t="s">
        <v>552</v>
      </c>
      <c r="B4549" t="s">
        <v>681</v>
      </c>
      <c r="C4549" t="s">
        <v>592</v>
      </c>
      <c r="D4549" s="226">
        <v>0</v>
      </c>
      <c r="E4549" t="s">
        <v>682</v>
      </c>
    </row>
    <row r="4550" spans="1:5" hidden="1" x14ac:dyDescent="0.3">
      <c r="A4550" t="s">
        <v>552</v>
      </c>
      <c r="B4550" t="s">
        <v>681</v>
      </c>
      <c r="C4550" t="s">
        <v>593</v>
      </c>
      <c r="D4550" s="226">
        <v>0</v>
      </c>
      <c r="E4550" t="s">
        <v>682</v>
      </c>
    </row>
    <row r="4551" spans="1:5" hidden="1" x14ac:dyDescent="0.3">
      <c r="A4551" t="s">
        <v>552</v>
      </c>
      <c r="B4551" t="s">
        <v>681</v>
      </c>
      <c r="C4551" t="s">
        <v>594</v>
      </c>
      <c r="D4551" s="226">
        <v>0</v>
      </c>
      <c r="E4551" t="s">
        <v>682</v>
      </c>
    </row>
    <row r="4552" spans="1:5" hidden="1" x14ac:dyDescent="0.3">
      <c r="A4552" t="s">
        <v>552</v>
      </c>
      <c r="B4552" t="s">
        <v>681</v>
      </c>
      <c r="C4552" t="s">
        <v>595</v>
      </c>
      <c r="D4552" s="226">
        <v>0</v>
      </c>
      <c r="E4552" t="s">
        <v>682</v>
      </c>
    </row>
    <row r="4553" spans="1:5" hidden="1" x14ac:dyDescent="0.3">
      <c r="A4553" t="s">
        <v>552</v>
      </c>
      <c r="B4553" t="s">
        <v>681</v>
      </c>
      <c r="C4553" t="s">
        <v>596</v>
      </c>
      <c r="D4553" s="226">
        <v>0</v>
      </c>
      <c r="E4553" t="s">
        <v>682</v>
      </c>
    </row>
    <row r="4554" spans="1:5" hidden="1" x14ac:dyDescent="0.3">
      <c r="A4554" t="s">
        <v>552</v>
      </c>
      <c r="B4554" t="s">
        <v>681</v>
      </c>
      <c r="C4554" t="s">
        <v>597</v>
      </c>
      <c r="D4554" s="226">
        <v>0</v>
      </c>
      <c r="E4554" t="s">
        <v>682</v>
      </c>
    </row>
    <row r="4555" spans="1:5" hidden="1" x14ac:dyDescent="0.3">
      <c r="A4555" t="s">
        <v>552</v>
      </c>
      <c r="B4555" t="s">
        <v>681</v>
      </c>
      <c r="C4555" t="s">
        <v>598</v>
      </c>
      <c r="D4555" s="226">
        <v>0</v>
      </c>
      <c r="E4555" t="s">
        <v>682</v>
      </c>
    </row>
    <row r="4556" spans="1:5" hidden="1" x14ac:dyDescent="0.3">
      <c r="A4556" t="s">
        <v>552</v>
      </c>
      <c r="B4556" t="s">
        <v>681</v>
      </c>
      <c r="C4556" t="s">
        <v>599</v>
      </c>
      <c r="D4556" s="226">
        <v>0</v>
      </c>
      <c r="E4556" t="s">
        <v>682</v>
      </c>
    </row>
    <row r="4557" spans="1:5" hidden="1" x14ac:dyDescent="0.3">
      <c r="A4557" t="s">
        <v>552</v>
      </c>
      <c r="B4557" t="s">
        <v>681</v>
      </c>
      <c r="C4557" t="s">
        <v>600</v>
      </c>
      <c r="D4557" s="226">
        <v>0</v>
      </c>
      <c r="E4557" t="s">
        <v>682</v>
      </c>
    </row>
    <row r="4558" spans="1:5" hidden="1" x14ac:dyDescent="0.3">
      <c r="A4558" t="s">
        <v>552</v>
      </c>
      <c r="B4558" t="s">
        <v>681</v>
      </c>
      <c r="C4558" t="s">
        <v>601</v>
      </c>
      <c r="D4558" s="226">
        <v>0</v>
      </c>
      <c r="E4558" t="s">
        <v>682</v>
      </c>
    </row>
    <row r="4559" spans="1:5" hidden="1" x14ac:dyDescent="0.3">
      <c r="A4559" t="s">
        <v>552</v>
      </c>
      <c r="B4559" t="s">
        <v>681</v>
      </c>
      <c r="C4559" t="s">
        <v>602</v>
      </c>
      <c r="D4559" s="226">
        <v>0</v>
      </c>
      <c r="E4559" t="s">
        <v>682</v>
      </c>
    </row>
    <row r="4560" spans="1:5" hidden="1" x14ac:dyDescent="0.3">
      <c r="A4560" t="s">
        <v>552</v>
      </c>
      <c r="B4560" t="s">
        <v>681</v>
      </c>
      <c r="C4560" t="s">
        <v>603</v>
      </c>
      <c r="D4560" s="226">
        <v>0</v>
      </c>
      <c r="E4560" t="s">
        <v>682</v>
      </c>
    </row>
    <row r="4561" spans="1:5" hidden="1" x14ac:dyDescent="0.3">
      <c r="A4561" t="s">
        <v>552</v>
      </c>
      <c r="B4561" t="s">
        <v>681</v>
      </c>
      <c r="C4561" t="s">
        <v>604</v>
      </c>
      <c r="D4561" s="226">
        <v>0</v>
      </c>
      <c r="E4561" t="s">
        <v>682</v>
      </c>
    </row>
    <row r="4562" spans="1:5" hidden="1" x14ac:dyDescent="0.3">
      <c r="A4562" t="s">
        <v>552</v>
      </c>
      <c r="B4562" t="s">
        <v>681</v>
      </c>
      <c r="C4562" t="s">
        <v>605</v>
      </c>
      <c r="D4562" s="226">
        <v>0</v>
      </c>
      <c r="E4562" t="s">
        <v>682</v>
      </c>
    </row>
    <row r="4563" spans="1:5" hidden="1" x14ac:dyDescent="0.3">
      <c r="A4563" t="s">
        <v>552</v>
      </c>
      <c r="B4563" t="s">
        <v>681</v>
      </c>
      <c r="C4563" t="s">
        <v>606</v>
      </c>
      <c r="D4563" s="226">
        <v>0</v>
      </c>
      <c r="E4563" t="s">
        <v>682</v>
      </c>
    </row>
    <row r="4564" spans="1:5" hidden="1" x14ac:dyDescent="0.3">
      <c r="A4564" t="s">
        <v>552</v>
      </c>
      <c r="B4564" t="s">
        <v>681</v>
      </c>
      <c r="C4564" t="s">
        <v>607</v>
      </c>
      <c r="D4564" s="226">
        <v>0</v>
      </c>
      <c r="E4564" t="s">
        <v>682</v>
      </c>
    </row>
    <row r="4565" spans="1:5" hidden="1" x14ac:dyDescent="0.3">
      <c r="A4565" t="s">
        <v>552</v>
      </c>
      <c r="B4565" t="s">
        <v>681</v>
      </c>
      <c r="C4565" t="s">
        <v>608</v>
      </c>
      <c r="D4565" s="226">
        <v>0</v>
      </c>
      <c r="E4565" t="s">
        <v>682</v>
      </c>
    </row>
    <row r="4566" spans="1:5" hidden="1" x14ac:dyDescent="0.3">
      <c r="A4566" t="s">
        <v>552</v>
      </c>
      <c r="B4566" t="s">
        <v>681</v>
      </c>
      <c r="C4566" t="s">
        <v>609</v>
      </c>
      <c r="D4566" s="226">
        <v>0</v>
      </c>
      <c r="E4566" t="s">
        <v>682</v>
      </c>
    </row>
    <row r="4567" spans="1:5" hidden="1" x14ac:dyDescent="0.3">
      <c r="A4567" t="s">
        <v>552</v>
      </c>
      <c r="B4567" t="s">
        <v>681</v>
      </c>
      <c r="C4567" t="s">
        <v>610</v>
      </c>
      <c r="D4567" s="226">
        <v>0</v>
      </c>
      <c r="E4567" t="s">
        <v>682</v>
      </c>
    </row>
    <row r="4568" spans="1:5" hidden="1" x14ac:dyDescent="0.3">
      <c r="A4568" t="s">
        <v>552</v>
      </c>
      <c r="B4568" t="s">
        <v>681</v>
      </c>
      <c r="C4568" t="s">
        <v>611</v>
      </c>
      <c r="D4568" s="226">
        <v>0</v>
      </c>
      <c r="E4568" t="s">
        <v>682</v>
      </c>
    </row>
    <row r="4569" spans="1:5" hidden="1" x14ac:dyDescent="0.3">
      <c r="A4569" t="s">
        <v>552</v>
      </c>
      <c r="B4569" t="s">
        <v>681</v>
      </c>
      <c r="C4569" t="s">
        <v>612</v>
      </c>
      <c r="D4569" s="226">
        <v>0</v>
      </c>
      <c r="E4569" t="s">
        <v>682</v>
      </c>
    </row>
    <row r="4570" spans="1:5" hidden="1" x14ac:dyDescent="0.3">
      <c r="A4570" t="s">
        <v>552</v>
      </c>
      <c r="B4570" t="s">
        <v>681</v>
      </c>
      <c r="C4570" t="s">
        <v>613</v>
      </c>
      <c r="D4570" s="226">
        <v>0</v>
      </c>
      <c r="E4570" t="s">
        <v>682</v>
      </c>
    </row>
    <row r="4571" spans="1:5" hidden="1" x14ac:dyDescent="0.3">
      <c r="A4571" t="s">
        <v>552</v>
      </c>
      <c r="B4571" t="s">
        <v>681</v>
      </c>
      <c r="C4571" t="s">
        <v>614</v>
      </c>
      <c r="D4571" s="226">
        <v>0</v>
      </c>
      <c r="E4571" t="s">
        <v>682</v>
      </c>
    </row>
    <row r="4572" spans="1:5" hidden="1" x14ac:dyDescent="0.3">
      <c r="A4572" t="s">
        <v>552</v>
      </c>
      <c r="B4572" t="s">
        <v>681</v>
      </c>
      <c r="C4572" t="s">
        <v>615</v>
      </c>
      <c r="D4572" s="226">
        <v>0</v>
      </c>
      <c r="E4572" t="s">
        <v>682</v>
      </c>
    </row>
    <row r="4573" spans="1:5" hidden="1" x14ac:dyDescent="0.3">
      <c r="A4573" t="s">
        <v>552</v>
      </c>
      <c r="B4573" t="s">
        <v>681</v>
      </c>
      <c r="C4573" t="s">
        <v>616</v>
      </c>
      <c r="D4573" s="226">
        <v>0</v>
      </c>
      <c r="E4573" t="s">
        <v>682</v>
      </c>
    </row>
    <row r="4574" spans="1:5" hidden="1" x14ac:dyDescent="0.3">
      <c r="A4574" t="s">
        <v>552</v>
      </c>
      <c r="B4574" t="s">
        <v>681</v>
      </c>
      <c r="C4574" t="s">
        <v>617</v>
      </c>
      <c r="D4574" s="226">
        <v>0</v>
      </c>
      <c r="E4574" t="s">
        <v>682</v>
      </c>
    </row>
    <row r="4575" spans="1:5" hidden="1" x14ac:dyDescent="0.3">
      <c r="A4575" t="s">
        <v>552</v>
      </c>
      <c r="B4575" t="s">
        <v>681</v>
      </c>
      <c r="C4575" t="s">
        <v>618</v>
      </c>
      <c r="D4575" s="226">
        <v>0</v>
      </c>
      <c r="E4575" t="s">
        <v>682</v>
      </c>
    </row>
    <row r="4576" spans="1:5" hidden="1" x14ac:dyDescent="0.3">
      <c r="A4576" t="s">
        <v>552</v>
      </c>
      <c r="B4576" t="s">
        <v>681</v>
      </c>
      <c r="C4576" t="s">
        <v>619</v>
      </c>
      <c r="D4576" s="226">
        <v>0</v>
      </c>
      <c r="E4576" t="s">
        <v>682</v>
      </c>
    </row>
    <row r="4577" spans="1:5" hidden="1" x14ac:dyDescent="0.3">
      <c r="A4577" t="s">
        <v>552</v>
      </c>
      <c r="B4577" t="s">
        <v>681</v>
      </c>
      <c r="C4577" t="s">
        <v>620</v>
      </c>
      <c r="D4577" s="226">
        <v>0</v>
      </c>
      <c r="E4577" t="s">
        <v>682</v>
      </c>
    </row>
    <row r="4578" spans="1:5" hidden="1" x14ac:dyDescent="0.3">
      <c r="A4578" t="s">
        <v>552</v>
      </c>
      <c r="B4578" t="s">
        <v>681</v>
      </c>
      <c r="C4578" t="s">
        <v>621</v>
      </c>
      <c r="D4578" s="226">
        <v>0</v>
      </c>
      <c r="E4578" t="s">
        <v>682</v>
      </c>
    </row>
    <row r="4579" spans="1:5" hidden="1" x14ac:dyDescent="0.3">
      <c r="A4579" t="s">
        <v>552</v>
      </c>
      <c r="B4579" t="s">
        <v>681</v>
      </c>
      <c r="C4579" t="s">
        <v>622</v>
      </c>
      <c r="D4579" s="226">
        <v>0</v>
      </c>
      <c r="E4579" t="s">
        <v>682</v>
      </c>
    </row>
    <row r="4580" spans="1:5" hidden="1" x14ac:dyDescent="0.3">
      <c r="A4580" t="s">
        <v>552</v>
      </c>
      <c r="B4580" t="s">
        <v>681</v>
      </c>
      <c r="C4580" t="s">
        <v>623</v>
      </c>
      <c r="D4580" s="226">
        <v>0</v>
      </c>
      <c r="E4580" t="s">
        <v>682</v>
      </c>
    </row>
    <row r="4581" spans="1:5" hidden="1" x14ac:dyDescent="0.3">
      <c r="A4581" t="s">
        <v>552</v>
      </c>
      <c r="B4581" t="s">
        <v>681</v>
      </c>
      <c r="C4581" t="s">
        <v>624</v>
      </c>
      <c r="D4581" s="226">
        <v>0</v>
      </c>
      <c r="E4581" t="s">
        <v>682</v>
      </c>
    </row>
    <row r="4582" spans="1:5" hidden="1" x14ac:dyDescent="0.3">
      <c r="A4582" t="s">
        <v>552</v>
      </c>
      <c r="B4582" t="s">
        <v>681</v>
      </c>
      <c r="C4582" t="s">
        <v>200</v>
      </c>
      <c r="D4582" s="226">
        <v>-83568.210000000006</v>
      </c>
      <c r="E4582" t="s">
        <v>682</v>
      </c>
    </row>
    <row r="4583" spans="1:5" hidden="1" x14ac:dyDescent="0.3">
      <c r="A4583" t="s">
        <v>552</v>
      </c>
      <c r="B4583" t="s">
        <v>681</v>
      </c>
      <c r="C4583" t="s">
        <v>202</v>
      </c>
      <c r="D4583" s="226">
        <v>-83568.210000000006</v>
      </c>
      <c r="E4583" t="s">
        <v>682</v>
      </c>
    </row>
    <row r="4584" spans="1:5" hidden="1" x14ac:dyDescent="0.3">
      <c r="A4584" t="s">
        <v>552</v>
      </c>
      <c r="B4584" t="s">
        <v>681</v>
      </c>
      <c r="C4584" t="s">
        <v>625</v>
      </c>
      <c r="D4584" s="226">
        <v>41784.11</v>
      </c>
      <c r="E4584" t="s">
        <v>682</v>
      </c>
    </row>
    <row r="4585" spans="1:5" hidden="1" x14ac:dyDescent="0.3">
      <c r="A4585" t="s">
        <v>552</v>
      </c>
      <c r="B4585" t="s">
        <v>681</v>
      </c>
      <c r="C4585" t="s">
        <v>204</v>
      </c>
      <c r="D4585" s="226">
        <v>-40774.050000000003</v>
      </c>
      <c r="E4585" t="s">
        <v>682</v>
      </c>
    </row>
    <row r="4586" spans="1:5" hidden="1" x14ac:dyDescent="0.3">
      <c r="A4586" t="s">
        <v>552</v>
      </c>
      <c r="B4586" t="s">
        <v>681</v>
      </c>
      <c r="C4586" t="s">
        <v>626</v>
      </c>
      <c r="D4586" s="226">
        <v>-10325.540000000001</v>
      </c>
      <c r="E4586" t="s">
        <v>682</v>
      </c>
    </row>
    <row r="4587" spans="1:5" hidden="1" x14ac:dyDescent="0.3">
      <c r="A4587" t="s">
        <v>552</v>
      </c>
      <c r="B4587" t="s">
        <v>681</v>
      </c>
      <c r="C4587" t="s">
        <v>627</v>
      </c>
      <c r="D4587" s="226">
        <v>0</v>
      </c>
      <c r="E4587" t="s">
        <v>682</v>
      </c>
    </row>
    <row r="4588" spans="1:5" hidden="1" x14ac:dyDescent="0.3">
      <c r="A4588" t="s">
        <v>552</v>
      </c>
      <c r="B4588" t="s">
        <v>681</v>
      </c>
      <c r="C4588" t="s">
        <v>628</v>
      </c>
      <c r="D4588" s="226">
        <v>-13118</v>
      </c>
      <c r="E4588" t="s">
        <v>682</v>
      </c>
    </row>
    <row r="4589" spans="1:5" hidden="1" x14ac:dyDescent="0.3">
      <c r="A4589" t="s">
        <v>552</v>
      </c>
      <c r="B4589" t="s">
        <v>681</v>
      </c>
      <c r="C4589" t="s">
        <v>629</v>
      </c>
      <c r="D4589" s="226">
        <v>-4661.16</v>
      </c>
      <c r="E4589" t="s">
        <v>682</v>
      </c>
    </row>
    <row r="4590" spans="1:5" hidden="1" x14ac:dyDescent="0.3">
      <c r="A4590" t="s">
        <v>552</v>
      </c>
      <c r="B4590" t="s">
        <v>681</v>
      </c>
      <c r="C4590" t="s">
        <v>630</v>
      </c>
      <c r="D4590" s="226">
        <v>-6650.98</v>
      </c>
      <c r="E4590" t="s">
        <v>682</v>
      </c>
    </row>
    <row r="4591" spans="1:5" hidden="1" x14ac:dyDescent="0.3">
      <c r="A4591" t="s">
        <v>552</v>
      </c>
      <c r="B4591" t="s">
        <v>681</v>
      </c>
      <c r="C4591" t="s">
        <v>631</v>
      </c>
      <c r="D4591" s="226">
        <v>0</v>
      </c>
      <c r="E4591" t="s">
        <v>682</v>
      </c>
    </row>
    <row r="4592" spans="1:5" hidden="1" x14ac:dyDescent="0.3">
      <c r="A4592" t="s">
        <v>552</v>
      </c>
      <c r="B4592" t="s">
        <v>681</v>
      </c>
      <c r="C4592" t="s">
        <v>632</v>
      </c>
      <c r="D4592" s="226">
        <v>0</v>
      </c>
      <c r="E4592" t="s">
        <v>682</v>
      </c>
    </row>
    <row r="4593" spans="1:5" hidden="1" x14ac:dyDescent="0.3">
      <c r="A4593" t="s">
        <v>552</v>
      </c>
      <c r="B4593" t="s">
        <v>681</v>
      </c>
      <c r="C4593" t="s">
        <v>633</v>
      </c>
      <c r="D4593" s="226">
        <v>-512.73</v>
      </c>
      <c r="E4593" t="s">
        <v>682</v>
      </c>
    </row>
    <row r="4594" spans="1:5" hidden="1" x14ac:dyDescent="0.3">
      <c r="A4594" t="s">
        <v>552</v>
      </c>
      <c r="B4594" t="s">
        <v>681</v>
      </c>
      <c r="C4594" t="s">
        <v>634</v>
      </c>
      <c r="D4594" s="226">
        <v>0</v>
      </c>
      <c r="E4594" t="s">
        <v>682</v>
      </c>
    </row>
    <row r="4595" spans="1:5" hidden="1" x14ac:dyDescent="0.3">
      <c r="A4595" t="s">
        <v>552</v>
      </c>
      <c r="B4595" t="s">
        <v>681</v>
      </c>
      <c r="C4595" t="s">
        <v>635</v>
      </c>
      <c r="D4595" s="226">
        <v>-481.07</v>
      </c>
      <c r="E4595" t="s">
        <v>682</v>
      </c>
    </row>
    <row r="4596" spans="1:5" hidden="1" x14ac:dyDescent="0.3">
      <c r="A4596" t="s">
        <v>552</v>
      </c>
      <c r="B4596" t="s">
        <v>681</v>
      </c>
      <c r="C4596" t="s">
        <v>636</v>
      </c>
      <c r="D4596" s="226">
        <v>0</v>
      </c>
      <c r="E4596" t="s">
        <v>682</v>
      </c>
    </row>
    <row r="4597" spans="1:5" hidden="1" x14ac:dyDescent="0.3">
      <c r="A4597" t="s">
        <v>552</v>
      </c>
      <c r="B4597" t="s">
        <v>681</v>
      </c>
      <c r="C4597" t="s">
        <v>637</v>
      </c>
      <c r="D4597" s="226">
        <v>-2500</v>
      </c>
      <c r="E4597" t="s">
        <v>682</v>
      </c>
    </row>
    <row r="4598" spans="1:5" hidden="1" x14ac:dyDescent="0.3">
      <c r="A4598" t="s">
        <v>552</v>
      </c>
      <c r="B4598" t="s">
        <v>681</v>
      </c>
      <c r="C4598" t="s">
        <v>638</v>
      </c>
      <c r="D4598" s="226">
        <v>0</v>
      </c>
      <c r="E4598" t="s">
        <v>682</v>
      </c>
    </row>
    <row r="4599" spans="1:5" hidden="1" x14ac:dyDescent="0.3">
      <c r="A4599" t="s">
        <v>552</v>
      </c>
      <c r="B4599" t="s">
        <v>681</v>
      </c>
      <c r="C4599" t="s">
        <v>639</v>
      </c>
      <c r="D4599" s="226">
        <v>-2524.5700000000002</v>
      </c>
      <c r="E4599" t="s">
        <v>682</v>
      </c>
    </row>
    <row r="4600" spans="1:5" hidden="1" x14ac:dyDescent="0.3">
      <c r="A4600" t="s">
        <v>552</v>
      </c>
      <c r="B4600" t="s">
        <v>681</v>
      </c>
      <c r="C4600" t="s">
        <v>640</v>
      </c>
      <c r="D4600" s="226">
        <v>0</v>
      </c>
      <c r="E4600" t="s">
        <v>682</v>
      </c>
    </row>
    <row r="4601" spans="1:5" hidden="1" x14ac:dyDescent="0.3">
      <c r="A4601" t="s">
        <v>552</v>
      </c>
      <c r="B4601" t="s">
        <v>681</v>
      </c>
      <c r="C4601" t="s">
        <v>641</v>
      </c>
      <c r="D4601" s="226">
        <v>0</v>
      </c>
      <c r="E4601" t="s">
        <v>682</v>
      </c>
    </row>
    <row r="4602" spans="1:5" hidden="1" x14ac:dyDescent="0.3">
      <c r="A4602" t="s">
        <v>552</v>
      </c>
      <c r="B4602" t="s">
        <v>681</v>
      </c>
      <c r="C4602" t="s">
        <v>237</v>
      </c>
      <c r="D4602" s="226">
        <v>-9342.57</v>
      </c>
      <c r="E4602" t="s">
        <v>682</v>
      </c>
    </row>
    <row r="4603" spans="1:5" hidden="1" x14ac:dyDescent="0.3">
      <c r="A4603" t="s">
        <v>552</v>
      </c>
      <c r="B4603" t="s">
        <v>681</v>
      </c>
      <c r="C4603" t="s">
        <v>642</v>
      </c>
      <c r="D4603" s="226">
        <v>-9069.57</v>
      </c>
      <c r="E4603" t="s">
        <v>682</v>
      </c>
    </row>
    <row r="4604" spans="1:5" hidden="1" x14ac:dyDescent="0.3">
      <c r="A4604" t="s">
        <v>552</v>
      </c>
      <c r="B4604" t="s">
        <v>681</v>
      </c>
      <c r="C4604" t="s">
        <v>643</v>
      </c>
      <c r="D4604" s="226">
        <v>0</v>
      </c>
      <c r="E4604" t="s">
        <v>682</v>
      </c>
    </row>
    <row r="4605" spans="1:5" hidden="1" x14ac:dyDescent="0.3">
      <c r="A4605" t="s">
        <v>552</v>
      </c>
      <c r="B4605" t="s">
        <v>681</v>
      </c>
      <c r="C4605" t="s">
        <v>644</v>
      </c>
      <c r="D4605" s="226">
        <v>0</v>
      </c>
      <c r="E4605" t="s">
        <v>682</v>
      </c>
    </row>
    <row r="4606" spans="1:5" hidden="1" x14ac:dyDescent="0.3">
      <c r="A4606" t="s">
        <v>552</v>
      </c>
      <c r="B4606" t="s">
        <v>681</v>
      </c>
      <c r="C4606" t="s">
        <v>645</v>
      </c>
      <c r="D4606" s="226">
        <v>-273</v>
      </c>
      <c r="E4606" t="s">
        <v>682</v>
      </c>
    </row>
    <row r="4607" spans="1:5" hidden="1" x14ac:dyDescent="0.3">
      <c r="A4607" t="s">
        <v>552</v>
      </c>
      <c r="B4607" t="s">
        <v>681</v>
      </c>
      <c r="C4607" t="s">
        <v>646</v>
      </c>
      <c r="D4607" s="226">
        <v>0</v>
      </c>
      <c r="E4607" t="s">
        <v>682</v>
      </c>
    </row>
    <row r="4608" spans="1:5" hidden="1" x14ac:dyDescent="0.3">
      <c r="A4608" t="s">
        <v>552</v>
      </c>
      <c r="B4608" t="s">
        <v>681</v>
      </c>
      <c r="C4608" t="s">
        <v>244</v>
      </c>
      <c r="D4608" s="226">
        <v>-33095.79</v>
      </c>
      <c r="E4608" t="s">
        <v>682</v>
      </c>
    </row>
    <row r="4609" spans="1:5" hidden="1" x14ac:dyDescent="0.3">
      <c r="A4609" t="s">
        <v>552</v>
      </c>
      <c r="B4609" t="s">
        <v>681</v>
      </c>
      <c r="C4609" t="s">
        <v>647</v>
      </c>
      <c r="D4609" s="226">
        <v>0</v>
      </c>
      <c r="E4609" t="s">
        <v>682</v>
      </c>
    </row>
    <row r="4610" spans="1:5" hidden="1" x14ac:dyDescent="0.3">
      <c r="A4610" t="s">
        <v>552</v>
      </c>
      <c r="B4610" t="s">
        <v>681</v>
      </c>
      <c r="C4610" t="s">
        <v>648</v>
      </c>
      <c r="D4610" s="226">
        <v>-308.48</v>
      </c>
      <c r="E4610" t="s">
        <v>682</v>
      </c>
    </row>
    <row r="4611" spans="1:5" hidden="1" x14ac:dyDescent="0.3">
      <c r="A4611" t="s">
        <v>552</v>
      </c>
      <c r="B4611" t="s">
        <v>681</v>
      </c>
      <c r="C4611" t="s">
        <v>649</v>
      </c>
      <c r="D4611" s="226">
        <v>0</v>
      </c>
      <c r="E4611" t="s">
        <v>682</v>
      </c>
    </row>
    <row r="4612" spans="1:5" hidden="1" x14ac:dyDescent="0.3">
      <c r="A4612" t="s">
        <v>552</v>
      </c>
      <c r="B4612" t="s">
        <v>681</v>
      </c>
      <c r="C4612" t="s">
        <v>650</v>
      </c>
      <c r="D4612" s="226">
        <v>-3000</v>
      </c>
      <c r="E4612" t="s">
        <v>682</v>
      </c>
    </row>
    <row r="4613" spans="1:5" hidden="1" x14ac:dyDescent="0.3">
      <c r="A4613" t="s">
        <v>552</v>
      </c>
      <c r="B4613" t="s">
        <v>681</v>
      </c>
      <c r="C4613" t="s">
        <v>651</v>
      </c>
      <c r="D4613" s="226">
        <v>0</v>
      </c>
      <c r="E4613" t="s">
        <v>682</v>
      </c>
    </row>
    <row r="4614" spans="1:5" hidden="1" x14ac:dyDescent="0.3">
      <c r="A4614" t="s">
        <v>552</v>
      </c>
      <c r="B4614" t="s">
        <v>681</v>
      </c>
      <c r="C4614" t="s">
        <v>652</v>
      </c>
      <c r="D4614" s="226">
        <v>-29787.31</v>
      </c>
      <c r="E4614" t="s">
        <v>682</v>
      </c>
    </row>
    <row r="4615" spans="1:5" hidden="1" x14ac:dyDescent="0.3">
      <c r="A4615" t="s">
        <v>552</v>
      </c>
      <c r="B4615" t="s">
        <v>681</v>
      </c>
      <c r="C4615" t="s">
        <v>653</v>
      </c>
      <c r="D4615" s="226">
        <v>0</v>
      </c>
      <c r="E4615" t="s">
        <v>682</v>
      </c>
    </row>
    <row r="4616" spans="1:5" hidden="1" x14ac:dyDescent="0.3">
      <c r="A4616" t="s">
        <v>552</v>
      </c>
      <c r="B4616" t="s">
        <v>681</v>
      </c>
      <c r="C4616" t="s">
        <v>253</v>
      </c>
      <c r="D4616" s="226">
        <v>-0.22</v>
      </c>
      <c r="E4616" t="s">
        <v>682</v>
      </c>
    </row>
    <row r="4617" spans="1:5" hidden="1" x14ac:dyDescent="0.3">
      <c r="A4617" t="s">
        <v>552</v>
      </c>
      <c r="B4617" t="s">
        <v>681</v>
      </c>
      <c r="C4617" t="s">
        <v>254</v>
      </c>
      <c r="D4617" s="226">
        <v>-0.19</v>
      </c>
      <c r="E4617" t="s">
        <v>682</v>
      </c>
    </row>
    <row r="4618" spans="1:5" hidden="1" x14ac:dyDescent="0.3">
      <c r="A4618" t="s">
        <v>552</v>
      </c>
      <c r="B4618" t="s">
        <v>681</v>
      </c>
      <c r="C4618" t="s">
        <v>255</v>
      </c>
      <c r="D4618" s="226">
        <v>-47868.25</v>
      </c>
      <c r="E4618" t="s">
        <v>682</v>
      </c>
    </row>
    <row r="4619" spans="1:5" hidden="1" x14ac:dyDescent="0.3">
      <c r="A4619" t="s">
        <v>552</v>
      </c>
      <c r="B4619" t="s">
        <v>681</v>
      </c>
      <c r="C4619" t="s">
        <v>256</v>
      </c>
      <c r="D4619" s="226">
        <v>-28000</v>
      </c>
      <c r="E4619" t="s">
        <v>682</v>
      </c>
    </row>
    <row r="4620" spans="1:5" hidden="1" x14ac:dyDescent="0.3">
      <c r="A4620" t="s">
        <v>552</v>
      </c>
      <c r="B4620" t="s">
        <v>681</v>
      </c>
      <c r="C4620" t="s">
        <v>257</v>
      </c>
      <c r="D4620" s="226">
        <v>-15994.82</v>
      </c>
      <c r="E4620" t="s">
        <v>682</v>
      </c>
    </row>
    <row r="4621" spans="1:5" hidden="1" x14ac:dyDescent="0.3">
      <c r="A4621" t="s">
        <v>552</v>
      </c>
      <c r="B4621" t="s">
        <v>681</v>
      </c>
      <c r="C4621" t="s">
        <v>258</v>
      </c>
      <c r="D4621" s="226">
        <v>-3873.43</v>
      </c>
      <c r="E4621" t="s">
        <v>682</v>
      </c>
    </row>
    <row r="4622" spans="1:5" hidden="1" x14ac:dyDescent="0.3">
      <c r="A4622" t="s">
        <v>552</v>
      </c>
      <c r="B4622" t="s">
        <v>681</v>
      </c>
      <c r="C4622" t="s">
        <v>259</v>
      </c>
      <c r="D4622" s="226">
        <v>0</v>
      </c>
      <c r="E4622" t="s">
        <v>682</v>
      </c>
    </row>
    <row r="4623" spans="1:5" hidden="1" x14ac:dyDescent="0.3">
      <c r="A4623" t="s">
        <v>552</v>
      </c>
      <c r="B4623" t="s">
        <v>681</v>
      </c>
      <c r="C4623" t="s">
        <v>260</v>
      </c>
      <c r="D4623" s="226">
        <v>0</v>
      </c>
      <c r="E4623" t="s">
        <v>682</v>
      </c>
    </row>
    <row r="4624" spans="1:5" hidden="1" x14ac:dyDescent="0.3">
      <c r="A4624" t="s">
        <v>552</v>
      </c>
      <c r="B4624" t="s">
        <v>681</v>
      </c>
      <c r="C4624" t="s">
        <v>261</v>
      </c>
      <c r="D4624" s="226">
        <v>0</v>
      </c>
      <c r="E4624" t="s">
        <v>682</v>
      </c>
    </row>
    <row r="4625" spans="1:5" hidden="1" x14ac:dyDescent="0.3">
      <c r="A4625" t="s">
        <v>552</v>
      </c>
      <c r="B4625" t="s">
        <v>681</v>
      </c>
      <c r="C4625" t="s">
        <v>262</v>
      </c>
      <c r="D4625" s="226">
        <v>0</v>
      </c>
      <c r="E4625" t="s">
        <v>682</v>
      </c>
    </row>
    <row r="4626" spans="1:5" hidden="1" x14ac:dyDescent="0.3">
      <c r="A4626" t="s">
        <v>552</v>
      </c>
      <c r="B4626" t="s">
        <v>681</v>
      </c>
      <c r="C4626" t="s">
        <v>44</v>
      </c>
      <c r="D4626" s="226">
        <v>-0.04</v>
      </c>
      <c r="E4626" t="s">
        <v>682</v>
      </c>
    </row>
    <row r="4627" spans="1:5" hidden="1" x14ac:dyDescent="0.3">
      <c r="A4627" t="s">
        <v>552</v>
      </c>
      <c r="B4627" t="s">
        <v>681</v>
      </c>
      <c r="C4627" t="s">
        <v>263</v>
      </c>
      <c r="D4627" s="226">
        <v>-78963.360000000001</v>
      </c>
      <c r="E4627" t="s">
        <v>682</v>
      </c>
    </row>
    <row r="4628" spans="1:5" hidden="1" x14ac:dyDescent="0.3">
      <c r="A4628" t="s">
        <v>552</v>
      </c>
      <c r="B4628" t="s">
        <v>681</v>
      </c>
      <c r="C4628" t="s">
        <v>264</v>
      </c>
      <c r="D4628" s="226">
        <v>-16800</v>
      </c>
      <c r="E4628" t="s">
        <v>682</v>
      </c>
    </row>
    <row r="4629" spans="1:5" hidden="1" x14ac:dyDescent="0.3">
      <c r="A4629" t="s">
        <v>552</v>
      </c>
      <c r="B4629" t="s">
        <v>681</v>
      </c>
      <c r="C4629" t="s">
        <v>265</v>
      </c>
      <c r="D4629" s="226">
        <v>-15880.31</v>
      </c>
      <c r="E4629" t="s">
        <v>682</v>
      </c>
    </row>
    <row r="4630" spans="1:5" hidden="1" x14ac:dyDescent="0.3">
      <c r="A4630" t="s">
        <v>552</v>
      </c>
      <c r="B4630" t="s">
        <v>681</v>
      </c>
      <c r="C4630" t="s">
        <v>266</v>
      </c>
      <c r="D4630" s="226">
        <v>-10332.51</v>
      </c>
      <c r="E4630" t="s">
        <v>682</v>
      </c>
    </row>
    <row r="4631" spans="1:5" hidden="1" x14ac:dyDescent="0.3">
      <c r="A4631" t="s">
        <v>552</v>
      </c>
      <c r="B4631" t="s">
        <v>681</v>
      </c>
      <c r="C4631" t="s">
        <v>267</v>
      </c>
      <c r="D4631" s="226">
        <v>-13739.76</v>
      </c>
      <c r="E4631" t="s">
        <v>682</v>
      </c>
    </row>
    <row r="4632" spans="1:5" hidden="1" x14ac:dyDescent="0.3">
      <c r="A4632" t="s">
        <v>552</v>
      </c>
      <c r="B4632" t="s">
        <v>681</v>
      </c>
      <c r="C4632" t="s">
        <v>268</v>
      </c>
      <c r="D4632" s="226">
        <v>0</v>
      </c>
      <c r="E4632" t="s">
        <v>682</v>
      </c>
    </row>
    <row r="4633" spans="1:5" hidden="1" x14ac:dyDescent="0.3">
      <c r="A4633" t="s">
        <v>552</v>
      </c>
      <c r="B4633" t="s">
        <v>681</v>
      </c>
      <c r="C4633" t="s">
        <v>269</v>
      </c>
      <c r="D4633" s="226">
        <v>-580</v>
      </c>
      <c r="E4633" t="s">
        <v>682</v>
      </c>
    </row>
    <row r="4634" spans="1:5" hidden="1" x14ac:dyDescent="0.3">
      <c r="A4634" t="s">
        <v>552</v>
      </c>
      <c r="B4634" t="s">
        <v>681</v>
      </c>
      <c r="C4634" t="s">
        <v>270</v>
      </c>
      <c r="D4634" s="226">
        <v>-2673.58</v>
      </c>
      <c r="E4634" t="s">
        <v>682</v>
      </c>
    </row>
    <row r="4635" spans="1:5" hidden="1" x14ac:dyDescent="0.3">
      <c r="A4635" t="s">
        <v>552</v>
      </c>
      <c r="B4635" t="s">
        <v>681</v>
      </c>
      <c r="C4635" t="s">
        <v>271</v>
      </c>
      <c r="D4635" s="226">
        <v>-8212.43</v>
      </c>
      <c r="E4635" t="s">
        <v>682</v>
      </c>
    </row>
    <row r="4636" spans="1:5" hidden="1" x14ac:dyDescent="0.3">
      <c r="A4636" t="s">
        <v>552</v>
      </c>
      <c r="B4636" t="s">
        <v>681</v>
      </c>
      <c r="C4636" t="s">
        <v>272</v>
      </c>
      <c r="D4636" s="226">
        <v>0</v>
      </c>
      <c r="E4636" t="s">
        <v>682</v>
      </c>
    </row>
    <row r="4637" spans="1:5" hidden="1" x14ac:dyDescent="0.3">
      <c r="A4637" t="s">
        <v>552</v>
      </c>
      <c r="B4637" t="s">
        <v>681</v>
      </c>
      <c r="C4637" t="s">
        <v>273</v>
      </c>
      <c r="D4637" s="226">
        <v>0</v>
      </c>
      <c r="E4637" t="s">
        <v>682</v>
      </c>
    </row>
    <row r="4638" spans="1:5" hidden="1" x14ac:dyDescent="0.3">
      <c r="A4638" t="s">
        <v>552</v>
      </c>
      <c r="B4638" t="s">
        <v>681</v>
      </c>
      <c r="C4638" t="s">
        <v>274</v>
      </c>
      <c r="D4638" s="226">
        <v>-905.68</v>
      </c>
      <c r="E4638" t="s">
        <v>682</v>
      </c>
    </row>
    <row r="4639" spans="1:5" hidden="1" x14ac:dyDescent="0.3">
      <c r="A4639" t="s">
        <v>552</v>
      </c>
      <c r="B4639" t="s">
        <v>681</v>
      </c>
      <c r="C4639" t="s">
        <v>275</v>
      </c>
      <c r="D4639" s="226">
        <v>-400</v>
      </c>
      <c r="E4639" t="s">
        <v>682</v>
      </c>
    </row>
    <row r="4640" spans="1:5" hidden="1" x14ac:dyDescent="0.3">
      <c r="A4640" t="s">
        <v>552</v>
      </c>
      <c r="B4640" t="s">
        <v>681</v>
      </c>
      <c r="C4640" t="s">
        <v>276</v>
      </c>
      <c r="D4640" s="226">
        <v>-1631</v>
      </c>
      <c r="E4640" t="s">
        <v>682</v>
      </c>
    </row>
    <row r="4641" spans="1:5" hidden="1" x14ac:dyDescent="0.3">
      <c r="A4641" t="s">
        <v>552</v>
      </c>
      <c r="B4641" t="s">
        <v>681</v>
      </c>
      <c r="C4641" t="s">
        <v>277</v>
      </c>
      <c r="D4641" s="226">
        <v>-7808.09</v>
      </c>
      <c r="E4641" t="s">
        <v>682</v>
      </c>
    </row>
    <row r="4642" spans="1:5" hidden="1" x14ac:dyDescent="0.3">
      <c r="A4642" t="s">
        <v>552</v>
      </c>
      <c r="B4642" t="s">
        <v>681</v>
      </c>
      <c r="C4642" t="s">
        <v>44</v>
      </c>
      <c r="D4642" s="226">
        <v>-7.0000000000000007E-2</v>
      </c>
      <c r="E4642" t="s">
        <v>682</v>
      </c>
    </row>
    <row r="4643" spans="1:5" hidden="1" x14ac:dyDescent="0.3">
      <c r="A4643" t="s">
        <v>552</v>
      </c>
      <c r="B4643" t="s">
        <v>681</v>
      </c>
      <c r="C4643" t="s">
        <v>278</v>
      </c>
      <c r="D4643" s="226">
        <v>-6517.56</v>
      </c>
      <c r="E4643" t="s">
        <v>682</v>
      </c>
    </row>
    <row r="4644" spans="1:5" hidden="1" x14ac:dyDescent="0.3">
      <c r="A4644" t="s">
        <v>552</v>
      </c>
      <c r="B4644" t="s">
        <v>681</v>
      </c>
      <c r="C4644" t="s">
        <v>279</v>
      </c>
      <c r="D4644" s="226">
        <v>0</v>
      </c>
      <c r="E4644" t="s">
        <v>682</v>
      </c>
    </row>
    <row r="4645" spans="1:5" hidden="1" x14ac:dyDescent="0.3">
      <c r="A4645" t="s">
        <v>552</v>
      </c>
      <c r="B4645" t="s">
        <v>681</v>
      </c>
      <c r="C4645" t="s">
        <v>280</v>
      </c>
      <c r="D4645" s="226">
        <v>-459.88</v>
      </c>
      <c r="E4645" t="s">
        <v>682</v>
      </c>
    </row>
    <row r="4646" spans="1:5" hidden="1" x14ac:dyDescent="0.3">
      <c r="A4646" t="s">
        <v>552</v>
      </c>
      <c r="B4646" t="s">
        <v>681</v>
      </c>
      <c r="C4646" t="s">
        <v>281</v>
      </c>
      <c r="D4646" s="226">
        <v>-21.9</v>
      </c>
      <c r="E4646" t="s">
        <v>682</v>
      </c>
    </row>
    <row r="4647" spans="1:5" hidden="1" x14ac:dyDescent="0.3">
      <c r="A4647" t="s">
        <v>552</v>
      </c>
      <c r="B4647" t="s">
        <v>681</v>
      </c>
      <c r="C4647" t="s">
        <v>282</v>
      </c>
      <c r="D4647" s="226">
        <v>-815</v>
      </c>
      <c r="E4647" t="s">
        <v>682</v>
      </c>
    </row>
    <row r="4648" spans="1:5" hidden="1" x14ac:dyDescent="0.3">
      <c r="A4648" t="s">
        <v>552</v>
      </c>
      <c r="B4648" t="s">
        <v>681</v>
      </c>
      <c r="C4648" t="s">
        <v>283</v>
      </c>
      <c r="D4648" s="226">
        <v>-3366.37</v>
      </c>
      <c r="E4648" t="s">
        <v>682</v>
      </c>
    </row>
    <row r="4649" spans="1:5" hidden="1" x14ac:dyDescent="0.3">
      <c r="A4649" t="s">
        <v>552</v>
      </c>
      <c r="B4649" t="s">
        <v>681</v>
      </c>
      <c r="C4649" t="s">
        <v>284</v>
      </c>
      <c r="D4649" s="226">
        <v>-409</v>
      </c>
      <c r="E4649" t="s">
        <v>682</v>
      </c>
    </row>
    <row r="4650" spans="1:5" hidden="1" x14ac:dyDescent="0.3">
      <c r="A4650" t="s">
        <v>552</v>
      </c>
      <c r="B4650" t="s">
        <v>681</v>
      </c>
      <c r="C4650" t="s">
        <v>285</v>
      </c>
      <c r="D4650" s="226">
        <v>-1445.41</v>
      </c>
      <c r="E4650" t="s">
        <v>682</v>
      </c>
    </row>
    <row r="4651" spans="1:5" hidden="1" x14ac:dyDescent="0.3">
      <c r="A4651" t="s">
        <v>552</v>
      </c>
      <c r="B4651" t="s">
        <v>681</v>
      </c>
      <c r="C4651" t="s">
        <v>44</v>
      </c>
      <c r="D4651" s="226">
        <v>-0.01</v>
      </c>
      <c r="E4651" t="s">
        <v>682</v>
      </c>
    </row>
    <row r="4652" spans="1:5" hidden="1" x14ac:dyDescent="0.3">
      <c r="A4652" t="s">
        <v>552</v>
      </c>
      <c r="B4652" t="s">
        <v>681</v>
      </c>
      <c r="C4652" t="s">
        <v>286</v>
      </c>
      <c r="D4652" s="226">
        <v>-8941.15</v>
      </c>
      <c r="E4652" t="s">
        <v>682</v>
      </c>
    </row>
    <row r="4653" spans="1:5" hidden="1" x14ac:dyDescent="0.3">
      <c r="A4653" t="s">
        <v>552</v>
      </c>
      <c r="B4653" t="s">
        <v>681</v>
      </c>
      <c r="C4653" t="s">
        <v>287</v>
      </c>
      <c r="D4653" s="226">
        <v>-5000</v>
      </c>
      <c r="E4653" t="s">
        <v>682</v>
      </c>
    </row>
    <row r="4654" spans="1:5" hidden="1" x14ac:dyDescent="0.3">
      <c r="A4654" t="s">
        <v>552</v>
      </c>
      <c r="B4654" t="s">
        <v>681</v>
      </c>
      <c r="C4654" t="s">
        <v>288</v>
      </c>
      <c r="D4654" s="226">
        <v>-2003.73</v>
      </c>
      <c r="E4654" t="s">
        <v>682</v>
      </c>
    </row>
    <row r="4655" spans="1:5" hidden="1" x14ac:dyDescent="0.3">
      <c r="A4655" t="s">
        <v>552</v>
      </c>
      <c r="B4655" t="s">
        <v>681</v>
      </c>
      <c r="C4655" t="s">
        <v>289</v>
      </c>
      <c r="D4655" s="226">
        <v>0</v>
      </c>
      <c r="E4655" t="s">
        <v>682</v>
      </c>
    </row>
    <row r="4656" spans="1:5" hidden="1" x14ac:dyDescent="0.3">
      <c r="A4656" t="s">
        <v>552</v>
      </c>
      <c r="B4656" t="s">
        <v>681</v>
      </c>
      <c r="C4656" t="s">
        <v>290</v>
      </c>
      <c r="D4656" s="226">
        <v>-1808.71</v>
      </c>
      <c r="E4656" t="s">
        <v>682</v>
      </c>
    </row>
    <row r="4657" spans="1:5" hidden="1" x14ac:dyDescent="0.3">
      <c r="A4657" t="s">
        <v>552</v>
      </c>
      <c r="B4657" t="s">
        <v>681</v>
      </c>
      <c r="C4657" t="s">
        <v>291</v>
      </c>
      <c r="D4657" s="226">
        <v>0</v>
      </c>
      <c r="E4657" t="s">
        <v>682</v>
      </c>
    </row>
    <row r="4658" spans="1:5" hidden="1" x14ac:dyDescent="0.3">
      <c r="A4658" t="s">
        <v>552</v>
      </c>
      <c r="B4658" t="s">
        <v>681</v>
      </c>
      <c r="C4658" t="s">
        <v>292</v>
      </c>
      <c r="D4658" s="226">
        <v>0</v>
      </c>
      <c r="E4658" t="s">
        <v>682</v>
      </c>
    </row>
    <row r="4659" spans="1:5" hidden="1" x14ac:dyDescent="0.3">
      <c r="A4659" t="s">
        <v>552</v>
      </c>
      <c r="B4659" t="s">
        <v>681</v>
      </c>
      <c r="C4659" t="s">
        <v>293</v>
      </c>
      <c r="D4659" s="226">
        <v>-128.71</v>
      </c>
      <c r="E4659" t="s">
        <v>682</v>
      </c>
    </row>
    <row r="4660" spans="1:5" hidden="1" x14ac:dyDescent="0.3">
      <c r="A4660" t="s">
        <v>552</v>
      </c>
      <c r="B4660" t="s">
        <v>681</v>
      </c>
      <c r="C4660" t="s">
        <v>294</v>
      </c>
      <c r="D4660" s="226">
        <v>0</v>
      </c>
      <c r="E4660" t="s">
        <v>682</v>
      </c>
    </row>
    <row r="4661" spans="1:5" hidden="1" x14ac:dyDescent="0.3">
      <c r="A4661" t="s">
        <v>552</v>
      </c>
      <c r="B4661" t="s">
        <v>681</v>
      </c>
      <c r="C4661" t="s">
        <v>44</v>
      </c>
      <c r="D4661" s="226">
        <v>-0.01</v>
      </c>
      <c r="E4661" t="s">
        <v>682</v>
      </c>
    </row>
    <row r="4662" spans="1:5" hidden="1" x14ac:dyDescent="0.3">
      <c r="A4662" t="s">
        <v>552</v>
      </c>
      <c r="B4662" t="s">
        <v>681</v>
      </c>
      <c r="C4662" t="s">
        <v>295</v>
      </c>
      <c r="D4662" s="226">
        <v>-7619.75</v>
      </c>
      <c r="E4662" t="s">
        <v>682</v>
      </c>
    </row>
    <row r="4663" spans="1:5" hidden="1" x14ac:dyDescent="0.3">
      <c r="A4663" t="s">
        <v>552</v>
      </c>
      <c r="B4663" t="s">
        <v>681</v>
      </c>
      <c r="C4663" t="s">
        <v>296</v>
      </c>
      <c r="D4663" s="226">
        <v>-4500</v>
      </c>
      <c r="E4663" t="s">
        <v>682</v>
      </c>
    </row>
    <row r="4664" spans="1:5" hidden="1" x14ac:dyDescent="0.3">
      <c r="A4664" t="s">
        <v>552</v>
      </c>
      <c r="B4664" t="s">
        <v>681</v>
      </c>
      <c r="C4664" t="s">
        <v>297</v>
      </c>
      <c r="D4664" s="226">
        <v>-460</v>
      </c>
      <c r="E4664" t="s">
        <v>682</v>
      </c>
    </row>
    <row r="4665" spans="1:5" hidden="1" x14ac:dyDescent="0.3">
      <c r="A4665" t="s">
        <v>552</v>
      </c>
      <c r="B4665" t="s">
        <v>681</v>
      </c>
      <c r="C4665" t="s">
        <v>298</v>
      </c>
      <c r="D4665" s="226">
        <v>0</v>
      </c>
      <c r="E4665" t="s">
        <v>682</v>
      </c>
    </row>
    <row r="4666" spans="1:5" hidden="1" x14ac:dyDescent="0.3">
      <c r="A4666" t="s">
        <v>552</v>
      </c>
      <c r="B4666" t="s">
        <v>681</v>
      </c>
      <c r="C4666" t="s">
        <v>299</v>
      </c>
      <c r="D4666" s="226">
        <v>0</v>
      </c>
      <c r="E4666" t="s">
        <v>682</v>
      </c>
    </row>
    <row r="4667" spans="1:5" hidden="1" x14ac:dyDescent="0.3">
      <c r="A4667" t="s">
        <v>552</v>
      </c>
      <c r="B4667" t="s">
        <v>681</v>
      </c>
      <c r="C4667" t="s">
        <v>300</v>
      </c>
      <c r="D4667" s="226">
        <v>0</v>
      </c>
      <c r="E4667" t="s">
        <v>682</v>
      </c>
    </row>
    <row r="4668" spans="1:5" hidden="1" x14ac:dyDescent="0.3">
      <c r="A4668" t="s">
        <v>552</v>
      </c>
      <c r="B4668" t="s">
        <v>681</v>
      </c>
      <c r="C4668" t="s">
        <v>301</v>
      </c>
      <c r="D4668" s="226">
        <v>0</v>
      </c>
      <c r="E4668" t="s">
        <v>682</v>
      </c>
    </row>
    <row r="4669" spans="1:5" hidden="1" x14ac:dyDescent="0.3">
      <c r="A4669" t="s">
        <v>552</v>
      </c>
      <c r="B4669" t="s">
        <v>681</v>
      </c>
      <c r="C4669" t="s">
        <v>302</v>
      </c>
      <c r="D4669" s="226">
        <v>0</v>
      </c>
      <c r="E4669" t="s">
        <v>682</v>
      </c>
    </row>
    <row r="4670" spans="1:5" hidden="1" x14ac:dyDescent="0.3">
      <c r="A4670" t="s">
        <v>552</v>
      </c>
      <c r="B4670" t="s">
        <v>681</v>
      </c>
      <c r="C4670" t="s">
        <v>303</v>
      </c>
      <c r="D4670" s="226">
        <v>-500</v>
      </c>
      <c r="E4670" t="s">
        <v>682</v>
      </c>
    </row>
    <row r="4671" spans="1:5" hidden="1" x14ac:dyDescent="0.3">
      <c r="A4671" t="s">
        <v>552</v>
      </c>
      <c r="B4671" t="s">
        <v>681</v>
      </c>
      <c r="C4671" t="s">
        <v>304</v>
      </c>
      <c r="D4671" s="226">
        <v>-35.909999999999997</v>
      </c>
      <c r="E4671" t="s">
        <v>682</v>
      </c>
    </row>
    <row r="4672" spans="1:5" hidden="1" x14ac:dyDescent="0.3">
      <c r="A4672" t="s">
        <v>552</v>
      </c>
      <c r="B4672" t="s">
        <v>681</v>
      </c>
      <c r="C4672" t="s">
        <v>305</v>
      </c>
      <c r="D4672" s="226">
        <v>0</v>
      </c>
      <c r="E4672" t="s">
        <v>682</v>
      </c>
    </row>
    <row r="4673" spans="1:5" hidden="1" x14ac:dyDescent="0.3">
      <c r="A4673" t="s">
        <v>552</v>
      </c>
      <c r="B4673" t="s">
        <v>681</v>
      </c>
      <c r="C4673" t="s">
        <v>306</v>
      </c>
      <c r="D4673" s="226">
        <v>-2123.83</v>
      </c>
      <c r="E4673" t="s">
        <v>682</v>
      </c>
    </row>
    <row r="4674" spans="1:5" hidden="1" x14ac:dyDescent="0.3">
      <c r="A4674" t="s">
        <v>552</v>
      </c>
      <c r="B4674" t="s">
        <v>681</v>
      </c>
      <c r="C4674" t="s">
        <v>44</v>
      </c>
      <c r="D4674" s="226">
        <v>-0.01</v>
      </c>
      <c r="E4674" t="s">
        <v>682</v>
      </c>
    </row>
    <row r="4675" spans="1:5" hidden="1" x14ac:dyDescent="0.3">
      <c r="A4675" t="s">
        <v>552</v>
      </c>
      <c r="B4675" t="s">
        <v>681</v>
      </c>
      <c r="C4675" t="s">
        <v>307</v>
      </c>
      <c r="D4675" s="226">
        <v>-15952.15</v>
      </c>
      <c r="E4675" t="s">
        <v>682</v>
      </c>
    </row>
    <row r="4676" spans="1:5" hidden="1" x14ac:dyDescent="0.3">
      <c r="A4676" t="s">
        <v>552</v>
      </c>
      <c r="B4676" t="s">
        <v>681</v>
      </c>
      <c r="C4676" t="s">
        <v>308</v>
      </c>
      <c r="D4676" s="226">
        <v>-3800</v>
      </c>
      <c r="E4676" t="s">
        <v>682</v>
      </c>
    </row>
    <row r="4677" spans="1:5" hidden="1" x14ac:dyDescent="0.3">
      <c r="A4677" t="s">
        <v>552</v>
      </c>
      <c r="B4677" t="s">
        <v>681</v>
      </c>
      <c r="C4677" t="s">
        <v>309</v>
      </c>
      <c r="D4677" s="226">
        <v>0</v>
      </c>
      <c r="E4677" t="s">
        <v>682</v>
      </c>
    </row>
    <row r="4678" spans="1:5" hidden="1" x14ac:dyDescent="0.3">
      <c r="A4678" t="s">
        <v>552</v>
      </c>
      <c r="B4678" t="s">
        <v>681</v>
      </c>
      <c r="C4678" t="s">
        <v>310</v>
      </c>
      <c r="D4678" s="226">
        <v>0</v>
      </c>
      <c r="E4678" t="s">
        <v>682</v>
      </c>
    </row>
    <row r="4679" spans="1:5" hidden="1" x14ac:dyDescent="0.3">
      <c r="A4679" t="s">
        <v>552</v>
      </c>
      <c r="B4679" t="s">
        <v>681</v>
      </c>
      <c r="C4679" t="s">
        <v>311</v>
      </c>
      <c r="D4679" s="226">
        <v>-185</v>
      </c>
      <c r="E4679" t="s">
        <v>682</v>
      </c>
    </row>
    <row r="4680" spans="1:5" hidden="1" x14ac:dyDescent="0.3">
      <c r="A4680" t="s">
        <v>552</v>
      </c>
      <c r="B4680" t="s">
        <v>681</v>
      </c>
      <c r="C4680" t="s">
        <v>312</v>
      </c>
      <c r="D4680" s="226">
        <v>0</v>
      </c>
      <c r="E4680" t="s">
        <v>682</v>
      </c>
    </row>
    <row r="4681" spans="1:5" hidden="1" x14ac:dyDescent="0.3">
      <c r="A4681" t="s">
        <v>552</v>
      </c>
      <c r="B4681" t="s">
        <v>681</v>
      </c>
      <c r="C4681" t="s">
        <v>313</v>
      </c>
      <c r="D4681" s="226">
        <v>-2372.15</v>
      </c>
      <c r="E4681" t="s">
        <v>682</v>
      </c>
    </row>
    <row r="4682" spans="1:5" hidden="1" x14ac:dyDescent="0.3">
      <c r="A4682" t="s">
        <v>552</v>
      </c>
      <c r="B4682" t="s">
        <v>681</v>
      </c>
      <c r="C4682" t="s">
        <v>314</v>
      </c>
      <c r="D4682" s="226">
        <v>0</v>
      </c>
      <c r="E4682" t="s">
        <v>682</v>
      </c>
    </row>
    <row r="4683" spans="1:5" hidden="1" x14ac:dyDescent="0.3">
      <c r="A4683" t="s">
        <v>552</v>
      </c>
      <c r="B4683" t="s">
        <v>681</v>
      </c>
      <c r="C4683" t="s">
        <v>315</v>
      </c>
      <c r="D4683" s="226">
        <v>-9595</v>
      </c>
      <c r="E4683" t="s">
        <v>682</v>
      </c>
    </row>
    <row r="4684" spans="1:5" hidden="1" x14ac:dyDescent="0.3">
      <c r="A4684" t="s">
        <v>552</v>
      </c>
      <c r="B4684" t="s">
        <v>681</v>
      </c>
      <c r="C4684" t="s">
        <v>316</v>
      </c>
      <c r="D4684" s="226">
        <v>0</v>
      </c>
      <c r="E4684" t="s">
        <v>682</v>
      </c>
    </row>
    <row r="4685" spans="1:5" hidden="1" x14ac:dyDescent="0.3">
      <c r="A4685" t="s">
        <v>552</v>
      </c>
      <c r="B4685" t="s">
        <v>681</v>
      </c>
      <c r="C4685" t="s">
        <v>44</v>
      </c>
      <c r="D4685" s="226">
        <v>-0.01</v>
      </c>
      <c r="E4685" t="s">
        <v>682</v>
      </c>
    </row>
    <row r="4686" spans="1:5" hidden="1" x14ac:dyDescent="0.3">
      <c r="A4686" t="s">
        <v>552</v>
      </c>
      <c r="B4686" t="s">
        <v>681</v>
      </c>
      <c r="C4686" t="s">
        <v>317</v>
      </c>
      <c r="D4686" s="226">
        <v>-5633.35</v>
      </c>
      <c r="E4686" t="s">
        <v>682</v>
      </c>
    </row>
    <row r="4687" spans="1:5" hidden="1" x14ac:dyDescent="0.3">
      <c r="A4687" t="s">
        <v>552</v>
      </c>
      <c r="B4687" t="s">
        <v>681</v>
      </c>
      <c r="C4687" t="s">
        <v>318</v>
      </c>
      <c r="D4687" s="226">
        <v>-5495</v>
      </c>
      <c r="E4687" t="s">
        <v>682</v>
      </c>
    </row>
    <row r="4688" spans="1:5" hidden="1" x14ac:dyDescent="0.3">
      <c r="A4688" t="s">
        <v>552</v>
      </c>
      <c r="B4688" t="s">
        <v>681</v>
      </c>
      <c r="C4688" t="s">
        <v>319</v>
      </c>
      <c r="D4688" s="226">
        <v>-138.35</v>
      </c>
      <c r="E4688" t="s">
        <v>682</v>
      </c>
    </row>
    <row r="4689" spans="1:5" hidden="1" x14ac:dyDescent="0.3">
      <c r="A4689" t="s">
        <v>552</v>
      </c>
      <c r="B4689" t="s">
        <v>681</v>
      </c>
      <c r="C4689" t="s">
        <v>320</v>
      </c>
      <c r="D4689" s="226">
        <v>0</v>
      </c>
      <c r="E4689" t="s">
        <v>682</v>
      </c>
    </row>
    <row r="4690" spans="1:5" hidden="1" x14ac:dyDescent="0.3">
      <c r="A4690" t="s">
        <v>552</v>
      </c>
      <c r="B4690" t="s">
        <v>681</v>
      </c>
      <c r="C4690" t="s">
        <v>321</v>
      </c>
      <c r="D4690" s="226">
        <v>0</v>
      </c>
      <c r="E4690" t="s">
        <v>682</v>
      </c>
    </row>
    <row r="4691" spans="1:5" hidden="1" x14ac:dyDescent="0.3">
      <c r="A4691" t="s">
        <v>552</v>
      </c>
      <c r="B4691" t="s">
        <v>681</v>
      </c>
      <c r="C4691" t="s">
        <v>44</v>
      </c>
      <c r="D4691" s="226">
        <v>0</v>
      </c>
      <c r="E4691" t="s">
        <v>682</v>
      </c>
    </row>
    <row r="4692" spans="1:5" hidden="1" x14ac:dyDescent="0.3">
      <c r="A4692" t="s">
        <v>552</v>
      </c>
      <c r="B4692" t="s">
        <v>681</v>
      </c>
      <c r="C4692" t="s">
        <v>322</v>
      </c>
      <c r="D4692" s="226">
        <v>-58937.33</v>
      </c>
      <c r="E4692" t="s">
        <v>682</v>
      </c>
    </row>
    <row r="4693" spans="1:5" hidden="1" x14ac:dyDescent="0.3">
      <c r="A4693" t="s">
        <v>552</v>
      </c>
      <c r="B4693" t="s">
        <v>681</v>
      </c>
      <c r="C4693" t="s">
        <v>323</v>
      </c>
      <c r="D4693" s="226">
        <v>0</v>
      </c>
      <c r="E4693" t="s">
        <v>682</v>
      </c>
    </row>
    <row r="4694" spans="1:5" hidden="1" x14ac:dyDescent="0.3">
      <c r="A4694" t="s">
        <v>552</v>
      </c>
      <c r="B4694" t="s">
        <v>681</v>
      </c>
      <c r="C4694" t="s">
        <v>324</v>
      </c>
      <c r="D4694" s="226">
        <v>0</v>
      </c>
      <c r="E4694" t="s">
        <v>682</v>
      </c>
    </row>
    <row r="4695" spans="1:5" hidden="1" x14ac:dyDescent="0.3">
      <c r="A4695" t="s">
        <v>552</v>
      </c>
      <c r="B4695" t="s">
        <v>681</v>
      </c>
      <c r="C4695" t="s">
        <v>325</v>
      </c>
      <c r="D4695" s="226">
        <v>-58937.33</v>
      </c>
      <c r="E4695" t="s">
        <v>682</v>
      </c>
    </row>
    <row r="4696" spans="1:5" hidden="1" x14ac:dyDescent="0.3">
      <c r="A4696" t="s">
        <v>552</v>
      </c>
      <c r="B4696" t="s">
        <v>681</v>
      </c>
      <c r="C4696" t="s">
        <v>44</v>
      </c>
      <c r="D4696" s="226">
        <v>-0.05</v>
      </c>
      <c r="E4696" t="s">
        <v>682</v>
      </c>
    </row>
    <row r="4697" spans="1:5" hidden="1" x14ac:dyDescent="0.3">
      <c r="A4697" t="s">
        <v>552</v>
      </c>
      <c r="B4697" t="s">
        <v>681</v>
      </c>
      <c r="C4697" t="s">
        <v>327</v>
      </c>
      <c r="D4697" s="226">
        <v>-494340.93</v>
      </c>
      <c r="E4697" t="s">
        <v>682</v>
      </c>
    </row>
    <row r="4698" spans="1:5" hidden="1" x14ac:dyDescent="0.3">
      <c r="A4698" t="s">
        <v>552</v>
      </c>
      <c r="B4698" t="s">
        <v>681</v>
      </c>
      <c r="C4698" t="s">
        <v>44</v>
      </c>
      <c r="D4698" s="226">
        <v>-0.42</v>
      </c>
      <c r="E4698" t="s">
        <v>682</v>
      </c>
    </row>
    <row r="4699" spans="1:5" hidden="1" x14ac:dyDescent="0.3">
      <c r="A4699" t="s">
        <v>552</v>
      </c>
      <c r="B4699" t="s">
        <v>681</v>
      </c>
      <c r="C4699" t="s">
        <v>328</v>
      </c>
      <c r="D4699" s="226">
        <v>176812.21</v>
      </c>
      <c r="E4699" t="s">
        <v>682</v>
      </c>
    </row>
    <row r="4700" spans="1:5" hidden="1" x14ac:dyDescent="0.3">
      <c r="A4700" t="s">
        <v>552</v>
      </c>
      <c r="B4700" t="s">
        <v>681</v>
      </c>
      <c r="C4700" t="s">
        <v>44</v>
      </c>
      <c r="D4700" s="226">
        <v>0.15</v>
      </c>
      <c r="E4700" t="s">
        <v>682</v>
      </c>
    </row>
    <row r="4701" spans="1:5" hidden="1" x14ac:dyDescent="0.3">
      <c r="A4701" t="s">
        <v>552</v>
      </c>
      <c r="B4701" t="s">
        <v>681</v>
      </c>
      <c r="C4701" t="s">
        <v>329</v>
      </c>
      <c r="D4701" s="226">
        <v>0</v>
      </c>
      <c r="E4701" t="s">
        <v>682</v>
      </c>
    </row>
    <row r="4702" spans="1:5" hidden="1" x14ac:dyDescent="0.3">
      <c r="A4702" t="s">
        <v>552</v>
      </c>
      <c r="B4702" t="s">
        <v>681</v>
      </c>
      <c r="C4702" t="s">
        <v>331</v>
      </c>
      <c r="D4702" s="226">
        <v>176812.21</v>
      </c>
      <c r="E4702" t="s">
        <v>682</v>
      </c>
    </row>
    <row r="4703" spans="1:5" hidden="1" x14ac:dyDescent="0.3">
      <c r="A4703" t="s">
        <v>552</v>
      </c>
      <c r="B4703" t="s">
        <v>681</v>
      </c>
      <c r="C4703" t="s">
        <v>332</v>
      </c>
      <c r="D4703" s="226">
        <v>-2258.0700000000002</v>
      </c>
      <c r="E4703" t="s">
        <v>682</v>
      </c>
    </row>
    <row r="4704" spans="1:5" hidden="1" x14ac:dyDescent="0.3">
      <c r="A4704" t="s">
        <v>552</v>
      </c>
      <c r="B4704" t="s">
        <v>681</v>
      </c>
      <c r="C4704" t="s">
        <v>333</v>
      </c>
      <c r="D4704" s="226">
        <v>0</v>
      </c>
      <c r="E4704" t="s">
        <v>682</v>
      </c>
    </row>
    <row r="4705" spans="1:5" hidden="1" x14ac:dyDescent="0.3">
      <c r="A4705" t="s">
        <v>552</v>
      </c>
      <c r="B4705" t="s">
        <v>681</v>
      </c>
      <c r="C4705" t="s">
        <v>335</v>
      </c>
      <c r="D4705" s="226">
        <v>0</v>
      </c>
      <c r="E4705" t="s">
        <v>682</v>
      </c>
    </row>
    <row r="4706" spans="1:5" hidden="1" x14ac:dyDescent="0.3">
      <c r="A4706" t="s">
        <v>552</v>
      </c>
      <c r="B4706" t="s">
        <v>681</v>
      </c>
      <c r="C4706" t="s">
        <v>337</v>
      </c>
      <c r="D4706" s="226">
        <v>174554.14</v>
      </c>
      <c r="E4706" t="s">
        <v>682</v>
      </c>
    </row>
    <row r="4707" spans="1:5" hidden="1" x14ac:dyDescent="0.3">
      <c r="A4707" t="s">
        <v>552</v>
      </c>
      <c r="B4707" t="s">
        <v>681</v>
      </c>
      <c r="C4707" t="s">
        <v>338</v>
      </c>
      <c r="D4707" s="226">
        <v>-24202.92</v>
      </c>
      <c r="E4707" t="s">
        <v>682</v>
      </c>
    </row>
    <row r="4708" spans="1:5" hidden="1" x14ac:dyDescent="0.3">
      <c r="A4708" t="s">
        <v>552</v>
      </c>
      <c r="B4708" t="s">
        <v>681</v>
      </c>
      <c r="C4708" t="s">
        <v>341</v>
      </c>
      <c r="D4708" s="226">
        <v>0</v>
      </c>
      <c r="E4708" t="s">
        <v>682</v>
      </c>
    </row>
    <row r="4709" spans="1:5" hidden="1" x14ac:dyDescent="0.3">
      <c r="A4709" t="s">
        <v>552</v>
      </c>
      <c r="B4709" t="s">
        <v>681</v>
      </c>
      <c r="C4709" t="s">
        <v>343</v>
      </c>
      <c r="D4709" s="226">
        <v>-12789.24</v>
      </c>
      <c r="E4709" t="s">
        <v>682</v>
      </c>
    </row>
    <row r="4710" spans="1:5" hidden="1" x14ac:dyDescent="0.3">
      <c r="A4710" t="s">
        <v>552</v>
      </c>
      <c r="B4710" t="s">
        <v>681</v>
      </c>
      <c r="C4710" t="s">
        <v>344</v>
      </c>
      <c r="D4710" s="226">
        <v>0</v>
      </c>
      <c r="E4710" t="s">
        <v>682</v>
      </c>
    </row>
    <row r="4711" spans="1:5" hidden="1" x14ac:dyDescent="0.3">
      <c r="A4711" t="s">
        <v>552</v>
      </c>
      <c r="B4711" t="s">
        <v>681</v>
      </c>
      <c r="C4711" t="s">
        <v>345</v>
      </c>
      <c r="D4711" s="226">
        <v>-11413.68</v>
      </c>
      <c r="E4711" t="s">
        <v>682</v>
      </c>
    </row>
    <row r="4712" spans="1:5" hidden="1" x14ac:dyDescent="0.3">
      <c r="A4712" t="s">
        <v>552</v>
      </c>
      <c r="B4712" t="s">
        <v>681</v>
      </c>
      <c r="C4712" t="s">
        <v>346</v>
      </c>
      <c r="D4712" s="226">
        <v>150351.22</v>
      </c>
      <c r="E4712" t="s">
        <v>682</v>
      </c>
    </row>
    <row r="4713" spans="1:5" hidden="1" x14ac:dyDescent="0.3">
      <c r="A4713" t="s">
        <v>552</v>
      </c>
      <c r="B4713" t="s">
        <v>681</v>
      </c>
      <c r="C4713" t="s">
        <v>44</v>
      </c>
      <c r="D4713" s="226">
        <v>0.13</v>
      </c>
      <c r="E4713" t="s">
        <v>682</v>
      </c>
    </row>
    <row r="4714" spans="1:5" hidden="1" x14ac:dyDescent="0.3">
      <c r="A4714" t="s">
        <v>552</v>
      </c>
      <c r="B4714" t="s">
        <v>681</v>
      </c>
      <c r="C4714" t="s">
        <v>347</v>
      </c>
      <c r="D4714" s="226">
        <v>0</v>
      </c>
      <c r="E4714" t="s">
        <v>682</v>
      </c>
    </row>
    <row r="4715" spans="1:5" hidden="1" x14ac:dyDescent="0.3">
      <c r="A4715" t="s">
        <v>552</v>
      </c>
      <c r="B4715" t="s">
        <v>681</v>
      </c>
      <c r="C4715" t="s">
        <v>654</v>
      </c>
      <c r="D4715" s="226">
        <v>0</v>
      </c>
      <c r="E4715" t="s">
        <v>682</v>
      </c>
    </row>
    <row r="4716" spans="1:5" hidden="1" x14ac:dyDescent="0.3">
      <c r="A4716" t="s">
        <v>552</v>
      </c>
      <c r="B4716" t="s">
        <v>681</v>
      </c>
      <c r="C4716" t="s">
        <v>349</v>
      </c>
      <c r="D4716" s="226">
        <v>0</v>
      </c>
      <c r="E4716" t="s">
        <v>682</v>
      </c>
    </row>
    <row r="4717" spans="1:5" hidden="1" x14ac:dyDescent="0.3">
      <c r="A4717" t="s">
        <v>552</v>
      </c>
      <c r="B4717" t="s">
        <v>681</v>
      </c>
      <c r="C4717" t="s">
        <v>350</v>
      </c>
      <c r="D4717" s="226">
        <v>0</v>
      </c>
      <c r="E4717" t="s">
        <v>682</v>
      </c>
    </row>
    <row r="4718" spans="1:5" hidden="1" x14ac:dyDescent="0.3">
      <c r="A4718" t="s">
        <v>552</v>
      </c>
      <c r="B4718" t="s">
        <v>681</v>
      </c>
      <c r="C4718" t="s">
        <v>351</v>
      </c>
      <c r="D4718" s="226">
        <v>0</v>
      </c>
      <c r="E4718" t="s">
        <v>682</v>
      </c>
    </row>
    <row r="4719" spans="1:5" hidden="1" x14ac:dyDescent="0.3">
      <c r="A4719" t="s">
        <v>552</v>
      </c>
      <c r="B4719" t="s">
        <v>681</v>
      </c>
      <c r="C4719" t="s">
        <v>352</v>
      </c>
      <c r="D4719" s="226">
        <v>0</v>
      </c>
      <c r="E4719" t="s">
        <v>682</v>
      </c>
    </row>
    <row r="4720" spans="1:5" hidden="1" x14ac:dyDescent="0.3">
      <c r="A4720" t="s">
        <v>552</v>
      </c>
      <c r="B4720" t="s">
        <v>681</v>
      </c>
      <c r="C4720" t="s">
        <v>353</v>
      </c>
      <c r="D4720" s="226">
        <v>0</v>
      </c>
      <c r="E4720" t="s">
        <v>682</v>
      </c>
    </row>
    <row r="4721" spans="1:5" hidden="1" x14ac:dyDescent="0.3">
      <c r="A4721" t="s">
        <v>552</v>
      </c>
      <c r="B4721" t="s">
        <v>681</v>
      </c>
      <c r="C4721" t="s">
        <v>354</v>
      </c>
      <c r="D4721" s="226">
        <v>0</v>
      </c>
      <c r="E4721" t="s">
        <v>682</v>
      </c>
    </row>
    <row r="4722" spans="1:5" hidden="1" x14ac:dyDescent="0.3">
      <c r="A4722" t="s">
        <v>552</v>
      </c>
      <c r="B4722" t="s">
        <v>681</v>
      </c>
      <c r="C4722" t="s">
        <v>355</v>
      </c>
      <c r="D4722" s="226">
        <v>0</v>
      </c>
      <c r="E4722" t="s">
        <v>682</v>
      </c>
    </row>
    <row r="4723" spans="1:5" hidden="1" x14ac:dyDescent="0.3">
      <c r="A4723" t="s">
        <v>552</v>
      </c>
      <c r="B4723" t="s">
        <v>681</v>
      </c>
      <c r="C4723" t="s">
        <v>356</v>
      </c>
      <c r="D4723" s="226">
        <v>0</v>
      </c>
      <c r="E4723" t="s">
        <v>682</v>
      </c>
    </row>
    <row r="4724" spans="1:5" hidden="1" x14ac:dyDescent="0.3">
      <c r="A4724" t="s">
        <v>552</v>
      </c>
      <c r="B4724" t="s">
        <v>681</v>
      </c>
      <c r="C4724" t="s">
        <v>357</v>
      </c>
      <c r="D4724" s="226">
        <v>0</v>
      </c>
      <c r="E4724" t="s">
        <v>682</v>
      </c>
    </row>
    <row r="4725" spans="1:5" hidden="1" x14ac:dyDescent="0.3">
      <c r="A4725" t="s">
        <v>552</v>
      </c>
      <c r="B4725" t="s">
        <v>681</v>
      </c>
      <c r="C4725" t="s">
        <v>358</v>
      </c>
      <c r="D4725" s="226">
        <v>0</v>
      </c>
      <c r="E4725" t="s">
        <v>682</v>
      </c>
    </row>
    <row r="4726" spans="1:5" hidden="1" x14ac:dyDescent="0.3">
      <c r="A4726" t="s">
        <v>552</v>
      </c>
      <c r="B4726" t="s">
        <v>681</v>
      </c>
      <c r="C4726" t="s">
        <v>359</v>
      </c>
      <c r="D4726" s="226">
        <v>0</v>
      </c>
      <c r="E4726" t="s">
        <v>682</v>
      </c>
    </row>
    <row r="4727" spans="1:5" hidden="1" x14ac:dyDescent="0.3">
      <c r="A4727" t="s">
        <v>552</v>
      </c>
      <c r="B4727" t="s">
        <v>681</v>
      </c>
      <c r="C4727" t="s">
        <v>360</v>
      </c>
      <c r="D4727" s="226">
        <v>0</v>
      </c>
      <c r="E4727" t="s">
        <v>682</v>
      </c>
    </row>
    <row r="4728" spans="1:5" hidden="1" x14ac:dyDescent="0.3">
      <c r="A4728" t="s">
        <v>552</v>
      </c>
      <c r="B4728" t="s">
        <v>681</v>
      </c>
      <c r="C4728" t="s">
        <v>361</v>
      </c>
      <c r="D4728" s="226">
        <v>0</v>
      </c>
      <c r="E4728" t="s">
        <v>682</v>
      </c>
    </row>
    <row r="4729" spans="1:5" hidden="1" x14ac:dyDescent="0.3">
      <c r="A4729" t="s">
        <v>552</v>
      </c>
      <c r="B4729" t="s">
        <v>681</v>
      </c>
      <c r="C4729" t="s">
        <v>362</v>
      </c>
      <c r="D4729" s="226">
        <v>0</v>
      </c>
      <c r="E4729" t="s">
        <v>682</v>
      </c>
    </row>
    <row r="4730" spans="1:5" hidden="1" x14ac:dyDescent="0.3">
      <c r="A4730" t="s">
        <v>552</v>
      </c>
      <c r="B4730" t="s">
        <v>681</v>
      </c>
      <c r="C4730" t="s">
        <v>363</v>
      </c>
      <c r="D4730" s="226">
        <v>0</v>
      </c>
      <c r="E4730" t="s">
        <v>682</v>
      </c>
    </row>
    <row r="4731" spans="1:5" hidden="1" x14ac:dyDescent="0.3">
      <c r="A4731" t="s">
        <v>552</v>
      </c>
      <c r="B4731" t="s">
        <v>681</v>
      </c>
      <c r="C4731" t="s">
        <v>364</v>
      </c>
      <c r="D4731" s="226">
        <v>-852.95</v>
      </c>
      <c r="E4731" t="s">
        <v>682</v>
      </c>
    </row>
    <row r="4732" spans="1:5" hidden="1" x14ac:dyDescent="0.3">
      <c r="A4732" t="s">
        <v>552</v>
      </c>
      <c r="B4732" t="s">
        <v>681</v>
      </c>
      <c r="C4732" t="s">
        <v>365</v>
      </c>
      <c r="D4732" s="226">
        <v>0</v>
      </c>
      <c r="E4732" t="s">
        <v>682</v>
      </c>
    </row>
    <row r="4733" spans="1:5" hidden="1" x14ac:dyDescent="0.3">
      <c r="A4733" t="s">
        <v>552</v>
      </c>
      <c r="B4733" t="s">
        <v>681</v>
      </c>
      <c r="C4733" t="s">
        <v>366</v>
      </c>
      <c r="D4733" s="226">
        <v>0</v>
      </c>
      <c r="E4733" t="s">
        <v>682</v>
      </c>
    </row>
    <row r="4734" spans="1:5" hidden="1" x14ac:dyDescent="0.3">
      <c r="A4734" t="s">
        <v>552</v>
      </c>
      <c r="B4734" t="s">
        <v>681</v>
      </c>
      <c r="C4734" t="s">
        <v>367</v>
      </c>
      <c r="D4734" s="226">
        <v>-3352.95</v>
      </c>
      <c r="E4734" t="s">
        <v>682</v>
      </c>
    </row>
    <row r="4735" spans="1:5" hidden="1" x14ac:dyDescent="0.3">
      <c r="A4735" t="s">
        <v>552</v>
      </c>
      <c r="B4735" t="s">
        <v>681</v>
      </c>
      <c r="C4735" t="s">
        <v>368</v>
      </c>
      <c r="D4735" s="226">
        <v>2500</v>
      </c>
      <c r="E4735" t="s">
        <v>682</v>
      </c>
    </row>
    <row r="4736" spans="1:5" hidden="1" x14ac:dyDescent="0.3">
      <c r="A4736" t="s">
        <v>552</v>
      </c>
      <c r="B4736" t="s">
        <v>681</v>
      </c>
      <c r="C4736" t="s">
        <v>369</v>
      </c>
      <c r="D4736" s="226">
        <v>0</v>
      </c>
      <c r="E4736" t="s">
        <v>682</v>
      </c>
    </row>
    <row r="4737" spans="1:5" hidden="1" x14ac:dyDescent="0.3">
      <c r="A4737" t="s">
        <v>552</v>
      </c>
      <c r="B4737" t="s">
        <v>681</v>
      </c>
      <c r="C4737" t="s">
        <v>370</v>
      </c>
      <c r="D4737" s="226">
        <v>0</v>
      </c>
      <c r="E4737" t="s">
        <v>682</v>
      </c>
    </row>
    <row r="4738" spans="1:5" hidden="1" x14ac:dyDescent="0.3">
      <c r="A4738" t="s">
        <v>552</v>
      </c>
      <c r="B4738" t="s">
        <v>681</v>
      </c>
      <c r="C4738" t="s">
        <v>371</v>
      </c>
      <c r="D4738" s="226">
        <v>0</v>
      </c>
      <c r="E4738" t="s">
        <v>682</v>
      </c>
    </row>
    <row r="4739" spans="1:5" hidden="1" x14ac:dyDescent="0.3">
      <c r="A4739" t="s">
        <v>552</v>
      </c>
      <c r="B4739" t="s">
        <v>681</v>
      </c>
      <c r="C4739" t="s">
        <v>372</v>
      </c>
      <c r="D4739" s="226">
        <v>-852.95</v>
      </c>
      <c r="E4739" t="s">
        <v>682</v>
      </c>
    </row>
    <row r="4740" spans="1:5" hidden="1" x14ac:dyDescent="0.3">
      <c r="A4740" t="s">
        <v>552</v>
      </c>
      <c r="B4740" t="s">
        <v>681</v>
      </c>
      <c r="C4740" t="s">
        <v>373</v>
      </c>
      <c r="D4740" s="226">
        <v>149498.26999999999</v>
      </c>
      <c r="E4740" t="s">
        <v>682</v>
      </c>
    </row>
    <row r="4741" spans="1:5" hidden="1" x14ac:dyDescent="0.3">
      <c r="A4741" t="s">
        <v>552</v>
      </c>
      <c r="B4741" t="s">
        <v>681</v>
      </c>
      <c r="C4741" t="s">
        <v>655</v>
      </c>
      <c r="D4741" s="226">
        <v>149498.26999999999</v>
      </c>
      <c r="E4741" t="s">
        <v>682</v>
      </c>
    </row>
    <row r="4742" spans="1:5" hidden="1" x14ac:dyDescent="0.3">
      <c r="A4742" t="s">
        <v>552</v>
      </c>
      <c r="B4742" t="s">
        <v>683</v>
      </c>
      <c r="C4742" t="s">
        <v>11</v>
      </c>
      <c r="D4742" s="226">
        <v>1518855.8</v>
      </c>
      <c r="E4742" t="s">
        <v>684</v>
      </c>
    </row>
    <row r="4743" spans="1:5" hidden="1" x14ac:dyDescent="0.3">
      <c r="A4743" t="s">
        <v>552</v>
      </c>
      <c r="B4743" t="s">
        <v>683</v>
      </c>
      <c r="C4743" t="s">
        <v>13</v>
      </c>
      <c r="D4743" s="226">
        <v>760202</v>
      </c>
      <c r="E4743" t="s">
        <v>684</v>
      </c>
    </row>
    <row r="4744" spans="1:5" hidden="1" x14ac:dyDescent="0.3">
      <c r="A4744" t="s">
        <v>552</v>
      </c>
      <c r="B4744" t="s">
        <v>683</v>
      </c>
      <c r="C4744" t="s">
        <v>16</v>
      </c>
      <c r="D4744" s="226">
        <v>533865.30000000005</v>
      </c>
      <c r="E4744" t="s">
        <v>684</v>
      </c>
    </row>
    <row r="4745" spans="1:5" hidden="1" x14ac:dyDescent="0.3">
      <c r="A4745" t="s">
        <v>552</v>
      </c>
      <c r="B4745" t="s">
        <v>683</v>
      </c>
      <c r="C4745" t="s">
        <v>17</v>
      </c>
      <c r="D4745" s="226">
        <v>1483</v>
      </c>
      <c r="E4745" t="s">
        <v>684</v>
      </c>
    </row>
    <row r="4746" spans="1:5" hidden="1" x14ac:dyDescent="0.3">
      <c r="A4746" t="s">
        <v>552</v>
      </c>
      <c r="B4746" t="s">
        <v>683</v>
      </c>
      <c r="C4746" t="s">
        <v>18</v>
      </c>
      <c r="D4746" s="226">
        <v>0</v>
      </c>
      <c r="E4746" t="s">
        <v>684</v>
      </c>
    </row>
    <row r="4747" spans="1:5" hidden="1" x14ac:dyDescent="0.3">
      <c r="A4747" t="s">
        <v>552</v>
      </c>
      <c r="B4747" t="s">
        <v>683</v>
      </c>
      <c r="C4747" t="s">
        <v>20</v>
      </c>
      <c r="D4747" s="226">
        <v>164010.5</v>
      </c>
      <c r="E4747" t="s">
        <v>684</v>
      </c>
    </row>
    <row r="4748" spans="1:5" hidden="1" x14ac:dyDescent="0.3">
      <c r="A4748" t="s">
        <v>552</v>
      </c>
      <c r="B4748" t="s">
        <v>683</v>
      </c>
      <c r="C4748" t="s">
        <v>23</v>
      </c>
      <c r="D4748" s="226">
        <v>19000</v>
      </c>
      <c r="E4748" t="s">
        <v>684</v>
      </c>
    </row>
    <row r="4749" spans="1:5" hidden="1" x14ac:dyDescent="0.3">
      <c r="A4749" t="s">
        <v>552</v>
      </c>
      <c r="B4749" t="s">
        <v>683</v>
      </c>
      <c r="C4749" t="s">
        <v>25</v>
      </c>
      <c r="D4749" s="226">
        <v>0</v>
      </c>
      <c r="E4749" t="s">
        <v>684</v>
      </c>
    </row>
    <row r="4750" spans="1:5" hidden="1" x14ac:dyDescent="0.3">
      <c r="A4750" t="s">
        <v>552</v>
      </c>
      <c r="B4750" t="s">
        <v>683</v>
      </c>
      <c r="C4750" t="s">
        <v>26</v>
      </c>
      <c r="D4750" s="226">
        <v>22000</v>
      </c>
      <c r="E4750" t="s">
        <v>684</v>
      </c>
    </row>
    <row r="4751" spans="1:5" hidden="1" x14ac:dyDescent="0.3">
      <c r="A4751" t="s">
        <v>552</v>
      </c>
      <c r="B4751" t="s">
        <v>683</v>
      </c>
      <c r="C4751" t="s">
        <v>27</v>
      </c>
      <c r="D4751" s="226">
        <v>0</v>
      </c>
      <c r="E4751" t="s">
        <v>684</v>
      </c>
    </row>
    <row r="4752" spans="1:5" hidden="1" x14ac:dyDescent="0.3">
      <c r="A4752" t="s">
        <v>552</v>
      </c>
      <c r="B4752" t="s">
        <v>683</v>
      </c>
      <c r="C4752" t="s">
        <v>29</v>
      </c>
      <c r="D4752" s="226">
        <v>17377</v>
      </c>
      <c r="E4752" t="s">
        <v>684</v>
      </c>
    </row>
    <row r="4753" spans="1:5" hidden="1" x14ac:dyDescent="0.3">
      <c r="A4753" t="s">
        <v>552</v>
      </c>
      <c r="B4753" t="s">
        <v>683</v>
      </c>
      <c r="C4753" t="s">
        <v>31</v>
      </c>
      <c r="D4753" s="226">
        <v>918</v>
      </c>
      <c r="E4753" t="s">
        <v>684</v>
      </c>
    </row>
    <row r="4754" spans="1:5" hidden="1" x14ac:dyDescent="0.3">
      <c r="A4754" t="s">
        <v>552</v>
      </c>
      <c r="B4754" t="s">
        <v>683</v>
      </c>
      <c r="C4754" t="s">
        <v>34</v>
      </c>
      <c r="D4754" s="226">
        <v>-9272.33</v>
      </c>
      <c r="E4754" t="s">
        <v>684</v>
      </c>
    </row>
    <row r="4755" spans="1:5" hidden="1" x14ac:dyDescent="0.3">
      <c r="A4755" t="s">
        <v>552</v>
      </c>
      <c r="B4755" t="s">
        <v>683</v>
      </c>
      <c r="C4755" t="s">
        <v>38</v>
      </c>
      <c r="D4755" s="226">
        <v>-5680.41</v>
      </c>
      <c r="E4755" t="s">
        <v>684</v>
      </c>
    </row>
    <row r="4756" spans="1:5" hidden="1" x14ac:dyDescent="0.3">
      <c r="A4756" t="s">
        <v>552</v>
      </c>
      <c r="B4756" t="s">
        <v>683</v>
      </c>
      <c r="C4756" t="s">
        <v>40</v>
      </c>
      <c r="D4756" s="226">
        <v>-3148.83</v>
      </c>
      <c r="E4756" t="s">
        <v>684</v>
      </c>
    </row>
    <row r="4757" spans="1:5" hidden="1" x14ac:dyDescent="0.3">
      <c r="A4757" t="s">
        <v>552</v>
      </c>
      <c r="B4757" t="s">
        <v>683</v>
      </c>
      <c r="C4757" t="s">
        <v>42</v>
      </c>
      <c r="D4757" s="226">
        <v>-443.08</v>
      </c>
      <c r="E4757" t="s">
        <v>684</v>
      </c>
    </row>
    <row r="4758" spans="1:5" hidden="1" x14ac:dyDescent="0.3">
      <c r="A4758" t="s">
        <v>552</v>
      </c>
      <c r="B4758" t="s">
        <v>683</v>
      </c>
      <c r="C4758" t="s">
        <v>44</v>
      </c>
      <c r="D4758" s="226">
        <v>-0.01</v>
      </c>
      <c r="E4758" t="s">
        <v>684</v>
      </c>
    </row>
    <row r="4759" spans="1:5" hidden="1" x14ac:dyDescent="0.3">
      <c r="A4759" t="s">
        <v>552</v>
      </c>
      <c r="B4759" t="s">
        <v>683</v>
      </c>
      <c r="C4759" t="s">
        <v>45</v>
      </c>
      <c r="D4759" s="226">
        <v>-101403.65</v>
      </c>
      <c r="E4759" t="s">
        <v>684</v>
      </c>
    </row>
    <row r="4760" spans="1:5" hidden="1" x14ac:dyDescent="0.3">
      <c r="A4760" t="s">
        <v>552</v>
      </c>
      <c r="B4760" t="s">
        <v>683</v>
      </c>
      <c r="C4760" t="s">
        <v>46</v>
      </c>
      <c r="D4760" s="226">
        <v>-54406.3</v>
      </c>
      <c r="E4760" t="s">
        <v>684</v>
      </c>
    </row>
    <row r="4761" spans="1:5" hidden="1" x14ac:dyDescent="0.3">
      <c r="A4761" t="s">
        <v>552</v>
      </c>
      <c r="B4761" t="s">
        <v>683</v>
      </c>
      <c r="C4761" t="s">
        <v>48</v>
      </c>
      <c r="D4761" s="226">
        <v>-45897.35</v>
      </c>
      <c r="E4761" t="s">
        <v>684</v>
      </c>
    </row>
    <row r="4762" spans="1:5" hidden="1" x14ac:dyDescent="0.3">
      <c r="A4762" t="s">
        <v>552</v>
      </c>
      <c r="B4762" t="s">
        <v>683</v>
      </c>
      <c r="C4762" t="s">
        <v>49</v>
      </c>
      <c r="D4762" s="226">
        <v>-1100</v>
      </c>
      <c r="E4762" t="s">
        <v>684</v>
      </c>
    </row>
    <row r="4763" spans="1:5" hidden="1" x14ac:dyDescent="0.3">
      <c r="A4763" t="s">
        <v>552</v>
      </c>
      <c r="B4763" t="s">
        <v>683</v>
      </c>
      <c r="C4763" t="s">
        <v>50</v>
      </c>
      <c r="D4763" s="226">
        <v>1408179.83</v>
      </c>
      <c r="E4763" t="s">
        <v>684</v>
      </c>
    </row>
    <row r="4764" spans="1:5" hidden="1" x14ac:dyDescent="0.3">
      <c r="A4764" t="s">
        <v>552</v>
      </c>
      <c r="B4764" t="s">
        <v>683</v>
      </c>
      <c r="C4764" t="s">
        <v>51</v>
      </c>
      <c r="D4764" s="226">
        <v>-406322.98</v>
      </c>
      <c r="E4764" t="s">
        <v>684</v>
      </c>
    </row>
    <row r="4765" spans="1:5" hidden="1" x14ac:dyDescent="0.3">
      <c r="A4765" t="s">
        <v>552</v>
      </c>
      <c r="B4765" t="s">
        <v>683</v>
      </c>
      <c r="C4765" t="s">
        <v>52</v>
      </c>
      <c r="D4765" s="226">
        <v>-285190.17</v>
      </c>
      <c r="E4765" t="s">
        <v>684</v>
      </c>
    </row>
    <row r="4766" spans="1:5" hidden="1" x14ac:dyDescent="0.3">
      <c r="A4766" t="s">
        <v>552</v>
      </c>
      <c r="B4766" t="s">
        <v>683</v>
      </c>
      <c r="C4766" t="s">
        <v>53</v>
      </c>
      <c r="D4766" s="226">
        <v>-119792.81</v>
      </c>
      <c r="E4766" t="s">
        <v>684</v>
      </c>
    </row>
    <row r="4767" spans="1:5" hidden="1" x14ac:dyDescent="0.3">
      <c r="A4767" t="s">
        <v>552</v>
      </c>
      <c r="B4767" t="s">
        <v>683</v>
      </c>
      <c r="C4767" t="s">
        <v>54</v>
      </c>
      <c r="D4767" s="226">
        <v>-1340</v>
      </c>
      <c r="E4767" t="s">
        <v>684</v>
      </c>
    </row>
    <row r="4768" spans="1:5" hidden="1" x14ac:dyDescent="0.3">
      <c r="A4768" t="s">
        <v>552</v>
      </c>
      <c r="B4768" t="s">
        <v>683</v>
      </c>
      <c r="C4768" t="s">
        <v>23</v>
      </c>
      <c r="D4768" s="226">
        <v>0</v>
      </c>
      <c r="E4768" t="s">
        <v>684</v>
      </c>
    </row>
    <row r="4769" spans="1:5" hidden="1" x14ac:dyDescent="0.3">
      <c r="A4769" t="s">
        <v>552</v>
      </c>
      <c r="B4769" t="s">
        <v>683</v>
      </c>
      <c r="C4769" t="s">
        <v>44</v>
      </c>
      <c r="D4769" s="226">
        <v>-0.31</v>
      </c>
      <c r="E4769" t="s">
        <v>684</v>
      </c>
    </row>
    <row r="4770" spans="1:5" hidden="1" x14ac:dyDescent="0.3">
      <c r="A4770" t="s">
        <v>552</v>
      </c>
      <c r="B4770" t="s">
        <v>683</v>
      </c>
      <c r="C4770" t="s">
        <v>55</v>
      </c>
      <c r="D4770" s="226">
        <v>-0.28999999999999998</v>
      </c>
      <c r="E4770" t="s">
        <v>684</v>
      </c>
    </row>
    <row r="4771" spans="1:5" hidden="1" x14ac:dyDescent="0.3">
      <c r="A4771" t="s">
        <v>552</v>
      </c>
      <c r="B4771" t="s">
        <v>683</v>
      </c>
      <c r="C4771" t="s">
        <v>56</v>
      </c>
      <c r="D4771" s="226">
        <v>-4850</v>
      </c>
      <c r="E4771" t="s">
        <v>684</v>
      </c>
    </row>
    <row r="4772" spans="1:5" hidden="1" x14ac:dyDescent="0.3">
      <c r="A4772" t="s">
        <v>552</v>
      </c>
      <c r="B4772" t="s">
        <v>683</v>
      </c>
      <c r="C4772" t="s">
        <v>57</v>
      </c>
      <c r="D4772" s="226">
        <v>-4850</v>
      </c>
      <c r="E4772" t="s">
        <v>684</v>
      </c>
    </row>
    <row r="4773" spans="1:5" hidden="1" x14ac:dyDescent="0.3">
      <c r="A4773" t="s">
        <v>552</v>
      </c>
      <c r="B4773" t="s">
        <v>683</v>
      </c>
      <c r="C4773" t="s">
        <v>58</v>
      </c>
      <c r="D4773" s="226">
        <v>-4850</v>
      </c>
      <c r="E4773" t="s">
        <v>684</v>
      </c>
    </row>
    <row r="4774" spans="1:5" hidden="1" x14ac:dyDescent="0.3">
      <c r="A4774" t="s">
        <v>552</v>
      </c>
      <c r="B4774" t="s">
        <v>683</v>
      </c>
      <c r="C4774" t="s">
        <v>59</v>
      </c>
      <c r="D4774" s="226">
        <v>0</v>
      </c>
      <c r="E4774" t="s">
        <v>684</v>
      </c>
    </row>
    <row r="4775" spans="1:5" hidden="1" x14ac:dyDescent="0.3">
      <c r="A4775" t="s">
        <v>552</v>
      </c>
      <c r="B4775" t="s">
        <v>683</v>
      </c>
      <c r="C4775" t="s">
        <v>61</v>
      </c>
      <c r="D4775" s="226">
        <v>0</v>
      </c>
      <c r="E4775" t="s">
        <v>684</v>
      </c>
    </row>
    <row r="4776" spans="1:5" hidden="1" x14ac:dyDescent="0.3">
      <c r="A4776" t="s">
        <v>552</v>
      </c>
      <c r="B4776" t="s">
        <v>683</v>
      </c>
      <c r="C4776" t="s">
        <v>62</v>
      </c>
      <c r="D4776" s="226">
        <v>0</v>
      </c>
      <c r="E4776" t="s">
        <v>684</v>
      </c>
    </row>
    <row r="4777" spans="1:5" hidden="1" x14ac:dyDescent="0.3">
      <c r="A4777" t="s">
        <v>552</v>
      </c>
      <c r="B4777" t="s">
        <v>683</v>
      </c>
      <c r="C4777" t="s">
        <v>64</v>
      </c>
      <c r="D4777" s="226">
        <v>0</v>
      </c>
      <c r="E4777" t="s">
        <v>684</v>
      </c>
    </row>
    <row r="4778" spans="1:5" hidden="1" x14ac:dyDescent="0.3">
      <c r="A4778" t="s">
        <v>552</v>
      </c>
      <c r="B4778" t="s">
        <v>683</v>
      </c>
      <c r="C4778" t="s">
        <v>65</v>
      </c>
      <c r="D4778" s="226">
        <v>0</v>
      </c>
      <c r="E4778" t="s">
        <v>684</v>
      </c>
    </row>
    <row r="4779" spans="1:5" hidden="1" x14ac:dyDescent="0.3">
      <c r="A4779" t="s">
        <v>552</v>
      </c>
      <c r="B4779" t="s">
        <v>683</v>
      </c>
      <c r="C4779" t="s">
        <v>66</v>
      </c>
      <c r="D4779" s="226">
        <v>0</v>
      </c>
      <c r="E4779" t="s">
        <v>684</v>
      </c>
    </row>
    <row r="4780" spans="1:5" hidden="1" x14ac:dyDescent="0.3">
      <c r="A4780" t="s">
        <v>552</v>
      </c>
      <c r="B4780" t="s">
        <v>683</v>
      </c>
      <c r="C4780" t="s">
        <v>68</v>
      </c>
      <c r="D4780" s="226">
        <v>0</v>
      </c>
      <c r="E4780" t="s">
        <v>684</v>
      </c>
    </row>
    <row r="4781" spans="1:5" hidden="1" x14ac:dyDescent="0.3">
      <c r="A4781" t="s">
        <v>552</v>
      </c>
      <c r="B4781" t="s">
        <v>683</v>
      </c>
      <c r="C4781" t="s">
        <v>69</v>
      </c>
      <c r="D4781" s="226">
        <v>0</v>
      </c>
      <c r="E4781" t="s">
        <v>684</v>
      </c>
    </row>
    <row r="4782" spans="1:5" hidden="1" x14ac:dyDescent="0.3">
      <c r="A4782" t="s">
        <v>552</v>
      </c>
      <c r="B4782" t="s">
        <v>683</v>
      </c>
      <c r="C4782" t="s">
        <v>70</v>
      </c>
      <c r="D4782" s="226">
        <v>-3.27</v>
      </c>
      <c r="E4782" t="s">
        <v>684</v>
      </c>
    </row>
    <row r="4783" spans="1:5" hidden="1" x14ac:dyDescent="0.3">
      <c r="A4783" t="s">
        <v>552</v>
      </c>
      <c r="B4783" t="s">
        <v>683</v>
      </c>
      <c r="C4783" t="s">
        <v>44</v>
      </c>
      <c r="D4783" s="226">
        <v>0</v>
      </c>
      <c r="E4783" t="s">
        <v>684</v>
      </c>
    </row>
    <row r="4784" spans="1:5" hidden="1" x14ac:dyDescent="0.3">
      <c r="A4784" t="s">
        <v>552</v>
      </c>
      <c r="B4784" t="s">
        <v>683</v>
      </c>
      <c r="C4784" t="s">
        <v>71</v>
      </c>
      <c r="D4784" s="226">
        <v>-7700</v>
      </c>
      <c r="E4784" t="s">
        <v>684</v>
      </c>
    </row>
    <row r="4785" spans="1:5" hidden="1" x14ac:dyDescent="0.3">
      <c r="A4785" t="s">
        <v>552</v>
      </c>
      <c r="B4785" t="s">
        <v>683</v>
      </c>
      <c r="C4785" t="s">
        <v>72</v>
      </c>
      <c r="D4785" s="226">
        <v>-2000</v>
      </c>
      <c r="E4785" t="s">
        <v>684</v>
      </c>
    </row>
    <row r="4786" spans="1:5" hidden="1" x14ac:dyDescent="0.3">
      <c r="A4786" t="s">
        <v>552</v>
      </c>
      <c r="B4786" t="s">
        <v>683</v>
      </c>
      <c r="C4786" t="s">
        <v>73</v>
      </c>
      <c r="D4786" s="226">
        <v>-1920</v>
      </c>
      <c r="E4786" t="s">
        <v>684</v>
      </c>
    </row>
    <row r="4787" spans="1:5" hidden="1" x14ac:dyDescent="0.3">
      <c r="A4787" t="s">
        <v>552</v>
      </c>
      <c r="B4787" t="s">
        <v>683</v>
      </c>
      <c r="C4787" t="s">
        <v>75</v>
      </c>
      <c r="D4787" s="226">
        <v>-80</v>
      </c>
      <c r="E4787" t="s">
        <v>684</v>
      </c>
    </row>
    <row r="4788" spans="1:5" hidden="1" x14ac:dyDescent="0.3">
      <c r="A4788" t="s">
        <v>552</v>
      </c>
      <c r="B4788" t="s">
        <v>683</v>
      </c>
      <c r="C4788" t="s">
        <v>77</v>
      </c>
      <c r="D4788" s="226">
        <v>0</v>
      </c>
      <c r="E4788" t="s">
        <v>684</v>
      </c>
    </row>
    <row r="4789" spans="1:5" hidden="1" x14ac:dyDescent="0.3">
      <c r="A4789" t="s">
        <v>552</v>
      </c>
      <c r="B4789" t="s">
        <v>683</v>
      </c>
      <c r="C4789" t="s">
        <v>78</v>
      </c>
      <c r="D4789" s="226">
        <v>0</v>
      </c>
      <c r="E4789" t="s">
        <v>684</v>
      </c>
    </row>
    <row r="4790" spans="1:5" hidden="1" x14ac:dyDescent="0.3">
      <c r="A4790" t="s">
        <v>552</v>
      </c>
      <c r="B4790" t="s">
        <v>683</v>
      </c>
      <c r="C4790" t="s">
        <v>80</v>
      </c>
      <c r="D4790" s="226">
        <v>0</v>
      </c>
      <c r="E4790" t="s">
        <v>684</v>
      </c>
    </row>
    <row r="4791" spans="1:5" hidden="1" x14ac:dyDescent="0.3">
      <c r="A4791" t="s">
        <v>552</v>
      </c>
      <c r="B4791" t="s">
        <v>683</v>
      </c>
      <c r="C4791" t="s">
        <v>82</v>
      </c>
      <c r="D4791" s="226">
        <v>0</v>
      </c>
      <c r="E4791" t="s">
        <v>684</v>
      </c>
    </row>
    <row r="4792" spans="1:5" hidden="1" x14ac:dyDescent="0.3">
      <c r="A4792" t="s">
        <v>552</v>
      </c>
      <c r="B4792" t="s">
        <v>683</v>
      </c>
      <c r="C4792" t="s">
        <v>84</v>
      </c>
      <c r="D4792" s="226">
        <v>0</v>
      </c>
      <c r="E4792" t="s">
        <v>684</v>
      </c>
    </row>
    <row r="4793" spans="1:5" hidden="1" x14ac:dyDescent="0.3">
      <c r="A4793" t="s">
        <v>552</v>
      </c>
      <c r="B4793" t="s">
        <v>683</v>
      </c>
      <c r="C4793" t="s">
        <v>85</v>
      </c>
      <c r="D4793" s="226">
        <v>0</v>
      </c>
      <c r="E4793" t="s">
        <v>684</v>
      </c>
    </row>
    <row r="4794" spans="1:5" hidden="1" x14ac:dyDescent="0.3">
      <c r="A4794" t="s">
        <v>552</v>
      </c>
      <c r="B4794" t="s">
        <v>683</v>
      </c>
      <c r="C4794" t="s">
        <v>86</v>
      </c>
      <c r="D4794" s="226">
        <v>0</v>
      </c>
      <c r="E4794" t="s">
        <v>684</v>
      </c>
    </row>
    <row r="4795" spans="1:5" hidden="1" x14ac:dyDescent="0.3">
      <c r="A4795" t="s">
        <v>552</v>
      </c>
      <c r="B4795" t="s">
        <v>683</v>
      </c>
      <c r="C4795" t="s">
        <v>87</v>
      </c>
      <c r="D4795" s="226">
        <v>0</v>
      </c>
      <c r="E4795" t="s">
        <v>684</v>
      </c>
    </row>
    <row r="4796" spans="1:5" hidden="1" x14ac:dyDescent="0.3">
      <c r="A4796" t="s">
        <v>552</v>
      </c>
      <c r="B4796" t="s">
        <v>683</v>
      </c>
      <c r="C4796" t="s">
        <v>88</v>
      </c>
      <c r="D4796" s="226">
        <v>0</v>
      </c>
      <c r="E4796" t="s">
        <v>684</v>
      </c>
    </row>
    <row r="4797" spans="1:5" hidden="1" x14ac:dyDescent="0.3">
      <c r="A4797" t="s">
        <v>552</v>
      </c>
      <c r="B4797" t="s">
        <v>683</v>
      </c>
      <c r="C4797" t="s">
        <v>89</v>
      </c>
      <c r="D4797" s="226">
        <v>0</v>
      </c>
      <c r="E4797" t="s">
        <v>684</v>
      </c>
    </row>
    <row r="4798" spans="1:5" hidden="1" x14ac:dyDescent="0.3">
      <c r="A4798" t="s">
        <v>552</v>
      </c>
      <c r="B4798" t="s">
        <v>683</v>
      </c>
      <c r="C4798" t="s">
        <v>90</v>
      </c>
      <c r="D4798" s="226">
        <v>0</v>
      </c>
      <c r="E4798" t="s">
        <v>684</v>
      </c>
    </row>
    <row r="4799" spans="1:5" hidden="1" x14ac:dyDescent="0.3">
      <c r="A4799" t="s">
        <v>552</v>
      </c>
      <c r="B4799" t="s">
        <v>683</v>
      </c>
      <c r="C4799" t="s">
        <v>91</v>
      </c>
      <c r="D4799" s="226">
        <v>0</v>
      </c>
      <c r="E4799" t="s">
        <v>684</v>
      </c>
    </row>
    <row r="4800" spans="1:5" hidden="1" x14ac:dyDescent="0.3">
      <c r="A4800" t="s">
        <v>552</v>
      </c>
      <c r="B4800" t="s">
        <v>683</v>
      </c>
      <c r="C4800" t="s">
        <v>93</v>
      </c>
      <c r="D4800" s="226">
        <v>0</v>
      </c>
      <c r="E4800" t="s">
        <v>684</v>
      </c>
    </row>
    <row r="4801" spans="1:5" hidden="1" x14ac:dyDescent="0.3">
      <c r="A4801" t="s">
        <v>552</v>
      </c>
      <c r="B4801" t="s">
        <v>683</v>
      </c>
      <c r="C4801" t="s">
        <v>95</v>
      </c>
      <c r="D4801" s="226">
        <v>0</v>
      </c>
      <c r="E4801" t="s">
        <v>684</v>
      </c>
    </row>
    <row r="4802" spans="1:5" hidden="1" x14ac:dyDescent="0.3">
      <c r="A4802" t="s">
        <v>552</v>
      </c>
      <c r="B4802" t="s">
        <v>683</v>
      </c>
      <c r="C4802" t="s">
        <v>96</v>
      </c>
      <c r="D4802" s="226">
        <v>0</v>
      </c>
      <c r="E4802" t="s">
        <v>684</v>
      </c>
    </row>
    <row r="4803" spans="1:5" hidden="1" x14ac:dyDescent="0.3">
      <c r="A4803" t="s">
        <v>552</v>
      </c>
      <c r="B4803" t="s">
        <v>683</v>
      </c>
      <c r="C4803" t="s">
        <v>98</v>
      </c>
      <c r="D4803" s="226">
        <v>0</v>
      </c>
      <c r="E4803" t="s">
        <v>684</v>
      </c>
    </row>
    <row r="4804" spans="1:5" hidden="1" x14ac:dyDescent="0.3">
      <c r="A4804" t="s">
        <v>552</v>
      </c>
      <c r="B4804" t="s">
        <v>683</v>
      </c>
      <c r="C4804" t="s">
        <v>100</v>
      </c>
      <c r="D4804" s="226">
        <v>0</v>
      </c>
      <c r="E4804" t="s">
        <v>684</v>
      </c>
    </row>
    <row r="4805" spans="1:5" hidden="1" x14ac:dyDescent="0.3">
      <c r="A4805" t="s">
        <v>552</v>
      </c>
      <c r="B4805" t="s">
        <v>683</v>
      </c>
      <c r="C4805" t="s">
        <v>101</v>
      </c>
      <c r="D4805" s="226">
        <v>-5700</v>
      </c>
      <c r="E4805" t="s">
        <v>684</v>
      </c>
    </row>
    <row r="4806" spans="1:5" hidden="1" x14ac:dyDescent="0.3">
      <c r="A4806" t="s">
        <v>552</v>
      </c>
      <c r="B4806" t="s">
        <v>683</v>
      </c>
      <c r="C4806" t="s">
        <v>102</v>
      </c>
      <c r="D4806" s="226">
        <v>0</v>
      </c>
      <c r="E4806" t="s">
        <v>684</v>
      </c>
    </row>
    <row r="4807" spans="1:5" hidden="1" x14ac:dyDescent="0.3">
      <c r="A4807" t="s">
        <v>552</v>
      </c>
      <c r="B4807" t="s">
        <v>683</v>
      </c>
      <c r="C4807" t="s">
        <v>103</v>
      </c>
      <c r="D4807" s="226">
        <v>-5700</v>
      </c>
      <c r="E4807" t="s">
        <v>684</v>
      </c>
    </row>
    <row r="4808" spans="1:5" hidden="1" x14ac:dyDescent="0.3">
      <c r="A4808" t="s">
        <v>552</v>
      </c>
      <c r="B4808" t="s">
        <v>683</v>
      </c>
      <c r="C4808" t="s">
        <v>104</v>
      </c>
      <c r="D4808" s="226">
        <v>0</v>
      </c>
      <c r="E4808" t="s">
        <v>684</v>
      </c>
    </row>
    <row r="4809" spans="1:5" hidden="1" x14ac:dyDescent="0.3">
      <c r="A4809" t="s">
        <v>552</v>
      </c>
      <c r="B4809" t="s">
        <v>683</v>
      </c>
      <c r="C4809" t="s">
        <v>105</v>
      </c>
      <c r="D4809" s="226">
        <v>0</v>
      </c>
      <c r="E4809" t="s">
        <v>684</v>
      </c>
    </row>
    <row r="4810" spans="1:5" hidden="1" x14ac:dyDescent="0.3">
      <c r="A4810" t="s">
        <v>552</v>
      </c>
      <c r="B4810" t="s">
        <v>683</v>
      </c>
      <c r="C4810" t="s">
        <v>107</v>
      </c>
      <c r="D4810" s="226">
        <v>0</v>
      </c>
      <c r="E4810" t="s">
        <v>684</v>
      </c>
    </row>
    <row r="4811" spans="1:5" hidden="1" x14ac:dyDescent="0.3">
      <c r="A4811" t="s">
        <v>552</v>
      </c>
      <c r="B4811" t="s">
        <v>683</v>
      </c>
      <c r="C4811" t="s">
        <v>108</v>
      </c>
      <c r="D4811" s="226">
        <v>0</v>
      </c>
      <c r="E4811" t="s">
        <v>684</v>
      </c>
    </row>
    <row r="4812" spans="1:5" hidden="1" x14ac:dyDescent="0.3">
      <c r="A4812" t="s">
        <v>552</v>
      </c>
      <c r="B4812" t="s">
        <v>683</v>
      </c>
      <c r="C4812" t="s">
        <v>109</v>
      </c>
      <c r="D4812" s="226">
        <v>0</v>
      </c>
      <c r="E4812" t="s">
        <v>684</v>
      </c>
    </row>
    <row r="4813" spans="1:5" hidden="1" x14ac:dyDescent="0.3">
      <c r="A4813" t="s">
        <v>552</v>
      </c>
      <c r="B4813" t="s">
        <v>683</v>
      </c>
      <c r="C4813" t="s">
        <v>110</v>
      </c>
      <c r="D4813" s="226">
        <v>-0.19</v>
      </c>
      <c r="E4813" t="s">
        <v>684</v>
      </c>
    </row>
    <row r="4814" spans="1:5" hidden="1" x14ac:dyDescent="0.3">
      <c r="A4814" t="s">
        <v>552</v>
      </c>
      <c r="B4814" t="s">
        <v>683</v>
      </c>
      <c r="C4814" t="s">
        <v>44</v>
      </c>
      <c r="D4814" s="226">
        <v>-0.01</v>
      </c>
      <c r="E4814" t="s">
        <v>684</v>
      </c>
    </row>
    <row r="4815" spans="1:5" hidden="1" x14ac:dyDescent="0.3">
      <c r="A4815" t="s">
        <v>552</v>
      </c>
      <c r="B4815" t="s">
        <v>683</v>
      </c>
      <c r="C4815" t="s">
        <v>111</v>
      </c>
      <c r="D4815" s="226">
        <v>-87140</v>
      </c>
      <c r="E4815" t="s">
        <v>684</v>
      </c>
    </row>
    <row r="4816" spans="1:5" hidden="1" x14ac:dyDescent="0.3">
      <c r="A4816" t="s">
        <v>552</v>
      </c>
      <c r="B4816" t="s">
        <v>683</v>
      </c>
      <c r="C4816" t="s">
        <v>555</v>
      </c>
      <c r="D4816" s="226">
        <v>-87140</v>
      </c>
      <c r="E4816" t="s">
        <v>684</v>
      </c>
    </row>
    <row r="4817" spans="1:5" hidden="1" x14ac:dyDescent="0.3">
      <c r="A4817" t="s">
        <v>552</v>
      </c>
      <c r="B4817" t="s">
        <v>683</v>
      </c>
      <c r="C4817" t="s">
        <v>44</v>
      </c>
      <c r="D4817" s="226">
        <v>-0.06</v>
      </c>
      <c r="E4817" t="s">
        <v>684</v>
      </c>
    </row>
    <row r="4818" spans="1:5" hidden="1" x14ac:dyDescent="0.3">
      <c r="A4818" t="s">
        <v>552</v>
      </c>
      <c r="B4818" t="s">
        <v>683</v>
      </c>
      <c r="C4818" t="s">
        <v>115</v>
      </c>
      <c r="D4818" s="226">
        <v>-25766.55</v>
      </c>
      <c r="E4818" t="s">
        <v>684</v>
      </c>
    </row>
    <row r="4819" spans="1:5" hidden="1" x14ac:dyDescent="0.3">
      <c r="A4819" t="s">
        <v>552</v>
      </c>
      <c r="B4819" t="s">
        <v>683</v>
      </c>
      <c r="C4819" t="s">
        <v>116</v>
      </c>
      <c r="D4819" s="226">
        <v>-20629.05</v>
      </c>
      <c r="E4819" t="s">
        <v>684</v>
      </c>
    </row>
    <row r="4820" spans="1:5" hidden="1" x14ac:dyDescent="0.3">
      <c r="A4820" t="s">
        <v>552</v>
      </c>
      <c r="B4820" t="s">
        <v>683</v>
      </c>
      <c r="C4820" t="s">
        <v>118</v>
      </c>
      <c r="D4820" s="226">
        <v>-5137.5</v>
      </c>
      <c r="E4820" t="s">
        <v>684</v>
      </c>
    </row>
    <row r="4821" spans="1:5" hidden="1" x14ac:dyDescent="0.3">
      <c r="A4821" t="s">
        <v>552</v>
      </c>
      <c r="B4821" t="s">
        <v>683</v>
      </c>
      <c r="C4821" t="s">
        <v>120</v>
      </c>
      <c r="D4821" s="226">
        <v>0</v>
      </c>
      <c r="E4821" t="s">
        <v>684</v>
      </c>
    </row>
    <row r="4822" spans="1:5" hidden="1" x14ac:dyDescent="0.3">
      <c r="A4822" t="s">
        <v>552</v>
      </c>
      <c r="B4822" t="s">
        <v>683</v>
      </c>
      <c r="C4822" t="s">
        <v>122</v>
      </c>
      <c r="D4822" s="226">
        <v>0</v>
      </c>
      <c r="E4822" t="s">
        <v>684</v>
      </c>
    </row>
    <row r="4823" spans="1:5" hidden="1" x14ac:dyDescent="0.3">
      <c r="A4823" t="s">
        <v>552</v>
      </c>
      <c r="B4823" t="s">
        <v>683</v>
      </c>
      <c r="C4823" t="s">
        <v>44</v>
      </c>
      <c r="D4823" s="226">
        <v>-0.02</v>
      </c>
      <c r="E4823" t="s">
        <v>684</v>
      </c>
    </row>
    <row r="4824" spans="1:5" hidden="1" x14ac:dyDescent="0.3">
      <c r="A4824" t="s">
        <v>552</v>
      </c>
      <c r="B4824" t="s">
        <v>683</v>
      </c>
      <c r="C4824" t="s">
        <v>125</v>
      </c>
      <c r="D4824" s="226">
        <v>876400.3</v>
      </c>
      <c r="E4824" t="s">
        <v>684</v>
      </c>
    </row>
    <row r="4825" spans="1:5" hidden="1" x14ac:dyDescent="0.3">
      <c r="A4825" t="s">
        <v>552</v>
      </c>
      <c r="B4825" t="s">
        <v>683</v>
      </c>
      <c r="C4825" t="s">
        <v>126</v>
      </c>
      <c r="D4825" s="226">
        <v>0.57999999999999996</v>
      </c>
      <c r="E4825" t="s">
        <v>684</v>
      </c>
    </row>
    <row r="4826" spans="1:5" hidden="1" x14ac:dyDescent="0.3">
      <c r="A4826" t="s">
        <v>552</v>
      </c>
      <c r="B4826" t="s">
        <v>683</v>
      </c>
      <c r="C4826" t="s">
        <v>127</v>
      </c>
      <c r="D4826" s="226">
        <v>-289120.78000000003</v>
      </c>
      <c r="E4826" t="s">
        <v>684</v>
      </c>
    </row>
    <row r="4827" spans="1:5" hidden="1" x14ac:dyDescent="0.3">
      <c r="A4827" t="s">
        <v>552</v>
      </c>
      <c r="B4827" t="s">
        <v>683</v>
      </c>
      <c r="C4827" t="s">
        <v>128</v>
      </c>
      <c r="D4827" s="226">
        <v>-48850</v>
      </c>
      <c r="E4827" t="s">
        <v>684</v>
      </c>
    </row>
    <row r="4828" spans="1:5" hidden="1" x14ac:dyDescent="0.3">
      <c r="A4828" t="s">
        <v>552</v>
      </c>
      <c r="B4828" t="s">
        <v>683</v>
      </c>
      <c r="C4828" t="s">
        <v>556</v>
      </c>
      <c r="D4828" s="226">
        <v>-10450</v>
      </c>
      <c r="E4828" t="s">
        <v>684</v>
      </c>
    </row>
    <row r="4829" spans="1:5" hidden="1" x14ac:dyDescent="0.3">
      <c r="A4829" t="s">
        <v>552</v>
      </c>
      <c r="B4829" t="s">
        <v>683</v>
      </c>
      <c r="C4829" t="s">
        <v>557</v>
      </c>
      <c r="D4829" s="226">
        <v>-6600</v>
      </c>
      <c r="E4829" t="s">
        <v>684</v>
      </c>
    </row>
    <row r="4830" spans="1:5" hidden="1" x14ac:dyDescent="0.3">
      <c r="A4830" t="s">
        <v>552</v>
      </c>
      <c r="B4830" t="s">
        <v>683</v>
      </c>
      <c r="C4830" t="s">
        <v>558</v>
      </c>
      <c r="D4830" s="226">
        <v>0</v>
      </c>
      <c r="E4830" t="s">
        <v>684</v>
      </c>
    </row>
    <row r="4831" spans="1:5" hidden="1" x14ac:dyDescent="0.3">
      <c r="A4831" t="s">
        <v>552</v>
      </c>
      <c r="B4831" t="s">
        <v>683</v>
      </c>
      <c r="C4831" t="s">
        <v>559</v>
      </c>
      <c r="D4831" s="226">
        <v>-16800</v>
      </c>
      <c r="E4831" t="s">
        <v>684</v>
      </c>
    </row>
    <row r="4832" spans="1:5" hidden="1" x14ac:dyDescent="0.3">
      <c r="A4832" t="s">
        <v>552</v>
      </c>
      <c r="B4832" t="s">
        <v>683</v>
      </c>
      <c r="C4832" t="s">
        <v>560</v>
      </c>
      <c r="D4832" s="226">
        <v>-4000</v>
      </c>
      <c r="E4832" t="s">
        <v>684</v>
      </c>
    </row>
    <row r="4833" spans="1:5" hidden="1" x14ac:dyDescent="0.3">
      <c r="A4833" t="s">
        <v>552</v>
      </c>
      <c r="B4833" t="s">
        <v>683</v>
      </c>
      <c r="C4833" t="s">
        <v>561</v>
      </c>
      <c r="D4833" s="226">
        <v>-7000</v>
      </c>
      <c r="E4833" t="s">
        <v>684</v>
      </c>
    </row>
    <row r="4834" spans="1:5" hidden="1" x14ac:dyDescent="0.3">
      <c r="A4834" t="s">
        <v>552</v>
      </c>
      <c r="B4834" t="s">
        <v>683</v>
      </c>
      <c r="C4834" t="s">
        <v>562</v>
      </c>
      <c r="D4834" s="226">
        <v>-4000</v>
      </c>
      <c r="E4834" t="s">
        <v>684</v>
      </c>
    </row>
    <row r="4835" spans="1:5" hidden="1" x14ac:dyDescent="0.3">
      <c r="A4835" t="s">
        <v>552</v>
      </c>
      <c r="B4835" t="s">
        <v>683</v>
      </c>
      <c r="C4835" t="s">
        <v>563</v>
      </c>
      <c r="D4835" s="226">
        <v>0</v>
      </c>
      <c r="E4835" t="s">
        <v>684</v>
      </c>
    </row>
    <row r="4836" spans="1:5" hidden="1" x14ac:dyDescent="0.3">
      <c r="A4836" t="s">
        <v>552</v>
      </c>
      <c r="B4836" t="s">
        <v>683</v>
      </c>
      <c r="C4836" t="s">
        <v>564</v>
      </c>
      <c r="D4836" s="226">
        <v>0</v>
      </c>
      <c r="E4836" t="s">
        <v>684</v>
      </c>
    </row>
    <row r="4837" spans="1:5" hidden="1" x14ac:dyDescent="0.3">
      <c r="A4837" t="s">
        <v>552</v>
      </c>
      <c r="B4837" t="s">
        <v>683</v>
      </c>
      <c r="C4837" t="s">
        <v>565</v>
      </c>
      <c r="D4837" s="226">
        <v>0</v>
      </c>
      <c r="E4837" t="s">
        <v>684</v>
      </c>
    </row>
    <row r="4838" spans="1:5" hidden="1" x14ac:dyDescent="0.3">
      <c r="A4838" t="s">
        <v>552</v>
      </c>
      <c r="B4838" t="s">
        <v>683</v>
      </c>
      <c r="C4838" t="s">
        <v>566</v>
      </c>
      <c r="D4838" s="226">
        <v>0</v>
      </c>
      <c r="E4838" t="s">
        <v>684</v>
      </c>
    </row>
    <row r="4839" spans="1:5" hidden="1" x14ac:dyDescent="0.3">
      <c r="A4839" t="s">
        <v>552</v>
      </c>
      <c r="B4839" t="s">
        <v>683</v>
      </c>
      <c r="C4839" t="s">
        <v>567</v>
      </c>
      <c r="D4839" s="226">
        <v>0</v>
      </c>
      <c r="E4839" t="s">
        <v>684</v>
      </c>
    </row>
    <row r="4840" spans="1:5" hidden="1" x14ac:dyDescent="0.3">
      <c r="A4840" t="s">
        <v>552</v>
      </c>
      <c r="B4840" t="s">
        <v>683</v>
      </c>
      <c r="C4840" t="s">
        <v>141</v>
      </c>
      <c r="D4840" s="226">
        <v>-50982.82</v>
      </c>
      <c r="E4840" t="s">
        <v>684</v>
      </c>
    </row>
    <row r="4841" spans="1:5" hidden="1" x14ac:dyDescent="0.3">
      <c r="A4841" t="s">
        <v>552</v>
      </c>
      <c r="B4841" t="s">
        <v>683</v>
      </c>
      <c r="C4841" t="s">
        <v>568</v>
      </c>
      <c r="D4841" s="226">
        <v>0</v>
      </c>
      <c r="E4841" t="s">
        <v>684</v>
      </c>
    </row>
    <row r="4842" spans="1:5" hidden="1" x14ac:dyDescent="0.3">
      <c r="A4842" t="s">
        <v>552</v>
      </c>
      <c r="B4842" t="s">
        <v>683</v>
      </c>
      <c r="C4842" t="s">
        <v>569</v>
      </c>
      <c r="D4842" s="226">
        <v>0</v>
      </c>
      <c r="E4842" t="s">
        <v>684</v>
      </c>
    </row>
    <row r="4843" spans="1:5" hidden="1" x14ac:dyDescent="0.3">
      <c r="A4843" t="s">
        <v>552</v>
      </c>
      <c r="B4843" t="s">
        <v>683</v>
      </c>
      <c r="C4843" t="s">
        <v>570</v>
      </c>
      <c r="D4843" s="226">
        <v>0</v>
      </c>
      <c r="E4843" t="s">
        <v>684</v>
      </c>
    </row>
    <row r="4844" spans="1:5" hidden="1" x14ac:dyDescent="0.3">
      <c r="A4844" t="s">
        <v>552</v>
      </c>
      <c r="B4844" t="s">
        <v>683</v>
      </c>
      <c r="C4844" t="s">
        <v>571</v>
      </c>
      <c r="D4844" s="226">
        <v>0</v>
      </c>
      <c r="E4844" t="s">
        <v>684</v>
      </c>
    </row>
    <row r="4845" spans="1:5" hidden="1" x14ac:dyDescent="0.3">
      <c r="A4845" t="s">
        <v>552</v>
      </c>
      <c r="B4845" t="s">
        <v>683</v>
      </c>
      <c r="C4845" t="s">
        <v>572</v>
      </c>
      <c r="D4845" s="226">
        <v>0</v>
      </c>
      <c r="E4845" t="s">
        <v>684</v>
      </c>
    </row>
    <row r="4846" spans="1:5" hidden="1" x14ac:dyDescent="0.3">
      <c r="A4846" t="s">
        <v>552</v>
      </c>
      <c r="B4846" t="s">
        <v>683</v>
      </c>
      <c r="C4846" t="s">
        <v>573</v>
      </c>
      <c r="D4846" s="226">
        <v>0</v>
      </c>
      <c r="E4846" t="s">
        <v>684</v>
      </c>
    </row>
    <row r="4847" spans="1:5" hidden="1" x14ac:dyDescent="0.3">
      <c r="A4847" t="s">
        <v>552</v>
      </c>
      <c r="B4847" t="s">
        <v>683</v>
      </c>
      <c r="C4847" t="s">
        <v>574</v>
      </c>
      <c r="D4847" s="226">
        <v>0</v>
      </c>
      <c r="E4847" t="s">
        <v>684</v>
      </c>
    </row>
    <row r="4848" spans="1:5" hidden="1" x14ac:dyDescent="0.3">
      <c r="A4848" t="s">
        <v>552</v>
      </c>
      <c r="B4848" t="s">
        <v>683</v>
      </c>
      <c r="C4848" t="s">
        <v>575</v>
      </c>
      <c r="D4848" s="226">
        <v>0</v>
      </c>
      <c r="E4848" t="s">
        <v>684</v>
      </c>
    </row>
    <row r="4849" spans="1:5" hidden="1" x14ac:dyDescent="0.3">
      <c r="A4849" t="s">
        <v>552</v>
      </c>
      <c r="B4849" t="s">
        <v>683</v>
      </c>
      <c r="C4849" t="s">
        <v>576</v>
      </c>
      <c r="D4849" s="226">
        <v>0</v>
      </c>
      <c r="E4849" t="s">
        <v>684</v>
      </c>
    </row>
    <row r="4850" spans="1:5" hidden="1" x14ac:dyDescent="0.3">
      <c r="A4850" t="s">
        <v>552</v>
      </c>
      <c r="B4850" t="s">
        <v>683</v>
      </c>
      <c r="C4850" t="s">
        <v>577</v>
      </c>
      <c r="D4850" s="226">
        <v>0</v>
      </c>
      <c r="E4850" t="s">
        <v>684</v>
      </c>
    </row>
    <row r="4851" spans="1:5" hidden="1" x14ac:dyDescent="0.3">
      <c r="A4851" t="s">
        <v>552</v>
      </c>
      <c r="B4851" t="s">
        <v>683</v>
      </c>
      <c r="C4851" t="s">
        <v>578</v>
      </c>
      <c r="D4851" s="226">
        <v>0</v>
      </c>
      <c r="E4851" t="s">
        <v>684</v>
      </c>
    </row>
    <row r="4852" spans="1:5" hidden="1" x14ac:dyDescent="0.3">
      <c r="A4852" t="s">
        <v>552</v>
      </c>
      <c r="B4852" t="s">
        <v>683</v>
      </c>
      <c r="C4852" t="s">
        <v>579</v>
      </c>
      <c r="D4852" s="226">
        <v>0</v>
      </c>
      <c r="E4852" t="s">
        <v>684</v>
      </c>
    </row>
    <row r="4853" spans="1:5" hidden="1" x14ac:dyDescent="0.3">
      <c r="A4853" t="s">
        <v>552</v>
      </c>
      <c r="B4853" t="s">
        <v>683</v>
      </c>
      <c r="C4853" t="s">
        <v>580</v>
      </c>
      <c r="D4853" s="226">
        <v>0</v>
      </c>
      <c r="E4853" t="s">
        <v>684</v>
      </c>
    </row>
    <row r="4854" spans="1:5" hidden="1" x14ac:dyDescent="0.3">
      <c r="A4854" t="s">
        <v>552</v>
      </c>
      <c r="B4854" t="s">
        <v>683</v>
      </c>
      <c r="C4854" t="s">
        <v>581</v>
      </c>
      <c r="D4854" s="226">
        <v>0</v>
      </c>
      <c r="E4854" t="s">
        <v>684</v>
      </c>
    </row>
    <row r="4855" spans="1:5" hidden="1" x14ac:dyDescent="0.3">
      <c r="A4855" t="s">
        <v>552</v>
      </c>
      <c r="B4855" t="s">
        <v>683</v>
      </c>
      <c r="C4855" t="s">
        <v>582</v>
      </c>
      <c r="D4855" s="226">
        <v>0</v>
      </c>
      <c r="E4855" t="s">
        <v>684</v>
      </c>
    </row>
    <row r="4856" spans="1:5" hidden="1" x14ac:dyDescent="0.3">
      <c r="A4856" t="s">
        <v>552</v>
      </c>
      <c r="B4856" t="s">
        <v>683</v>
      </c>
      <c r="C4856" t="s">
        <v>583</v>
      </c>
      <c r="D4856" s="226">
        <v>0</v>
      </c>
      <c r="E4856" t="s">
        <v>684</v>
      </c>
    </row>
    <row r="4857" spans="1:5" hidden="1" x14ac:dyDescent="0.3">
      <c r="A4857" t="s">
        <v>552</v>
      </c>
      <c r="B4857" t="s">
        <v>683</v>
      </c>
      <c r="C4857" t="s">
        <v>584</v>
      </c>
      <c r="D4857" s="226">
        <v>0</v>
      </c>
      <c r="E4857" t="s">
        <v>684</v>
      </c>
    </row>
    <row r="4858" spans="1:5" hidden="1" x14ac:dyDescent="0.3">
      <c r="A4858" t="s">
        <v>552</v>
      </c>
      <c r="B4858" t="s">
        <v>683</v>
      </c>
      <c r="C4858" t="s">
        <v>585</v>
      </c>
      <c r="D4858" s="226">
        <v>0</v>
      </c>
      <c r="E4858" t="s">
        <v>684</v>
      </c>
    </row>
    <row r="4859" spans="1:5" hidden="1" x14ac:dyDescent="0.3">
      <c r="A4859" t="s">
        <v>552</v>
      </c>
      <c r="B4859" t="s">
        <v>683</v>
      </c>
      <c r="C4859" t="s">
        <v>586</v>
      </c>
      <c r="D4859" s="226">
        <v>0</v>
      </c>
      <c r="E4859" t="s">
        <v>684</v>
      </c>
    </row>
    <row r="4860" spans="1:5" hidden="1" x14ac:dyDescent="0.3">
      <c r="A4860" t="s">
        <v>552</v>
      </c>
      <c r="B4860" t="s">
        <v>683</v>
      </c>
      <c r="C4860" t="s">
        <v>587</v>
      </c>
      <c r="D4860" s="226">
        <v>0</v>
      </c>
      <c r="E4860" t="s">
        <v>684</v>
      </c>
    </row>
    <row r="4861" spans="1:5" hidden="1" x14ac:dyDescent="0.3">
      <c r="A4861" t="s">
        <v>552</v>
      </c>
      <c r="B4861" t="s">
        <v>683</v>
      </c>
      <c r="C4861" t="s">
        <v>588</v>
      </c>
      <c r="D4861" s="226">
        <v>0</v>
      </c>
      <c r="E4861" t="s">
        <v>684</v>
      </c>
    </row>
    <row r="4862" spans="1:5" hidden="1" x14ac:dyDescent="0.3">
      <c r="A4862" t="s">
        <v>552</v>
      </c>
      <c r="B4862" t="s">
        <v>683</v>
      </c>
      <c r="C4862" t="s">
        <v>589</v>
      </c>
      <c r="D4862" s="226">
        <v>0</v>
      </c>
      <c r="E4862" t="s">
        <v>684</v>
      </c>
    </row>
    <row r="4863" spans="1:5" hidden="1" x14ac:dyDescent="0.3">
      <c r="A4863" t="s">
        <v>552</v>
      </c>
      <c r="B4863" t="s">
        <v>683</v>
      </c>
      <c r="C4863" t="s">
        <v>590</v>
      </c>
      <c r="D4863" s="226">
        <v>0</v>
      </c>
      <c r="E4863" t="s">
        <v>684</v>
      </c>
    </row>
    <row r="4864" spans="1:5" hidden="1" x14ac:dyDescent="0.3">
      <c r="A4864" t="s">
        <v>552</v>
      </c>
      <c r="B4864" t="s">
        <v>683</v>
      </c>
      <c r="C4864" t="s">
        <v>591</v>
      </c>
      <c r="D4864" s="226">
        <v>0</v>
      </c>
      <c r="E4864" t="s">
        <v>684</v>
      </c>
    </row>
    <row r="4865" spans="1:5" hidden="1" x14ac:dyDescent="0.3">
      <c r="A4865" t="s">
        <v>552</v>
      </c>
      <c r="B4865" t="s">
        <v>683</v>
      </c>
      <c r="C4865" t="s">
        <v>592</v>
      </c>
      <c r="D4865" s="226">
        <v>0</v>
      </c>
      <c r="E4865" t="s">
        <v>684</v>
      </c>
    </row>
    <row r="4866" spans="1:5" hidden="1" x14ac:dyDescent="0.3">
      <c r="A4866" t="s">
        <v>552</v>
      </c>
      <c r="B4866" t="s">
        <v>683</v>
      </c>
      <c r="C4866" t="s">
        <v>593</v>
      </c>
      <c r="D4866" s="226">
        <v>0</v>
      </c>
      <c r="E4866" t="s">
        <v>684</v>
      </c>
    </row>
    <row r="4867" spans="1:5" hidden="1" x14ac:dyDescent="0.3">
      <c r="A4867" t="s">
        <v>552</v>
      </c>
      <c r="B4867" t="s">
        <v>683</v>
      </c>
      <c r="C4867" t="s">
        <v>594</v>
      </c>
      <c r="D4867" s="226">
        <v>0</v>
      </c>
      <c r="E4867" t="s">
        <v>684</v>
      </c>
    </row>
    <row r="4868" spans="1:5" hidden="1" x14ac:dyDescent="0.3">
      <c r="A4868" t="s">
        <v>552</v>
      </c>
      <c r="B4868" t="s">
        <v>683</v>
      </c>
      <c r="C4868" t="s">
        <v>595</v>
      </c>
      <c r="D4868" s="226">
        <v>0</v>
      </c>
      <c r="E4868" t="s">
        <v>684</v>
      </c>
    </row>
    <row r="4869" spans="1:5" hidden="1" x14ac:dyDescent="0.3">
      <c r="A4869" t="s">
        <v>552</v>
      </c>
      <c r="B4869" t="s">
        <v>683</v>
      </c>
      <c r="C4869" t="s">
        <v>596</v>
      </c>
      <c r="D4869" s="226">
        <v>0</v>
      </c>
      <c r="E4869" t="s">
        <v>684</v>
      </c>
    </row>
    <row r="4870" spans="1:5" hidden="1" x14ac:dyDescent="0.3">
      <c r="A4870" t="s">
        <v>552</v>
      </c>
      <c r="B4870" t="s">
        <v>683</v>
      </c>
      <c r="C4870" t="s">
        <v>597</v>
      </c>
      <c r="D4870" s="226">
        <v>0</v>
      </c>
      <c r="E4870" t="s">
        <v>684</v>
      </c>
    </row>
    <row r="4871" spans="1:5" hidden="1" x14ac:dyDescent="0.3">
      <c r="A4871" t="s">
        <v>552</v>
      </c>
      <c r="B4871" t="s">
        <v>683</v>
      </c>
      <c r="C4871" t="s">
        <v>598</v>
      </c>
      <c r="D4871" s="226">
        <v>0</v>
      </c>
      <c r="E4871" t="s">
        <v>684</v>
      </c>
    </row>
    <row r="4872" spans="1:5" hidden="1" x14ac:dyDescent="0.3">
      <c r="A4872" t="s">
        <v>552</v>
      </c>
      <c r="B4872" t="s">
        <v>683</v>
      </c>
      <c r="C4872" t="s">
        <v>599</v>
      </c>
      <c r="D4872" s="226">
        <v>0</v>
      </c>
      <c r="E4872" t="s">
        <v>684</v>
      </c>
    </row>
    <row r="4873" spans="1:5" hidden="1" x14ac:dyDescent="0.3">
      <c r="A4873" t="s">
        <v>552</v>
      </c>
      <c r="B4873" t="s">
        <v>683</v>
      </c>
      <c r="C4873" t="s">
        <v>600</v>
      </c>
      <c r="D4873" s="226">
        <v>0</v>
      </c>
      <c r="E4873" t="s">
        <v>684</v>
      </c>
    </row>
    <row r="4874" spans="1:5" hidden="1" x14ac:dyDescent="0.3">
      <c r="A4874" t="s">
        <v>552</v>
      </c>
      <c r="B4874" t="s">
        <v>683</v>
      </c>
      <c r="C4874" t="s">
        <v>601</v>
      </c>
      <c r="D4874" s="226">
        <v>0</v>
      </c>
      <c r="E4874" t="s">
        <v>684</v>
      </c>
    </row>
    <row r="4875" spans="1:5" hidden="1" x14ac:dyDescent="0.3">
      <c r="A4875" t="s">
        <v>552</v>
      </c>
      <c r="B4875" t="s">
        <v>683</v>
      </c>
      <c r="C4875" t="s">
        <v>602</v>
      </c>
      <c r="D4875" s="226">
        <v>0</v>
      </c>
      <c r="E4875" t="s">
        <v>684</v>
      </c>
    </row>
    <row r="4876" spans="1:5" hidden="1" x14ac:dyDescent="0.3">
      <c r="A4876" t="s">
        <v>552</v>
      </c>
      <c r="B4876" t="s">
        <v>683</v>
      </c>
      <c r="C4876" t="s">
        <v>603</v>
      </c>
      <c r="D4876" s="226">
        <v>0</v>
      </c>
      <c r="E4876" t="s">
        <v>684</v>
      </c>
    </row>
    <row r="4877" spans="1:5" hidden="1" x14ac:dyDescent="0.3">
      <c r="A4877" t="s">
        <v>552</v>
      </c>
      <c r="B4877" t="s">
        <v>683</v>
      </c>
      <c r="C4877" t="s">
        <v>604</v>
      </c>
      <c r="D4877" s="226">
        <v>0</v>
      </c>
      <c r="E4877" t="s">
        <v>684</v>
      </c>
    </row>
    <row r="4878" spans="1:5" hidden="1" x14ac:dyDescent="0.3">
      <c r="A4878" t="s">
        <v>552</v>
      </c>
      <c r="B4878" t="s">
        <v>683</v>
      </c>
      <c r="C4878" t="s">
        <v>605</v>
      </c>
      <c r="D4878" s="226">
        <v>0</v>
      </c>
      <c r="E4878" t="s">
        <v>684</v>
      </c>
    </row>
    <row r="4879" spans="1:5" hidden="1" x14ac:dyDescent="0.3">
      <c r="A4879" t="s">
        <v>552</v>
      </c>
      <c r="B4879" t="s">
        <v>683</v>
      </c>
      <c r="C4879" t="s">
        <v>606</v>
      </c>
      <c r="D4879" s="226">
        <v>0</v>
      </c>
      <c r="E4879" t="s">
        <v>684</v>
      </c>
    </row>
    <row r="4880" spans="1:5" hidden="1" x14ac:dyDescent="0.3">
      <c r="A4880" t="s">
        <v>552</v>
      </c>
      <c r="B4880" t="s">
        <v>683</v>
      </c>
      <c r="C4880" t="s">
        <v>607</v>
      </c>
      <c r="D4880" s="226">
        <v>0</v>
      </c>
      <c r="E4880" t="s">
        <v>684</v>
      </c>
    </row>
    <row r="4881" spans="1:5" hidden="1" x14ac:dyDescent="0.3">
      <c r="A4881" t="s">
        <v>552</v>
      </c>
      <c r="B4881" t="s">
        <v>683</v>
      </c>
      <c r="C4881" t="s">
        <v>608</v>
      </c>
      <c r="D4881" s="226">
        <v>0</v>
      </c>
      <c r="E4881" t="s">
        <v>684</v>
      </c>
    </row>
    <row r="4882" spans="1:5" hidden="1" x14ac:dyDescent="0.3">
      <c r="A4882" t="s">
        <v>552</v>
      </c>
      <c r="B4882" t="s">
        <v>683</v>
      </c>
      <c r="C4882" t="s">
        <v>609</v>
      </c>
      <c r="D4882" s="226">
        <v>0</v>
      </c>
      <c r="E4882" t="s">
        <v>684</v>
      </c>
    </row>
    <row r="4883" spans="1:5" hidden="1" x14ac:dyDescent="0.3">
      <c r="A4883" t="s">
        <v>552</v>
      </c>
      <c r="B4883" t="s">
        <v>683</v>
      </c>
      <c r="C4883" t="s">
        <v>610</v>
      </c>
      <c r="D4883" s="226">
        <v>0</v>
      </c>
      <c r="E4883" t="s">
        <v>684</v>
      </c>
    </row>
    <row r="4884" spans="1:5" hidden="1" x14ac:dyDescent="0.3">
      <c r="A4884" t="s">
        <v>552</v>
      </c>
      <c r="B4884" t="s">
        <v>683</v>
      </c>
      <c r="C4884" t="s">
        <v>611</v>
      </c>
      <c r="D4884" s="226">
        <v>0</v>
      </c>
      <c r="E4884" t="s">
        <v>684</v>
      </c>
    </row>
    <row r="4885" spans="1:5" hidden="1" x14ac:dyDescent="0.3">
      <c r="A4885" t="s">
        <v>552</v>
      </c>
      <c r="B4885" t="s">
        <v>683</v>
      </c>
      <c r="C4885" t="s">
        <v>612</v>
      </c>
      <c r="D4885" s="226">
        <v>0</v>
      </c>
      <c r="E4885" t="s">
        <v>684</v>
      </c>
    </row>
    <row r="4886" spans="1:5" hidden="1" x14ac:dyDescent="0.3">
      <c r="A4886" t="s">
        <v>552</v>
      </c>
      <c r="B4886" t="s">
        <v>683</v>
      </c>
      <c r="C4886" t="s">
        <v>613</v>
      </c>
      <c r="D4886" s="226">
        <v>0</v>
      </c>
      <c r="E4886" t="s">
        <v>684</v>
      </c>
    </row>
    <row r="4887" spans="1:5" hidden="1" x14ac:dyDescent="0.3">
      <c r="A4887" t="s">
        <v>552</v>
      </c>
      <c r="B4887" t="s">
        <v>683</v>
      </c>
      <c r="C4887" t="s">
        <v>614</v>
      </c>
      <c r="D4887" s="226">
        <v>0</v>
      </c>
      <c r="E4887" t="s">
        <v>684</v>
      </c>
    </row>
    <row r="4888" spans="1:5" hidden="1" x14ac:dyDescent="0.3">
      <c r="A4888" t="s">
        <v>552</v>
      </c>
      <c r="B4888" t="s">
        <v>683</v>
      </c>
      <c r="C4888" t="s">
        <v>615</v>
      </c>
      <c r="D4888" s="226">
        <v>0</v>
      </c>
      <c r="E4888" t="s">
        <v>684</v>
      </c>
    </row>
    <row r="4889" spans="1:5" hidden="1" x14ac:dyDescent="0.3">
      <c r="A4889" t="s">
        <v>552</v>
      </c>
      <c r="B4889" t="s">
        <v>683</v>
      </c>
      <c r="C4889" t="s">
        <v>616</v>
      </c>
      <c r="D4889" s="226">
        <v>0</v>
      </c>
      <c r="E4889" t="s">
        <v>684</v>
      </c>
    </row>
    <row r="4890" spans="1:5" hidden="1" x14ac:dyDescent="0.3">
      <c r="A4890" t="s">
        <v>552</v>
      </c>
      <c r="B4890" t="s">
        <v>683</v>
      </c>
      <c r="C4890" t="s">
        <v>617</v>
      </c>
      <c r="D4890" s="226">
        <v>0</v>
      </c>
      <c r="E4890" t="s">
        <v>684</v>
      </c>
    </row>
    <row r="4891" spans="1:5" hidden="1" x14ac:dyDescent="0.3">
      <c r="A4891" t="s">
        <v>552</v>
      </c>
      <c r="B4891" t="s">
        <v>683</v>
      </c>
      <c r="C4891" t="s">
        <v>618</v>
      </c>
      <c r="D4891" s="226">
        <v>0</v>
      </c>
      <c r="E4891" t="s">
        <v>684</v>
      </c>
    </row>
    <row r="4892" spans="1:5" hidden="1" x14ac:dyDescent="0.3">
      <c r="A4892" t="s">
        <v>552</v>
      </c>
      <c r="B4892" t="s">
        <v>683</v>
      </c>
      <c r="C4892" t="s">
        <v>619</v>
      </c>
      <c r="D4892" s="226">
        <v>0</v>
      </c>
      <c r="E4892" t="s">
        <v>684</v>
      </c>
    </row>
    <row r="4893" spans="1:5" hidden="1" x14ac:dyDescent="0.3">
      <c r="A4893" t="s">
        <v>552</v>
      </c>
      <c r="B4893" t="s">
        <v>683</v>
      </c>
      <c r="C4893" t="s">
        <v>620</v>
      </c>
      <c r="D4893" s="226">
        <v>0</v>
      </c>
      <c r="E4893" t="s">
        <v>684</v>
      </c>
    </row>
    <row r="4894" spans="1:5" hidden="1" x14ac:dyDescent="0.3">
      <c r="A4894" t="s">
        <v>552</v>
      </c>
      <c r="B4894" t="s">
        <v>683</v>
      </c>
      <c r="C4894" t="s">
        <v>621</v>
      </c>
      <c r="D4894" s="226">
        <v>0</v>
      </c>
      <c r="E4894" t="s">
        <v>684</v>
      </c>
    </row>
    <row r="4895" spans="1:5" hidden="1" x14ac:dyDescent="0.3">
      <c r="A4895" t="s">
        <v>552</v>
      </c>
      <c r="B4895" t="s">
        <v>683</v>
      </c>
      <c r="C4895" t="s">
        <v>622</v>
      </c>
      <c r="D4895" s="226">
        <v>0</v>
      </c>
      <c r="E4895" t="s">
        <v>684</v>
      </c>
    </row>
    <row r="4896" spans="1:5" hidden="1" x14ac:dyDescent="0.3">
      <c r="A4896" t="s">
        <v>552</v>
      </c>
      <c r="B4896" t="s">
        <v>683</v>
      </c>
      <c r="C4896" t="s">
        <v>623</v>
      </c>
      <c r="D4896" s="226">
        <v>0</v>
      </c>
      <c r="E4896" t="s">
        <v>684</v>
      </c>
    </row>
    <row r="4897" spans="1:5" hidden="1" x14ac:dyDescent="0.3">
      <c r="A4897" t="s">
        <v>552</v>
      </c>
      <c r="B4897" t="s">
        <v>683</v>
      </c>
      <c r="C4897" t="s">
        <v>624</v>
      </c>
      <c r="D4897" s="226">
        <v>0</v>
      </c>
      <c r="E4897" t="s">
        <v>684</v>
      </c>
    </row>
    <row r="4898" spans="1:5" hidden="1" x14ac:dyDescent="0.3">
      <c r="A4898" t="s">
        <v>552</v>
      </c>
      <c r="B4898" t="s">
        <v>683</v>
      </c>
      <c r="C4898" t="s">
        <v>200</v>
      </c>
      <c r="D4898" s="226">
        <v>-106806.27</v>
      </c>
      <c r="E4898" t="s">
        <v>684</v>
      </c>
    </row>
    <row r="4899" spans="1:5" hidden="1" x14ac:dyDescent="0.3">
      <c r="A4899" t="s">
        <v>552</v>
      </c>
      <c r="B4899" t="s">
        <v>683</v>
      </c>
      <c r="C4899" t="s">
        <v>202</v>
      </c>
      <c r="D4899" s="226">
        <v>-106806.27</v>
      </c>
      <c r="E4899" t="s">
        <v>684</v>
      </c>
    </row>
    <row r="4900" spans="1:5" hidden="1" x14ac:dyDescent="0.3">
      <c r="A4900" t="s">
        <v>552</v>
      </c>
      <c r="B4900" t="s">
        <v>683</v>
      </c>
      <c r="C4900" t="s">
        <v>625</v>
      </c>
      <c r="D4900" s="226">
        <v>53403.13</v>
      </c>
      <c r="E4900" t="s">
        <v>684</v>
      </c>
    </row>
    <row r="4901" spans="1:5" hidden="1" x14ac:dyDescent="0.3">
      <c r="A4901" t="s">
        <v>552</v>
      </c>
      <c r="B4901" t="s">
        <v>683</v>
      </c>
      <c r="C4901" t="s">
        <v>204</v>
      </c>
      <c r="D4901" s="226">
        <v>-36463.21</v>
      </c>
      <c r="E4901" t="s">
        <v>684</v>
      </c>
    </row>
    <row r="4902" spans="1:5" hidden="1" x14ac:dyDescent="0.3">
      <c r="A4902" t="s">
        <v>552</v>
      </c>
      <c r="B4902" t="s">
        <v>683</v>
      </c>
      <c r="C4902" t="s">
        <v>626</v>
      </c>
      <c r="D4902" s="226">
        <v>-10229.74</v>
      </c>
      <c r="E4902" t="s">
        <v>684</v>
      </c>
    </row>
    <row r="4903" spans="1:5" hidden="1" x14ac:dyDescent="0.3">
      <c r="A4903" t="s">
        <v>552</v>
      </c>
      <c r="B4903" t="s">
        <v>683</v>
      </c>
      <c r="C4903" t="s">
        <v>627</v>
      </c>
      <c r="D4903" s="226">
        <v>0</v>
      </c>
      <c r="E4903" t="s">
        <v>684</v>
      </c>
    </row>
    <row r="4904" spans="1:5" hidden="1" x14ac:dyDescent="0.3">
      <c r="A4904" t="s">
        <v>552</v>
      </c>
      <c r="B4904" t="s">
        <v>683</v>
      </c>
      <c r="C4904" t="s">
        <v>628</v>
      </c>
      <c r="D4904" s="226">
        <v>-13216.43</v>
      </c>
      <c r="E4904" t="s">
        <v>684</v>
      </c>
    </row>
    <row r="4905" spans="1:5" hidden="1" x14ac:dyDescent="0.3">
      <c r="A4905" t="s">
        <v>552</v>
      </c>
      <c r="B4905" t="s">
        <v>683</v>
      </c>
      <c r="C4905" t="s">
        <v>629</v>
      </c>
      <c r="D4905" s="226">
        <v>-4659.5600000000004</v>
      </c>
      <c r="E4905" t="s">
        <v>684</v>
      </c>
    </row>
    <row r="4906" spans="1:5" hidden="1" x14ac:dyDescent="0.3">
      <c r="A4906" t="s">
        <v>552</v>
      </c>
      <c r="B4906" t="s">
        <v>683</v>
      </c>
      <c r="C4906" t="s">
        <v>630</v>
      </c>
      <c r="D4906" s="226">
        <v>0</v>
      </c>
      <c r="E4906" t="s">
        <v>684</v>
      </c>
    </row>
    <row r="4907" spans="1:5" hidden="1" x14ac:dyDescent="0.3">
      <c r="A4907" t="s">
        <v>552</v>
      </c>
      <c r="B4907" t="s">
        <v>683</v>
      </c>
      <c r="C4907" t="s">
        <v>631</v>
      </c>
      <c r="D4907" s="226">
        <v>0</v>
      </c>
      <c r="E4907" t="s">
        <v>684</v>
      </c>
    </row>
    <row r="4908" spans="1:5" hidden="1" x14ac:dyDescent="0.3">
      <c r="A4908" t="s">
        <v>552</v>
      </c>
      <c r="B4908" t="s">
        <v>683</v>
      </c>
      <c r="C4908" t="s">
        <v>632</v>
      </c>
      <c r="D4908" s="226">
        <v>0</v>
      </c>
      <c r="E4908" t="s">
        <v>684</v>
      </c>
    </row>
    <row r="4909" spans="1:5" hidden="1" x14ac:dyDescent="0.3">
      <c r="A4909" t="s">
        <v>552</v>
      </c>
      <c r="B4909" t="s">
        <v>683</v>
      </c>
      <c r="C4909" t="s">
        <v>633</v>
      </c>
      <c r="D4909" s="226">
        <v>-512.54999999999995</v>
      </c>
      <c r="E4909" t="s">
        <v>684</v>
      </c>
    </row>
    <row r="4910" spans="1:5" hidden="1" x14ac:dyDescent="0.3">
      <c r="A4910" t="s">
        <v>552</v>
      </c>
      <c r="B4910" t="s">
        <v>683</v>
      </c>
      <c r="C4910" t="s">
        <v>634</v>
      </c>
      <c r="D4910" s="226">
        <v>0</v>
      </c>
      <c r="E4910" t="s">
        <v>684</v>
      </c>
    </row>
    <row r="4911" spans="1:5" hidden="1" x14ac:dyDescent="0.3">
      <c r="A4911" t="s">
        <v>552</v>
      </c>
      <c r="B4911" t="s">
        <v>683</v>
      </c>
      <c r="C4911" t="s">
        <v>635</v>
      </c>
      <c r="D4911" s="226">
        <v>0</v>
      </c>
      <c r="E4911" t="s">
        <v>684</v>
      </c>
    </row>
    <row r="4912" spans="1:5" hidden="1" x14ac:dyDescent="0.3">
      <c r="A4912" t="s">
        <v>552</v>
      </c>
      <c r="B4912" t="s">
        <v>683</v>
      </c>
      <c r="C4912" t="s">
        <v>636</v>
      </c>
      <c r="D4912" s="226">
        <v>0</v>
      </c>
      <c r="E4912" t="s">
        <v>684</v>
      </c>
    </row>
    <row r="4913" spans="1:5" hidden="1" x14ac:dyDescent="0.3">
      <c r="A4913" t="s">
        <v>552</v>
      </c>
      <c r="B4913" t="s">
        <v>683</v>
      </c>
      <c r="C4913" t="s">
        <v>637</v>
      </c>
      <c r="D4913" s="226">
        <v>-7500</v>
      </c>
      <c r="E4913" t="s">
        <v>684</v>
      </c>
    </row>
    <row r="4914" spans="1:5" hidden="1" x14ac:dyDescent="0.3">
      <c r="A4914" t="s">
        <v>552</v>
      </c>
      <c r="B4914" t="s">
        <v>683</v>
      </c>
      <c r="C4914" t="s">
        <v>638</v>
      </c>
      <c r="D4914" s="226">
        <v>0</v>
      </c>
      <c r="E4914" t="s">
        <v>684</v>
      </c>
    </row>
    <row r="4915" spans="1:5" hidden="1" x14ac:dyDescent="0.3">
      <c r="A4915" t="s">
        <v>552</v>
      </c>
      <c r="B4915" t="s">
        <v>683</v>
      </c>
      <c r="C4915" t="s">
        <v>639</v>
      </c>
      <c r="D4915" s="226">
        <v>-344.93</v>
      </c>
      <c r="E4915" t="s">
        <v>684</v>
      </c>
    </row>
    <row r="4916" spans="1:5" hidden="1" x14ac:dyDescent="0.3">
      <c r="A4916" t="s">
        <v>552</v>
      </c>
      <c r="B4916" t="s">
        <v>683</v>
      </c>
      <c r="C4916" t="s">
        <v>640</v>
      </c>
      <c r="D4916" s="226">
        <v>0</v>
      </c>
      <c r="E4916" t="s">
        <v>684</v>
      </c>
    </row>
    <row r="4917" spans="1:5" hidden="1" x14ac:dyDescent="0.3">
      <c r="A4917" t="s">
        <v>552</v>
      </c>
      <c r="B4917" t="s">
        <v>683</v>
      </c>
      <c r="C4917" t="s">
        <v>641</v>
      </c>
      <c r="D4917" s="226">
        <v>0</v>
      </c>
      <c r="E4917" t="s">
        <v>684</v>
      </c>
    </row>
    <row r="4918" spans="1:5" hidden="1" x14ac:dyDescent="0.3">
      <c r="A4918" t="s">
        <v>552</v>
      </c>
      <c r="B4918" t="s">
        <v>683</v>
      </c>
      <c r="C4918" t="s">
        <v>237</v>
      </c>
      <c r="D4918" s="226">
        <v>-9432.91</v>
      </c>
      <c r="E4918" t="s">
        <v>684</v>
      </c>
    </row>
    <row r="4919" spans="1:5" hidden="1" x14ac:dyDescent="0.3">
      <c r="A4919" t="s">
        <v>552</v>
      </c>
      <c r="B4919" t="s">
        <v>683</v>
      </c>
      <c r="C4919" t="s">
        <v>642</v>
      </c>
      <c r="D4919" s="226">
        <v>-8997.67</v>
      </c>
      <c r="E4919" t="s">
        <v>684</v>
      </c>
    </row>
    <row r="4920" spans="1:5" hidden="1" x14ac:dyDescent="0.3">
      <c r="A4920" t="s">
        <v>552</v>
      </c>
      <c r="B4920" t="s">
        <v>683</v>
      </c>
      <c r="C4920" t="s">
        <v>643</v>
      </c>
      <c r="D4920" s="226">
        <v>0</v>
      </c>
      <c r="E4920" t="s">
        <v>684</v>
      </c>
    </row>
    <row r="4921" spans="1:5" hidden="1" x14ac:dyDescent="0.3">
      <c r="A4921" t="s">
        <v>552</v>
      </c>
      <c r="B4921" t="s">
        <v>683</v>
      </c>
      <c r="C4921" t="s">
        <v>644</v>
      </c>
      <c r="D4921" s="226">
        <v>0</v>
      </c>
      <c r="E4921" t="s">
        <v>684</v>
      </c>
    </row>
    <row r="4922" spans="1:5" hidden="1" x14ac:dyDescent="0.3">
      <c r="A4922" t="s">
        <v>552</v>
      </c>
      <c r="B4922" t="s">
        <v>683</v>
      </c>
      <c r="C4922" t="s">
        <v>645</v>
      </c>
      <c r="D4922" s="226">
        <v>-435.24</v>
      </c>
      <c r="E4922" t="s">
        <v>684</v>
      </c>
    </row>
    <row r="4923" spans="1:5" hidden="1" x14ac:dyDescent="0.3">
      <c r="A4923" t="s">
        <v>552</v>
      </c>
      <c r="B4923" t="s">
        <v>683</v>
      </c>
      <c r="C4923" t="s">
        <v>646</v>
      </c>
      <c r="D4923" s="226">
        <v>0</v>
      </c>
      <c r="E4923" t="s">
        <v>684</v>
      </c>
    </row>
    <row r="4924" spans="1:5" hidden="1" x14ac:dyDescent="0.3">
      <c r="A4924" t="s">
        <v>552</v>
      </c>
      <c r="B4924" t="s">
        <v>683</v>
      </c>
      <c r="C4924" t="s">
        <v>244</v>
      </c>
      <c r="D4924" s="226">
        <v>-36585.58</v>
      </c>
      <c r="E4924" t="s">
        <v>684</v>
      </c>
    </row>
    <row r="4925" spans="1:5" hidden="1" x14ac:dyDescent="0.3">
      <c r="A4925" t="s">
        <v>552</v>
      </c>
      <c r="B4925" t="s">
        <v>683</v>
      </c>
      <c r="C4925" t="s">
        <v>647</v>
      </c>
      <c r="D4925" s="226">
        <v>-306.99</v>
      </c>
      <c r="E4925" t="s">
        <v>684</v>
      </c>
    </row>
    <row r="4926" spans="1:5" hidden="1" x14ac:dyDescent="0.3">
      <c r="A4926" t="s">
        <v>552</v>
      </c>
      <c r="B4926" t="s">
        <v>683</v>
      </c>
      <c r="C4926" t="s">
        <v>648</v>
      </c>
      <c r="D4926" s="226">
        <v>-269.92</v>
      </c>
      <c r="E4926" t="s">
        <v>684</v>
      </c>
    </row>
    <row r="4927" spans="1:5" hidden="1" x14ac:dyDescent="0.3">
      <c r="A4927" t="s">
        <v>552</v>
      </c>
      <c r="B4927" t="s">
        <v>683</v>
      </c>
      <c r="C4927" t="s">
        <v>649</v>
      </c>
      <c r="D4927" s="226">
        <v>0</v>
      </c>
      <c r="E4927" t="s">
        <v>684</v>
      </c>
    </row>
    <row r="4928" spans="1:5" hidden="1" x14ac:dyDescent="0.3">
      <c r="A4928" t="s">
        <v>552</v>
      </c>
      <c r="B4928" t="s">
        <v>683</v>
      </c>
      <c r="C4928" t="s">
        <v>650</v>
      </c>
      <c r="D4928" s="226">
        <v>-3000</v>
      </c>
      <c r="E4928" t="s">
        <v>684</v>
      </c>
    </row>
    <row r="4929" spans="1:5" hidden="1" x14ac:dyDescent="0.3">
      <c r="A4929" t="s">
        <v>552</v>
      </c>
      <c r="B4929" t="s">
        <v>683</v>
      </c>
      <c r="C4929" t="s">
        <v>651</v>
      </c>
      <c r="D4929" s="226">
        <v>0</v>
      </c>
      <c r="E4929" t="s">
        <v>684</v>
      </c>
    </row>
    <row r="4930" spans="1:5" hidden="1" x14ac:dyDescent="0.3">
      <c r="A4930" t="s">
        <v>552</v>
      </c>
      <c r="B4930" t="s">
        <v>683</v>
      </c>
      <c r="C4930" t="s">
        <v>652</v>
      </c>
      <c r="D4930" s="226">
        <v>-33008.67</v>
      </c>
      <c r="E4930" t="s">
        <v>684</v>
      </c>
    </row>
    <row r="4931" spans="1:5" hidden="1" x14ac:dyDescent="0.3">
      <c r="A4931" t="s">
        <v>552</v>
      </c>
      <c r="B4931" t="s">
        <v>683</v>
      </c>
      <c r="C4931" t="s">
        <v>653</v>
      </c>
      <c r="D4931" s="226">
        <v>0</v>
      </c>
      <c r="E4931" t="s">
        <v>684</v>
      </c>
    </row>
    <row r="4932" spans="1:5" hidden="1" x14ac:dyDescent="0.3">
      <c r="A4932" t="s">
        <v>552</v>
      </c>
      <c r="B4932" t="s">
        <v>683</v>
      </c>
      <c r="C4932" t="s">
        <v>253</v>
      </c>
      <c r="D4932" s="226">
        <v>-0.19</v>
      </c>
      <c r="E4932" t="s">
        <v>684</v>
      </c>
    </row>
    <row r="4933" spans="1:5" hidden="1" x14ac:dyDescent="0.3">
      <c r="A4933" t="s">
        <v>552</v>
      </c>
      <c r="B4933" t="s">
        <v>683</v>
      </c>
      <c r="C4933" t="s">
        <v>254</v>
      </c>
      <c r="D4933" s="226">
        <v>-0.16</v>
      </c>
      <c r="E4933" t="s">
        <v>684</v>
      </c>
    </row>
    <row r="4934" spans="1:5" hidden="1" x14ac:dyDescent="0.3">
      <c r="A4934" t="s">
        <v>552</v>
      </c>
      <c r="B4934" t="s">
        <v>683</v>
      </c>
      <c r="C4934" t="s">
        <v>255</v>
      </c>
      <c r="D4934" s="226">
        <v>-51161.94</v>
      </c>
      <c r="E4934" t="s">
        <v>684</v>
      </c>
    </row>
    <row r="4935" spans="1:5" hidden="1" x14ac:dyDescent="0.3">
      <c r="A4935" t="s">
        <v>552</v>
      </c>
      <c r="B4935" t="s">
        <v>683</v>
      </c>
      <c r="C4935" t="s">
        <v>256</v>
      </c>
      <c r="D4935" s="226">
        <v>-28000</v>
      </c>
      <c r="E4935" t="s">
        <v>684</v>
      </c>
    </row>
    <row r="4936" spans="1:5" hidden="1" x14ac:dyDescent="0.3">
      <c r="A4936" t="s">
        <v>552</v>
      </c>
      <c r="B4936" t="s">
        <v>683</v>
      </c>
      <c r="C4936" t="s">
        <v>257</v>
      </c>
      <c r="D4936" s="226">
        <v>-19288.509999999998</v>
      </c>
      <c r="E4936" t="s">
        <v>684</v>
      </c>
    </row>
    <row r="4937" spans="1:5" hidden="1" x14ac:dyDescent="0.3">
      <c r="A4937" t="s">
        <v>552</v>
      </c>
      <c r="B4937" t="s">
        <v>683</v>
      </c>
      <c r="C4937" t="s">
        <v>258</v>
      </c>
      <c r="D4937" s="226">
        <v>-3873.43</v>
      </c>
      <c r="E4937" t="s">
        <v>684</v>
      </c>
    </row>
    <row r="4938" spans="1:5" hidden="1" x14ac:dyDescent="0.3">
      <c r="A4938" t="s">
        <v>552</v>
      </c>
      <c r="B4938" t="s">
        <v>683</v>
      </c>
      <c r="C4938" t="s">
        <v>259</v>
      </c>
      <c r="D4938" s="226">
        <v>0</v>
      </c>
      <c r="E4938" t="s">
        <v>684</v>
      </c>
    </row>
    <row r="4939" spans="1:5" hidden="1" x14ac:dyDescent="0.3">
      <c r="A4939" t="s">
        <v>552</v>
      </c>
      <c r="B4939" t="s">
        <v>683</v>
      </c>
      <c r="C4939" t="s">
        <v>260</v>
      </c>
      <c r="D4939" s="226">
        <v>0</v>
      </c>
      <c r="E4939" t="s">
        <v>684</v>
      </c>
    </row>
    <row r="4940" spans="1:5" hidden="1" x14ac:dyDescent="0.3">
      <c r="A4940" t="s">
        <v>552</v>
      </c>
      <c r="B4940" t="s">
        <v>683</v>
      </c>
      <c r="C4940" t="s">
        <v>261</v>
      </c>
      <c r="D4940" s="226">
        <v>0</v>
      </c>
      <c r="E4940" t="s">
        <v>684</v>
      </c>
    </row>
    <row r="4941" spans="1:5" hidden="1" x14ac:dyDescent="0.3">
      <c r="A4941" t="s">
        <v>552</v>
      </c>
      <c r="B4941" t="s">
        <v>683</v>
      </c>
      <c r="C4941" t="s">
        <v>262</v>
      </c>
      <c r="D4941" s="226">
        <v>0</v>
      </c>
      <c r="E4941" t="s">
        <v>684</v>
      </c>
    </row>
    <row r="4942" spans="1:5" hidden="1" x14ac:dyDescent="0.3">
      <c r="A4942" t="s">
        <v>552</v>
      </c>
      <c r="B4942" t="s">
        <v>683</v>
      </c>
      <c r="C4942" t="s">
        <v>44</v>
      </c>
      <c r="D4942" s="226">
        <v>-0.03</v>
      </c>
      <c r="E4942" t="s">
        <v>684</v>
      </c>
    </row>
    <row r="4943" spans="1:5" hidden="1" x14ac:dyDescent="0.3">
      <c r="A4943" t="s">
        <v>552</v>
      </c>
      <c r="B4943" t="s">
        <v>683</v>
      </c>
      <c r="C4943" t="s">
        <v>263</v>
      </c>
      <c r="D4943" s="226">
        <v>-87454.83</v>
      </c>
      <c r="E4943" t="s">
        <v>684</v>
      </c>
    </row>
    <row r="4944" spans="1:5" hidden="1" x14ac:dyDescent="0.3">
      <c r="A4944" t="s">
        <v>552</v>
      </c>
      <c r="B4944" t="s">
        <v>683</v>
      </c>
      <c r="C4944" t="s">
        <v>264</v>
      </c>
      <c r="D4944" s="226">
        <v>-13800</v>
      </c>
      <c r="E4944" t="s">
        <v>684</v>
      </c>
    </row>
    <row r="4945" spans="1:5" hidden="1" x14ac:dyDescent="0.3">
      <c r="A4945" t="s">
        <v>552</v>
      </c>
      <c r="B4945" t="s">
        <v>683</v>
      </c>
      <c r="C4945" t="s">
        <v>265</v>
      </c>
      <c r="D4945" s="226">
        <v>-19006.93</v>
      </c>
      <c r="E4945" t="s">
        <v>684</v>
      </c>
    </row>
    <row r="4946" spans="1:5" hidden="1" x14ac:dyDescent="0.3">
      <c r="A4946" t="s">
        <v>552</v>
      </c>
      <c r="B4946" t="s">
        <v>683</v>
      </c>
      <c r="C4946" t="s">
        <v>266</v>
      </c>
      <c r="D4946" s="226">
        <v>-12078.8</v>
      </c>
      <c r="E4946" t="s">
        <v>684</v>
      </c>
    </row>
    <row r="4947" spans="1:5" hidden="1" x14ac:dyDescent="0.3">
      <c r="A4947" t="s">
        <v>552</v>
      </c>
      <c r="B4947" t="s">
        <v>683</v>
      </c>
      <c r="C4947" t="s">
        <v>267</v>
      </c>
      <c r="D4947" s="226">
        <v>-16480.66</v>
      </c>
      <c r="E4947" t="s">
        <v>684</v>
      </c>
    </row>
    <row r="4948" spans="1:5" hidden="1" x14ac:dyDescent="0.3">
      <c r="A4948" t="s">
        <v>552</v>
      </c>
      <c r="B4948" t="s">
        <v>683</v>
      </c>
      <c r="C4948" t="s">
        <v>268</v>
      </c>
      <c r="D4948" s="226">
        <v>0</v>
      </c>
      <c r="E4948" t="s">
        <v>684</v>
      </c>
    </row>
    <row r="4949" spans="1:5" hidden="1" x14ac:dyDescent="0.3">
      <c r="A4949" t="s">
        <v>552</v>
      </c>
      <c r="B4949" t="s">
        <v>683</v>
      </c>
      <c r="C4949" t="s">
        <v>269</v>
      </c>
      <c r="D4949" s="226">
        <v>-580</v>
      </c>
      <c r="E4949" t="s">
        <v>684</v>
      </c>
    </row>
    <row r="4950" spans="1:5" hidden="1" x14ac:dyDescent="0.3">
      <c r="A4950" t="s">
        <v>552</v>
      </c>
      <c r="B4950" t="s">
        <v>683</v>
      </c>
      <c r="C4950" t="s">
        <v>270</v>
      </c>
      <c r="D4950" s="226">
        <v>-3105.17</v>
      </c>
      <c r="E4950" t="s">
        <v>684</v>
      </c>
    </row>
    <row r="4951" spans="1:5" hidden="1" x14ac:dyDescent="0.3">
      <c r="A4951" t="s">
        <v>552</v>
      </c>
      <c r="B4951" t="s">
        <v>683</v>
      </c>
      <c r="C4951" t="s">
        <v>271</v>
      </c>
      <c r="D4951" s="226">
        <v>-8244.26</v>
      </c>
      <c r="E4951" t="s">
        <v>684</v>
      </c>
    </row>
    <row r="4952" spans="1:5" hidden="1" x14ac:dyDescent="0.3">
      <c r="A4952" t="s">
        <v>552</v>
      </c>
      <c r="B4952" t="s">
        <v>683</v>
      </c>
      <c r="C4952" t="s">
        <v>272</v>
      </c>
      <c r="D4952" s="226">
        <v>0</v>
      </c>
      <c r="E4952" t="s">
        <v>684</v>
      </c>
    </row>
    <row r="4953" spans="1:5" hidden="1" x14ac:dyDescent="0.3">
      <c r="A4953" t="s">
        <v>552</v>
      </c>
      <c r="B4953" t="s">
        <v>683</v>
      </c>
      <c r="C4953" t="s">
        <v>273</v>
      </c>
      <c r="D4953" s="226">
        <v>0</v>
      </c>
      <c r="E4953" t="s">
        <v>684</v>
      </c>
    </row>
    <row r="4954" spans="1:5" hidden="1" x14ac:dyDescent="0.3">
      <c r="A4954" t="s">
        <v>552</v>
      </c>
      <c r="B4954" t="s">
        <v>683</v>
      </c>
      <c r="C4954" t="s">
        <v>274</v>
      </c>
      <c r="D4954" s="226">
        <v>-1602.74</v>
      </c>
      <c r="E4954" t="s">
        <v>684</v>
      </c>
    </row>
    <row r="4955" spans="1:5" hidden="1" x14ac:dyDescent="0.3">
      <c r="A4955" t="s">
        <v>552</v>
      </c>
      <c r="B4955" t="s">
        <v>683</v>
      </c>
      <c r="C4955" t="s">
        <v>275</v>
      </c>
      <c r="D4955" s="226">
        <v>0</v>
      </c>
      <c r="E4955" t="s">
        <v>684</v>
      </c>
    </row>
    <row r="4956" spans="1:5" hidden="1" x14ac:dyDescent="0.3">
      <c r="A4956" t="s">
        <v>552</v>
      </c>
      <c r="B4956" t="s">
        <v>683</v>
      </c>
      <c r="C4956" t="s">
        <v>276</v>
      </c>
      <c r="D4956" s="226">
        <v>-1432.5</v>
      </c>
      <c r="E4956" t="s">
        <v>684</v>
      </c>
    </row>
    <row r="4957" spans="1:5" hidden="1" x14ac:dyDescent="0.3">
      <c r="A4957" t="s">
        <v>552</v>
      </c>
      <c r="B4957" t="s">
        <v>683</v>
      </c>
      <c r="C4957" t="s">
        <v>277</v>
      </c>
      <c r="D4957" s="226">
        <v>-11123.77</v>
      </c>
      <c r="E4957" t="s">
        <v>684</v>
      </c>
    </row>
    <row r="4958" spans="1:5" hidden="1" x14ac:dyDescent="0.3">
      <c r="A4958" t="s">
        <v>552</v>
      </c>
      <c r="B4958" t="s">
        <v>683</v>
      </c>
      <c r="C4958" t="s">
        <v>44</v>
      </c>
      <c r="D4958" s="226">
        <v>-0.06</v>
      </c>
      <c r="E4958" t="s">
        <v>684</v>
      </c>
    </row>
    <row r="4959" spans="1:5" hidden="1" x14ac:dyDescent="0.3">
      <c r="A4959" t="s">
        <v>552</v>
      </c>
      <c r="B4959" t="s">
        <v>683</v>
      </c>
      <c r="C4959" t="s">
        <v>278</v>
      </c>
      <c r="D4959" s="226">
        <v>-8049.23</v>
      </c>
      <c r="E4959" t="s">
        <v>684</v>
      </c>
    </row>
    <row r="4960" spans="1:5" hidden="1" x14ac:dyDescent="0.3">
      <c r="A4960" t="s">
        <v>552</v>
      </c>
      <c r="B4960" t="s">
        <v>683</v>
      </c>
      <c r="C4960" t="s">
        <v>279</v>
      </c>
      <c r="D4960" s="226">
        <v>0</v>
      </c>
      <c r="E4960" t="s">
        <v>684</v>
      </c>
    </row>
    <row r="4961" spans="1:5" hidden="1" x14ac:dyDescent="0.3">
      <c r="A4961" t="s">
        <v>552</v>
      </c>
      <c r="B4961" t="s">
        <v>683</v>
      </c>
      <c r="C4961" t="s">
        <v>280</v>
      </c>
      <c r="D4961" s="226">
        <v>-481.21</v>
      </c>
      <c r="E4961" t="s">
        <v>684</v>
      </c>
    </row>
    <row r="4962" spans="1:5" hidden="1" x14ac:dyDescent="0.3">
      <c r="A4962" t="s">
        <v>552</v>
      </c>
      <c r="B4962" t="s">
        <v>683</v>
      </c>
      <c r="C4962" t="s">
        <v>281</v>
      </c>
      <c r="D4962" s="226">
        <v>-21.9</v>
      </c>
      <c r="E4962" t="s">
        <v>684</v>
      </c>
    </row>
    <row r="4963" spans="1:5" hidden="1" x14ac:dyDescent="0.3">
      <c r="A4963" t="s">
        <v>552</v>
      </c>
      <c r="B4963" t="s">
        <v>683</v>
      </c>
      <c r="C4963" t="s">
        <v>282</v>
      </c>
      <c r="D4963" s="226">
        <v>-815</v>
      </c>
      <c r="E4963" t="s">
        <v>684</v>
      </c>
    </row>
    <row r="4964" spans="1:5" hidden="1" x14ac:dyDescent="0.3">
      <c r="A4964" t="s">
        <v>552</v>
      </c>
      <c r="B4964" t="s">
        <v>683</v>
      </c>
      <c r="C4964" t="s">
        <v>283</v>
      </c>
      <c r="D4964" s="226">
        <v>-4453.1400000000003</v>
      </c>
      <c r="E4964" t="s">
        <v>684</v>
      </c>
    </row>
    <row r="4965" spans="1:5" hidden="1" x14ac:dyDescent="0.3">
      <c r="A4965" t="s">
        <v>552</v>
      </c>
      <c r="B4965" t="s">
        <v>683</v>
      </c>
      <c r="C4965" t="s">
        <v>284</v>
      </c>
      <c r="D4965" s="226">
        <v>-409</v>
      </c>
      <c r="E4965" t="s">
        <v>684</v>
      </c>
    </row>
    <row r="4966" spans="1:5" hidden="1" x14ac:dyDescent="0.3">
      <c r="A4966" t="s">
        <v>552</v>
      </c>
      <c r="B4966" t="s">
        <v>683</v>
      </c>
      <c r="C4966" t="s">
        <v>285</v>
      </c>
      <c r="D4966" s="226">
        <v>-1868.98</v>
      </c>
      <c r="E4966" t="s">
        <v>684</v>
      </c>
    </row>
    <row r="4967" spans="1:5" hidden="1" x14ac:dyDescent="0.3">
      <c r="A4967" t="s">
        <v>552</v>
      </c>
      <c r="B4967" t="s">
        <v>683</v>
      </c>
      <c r="C4967" t="s">
        <v>44</v>
      </c>
      <c r="D4967" s="226">
        <v>-0.01</v>
      </c>
      <c r="E4967" t="s">
        <v>684</v>
      </c>
    </row>
    <row r="4968" spans="1:5" hidden="1" x14ac:dyDescent="0.3">
      <c r="A4968" t="s">
        <v>552</v>
      </c>
      <c r="B4968" t="s">
        <v>683</v>
      </c>
      <c r="C4968" t="s">
        <v>286</v>
      </c>
      <c r="D4968" s="226">
        <v>-7811.26</v>
      </c>
      <c r="E4968" t="s">
        <v>684</v>
      </c>
    </row>
    <row r="4969" spans="1:5" hidden="1" x14ac:dyDescent="0.3">
      <c r="A4969" t="s">
        <v>552</v>
      </c>
      <c r="B4969" t="s">
        <v>683</v>
      </c>
      <c r="C4969" t="s">
        <v>287</v>
      </c>
      <c r="D4969" s="226">
        <v>-5000</v>
      </c>
      <c r="E4969" t="s">
        <v>684</v>
      </c>
    </row>
    <row r="4970" spans="1:5" hidden="1" x14ac:dyDescent="0.3">
      <c r="A4970" t="s">
        <v>552</v>
      </c>
      <c r="B4970" t="s">
        <v>683</v>
      </c>
      <c r="C4970" t="s">
        <v>288</v>
      </c>
      <c r="D4970" s="226">
        <v>0</v>
      </c>
      <c r="E4970" t="s">
        <v>684</v>
      </c>
    </row>
    <row r="4971" spans="1:5" hidden="1" x14ac:dyDescent="0.3">
      <c r="A4971" t="s">
        <v>552</v>
      </c>
      <c r="B4971" t="s">
        <v>683</v>
      </c>
      <c r="C4971" t="s">
        <v>289</v>
      </c>
      <c r="D4971" s="226">
        <v>0</v>
      </c>
      <c r="E4971" t="s">
        <v>684</v>
      </c>
    </row>
    <row r="4972" spans="1:5" hidden="1" x14ac:dyDescent="0.3">
      <c r="A4972" t="s">
        <v>552</v>
      </c>
      <c r="B4972" t="s">
        <v>683</v>
      </c>
      <c r="C4972" t="s">
        <v>290</v>
      </c>
      <c r="D4972" s="226">
        <v>-2797.74</v>
      </c>
      <c r="E4972" t="s">
        <v>684</v>
      </c>
    </row>
    <row r="4973" spans="1:5" hidden="1" x14ac:dyDescent="0.3">
      <c r="A4973" t="s">
        <v>552</v>
      </c>
      <c r="B4973" t="s">
        <v>683</v>
      </c>
      <c r="C4973" t="s">
        <v>291</v>
      </c>
      <c r="D4973" s="226">
        <v>0</v>
      </c>
      <c r="E4973" t="s">
        <v>684</v>
      </c>
    </row>
    <row r="4974" spans="1:5" hidden="1" x14ac:dyDescent="0.3">
      <c r="A4974" t="s">
        <v>552</v>
      </c>
      <c r="B4974" t="s">
        <v>683</v>
      </c>
      <c r="C4974" t="s">
        <v>292</v>
      </c>
      <c r="D4974" s="226">
        <v>0</v>
      </c>
      <c r="E4974" t="s">
        <v>684</v>
      </c>
    </row>
    <row r="4975" spans="1:5" hidden="1" x14ac:dyDescent="0.3">
      <c r="A4975" t="s">
        <v>552</v>
      </c>
      <c r="B4975" t="s">
        <v>683</v>
      </c>
      <c r="C4975" t="s">
        <v>293</v>
      </c>
      <c r="D4975" s="226">
        <v>-13.52</v>
      </c>
      <c r="E4975" t="s">
        <v>684</v>
      </c>
    </row>
    <row r="4976" spans="1:5" hidden="1" x14ac:dyDescent="0.3">
      <c r="A4976" t="s">
        <v>552</v>
      </c>
      <c r="B4976" t="s">
        <v>683</v>
      </c>
      <c r="C4976" t="s">
        <v>294</v>
      </c>
      <c r="D4976" s="226">
        <v>0</v>
      </c>
      <c r="E4976" t="s">
        <v>684</v>
      </c>
    </row>
    <row r="4977" spans="1:5" hidden="1" x14ac:dyDescent="0.3">
      <c r="A4977" t="s">
        <v>552</v>
      </c>
      <c r="B4977" t="s">
        <v>683</v>
      </c>
      <c r="C4977" t="s">
        <v>44</v>
      </c>
      <c r="D4977" s="226">
        <v>-0.01</v>
      </c>
      <c r="E4977" t="s">
        <v>684</v>
      </c>
    </row>
    <row r="4978" spans="1:5" hidden="1" x14ac:dyDescent="0.3">
      <c r="A4978" t="s">
        <v>552</v>
      </c>
      <c r="B4978" t="s">
        <v>683</v>
      </c>
      <c r="C4978" t="s">
        <v>295</v>
      </c>
      <c r="D4978" s="226">
        <v>-9045.5499999999993</v>
      </c>
      <c r="E4978" t="s">
        <v>684</v>
      </c>
    </row>
    <row r="4979" spans="1:5" hidden="1" x14ac:dyDescent="0.3">
      <c r="A4979" t="s">
        <v>552</v>
      </c>
      <c r="B4979" t="s">
        <v>683</v>
      </c>
      <c r="C4979" t="s">
        <v>296</v>
      </c>
      <c r="D4979" s="226">
        <v>-4500</v>
      </c>
      <c r="E4979" t="s">
        <v>684</v>
      </c>
    </row>
    <row r="4980" spans="1:5" hidden="1" x14ac:dyDescent="0.3">
      <c r="A4980" t="s">
        <v>552</v>
      </c>
      <c r="B4980" t="s">
        <v>683</v>
      </c>
      <c r="C4980" t="s">
        <v>297</v>
      </c>
      <c r="D4980" s="226">
        <v>-460</v>
      </c>
      <c r="E4980" t="s">
        <v>684</v>
      </c>
    </row>
    <row r="4981" spans="1:5" hidden="1" x14ac:dyDescent="0.3">
      <c r="A4981" t="s">
        <v>552</v>
      </c>
      <c r="B4981" t="s">
        <v>683</v>
      </c>
      <c r="C4981" t="s">
        <v>298</v>
      </c>
      <c r="D4981" s="226">
        <v>0</v>
      </c>
      <c r="E4981" t="s">
        <v>684</v>
      </c>
    </row>
    <row r="4982" spans="1:5" hidden="1" x14ac:dyDescent="0.3">
      <c r="A4982" t="s">
        <v>552</v>
      </c>
      <c r="B4982" t="s">
        <v>683</v>
      </c>
      <c r="C4982" t="s">
        <v>299</v>
      </c>
      <c r="D4982" s="226">
        <v>0</v>
      </c>
      <c r="E4982" t="s">
        <v>684</v>
      </c>
    </row>
    <row r="4983" spans="1:5" hidden="1" x14ac:dyDescent="0.3">
      <c r="A4983" t="s">
        <v>552</v>
      </c>
      <c r="B4983" t="s">
        <v>683</v>
      </c>
      <c r="C4983" t="s">
        <v>300</v>
      </c>
      <c r="D4983" s="226">
        <v>0</v>
      </c>
      <c r="E4983" t="s">
        <v>684</v>
      </c>
    </row>
    <row r="4984" spans="1:5" hidden="1" x14ac:dyDescent="0.3">
      <c r="A4984" t="s">
        <v>552</v>
      </c>
      <c r="B4984" t="s">
        <v>683</v>
      </c>
      <c r="C4984" t="s">
        <v>301</v>
      </c>
      <c r="D4984" s="226">
        <v>0</v>
      </c>
      <c r="E4984" t="s">
        <v>684</v>
      </c>
    </row>
    <row r="4985" spans="1:5" hidden="1" x14ac:dyDescent="0.3">
      <c r="A4985" t="s">
        <v>552</v>
      </c>
      <c r="B4985" t="s">
        <v>683</v>
      </c>
      <c r="C4985" t="s">
        <v>302</v>
      </c>
      <c r="D4985" s="226">
        <v>0</v>
      </c>
      <c r="E4985" t="s">
        <v>684</v>
      </c>
    </row>
    <row r="4986" spans="1:5" hidden="1" x14ac:dyDescent="0.3">
      <c r="A4986" t="s">
        <v>552</v>
      </c>
      <c r="B4986" t="s">
        <v>683</v>
      </c>
      <c r="C4986" t="s">
        <v>303</v>
      </c>
      <c r="D4986" s="226">
        <v>-2854</v>
      </c>
      <c r="E4986" t="s">
        <v>684</v>
      </c>
    </row>
    <row r="4987" spans="1:5" hidden="1" x14ac:dyDescent="0.3">
      <c r="A4987" t="s">
        <v>552</v>
      </c>
      <c r="B4987" t="s">
        <v>683</v>
      </c>
      <c r="C4987" t="s">
        <v>304</v>
      </c>
      <c r="D4987" s="226">
        <v>-194.82</v>
      </c>
      <c r="E4987" t="s">
        <v>684</v>
      </c>
    </row>
    <row r="4988" spans="1:5" hidden="1" x14ac:dyDescent="0.3">
      <c r="A4988" t="s">
        <v>552</v>
      </c>
      <c r="B4988" t="s">
        <v>683</v>
      </c>
      <c r="C4988" t="s">
        <v>305</v>
      </c>
      <c r="D4988" s="226">
        <v>0</v>
      </c>
      <c r="E4988" t="s">
        <v>684</v>
      </c>
    </row>
    <row r="4989" spans="1:5" hidden="1" x14ac:dyDescent="0.3">
      <c r="A4989" t="s">
        <v>552</v>
      </c>
      <c r="B4989" t="s">
        <v>683</v>
      </c>
      <c r="C4989" t="s">
        <v>306</v>
      </c>
      <c r="D4989" s="226">
        <v>-1036.73</v>
      </c>
      <c r="E4989" t="s">
        <v>684</v>
      </c>
    </row>
    <row r="4990" spans="1:5" hidden="1" x14ac:dyDescent="0.3">
      <c r="A4990" t="s">
        <v>552</v>
      </c>
      <c r="B4990" t="s">
        <v>683</v>
      </c>
      <c r="C4990" t="s">
        <v>44</v>
      </c>
      <c r="D4990" s="226">
        <v>-0.01</v>
      </c>
      <c r="E4990" t="s">
        <v>684</v>
      </c>
    </row>
    <row r="4991" spans="1:5" hidden="1" x14ac:dyDescent="0.3">
      <c r="A4991" t="s">
        <v>552</v>
      </c>
      <c r="B4991" t="s">
        <v>683</v>
      </c>
      <c r="C4991" t="s">
        <v>307</v>
      </c>
      <c r="D4991" s="226">
        <v>-24634.15</v>
      </c>
      <c r="E4991" t="s">
        <v>684</v>
      </c>
    </row>
    <row r="4992" spans="1:5" hidden="1" x14ac:dyDescent="0.3">
      <c r="A4992" t="s">
        <v>552</v>
      </c>
      <c r="B4992" t="s">
        <v>683</v>
      </c>
      <c r="C4992" t="s">
        <v>308</v>
      </c>
      <c r="D4992" s="226">
        <v>-3962</v>
      </c>
      <c r="E4992" t="s">
        <v>684</v>
      </c>
    </row>
    <row r="4993" spans="1:5" hidden="1" x14ac:dyDescent="0.3">
      <c r="A4993" t="s">
        <v>552</v>
      </c>
      <c r="B4993" t="s">
        <v>683</v>
      </c>
      <c r="C4993" t="s">
        <v>309</v>
      </c>
      <c r="D4993" s="226">
        <v>0</v>
      </c>
      <c r="E4993" t="s">
        <v>684</v>
      </c>
    </row>
    <row r="4994" spans="1:5" hidden="1" x14ac:dyDescent="0.3">
      <c r="A4994" t="s">
        <v>552</v>
      </c>
      <c r="B4994" t="s">
        <v>683</v>
      </c>
      <c r="C4994" t="s">
        <v>310</v>
      </c>
      <c r="D4994" s="226">
        <v>-1500</v>
      </c>
      <c r="E4994" t="s">
        <v>684</v>
      </c>
    </row>
    <row r="4995" spans="1:5" hidden="1" x14ac:dyDescent="0.3">
      <c r="A4995" t="s">
        <v>552</v>
      </c>
      <c r="B4995" t="s">
        <v>683</v>
      </c>
      <c r="C4995" t="s">
        <v>311</v>
      </c>
      <c r="D4995" s="226">
        <v>-185</v>
      </c>
      <c r="E4995" t="s">
        <v>684</v>
      </c>
    </row>
    <row r="4996" spans="1:5" hidden="1" x14ac:dyDescent="0.3">
      <c r="A4996" t="s">
        <v>552</v>
      </c>
      <c r="B4996" t="s">
        <v>683</v>
      </c>
      <c r="C4996" t="s">
        <v>312</v>
      </c>
      <c r="D4996" s="226">
        <v>-5025</v>
      </c>
      <c r="E4996" t="s">
        <v>684</v>
      </c>
    </row>
    <row r="4997" spans="1:5" hidden="1" x14ac:dyDescent="0.3">
      <c r="A4997" t="s">
        <v>552</v>
      </c>
      <c r="B4997" t="s">
        <v>683</v>
      </c>
      <c r="C4997" t="s">
        <v>313</v>
      </c>
      <c r="D4997" s="226">
        <v>-2372.15</v>
      </c>
      <c r="E4997" t="s">
        <v>684</v>
      </c>
    </row>
    <row r="4998" spans="1:5" hidden="1" x14ac:dyDescent="0.3">
      <c r="A4998" t="s">
        <v>552</v>
      </c>
      <c r="B4998" t="s">
        <v>683</v>
      </c>
      <c r="C4998" t="s">
        <v>314</v>
      </c>
      <c r="D4998" s="226">
        <v>0</v>
      </c>
      <c r="E4998" t="s">
        <v>684</v>
      </c>
    </row>
    <row r="4999" spans="1:5" hidden="1" x14ac:dyDescent="0.3">
      <c r="A4999" t="s">
        <v>552</v>
      </c>
      <c r="B4999" t="s">
        <v>683</v>
      </c>
      <c r="C4999" t="s">
        <v>315</v>
      </c>
      <c r="D4999" s="226">
        <v>-11590</v>
      </c>
      <c r="E4999" t="s">
        <v>684</v>
      </c>
    </row>
    <row r="5000" spans="1:5" hidden="1" x14ac:dyDescent="0.3">
      <c r="A5000" t="s">
        <v>552</v>
      </c>
      <c r="B5000" t="s">
        <v>683</v>
      </c>
      <c r="C5000" t="s">
        <v>316</v>
      </c>
      <c r="D5000" s="226">
        <v>0</v>
      </c>
      <c r="E5000" t="s">
        <v>684</v>
      </c>
    </row>
    <row r="5001" spans="1:5" hidden="1" x14ac:dyDescent="0.3">
      <c r="A5001" t="s">
        <v>552</v>
      </c>
      <c r="B5001" t="s">
        <v>683</v>
      </c>
      <c r="C5001" t="s">
        <v>44</v>
      </c>
      <c r="D5001" s="226">
        <v>-0.02</v>
      </c>
      <c r="E5001" t="s">
        <v>684</v>
      </c>
    </row>
    <row r="5002" spans="1:5" hidden="1" x14ac:dyDescent="0.3">
      <c r="A5002" t="s">
        <v>552</v>
      </c>
      <c r="B5002" t="s">
        <v>683</v>
      </c>
      <c r="C5002" t="s">
        <v>317</v>
      </c>
      <c r="D5002" s="226">
        <v>-5634.91</v>
      </c>
      <c r="E5002" t="s">
        <v>684</v>
      </c>
    </row>
    <row r="5003" spans="1:5" hidden="1" x14ac:dyDescent="0.3">
      <c r="A5003" t="s">
        <v>552</v>
      </c>
      <c r="B5003" t="s">
        <v>683</v>
      </c>
      <c r="C5003" t="s">
        <v>318</v>
      </c>
      <c r="D5003" s="226">
        <v>-5495</v>
      </c>
      <c r="E5003" t="s">
        <v>684</v>
      </c>
    </row>
    <row r="5004" spans="1:5" hidden="1" x14ac:dyDescent="0.3">
      <c r="A5004" t="s">
        <v>552</v>
      </c>
      <c r="B5004" t="s">
        <v>683</v>
      </c>
      <c r="C5004" t="s">
        <v>319</v>
      </c>
      <c r="D5004" s="226">
        <v>-139.91</v>
      </c>
      <c r="E5004" t="s">
        <v>684</v>
      </c>
    </row>
    <row r="5005" spans="1:5" hidden="1" x14ac:dyDescent="0.3">
      <c r="A5005" t="s">
        <v>552</v>
      </c>
      <c r="B5005" t="s">
        <v>683</v>
      </c>
      <c r="C5005" t="s">
        <v>320</v>
      </c>
      <c r="D5005" s="226">
        <v>0</v>
      </c>
      <c r="E5005" t="s">
        <v>684</v>
      </c>
    </row>
    <row r="5006" spans="1:5" hidden="1" x14ac:dyDescent="0.3">
      <c r="A5006" t="s">
        <v>552</v>
      </c>
      <c r="B5006" t="s">
        <v>683</v>
      </c>
      <c r="C5006" t="s">
        <v>321</v>
      </c>
      <c r="D5006" s="226">
        <v>0</v>
      </c>
      <c r="E5006" t="s">
        <v>684</v>
      </c>
    </row>
    <row r="5007" spans="1:5" hidden="1" x14ac:dyDescent="0.3">
      <c r="A5007" t="s">
        <v>552</v>
      </c>
      <c r="B5007" t="s">
        <v>683</v>
      </c>
      <c r="C5007" t="s">
        <v>44</v>
      </c>
      <c r="D5007" s="226">
        <v>0</v>
      </c>
      <c r="E5007" t="s">
        <v>684</v>
      </c>
    </row>
    <row r="5008" spans="1:5" hidden="1" x14ac:dyDescent="0.3">
      <c r="A5008" t="s">
        <v>552</v>
      </c>
      <c r="B5008" t="s">
        <v>683</v>
      </c>
      <c r="C5008" t="s">
        <v>322</v>
      </c>
      <c r="D5008" s="226">
        <v>-75942.789999999994</v>
      </c>
      <c r="E5008" t="s">
        <v>684</v>
      </c>
    </row>
    <row r="5009" spans="1:5" hidden="1" x14ac:dyDescent="0.3">
      <c r="A5009" t="s">
        <v>552</v>
      </c>
      <c r="B5009" t="s">
        <v>683</v>
      </c>
      <c r="C5009" t="s">
        <v>323</v>
      </c>
      <c r="D5009" s="226">
        <v>0</v>
      </c>
      <c r="E5009" t="s">
        <v>684</v>
      </c>
    </row>
    <row r="5010" spans="1:5" hidden="1" x14ac:dyDescent="0.3">
      <c r="A5010" t="s">
        <v>552</v>
      </c>
      <c r="B5010" t="s">
        <v>683</v>
      </c>
      <c r="C5010" t="s">
        <v>324</v>
      </c>
      <c r="D5010" s="226">
        <v>0</v>
      </c>
      <c r="E5010" t="s">
        <v>684</v>
      </c>
    </row>
    <row r="5011" spans="1:5" hidden="1" x14ac:dyDescent="0.3">
      <c r="A5011" t="s">
        <v>552</v>
      </c>
      <c r="B5011" t="s">
        <v>683</v>
      </c>
      <c r="C5011" t="s">
        <v>325</v>
      </c>
      <c r="D5011" s="226">
        <v>-75942.789999999994</v>
      </c>
      <c r="E5011" t="s">
        <v>684</v>
      </c>
    </row>
    <row r="5012" spans="1:5" hidden="1" x14ac:dyDescent="0.3">
      <c r="A5012" t="s">
        <v>552</v>
      </c>
      <c r="B5012" t="s">
        <v>683</v>
      </c>
      <c r="C5012" t="s">
        <v>44</v>
      </c>
      <c r="D5012" s="226">
        <v>-0.05</v>
      </c>
      <c r="E5012" t="s">
        <v>684</v>
      </c>
    </row>
    <row r="5013" spans="1:5" hidden="1" x14ac:dyDescent="0.3">
      <c r="A5013" t="s">
        <v>552</v>
      </c>
      <c r="B5013" t="s">
        <v>683</v>
      </c>
      <c r="C5013" t="s">
        <v>327</v>
      </c>
      <c r="D5013" s="226">
        <v>-558855.43999999994</v>
      </c>
      <c r="E5013" t="s">
        <v>684</v>
      </c>
    </row>
    <row r="5014" spans="1:5" hidden="1" x14ac:dyDescent="0.3">
      <c r="A5014" t="s">
        <v>552</v>
      </c>
      <c r="B5014" t="s">
        <v>683</v>
      </c>
      <c r="C5014" t="s">
        <v>44</v>
      </c>
      <c r="D5014" s="226">
        <v>-0.37</v>
      </c>
      <c r="E5014" t="s">
        <v>684</v>
      </c>
    </row>
    <row r="5015" spans="1:5" hidden="1" x14ac:dyDescent="0.3">
      <c r="A5015" t="s">
        <v>552</v>
      </c>
      <c r="B5015" t="s">
        <v>683</v>
      </c>
      <c r="C5015" t="s">
        <v>328</v>
      </c>
      <c r="D5015" s="226">
        <v>317544.84999999998</v>
      </c>
      <c r="E5015" t="s">
        <v>684</v>
      </c>
    </row>
    <row r="5016" spans="1:5" hidden="1" x14ac:dyDescent="0.3">
      <c r="A5016" t="s">
        <v>552</v>
      </c>
      <c r="B5016" t="s">
        <v>683</v>
      </c>
      <c r="C5016" t="s">
        <v>44</v>
      </c>
      <c r="D5016" s="226">
        <v>0.21</v>
      </c>
      <c r="E5016" t="s">
        <v>684</v>
      </c>
    </row>
    <row r="5017" spans="1:5" hidden="1" x14ac:dyDescent="0.3">
      <c r="A5017" t="s">
        <v>552</v>
      </c>
      <c r="B5017" t="s">
        <v>683</v>
      </c>
      <c r="C5017" t="s">
        <v>329</v>
      </c>
      <c r="D5017" s="226">
        <v>0</v>
      </c>
      <c r="E5017" t="s">
        <v>684</v>
      </c>
    </row>
    <row r="5018" spans="1:5" hidden="1" x14ac:dyDescent="0.3">
      <c r="A5018" t="s">
        <v>552</v>
      </c>
      <c r="B5018" t="s">
        <v>683</v>
      </c>
      <c r="C5018" t="s">
        <v>331</v>
      </c>
      <c r="D5018" s="226">
        <v>317544.84999999998</v>
      </c>
      <c r="E5018" t="s">
        <v>684</v>
      </c>
    </row>
    <row r="5019" spans="1:5" hidden="1" x14ac:dyDescent="0.3">
      <c r="A5019" t="s">
        <v>552</v>
      </c>
      <c r="B5019" t="s">
        <v>683</v>
      </c>
      <c r="C5019" t="s">
        <v>332</v>
      </c>
      <c r="D5019" s="226">
        <v>-2236.83</v>
      </c>
      <c r="E5019" t="s">
        <v>684</v>
      </c>
    </row>
    <row r="5020" spans="1:5" hidden="1" x14ac:dyDescent="0.3">
      <c r="A5020" t="s">
        <v>552</v>
      </c>
      <c r="B5020" t="s">
        <v>683</v>
      </c>
      <c r="C5020" t="s">
        <v>333</v>
      </c>
      <c r="D5020" s="226">
        <v>0</v>
      </c>
      <c r="E5020" t="s">
        <v>684</v>
      </c>
    </row>
    <row r="5021" spans="1:5" hidden="1" x14ac:dyDescent="0.3">
      <c r="A5021" t="s">
        <v>552</v>
      </c>
      <c r="B5021" t="s">
        <v>683</v>
      </c>
      <c r="C5021" t="s">
        <v>335</v>
      </c>
      <c r="D5021" s="226">
        <v>-4470</v>
      </c>
      <c r="E5021" t="s">
        <v>684</v>
      </c>
    </row>
    <row r="5022" spans="1:5" hidden="1" x14ac:dyDescent="0.3">
      <c r="A5022" t="s">
        <v>552</v>
      </c>
      <c r="B5022" t="s">
        <v>683</v>
      </c>
      <c r="C5022" t="s">
        <v>337</v>
      </c>
      <c r="D5022" s="226">
        <v>310838.02</v>
      </c>
      <c r="E5022" t="s">
        <v>684</v>
      </c>
    </row>
    <row r="5023" spans="1:5" hidden="1" x14ac:dyDescent="0.3">
      <c r="A5023" t="s">
        <v>552</v>
      </c>
      <c r="B5023" t="s">
        <v>683</v>
      </c>
      <c r="C5023" t="s">
        <v>338</v>
      </c>
      <c r="D5023" s="226">
        <v>-51063.09</v>
      </c>
      <c r="E5023" t="s">
        <v>684</v>
      </c>
    </row>
    <row r="5024" spans="1:5" hidden="1" x14ac:dyDescent="0.3">
      <c r="A5024" t="s">
        <v>552</v>
      </c>
      <c r="B5024" t="s">
        <v>683</v>
      </c>
      <c r="C5024" t="s">
        <v>341</v>
      </c>
      <c r="D5024" s="226">
        <v>0</v>
      </c>
      <c r="E5024" t="s">
        <v>684</v>
      </c>
    </row>
    <row r="5025" spans="1:5" hidden="1" x14ac:dyDescent="0.3">
      <c r="A5025" t="s">
        <v>552</v>
      </c>
      <c r="B5025" t="s">
        <v>683</v>
      </c>
      <c r="C5025" t="s">
        <v>343</v>
      </c>
      <c r="D5025" s="226">
        <v>-16031.98</v>
      </c>
      <c r="E5025" t="s">
        <v>684</v>
      </c>
    </row>
    <row r="5026" spans="1:5" hidden="1" x14ac:dyDescent="0.3">
      <c r="A5026" t="s">
        <v>552</v>
      </c>
      <c r="B5026" t="s">
        <v>683</v>
      </c>
      <c r="C5026" t="s">
        <v>344</v>
      </c>
      <c r="D5026" s="226">
        <v>-20718.47</v>
      </c>
      <c r="E5026" t="s">
        <v>684</v>
      </c>
    </row>
    <row r="5027" spans="1:5" hidden="1" x14ac:dyDescent="0.3">
      <c r="A5027" t="s">
        <v>552</v>
      </c>
      <c r="B5027" t="s">
        <v>683</v>
      </c>
      <c r="C5027" t="s">
        <v>345</v>
      </c>
      <c r="D5027" s="226">
        <v>-14312.64</v>
      </c>
      <c r="E5027" t="s">
        <v>684</v>
      </c>
    </row>
    <row r="5028" spans="1:5" hidden="1" x14ac:dyDescent="0.3">
      <c r="A5028" t="s">
        <v>552</v>
      </c>
      <c r="B5028" t="s">
        <v>683</v>
      </c>
      <c r="C5028" t="s">
        <v>346</v>
      </c>
      <c r="D5028" s="226">
        <v>259774.94</v>
      </c>
      <c r="E5028" t="s">
        <v>684</v>
      </c>
    </row>
    <row r="5029" spans="1:5" hidden="1" x14ac:dyDescent="0.3">
      <c r="A5029" t="s">
        <v>552</v>
      </c>
      <c r="B5029" t="s">
        <v>683</v>
      </c>
      <c r="C5029" t="s">
        <v>44</v>
      </c>
      <c r="D5029" s="226">
        <v>0.17</v>
      </c>
      <c r="E5029" t="s">
        <v>684</v>
      </c>
    </row>
    <row r="5030" spans="1:5" hidden="1" x14ac:dyDescent="0.3">
      <c r="A5030" t="s">
        <v>552</v>
      </c>
      <c r="B5030" t="s">
        <v>683</v>
      </c>
      <c r="C5030" t="s">
        <v>347</v>
      </c>
      <c r="D5030" s="226">
        <v>-9200</v>
      </c>
      <c r="E5030" t="s">
        <v>684</v>
      </c>
    </row>
    <row r="5031" spans="1:5" hidden="1" x14ac:dyDescent="0.3">
      <c r="A5031" t="s">
        <v>552</v>
      </c>
      <c r="B5031" t="s">
        <v>683</v>
      </c>
      <c r="C5031" t="s">
        <v>654</v>
      </c>
      <c r="D5031" s="226">
        <v>-7000</v>
      </c>
      <c r="E5031" t="s">
        <v>684</v>
      </c>
    </row>
    <row r="5032" spans="1:5" hidden="1" x14ac:dyDescent="0.3">
      <c r="A5032" t="s">
        <v>552</v>
      </c>
      <c r="B5032" t="s">
        <v>683</v>
      </c>
      <c r="C5032" t="s">
        <v>349</v>
      </c>
      <c r="D5032" s="226">
        <v>0</v>
      </c>
      <c r="E5032" t="s">
        <v>684</v>
      </c>
    </row>
    <row r="5033" spans="1:5" hidden="1" x14ac:dyDescent="0.3">
      <c r="A5033" t="s">
        <v>552</v>
      </c>
      <c r="B5033" t="s">
        <v>683</v>
      </c>
      <c r="C5033" t="s">
        <v>350</v>
      </c>
      <c r="D5033" s="226">
        <v>0</v>
      </c>
      <c r="E5033" t="s">
        <v>684</v>
      </c>
    </row>
    <row r="5034" spans="1:5" hidden="1" x14ac:dyDescent="0.3">
      <c r="A5034" t="s">
        <v>552</v>
      </c>
      <c r="B5034" t="s">
        <v>683</v>
      </c>
      <c r="C5034" t="s">
        <v>351</v>
      </c>
      <c r="D5034" s="226">
        <v>-2200</v>
      </c>
      <c r="E5034" t="s">
        <v>684</v>
      </c>
    </row>
    <row r="5035" spans="1:5" hidden="1" x14ac:dyDescent="0.3">
      <c r="A5035" t="s">
        <v>552</v>
      </c>
      <c r="B5035" t="s">
        <v>683</v>
      </c>
      <c r="C5035" t="s">
        <v>352</v>
      </c>
      <c r="D5035" s="226">
        <v>0</v>
      </c>
      <c r="E5035" t="s">
        <v>684</v>
      </c>
    </row>
    <row r="5036" spans="1:5" hidden="1" x14ac:dyDescent="0.3">
      <c r="A5036" t="s">
        <v>552</v>
      </c>
      <c r="B5036" t="s">
        <v>683</v>
      </c>
      <c r="C5036" t="s">
        <v>353</v>
      </c>
      <c r="D5036" s="226">
        <v>0</v>
      </c>
      <c r="E5036" t="s">
        <v>684</v>
      </c>
    </row>
    <row r="5037" spans="1:5" hidden="1" x14ac:dyDescent="0.3">
      <c r="A5037" t="s">
        <v>552</v>
      </c>
      <c r="B5037" t="s">
        <v>683</v>
      </c>
      <c r="C5037" t="s">
        <v>354</v>
      </c>
      <c r="D5037" s="226">
        <v>0</v>
      </c>
      <c r="E5037" t="s">
        <v>684</v>
      </c>
    </row>
    <row r="5038" spans="1:5" hidden="1" x14ac:dyDescent="0.3">
      <c r="A5038" t="s">
        <v>552</v>
      </c>
      <c r="B5038" t="s">
        <v>683</v>
      </c>
      <c r="C5038" t="s">
        <v>355</v>
      </c>
      <c r="D5038" s="226">
        <v>0</v>
      </c>
      <c r="E5038" t="s">
        <v>684</v>
      </c>
    </row>
    <row r="5039" spans="1:5" hidden="1" x14ac:dyDescent="0.3">
      <c r="A5039" t="s">
        <v>552</v>
      </c>
      <c r="B5039" t="s">
        <v>683</v>
      </c>
      <c r="C5039" t="s">
        <v>356</v>
      </c>
      <c r="D5039" s="226">
        <v>0</v>
      </c>
      <c r="E5039" t="s">
        <v>684</v>
      </c>
    </row>
    <row r="5040" spans="1:5" hidden="1" x14ac:dyDescent="0.3">
      <c r="A5040" t="s">
        <v>552</v>
      </c>
      <c r="B5040" t="s">
        <v>683</v>
      </c>
      <c r="C5040" t="s">
        <v>357</v>
      </c>
      <c r="D5040" s="226">
        <v>0</v>
      </c>
      <c r="E5040" t="s">
        <v>684</v>
      </c>
    </row>
    <row r="5041" spans="1:5" hidden="1" x14ac:dyDescent="0.3">
      <c r="A5041" t="s">
        <v>552</v>
      </c>
      <c r="B5041" t="s">
        <v>683</v>
      </c>
      <c r="C5041" t="s">
        <v>358</v>
      </c>
      <c r="D5041" s="226">
        <v>0</v>
      </c>
      <c r="E5041" t="s">
        <v>684</v>
      </c>
    </row>
    <row r="5042" spans="1:5" hidden="1" x14ac:dyDescent="0.3">
      <c r="A5042" t="s">
        <v>552</v>
      </c>
      <c r="B5042" t="s">
        <v>683</v>
      </c>
      <c r="C5042" t="s">
        <v>359</v>
      </c>
      <c r="D5042" s="226">
        <v>0</v>
      </c>
      <c r="E5042" t="s">
        <v>684</v>
      </c>
    </row>
    <row r="5043" spans="1:5" hidden="1" x14ac:dyDescent="0.3">
      <c r="A5043" t="s">
        <v>552</v>
      </c>
      <c r="B5043" t="s">
        <v>683</v>
      </c>
      <c r="C5043" t="s">
        <v>360</v>
      </c>
      <c r="D5043" s="226">
        <v>0</v>
      </c>
      <c r="E5043" t="s">
        <v>684</v>
      </c>
    </row>
    <row r="5044" spans="1:5" hidden="1" x14ac:dyDescent="0.3">
      <c r="A5044" t="s">
        <v>552</v>
      </c>
      <c r="B5044" t="s">
        <v>683</v>
      </c>
      <c r="C5044" t="s">
        <v>361</v>
      </c>
      <c r="D5044" s="226">
        <v>0</v>
      </c>
      <c r="E5044" t="s">
        <v>684</v>
      </c>
    </row>
    <row r="5045" spans="1:5" hidden="1" x14ac:dyDescent="0.3">
      <c r="A5045" t="s">
        <v>552</v>
      </c>
      <c r="B5045" t="s">
        <v>683</v>
      </c>
      <c r="C5045" t="s">
        <v>362</v>
      </c>
      <c r="D5045" s="226">
        <v>0</v>
      </c>
      <c r="E5045" t="s">
        <v>684</v>
      </c>
    </row>
    <row r="5046" spans="1:5" hidden="1" x14ac:dyDescent="0.3">
      <c r="A5046" t="s">
        <v>552</v>
      </c>
      <c r="B5046" t="s">
        <v>683</v>
      </c>
      <c r="C5046" t="s">
        <v>363</v>
      </c>
      <c r="D5046" s="226">
        <v>0</v>
      </c>
      <c r="E5046" t="s">
        <v>684</v>
      </c>
    </row>
    <row r="5047" spans="1:5" hidden="1" x14ac:dyDescent="0.3">
      <c r="A5047" t="s">
        <v>552</v>
      </c>
      <c r="B5047" t="s">
        <v>683</v>
      </c>
      <c r="C5047" t="s">
        <v>364</v>
      </c>
      <c r="D5047" s="226">
        <v>-4151.59</v>
      </c>
      <c r="E5047" t="s">
        <v>684</v>
      </c>
    </row>
    <row r="5048" spans="1:5" hidden="1" x14ac:dyDescent="0.3">
      <c r="A5048" t="s">
        <v>552</v>
      </c>
      <c r="B5048" t="s">
        <v>683</v>
      </c>
      <c r="C5048" t="s">
        <v>365</v>
      </c>
      <c r="D5048" s="226">
        <v>0</v>
      </c>
      <c r="E5048" t="s">
        <v>684</v>
      </c>
    </row>
    <row r="5049" spans="1:5" hidden="1" x14ac:dyDescent="0.3">
      <c r="A5049" t="s">
        <v>552</v>
      </c>
      <c r="B5049" t="s">
        <v>683</v>
      </c>
      <c r="C5049" t="s">
        <v>366</v>
      </c>
      <c r="D5049" s="226">
        <v>0</v>
      </c>
      <c r="E5049" t="s">
        <v>684</v>
      </c>
    </row>
    <row r="5050" spans="1:5" hidden="1" x14ac:dyDescent="0.3">
      <c r="A5050" t="s">
        <v>552</v>
      </c>
      <c r="B5050" t="s">
        <v>683</v>
      </c>
      <c r="C5050" t="s">
        <v>367</v>
      </c>
      <c r="D5050" s="226">
        <v>-11651.59</v>
      </c>
      <c r="E5050" t="s">
        <v>684</v>
      </c>
    </row>
    <row r="5051" spans="1:5" hidden="1" x14ac:dyDescent="0.3">
      <c r="A5051" t="s">
        <v>552</v>
      </c>
      <c r="B5051" t="s">
        <v>683</v>
      </c>
      <c r="C5051" t="s">
        <v>368</v>
      </c>
      <c r="D5051" s="226">
        <v>7500</v>
      </c>
      <c r="E5051" t="s">
        <v>684</v>
      </c>
    </row>
    <row r="5052" spans="1:5" hidden="1" x14ac:dyDescent="0.3">
      <c r="A5052" t="s">
        <v>552</v>
      </c>
      <c r="B5052" t="s">
        <v>683</v>
      </c>
      <c r="C5052" t="s">
        <v>369</v>
      </c>
      <c r="D5052" s="226">
        <v>0</v>
      </c>
      <c r="E5052" t="s">
        <v>684</v>
      </c>
    </row>
    <row r="5053" spans="1:5" hidden="1" x14ac:dyDescent="0.3">
      <c r="A5053" t="s">
        <v>552</v>
      </c>
      <c r="B5053" t="s">
        <v>683</v>
      </c>
      <c r="C5053" t="s">
        <v>370</v>
      </c>
      <c r="D5053" s="226">
        <v>0</v>
      </c>
      <c r="E5053" t="s">
        <v>684</v>
      </c>
    </row>
    <row r="5054" spans="1:5" hidden="1" x14ac:dyDescent="0.3">
      <c r="A5054" t="s">
        <v>552</v>
      </c>
      <c r="B5054" t="s">
        <v>683</v>
      </c>
      <c r="C5054" t="s">
        <v>371</v>
      </c>
      <c r="D5054" s="226">
        <v>0</v>
      </c>
      <c r="E5054" t="s">
        <v>684</v>
      </c>
    </row>
    <row r="5055" spans="1:5" hidden="1" x14ac:dyDescent="0.3">
      <c r="A5055" t="s">
        <v>552</v>
      </c>
      <c r="B5055" t="s">
        <v>683</v>
      </c>
      <c r="C5055" t="s">
        <v>372</v>
      </c>
      <c r="D5055" s="226">
        <v>-13351.59</v>
      </c>
      <c r="E5055" t="s">
        <v>684</v>
      </c>
    </row>
    <row r="5056" spans="1:5" hidden="1" x14ac:dyDescent="0.3">
      <c r="A5056" t="s">
        <v>552</v>
      </c>
      <c r="B5056" t="s">
        <v>683</v>
      </c>
      <c r="C5056" t="s">
        <v>373</v>
      </c>
      <c r="D5056" s="226">
        <v>246423.35</v>
      </c>
      <c r="E5056" t="s">
        <v>684</v>
      </c>
    </row>
    <row r="5057" spans="1:5" hidden="1" x14ac:dyDescent="0.3">
      <c r="A5057" t="s">
        <v>552</v>
      </c>
      <c r="B5057" t="s">
        <v>683</v>
      </c>
      <c r="C5057" t="s">
        <v>655</v>
      </c>
      <c r="D5057" s="226">
        <v>246423.35</v>
      </c>
      <c r="E5057" t="s">
        <v>684</v>
      </c>
    </row>
    <row r="5058" spans="1:5" hidden="1" x14ac:dyDescent="0.3">
      <c r="A5058" t="s">
        <v>552</v>
      </c>
      <c r="B5058" t="s">
        <v>685</v>
      </c>
      <c r="C5058" t="s">
        <v>11</v>
      </c>
      <c r="D5058" s="226">
        <v>1361096.47</v>
      </c>
      <c r="E5058" t="s">
        <v>686</v>
      </c>
    </row>
    <row r="5059" spans="1:5" hidden="1" x14ac:dyDescent="0.3">
      <c r="A5059" t="s">
        <v>552</v>
      </c>
      <c r="B5059" t="s">
        <v>685</v>
      </c>
      <c r="C5059" t="s">
        <v>13</v>
      </c>
      <c r="D5059" s="226">
        <v>681215.92</v>
      </c>
      <c r="E5059" t="s">
        <v>686</v>
      </c>
    </row>
    <row r="5060" spans="1:5" hidden="1" x14ac:dyDescent="0.3">
      <c r="A5060" t="s">
        <v>552</v>
      </c>
      <c r="B5060" t="s">
        <v>685</v>
      </c>
      <c r="C5060" t="s">
        <v>16</v>
      </c>
      <c r="D5060" s="226">
        <v>492455.98</v>
      </c>
      <c r="E5060" t="s">
        <v>686</v>
      </c>
    </row>
    <row r="5061" spans="1:5" hidden="1" x14ac:dyDescent="0.3">
      <c r="A5061" t="s">
        <v>552</v>
      </c>
      <c r="B5061" t="s">
        <v>685</v>
      </c>
      <c r="C5061" t="s">
        <v>17</v>
      </c>
      <c r="D5061" s="226">
        <v>0</v>
      </c>
      <c r="E5061" t="s">
        <v>686</v>
      </c>
    </row>
    <row r="5062" spans="1:5" hidden="1" x14ac:dyDescent="0.3">
      <c r="A5062" t="s">
        <v>552</v>
      </c>
      <c r="B5062" t="s">
        <v>685</v>
      </c>
      <c r="C5062" t="s">
        <v>18</v>
      </c>
      <c r="D5062" s="226">
        <v>0</v>
      </c>
      <c r="E5062" t="s">
        <v>686</v>
      </c>
    </row>
    <row r="5063" spans="1:5" hidden="1" x14ac:dyDescent="0.3">
      <c r="A5063" t="s">
        <v>552</v>
      </c>
      <c r="B5063" t="s">
        <v>685</v>
      </c>
      <c r="C5063" t="s">
        <v>20</v>
      </c>
      <c r="D5063" s="226">
        <v>148821.57</v>
      </c>
      <c r="E5063" t="s">
        <v>686</v>
      </c>
    </row>
    <row r="5064" spans="1:5" hidden="1" x14ac:dyDescent="0.3">
      <c r="A5064" t="s">
        <v>552</v>
      </c>
      <c r="B5064" t="s">
        <v>685</v>
      </c>
      <c r="C5064" t="s">
        <v>23</v>
      </c>
      <c r="D5064" s="226">
        <v>20000</v>
      </c>
      <c r="E5064" t="s">
        <v>686</v>
      </c>
    </row>
    <row r="5065" spans="1:5" hidden="1" x14ac:dyDescent="0.3">
      <c r="A5065" t="s">
        <v>552</v>
      </c>
      <c r="B5065" t="s">
        <v>685</v>
      </c>
      <c r="C5065" t="s">
        <v>25</v>
      </c>
      <c r="D5065" s="226">
        <v>0</v>
      </c>
      <c r="E5065" t="s">
        <v>686</v>
      </c>
    </row>
    <row r="5066" spans="1:5" hidden="1" x14ac:dyDescent="0.3">
      <c r="A5066" t="s">
        <v>552</v>
      </c>
      <c r="B5066" t="s">
        <v>685</v>
      </c>
      <c r="C5066" t="s">
        <v>26</v>
      </c>
      <c r="D5066" s="226">
        <v>0</v>
      </c>
      <c r="E5066" t="s">
        <v>686</v>
      </c>
    </row>
    <row r="5067" spans="1:5" hidden="1" x14ac:dyDescent="0.3">
      <c r="A5067" t="s">
        <v>552</v>
      </c>
      <c r="B5067" t="s">
        <v>685</v>
      </c>
      <c r="C5067" t="s">
        <v>27</v>
      </c>
      <c r="D5067" s="226">
        <v>0</v>
      </c>
      <c r="E5067" t="s">
        <v>686</v>
      </c>
    </row>
    <row r="5068" spans="1:5" hidden="1" x14ac:dyDescent="0.3">
      <c r="A5068" t="s">
        <v>552</v>
      </c>
      <c r="B5068" t="s">
        <v>685</v>
      </c>
      <c r="C5068" t="s">
        <v>29</v>
      </c>
      <c r="D5068" s="226">
        <v>17415</v>
      </c>
      <c r="E5068" t="s">
        <v>686</v>
      </c>
    </row>
    <row r="5069" spans="1:5" hidden="1" x14ac:dyDescent="0.3">
      <c r="A5069" t="s">
        <v>552</v>
      </c>
      <c r="B5069" t="s">
        <v>685</v>
      </c>
      <c r="C5069" t="s">
        <v>31</v>
      </c>
      <c r="D5069" s="226">
        <v>1188</v>
      </c>
      <c r="E5069" t="s">
        <v>686</v>
      </c>
    </row>
    <row r="5070" spans="1:5" hidden="1" x14ac:dyDescent="0.3">
      <c r="A5070" t="s">
        <v>552</v>
      </c>
      <c r="B5070" t="s">
        <v>685</v>
      </c>
      <c r="C5070" t="s">
        <v>34</v>
      </c>
      <c r="D5070" s="226">
        <v>-17570.73</v>
      </c>
      <c r="E5070" t="s">
        <v>686</v>
      </c>
    </row>
    <row r="5071" spans="1:5" hidden="1" x14ac:dyDescent="0.3">
      <c r="A5071" t="s">
        <v>552</v>
      </c>
      <c r="B5071" t="s">
        <v>685</v>
      </c>
      <c r="C5071" t="s">
        <v>38</v>
      </c>
      <c r="D5071" s="226">
        <v>-3259.8</v>
      </c>
      <c r="E5071" t="s">
        <v>686</v>
      </c>
    </row>
    <row r="5072" spans="1:5" hidden="1" x14ac:dyDescent="0.3">
      <c r="A5072" t="s">
        <v>552</v>
      </c>
      <c r="B5072" t="s">
        <v>685</v>
      </c>
      <c r="C5072" t="s">
        <v>40</v>
      </c>
      <c r="D5072" s="226">
        <v>-14121.76</v>
      </c>
      <c r="E5072" t="s">
        <v>686</v>
      </c>
    </row>
    <row r="5073" spans="1:5" hidden="1" x14ac:dyDescent="0.3">
      <c r="A5073" t="s">
        <v>552</v>
      </c>
      <c r="B5073" t="s">
        <v>685</v>
      </c>
      <c r="C5073" t="s">
        <v>42</v>
      </c>
      <c r="D5073" s="226">
        <v>-189.17</v>
      </c>
      <c r="E5073" t="s">
        <v>686</v>
      </c>
    </row>
    <row r="5074" spans="1:5" hidden="1" x14ac:dyDescent="0.3">
      <c r="A5074" t="s">
        <v>552</v>
      </c>
      <c r="B5074" t="s">
        <v>685</v>
      </c>
      <c r="C5074" t="s">
        <v>44</v>
      </c>
      <c r="D5074" s="226">
        <v>-0.01</v>
      </c>
      <c r="E5074" t="s">
        <v>686</v>
      </c>
    </row>
    <row r="5075" spans="1:5" hidden="1" x14ac:dyDescent="0.3">
      <c r="A5075" t="s">
        <v>552</v>
      </c>
      <c r="B5075" t="s">
        <v>685</v>
      </c>
      <c r="C5075" t="s">
        <v>45</v>
      </c>
      <c r="D5075" s="226">
        <v>-89999.3</v>
      </c>
      <c r="E5075" t="s">
        <v>686</v>
      </c>
    </row>
    <row r="5076" spans="1:5" hidden="1" x14ac:dyDescent="0.3">
      <c r="A5076" t="s">
        <v>552</v>
      </c>
      <c r="B5076" t="s">
        <v>685</v>
      </c>
      <c r="C5076" t="s">
        <v>46</v>
      </c>
      <c r="D5076" s="226">
        <v>-48308.69</v>
      </c>
      <c r="E5076" t="s">
        <v>686</v>
      </c>
    </row>
    <row r="5077" spans="1:5" hidden="1" x14ac:dyDescent="0.3">
      <c r="A5077" t="s">
        <v>552</v>
      </c>
      <c r="B5077" t="s">
        <v>685</v>
      </c>
      <c r="C5077" t="s">
        <v>48</v>
      </c>
      <c r="D5077" s="226">
        <v>-41690.61</v>
      </c>
      <c r="E5077" t="s">
        <v>686</v>
      </c>
    </row>
    <row r="5078" spans="1:5" hidden="1" x14ac:dyDescent="0.3">
      <c r="A5078" t="s">
        <v>552</v>
      </c>
      <c r="B5078" t="s">
        <v>685</v>
      </c>
      <c r="C5078" t="s">
        <v>49</v>
      </c>
      <c r="D5078" s="226">
        <v>0</v>
      </c>
      <c r="E5078" t="s">
        <v>686</v>
      </c>
    </row>
    <row r="5079" spans="1:5" hidden="1" x14ac:dyDescent="0.3">
      <c r="A5079" t="s">
        <v>552</v>
      </c>
      <c r="B5079" t="s">
        <v>685</v>
      </c>
      <c r="C5079" t="s">
        <v>50</v>
      </c>
      <c r="D5079" s="226">
        <v>1253526.44</v>
      </c>
      <c r="E5079" t="s">
        <v>686</v>
      </c>
    </row>
    <row r="5080" spans="1:5" hidden="1" x14ac:dyDescent="0.3">
      <c r="A5080" t="s">
        <v>552</v>
      </c>
      <c r="B5080" t="s">
        <v>685</v>
      </c>
      <c r="C5080" t="s">
        <v>51</v>
      </c>
      <c r="D5080" s="226">
        <v>-355287.79</v>
      </c>
      <c r="E5080" t="s">
        <v>686</v>
      </c>
    </row>
    <row r="5081" spans="1:5" hidden="1" x14ac:dyDescent="0.3">
      <c r="A5081" t="s">
        <v>552</v>
      </c>
      <c r="B5081" t="s">
        <v>685</v>
      </c>
      <c r="C5081" t="s">
        <v>52</v>
      </c>
      <c r="D5081" s="226">
        <v>-226307.41</v>
      </c>
      <c r="E5081" t="s">
        <v>686</v>
      </c>
    </row>
    <row r="5082" spans="1:5" hidden="1" x14ac:dyDescent="0.3">
      <c r="A5082" t="s">
        <v>552</v>
      </c>
      <c r="B5082" t="s">
        <v>685</v>
      </c>
      <c r="C5082" t="s">
        <v>53</v>
      </c>
      <c r="D5082" s="226">
        <v>-128310</v>
      </c>
      <c r="E5082" t="s">
        <v>686</v>
      </c>
    </row>
    <row r="5083" spans="1:5" hidden="1" x14ac:dyDescent="0.3">
      <c r="A5083" t="s">
        <v>552</v>
      </c>
      <c r="B5083" t="s">
        <v>685</v>
      </c>
      <c r="C5083" t="s">
        <v>54</v>
      </c>
      <c r="D5083" s="226">
        <v>-670.38</v>
      </c>
      <c r="E5083" t="s">
        <v>686</v>
      </c>
    </row>
    <row r="5084" spans="1:5" hidden="1" x14ac:dyDescent="0.3">
      <c r="A5084" t="s">
        <v>552</v>
      </c>
      <c r="B5084" t="s">
        <v>685</v>
      </c>
      <c r="C5084" t="s">
        <v>23</v>
      </c>
      <c r="D5084" s="226">
        <v>0</v>
      </c>
      <c r="E5084" t="s">
        <v>686</v>
      </c>
    </row>
    <row r="5085" spans="1:5" hidden="1" x14ac:dyDescent="0.3">
      <c r="A5085" t="s">
        <v>552</v>
      </c>
      <c r="B5085" t="s">
        <v>685</v>
      </c>
      <c r="C5085" t="s">
        <v>44</v>
      </c>
      <c r="D5085" s="226">
        <v>-0.28999999999999998</v>
      </c>
      <c r="E5085" t="s">
        <v>686</v>
      </c>
    </row>
    <row r="5086" spans="1:5" hidden="1" x14ac:dyDescent="0.3">
      <c r="A5086" t="s">
        <v>552</v>
      </c>
      <c r="B5086" t="s">
        <v>685</v>
      </c>
      <c r="C5086" t="s">
        <v>55</v>
      </c>
      <c r="D5086" s="226">
        <v>-0.28000000000000003</v>
      </c>
      <c r="E5086" t="s">
        <v>686</v>
      </c>
    </row>
    <row r="5087" spans="1:5" hidden="1" x14ac:dyDescent="0.3">
      <c r="A5087" t="s">
        <v>552</v>
      </c>
      <c r="B5087" t="s">
        <v>685</v>
      </c>
      <c r="C5087" t="s">
        <v>56</v>
      </c>
      <c r="D5087" s="226">
        <v>-250</v>
      </c>
      <c r="E5087" t="s">
        <v>686</v>
      </c>
    </row>
    <row r="5088" spans="1:5" hidden="1" x14ac:dyDescent="0.3">
      <c r="A5088" t="s">
        <v>552</v>
      </c>
      <c r="B5088" t="s">
        <v>685</v>
      </c>
      <c r="C5088" t="s">
        <v>57</v>
      </c>
      <c r="D5088" s="226">
        <v>0</v>
      </c>
      <c r="E5088" t="s">
        <v>686</v>
      </c>
    </row>
    <row r="5089" spans="1:5" hidden="1" x14ac:dyDescent="0.3">
      <c r="A5089" t="s">
        <v>552</v>
      </c>
      <c r="B5089" t="s">
        <v>685</v>
      </c>
      <c r="C5089" t="s">
        <v>58</v>
      </c>
      <c r="D5089" s="226">
        <v>0</v>
      </c>
      <c r="E5089" t="s">
        <v>686</v>
      </c>
    </row>
    <row r="5090" spans="1:5" hidden="1" x14ac:dyDescent="0.3">
      <c r="A5090" t="s">
        <v>552</v>
      </c>
      <c r="B5090" t="s">
        <v>685</v>
      </c>
      <c r="C5090" t="s">
        <v>59</v>
      </c>
      <c r="D5090" s="226">
        <v>0</v>
      </c>
      <c r="E5090" t="s">
        <v>686</v>
      </c>
    </row>
    <row r="5091" spans="1:5" hidden="1" x14ac:dyDescent="0.3">
      <c r="A5091" t="s">
        <v>552</v>
      </c>
      <c r="B5091" t="s">
        <v>685</v>
      </c>
      <c r="C5091" t="s">
        <v>61</v>
      </c>
      <c r="D5091" s="226">
        <v>0</v>
      </c>
      <c r="E5091" t="s">
        <v>686</v>
      </c>
    </row>
    <row r="5092" spans="1:5" hidden="1" x14ac:dyDescent="0.3">
      <c r="A5092" t="s">
        <v>552</v>
      </c>
      <c r="B5092" t="s">
        <v>685</v>
      </c>
      <c r="C5092" t="s">
        <v>62</v>
      </c>
      <c r="D5092" s="226">
        <v>0</v>
      </c>
      <c r="E5092" t="s">
        <v>686</v>
      </c>
    </row>
    <row r="5093" spans="1:5" hidden="1" x14ac:dyDescent="0.3">
      <c r="A5093" t="s">
        <v>552</v>
      </c>
      <c r="B5093" t="s">
        <v>685</v>
      </c>
      <c r="C5093" t="s">
        <v>64</v>
      </c>
      <c r="D5093" s="226">
        <v>0</v>
      </c>
      <c r="E5093" t="s">
        <v>686</v>
      </c>
    </row>
    <row r="5094" spans="1:5" hidden="1" x14ac:dyDescent="0.3">
      <c r="A5094" t="s">
        <v>552</v>
      </c>
      <c r="B5094" t="s">
        <v>685</v>
      </c>
      <c r="C5094" t="s">
        <v>65</v>
      </c>
      <c r="D5094" s="226">
        <v>-250</v>
      </c>
      <c r="E5094" t="s">
        <v>686</v>
      </c>
    </row>
    <row r="5095" spans="1:5" hidden="1" x14ac:dyDescent="0.3">
      <c r="A5095" t="s">
        <v>552</v>
      </c>
      <c r="B5095" t="s">
        <v>685</v>
      </c>
      <c r="C5095" t="s">
        <v>66</v>
      </c>
      <c r="D5095" s="226">
        <v>-250</v>
      </c>
      <c r="E5095" t="s">
        <v>686</v>
      </c>
    </row>
    <row r="5096" spans="1:5" hidden="1" x14ac:dyDescent="0.3">
      <c r="A5096" t="s">
        <v>552</v>
      </c>
      <c r="B5096" t="s">
        <v>685</v>
      </c>
      <c r="C5096" t="s">
        <v>68</v>
      </c>
      <c r="D5096" s="226">
        <v>0</v>
      </c>
      <c r="E5096" t="s">
        <v>686</v>
      </c>
    </row>
    <row r="5097" spans="1:5" hidden="1" x14ac:dyDescent="0.3">
      <c r="A5097" t="s">
        <v>552</v>
      </c>
      <c r="B5097" t="s">
        <v>685</v>
      </c>
      <c r="C5097" t="s">
        <v>69</v>
      </c>
      <c r="D5097" s="226">
        <v>0</v>
      </c>
      <c r="E5097" t="s">
        <v>686</v>
      </c>
    </row>
    <row r="5098" spans="1:5" hidden="1" x14ac:dyDescent="0.3">
      <c r="A5098" t="s">
        <v>552</v>
      </c>
      <c r="B5098" t="s">
        <v>685</v>
      </c>
      <c r="C5098" t="s">
        <v>70</v>
      </c>
      <c r="D5098" s="226">
        <v>0</v>
      </c>
      <c r="E5098" t="s">
        <v>686</v>
      </c>
    </row>
    <row r="5099" spans="1:5" hidden="1" x14ac:dyDescent="0.3">
      <c r="A5099" t="s">
        <v>552</v>
      </c>
      <c r="B5099" t="s">
        <v>685</v>
      </c>
      <c r="C5099" t="s">
        <v>44</v>
      </c>
      <c r="D5099" s="226">
        <v>0</v>
      </c>
      <c r="E5099" t="s">
        <v>686</v>
      </c>
    </row>
    <row r="5100" spans="1:5" hidden="1" x14ac:dyDescent="0.3">
      <c r="A5100" t="s">
        <v>552</v>
      </c>
      <c r="B5100" t="s">
        <v>685</v>
      </c>
      <c r="C5100" t="s">
        <v>71</v>
      </c>
      <c r="D5100" s="226">
        <v>-3052.19</v>
      </c>
      <c r="E5100" t="s">
        <v>686</v>
      </c>
    </row>
    <row r="5101" spans="1:5" hidden="1" x14ac:dyDescent="0.3">
      <c r="A5101" t="s">
        <v>552</v>
      </c>
      <c r="B5101" t="s">
        <v>685</v>
      </c>
      <c r="C5101" t="s">
        <v>72</v>
      </c>
      <c r="D5101" s="226">
        <v>-2048.1999999999998</v>
      </c>
      <c r="E5101" t="s">
        <v>686</v>
      </c>
    </row>
    <row r="5102" spans="1:5" hidden="1" x14ac:dyDescent="0.3">
      <c r="A5102" t="s">
        <v>552</v>
      </c>
      <c r="B5102" t="s">
        <v>685</v>
      </c>
      <c r="C5102" t="s">
        <v>73</v>
      </c>
      <c r="D5102" s="226">
        <v>-1920</v>
      </c>
      <c r="E5102" t="s">
        <v>686</v>
      </c>
    </row>
    <row r="5103" spans="1:5" hidden="1" x14ac:dyDescent="0.3">
      <c r="A5103" t="s">
        <v>552</v>
      </c>
      <c r="B5103" t="s">
        <v>685</v>
      </c>
      <c r="C5103" t="s">
        <v>75</v>
      </c>
      <c r="D5103" s="226">
        <v>-128.19999999999999</v>
      </c>
      <c r="E5103" t="s">
        <v>686</v>
      </c>
    </row>
    <row r="5104" spans="1:5" hidden="1" x14ac:dyDescent="0.3">
      <c r="A5104" t="s">
        <v>552</v>
      </c>
      <c r="B5104" t="s">
        <v>685</v>
      </c>
      <c r="C5104" t="s">
        <v>77</v>
      </c>
      <c r="D5104" s="226">
        <v>0</v>
      </c>
      <c r="E5104" t="s">
        <v>686</v>
      </c>
    </row>
    <row r="5105" spans="1:5" hidden="1" x14ac:dyDescent="0.3">
      <c r="A5105" t="s">
        <v>552</v>
      </c>
      <c r="B5105" t="s">
        <v>685</v>
      </c>
      <c r="C5105" t="s">
        <v>78</v>
      </c>
      <c r="D5105" s="226">
        <v>0</v>
      </c>
      <c r="E5105" t="s">
        <v>686</v>
      </c>
    </row>
    <row r="5106" spans="1:5" hidden="1" x14ac:dyDescent="0.3">
      <c r="A5106" t="s">
        <v>552</v>
      </c>
      <c r="B5106" t="s">
        <v>685</v>
      </c>
      <c r="C5106" t="s">
        <v>80</v>
      </c>
      <c r="D5106" s="226">
        <v>0</v>
      </c>
      <c r="E5106" t="s">
        <v>686</v>
      </c>
    </row>
    <row r="5107" spans="1:5" hidden="1" x14ac:dyDescent="0.3">
      <c r="A5107" t="s">
        <v>552</v>
      </c>
      <c r="B5107" t="s">
        <v>685</v>
      </c>
      <c r="C5107" t="s">
        <v>82</v>
      </c>
      <c r="D5107" s="226">
        <v>0</v>
      </c>
      <c r="E5107" t="s">
        <v>686</v>
      </c>
    </row>
    <row r="5108" spans="1:5" hidden="1" x14ac:dyDescent="0.3">
      <c r="A5108" t="s">
        <v>552</v>
      </c>
      <c r="B5108" t="s">
        <v>685</v>
      </c>
      <c r="C5108" t="s">
        <v>84</v>
      </c>
      <c r="D5108" s="226">
        <v>0</v>
      </c>
      <c r="E5108" t="s">
        <v>686</v>
      </c>
    </row>
    <row r="5109" spans="1:5" hidden="1" x14ac:dyDescent="0.3">
      <c r="A5109" t="s">
        <v>552</v>
      </c>
      <c r="B5109" t="s">
        <v>685</v>
      </c>
      <c r="C5109" t="s">
        <v>85</v>
      </c>
      <c r="D5109" s="226">
        <v>-113.99</v>
      </c>
      <c r="E5109" t="s">
        <v>686</v>
      </c>
    </row>
    <row r="5110" spans="1:5" hidden="1" x14ac:dyDescent="0.3">
      <c r="A5110" t="s">
        <v>552</v>
      </c>
      <c r="B5110" t="s">
        <v>685</v>
      </c>
      <c r="C5110" t="s">
        <v>86</v>
      </c>
      <c r="D5110" s="226">
        <v>0</v>
      </c>
      <c r="E5110" t="s">
        <v>686</v>
      </c>
    </row>
    <row r="5111" spans="1:5" hidden="1" x14ac:dyDescent="0.3">
      <c r="A5111" t="s">
        <v>552</v>
      </c>
      <c r="B5111" t="s">
        <v>685</v>
      </c>
      <c r="C5111" t="s">
        <v>87</v>
      </c>
      <c r="D5111" s="226">
        <v>0</v>
      </c>
      <c r="E5111" t="s">
        <v>686</v>
      </c>
    </row>
    <row r="5112" spans="1:5" hidden="1" x14ac:dyDescent="0.3">
      <c r="A5112" t="s">
        <v>552</v>
      </c>
      <c r="B5112" t="s">
        <v>685</v>
      </c>
      <c r="C5112" t="s">
        <v>88</v>
      </c>
      <c r="D5112" s="226">
        <v>-113.99</v>
      </c>
      <c r="E5112" t="s">
        <v>686</v>
      </c>
    </row>
    <row r="5113" spans="1:5" hidden="1" x14ac:dyDescent="0.3">
      <c r="A5113" t="s">
        <v>552</v>
      </c>
      <c r="B5113" t="s">
        <v>685</v>
      </c>
      <c r="C5113" t="s">
        <v>89</v>
      </c>
      <c r="D5113" s="226">
        <v>0</v>
      </c>
      <c r="E5113" t="s">
        <v>686</v>
      </c>
    </row>
    <row r="5114" spans="1:5" hidden="1" x14ac:dyDescent="0.3">
      <c r="A5114" t="s">
        <v>552</v>
      </c>
      <c r="B5114" t="s">
        <v>685</v>
      </c>
      <c r="C5114" t="s">
        <v>90</v>
      </c>
      <c r="D5114" s="226">
        <v>0</v>
      </c>
      <c r="E5114" t="s">
        <v>686</v>
      </c>
    </row>
    <row r="5115" spans="1:5" hidden="1" x14ac:dyDescent="0.3">
      <c r="A5115" t="s">
        <v>552</v>
      </c>
      <c r="B5115" t="s">
        <v>685</v>
      </c>
      <c r="C5115" t="s">
        <v>91</v>
      </c>
      <c r="D5115" s="226">
        <v>0</v>
      </c>
      <c r="E5115" t="s">
        <v>686</v>
      </c>
    </row>
    <row r="5116" spans="1:5" hidden="1" x14ac:dyDescent="0.3">
      <c r="A5116" t="s">
        <v>552</v>
      </c>
      <c r="B5116" t="s">
        <v>685</v>
      </c>
      <c r="C5116" t="s">
        <v>93</v>
      </c>
      <c r="D5116" s="226">
        <v>0</v>
      </c>
      <c r="E5116" t="s">
        <v>686</v>
      </c>
    </row>
    <row r="5117" spans="1:5" hidden="1" x14ac:dyDescent="0.3">
      <c r="A5117" t="s">
        <v>552</v>
      </c>
      <c r="B5117" t="s">
        <v>685</v>
      </c>
      <c r="C5117" t="s">
        <v>95</v>
      </c>
      <c r="D5117" s="226">
        <v>0</v>
      </c>
      <c r="E5117" t="s">
        <v>686</v>
      </c>
    </row>
    <row r="5118" spans="1:5" hidden="1" x14ac:dyDescent="0.3">
      <c r="A5118" t="s">
        <v>552</v>
      </c>
      <c r="B5118" t="s">
        <v>685</v>
      </c>
      <c r="C5118" t="s">
        <v>96</v>
      </c>
      <c r="D5118" s="226">
        <v>0</v>
      </c>
      <c r="E5118" t="s">
        <v>686</v>
      </c>
    </row>
    <row r="5119" spans="1:5" hidden="1" x14ac:dyDescent="0.3">
      <c r="A5119" t="s">
        <v>552</v>
      </c>
      <c r="B5119" t="s">
        <v>685</v>
      </c>
      <c r="C5119" t="s">
        <v>98</v>
      </c>
      <c r="D5119" s="226">
        <v>0</v>
      </c>
      <c r="E5119" t="s">
        <v>686</v>
      </c>
    </row>
    <row r="5120" spans="1:5" hidden="1" x14ac:dyDescent="0.3">
      <c r="A5120" t="s">
        <v>552</v>
      </c>
      <c r="B5120" t="s">
        <v>685</v>
      </c>
      <c r="C5120" t="s">
        <v>100</v>
      </c>
      <c r="D5120" s="226">
        <v>0</v>
      </c>
      <c r="E5120" t="s">
        <v>686</v>
      </c>
    </row>
    <row r="5121" spans="1:5" hidden="1" x14ac:dyDescent="0.3">
      <c r="A5121" t="s">
        <v>552</v>
      </c>
      <c r="B5121" t="s">
        <v>685</v>
      </c>
      <c r="C5121" t="s">
        <v>101</v>
      </c>
      <c r="D5121" s="226">
        <v>-890</v>
      </c>
      <c r="E5121" t="s">
        <v>686</v>
      </c>
    </row>
    <row r="5122" spans="1:5" hidden="1" x14ac:dyDescent="0.3">
      <c r="A5122" t="s">
        <v>552</v>
      </c>
      <c r="B5122" t="s">
        <v>685</v>
      </c>
      <c r="C5122" t="s">
        <v>102</v>
      </c>
      <c r="D5122" s="226">
        <v>0</v>
      </c>
      <c r="E5122" t="s">
        <v>686</v>
      </c>
    </row>
    <row r="5123" spans="1:5" hidden="1" x14ac:dyDescent="0.3">
      <c r="A5123" t="s">
        <v>552</v>
      </c>
      <c r="B5123" t="s">
        <v>685</v>
      </c>
      <c r="C5123" t="s">
        <v>103</v>
      </c>
      <c r="D5123" s="226">
        <v>-890</v>
      </c>
      <c r="E5123" t="s">
        <v>686</v>
      </c>
    </row>
    <row r="5124" spans="1:5" hidden="1" x14ac:dyDescent="0.3">
      <c r="A5124" t="s">
        <v>552</v>
      </c>
      <c r="B5124" t="s">
        <v>685</v>
      </c>
      <c r="C5124" t="s">
        <v>104</v>
      </c>
      <c r="D5124" s="226">
        <v>0</v>
      </c>
      <c r="E5124" t="s">
        <v>686</v>
      </c>
    </row>
    <row r="5125" spans="1:5" hidden="1" x14ac:dyDescent="0.3">
      <c r="A5125" t="s">
        <v>552</v>
      </c>
      <c r="B5125" t="s">
        <v>685</v>
      </c>
      <c r="C5125" t="s">
        <v>105</v>
      </c>
      <c r="D5125" s="226">
        <v>0</v>
      </c>
      <c r="E5125" t="s">
        <v>686</v>
      </c>
    </row>
    <row r="5126" spans="1:5" hidden="1" x14ac:dyDescent="0.3">
      <c r="A5126" t="s">
        <v>552</v>
      </c>
      <c r="B5126" t="s">
        <v>685</v>
      </c>
      <c r="C5126" t="s">
        <v>107</v>
      </c>
      <c r="D5126" s="226">
        <v>0</v>
      </c>
      <c r="E5126" t="s">
        <v>686</v>
      </c>
    </row>
    <row r="5127" spans="1:5" hidden="1" x14ac:dyDescent="0.3">
      <c r="A5127" t="s">
        <v>552</v>
      </c>
      <c r="B5127" t="s">
        <v>685</v>
      </c>
      <c r="C5127" t="s">
        <v>108</v>
      </c>
      <c r="D5127" s="226">
        <v>0</v>
      </c>
      <c r="E5127" t="s">
        <v>686</v>
      </c>
    </row>
    <row r="5128" spans="1:5" hidden="1" x14ac:dyDescent="0.3">
      <c r="A5128" t="s">
        <v>552</v>
      </c>
      <c r="B5128" t="s">
        <v>685</v>
      </c>
      <c r="C5128" t="s">
        <v>109</v>
      </c>
      <c r="D5128" s="226">
        <v>0</v>
      </c>
      <c r="E5128" t="s">
        <v>686</v>
      </c>
    </row>
    <row r="5129" spans="1:5" hidden="1" x14ac:dyDescent="0.3">
      <c r="A5129" t="s">
        <v>552</v>
      </c>
      <c r="B5129" t="s">
        <v>685</v>
      </c>
      <c r="C5129" t="s">
        <v>110</v>
      </c>
      <c r="D5129" s="226">
        <v>-0.15</v>
      </c>
      <c r="E5129" t="s">
        <v>686</v>
      </c>
    </row>
    <row r="5130" spans="1:5" hidden="1" x14ac:dyDescent="0.3">
      <c r="A5130" t="s">
        <v>552</v>
      </c>
      <c r="B5130" t="s">
        <v>685</v>
      </c>
      <c r="C5130" t="s">
        <v>44</v>
      </c>
      <c r="D5130" s="226">
        <v>0</v>
      </c>
      <c r="E5130" t="s">
        <v>686</v>
      </c>
    </row>
    <row r="5131" spans="1:5" hidden="1" x14ac:dyDescent="0.3">
      <c r="A5131" t="s">
        <v>552</v>
      </c>
      <c r="B5131" t="s">
        <v>685</v>
      </c>
      <c r="C5131" t="s">
        <v>111</v>
      </c>
      <c r="D5131" s="226">
        <v>-101800</v>
      </c>
      <c r="E5131" t="s">
        <v>686</v>
      </c>
    </row>
    <row r="5132" spans="1:5" hidden="1" x14ac:dyDescent="0.3">
      <c r="A5132" t="s">
        <v>552</v>
      </c>
      <c r="B5132" t="s">
        <v>685</v>
      </c>
      <c r="C5132" t="s">
        <v>555</v>
      </c>
      <c r="D5132" s="226">
        <v>-101800</v>
      </c>
      <c r="E5132" t="s">
        <v>686</v>
      </c>
    </row>
    <row r="5133" spans="1:5" hidden="1" x14ac:dyDescent="0.3">
      <c r="A5133" t="s">
        <v>552</v>
      </c>
      <c r="B5133" t="s">
        <v>685</v>
      </c>
      <c r="C5133" t="s">
        <v>44</v>
      </c>
      <c r="D5133" s="226">
        <v>-7.0000000000000007E-2</v>
      </c>
      <c r="E5133" t="s">
        <v>686</v>
      </c>
    </row>
    <row r="5134" spans="1:5" hidden="1" x14ac:dyDescent="0.3">
      <c r="A5134" t="s">
        <v>552</v>
      </c>
      <c r="B5134" t="s">
        <v>685</v>
      </c>
      <c r="C5134" t="s">
        <v>115</v>
      </c>
      <c r="D5134" s="226">
        <v>-23362.59</v>
      </c>
      <c r="E5134" t="s">
        <v>686</v>
      </c>
    </row>
    <row r="5135" spans="1:5" hidden="1" x14ac:dyDescent="0.3">
      <c r="A5135" t="s">
        <v>552</v>
      </c>
      <c r="B5135" t="s">
        <v>685</v>
      </c>
      <c r="C5135" t="s">
        <v>116</v>
      </c>
      <c r="D5135" s="226">
        <v>-19105.93</v>
      </c>
      <c r="E5135" t="s">
        <v>686</v>
      </c>
    </row>
    <row r="5136" spans="1:5" hidden="1" x14ac:dyDescent="0.3">
      <c r="A5136" t="s">
        <v>552</v>
      </c>
      <c r="B5136" t="s">
        <v>685</v>
      </c>
      <c r="C5136" t="s">
        <v>118</v>
      </c>
      <c r="D5136" s="226">
        <v>-4148.18</v>
      </c>
      <c r="E5136" t="s">
        <v>686</v>
      </c>
    </row>
    <row r="5137" spans="1:5" hidden="1" x14ac:dyDescent="0.3">
      <c r="A5137" t="s">
        <v>552</v>
      </c>
      <c r="B5137" t="s">
        <v>685</v>
      </c>
      <c r="C5137" t="s">
        <v>120</v>
      </c>
      <c r="D5137" s="226">
        <v>0</v>
      </c>
      <c r="E5137" t="s">
        <v>686</v>
      </c>
    </row>
    <row r="5138" spans="1:5" hidden="1" x14ac:dyDescent="0.3">
      <c r="A5138" t="s">
        <v>552</v>
      </c>
      <c r="B5138" t="s">
        <v>685</v>
      </c>
      <c r="C5138" t="s">
        <v>122</v>
      </c>
      <c r="D5138" s="226">
        <v>-108.48</v>
      </c>
      <c r="E5138" t="s">
        <v>686</v>
      </c>
    </row>
    <row r="5139" spans="1:5" hidden="1" x14ac:dyDescent="0.3">
      <c r="A5139" t="s">
        <v>552</v>
      </c>
      <c r="B5139" t="s">
        <v>685</v>
      </c>
      <c r="C5139" t="s">
        <v>44</v>
      </c>
      <c r="D5139" s="226">
        <v>-0.02</v>
      </c>
      <c r="E5139" t="s">
        <v>686</v>
      </c>
    </row>
    <row r="5140" spans="1:5" hidden="1" x14ac:dyDescent="0.3">
      <c r="A5140" t="s">
        <v>552</v>
      </c>
      <c r="B5140" t="s">
        <v>685</v>
      </c>
      <c r="C5140" t="s">
        <v>125</v>
      </c>
      <c r="D5140" s="226">
        <v>769773.87</v>
      </c>
      <c r="E5140" t="s">
        <v>686</v>
      </c>
    </row>
    <row r="5141" spans="1:5" hidden="1" x14ac:dyDescent="0.3">
      <c r="A5141" t="s">
        <v>552</v>
      </c>
      <c r="B5141" t="s">
        <v>685</v>
      </c>
      <c r="C5141" t="s">
        <v>126</v>
      </c>
      <c r="D5141" s="226">
        <v>0.56999999999999995</v>
      </c>
      <c r="E5141" t="s">
        <v>686</v>
      </c>
    </row>
    <row r="5142" spans="1:5" hidden="1" x14ac:dyDescent="0.3">
      <c r="A5142" t="s">
        <v>552</v>
      </c>
      <c r="B5142" t="s">
        <v>685</v>
      </c>
      <c r="C5142" t="s">
        <v>127</v>
      </c>
      <c r="D5142" s="226">
        <v>-292848.36</v>
      </c>
      <c r="E5142" t="s">
        <v>686</v>
      </c>
    </row>
    <row r="5143" spans="1:5" hidden="1" x14ac:dyDescent="0.3">
      <c r="A5143" t="s">
        <v>552</v>
      </c>
      <c r="B5143" t="s">
        <v>685</v>
      </c>
      <c r="C5143" t="s">
        <v>128</v>
      </c>
      <c r="D5143" s="226">
        <v>-48850</v>
      </c>
      <c r="E5143" t="s">
        <v>686</v>
      </c>
    </row>
    <row r="5144" spans="1:5" hidden="1" x14ac:dyDescent="0.3">
      <c r="A5144" t="s">
        <v>552</v>
      </c>
      <c r="B5144" t="s">
        <v>685</v>
      </c>
      <c r="C5144" t="s">
        <v>556</v>
      </c>
      <c r="D5144" s="226">
        <v>-10450</v>
      </c>
      <c r="E5144" t="s">
        <v>686</v>
      </c>
    </row>
    <row r="5145" spans="1:5" hidden="1" x14ac:dyDescent="0.3">
      <c r="A5145" t="s">
        <v>552</v>
      </c>
      <c r="B5145" t="s">
        <v>685</v>
      </c>
      <c r="C5145" t="s">
        <v>557</v>
      </c>
      <c r="D5145" s="226">
        <v>-6600</v>
      </c>
      <c r="E5145" t="s">
        <v>686</v>
      </c>
    </row>
    <row r="5146" spans="1:5" hidden="1" x14ac:dyDescent="0.3">
      <c r="A5146" t="s">
        <v>552</v>
      </c>
      <c r="B5146" t="s">
        <v>685</v>
      </c>
      <c r="C5146" t="s">
        <v>558</v>
      </c>
      <c r="D5146" s="226">
        <v>0</v>
      </c>
      <c r="E5146" t="s">
        <v>686</v>
      </c>
    </row>
    <row r="5147" spans="1:5" hidden="1" x14ac:dyDescent="0.3">
      <c r="A5147" t="s">
        <v>552</v>
      </c>
      <c r="B5147" t="s">
        <v>685</v>
      </c>
      <c r="C5147" t="s">
        <v>559</v>
      </c>
      <c r="D5147" s="226">
        <v>-16800</v>
      </c>
      <c r="E5147" t="s">
        <v>686</v>
      </c>
    </row>
    <row r="5148" spans="1:5" hidden="1" x14ac:dyDescent="0.3">
      <c r="A5148" t="s">
        <v>552</v>
      </c>
      <c r="B5148" t="s">
        <v>685</v>
      </c>
      <c r="C5148" t="s">
        <v>560</v>
      </c>
      <c r="D5148" s="226">
        <v>-4000</v>
      </c>
      <c r="E5148" t="s">
        <v>686</v>
      </c>
    </row>
    <row r="5149" spans="1:5" x14ac:dyDescent="0.3">
      <c r="A5149" t="s">
        <v>552</v>
      </c>
      <c r="B5149" t="s">
        <v>685</v>
      </c>
      <c r="C5149" t="s">
        <v>561</v>
      </c>
      <c r="D5149" s="226">
        <v>-7000</v>
      </c>
      <c r="E5149" t="s">
        <v>686</v>
      </c>
    </row>
    <row r="5150" spans="1:5" x14ac:dyDescent="0.3">
      <c r="A5150" t="s">
        <v>552</v>
      </c>
      <c r="B5150" t="s">
        <v>685</v>
      </c>
      <c r="C5150" t="s">
        <v>562</v>
      </c>
      <c r="D5150" s="226">
        <v>-4000</v>
      </c>
      <c r="E5150" t="s">
        <v>686</v>
      </c>
    </row>
    <row r="5151" spans="1:5" x14ac:dyDescent="0.3">
      <c r="A5151" t="s">
        <v>552</v>
      </c>
      <c r="B5151" t="s">
        <v>685</v>
      </c>
      <c r="C5151" t="s">
        <v>563</v>
      </c>
      <c r="D5151" s="226">
        <v>0</v>
      </c>
      <c r="E5151" t="s">
        <v>686</v>
      </c>
    </row>
    <row r="5152" spans="1:5" x14ac:dyDescent="0.3">
      <c r="A5152" t="s">
        <v>552</v>
      </c>
      <c r="B5152" t="s">
        <v>685</v>
      </c>
      <c r="C5152" t="s">
        <v>564</v>
      </c>
      <c r="D5152" s="226">
        <v>0</v>
      </c>
      <c r="E5152" t="s">
        <v>686</v>
      </c>
    </row>
    <row r="5153" spans="1:5" hidden="1" x14ac:dyDescent="0.3">
      <c r="A5153" t="s">
        <v>552</v>
      </c>
      <c r="B5153" t="s">
        <v>685</v>
      </c>
      <c r="C5153" t="s">
        <v>565</v>
      </c>
      <c r="D5153" s="226">
        <v>0</v>
      </c>
      <c r="E5153" t="s">
        <v>686</v>
      </c>
    </row>
    <row r="5154" spans="1:5" x14ac:dyDescent="0.3">
      <c r="A5154" t="s">
        <v>552</v>
      </c>
      <c r="B5154" t="s">
        <v>685</v>
      </c>
      <c r="C5154" t="s">
        <v>566</v>
      </c>
      <c r="D5154" s="226">
        <v>0</v>
      </c>
      <c r="E5154" t="s">
        <v>686</v>
      </c>
    </row>
    <row r="5155" spans="1:5" hidden="1" x14ac:dyDescent="0.3">
      <c r="A5155" t="s">
        <v>552</v>
      </c>
      <c r="B5155" t="s">
        <v>685</v>
      </c>
      <c r="C5155" t="s">
        <v>567</v>
      </c>
      <c r="D5155" s="226">
        <v>0</v>
      </c>
      <c r="E5155" t="s">
        <v>686</v>
      </c>
    </row>
    <row r="5156" spans="1:5" hidden="1" x14ac:dyDescent="0.3">
      <c r="A5156" t="s">
        <v>552</v>
      </c>
      <c r="B5156" t="s">
        <v>685</v>
      </c>
      <c r="C5156" t="s">
        <v>141</v>
      </c>
      <c r="D5156" s="226">
        <v>-53546.23</v>
      </c>
      <c r="E5156" t="s">
        <v>686</v>
      </c>
    </row>
    <row r="5157" spans="1:5" hidden="1" x14ac:dyDescent="0.3">
      <c r="A5157" t="s">
        <v>552</v>
      </c>
      <c r="B5157" t="s">
        <v>685</v>
      </c>
      <c r="C5157" t="s">
        <v>568</v>
      </c>
      <c r="D5157" s="226">
        <v>0</v>
      </c>
      <c r="E5157" t="s">
        <v>686</v>
      </c>
    </row>
    <row r="5158" spans="1:5" hidden="1" x14ac:dyDescent="0.3">
      <c r="A5158" t="s">
        <v>552</v>
      </c>
      <c r="B5158" t="s">
        <v>685</v>
      </c>
      <c r="C5158" t="s">
        <v>569</v>
      </c>
      <c r="D5158" s="226">
        <v>0</v>
      </c>
      <c r="E5158" t="s">
        <v>686</v>
      </c>
    </row>
    <row r="5159" spans="1:5" hidden="1" x14ac:dyDescent="0.3">
      <c r="A5159" t="s">
        <v>552</v>
      </c>
      <c r="B5159" t="s">
        <v>685</v>
      </c>
      <c r="C5159" t="s">
        <v>570</v>
      </c>
      <c r="D5159" s="226">
        <v>0</v>
      </c>
      <c r="E5159" t="s">
        <v>686</v>
      </c>
    </row>
    <row r="5160" spans="1:5" hidden="1" x14ac:dyDescent="0.3">
      <c r="A5160" t="s">
        <v>552</v>
      </c>
      <c r="B5160" t="s">
        <v>685</v>
      </c>
      <c r="C5160" t="s">
        <v>571</v>
      </c>
      <c r="D5160" s="226">
        <v>0</v>
      </c>
      <c r="E5160" t="s">
        <v>686</v>
      </c>
    </row>
    <row r="5161" spans="1:5" hidden="1" x14ac:dyDescent="0.3">
      <c r="A5161" t="s">
        <v>552</v>
      </c>
      <c r="B5161" t="s">
        <v>685</v>
      </c>
      <c r="C5161" t="s">
        <v>572</v>
      </c>
      <c r="D5161" s="226">
        <v>0</v>
      </c>
      <c r="E5161" t="s">
        <v>686</v>
      </c>
    </row>
    <row r="5162" spans="1:5" hidden="1" x14ac:dyDescent="0.3">
      <c r="A5162" t="s">
        <v>552</v>
      </c>
      <c r="B5162" t="s">
        <v>685</v>
      </c>
      <c r="C5162" t="s">
        <v>573</v>
      </c>
      <c r="D5162" s="226">
        <v>0</v>
      </c>
      <c r="E5162" t="s">
        <v>686</v>
      </c>
    </row>
    <row r="5163" spans="1:5" x14ac:dyDescent="0.3">
      <c r="A5163" t="s">
        <v>552</v>
      </c>
      <c r="B5163" t="s">
        <v>685</v>
      </c>
      <c r="C5163" t="s">
        <v>574</v>
      </c>
      <c r="D5163" s="226">
        <v>0</v>
      </c>
      <c r="E5163" t="s">
        <v>686</v>
      </c>
    </row>
    <row r="5164" spans="1:5" hidden="1" x14ac:dyDescent="0.3">
      <c r="A5164" t="s">
        <v>552</v>
      </c>
      <c r="B5164" t="s">
        <v>685</v>
      </c>
      <c r="C5164" t="s">
        <v>575</v>
      </c>
      <c r="D5164" s="226">
        <v>0</v>
      </c>
      <c r="E5164" t="s">
        <v>686</v>
      </c>
    </row>
    <row r="5165" spans="1:5" hidden="1" x14ac:dyDescent="0.3">
      <c r="A5165" t="s">
        <v>552</v>
      </c>
      <c r="B5165" t="s">
        <v>685</v>
      </c>
      <c r="C5165" t="s">
        <v>576</v>
      </c>
      <c r="D5165" s="226">
        <v>0</v>
      </c>
      <c r="E5165" t="s">
        <v>686</v>
      </c>
    </row>
    <row r="5166" spans="1:5" hidden="1" x14ac:dyDescent="0.3">
      <c r="A5166" t="s">
        <v>552</v>
      </c>
      <c r="B5166" t="s">
        <v>685</v>
      </c>
      <c r="C5166" t="s">
        <v>577</v>
      </c>
      <c r="D5166" s="226">
        <v>0</v>
      </c>
      <c r="E5166" t="s">
        <v>686</v>
      </c>
    </row>
    <row r="5167" spans="1:5" hidden="1" x14ac:dyDescent="0.3">
      <c r="A5167" t="s">
        <v>552</v>
      </c>
      <c r="B5167" t="s">
        <v>685</v>
      </c>
      <c r="C5167" t="s">
        <v>578</v>
      </c>
      <c r="D5167" s="226">
        <v>0</v>
      </c>
      <c r="E5167" t="s">
        <v>686</v>
      </c>
    </row>
    <row r="5168" spans="1:5" hidden="1" x14ac:dyDescent="0.3">
      <c r="A5168" t="s">
        <v>552</v>
      </c>
      <c r="B5168" t="s">
        <v>685</v>
      </c>
      <c r="C5168" t="s">
        <v>579</v>
      </c>
      <c r="D5168" s="226">
        <v>0</v>
      </c>
      <c r="E5168" t="s">
        <v>686</v>
      </c>
    </row>
    <row r="5169" spans="1:5" hidden="1" x14ac:dyDescent="0.3">
      <c r="A5169" t="s">
        <v>552</v>
      </c>
      <c r="B5169" t="s">
        <v>685</v>
      </c>
      <c r="C5169" t="s">
        <v>580</v>
      </c>
      <c r="D5169" s="226">
        <v>0</v>
      </c>
      <c r="E5169" t="s">
        <v>686</v>
      </c>
    </row>
    <row r="5170" spans="1:5" hidden="1" x14ac:dyDescent="0.3">
      <c r="A5170" t="s">
        <v>552</v>
      </c>
      <c r="B5170" t="s">
        <v>685</v>
      </c>
      <c r="C5170" t="s">
        <v>581</v>
      </c>
      <c r="D5170" s="226">
        <v>0</v>
      </c>
      <c r="E5170" t="s">
        <v>686</v>
      </c>
    </row>
    <row r="5171" spans="1:5" hidden="1" x14ac:dyDescent="0.3">
      <c r="A5171" t="s">
        <v>552</v>
      </c>
      <c r="B5171" t="s">
        <v>685</v>
      </c>
      <c r="C5171" t="s">
        <v>582</v>
      </c>
      <c r="D5171" s="226">
        <v>0</v>
      </c>
      <c r="E5171" t="s">
        <v>686</v>
      </c>
    </row>
    <row r="5172" spans="1:5" hidden="1" x14ac:dyDescent="0.3">
      <c r="A5172" t="s">
        <v>552</v>
      </c>
      <c r="B5172" t="s">
        <v>685</v>
      </c>
      <c r="C5172" t="s">
        <v>583</v>
      </c>
      <c r="D5172" s="226">
        <v>0</v>
      </c>
      <c r="E5172" t="s">
        <v>686</v>
      </c>
    </row>
    <row r="5173" spans="1:5" hidden="1" x14ac:dyDescent="0.3">
      <c r="A5173" t="s">
        <v>552</v>
      </c>
      <c r="B5173" t="s">
        <v>685</v>
      </c>
      <c r="C5173" t="s">
        <v>584</v>
      </c>
      <c r="D5173" s="226">
        <v>0</v>
      </c>
      <c r="E5173" t="s">
        <v>686</v>
      </c>
    </row>
    <row r="5174" spans="1:5" x14ac:dyDescent="0.3">
      <c r="A5174" t="s">
        <v>552</v>
      </c>
      <c r="B5174" t="s">
        <v>685</v>
      </c>
      <c r="C5174" t="s">
        <v>585</v>
      </c>
      <c r="D5174" s="226">
        <v>0</v>
      </c>
      <c r="E5174" t="s">
        <v>686</v>
      </c>
    </row>
    <row r="5175" spans="1:5" hidden="1" x14ac:dyDescent="0.3">
      <c r="A5175" t="s">
        <v>552</v>
      </c>
      <c r="B5175" t="s">
        <v>685</v>
      </c>
      <c r="C5175" t="s">
        <v>586</v>
      </c>
      <c r="D5175" s="226">
        <v>0</v>
      </c>
      <c r="E5175" t="s">
        <v>686</v>
      </c>
    </row>
    <row r="5176" spans="1:5" hidden="1" x14ac:dyDescent="0.3">
      <c r="A5176" t="s">
        <v>552</v>
      </c>
      <c r="B5176" t="s">
        <v>685</v>
      </c>
      <c r="C5176" t="s">
        <v>587</v>
      </c>
      <c r="D5176" s="226">
        <v>0</v>
      </c>
      <c r="E5176" t="s">
        <v>686</v>
      </c>
    </row>
    <row r="5177" spans="1:5" hidden="1" x14ac:dyDescent="0.3">
      <c r="A5177" t="s">
        <v>552</v>
      </c>
      <c r="B5177" t="s">
        <v>685</v>
      </c>
      <c r="C5177" t="s">
        <v>588</v>
      </c>
      <c r="D5177" s="226">
        <v>0</v>
      </c>
      <c r="E5177" t="s">
        <v>686</v>
      </c>
    </row>
    <row r="5178" spans="1:5" hidden="1" x14ac:dyDescent="0.3">
      <c r="A5178" t="s">
        <v>552</v>
      </c>
      <c r="B5178" t="s">
        <v>685</v>
      </c>
      <c r="C5178" t="s">
        <v>589</v>
      </c>
      <c r="D5178" s="226">
        <v>0</v>
      </c>
      <c r="E5178" t="s">
        <v>686</v>
      </c>
    </row>
    <row r="5179" spans="1:5" hidden="1" x14ac:dyDescent="0.3">
      <c r="A5179" t="s">
        <v>552</v>
      </c>
      <c r="B5179" t="s">
        <v>685</v>
      </c>
      <c r="C5179" t="s">
        <v>590</v>
      </c>
      <c r="D5179" s="226">
        <v>0</v>
      </c>
      <c r="E5179" t="s">
        <v>686</v>
      </c>
    </row>
    <row r="5180" spans="1:5" hidden="1" x14ac:dyDescent="0.3">
      <c r="A5180" t="s">
        <v>552</v>
      </c>
      <c r="B5180" t="s">
        <v>685</v>
      </c>
      <c r="C5180" t="s">
        <v>591</v>
      </c>
      <c r="D5180" s="226">
        <v>0</v>
      </c>
      <c r="E5180" t="s">
        <v>686</v>
      </c>
    </row>
    <row r="5181" spans="1:5" hidden="1" x14ac:dyDescent="0.3">
      <c r="A5181" t="s">
        <v>552</v>
      </c>
      <c r="B5181" t="s">
        <v>685</v>
      </c>
      <c r="C5181" t="s">
        <v>592</v>
      </c>
      <c r="D5181" s="226">
        <v>0</v>
      </c>
      <c r="E5181" t="s">
        <v>686</v>
      </c>
    </row>
    <row r="5182" spans="1:5" x14ac:dyDescent="0.3">
      <c r="A5182" t="s">
        <v>552</v>
      </c>
      <c r="B5182" t="s">
        <v>685</v>
      </c>
      <c r="C5182" t="s">
        <v>593</v>
      </c>
      <c r="D5182" s="226">
        <v>0</v>
      </c>
      <c r="E5182" t="s">
        <v>686</v>
      </c>
    </row>
    <row r="5183" spans="1:5" x14ac:dyDescent="0.3">
      <c r="A5183" t="s">
        <v>552</v>
      </c>
      <c r="B5183" t="s">
        <v>685</v>
      </c>
      <c r="C5183" t="s">
        <v>594</v>
      </c>
      <c r="D5183" s="226">
        <v>0</v>
      </c>
      <c r="E5183" t="s">
        <v>686</v>
      </c>
    </row>
    <row r="5184" spans="1:5" x14ac:dyDescent="0.3">
      <c r="A5184" t="s">
        <v>552</v>
      </c>
      <c r="B5184" t="s">
        <v>685</v>
      </c>
      <c r="C5184" t="s">
        <v>595</v>
      </c>
      <c r="D5184" s="226">
        <v>0</v>
      </c>
      <c r="E5184" t="s">
        <v>686</v>
      </c>
    </row>
    <row r="5185" spans="1:5" x14ac:dyDescent="0.3">
      <c r="A5185" t="s">
        <v>552</v>
      </c>
      <c r="B5185" t="s">
        <v>685</v>
      </c>
      <c r="C5185" t="s">
        <v>596</v>
      </c>
      <c r="D5185" s="226">
        <v>0</v>
      </c>
      <c r="E5185" t="s">
        <v>686</v>
      </c>
    </row>
    <row r="5186" spans="1:5" hidden="1" x14ac:dyDescent="0.3">
      <c r="A5186" t="s">
        <v>552</v>
      </c>
      <c r="B5186" t="s">
        <v>685</v>
      </c>
      <c r="C5186" t="s">
        <v>597</v>
      </c>
      <c r="D5186" s="226">
        <v>0</v>
      </c>
      <c r="E5186" t="s">
        <v>686</v>
      </c>
    </row>
    <row r="5187" spans="1:5" hidden="1" x14ac:dyDescent="0.3">
      <c r="A5187" t="s">
        <v>552</v>
      </c>
      <c r="B5187" t="s">
        <v>685</v>
      </c>
      <c r="C5187" t="s">
        <v>598</v>
      </c>
      <c r="D5187" s="226">
        <v>0</v>
      </c>
      <c r="E5187" t="s">
        <v>686</v>
      </c>
    </row>
    <row r="5188" spans="1:5" hidden="1" x14ac:dyDescent="0.3">
      <c r="A5188" t="s">
        <v>552</v>
      </c>
      <c r="B5188" t="s">
        <v>685</v>
      </c>
      <c r="C5188" t="s">
        <v>599</v>
      </c>
      <c r="D5188" s="226">
        <v>0</v>
      </c>
      <c r="E5188" t="s">
        <v>686</v>
      </c>
    </row>
    <row r="5189" spans="1:5" hidden="1" x14ac:dyDescent="0.3">
      <c r="A5189" t="s">
        <v>552</v>
      </c>
      <c r="B5189" t="s">
        <v>685</v>
      </c>
      <c r="C5189" t="s">
        <v>600</v>
      </c>
      <c r="D5189" s="226">
        <v>0</v>
      </c>
      <c r="E5189" t="s">
        <v>686</v>
      </c>
    </row>
    <row r="5190" spans="1:5" hidden="1" x14ac:dyDescent="0.3">
      <c r="A5190" t="s">
        <v>552</v>
      </c>
      <c r="B5190" t="s">
        <v>685</v>
      </c>
      <c r="C5190" t="s">
        <v>601</v>
      </c>
      <c r="D5190" s="226">
        <v>0</v>
      </c>
      <c r="E5190" t="s">
        <v>686</v>
      </c>
    </row>
    <row r="5191" spans="1:5" hidden="1" x14ac:dyDescent="0.3">
      <c r="A5191" t="s">
        <v>552</v>
      </c>
      <c r="B5191" t="s">
        <v>685</v>
      </c>
      <c r="C5191" t="s">
        <v>602</v>
      </c>
      <c r="D5191" s="226">
        <v>0</v>
      </c>
      <c r="E5191" t="s">
        <v>686</v>
      </c>
    </row>
    <row r="5192" spans="1:5" hidden="1" x14ac:dyDescent="0.3">
      <c r="A5192" t="s">
        <v>552</v>
      </c>
      <c r="B5192" t="s">
        <v>685</v>
      </c>
      <c r="C5192" t="s">
        <v>603</v>
      </c>
      <c r="D5192" s="226">
        <v>0</v>
      </c>
      <c r="E5192" t="s">
        <v>686</v>
      </c>
    </row>
    <row r="5193" spans="1:5" hidden="1" x14ac:dyDescent="0.3">
      <c r="A5193" t="s">
        <v>552</v>
      </c>
      <c r="B5193" t="s">
        <v>685</v>
      </c>
      <c r="C5193" t="s">
        <v>604</v>
      </c>
      <c r="D5193" s="226">
        <v>0</v>
      </c>
      <c r="E5193" t="s">
        <v>686</v>
      </c>
    </row>
    <row r="5194" spans="1:5" hidden="1" x14ac:dyDescent="0.3">
      <c r="A5194" t="s">
        <v>552</v>
      </c>
      <c r="B5194" t="s">
        <v>685</v>
      </c>
      <c r="C5194" t="s">
        <v>605</v>
      </c>
      <c r="D5194" s="226">
        <v>0</v>
      </c>
      <c r="E5194" t="s">
        <v>686</v>
      </c>
    </row>
    <row r="5195" spans="1:5" hidden="1" x14ac:dyDescent="0.3">
      <c r="A5195" t="s">
        <v>552</v>
      </c>
      <c r="B5195" t="s">
        <v>685</v>
      </c>
      <c r="C5195" t="s">
        <v>606</v>
      </c>
      <c r="D5195" s="226">
        <v>0</v>
      </c>
      <c r="E5195" t="s">
        <v>686</v>
      </c>
    </row>
    <row r="5196" spans="1:5" hidden="1" x14ac:dyDescent="0.3">
      <c r="A5196" t="s">
        <v>552</v>
      </c>
      <c r="B5196" t="s">
        <v>685</v>
      </c>
      <c r="C5196" t="s">
        <v>607</v>
      </c>
      <c r="D5196" s="226">
        <v>0</v>
      </c>
      <c r="E5196" t="s">
        <v>686</v>
      </c>
    </row>
    <row r="5197" spans="1:5" x14ac:dyDescent="0.3">
      <c r="A5197" t="s">
        <v>552</v>
      </c>
      <c r="B5197" t="s">
        <v>685</v>
      </c>
      <c r="C5197" t="s">
        <v>608</v>
      </c>
      <c r="D5197" s="226">
        <v>0</v>
      </c>
      <c r="E5197" t="s">
        <v>686</v>
      </c>
    </row>
    <row r="5198" spans="1:5" hidden="1" x14ac:dyDescent="0.3">
      <c r="A5198" t="s">
        <v>552</v>
      </c>
      <c r="B5198" t="s">
        <v>685</v>
      </c>
      <c r="C5198" t="s">
        <v>609</v>
      </c>
      <c r="D5198" s="226">
        <v>0</v>
      </c>
      <c r="E5198" t="s">
        <v>686</v>
      </c>
    </row>
    <row r="5199" spans="1:5" hidden="1" x14ac:dyDescent="0.3">
      <c r="A5199" t="s">
        <v>552</v>
      </c>
      <c r="B5199" t="s">
        <v>685</v>
      </c>
      <c r="C5199" t="s">
        <v>610</v>
      </c>
      <c r="D5199" s="226">
        <v>0</v>
      </c>
      <c r="E5199" t="s">
        <v>686</v>
      </c>
    </row>
    <row r="5200" spans="1:5" hidden="1" x14ac:dyDescent="0.3">
      <c r="A5200" t="s">
        <v>552</v>
      </c>
      <c r="B5200" t="s">
        <v>685</v>
      </c>
      <c r="C5200" t="s">
        <v>611</v>
      </c>
      <c r="D5200" s="226">
        <v>0</v>
      </c>
      <c r="E5200" t="s">
        <v>686</v>
      </c>
    </row>
    <row r="5201" spans="1:5" x14ac:dyDescent="0.3">
      <c r="A5201" t="s">
        <v>552</v>
      </c>
      <c r="B5201" t="s">
        <v>685</v>
      </c>
      <c r="C5201" t="s">
        <v>612</v>
      </c>
      <c r="D5201" s="226">
        <v>0</v>
      </c>
      <c r="E5201" t="s">
        <v>686</v>
      </c>
    </row>
    <row r="5202" spans="1:5" hidden="1" x14ac:dyDescent="0.3">
      <c r="A5202" t="s">
        <v>552</v>
      </c>
      <c r="B5202" t="s">
        <v>685</v>
      </c>
      <c r="C5202" t="s">
        <v>613</v>
      </c>
      <c r="D5202" s="226">
        <v>0</v>
      </c>
      <c r="E5202" t="s">
        <v>686</v>
      </c>
    </row>
    <row r="5203" spans="1:5" hidden="1" x14ac:dyDescent="0.3">
      <c r="A5203" t="s">
        <v>552</v>
      </c>
      <c r="B5203" t="s">
        <v>685</v>
      </c>
      <c r="C5203" t="s">
        <v>614</v>
      </c>
      <c r="D5203" s="226">
        <v>0</v>
      </c>
      <c r="E5203" t="s">
        <v>686</v>
      </c>
    </row>
    <row r="5204" spans="1:5" hidden="1" x14ac:dyDescent="0.3">
      <c r="A5204" t="s">
        <v>552</v>
      </c>
      <c r="B5204" t="s">
        <v>685</v>
      </c>
      <c r="C5204" t="s">
        <v>615</v>
      </c>
      <c r="D5204" s="226">
        <v>0</v>
      </c>
      <c r="E5204" t="s">
        <v>686</v>
      </c>
    </row>
    <row r="5205" spans="1:5" hidden="1" x14ac:dyDescent="0.3">
      <c r="A5205" t="s">
        <v>552</v>
      </c>
      <c r="B5205" t="s">
        <v>685</v>
      </c>
      <c r="C5205" t="s">
        <v>616</v>
      </c>
      <c r="D5205" s="226">
        <v>0</v>
      </c>
      <c r="E5205" t="s">
        <v>686</v>
      </c>
    </row>
    <row r="5206" spans="1:5" hidden="1" x14ac:dyDescent="0.3">
      <c r="A5206" t="s">
        <v>552</v>
      </c>
      <c r="B5206" t="s">
        <v>685</v>
      </c>
      <c r="C5206" t="s">
        <v>617</v>
      </c>
      <c r="D5206" s="226">
        <v>0</v>
      </c>
      <c r="E5206" t="s">
        <v>686</v>
      </c>
    </row>
    <row r="5207" spans="1:5" hidden="1" x14ac:dyDescent="0.3">
      <c r="A5207" t="s">
        <v>552</v>
      </c>
      <c r="B5207" t="s">
        <v>685</v>
      </c>
      <c r="C5207" t="s">
        <v>618</v>
      </c>
      <c r="D5207" s="226">
        <v>0</v>
      </c>
      <c r="E5207" t="s">
        <v>686</v>
      </c>
    </row>
    <row r="5208" spans="1:5" x14ac:dyDescent="0.3">
      <c r="A5208" t="s">
        <v>552</v>
      </c>
      <c r="B5208" t="s">
        <v>685</v>
      </c>
      <c r="C5208" t="s">
        <v>619</v>
      </c>
      <c r="D5208" s="226">
        <v>0</v>
      </c>
      <c r="E5208" t="s">
        <v>686</v>
      </c>
    </row>
    <row r="5209" spans="1:5" hidden="1" x14ac:dyDescent="0.3">
      <c r="A5209" t="s">
        <v>552</v>
      </c>
      <c r="B5209" t="s">
        <v>685</v>
      </c>
      <c r="C5209" t="s">
        <v>620</v>
      </c>
      <c r="D5209" s="226">
        <v>0</v>
      </c>
      <c r="E5209" t="s">
        <v>686</v>
      </c>
    </row>
    <row r="5210" spans="1:5" hidden="1" x14ac:dyDescent="0.3">
      <c r="A5210" t="s">
        <v>552</v>
      </c>
      <c r="B5210" t="s">
        <v>685</v>
      </c>
      <c r="C5210" t="s">
        <v>621</v>
      </c>
      <c r="D5210" s="226">
        <v>0</v>
      </c>
      <c r="E5210" t="s">
        <v>686</v>
      </c>
    </row>
    <row r="5211" spans="1:5" hidden="1" x14ac:dyDescent="0.3">
      <c r="A5211" t="s">
        <v>552</v>
      </c>
      <c r="B5211" t="s">
        <v>685</v>
      </c>
      <c r="C5211" t="s">
        <v>622</v>
      </c>
      <c r="D5211" s="226">
        <v>0</v>
      </c>
      <c r="E5211" t="s">
        <v>686</v>
      </c>
    </row>
    <row r="5212" spans="1:5" hidden="1" x14ac:dyDescent="0.3">
      <c r="A5212" t="s">
        <v>552</v>
      </c>
      <c r="B5212" t="s">
        <v>685</v>
      </c>
      <c r="C5212" t="s">
        <v>623</v>
      </c>
      <c r="D5212" s="226">
        <v>0</v>
      </c>
      <c r="E5212" t="s">
        <v>686</v>
      </c>
    </row>
    <row r="5213" spans="1:5" hidden="1" x14ac:dyDescent="0.3">
      <c r="A5213" t="s">
        <v>552</v>
      </c>
      <c r="B5213" t="s">
        <v>685</v>
      </c>
      <c r="C5213" t="s">
        <v>624</v>
      </c>
      <c r="D5213" s="226">
        <v>0</v>
      </c>
      <c r="E5213" t="s">
        <v>686</v>
      </c>
    </row>
    <row r="5214" spans="1:5" hidden="1" x14ac:dyDescent="0.3">
      <c r="A5214" t="s">
        <v>552</v>
      </c>
      <c r="B5214" t="s">
        <v>685</v>
      </c>
      <c r="C5214" t="s">
        <v>200</v>
      </c>
      <c r="D5214" s="226">
        <v>-95069.55</v>
      </c>
      <c r="E5214" t="s">
        <v>686</v>
      </c>
    </row>
    <row r="5215" spans="1:5" hidden="1" x14ac:dyDescent="0.3">
      <c r="A5215" t="s">
        <v>552</v>
      </c>
      <c r="B5215" t="s">
        <v>685</v>
      </c>
      <c r="C5215" t="s">
        <v>202</v>
      </c>
      <c r="D5215" s="226">
        <v>-95069.55</v>
      </c>
      <c r="E5215" t="s">
        <v>686</v>
      </c>
    </row>
    <row r="5216" spans="1:5" hidden="1" x14ac:dyDescent="0.3">
      <c r="A5216" t="s">
        <v>552</v>
      </c>
      <c r="B5216" t="s">
        <v>685</v>
      </c>
      <c r="C5216" t="s">
        <v>625</v>
      </c>
      <c r="D5216" s="226">
        <v>47534.78</v>
      </c>
      <c r="E5216" t="s">
        <v>686</v>
      </c>
    </row>
    <row r="5217" spans="1:5" hidden="1" x14ac:dyDescent="0.3">
      <c r="A5217" t="s">
        <v>552</v>
      </c>
      <c r="B5217" t="s">
        <v>685</v>
      </c>
      <c r="C5217" t="s">
        <v>204</v>
      </c>
      <c r="D5217" s="226">
        <v>-52780.08</v>
      </c>
      <c r="E5217" t="s">
        <v>686</v>
      </c>
    </row>
    <row r="5218" spans="1:5" hidden="1" x14ac:dyDescent="0.3">
      <c r="A5218" t="s">
        <v>552</v>
      </c>
      <c r="B5218" t="s">
        <v>685</v>
      </c>
      <c r="C5218" t="s">
        <v>626</v>
      </c>
      <c r="D5218" s="226">
        <v>-11310.68</v>
      </c>
      <c r="E5218" t="s">
        <v>686</v>
      </c>
    </row>
    <row r="5219" spans="1:5" hidden="1" x14ac:dyDescent="0.3">
      <c r="A5219" t="s">
        <v>552</v>
      </c>
      <c r="B5219" t="s">
        <v>685</v>
      </c>
      <c r="C5219" t="s">
        <v>627</v>
      </c>
      <c r="D5219" s="226">
        <v>0</v>
      </c>
      <c r="E5219" t="s">
        <v>686</v>
      </c>
    </row>
    <row r="5220" spans="1:5" hidden="1" x14ac:dyDescent="0.3">
      <c r="A5220" t="s">
        <v>552</v>
      </c>
      <c r="B5220" t="s">
        <v>685</v>
      </c>
      <c r="C5220" t="s">
        <v>628</v>
      </c>
      <c r="D5220" s="226">
        <v>-14845.02</v>
      </c>
      <c r="E5220" t="s">
        <v>686</v>
      </c>
    </row>
    <row r="5221" spans="1:5" hidden="1" x14ac:dyDescent="0.3">
      <c r="A5221" t="s">
        <v>552</v>
      </c>
      <c r="B5221" t="s">
        <v>685</v>
      </c>
      <c r="C5221" t="s">
        <v>629</v>
      </c>
      <c r="D5221" s="226">
        <v>-4962.37</v>
      </c>
      <c r="E5221" t="s">
        <v>686</v>
      </c>
    </row>
    <row r="5222" spans="1:5" hidden="1" x14ac:dyDescent="0.3">
      <c r="A5222" t="s">
        <v>552</v>
      </c>
      <c r="B5222" t="s">
        <v>685</v>
      </c>
      <c r="C5222" t="s">
        <v>630</v>
      </c>
      <c r="D5222" s="226">
        <v>-6059.83</v>
      </c>
      <c r="E5222" t="s">
        <v>686</v>
      </c>
    </row>
    <row r="5223" spans="1:5" hidden="1" x14ac:dyDescent="0.3">
      <c r="A5223" t="s">
        <v>552</v>
      </c>
      <c r="B5223" t="s">
        <v>685</v>
      </c>
      <c r="C5223" t="s">
        <v>631</v>
      </c>
      <c r="D5223" s="226">
        <v>0</v>
      </c>
      <c r="E5223" t="s">
        <v>686</v>
      </c>
    </row>
    <row r="5224" spans="1:5" hidden="1" x14ac:dyDescent="0.3">
      <c r="A5224" t="s">
        <v>552</v>
      </c>
      <c r="B5224" t="s">
        <v>685</v>
      </c>
      <c r="C5224" t="s">
        <v>632</v>
      </c>
      <c r="D5224" s="226">
        <v>0</v>
      </c>
      <c r="E5224" t="s">
        <v>686</v>
      </c>
    </row>
    <row r="5225" spans="1:5" hidden="1" x14ac:dyDescent="0.3">
      <c r="A5225" t="s">
        <v>552</v>
      </c>
      <c r="B5225" t="s">
        <v>685</v>
      </c>
      <c r="C5225" t="s">
        <v>633</v>
      </c>
      <c r="D5225" s="226">
        <v>-545.86</v>
      </c>
      <c r="E5225" t="s">
        <v>686</v>
      </c>
    </row>
    <row r="5226" spans="1:5" hidden="1" x14ac:dyDescent="0.3">
      <c r="A5226" t="s">
        <v>552</v>
      </c>
      <c r="B5226" t="s">
        <v>685</v>
      </c>
      <c r="C5226" t="s">
        <v>634</v>
      </c>
      <c r="D5226" s="226">
        <v>0</v>
      </c>
      <c r="E5226" t="s">
        <v>686</v>
      </c>
    </row>
    <row r="5227" spans="1:5" hidden="1" x14ac:dyDescent="0.3">
      <c r="A5227" t="s">
        <v>552</v>
      </c>
      <c r="B5227" t="s">
        <v>685</v>
      </c>
      <c r="C5227" t="s">
        <v>635</v>
      </c>
      <c r="D5227" s="226">
        <v>0</v>
      </c>
      <c r="E5227" t="s">
        <v>686</v>
      </c>
    </row>
    <row r="5228" spans="1:5" hidden="1" x14ac:dyDescent="0.3">
      <c r="A5228" t="s">
        <v>552</v>
      </c>
      <c r="B5228" t="s">
        <v>685</v>
      </c>
      <c r="C5228" t="s">
        <v>636</v>
      </c>
      <c r="D5228" s="226">
        <v>0</v>
      </c>
      <c r="E5228" t="s">
        <v>686</v>
      </c>
    </row>
    <row r="5229" spans="1:5" hidden="1" x14ac:dyDescent="0.3">
      <c r="A5229" t="s">
        <v>552</v>
      </c>
      <c r="B5229" t="s">
        <v>685</v>
      </c>
      <c r="C5229" t="s">
        <v>637</v>
      </c>
      <c r="D5229" s="226">
        <v>-7500</v>
      </c>
      <c r="E5229" t="s">
        <v>686</v>
      </c>
    </row>
    <row r="5230" spans="1:5" hidden="1" x14ac:dyDescent="0.3">
      <c r="A5230" t="s">
        <v>552</v>
      </c>
      <c r="B5230" t="s">
        <v>685</v>
      </c>
      <c r="C5230" t="s">
        <v>638</v>
      </c>
      <c r="D5230" s="226">
        <v>0</v>
      </c>
      <c r="E5230" t="s">
        <v>686</v>
      </c>
    </row>
    <row r="5231" spans="1:5" hidden="1" x14ac:dyDescent="0.3">
      <c r="A5231" t="s">
        <v>552</v>
      </c>
      <c r="B5231" t="s">
        <v>685</v>
      </c>
      <c r="C5231" t="s">
        <v>639</v>
      </c>
      <c r="D5231" s="226">
        <v>-7556.32</v>
      </c>
      <c r="E5231" t="s">
        <v>686</v>
      </c>
    </row>
    <row r="5232" spans="1:5" hidden="1" x14ac:dyDescent="0.3">
      <c r="A5232" t="s">
        <v>552</v>
      </c>
      <c r="B5232" t="s">
        <v>685</v>
      </c>
      <c r="C5232" t="s">
        <v>640</v>
      </c>
      <c r="D5232" s="226">
        <v>0</v>
      </c>
      <c r="E5232" t="s">
        <v>686</v>
      </c>
    </row>
    <row r="5233" spans="1:5" hidden="1" x14ac:dyDescent="0.3">
      <c r="A5233" t="s">
        <v>552</v>
      </c>
      <c r="B5233" t="s">
        <v>685</v>
      </c>
      <c r="C5233" t="s">
        <v>641</v>
      </c>
      <c r="D5233" s="226">
        <v>0</v>
      </c>
      <c r="E5233" t="s">
        <v>686</v>
      </c>
    </row>
    <row r="5234" spans="1:5" hidden="1" x14ac:dyDescent="0.3">
      <c r="A5234" t="s">
        <v>552</v>
      </c>
      <c r="B5234" t="s">
        <v>685</v>
      </c>
      <c r="C5234" t="s">
        <v>237</v>
      </c>
      <c r="D5234" s="226">
        <v>-7991.86</v>
      </c>
      <c r="E5234" t="s">
        <v>686</v>
      </c>
    </row>
    <row r="5235" spans="1:5" hidden="1" x14ac:dyDescent="0.3">
      <c r="A5235" t="s">
        <v>552</v>
      </c>
      <c r="B5235" t="s">
        <v>685</v>
      </c>
      <c r="C5235" t="s">
        <v>642</v>
      </c>
      <c r="D5235" s="226">
        <v>-7696.6</v>
      </c>
      <c r="E5235" t="s">
        <v>686</v>
      </c>
    </row>
    <row r="5236" spans="1:5" hidden="1" x14ac:dyDescent="0.3">
      <c r="A5236" t="s">
        <v>552</v>
      </c>
      <c r="B5236" t="s">
        <v>685</v>
      </c>
      <c r="C5236" t="s">
        <v>643</v>
      </c>
      <c r="D5236" s="226">
        <v>0</v>
      </c>
      <c r="E5236" t="s">
        <v>686</v>
      </c>
    </row>
    <row r="5237" spans="1:5" hidden="1" x14ac:dyDescent="0.3">
      <c r="A5237" t="s">
        <v>552</v>
      </c>
      <c r="B5237" t="s">
        <v>685</v>
      </c>
      <c r="C5237" t="s">
        <v>644</v>
      </c>
      <c r="D5237" s="226">
        <v>0</v>
      </c>
      <c r="E5237" t="s">
        <v>686</v>
      </c>
    </row>
    <row r="5238" spans="1:5" hidden="1" x14ac:dyDescent="0.3">
      <c r="A5238" t="s">
        <v>552</v>
      </c>
      <c r="B5238" t="s">
        <v>685</v>
      </c>
      <c r="C5238" t="s">
        <v>645</v>
      </c>
      <c r="D5238" s="226">
        <v>-295.26</v>
      </c>
      <c r="E5238" t="s">
        <v>686</v>
      </c>
    </row>
    <row r="5239" spans="1:5" hidden="1" x14ac:dyDescent="0.3">
      <c r="A5239" t="s">
        <v>552</v>
      </c>
      <c r="B5239" t="s">
        <v>685</v>
      </c>
      <c r="C5239" t="s">
        <v>646</v>
      </c>
      <c r="D5239" s="226">
        <v>0</v>
      </c>
      <c r="E5239" t="s">
        <v>686</v>
      </c>
    </row>
    <row r="5240" spans="1:5" hidden="1" x14ac:dyDescent="0.3">
      <c r="A5240" t="s">
        <v>552</v>
      </c>
      <c r="B5240" t="s">
        <v>685</v>
      </c>
      <c r="C5240" t="s">
        <v>244</v>
      </c>
      <c r="D5240" s="226">
        <v>-34610.65</v>
      </c>
      <c r="E5240" t="s">
        <v>686</v>
      </c>
    </row>
    <row r="5241" spans="1:5" hidden="1" x14ac:dyDescent="0.3">
      <c r="A5241" t="s">
        <v>552</v>
      </c>
      <c r="B5241" t="s">
        <v>685</v>
      </c>
      <c r="C5241" t="s">
        <v>647</v>
      </c>
      <c r="D5241" s="226">
        <v>-150.46</v>
      </c>
      <c r="E5241" t="s">
        <v>686</v>
      </c>
    </row>
    <row r="5242" spans="1:5" hidden="1" x14ac:dyDescent="0.3">
      <c r="A5242" t="s">
        <v>552</v>
      </c>
      <c r="B5242" t="s">
        <v>685</v>
      </c>
      <c r="C5242" t="s">
        <v>648</v>
      </c>
      <c r="D5242" s="226">
        <v>-705.98</v>
      </c>
      <c r="E5242" t="s">
        <v>686</v>
      </c>
    </row>
    <row r="5243" spans="1:5" hidden="1" x14ac:dyDescent="0.3">
      <c r="A5243" t="s">
        <v>552</v>
      </c>
      <c r="B5243" t="s">
        <v>685</v>
      </c>
      <c r="C5243" t="s">
        <v>649</v>
      </c>
      <c r="D5243" s="226">
        <v>0</v>
      </c>
      <c r="E5243" t="s">
        <v>686</v>
      </c>
    </row>
    <row r="5244" spans="1:5" hidden="1" x14ac:dyDescent="0.3">
      <c r="A5244" t="s">
        <v>552</v>
      </c>
      <c r="B5244" t="s">
        <v>685</v>
      </c>
      <c r="C5244" t="s">
        <v>650</v>
      </c>
      <c r="D5244" s="226">
        <v>-3000</v>
      </c>
      <c r="E5244" t="s">
        <v>686</v>
      </c>
    </row>
    <row r="5245" spans="1:5" hidden="1" x14ac:dyDescent="0.3">
      <c r="A5245" t="s">
        <v>552</v>
      </c>
      <c r="B5245" t="s">
        <v>685</v>
      </c>
      <c r="C5245" t="s">
        <v>651</v>
      </c>
      <c r="D5245" s="226">
        <v>0</v>
      </c>
      <c r="E5245" t="s">
        <v>686</v>
      </c>
    </row>
    <row r="5246" spans="1:5" hidden="1" x14ac:dyDescent="0.3">
      <c r="A5246" t="s">
        <v>552</v>
      </c>
      <c r="B5246" t="s">
        <v>685</v>
      </c>
      <c r="C5246" t="s">
        <v>652</v>
      </c>
      <c r="D5246" s="226">
        <v>-30754.21</v>
      </c>
      <c r="E5246" t="s">
        <v>686</v>
      </c>
    </row>
    <row r="5247" spans="1:5" hidden="1" x14ac:dyDescent="0.3">
      <c r="A5247" t="s">
        <v>552</v>
      </c>
      <c r="B5247" t="s">
        <v>685</v>
      </c>
      <c r="C5247" t="s">
        <v>653</v>
      </c>
      <c r="D5247" s="226">
        <v>0</v>
      </c>
      <c r="E5247" t="s">
        <v>686</v>
      </c>
    </row>
    <row r="5248" spans="1:5" hidden="1" x14ac:dyDescent="0.3">
      <c r="A5248" t="s">
        <v>552</v>
      </c>
      <c r="B5248" t="s">
        <v>685</v>
      </c>
      <c r="C5248" t="s">
        <v>253</v>
      </c>
      <c r="D5248" s="226">
        <v>-0.22</v>
      </c>
      <c r="E5248" t="s">
        <v>686</v>
      </c>
    </row>
    <row r="5249" spans="1:5" hidden="1" x14ac:dyDescent="0.3">
      <c r="A5249" t="s">
        <v>552</v>
      </c>
      <c r="B5249" t="s">
        <v>685</v>
      </c>
      <c r="C5249" t="s">
        <v>254</v>
      </c>
      <c r="D5249" s="226">
        <v>-0.18</v>
      </c>
      <c r="E5249" t="s">
        <v>686</v>
      </c>
    </row>
    <row r="5250" spans="1:5" hidden="1" x14ac:dyDescent="0.3">
      <c r="A5250" t="s">
        <v>552</v>
      </c>
      <c r="B5250" t="s">
        <v>685</v>
      </c>
      <c r="C5250" t="s">
        <v>255</v>
      </c>
      <c r="D5250" s="226">
        <v>-47007.25</v>
      </c>
      <c r="E5250" t="s">
        <v>686</v>
      </c>
    </row>
    <row r="5251" spans="1:5" hidden="1" x14ac:dyDescent="0.3">
      <c r="A5251" t="s">
        <v>552</v>
      </c>
      <c r="B5251" t="s">
        <v>685</v>
      </c>
      <c r="C5251" t="s">
        <v>256</v>
      </c>
      <c r="D5251" s="226">
        <v>-28000</v>
      </c>
      <c r="E5251" t="s">
        <v>686</v>
      </c>
    </row>
    <row r="5252" spans="1:5" hidden="1" x14ac:dyDescent="0.3">
      <c r="A5252" t="s">
        <v>552</v>
      </c>
      <c r="B5252" t="s">
        <v>685</v>
      </c>
      <c r="C5252" t="s">
        <v>257</v>
      </c>
      <c r="D5252" s="226">
        <v>-15133.82</v>
      </c>
      <c r="E5252" t="s">
        <v>686</v>
      </c>
    </row>
    <row r="5253" spans="1:5" hidden="1" x14ac:dyDescent="0.3">
      <c r="A5253" t="s">
        <v>552</v>
      </c>
      <c r="B5253" t="s">
        <v>685</v>
      </c>
      <c r="C5253" t="s">
        <v>258</v>
      </c>
      <c r="D5253" s="226">
        <v>-3873.43</v>
      </c>
      <c r="E5253" t="s">
        <v>686</v>
      </c>
    </row>
    <row r="5254" spans="1:5" hidden="1" x14ac:dyDescent="0.3">
      <c r="A5254" t="s">
        <v>552</v>
      </c>
      <c r="B5254" t="s">
        <v>685</v>
      </c>
      <c r="C5254" t="s">
        <v>259</v>
      </c>
      <c r="D5254" s="226">
        <v>0</v>
      </c>
      <c r="E5254" t="s">
        <v>686</v>
      </c>
    </row>
    <row r="5255" spans="1:5" hidden="1" x14ac:dyDescent="0.3">
      <c r="A5255" t="s">
        <v>552</v>
      </c>
      <c r="B5255" t="s">
        <v>685</v>
      </c>
      <c r="C5255" t="s">
        <v>260</v>
      </c>
      <c r="D5255" s="226">
        <v>0</v>
      </c>
      <c r="E5255" t="s">
        <v>686</v>
      </c>
    </row>
    <row r="5256" spans="1:5" hidden="1" x14ac:dyDescent="0.3">
      <c r="A5256" t="s">
        <v>552</v>
      </c>
      <c r="B5256" t="s">
        <v>685</v>
      </c>
      <c r="C5256" t="s">
        <v>261</v>
      </c>
      <c r="D5256" s="226">
        <v>0</v>
      </c>
      <c r="E5256" t="s">
        <v>686</v>
      </c>
    </row>
    <row r="5257" spans="1:5" hidden="1" x14ac:dyDescent="0.3">
      <c r="A5257" t="s">
        <v>552</v>
      </c>
      <c r="B5257" t="s">
        <v>685</v>
      </c>
      <c r="C5257" t="s">
        <v>262</v>
      </c>
      <c r="D5257" s="226">
        <v>0</v>
      </c>
      <c r="E5257" t="s">
        <v>686</v>
      </c>
    </row>
    <row r="5258" spans="1:5" hidden="1" x14ac:dyDescent="0.3">
      <c r="A5258" t="s">
        <v>552</v>
      </c>
      <c r="B5258" t="s">
        <v>685</v>
      </c>
      <c r="C5258" t="s">
        <v>44</v>
      </c>
      <c r="D5258" s="226">
        <v>-0.03</v>
      </c>
      <c r="E5258" t="s">
        <v>686</v>
      </c>
    </row>
    <row r="5259" spans="1:5" hidden="1" x14ac:dyDescent="0.3">
      <c r="A5259" t="s">
        <v>552</v>
      </c>
      <c r="B5259" t="s">
        <v>685</v>
      </c>
      <c r="C5259" t="s">
        <v>263</v>
      </c>
      <c r="D5259" s="226">
        <v>-88848.24</v>
      </c>
      <c r="E5259" t="s">
        <v>686</v>
      </c>
    </row>
    <row r="5260" spans="1:5" hidden="1" x14ac:dyDescent="0.3">
      <c r="A5260" t="s">
        <v>552</v>
      </c>
      <c r="B5260" t="s">
        <v>685</v>
      </c>
      <c r="C5260" t="s">
        <v>264</v>
      </c>
      <c r="D5260" s="226">
        <v>-15118.85</v>
      </c>
      <c r="E5260" t="s">
        <v>686</v>
      </c>
    </row>
    <row r="5261" spans="1:5" hidden="1" x14ac:dyDescent="0.3">
      <c r="A5261" t="s">
        <v>552</v>
      </c>
      <c r="B5261" t="s">
        <v>685</v>
      </c>
      <c r="C5261" t="s">
        <v>265</v>
      </c>
      <c r="D5261" s="226">
        <v>-14724.46</v>
      </c>
      <c r="E5261" t="s">
        <v>686</v>
      </c>
    </row>
    <row r="5262" spans="1:5" hidden="1" x14ac:dyDescent="0.3">
      <c r="A5262" t="s">
        <v>552</v>
      </c>
      <c r="B5262" t="s">
        <v>685</v>
      </c>
      <c r="C5262" t="s">
        <v>266</v>
      </c>
      <c r="D5262" s="226">
        <v>-11269.57</v>
      </c>
      <c r="E5262" t="s">
        <v>686</v>
      </c>
    </row>
    <row r="5263" spans="1:5" hidden="1" x14ac:dyDescent="0.3">
      <c r="A5263" t="s">
        <v>552</v>
      </c>
      <c r="B5263" t="s">
        <v>685</v>
      </c>
      <c r="C5263" t="s">
        <v>267</v>
      </c>
      <c r="D5263" s="226">
        <v>-20584.810000000001</v>
      </c>
      <c r="E5263" t="s">
        <v>686</v>
      </c>
    </row>
    <row r="5264" spans="1:5" hidden="1" x14ac:dyDescent="0.3">
      <c r="A5264" t="s">
        <v>552</v>
      </c>
      <c r="B5264" t="s">
        <v>685</v>
      </c>
      <c r="C5264" t="s">
        <v>268</v>
      </c>
      <c r="D5264" s="226">
        <v>0</v>
      </c>
      <c r="E5264" t="s">
        <v>686</v>
      </c>
    </row>
    <row r="5265" spans="1:5" hidden="1" x14ac:dyDescent="0.3">
      <c r="A5265" t="s">
        <v>552</v>
      </c>
      <c r="B5265" t="s">
        <v>685</v>
      </c>
      <c r="C5265" t="s">
        <v>269</v>
      </c>
      <c r="D5265" s="226">
        <v>-580</v>
      </c>
      <c r="E5265" t="s">
        <v>686</v>
      </c>
    </row>
    <row r="5266" spans="1:5" hidden="1" x14ac:dyDescent="0.3">
      <c r="A5266" t="s">
        <v>552</v>
      </c>
      <c r="B5266" t="s">
        <v>685</v>
      </c>
      <c r="C5266" t="s">
        <v>270</v>
      </c>
      <c r="D5266" s="226">
        <v>-4174.41</v>
      </c>
      <c r="E5266" t="s">
        <v>686</v>
      </c>
    </row>
    <row r="5267" spans="1:5" hidden="1" x14ac:dyDescent="0.3">
      <c r="A5267" t="s">
        <v>552</v>
      </c>
      <c r="B5267" t="s">
        <v>685</v>
      </c>
      <c r="C5267" t="s">
        <v>271</v>
      </c>
      <c r="D5267" s="226">
        <v>-3530.34</v>
      </c>
      <c r="E5267" t="s">
        <v>686</v>
      </c>
    </row>
    <row r="5268" spans="1:5" hidden="1" x14ac:dyDescent="0.3">
      <c r="A5268" t="s">
        <v>552</v>
      </c>
      <c r="B5268" t="s">
        <v>685</v>
      </c>
      <c r="C5268" t="s">
        <v>272</v>
      </c>
      <c r="D5268" s="226">
        <v>0</v>
      </c>
      <c r="E5268" t="s">
        <v>686</v>
      </c>
    </row>
    <row r="5269" spans="1:5" hidden="1" x14ac:dyDescent="0.3">
      <c r="A5269" t="s">
        <v>552</v>
      </c>
      <c r="B5269" t="s">
        <v>685</v>
      </c>
      <c r="C5269" t="s">
        <v>273</v>
      </c>
      <c r="D5269" s="226">
        <v>0</v>
      </c>
      <c r="E5269" t="s">
        <v>686</v>
      </c>
    </row>
    <row r="5270" spans="1:5" hidden="1" x14ac:dyDescent="0.3">
      <c r="A5270" t="s">
        <v>552</v>
      </c>
      <c r="B5270" t="s">
        <v>685</v>
      </c>
      <c r="C5270" t="s">
        <v>274</v>
      </c>
      <c r="D5270" s="226">
        <v>-1032.0899999999999</v>
      </c>
      <c r="E5270" t="s">
        <v>686</v>
      </c>
    </row>
    <row r="5271" spans="1:5" hidden="1" x14ac:dyDescent="0.3">
      <c r="A5271" t="s">
        <v>552</v>
      </c>
      <c r="B5271" t="s">
        <v>685</v>
      </c>
      <c r="C5271" t="s">
        <v>275</v>
      </c>
      <c r="D5271" s="226">
        <v>-1631.32</v>
      </c>
      <c r="E5271" t="s">
        <v>686</v>
      </c>
    </row>
    <row r="5272" spans="1:5" hidden="1" x14ac:dyDescent="0.3">
      <c r="A5272" t="s">
        <v>552</v>
      </c>
      <c r="B5272" t="s">
        <v>685</v>
      </c>
      <c r="C5272" t="s">
        <v>276</v>
      </c>
      <c r="D5272" s="226">
        <v>-1740</v>
      </c>
      <c r="E5272" t="s">
        <v>686</v>
      </c>
    </row>
    <row r="5273" spans="1:5" hidden="1" x14ac:dyDescent="0.3">
      <c r="A5273" t="s">
        <v>552</v>
      </c>
      <c r="B5273" t="s">
        <v>685</v>
      </c>
      <c r="C5273" t="s">
        <v>277</v>
      </c>
      <c r="D5273" s="226">
        <v>-14462.39</v>
      </c>
      <c r="E5273" t="s">
        <v>686</v>
      </c>
    </row>
    <row r="5274" spans="1:5" hidden="1" x14ac:dyDescent="0.3">
      <c r="A5274" t="s">
        <v>552</v>
      </c>
      <c r="B5274" t="s">
        <v>685</v>
      </c>
      <c r="C5274" t="s">
        <v>44</v>
      </c>
      <c r="D5274" s="226">
        <v>-7.0000000000000007E-2</v>
      </c>
      <c r="E5274" t="s">
        <v>686</v>
      </c>
    </row>
    <row r="5275" spans="1:5" hidden="1" x14ac:dyDescent="0.3">
      <c r="A5275" t="s">
        <v>552</v>
      </c>
      <c r="B5275" t="s">
        <v>685</v>
      </c>
      <c r="C5275" t="s">
        <v>278</v>
      </c>
      <c r="D5275" s="226">
        <v>-6470.3</v>
      </c>
      <c r="E5275" t="s">
        <v>686</v>
      </c>
    </row>
    <row r="5276" spans="1:5" hidden="1" x14ac:dyDescent="0.3">
      <c r="A5276" t="s">
        <v>552</v>
      </c>
      <c r="B5276" t="s">
        <v>685</v>
      </c>
      <c r="C5276" t="s">
        <v>279</v>
      </c>
      <c r="D5276" s="226">
        <v>0</v>
      </c>
      <c r="E5276" t="s">
        <v>686</v>
      </c>
    </row>
    <row r="5277" spans="1:5" hidden="1" x14ac:dyDescent="0.3">
      <c r="A5277" t="s">
        <v>552</v>
      </c>
      <c r="B5277" t="s">
        <v>685</v>
      </c>
      <c r="C5277" t="s">
        <v>280</v>
      </c>
      <c r="D5277" s="226">
        <v>-466.89</v>
      </c>
      <c r="E5277" t="s">
        <v>686</v>
      </c>
    </row>
    <row r="5278" spans="1:5" hidden="1" x14ac:dyDescent="0.3">
      <c r="A5278" t="s">
        <v>552</v>
      </c>
      <c r="B5278" t="s">
        <v>685</v>
      </c>
      <c r="C5278" t="s">
        <v>281</v>
      </c>
      <c r="D5278" s="226">
        <v>-21.9</v>
      </c>
      <c r="E5278" t="s">
        <v>686</v>
      </c>
    </row>
    <row r="5279" spans="1:5" hidden="1" x14ac:dyDescent="0.3">
      <c r="A5279" t="s">
        <v>552</v>
      </c>
      <c r="B5279" t="s">
        <v>685</v>
      </c>
      <c r="C5279" t="s">
        <v>282</v>
      </c>
      <c r="D5279" s="226">
        <v>-815</v>
      </c>
      <c r="E5279" t="s">
        <v>686</v>
      </c>
    </row>
    <row r="5280" spans="1:5" hidden="1" x14ac:dyDescent="0.3">
      <c r="A5280" t="s">
        <v>552</v>
      </c>
      <c r="B5280" t="s">
        <v>685</v>
      </c>
      <c r="C5280" t="s">
        <v>283</v>
      </c>
      <c r="D5280" s="226">
        <v>-3835.45</v>
      </c>
      <c r="E5280" t="s">
        <v>686</v>
      </c>
    </row>
    <row r="5281" spans="1:5" hidden="1" x14ac:dyDescent="0.3">
      <c r="A5281" t="s">
        <v>552</v>
      </c>
      <c r="B5281" t="s">
        <v>685</v>
      </c>
      <c r="C5281" t="s">
        <v>284</v>
      </c>
      <c r="D5281" s="226">
        <v>-429</v>
      </c>
      <c r="E5281" t="s">
        <v>686</v>
      </c>
    </row>
    <row r="5282" spans="1:5" hidden="1" x14ac:dyDescent="0.3">
      <c r="A5282" t="s">
        <v>552</v>
      </c>
      <c r="B5282" t="s">
        <v>685</v>
      </c>
      <c r="C5282" t="s">
        <v>285</v>
      </c>
      <c r="D5282" s="226">
        <v>-902.06</v>
      </c>
      <c r="E5282" t="s">
        <v>686</v>
      </c>
    </row>
    <row r="5283" spans="1:5" hidden="1" x14ac:dyDescent="0.3">
      <c r="A5283" t="s">
        <v>552</v>
      </c>
      <c r="B5283" t="s">
        <v>685</v>
      </c>
      <c r="C5283" t="s">
        <v>44</v>
      </c>
      <c r="D5283" s="226">
        <v>0</v>
      </c>
      <c r="E5283" t="s">
        <v>686</v>
      </c>
    </row>
    <row r="5284" spans="1:5" hidden="1" x14ac:dyDescent="0.3">
      <c r="A5284" t="s">
        <v>552</v>
      </c>
      <c r="B5284" t="s">
        <v>685</v>
      </c>
      <c r="C5284" t="s">
        <v>286</v>
      </c>
      <c r="D5284" s="226">
        <v>-9179.07</v>
      </c>
      <c r="E5284" t="s">
        <v>686</v>
      </c>
    </row>
    <row r="5285" spans="1:5" hidden="1" x14ac:dyDescent="0.3">
      <c r="A5285" t="s">
        <v>552</v>
      </c>
      <c r="B5285" t="s">
        <v>685</v>
      </c>
      <c r="C5285" t="s">
        <v>287</v>
      </c>
      <c r="D5285" s="226">
        <v>-5000</v>
      </c>
      <c r="E5285" t="s">
        <v>686</v>
      </c>
    </row>
    <row r="5286" spans="1:5" hidden="1" x14ac:dyDescent="0.3">
      <c r="A5286" t="s">
        <v>552</v>
      </c>
      <c r="B5286" t="s">
        <v>685</v>
      </c>
      <c r="C5286" t="s">
        <v>288</v>
      </c>
      <c r="D5286" s="226">
        <v>-3010</v>
      </c>
      <c r="E5286" t="s">
        <v>686</v>
      </c>
    </row>
    <row r="5287" spans="1:5" hidden="1" x14ac:dyDescent="0.3">
      <c r="A5287" t="s">
        <v>552</v>
      </c>
      <c r="B5287" t="s">
        <v>685</v>
      </c>
      <c r="C5287" t="s">
        <v>289</v>
      </c>
      <c r="D5287" s="226">
        <v>0</v>
      </c>
      <c r="E5287" t="s">
        <v>686</v>
      </c>
    </row>
    <row r="5288" spans="1:5" hidden="1" x14ac:dyDescent="0.3">
      <c r="A5288" t="s">
        <v>552</v>
      </c>
      <c r="B5288" t="s">
        <v>685</v>
      </c>
      <c r="C5288" t="s">
        <v>290</v>
      </c>
      <c r="D5288" s="226">
        <v>-1152.57</v>
      </c>
      <c r="E5288" t="s">
        <v>686</v>
      </c>
    </row>
    <row r="5289" spans="1:5" hidden="1" x14ac:dyDescent="0.3">
      <c r="A5289" t="s">
        <v>552</v>
      </c>
      <c r="B5289" t="s">
        <v>685</v>
      </c>
      <c r="C5289" t="s">
        <v>291</v>
      </c>
      <c r="D5289" s="226">
        <v>0</v>
      </c>
      <c r="E5289" t="s">
        <v>686</v>
      </c>
    </row>
    <row r="5290" spans="1:5" hidden="1" x14ac:dyDescent="0.3">
      <c r="A5290" t="s">
        <v>552</v>
      </c>
      <c r="B5290" t="s">
        <v>685</v>
      </c>
      <c r="C5290" t="s">
        <v>292</v>
      </c>
      <c r="D5290" s="226">
        <v>0</v>
      </c>
      <c r="E5290" t="s">
        <v>686</v>
      </c>
    </row>
    <row r="5291" spans="1:5" hidden="1" x14ac:dyDescent="0.3">
      <c r="A5291" t="s">
        <v>552</v>
      </c>
      <c r="B5291" t="s">
        <v>685</v>
      </c>
      <c r="C5291" t="s">
        <v>293</v>
      </c>
      <c r="D5291" s="226">
        <v>-16.5</v>
      </c>
      <c r="E5291" t="s">
        <v>686</v>
      </c>
    </row>
    <row r="5292" spans="1:5" hidden="1" x14ac:dyDescent="0.3">
      <c r="A5292" t="s">
        <v>552</v>
      </c>
      <c r="B5292" t="s">
        <v>685</v>
      </c>
      <c r="C5292" t="s">
        <v>294</v>
      </c>
      <c r="D5292" s="226">
        <v>0</v>
      </c>
      <c r="E5292" t="s">
        <v>686</v>
      </c>
    </row>
    <row r="5293" spans="1:5" hidden="1" x14ac:dyDescent="0.3">
      <c r="A5293" t="s">
        <v>552</v>
      </c>
      <c r="B5293" t="s">
        <v>685</v>
      </c>
      <c r="C5293" t="s">
        <v>44</v>
      </c>
      <c r="D5293" s="226">
        <v>-0.01</v>
      </c>
      <c r="E5293" t="s">
        <v>686</v>
      </c>
    </row>
    <row r="5294" spans="1:5" hidden="1" x14ac:dyDescent="0.3">
      <c r="A5294" t="s">
        <v>552</v>
      </c>
      <c r="B5294" t="s">
        <v>685</v>
      </c>
      <c r="C5294" t="s">
        <v>295</v>
      </c>
      <c r="D5294" s="226">
        <v>-10852.75</v>
      </c>
      <c r="E5294" t="s">
        <v>686</v>
      </c>
    </row>
    <row r="5295" spans="1:5" hidden="1" x14ac:dyDescent="0.3">
      <c r="A5295" t="s">
        <v>552</v>
      </c>
      <c r="B5295" t="s">
        <v>685</v>
      </c>
      <c r="C5295" t="s">
        <v>296</v>
      </c>
      <c r="D5295" s="226">
        <v>-4500</v>
      </c>
      <c r="E5295" t="s">
        <v>686</v>
      </c>
    </row>
    <row r="5296" spans="1:5" hidden="1" x14ac:dyDescent="0.3">
      <c r="A5296" t="s">
        <v>552</v>
      </c>
      <c r="B5296" t="s">
        <v>685</v>
      </c>
      <c r="C5296" t="s">
        <v>297</v>
      </c>
      <c r="D5296" s="226">
        <v>-500</v>
      </c>
      <c r="E5296" t="s">
        <v>686</v>
      </c>
    </row>
    <row r="5297" spans="1:5" hidden="1" x14ac:dyDescent="0.3">
      <c r="A5297" t="s">
        <v>552</v>
      </c>
      <c r="B5297" t="s">
        <v>685</v>
      </c>
      <c r="C5297" t="s">
        <v>298</v>
      </c>
      <c r="D5297" s="226">
        <v>0</v>
      </c>
      <c r="E5297" t="s">
        <v>686</v>
      </c>
    </row>
    <row r="5298" spans="1:5" hidden="1" x14ac:dyDescent="0.3">
      <c r="A5298" t="s">
        <v>552</v>
      </c>
      <c r="B5298" t="s">
        <v>685</v>
      </c>
      <c r="C5298" t="s">
        <v>299</v>
      </c>
      <c r="D5298" s="226">
        <v>0</v>
      </c>
      <c r="E5298" t="s">
        <v>686</v>
      </c>
    </row>
    <row r="5299" spans="1:5" hidden="1" x14ac:dyDescent="0.3">
      <c r="A5299" t="s">
        <v>552</v>
      </c>
      <c r="B5299" t="s">
        <v>685</v>
      </c>
      <c r="C5299" t="s">
        <v>300</v>
      </c>
      <c r="D5299" s="226">
        <v>0</v>
      </c>
      <c r="E5299" t="s">
        <v>686</v>
      </c>
    </row>
    <row r="5300" spans="1:5" hidden="1" x14ac:dyDescent="0.3">
      <c r="A5300" t="s">
        <v>552</v>
      </c>
      <c r="B5300" t="s">
        <v>685</v>
      </c>
      <c r="C5300" t="s">
        <v>301</v>
      </c>
      <c r="D5300" s="226">
        <v>0</v>
      </c>
      <c r="E5300" t="s">
        <v>686</v>
      </c>
    </row>
    <row r="5301" spans="1:5" hidden="1" x14ac:dyDescent="0.3">
      <c r="A5301" t="s">
        <v>552</v>
      </c>
      <c r="B5301" t="s">
        <v>685</v>
      </c>
      <c r="C5301" t="s">
        <v>302</v>
      </c>
      <c r="D5301" s="226">
        <v>-1500</v>
      </c>
      <c r="E5301" t="s">
        <v>686</v>
      </c>
    </row>
    <row r="5302" spans="1:5" hidden="1" x14ac:dyDescent="0.3">
      <c r="A5302" t="s">
        <v>552</v>
      </c>
      <c r="B5302" t="s">
        <v>685</v>
      </c>
      <c r="C5302" t="s">
        <v>303</v>
      </c>
      <c r="D5302" s="226">
        <v>-2208</v>
      </c>
      <c r="E5302" t="s">
        <v>686</v>
      </c>
    </row>
    <row r="5303" spans="1:5" hidden="1" x14ac:dyDescent="0.3">
      <c r="A5303" t="s">
        <v>552</v>
      </c>
      <c r="B5303" t="s">
        <v>685</v>
      </c>
      <c r="C5303" t="s">
        <v>304</v>
      </c>
      <c r="D5303" s="226">
        <v>-22.59</v>
      </c>
      <c r="E5303" t="s">
        <v>686</v>
      </c>
    </row>
    <row r="5304" spans="1:5" hidden="1" x14ac:dyDescent="0.3">
      <c r="A5304" t="s">
        <v>552</v>
      </c>
      <c r="B5304" t="s">
        <v>685</v>
      </c>
      <c r="C5304" t="s">
        <v>305</v>
      </c>
      <c r="D5304" s="226">
        <v>0</v>
      </c>
      <c r="E5304" t="s">
        <v>686</v>
      </c>
    </row>
    <row r="5305" spans="1:5" x14ac:dyDescent="0.3">
      <c r="A5305" t="s">
        <v>552</v>
      </c>
      <c r="B5305" t="s">
        <v>685</v>
      </c>
      <c r="C5305" t="s">
        <v>306</v>
      </c>
      <c r="D5305" s="226">
        <v>-2122.16</v>
      </c>
      <c r="E5305" t="s">
        <v>686</v>
      </c>
    </row>
    <row r="5306" spans="1:5" hidden="1" x14ac:dyDescent="0.3">
      <c r="A5306" t="s">
        <v>552</v>
      </c>
      <c r="B5306" t="s">
        <v>685</v>
      </c>
      <c r="C5306" t="s">
        <v>44</v>
      </c>
      <c r="D5306" s="226">
        <v>-0.01</v>
      </c>
      <c r="E5306" t="s">
        <v>686</v>
      </c>
    </row>
    <row r="5307" spans="1:5" hidden="1" x14ac:dyDescent="0.3">
      <c r="A5307" t="s">
        <v>552</v>
      </c>
      <c r="B5307" t="s">
        <v>685</v>
      </c>
      <c r="C5307" t="s">
        <v>307</v>
      </c>
      <c r="D5307" s="226">
        <v>-18594.63</v>
      </c>
      <c r="E5307" t="s">
        <v>686</v>
      </c>
    </row>
    <row r="5308" spans="1:5" hidden="1" x14ac:dyDescent="0.3">
      <c r="A5308" t="s">
        <v>552</v>
      </c>
      <c r="B5308" t="s">
        <v>685</v>
      </c>
      <c r="C5308" t="s">
        <v>308</v>
      </c>
      <c r="D5308" s="226">
        <v>-4019</v>
      </c>
      <c r="E5308" t="s">
        <v>686</v>
      </c>
    </row>
    <row r="5309" spans="1:5" hidden="1" x14ac:dyDescent="0.3">
      <c r="A5309" t="s">
        <v>552</v>
      </c>
      <c r="B5309" t="s">
        <v>685</v>
      </c>
      <c r="C5309" t="s">
        <v>309</v>
      </c>
      <c r="D5309" s="226">
        <v>0</v>
      </c>
      <c r="E5309" t="s">
        <v>686</v>
      </c>
    </row>
    <row r="5310" spans="1:5" hidden="1" x14ac:dyDescent="0.3">
      <c r="A5310" t="s">
        <v>552</v>
      </c>
      <c r="B5310" t="s">
        <v>685</v>
      </c>
      <c r="C5310" t="s">
        <v>310</v>
      </c>
      <c r="D5310" s="226">
        <v>-1758.48</v>
      </c>
      <c r="E5310" t="s">
        <v>686</v>
      </c>
    </row>
    <row r="5311" spans="1:5" hidden="1" x14ac:dyDescent="0.3">
      <c r="A5311" t="s">
        <v>552</v>
      </c>
      <c r="B5311" t="s">
        <v>685</v>
      </c>
      <c r="C5311" t="s">
        <v>311</v>
      </c>
      <c r="D5311" s="226">
        <v>-185</v>
      </c>
      <c r="E5311" t="s">
        <v>686</v>
      </c>
    </row>
    <row r="5312" spans="1:5" hidden="1" x14ac:dyDescent="0.3">
      <c r="A5312" t="s">
        <v>552</v>
      </c>
      <c r="B5312" t="s">
        <v>685</v>
      </c>
      <c r="C5312" t="s">
        <v>312</v>
      </c>
      <c r="D5312" s="226">
        <v>0</v>
      </c>
      <c r="E5312" t="s">
        <v>686</v>
      </c>
    </row>
    <row r="5313" spans="1:5" hidden="1" x14ac:dyDescent="0.3">
      <c r="A5313" t="s">
        <v>552</v>
      </c>
      <c r="B5313" t="s">
        <v>685</v>
      </c>
      <c r="C5313" t="s">
        <v>313</v>
      </c>
      <c r="D5313" s="226">
        <v>-2372.15</v>
      </c>
      <c r="E5313" t="s">
        <v>686</v>
      </c>
    </row>
    <row r="5314" spans="1:5" hidden="1" x14ac:dyDescent="0.3">
      <c r="A5314" t="s">
        <v>552</v>
      </c>
      <c r="B5314" t="s">
        <v>685</v>
      </c>
      <c r="C5314" t="s">
        <v>314</v>
      </c>
      <c r="D5314" s="226">
        <v>0</v>
      </c>
      <c r="E5314" t="s">
        <v>686</v>
      </c>
    </row>
    <row r="5315" spans="1:5" hidden="1" x14ac:dyDescent="0.3">
      <c r="A5315" t="s">
        <v>552</v>
      </c>
      <c r="B5315" t="s">
        <v>685</v>
      </c>
      <c r="C5315" t="s">
        <v>315</v>
      </c>
      <c r="D5315" s="226">
        <v>-10260</v>
      </c>
      <c r="E5315" t="s">
        <v>686</v>
      </c>
    </row>
    <row r="5316" spans="1:5" hidden="1" x14ac:dyDescent="0.3">
      <c r="A5316" t="s">
        <v>552</v>
      </c>
      <c r="B5316" t="s">
        <v>685</v>
      </c>
      <c r="C5316" t="s">
        <v>316</v>
      </c>
      <c r="D5316" s="226">
        <v>0</v>
      </c>
      <c r="E5316" t="s">
        <v>686</v>
      </c>
    </row>
    <row r="5317" spans="1:5" hidden="1" x14ac:dyDescent="0.3">
      <c r="A5317" t="s">
        <v>552</v>
      </c>
      <c r="B5317" t="s">
        <v>685</v>
      </c>
      <c r="C5317" t="s">
        <v>44</v>
      </c>
      <c r="D5317" s="226">
        <v>-0.01</v>
      </c>
      <c r="E5317" t="s">
        <v>686</v>
      </c>
    </row>
    <row r="5318" spans="1:5" hidden="1" x14ac:dyDescent="0.3">
      <c r="A5318" t="s">
        <v>552</v>
      </c>
      <c r="B5318" t="s">
        <v>685</v>
      </c>
      <c r="C5318" t="s">
        <v>317</v>
      </c>
      <c r="D5318" s="226">
        <v>-5747.93</v>
      </c>
      <c r="E5318" t="s">
        <v>686</v>
      </c>
    </row>
    <row r="5319" spans="1:5" hidden="1" x14ac:dyDescent="0.3">
      <c r="A5319" t="s">
        <v>552</v>
      </c>
      <c r="B5319" t="s">
        <v>685</v>
      </c>
      <c r="C5319" t="s">
        <v>318</v>
      </c>
      <c r="D5319" s="226">
        <v>-5595</v>
      </c>
      <c r="E5319" t="s">
        <v>686</v>
      </c>
    </row>
    <row r="5320" spans="1:5" hidden="1" x14ac:dyDescent="0.3">
      <c r="A5320" t="s">
        <v>552</v>
      </c>
      <c r="B5320" t="s">
        <v>685</v>
      </c>
      <c r="C5320" t="s">
        <v>319</v>
      </c>
      <c r="D5320" s="226">
        <v>-152.93</v>
      </c>
      <c r="E5320" t="s">
        <v>686</v>
      </c>
    </row>
    <row r="5321" spans="1:5" hidden="1" x14ac:dyDescent="0.3">
      <c r="A5321" t="s">
        <v>552</v>
      </c>
      <c r="B5321" t="s">
        <v>685</v>
      </c>
      <c r="C5321" t="s">
        <v>320</v>
      </c>
      <c r="D5321" s="226">
        <v>0</v>
      </c>
      <c r="E5321" t="s">
        <v>686</v>
      </c>
    </row>
    <row r="5322" spans="1:5" hidden="1" x14ac:dyDescent="0.3">
      <c r="A5322" t="s">
        <v>552</v>
      </c>
      <c r="B5322" t="s">
        <v>685</v>
      </c>
      <c r="C5322" t="s">
        <v>321</v>
      </c>
      <c r="D5322" s="226">
        <v>0</v>
      </c>
      <c r="E5322" t="s">
        <v>686</v>
      </c>
    </row>
    <row r="5323" spans="1:5" hidden="1" x14ac:dyDescent="0.3">
      <c r="A5323" t="s">
        <v>552</v>
      </c>
      <c r="B5323" t="s">
        <v>685</v>
      </c>
      <c r="C5323" t="s">
        <v>44</v>
      </c>
      <c r="D5323" s="226">
        <v>0</v>
      </c>
      <c r="E5323" t="s">
        <v>686</v>
      </c>
    </row>
    <row r="5324" spans="1:5" hidden="1" x14ac:dyDescent="0.3">
      <c r="A5324" t="s">
        <v>552</v>
      </c>
      <c r="B5324" t="s">
        <v>685</v>
      </c>
      <c r="C5324" t="s">
        <v>322</v>
      </c>
      <c r="D5324" s="226">
        <v>-68054.820000000007</v>
      </c>
      <c r="E5324" t="s">
        <v>686</v>
      </c>
    </row>
    <row r="5325" spans="1:5" hidden="1" x14ac:dyDescent="0.3">
      <c r="A5325" t="s">
        <v>552</v>
      </c>
      <c r="B5325" t="s">
        <v>685</v>
      </c>
      <c r="C5325" t="s">
        <v>323</v>
      </c>
      <c r="D5325" s="226">
        <v>0</v>
      </c>
      <c r="E5325" t="s">
        <v>686</v>
      </c>
    </row>
    <row r="5326" spans="1:5" hidden="1" x14ac:dyDescent="0.3">
      <c r="A5326" t="s">
        <v>552</v>
      </c>
      <c r="B5326" t="s">
        <v>685</v>
      </c>
      <c r="C5326" t="s">
        <v>324</v>
      </c>
      <c r="D5326" s="226">
        <v>0</v>
      </c>
      <c r="E5326" t="s">
        <v>686</v>
      </c>
    </row>
    <row r="5327" spans="1:5" x14ac:dyDescent="0.3">
      <c r="A5327" t="s">
        <v>552</v>
      </c>
      <c r="B5327" t="s">
        <v>685</v>
      </c>
      <c r="C5327" t="s">
        <v>325</v>
      </c>
      <c r="D5327" s="226">
        <v>-68054.820000000007</v>
      </c>
      <c r="E5327" t="s">
        <v>686</v>
      </c>
    </row>
    <row r="5328" spans="1:5" hidden="1" x14ac:dyDescent="0.3">
      <c r="A5328" t="s">
        <v>552</v>
      </c>
      <c r="B5328" t="s">
        <v>685</v>
      </c>
      <c r="C5328" t="s">
        <v>44</v>
      </c>
      <c r="D5328" s="226">
        <v>-0.05</v>
      </c>
      <c r="E5328" t="s">
        <v>686</v>
      </c>
    </row>
    <row r="5329" spans="1:5" hidden="1" x14ac:dyDescent="0.3">
      <c r="A5329" t="s">
        <v>552</v>
      </c>
      <c r="B5329" t="s">
        <v>685</v>
      </c>
      <c r="C5329" t="s">
        <v>327</v>
      </c>
      <c r="D5329" s="226">
        <v>-547603.36</v>
      </c>
      <c r="E5329" t="s">
        <v>686</v>
      </c>
    </row>
    <row r="5330" spans="1:5" hidden="1" x14ac:dyDescent="0.3">
      <c r="A5330" t="s">
        <v>552</v>
      </c>
      <c r="B5330" t="s">
        <v>685</v>
      </c>
      <c r="C5330" t="s">
        <v>44</v>
      </c>
      <c r="D5330" s="226">
        <v>-0.4</v>
      </c>
      <c r="E5330" t="s">
        <v>686</v>
      </c>
    </row>
    <row r="5331" spans="1:5" hidden="1" x14ac:dyDescent="0.3">
      <c r="A5331" t="s">
        <v>552</v>
      </c>
      <c r="B5331" t="s">
        <v>685</v>
      </c>
      <c r="C5331" t="s">
        <v>328</v>
      </c>
      <c r="D5331" s="226">
        <v>222170.51</v>
      </c>
      <c r="E5331" t="s">
        <v>686</v>
      </c>
    </row>
    <row r="5332" spans="1:5" hidden="1" x14ac:dyDescent="0.3">
      <c r="A5332" t="s">
        <v>552</v>
      </c>
      <c r="B5332" t="s">
        <v>685</v>
      </c>
      <c r="C5332" t="s">
        <v>44</v>
      </c>
      <c r="D5332" s="226">
        <v>0.16</v>
      </c>
      <c r="E5332" t="s">
        <v>686</v>
      </c>
    </row>
    <row r="5333" spans="1:5" hidden="1" x14ac:dyDescent="0.3">
      <c r="A5333" t="s">
        <v>552</v>
      </c>
      <c r="B5333" t="s">
        <v>685</v>
      </c>
      <c r="C5333" t="s">
        <v>329</v>
      </c>
      <c r="D5333" s="226">
        <v>0</v>
      </c>
      <c r="E5333" t="s">
        <v>686</v>
      </c>
    </row>
    <row r="5334" spans="1:5" hidden="1" x14ac:dyDescent="0.3">
      <c r="A5334" t="s">
        <v>552</v>
      </c>
      <c r="B5334" t="s">
        <v>685</v>
      </c>
      <c r="C5334" t="s">
        <v>331</v>
      </c>
      <c r="D5334" s="226">
        <v>222170.51</v>
      </c>
      <c r="E5334" t="s">
        <v>686</v>
      </c>
    </row>
    <row r="5335" spans="1:5" hidden="1" x14ac:dyDescent="0.3">
      <c r="A5335" t="s">
        <v>552</v>
      </c>
      <c r="B5335" t="s">
        <v>685</v>
      </c>
      <c r="C5335" t="s">
        <v>332</v>
      </c>
      <c r="D5335" s="226">
        <v>-1297.6300000000001</v>
      </c>
      <c r="E5335" t="s">
        <v>686</v>
      </c>
    </row>
    <row r="5336" spans="1:5" hidden="1" x14ac:dyDescent="0.3">
      <c r="A5336" t="s">
        <v>552</v>
      </c>
      <c r="B5336" t="s">
        <v>685</v>
      </c>
      <c r="C5336" t="s">
        <v>333</v>
      </c>
      <c r="D5336" s="226">
        <v>27342</v>
      </c>
      <c r="E5336" t="s">
        <v>686</v>
      </c>
    </row>
    <row r="5337" spans="1:5" hidden="1" x14ac:dyDescent="0.3">
      <c r="A5337" t="s">
        <v>552</v>
      </c>
      <c r="B5337" t="s">
        <v>685</v>
      </c>
      <c r="C5337" t="s">
        <v>335</v>
      </c>
      <c r="D5337" s="226">
        <v>-2644.3</v>
      </c>
      <c r="E5337" t="s">
        <v>686</v>
      </c>
    </row>
    <row r="5338" spans="1:5" hidden="1" x14ac:dyDescent="0.3">
      <c r="A5338" t="s">
        <v>552</v>
      </c>
      <c r="B5338" t="s">
        <v>685</v>
      </c>
      <c r="C5338" t="s">
        <v>337</v>
      </c>
      <c r="D5338" s="226">
        <v>245570.58</v>
      </c>
      <c r="E5338" t="s">
        <v>686</v>
      </c>
    </row>
    <row r="5339" spans="1:5" hidden="1" x14ac:dyDescent="0.3">
      <c r="A5339" t="s">
        <v>552</v>
      </c>
      <c r="B5339" t="s">
        <v>685</v>
      </c>
      <c r="C5339" t="s">
        <v>338</v>
      </c>
      <c r="D5339" s="226">
        <v>-28338.93</v>
      </c>
      <c r="E5339" t="s">
        <v>686</v>
      </c>
    </row>
    <row r="5340" spans="1:5" hidden="1" x14ac:dyDescent="0.3">
      <c r="A5340" t="s">
        <v>552</v>
      </c>
      <c r="B5340" t="s">
        <v>685</v>
      </c>
      <c r="C5340" t="s">
        <v>341</v>
      </c>
      <c r="D5340" s="226">
        <v>0</v>
      </c>
      <c r="E5340" t="s">
        <v>686</v>
      </c>
    </row>
    <row r="5341" spans="1:5" hidden="1" x14ac:dyDescent="0.3">
      <c r="A5341" t="s">
        <v>552</v>
      </c>
      <c r="B5341" t="s">
        <v>685</v>
      </c>
      <c r="C5341" t="s">
        <v>343</v>
      </c>
      <c r="D5341" s="226">
        <v>-15007.47</v>
      </c>
      <c r="E5341" t="s">
        <v>686</v>
      </c>
    </row>
    <row r="5342" spans="1:5" hidden="1" x14ac:dyDescent="0.3">
      <c r="A5342" t="s">
        <v>552</v>
      </c>
      <c r="B5342" t="s">
        <v>685</v>
      </c>
      <c r="C5342" t="s">
        <v>344</v>
      </c>
      <c r="D5342" s="226">
        <v>0</v>
      </c>
      <c r="E5342" t="s">
        <v>686</v>
      </c>
    </row>
    <row r="5343" spans="1:5" hidden="1" x14ac:dyDescent="0.3">
      <c r="A5343" t="s">
        <v>552</v>
      </c>
      <c r="B5343" t="s">
        <v>685</v>
      </c>
      <c r="C5343" t="s">
        <v>345</v>
      </c>
      <c r="D5343" s="226">
        <v>-13331.46</v>
      </c>
      <c r="E5343" t="s">
        <v>686</v>
      </c>
    </row>
    <row r="5344" spans="1:5" hidden="1" x14ac:dyDescent="0.3">
      <c r="A5344" t="s">
        <v>552</v>
      </c>
      <c r="B5344" t="s">
        <v>685</v>
      </c>
      <c r="C5344" t="s">
        <v>346</v>
      </c>
      <c r="D5344" s="226">
        <v>217231.64</v>
      </c>
      <c r="E5344" t="s">
        <v>686</v>
      </c>
    </row>
    <row r="5345" spans="1:5" hidden="1" x14ac:dyDescent="0.3">
      <c r="A5345" t="s">
        <v>552</v>
      </c>
      <c r="B5345" t="s">
        <v>685</v>
      </c>
      <c r="C5345" t="s">
        <v>44</v>
      </c>
      <c r="D5345" s="226">
        <v>0.16</v>
      </c>
      <c r="E5345" t="s">
        <v>686</v>
      </c>
    </row>
    <row r="5346" spans="1:5" hidden="1" x14ac:dyDescent="0.3">
      <c r="A5346" t="s">
        <v>552</v>
      </c>
      <c r="B5346" t="s">
        <v>685</v>
      </c>
      <c r="C5346" t="s">
        <v>347</v>
      </c>
      <c r="D5346" s="226">
        <v>-10303.290000000001</v>
      </c>
      <c r="E5346" t="s">
        <v>686</v>
      </c>
    </row>
    <row r="5347" spans="1:5" hidden="1" x14ac:dyDescent="0.3">
      <c r="A5347" t="s">
        <v>552</v>
      </c>
      <c r="B5347" t="s">
        <v>685</v>
      </c>
      <c r="C5347" t="s">
        <v>654</v>
      </c>
      <c r="D5347" s="226">
        <v>0</v>
      </c>
      <c r="E5347" t="s">
        <v>686</v>
      </c>
    </row>
    <row r="5348" spans="1:5" hidden="1" x14ac:dyDescent="0.3">
      <c r="A5348" t="s">
        <v>552</v>
      </c>
      <c r="B5348" t="s">
        <v>685</v>
      </c>
      <c r="C5348" t="s">
        <v>349</v>
      </c>
      <c r="D5348" s="226">
        <v>-2566.37</v>
      </c>
      <c r="E5348" t="s">
        <v>686</v>
      </c>
    </row>
    <row r="5349" spans="1:5" hidden="1" x14ac:dyDescent="0.3">
      <c r="A5349" t="s">
        <v>552</v>
      </c>
      <c r="B5349" t="s">
        <v>685</v>
      </c>
      <c r="C5349" t="s">
        <v>350</v>
      </c>
      <c r="D5349" s="226">
        <v>-7736.92</v>
      </c>
      <c r="E5349" t="s">
        <v>686</v>
      </c>
    </row>
    <row r="5350" spans="1:5" hidden="1" x14ac:dyDescent="0.3">
      <c r="A5350" t="s">
        <v>552</v>
      </c>
      <c r="B5350" t="s">
        <v>685</v>
      </c>
      <c r="C5350" t="s">
        <v>351</v>
      </c>
      <c r="D5350" s="226">
        <v>0</v>
      </c>
      <c r="E5350" t="s">
        <v>686</v>
      </c>
    </row>
    <row r="5351" spans="1:5" hidden="1" x14ac:dyDescent="0.3">
      <c r="A5351" t="s">
        <v>552</v>
      </c>
      <c r="B5351" t="s">
        <v>685</v>
      </c>
      <c r="C5351" t="s">
        <v>352</v>
      </c>
      <c r="D5351" s="226">
        <v>0</v>
      </c>
      <c r="E5351" t="s">
        <v>686</v>
      </c>
    </row>
    <row r="5352" spans="1:5" hidden="1" x14ac:dyDescent="0.3">
      <c r="A5352" t="s">
        <v>552</v>
      </c>
      <c r="B5352" t="s">
        <v>685</v>
      </c>
      <c r="C5352" t="s">
        <v>353</v>
      </c>
      <c r="D5352" s="226">
        <v>0</v>
      </c>
      <c r="E5352" t="s">
        <v>686</v>
      </c>
    </row>
    <row r="5353" spans="1:5" hidden="1" x14ac:dyDescent="0.3">
      <c r="A5353" t="s">
        <v>552</v>
      </c>
      <c r="B5353" t="s">
        <v>685</v>
      </c>
      <c r="C5353" t="s">
        <v>354</v>
      </c>
      <c r="D5353" s="226">
        <v>0</v>
      </c>
      <c r="E5353" t="s">
        <v>686</v>
      </c>
    </row>
    <row r="5354" spans="1:5" hidden="1" x14ac:dyDescent="0.3">
      <c r="A5354" t="s">
        <v>552</v>
      </c>
      <c r="B5354" t="s">
        <v>685</v>
      </c>
      <c r="C5354" t="s">
        <v>355</v>
      </c>
      <c r="D5354" s="226">
        <v>0</v>
      </c>
      <c r="E5354" t="s">
        <v>686</v>
      </c>
    </row>
    <row r="5355" spans="1:5" hidden="1" x14ac:dyDescent="0.3">
      <c r="A5355" t="s">
        <v>552</v>
      </c>
      <c r="B5355" t="s">
        <v>685</v>
      </c>
      <c r="C5355" t="s">
        <v>356</v>
      </c>
      <c r="D5355" s="226">
        <v>0</v>
      </c>
      <c r="E5355" t="s">
        <v>686</v>
      </c>
    </row>
    <row r="5356" spans="1:5" hidden="1" x14ac:dyDescent="0.3">
      <c r="A5356" t="s">
        <v>552</v>
      </c>
      <c r="B5356" t="s">
        <v>685</v>
      </c>
      <c r="C5356" t="s">
        <v>357</v>
      </c>
      <c r="D5356" s="226">
        <v>0</v>
      </c>
      <c r="E5356" t="s">
        <v>686</v>
      </c>
    </row>
    <row r="5357" spans="1:5" hidden="1" x14ac:dyDescent="0.3">
      <c r="A5357" t="s">
        <v>552</v>
      </c>
      <c r="B5357" t="s">
        <v>685</v>
      </c>
      <c r="C5357" t="s">
        <v>358</v>
      </c>
      <c r="D5357" s="226">
        <v>0</v>
      </c>
      <c r="E5357" t="s">
        <v>686</v>
      </c>
    </row>
    <row r="5358" spans="1:5" hidden="1" x14ac:dyDescent="0.3">
      <c r="A5358" t="s">
        <v>552</v>
      </c>
      <c r="B5358" t="s">
        <v>685</v>
      </c>
      <c r="C5358" t="s">
        <v>359</v>
      </c>
      <c r="D5358" s="226">
        <v>0</v>
      </c>
      <c r="E5358" t="s">
        <v>686</v>
      </c>
    </row>
    <row r="5359" spans="1:5" hidden="1" x14ac:dyDescent="0.3">
      <c r="A5359" t="s">
        <v>552</v>
      </c>
      <c r="B5359" t="s">
        <v>685</v>
      </c>
      <c r="C5359" t="s">
        <v>360</v>
      </c>
      <c r="D5359" s="226">
        <v>0</v>
      </c>
      <c r="E5359" t="s">
        <v>686</v>
      </c>
    </row>
    <row r="5360" spans="1:5" hidden="1" x14ac:dyDescent="0.3">
      <c r="A5360" t="s">
        <v>552</v>
      </c>
      <c r="B5360" t="s">
        <v>685</v>
      </c>
      <c r="C5360" t="s">
        <v>361</v>
      </c>
      <c r="D5360" s="226">
        <v>0</v>
      </c>
      <c r="E5360" t="s">
        <v>686</v>
      </c>
    </row>
    <row r="5361" spans="1:5" hidden="1" x14ac:dyDescent="0.3">
      <c r="A5361" t="s">
        <v>552</v>
      </c>
      <c r="B5361" t="s">
        <v>685</v>
      </c>
      <c r="C5361" t="s">
        <v>362</v>
      </c>
      <c r="D5361" s="226">
        <v>0</v>
      </c>
      <c r="E5361" t="s">
        <v>686</v>
      </c>
    </row>
    <row r="5362" spans="1:5" hidden="1" x14ac:dyDescent="0.3">
      <c r="A5362" t="s">
        <v>552</v>
      </c>
      <c r="B5362" t="s">
        <v>685</v>
      </c>
      <c r="C5362" t="s">
        <v>363</v>
      </c>
      <c r="D5362" s="226">
        <v>0</v>
      </c>
      <c r="E5362" t="s">
        <v>686</v>
      </c>
    </row>
    <row r="5363" spans="1:5" hidden="1" x14ac:dyDescent="0.3">
      <c r="A5363" t="s">
        <v>552</v>
      </c>
      <c r="B5363" t="s">
        <v>685</v>
      </c>
      <c r="C5363" t="s">
        <v>364</v>
      </c>
      <c r="D5363" s="226">
        <v>-19085.43</v>
      </c>
      <c r="E5363" t="s">
        <v>686</v>
      </c>
    </row>
    <row r="5364" spans="1:5" hidden="1" x14ac:dyDescent="0.3">
      <c r="A5364" t="s">
        <v>552</v>
      </c>
      <c r="B5364" t="s">
        <v>685</v>
      </c>
      <c r="C5364" t="s">
        <v>365</v>
      </c>
      <c r="D5364" s="226">
        <v>-7396.93</v>
      </c>
      <c r="E5364" t="s">
        <v>686</v>
      </c>
    </row>
    <row r="5365" spans="1:5" hidden="1" x14ac:dyDescent="0.3">
      <c r="A5365" t="s">
        <v>552</v>
      </c>
      <c r="B5365" t="s">
        <v>685</v>
      </c>
      <c r="C5365" t="s">
        <v>366</v>
      </c>
      <c r="D5365" s="226">
        <v>0</v>
      </c>
      <c r="E5365" t="s">
        <v>686</v>
      </c>
    </row>
    <row r="5366" spans="1:5" hidden="1" x14ac:dyDescent="0.3">
      <c r="A5366" t="s">
        <v>552</v>
      </c>
      <c r="B5366" t="s">
        <v>685</v>
      </c>
      <c r="C5366" t="s">
        <v>367</v>
      </c>
      <c r="D5366" s="226">
        <v>-19188.5</v>
      </c>
      <c r="E5366" t="s">
        <v>686</v>
      </c>
    </row>
    <row r="5367" spans="1:5" hidden="1" x14ac:dyDescent="0.3">
      <c r="A5367" t="s">
        <v>552</v>
      </c>
      <c r="B5367" t="s">
        <v>685</v>
      </c>
      <c r="C5367" t="s">
        <v>368</v>
      </c>
      <c r="D5367" s="226">
        <v>7500</v>
      </c>
      <c r="E5367" t="s">
        <v>686</v>
      </c>
    </row>
    <row r="5368" spans="1:5" hidden="1" x14ac:dyDescent="0.3">
      <c r="A5368" t="s">
        <v>552</v>
      </c>
      <c r="B5368" t="s">
        <v>685</v>
      </c>
      <c r="C5368" t="s">
        <v>369</v>
      </c>
      <c r="D5368" s="226">
        <v>0</v>
      </c>
      <c r="E5368" t="s">
        <v>686</v>
      </c>
    </row>
    <row r="5369" spans="1:5" hidden="1" x14ac:dyDescent="0.3">
      <c r="A5369" t="s">
        <v>552</v>
      </c>
      <c r="B5369" t="s">
        <v>685</v>
      </c>
      <c r="C5369" t="s">
        <v>370</v>
      </c>
      <c r="D5369" s="226">
        <v>0</v>
      </c>
      <c r="E5369" t="s">
        <v>686</v>
      </c>
    </row>
    <row r="5370" spans="1:5" hidden="1" x14ac:dyDescent="0.3">
      <c r="A5370" t="s">
        <v>552</v>
      </c>
      <c r="B5370" t="s">
        <v>685</v>
      </c>
      <c r="C5370" t="s">
        <v>371</v>
      </c>
      <c r="D5370" s="226">
        <v>0</v>
      </c>
      <c r="E5370" t="s">
        <v>686</v>
      </c>
    </row>
    <row r="5371" spans="1:5" hidden="1" x14ac:dyDescent="0.3">
      <c r="A5371" t="s">
        <v>552</v>
      </c>
      <c r="B5371" t="s">
        <v>685</v>
      </c>
      <c r="C5371" t="s">
        <v>372</v>
      </c>
      <c r="D5371" s="226">
        <v>-29388.720000000001</v>
      </c>
      <c r="E5371" t="s">
        <v>686</v>
      </c>
    </row>
    <row r="5372" spans="1:5" hidden="1" x14ac:dyDescent="0.3">
      <c r="A5372" t="s">
        <v>552</v>
      </c>
      <c r="B5372" t="s">
        <v>685</v>
      </c>
      <c r="C5372" t="s">
        <v>373</v>
      </c>
      <c r="D5372" s="226">
        <v>187842.92</v>
      </c>
      <c r="E5372" t="s">
        <v>686</v>
      </c>
    </row>
    <row r="5373" spans="1:5" hidden="1" x14ac:dyDescent="0.3">
      <c r="A5373" t="s">
        <v>552</v>
      </c>
      <c r="B5373" t="s">
        <v>685</v>
      </c>
      <c r="C5373" t="s">
        <v>655</v>
      </c>
      <c r="D5373" s="226">
        <v>187842.92</v>
      </c>
      <c r="E5373" t="s">
        <v>686</v>
      </c>
    </row>
    <row r="5374" spans="1:5" hidden="1" x14ac:dyDescent="0.3">
      <c r="A5374" t="s">
        <v>552</v>
      </c>
      <c r="B5374" t="s">
        <v>687</v>
      </c>
      <c r="C5374" t="s">
        <v>11</v>
      </c>
      <c r="D5374" s="226">
        <v>1468888.99</v>
      </c>
      <c r="E5374" t="s">
        <v>688</v>
      </c>
    </row>
    <row r="5375" spans="1:5" hidden="1" x14ac:dyDescent="0.3">
      <c r="A5375" t="s">
        <v>552</v>
      </c>
      <c r="B5375" t="s">
        <v>687</v>
      </c>
      <c r="C5375" t="s">
        <v>13</v>
      </c>
      <c r="D5375" s="226">
        <v>720198.5</v>
      </c>
      <c r="E5375" t="s">
        <v>688</v>
      </c>
    </row>
    <row r="5376" spans="1:5" hidden="1" x14ac:dyDescent="0.3">
      <c r="A5376" t="s">
        <v>552</v>
      </c>
      <c r="B5376" t="s">
        <v>687</v>
      </c>
      <c r="C5376" t="s">
        <v>16</v>
      </c>
      <c r="D5376" s="226">
        <v>565292.80000000005</v>
      </c>
      <c r="E5376" t="s">
        <v>688</v>
      </c>
    </row>
    <row r="5377" spans="1:5" hidden="1" x14ac:dyDescent="0.3">
      <c r="A5377" t="s">
        <v>552</v>
      </c>
      <c r="B5377" t="s">
        <v>687</v>
      </c>
      <c r="C5377" t="s">
        <v>17</v>
      </c>
      <c r="D5377" s="226">
        <v>0</v>
      </c>
      <c r="E5377" t="s">
        <v>688</v>
      </c>
    </row>
    <row r="5378" spans="1:5" hidden="1" x14ac:dyDescent="0.3">
      <c r="A5378" t="s">
        <v>552</v>
      </c>
      <c r="B5378" t="s">
        <v>687</v>
      </c>
      <c r="C5378" t="s">
        <v>18</v>
      </c>
      <c r="D5378" s="226">
        <v>0</v>
      </c>
      <c r="E5378" t="s">
        <v>688</v>
      </c>
    </row>
    <row r="5379" spans="1:5" hidden="1" x14ac:dyDescent="0.3">
      <c r="A5379" t="s">
        <v>552</v>
      </c>
      <c r="B5379" t="s">
        <v>687</v>
      </c>
      <c r="C5379" t="s">
        <v>20</v>
      </c>
      <c r="D5379" s="226">
        <v>162844.69</v>
      </c>
      <c r="E5379" t="s">
        <v>688</v>
      </c>
    </row>
    <row r="5380" spans="1:5" hidden="1" x14ac:dyDescent="0.3">
      <c r="A5380" t="s">
        <v>552</v>
      </c>
      <c r="B5380" t="s">
        <v>687</v>
      </c>
      <c r="C5380" t="s">
        <v>23</v>
      </c>
      <c r="D5380" s="226">
        <v>765</v>
      </c>
      <c r="E5380" t="s">
        <v>688</v>
      </c>
    </row>
    <row r="5381" spans="1:5" hidden="1" x14ac:dyDescent="0.3">
      <c r="A5381" t="s">
        <v>552</v>
      </c>
      <c r="B5381" t="s">
        <v>687</v>
      </c>
      <c r="C5381" t="s">
        <v>25</v>
      </c>
      <c r="D5381" s="226">
        <v>0</v>
      </c>
      <c r="E5381" t="s">
        <v>688</v>
      </c>
    </row>
    <row r="5382" spans="1:5" hidden="1" x14ac:dyDescent="0.3">
      <c r="A5382" t="s">
        <v>552</v>
      </c>
      <c r="B5382" t="s">
        <v>687</v>
      </c>
      <c r="C5382" t="s">
        <v>26</v>
      </c>
      <c r="D5382" s="226">
        <v>4000</v>
      </c>
      <c r="E5382" t="s">
        <v>688</v>
      </c>
    </row>
    <row r="5383" spans="1:5" hidden="1" x14ac:dyDescent="0.3">
      <c r="A5383" t="s">
        <v>552</v>
      </c>
      <c r="B5383" t="s">
        <v>687</v>
      </c>
      <c r="C5383" t="s">
        <v>27</v>
      </c>
      <c r="D5383" s="226">
        <v>0</v>
      </c>
      <c r="E5383" t="s">
        <v>688</v>
      </c>
    </row>
    <row r="5384" spans="1:5" hidden="1" x14ac:dyDescent="0.3">
      <c r="A5384" t="s">
        <v>552</v>
      </c>
      <c r="B5384" t="s">
        <v>687</v>
      </c>
      <c r="C5384" t="s">
        <v>29</v>
      </c>
      <c r="D5384" s="226">
        <v>14843</v>
      </c>
      <c r="E5384" t="s">
        <v>688</v>
      </c>
    </row>
    <row r="5385" spans="1:5" hidden="1" x14ac:dyDescent="0.3">
      <c r="A5385" t="s">
        <v>552</v>
      </c>
      <c r="B5385" t="s">
        <v>687</v>
      </c>
      <c r="C5385" t="s">
        <v>31</v>
      </c>
      <c r="D5385" s="226">
        <v>945</v>
      </c>
      <c r="E5385" t="s">
        <v>688</v>
      </c>
    </row>
    <row r="5386" spans="1:5" hidden="1" x14ac:dyDescent="0.3">
      <c r="A5386" t="s">
        <v>552</v>
      </c>
      <c r="B5386" t="s">
        <v>687</v>
      </c>
      <c r="C5386" t="s">
        <v>34</v>
      </c>
      <c r="D5386" s="226">
        <v>-20048.400000000001</v>
      </c>
      <c r="E5386" t="s">
        <v>688</v>
      </c>
    </row>
    <row r="5387" spans="1:5" hidden="1" x14ac:dyDescent="0.3">
      <c r="A5387" t="s">
        <v>552</v>
      </c>
      <c r="B5387" t="s">
        <v>687</v>
      </c>
      <c r="C5387" t="s">
        <v>38</v>
      </c>
      <c r="D5387" s="226">
        <v>-3536.09</v>
      </c>
      <c r="E5387" t="s">
        <v>688</v>
      </c>
    </row>
    <row r="5388" spans="1:5" hidden="1" x14ac:dyDescent="0.3">
      <c r="A5388" t="s">
        <v>552</v>
      </c>
      <c r="B5388" t="s">
        <v>687</v>
      </c>
      <c r="C5388" t="s">
        <v>40</v>
      </c>
      <c r="D5388" s="226">
        <v>-15876.9</v>
      </c>
      <c r="E5388" t="s">
        <v>688</v>
      </c>
    </row>
    <row r="5389" spans="1:5" hidden="1" x14ac:dyDescent="0.3">
      <c r="A5389" t="s">
        <v>552</v>
      </c>
      <c r="B5389" t="s">
        <v>687</v>
      </c>
      <c r="C5389" t="s">
        <v>42</v>
      </c>
      <c r="D5389" s="226">
        <v>-635.41</v>
      </c>
      <c r="E5389" t="s">
        <v>688</v>
      </c>
    </row>
    <row r="5390" spans="1:5" hidden="1" x14ac:dyDescent="0.3">
      <c r="A5390" t="s">
        <v>552</v>
      </c>
      <c r="B5390" t="s">
        <v>687</v>
      </c>
      <c r="C5390" t="s">
        <v>44</v>
      </c>
      <c r="D5390" s="226">
        <v>-0.01</v>
      </c>
      <c r="E5390" t="s">
        <v>688</v>
      </c>
    </row>
    <row r="5391" spans="1:5" hidden="1" x14ac:dyDescent="0.3">
      <c r="A5391" t="s">
        <v>552</v>
      </c>
      <c r="B5391" t="s">
        <v>687</v>
      </c>
      <c r="C5391" t="s">
        <v>45</v>
      </c>
      <c r="D5391" s="226">
        <v>-98554.34</v>
      </c>
      <c r="E5391" t="s">
        <v>688</v>
      </c>
    </row>
    <row r="5392" spans="1:5" hidden="1" x14ac:dyDescent="0.3">
      <c r="A5392" t="s">
        <v>552</v>
      </c>
      <c r="B5392" t="s">
        <v>687</v>
      </c>
      <c r="C5392" t="s">
        <v>46</v>
      </c>
      <c r="D5392" s="226">
        <v>-52854.76</v>
      </c>
      <c r="E5392" t="s">
        <v>688</v>
      </c>
    </row>
    <row r="5393" spans="1:5" hidden="1" x14ac:dyDescent="0.3">
      <c r="A5393" t="s">
        <v>552</v>
      </c>
      <c r="B5393" t="s">
        <v>687</v>
      </c>
      <c r="C5393" t="s">
        <v>48</v>
      </c>
      <c r="D5393" s="226">
        <v>-45499.58</v>
      </c>
      <c r="E5393" t="s">
        <v>688</v>
      </c>
    </row>
    <row r="5394" spans="1:5" hidden="1" x14ac:dyDescent="0.3">
      <c r="A5394" t="s">
        <v>552</v>
      </c>
      <c r="B5394" t="s">
        <v>687</v>
      </c>
      <c r="C5394" t="s">
        <v>49</v>
      </c>
      <c r="D5394" s="226">
        <v>-200</v>
      </c>
      <c r="E5394" t="s">
        <v>688</v>
      </c>
    </row>
    <row r="5395" spans="1:5" hidden="1" x14ac:dyDescent="0.3">
      <c r="A5395" t="s">
        <v>552</v>
      </c>
      <c r="B5395" t="s">
        <v>687</v>
      </c>
      <c r="C5395" t="s">
        <v>50</v>
      </c>
      <c r="D5395" s="226">
        <v>1350286.25</v>
      </c>
      <c r="E5395" t="s">
        <v>688</v>
      </c>
    </row>
    <row r="5396" spans="1:5" hidden="1" x14ac:dyDescent="0.3">
      <c r="A5396" t="s">
        <v>552</v>
      </c>
      <c r="B5396" t="s">
        <v>687</v>
      </c>
      <c r="C5396" t="s">
        <v>51</v>
      </c>
      <c r="D5396" s="226">
        <v>-393909.97</v>
      </c>
      <c r="E5396" t="s">
        <v>688</v>
      </c>
    </row>
    <row r="5397" spans="1:5" hidden="1" x14ac:dyDescent="0.3">
      <c r="A5397" t="s">
        <v>552</v>
      </c>
      <c r="B5397" t="s">
        <v>687</v>
      </c>
      <c r="C5397" t="s">
        <v>52</v>
      </c>
      <c r="D5397" s="226">
        <v>-260872.89</v>
      </c>
      <c r="E5397" t="s">
        <v>688</v>
      </c>
    </row>
    <row r="5398" spans="1:5" hidden="1" x14ac:dyDescent="0.3">
      <c r="A5398" t="s">
        <v>552</v>
      </c>
      <c r="B5398" t="s">
        <v>687</v>
      </c>
      <c r="C5398" t="s">
        <v>53</v>
      </c>
      <c r="D5398" s="226">
        <v>-131696.32000000001</v>
      </c>
      <c r="E5398" t="s">
        <v>688</v>
      </c>
    </row>
    <row r="5399" spans="1:5" hidden="1" x14ac:dyDescent="0.3">
      <c r="A5399" t="s">
        <v>552</v>
      </c>
      <c r="B5399" t="s">
        <v>687</v>
      </c>
      <c r="C5399" t="s">
        <v>54</v>
      </c>
      <c r="D5399" s="226">
        <v>-1340.76</v>
      </c>
      <c r="E5399" t="s">
        <v>688</v>
      </c>
    </row>
    <row r="5400" spans="1:5" hidden="1" x14ac:dyDescent="0.3">
      <c r="A5400" t="s">
        <v>552</v>
      </c>
      <c r="B5400" t="s">
        <v>687</v>
      </c>
      <c r="C5400" t="s">
        <v>23</v>
      </c>
      <c r="D5400" s="226">
        <v>0</v>
      </c>
      <c r="E5400" t="s">
        <v>688</v>
      </c>
    </row>
    <row r="5401" spans="1:5" hidden="1" x14ac:dyDescent="0.3">
      <c r="A5401" t="s">
        <v>552</v>
      </c>
      <c r="B5401" t="s">
        <v>687</v>
      </c>
      <c r="C5401" t="s">
        <v>44</v>
      </c>
      <c r="D5401" s="226">
        <v>-0.3</v>
      </c>
      <c r="E5401" t="s">
        <v>688</v>
      </c>
    </row>
    <row r="5402" spans="1:5" hidden="1" x14ac:dyDescent="0.3">
      <c r="A5402" t="s">
        <v>552</v>
      </c>
      <c r="B5402" t="s">
        <v>687</v>
      </c>
      <c r="C5402" t="s">
        <v>55</v>
      </c>
      <c r="D5402" s="226">
        <v>-0.28999999999999998</v>
      </c>
      <c r="E5402" t="s">
        <v>688</v>
      </c>
    </row>
    <row r="5403" spans="1:5" hidden="1" x14ac:dyDescent="0.3">
      <c r="A5403" t="s">
        <v>552</v>
      </c>
      <c r="B5403" t="s">
        <v>687</v>
      </c>
      <c r="C5403" t="s">
        <v>56</v>
      </c>
      <c r="D5403" s="226">
        <v>-700</v>
      </c>
      <c r="E5403" t="s">
        <v>688</v>
      </c>
    </row>
    <row r="5404" spans="1:5" hidden="1" x14ac:dyDescent="0.3">
      <c r="A5404" t="s">
        <v>552</v>
      </c>
      <c r="B5404" t="s">
        <v>687</v>
      </c>
      <c r="C5404" t="s">
        <v>57</v>
      </c>
      <c r="D5404" s="226">
        <v>0</v>
      </c>
      <c r="E5404" t="s">
        <v>688</v>
      </c>
    </row>
    <row r="5405" spans="1:5" hidden="1" x14ac:dyDescent="0.3">
      <c r="A5405" t="s">
        <v>552</v>
      </c>
      <c r="B5405" t="s">
        <v>687</v>
      </c>
      <c r="C5405" t="s">
        <v>58</v>
      </c>
      <c r="D5405" s="226">
        <v>0</v>
      </c>
      <c r="E5405" t="s">
        <v>688</v>
      </c>
    </row>
    <row r="5406" spans="1:5" hidden="1" x14ac:dyDescent="0.3">
      <c r="A5406" t="s">
        <v>552</v>
      </c>
      <c r="B5406" t="s">
        <v>687</v>
      </c>
      <c r="C5406" t="s">
        <v>59</v>
      </c>
      <c r="D5406" s="226">
        <v>0</v>
      </c>
      <c r="E5406" t="s">
        <v>688</v>
      </c>
    </row>
    <row r="5407" spans="1:5" hidden="1" x14ac:dyDescent="0.3">
      <c r="A5407" t="s">
        <v>552</v>
      </c>
      <c r="B5407" t="s">
        <v>687</v>
      </c>
      <c r="C5407" t="s">
        <v>61</v>
      </c>
      <c r="D5407" s="226">
        <v>0</v>
      </c>
      <c r="E5407" t="s">
        <v>688</v>
      </c>
    </row>
    <row r="5408" spans="1:5" hidden="1" x14ac:dyDescent="0.3">
      <c r="A5408" t="s">
        <v>552</v>
      </c>
      <c r="B5408" t="s">
        <v>687</v>
      </c>
      <c r="C5408" t="s">
        <v>62</v>
      </c>
      <c r="D5408" s="226">
        <v>0</v>
      </c>
      <c r="E5408" t="s">
        <v>688</v>
      </c>
    </row>
    <row r="5409" spans="1:5" hidden="1" x14ac:dyDescent="0.3">
      <c r="A5409" t="s">
        <v>552</v>
      </c>
      <c r="B5409" t="s">
        <v>687</v>
      </c>
      <c r="C5409" t="s">
        <v>64</v>
      </c>
      <c r="D5409" s="226">
        <v>0</v>
      </c>
      <c r="E5409" t="s">
        <v>688</v>
      </c>
    </row>
    <row r="5410" spans="1:5" hidden="1" x14ac:dyDescent="0.3">
      <c r="A5410" t="s">
        <v>552</v>
      </c>
      <c r="B5410" t="s">
        <v>687</v>
      </c>
      <c r="C5410" t="s">
        <v>65</v>
      </c>
      <c r="D5410" s="226">
        <v>-700</v>
      </c>
      <c r="E5410" t="s">
        <v>688</v>
      </c>
    </row>
    <row r="5411" spans="1:5" hidden="1" x14ac:dyDescent="0.3">
      <c r="A5411" t="s">
        <v>552</v>
      </c>
      <c r="B5411" t="s">
        <v>687</v>
      </c>
      <c r="C5411" t="s">
        <v>66</v>
      </c>
      <c r="D5411" s="226">
        <v>-700</v>
      </c>
      <c r="E5411" t="s">
        <v>688</v>
      </c>
    </row>
    <row r="5412" spans="1:5" hidden="1" x14ac:dyDescent="0.3">
      <c r="A5412" t="s">
        <v>552</v>
      </c>
      <c r="B5412" t="s">
        <v>687</v>
      </c>
      <c r="C5412" t="s">
        <v>68</v>
      </c>
      <c r="D5412" s="226">
        <v>0</v>
      </c>
      <c r="E5412" t="s">
        <v>688</v>
      </c>
    </row>
    <row r="5413" spans="1:5" hidden="1" x14ac:dyDescent="0.3">
      <c r="A5413" t="s">
        <v>552</v>
      </c>
      <c r="B5413" t="s">
        <v>687</v>
      </c>
      <c r="C5413" t="s">
        <v>69</v>
      </c>
      <c r="D5413" s="226">
        <v>0</v>
      </c>
      <c r="E5413" t="s">
        <v>688</v>
      </c>
    </row>
    <row r="5414" spans="1:5" hidden="1" x14ac:dyDescent="0.3">
      <c r="A5414" t="s">
        <v>552</v>
      </c>
      <c r="B5414" t="s">
        <v>687</v>
      </c>
      <c r="C5414" t="s">
        <v>70</v>
      </c>
      <c r="D5414" s="226">
        <v>0</v>
      </c>
      <c r="E5414" t="s">
        <v>688</v>
      </c>
    </row>
    <row r="5415" spans="1:5" hidden="1" x14ac:dyDescent="0.3">
      <c r="A5415" t="s">
        <v>552</v>
      </c>
      <c r="B5415" t="s">
        <v>687</v>
      </c>
      <c r="C5415" t="s">
        <v>44</v>
      </c>
      <c r="D5415" s="226">
        <v>0</v>
      </c>
      <c r="E5415" t="s">
        <v>688</v>
      </c>
    </row>
    <row r="5416" spans="1:5" hidden="1" x14ac:dyDescent="0.3">
      <c r="A5416" t="s">
        <v>552</v>
      </c>
      <c r="B5416" t="s">
        <v>687</v>
      </c>
      <c r="C5416" t="s">
        <v>71</v>
      </c>
      <c r="D5416" s="226">
        <v>-6340</v>
      </c>
      <c r="E5416" t="s">
        <v>688</v>
      </c>
    </row>
    <row r="5417" spans="1:5" hidden="1" x14ac:dyDescent="0.3">
      <c r="A5417" t="s">
        <v>552</v>
      </c>
      <c r="B5417" t="s">
        <v>687</v>
      </c>
      <c r="C5417" t="s">
        <v>72</v>
      </c>
      <c r="D5417" s="226">
        <v>-1940</v>
      </c>
      <c r="E5417" t="s">
        <v>688</v>
      </c>
    </row>
    <row r="5418" spans="1:5" hidden="1" x14ac:dyDescent="0.3">
      <c r="A5418" t="s">
        <v>552</v>
      </c>
      <c r="B5418" t="s">
        <v>687</v>
      </c>
      <c r="C5418" t="s">
        <v>73</v>
      </c>
      <c r="D5418" s="226">
        <v>-1920</v>
      </c>
      <c r="E5418" t="s">
        <v>688</v>
      </c>
    </row>
    <row r="5419" spans="1:5" hidden="1" x14ac:dyDescent="0.3">
      <c r="A5419" t="s">
        <v>552</v>
      </c>
      <c r="B5419" t="s">
        <v>687</v>
      </c>
      <c r="C5419" t="s">
        <v>75</v>
      </c>
      <c r="D5419" s="226">
        <v>-20</v>
      </c>
      <c r="E5419" t="s">
        <v>688</v>
      </c>
    </row>
    <row r="5420" spans="1:5" hidden="1" x14ac:dyDescent="0.3">
      <c r="A5420" t="s">
        <v>552</v>
      </c>
      <c r="B5420" t="s">
        <v>687</v>
      </c>
      <c r="C5420" t="s">
        <v>77</v>
      </c>
      <c r="D5420" s="226">
        <v>0</v>
      </c>
      <c r="E5420" t="s">
        <v>688</v>
      </c>
    </row>
    <row r="5421" spans="1:5" hidden="1" x14ac:dyDescent="0.3">
      <c r="A5421" t="s">
        <v>552</v>
      </c>
      <c r="B5421" t="s">
        <v>687</v>
      </c>
      <c r="C5421" t="s">
        <v>78</v>
      </c>
      <c r="D5421" s="226">
        <v>0</v>
      </c>
      <c r="E5421" t="s">
        <v>688</v>
      </c>
    </row>
    <row r="5422" spans="1:5" hidden="1" x14ac:dyDescent="0.3">
      <c r="A5422" t="s">
        <v>552</v>
      </c>
      <c r="B5422" t="s">
        <v>687</v>
      </c>
      <c r="C5422" t="s">
        <v>80</v>
      </c>
      <c r="D5422" s="226">
        <v>0</v>
      </c>
      <c r="E5422" t="s">
        <v>688</v>
      </c>
    </row>
    <row r="5423" spans="1:5" hidden="1" x14ac:dyDescent="0.3">
      <c r="A5423" t="s">
        <v>552</v>
      </c>
      <c r="B5423" t="s">
        <v>687</v>
      </c>
      <c r="C5423" t="s">
        <v>82</v>
      </c>
      <c r="D5423" s="226">
        <v>0</v>
      </c>
      <c r="E5423" t="s">
        <v>688</v>
      </c>
    </row>
    <row r="5424" spans="1:5" hidden="1" x14ac:dyDescent="0.3">
      <c r="A5424" t="s">
        <v>552</v>
      </c>
      <c r="B5424" t="s">
        <v>687</v>
      </c>
      <c r="C5424" t="s">
        <v>84</v>
      </c>
      <c r="D5424" s="226">
        <v>0</v>
      </c>
      <c r="E5424" t="s">
        <v>688</v>
      </c>
    </row>
    <row r="5425" spans="1:5" hidden="1" x14ac:dyDescent="0.3">
      <c r="A5425" t="s">
        <v>552</v>
      </c>
      <c r="B5425" t="s">
        <v>687</v>
      </c>
      <c r="C5425" t="s">
        <v>85</v>
      </c>
      <c r="D5425" s="226">
        <v>0</v>
      </c>
      <c r="E5425" t="s">
        <v>688</v>
      </c>
    </row>
    <row r="5426" spans="1:5" hidden="1" x14ac:dyDescent="0.3">
      <c r="A5426" t="s">
        <v>552</v>
      </c>
      <c r="B5426" t="s">
        <v>687</v>
      </c>
      <c r="C5426" t="s">
        <v>86</v>
      </c>
      <c r="D5426" s="226">
        <v>0</v>
      </c>
      <c r="E5426" t="s">
        <v>688</v>
      </c>
    </row>
    <row r="5427" spans="1:5" hidden="1" x14ac:dyDescent="0.3">
      <c r="A5427" t="s">
        <v>552</v>
      </c>
      <c r="B5427" t="s">
        <v>687</v>
      </c>
      <c r="C5427" t="s">
        <v>87</v>
      </c>
      <c r="D5427" s="226">
        <v>0</v>
      </c>
      <c r="E5427" t="s">
        <v>688</v>
      </c>
    </row>
    <row r="5428" spans="1:5" hidden="1" x14ac:dyDescent="0.3">
      <c r="A5428" t="s">
        <v>552</v>
      </c>
      <c r="B5428" t="s">
        <v>687</v>
      </c>
      <c r="C5428" t="s">
        <v>88</v>
      </c>
      <c r="D5428" s="226">
        <v>0</v>
      </c>
      <c r="E5428" t="s">
        <v>688</v>
      </c>
    </row>
    <row r="5429" spans="1:5" hidden="1" x14ac:dyDescent="0.3">
      <c r="A5429" t="s">
        <v>552</v>
      </c>
      <c r="B5429" t="s">
        <v>687</v>
      </c>
      <c r="C5429" t="s">
        <v>89</v>
      </c>
      <c r="D5429" s="226">
        <v>0</v>
      </c>
      <c r="E5429" t="s">
        <v>688</v>
      </c>
    </row>
    <row r="5430" spans="1:5" hidden="1" x14ac:dyDescent="0.3">
      <c r="A5430" t="s">
        <v>552</v>
      </c>
      <c r="B5430" t="s">
        <v>687</v>
      </c>
      <c r="C5430" t="s">
        <v>90</v>
      </c>
      <c r="D5430" s="226">
        <v>0</v>
      </c>
      <c r="E5430" t="s">
        <v>688</v>
      </c>
    </row>
    <row r="5431" spans="1:5" hidden="1" x14ac:dyDescent="0.3">
      <c r="A5431" t="s">
        <v>552</v>
      </c>
      <c r="B5431" t="s">
        <v>687</v>
      </c>
      <c r="C5431" t="s">
        <v>91</v>
      </c>
      <c r="D5431" s="226">
        <v>0</v>
      </c>
      <c r="E5431" t="s">
        <v>688</v>
      </c>
    </row>
    <row r="5432" spans="1:5" hidden="1" x14ac:dyDescent="0.3">
      <c r="A5432" t="s">
        <v>552</v>
      </c>
      <c r="B5432" t="s">
        <v>687</v>
      </c>
      <c r="C5432" t="s">
        <v>93</v>
      </c>
      <c r="D5432" s="226">
        <v>0</v>
      </c>
      <c r="E5432" t="s">
        <v>688</v>
      </c>
    </row>
    <row r="5433" spans="1:5" hidden="1" x14ac:dyDescent="0.3">
      <c r="A5433" t="s">
        <v>552</v>
      </c>
      <c r="B5433" t="s">
        <v>687</v>
      </c>
      <c r="C5433" t="s">
        <v>95</v>
      </c>
      <c r="D5433" s="226">
        <v>0</v>
      </c>
      <c r="E5433" t="s">
        <v>688</v>
      </c>
    </row>
    <row r="5434" spans="1:5" hidden="1" x14ac:dyDescent="0.3">
      <c r="A5434" t="s">
        <v>552</v>
      </c>
      <c r="B5434" t="s">
        <v>687</v>
      </c>
      <c r="C5434" t="s">
        <v>96</v>
      </c>
      <c r="D5434" s="226">
        <v>0</v>
      </c>
      <c r="E5434" t="s">
        <v>688</v>
      </c>
    </row>
    <row r="5435" spans="1:5" hidden="1" x14ac:dyDescent="0.3">
      <c r="A5435" t="s">
        <v>552</v>
      </c>
      <c r="B5435" t="s">
        <v>687</v>
      </c>
      <c r="C5435" t="s">
        <v>98</v>
      </c>
      <c r="D5435" s="226">
        <v>0</v>
      </c>
      <c r="E5435" t="s">
        <v>688</v>
      </c>
    </row>
    <row r="5436" spans="1:5" hidden="1" x14ac:dyDescent="0.3">
      <c r="A5436" t="s">
        <v>552</v>
      </c>
      <c r="B5436" t="s">
        <v>687</v>
      </c>
      <c r="C5436" t="s">
        <v>100</v>
      </c>
      <c r="D5436" s="226">
        <v>0</v>
      </c>
      <c r="E5436" t="s">
        <v>688</v>
      </c>
    </row>
    <row r="5437" spans="1:5" hidden="1" x14ac:dyDescent="0.3">
      <c r="A5437" t="s">
        <v>552</v>
      </c>
      <c r="B5437" t="s">
        <v>687</v>
      </c>
      <c r="C5437" t="s">
        <v>101</v>
      </c>
      <c r="D5437" s="226">
        <v>-4400</v>
      </c>
      <c r="E5437" t="s">
        <v>688</v>
      </c>
    </row>
    <row r="5438" spans="1:5" hidden="1" x14ac:dyDescent="0.3">
      <c r="A5438" t="s">
        <v>552</v>
      </c>
      <c r="B5438" t="s">
        <v>687</v>
      </c>
      <c r="C5438" t="s">
        <v>102</v>
      </c>
      <c r="D5438" s="226">
        <v>0</v>
      </c>
      <c r="E5438" t="s">
        <v>688</v>
      </c>
    </row>
    <row r="5439" spans="1:5" hidden="1" x14ac:dyDescent="0.3">
      <c r="A5439" t="s">
        <v>552</v>
      </c>
      <c r="B5439" t="s">
        <v>687</v>
      </c>
      <c r="C5439" t="s">
        <v>103</v>
      </c>
      <c r="D5439" s="226">
        <v>-4400</v>
      </c>
      <c r="E5439" t="s">
        <v>688</v>
      </c>
    </row>
    <row r="5440" spans="1:5" hidden="1" x14ac:dyDescent="0.3">
      <c r="A5440" t="s">
        <v>552</v>
      </c>
      <c r="B5440" t="s">
        <v>687</v>
      </c>
      <c r="C5440" t="s">
        <v>104</v>
      </c>
      <c r="D5440" s="226">
        <v>0</v>
      </c>
      <c r="E5440" t="s">
        <v>688</v>
      </c>
    </row>
    <row r="5441" spans="1:5" hidden="1" x14ac:dyDescent="0.3">
      <c r="A5441" t="s">
        <v>552</v>
      </c>
      <c r="B5441" t="s">
        <v>687</v>
      </c>
      <c r="C5441" t="s">
        <v>105</v>
      </c>
      <c r="D5441" s="226">
        <v>0</v>
      </c>
      <c r="E5441" t="s">
        <v>688</v>
      </c>
    </row>
    <row r="5442" spans="1:5" hidden="1" x14ac:dyDescent="0.3">
      <c r="A5442" t="s">
        <v>552</v>
      </c>
      <c r="B5442" t="s">
        <v>687</v>
      </c>
      <c r="C5442" t="s">
        <v>107</v>
      </c>
      <c r="D5442" s="226">
        <v>0</v>
      </c>
      <c r="E5442" t="s">
        <v>688</v>
      </c>
    </row>
    <row r="5443" spans="1:5" hidden="1" x14ac:dyDescent="0.3">
      <c r="A5443" t="s">
        <v>552</v>
      </c>
      <c r="B5443" t="s">
        <v>687</v>
      </c>
      <c r="C5443" t="s">
        <v>108</v>
      </c>
      <c r="D5443" s="226">
        <v>0</v>
      </c>
      <c r="E5443" t="s">
        <v>688</v>
      </c>
    </row>
    <row r="5444" spans="1:5" hidden="1" x14ac:dyDescent="0.3">
      <c r="A5444" t="s">
        <v>552</v>
      </c>
      <c r="B5444" t="s">
        <v>687</v>
      </c>
      <c r="C5444" t="s">
        <v>109</v>
      </c>
      <c r="D5444" s="226">
        <v>0</v>
      </c>
      <c r="E5444" t="s">
        <v>688</v>
      </c>
    </row>
    <row r="5445" spans="1:5" hidden="1" x14ac:dyDescent="0.3">
      <c r="A5445" t="s">
        <v>552</v>
      </c>
      <c r="B5445" t="s">
        <v>687</v>
      </c>
      <c r="C5445" t="s">
        <v>110</v>
      </c>
      <c r="D5445" s="226">
        <v>-1.33</v>
      </c>
      <c r="E5445" t="s">
        <v>688</v>
      </c>
    </row>
    <row r="5446" spans="1:5" hidden="1" x14ac:dyDescent="0.3">
      <c r="A5446" t="s">
        <v>552</v>
      </c>
      <c r="B5446" t="s">
        <v>687</v>
      </c>
      <c r="C5446" t="s">
        <v>44</v>
      </c>
      <c r="D5446" s="226">
        <v>0</v>
      </c>
      <c r="E5446" t="s">
        <v>688</v>
      </c>
    </row>
    <row r="5447" spans="1:5" hidden="1" x14ac:dyDescent="0.3">
      <c r="A5447" t="s">
        <v>552</v>
      </c>
      <c r="B5447" t="s">
        <v>687</v>
      </c>
      <c r="C5447" t="s">
        <v>111</v>
      </c>
      <c r="D5447" s="226">
        <v>-91180</v>
      </c>
      <c r="E5447" t="s">
        <v>688</v>
      </c>
    </row>
    <row r="5448" spans="1:5" hidden="1" x14ac:dyDescent="0.3">
      <c r="A5448" t="s">
        <v>552</v>
      </c>
      <c r="B5448" t="s">
        <v>687</v>
      </c>
      <c r="C5448" t="s">
        <v>555</v>
      </c>
      <c r="D5448" s="226">
        <v>-91180</v>
      </c>
      <c r="E5448" t="s">
        <v>688</v>
      </c>
    </row>
    <row r="5449" spans="1:5" hidden="1" x14ac:dyDescent="0.3">
      <c r="A5449" t="s">
        <v>552</v>
      </c>
      <c r="B5449" t="s">
        <v>687</v>
      </c>
      <c r="C5449" t="s">
        <v>44</v>
      </c>
      <c r="D5449" s="226">
        <v>-0.06</v>
      </c>
      <c r="E5449" t="s">
        <v>688</v>
      </c>
    </row>
    <row r="5450" spans="1:5" hidden="1" x14ac:dyDescent="0.3">
      <c r="A5450" t="s">
        <v>552</v>
      </c>
      <c r="B5450" t="s">
        <v>687</v>
      </c>
      <c r="C5450" t="s">
        <v>115</v>
      </c>
      <c r="D5450" s="226">
        <v>-24113.1</v>
      </c>
      <c r="E5450" t="s">
        <v>688</v>
      </c>
    </row>
    <row r="5451" spans="1:5" hidden="1" x14ac:dyDescent="0.3">
      <c r="A5451" t="s">
        <v>552</v>
      </c>
      <c r="B5451" t="s">
        <v>687</v>
      </c>
      <c r="C5451" t="s">
        <v>116</v>
      </c>
      <c r="D5451" s="226">
        <v>-21397.81</v>
      </c>
      <c r="E5451" t="s">
        <v>688</v>
      </c>
    </row>
    <row r="5452" spans="1:5" hidden="1" x14ac:dyDescent="0.3">
      <c r="A5452" t="s">
        <v>552</v>
      </c>
      <c r="B5452" t="s">
        <v>687</v>
      </c>
      <c r="C5452" t="s">
        <v>118</v>
      </c>
      <c r="D5452" s="226">
        <v>-2458.7399999999998</v>
      </c>
      <c r="E5452" t="s">
        <v>688</v>
      </c>
    </row>
    <row r="5453" spans="1:5" hidden="1" x14ac:dyDescent="0.3">
      <c r="A5453" t="s">
        <v>552</v>
      </c>
      <c r="B5453" t="s">
        <v>687</v>
      </c>
      <c r="C5453" t="s">
        <v>120</v>
      </c>
      <c r="D5453" s="226">
        <v>0</v>
      </c>
      <c r="E5453" t="s">
        <v>688</v>
      </c>
    </row>
    <row r="5454" spans="1:5" hidden="1" x14ac:dyDescent="0.3">
      <c r="A5454" t="s">
        <v>552</v>
      </c>
      <c r="B5454" t="s">
        <v>687</v>
      </c>
      <c r="C5454" t="s">
        <v>122</v>
      </c>
      <c r="D5454" s="226">
        <v>-256.55</v>
      </c>
      <c r="E5454" t="s">
        <v>688</v>
      </c>
    </row>
    <row r="5455" spans="1:5" hidden="1" x14ac:dyDescent="0.3">
      <c r="A5455" t="s">
        <v>552</v>
      </c>
      <c r="B5455" t="s">
        <v>687</v>
      </c>
      <c r="C5455" t="s">
        <v>44</v>
      </c>
      <c r="D5455" s="226">
        <v>-0.02</v>
      </c>
      <c r="E5455" t="s">
        <v>688</v>
      </c>
    </row>
    <row r="5456" spans="1:5" hidden="1" x14ac:dyDescent="0.3">
      <c r="A5456" t="s">
        <v>552</v>
      </c>
      <c r="B5456" t="s">
        <v>687</v>
      </c>
      <c r="C5456" t="s">
        <v>125</v>
      </c>
      <c r="D5456" s="226">
        <v>834043.18</v>
      </c>
      <c r="E5456" t="s">
        <v>688</v>
      </c>
    </row>
    <row r="5457" spans="1:5" hidden="1" x14ac:dyDescent="0.3">
      <c r="A5457" t="s">
        <v>552</v>
      </c>
      <c r="B5457" t="s">
        <v>687</v>
      </c>
      <c r="C5457" t="s">
        <v>126</v>
      </c>
      <c r="D5457" s="226">
        <v>0.56999999999999995</v>
      </c>
      <c r="E5457" t="s">
        <v>688</v>
      </c>
    </row>
    <row r="5458" spans="1:5" hidden="1" x14ac:dyDescent="0.3">
      <c r="A5458" t="s">
        <v>552</v>
      </c>
      <c r="B5458" t="s">
        <v>687</v>
      </c>
      <c r="C5458" t="s">
        <v>127</v>
      </c>
      <c r="D5458" s="226">
        <v>-326494.92</v>
      </c>
      <c r="E5458" t="s">
        <v>688</v>
      </c>
    </row>
    <row r="5459" spans="1:5" hidden="1" x14ac:dyDescent="0.3">
      <c r="A5459" t="s">
        <v>552</v>
      </c>
      <c r="B5459" t="s">
        <v>687</v>
      </c>
      <c r="C5459" t="s">
        <v>128</v>
      </c>
      <c r="D5459" s="226">
        <v>-48850</v>
      </c>
      <c r="E5459" t="s">
        <v>688</v>
      </c>
    </row>
    <row r="5460" spans="1:5" hidden="1" x14ac:dyDescent="0.3">
      <c r="A5460" t="s">
        <v>552</v>
      </c>
      <c r="B5460" t="s">
        <v>687</v>
      </c>
      <c r="C5460" t="s">
        <v>556</v>
      </c>
      <c r="D5460" s="226">
        <v>-10450</v>
      </c>
      <c r="E5460" t="s">
        <v>688</v>
      </c>
    </row>
    <row r="5461" spans="1:5" hidden="1" x14ac:dyDescent="0.3">
      <c r="A5461" t="s">
        <v>552</v>
      </c>
      <c r="B5461" t="s">
        <v>687</v>
      </c>
      <c r="C5461" t="s">
        <v>557</v>
      </c>
      <c r="D5461" s="226">
        <v>-6600</v>
      </c>
      <c r="E5461" t="s">
        <v>688</v>
      </c>
    </row>
    <row r="5462" spans="1:5" hidden="1" x14ac:dyDescent="0.3">
      <c r="A5462" t="s">
        <v>552</v>
      </c>
      <c r="B5462" t="s">
        <v>687</v>
      </c>
      <c r="C5462" t="s">
        <v>558</v>
      </c>
      <c r="D5462" s="226">
        <v>0</v>
      </c>
      <c r="E5462" t="s">
        <v>688</v>
      </c>
    </row>
    <row r="5463" spans="1:5" hidden="1" x14ac:dyDescent="0.3">
      <c r="A5463" t="s">
        <v>552</v>
      </c>
      <c r="B5463" t="s">
        <v>687</v>
      </c>
      <c r="C5463" t="s">
        <v>559</v>
      </c>
      <c r="D5463" s="226">
        <v>-16800</v>
      </c>
      <c r="E5463" t="s">
        <v>688</v>
      </c>
    </row>
    <row r="5464" spans="1:5" hidden="1" x14ac:dyDescent="0.3">
      <c r="A5464" t="s">
        <v>552</v>
      </c>
      <c r="B5464" t="s">
        <v>687</v>
      </c>
      <c r="C5464" t="s">
        <v>560</v>
      </c>
      <c r="D5464" s="226">
        <v>-4000</v>
      </c>
      <c r="E5464" t="s">
        <v>688</v>
      </c>
    </row>
    <row r="5465" spans="1:5" hidden="1" x14ac:dyDescent="0.3">
      <c r="A5465" t="s">
        <v>552</v>
      </c>
      <c r="B5465" t="s">
        <v>687</v>
      </c>
      <c r="C5465" t="s">
        <v>561</v>
      </c>
      <c r="D5465" s="226">
        <v>-7000</v>
      </c>
      <c r="E5465" t="s">
        <v>688</v>
      </c>
    </row>
    <row r="5466" spans="1:5" hidden="1" x14ac:dyDescent="0.3">
      <c r="A5466" t="s">
        <v>552</v>
      </c>
      <c r="B5466" t="s">
        <v>687</v>
      </c>
      <c r="C5466" t="s">
        <v>562</v>
      </c>
      <c r="D5466" s="226">
        <v>-4000</v>
      </c>
      <c r="E5466" t="s">
        <v>688</v>
      </c>
    </row>
    <row r="5467" spans="1:5" hidden="1" x14ac:dyDescent="0.3">
      <c r="A5467" t="s">
        <v>552</v>
      </c>
      <c r="B5467" t="s">
        <v>687</v>
      </c>
      <c r="C5467" t="s">
        <v>563</v>
      </c>
      <c r="D5467" s="226">
        <v>0</v>
      </c>
      <c r="E5467" t="s">
        <v>688</v>
      </c>
    </row>
    <row r="5468" spans="1:5" hidden="1" x14ac:dyDescent="0.3">
      <c r="A5468" t="s">
        <v>552</v>
      </c>
      <c r="B5468" t="s">
        <v>687</v>
      </c>
      <c r="C5468" t="s">
        <v>564</v>
      </c>
      <c r="D5468" s="226">
        <v>0</v>
      </c>
      <c r="E5468" t="s">
        <v>688</v>
      </c>
    </row>
    <row r="5469" spans="1:5" hidden="1" x14ac:dyDescent="0.3">
      <c r="A5469" t="s">
        <v>552</v>
      </c>
      <c r="B5469" t="s">
        <v>687</v>
      </c>
      <c r="C5469" t="s">
        <v>565</v>
      </c>
      <c r="D5469" s="226">
        <v>0</v>
      </c>
      <c r="E5469" t="s">
        <v>688</v>
      </c>
    </row>
    <row r="5470" spans="1:5" hidden="1" x14ac:dyDescent="0.3">
      <c r="A5470" t="s">
        <v>552</v>
      </c>
      <c r="B5470" t="s">
        <v>687</v>
      </c>
      <c r="C5470" t="s">
        <v>566</v>
      </c>
      <c r="D5470" s="226">
        <v>0</v>
      </c>
      <c r="E5470" t="s">
        <v>688</v>
      </c>
    </row>
    <row r="5471" spans="1:5" hidden="1" x14ac:dyDescent="0.3">
      <c r="A5471" t="s">
        <v>552</v>
      </c>
      <c r="B5471" t="s">
        <v>687</v>
      </c>
      <c r="C5471" t="s">
        <v>567</v>
      </c>
      <c r="D5471" s="226">
        <v>0</v>
      </c>
      <c r="E5471" t="s">
        <v>688</v>
      </c>
    </row>
    <row r="5472" spans="1:5" hidden="1" x14ac:dyDescent="0.3">
      <c r="A5472" t="s">
        <v>552</v>
      </c>
      <c r="B5472" t="s">
        <v>687</v>
      </c>
      <c r="C5472" t="s">
        <v>141</v>
      </c>
      <c r="D5472" s="226">
        <v>-52139.13</v>
      </c>
      <c r="E5472" t="s">
        <v>688</v>
      </c>
    </row>
    <row r="5473" spans="1:5" hidden="1" x14ac:dyDescent="0.3">
      <c r="A5473" t="s">
        <v>552</v>
      </c>
      <c r="B5473" t="s">
        <v>687</v>
      </c>
      <c r="C5473" t="s">
        <v>568</v>
      </c>
      <c r="D5473" s="226">
        <v>0</v>
      </c>
      <c r="E5473" t="s">
        <v>688</v>
      </c>
    </row>
    <row r="5474" spans="1:5" hidden="1" x14ac:dyDescent="0.3">
      <c r="A5474" t="s">
        <v>552</v>
      </c>
      <c r="B5474" t="s">
        <v>687</v>
      </c>
      <c r="C5474" t="s">
        <v>569</v>
      </c>
      <c r="D5474" s="226">
        <v>0</v>
      </c>
      <c r="E5474" t="s">
        <v>688</v>
      </c>
    </row>
    <row r="5475" spans="1:5" hidden="1" x14ac:dyDescent="0.3">
      <c r="A5475" t="s">
        <v>552</v>
      </c>
      <c r="B5475" t="s">
        <v>687</v>
      </c>
      <c r="C5475" t="s">
        <v>570</v>
      </c>
      <c r="D5475" s="226">
        <v>0</v>
      </c>
      <c r="E5475" t="s">
        <v>688</v>
      </c>
    </row>
    <row r="5476" spans="1:5" hidden="1" x14ac:dyDescent="0.3">
      <c r="A5476" t="s">
        <v>552</v>
      </c>
      <c r="B5476" t="s">
        <v>687</v>
      </c>
      <c r="C5476" t="s">
        <v>571</v>
      </c>
      <c r="D5476" s="226">
        <v>0</v>
      </c>
      <c r="E5476" t="s">
        <v>688</v>
      </c>
    </row>
    <row r="5477" spans="1:5" hidden="1" x14ac:dyDescent="0.3">
      <c r="A5477" t="s">
        <v>552</v>
      </c>
      <c r="B5477" t="s">
        <v>687</v>
      </c>
      <c r="C5477" t="s">
        <v>572</v>
      </c>
      <c r="D5477" s="226">
        <v>0</v>
      </c>
      <c r="E5477" t="s">
        <v>688</v>
      </c>
    </row>
    <row r="5478" spans="1:5" hidden="1" x14ac:dyDescent="0.3">
      <c r="A5478" t="s">
        <v>552</v>
      </c>
      <c r="B5478" t="s">
        <v>687</v>
      </c>
      <c r="C5478" t="s">
        <v>573</v>
      </c>
      <c r="D5478" s="226">
        <v>0</v>
      </c>
      <c r="E5478" t="s">
        <v>688</v>
      </c>
    </row>
    <row r="5479" spans="1:5" hidden="1" x14ac:dyDescent="0.3">
      <c r="A5479" t="s">
        <v>552</v>
      </c>
      <c r="B5479" t="s">
        <v>687</v>
      </c>
      <c r="C5479" t="s">
        <v>574</v>
      </c>
      <c r="D5479" s="226">
        <v>0</v>
      </c>
      <c r="E5479" t="s">
        <v>688</v>
      </c>
    </row>
    <row r="5480" spans="1:5" hidden="1" x14ac:dyDescent="0.3">
      <c r="A5480" t="s">
        <v>552</v>
      </c>
      <c r="B5480" t="s">
        <v>687</v>
      </c>
      <c r="C5480" t="s">
        <v>575</v>
      </c>
      <c r="D5480" s="226">
        <v>0</v>
      </c>
      <c r="E5480" t="s">
        <v>688</v>
      </c>
    </row>
    <row r="5481" spans="1:5" hidden="1" x14ac:dyDescent="0.3">
      <c r="A5481" t="s">
        <v>552</v>
      </c>
      <c r="B5481" t="s">
        <v>687</v>
      </c>
      <c r="C5481" t="s">
        <v>576</v>
      </c>
      <c r="D5481" s="226">
        <v>0</v>
      </c>
      <c r="E5481" t="s">
        <v>688</v>
      </c>
    </row>
    <row r="5482" spans="1:5" hidden="1" x14ac:dyDescent="0.3">
      <c r="A5482" t="s">
        <v>552</v>
      </c>
      <c r="B5482" t="s">
        <v>687</v>
      </c>
      <c r="C5482" t="s">
        <v>577</v>
      </c>
      <c r="D5482" s="226">
        <v>0</v>
      </c>
      <c r="E5482" t="s">
        <v>688</v>
      </c>
    </row>
    <row r="5483" spans="1:5" hidden="1" x14ac:dyDescent="0.3">
      <c r="A5483" t="s">
        <v>552</v>
      </c>
      <c r="B5483" t="s">
        <v>687</v>
      </c>
      <c r="C5483" t="s">
        <v>578</v>
      </c>
      <c r="D5483" s="226">
        <v>0</v>
      </c>
      <c r="E5483" t="s">
        <v>688</v>
      </c>
    </row>
    <row r="5484" spans="1:5" hidden="1" x14ac:dyDescent="0.3">
      <c r="A5484" t="s">
        <v>552</v>
      </c>
      <c r="B5484" t="s">
        <v>687</v>
      </c>
      <c r="C5484" t="s">
        <v>579</v>
      </c>
      <c r="D5484" s="226">
        <v>0</v>
      </c>
      <c r="E5484" t="s">
        <v>688</v>
      </c>
    </row>
    <row r="5485" spans="1:5" hidden="1" x14ac:dyDescent="0.3">
      <c r="A5485" t="s">
        <v>552</v>
      </c>
      <c r="B5485" t="s">
        <v>687</v>
      </c>
      <c r="C5485" t="s">
        <v>580</v>
      </c>
      <c r="D5485" s="226">
        <v>0</v>
      </c>
      <c r="E5485" t="s">
        <v>688</v>
      </c>
    </row>
    <row r="5486" spans="1:5" hidden="1" x14ac:dyDescent="0.3">
      <c r="A5486" t="s">
        <v>552</v>
      </c>
      <c r="B5486" t="s">
        <v>687</v>
      </c>
      <c r="C5486" t="s">
        <v>581</v>
      </c>
      <c r="D5486" s="226">
        <v>0</v>
      </c>
      <c r="E5486" t="s">
        <v>688</v>
      </c>
    </row>
    <row r="5487" spans="1:5" hidden="1" x14ac:dyDescent="0.3">
      <c r="A5487" t="s">
        <v>552</v>
      </c>
      <c r="B5487" t="s">
        <v>687</v>
      </c>
      <c r="C5487" t="s">
        <v>582</v>
      </c>
      <c r="D5487" s="226">
        <v>0</v>
      </c>
      <c r="E5487" t="s">
        <v>688</v>
      </c>
    </row>
    <row r="5488" spans="1:5" hidden="1" x14ac:dyDescent="0.3">
      <c r="A5488" t="s">
        <v>552</v>
      </c>
      <c r="B5488" t="s">
        <v>687</v>
      </c>
      <c r="C5488" t="s">
        <v>583</v>
      </c>
      <c r="D5488" s="226">
        <v>0</v>
      </c>
      <c r="E5488" t="s">
        <v>688</v>
      </c>
    </row>
    <row r="5489" spans="1:5" hidden="1" x14ac:dyDescent="0.3">
      <c r="A5489" t="s">
        <v>552</v>
      </c>
      <c r="B5489" t="s">
        <v>687</v>
      </c>
      <c r="C5489" t="s">
        <v>584</v>
      </c>
      <c r="D5489" s="226">
        <v>0</v>
      </c>
      <c r="E5489" t="s">
        <v>688</v>
      </c>
    </row>
    <row r="5490" spans="1:5" hidden="1" x14ac:dyDescent="0.3">
      <c r="A5490" t="s">
        <v>552</v>
      </c>
      <c r="B5490" t="s">
        <v>687</v>
      </c>
      <c r="C5490" t="s">
        <v>585</v>
      </c>
      <c r="D5490" s="226">
        <v>0</v>
      </c>
      <c r="E5490" t="s">
        <v>688</v>
      </c>
    </row>
    <row r="5491" spans="1:5" hidden="1" x14ac:dyDescent="0.3">
      <c r="A5491" t="s">
        <v>552</v>
      </c>
      <c r="B5491" t="s">
        <v>687</v>
      </c>
      <c r="C5491" t="s">
        <v>586</v>
      </c>
      <c r="D5491" s="226">
        <v>0</v>
      </c>
      <c r="E5491" t="s">
        <v>688</v>
      </c>
    </row>
    <row r="5492" spans="1:5" hidden="1" x14ac:dyDescent="0.3">
      <c r="A5492" t="s">
        <v>552</v>
      </c>
      <c r="B5492" t="s">
        <v>687</v>
      </c>
      <c r="C5492" t="s">
        <v>587</v>
      </c>
      <c r="D5492" s="226">
        <v>0</v>
      </c>
      <c r="E5492" t="s">
        <v>688</v>
      </c>
    </row>
    <row r="5493" spans="1:5" hidden="1" x14ac:dyDescent="0.3">
      <c r="A5493" t="s">
        <v>552</v>
      </c>
      <c r="B5493" t="s">
        <v>687</v>
      </c>
      <c r="C5493" t="s">
        <v>588</v>
      </c>
      <c r="D5493" s="226">
        <v>0</v>
      </c>
      <c r="E5493" t="s">
        <v>688</v>
      </c>
    </row>
    <row r="5494" spans="1:5" hidden="1" x14ac:dyDescent="0.3">
      <c r="A5494" t="s">
        <v>552</v>
      </c>
      <c r="B5494" t="s">
        <v>687</v>
      </c>
      <c r="C5494" t="s">
        <v>589</v>
      </c>
      <c r="D5494" s="226">
        <v>0</v>
      </c>
      <c r="E5494" t="s">
        <v>688</v>
      </c>
    </row>
    <row r="5495" spans="1:5" hidden="1" x14ac:dyDescent="0.3">
      <c r="A5495" t="s">
        <v>552</v>
      </c>
      <c r="B5495" t="s">
        <v>687</v>
      </c>
      <c r="C5495" t="s">
        <v>590</v>
      </c>
      <c r="D5495" s="226">
        <v>0</v>
      </c>
      <c r="E5495" t="s">
        <v>688</v>
      </c>
    </row>
    <row r="5496" spans="1:5" hidden="1" x14ac:dyDescent="0.3">
      <c r="A5496" t="s">
        <v>552</v>
      </c>
      <c r="B5496" t="s">
        <v>687</v>
      </c>
      <c r="C5496" t="s">
        <v>591</v>
      </c>
      <c r="D5496" s="226">
        <v>0</v>
      </c>
      <c r="E5496" t="s">
        <v>688</v>
      </c>
    </row>
    <row r="5497" spans="1:5" hidden="1" x14ac:dyDescent="0.3">
      <c r="A5497" t="s">
        <v>552</v>
      </c>
      <c r="B5497" t="s">
        <v>687</v>
      </c>
      <c r="C5497" t="s">
        <v>592</v>
      </c>
      <c r="D5497" s="226">
        <v>0</v>
      </c>
      <c r="E5497" t="s">
        <v>688</v>
      </c>
    </row>
    <row r="5498" spans="1:5" hidden="1" x14ac:dyDescent="0.3">
      <c r="A5498" t="s">
        <v>552</v>
      </c>
      <c r="B5498" t="s">
        <v>687</v>
      </c>
      <c r="C5498" t="s">
        <v>593</v>
      </c>
      <c r="D5498" s="226">
        <v>0</v>
      </c>
      <c r="E5498" t="s">
        <v>688</v>
      </c>
    </row>
    <row r="5499" spans="1:5" hidden="1" x14ac:dyDescent="0.3">
      <c r="A5499" t="s">
        <v>552</v>
      </c>
      <c r="B5499" t="s">
        <v>687</v>
      </c>
      <c r="C5499" t="s">
        <v>594</v>
      </c>
      <c r="D5499" s="226">
        <v>0</v>
      </c>
      <c r="E5499" t="s">
        <v>688</v>
      </c>
    </row>
    <row r="5500" spans="1:5" hidden="1" x14ac:dyDescent="0.3">
      <c r="A5500" t="s">
        <v>552</v>
      </c>
      <c r="B5500" t="s">
        <v>687</v>
      </c>
      <c r="C5500" t="s">
        <v>595</v>
      </c>
      <c r="D5500" s="226">
        <v>0</v>
      </c>
      <c r="E5500" t="s">
        <v>688</v>
      </c>
    </row>
    <row r="5501" spans="1:5" hidden="1" x14ac:dyDescent="0.3">
      <c r="A5501" t="s">
        <v>552</v>
      </c>
      <c r="B5501" t="s">
        <v>687</v>
      </c>
      <c r="C5501" t="s">
        <v>596</v>
      </c>
      <c r="D5501" s="226">
        <v>0</v>
      </c>
      <c r="E5501" t="s">
        <v>688</v>
      </c>
    </row>
    <row r="5502" spans="1:5" hidden="1" x14ac:dyDescent="0.3">
      <c r="A5502" t="s">
        <v>552</v>
      </c>
      <c r="B5502" t="s">
        <v>687</v>
      </c>
      <c r="C5502" t="s">
        <v>597</v>
      </c>
      <c r="D5502" s="226">
        <v>0</v>
      </c>
      <c r="E5502" t="s">
        <v>688</v>
      </c>
    </row>
    <row r="5503" spans="1:5" hidden="1" x14ac:dyDescent="0.3">
      <c r="A5503" t="s">
        <v>552</v>
      </c>
      <c r="B5503" t="s">
        <v>687</v>
      </c>
      <c r="C5503" t="s">
        <v>598</v>
      </c>
      <c r="D5503" s="226">
        <v>0</v>
      </c>
      <c r="E5503" t="s">
        <v>688</v>
      </c>
    </row>
    <row r="5504" spans="1:5" hidden="1" x14ac:dyDescent="0.3">
      <c r="A5504" t="s">
        <v>552</v>
      </c>
      <c r="B5504" t="s">
        <v>687</v>
      </c>
      <c r="C5504" t="s">
        <v>599</v>
      </c>
      <c r="D5504" s="226">
        <v>0</v>
      </c>
      <c r="E5504" t="s">
        <v>688</v>
      </c>
    </row>
    <row r="5505" spans="1:5" hidden="1" x14ac:dyDescent="0.3">
      <c r="A5505" t="s">
        <v>552</v>
      </c>
      <c r="B5505" t="s">
        <v>687</v>
      </c>
      <c r="C5505" t="s">
        <v>600</v>
      </c>
      <c r="D5505" s="226">
        <v>0</v>
      </c>
      <c r="E5505" t="s">
        <v>688</v>
      </c>
    </row>
    <row r="5506" spans="1:5" hidden="1" x14ac:dyDescent="0.3">
      <c r="A5506" t="s">
        <v>552</v>
      </c>
      <c r="B5506" t="s">
        <v>687</v>
      </c>
      <c r="C5506" t="s">
        <v>601</v>
      </c>
      <c r="D5506" s="226">
        <v>0</v>
      </c>
      <c r="E5506" t="s">
        <v>688</v>
      </c>
    </row>
    <row r="5507" spans="1:5" hidden="1" x14ac:dyDescent="0.3">
      <c r="A5507" t="s">
        <v>552</v>
      </c>
      <c r="B5507" t="s">
        <v>687</v>
      </c>
      <c r="C5507" t="s">
        <v>602</v>
      </c>
      <c r="D5507" s="226">
        <v>0</v>
      </c>
      <c r="E5507" t="s">
        <v>688</v>
      </c>
    </row>
    <row r="5508" spans="1:5" hidden="1" x14ac:dyDescent="0.3">
      <c r="A5508" t="s">
        <v>552</v>
      </c>
      <c r="B5508" t="s">
        <v>687</v>
      </c>
      <c r="C5508" t="s">
        <v>603</v>
      </c>
      <c r="D5508" s="226">
        <v>0</v>
      </c>
      <c r="E5508" t="s">
        <v>688</v>
      </c>
    </row>
    <row r="5509" spans="1:5" hidden="1" x14ac:dyDescent="0.3">
      <c r="A5509" t="s">
        <v>552</v>
      </c>
      <c r="B5509" t="s">
        <v>687</v>
      </c>
      <c r="C5509" t="s">
        <v>604</v>
      </c>
      <c r="D5509" s="226">
        <v>0</v>
      </c>
      <c r="E5509" t="s">
        <v>688</v>
      </c>
    </row>
    <row r="5510" spans="1:5" hidden="1" x14ac:dyDescent="0.3">
      <c r="A5510" t="s">
        <v>552</v>
      </c>
      <c r="B5510" t="s">
        <v>687</v>
      </c>
      <c r="C5510" t="s">
        <v>605</v>
      </c>
      <c r="D5510" s="226">
        <v>0</v>
      </c>
      <c r="E5510" t="s">
        <v>688</v>
      </c>
    </row>
    <row r="5511" spans="1:5" hidden="1" x14ac:dyDescent="0.3">
      <c r="A5511" t="s">
        <v>552</v>
      </c>
      <c r="B5511" t="s">
        <v>687</v>
      </c>
      <c r="C5511" t="s">
        <v>606</v>
      </c>
      <c r="D5511" s="226">
        <v>0</v>
      </c>
      <c r="E5511" t="s">
        <v>688</v>
      </c>
    </row>
    <row r="5512" spans="1:5" hidden="1" x14ac:dyDescent="0.3">
      <c r="A5512" t="s">
        <v>552</v>
      </c>
      <c r="B5512" t="s">
        <v>687</v>
      </c>
      <c r="C5512" t="s">
        <v>607</v>
      </c>
      <c r="D5512" s="226">
        <v>0</v>
      </c>
      <c r="E5512" t="s">
        <v>688</v>
      </c>
    </row>
    <row r="5513" spans="1:5" hidden="1" x14ac:dyDescent="0.3">
      <c r="A5513" t="s">
        <v>552</v>
      </c>
      <c r="B5513" t="s">
        <v>687</v>
      </c>
      <c r="C5513" t="s">
        <v>608</v>
      </c>
      <c r="D5513" s="226">
        <v>0</v>
      </c>
      <c r="E5513" t="s">
        <v>688</v>
      </c>
    </row>
    <row r="5514" spans="1:5" hidden="1" x14ac:dyDescent="0.3">
      <c r="A5514" t="s">
        <v>552</v>
      </c>
      <c r="B5514" t="s">
        <v>687</v>
      </c>
      <c r="C5514" t="s">
        <v>609</v>
      </c>
      <c r="D5514" s="226">
        <v>0</v>
      </c>
      <c r="E5514" t="s">
        <v>688</v>
      </c>
    </row>
    <row r="5515" spans="1:5" hidden="1" x14ac:dyDescent="0.3">
      <c r="A5515" t="s">
        <v>552</v>
      </c>
      <c r="B5515" t="s">
        <v>687</v>
      </c>
      <c r="C5515" t="s">
        <v>610</v>
      </c>
      <c r="D5515" s="226">
        <v>0</v>
      </c>
      <c r="E5515" t="s">
        <v>688</v>
      </c>
    </row>
    <row r="5516" spans="1:5" hidden="1" x14ac:dyDescent="0.3">
      <c r="A5516" t="s">
        <v>552</v>
      </c>
      <c r="B5516" t="s">
        <v>687</v>
      </c>
      <c r="C5516" t="s">
        <v>611</v>
      </c>
      <c r="D5516" s="226">
        <v>0</v>
      </c>
      <c r="E5516" t="s">
        <v>688</v>
      </c>
    </row>
    <row r="5517" spans="1:5" hidden="1" x14ac:dyDescent="0.3">
      <c r="A5517" t="s">
        <v>552</v>
      </c>
      <c r="B5517" t="s">
        <v>687</v>
      </c>
      <c r="C5517" t="s">
        <v>612</v>
      </c>
      <c r="D5517" s="226">
        <v>0</v>
      </c>
      <c r="E5517" t="s">
        <v>688</v>
      </c>
    </row>
    <row r="5518" spans="1:5" hidden="1" x14ac:dyDescent="0.3">
      <c r="A5518" t="s">
        <v>552</v>
      </c>
      <c r="B5518" t="s">
        <v>687</v>
      </c>
      <c r="C5518" t="s">
        <v>613</v>
      </c>
      <c r="D5518" s="226">
        <v>0</v>
      </c>
      <c r="E5518" t="s">
        <v>688</v>
      </c>
    </row>
    <row r="5519" spans="1:5" hidden="1" x14ac:dyDescent="0.3">
      <c r="A5519" t="s">
        <v>552</v>
      </c>
      <c r="B5519" t="s">
        <v>687</v>
      </c>
      <c r="C5519" t="s">
        <v>614</v>
      </c>
      <c r="D5519" s="226">
        <v>0</v>
      </c>
      <c r="E5519" t="s">
        <v>688</v>
      </c>
    </row>
    <row r="5520" spans="1:5" hidden="1" x14ac:dyDescent="0.3">
      <c r="A5520" t="s">
        <v>552</v>
      </c>
      <c r="B5520" t="s">
        <v>687</v>
      </c>
      <c r="C5520" t="s">
        <v>615</v>
      </c>
      <c r="D5520" s="226">
        <v>0</v>
      </c>
      <c r="E5520" t="s">
        <v>688</v>
      </c>
    </row>
    <row r="5521" spans="1:5" hidden="1" x14ac:dyDescent="0.3">
      <c r="A5521" t="s">
        <v>552</v>
      </c>
      <c r="B5521" t="s">
        <v>687</v>
      </c>
      <c r="C5521" t="s">
        <v>616</v>
      </c>
      <c r="D5521" s="226">
        <v>0</v>
      </c>
      <c r="E5521" t="s">
        <v>688</v>
      </c>
    </row>
    <row r="5522" spans="1:5" hidden="1" x14ac:dyDescent="0.3">
      <c r="A5522" t="s">
        <v>552</v>
      </c>
      <c r="B5522" t="s">
        <v>687</v>
      </c>
      <c r="C5522" t="s">
        <v>617</v>
      </c>
      <c r="D5522" s="226">
        <v>0</v>
      </c>
      <c r="E5522" t="s">
        <v>688</v>
      </c>
    </row>
    <row r="5523" spans="1:5" hidden="1" x14ac:dyDescent="0.3">
      <c r="A5523" t="s">
        <v>552</v>
      </c>
      <c r="B5523" t="s">
        <v>687</v>
      </c>
      <c r="C5523" t="s">
        <v>618</v>
      </c>
      <c r="D5523" s="226">
        <v>0</v>
      </c>
      <c r="E5523" t="s">
        <v>688</v>
      </c>
    </row>
    <row r="5524" spans="1:5" hidden="1" x14ac:dyDescent="0.3">
      <c r="A5524" t="s">
        <v>552</v>
      </c>
      <c r="B5524" t="s">
        <v>687</v>
      </c>
      <c r="C5524" t="s">
        <v>619</v>
      </c>
      <c r="D5524" s="226">
        <v>0</v>
      </c>
      <c r="E5524" t="s">
        <v>688</v>
      </c>
    </row>
    <row r="5525" spans="1:5" hidden="1" x14ac:dyDescent="0.3">
      <c r="A5525" t="s">
        <v>552</v>
      </c>
      <c r="B5525" t="s">
        <v>687</v>
      </c>
      <c r="C5525" t="s">
        <v>620</v>
      </c>
      <c r="D5525" s="226">
        <v>0</v>
      </c>
      <c r="E5525" t="s">
        <v>688</v>
      </c>
    </row>
    <row r="5526" spans="1:5" hidden="1" x14ac:dyDescent="0.3">
      <c r="A5526" t="s">
        <v>552</v>
      </c>
      <c r="B5526" t="s">
        <v>687</v>
      </c>
      <c r="C5526" t="s">
        <v>621</v>
      </c>
      <c r="D5526" s="226">
        <v>0</v>
      </c>
      <c r="E5526" t="s">
        <v>688</v>
      </c>
    </row>
    <row r="5527" spans="1:5" hidden="1" x14ac:dyDescent="0.3">
      <c r="A5527" t="s">
        <v>552</v>
      </c>
      <c r="B5527" t="s">
        <v>687</v>
      </c>
      <c r="C5527" t="s">
        <v>622</v>
      </c>
      <c r="D5527" s="226">
        <v>0</v>
      </c>
      <c r="E5527" t="s">
        <v>688</v>
      </c>
    </row>
    <row r="5528" spans="1:5" hidden="1" x14ac:dyDescent="0.3">
      <c r="A5528" t="s">
        <v>552</v>
      </c>
      <c r="B5528" t="s">
        <v>687</v>
      </c>
      <c r="C5528" t="s">
        <v>623</v>
      </c>
      <c r="D5528" s="226">
        <v>0</v>
      </c>
      <c r="E5528" t="s">
        <v>688</v>
      </c>
    </row>
    <row r="5529" spans="1:5" hidden="1" x14ac:dyDescent="0.3">
      <c r="A5529" t="s">
        <v>552</v>
      </c>
      <c r="B5529" t="s">
        <v>687</v>
      </c>
      <c r="C5529" t="s">
        <v>624</v>
      </c>
      <c r="D5529" s="226">
        <v>0</v>
      </c>
      <c r="E5529" t="s">
        <v>688</v>
      </c>
    </row>
    <row r="5530" spans="1:5" hidden="1" x14ac:dyDescent="0.3">
      <c r="A5530" t="s">
        <v>552</v>
      </c>
      <c r="B5530" t="s">
        <v>687</v>
      </c>
      <c r="C5530" t="s">
        <v>200</v>
      </c>
      <c r="D5530" s="226">
        <v>-104507.61</v>
      </c>
      <c r="E5530" t="s">
        <v>688</v>
      </c>
    </row>
    <row r="5531" spans="1:5" hidden="1" x14ac:dyDescent="0.3">
      <c r="A5531" t="s">
        <v>552</v>
      </c>
      <c r="B5531" t="s">
        <v>687</v>
      </c>
      <c r="C5531" t="s">
        <v>202</v>
      </c>
      <c r="D5531" s="226">
        <v>-104507.61</v>
      </c>
      <c r="E5531" t="s">
        <v>688</v>
      </c>
    </row>
    <row r="5532" spans="1:5" hidden="1" x14ac:dyDescent="0.3">
      <c r="A5532" t="s">
        <v>552</v>
      </c>
      <c r="B5532" t="s">
        <v>687</v>
      </c>
      <c r="C5532" t="s">
        <v>625</v>
      </c>
      <c r="D5532" s="226">
        <v>52253.81</v>
      </c>
      <c r="E5532" t="s">
        <v>688</v>
      </c>
    </row>
    <row r="5533" spans="1:5" hidden="1" x14ac:dyDescent="0.3">
      <c r="A5533" t="s">
        <v>552</v>
      </c>
      <c r="B5533" t="s">
        <v>687</v>
      </c>
      <c r="C5533" t="s">
        <v>204</v>
      </c>
      <c r="D5533" s="226">
        <v>-75325.72</v>
      </c>
      <c r="E5533" t="s">
        <v>688</v>
      </c>
    </row>
    <row r="5534" spans="1:5" hidden="1" x14ac:dyDescent="0.3">
      <c r="A5534" t="s">
        <v>552</v>
      </c>
      <c r="B5534" t="s">
        <v>687</v>
      </c>
      <c r="C5534" t="s">
        <v>626</v>
      </c>
      <c r="D5534" s="226">
        <v>-10862.06</v>
      </c>
      <c r="E5534" t="s">
        <v>688</v>
      </c>
    </row>
    <row r="5535" spans="1:5" hidden="1" x14ac:dyDescent="0.3">
      <c r="A5535" t="s">
        <v>552</v>
      </c>
      <c r="B5535" t="s">
        <v>687</v>
      </c>
      <c r="C5535" t="s">
        <v>627</v>
      </c>
      <c r="D5535" s="226">
        <v>0</v>
      </c>
      <c r="E5535" t="s">
        <v>688</v>
      </c>
    </row>
    <row r="5536" spans="1:5" hidden="1" x14ac:dyDescent="0.3">
      <c r="A5536" t="s">
        <v>552</v>
      </c>
      <c r="B5536" t="s">
        <v>687</v>
      </c>
      <c r="C5536" t="s">
        <v>628</v>
      </c>
      <c r="D5536" s="226">
        <v>-14067</v>
      </c>
      <c r="E5536" t="s">
        <v>688</v>
      </c>
    </row>
    <row r="5537" spans="1:5" hidden="1" x14ac:dyDescent="0.3">
      <c r="A5537" t="s">
        <v>552</v>
      </c>
      <c r="B5537" t="s">
        <v>687</v>
      </c>
      <c r="C5537" t="s">
        <v>629</v>
      </c>
      <c r="D5537" s="226">
        <v>-4779</v>
      </c>
      <c r="E5537" t="s">
        <v>688</v>
      </c>
    </row>
    <row r="5538" spans="1:5" hidden="1" x14ac:dyDescent="0.3">
      <c r="A5538" t="s">
        <v>552</v>
      </c>
      <c r="B5538" t="s">
        <v>687</v>
      </c>
      <c r="C5538" t="s">
        <v>630</v>
      </c>
      <c r="D5538" s="226">
        <v>-24872.41</v>
      </c>
      <c r="E5538" t="s">
        <v>688</v>
      </c>
    </row>
    <row r="5539" spans="1:5" hidden="1" x14ac:dyDescent="0.3">
      <c r="A5539" t="s">
        <v>552</v>
      </c>
      <c r="B5539" t="s">
        <v>687</v>
      </c>
      <c r="C5539" t="s">
        <v>631</v>
      </c>
      <c r="D5539" s="226">
        <v>0</v>
      </c>
      <c r="E5539" t="s">
        <v>688</v>
      </c>
    </row>
    <row r="5540" spans="1:5" hidden="1" x14ac:dyDescent="0.3">
      <c r="A5540" t="s">
        <v>552</v>
      </c>
      <c r="B5540" t="s">
        <v>687</v>
      </c>
      <c r="C5540" t="s">
        <v>632</v>
      </c>
      <c r="D5540" s="226">
        <v>0</v>
      </c>
      <c r="E5540" t="s">
        <v>688</v>
      </c>
    </row>
    <row r="5541" spans="1:5" hidden="1" x14ac:dyDescent="0.3">
      <c r="A5541" t="s">
        <v>552</v>
      </c>
      <c r="B5541" t="s">
        <v>687</v>
      </c>
      <c r="C5541" t="s">
        <v>633</v>
      </c>
      <c r="D5541" s="226">
        <v>-525.69000000000005</v>
      </c>
      <c r="E5541" t="s">
        <v>688</v>
      </c>
    </row>
    <row r="5542" spans="1:5" hidden="1" x14ac:dyDescent="0.3">
      <c r="A5542" t="s">
        <v>552</v>
      </c>
      <c r="B5542" t="s">
        <v>687</v>
      </c>
      <c r="C5542" t="s">
        <v>634</v>
      </c>
      <c r="D5542" s="226">
        <v>0</v>
      </c>
      <c r="E5542" t="s">
        <v>688</v>
      </c>
    </row>
    <row r="5543" spans="1:5" hidden="1" x14ac:dyDescent="0.3">
      <c r="A5543" t="s">
        <v>552</v>
      </c>
      <c r="B5543" t="s">
        <v>687</v>
      </c>
      <c r="C5543" t="s">
        <v>635</v>
      </c>
      <c r="D5543" s="226">
        <v>-4151.21</v>
      </c>
      <c r="E5543" t="s">
        <v>688</v>
      </c>
    </row>
    <row r="5544" spans="1:5" hidden="1" x14ac:dyDescent="0.3">
      <c r="A5544" t="s">
        <v>552</v>
      </c>
      <c r="B5544" t="s">
        <v>687</v>
      </c>
      <c r="C5544" t="s">
        <v>636</v>
      </c>
      <c r="D5544" s="226">
        <v>0</v>
      </c>
      <c r="E5544" t="s">
        <v>688</v>
      </c>
    </row>
    <row r="5545" spans="1:5" hidden="1" x14ac:dyDescent="0.3">
      <c r="A5545" t="s">
        <v>552</v>
      </c>
      <c r="B5545" t="s">
        <v>687</v>
      </c>
      <c r="C5545" t="s">
        <v>637</v>
      </c>
      <c r="D5545" s="226">
        <v>-7500</v>
      </c>
      <c r="E5545" t="s">
        <v>688</v>
      </c>
    </row>
    <row r="5546" spans="1:5" hidden="1" x14ac:dyDescent="0.3">
      <c r="A5546" t="s">
        <v>552</v>
      </c>
      <c r="B5546" t="s">
        <v>687</v>
      </c>
      <c r="C5546" t="s">
        <v>638</v>
      </c>
      <c r="D5546" s="226">
        <v>0</v>
      </c>
      <c r="E5546" t="s">
        <v>688</v>
      </c>
    </row>
    <row r="5547" spans="1:5" hidden="1" x14ac:dyDescent="0.3">
      <c r="A5547" t="s">
        <v>552</v>
      </c>
      <c r="B5547" t="s">
        <v>687</v>
      </c>
      <c r="C5547" t="s">
        <v>639</v>
      </c>
      <c r="D5547" s="226">
        <v>-8568.36</v>
      </c>
      <c r="E5547" t="s">
        <v>688</v>
      </c>
    </row>
    <row r="5548" spans="1:5" hidden="1" x14ac:dyDescent="0.3">
      <c r="A5548" t="s">
        <v>552</v>
      </c>
      <c r="B5548" t="s">
        <v>687</v>
      </c>
      <c r="C5548" t="s">
        <v>640</v>
      </c>
      <c r="D5548" s="226">
        <v>0</v>
      </c>
      <c r="E5548" t="s">
        <v>688</v>
      </c>
    </row>
    <row r="5549" spans="1:5" hidden="1" x14ac:dyDescent="0.3">
      <c r="A5549" t="s">
        <v>552</v>
      </c>
      <c r="B5549" t="s">
        <v>687</v>
      </c>
      <c r="C5549" t="s">
        <v>641</v>
      </c>
      <c r="D5549" s="226">
        <v>0</v>
      </c>
      <c r="E5549" t="s">
        <v>688</v>
      </c>
    </row>
    <row r="5550" spans="1:5" hidden="1" x14ac:dyDescent="0.3">
      <c r="A5550" t="s">
        <v>552</v>
      </c>
      <c r="B5550" t="s">
        <v>687</v>
      </c>
      <c r="C5550" t="s">
        <v>237</v>
      </c>
      <c r="D5550" s="226">
        <v>-8193.9</v>
      </c>
      <c r="E5550" t="s">
        <v>688</v>
      </c>
    </row>
    <row r="5551" spans="1:5" hidden="1" x14ac:dyDescent="0.3">
      <c r="A5551" t="s">
        <v>552</v>
      </c>
      <c r="B5551" t="s">
        <v>687</v>
      </c>
      <c r="C5551" t="s">
        <v>642</v>
      </c>
      <c r="D5551" s="226">
        <v>-7886.83</v>
      </c>
      <c r="E5551" t="s">
        <v>688</v>
      </c>
    </row>
    <row r="5552" spans="1:5" hidden="1" x14ac:dyDescent="0.3">
      <c r="A5552" t="s">
        <v>552</v>
      </c>
      <c r="B5552" t="s">
        <v>687</v>
      </c>
      <c r="C5552" t="s">
        <v>643</v>
      </c>
      <c r="D5552" s="226">
        <v>0</v>
      </c>
      <c r="E5552" t="s">
        <v>688</v>
      </c>
    </row>
    <row r="5553" spans="1:5" hidden="1" x14ac:dyDescent="0.3">
      <c r="A5553" t="s">
        <v>552</v>
      </c>
      <c r="B5553" t="s">
        <v>687</v>
      </c>
      <c r="C5553" t="s">
        <v>644</v>
      </c>
      <c r="D5553" s="226">
        <v>0</v>
      </c>
      <c r="E5553" t="s">
        <v>688</v>
      </c>
    </row>
    <row r="5554" spans="1:5" hidden="1" x14ac:dyDescent="0.3">
      <c r="A5554" t="s">
        <v>552</v>
      </c>
      <c r="B5554" t="s">
        <v>687</v>
      </c>
      <c r="C5554" t="s">
        <v>645</v>
      </c>
      <c r="D5554" s="226">
        <v>-307.07</v>
      </c>
      <c r="E5554" t="s">
        <v>688</v>
      </c>
    </row>
    <row r="5555" spans="1:5" hidden="1" x14ac:dyDescent="0.3">
      <c r="A5555" t="s">
        <v>552</v>
      </c>
      <c r="B5555" t="s">
        <v>687</v>
      </c>
      <c r="C5555" t="s">
        <v>646</v>
      </c>
      <c r="D5555" s="226">
        <v>0</v>
      </c>
      <c r="E5555" t="s">
        <v>688</v>
      </c>
    </row>
    <row r="5556" spans="1:5" hidden="1" x14ac:dyDescent="0.3">
      <c r="A5556" t="s">
        <v>552</v>
      </c>
      <c r="B5556" t="s">
        <v>687</v>
      </c>
      <c r="C5556" t="s">
        <v>244</v>
      </c>
      <c r="D5556" s="226">
        <v>-37478.550000000003</v>
      </c>
      <c r="E5556" t="s">
        <v>688</v>
      </c>
    </row>
    <row r="5557" spans="1:5" hidden="1" x14ac:dyDescent="0.3">
      <c r="A5557" t="s">
        <v>552</v>
      </c>
      <c r="B5557" t="s">
        <v>687</v>
      </c>
      <c r="C5557" t="s">
        <v>647</v>
      </c>
      <c r="D5557" s="226">
        <v>-88.88</v>
      </c>
      <c r="E5557" t="s">
        <v>688</v>
      </c>
    </row>
    <row r="5558" spans="1:5" hidden="1" x14ac:dyDescent="0.3">
      <c r="A5558" t="s">
        <v>552</v>
      </c>
      <c r="B5558" t="s">
        <v>687</v>
      </c>
      <c r="C5558" t="s">
        <v>648</v>
      </c>
      <c r="D5558" s="226">
        <v>-673.55</v>
      </c>
      <c r="E5558" t="s">
        <v>688</v>
      </c>
    </row>
    <row r="5559" spans="1:5" hidden="1" x14ac:dyDescent="0.3">
      <c r="A5559" t="s">
        <v>552</v>
      </c>
      <c r="B5559" t="s">
        <v>687</v>
      </c>
      <c r="C5559" t="s">
        <v>649</v>
      </c>
      <c r="D5559" s="226">
        <v>0</v>
      </c>
      <c r="E5559" t="s">
        <v>688</v>
      </c>
    </row>
    <row r="5560" spans="1:5" hidden="1" x14ac:dyDescent="0.3">
      <c r="A5560" t="s">
        <v>552</v>
      </c>
      <c r="B5560" t="s">
        <v>687</v>
      </c>
      <c r="C5560" t="s">
        <v>650</v>
      </c>
      <c r="D5560" s="226">
        <v>-3000</v>
      </c>
      <c r="E5560" t="s">
        <v>688</v>
      </c>
    </row>
    <row r="5561" spans="1:5" hidden="1" x14ac:dyDescent="0.3">
      <c r="A5561" t="s">
        <v>552</v>
      </c>
      <c r="B5561" t="s">
        <v>687</v>
      </c>
      <c r="C5561" t="s">
        <v>651</v>
      </c>
      <c r="D5561" s="226">
        <v>0</v>
      </c>
      <c r="E5561" t="s">
        <v>688</v>
      </c>
    </row>
    <row r="5562" spans="1:5" hidden="1" x14ac:dyDescent="0.3">
      <c r="A5562" t="s">
        <v>552</v>
      </c>
      <c r="B5562" t="s">
        <v>687</v>
      </c>
      <c r="C5562" t="s">
        <v>652</v>
      </c>
      <c r="D5562" s="226">
        <v>-33716.120000000003</v>
      </c>
      <c r="E5562" t="s">
        <v>688</v>
      </c>
    </row>
    <row r="5563" spans="1:5" hidden="1" x14ac:dyDescent="0.3">
      <c r="A5563" t="s">
        <v>552</v>
      </c>
      <c r="B5563" t="s">
        <v>687</v>
      </c>
      <c r="C5563" t="s">
        <v>653</v>
      </c>
      <c r="D5563" s="226">
        <v>0</v>
      </c>
      <c r="E5563" t="s">
        <v>688</v>
      </c>
    </row>
    <row r="5564" spans="1:5" hidden="1" x14ac:dyDescent="0.3">
      <c r="A5564" t="s">
        <v>552</v>
      </c>
      <c r="B5564" t="s">
        <v>687</v>
      </c>
      <c r="C5564" t="s">
        <v>253</v>
      </c>
      <c r="D5564" s="226">
        <v>-0.22</v>
      </c>
      <c r="E5564" t="s">
        <v>688</v>
      </c>
    </row>
    <row r="5565" spans="1:5" hidden="1" x14ac:dyDescent="0.3">
      <c r="A5565" t="s">
        <v>552</v>
      </c>
      <c r="B5565" t="s">
        <v>687</v>
      </c>
      <c r="C5565" t="s">
        <v>254</v>
      </c>
      <c r="D5565" s="226">
        <v>-0.19</v>
      </c>
      <c r="E5565" t="s">
        <v>688</v>
      </c>
    </row>
    <row r="5566" spans="1:5" hidden="1" x14ac:dyDescent="0.3">
      <c r="A5566" t="s">
        <v>552</v>
      </c>
      <c r="B5566" t="s">
        <v>687</v>
      </c>
      <c r="C5566" t="s">
        <v>255</v>
      </c>
      <c r="D5566" s="226">
        <v>-47358.27</v>
      </c>
      <c r="E5566" t="s">
        <v>688</v>
      </c>
    </row>
    <row r="5567" spans="1:5" hidden="1" x14ac:dyDescent="0.3">
      <c r="A5567" t="s">
        <v>552</v>
      </c>
      <c r="B5567" t="s">
        <v>687</v>
      </c>
      <c r="C5567" t="s">
        <v>256</v>
      </c>
      <c r="D5567" s="226">
        <v>-28000</v>
      </c>
      <c r="E5567" t="s">
        <v>688</v>
      </c>
    </row>
    <row r="5568" spans="1:5" hidden="1" x14ac:dyDescent="0.3">
      <c r="A5568" t="s">
        <v>552</v>
      </c>
      <c r="B5568" t="s">
        <v>687</v>
      </c>
      <c r="C5568" t="s">
        <v>257</v>
      </c>
      <c r="D5568" s="226">
        <v>-15484.84</v>
      </c>
      <c r="E5568" t="s">
        <v>688</v>
      </c>
    </row>
    <row r="5569" spans="1:5" hidden="1" x14ac:dyDescent="0.3">
      <c r="A5569" t="s">
        <v>552</v>
      </c>
      <c r="B5569" t="s">
        <v>687</v>
      </c>
      <c r="C5569" t="s">
        <v>258</v>
      </c>
      <c r="D5569" s="226">
        <v>-3873.43</v>
      </c>
      <c r="E5569" t="s">
        <v>688</v>
      </c>
    </row>
    <row r="5570" spans="1:5" hidden="1" x14ac:dyDescent="0.3">
      <c r="A5570" t="s">
        <v>552</v>
      </c>
      <c r="B5570" t="s">
        <v>687</v>
      </c>
      <c r="C5570" t="s">
        <v>259</v>
      </c>
      <c r="D5570" s="226">
        <v>0</v>
      </c>
      <c r="E5570" t="s">
        <v>688</v>
      </c>
    </row>
    <row r="5571" spans="1:5" hidden="1" x14ac:dyDescent="0.3">
      <c r="A5571" t="s">
        <v>552</v>
      </c>
      <c r="B5571" t="s">
        <v>687</v>
      </c>
      <c r="C5571" t="s">
        <v>260</v>
      </c>
      <c r="D5571" s="226">
        <v>0</v>
      </c>
      <c r="E5571" t="s">
        <v>688</v>
      </c>
    </row>
    <row r="5572" spans="1:5" hidden="1" x14ac:dyDescent="0.3">
      <c r="A5572" t="s">
        <v>552</v>
      </c>
      <c r="B5572" t="s">
        <v>687</v>
      </c>
      <c r="C5572" t="s">
        <v>261</v>
      </c>
      <c r="D5572" s="226">
        <v>0</v>
      </c>
      <c r="E5572" t="s">
        <v>688</v>
      </c>
    </row>
    <row r="5573" spans="1:5" hidden="1" x14ac:dyDescent="0.3">
      <c r="A5573" t="s">
        <v>552</v>
      </c>
      <c r="B5573" t="s">
        <v>687</v>
      </c>
      <c r="C5573" t="s">
        <v>262</v>
      </c>
      <c r="D5573" s="226">
        <v>0</v>
      </c>
      <c r="E5573" t="s">
        <v>688</v>
      </c>
    </row>
    <row r="5574" spans="1:5" hidden="1" x14ac:dyDescent="0.3">
      <c r="A5574" t="s">
        <v>552</v>
      </c>
      <c r="B5574" t="s">
        <v>687</v>
      </c>
      <c r="C5574" t="s">
        <v>44</v>
      </c>
      <c r="D5574" s="226">
        <v>-0.03</v>
      </c>
      <c r="E5574" t="s">
        <v>688</v>
      </c>
    </row>
    <row r="5575" spans="1:5" hidden="1" x14ac:dyDescent="0.3">
      <c r="A5575" t="s">
        <v>552</v>
      </c>
      <c r="B5575" t="s">
        <v>687</v>
      </c>
      <c r="C5575" t="s">
        <v>263</v>
      </c>
      <c r="D5575" s="226">
        <v>-83486.41</v>
      </c>
      <c r="E5575" t="s">
        <v>688</v>
      </c>
    </row>
    <row r="5576" spans="1:5" hidden="1" x14ac:dyDescent="0.3">
      <c r="A5576" t="s">
        <v>552</v>
      </c>
      <c r="B5576" t="s">
        <v>687</v>
      </c>
      <c r="C5576" t="s">
        <v>264</v>
      </c>
      <c r="D5576" s="226">
        <v>-17371.64</v>
      </c>
      <c r="E5576" t="s">
        <v>688</v>
      </c>
    </row>
    <row r="5577" spans="1:5" hidden="1" x14ac:dyDescent="0.3">
      <c r="A5577" t="s">
        <v>552</v>
      </c>
      <c r="B5577" t="s">
        <v>687</v>
      </c>
      <c r="C5577" t="s">
        <v>265</v>
      </c>
      <c r="D5577" s="226">
        <v>-14889.9</v>
      </c>
      <c r="E5577" t="s">
        <v>688</v>
      </c>
    </row>
    <row r="5578" spans="1:5" hidden="1" x14ac:dyDescent="0.3">
      <c r="A5578" t="s">
        <v>552</v>
      </c>
      <c r="B5578" t="s">
        <v>687</v>
      </c>
      <c r="C5578" t="s">
        <v>266</v>
      </c>
      <c r="D5578" s="226">
        <v>-11900.73</v>
      </c>
      <c r="E5578" t="s">
        <v>688</v>
      </c>
    </row>
    <row r="5579" spans="1:5" hidden="1" x14ac:dyDescent="0.3">
      <c r="A5579" t="s">
        <v>552</v>
      </c>
      <c r="B5579" t="s">
        <v>687</v>
      </c>
      <c r="C5579" t="s">
        <v>267</v>
      </c>
      <c r="D5579" s="226">
        <v>-14190.19</v>
      </c>
      <c r="E5579" t="s">
        <v>688</v>
      </c>
    </row>
    <row r="5580" spans="1:5" hidden="1" x14ac:dyDescent="0.3">
      <c r="A5580" t="s">
        <v>552</v>
      </c>
      <c r="B5580" t="s">
        <v>687</v>
      </c>
      <c r="C5580" t="s">
        <v>268</v>
      </c>
      <c r="D5580" s="226">
        <v>0</v>
      </c>
      <c r="E5580" t="s">
        <v>688</v>
      </c>
    </row>
    <row r="5581" spans="1:5" hidden="1" x14ac:dyDescent="0.3">
      <c r="A5581" t="s">
        <v>552</v>
      </c>
      <c r="B5581" t="s">
        <v>687</v>
      </c>
      <c r="C5581" t="s">
        <v>269</v>
      </c>
      <c r="D5581" s="226">
        <v>-580</v>
      </c>
      <c r="E5581" t="s">
        <v>688</v>
      </c>
    </row>
    <row r="5582" spans="1:5" hidden="1" x14ac:dyDescent="0.3">
      <c r="A5582" t="s">
        <v>552</v>
      </c>
      <c r="B5582" t="s">
        <v>687</v>
      </c>
      <c r="C5582" t="s">
        <v>270</v>
      </c>
      <c r="D5582" s="226">
        <v>-4277.5</v>
      </c>
      <c r="E5582" t="s">
        <v>688</v>
      </c>
    </row>
    <row r="5583" spans="1:5" hidden="1" x14ac:dyDescent="0.3">
      <c r="A5583" t="s">
        <v>552</v>
      </c>
      <c r="B5583" t="s">
        <v>687</v>
      </c>
      <c r="C5583" t="s">
        <v>271</v>
      </c>
      <c r="D5583" s="226">
        <v>-4446.05</v>
      </c>
      <c r="E5583" t="s">
        <v>688</v>
      </c>
    </row>
    <row r="5584" spans="1:5" hidden="1" x14ac:dyDescent="0.3">
      <c r="A5584" t="s">
        <v>552</v>
      </c>
      <c r="B5584" t="s">
        <v>687</v>
      </c>
      <c r="C5584" t="s">
        <v>272</v>
      </c>
      <c r="D5584" s="226">
        <v>0</v>
      </c>
      <c r="E5584" t="s">
        <v>688</v>
      </c>
    </row>
    <row r="5585" spans="1:5" hidden="1" x14ac:dyDescent="0.3">
      <c r="A5585" t="s">
        <v>552</v>
      </c>
      <c r="B5585" t="s">
        <v>687</v>
      </c>
      <c r="C5585" t="s">
        <v>273</v>
      </c>
      <c r="D5585" s="226">
        <v>0</v>
      </c>
      <c r="E5585" t="s">
        <v>688</v>
      </c>
    </row>
    <row r="5586" spans="1:5" hidden="1" x14ac:dyDescent="0.3">
      <c r="A5586" t="s">
        <v>552</v>
      </c>
      <c r="B5586" t="s">
        <v>687</v>
      </c>
      <c r="C5586" t="s">
        <v>274</v>
      </c>
      <c r="D5586" s="226">
        <v>-604.05999999999995</v>
      </c>
      <c r="E5586" t="s">
        <v>688</v>
      </c>
    </row>
    <row r="5587" spans="1:5" hidden="1" x14ac:dyDescent="0.3">
      <c r="A5587" t="s">
        <v>552</v>
      </c>
      <c r="B5587" t="s">
        <v>687</v>
      </c>
      <c r="C5587" t="s">
        <v>275</v>
      </c>
      <c r="D5587" s="226">
        <v>-2604.23</v>
      </c>
      <c r="E5587" t="s">
        <v>688</v>
      </c>
    </row>
    <row r="5588" spans="1:5" hidden="1" x14ac:dyDescent="0.3">
      <c r="A5588" t="s">
        <v>552</v>
      </c>
      <c r="B5588" t="s">
        <v>687</v>
      </c>
      <c r="C5588" t="s">
        <v>276</v>
      </c>
      <c r="D5588" s="226">
        <v>-1674</v>
      </c>
      <c r="E5588" t="s">
        <v>688</v>
      </c>
    </row>
    <row r="5589" spans="1:5" hidden="1" x14ac:dyDescent="0.3">
      <c r="A5589" t="s">
        <v>552</v>
      </c>
      <c r="B5589" t="s">
        <v>687</v>
      </c>
      <c r="C5589" t="s">
        <v>277</v>
      </c>
      <c r="D5589" s="226">
        <v>-10948.11</v>
      </c>
      <c r="E5589" t="s">
        <v>688</v>
      </c>
    </row>
    <row r="5590" spans="1:5" hidden="1" x14ac:dyDescent="0.3">
      <c r="A5590" t="s">
        <v>552</v>
      </c>
      <c r="B5590" t="s">
        <v>687</v>
      </c>
      <c r="C5590" t="s">
        <v>44</v>
      </c>
      <c r="D5590" s="226">
        <v>-0.06</v>
      </c>
      <c r="E5590" t="s">
        <v>688</v>
      </c>
    </row>
    <row r="5591" spans="1:5" hidden="1" x14ac:dyDescent="0.3">
      <c r="A5591" t="s">
        <v>552</v>
      </c>
      <c r="B5591" t="s">
        <v>687</v>
      </c>
      <c r="C5591" t="s">
        <v>278</v>
      </c>
      <c r="D5591" s="226">
        <v>-6514.08</v>
      </c>
      <c r="E5591" t="s">
        <v>688</v>
      </c>
    </row>
    <row r="5592" spans="1:5" hidden="1" x14ac:dyDescent="0.3">
      <c r="A5592" t="s">
        <v>552</v>
      </c>
      <c r="B5592" t="s">
        <v>687</v>
      </c>
      <c r="C5592" t="s">
        <v>279</v>
      </c>
      <c r="D5592" s="226">
        <v>0</v>
      </c>
      <c r="E5592" t="s">
        <v>688</v>
      </c>
    </row>
    <row r="5593" spans="1:5" hidden="1" x14ac:dyDescent="0.3">
      <c r="A5593" t="s">
        <v>552</v>
      </c>
      <c r="B5593" t="s">
        <v>687</v>
      </c>
      <c r="C5593" t="s">
        <v>280</v>
      </c>
      <c r="D5593" s="226">
        <v>-356.75</v>
      </c>
      <c r="E5593" t="s">
        <v>688</v>
      </c>
    </row>
    <row r="5594" spans="1:5" hidden="1" x14ac:dyDescent="0.3">
      <c r="A5594" t="s">
        <v>552</v>
      </c>
      <c r="B5594" t="s">
        <v>687</v>
      </c>
      <c r="C5594" t="s">
        <v>281</v>
      </c>
      <c r="D5594" s="226">
        <v>-21.9</v>
      </c>
      <c r="E5594" t="s">
        <v>688</v>
      </c>
    </row>
    <row r="5595" spans="1:5" hidden="1" x14ac:dyDescent="0.3">
      <c r="A5595" t="s">
        <v>552</v>
      </c>
      <c r="B5595" t="s">
        <v>687</v>
      </c>
      <c r="C5595" t="s">
        <v>282</v>
      </c>
      <c r="D5595" s="226">
        <v>-815</v>
      </c>
      <c r="E5595" t="s">
        <v>688</v>
      </c>
    </row>
    <row r="5596" spans="1:5" hidden="1" x14ac:dyDescent="0.3">
      <c r="A5596" t="s">
        <v>552</v>
      </c>
      <c r="B5596" t="s">
        <v>687</v>
      </c>
      <c r="C5596" t="s">
        <v>283</v>
      </c>
      <c r="D5596" s="226">
        <v>-4001.85</v>
      </c>
      <c r="E5596" t="s">
        <v>688</v>
      </c>
    </row>
    <row r="5597" spans="1:5" hidden="1" x14ac:dyDescent="0.3">
      <c r="A5597" t="s">
        <v>552</v>
      </c>
      <c r="B5597" t="s">
        <v>687</v>
      </c>
      <c r="C5597" t="s">
        <v>284</v>
      </c>
      <c r="D5597" s="226">
        <v>-429</v>
      </c>
      <c r="E5597" t="s">
        <v>688</v>
      </c>
    </row>
    <row r="5598" spans="1:5" hidden="1" x14ac:dyDescent="0.3">
      <c r="A5598" t="s">
        <v>552</v>
      </c>
      <c r="B5598" t="s">
        <v>687</v>
      </c>
      <c r="C5598" t="s">
        <v>285</v>
      </c>
      <c r="D5598" s="226">
        <v>-889.58</v>
      </c>
      <c r="E5598" t="s">
        <v>688</v>
      </c>
    </row>
    <row r="5599" spans="1:5" hidden="1" x14ac:dyDescent="0.3">
      <c r="A5599" t="s">
        <v>552</v>
      </c>
      <c r="B5599" t="s">
        <v>687</v>
      </c>
      <c r="C5599" t="s">
        <v>44</v>
      </c>
      <c r="D5599" s="226">
        <v>0</v>
      </c>
      <c r="E5599" t="s">
        <v>688</v>
      </c>
    </row>
    <row r="5600" spans="1:5" hidden="1" x14ac:dyDescent="0.3">
      <c r="A5600" t="s">
        <v>552</v>
      </c>
      <c r="B5600" t="s">
        <v>687</v>
      </c>
      <c r="C5600" t="s">
        <v>286</v>
      </c>
      <c r="D5600" s="226">
        <v>-15117.66</v>
      </c>
      <c r="E5600" t="s">
        <v>688</v>
      </c>
    </row>
    <row r="5601" spans="1:5" hidden="1" x14ac:dyDescent="0.3">
      <c r="A5601" t="s">
        <v>552</v>
      </c>
      <c r="B5601" t="s">
        <v>687</v>
      </c>
      <c r="C5601" t="s">
        <v>287</v>
      </c>
      <c r="D5601" s="226">
        <v>-5000</v>
      </c>
      <c r="E5601" t="s">
        <v>688</v>
      </c>
    </row>
    <row r="5602" spans="1:5" hidden="1" x14ac:dyDescent="0.3">
      <c r="A5602" t="s">
        <v>552</v>
      </c>
      <c r="B5602" t="s">
        <v>687</v>
      </c>
      <c r="C5602" t="s">
        <v>288</v>
      </c>
      <c r="D5602" s="226">
        <v>-6365</v>
      </c>
      <c r="E5602" t="s">
        <v>688</v>
      </c>
    </row>
    <row r="5603" spans="1:5" hidden="1" x14ac:dyDescent="0.3">
      <c r="A5603" t="s">
        <v>552</v>
      </c>
      <c r="B5603" t="s">
        <v>687</v>
      </c>
      <c r="C5603" t="s">
        <v>289</v>
      </c>
      <c r="D5603" s="226">
        <v>-550</v>
      </c>
      <c r="E5603" t="s">
        <v>688</v>
      </c>
    </row>
    <row r="5604" spans="1:5" hidden="1" x14ac:dyDescent="0.3">
      <c r="A5604" t="s">
        <v>552</v>
      </c>
      <c r="B5604" t="s">
        <v>687</v>
      </c>
      <c r="C5604" t="s">
        <v>290</v>
      </c>
      <c r="D5604" s="226">
        <v>-2744.5</v>
      </c>
      <c r="E5604" t="s">
        <v>688</v>
      </c>
    </row>
    <row r="5605" spans="1:5" hidden="1" x14ac:dyDescent="0.3">
      <c r="A5605" t="s">
        <v>552</v>
      </c>
      <c r="B5605" t="s">
        <v>687</v>
      </c>
      <c r="C5605" t="s">
        <v>291</v>
      </c>
      <c r="D5605" s="226">
        <v>0</v>
      </c>
      <c r="E5605" t="s">
        <v>688</v>
      </c>
    </row>
    <row r="5606" spans="1:5" hidden="1" x14ac:dyDescent="0.3">
      <c r="A5606" t="s">
        <v>552</v>
      </c>
      <c r="B5606" t="s">
        <v>687</v>
      </c>
      <c r="C5606" t="s">
        <v>292</v>
      </c>
      <c r="D5606" s="226">
        <v>-372.7</v>
      </c>
      <c r="E5606" t="s">
        <v>688</v>
      </c>
    </row>
    <row r="5607" spans="1:5" hidden="1" x14ac:dyDescent="0.3">
      <c r="A5607" t="s">
        <v>552</v>
      </c>
      <c r="B5607" t="s">
        <v>687</v>
      </c>
      <c r="C5607" t="s">
        <v>293</v>
      </c>
      <c r="D5607" s="226">
        <v>-85.46</v>
      </c>
      <c r="E5607" t="s">
        <v>688</v>
      </c>
    </row>
    <row r="5608" spans="1:5" hidden="1" x14ac:dyDescent="0.3">
      <c r="A5608" t="s">
        <v>552</v>
      </c>
      <c r="B5608" t="s">
        <v>687</v>
      </c>
      <c r="C5608" t="s">
        <v>294</v>
      </c>
      <c r="D5608" s="226">
        <v>0</v>
      </c>
      <c r="E5608" t="s">
        <v>688</v>
      </c>
    </row>
    <row r="5609" spans="1:5" hidden="1" x14ac:dyDescent="0.3">
      <c r="A5609" t="s">
        <v>552</v>
      </c>
      <c r="B5609" t="s">
        <v>687</v>
      </c>
      <c r="C5609" t="s">
        <v>44</v>
      </c>
      <c r="D5609" s="226">
        <v>-0.01</v>
      </c>
      <c r="E5609" t="s">
        <v>688</v>
      </c>
    </row>
    <row r="5610" spans="1:5" hidden="1" x14ac:dyDescent="0.3">
      <c r="A5610" t="s">
        <v>552</v>
      </c>
      <c r="B5610" t="s">
        <v>687</v>
      </c>
      <c r="C5610" t="s">
        <v>295</v>
      </c>
      <c r="D5610" s="226">
        <v>-7453.89</v>
      </c>
      <c r="E5610" t="s">
        <v>688</v>
      </c>
    </row>
    <row r="5611" spans="1:5" hidden="1" x14ac:dyDescent="0.3">
      <c r="A5611" t="s">
        <v>552</v>
      </c>
      <c r="B5611" t="s">
        <v>687</v>
      </c>
      <c r="C5611" t="s">
        <v>296</v>
      </c>
      <c r="D5611" s="226">
        <v>-4500</v>
      </c>
      <c r="E5611" t="s">
        <v>688</v>
      </c>
    </row>
    <row r="5612" spans="1:5" hidden="1" x14ac:dyDescent="0.3">
      <c r="A5612" t="s">
        <v>552</v>
      </c>
      <c r="B5612" t="s">
        <v>687</v>
      </c>
      <c r="C5612" t="s">
        <v>297</v>
      </c>
      <c r="D5612" s="226">
        <v>-500</v>
      </c>
      <c r="E5612" t="s">
        <v>688</v>
      </c>
    </row>
    <row r="5613" spans="1:5" hidden="1" x14ac:dyDescent="0.3">
      <c r="A5613" t="s">
        <v>552</v>
      </c>
      <c r="B5613" t="s">
        <v>687</v>
      </c>
      <c r="C5613" t="s">
        <v>298</v>
      </c>
      <c r="D5613" s="226">
        <v>0</v>
      </c>
      <c r="E5613" t="s">
        <v>688</v>
      </c>
    </row>
    <row r="5614" spans="1:5" hidden="1" x14ac:dyDescent="0.3">
      <c r="A5614" t="s">
        <v>552</v>
      </c>
      <c r="B5614" t="s">
        <v>687</v>
      </c>
      <c r="C5614" t="s">
        <v>299</v>
      </c>
      <c r="D5614" s="226">
        <v>0</v>
      </c>
      <c r="E5614" t="s">
        <v>688</v>
      </c>
    </row>
    <row r="5615" spans="1:5" hidden="1" x14ac:dyDescent="0.3">
      <c r="A5615" t="s">
        <v>552</v>
      </c>
      <c r="B5615" t="s">
        <v>687</v>
      </c>
      <c r="C5615" t="s">
        <v>300</v>
      </c>
      <c r="D5615" s="226">
        <v>0</v>
      </c>
      <c r="E5615" t="s">
        <v>688</v>
      </c>
    </row>
    <row r="5616" spans="1:5" hidden="1" x14ac:dyDescent="0.3">
      <c r="A5616" t="s">
        <v>552</v>
      </c>
      <c r="B5616" t="s">
        <v>687</v>
      </c>
      <c r="C5616" t="s">
        <v>301</v>
      </c>
      <c r="D5616" s="226">
        <v>0</v>
      </c>
      <c r="E5616" t="s">
        <v>688</v>
      </c>
    </row>
    <row r="5617" spans="1:5" hidden="1" x14ac:dyDescent="0.3">
      <c r="A5617" t="s">
        <v>552</v>
      </c>
      <c r="B5617" t="s">
        <v>687</v>
      </c>
      <c r="C5617" t="s">
        <v>302</v>
      </c>
      <c r="D5617" s="226">
        <v>0</v>
      </c>
      <c r="E5617" t="s">
        <v>688</v>
      </c>
    </row>
    <row r="5618" spans="1:5" hidden="1" x14ac:dyDescent="0.3">
      <c r="A5618" t="s">
        <v>552</v>
      </c>
      <c r="B5618" t="s">
        <v>687</v>
      </c>
      <c r="C5618" t="s">
        <v>303</v>
      </c>
      <c r="D5618" s="226">
        <v>-148.5</v>
      </c>
      <c r="E5618" t="s">
        <v>688</v>
      </c>
    </row>
    <row r="5619" spans="1:5" hidden="1" x14ac:dyDescent="0.3">
      <c r="A5619" t="s">
        <v>552</v>
      </c>
      <c r="B5619" t="s">
        <v>687</v>
      </c>
      <c r="C5619" t="s">
        <v>304</v>
      </c>
      <c r="D5619" s="226">
        <v>-44.81</v>
      </c>
      <c r="E5619" t="s">
        <v>688</v>
      </c>
    </row>
    <row r="5620" spans="1:5" hidden="1" x14ac:dyDescent="0.3">
      <c r="A5620" t="s">
        <v>552</v>
      </c>
      <c r="B5620" t="s">
        <v>687</v>
      </c>
      <c r="C5620" t="s">
        <v>305</v>
      </c>
      <c r="D5620" s="226">
        <v>0</v>
      </c>
      <c r="E5620" t="s">
        <v>688</v>
      </c>
    </row>
    <row r="5621" spans="1:5" hidden="1" x14ac:dyDescent="0.3">
      <c r="A5621" t="s">
        <v>552</v>
      </c>
      <c r="B5621" t="s">
        <v>687</v>
      </c>
      <c r="C5621" t="s">
        <v>306</v>
      </c>
      <c r="D5621" s="226">
        <v>-2260.58</v>
      </c>
      <c r="E5621" t="s">
        <v>688</v>
      </c>
    </row>
    <row r="5622" spans="1:5" hidden="1" x14ac:dyDescent="0.3">
      <c r="A5622" t="s">
        <v>552</v>
      </c>
      <c r="B5622" t="s">
        <v>687</v>
      </c>
      <c r="C5622" t="s">
        <v>44</v>
      </c>
      <c r="D5622" s="226">
        <v>-0.01</v>
      </c>
      <c r="E5622" t="s">
        <v>688</v>
      </c>
    </row>
    <row r="5623" spans="1:5" hidden="1" x14ac:dyDescent="0.3">
      <c r="A5623" t="s">
        <v>552</v>
      </c>
      <c r="B5623" t="s">
        <v>687</v>
      </c>
      <c r="C5623" t="s">
        <v>307</v>
      </c>
      <c r="D5623" s="226">
        <v>-19402.150000000001</v>
      </c>
      <c r="E5623" t="s">
        <v>688</v>
      </c>
    </row>
    <row r="5624" spans="1:5" hidden="1" x14ac:dyDescent="0.3">
      <c r="A5624" t="s">
        <v>552</v>
      </c>
      <c r="B5624" t="s">
        <v>687</v>
      </c>
      <c r="C5624" t="s">
        <v>308</v>
      </c>
      <c r="D5624" s="226">
        <v>-3755</v>
      </c>
      <c r="E5624" t="s">
        <v>688</v>
      </c>
    </row>
    <row r="5625" spans="1:5" hidden="1" x14ac:dyDescent="0.3">
      <c r="A5625" t="s">
        <v>552</v>
      </c>
      <c r="B5625" t="s">
        <v>687</v>
      </c>
      <c r="C5625" t="s">
        <v>309</v>
      </c>
      <c r="D5625" s="226">
        <v>0</v>
      </c>
      <c r="E5625" t="s">
        <v>688</v>
      </c>
    </row>
    <row r="5626" spans="1:5" hidden="1" x14ac:dyDescent="0.3">
      <c r="A5626" t="s">
        <v>552</v>
      </c>
      <c r="B5626" t="s">
        <v>687</v>
      </c>
      <c r="C5626" t="s">
        <v>310</v>
      </c>
      <c r="D5626" s="226">
        <v>-1500</v>
      </c>
      <c r="E5626" t="s">
        <v>688</v>
      </c>
    </row>
    <row r="5627" spans="1:5" hidden="1" x14ac:dyDescent="0.3">
      <c r="A5627" t="s">
        <v>552</v>
      </c>
      <c r="B5627" t="s">
        <v>687</v>
      </c>
      <c r="C5627" t="s">
        <v>311</v>
      </c>
      <c r="D5627" s="226">
        <v>-185</v>
      </c>
      <c r="E5627" t="s">
        <v>688</v>
      </c>
    </row>
    <row r="5628" spans="1:5" hidden="1" x14ac:dyDescent="0.3">
      <c r="A5628" t="s">
        <v>552</v>
      </c>
      <c r="B5628" t="s">
        <v>687</v>
      </c>
      <c r="C5628" t="s">
        <v>312</v>
      </c>
      <c r="D5628" s="226">
        <v>0</v>
      </c>
      <c r="E5628" t="s">
        <v>688</v>
      </c>
    </row>
    <row r="5629" spans="1:5" hidden="1" x14ac:dyDescent="0.3">
      <c r="A5629" t="s">
        <v>552</v>
      </c>
      <c r="B5629" t="s">
        <v>687</v>
      </c>
      <c r="C5629" t="s">
        <v>313</v>
      </c>
      <c r="D5629" s="226">
        <v>-2372.15</v>
      </c>
      <c r="E5629" t="s">
        <v>688</v>
      </c>
    </row>
    <row r="5630" spans="1:5" hidden="1" x14ac:dyDescent="0.3">
      <c r="A5630" t="s">
        <v>552</v>
      </c>
      <c r="B5630" t="s">
        <v>687</v>
      </c>
      <c r="C5630" t="s">
        <v>314</v>
      </c>
      <c r="D5630" s="226">
        <v>0</v>
      </c>
      <c r="E5630" t="s">
        <v>688</v>
      </c>
    </row>
    <row r="5631" spans="1:5" hidden="1" x14ac:dyDescent="0.3">
      <c r="A5631" t="s">
        <v>552</v>
      </c>
      <c r="B5631" t="s">
        <v>687</v>
      </c>
      <c r="C5631" t="s">
        <v>315</v>
      </c>
      <c r="D5631" s="226">
        <v>-11590</v>
      </c>
      <c r="E5631" t="s">
        <v>688</v>
      </c>
    </row>
    <row r="5632" spans="1:5" hidden="1" x14ac:dyDescent="0.3">
      <c r="A5632" t="s">
        <v>552</v>
      </c>
      <c r="B5632" t="s">
        <v>687</v>
      </c>
      <c r="C5632" t="s">
        <v>316</v>
      </c>
      <c r="D5632" s="226">
        <v>0</v>
      </c>
      <c r="E5632" t="s">
        <v>688</v>
      </c>
    </row>
    <row r="5633" spans="1:5" hidden="1" x14ac:dyDescent="0.3">
      <c r="A5633" t="s">
        <v>552</v>
      </c>
      <c r="B5633" t="s">
        <v>687</v>
      </c>
      <c r="C5633" t="s">
        <v>44</v>
      </c>
      <c r="D5633" s="226">
        <v>-0.01</v>
      </c>
      <c r="E5633" t="s">
        <v>688</v>
      </c>
    </row>
    <row r="5634" spans="1:5" hidden="1" x14ac:dyDescent="0.3">
      <c r="A5634" t="s">
        <v>552</v>
      </c>
      <c r="B5634" t="s">
        <v>687</v>
      </c>
      <c r="C5634" t="s">
        <v>317</v>
      </c>
      <c r="D5634" s="226">
        <v>-10028.82</v>
      </c>
      <c r="E5634" t="s">
        <v>688</v>
      </c>
    </row>
    <row r="5635" spans="1:5" hidden="1" x14ac:dyDescent="0.3">
      <c r="A5635" t="s">
        <v>552</v>
      </c>
      <c r="B5635" t="s">
        <v>687</v>
      </c>
      <c r="C5635" t="s">
        <v>318</v>
      </c>
      <c r="D5635" s="226">
        <v>-9762.49</v>
      </c>
      <c r="E5635" t="s">
        <v>688</v>
      </c>
    </row>
    <row r="5636" spans="1:5" hidden="1" x14ac:dyDescent="0.3">
      <c r="A5636" t="s">
        <v>552</v>
      </c>
      <c r="B5636" t="s">
        <v>687</v>
      </c>
      <c r="C5636" t="s">
        <v>319</v>
      </c>
      <c r="D5636" s="226">
        <v>-266.33</v>
      </c>
      <c r="E5636" t="s">
        <v>688</v>
      </c>
    </row>
    <row r="5637" spans="1:5" hidden="1" x14ac:dyDescent="0.3">
      <c r="A5637" t="s">
        <v>552</v>
      </c>
      <c r="B5637" t="s">
        <v>687</v>
      </c>
      <c r="C5637" t="s">
        <v>320</v>
      </c>
      <c r="D5637" s="226">
        <v>0</v>
      </c>
      <c r="E5637" t="s">
        <v>688</v>
      </c>
    </row>
    <row r="5638" spans="1:5" hidden="1" x14ac:dyDescent="0.3">
      <c r="A5638" t="s">
        <v>552</v>
      </c>
      <c r="B5638" t="s">
        <v>687</v>
      </c>
      <c r="C5638" t="s">
        <v>321</v>
      </c>
      <c r="D5638" s="226">
        <v>0</v>
      </c>
      <c r="E5638" t="s">
        <v>688</v>
      </c>
    </row>
    <row r="5639" spans="1:5" hidden="1" x14ac:dyDescent="0.3">
      <c r="A5639" t="s">
        <v>552</v>
      </c>
      <c r="B5639" t="s">
        <v>687</v>
      </c>
      <c r="C5639" t="s">
        <v>44</v>
      </c>
      <c r="D5639" s="226">
        <v>-0.01</v>
      </c>
      <c r="E5639" t="s">
        <v>688</v>
      </c>
    </row>
    <row r="5640" spans="1:5" hidden="1" x14ac:dyDescent="0.3">
      <c r="A5640" t="s">
        <v>552</v>
      </c>
      <c r="B5640" t="s">
        <v>687</v>
      </c>
      <c r="C5640" t="s">
        <v>322</v>
      </c>
      <c r="D5640" s="226">
        <v>-73444.45</v>
      </c>
      <c r="E5640" t="s">
        <v>688</v>
      </c>
    </row>
    <row r="5641" spans="1:5" hidden="1" x14ac:dyDescent="0.3">
      <c r="A5641" t="s">
        <v>552</v>
      </c>
      <c r="B5641" t="s">
        <v>687</v>
      </c>
      <c r="C5641" t="s">
        <v>323</v>
      </c>
      <c r="D5641" s="226">
        <v>0</v>
      </c>
      <c r="E5641" t="s">
        <v>688</v>
      </c>
    </row>
    <row r="5642" spans="1:5" hidden="1" x14ac:dyDescent="0.3">
      <c r="A5642" t="s">
        <v>552</v>
      </c>
      <c r="B5642" t="s">
        <v>687</v>
      </c>
      <c r="C5642" t="s">
        <v>324</v>
      </c>
      <c r="D5642" s="226">
        <v>0</v>
      </c>
      <c r="E5642" t="s">
        <v>688</v>
      </c>
    </row>
    <row r="5643" spans="1:5" hidden="1" x14ac:dyDescent="0.3">
      <c r="A5643" t="s">
        <v>552</v>
      </c>
      <c r="B5643" t="s">
        <v>687</v>
      </c>
      <c r="C5643" t="s">
        <v>325</v>
      </c>
      <c r="D5643" s="226">
        <v>-73444.45</v>
      </c>
      <c r="E5643" t="s">
        <v>688</v>
      </c>
    </row>
    <row r="5644" spans="1:5" hidden="1" x14ac:dyDescent="0.3">
      <c r="A5644" t="s">
        <v>552</v>
      </c>
      <c r="B5644" t="s">
        <v>687</v>
      </c>
      <c r="C5644" t="s">
        <v>44</v>
      </c>
      <c r="D5644" s="226">
        <v>-0.05</v>
      </c>
      <c r="E5644" t="s">
        <v>688</v>
      </c>
    </row>
    <row r="5645" spans="1:5" hidden="1" x14ac:dyDescent="0.3">
      <c r="A5645" t="s">
        <v>552</v>
      </c>
      <c r="B5645" t="s">
        <v>687</v>
      </c>
      <c r="C5645" t="s">
        <v>327</v>
      </c>
      <c r="D5645" s="226">
        <v>-589300.64</v>
      </c>
      <c r="E5645" t="s">
        <v>688</v>
      </c>
    </row>
    <row r="5646" spans="1:5" hidden="1" x14ac:dyDescent="0.3">
      <c r="A5646" t="s">
        <v>552</v>
      </c>
      <c r="B5646" t="s">
        <v>687</v>
      </c>
      <c r="C5646" t="s">
        <v>44</v>
      </c>
      <c r="D5646" s="226">
        <v>-0.4</v>
      </c>
      <c r="E5646" t="s">
        <v>688</v>
      </c>
    </row>
    <row r="5647" spans="1:5" hidden="1" x14ac:dyDescent="0.3">
      <c r="A5647" t="s">
        <v>552</v>
      </c>
      <c r="B5647" t="s">
        <v>687</v>
      </c>
      <c r="C5647" t="s">
        <v>328</v>
      </c>
      <c r="D5647" s="226">
        <v>244742.53</v>
      </c>
      <c r="E5647" t="s">
        <v>688</v>
      </c>
    </row>
    <row r="5648" spans="1:5" hidden="1" x14ac:dyDescent="0.3">
      <c r="A5648" t="s">
        <v>552</v>
      </c>
      <c r="B5648" t="s">
        <v>687</v>
      </c>
      <c r="C5648" t="s">
        <v>44</v>
      </c>
      <c r="D5648" s="226">
        <v>0.17</v>
      </c>
      <c r="E5648" t="s">
        <v>688</v>
      </c>
    </row>
    <row r="5649" spans="1:5" hidden="1" x14ac:dyDescent="0.3">
      <c r="A5649" t="s">
        <v>552</v>
      </c>
      <c r="B5649" t="s">
        <v>687</v>
      </c>
      <c r="C5649" t="s">
        <v>329</v>
      </c>
      <c r="D5649" s="226">
        <v>0</v>
      </c>
      <c r="E5649" t="s">
        <v>688</v>
      </c>
    </row>
    <row r="5650" spans="1:5" hidden="1" x14ac:dyDescent="0.3">
      <c r="A5650" t="s">
        <v>552</v>
      </c>
      <c r="B5650" t="s">
        <v>687</v>
      </c>
      <c r="C5650" t="s">
        <v>331</v>
      </c>
      <c r="D5650" s="226">
        <v>244742.53</v>
      </c>
      <c r="E5650" t="s">
        <v>688</v>
      </c>
    </row>
    <row r="5651" spans="1:5" hidden="1" x14ac:dyDescent="0.3">
      <c r="A5651" t="s">
        <v>552</v>
      </c>
      <c r="B5651" t="s">
        <v>687</v>
      </c>
      <c r="C5651" t="s">
        <v>332</v>
      </c>
      <c r="D5651" s="226">
        <v>-1342.09</v>
      </c>
      <c r="E5651" t="s">
        <v>688</v>
      </c>
    </row>
    <row r="5652" spans="1:5" hidden="1" x14ac:dyDescent="0.3">
      <c r="A5652" t="s">
        <v>552</v>
      </c>
      <c r="B5652" t="s">
        <v>687</v>
      </c>
      <c r="C5652" t="s">
        <v>333</v>
      </c>
      <c r="D5652" s="226">
        <v>28287.5</v>
      </c>
      <c r="E5652" t="s">
        <v>688</v>
      </c>
    </row>
    <row r="5653" spans="1:5" hidden="1" x14ac:dyDescent="0.3">
      <c r="A5653" t="s">
        <v>552</v>
      </c>
      <c r="B5653" t="s">
        <v>687</v>
      </c>
      <c r="C5653" t="s">
        <v>335</v>
      </c>
      <c r="D5653" s="226">
        <v>-1606.99</v>
      </c>
      <c r="E5653" t="s">
        <v>688</v>
      </c>
    </row>
    <row r="5654" spans="1:5" hidden="1" x14ac:dyDescent="0.3">
      <c r="A5654" t="s">
        <v>552</v>
      </c>
      <c r="B5654" t="s">
        <v>687</v>
      </c>
      <c r="C5654" t="s">
        <v>337</v>
      </c>
      <c r="D5654" s="226">
        <v>270080.95</v>
      </c>
      <c r="E5654" t="s">
        <v>688</v>
      </c>
    </row>
    <row r="5655" spans="1:5" hidden="1" x14ac:dyDescent="0.3">
      <c r="A5655" t="s">
        <v>552</v>
      </c>
      <c r="B5655" t="s">
        <v>687</v>
      </c>
      <c r="C5655" t="s">
        <v>338</v>
      </c>
      <c r="D5655" s="226">
        <v>-30143.32</v>
      </c>
      <c r="E5655" t="s">
        <v>688</v>
      </c>
    </row>
    <row r="5656" spans="1:5" hidden="1" x14ac:dyDescent="0.3">
      <c r="A5656" t="s">
        <v>552</v>
      </c>
      <c r="B5656" t="s">
        <v>687</v>
      </c>
      <c r="C5656" t="s">
        <v>341</v>
      </c>
      <c r="D5656" s="226">
        <v>0</v>
      </c>
      <c r="E5656" t="s">
        <v>688</v>
      </c>
    </row>
    <row r="5657" spans="1:5" hidden="1" x14ac:dyDescent="0.3">
      <c r="A5657" t="s">
        <v>552</v>
      </c>
      <c r="B5657" t="s">
        <v>687</v>
      </c>
      <c r="C5657" t="s">
        <v>343</v>
      </c>
      <c r="D5657" s="226">
        <v>-15930.44</v>
      </c>
      <c r="E5657" t="s">
        <v>688</v>
      </c>
    </row>
    <row r="5658" spans="1:5" hidden="1" x14ac:dyDescent="0.3">
      <c r="A5658" t="s">
        <v>552</v>
      </c>
      <c r="B5658" t="s">
        <v>687</v>
      </c>
      <c r="C5658" t="s">
        <v>344</v>
      </c>
      <c r="D5658" s="226">
        <v>0</v>
      </c>
      <c r="E5658" t="s">
        <v>688</v>
      </c>
    </row>
    <row r="5659" spans="1:5" hidden="1" x14ac:dyDescent="0.3">
      <c r="A5659" t="s">
        <v>552</v>
      </c>
      <c r="B5659" t="s">
        <v>687</v>
      </c>
      <c r="C5659" t="s">
        <v>345</v>
      </c>
      <c r="D5659" s="226">
        <v>-14212.89</v>
      </c>
      <c r="E5659" t="s">
        <v>688</v>
      </c>
    </row>
    <row r="5660" spans="1:5" hidden="1" x14ac:dyDescent="0.3">
      <c r="A5660" t="s">
        <v>552</v>
      </c>
      <c r="B5660" t="s">
        <v>687</v>
      </c>
      <c r="C5660" t="s">
        <v>346</v>
      </c>
      <c r="D5660" s="226">
        <v>239937.63</v>
      </c>
      <c r="E5660" t="s">
        <v>688</v>
      </c>
    </row>
    <row r="5661" spans="1:5" hidden="1" x14ac:dyDescent="0.3">
      <c r="A5661" t="s">
        <v>552</v>
      </c>
      <c r="B5661" t="s">
        <v>687</v>
      </c>
      <c r="C5661" t="s">
        <v>44</v>
      </c>
      <c r="D5661" s="226">
        <v>0.16</v>
      </c>
      <c r="E5661" t="s">
        <v>688</v>
      </c>
    </row>
    <row r="5662" spans="1:5" hidden="1" x14ac:dyDescent="0.3">
      <c r="A5662" t="s">
        <v>552</v>
      </c>
      <c r="B5662" t="s">
        <v>687</v>
      </c>
      <c r="C5662" t="s">
        <v>347</v>
      </c>
      <c r="D5662" s="226">
        <v>-22566.37</v>
      </c>
      <c r="E5662" t="s">
        <v>688</v>
      </c>
    </row>
    <row r="5663" spans="1:5" hidden="1" x14ac:dyDescent="0.3">
      <c r="A5663" t="s">
        <v>552</v>
      </c>
      <c r="B5663" t="s">
        <v>687</v>
      </c>
      <c r="C5663" t="s">
        <v>654</v>
      </c>
      <c r="D5663" s="226">
        <v>0</v>
      </c>
      <c r="E5663" t="s">
        <v>688</v>
      </c>
    </row>
    <row r="5664" spans="1:5" hidden="1" x14ac:dyDescent="0.3">
      <c r="A5664" t="s">
        <v>552</v>
      </c>
      <c r="B5664" t="s">
        <v>687</v>
      </c>
      <c r="C5664" t="s">
        <v>349</v>
      </c>
      <c r="D5664" s="226">
        <v>-22566.37</v>
      </c>
      <c r="E5664" t="s">
        <v>688</v>
      </c>
    </row>
    <row r="5665" spans="1:5" hidden="1" x14ac:dyDescent="0.3">
      <c r="A5665" t="s">
        <v>552</v>
      </c>
      <c r="B5665" t="s">
        <v>687</v>
      </c>
      <c r="C5665" t="s">
        <v>350</v>
      </c>
      <c r="D5665" s="226">
        <v>0</v>
      </c>
      <c r="E5665" t="s">
        <v>688</v>
      </c>
    </row>
    <row r="5666" spans="1:5" hidden="1" x14ac:dyDescent="0.3">
      <c r="A5666" t="s">
        <v>552</v>
      </c>
      <c r="B5666" t="s">
        <v>687</v>
      </c>
      <c r="C5666" t="s">
        <v>351</v>
      </c>
      <c r="D5666" s="226">
        <v>0</v>
      </c>
      <c r="E5666" t="s">
        <v>688</v>
      </c>
    </row>
    <row r="5667" spans="1:5" hidden="1" x14ac:dyDescent="0.3">
      <c r="A5667" t="s">
        <v>552</v>
      </c>
      <c r="B5667" t="s">
        <v>687</v>
      </c>
      <c r="C5667" t="s">
        <v>352</v>
      </c>
      <c r="D5667" s="226">
        <v>0</v>
      </c>
      <c r="E5667" t="s">
        <v>688</v>
      </c>
    </row>
    <row r="5668" spans="1:5" hidden="1" x14ac:dyDescent="0.3">
      <c r="A5668" t="s">
        <v>552</v>
      </c>
      <c r="B5668" t="s">
        <v>687</v>
      </c>
      <c r="C5668" t="s">
        <v>353</v>
      </c>
      <c r="D5668" s="226">
        <v>0</v>
      </c>
      <c r="E5668" t="s">
        <v>688</v>
      </c>
    </row>
    <row r="5669" spans="1:5" hidden="1" x14ac:dyDescent="0.3">
      <c r="A5669" t="s">
        <v>552</v>
      </c>
      <c r="B5669" t="s">
        <v>687</v>
      </c>
      <c r="C5669" t="s">
        <v>354</v>
      </c>
      <c r="D5669" s="226">
        <v>0</v>
      </c>
      <c r="E5669" t="s">
        <v>688</v>
      </c>
    </row>
    <row r="5670" spans="1:5" hidden="1" x14ac:dyDescent="0.3">
      <c r="A5670" t="s">
        <v>552</v>
      </c>
      <c r="B5670" t="s">
        <v>687</v>
      </c>
      <c r="C5670" t="s">
        <v>355</v>
      </c>
      <c r="D5670" s="226">
        <v>0</v>
      </c>
      <c r="E5670" t="s">
        <v>688</v>
      </c>
    </row>
    <row r="5671" spans="1:5" hidden="1" x14ac:dyDescent="0.3">
      <c r="A5671" t="s">
        <v>552</v>
      </c>
      <c r="B5671" t="s">
        <v>687</v>
      </c>
      <c r="C5671" t="s">
        <v>356</v>
      </c>
      <c r="D5671" s="226">
        <v>0</v>
      </c>
      <c r="E5671" t="s">
        <v>688</v>
      </c>
    </row>
    <row r="5672" spans="1:5" hidden="1" x14ac:dyDescent="0.3">
      <c r="A5672" t="s">
        <v>552</v>
      </c>
      <c r="B5672" t="s">
        <v>687</v>
      </c>
      <c r="C5672" t="s">
        <v>357</v>
      </c>
      <c r="D5672" s="226">
        <v>0</v>
      </c>
      <c r="E5672" t="s">
        <v>688</v>
      </c>
    </row>
    <row r="5673" spans="1:5" hidden="1" x14ac:dyDescent="0.3">
      <c r="A5673" t="s">
        <v>552</v>
      </c>
      <c r="B5673" t="s">
        <v>687</v>
      </c>
      <c r="C5673" t="s">
        <v>358</v>
      </c>
      <c r="D5673" s="226">
        <v>0</v>
      </c>
      <c r="E5673" t="s">
        <v>688</v>
      </c>
    </row>
    <row r="5674" spans="1:5" hidden="1" x14ac:dyDescent="0.3">
      <c r="A5674" t="s">
        <v>552</v>
      </c>
      <c r="B5674" t="s">
        <v>687</v>
      </c>
      <c r="C5674" t="s">
        <v>359</v>
      </c>
      <c r="D5674" s="226">
        <v>0</v>
      </c>
      <c r="E5674" t="s">
        <v>688</v>
      </c>
    </row>
    <row r="5675" spans="1:5" hidden="1" x14ac:dyDescent="0.3">
      <c r="A5675" t="s">
        <v>552</v>
      </c>
      <c r="B5675" t="s">
        <v>687</v>
      </c>
      <c r="C5675" t="s">
        <v>360</v>
      </c>
      <c r="D5675" s="226">
        <v>0</v>
      </c>
      <c r="E5675" t="s">
        <v>688</v>
      </c>
    </row>
    <row r="5676" spans="1:5" hidden="1" x14ac:dyDescent="0.3">
      <c r="A5676" t="s">
        <v>552</v>
      </c>
      <c r="B5676" t="s">
        <v>687</v>
      </c>
      <c r="C5676" t="s">
        <v>361</v>
      </c>
      <c r="D5676" s="226">
        <v>0</v>
      </c>
      <c r="E5676" t="s">
        <v>688</v>
      </c>
    </row>
    <row r="5677" spans="1:5" hidden="1" x14ac:dyDescent="0.3">
      <c r="A5677" t="s">
        <v>552</v>
      </c>
      <c r="B5677" t="s">
        <v>687</v>
      </c>
      <c r="C5677" t="s">
        <v>362</v>
      </c>
      <c r="D5677" s="226">
        <v>0</v>
      </c>
      <c r="E5677" t="s">
        <v>688</v>
      </c>
    </row>
    <row r="5678" spans="1:5" hidden="1" x14ac:dyDescent="0.3">
      <c r="A5678" t="s">
        <v>552</v>
      </c>
      <c r="B5678" t="s">
        <v>687</v>
      </c>
      <c r="C5678" t="s">
        <v>363</v>
      </c>
      <c r="D5678" s="226">
        <v>0</v>
      </c>
      <c r="E5678" t="s">
        <v>688</v>
      </c>
    </row>
    <row r="5679" spans="1:5" hidden="1" x14ac:dyDescent="0.3">
      <c r="A5679" t="s">
        <v>552</v>
      </c>
      <c r="B5679" t="s">
        <v>687</v>
      </c>
      <c r="C5679" t="s">
        <v>364</v>
      </c>
      <c r="D5679" s="226">
        <v>-4216.2</v>
      </c>
      <c r="E5679" t="s">
        <v>688</v>
      </c>
    </row>
    <row r="5680" spans="1:5" hidden="1" x14ac:dyDescent="0.3">
      <c r="A5680" t="s">
        <v>552</v>
      </c>
      <c r="B5680" t="s">
        <v>687</v>
      </c>
      <c r="C5680" t="s">
        <v>365</v>
      </c>
      <c r="D5680" s="226">
        <v>0</v>
      </c>
      <c r="E5680" t="s">
        <v>688</v>
      </c>
    </row>
    <row r="5681" spans="1:5" hidden="1" x14ac:dyDescent="0.3">
      <c r="A5681" t="s">
        <v>552</v>
      </c>
      <c r="B5681" t="s">
        <v>687</v>
      </c>
      <c r="C5681" t="s">
        <v>366</v>
      </c>
      <c r="D5681" s="226">
        <v>0</v>
      </c>
      <c r="E5681" t="s">
        <v>688</v>
      </c>
    </row>
    <row r="5682" spans="1:5" hidden="1" x14ac:dyDescent="0.3">
      <c r="A5682" t="s">
        <v>552</v>
      </c>
      <c r="B5682" t="s">
        <v>687</v>
      </c>
      <c r="C5682" t="s">
        <v>367</v>
      </c>
      <c r="D5682" s="226">
        <v>-11716.2</v>
      </c>
      <c r="E5682" t="s">
        <v>688</v>
      </c>
    </row>
    <row r="5683" spans="1:5" hidden="1" x14ac:dyDescent="0.3">
      <c r="A5683" t="s">
        <v>552</v>
      </c>
      <c r="B5683" t="s">
        <v>687</v>
      </c>
      <c r="C5683" t="s">
        <v>368</v>
      </c>
      <c r="D5683" s="226">
        <v>7500</v>
      </c>
      <c r="E5683" t="s">
        <v>688</v>
      </c>
    </row>
    <row r="5684" spans="1:5" hidden="1" x14ac:dyDescent="0.3">
      <c r="A5684" t="s">
        <v>552</v>
      </c>
      <c r="B5684" t="s">
        <v>687</v>
      </c>
      <c r="C5684" t="s">
        <v>369</v>
      </c>
      <c r="D5684" s="226">
        <v>0</v>
      </c>
      <c r="E5684" t="s">
        <v>688</v>
      </c>
    </row>
    <row r="5685" spans="1:5" hidden="1" x14ac:dyDescent="0.3">
      <c r="A5685" t="s">
        <v>552</v>
      </c>
      <c r="B5685" t="s">
        <v>687</v>
      </c>
      <c r="C5685" t="s">
        <v>370</v>
      </c>
      <c r="D5685" s="226">
        <v>0</v>
      </c>
      <c r="E5685" t="s">
        <v>688</v>
      </c>
    </row>
    <row r="5686" spans="1:5" hidden="1" x14ac:dyDescent="0.3">
      <c r="A5686" t="s">
        <v>552</v>
      </c>
      <c r="B5686" t="s">
        <v>687</v>
      </c>
      <c r="C5686" t="s">
        <v>371</v>
      </c>
      <c r="D5686" s="226">
        <v>0</v>
      </c>
      <c r="E5686" t="s">
        <v>688</v>
      </c>
    </row>
    <row r="5687" spans="1:5" hidden="1" x14ac:dyDescent="0.3">
      <c r="A5687" t="s">
        <v>552</v>
      </c>
      <c r="B5687" t="s">
        <v>687</v>
      </c>
      <c r="C5687" t="s">
        <v>372</v>
      </c>
      <c r="D5687" s="226">
        <v>-26782.57</v>
      </c>
      <c r="E5687" t="s">
        <v>688</v>
      </c>
    </row>
    <row r="5688" spans="1:5" hidden="1" x14ac:dyDescent="0.3">
      <c r="A5688" t="s">
        <v>552</v>
      </c>
      <c r="B5688" t="s">
        <v>687</v>
      </c>
      <c r="C5688" t="s">
        <v>373</v>
      </c>
      <c r="D5688" s="226">
        <v>213155.06</v>
      </c>
      <c r="E5688" t="s">
        <v>688</v>
      </c>
    </row>
    <row r="5689" spans="1:5" hidden="1" x14ac:dyDescent="0.3">
      <c r="A5689" t="s">
        <v>552</v>
      </c>
      <c r="B5689" t="s">
        <v>687</v>
      </c>
      <c r="C5689" t="s">
        <v>655</v>
      </c>
      <c r="D5689" s="226">
        <v>213155.06</v>
      </c>
      <c r="E5689" t="s">
        <v>688</v>
      </c>
    </row>
    <row r="5690" spans="1:5" hidden="1" x14ac:dyDescent="0.3">
      <c r="A5690" t="s">
        <v>552</v>
      </c>
      <c r="B5690" t="s">
        <v>689</v>
      </c>
      <c r="C5690" t="s">
        <v>11</v>
      </c>
      <c r="D5690" s="226">
        <v>1495572.67</v>
      </c>
      <c r="E5690" t="s">
        <v>690</v>
      </c>
    </row>
    <row r="5691" spans="1:5" hidden="1" x14ac:dyDescent="0.3">
      <c r="A5691" t="s">
        <v>552</v>
      </c>
      <c r="B5691" t="s">
        <v>689</v>
      </c>
      <c r="C5691" t="s">
        <v>13</v>
      </c>
      <c r="D5691" s="226">
        <v>718683.5</v>
      </c>
      <c r="E5691" t="s">
        <v>690</v>
      </c>
    </row>
    <row r="5692" spans="1:5" hidden="1" x14ac:dyDescent="0.3">
      <c r="A5692" t="s">
        <v>552</v>
      </c>
      <c r="B5692" t="s">
        <v>689</v>
      </c>
      <c r="C5692" t="s">
        <v>16</v>
      </c>
      <c r="D5692" s="226">
        <v>565420.6</v>
      </c>
      <c r="E5692" t="s">
        <v>690</v>
      </c>
    </row>
    <row r="5693" spans="1:5" hidden="1" x14ac:dyDescent="0.3">
      <c r="A5693" t="s">
        <v>552</v>
      </c>
      <c r="B5693" t="s">
        <v>689</v>
      </c>
      <c r="C5693" t="s">
        <v>17</v>
      </c>
      <c r="D5693" s="226">
        <v>0</v>
      </c>
      <c r="E5693" t="s">
        <v>690</v>
      </c>
    </row>
    <row r="5694" spans="1:5" hidden="1" x14ac:dyDescent="0.3">
      <c r="A5694" t="s">
        <v>552</v>
      </c>
      <c r="B5694" t="s">
        <v>689</v>
      </c>
      <c r="C5694" t="s">
        <v>18</v>
      </c>
      <c r="D5694" s="226">
        <v>0</v>
      </c>
      <c r="E5694" t="s">
        <v>690</v>
      </c>
    </row>
    <row r="5695" spans="1:5" hidden="1" x14ac:dyDescent="0.3">
      <c r="A5695" t="s">
        <v>552</v>
      </c>
      <c r="B5695" t="s">
        <v>689</v>
      </c>
      <c r="C5695" t="s">
        <v>20</v>
      </c>
      <c r="D5695" s="226">
        <v>161967.32</v>
      </c>
      <c r="E5695" t="s">
        <v>690</v>
      </c>
    </row>
    <row r="5696" spans="1:5" hidden="1" x14ac:dyDescent="0.3">
      <c r="A5696" t="s">
        <v>552</v>
      </c>
      <c r="B5696" t="s">
        <v>689</v>
      </c>
      <c r="C5696" t="s">
        <v>23</v>
      </c>
      <c r="D5696" s="226">
        <v>17950</v>
      </c>
      <c r="E5696" t="s">
        <v>690</v>
      </c>
    </row>
    <row r="5697" spans="1:5" hidden="1" x14ac:dyDescent="0.3">
      <c r="A5697" t="s">
        <v>552</v>
      </c>
      <c r="B5697" t="s">
        <v>689</v>
      </c>
      <c r="C5697" t="s">
        <v>25</v>
      </c>
      <c r="D5697" s="226">
        <v>0</v>
      </c>
      <c r="E5697" t="s">
        <v>690</v>
      </c>
    </row>
    <row r="5698" spans="1:5" hidden="1" x14ac:dyDescent="0.3">
      <c r="A5698" t="s">
        <v>552</v>
      </c>
      <c r="B5698" t="s">
        <v>689</v>
      </c>
      <c r="C5698" t="s">
        <v>26</v>
      </c>
      <c r="D5698" s="226">
        <v>7180</v>
      </c>
      <c r="E5698" t="s">
        <v>690</v>
      </c>
    </row>
    <row r="5699" spans="1:5" hidden="1" x14ac:dyDescent="0.3">
      <c r="A5699" t="s">
        <v>552</v>
      </c>
      <c r="B5699" t="s">
        <v>689</v>
      </c>
      <c r="C5699" t="s">
        <v>27</v>
      </c>
      <c r="D5699" s="226">
        <v>0</v>
      </c>
      <c r="E5699" t="s">
        <v>690</v>
      </c>
    </row>
    <row r="5700" spans="1:5" hidden="1" x14ac:dyDescent="0.3">
      <c r="A5700" t="s">
        <v>552</v>
      </c>
      <c r="B5700" t="s">
        <v>689</v>
      </c>
      <c r="C5700" t="s">
        <v>29</v>
      </c>
      <c r="D5700" s="226">
        <v>17469</v>
      </c>
      <c r="E5700" t="s">
        <v>690</v>
      </c>
    </row>
    <row r="5701" spans="1:5" hidden="1" x14ac:dyDescent="0.3">
      <c r="A5701" t="s">
        <v>552</v>
      </c>
      <c r="B5701" t="s">
        <v>689</v>
      </c>
      <c r="C5701" t="s">
        <v>31</v>
      </c>
      <c r="D5701" s="226">
        <v>6902.25</v>
      </c>
      <c r="E5701" t="s">
        <v>690</v>
      </c>
    </row>
    <row r="5702" spans="1:5" hidden="1" x14ac:dyDescent="0.3">
      <c r="A5702" t="s">
        <v>552</v>
      </c>
      <c r="B5702" t="s">
        <v>689</v>
      </c>
      <c r="C5702" t="s">
        <v>34</v>
      </c>
      <c r="D5702" s="226">
        <v>-22345.7</v>
      </c>
      <c r="E5702" t="s">
        <v>690</v>
      </c>
    </row>
    <row r="5703" spans="1:5" hidden="1" x14ac:dyDescent="0.3">
      <c r="A5703" t="s">
        <v>552</v>
      </c>
      <c r="B5703" t="s">
        <v>689</v>
      </c>
      <c r="C5703" t="s">
        <v>38</v>
      </c>
      <c r="D5703" s="226">
        <v>-5872.67</v>
      </c>
      <c r="E5703" t="s">
        <v>690</v>
      </c>
    </row>
    <row r="5704" spans="1:5" hidden="1" x14ac:dyDescent="0.3">
      <c r="A5704" t="s">
        <v>552</v>
      </c>
      <c r="B5704" t="s">
        <v>689</v>
      </c>
      <c r="C5704" t="s">
        <v>40</v>
      </c>
      <c r="D5704" s="226">
        <v>-16061.8</v>
      </c>
      <c r="E5704" t="s">
        <v>690</v>
      </c>
    </row>
    <row r="5705" spans="1:5" hidden="1" x14ac:dyDescent="0.3">
      <c r="A5705" t="s">
        <v>552</v>
      </c>
      <c r="B5705" t="s">
        <v>689</v>
      </c>
      <c r="C5705" t="s">
        <v>42</v>
      </c>
      <c r="D5705" s="226">
        <v>-411.23</v>
      </c>
      <c r="E5705" t="s">
        <v>690</v>
      </c>
    </row>
    <row r="5706" spans="1:5" hidden="1" x14ac:dyDescent="0.3">
      <c r="A5706" t="s">
        <v>552</v>
      </c>
      <c r="B5706" t="s">
        <v>689</v>
      </c>
      <c r="C5706" t="s">
        <v>44</v>
      </c>
      <c r="D5706" s="226">
        <v>-0.01</v>
      </c>
      <c r="E5706" t="s">
        <v>690</v>
      </c>
    </row>
    <row r="5707" spans="1:5" hidden="1" x14ac:dyDescent="0.3">
      <c r="A5707" t="s">
        <v>552</v>
      </c>
      <c r="B5707" t="s">
        <v>689</v>
      </c>
      <c r="C5707" t="s">
        <v>45</v>
      </c>
      <c r="D5707" s="226">
        <v>-99060.84</v>
      </c>
      <c r="E5707" t="s">
        <v>690</v>
      </c>
    </row>
    <row r="5708" spans="1:5" hidden="1" x14ac:dyDescent="0.3">
      <c r="A5708" t="s">
        <v>552</v>
      </c>
      <c r="B5708" t="s">
        <v>689</v>
      </c>
      <c r="C5708" t="s">
        <v>46</v>
      </c>
      <c r="D5708" s="226">
        <v>-53117.61</v>
      </c>
      <c r="E5708" t="s">
        <v>690</v>
      </c>
    </row>
    <row r="5709" spans="1:5" hidden="1" x14ac:dyDescent="0.3">
      <c r="A5709" t="s">
        <v>552</v>
      </c>
      <c r="B5709" t="s">
        <v>689</v>
      </c>
      <c r="C5709" t="s">
        <v>48</v>
      </c>
      <c r="D5709" s="226">
        <v>-45584.23</v>
      </c>
      <c r="E5709" t="s">
        <v>690</v>
      </c>
    </row>
    <row r="5710" spans="1:5" hidden="1" x14ac:dyDescent="0.3">
      <c r="A5710" t="s">
        <v>552</v>
      </c>
      <c r="B5710" t="s">
        <v>689</v>
      </c>
      <c r="C5710" t="s">
        <v>49</v>
      </c>
      <c r="D5710" s="226">
        <v>-359</v>
      </c>
      <c r="E5710" t="s">
        <v>690</v>
      </c>
    </row>
    <row r="5711" spans="1:5" hidden="1" x14ac:dyDescent="0.3">
      <c r="A5711" t="s">
        <v>552</v>
      </c>
      <c r="B5711" t="s">
        <v>689</v>
      </c>
      <c r="C5711" t="s">
        <v>50</v>
      </c>
      <c r="D5711" s="226">
        <v>1374166.13</v>
      </c>
      <c r="E5711" t="s">
        <v>690</v>
      </c>
    </row>
    <row r="5712" spans="1:5" hidden="1" x14ac:dyDescent="0.3">
      <c r="A5712" t="s">
        <v>552</v>
      </c>
      <c r="B5712" t="s">
        <v>689</v>
      </c>
      <c r="C5712" t="s">
        <v>51</v>
      </c>
      <c r="D5712" s="226">
        <v>-415498.05</v>
      </c>
      <c r="E5712" t="s">
        <v>690</v>
      </c>
    </row>
    <row r="5713" spans="1:5" hidden="1" x14ac:dyDescent="0.3">
      <c r="A5713" t="s">
        <v>552</v>
      </c>
      <c r="B5713" t="s">
        <v>689</v>
      </c>
      <c r="C5713" t="s">
        <v>52</v>
      </c>
      <c r="D5713" s="226">
        <v>-261999.53</v>
      </c>
      <c r="E5713" t="s">
        <v>690</v>
      </c>
    </row>
    <row r="5714" spans="1:5" hidden="1" x14ac:dyDescent="0.3">
      <c r="A5714" t="s">
        <v>552</v>
      </c>
      <c r="B5714" t="s">
        <v>689</v>
      </c>
      <c r="C5714" t="s">
        <v>53</v>
      </c>
      <c r="D5714" s="226">
        <v>-151838.76</v>
      </c>
      <c r="E5714" t="s">
        <v>690</v>
      </c>
    </row>
    <row r="5715" spans="1:5" hidden="1" x14ac:dyDescent="0.3">
      <c r="A5715" t="s">
        <v>552</v>
      </c>
      <c r="B5715" t="s">
        <v>689</v>
      </c>
      <c r="C5715" t="s">
        <v>54</v>
      </c>
      <c r="D5715" s="226">
        <v>-1659.76</v>
      </c>
      <c r="E5715" t="s">
        <v>690</v>
      </c>
    </row>
    <row r="5716" spans="1:5" hidden="1" x14ac:dyDescent="0.3">
      <c r="A5716" t="s">
        <v>552</v>
      </c>
      <c r="B5716" t="s">
        <v>689</v>
      </c>
      <c r="C5716" t="s">
        <v>23</v>
      </c>
      <c r="D5716" s="226">
        <v>0</v>
      </c>
      <c r="E5716" t="s">
        <v>690</v>
      </c>
    </row>
    <row r="5717" spans="1:5" hidden="1" x14ac:dyDescent="0.3">
      <c r="A5717" t="s">
        <v>552</v>
      </c>
      <c r="B5717" t="s">
        <v>689</v>
      </c>
      <c r="C5717" t="s">
        <v>44</v>
      </c>
      <c r="D5717" s="226">
        <v>-0.31</v>
      </c>
      <c r="E5717" t="s">
        <v>690</v>
      </c>
    </row>
    <row r="5718" spans="1:5" hidden="1" x14ac:dyDescent="0.3">
      <c r="A5718" t="s">
        <v>552</v>
      </c>
      <c r="B5718" t="s">
        <v>689</v>
      </c>
      <c r="C5718" t="s">
        <v>55</v>
      </c>
      <c r="D5718" s="226">
        <v>-0.3</v>
      </c>
      <c r="E5718" t="s">
        <v>690</v>
      </c>
    </row>
    <row r="5719" spans="1:5" hidden="1" x14ac:dyDescent="0.3">
      <c r="A5719" t="s">
        <v>552</v>
      </c>
      <c r="B5719" t="s">
        <v>689</v>
      </c>
      <c r="C5719" t="s">
        <v>56</v>
      </c>
      <c r="D5719" s="226">
        <v>-700</v>
      </c>
      <c r="E5719" t="s">
        <v>690</v>
      </c>
    </row>
    <row r="5720" spans="1:5" hidden="1" x14ac:dyDescent="0.3">
      <c r="A5720" t="s">
        <v>552</v>
      </c>
      <c r="B5720" t="s">
        <v>689</v>
      </c>
      <c r="C5720" t="s">
        <v>57</v>
      </c>
      <c r="D5720" s="226">
        <v>0</v>
      </c>
      <c r="E5720" t="s">
        <v>690</v>
      </c>
    </row>
    <row r="5721" spans="1:5" hidden="1" x14ac:dyDescent="0.3">
      <c r="A5721" t="s">
        <v>552</v>
      </c>
      <c r="B5721" t="s">
        <v>689</v>
      </c>
      <c r="C5721" t="s">
        <v>58</v>
      </c>
      <c r="D5721" s="226">
        <v>0</v>
      </c>
      <c r="E5721" t="s">
        <v>690</v>
      </c>
    </row>
    <row r="5722" spans="1:5" hidden="1" x14ac:dyDescent="0.3">
      <c r="A5722" t="s">
        <v>552</v>
      </c>
      <c r="B5722" t="s">
        <v>689</v>
      </c>
      <c r="C5722" t="s">
        <v>59</v>
      </c>
      <c r="D5722" s="226">
        <v>0</v>
      </c>
      <c r="E5722" t="s">
        <v>690</v>
      </c>
    </row>
    <row r="5723" spans="1:5" hidden="1" x14ac:dyDescent="0.3">
      <c r="A5723" t="s">
        <v>552</v>
      </c>
      <c r="B5723" t="s">
        <v>689</v>
      </c>
      <c r="C5723" t="s">
        <v>61</v>
      </c>
      <c r="D5723" s="226">
        <v>0</v>
      </c>
      <c r="E5723" t="s">
        <v>690</v>
      </c>
    </row>
    <row r="5724" spans="1:5" hidden="1" x14ac:dyDescent="0.3">
      <c r="A5724" t="s">
        <v>552</v>
      </c>
      <c r="B5724" t="s">
        <v>689</v>
      </c>
      <c r="C5724" t="s">
        <v>62</v>
      </c>
      <c r="D5724" s="226">
        <v>0</v>
      </c>
      <c r="E5724" t="s">
        <v>690</v>
      </c>
    </row>
    <row r="5725" spans="1:5" hidden="1" x14ac:dyDescent="0.3">
      <c r="A5725" t="s">
        <v>552</v>
      </c>
      <c r="B5725" t="s">
        <v>689</v>
      </c>
      <c r="C5725" t="s">
        <v>64</v>
      </c>
      <c r="D5725" s="226">
        <v>0</v>
      </c>
      <c r="E5725" t="s">
        <v>690</v>
      </c>
    </row>
    <row r="5726" spans="1:5" hidden="1" x14ac:dyDescent="0.3">
      <c r="A5726" t="s">
        <v>552</v>
      </c>
      <c r="B5726" t="s">
        <v>689</v>
      </c>
      <c r="C5726" t="s">
        <v>65</v>
      </c>
      <c r="D5726" s="226">
        <v>-700</v>
      </c>
      <c r="E5726" t="s">
        <v>690</v>
      </c>
    </row>
    <row r="5727" spans="1:5" hidden="1" x14ac:dyDescent="0.3">
      <c r="A5727" t="s">
        <v>552</v>
      </c>
      <c r="B5727" t="s">
        <v>689</v>
      </c>
      <c r="C5727" t="s">
        <v>66</v>
      </c>
      <c r="D5727" s="226">
        <v>-700</v>
      </c>
      <c r="E5727" t="s">
        <v>690</v>
      </c>
    </row>
    <row r="5728" spans="1:5" hidden="1" x14ac:dyDescent="0.3">
      <c r="A5728" t="s">
        <v>552</v>
      </c>
      <c r="B5728" t="s">
        <v>689</v>
      </c>
      <c r="C5728" t="s">
        <v>68</v>
      </c>
      <c r="D5728" s="226">
        <v>0</v>
      </c>
      <c r="E5728" t="s">
        <v>690</v>
      </c>
    </row>
    <row r="5729" spans="1:5" hidden="1" x14ac:dyDescent="0.3">
      <c r="A5729" t="s">
        <v>552</v>
      </c>
      <c r="B5729" t="s">
        <v>689</v>
      </c>
      <c r="C5729" t="s">
        <v>69</v>
      </c>
      <c r="D5729" s="226">
        <v>0</v>
      </c>
      <c r="E5729" t="s">
        <v>690</v>
      </c>
    </row>
    <row r="5730" spans="1:5" hidden="1" x14ac:dyDescent="0.3">
      <c r="A5730" t="s">
        <v>552</v>
      </c>
      <c r="B5730" t="s">
        <v>689</v>
      </c>
      <c r="C5730" t="s">
        <v>70</v>
      </c>
      <c r="D5730" s="226">
        <v>0</v>
      </c>
      <c r="E5730" t="s">
        <v>690</v>
      </c>
    </row>
    <row r="5731" spans="1:5" hidden="1" x14ac:dyDescent="0.3">
      <c r="A5731" t="s">
        <v>552</v>
      </c>
      <c r="B5731" t="s">
        <v>689</v>
      </c>
      <c r="C5731" t="s">
        <v>44</v>
      </c>
      <c r="D5731" s="226">
        <v>0</v>
      </c>
      <c r="E5731" t="s">
        <v>690</v>
      </c>
    </row>
    <row r="5732" spans="1:5" hidden="1" x14ac:dyDescent="0.3">
      <c r="A5732" t="s">
        <v>552</v>
      </c>
      <c r="B5732" t="s">
        <v>689</v>
      </c>
      <c r="C5732" t="s">
        <v>71</v>
      </c>
      <c r="D5732" s="226">
        <v>-4471.3</v>
      </c>
      <c r="E5732" t="s">
        <v>690</v>
      </c>
    </row>
    <row r="5733" spans="1:5" hidden="1" x14ac:dyDescent="0.3">
      <c r="A5733" t="s">
        <v>552</v>
      </c>
      <c r="B5733" t="s">
        <v>689</v>
      </c>
      <c r="C5733" t="s">
        <v>72</v>
      </c>
      <c r="D5733" s="226">
        <v>-2171.3000000000002</v>
      </c>
      <c r="E5733" t="s">
        <v>690</v>
      </c>
    </row>
    <row r="5734" spans="1:5" hidden="1" x14ac:dyDescent="0.3">
      <c r="A5734" t="s">
        <v>552</v>
      </c>
      <c r="B5734" t="s">
        <v>689</v>
      </c>
      <c r="C5734" t="s">
        <v>73</v>
      </c>
      <c r="D5734" s="226">
        <v>-1920</v>
      </c>
      <c r="E5734" t="s">
        <v>690</v>
      </c>
    </row>
    <row r="5735" spans="1:5" hidden="1" x14ac:dyDescent="0.3">
      <c r="A5735" t="s">
        <v>552</v>
      </c>
      <c r="B5735" t="s">
        <v>689</v>
      </c>
      <c r="C5735" t="s">
        <v>75</v>
      </c>
      <c r="D5735" s="226">
        <v>-251.3</v>
      </c>
      <c r="E5735" t="s">
        <v>690</v>
      </c>
    </row>
    <row r="5736" spans="1:5" hidden="1" x14ac:dyDescent="0.3">
      <c r="A5736" t="s">
        <v>552</v>
      </c>
      <c r="B5736" t="s">
        <v>689</v>
      </c>
      <c r="C5736" t="s">
        <v>77</v>
      </c>
      <c r="D5736" s="226">
        <v>0</v>
      </c>
      <c r="E5736" t="s">
        <v>690</v>
      </c>
    </row>
    <row r="5737" spans="1:5" hidden="1" x14ac:dyDescent="0.3">
      <c r="A5737" t="s">
        <v>552</v>
      </c>
      <c r="B5737" t="s">
        <v>689</v>
      </c>
      <c r="C5737" t="s">
        <v>78</v>
      </c>
      <c r="D5737" s="226">
        <v>0</v>
      </c>
      <c r="E5737" t="s">
        <v>690</v>
      </c>
    </row>
    <row r="5738" spans="1:5" hidden="1" x14ac:dyDescent="0.3">
      <c r="A5738" t="s">
        <v>552</v>
      </c>
      <c r="B5738" t="s">
        <v>689</v>
      </c>
      <c r="C5738" t="s">
        <v>80</v>
      </c>
      <c r="D5738" s="226">
        <v>0</v>
      </c>
      <c r="E5738" t="s">
        <v>690</v>
      </c>
    </row>
    <row r="5739" spans="1:5" hidden="1" x14ac:dyDescent="0.3">
      <c r="A5739" t="s">
        <v>552</v>
      </c>
      <c r="B5739" t="s">
        <v>689</v>
      </c>
      <c r="C5739" t="s">
        <v>82</v>
      </c>
      <c r="D5739" s="226">
        <v>0</v>
      </c>
      <c r="E5739" t="s">
        <v>690</v>
      </c>
    </row>
    <row r="5740" spans="1:5" hidden="1" x14ac:dyDescent="0.3">
      <c r="A5740" t="s">
        <v>552</v>
      </c>
      <c r="B5740" t="s">
        <v>689</v>
      </c>
      <c r="C5740" t="s">
        <v>84</v>
      </c>
      <c r="D5740" s="226">
        <v>0</v>
      </c>
      <c r="E5740" t="s">
        <v>690</v>
      </c>
    </row>
    <row r="5741" spans="1:5" hidden="1" x14ac:dyDescent="0.3">
      <c r="A5741" t="s">
        <v>552</v>
      </c>
      <c r="B5741" t="s">
        <v>689</v>
      </c>
      <c r="C5741" t="s">
        <v>85</v>
      </c>
      <c r="D5741" s="226">
        <v>0</v>
      </c>
      <c r="E5741" t="s">
        <v>690</v>
      </c>
    </row>
    <row r="5742" spans="1:5" hidden="1" x14ac:dyDescent="0.3">
      <c r="A5742" t="s">
        <v>552</v>
      </c>
      <c r="B5742" t="s">
        <v>689</v>
      </c>
      <c r="C5742" t="s">
        <v>86</v>
      </c>
      <c r="D5742" s="226">
        <v>0</v>
      </c>
      <c r="E5742" t="s">
        <v>690</v>
      </c>
    </row>
    <row r="5743" spans="1:5" hidden="1" x14ac:dyDescent="0.3">
      <c r="A5743" t="s">
        <v>552</v>
      </c>
      <c r="B5743" t="s">
        <v>689</v>
      </c>
      <c r="C5743" t="s">
        <v>87</v>
      </c>
      <c r="D5743" s="226">
        <v>0</v>
      </c>
      <c r="E5743" t="s">
        <v>690</v>
      </c>
    </row>
    <row r="5744" spans="1:5" hidden="1" x14ac:dyDescent="0.3">
      <c r="A5744" t="s">
        <v>552</v>
      </c>
      <c r="B5744" t="s">
        <v>689</v>
      </c>
      <c r="C5744" t="s">
        <v>88</v>
      </c>
      <c r="D5744" s="226">
        <v>0</v>
      </c>
      <c r="E5744" t="s">
        <v>690</v>
      </c>
    </row>
    <row r="5745" spans="1:5" hidden="1" x14ac:dyDescent="0.3">
      <c r="A5745" t="s">
        <v>552</v>
      </c>
      <c r="B5745" t="s">
        <v>689</v>
      </c>
      <c r="C5745" t="s">
        <v>89</v>
      </c>
      <c r="D5745" s="226">
        <v>0</v>
      </c>
      <c r="E5745" t="s">
        <v>690</v>
      </c>
    </row>
    <row r="5746" spans="1:5" hidden="1" x14ac:dyDescent="0.3">
      <c r="A5746" t="s">
        <v>552</v>
      </c>
      <c r="B5746" t="s">
        <v>689</v>
      </c>
      <c r="C5746" t="s">
        <v>90</v>
      </c>
      <c r="D5746" s="226">
        <v>0</v>
      </c>
      <c r="E5746" t="s">
        <v>690</v>
      </c>
    </row>
    <row r="5747" spans="1:5" hidden="1" x14ac:dyDescent="0.3">
      <c r="A5747" t="s">
        <v>552</v>
      </c>
      <c r="B5747" t="s">
        <v>689</v>
      </c>
      <c r="C5747" t="s">
        <v>91</v>
      </c>
      <c r="D5747" s="226">
        <v>0</v>
      </c>
      <c r="E5747" t="s">
        <v>690</v>
      </c>
    </row>
    <row r="5748" spans="1:5" hidden="1" x14ac:dyDescent="0.3">
      <c r="A5748" t="s">
        <v>552</v>
      </c>
      <c r="B5748" t="s">
        <v>689</v>
      </c>
      <c r="C5748" t="s">
        <v>93</v>
      </c>
      <c r="D5748" s="226">
        <v>0</v>
      </c>
      <c r="E5748" t="s">
        <v>690</v>
      </c>
    </row>
    <row r="5749" spans="1:5" hidden="1" x14ac:dyDescent="0.3">
      <c r="A5749" t="s">
        <v>552</v>
      </c>
      <c r="B5749" t="s">
        <v>689</v>
      </c>
      <c r="C5749" t="s">
        <v>95</v>
      </c>
      <c r="D5749" s="226">
        <v>0</v>
      </c>
      <c r="E5749" t="s">
        <v>690</v>
      </c>
    </row>
    <row r="5750" spans="1:5" hidden="1" x14ac:dyDescent="0.3">
      <c r="A5750" t="s">
        <v>552</v>
      </c>
      <c r="B5750" t="s">
        <v>689</v>
      </c>
      <c r="C5750" t="s">
        <v>96</v>
      </c>
      <c r="D5750" s="226">
        <v>0</v>
      </c>
      <c r="E5750" t="s">
        <v>690</v>
      </c>
    </row>
    <row r="5751" spans="1:5" hidden="1" x14ac:dyDescent="0.3">
      <c r="A5751" t="s">
        <v>552</v>
      </c>
      <c r="B5751" t="s">
        <v>689</v>
      </c>
      <c r="C5751" t="s">
        <v>98</v>
      </c>
      <c r="D5751" s="226">
        <v>0</v>
      </c>
      <c r="E5751" t="s">
        <v>690</v>
      </c>
    </row>
    <row r="5752" spans="1:5" hidden="1" x14ac:dyDescent="0.3">
      <c r="A5752" t="s">
        <v>552</v>
      </c>
      <c r="B5752" t="s">
        <v>689</v>
      </c>
      <c r="C5752" t="s">
        <v>100</v>
      </c>
      <c r="D5752" s="226">
        <v>0</v>
      </c>
      <c r="E5752" t="s">
        <v>690</v>
      </c>
    </row>
    <row r="5753" spans="1:5" hidden="1" x14ac:dyDescent="0.3">
      <c r="A5753" t="s">
        <v>552</v>
      </c>
      <c r="B5753" t="s">
        <v>689</v>
      </c>
      <c r="C5753" t="s">
        <v>101</v>
      </c>
      <c r="D5753" s="226">
        <v>-2300</v>
      </c>
      <c r="E5753" t="s">
        <v>690</v>
      </c>
    </row>
    <row r="5754" spans="1:5" hidden="1" x14ac:dyDescent="0.3">
      <c r="A5754" t="s">
        <v>552</v>
      </c>
      <c r="B5754" t="s">
        <v>689</v>
      </c>
      <c r="C5754" t="s">
        <v>102</v>
      </c>
      <c r="D5754" s="226">
        <v>0</v>
      </c>
      <c r="E5754" t="s">
        <v>690</v>
      </c>
    </row>
    <row r="5755" spans="1:5" hidden="1" x14ac:dyDescent="0.3">
      <c r="A5755" t="s">
        <v>552</v>
      </c>
      <c r="B5755" t="s">
        <v>689</v>
      </c>
      <c r="C5755" t="s">
        <v>103</v>
      </c>
      <c r="D5755" s="226">
        <v>-2300</v>
      </c>
      <c r="E5755" t="s">
        <v>690</v>
      </c>
    </row>
    <row r="5756" spans="1:5" hidden="1" x14ac:dyDescent="0.3">
      <c r="A5756" t="s">
        <v>552</v>
      </c>
      <c r="B5756" t="s">
        <v>689</v>
      </c>
      <c r="C5756" t="s">
        <v>104</v>
      </c>
      <c r="D5756" s="226">
        <v>0</v>
      </c>
      <c r="E5756" t="s">
        <v>690</v>
      </c>
    </row>
    <row r="5757" spans="1:5" hidden="1" x14ac:dyDescent="0.3">
      <c r="A5757" t="s">
        <v>552</v>
      </c>
      <c r="B5757" t="s">
        <v>689</v>
      </c>
      <c r="C5757" t="s">
        <v>105</v>
      </c>
      <c r="D5757" s="226">
        <v>0</v>
      </c>
      <c r="E5757" t="s">
        <v>690</v>
      </c>
    </row>
    <row r="5758" spans="1:5" hidden="1" x14ac:dyDescent="0.3">
      <c r="A5758" t="s">
        <v>552</v>
      </c>
      <c r="B5758" t="s">
        <v>689</v>
      </c>
      <c r="C5758" t="s">
        <v>107</v>
      </c>
      <c r="D5758" s="226">
        <v>0</v>
      </c>
      <c r="E5758" t="s">
        <v>690</v>
      </c>
    </row>
    <row r="5759" spans="1:5" hidden="1" x14ac:dyDescent="0.3">
      <c r="A5759" t="s">
        <v>552</v>
      </c>
      <c r="B5759" t="s">
        <v>689</v>
      </c>
      <c r="C5759" t="s">
        <v>108</v>
      </c>
      <c r="D5759" s="226">
        <v>0</v>
      </c>
      <c r="E5759" t="s">
        <v>690</v>
      </c>
    </row>
    <row r="5760" spans="1:5" hidden="1" x14ac:dyDescent="0.3">
      <c r="A5760" t="s">
        <v>552</v>
      </c>
      <c r="B5760" t="s">
        <v>689</v>
      </c>
      <c r="C5760" t="s">
        <v>109</v>
      </c>
      <c r="D5760" s="226">
        <v>0</v>
      </c>
      <c r="E5760" t="s">
        <v>690</v>
      </c>
    </row>
    <row r="5761" spans="1:5" hidden="1" x14ac:dyDescent="0.3">
      <c r="A5761" t="s">
        <v>552</v>
      </c>
      <c r="B5761" t="s">
        <v>689</v>
      </c>
      <c r="C5761" t="s">
        <v>110</v>
      </c>
      <c r="D5761" s="226">
        <v>-0.18</v>
      </c>
      <c r="E5761" t="s">
        <v>690</v>
      </c>
    </row>
    <row r="5762" spans="1:5" hidden="1" x14ac:dyDescent="0.3">
      <c r="A5762" t="s">
        <v>552</v>
      </c>
      <c r="B5762" t="s">
        <v>689</v>
      </c>
      <c r="C5762" t="s">
        <v>44</v>
      </c>
      <c r="D5762" s="226">
        <v>0</v>
      </c>
      <c r="E5762" t="s">
        <v>690</v>
      </c>
    </row>
    <row r="5763" spans="1:5" hidden="1" x14ac:dyDescent="0.3">
      <c r="A5763" t="s">
        <v>552</v>
      </c>
      <c r="B5763" t="s">
        <v>689</v>
      </c>
      <c r="C5763" t="s">
        <v>111</v>
      </c>
      <c r="D5763" s="226">
        <v>-105990</v>
      </c>
      <c r="E5763" t="s">
        <v>690</v>
      </c>
    </row>
    <row r="5764" spans="1:5" hidden="1" x14ac:dyDescent="0.3">
      <c r="A5764" t="s">
        <v>552</v>
      </c>
      <c r="B5764" t="s">
        <v>689</v>
      </c>
      <c r="C5764" t="s">
        <v>555</v>
      </c>
      <c r="D5764" s="226">
        <v>-105990</v>
      </c>
      <c r="E5764" t="s">
        <v>690</v>
      </c>
    </row>
    <row r="5765" spans="1:5" hidden="1" x14ac:dyDescent="0.3">
      <c r="A5765" t="s">
        <v>552</v>
      </c>
      <c r="B5765" t="s">
        <v>689</v>
      </c>
      <c r="C5765" t="s">
        <v>44</v>
      </c>
      <c r="D5765" s="226">
        <v>-7.0000000000000007E-2</v>
      </c>
      <c r="E5765" t="s">
        <v>690</v>
      </c>
    </row>
    <row r="5766" spans="1:5" hidden="1" x14ac:dyDescent="0.3">
      <c r="A5766" t="s">
        <v>552</v>
      </c>
      <c r="B5766" t="s">
        <v>689</v>
      </c>
      <c r="C5766" t="s">
        <v>115</v>
      </c>
      <c r="D5766" s="226">
        <v>-26296.71</v>
      </c>
      <c r="E5766" t="s">
        <v>690</v>
      </c>
    </row>
    <row r="5767" spans="1:5" hidden="1" x14ac:dyDescent="0.3">
      <c r="A5767" t="s">
        <v>552</v>
      </c>
      <c r="B5767" t="s">
        <v>689</v>
      </c>
      <c r="C5767" t="s">
        <v>116</v>
      </c>
      <c r="D5767" s="226">
        <v>-21335.1</v>
      </c>
      <c r="E5767" t="s">
        <v>690</v>
      </c>
    </row>
    <row r="5768" spans="1:5" hidden="1" x14ac:dyDescent="0.3">
      <c r="A5768" t="s">
        <v>552</v>
      </c>
      <c r="B5768" t="s">
        <v>689</v>
      </c>
      <c r="C5768" t="s">
        <v>118</v>
      </c>
      <c r="D5768" s="226">
        <v>-4925.45</v>
      </c>
      <c r="E5768" t="s">
        <v>690</v>
      </c>
    </row>
    <row r="5769" spans="1:5" hidden="1" x14ac:dyDescent="0.3">
      <c r="A5769" t="s">
        <v>552</v>
      </c>
      <c r="B5769" t="s">
        <v>689</v>
      </c>
      <c r="C5769" t="s">
        <v>120</v>
      </c>
      <c r="D5769" s="226">
        <v>0</v>
      </c>
      <c r="E5769" t="s">
        <v>690</v>
      </c>
    </row>
    <row r="5770" spans="1:5" hidden="1" x14ac:dyDescent="0.3">
      <c r="A5770" t="s">
        <v>552</v>
      </c>
      <c r="B5770" t="s">
        <v>689</v>
      </c>
      <c r="C5770" t="s">
        <v>122</v>
      </c>
      <c r="D5770" s="226">
        <v>-36.159999999999997</v>
      </c>
      <c r="E5770" t="s">
        <v>690</v>
      </c>
    </row>
    <row r="5771" spans="1:5" hidden="1" x14ac:dyDescent="0.3">
      <c r="A5771" t="s">
        <v>552</v>
      </c>
      <c r="B5771" t="s">
        <v>689</v>
      </c>
      <c r="C5771" t="s">
        <v>44</v>
      </c>
      <c r="D5771" s="226">
        <v>-0.02</v>
      </c>
      <c r="E5771" t="s">
        <v>690</v>
      </c>
    </row>
    <row r="5772" spans="1:5" hidden="1" x14ac:dyDescent="0.3">
      <c r="A5772" t="s">
        <v>552</v>
      </c>
      <c r="B5772" t="s">
        <v>689</v>
      </c>
      <c r="C5772" t="s">
        <v>125</v>
      </c>
      <c r="D5772" s="226">
        <v>821210.07</v>
      </c>
      <c r="E5772" t="s">
        <v>690</v>
      </c>
    </row>
    <row r="5773" spans="1:5" hidden="1" x14ac:dyDescent="0.3">
      <c r="A5773" t="s">
        <v>552</v>
      </c>
      <c r="B5773" t="s">
        <v>689</v>
      </c>
      <c r="C5773" t="s">
        <v>126</v>
      </c>
      <c r="D5773" s="226">
        <v>0.55000000000000004</v>
      </c>
      <c r="E5773" t="s">
        <v>690</v>
      </c>
    </row>
    <row r="5774" spans="1:5" hidden="1" x14ac:dyDescent="0.3">
      <c r="A5774" t="s">
        <v>552</v>
      </c>
      <c r="B5774" t="s">
        <v>689</v>
      </c>
      <c r="C5774" t="s">
        <v>127</v>
      </c>
      <c r="D5774" s="226">
        <v>-298132.40999999997</v>
      </c>
      <c r="E5774" t="s">
        <v>690</v>
      </c>
    </row>
    <row r="5775" spans="1:5" hidden="1" x14ac:dyDescent="0.3">
      <c r="A5775" t="s">
        <v>552</v>
      </c>
      <c r="B5775" t="s">
        <v>689</v>
      </c>
      <c r="C5775" t="s">
        <v>128</v>
      </c>
      <c r="D5775" s="226">
        <v>-48250</v>
      </c>
      <c r="E5775" t="s">
        <v>690</v>
      </c>
    </row>
    <row r="5776" spans="1:5" hidden="1" x14ac:dyDescent="0.3">
      <c r="A5776" t="s">
        <v>552</v>
      </c>
      <c r="B5776" t="s">
        <v>689</v>
      </c>
      <c r="C5776" t="s">
        <v>556</v>
      </c>
      <c r="D5776" s="226">
        <v>-10750</v>
      </c>
      <c r="E5776" t="s">
        <v>690</v>
      </c>
    </row>
    <row r="5777" spans="1:5" hidden="1" x14ac:dyDescent="0.3">
      <c r="A5777" t="s">
        <v>552</v>
      </c>
      <c r="B5777" t="s">
        <v>689</v>
      </c>
      <c r="C5777" t="s">
        <v>557</v>
      </c>
      <c r="D5777" s="226">
        <v>-6600</v>
      </c>
      <c r="E5777" t="s">
        <v>690</v>
      </c>
    </row>
    <row r="5778" spans="1:5" hidden="1" x14ac:dyDescent="0.3">
      <c r="A5778" t="s">
        <v>552</v>
      </c>
      <c r="B5778" t="s">
        <v>689</v>
      </c>
      <c r="C5778" t="s">
        <v>558</v>
      </c>
      <c r="D5778" s="226">
        <v>0</v>
      </c>
      <c r="E5778" t="s">
        <v>690</v>
      </c>
    </row>
    <row r="5779" spans="1:5" hidden="1" x14ac:dyDescent="0.3">
      <c r="A5779" t="s">
        <v>552</v>
      </c>
      <c r="B5779" t="s">
        <v>689</v>
      </c>
      <c r="C5779" t="s">
        <v>559</v>
      </c>
      <c r="D5779" s="226">
        <v>-16800</v>
      </c>
      <c r="E5779" t="s">
        <v>690</v>
      </c>
    </row>
    <row r="5780" spans="1:5" hidden="1" x14ac:dyDescent="0.3">
      <c r="A5780" t="s">
        <v>552</v>
      </c>
      <c r="B5780" t="s">
        <v>689</v>
      </c>
      <c r="C5780" t="s">
        <v>560</v>
      </c>
      <c r="D5780" s="226">
        <v>-3100</v>
      </c>
      <c r="E5780" t="s">
        <v>690</v>
      </c>
    </row>
    <row r="5781" spans="1:5" hidden="1" x14ac:dyDescent="0.3">
      <c r="A5781" t="s">
        <v>552</v>
      </c>
      <c r="B5781" t="s">
        <v>689</v>
      </c>
      <c r="C5781" t="s">
        <v>561</v>
      </c>
      <c r="D5781" s="226">
        <v>-7000</v>
      </c>
      <c r="E5781" t="s">
        <v>690</v>
      </c>
    </row>
    <row r="5782" spans="1:5" hidden="1" x14ac:dyDescent="0.3">
      <c r="A5782" t="s">
        <v>552</v>
      </c>
      <c r="B5782" t="s">
        <v>689</v>
      </c>
      <c r="C5782" t="s">
        <v>562</v>
      </c>
      <c r="D5782" s="226">
        <v>-4000</v>
      </c>
      <c r="E5782" t="s">
        <v>690</v>
      </c>
    </row>
    <row r="5783" spans="1:5" hidden="1" x14ac:dyDescent="0.3">
      <c r="A5783" t="s">
        <v>552</v>
      </c>
      <c r="B5783" t="s">
        <v>689</v>
      </c>
      <c r="C5783" t="s">
        <v>563</v>
      </c>
      <c r="D5783" s="226">
        <v>0</v>
      </c>
      <c r="E5783" t="s">
        <v>690</v>
      </c>
    </row>
    <row r="5784" spans="1:5" hidden="1" x14ac:dyDescent="0.3">
      <c r="A5784" t="s">
        <v>552</v>
      </c>
      <c r="B5784" t="s">
        <v>689</v>
      </c>
      <c r="C5784" t="s">
        <v>564</v>
      </c>
      <c r="D5784" s="226">
        <v>0</v>
      </c>
      <c r="E5784" t="s">
        <v>690</v>
      </c>
    </row>
    <row r="5785" spans="1:5" hidden="1" x14ac:dyDescent="0.3">
      <c r="A5785" t="s">
        <v>552</v>
      </c>
      <c r="B5785" t="s">
        <v>689</v>
      </c>
      <c r="C5785" t="s">
        <v>565</v>
      </c>
      <c r="D5785" s="226">
        <v>0</v>
      </c>
      <c r="E5785" t="s">
        <v>690</v>
      </c>
    </row>
    <row r="5786" spans="1:5" hidden="1" x14ac:dyDescent="0.3">
      <c r="A5786" t="s">
        <v>552</v>
      </c>
      <c r="B5786" t="s">
        <v>689</v>
      </c>
      <c r="C5786" t="s">
        <v>566</v>
      </c>
      <c r="D5786" s="226">
        <v>0</v>
      </c>
      <c r="E5786" t="s">
        <v>690</v>
      </c>
    </row>
    <row r="5787" spans="1:5" hidden="1" x14ac:dyDescent="0.3">
      <c r="A5787" t="s">
        <v>552</v>
      </c>
      <c r="B5787" t="s">
        <v>689</v>
      </c>
      <c r="C5787" t="s">
        <v>567</v>
      </c>
      <c r="D5787" s="226">
        <v>0</v>
      </c>
      <c r="E5787" t="s">
        <v>690</v>
      </c>
    </row>
    <row r="5788" spans="1:5" hidden="1" x14ac:dyDescent="0.3">
      <c r="A5788" t="s">
        <v>552</v>
      </c>
      <c r="B5788" t="s">
        <v>689</v>
      </c>
      <c r="C5788" t="s">
        <v>141</v>
      </c>
      <c r="D5788" s="226">
        <v>-53135.62</v>
      </c>
      <c r="E5788" t="s">
        <v>690</v>
      </c>
    </row>
    <row r="5789" spans="1:5" hidden="1" x14ac:dyDescent="0.3">
      <c r="A5789" t="s">
        <v>552</v>
      </c>
      <c r="B5789" t="s">
        <v>689</v>
      </c>
      <c r="C5789" t="s">
        <v>568</v>
      </c>
      <c r="D5789" s="226">
        <v>0</v>
      </c>
      <c r="E5789" t="s">
        <v>690</v>
      </c>
    </row>
    <row r="5790" spans="1:5" hidden="1" x14ac:dyDescent="0.3">
      <c r="A5790" t="s">
        <v>552</v>
      </c>
      <c r="B5790" t="s">
        <v>689</v>
      </c>
      <c r="C5790" t="s">
        <v>569</v>
      </c>
      <c r="D5790" s="226">
        <v>0</v>
      </c>
      <c r="E5790" t="s">
        <v>690</v>
      </c>
    </row>
    <row r="5791" spans="1:5" hidden="1" x14ac:dyDescent="0.3">
      <c r="A5791" t="s">
        <v>552</v>
      </c>
      <c r="B5791" t="s">
        <v>689</v>
      </c>
      <c r="C5791" t="s">
        <v>570</v>
      </c>
      <c r="D5791" s="226">
        <v>0</v>
      </c>
      <c r="E5791" t="s">
        <v>690</v>
      </c>
    </row>
    <row r="5792" spans="1:5" hidden="1" x14ac:dyDescent="0.3">
      <c r="A5792" t="s">
        <v>552</v>
      </c>
      <c r="B5792" t="s">
        <v>689</v>
      </c>
      <c r="C5792" t="s">
        <v>571</v>
      </c>
      <c r="D5792" s="226">
        <v>0</v>
      </c>
      <c r="E5792" t="s">
        <v>690</v>
      </c>
    </row>
    <row r="5793" spans="1:5" hidden="1" x14ac:dyDescent="0.3">
      <c r="A5793" t="s">
        <v>552</v>
      </c>
      <c r="B5793" t="s">
        <v>689</v>
      </c>
      <c r="C5793" t="s">
        <v>572</v>
      </c>
      <c r="D5793" s="226">
        <v>0</v>
      </c>
      <c r="E5793" t="s">
        <v>690</v>
      </c>
    </row>
    <row r="5794" spans="1:5" hidden="1" x14ac:dyDescent="0.3">
      <c r="A5794" t="s">
        <v>552</v>
      </c>
      <c r="B5794" t="s">
        <v>689</v>
      </c>
      <c r="C5794" t="s">
        <v>573</v>
      </c>
      <c r="D5794" s="226">
        <v>0</v>
      </c>
      <c r="E5794" t="s">
        <v>690</v>
      </c>
    </row>
    <row r="5795" spans="1:5" hidden="1" x14ac:dyDescent="0.3">
      <c r="A5795" t="s">
        <v>552</v>
      </c>
      <c r="B5795" t="s">
        <v>689</v>
      </c>
      <c r="C5795" t="s">
        <v>574</v>
      </c>
      <c r="D5795" s="226">
        <v>0</v>
      </c>
      <c r="E5795" t="s">
        <v>690</v>
      </c>
    </row>
    <row r="5796" spans="1:5" hidden="1" x14ac:dyDescent="0.3">
      <c r="A5796" t="s">
        <v>552</v>
      </c>
      <c r="B5796" t="s">
        <v>689</v>
      </c>
      <c r="C5796" t="s">
        <v>575</v>
      </c>
      <c r="D5796" s="226">
        <v>0</v>
      </c>
      <c r="E5796" t="s">
        <v>690</v>
      </c>
    </row>
    <row r="5797" spans="1:5" hidden="1" x14ac:dyDescent="0.3">
      <c r="A5797" t="s">
        <v>552</v>
      </c>
      <c r="B5797" t="s">
        <v>689</v>
      </c>
      <c r="C5797" t="s">
        <v>576</v>
      </c>
      <c r="D5797" s="226">
        <v>0</v>
      </c>
      <c r="E5797" t="s">
        <v>690</v>
      </c>
    </row>
    <row r="5798" spans="1:5" hidden="1" x14ac:dyDescent="0.3">
      <c r="A5798" t="s">
        <v>552</v>
      </c>
      <c r="B5798" t="s">
        <v>689</v>
      </c>
      <c r="C5798" t="s">
        <v>577</v>
      </c>
      <c r="D5798" s="226">
        <v>0</v>
      </c>
      <c r="E5798" t="s">
        <v>690</v>
      </c>
    </row>
    <row r="5799" spans="1:5" hidden="1" x14ac:dyDescent="0.3">
      <c r="A5799" t="s">
        <v>552</v>
      </c>
      <c r="B5799" t="s">
        <v>689</v>
      </c>
      <c r="C5799" t="s">
        <v>578</v>
      </c>
      <c r="D5799" s="226">
        <v>0</v>
      </c>
      <c r="E5799" t="s">
        <v>690</v>
      </c>
    </row>
    <row r="5800" spans="1:5" hidden="1" x14ac:dyDescent="0.3">
      <c r="A5800" t="s">
        <v>552</v>
      </c>
      <c r="B5800" t="s">
        <v>689</v>
      </c>
      <c r="C5800" t="s">
        <v>579</v>
      </c>
      <c r="D5800" s="226">
        <v>0</v>
      </c>
      <c r="E5800" t="s">
        <v>690</v>
      </c>
    </row>
    <row r="5801" spans="1:5" hidden="1" x14ac:dyDescent="0.3">
      <c r="A5801" t="s">
        <v>552</v>
      </c>
      <c r="B5801" t="s">
        <v>689</v>
      </c>
      <c r="C5801" t="s">
        <v>580</v>
      </c>
      <c r="D5801" s="226">
        <v>0</v>
      </c>
      <c r="E5801" t="s">
        <v>690</v>
      </c>
    </row>
    <row r="5802" spans="1:5" hidden="1" x14ac:dyDescent="0.3">
      <c r="A5802" t="s">
        <v>552</v>
      </c>
      <c r="B5802" t="s">
        <v>689</v>
      </c>
      <c r="C5802" t="s">
        <v>581</v>
      </c>
      <c r="D5802" s="226">
        <v>0</v>
      </c>
      <c r="E5802" t="s">
        <v>690</v>
      </c>
    </row>
    <row r="5803" spans="1:5" hidden="1" x14ac:dyDescent="0.3">
      <c r="A5803" t="s">
        <v>552</v>
      </c>
      <c r="B5803" t="s">
        <v>689</v>
      </c>
      <c r="C5803" t="s">
        <v>582</v>
      </c>
      <c r="D5803" s="226">
        <v>0</v>
      </c>
      <c r="E5803" t="s">
        <v>690</v>
      </c>
    </row>
    <row r="5804" spans="1:5" hidden="1" x14ac:dyDescent="0.3">
      <c r="A5804" t="s">
        <v>552</v>
      </c>
      <c r="B5804" t="s">
        <v>689</v>
      </c>
      <c r="C5804" t="s">
        <v>583</v>
      </c>
      <c r="D5804" s="226">
        <v>0</v>
      </c>
      <c r="E5804" t="s">
        <v>690</v>
      </c>
    </row>
    <row r="5805" spans="1:5" hidden="1" x14ac:dyDescent="0.3">
      <c r="A5805" t="s">
        <v>552</v>
      </c>
      <c r="B5805" t="s">
        <v>689</v>
      </c>
      <c r="C5805" t="s">
        <v>584</v>
      </c>
      <c r="D5805" s="226">
        <v>0</v>
      </c>
      <c r="E5805" t="s">
        <v>690</v>
      </c>
    </row>
    <row r="5806" spans="1:5" hidden="1" x14ac:dyDescent="0.3">
      <c r="A5806" t="s">
        <v>552</v>
      </c>
      <c r="B5806" t="s">
        <v>689</v>
      </c>
      <c r="C5806" t="s">
        <v>585</v>
      </c>
      <c r="D5806" s="226">
        <v>0</v>
      </c>
      <c r="E5806" t="s">
        <v>690</v>
      </c>
    </row>
    <row r="5807" spans="1:5" hidden="1" x14ac:dyDescent="0.3">
      <c r="A5807" t="s">
        <v>552</v>
      </c>
      <c r="B5807" t="s">
        <v>689</v>
      </c>
      <c r="C5807" t="s">
        <v>586</v>
      </c>
      <c r="D5807" s="226">
        <v>0</v>
      </c>
      <c r="E5807" t="s">
        <v>690</v>
      </c>
    </row>
    <row r="5808" spans="1:5" hidden="1" x14ac:dyDescent="0.3">
      <c r="A5808" t="s">
        <v>552</v>
      </c>
      <c r="B5808" t="s">
        <v>689</v>
      </c>
      <c r="C5808" t="s">
        <v>587</v>
      </c>
      <c r="D5808" s="226">
        <v>0</v>
      </c>
      <c r="E5808" t="s">
        <v>690</v>
      </c>
    </row>
    <row r="5809" spans="1:5" hidden="1" x14ac:dyDescent="0.3">
      <c r="A5809" t="s">
        <v>552</v>
      </c>
      <c r="B5809" t="s">
        <v>689</v>
      </c>
      <c r="C5809" t="s">
        <v>588</v>
      </c>
      <c r="D5809" s="226">
        <v>0</v>
      </c>
      <c r="E5809" t="s">
        <v>690</v>
      </c>
    </row>
    <row r="5810" spans="1:5" hidden="1" x14ac:dyDescent="0.3">
      <c r="A5810" t="s">
        <v>552</v>
      </c>
      <c r="B5810" t="s">
        <v>689</v>
      </c>
      <c r="C5810" t="s">
        <v>589</v>
      </c>
      <c r="D5810" s="226">
        <v>0</v>
      </c>
      <c r="E5810" t="s">
        <v>690</v>
      </c>
    </row>
    <row r="5811" spans="1:5" hidden="1" x14ac:dyDescent="0.3">
      <c r="A5811" t="s">
        <v>552</v>
      </c>
      <c r="B5811" t="s">
        <v>689</v>
      </c>
      <c r="C5811" t="s">
        <v>590</v>
      </c>
      <c r="D5811" s="226">
        <v>0</v>
      </c>
      <c r="E5811" t="s">
        <v>690</v>
      </c>
    </row>
    <row r="5812" spans="1:5" hidden="1" x14ac:dyDescent="0.3">
      <c r="A5812" t="s">
        <v>552</v>
      </c>
      <c r="B5812" t="s">
        <v>689</v>
      </c>
      <c r="C5812" t="s">
        <v>591</v>
      </c>
      <c r="D5812" s="226">
        <v>0</v>
      </c>
      <c r="E5812" t="s">
        <v>690</v>
      </c>
    </row>
    <row r="5813" spans="1:5" hidden="1" x14ac:dyDescent="0.3">
      <c r="A5813" t="s">
        <v>552</v>
      </c>
      <c r="B5813" t="s">
        <v>689</v>
      </c>
      <c r="C5813" t="s">
        <v>592</v>
      </c>
      <c r="D5813" s="226">
        <v>0</v>
      </c>
      <c r="E5813" t="s">
        <v>690</v>
      </c>
    </row>
    <row r="5814" spans="1:5" hidden="1" x14ac:dyDescent="0.3">
      <c r="A5814" t="s">
        <v>552</v>
      </c>
      <c r="B5814" t="s">
        <v>689</v>
      </c>
      <c r="C5814" t="s">
        <v>593</v>
      </c>
      <c r="D5814" s="226">
        <v>0</v>
      </c>
      <c r="E5814" t="s">
        <v>690</v>
      </c>
    </row>
    <row r="5815" spans="1:5" hidden="1" x14ac:dyDescent="0.3">
      <c r="A5815" t="s">
        <v>552</v>
      </c>
      <c r="B5815" t="s">
        <v>689</v>
      </c>
      <c r="C5815" t="s">
        <v>594</v>
      </c>
      <c r="D5815" s="226">
        <v>0</v>
      </c>
      <c r="E5815" t="s">
        <v>690</v>
      </c>
    </row>
    <row r="5816" spans="1:5" hidden="1" x14ac:dyDescent="0.3">
      <c r="A5816" t="s">
        <v>552</v>
      </c>
      <c r="B5816" t="s">
        <v>689</v>
      </c>
      <c r="C5816" t="s">
        <v>595</v>
      </c>
      <c r="D5816" s="226">
        <v>0</v>
      </c>
      <c r="E5816" t="s">
        <v>690</v>
      </c>
    </row>
    <row r="5817" spans="1:5" hidden="1" x14ac:dyDescent="0.3">
      <c r="A5817" t="s">
        <v>552</v>
      </c>
      <c r="B5817" t="s">
        <v>689</v>
      </c>
      <c r="C5817" t="s">
        <v>596</v>
      </c>
      <c r="D5817" s="226">
        <v>0</v>
      </c>
      <c r="E5817" t="s">
        <v>690</v>
      </c>
    </row>
    <row r="5818" spans="1:5" hidden="1" x14ac:dyDescent="0.3">
      <c r="A5818" t="s">
        <v>552</v>
      </c>
      <c r="B5818" t="s">
        <v>689</v>
      </c>
      <c r="C5818" t="s">
        <v>597</v>
      </c>
      <c r="D5818" s="226">
        <v>0</v>
      </c>
      <c r="E5818" t="s">
        <v>690</v>
      </c>
    </row>
    <row r="5819" spans="1:5" hidden="1" x14ac:dyDescent="0.3">
      <c r="A5819" t="s">
        <v>552</v>
      </c>
      <c r="B5819" t="s">
        <v>689</v>
      </c>
      <c r="C5819" t="s">
        <v>598</v>
      </c>
      <c r="D5819" s="226">
        <v>0</v>
      </c>
      <c r="E5819" t="s">
        <v>690</v>
      </c>
    </row>
    <row r="5820" spans="1:5" hidden="1" x14ac:dyDescent="0.3">
      <c r="A5820" t="s">
        <v>552</v>
      </c>
      <c r="B5820" t="s">
        <v>689</v>
      </c>
      <c r="C5820" t="s">
        <v>599</v>
      </c>
      <c r="D5820" s="226">
        <v>0</v>
      </c>
      <c r="E5820" t="s">
        <v>690</v>
      </c>
    </row>
    <row r="5821" spans="1:5" hidden="1" x14ac:dyDescent="0.3">
      <c r="A5821" t="s">
        <v>552</v>
      </c>
      <c r="B5821" t="s">
        <v>689</v>
      </c>
      <c r="C5821" t="s">
        <v>600</v>
      </c>
      <c r="D5821" s="226">
        <v>0</v>
      </c>
      <c r="E5821" t="s">
        <v>690</v>
      </c>
    </row>
    <row r="5822" spans="1:5" hidden="1" x14ac:dyDescent="0.3">
      <c r="A5822" t="s">
        <v>552</v>
      </c>
      <c r="B5822" t="s">
        <v>689</v>
      </c>
      <c r="C5822" t="s">
        <v>601</v>
      </c>
      <c r="D5822" s="226">
        <v>0</v>
      </c>
      <c r="E5822" t="s">
        <v>690</v>
      </c>
    </row>
    <row r="5823" spans="1:5" hidden="1" x14ac:dyDescent="0.3">
      <c r="A5823" t="s">
        <v>552</v>
      </c>
      <c r="B5823" t="s">
        <v>689</v>
      </c>
      <c r="C5823" t="s">
        <v>602</v>
      </c>
      <c r="D5823" s="226">
        <v>0</v>
      </c>
      <c r="E5823" t="s">
        <v>690</v>
      </c>
    </row>
    <row r="5824" spans="1:5" hidden="1" x14ac:dyDescent="0.3">
      <c r="A5824" t="s">
        <v>552</v>
      </c>
      <c r="B5824" t="s">
        <v>689</v>
      </c>
      <c r="C5824" t="s">
        <v>603</v>
      </c>
      <c r="D5824" s="226">
        <v>0</v>
      </c>
      <c r="E5824" t="s">
        <v>690</v>
      </c>
    </row>
    <row r="5825" spans="1:5" hidden="1" x14ac:dyDescent="0.3">
      <c r="A5825" t="s">
        <v>552</v>
      </c>
      <c r="B5825" t="s">
        <v>689</v>
      </c>
      <c r="C5825" t="s">
        <v>604</v>
      </c>
      <c r="D5825" s="226">
        <v>0</v>
      </c>
      <c r="E5825" t="s">
        <v>690</v>
      </c>
    </row>
    <row r="5826" spans="1:5" hidden="1" x14ac:dyDescent="0.3">
      <c r="A5826" t="s">
        <v>552</v>
      </c>
      <c r="B5826" t="s">
        <v>689</v>
      </c>
      <c r="C5826" t="s">
        <v>605</v>
      </c>
      <c r="D5826" s="226">
        <v>0</v>
      </c>
      <c r="E5826" t="s">
        <v>690</v>
      </c>
    </row>
    <row r="5827" spans="1:5" hidden="1" x14ac:dyDescent="0.3">
      <c r="A5827" t="s">
        <v>552</v>
      </c>
      <c r="B5827" t="s">
        <v>689</v>
      </c>
      <c r="C5827" t="s">
        <v>606</v>
      </c>
      <c r="D5827" s="226">
        <v>0</v>
      </c>
      <c r="E5827" t="s">
        <v>690</v>
      </c>
    </row>
    <row r="5828" spans="1:5" hidden="1" x14ac:dyDescent="0.3">
      <c r="A5828" t="s">
        <v>552</v>
      </c>
      <c r="B5828" t="s">
        <v>689</v>
      </c>
      <c r="C5828" t="s">
        <v>607</v>
      </c>
      <c r="D5828" s="226">
        <v>0</v>
      </c>
      <c r="E5828" t="s">
        <v>690</v>
      </c>
    </row>
    <row r="5829" spans="1:5" hidden="1" x14ac:dyDescent="0.3">
      <c r="A5829" t="s">
        <v>552</v>
      </c>
      <c r="B5829" t="s">
        <v>689</v>
      </c>
      <c r="C5829" t="s">
        <v>608</v>
      </c>
      <c r="D5829" s="226">
        <v>0</v>
      </c>
      <c r="E5829" t="s">
        <v>690</v>
      </c>
    </row>
    <row r="5830" spans="1:5" hidden="1" x14ac:dyDescent="0.3">
      <c r="A5830" t="s">
        <v>552</v>
      </c>
      <c r="B5830" t="s">
        <v>689</v>
      </c>
      <c r="C5830" t="s">
        <v>609</v>
      </c>
      <c r="D5830" s="226">
        <v>0</v>
      </c>
      <c r="E5830" t="s">
        <v>690</v>
      </c>
    </row>
    <row r="5831" spans="1:5" hidden="1" x14ac:dyDescent="0.3">
      <c r="A5831" t="s">
        <v>552</v>
      </c>
      <c r="B5831" t="s">
        <v>689</v>
      </c>
      <c r="C5831" t="s">
        <v>610</v>
      </c>
      <c r="D5831" s="226">
        <v>0</v>
      </c>
      <c r="E5831" t="s">
        <v>690</v>
      </c>
    </row>
    <row r="5832" spans="1:5" hidden="1" x14ac:dyDescent="0.3">
      <c r="A5832" t="s">
        <v>552</v>
      </c>
      <c r="B5832" t="s">
        <v>689</v>
      </c>
      <c r="C5832" t="s">
        <v>611</v>
      </c>
      <c r="D5832" s="226">
        <v>0</v>
      </c>
      <c r="E5832" t="s">
        <v>690</v>
      </c>
    </row>
    <row r="5833" spans="1:5" hidden="1" x14ac:dyDescent="0.3">
      <c r="A5833" t="s">
        <v>552</v>
      </c>
      <c r="B5833" t="s">
        <v>689</v>
      </c>
      <c r="C5833" t="s">
        <v>612</v>
      </c>
      <c r="D5833" s="226">
        <v>0</v>
      </c>
      <c r="E5833" t="s">
        <v>690</v>
      </c>
    </row>
    <row r="5834" spans="1:5" hidden="1" x14ac:dyDescent="0.3">
      <c r="A5834" t="s">
        <v>552</v>
      </c>
      <c r="B5834" t="s">
        <v>689</v>
      </c>
      <c r="C5834" t="s">
        <v>613</v>
      </c>
      <c r="D5834" s="226">
        <v>0</v>
      </c>
      <c r="E5834" t="s">
        <v>690</v>
      </c>
    </row>
    <row r="5835" spans="1:5" hidden="1" x14ac:dyDescent="0.3">
      <c r="A5835" t="s">
        <v>552</v>
      </c>
      <c r="B5835" t="s">
        <v>689</v>
      </c>
      <c r="C5835" t="s">
        <v>614</v>
      </c>
      <c r="D5835" s="226">
        <v>0</v>
      </c>
      <c r="E5835" t="s">
        <v>690</v>
      </c>
    </row>
    <row r="5836" spans="1:5" hidden="1" x14ac:dyDescent="0.3">
      <c r="A5836" t="s">
        <v>552</v>
      </c>
      <c r="B5836" t="s">
        <v>689</v>
      </c>
      <c r="C5836" t="s">
        <v>615</v>
      </c>
      <c r="D5836" s="226">
        <v>0</v>
      </c>
      <c r="E5836" t="s">
        <v>690</v>
      </c>
    </row>
    <row r="5837" spans="1:5" hidden="1" x14ac:dyDescent="0.3">
      <c r="A5837" t="s">
        <v>552</v>
      </c>
      <c r="B5837" t="s">
        <v>689</v>
      </c>
      <c r="C5837" t="s">
        <v>616</v>
      </c>
      <c r="D5837" s="226">
        <v>0</v>
      </c>
      <c r="E5837" t="s">
        <v>690</v>
      </c>
    </row>
    <row r="5838" spans="1:5" hidden="1" x14ac:dyDescent="0.3">
      <c r="A5838" t="s">
        <v>552</v>
      </c>
      <c r="B5838" t="s">
        <v>689</v>
      </c>
      <c r="C5838" t="s">
        <v>617</v>
      </c>
      <c r="D5838" s="226">
        <v>0</v>
      </c>
      <c r="E5838" t="s">
        <v>690</v>
      </c>
    </row>
    <row r="5839" spans="1:5" hidden="1" x14ac:dyDescent="0.3">
      <c r="A5839" t="s">
        <v>552</v>
      </c>
      <c r="B5839" t="s">
        <v>689</v>
      </c>
      <c r="C5839" t="s">
        <v>618</v>
      </c>
      <c r="D5839" s="226">
        <v>0</v>
      </c>
      <c r="E5839" t="s">
        <v>690</v>
      </c>
    </row>
    <row r="5840" spans="1:5" hidden="1" x14ac:dyDescent="0.3">
      <c r="A5840" t="s">
        <v>552</v>
      </c>
      <c r="B5840" t="s">
        <v>689</v>
      </c>
      <c r="C5840" t="s">
        <v>619</v>
      </c>
      <c r="D5840" s="226">
        <v>0</v>
      </c>
      <c r="E5840" t="s">
        <v>690</v>
      </c>
    </row>
    <row r="5841" spans="1:5" hidden="1" x14ac:dyDescent="0.3">
      <c r="A5841" t="s">
        <v>552</v>
      </c>
      <c r="B5841" t="s">
        <v>689</v>
      </c>
      <c r="C5841" t="s">
        <v>620</v>
      </c>
      <c r="D5841" s="226">
        <v>0</v>
      </c>
      <c r="E5841" t="s">
        <v>690</v>
      </c>
    </row>
    <row r="5842" spans="1:5" hidden="1" x14ac:dyDescent="0.3">
      <c r="A5842" t="s">
        <v>552</v>
      </c>
      <c r="B5842" t="s">
        <v>689</v>
      </c>
      <c r="C5842" t="s">
        <v>621</v>
      </c>
      <c r="D5842" s="226">
        <v>0</v>
      </c>
      <c r="E5842" t="s">
        <v>690</v>
      </c>
    </row>
    <row r="5843" spans="1:5" hidden="1" x14ac:dyDescent="0.3">
      <c r="A5843" t="s">
        <v>552</v>
      </c>
      <c r="B5843" t="s">
        <v>689</v>
      </c>
      <c r="C5843" t="s">
        <v>622</v>
      </c>
      <c r="D5843" s="226">
        <v>0</v>
      </c>
      <c r="E5843" t="s">
        <v>690</v>
      </c>
    </row>
    <row r="5844" spans="1:5" hidden="1" x14ac:dyDescent="0.3">
      <c r="A5844" t="s">
        <v>552</v>
      </c>
      <c r="B5844" t="s">
        <v>689</v>
      </c>
      <c r="C5844" t="s">
        <v>623</v>
      </c>
      <c r="D5844" s="226">
        <v>0</v>
      </c>
      <c r="E5844" t="s">
        <v>690</v>
      </c>
    </row>
    <row r="5845" spans="1:5" hidden="1" x14ac:dyDescent="0.3">
      <c r="A5845" t="s">
        <v>552</v>
      </c>
      <c r="B5845" t="s">
        <v>689</v>
      </c>
      <c r="C5845" t="s">
        <v>624</v>
      </c>
      <c r="D5845" s="226">
        <v>0</v>
      </c>
      <c r="E5845" t="s">
        <v>690</v>
      </c>
    </row>
    <row r="5846" spans="1:5" hidden="1" x14ac:dyDescent="0.3">
      <c r="A5846" t="s">
        <v>552</v>
      </c>
      <c r="B5846" t="s">
        <v>689</v>
      </c>
      <c r="C5846" t="s">
        <v>200</v>
      </c>
      <c r="D5846" s="226">
        <v>-103452.6</v>
      </c>
      <c r="E5846" t="s">
        <v>690</v>
      </c>
    </row>
    <row r="5847" spans="1:5" hidden="1" x14ac:dyDescent="0.3">
      <c r="A5847" t="s">
        <v>552</v>
      </c>
      <c r="B5847" t="s">
        <v>689</v>
      </c>
      <c r="C5847" t="s">
        <v>202</v>
      </c>
      <c r="D5847" s="226">
        <v>-103452.6</v>
      </c>
      <c r="E5847" t="s">
        <v>690</v>
      </c>
    </row>
    <row r="5848" spans="1:5" hidden="1" x14ac:dyDescent="0.3">
      <c r="A5848" t="s">
        <v>552</v>
      </c>
      <c r="B5848" t="s">
        <v>689</v>
      </c>
      <c r="C5848" t="s">
        <v>625</v>
      </c>
      <c r="D5848" s="226">
        <v>51726.3</v>
      </c>
      <c r="E5848" t="s">
        <v>690</v>
      </c>
    </row>
    <row r="5849" spans="1:5" hidden="1" x14ac:dyDescent="0.3">
      <c r="A5849" t="s">
        <v>552</v>
      </c>
      <c r="B5849" t="s">
        <v>689</v>
      </c>
      <c r="C5849" t="s">
        <v>204</v>
      </c>
      <c r="D5849" s="226">
        <v>-50125.18</v>
      </c>
      <c r="E5849" t="s">
        <v>690</v>
      </c>
    </row>
    <row r="5850" spans="1:5" hidden="1" x14ac:dyDescent="0.3">
      <c r="A5850" t="s">
        <v>552</v>
      </c>
      <c r="B5850" t="s">
        <v>689</v>
      </c>
      <c r="C5850" t="s">
        <v>626</v>
      </c>
      <c r="D5850" s="226">
        <v>-12222.24</v>
      </c>
      <c r="E5850" t="s">
        <v>690</v>
      </c>
    </row>
    <row r="5851" spans="1:5" hidden="1" x14ac:dyDescent="0.3">
      <c r="A5851" t="s">
        <v>552</v>
      </c>
      <c r="B5851" t="s">
        <v>689</v>
      </c>
      <c r="C5851" t="s">
        <v>627</v>
      </c>
      <c r="D5851" s="226">
        <v>0</v>
      </c>
      <c r="E5851" t="s">
        <v>690</v>
      </c>
    </row>
    <row r="5852" spans="1:5" hidden="1" x14ac:dyDescent="0.3">
      <c r="A5852" t="s">
        <v>552</v>
      </c>
      <c r="B5852" t="s">
        <v>689</v>
      </c>
      <c r="C5852" t="s">
        <v>628</v>
      </c>
      <c r="D5852" s="226">
        <v>-16063.08</v>
      </c>
      <c r="E5852" t="s">
        <v>690</v>
      </c>
    </row>
    <row r="5853" spans="1:5" hidden="1" x14ac:dyDescent="0.3">
      <c r="A5853" t="s">
        <v>552</v>
      </c>
      <c r="B5853" t="s">
        <v>689</v>
      </c>
      <c r="C5853" t="s">
        <v>629</v>
      </c>
      <c r="D5853" s="226">
        <v>-4957.45</v>
      </c>
      <c r="E5853" t="s">
        <v>690</v>
      </c>
    </row>
    <row r="5854" spans="1:5" hidden="1" x14ac:dyDescent="0.3">
      <c r="A5854" t="s">
        <v>552</v>
      </c>
      <c r="B5854" t="s">
        <v>689</v>
      </c>
      <c r="C5854" t="s">
        <v>630</v>
      </c>
      <c r="D5854" s="226">
        <v>0</v>
      </c>
      <c r="E5854" t="s">
        <v>690</v>
      </c>
    </row>
    <row r="5855" spans="1:5" hidden="1" x14ac:dyDescent="0.3">
      <c r="A5855" t="s">
        <v>552</v>
      </c>
      <c r="B5855" t="s">
        <v>689</v>
      </c>
      <c r="C5855" t="s">
        <v>631</v>
      </c>
      <c r="D5855" s="226">
        <v>0</v>
      </c>
      <c r="E5855" t="s">
        <v>690</v>
      </c>
    </row>
    <row r="5856" spans="1:5" hidden="1" x14ac:dyDescent="0.3">
      <c r="A5856" t="s">
        <v>552</v>
      </c>
      <c r="B5856" t="s">
        <v>689</v>
      </c>
      <c r="C5856" t="s">
        <v>632</v>
      </c>
      <c r="D5856" s="226">
        <v>0</v>
      </c>
      <c r="E5856" t="s">
        <v>690</v>
      </c>
    </row>
    <row r="5857" spans="1:5" hidden="1" x14ac:dyDescent="0.3">
      <c r="A5857" t="s">
        <v>552</v>
      </c>
      <c r="B5857" t="s">
        <v>689</v>
      </c>
      <c r="C5857" t="s">
        <v>633</v>
      </c>
      <c r="D5857" s="226">
        <v>-545.32000000000005</v>
      </c>
      <c r="E5857" t="s">
        <v>690</v>
      </c>
    </row>
    <row r="5858" spans="1:5" hidden="1" x14ac:dyDescent="0.3">
      <c r="A5858" t="s">
        <v>552</v>
      </c>
      <c r="B5858" t="s">
        <v>689</v>
      </c>
      <c r="C5858" t="s">
        <v>634</v>
      </c>
      <c r="D5858" s="226">
        <v>0</v>
      </c>
      <c r="E5858" t="s">
        <v>690</v>
      </c>
    </row>
    <row r="5859" spans="1:5" hidden="1" x14ac:dyDescent="0.3">
      <c r="A5859" t="s">
        <v>552</v>
      </c>
      <c r="B5859" t="s">
        <v>689</v>
      </c>
      <c r="C5859" t="s">
        <v>635</v>
      </c>
      <c r="D5859" s="226">
        <v>0</v>
      </c>
      <c r="E5859" t="s">
        <v>690</v>
      </c>
    </row>
    <row r="5860" spans="1:5" hidden="1" x14ac:dyDescent="0.3">
      <c r="A5860" t="s">
        <v>552</v>
      </c>
      <c r="B5860" t="s">
        <v>689</v>
      </c>
      <c r="C5860" t="s">
        <v>636</v>
      </c>
      <c r="D5860" s="226">
        <v>0</v>
      </c>
      <c r="E5860" t="s">
        <v>690</v>
      </c>
    </row>
    <row r="5861" spans="1:5" hidden="1" x14ac:dyDescent="0.3">
      <c r="A5861" t="s">
        <v>552</v>
      </c>
      <c r="B5861" t="s">
        <v>689</v>
      </c>
      <c r="C5861" t="s">
        <v>637</v>
      </c>
      <c r="D5861" s="226">
        <v>-10300</v>
      </c>
      <c r="E5861" t="s">
        <v>690</v>
      </c>
    </row>
    <row r="5862" spans="1:5" hidden="1" x14ac:dyDescent="0.3">
      <c r="A5862" t="s">
        <v>552</v>
      </c>
      <c r="B5862" t="s">
        <v>689</v>
      </c>
      <c r="C5862" t="s">
        <v>638</v>
      </c>
      <c r="D5862" s="226">
        <v>0</v>
      </c>
      <c r="E5862" t="s">
        <v>690</v>
      </c>
    </row>
    <row r="5863" spans="1:5" hidden="1" x14ac:dyDescent="0.3">
      <c r="A5863" t="s">
        <v>552</v>
      </c>
      <c r="B5863" t="s">
        <v>689</v>
      </c>
      <c r="C5863" t="s">
        <v>639</v>
      </c>
      <c r="D5863" s="226">
        <v>-6037.09</v>
      </c>
      <c r="E5863" t="s">
        <v>690</v>
      </c>
    </row>
    <row r="5864" spans="1:5" hidden="1" x14ac:dyDescent="0.3">
      <c r="A5864" t="s">
        <v>552</v>
      </c>
      <c r="B5864" t="s">
        <v>689</v>
      </c>
      <c r="C5864" t="s">
        <v>640</v>
      </c>
      <c r="D5864" s="226">
        <v>0</v>
      </c>
      <c r="E5864" t="s">
        <v>690</v>
      </c>
    </row>
    <row r="5865" spans="1:5" hidden="1" x14ac:dyDescent="0.3">
      <c r="A5865" t="s">
        <v>552</v>
      </c>
      <c r="B5865" t="s">
        <v>689</v>
      </c>
      <c r="C5865" t="s">
        <v>641</v>
      </c>
      <c r="D5865" s="226">
        <v>0</v>
      </c>
      <c r="E5865" t="s">
        <v>690</v>
      </c>
    </row>
    <row r="5866" spans="1:5" hidden="1" x14ac:dyDescent="0.3">
      <c r="A5866" t="s">
        <v>552</v>
      </c>
      <c r="B5866" t="s">
        <v>689</v>
      </c>
      <c r="C5866" t="s">
        <v>237</v>
      </c>
      <c r="D5866" s="226">
        <v>-7836.42</v>
      </c>
      <c r="E5866" t="s">
        <v>690</v>
      </c>
    </row>
    <row r="5867" spans="1:5" hidden="1" x14ac:dyDescent="0.3">
      <c r="A5867" t="s">
        <v>552</v>
      </c>
      <c r="B5867" t="s">
        <v>689</v>
      </c>
      <c r="C5867" t="s">
        <v>642</v>
      </c>
      <c r="D5867" s="226">
        <v>-7541.16</v>
      </c>
      <c r="E5867" t="s">
        <v>690</v>
      </c>
    </row>
    <row r="5868" spans="1:5" hidden="1" x14ac:dyDescent="0.3">
      <c r="A5868" t="s">
        <v>552</v>
      </c>
      <c r="B5868" t="s">
        <v>689</v>
      </c>
      <c r="C5868" t="s">
        <v>643</v>
      </c>
      <c r="D5868" s="226">
        <v>0</v>
      </c>
      <c r="E5868" t="s">
        <v>690</v>
      </c>
    </row>
    <row r="5869" spans="1:5" hidden="1" x14ac:dyDescent="0.3">
      <c r="A5869" t="s">
        <v>552</v>
      </c>
      <c r="B5869" t="s">
        <v>689</v>
      </c>
      <c r="C5869" t="s">
        <v>644</v>
      </c>
      <c r="D5869" s="226">
        <v>0</v>
      </c>
      <c r="E5869" t="s">
        <v>690</v>
      </c>
    </row>
    <row r="5870" spans="1:5" hidden="1" x14ac:dyDescent="0.3">
      <c r="A5870" t="s">
        <v>552</v>
      </c>
      <c r="B5870" t="s">
        <v>689</v>
      </c>
      <c r="C5870" t="s">
        <v>645</v>
      </c>
      <c r="D5870" s="226">
        <v>-295.26</v>
      </c>
      <c r="E5870" t="s">
        <v>690</v>
      </c>
    </row>
    <row r="5871" spans="1:5" hidden="1" x14ac:dyDescent="0.3">
      <c r="A5871" t="s">
        <v>552</v>
      </c>
      <c r="B5871" t="s">
        <v>689</v>
      </c>
      <c r="C5871" t="s">
        <v>646</v>
      </c>
      <c r="D5871" s="226">
        <v>0</v>
      </c>
      <c r="E5871" t="s">
        <v>690</v>
      </c>
    </row>
    <row r="5872" spans="1:5" hidden="1" x14ac:dyDescent="0.3">
      <c r="A5872" t="s">
        <v>552</v>
      </c>
      <c r="B5872" t="s">
        <v>689</v>
      </c>
      <c r="C5872" t="s">
        <v>244</v>
      </c>
      <c r="D5872" s="226">
        <v>-35332.58</v>
      </c>
      <c r="E5872" t="s">
        <v>690</v>
      </c>
    </row>
    <row r="5873" spans="1:5" hidden="1" x14ac:dyDescent="0.3">
      <c r="A5873" t="s">
        <v>552</v>
      </c>
      <c r="B5873" t="s">
        <v>689</v>
      </c>
      <c r="C5873" t="s">
        <v>647</v>
      </c>
      <c r="D5873" s="226">
        <v>0</v>
      </c>
      <c r="E5873" t="s">
        <v>690</v>
      </c>
    </row>
    <row r="5874" spans="1:5" hidden="1" x14ac:dyDescent="0.3">
      <c r="A5874" t="s">
        <v>552</v>
      </c>
      <c r="B5874" t="s">
        <v>689</v>
      </c>
      <c r="C5874" t="s">
        <v>648</v>
      </c>
      <c r="D5874" s="226">
        <v>-1381.29</v>
      </c>
      <c r="E5874" t="s">
        <v>690</v>
      </c>
    </row>
    <row r="5875" spans="1:5" hidden="1" x14ac:dyDescent="0.3">
      <c r="A5875" t="s">
        <v>552</v>
      </c>
      <c r="B5875" t="s">
        <v>689</v>
      </c>
      <c r="C5875" t="s">
        <v>649</v>
      </c>
      <c r="D5875" s="226">
        <v>0</v>
      </c>
      <c r="E5875" t="s">
        <v>690</v>
      </c>
    </row>
    <row r="5876" spans="1:5" hidden="1" x14ac:dyDescent="0.3">
      <c r="A5876" t="s">
        <v>552</v>
      </c>
      <c r="B5876" t="s">
        <v>689</v>
      </c>
      <c r="C5876" t="s">
        <v>650</v>
      </c>
      <c r="D5876" s="226">
        <v>-3000</v>
      </c>
      <c r="E5876" t="s">
        <v>690</v>
      </c>
    </row>
    <row r="5877" spans="1:5" hidden="1" x14ac:dyDescent="0.3">
      <c r="A5877" t="s">
        <v>552</v>
      </c>
      <c r="B5877" t="s">
        <v>689</v>
      </c>
      <c r="C5877" t="s">
        <v>651</v>
      </c>
      <c r="D5877" s="226">
        <v>0</v>
      </c>
      <c r="E5877" t="s">
        <v>690</v>
      </c>
    </row>
    <row r="5878" spans="1:5" hidden="1" x14ac:dyDescent="0.3">
      <c r="A5878" t="s">
        <v>552</v>
      </c>
      <c r="B5878" t="s">
        <v>689</v>
      </c>
      <c r="C5878" t="s">
        <v>652</v>
      </c>
      <c r="D5878" s="226">
        <v>-30951.29</v>
      </c>
      <c r="E5878" t="s">
        <v>690</v>
      </c>
    </row>
    <row r="5879" spans="1:5" hidden="1" x14ac:dyDescent="0.3">
      <c r="A5879" t="s">
        <v>552</v>
      </c>
      <c r="B5879" t="s">
        <v>689</v>
      </c>
      <c r="C5879" t="s">
        <v>653</v>
      </c>
      <c r="D5879" s="226">
        <v>0</v>
      </c>
      <c r="E5879" t="s">
        <v>690</v>
      </c>
    </row>
    <row r="5880" spans="1:5" hidden="1" x14ac:dyDescent="0.3">
      <c r="A5880" t="s">
        <v>552</v>
      </c>
      <c r="B5880" t="s">
        <v>689</v>
      </c>
      <c r="C5880" t="s">
        <v>253</v>
      </c>
      <c r="D5880" s="226">
        <v>-0.2</v>
      </c>
      <c r="E5880" t="s">
        <v>690</v>
      </c>
    </row>
    <row r="5881" spans="1:5" hidden="1" x14ac:dyDescent="0.3">
      <c r="A5881" t="s">
        <v>552</v>
      </c>
      <c r="B5881" t="s">
        <v>689</v>
      </c>
      <c r="C5881" t="s">
        <v>254</v>
      </c>
      <c r="D5881" s="226">
        <v>-0.17</v>
      </c>
      <c r="E5881" t="s">
        <v>690</v>
      </c>
    </row>
    <row r="5882" spans="1:5" hidden="1" x14ac:dyDescent="0.3">
      <c r="A5882" t="s">
        <v>552</v>
      </c>
      <c r="B5882" t="s">
        <v>689</v>
      </c>
      <c r="C5882" t="s">
        <v>255</v>
      </c>
      <c r="D5882" s="226">
        <v>-47811.63</v>
      </c>
      <c r="E5882" t="s">
        <v>690</v>
      </c>
    </row>
    <row r="5883" spans="1:5" hidden="1" x14ac:dyDescent="0.3">
      <c r="A5883" t="s">
        <v>552</v>
      </c>
      <c r="B5883" t="s">
        <v>689</v>
      </c>
      <c r="C5883" t="s">
        <v>256</v>
      </c>
      <c r="D5883" s="226">
        <v>-28000</v>
      </c>
      <c r="E5883" t="s">
        <v>690</v>
      </c>
    </row>
    <row r="5884" spans="1:5" hidden="1" x14ac:dyDescent="0.3">
      <c r="A5884" t="s">
        <v>552</v>
      </c>
      <c r="B5884" t="s">
        <v>689</v>
      </c>
      <c r="C5884" t="s">
        <v>257</v>
      </c>
      <c r="D5884" s="226">
        <v>-15484.84</v>
      </c>
      <c r="E5884" t="s">
        <v>690</v>
      </c>
    </row>
    <row r="5885" spans="1:5" hidden="1" x14ac:dyDescent="0.3">
      <c r="A5885" t="s">
        <v>552</v>
      </c>
      <c r="B5885" t="s">
        <v>689</v>
      </c>
      <c r="C5885" t="s">
        <v>258</v>
      </c>
      <c r="D5885" s="226">
        <v>-3873.43</v>
      </c>
      <c r="E5885" t="s">
        <v>690</v>
      </c>
    </row>
    <row r="5886" spans="1:5" hidden="1" x14ac:dyDescent="0.3">
      <c r="A5886" t="s">
        <v>552</v>
      </c>
      <c r="B5886" t="s">
        <v>689</v>
      </c>
      <c r="C5886" t="s">
        <v>259</v>
      </c>
      <c r="D5886" s="226">
        <v>0</v>
      </c>
      <c r="E5886" t="s">
        <v>690</v>
      </c>
    </row>
    <row r="5887" spans="1:5" hidden="1" x14ac:dyDescent="0.3">
      <c r="A5887" t="s">
        <v>552</v>
      </c>
      <c r="B5887" t="s">
        <v>689</v>
      </c>
      <c r="C5887" t="s">
        <v>260</v>
      </c>
      <c r="D5887" s="226">
        <v>0</v>
      </c>
      <c r="E5887" t="s">
        <v>690</v>
      </c>
    </row>
    <row r="5888" spans="1:5" hidden="1" x14ac:dyDescent="0.3">
      <c r="A5888" t="s">
        <v>552</v>
      </c>
      <c r="B5888" t="s">
        <v>689</v>
      </c>
      <c r="C5888" t="s">
        <v>261</v>
      </c>
      <c r="D5888" s="226">
        <v>0</v>
      </c>
      <c r="E5888" t="s">
        <v>690</v>
      </c>
    </row>
    <row r="5889" spans="1:5" hidden="1" x14ac:dyDescent="0.3">
      <c r="A5889" t="s">
        <v>552</v>
      </c>
      <c r="B5889" t="s">
        <v>689</v>
      </c>
      <c r="C5889" t="s">
        <v>262</v>
      </c>
      <c r="D5889" s="226">
        <v>-453.36</v>
      </c>
      <c r="E5889" t="s">
        <v>690</v>
      </c>
    </row>
    <row r="5890" spans="1:5" hidden="1" x14ac:dyDescent="0.3">
      <c r="A5890" t="s">
        <v>552</v>
      </c>
      <c r="B5890" t="s">
        <v>689</v>
      </c>
      <c r="C5890" t="s">
        <v>44</v>
      </c>
      <c r="D5890" s="226">
        <v>-0.03</v>
      </c>
      <c r="E5890" t="s">
        <v>690</v>
      </c>
    </row>
    <row r="5891" spans="1:5" hidden="1" x14ac:dyDescent="0.3">
      <c r="A5891" t="s">
        <v>552</v>
      </c>
      <c r="B5891" t="s">
        <v>689</v>
      </c>
      <c r="C5891" t="s">
        <v>263</v>
      </c>
      <c r="D5891" s="226">
        <v>-82537.41</v>
      </c>
      <c r="E5891" t="s">
        <v>690</v>
      </c>
    </row>
    <row r="5892" spans="1:5" hidden="1" x14ac:dyDescent="0.3">
      <c r="A5892" t="s">
        <v>552</v>
      </c>
      <c r="B5892" t="s">
        <v>689</v>
      </c>
      <c r="C5892" t="s">
        <v>264</v>
      </c>
      <c r="D5892" s="226">
        <v>-16411.64</v>
      </c>
      <c r="E5892" t="s">
        <v>690</v>
      </c>
    </row>
    <row r="5893" spans="1:5" hidden="1" x14ac:dyDescent="0.3">
      <c r="A5893" t="s">
        <v>552</v>
      </c>
      <c r="B5893" t="s">
        <v>689</v>
      </c>
      <c r="C5893" t="s">
        <v>265</v>
      </c>
      <c r="D5893" s="226">
        <v>-16073.58</v>
      </c>
      <c r="E5893" t="s">
        <v>690</v>
      </c>
    </row>
    <row r="5894" spans="1:5" hidden="1" x14ac:dyDescent="0.3">
      <c r="A5894" t="s">
        <v>552</v>
      </c>
      <c r="B5894" t="s">
        <v>689</v>
      </c>
      <c r="C5894" t="s">
        <v>266</v>
      </c>
      <c r="D5894" s="226">
        <v>-13664</v>
      </c>
      <c r="E5894" t="s">
        <v>690</v>
      </c>
    </row>
    <row r="5895" spans="1:5" hidden="1" x14ac:dyDescent="0.3">
      <c r="A5895" t="s">
        <v>552</v>
      </c>
      <c r="B5895" t="s">
        <v>689</v>
      </c>
      <c r="C5895" t="s">
        <v>267</v>
      </c>
      <c r="D5895" s="226">
        <v>-16157.66</v>
      </c>
      <c r="E5895" t="s">
        <v>690</v>
      </c>
    </row>
    <row r="5896" spans="1:5" hidden="1" x14ac:dyDescent="0.3">
      <c r="A5896" t="s">
        <v>552</v>
      </c>
      <c r="B5896" t="s">
        <v>689</v>
      </c>
      <c r="C5896" t="s">
        <v>268</v>
      </c>
      <c r="D5896" s="226">
        <v>-320</v>
      </c>
      <c r="E5896" t="s">
        <v>690</v>
      </c>
    </row>
    <row r="5897" spans="1:5" hidden="1" x14ac:dyDescent="0.3">
      <c r="A5897" t="s">
        <v>552</v>
      </c>
      <c r="B5897" t="s">
        <v>689</v>
      </c>
      <c r="C5897" t="s">
        <v>269</v>
      </c>
      <c r="D5897" s="226">
        <v>-629.87</v>
      </c>
      <c r="E5897" t="s">
        <v>690</v>
      </c>
    </row>
    <row r="5898" spans="1:5" hidden="1" x14ac:dyDescent="0.3">
      <c r="A5898" t="s">
        <v>552</v>
      </c>
      <c r="B5898" t="s">
        <v>689</v>
      </c>
      <c r="C5898" t="s">
        <v>270</v>
      </c>
      <c r="D5898" s="226">
        <v>-4573.9399999999996</v>
      </c>
      <c r="E5898" t="s">
        <v>690</v>
      </c>
    </row>
    <row r="5899" spans="1:5" hidden="1" x14ac:dyDescent="0.3">
      <c r="A5899" t="s">
        <v>552</v>
      </c>
      <c r="B5899" t="s">
        <v>689</v>
      </c>
      <c r="C5899" t="s">
        <v>271</v>
      </c>
      <c r="D5899" s="226">
        <v>-4591.6099999999997</v>
      </c>
      <c r="E5899" t="s">
        <v>690</v>
      </c>
    </row>
    <row r="5900" spans="1:5" hidden="1" x14ac:dyDescent="0.3">
      <c r="A5900" t="s">
        <v>552</v>
      </c>
      <c r="B5900" t="s">
        <v>689</v>
      </c>
      <c r="C5900" t="s">
        <v>272</v>
      </c>
      <c r="D5900" s="226">
        <v>-281.60000000000002</v>
      </c>
      <c r="E5900" t="s">
        <v>690</v>
      </c>
    </row>
    <row r="5901" spans="1:5" hidden="1" x14ac:dyDescent="0.3">
      <c r="A5901" t="s">
        <v>552</v>
      </c>
      <c r="B5901" t="s">
        <v>689</v>
      </c>
      <c r="C5901" t="s">
        <v>273</v>
      </c>
      <c r="D5901" s="226">
        <v>0</v>
      </c>
      <c r="E5901" t="s">
        <v>690</v>
      </c>
    </row>
    <row r="5902" spans="1:5" hidden="1" x14ac:dyDescent="0.3">
      <c r="A5902" t="s">
        <v>552</v>
      </c>
      <c r="B5902" t="s">
        <v>689</v>
      </c>
      <c r="C5902" t="s">
        <v>274</v>
      </c>
      <c r="D5902" s="226">
        <v>-667.09</v>
      </c>
      <c r="E5902" t="s">
        <v>690</v>
      </c>
    </row>
    <row r="5903" spans="1:5" hidden="1" x14ac:dyDescent="0.3">
      <c r="A5903" t="s">
        <v>552</v>
      </c>
      <c r="B5903" t="s">
        <v>689</v>
      </c>
      <c r="C5903" t="s">
        <v>275</v>
      </c>
      <c r="D5903" s="226">
        <v>-1905.02</v>
      </c>
      <c r="E5903" t="s">
        <v>690</v>
      </c>
    </row>
    <row r="5904" spans="1:5" hidden="1" x14ac:dyDescent="0.3">
      <c r="A5904" t="s">
        <v>552</v>
      </c>
      <c r="B5904" t="s">
        <v>689</v>
      </c>
      <c r="C5904" t="s">
        <v>276</v>
      </c>
      <c r="D5904" s="226">
        <v>-1291</v>
      </c>
      <c r="E5904" t="s">
        <v>690</v>
      </c>
    </row>
    <row r="5905" spans="1:5" hidden="1" x14ac:dyDescent="0.3">
      <c r="A5905" t="s">
        <v>552</v>
      </c>
      <c r="B5905" t="s">
        <v>689</v>
      </c>
      <c r="C5905" t="s">
        <v>277</v>
      </c>
      <c r="D5905" s="226">
        <v>-5970.4</v>
      </c>
      <c r="E5905" t="s">
        <v>690</v>
      </c>
    </row>
    <row r="5906" spans="1:5" hidden="1" x14ac:dyDescent="0.3">
      <c r="A5906" t="s">
        <v>552</v>
      </c>
      <c r="B5906" t="s">
        <v>689</v>
      </c>
      <c r="C5906" t="s">
        <v>44</v>
      </c>
      <c r="D5906" s="226">
        <v>-0.06</v>
      </c>
      <c r="E5906" t="s">
        <v>690</v>
      </c>
    </row>
    <row r="5907" spans="1:5" hidden="1" x14ac:dyDescent="0.3">
      <c r="A5907" t="s">
        <v>552</v>
      </c>
      <c r="B5907" t="s">
        <v>689</v>
      </c>
      <c r="C5907" t="s">
        <v>278</v>
      </c>
      <c r="D5907" s="226">
        <v>-6742.34</v>
      </c>
      <c r="E5907" t="s">
        <v>690</v>
      </c>
    </row>
    <row r="5908" spans="1:5" hidden="1" x14ac:dyDescent="0.3">
      <c r="A5908" t="s">
        <v>552</v>
      </c>
      <c r="B5908" t="s">
        <v>689</v>
      </c>
      <c r="C5908" t="s">
        <v>279</v>
      </c>
      <c r="D5908" s="226">
        <v>0</v>
      </c>
      <c r="E5908" t="s">
        <v>690</v>
      </c>
    </row>
    <row r="5909" spans="1:5" hidden="1" x14ac:dyDescent="0.3">
      <c r="A5909" t="s">
        <v>552</v>
      </c>
      <c r="B5909" t="s">
        <v>689</v>
      </c>
      <c r="C5909" t="s">
        <v>280</v>
      </c>
      <c r="D5909" s="226">
        <v>-478.32</v>
      </c>
      <c r="E5909" t="s">
        <v>690</v>
      </c>
    </row>
    <row r="5910" spans="1:5" hidden="1" x14ac:dyDescent="0.3">
      <c r="A5910" t="s">
        <v>552</v>
      </c>
      <c r="B5910" t="s">
        <v>689</v>
      </c>
      <c r="C5910" t="s">
        <v>281</v>
      </c>
      <c r="D5910" s="226">
        <v>-21.9</v>
      </c>
      <c r="E5910" t="s">
        <v>690</v>
      </c>
    </row>
    <row r="5911" spans="1:5" hidden="1" x14ac:dyDescent="0.3">
      <c r="A5911" t="s">
        <v>552</v>
      </c>
      <c r="B5911" t="s">
        <v>689</v>
      </c>
      <c r="C5911" t="s">
        <v>282</v>
      </c>
      <c r="D5911" s="226">
        <v>-815</v>
      </c>
      <c r="E5911" t="s">
        <v>690</v>
      </c>
    </row>
    <row r="5912" spans="1:5" hidden="1" x14ac:dyDescent="0.3">
      <c r="A5912" t="s">
        <v>552</v>
      </c>
      <c r="B5912" t="s">
        <v>689</v>
      </c>
      <c r="C5912" t="s">
        <v>283</v>
      </c>
      <c r="D5912" s="226">
        <v>-4115.33</v>
      </c>
      <c r="E5912" t="s">
        <v>690</v>
      </c>
    </row>
    <row r="5913" spans="1:5" hidden="1" x14ac:dyDescent="0.3">
      <c r="A5913" t="s">
        <v>552</v>
      </c>
      <c r="B5913" t="s">
        <v>689</v>
      </c>
      <c r="C5913" t="s">
        <v>284</v>
      </c>
      <c r="D5913" s="226">
        <v>-429</v>
      </c>
      <c r="E5913" t="s">
        <v>690</v>
      </c>
    </row>
    <row r="5914" spans="1:5" hidden="1" x14ac:dyDescent="0.3">
      <c r="A5914" t="s">
        <v>552</v>
      </c>
      <c r="B5914" t="s">
        <v>689</v>
      </c>
      <c r="C5914" t="s">
        <v>285</v>
      </c>
      <c r="D5914" s="226">
        <v>-882.79</v>
      </c>
      <c r="E5914" t="s">
        <v>690</v>
      </c>
    </row>
    <row r="5915" spans="1:5" hidden="1" x14ac:dyDescent="0.3">
      <c r="A5915" t="s">
        <v>552</v>
      </c>
      <c r="B5915" t="s">
        <v>689</v>
      </c>
      <c r="C5915" t="s">
        <v>44</v>
      </c>
      <c r="D5915" s="226">
        <v>0</v>
      </c>
      <c r="E5915" t="s">
        <v>690</v>
      </c>
    </row>
    <row r="5916" spans="1:5" hidden="1" x14ac:dyDescent="0.3">
      <c r="A5916" t="s">
        <v>552</v>
      </c>
      <c r="B5916" t="s">
        <v>689</v>
      </c>
      <c r="C5916" t="s">
        <v>286</v>
      </c>
      <c r="D5916" s="226">
        <v>-13611.36</v>
      </c>
      <c r="E5916" t="s">
        <v>690</v>
      </c>
    </row>
    <row r="5917" spans="1:5" hidden="1" x14ac:dyDescent="0.3">
      <c r="A5917" t="s">
        <v>552</v>
      </c>
      <c r="B5917" t="s">
        <v>689</v>
      </c>
      <c r="C5917" t="s">
        <v>287</v>
      </c>
      <c r="D5917" s="226">
        <v>-5000</v>
      </c>
      <c r="E5917" t="s">
        <v>690</v>
      </c>
    </row>
    <row r="5918" spans="1:5" hidden="1" x14ac:dyDescent="0.3">
      <c r="A5918" t="s">
        <v>552</v>
      </c>
      <c r="B5918" t="s">
        <v>689</v>
      </c>
      <c r="C5918" t="s">
        <v>288</v>
      </c>
      <c r="D5918" s="226">
        <v>-5525</v>
      </c>
      <c r="E5918" t="s">
        <v>690</v>
      </c>
    </row>
    <row r="5919" spans="1:5" hidden="1" x14ac:dyDescent="0.3">
      <c r="A5919" t="s">
        <v>552</v>
      </c>
      <c r="B5919" t="s">
        <v>689</v>
      </c>
      <c r="C5919" t="s">
        <v>289</v>
      </c>
      <c r="D5919" s="226">
        <v>0</v>
      </c>
      <c r="E5919" t="s">
        <v>690</v>
      </c>
    </row>
    <row r="5920" spans="1:5" hidden="1" x14ac:dyDescent="0.3">
      <c r="A5920" t="s">
        <v>552</v>
      </c>
      <c r="B5920" t="s">
        <v>689</v>
      </c>
      <c r="C5920" t="s">
        <v>290</v>
      </c>
      <c r="D5920" s="226">
        <v>-2448.06</v>
      </c>
      <c r="E5920" t="s">
        <v>690</v>
      </c>
    </row>
    <row r="5921" spans="1:5" hidden="1" x14ac:dyDescent="0.3">
      <c r="A5921" t="s">
        <v>552</v>
      </c>
      <c r="B5921" t="s">
        <v>689</v>
      </c>
      <c r="C5921" t="s">
        <v>291</v>
      </c>
      <c r="D5921" s="226">
        <v>0</v>
      </c>
      <c r="E5921" t="s">
        <v>690</v>
      </c>
    </row>
    <row r="5922" spans="1:5" hidden="1" x14ac:dyDescent="0.3">
      <c r="A5922" t="s">
        <v>552</v>
      </c>
      <c r="B5922" t="s">
        <v>689</v>
      </c>
      <c r="C5922" t="s">
        <v>292</v>
      </c>
      <c r="D5922" s="226">
        <v>-553.95000000000005</v>
      </c>
      <c r="E5922" t="s">
        <v>690</v>
      </c>
    </row>
    <row r="5923" spans="1:5" hidden="1" x14ac:dyDescent="0.3">
      <c r="A5923" t="s">
        <v>552</v>
      </c>
      <c r="B5923" t="s">
        <v>689</v>
      </c>
      <c r="C5923" t="s">
        <v>293</v>
      </c>
      <c r="D5923" s="226">
        <v>-84.35</v>
      </c>
      <c r="E5923" t="s">
        <v>690</v>
      </c>
    </row>
    <row r="5924" spans="1:5" hidden="1" x14ac:dyDescent="0.3">
      <c r="A5924" t="s">
        <v>552</v>
      </c>
      <c r="B5924" t="s">
        <v>689</v>
      </c>
      <c r="C5924" t="s">
        <v>294</v>
      </c>
      <c r="D5924" s="226">
        <v>0</v>
      </c>
      <c r="E5924" t="s">
        <v>690</v>
      </c>
    </row>
    <row r="5925" spans="1:5" hidden="1" x14ac:dyDescent="0.3">
      <c r="A5925" t="s">
        <v>552</v>
      </c>
      <c r="B5925" t="s">
        <v>689</v>
      </c>
      <c r="C5925" t="s">
        <v>44</v>
      </c>
      <c r="D5925" s="226">
        <v>-0.01</v>
      </c>
      <c r="E5925" t="s">
        <v>690</v>
      </c>
    </row>
    <row r="5926" spans="1:5" hidden="1" x14ac:dyDescent="0.3">
      <c r="A5926" t="s">
        <v>552</v>
      </c>
      <c r="B5926" t="s">
        <v>689</v>
      </c>
      <c r="C5926" t="s">
        <v>295</v>
      </c>
      <c r="D5926" s="226">
        <v>-8468.11</v>
      </c>
      <c r="E5926" t="s">
        <v>690</v>
      </c>
    </row>
    <row r="5927" spans="1:5" hidden="1" x14ac:dyDescent="0.3">
      <c r="A5927" t="s">
        <v>552</v>
      </c>
      <c r="B5927" t="s">
        <v>689</v>
      </c>
      <c r="C5927" t="s">
        <v>296</v>
      </c>
      <c r="D5927" s="226">
        <v>-4500</v>
      </c>
      <c r="E5927" t="s">
        <v>690</v>
      </c>
    </row>
    <row r="5928" spans="1:5" hidden="1" x14ac:dyDescent="0.3">
      <c r="A5928" t="s">
        <v>552</v>
      </c>
      <c r="B5928" t="s">
        <v>689</v>
      </c>
      <c r="C5928" t="s">
        <v>297</v>
      </c>
      <c r="D5928" s="226">
        <v>-500</v>
      </c>
      <c r="E5928" t="s">
        <v>690</v>
      </c>
    </row>
    <row r="5929" spans="1:5" hidden="1" x14ac:dyDescent="0.3">
      <c r="A5929" t="s">
        <v>552</v>
      </c>
      <c r="B5929" t="s">
        <v>689</v>
      </c>
      <c r="C5929" t="s">
        <v>298</v>
      </c>
      <c r="D5929" s="226">
        <v>0</v>
      </c>
      <c r="E5929" t="s">
        <v>690</v>
      </c>
    </row>
    <row r="5930" spans="1:5" hidden="1" x14ac:dyDescent="0.3">
      <c r="A5930" t="s">
        <v>552</v>
      </c>
      <c r="B5930" t="s">
        <v>689</v>
      </c>
      <c r="C5930" t="s">
        <v>299</v>
      </c>
      <c r="D5930" s="226">
        <v>0</v>
      </c>
      <c r="E5930" t="s">
        <v>690</v>
      </c>
    </row>
    <row r="5931" spans="1:5" hidden="1" x14ac:dyDescent="0.3">
      <c r="A5931" t="s">
        <v>552</v>
      </c>
      <c r="B5931" t="s">
        <v>689</v>
      </c>
      <c r="C5931" t="s">
        <v>300</v>
      </c>
      <c r="D5931" s="226">
        <v>0</v>
      </c>
      <c r="E5931" t="s">
        <v>690</v>
      </c>
    </row>
    <row r="5932" spans="1:5" hidden="1" x14ac:dyDescent="0.3">
      <c r="A5932" t="s">
        <v>552</v>
      </c>
      <c r="B5932" t="s">
        <v>689</v>
      </c>
      <c r="C5932" t="s">
        <v>301</v>
      </c>
      <c r="D5932" s="226">
        <v>0</v>
      </c>
      <c r="E5932" t="s">
        <v>690</v>
      </c>
    </row>
    <row r="5933" spans="1:5" hidden="1" x14ac:dyDescent="0.3">
      <c r="A5933" t="s">
        <v>552</v>
      </c>
      <c r="B5933" t="s">
        <v>689</v>
      </c>
      <c r="C5933" t="s">
        <v>302</v>
      </c>
      <c r="D5933" s="226">
        <v>0</v>
      </c>
      <c r="E5933" t="s">
        <v>690</v>
      </c>
    </row>
    <row r="5934" spans="1:5" hidden="1" x14ac:dyDescent="0.3">
      <c r="A5934" t="s">
        <v>552</v>
      </c>
      <c r="B5934" t="s">
        <v>689</v>
      </c>
      <c r="C5934" t="s">
        <v>303</v>
      </c>
      <c r="D5934" s="226">
        <v>-660</v>
      </c>
      <c r="E5934" t="s">
        <v>690</v>
      </c>
    </row>
    <row r="5935" spans="1:5" hidden="1" x14ac:dyDescent="0.3">
      <c r="A5935" t="s">
        <v>552</v>
      </c>
      <c r="B5935" t="s">
        <v>689</v>
      </c>
      <c r="C5935" t="s">
        <v>304</v>
      </c>
      <c r="D5935" s="226">
        <v>-22.57</v>
      </c>
      <c r="E5935" t="s">
        <v>690</v>
      </c>
    </row>
    <row r="5936" spans="1:5" hidden="1" x14ac:dyDescent="0.3">
      <c r="A5936" t="s">
        <v>552</v>
      </c>
      <c r="B5936" t="s">
        <v>689</v>
      </c>
      <c r="C5936" t="s">
        <v>305</v>
      </c>
      <c r="D5936" s="226">
        <v>0</v>
      </c>
      <c r="E5936" t="s">
        <v>690</v>
      </c>
    </row>
    <row r="5937" spans="1:5" hidden="1" x14ac:dyDescent="0.3">
      <c r="A5937" t="s">
        <v>552</v>
      </c>
      <c r="B5937" t="s">
        <v>689</v>
      </c>
      <c r="C5937" t="s">
        <v>306</v>
      </c>
      <c r="D5937" s="226">
        <v>-2785.54</v>
      </c>
      <c r="E5937" t="s">
        <v>690</v>
      </c>
    </row>
    <row r="5938" spans="1:5" hidden="1" x14ac:dyDescent="0.3">
      <c r="A5938" t="s">
        <v>552</v>
      </c>
      <c r="B5938" t="s">
        <v>689</v>
      </c>
      <c r="C5938" t="s">
        <v>44</v>
      </c>
      <c r="D5938" s="226">
        <v>-0.01</v>
      </c>
      <c r="E5938" t="s">
        <v>690</v>
      </c>
    </row>
    <row r="5939" spans="1:5" hidden="1" x14ac:dyDescent="0.3">
      <c r="A5939" t="s">
        <v>552</v>
      </c>
      <c r="B5939" t="s">
        <v>689</v>
      </c>
      <c r="C5939" t="s">
        <v>307</v>
      </c>
      <c r="D5939" s="226">
        <v>-18542.150000000001</v>
      </c>
      <c r="E5939" t="s">
        <v>690</v>
      </c>
    </row>
    <row r="5940" spans="1:5" hidden="1" x14ac:dyDescent="0.3">
      <c r="A5940" t="s">
        <v>552</v>
      </c>
      <c r="B5940" t="s">
        <v>689</v>
      </c>
      <c r="C5940" t="s">
        <v>308</v>
      </c>
      <c r="D5940" s="226">
        <v>-3800</v>
      </c>
      <c r="E5940" t="s">
        <v>690</v>
      </c>
    </row>
    <row r="5941" spans="1:5" hidden="1" x14ac:dyDescent="0.3">
      <c r="A5941" t="s">
        <v>552</v>
      </c>
      <c r="B5941" t="s">
        <v>689</v>
      </c>
      <c r="C5941" t="s">
        <v>309</v>
      </c>
      <c r="D5941" s="226">
        <v>0</v>
      </c>
      <c r="E5941" t="s">
        <v>690</v>
      </c>
    </row>
    <row r="5942" spans="1:5" hidden="1" x14ac:dyDescent="0.3">
      <c r="A5942" t="s">
        <v>552</v>
      </c>
      <c r="B5942" t="s">
        <v>689</v>
      </c>
      <c r="C5942" t="s">
        <v>310</v>
      </c>
      <c r="D5942" s="226">
        <v>-1800</v>
      </c>
      <c r="E5942" t="s">
        <v>690</v>
      </c>
    </row>
    <row r="5943" spans="1:5" hidden="1" x14ac:dyDescent="0.3">
      <c r="A5943" t="s">
        <v>552</v>
      </c>
      <c r="B5943" t="s">
        <v>689</v>
      </c>
      <c r="C5943" t="s">
        <v>311</v>
      </c>
      <c r="D5943" s="226">
        <v>-185</v>
      </c>
      <c r="E5943" t="s">
        <v>690</v>
      </c>
    </row>
    <row r="5944" spans="1:5" hidden="1" x14ac:dyDescent="0.3">
      <c r="A5944" t="s">
        <v>552</v>
      </c>
      <c r="B5944" t="s">
        <v>689</v>
      </c>
      <c r="C5944" t="s">
        <v>312</v>
      </c>
      <c r="D5944" s="226">
        <v>0</v>
      </c>
      <c r="E5944" t="s">
        <v>690</v>
      </c>
    </row>
    <row r="5945" spans="1:5" hidden="1" x14ac:dyDescent="0.3">
      <c r="A5945" t="s">
        <v>552</v>
      </c>
      <c r="B5945" t="s">
        <v>689</v>
      </c>
      <c r="C5945" t="s">
        <v>313</v>
      </c>
      <c r="D5945" s="226">
        <v>-2497.15</v>
      </c>
      <c r="E5945" t="s">
        <v>690</v>
      </c>
    </row>
    <row r="5946" spans="1:5" hidden="1" x14ac:dyDescent="0.3">
      <c r="A5946" t="s">
        <v>552</v>
      </c>
      <c r="B5946" t="s">
        <v>689</v>
      </c>
      <c r="C5946" t="s">
        <v>314</v>
      </c>
      <c r="D5946" s="226">
        <v>0</v>
      </c>
      <c r="E5946" t="s">
        <v>690</v>
      </c>
    </row>
    <row r="5947" spans="1:5" hidden="1" x14ac:dyDescent="0.3">
      <c r="A5947" t="s">
        <v>552</v>
      </c>
      <c r="B5947" t="s">
        <v>689</v>
      </c>
      <c r="C5947" t="s">
        <v>315</v>
      </c>
      <c r="D5947" s="226">
        <v>-10260</v>
      </c>
      <c r="E5947" t="s">
        <v>690</v>
      </c>
    </row>
    <row r="5948" spans="1:5" hidden="1" x14ac:dyDescent="0.3">
      <c r="A5948" t="s">
        <v>552</v>
      </c>
      <c r="B5948" t="s">
        <v>689</v>
      </c>
      <c r="C5948" t="s">
        <v>316</v>
      </c>
      <c r="D5948" s="226">
        <v>0</v>
      </c>
      <c r="E5948" t="s">
        <v>690</v>
      </c>
    </row>
    <row r="5949" spans="1:5" hidden="1" x14ac:dyDescent="0.3">
      <c r="A5949" t="s">
        <v>552</v>
      </c>
      <c r="B5949" t="s">
        <v>689</v>
      </c>
      <c r="C5949" t="s">
        <v>44</v>
      </c>
      <c r="D5949" s="226">
        <v>-0.01</v>
      </c>
      <c r="E5949" t="s">
        <v>690</v>
      </c>
    </row>
    <row r="5950" spans="1:5" hidden="1" x14ac:dyDescent="0.3">
      <c r="A5950" t="s">
        <v>552</v>
      </c>
      <c r="B5950" t="s">
        <v>689</v>
      </c>
      <c r="C5950" t="s">
        <v>317</v>
      </c>
      <c r="D5950" s="226">
        <v>-6188.37</v>
      </c>
      <c r="E5950" t="s">
        <v>690</v>
      </c>
    </row>
    <row r="5951" spans="1:5" hidden="1" x14ac:dyDescent="0.3">
      <c r="A5951" t="s">
        <v>552</v>
      </c>
      <c r="B5951" t="s">
        <v>689</v>
      </c>
      <c r="C5951" t="s">
        <v>318</v>
      </c>
      <c r="D5951" s="226">
        <v>-5920</v>
      </c>
      <c r="E5951" t="s">
        <v>690</v>
      </c>
    </row>
    <row r="5952" spans="1:5" hidden="1" x14ac:dyDescent="0.3">
      <c r="A5952" t="s">
        <v>552</v>
      </c>
      <c r="B5952" t="s">
        <v>689</v>
      </c>
      <c r="C5952" t="s">
        <v>319</v>
      </c>
      <c r="D5952" s="226">
        <v>-268.37</v>
      </c>
      <c r="E5952" t="s">
        <v>690</v>
      </c>
    </row>
    <row r="5953" spans="1:5" hidden="1" x14ac:dyDescent="0.3">
      <c r="A5953" t="s">
        <v>552</v>
      </c>
      <c r="B5953" t="s">
        <v>689</v>
      </c>
      <c r="C5953" t="s">
        <v>320</v>
      </c>
      <c r="D5953" s="226">
        <v>0</v>
      </c>
      <c r="E5953" t="s">
        <v>690</v>
      </c>
    </row>
    <row r="5954" spans="1:5" hidden="1" x14ac:dyDescent="0.3">
      <c r="A5954" t="s">
        <v>552</v>
      </c>
      <c r="B5954" t="s">
        <v>689</v>
      </c>
      <c r="C5954" t="s">
        <v>321</v>
      </c>
      <c r="D5954" s="226">
        <v>0</v>
      </c>
      <c r="E5954" t="s">
        <v>690</v>
      </c>
    </row>
    <row r="5955" spans="1:5" hidden="1" x14ac:dyDescent="0.3">
      <c r="A5955" t="s">
        <v>552</v>
      </c>
      <c r="B5955" t="s">
        <v>689</v>
      </c>
      <c r="C5955" t="s">
        <v>44</v>
      </c>
      <c r="D5955" s="226">
        <v>0</v>
      </c>
      <c r="E5955" t="s">
        <v>690</v>
      </c>
    </row>
    <row r="5956" spans="1:5" hidden="1" x14ac:dyDescent="0.3">
      <c r="A5956" t="s">
        <v>552</v>
      </c>
      <c r="B5956" t="s">
        <v>689</v>
      </c>
      <c r="C5956" t="s">
        <v>322</v>
      </c>
      <c r="D5956" s="226">
        <v>-74778.63</v>
      </c>
      <c r="E5956" t="s">
        <v>690</v>
      </c>
    </row>
    <row r="5957" spans="1:5" hidden="1" x14ac:dyDescent="0.3">
      <c r="A5957" t="s">
        <v>552</v>
      </c>
      <c r="B5957" t="s">
        <v>689</v>
      </c>
      <c r="C5957" t="s">
        <v>323</v>
      </c>
      <c r="D5957" s="226">
        <v>0</v>
      </c>
      <c r="E5957" t="s">
        <v>690</v>
      </c>
    </row>
    <row r="5958" spans="1:5" hidden="1" x14ac:dyDescent="0.3">
      <c r="A5958" t="s">
        <v>552</v>
      </c>
      <c r="B5958" t="s">
        <v>689</v>
      </c>
      <c r="C5958" t="s">
        <v>324</v>
      </c>
      <c r="D5958" s="226">
        <v>0</v>
      </c>
      <c r="E5958" t="s">
        <v>690</v>
      </c>
    </row>
    <row r="5959" spans="1:5" hidden="1" x14ac:dyDescent="0.3">
      <c r="A5959" t="s">
        <v>552</v>
      </c>
      <c r="B5959" t="s">
        <v>689</v>
      </c>
      <c r="C5959" t="s">
        <v>325</v>
      </c>
      <c r="D5959" s="226">
        <v>-74778.63</v>
      </c>
      <c r="E5959" t="s">
        <v>690</v>
      </c>
    </row>
    <row r="5960" spans="1:5" hidden="1" x14ac:dyDescent="0.3">
      <c r="A5960" t="s">
        <v>552</v>
      </c>
      <c r="B5960" t="s">
        <v>689</v>
      </c>
      <c r="C5960" t="s">
        <v>44</v>
      </c>
      <c r="D5960" s="226">
        <v>-0.05</v>
      </c>
      <c r="E5960" t="s">
        <v>690</v>
      </c>
    </row>
    <row r="5961" spans="1:5" hidden="1" x14ac:dyDescent="0.3">
      <c r="A5961" t="s">
        <v>552</v>
      </c>
      <c r="B5961" t="s">
        <v>689</v>
      </c>
      <c r="C5961" t="s">
        <v>327</v>
      </c>
      <c r="D5961" s="226">
        <v>-556812.41</v>
      </c>
      <c r="E5961" t="s">
        <v>690</v>
      </c>
    </row>
    <row r="5962" spans="1:5" hidden="1" x14ac:dyDescent="0.3">
      <c r="A5962" t="s">
        <v>552</v>
      </c>
      <c r="B5962" t="s">
        <v>689</v>
      </c>
      <c r="C5962" t="s">
        <v>44</v>
      </c>
      <c r="D5962" s="226">
        <v>-0.37</v>
      </c>
      <c r="E5962" t="s">
        <v>690</v>
      </c>
    </row>
    <row r="5963" spans="1:5" hidden="1" x14ac:dyDescent="0.3">
      <c r="A5963" t="s">
        <v>552</v>
      </c>
      <c r="B5963" t="s">
        <v>689</v>
      </c>
      <c r="C5963" t="s">
        <v>328</v>
      </c>
      <c r="D5963" s="226">
        <v>264397.65999999997</v>
      </c>
      <c r="E5963" t="s">
        <v>690</v>
      </c>
    </row>
    <row r="5964" spans="1:5" hidden="1" x14ac:dyDescent="0.3">
      <c r="A5964" t="s">
        <v>552</v>
      </c>
      <c r="B5964" t="s">
        <v>689</v>
      </c>
      <c r="C5964" t="s">
        <v>44</v>
      </c>
      <c r="D5964" s="226">
        <v>0.18</v>
      </c>
      <c r="E5964" t="s">
        <v>690</v>
      </c>
    </row>
    <row r="5965" spans="1:5" hidden="1" x14ac:dyDescent="0.3">
      <c r="A5965" t="s">
        <v>552</v>
      </c>
      <c r="B5965" t="s">
        <v>689</v>
      </c>
      <c r="C5965" t="s">
        <v>329</v>
      </c>
      <c r="D5965" s="226">
        <v>0</v>
      </c>
      <c r="E5965" t="s">
        <v>690</v>
      </c>
    </row>
    <row r="5966" spans="1:5" hidden="1" x14ac:dyDescent="0.3">
      <c r="A5966" t="s">
        <v>552</v>
      </c>
      <c r="B5966" t="s">
        <v>689</v>
      </c>
      <c r="C5966" t="s">
        <v>331</v>
      </c>
      <c r="D5966" s="226">
        <v>264397.65999999997</v>
      </c>
      <c r="E5966" t="s">
        <v>690</v>
      </c>
    </row>
    <row r="5967" spans="1:5" hidden="1" x14ac:dyDescent="0.3">
      <c r="A5967" t="s">
        <v>552</v>
      </c>
      <c r="B5967" t="s">
        <v>689</v>
      </c>
      <c r="C5967" t="s">
        <v>332</v>
      </c>
      <c r="D5967" s="226">
        <v>-937.07</v>
      </c>
      <c r="E5967" t="s">
        <v>690</v>
      </c>
    </row>
    <row r="5968" spans="1:5" hidden="1" x14ac:dyDescent="0.3">
      <c r="A5968" t="s">
        <v>552</v>
      </c>
      <c r="B5968" t="s">
        <v>689</v>
      </c>
      <c r="C5968" t="s">
        <v>333</v>
      </c>
      <c r="D5968" s="226">
        <v>0</v>
      </c>
      <c r="E5968" t="s">
        <v>690</v>
      </c>
    </row>
    <row r="5969" spans="1:5" hidden="1" x14ac:dyDescent="0.3">
      <c r="A5969" t="s">
        <v>552</v>
      </c>
      <c r="B5969" t="s">
        <v>689</v>
      </c>
      <c r="C5969" t="s">
        <v>335</v>
      </c>
      <c r="D5969" s="226">
        <v>-8362.9699999999993</v>
      </c>
      <c r="E5969" t="s">
        <v>690</v>
      </c>
    </row>
    <row r="5970" spans="1:5" hidden="1" x14ac:dyDescent="0.3">
      <c r="A5970" t="s">
        <v>552</v>
      </c>
      <c r="B5970" t="s">
        <v>689</v>
      </c>
      <c r="C5970" t="s">
        <v>337</v>
      </c>
      <c r="D5970" s="226">
        <v>255097.62</v>
      </c>
      <c r="E5970" t="s">
        <v>690</v>
      </c>
    </row>
    <row r="5971" spans="1:5" hidden="1" x14ac:dyDescent="0.3">
      <c r="A5971" t="s">
        <v>552</v>
      </c>
      <c r="B5971" t="s">
        <v>689</v>
      </c>
      <c r="C5971" t="s">
        <v>338</v>
      </c>
      <c r="D5971" s="226">
        <v>-57206.49</v>
      </c>
      <c r="E5971" t="s">
        <v>690</v>
      </c>
    </row>
    <row r="5972" spans="1:5" hidden="1" x14ac:dyDescent="0.3">
      <c r="A5972" t="s">
        <v>552</v>
      </c>
      <c r="B5972" t="s">
        <v>689</v>
      </c>
      <c r="C5972" t="s">
        <v>341</v>
      </c>
      <c r="D5972" s="226">
        <v>0</v>
      </c>
      <c r="E5972" t="s">
        <v>690</v>
      </c>
    </row>
    <row r="5973" spans="1:5" hidden="1" x14ac:dyDescent="0.3">
      <c r="A5973" t="s">
        <v>552</v>
      </c>
      <c r="B5973" t="s">
        <v>689</v>
      </c>
      <c r="C5973" t="s">
        <v>343</v>
      </c>
      <c r="D5973" s="226">
        <v>-16195.58</v>
      </c>
      <c r="E5973" t="s">
        <v>690</v>
      </c>
    </row>
    <row r="5974" spans="1:5" hidden="1" x14ac:dyDescent="0.3">
      <c r="A5974" t="s">
        <v>552</v>
      </c>
      <c r="B5974" t="s">
        <v>689</v>
      </c>
      <c r="C5974" t="s">
        <v>344</v>
      </c>
      <c r="D5974" s="226">
        <v>-26564.62</v>
      </c>
      <c r="E5974" t="s">
        <v>690</v>
      </c>
    </row>
    <row r="5975" spans="1:5" hidden="1" x14ac:dyDescent="0.3">
      <c r="A5975" t="s">
        <v>552</v>
      </c>
      <c r="B5975" t="s">
        <v>689</v>
      </c>
      <c r="C5975" t="s">
        <v>345</v>
      </c>
      <c r="D5975" s="226">
        <v>-14446.29</v>
      </c>
      <c r="E5975" t="s">
        <v>690</v>
      </c>
    </row>
    <row r="5976" spans="1:5" hidden="1" x14ac:dyDescent="0.3">
      <c r="A5976" t="s">
        <v>552</v>
      </c>
      <c r="B5976" t="s">
        <v>689</v>
      </c>
      <c r="C5976" t="s">
        <v>346</v>
      </c>
      <c r="D5976" s="226">
        <v>197891.14</v>
      </c>
      <c r="E5976" t="s">
        <v>690</v>
      </c>
    </row>
    <row r="5977" spans="1:5" hidden="1" x14ac:dyDescent="0.3">
      <c r="A5977" t="s">
        <v>552</v>
      </c>
      <c r="B5977" t="s">
        <v>689</v>
      </c>
      <c r="C5977" t="s">
        <v>44</v>
      </c>
      <c r="D5977" s="226">
        <v>0.13</v>
      </c>
      <c r="E5977" t="s">
        <v>690</v>
      </c>
    </row>
    <row r="5978" spans="1:5" hidden="1" x14ac:dyDescent="0.3">
      <c r="A5978" t="s">
        <v>552</v>
      </c>
      <c r="B5978" t="s">
        <v>689</v>
      </c>
      <c r="C5978" t="s">
        <v>347</v>
      </c>
      <c r="D5978" s="226">
        <v>-22710.35</v>
      </c>
      <c r="E5978" t="s">
        <v>690</v>
      </c>
    </row>
    <row r="5979" spans="1:5" hidden="1" x14ac:dyDescent="0.3">
      <c r="A5979" t="s">
        <v>552</v>
      </c>
      <c r="B5979" t="s">
        <v>689</v>
      </c>
      <c r="C5979" t="s">
        <v>654</v>
      </c>
      <c r="D5979" s="226">
        <v>-9780</v>
      </c>
      <c r="E5979" t="s">
        <v>690</v>
      </c>
    </row>
    <row r="5980" spans="1:5" hidden="1" x14ac:dyDescent="0.3">
      <c r="A5980" t="s">
        <v>552</v>
      </c>
      <c r="B5980" t="s">
        <v>689</v>
      </c>
      <c r="C5980" t="s">
        <v>349</v>
      </c>
      <c r="D5980" s="226">
        <v>-9531.59</v>
      </c>
      <c r="E5980" t="s">
        <v>690</v>
      </c>
    </row>
    <row r="5981" spans="1:5" hidden="1" x14ac:dyDescent="0.3">
      <c r="A5981" t="s">
        <v>552</v>
      </c>
      <c r="B5981" t="s">
        <v>689</v>
      </c>
      <c r="C5981" t="s">
        <v>350</v>
      </c>
      <c r="D5981" s="226">
        <v>0</v>
      </c>
      <c r="E5981" t="s">
        <v>690</v>
      </c>
    </row>
    <row r="5982" spans="1:5" hidden="1" x14ac:dyDescent="0.3">
      <c r="A5982" t="s">
        <v>552</v>
      </c>
      <c r="B5982" t="s">
        <v>689</v>
      </c>
      <c r="C5982" t="s">
        <v>351</v>
      </c>
      <c r="D5982" s="226">
        <v>-3398.76</v>
      </c>
      <c r="E5982" t="s">
        <v>690</v>
      </c>
    </row>
    <row r="5983" spans="1:5" hidden="1" x14ac:dyDescent="0.3">
      <c r="A5983" t="s">
        <v>552</v>
      </c>
      <c r="B5983" t="s">
        <v>689</v>
      </c>
      <c r="C5983" t="s">
        <v>352</v>
      </c>
      <c r="D5983" s="226">
        <v>0</v>
      </c>
      <c r="E5983" t="s">
        <v>690</v>
      </c>
    </row>
    <row r="5984" spans="1:5" hidden="1" x14ac:dyDescent="0.3">
      <c r="A5984" t="s">
        <v>552</v>
      </c>
      <c r="B5984" t="s">
        <v>689</v>
      </c>
      <c r="C5984" t="s">
        <v>353</v>
      </c>
      <c r="D5984" s="226">
        <v>0</v>
      </c>
      <c r="E5984" t="s">
        <v>690</v>
      </c>
    </row>
    <row r="5985" spans="1:5" hidden="1" x14ac:dyDescent="0.3">
      <c r="A5985" t="s">
        <v>552</v>
      </c>
      <c r="B5985" t="s">
        <v>689</v>
      </c>
      <c r="C5985" t="s">
        <v>354</v>
      </c>
      <c r="D5985" s="226">
        <v>0</v>
      </c>
      <c r="E5985" t="s">
        <v>690</v>
      </c>
    </row>
    <row r="5986" spans="1:5" hidden="1" x14ac:dyDescent="0.3">
      <c r="A5986" t="s">
        <v>552</v>
      </c>
      <c r="B5986" t="s">
        <v>689</v>
      </c>
      <c r="C5986" t="s">
        <v>355</v>
      </c>
      <c r="D5986" s="226">
        <v>0</v>
      </c>
      <c r="E5986" t="s">
        <v>690</v>
      </c>
    </row>
    <row r="5987" spans="1:5" hidden="1" x14ac:dyDescent="0.3">
      <c r="A5987" t="s">
        <v>552</v>
      </c>
      <c r="B5987" t="s">
        <v>689</v>
      </c>
      <c r="C5987" t="s">
        <v>356</v>
      </c>
      <c r="D5987" s="226">
        <v>0</v>
      </c>
      <c r="E5987" t="s">
        <v>690</v>
      </c>
    </row>
    <row r="5988" spans="1:5" hidden="1" x14ac:dyDescent="0.3">
      <c r="A5988" t="s">
        <v>552</v>
      </c>
      <c r="B5988" t="s">
        <v>689</v>
      </c>
      <c r="C5988" t="s">
        <v>357</v>
      </c>
      <c r="D5988" s="226">
        <v>0</v>
      </c>
      <c r="E5988" t="s">
        <v>690</v>
      </c>
    </row>
    <row r="5989" spans="1:5" hidden="1" x14ac:dyDescent="0.3">
      <c r="A5989" t="s">
        <v>552</v>
      </c>
      <c r="B5989" t="s">
        <v>689</v>
      </c>
      <c r="C5989" t="s">
        <v>358</v>
      </c>
      <c r="D5989" s="226">
        <v>0</v>
      </c>
      <c r="E5989" t="s">
        <v>690</v>
      </c>
    </row>
    <row r="5990" spans="1:5" hidden="1" x14ac:dyDescent="0.3">
      <c r="A5990" t="s">
        <v>552</v>
      </c>
      <c r="B5990" t="s">
        <v>689</v>
      </c>
      <c r="C5990" t="s">
        <v>359</v>
      </c>
      <c r="D5990" s="226">
        <v>0</v>
      </c>
      <c r="E5990" t="s">
        <v>690</v>
      </c>
    </row>
    <row r="5991" spans="1:5" hidden="1" x14ac:dyDescent="0.3">
      <c r="A5991" t="s">
        <v>552</v>
      </c>
      <c r="B5991" t="s">
        <v>689</v>
      </c>
      <c r="C5991" t="s">
        <v>360</v>
      </c>
      <c r="D5991" s="226">
        <v>0</v>
      </c>
      <c r="E5991" t="s">
        <v>690</v>
      </c>
    </row>
    <row r="5992" spans="1:5" hidden="1" x14ac:dyDescent="0.3">
      <c r="A5992" t="s">
        <v>552</v>
      </c>
      <c r="B5992" t="s">
        <v>689</v>
      </c>
      <c r="C5992" t="s">
        <v>361</v>
      </c>
      <c r="D5992" s="226">
        <v>0</v>
      </c>
      <c r="E5992" t="s">
        <v>690</v>
      </c>
    </row>
    <row r="5993" spans="1:5" hidden="1" x14ac:dyDescent="0.3">
      <c r="A5993" t="s">
        <v>552</v>
      </c>
      <c r="B5993" t="s">
        <v>689</v>
      </c>
      <c r="C5993" t="s">
        <v>362</v>
      </c>
      <c r="D5993" s="226">
        <v>0</v>
      </c>
      <c r="E5993" t="s">
        <v>690</v>
      </c>
    </row>
    <row r="5994" spans="1:5" hidden="1" x14ac:dyDescent="0.3">
      <c r="A5994" t="s">
        <v>552</v>
      </c>
      <c r="B5994" t="s">
        <v>689</v>
      </c>
      <c r="C5994" t="s">
        <v>363</v>
      </c>
      <c r="D5994" s="226">
        <v>0</v>
      </c>
      <c r="E5994" t="s">
        <v>690</v>
      </c>
    </row>
    <row r="5995" spans="1:5" hidden="1" x14ac:dyDescent="0.3">
      <c r="A5995" t="s">
        <v>552</v>
      </c>
      <c r="B5995" t="s">
        <v>689</v>
      </c>
      <c r="C5995" t="s">
        <v>364</v>
      </c>
      <c r="D5995" s="226">
        <v>-1446.94</v>
      </c>
      <c r="E5995" t="s">
        <v>690</v>
      </c>
    </row>
    <row r="5996" spans="1:5" hidden="1" x14ac:dyDescent="0.3">
      <c r="A5996" t="s">
        <v>552</v>
      </c>
      <c r="B5996" t="s">
        <v>689</v>
      </c>
      <c r="C5996" t="s">
        <v>365</v>
      </c>
      <c r="D5996" s="226">
        <v>0</v>
      </c>
      <c r="E5996" t="s">
        <v>690</v>
      </c>
    </row>
    <row r="5997" spans="1:5" hidden="1" x14ac:dyDescent="0.3">
      <c r="A5997" t="s">
        <v>552</v>
      </c>
      <c r="B5997" t="s">
        <v>689</v>
      </c>
      <c r="C5997" t="s">
        <v>366</v>
      </c>
      <c r="D5997" s="226">
        <v>0</v>
      </c>
      <c r="E5997" t="s">
        <v>690</v>
      </c>
    </row>
    <row r="5998" spans="1:5" hidden="1" x14ac:dyDescent="0.3">
      <c r="A5998" t="s">
        <v>552</v>
      </c>
      <c r="B5998" t="s">
        <v>689</v>
      </c>
      <c r="C5998" t="s">
        <v>367</v>
      </c>
      <c r="D5998" s="226">
        <v>-11746.94</v>
      </c>
      <c r="E5998" t="s">
        <v>690</v>
      </c>
    </row>
    <row r="5999" spans="1:5" hidden="1" x14ac:dyDescent="0.3">
      <c r="A5999" t="s">
        <v>552</v>
      </c>
      <c r="B5999" t="s">
        <v>689</v>
      </c>
      <c r="C5999" t="s">
        <v>368</v>
      </c>
      <c r="D5999" s="226">
        <v>10300</v>
      </c>
      <c r="E5999" t="s">
        <v>690</v>
      </c>
    </row>
    <row r="6000" spans="1:5" hidden="1" x14ac:dyDescent="0.3">
      <c r="A6000" t="s">
        <v>552</v>
      </c>
      <c r="B6000" t="s">
        <v>689</v>
      </c>
      <c r="C6000" t="s">
        <v>369</v>
      </c>
      <c r="D6000" s="226">
        <v>0</v>
      </c>
      <c r="E6000" t="s">
        <v>690</v>
      </c>
    </row>
    <row r="6001" spans="1:5" hidden="1" x14ac:dyDescent="0.3">
      <c r="A6001" t="s">
        <v>552</v>
      </c>
      <c r="B6001" t="s">
        <v>689</v>
      </c>
      <c r="C6001" t="s">
        <v>370</v>
      </c>
      <c r="D6001" s="226">
        <v>0</v>
      </c>
      <c r="E6001" t="s">
        <v>690</v>
      </c>
    </row>
    <row r="6002" spans="1:5" hidden="1" x14ac:dyDescent="0.3">
      <c r="A6002" t="s">
        <v>552</v>
      </c>
      <c r="B6002" t="s">
        <v>689</v>
      </c>
      <c r="C6002" t="s">
        <v>371</v>
      </c>
      <c r="D6002" s="226">
        <v>0</v>
      </c>
      <c r="E6002" t="s">
        <v>690</v>
      </c>
    </row>
    <row r="6003" spans="1:5" hidden="1" x14ac:dyDescent="0.3">
      <c r="A6003" t="s">
        <v>552</v>
      </c>
      <c r="B6003" t="s">
        <v>689</v>
      </c>
      <c r="C6003" t="s">
        <v>372</v>
      </c>
      <c r="D6003" s="226">
        <v>-24157.29</v>
      </c>
      <c r="E6003" t="s">
        <v>690</v>
      </c>
    </row>
    <row r="6004" spans="1:5" hidden="1" x14ac:dyDescent="0.3">
      <c r="A6004" t="s">
        <v>552</v>
      </c>
      <c r="B6004" t="s">
        <v>689</v>
      </c>
      <c r="C6004" t="s">
        <v>373</v>
      </c>
      <c r="D6004" s="226">
        <v>173733.85</v>
      </c>
      <c r="E6004" t="s">
        <v>690</v>
      </c>
    </row>
    <row r="6005" spans="1:5" hidden="1" x14ac:dyDescent="0.3">
      <c r="A6005" t="s">
        <v>552</v>
      </c>
      <c r="B6005" t="s">
        <v>689</v>
      </c>
      <c r="C6005" t="s">
        <v>655</v>
      </c>
      <c r="D6005" s="226">
        <v>173733.85</v>
      </c>
      <c r="E6005" t="s">
        <v>690</v>
      </c>
    </row>
    <row r="6006" spans="1:5" hidden="1" x14ac:dyDescent="0.3">
      <c r="A6006" t="s">
        <v>552</v>
      </c>
      <c r="B6006" t="s">
        <v>691</v>
      </c>
      <c r="C6006" t="s">
        <v>11</v>
      </c>
      <c r="D6006" s="226">
        <v>1426377.74</v>
      </c>
      <c r="E6006" t="s">
        <v>692</v>
      </c>
    </row>
    <row r="6007" spans="1:5" hidden="1" x14ac:dyDescent="0.3">
      <c r="A6007" t="s">
        <v>552</v>
      </c>
      <c r="B6007" t="s">
        <v>691</v>
      </c>
      <c r="C6007" t="s">
        <v>13</v>
      </c>
      <c r="D6007" s="226">
        <v>724397.65</v>
      </c>
      <c r="E6007" t="s">
        <v>692</v>
      </c>
    </row>
    <row r="6008" spans="1:5" hidden="1" x14ac:dyDescent="0.3">
      <c r="A6008" t="s">
        <v>552</v>
      </c>
      <c r="B6008" t="s">
        <v>691</v>
      </c>
      <c r="C6008" t="s">
        <v>16</v>
      </c>
      <c r="D6008" s="226">
        <v>519255.55</v>
      </c>
      <c r="E6008" t="s">
        <v>692</v>
      </c>
    </row>
    <row r="6009" spans="1:5" hidden="1" x14ac:dyDescent="0.3">
      <c r="A6009" t="s">
        <v>552</v>
      </c>
      <c r="B6009" t="s">
        <v>691</v>
      </c>
      <c r="C6009" t="s">
        <v>17</v>
      </c>
      <c r="D6009" s="226">
        <v>0</v>
      </c>
      <c r="E6009" t="s">
        <v>692</v>
      </c>
    </row>
    <row r="6010" spans="1:5" hidden="1" x14ac:dyDescent="0.3">
      <c r="A6010" t="s">
        <v>552</v>
      </c>
      <c r="B6010" t="s">
        <v>691</v>
      </c>
      <c r="C6010" t="s">
        <v>18</v>
      </c>
      <c r="D6010" s="226">
        <v>0</v>
      </c>
      <c r="E6010" t="s">
        <v>692</v>
      </c>
    </row>
    <row r="6011" spans="1:5" hidden="1" x14ac:dyDescent="0.3">
      <c r="A6011" t="s">
        <v>552</v>
      </c>
      <c r="B6011" t="s">
        <v>691</v>
      </c>
      <c r="C6011" t="s">
        <v>20</v>
      </c>
      <c r="D6011" s="226">
        <v>157709.18</v>
      </c>
      <c r="E6011" t="s">
        <v>692</v>
      </c>
    </row>
    <row r="6012" spans="1:5" hidden="1" x14ac:dyDescent="0.3">
      <c r="A6012" t="s">
        <v>552</v>
      </c>
      <c r="B6012" t="s">
        <v>691</v>
      </c>
      <c r="C6012" t="s">
        <v>23</v>
      </c>
      <c r="D6012" s="226">
        <v>5330</v>
      </c>
      <c r="E6012" t="s">
        <v>692</v>
      </c>
    </row>
    <row r="6013" spans="1:5" hidden="1" x14ac:dyDescent="0.3">
      <c r="A6013" t="s">
        <v>552</v>
      </c>
      <c r="B6013" t="s">
        <v>691</v>
      </c>
      <c r="C6013" t="s">
        <v>25</v>
      </c>
      <c r="D6013" s="226">
        <v>0</v>
      </c>
      <c r="E6013" t="s">
        <v>692</v>
      </c>
    </row>
    <row r="6014" spans="1:5" hidden="1" x14ac:dyDescent="0.3">
      <c r="A6014" t="s">
        <v>552</v>
      </c>
      <c r="B6014" t="s">
        <v>691</v>
      </c>
      <c r="C6014" t="s">
        <v>26</v>
      </c>
      <c r="D6014" s="226">
        <v>0</v>
      </c>
      <c r="E6014" t="s">
        <v>692</v>
      </c>
    </row>
    <row r="6015" spans="1:5" hidden="1" x14ac:dyDescent="0.3">
      <c r="A6015" t="s">
        <v>552</v>
      </c>
      <c r="B6015" t="s">
        <v>691</v>
      </c>
      <c r="C6015" t="s">
        <v>27</v>
      </c>
      <c r="D6015" s="226">
        <v>0</v>
      </c>
      <c r="E6015" t="s">
        <v>692</v>
      </c>
    </row>
    <row r="6016" spans="1:5" hidden="1" x14ac:dyDescent="0.3">
      <c r="A6016" t="s">
        <v>552</v>
      </c>
      <c r="B6016" t="s">
        <v>691</v>
      </c>
      <c r="C6016" t="s">
        <v>29</v>
      </c>
      <c r="D6016" s="226">
        <v>18740.36</v>
      </c>
      <c r="E6016" t="s">
        <v>692</v>
      </c>
    </row>
    <row r="6017" spans="1:5" hidden="1" x14ac:dyDescent="0.3">
      <c r="A6017" t="s">
        <v>552</v>
      </c>
      <c r="B6017" t="s">
        <v>691</v>
      </c>
      <c r="C6017" t="s">
        <v>31</v>
      </c>
      <c r="D6017" s="226">
        <v>945</v>
      </c>
      <c r="E6017" t="s">
        <v>692</v>
      </c>
    </row>
    <row r="6018" spans="1:5" hidden="1" x14ac:dyDescent="0.3">
      <c r="A6018" t="s">
        <v>552</v>
      </c>
      <c r="B6018" t="s">
        <v>691</v>
      </c>
      <c r="C6018" t="s">
        <v>34</v>
      </c>
      <c r="D6018" s="226">
        <v>-19171.55</v>
      </c>
      <c r="E6018" t="s">
        <v>692</v>
      </c>
    </row>
    <row r="6019" spans="1:5" hidden="1" x14ac:dyDescent="0.3">
      <c r="A6019" t="s">
        <v>552</v>
      </c>
      <c r="B6019" t="s">
        <v>691</v>
      </c>
      <c r="C6019" t="s">
        <v>38</v>
      </c>
      <c r="D6019" s="226">
        <v>-3446.82</v>
      </c>
      <c r="E6019" t="s">
        <v>692</v>
      </c>
    </row>
    <row r="6020" spans="1:5" hidden="1" x14ac:dyDescent="0.3">
      <c r="A6020" t="s">
        <v>552</v>
      </c>
      <c r="B6020" t="s">
        <v>691</v>
      </c>
      <c r="C6020" t="s">
        <v>40</v>
      </c>
      <c r="D6020" s="226">
        <v>-15584.36</v>
      </c>
      <c r="E6020" t="s">
        <v>692</v>
      </c>
    </row>
    <row r="6021" spans="1:5" hidden="1" x14ac:dyDescent="0.3">
      <c r="A6021" t="s">
        <v>552</v>
      </c>
      <c r="B6021" t="s">
        <v>691</v>
      </c>
      <c r="C6021" t="s">
        <v>42</v>
      </c>
      <c r="D6021" s="226">
        <v>-140.38</v>
      </c>
      <c r="E6021" t="s">
        <v>692</v>
      </c>
    </row>
    <row r="6022" spans="1:5" hidden="1" x14ac:dyDescent="0.3">
      <c r="A6022" t="s">
        <v>552</v>
      </c>
      <c r="B6022" t="s">
        <v>691</v>
      </c>
      <c r="C6022" t="s">
        <v>44</v>
      </c>
      <c r="D6022" s="226">
        <v>-0.01</v>
      </c>
      <c r="E6022" t="s">
        <v>692</v>
      </c>
    </row>
    <row r="6023" spans="1:5" hidden="1" x14ac:dyDescent="0.3">
      <c r="A6023" t="s">
        <v>552</v>
      </c>
      <c r="B6023" t="s">
        <v>691</v>
      </c>
      <c r="C6023" t="s">
        <v>45</v>
      </c>
      <c r="D6023" s="226">
        <v>-95355.86</v>
      </c>
      <c r="E6023" t="s">
        <v>692</v>
      </c>
    </row>
    <row r="6024" spans="1:5" hidden="1" x14ac:dyDescent="0.3">
      <c r="A6024" t="s">
        <v>552</v>
      </c>
      <c r="B6024" t="s">
        <v>691</v>
      </c>
      <c r="C6024" t="s">
        <v>46</v>
      </c>
      <c r="D6024" s="226">
        <v>-51168.480000000003</v>
      </c>
      <c r="E6024" t="s">
        <v>692</v>
      </c>
    </row>
    <row r="6025" spans="1:5" hidden="1" x14ac:dyDescent="0.3">
      <c r="A6025" t="s">
        <v>552</v>
      </c>
      <c r="B6025" t="s">
        <v>691</v>
      </c>
      <c r="C6025" t="s">
        <v>48</v>
      </c>
      <c r="D6025" s="226">
        <v>-44187.38</v>
      </c>
      <c r="E6025" t="s">
        <v>692</v>
      </c>
    </row>
    <row r="6026" spans="1:5" hidden="1" x14ac:dyDescent="0.3">
      <c r="A6026" t="s">
        <v>552</v>
      </c>
      <c r="B6026" t="s">
        <v>691</v>
      </c>
      <c r="C6026" t="s">
        <v>49</v>
      </c>
      <c r="D6026" s="226">
        <v>0</v>
      </c>
      <c r="E6026" t="s">
        <v>692</v>
      </c>
    </row>
    <row r="6027" spans="1:5" hidden="1" x14ac:dyDescent="0.3">
      <c r="A6027" t="s">
        <v>552</v>
      </c>
      <c r="B6027" t="s">
        <v>691</v>
      </c>
      <c r="C6027" t="s">
        <v>50</v>
      </c>
      <c r="D6027" s="226">
        <v>1311850.33</v>
      </c>
      <c r="E6027" t="s">
        <v>692</v>
      </c>
    </row>
    <row r="6028" spans="1:5" hidden="1" x14ac:dyDescent="0.3">
      <c r="A6028" t="s">
        <v>552</v>
      </c>
      <c r="B6028" t="s">
        <v>691</v>
      </c>
      <c r="C6028" t="s">
        <v>51</v>
      </c>
      <c r="D6028" s="226">
        <v>-371621.4</v>
      </c>
      <c r="E6028" t="s">
        <v>692</v>
      </c>
    </row>
    <row r="6029" spans="1:5" hidden="1" x14ac:dyDescent="0.3">
      <c r="A6029" t="s">
        <v>552</v>
      </c>
      <c r="B6029" t="s">
        <v>691</v>
      </c>
      <c r="C6029" t="s">
        <v>52</v>
      </c>
      <c r="D6029" s="226">
        <v>-254731.95</v>
      </c>
      <c r="E6029" t="s">
        <v>692</v>
      </c>
    </row>
    <row r="6030" spans="1:5" hidden="1" x14ac:dyDescent="0.3">
      <c r="A6030" t="s">
        <v>552</v>
      </c>
      <c r="B6030" t="s">
        <v>691</v>
      </c>
      <c r="C6030" t="s">
        <v>53</v>
      </c>
      <c r="D6030" s="226">
        <v>-116219.07</v>
      </c>
      <c r="E6030" t="s">
        <v>692</v>
      </c>
    </row>
    <row r="6031" spans="1:5" hidden="1" x14ac:dyDescent="0.3">
      <c r="A6031" t="s">
        <v>552</v>
      </c>
      <c r="B6031" t="s">
        <v>691</v>
      </c>
      <c r="C6031" t="s">
        <v>54</v>
      </c>
      <c r="D6031" s="226">
        <v>-670.38</v>
      </c>
      <c r="E6031" t="s">
        <v>692</v>
      </c>
    </row>
    <row r="6032" spans="1:5" hidden="1" x14ac:dyDescent="0.3">
      <c r="A6032" t="s">
        <v>552</v>
      </c>
      <c r="B6032" t="s">
        <v>691</v>
      </c>
      <c r="C6032" t="s">
        <v>23</v>
      </c>
      <c r="D6032" s="226">
        <v>0</v>
      </c>
      <c r="E6032" t="s">
        <v>692</v>
      </c>
    </row>
    <row r="6033" spans="1:5" hidden="1" x14ac:dyDescent="0.3">
      <c r="A6033" t="s">
        <v>552</v>
      </c>
      <c r="B6033" t="s">
        <v>691</v>
      </c>
      <c r="C6033" t="s">
        <v>44</v>
      </c>
      <c r="D6033" s="226">
        <v>-0.28999999999999998</v>
      </c>
      <c r="E6033" t="s">
        <v>692</v>
      </c>
    </row>
    <row r="6034" spans="1:5" hidden="1" x14ac:dyDescent="0.3">
      <c r="A6034" t="s">
        <v>552</v>
      </c>
      <c r="B6034" t="s">
        <v>691</v>
      </c>
      <c r="C6034" t="s">
        <v>55</v>
      </c>
      <c r="D6034" s="226">
        <v>-0.28000000000000003</v>
      </c>
      <c r="E6034" t="s">
        <v>692</v>
      </c>
    </row>
    <row r="6035" spans="1:5" hidden="1" x14ac:dyDescent="0.3">
      <c r="A6035" t="s">
        <v>552</v>
      </c>
      <c r="B6035" t="s">
        <v>691</v>
      </c>
      <c r="C6035" t="s">
        <v>56</v>
      </c>
      <c r="D6035" s="226">
        <v>-700</v>
      </c>
      <c r="E6035" t="s">
        <v>692</v>
      </c>
    </row>
    <row r="6036" spans="1:5" hidden="1" x14ac:dyDescent="0.3">
      <c r="A6036" t="s">
        <v>552</v>
      </c>
      <c r="B6036" t="s">
        <v>691</v>
      </c>
      <c r="C6036" t="s">
        <v>57</v>
      </c>
      <c r="D6036" s="226">
        <v>0</v>
      </c>
      <c r="E6036" t="s">
        <v>692</v>
      </c>
    </row>
    <row r="6037" spans="1:5" hidden="1" x14ac:dyDescent="0.3">
      <c r="A6037" t="s">
        <v>552</v>
      </c>
      <c r="B6037" t="s">
        <v>691</v>
      </c>
      <c r="C6037" t="s">
        <v>58</v>
      </c>
      <c r="D6037" s="226">
        <v>0</v>
      </c>
      <c r="E6037" t="s">
        <v>692</v>
      </c>
    </row>
    <row r="6038" spans="1:5" hidden="1" x14ac:dyDescent="0.3">
      <c r="A6038" t="s">
        <v>552</v>
      </c>
      <c r="B6038" t="s">
        <v>691</v>
      </c>
      <c r="C6038" t="s">
        <v>59</v>
      </c>
      <c r="D6038" s="226">
        <v>0</v>
      </c>
      <c r="E6038" t="s">
        <v>692</v>
      </c>
    </row>
    <row r="6039" spans="1:5" hidden="1" x14ac:dyDescent="0.3">
      <c r="A6039" t="s">
        <v>552</v>
      </c>
      <c r="B6039" t="s">
        <v>691</v>
      </c>
      <c r="C6039" t="s">
        <v>61</v>
      </c>
      <c r="D6039" s="226">
        <v>0</v>
      </c>
      <c r="E6039" t="s">
        <v>692</v>
      </c>
    </row>
    <row r="6040" spans="1:5" hidden="1" x14ac:dyDescent="0.3">
      <c r="A6040" t="s">
        <v>552</v>
      </c>
      <c r="B6040" t="s">
        <v>691</v>
      </c>
      <c r="C6040" t="s">
        <v>62</v>
      </c>
      <c r="D6040" s="226">
        <v>0</v>
      </c>
      <c r="E6040" t="s">
        <v>692</v>
      </c>
    </row>
    <row r="6041" spans="1:5" hidden="1" x14ac:dyDescent="0.3">
      <c r="A6041" t="s">
        <v>552</v>
      </c>
      <c r="B6041" t="s">
        <v>691</v>
      </c>
      <c r="C6041" t="s">
        <v>64</v>
      </c>
      <c r="D6041" s="226">
        <v>0</v>
      </c>
      <c r="E6041" t="s">
        <v>692</v>
      </c>
    </row>
    <row r="6042" spans="1:5" hidden="1" x14ac:dyDescent="0.3">
      <c r="A6042" t="s">
        <v>552</v>
      </c>
      <c r="B6042" t="s">
        <v>691</v>
      </c>
      <c r="C6042" t="s">
        <v>65</v>
      </c>
      <c r="D6042" s="226">
        <v>-700</v>
      </c>
      <c r="E6042" t="s">
        <v>692</v>
      </c>
    </row>
    <row r="6043" spans="1:5" hidden="1" x14ac:dyDescent="0.3">
      <c r="A6043" t="s">
        <v>552</v>
      </c>
      <c r="B6043" t="s">
        <v>691</v>
      </c>
      <c r="C6043" t="s">
        <v>66</v>
      </c>
      <c r="D6043" s="226">
        <v>-700</v>
      </c>
      <c r="E6043" t="s">
        <v>692</v>
      </c>
    </row>
    <row r="6044" spans="1:5" hidden="1" x14ac:dyDescent="0.3">
      <c r="A6044" t="s">
        <v>552</v>
      </c>
      <c r="B6044" t="s">
        <v>691</v>
      </c>
      <c r="C6044" t="s">
        <v>68</v>
      </c>
      <c r="D6044" s="226">
        <v>0</v>
      </c>
      <c r="E6044" t="s">
        <v>692</v>
      </c>
    </row>
    <row r="6045" spans="1:5" hidden="1" x14ac:dyDescent="0.3">
      <c r="A6045" t="s">
        <v>552</v>
      </c>
      <c r="B6045" t="s">
        <v>691</v>
      </c>
      <c r="C6045" t="s">
        <v>69</v>
      </c>
      <c r="D6045" s="226">
        <v>0</v>
      </c>
      <c r="E6045" t="s">
        <v>692</v>
      </c>
    </row>
    <row r="6046" spans="1:5" hidden="1" x14ac:dyDescent="0.3">
      <c r="A6046" t="s">
        <v>552</v>
      </c>
      <c r="B6046" t="s">
        <v>691</v>
      </c>
      <c r="C6046" t="s">
        <v>70</v>
      </c>
      <c r="D6046" s="226">
        <v>0</v>
      </c>
      <c r="E6046" t="s">
        <v>692</v>
      </c>
    </row>
    <row r="6047" spans="1:5" hidden="1" x14ac:dyDescent="0.3">
      <c r="A6047" t="s">
        <v>552</v>
      </c>
      <c r="B6047" t="s">
        <v>691</v>
      </c>
      <c r="C6047" t="s">
        <v>44</v>
      </c>
      <c r="D6047" s="226">
        <v>0</v>
      </c>
      <c r="E6047" t="s">
        <v>692</v>
      </c>
    </row>
    <row r="6048" spans="1:5" hidden="1" x14ac:dyDescent="0.3">
      <c r="A6048" t="s">
        <v>552</v>
      </c>
      <c r="B6048" t="s">
        <v>691</v>
      </c>
      <c r="C6048" t="s">
        <v>71</v>
      </c>
      <c r="D6048" s="226">
        <v>-1448.02</v>
      </c>
      <c r="E6048" t="s">
        <v>692</v>
      </c>
    </row>
    <row r="6049" spans="1:5" hidden="1" x14ac:dyDescent="0.3">
      <c r="A6049" t="s">
        <v>552</v>
      </c>
      <c r="B6049" t="s">
        <v>691</v>
      </c>
      <c r="C6049" t="s">
        <v>72</v>
      </c>
      <c r="D6049" s="226">
        <v>-1448.02</v>
      </c>
      <c r="E6049" t="s">
        <v>692</v>
      </c>
    </row>
    <row r="6050" spans="1:5" hidden="1" x14ac:dyDescent="0.3">
      <c r="A6050" t="s">
        <v>552</v>
      </c>
      <c r="B6050" t="s">
        <v>691</v>
      </c>
      <c r="C6050" t="s">
        <v>73</v>
      </c>
      <c r="D6050" s="226">
        <v>-1333.33</v>
      </c>
      <c r="E6050" t="s">
        <v>692</v>
      </c>
    </row>
    <row r="6051" spans="1:5" hidden="1" x14ac:dyDescent="0.3">
      <c r="A6051" t="s">
        <v>552</v>
      </c>
      <c r="B6051" t="s">
        <v>691</v>
      </c>
      <c r="C6051" t="s">
        <v>75</v>
      </c>
      <c r="D6051" s="226">
        <v>-114.69</v>
      </c>
      <c r="E6051" t="s">
        <v>692</v>
      </c>
    </row>
    <row r="6052" spans="1:5" hidden="1" x14ac:dyDescent="0.3">
      <c r="A6052" t="s">
        <v>552</v>
      </c>
      <c r="B6052" t="s">
        <v>691</v>
      </c>
      <c r="C6052" t="s">
        <v>77</v>
      </c>
      <c r="D6052" s="226">
        <v>0</v>
      </c>
      <c r="E6052" t="s">
        <v>692</v>
      </c>
    </row>
    <row r="6053" spans="1:5" hidden="1" x14ac:dyDescent="0.3">
      <c r="A6053" t="s">
        <v>552</v>
      </c>
      <c r="B6053" t="s">
        <v>691</v>
      </c>
      <c r="C6053" t="s">
        <v>78</v>
      </c>
      <c r="D6053" s="226">
        <v>0</v>
      </c>
      <c r="E6053" t="s">
        <v>692</v>
      </c>
    </row>
    <row r="6054" spans="1:5" hidden="1" x14ac:dyDescent="0.3">
      <c r="A6054" t="s">
        <v>552</v>
      </c>
      <c r="B6054" t="s">
        <v>691</v>
      </c>
      <c r="C6054" t="s">
        <v>80</v>
      </c>
      <c r="D6054" s="226">
        <v>0</v>
      </c>
      <c r="E6054" t="s">
        <v>692</v>
      </c>
    </row>
    <row r="6055" spans="1:5" hidden="1" x14ac:dyDescent="0.3">
      <c r="A6055" t="s">
        <v>552</v>
      </c>
      <c r="B6055" t="s">
        <v>691</v>
      </c>
      <c r="C6055" t="s">
        <v>82</v>
      </c>
      <c r="D6055" s="226">
        <v>0</v>
      </c>
      <c r="E6055" t="s">
        <v>692</v>
      </c>
    </row>
    <row r="6056" spans="1:5" hidden="1" x14ac:dyDescent="0.3">
      <c r="A6056" t="s">
        <v>552</v>
      </c>
      <c r="B6056" t="s">
        <v>691</v>
      </c>
      <c r="C6056" t="s">
        <v>84</v>
      </c>
      <c r="D6056" s="226">
        <v>0</v>
      </c>
      <c r="E6056" t="s">
        <v>692</v>
      </c>
    </row>
    <row r="6057" spans="1:5" hidden="1" x14ac:dyDescent="0.3">
      <c r="A6057" t="s">
        <v>552</v>
      </c>
      <c r="B6057" t="s">
        <v>691</v>
      </c>
      <c r="C6057" t="s">
        <v>85</v>
      </c>
      <c r="D6057" s="226">
        <v>0</v>
      </c>
      <c r="E6057" t="s">
        <v>692</v>
      </c>
    </row>
    <row r="6058" spans="1:5" hidden="1" x14ac:dyDescent="0.3">
      <c r="A6058" t="s">
        <v>552</v>
      </c>
      <c r="B6058" t="s">
        <v>691</v>
      </c>
      <c r="C6058" t="s">
        <v>86</v>
      </c>
      <c r="D6058" s="226">
        <v>0</v>
      </c>
      <c r="E6058" t="s">
        <v>692</v>
      </c>
    </row>
    <row r="6059" spans="1:5" hidden="1" x14ac:dyDescent="0.3">
      <c r="A6059" t="s">
        <v>552</v>
      </c>
      <c r="B6059" t="s">
        <v>691</v>
      </c>
      <c r="C6059" t="s">
        <v>87</v>
      </c>
      <c r="D6059" s="226">
        <v>0</v>
      </c>
      <c r="E6059" t="s">
        <v>692</v>
      </c>
    </row>
    <row r="6060" spans="1:5" hidden="1" x14ac:dyDescent="0.3">
      <c r="A6060" t="s">
        <v>552</v>
      </c>
      <c r="B6060" t="s">
        <v>691</v>
      </c>
      <c r="C6060" t="s">
        <v>88</v>
      </c>
      <c r="D6060" s="226">
        <v>0</v>
      </c>
      <c r="E6060" t="s">
        <v>692</v>
      </c>
    </row>
    <row r="6061" spans="1:5" hidden="1" x14ac:dyDescent="0.3">
      <c r="A6061" t="s">
        <v>552</v>
      </c>
      <c r="B6061" t="s">
        <v>691</v>
      </c>
      <c r="C6061" t="s">
        <v>89</v>
      </c>
      <c r="D6061" s="226">
        <v>0</v>
      </c>
      <c r="E6061" t="s">
        <v>692</v>
      </c>
    </row>
    <row r="6062" spans="1:5" hidden="1" x14ac:dyDescent="0.3">
      <c r="A6062" t="s">
        <v>552</v>
      </c>
      <c r="B6062" t="s">
        <v>691</v>
      </c>
      <c r="C6062" t="s">
        <v>90</v>
      </c>
      <c r="D6062" s="226">
        <v>0</v>
      </c>
      <c r="E6062" t="s">
        <v>692</v>
      </c>
    </row>
    <row r="6063" spans="1:5" hidden="1" x14ac:dyDescent="0.3">
      <c r="A6063" t="s">
        <v>552</v>
      </c>
      <c r="B6063" t="s">
        <v>691</v>
      </c>
      <c r="C6063" t="s">
        <v>91</v>
      </c>
      <c r="D6063" s="226">
        <v>0</v>
      </c>
      <c r="E6063" t="s">
        <v>692</v>
      </c>
    </row>
    <row r="6064" spans="1:5" hidden="1" x14ac:dyDescent="0.3">
      <c r="A6064" t="s">
        <v>552</v>
      </c>
      <c r="B6064" t="s">
        <v>691</v>
      </c>
      <c r="C6064" t="s">
        <v>93</v>
      </c>
      <c r="D6064" s="226">
        <v>0</v>
      </c>
      <c r="E6064" t="s">
        <v>692</v>
      </c>
    </row>
    <row r="6065" spans="1:5" hidden="1" x14ac:dyDescent="0.3">
      <c r="A6065" t="s">
        <v>552</v>
      </c>
      <c r="B6065" t="s">
        <v>691</v>
      </c>
      <c r="C6065" t="s">
        <v>95</v>
      </c>
      <c r="D6065" s="226">
        <v>0</v>
      </c>
      <c r="E6065" t="s">
        <v>692</v>
      </c>
    </row>
    <row r="6066" spans="1:5" hidden="1" x14ac:dyDescent="0.3">
      <c r="A6066" t="s">
        <v>552</v>
      </c>
      <c r="B6066" t="s">
        <v>691</v>
      </c>
      <c r="C6066" t="s">
        <v>96</v>
      </c>
      <c r="D6066" s="226">
        <v>0</v>
      </c>
      <c r="E6066" t="s">
        <v>692</v>
      </c>
    </row>
    <row r="6067" spans="1:5" hidden="1" x14ac:dyDescent="0.3">
      <c r="A6067" t="s">
        <v>552</v>
      </c>
      <c r="B6067" t="s">
        <v>691</v>
      </c>
      <c r="C6067" t="s">
        <v>98</v>
      </c>
      <c r="D6067" s="226">
        <v>0</v>
      </c>
      <c r="E6067" t="s">
        <v>692</v>
      </c>
    </row>
    <row r="6068" spans="1:5" hidden="1" x14ac:dyDescent="0.3">
      <c r="A6068" t="s">
        <v>552</v>
      </c>
      <c r="B6068" t="s">
        <v>691</v>
      </c>
      <c r="C6068" t="s">
        <v>100</v>
      </c>
      <c r="D6068" s="226">
        <v>0</v>
      </c>
      <c r="E6068" t="s">
        <v>692</v>
      </c>
    </row>
    <row r="6069" spans="1:5" hidden="1" x14ac:dyDescent="0.3">
      <c r="A6069" t="s">
        <v>552</v>
      </c>
      <c r="B6069" t="s">
        <v>691</v>
      </c>
      <c r="C6069" t="s">
        <v>101</v>
      </c>
      <c r="D6069" s="226">
        <v>0</v>
      </c>
      <c r="E6069" t="s">
        <v>692</v>
      </c>
    </row>
    <row r="6070" spans="1:5" hidden="1" x14ac:dyDescent="0.3">
      <c r="A6070" t="s">
        <v>552</v>
      </c>
      <c r="B6070" t="s">
        <v>691</v>
      </c>
      <c r="C6070" t="s">
        <v>102</v>
      </c>
      <c r="D6070" s="226">
        <v>0</v>
      </c>
      <c r="E6070" t="s">
        <v>692</v>
      </c>
    </row>
    <row r="6071" spans="1:5" hidden="1" x14ac:dyDescent="0.3">
      <c r="A6071" t="s">
        <v>552</v>
      </c>
      <c r="B6071" t="s">
        <v>691</v>
      </c>
      <c r="C6071" t="s">
        <v>103</v>
      </c>
      <c r="D6071" s="226">
        <v>0</v>
      </c>
      <c r="E6071" t="s">
        <v>692</v>
      </c>
    </row>
    <row r="6072" spans="1:5" hidden="1" x14ac:dyDescent="0.3">
      <c r="A6072" t="s">
        <v>552</v>
      </c>
      <c r="B6072" t="s">
        <v>691</v>
      </c>
      <c r="C6072" t="s">
        <v>104</v>
      </c>
      <c r="D6072" s="226">
        <v>0</v>
      </c>
      <c r="E6072" t="s">
        <v>692</v>
      </c>
    </row>
    <row r="6073" spans="1:5" hidden="1" x14ac:dyDescent="0.3">
      <c r="A6073" t="s">
        <v>552</v>
      </c>
      <c r="B6073" t="s">
        <v>691</v>
      </c>
      <c r="C6073" t="s">
        <v>105</v>
      </c>
      <c r="D6073" s="226">
        <v>0</v>
      </c>
      <c r="E6073" t="s">
        <v>692</v>
      </c>
    </row>
    <row r="6074" spans="1:5" hidden="1" x14ac:dyDescent="0.3">
      <c r="A6074" t="s">
        <v>552</v>
      </c>
      <c r="B6074" t="s">
        <v>691</v>
      </c>
      <c r="C6074" t="s">
        <v>107</v>
      </c>
      <c r="D6074" s="226">
        <v>0</v>
      </c>
      <c r="E6074" t="s">
        <v>692</v>
      </c>
    </row>
    <row r="6075" spans="1:5" hidden="1" x14ac:dyDescent="0.3">
      <c r="A6075" t="s">
        <v>552</v>
      </c>
      <c r="B6075" t="s">
        <v>691</v>
      </c>
      <c r="C6075" t="s">
        <v>108</v>
      </c>
      <c r="D6075" s="226">
        <v>0</v>
      </c>
      <c r="E6075" t="s">
        <v>692</v>
      </c>
    </row>
    <row r="6076" spans="1:5" hidden="1" x14ac:dyDescent="0.3">
      <c r="A6076" t="s">
        <v>552</v>
      </c>
      <c r="B6076" t="s">
        <v>691</v>
      </c>
      <c r="C6076" t="s">
        <v>109</v>
      </c>
      <c r="D6076" s="226">
        <v>0</v>
      </c>
      <c r="E6076" t="s">
        <v>692</v>
      </c>
    </row>
    <row r="6077" spans="1:5" hidden="1" x14ac:dyDescent="0.3">
      <c r="A6077" t="s">
        <v>552</v>
      </c>
      <c r="B6077" t="s">
        <v>691</v>
      </c>
      <c r="C6077" t="s">
        <v>110</v>
      </c>
      <c r="D6077" s="226">
        <v>-0.27</v>
      </c>
      <c r="E6077" t="s">
        <v>692</v>
      </c>
    </row>
    <row r="6078" spans="1:5" hidden="1" x14ac:dyDescent="0.3">
      <c r="A6078" t="s">
        <v>552</v>
      </c>
      <c r="B6078" t="s">
        <v>691</v>
      </c>
      <c r="C6078" t="s">
        <v>44</v>
      </c>
      <c r="D6078" s="226">
        <v>0</v>
      </c>
      <c r="E6078" t="s">
        <v>692</v>
      </c>
    </row>
    <row r="6079" spans="1:5" hidden="1" x14ac:dyDescent="0.3">
      <c r="A6079" t="s">
        <v>552</v>
      </c>
      <c r="B6079" t="s">
        <v>691</v>
      </c>
      <c r="C6079" t="s">
        <v>111</v>
      </c>
      <c r="D6079" s="226">
        <v>-101560</v>
      </c>
      <c r="E6079" t="s">
        <v>692</v>
      </c>
    </row>
    <row r="6080" spans="1:5" hidden="1" x14ac:dyDescent="0.3">
      <c r="A6080" t="s">
        <v>552</v>
      </c>
      <c r="B6080" t="s">
        <v>691</v>
      </c>
      <c r="C6080" t="s">
        <v>555</v>
      </c>
      <c r="D6080" s="226">
        <v>-101560</v>
      </c>
      <c r="E6080" t="s">
        <v>692</v>
      </c>
    </row>
    <row r="6081" spans="1:5" hidden="1" x14ac:dyDescent="0.3">
      <c r="A6081" t="s">
        <v>552</v>
      </c>
      <c r="B6081" t="s">
        <v>691</v>
      </c>
      <c r="C6081" t="s">
        <v>44</v>
      </c>
      <c r="D6081" s="226">
        <v>-7.0000000000000007E-2</v>
      </c>
      <c r="E6081" t="s">
        <v>692</v>
      </c>
    </row>
    <row r="6082" spans="1:5" hidden="1" x14ac:dyDescent="0.3">
      <c r="A6082" t="s">
        <v>552</v>
      </c>
      <c r="B6082" t="s">
        <v>691</v>
      </c>
      <c r="C6082" t="s">
        <v>115</v>
      </c>
      <c r="D6082" s="226">
        <v>-25723.09</v>
      </c>
      <c r="E6082" t="s">
        <v>692</v>
      </c>
    </row>
    <row r="6083" spans="1:5" hidden="1" x14ac:dyDescent="0.3">
      <c r="A6083" t="s">
        <v>552</v>
      </c>
      <c r="B6083" t="s">
        <v>691</v>
      </c>
      <c r="C6083" t="s">
        <v>116</v>
      </c>
      <c r="D6083" s="226">
        <v>-19808.189999999999</v>
      </c>
      <c r="E6083" t="s">
        <v>692</v>
      </c>
    </row>
    <row r="6084" spans="1:5" hidden="1" x14ac:dyDescent="0.3">
      <c r="A6084" t="s">
        <v>552</v>
      </c>
      <c r="B6084" t="s">
        <v>691</v>
      </c>
      <c r="C6084" t="s">
        <v>118</v>
      </c>
      <c r="D6084" s="226">
        <v>-5914.9</v>
      </c>
      <c r="E6084" t="s">
        <v>692</v>
      </c>
    </row>
    <row r="6085" spans="1:5" hidden="1" x14ac:dyDescent="0.3">
      <c r="A6085" t="s">
        <v>552</v>
      </c>
      <c r="B6085" t="s">
        <v>691</v>
      </c>
      <c r="C6085" t="s">
        <v>120</v>
      </c>
      <c r="D6085" s="226">
        <v>0</v>
      </c>
      <c r="E6085" t="s">
        <v>692</v>
      </c>
    </row>
    <row r="6086" spans="1:5" hidden="1" x14ac:dyDescent="0.3">
      <c r="A6086" t="s">
        <v>552</v>
      </c>
      <c r="B6086" t="s">
        <v>691</v>
      </c>
      <c r="C6086" t="s">
        <v>122</v>
      </c>
      <c r="D6086" s="226">
        <v>0</v>
      </c>
      <c r="E6086" t="s">
        <v>692</v>
      </c>
    </row>
    <row r="6087" spans="1:5" hidden="1" x14ac:dyDescent="0.3">
      <c r="A6087" t="s">
        <v>552</v>
      </c>
      <c r="B6087" t="s">
        <v>691</v>
      </c>
      <c r="C6087" t="s">
        <v>44</v>
      </c>
      <c r="D6087" s="226">
        <v>-0.02</v>
      </c>
      <c r="E6087" t="s">
        <v>692</v>
      </c>
    </row>
    <row r="6088" spans="1:5" hidden="1" x14ac:dyDescent="0.3">
      <c r="A6088" t="s">
        <v>552</v>
      </c>
      <c r="B6088" t="s">
        <v>691</v>
      </c>
      <c r="C6088" t="s">
        <v>125</v>
      </c>
      <c r="D6088" s="226">
        <v>810797.82</v>
      </c>
      <c r="E6088" t="s">
        <v>692</v>
      </c>
    </row>
    <row r="6089" spans="1:5" hidden="1" x14ac:dyDescent="0.3">
      <c r="A6089" t="s">
        <v>552</v>
      </c>
      <c r="B6089" t="s">
        <v>691</v>
      </c>
      <c r="C6089" t="s">
        <v>126</v>
      </c>
      <c r="D6089" s="226">
        <v>0.56999999999999995</v>
      </c>
      <c r="E6089" t="s">
        <v>692</v>
      </c>
    </row>
    <row r="6090" spans="1:5" hidden="1" x14ac:dyDescent="0.3">
      <c r="A6090" t="s">
        <v>552</v>
      </c>
      <c r="B6090" t="s">
        <v>691</v>
      </c>
      <c r="C6090" t="s">
        <v>127</v>
      </c>
      <c r="D6090" s="226">
        <v>-309908.90000000002</v>
      </c>
      <c r="E6090" t="s">
        <v>692</v>
      </c>
    </row>
    <row r="6091" spans="1:5" hidden="1" x14ac:dyDescent="0.3">
      <c r="A6091" t="s">
        <v>552</v>
      </c>
      <c r="B6091" t="s">
        <v>691</v>
      </c>
      <c r="C6091" t="s">
        <v>128</v>
      </c>
      <c r="D6091" s="226">
        <v>-48916</v>
      </c>
      <c r="E6091" t="s">
        <v>692</v>
      </c>
    </row>
    <row r="6092" spans="1:5" hidden="1" x14ac:dyDescent="0.3">
      <c r="A6092" t="s">
        <v>552</v>
      </c>
      <c r="B6092" t="s">
        <v>691</v>
      </c>
      <c r="C6092" t="s">
        <v>556</v>
      </c>
      <c r="D6092" s="226">
        <v>-11416</v>
      </c>
      <c r="E6092" t="s">
        <v>692</v>
      </c>
    </row>
    <row r="6093" spans="1:5" hidden="1" x14ac:dyDescent="0.3">
      <c r="A6093" t="s">
        <v>552</v>
      </c>
      <c r="B6093" t="s">
        <v>691</v>
      </c>
      <c r="C6093" t="s">
        <v>557</v>
      </c>
      <c r="D6093" s="226">
        <v>-6600</v>
      </c>
      <c r="E6093" t="s">
        <v>692</v>
      </c>
    </row>
    <row r="6094" spans="1:5" hidden="1" x14ac:dyDescent="0.3">
      <c r="A6094" t="s">
        <v>552</v>
      </c>
      <c r="B6094" t="s">
        <v>691</v>
      </c>
      <c r="C6094" t="s">
        <v>558</v>
      </c>
      <c r="D6094" s="226">
        <v>0</v>
      </c>
      <c r="E6094" t="s">
        <v>692</v>
      </c>
    </row>
    <row r="6095" spans="1:5" hidden="1" x14ac:dyDescent="0.3">
      <c r="A6095" t="s">
        <v>552</v>
      </c>
      <c r="B6095" t="s">
        <v>691</v>
      </c>
      <c r="C6095" t="s">
        <v>559</v>
      </c>
      <c r="D6095" s="226">
        <v>-16800</v>
      </c>
      <c r="E6095" t="s">
        <v>692</v>
      </c>
    </row>
    <row r="6096" spans="1:5" hidden="1" x14ac:dyDescent="0.3">
      <c r="A6096" t="s">
        <v>552</v>
      </c>
      <c r="B6096" t="s">
        <v>691</v>
      </c>
      <c r="C6096" t="s">
        <v>560</v>
      </c>
      <c r="D6096" s="226">
        <v>-3100</v>
      </c>
      <c r="E6096" t="s">
        <v>692</v>
      </c>
    </row>
    <row r="6097" spans="1:5" hidden="1" x14ac:dyDescent="0.3">
      <c r="A6097" t="s">
        <v>552</v>
      </c>
      <c r="B6097" t="s">
        <v>691</v>
      </c>
      <c r="C6097" t="s">
        <v>561</v>
      </c>
      <c r="D6097" s="226">
        <v>-7000</v>
      </c>
      <c r="E6097" t="s">
        <v>692</v>
      </c>
    </row>
    <row r="6098" spans="1:5" hidden="1" x14ac:dyDescent="0.3">
      <c r="A6098" t="s">
        <v>552</v>
      </c>
      <c r="B6098" t="s">
        <v>691</v>
      </c>
      <c r="C6098" t="s">
        <v>562</v>
      </c>
      <c r="D6098" s="226">
        <v>-4000</v>
      </c>
      <c r="E6098" t="s">
        <v>692</v>
      </c>
    </row>
    <row r="6099" spans="1:5" hidden="1" x14ac:dyDescent="0.3">
      <c r="A6099" t="s">
        <v>552</v>
      </c>
      <c r="B6099" t="s">
        <v>691</v>
      </c>
      <c r="C6099" t="s">
        <v>563</v>
      </c>
      <c r="D6099" s="226">
        <v>0</v>
      </c>
      <c r="E6099" t="s">
        <v>692</v>
      </c>
    </row>
    <row r="6100" spans="1:5" hidden="1" x14ac:dyDescent="0.3">
      <c r="A6100" t="s">
        <v>552</v>
      </c>
      <c r="B6100" t="s">
        <v>691</v>
      </c>
      <c r="C6100" t="s">
        <v>564</v>
      </c>
      <c r="D6100" s="226">
        <v>0</v>
      </c>
      <c r="E6100" t="s">
        <v>692</v>
      </c>
    </row>
    <row r="6101" spans="1:5" hidden="1" x14ac:dyDescent="0.3">
      <c r="A6101" t="s">
        <v>552</v>
      </c>
      <c r="B6101" t="s">
        <v>691</v>
      </c>
      <c r="C6101" t="s">
        <v>565</v>
      </c>
      <c r="D6101" s="226">
        <v>0</v>
      </c>
      <c r="E6101" t="s">
        <v>692</v>
      </c>
    </row>
    <row r="6102" spans="1:5" hidden="1" x14ac:dyDescent="0.3">
      <c r="A6102" t="s">
        <v>552</v>
      </c>
      <c r="B6102" t="s">
        <v>691</v>
      </c>
      <c r="C6102" t="s">
        <v>566</v>
      </c>
      <c r="D6102" s="226">
        <v>0</v>
      </c>
      <c r="E6102" t="s">
        <v>692</v>
      </c>
    </row>
    <row r="6103" spans="1:5" hidden="1" x14ac:dyDescent="0.3">
      <c r="A6103" t="s">
        <v>552</v>
      </c>
      <c r="B6103" t="s">
        <v>691</v>
      </c>
      <c r="C6103" t="s">
        <v>567</v>
      </c>
      <c r="D6103" s="226">
        <v>0</v>
      </c>
      <c r="E6103" t="s">
        <v>692</v>
      </c>
    </row>
    <row r="6104" spans="1:5" hidden="1" x14ac:dyDescent="0.3">
      <c r="A6104" t="s">
        <v>552</v>
      </c>
      <c r="B6104" t="s">
        <v>691</v>
      </c>
      <c r="C6104" t="s">
        <v>141</v>
      </c>
      <c r="D6104" s="226">
        <v>-55336.34</v>
      </c>
      <c r="E6104" t="s">
        <v>692</v>
      </c>
    </row>
    <row r="6105" spans="1:5" hidden="1" x14ac:dyDescent="0.3">
      <c r="A6105" t="s">
        <v>552</v>
      </c>
      <c r="B6105" t="s">
        <v>691</v>
      </c>
      <c r="C6105" t="s">
        <v>568</v>
      </c>
      <c r="D6105" s="226">
        <v>0</v>
      </c>
      <c r="E6105" t="s">
        <v>692</v>
      </c>
    </row>
    <row r="6106" spans="1:5" hidden="1" x14ac:dyDescent="0.3">
      <c r="A6106" t="s">
        <v>552</v>
      </c>
      <c r="B6106" t="s">
        <v>691</v>
      </c>
      <c r="C6106" t="s">
        <v>569</v>
      </c>
      <c r="D6106" s="226">
        <v>0</v>
      </c>
      <c r="E6106" t="s">
        <v>692</v>
      </c>
    </row>
    <row r="6107" spans="1:5" hidden="1" x14ac:dyDescent="0.3">
      <c r="A6107" t="s">
        <v>552</v>
      </c>
      <c r="B6107" t="s">
        <v>691</v>
      </c>
      <c r="C6107" t="s">
        <v>570</v>
      </c>
      <c r="D6107" s="226">
        <v>0</v>
      </c>
      <c r="E6107" t="s">
        <v>692</v>
      </c>
    </row>
    <row r="6108" spans="1:5" hidden="1" x14ac:dyDescent="0.3">
      <c r="A6108" t="s">
        <v>552</v>
      </c>
      <c r="B6108" t="s">
        <v>691</v>
      </c>
      <c r="C6108" t="s">
        <v>571</v>
      </c>
      <c r="D6108" s="226">
        <v>0</v>
      </c>
      <c r="E6108" t="s">
        <v>692</v>
      </c>
    </row>
    <row r="6109" spans="1:5" hidden="1" x14ac:dyDescent="0.3">
      <c r="A6109" t="s">
        <v>552</v>
      </c>
      <c r="B6109" t="s">
        <v>691</v>
      </c>
      <c r="C6109" t="s">
        <v>572</v>
      </c>
      <c r="D6109" s="226">
        <v>0</v>
      </c>
      <c r="E6109" t="s">
        <v>692</v>
      </c>
    </row>
    <row r="6110" spans="1:5" hidden="1" x14ac:dyDescent="0.3">
      <c r="A6110" t="s">
        <v>552</v>
      </c>
      <c r="B6110" t="s">
        <v>691</v>
      </c>
      <c r="C6110" t="s">
        <v>573</v>
      </c>
      <c r="D6110" s="226">
        <v>0</v>
      </c>
      <c r="E6110" t="s">
        <v>692</v>
      </c>
    </row>
    <row r="6111" spans="1:5" hidden="1" x14ac:dyDescent="0.3">
      <c r="A6111" t="s">
        <v>552</v>
      </c>
      <c r="B6111" t="s">
        <v>691</v>
      </c>
      <c r="C6111" t="s">
        <v>574</v>
      </c>
      <c r="D6111" s="226">
        <v>0</v>
      </c>
      <c r="E6111" t="s">
        <v>692</v>
      </c>
    </row>
    <row r="6112" spans="1:5" hidden="1" x14ac:dyDescent="0.3">
      <c r="A6112" t="s">
        <v>552</v>
      </c>
      <c r="B6112" t="s">
        <v>691</v>
      </c>
      <c r="C6112" t="s">
        <v>575</v>
      </c>
      <c r="D6112" s="226">
        <v>0</v>
      </c>
      <c r="E6112" t="s">
        <v>692</v>
      </c>
    </row>
    <row r="6113" spans="1:5" hidden="1" x14ac:dyDescent="0.3">
      <c r="A6113" t="s">
        <v>552</v>
      </c>
      <c r="B6113" t="s">
        <v>691</v>
      </c>
      <c r="C6113" t="s">
        <v>576</v>
      </c>
      <c r="D6113" s="226">
        <v>0</v>
      </c>
      <c r="E6113" t="s">
        <v>692</v>
      </c>
    </row>
    <row r="6114" spans="1:5" hidden="1" x14ac:dyDescent="0.3">
      <c r="A6114" t="s">
        <v>552</v>
      </c>
      <c r="B6114" t="s">
        <v>691</v>
      </c>
      <c r="C6114" t="s">
        <v>577</v>
      </c>
      <c r="D6114" s="226">
        <v>0</v>
      </c>
      <c r="E6114" t="s">
        <v>692</v>
      </c>
    </row>
    <row r="6115" spans="1:5" hidden="1" x14ac:dyDescent="0.3">
      <c r="A6115" t="s">
        <v>552</v>
      </c>
      <c r="B6115" t="s">
        <v>691</v>
      </c>
      <c r="C6115" t="s">
        <v>578</v>
      </c>
      <c r="D6115" s="226">
        <v>0</v>
      </c>
      <c r="E6115" t="s">
        <v>692</v>
      </c>
    </row>
    <row r="6116" spans="1:5" hidden="1" x14ac:dyDescent="0.3">
      <c r="A6116" t="s">
        <v>552</v>
      </c>
      <c r="B6116" t="s">
        <v>691</v>
      </c>
      <c r="C6116" t="s">
        <v>579</v>
      </c>
      <c r="D6116" s="226">
        <v>0</v>
      </c>
      <c r="E6116" t="s">
        <v>692</v>
      </c>
    </row>
    <row r="6117" spans="1:5" hidden="1" x14ac:dyDescent="0.3">
      <c r="A6117" t="s">
        <v>552</v>
      </c>
      <c r="B6117" t="s">
        <v>691</v>
      </c>
      <c r="C6117" t="s">
        <v>580</v>
      </c>
      <c r="D6117" s="226">
        <v>0</v>
      </c>
      <c r="E6117" t="s">
        <v>692</v>
      </c>
    </row>
    <row r="6118" spans="1:5" hidden="1" x14ac:dyDescent="0.3">
      <c r="A6118" t="s">
        <v>552</v>
      </c>
      <c r="B6118" t="s">
        <v>691</v>
      </c>
      <c r="C6118" t="s">
        <v>581</v>
      </c>
      <c r="D6118" s="226">
        <v>0</v>
      </c>
      <c r="E6118" t="s">
        <v>692</v>
      </c>
    </row>
    <row r="6119" spans="1:5" hidden="1" x14ac:dyDescent="0.3">
      <c r="A6119" t="s">
        <v>552</v>
      </c>
      <c r="B6119" t="s">
        <v>691</v>
      </c>
      <c r="C6119" t="s">
        <v>582</v>
      </c>
      <c r="D6119" s="226">
        <v>0</v>
      </c>
      <c r="E6119" t="s">
        <v>692</v>
      </c>
    </row>
    <row r="6120" spans="1:5" hidden="1" x14ac:dyDescent="0.3">
      <c r="A6120" t="s">
        <v>552</v>
      </c>
      <c r="B6120" t="s">
        <v>691</v>
      </c>
      <c r="C6120" t="s">
        <v>583</v>
      </c>
      <c r="D6120" s="226">
        <v>0</v>
      </c>
      <c r="E6120" t="s">
        <v>692</v>
      </c>
    </row>
    <row r="6121" spans="1:5" hidden="1" x14ac:dyDescent="0.3">
      <c r="A6121" t="s">
        <v>552</v>
      </c>
      <c r="B6121" t="s">
        <v>691</v>
      </c>
      <c r="C6121" t="s">
        <v>584</v>
      </c>
      <c r="D6121" s="226">
        <v>0</v>
      </c>
      <c r="E6121" t="s">
        <v>692</v>
      </c>
    </row>
    <row r="6122" spans="1:5" hidden="1" x14ac:dyDescent="0.3">
      <c r="A6122" t="s">
        <v>552</v>
      </c>
      <c r="B6122" t="s">
        <v>691</v>
      </c>
      <c r="C6122" t="s">
        <v>585</v>
      </c>
      <c r="D6122" s="226">
        <v>0</v>
      </c>
      <c r="E6122" t="s">
        <v>692</v>
      </c>
    </row>
    <row r="6123" spans="1:5" hidden="1" x14ac:dyDescent="0.3">
      <c r="A6123" t="s">
        <v>552</v>
      </c>
      <c r="B6123" t="s">
        <v>691</v>
      </c>
      <c r="C6123" t="s">
        <v>586</v>
      </c>
      <c r="D6123" s="226">
        <v>0</v>
      </c>
      <c r="E6123" t="s">
        <v>692</v>
      </c>
    </row>
    <row r="6124" spans="1:5" hidden="1" x14ac:dyDescent="0.3">
      <c r="A6124" t="s">
        <v>552</v>
      </c>
      <c r="B6124" t="s">
        <v>691</v>
      </c>
      <c r="C6124" t="s">
        <v>587</v>
      </c>
      <c r="D6124" s="226">
        <v>0</v>
      </c>
      <c r="E6124" t="s">
        <v>692</v>
      </c>
    </row>
    <row r="6125" spans="1:5" hidden="1" x14ac:dyDescent="0.3">
      <c r="A6125" t="s">
        <v>552</v>
      </c>
      <c r="B6125" t="s">
        <v>691</v>
      </c>
      <c r="C6125" t="s">
        <v>588</v>
      </c>
      <c r="D6125" s="226">
        <v>0</v>
      </c>
      <c r="E6125" t="s">
        <v>692</v>
      </c>
    </row>
    <row r="6126" spans="1:5" hidden="1" x14ac:dyDescent="0.3">
      <c r="A6126" t="s">
        <v>552</v>
      </c>
      <c r="B6126" t="s">
        <v>691</v>
      </c>
      <c r="C6126" t="s">
        <v>589</v>
      </c>
      <c r="D6126" s="226">
        <v>0</v>
      </c>
      <c r="E6126" t="s">
        <v>692</v>
      </c>
    </row>
    <row r="6127" spans="1:5" hidden="1" x14ac:dyDescent="0.3">
      <c r="A6127" t="s">
        <v>552</v>
      </c>
      <c r="B6127" t="s">
        <v>691</v>
      </c>
      <c r="C6127" t="s">
        <v>590</v>
      </c>
      <c r="D6127" s="226">
        <v>0</v>
      </c>
      <c r="E6127" t="s">
        <v>692</v>
      </c>
    </row>
    <row r="6128" spans="1:5" hidden="1" x14ac:dyDescent="0.3">
      <c r="A6128" t="s">
        <v>552</v>
      </c>
      <c r="B6128" t="s">
        <v>691</v>
      </c>
      <c r="C6128" t="s">
        <v>591</v>
      </c>
      <c r="D6128" s="226">
        <v>0</v>
      </c>
      <c r="E6128" t="s">
        <v>692</v>
      </c>
    </row>
    <row r="6129" spans="1:5" hidden="1" x14ac:dyDescent="0.3">
      <c r="A6129" t="s">
        <v>552</v>
      </c>
      <c r="B6129" t="s">
        <v>691</v>
      </c>
      <c r="C6129" t="s">
        <v>592</v>
      </c>
      <c r="D6129" s="226">
        <v>0</v>
      </c>
      <c r="E6129" t="s">
        <v>692</v>
      </c>
    </row>
    <row r="6130" spans="1:5" hidden="1" x14ac:dyDescent="0.3">
      <c r="A6130" t="s">
        <v>552</v>
      </c>
      <c r="B6130" t="s">
        <v>691</v>
      </c>
      <c r="C6130" t="s">
        <v>593</v>
      </c>
      <c r="D6130" s="226">
        <v>0</v>
      </c>
      <c r="E6130" t="s">
        <v>692</v>
      </c>
    </row>
    <row r="6131" spans="1:5" hidden="1" x14ac:dyDescent="0.3">
      <c r="A6131" t="s">
        <v>552</v>
      </c>
      <c r="B6131" t="s">
        <v>691</v>
      </c>
      <c r="C6131" t="s">
        <v>594</v>
      </c>
      <c r="D6131" s="226">
        <v>0</v>
      </c>
      <c r="E6131" t="s">
        <v>692</v>
      </c>
    </row>
    <row r="6132" spans="1:5" hidden="1" x14ac:dyDescent="0.3">
      <c r="A6132" t="s">
        <v>552</v>
      </c>
      <c r="B6132" t="s">
        <v>691</v>
      </c>
      <c r="C6132" t="s">
        <v>595</v>
      </c>
      <c r="D6132" s="226">
        <v>0</v>
      </c>
      <c r="E6132" t="s">
        <v>692</v>
      </c>
    </row>
    <row r="6133" spans="1:5" hidden="1" x14ac:dyDescent="0.3">
      <c r="A6133" t="s">
        <v>552</v>
      </c>
      <c r="B6133" t="s">
        <v>691</v>
      </c>
      <c r="C6133" t="s">
        <v>596</v>
      </c>
      <c r="D6133" s="226">
        <v>0</v>
      </c>
      <c r="E6133" t="s">
        <v>692</v>
      </c>
    </row>
    <row r="6134" spans="1:5" hidden="1" x14ac:dyDescent="0.3">
      <c r="A6134" t="s">
        <v>552</v>
      </c>
      <c r="B6134" t="s">
        <v>691</v>
      </c>
      <c r="C6134" t="s">
        <v>597</v>
      </c>
      <c r="D6134" s="226">
        <v>0</v>
      </c>
      <c r="E6134" t="s">
        <v>692</v>
      </c>
    </row>
    <row r="6135" spans="1:5" hidden="1" x14ac:dyDescent="0.3">
      <c r="A6135" t="s">
        <v>552</v>
      </c>
      <c r="B6135" t="s">
        <v>691</v>
      </c>
      <c r="C6135" t="s">
        <v>598</v>
      </c>
      <c r="D6135" s="226">
        <v>0</v>
      </c>
      <c r="E6135" t="s">
        <v>692</v>
      </c>
    </row>
    <row r="6136" spans="1:5" hidden="1" x14ac:dyDescent="0.3">
      <c r="A6136" t="s">
        <v>552</v>
      </c>
      <c r="B6136" t="s">
        <v>691</v>
      </c>
      <c r="C6136" t="s">
        <v>599</v>
      </c>
      <c r="D6136" s="226">
        <v>0</v>
      </c>
      <c r="E6136" t="s">
        <v>692</v>
      </c>
    </row>
    <row r="6137" spans="1:5" hidden="1" x14ac:dyDescent="0.3">
      <c r="A6137" t="s">
        <v>552</v>
      </c>
      <c r="B6137" t="s">
        <v>691</v>
      </c>
      <c r="C6137" t="s">
        <v>600</v>
      </c>
      <c r="D6137" s="226">
        <v>0</v>
      </c>
      <c r="E6137" t="s">
        <v>692</v>
      </c>
    </row>
    <row r="6138" spans="1:5" hidden="1" x14ac:dyDescent="0.3">
      <c r="A6138" t="s">
        <v>552</v>
      </c>
      <c r="B6138" t="s">
        <v>691</v>
      </c>
      <c r="C6138" t="s">
        <v>601</v>
      </c>
      <c r="D6138" s="226">
        <v>0</v>
      </c>
      <c r="E6138" t="s">
        <v>692</v>
      </c>
    </row>
    <row r="6139" spans="1:5" hidden="1" x14ac:dyDescent="0.3">
      <c r="A6139" t="s">
        <v>552</v>
      </c>
      <c r="B6139" t="s">
        <v>691</v>
      </c>
      <c r="C6139" t="s">
        <v>602</v>
      </c>
      <c r="D6139" s="226">
        <v>0</v>
      </c>
      <c r="E6139" t="s">
        <v>692</v>
      </c>
    </row>
    <row r="6140" spans="1:5" hidden="1" x14ac:dyDescent="0.3">
      <c r="A6140" t="s">
        <v>552</v>
      </c>
      <c r="B6140" t="s">
        <v>691</v>
      </c>
      <c r="C6140" t="s">
        <v>603</v>
      </c>
      <c r="D6140" s="226">
        <v>0</v>
      </c>
      <c r="E6140" t="s">
        <v>692</v>
      </c>
    </row>
    <row r="6141" spans="1:5" hidden="1" x14ac:dyDescent="0.3">
      <c r="A6141" t="s">
        <v>552</v>
      </c>
      <c r="B6141" t="s">
        <v>691</v>
      </c>
      <c r="C6141" t="s">
        <v>604</v>
      </c>
      <c r="D6141" s="226">
        <v>0</v>
      </c>
      <c r="E6141" t="s">
        <v>692</v>
      </c>
    </row>
    <row r="6142" spans="1:5" hidden="1" x14ac:dyDescent="0.3">
      <c r="A6142" t="s">
        <v>552</v>
      </c>
      <c r="B6142" t="s">
        <v>691</v>
      </c>
      <c r="C6142" t="s">
        <v>605</v>
      </c>
      <c r="D6142" s="226">
        <v>0</v>
      </c>
      <c r="E6142" t="s">
        <v>692</v>
      </c>
    </row>
    <row r="6143" spans="1:5" hidden="1" x14ac:dyDescent="0.3">
      <c r="A6143" t="s">
        <v>552</v>
      </c>
      <c r="B6143" t="s">
        <v>691</v>
      </c>
      <c r="C6143" t="s">
        <v>606</v>
      </c>
      <c r="D6143" s="226">
        <v>0</v>
      </c>
      <c r="E6143" t="s">
        <v>692</v>
      </c>
    </row>
    <row r="6144" spans="1:5" hidden="1" x14ac:dyDescent="0.3">
      <c r="A6144" t="s">
        <v>552</v>
      </c>
      <c r="B6144" t="s">
        <v>691</v>
      </c>
      <c r="C6144" t="s">
        <v>607</v>
      </c>
      <c r="D6144" s="226">
        <v>0</v>
      </c>
      <c r="E6144" t="s">
        <v>692</v>
      </c>
    </row>
    <row r="6145" spans="1:5" hidden="1" x14ac:dyDescent="0.3">
      <c r="A6145" t="s">
        <v>552</v>
      </c>
      <c r="B6145" t="s">
        <v>691</v>
      </c>
      <c r="C6145" t="s">
        <v>608</v>
      </c>
      <c r="D6145" s="226">
        <v>0</v>
      </c>
      <c r="E6145" t="s">
        <v>692</v>
      </c>
    </row>
    <row r="6146" spans="1:5" hidden="1" x14ac:dyDescent="0.3">
      <c r="A6146" t="s">
        <v>552</v>
      </c>
      <c r="B6146" t="s">
        <v>691</v>
      </c>
      <c r="C6146" t="s">
        <v>609</v>
      </c>
      <c r="D6146" s="226">
        <v>0</v>
      </c>
      <c r="E6146" t="s">
        <v>692</v>
      </c>
    </row>
    <row r="6147" spans="1:5" hidden="1" x14ac:dyDescent="0.3">
      <c r="A6147" t="s">
        <v>552</v>
      </c>
      <c r="B6147" t="s">
        <v>691</v>
      </c>
      <c r="C6147" t="s">
        <v>610</v>
      </c>
      <c r="D6147" s="226">
        <v>0</v>
      </c>
      <c r="E6147" t="s">
        <v>692</v>
      </c>
    </row>
    <row r="6148" spans="1:5" hidden="1" x14ac:dyDescent="0.3">
      <c r="A6148" t="s">
        <v>552</v>
      </c>
      <c r="B6148" t="s">
        <v>691</v>
      </c>
      <c r="C6148" t="s">
        <v>611</v>
      </c>
      <c r="D6148" s="226">
        <v>0</v>
      </c>
      <c r="E6148" t="s">
        <v>692</v>
      </c>
    </row>
    <row r="6149" spans="1:5" hidden="1" x14ac:dyDescent="0.3">
      <c r="A6149" t="s">
        <v>552</v>
      </c>
      <c r="B6149" t="s">
        <v>691</v>
      </c>
      <c r="C6149" t="s">
        <v>612</v>
      </c>
      <c r="D6149" s="226">
        <v>0</v>
      </c>
      <c r="E6149" t="s">
        <v>692</v>
      </c>
    </row>
    <row r="6150" spans="1:5" hidden="1" x14ac:dyDescent="0.3">
      <c r="A6150" t="s">
        <v>552</v>
      </c>
      <c r="B6150" t="s">
        <v>691</v>
      </c>
      <c r="C6150" t="s">
        <v>613</v>
      </c>
      <c r="D6150" s="226">
        <v>0</v>
      </c>
      <c r="E6150" t="s">
        <v>692</v>
      </c>
    </row>
    <row r="6151" spans="1:5" hidden="1" x14ac:dyDescent="0.3">
      <c r="A6151" t="s">
        <v>552</v>
      </c>
      <c r="B6151" t="s">
        <v>691</v>
      </c>
      <c r="C6151" t="s">
        <v>614</v>
      </c>
      <c r="D6151" s="226">
        <v>0</v>
      </c>
      <c r="E6151" t="s">
        <v>692</v>
      </c>
    </row>
    <row r="6152" spans="1:5" hidden="1" x14ac:dyDescent="0.3">
      <c r="A6152" t="s">
        <v>552</v>
      </c>
      <c r="B6152" t="s">
        <v>691</v>
      </c>
      <c r="C6152" t="s">
        <v>615</v>
      </c>
      <c r="D6152" s="226">
        <v>0</v>
      </c>
      <c r="E6152" t="s">
        <v>692</v>
      </c>
    </row>
    <row r="6153" spans="1:5" hidden="1" x14ac:dyDescent="0.3">
      <c r="A6153" t="s">
        <v>552</v>
      </c>
      <c r="B6153" t="s">
        <v>691</v>
      </c>
      <c r="C6153" t="s">
        <v>616</v>
      </c>
      <c r="D6153" s="226">
        <v>0</v>
      </c>
      <c r="E6153" t="s">
        <v>692</v>
      </c>
    </row>
    <row r="6154" spans="1:5" hidden="1" x14ac:dyDescent="0.3">
      <c r="A6154" t="s">
        <v>552</v>
      </c>
      <c r="B6154" t="s">
        <v>691</v>
      </c>
      <c r="C6154" t="s">
        <v>617</v>
      </c>
      <c r="D6154" s="226">
        <v>0</v>
      </c>
      <c r="E6154" t="s">
        <v>692</v>
      </c>
    </row>
    <row r="6155" spans="1:5" hidden="1" x14ac:dyDescent="0.3">
      <c r="A6155" t="s">
        <v>552</v>
      </c>
      <c r="B6155" t="s">
        <v>691</v>
      </c>
      <c r="C6155" t="s">
        <v>618</v>
      </c>
      <c r="D6155" s="226">
        <v>0</v>
      </c>
      <c r="E6155" t="s">
        <v>692</v>
      </c>
    </row>
    <row r="6156" spans="1:5" hidden="1" x14ac:dyDescent="0.3">
      <c r="A6156" t="s">
        <v>552</v>
      </c>
      <c r="B6156" t="s">
        <v>691</v>
      </c>
      <c r="C6156" t="s">
        <v>619</v>
      </c>
      <c r="D6156" s="226">
        <v>0</v>
      </c>
      <c r="E6156" t="s">
        <v>692</v>
      </c>
    </row>
    <row r="6157" spans="1:5" hidden="1" x14ac:dyDescent="0.3">
      <c r="A6157" t="s">
        <v>552</v>
      </c>
      <c r="B6157" t="s">
        <v>691</v>
      </c>
      <c r="C6157" t="s">
        <v>620</v>
      </c>
      <c r="D6157" s="226">
        <v>0</v>
      </c>
      <c r="E6157" t="s">
        <v>692</v>
      </c>
    </row>
    <row r="6158" spans="1:5" hidden="1" x14ac:dyDescent="0.3">
      <c r="A6158" t="s">
        <v>552</v>
      </c>
      <c r="B6158" t="s">
        <v>691</v>
      </c>
      <c r="C6158" t="s">
        <v>621</v>
      </c>
      <c r="D6158" s="226">
        <v>0</v>
      </c>
      <c r="E6158" t="s">
        <v>692</v>
      </c>
    </row>
    <row r="6159" spans="1:5" hidden="1" x14ac:dyDescent="0.3">
      <c r="A6159" t="s">
        <v>552</v>
      </c>
      <c r="B6159" t="s">
        <v>691</v>
      </c>
      <c r="C6159" t="s">
        <v>622</v>
      </c>
      <c r="D6159" s="226">
        <v>0</v>
      </c>
      <c r="E6159" t="s">
        <v>692</v>
      </c>
    </row>
    <row r="6160" spans="1:5" hidden="1" x14ac:dyDescent="0.3">
      <c r="A6160" t="s">
        <v>552</v>
      </c>
      <c r="B6160" t="s">
        <v>691</v>
      </c>
      <c r="C6160" t="s">
        <v>623</v>
      </c>
      <c r="D6160" s="226">
        <v>0</v>
      </c>
      <c r="E6160" t="s">
        <v>692</v>
      </c>
    </row>
    <row r="6161" spans="1:5" hidden="1" x14ac:dyDescent="0.3">
      <c r="A6161" t="s">
        <v>552</v>
      </c>
      <c r="B6161" t="s">
        <v>691</v>
      </c>
      <c r="C6161" t="s">
        <v>624</v>
      </c>
      <c r="D6161" s="226">
        <v>0</v>
      </c>
      <c r="E6161" t="s">
        <v>692</v>
      </c>
    </row>
    <row r="6162" spans="1:5" hidden="1" x14ac:dyDescent="0.3">
      <c r="A6162" t="s">
        <v>552</v>
      </c>
      <c r="B6162" t="s">
        <v>691</v>
      </c>
      <c r="C6162" t="s">
        <v>200</v>
      </c>
      <c r="D6162" s="226">
        <v>-101163.45</v>
      </c>
      <c r="E6162" t="s">
        <v>692</v>
      </c>
    </row>
    <row r="6163" spans="1:5" hidden="1" x14ac:dyDescent="0.3">
      <c r="A6163" t="s">
        <v>552</v>
      </c>
      <c r="B6163" t="s">
        <v>691</v>
      </c>
      <c r="C6163" t="s">
        <v>202</v>
      </c>
      <c r="D6163" s="226">
        <v>-101163.45</v>
      </c>
      <c r="E6163" t="s">
        <v>692</v>
      </c>
    </row>
    <row r="6164" spans="1:5" hidden="1" x14ac:dyDescent="0.3">
      <c r="A6164" t="s">
        <v>552</v>
      </c>
      <c r="B6164" t="s">
        <v>691</v>
      </c>
      <c r="C6164" t="s">
        <v>625</v>
      </c>
      <c r="D6164" s="226">
        <v>50581.73</v>
      </c>
      <c r="E6164" t="s">
        <v>692</v>
      </c>
    </row>
    <row r="6165" spans="1:5" hidden="1" x14ac:dyDescent="0.3">
      <c r="A6165" t="s">
        <v>552</v>
      </c>
      <c r="B6165" t="s">
        <v>691</v>
      </c>
      <c r="C6165" t="s">
        <v>204</v>
      </c>
      <c r="D6165" s="226">
        <v>-58057.52</v>
      </c>
      <c r="E6165" t="s">
        <v>692</v>
      </c>
    </row>
    <row r="6166" spans="1:5" hidden="1" x14ac:dyDescent="0.3">
      <c r="A6166" t="s">
        <v>552</v>
      </c>
      <c r="B6166" t="s">
        <v>691</v>
      </c>
      <c r="C6166" t="s">
        <v>626</v>
      </c>
      <c r="D6166" s="226">
        <v>-12113.8</v>
      </c>
      <c r="E6166" t="s">
        <v>692</v>
      </c>
    </row>
    <row r="6167" spans="1:5" hidden="1" x14ac:dyDescent="0.3">
      <c r="A6167" t="s">
        <v>552</v>
      </c>
      <c r="B6167" t="s">
        <v>691</v>
      </c>
      <c r="C6167" t="s">
        <v>627</v>
      </c>
      <c r="D6167" s="226">
        <v>-49.87</v>
      </c>
      <c r="E6167" t="s">
        <v>692</v>
      </c>
    </row>
    <row r="6168" spans="1:5" hidden="1" x14ac:dyDescent="0.3">
      <c r="A6168" t="s">
        <v>552</v>
      </c>
      <c r="B6168" t="s">
        <v>691</v>
      </c>
      <c r="C6168" t="s">
        <v>628</v>
      </c>
      <c r="D6168" s="226">
        <v>-16051.96</v>
      </c>
      <c r="E6168" t="s">
        <v>692</v>
      </c>
    </row>
    <row r="6169" spans="1:5" hidden="1" x14ac:dyDescent="0.3">
      <c r="A6169" t="s">
        <v>552</v>
      </c>
      <c r="B6169" t="s">
        <v>691</v>
      </c>
      <c r="C6169" t="s">
        <v>629</v>
      </c>
      <c r="D6169" s="226">
        <v>-5103.97</v>
      </c>
      <c r="E6169" t="s">
        <v>692</v>
      </c>
    </row>
    <row r="6170" spans="1:5" hidden="1" x14ac:dyDescent="0.3">
      <c r="A6170" t="s">
        <v>552</v>
      </c>
      <c r="B6170" t="s">
        <v>691</v>
      </c>
      <c r="C6170" t="s">
        <v>630</v>
      </c>
      <c r="D6170" s="226">
        <v>-11644.32</v>
      </c>
      <c r="E6170" t="s">
        <v>692</v>
      </c>
    </row>
    <row r="6171" spans="1:5" hidden="1" x14ac:dyDescent="0.3">
      <c r="A6171" t="s">
        <v>552</v>
      </c>
      <c r="B6171" t="s">
        <v>691</v>
      </c>
      <c r="C6171" t="s">
        <v>631</v>
      </c>
      <c r="D6171" s="226">
        <v>0</v>
      </c>
      <c r="E6171" t="s">
        <v>692</v>
      </c>
    </row>
    <row r="6172" spans="1:5" hidden="1" x14ac:dyDescent="0.3">
      <c r="A6172" t="s">
        <v>552</v>
      </c>
      <c r="B6172" t="s">
        <v>691</v>
      </c>
      <c r="C6172" t="s">
        <v>632</v>
      </c>
      <c r="D6172" s="226">
        <v>0</v>
      </c>
      <c r="E6172" t="s">
        <v>692</v>
      </c>
    </row>
    <row r="6173" spans="1:5" hidden="1" x14ac:dyDescent="0.3">
      <c r="A6173" t="s">
        <v>552</v>
      </c>
      <c r="B6173" t="s">
        <v>691</v>
      </c>
      <c r="C6173" t="s">
        <v>633</v>
      </c>
      <c r="D6173" s="226">
        <v>-561.44000000000005</v>
      </c>
      <c r="E6173" t="s">
        <v>692</v>
      </c>
    </row>
    <row r="6174" spans="1:5" hidden="1" x14ac:dyDescent="0.3">
      <c r="A6174" t="s">
        <v>552</v>
      </c>
      <c r="B6174" t="s">
        <v>691</v>
      </c>
      <c r="C6174" t="s">
        <v>634</v>
      </c>
      <c r="D6174" s="226">
        <v>0</v>
      </c>
      <c r="E6174" t="s">
        <v>692</v>
      </c>
    </row>
    <row r="6175" spans="1:5" hidden="1" x14ac:dyDescent="0.3">
      <c r="A6175" t="s">
        <v>552</v>
      </c>
      <c r="B6175" t="s">
        <v>691</v>
      </c>
      <c r="C6175" t="s">
        <v>635</v>
      </c>
      <c r="D6175" s="226">
        <v>0</v>
      </c>
      <c r="E6175" t="s">
        <v>692</v>
      </c>
    </row>
    <row r="6176" spans="1:5" hidden="1" x14ac:dyDescent="0.3">
      <c r="A6176" t="s">
        <v>552</v>
      </c>
      <c r="B6176" t="s">
        <v>691</v>
      </c>
      <c r="C6176" t="s">
        <v>636</v>
      </c>
      <c r="D6176" s="226">
        <v>0</v>
      </c>
      <c r="E6176" t="s">
        <v>692</v>
      </c>
    </row>
    <row r="6177" spans="1:5" hidden="1" x14ac:dyDescent="0.3">
      <c r="A6177" t="s">
        <v>552</v>
      </c>
      <c r="B6177" t="s">
        <v>691</v>
      </c>
      <c r="C6177" t="s">
        <v>637</v>
      </c>
      <c r="D6177" s="226">
        <v>-10300</v>
      </c>
      <c r="E6177" t="s">
        <v>692</v>
      </c>
    </row>
    <row r="6178" spans="1:5" hidden="1" x14ac:dyDescent="0.3">
      <c r="A6178" t="s">
        <v>552</v>
      </c>
      <c r="B6178" t="s">
        <v>691</v>
      </c>
      <c r="C6178" t="s">
        <v>638</v>
      </c>
      <c r="D6178" s="226">
        <v>0</v>
      </c>
      <c r="E6178" t="s">
        <v>692</v>
      </c>
    </row>
    <row r="6179" spans="1:5" hidden="1" x14ac:dyDescent="0.3">
      <c r="A6179" t="s">
        <v>552</v>
      </c>
      <c r="B6179" t="s">
        <v>691</v>
      </c>
      <c r="C6179" t="s">
        <v>639</v>
      </c>
      <c r="D6179" s="226">
        <v>-2232.16</v>
      </c>
      <c r="E6179" t="s">
        <v>692</v>
      </c>
    </row>
    <row r="6180" spans="1:5" hidden="1" x14ac:dyDescent="0.3">
      <c r="A6180" t="s">
        <v>552</v>
      </c>
      <c r="B6180" t="s">
        <v>691</v>
      </c>
      <c r="C6180" t="s">
        <v>640</v>
      </c>
      <c r="D6180" s="226">
        <v>0</v>
      </c>
      <c r="E6180" t="s">
        <v>692</v>
      </c>
    </row>
    <row r="6181" spans="1:5" hidden="1" x14ac:dyDescent="0.3">
      <c r="A6181" t="s">
        <v>552</v>
      </c>
      <c r="B6181" t="s">
        <v>691</v>
      </c>
      <c r="C6181" t="s">
        <v>641</v>
      </c>
      <c r="D6181" s="226">
        <v>0</v>
      </c>
      <c r="E6181" t="s">
        <v>692</v>
      </c>
    </row>
    <row r="6182" spans="1:5" hidden="1" x14ac:dyDescent="0.3">
      <c r="A6182" t="s">
        <v>552</v>
      </c>
      <c r="B6182" t="s">
        <v>691</v>
      </c>
      <c r="C6182" t="s">
        <v>237</v>
      </c>
      <c r="D6182" s="226">
        <v>-9055.82</v>
      </c>
      <c r="E6182" t="s">
        <v>692</v>
      </c>
    </row>
    <row r="6183" spans="1:5" hidden="1" x14ac:dyDescent="0.3">
      <c r="A6183" t="s">
        <v>552</v>
      </c>
      <c r="B6183" t="s">
        <v>691</v>
      </c>
      <c r="C6183" t="s">
        <v>642</v>
      </c>
      <c r="D6183" s="226">
        <v>-8682.0499999999993</v>
      </c>
      <c r="E6183" t="s">
        <v>692</v>
      </c>
    </row>
    <row r="6184" spans="1:5" hidden="1" x14ac:dyDescent="0.3">
      <c r="A6184" t="s">
        <v>552</v>
      </c>
      <c r="B6184" t="s">
        <v>691</v>
      </c>
      <c r="C6184" t="s">
        <v>643</v>
      </c>
      <c r="D6184" s="226">
        <v>0</v>
      </c>
      <c r="E6184" t="s">
        <v>692</v>
      </c>
    </row>
    <row r="6185" spans="1:5" hidden="1" x14ac:dyDescent="0.3">
      <c r="A6185" t="s">
        <v>552</v>
      </c>
      <c r="B6185" t="s">
        <v>691</v>
      </c>
      <c r="C6185" t="s">
        <v>644</v>
      </c>
      <c r="D6185" s="226">
        <v>0</v>
      </c>
      <c r="E6185" t="s">
        <v>692</v>
      </c>
    </row>
    <row r="6186" spans="1:5" hidden="1" x14ac:dyDescent="0.3">
      <c r="A6186" t="s">
        <v>552</v>
      </c>
      <c r="B6186" t="s">
        <v>691</v>
      </c>
      <c r="C6186" t="s">
        <v>645</v>
      </c>
      <c r="D6186" s="226">
        <v>-373.77</v>
      </c>
      <c r="E6186" t="s">
        <v>692</v>
      </c>
    </row>
    <row r="6187" spans="1:5" hidden="1" x14ac:dyDescent="0.3">
      <c r="A6187" t="s">
        <v>552</v>
      </c>
      <c r="B6187" t="s">
        <v>691</v>
      </c>
      <c r="C6187" t="s">
        <v>646</v>
      </c>
      <c r="D6187" s="226">
        <v>0</v>
      </c>
      <c r="E6187" t="s">
        <v>692</v>
      </c>
    </row>
    <row r="6188" spans="1:5" hidden="1" x14ac:dyDescent="0.3">
      <c r="A6188" t="s">
        <v>552</v>
      </c>
      <c r="B6188" t="s">
        <v>691</v>
      </c>
      <c r="C6188" t="s">
        <v>244</v>
      </c>
      <c r="D6188" s="226">
        <v>-37379.769999999997</v>
      </c>
      <c r="E6188" t="s">
        <v>692</v>
      </c>
    </row>
    <row r="6189" spans="1:5" hidden="1" x14ac:dyDescent="0.3">
      <c r="A6189" t="s">
        <v>552</v>
      </c>
      <c r="B6189" t="s">
        <v>691</v>
      </c>
      <c r="C6189" t="s">
        <v>647</v>
      </c>
      <c r="D6189" s="226">
        <v>-2150.0700000000002</v>
      </c>
      <c r="E6189" t="s">
        <v>692</v>
      </c>
    </row>
    <row r="6190" spans="1:5" hidden="1" x14ac:dyDescent="0.3">
      <c r="A6190" t="s">
        <v>552</v>
      </c>
      <c r="B6190" t="s">
        <v>691</v>
      </c>
      <c r="C6190" t="s">
        <v>648</v>
      </c>
      <c r="D6190" s="226">
        <v>-462.96</v>
      </c>
      <c r="E6190" t="s">
        <v>692</v>
      </c>
    </row>
    <row r="6191" spans="1:5" hidden="1" x14ac:dyDescent="0.3">
      <c r="A6191" t="s">
        <v>552</v>
      </c>
      <c r="B6191" t="s">
        <v>691</v>
      </c>
      <c r="C6191" t="s">
        <v>649</v>
      </c>
      <c r="D6191" s="226">
        <v>0</v>
      </c>
      <c r="E6191" t="s">
        <v>692</v>
      </c>
    </row>
    <row r="6192" spans="1:5" hidden="1" x14ac:dyDescent="0.3">
      <c r="A6192" t="s">
        <v>552</v>
      </c>
      <c r="B6192" t="s">
        <v>691</v>
      </c>
      <c r="C6192" t="s">
        <v>650</v>
      </c>
      <c r="D6192" s="226">
        <v>-3000</v>
      </c>
      <c r="E6192" t="s">
        <v>692</v>
      </c>
    </row>
    <row r="6193" spans="1:5" hidden="1" x14ac:dyDescent="0.3">
      <c r="A6193" t="s">
        <v>552</v>
      </c>
      <c r="B6193" t="s">
        <v>691</v>
      </c>
      <c r="C6193" t="s">
        <v>651</v>
      </c>
      <c r="D6193" s="226">
        <v>0</v>
      </c>
      <c r="E6193" t="s">
        <v>692</v>
      </c>
    </row>
    <row r="6194" spans="1:5" hidden="1" x14ac:dyDescent="0.3">
      <c r="A6194" t="s">
        <v>552</v>
      </c>
      <c r="B6194" t="s">
        <v>691</v>
      </c>
      <c r="C6194" t="s">
        <v>652</v>
      </c>
      <c r="D6194" s="226">
        <v>-31766.74</v>
      </c>
      <c r="E6194" t="s">
        <v>692</v>
      </c>
    </row>
    <row r="6195" spans="1:5" hidden="1" x14ac:dyDescent="0.3">
      <c r="A6195" t="s">
        <v>552</v>
      </c>
      <c r="B6195" t="s">
        <v>691</v>
      </c>
      <c r="C6195" t="s">
        <v>653</v>
      </c>
      <c r="D6195" s="226">
        <v>0</v>
      </c>
      <c r="E6195" t="s">
        <v>692</v>
      </c>
    </row>
    <row r="6196" spans="1:5" hidden="1" x14ac:dyDescent="0.3">
      <c r="A6196" t="s">
        <v>552</v>
      </c>
      <c r="B6196" t="s">
        <v>691</v>
      </c>
      <c r="C6196" t="s">
        <v>253</v>
      </c>
      <c r="D6196" s="226">
        <v>-0.22</v>
      </c>
      <c r="E6196" t="s">
        <v>692</v>
      </c>
    </row>
    <row r="6197" spans="1:5" hidden="1" x14ac:dyDescent="0.3">
      <c r="A6197" t="s">
        <v>552</v>
      </c>
      <c r="B6197" t="s">
        <v>691</v>
      </c>
      <c r="C6197" t="s">
        <v>254</v>
      </c>
      <c r="D6197" s="226">
        <v>-0.18</v>
      </c>
      <c r="E6197" t="s">
        <v>692</v>
      </c>
    </row>
    <row r="6198" spans="1:5" hidden="1" x14ac:dyDescent="0.3">
      <c r="A6198" t="s">
        <v>552</v>
      </c>
      <c r="B6198" t="s">
        <v>691</v>
      </c>
      <c r="C6198" t="s">
        <v>255</v>
      </c>
      <c r="D6198" s="226">
        <v>-54230.77</v>
      </c>
      <c r="E6198" t="s">
        <v>692</v>
      </c>
    </row>
    <row r="6199" spans="1:5" hidden="1" x14ac:dyDescent="0.3">
      <c r="A6199" t="s">
        <v>552</v>
      </c>
      <c r="B6199" t="s">
        <v>691</v>
      </c>
      <c r="C6199" t="s">
        <v>256</v>
      </c>
      <c r="D6199" s="226">
        <v>-33872.5</v>
      </c>
      <c r="E6199" t="s">
        <v>692</v>
      </c>
    </row>
    <row r="6200" spans="1:5" hidden="1" x14ac:dyDescent="0.3">
      <c r="A6200" t="s">
        <v>552</v>
      </c>
      <c r="B6200" t="s">
        <v>691</v>
      </c>
      <c r="C6200" t="s">
        <v>257</v>
      </c>
      <c r="D6200" s="226">
        <v>-16484.84</v>
      </c>
      <c r="E6200" t="s">
        <v>692</v>
      </c>
    </row>
    <row r="6201" spans="1:5" hidden="1" x14ac:dyDescent="0.3">
      <c r="A6201" t="s">
        <v>552</v>
      </c>
      <c r="B6201" t="s">
        <v>691</v>
      </c>
      <c r="C6201" t="s">
        <v>258</v>
      </c>
      <c r="D6201" s="226">
        <v>-3873.43</v>
      </c>
      <c r="E6201" t="s">
        <v>692</v>
      </c>
    </row>
    <row r="6202" spans="1:5" hidden="1" x14ac:dyDescent="0.3">
      <c r="A6202" t="s">
        <v>552</v>
      </c>
      <c r="B6202" t="s">
        <v>691</v>
      </c>
      <c r="C6202" t="s">
        <v>259</v>
      </c>
      <c r="D6202" s="226">
        <v>0</v>
      </c>
      <c r="E6202" t="s">
        <v>692</v>
      </c>
    </row>
    <row r="6203" spans="1:5" hidden="1" x14ac:dyDescent="0.3">
      <c r="A6203" t="s">
        <v>552</v>
      </c>
      <c r="B6203" t="s">
        <v>691</v>
      </c>
      <c r="C6203" t="s">
        <v>260</v>
      </c>
      <c r="D6203" s="226">
        <v>0</v>
      </c>
      <c r="E6203" t="s">
        <v>692</v>
      </c>
    </row>
    <row r="6204" spans="1:5" hidden="1" x14ac:dyDescent="0.3">
      <c r="A6204" t="s">
        <v>552</v>
      </c>
      <c r="B6204" t="s">
        <v>691</v>
      </c>
      <c r="C6204" t="s">
        <v>261</v>
      </c>
      <c r="D6204" s="226">
        <v>0</v>
      </c>
      <c r="E6204" t="s">
        <v>692</v>
      </c>
    </row>
    <row r="6205" spans="1:5" hidden="1" x14ac:dyDescent="0.3">
      <c r="A6205" t="s">
        <v>552</v>
      </c>
      <c r="B6205" t="s">
        <v>691</v>
      </c>
      <c r="C6205" t="s">
        <v>262</v>
      </c>
      <c r="D6205" s="226">
        <v>0</v>
      </c>
      <c r="E6205" t="s">
        <v>692</v>
      </c>
    </row>
    <row r="6206" spans="1:5" hidden="1" x14ac:dyDescent="0.3">
      <c r="A6206" t="s">
        <v>552</v>
      </c>
      <c r="B6206" t="s">
        <v>691</v>
      </c>
      <c r="C6206" t="s">
        <v>44</v>
      </c>
      <c r="D6206" s="226">
        <v>-0.04</v>
      </c>
      <c r="E6206" t="s">
        <v>692</v>
      </c>
    </row>
    <row r="6207" spans="1:5" hidden="1" x14ac:dyDescent="0.3">
      <c r="A6207" t="s">
        <v>552</v>
      </c>
      <c r="B6207" t="s">
        <v>691</v>
      </c>
      <c r="C6207" t="s">
        <v>263</v>
      </c>
      <c r="D6207" s="226">
        <v>-93294.51</v>
      </c>
      <c r="E6207" t="s">
        <v>692</v>
      </c>
    </row>
    <row r="6208" spans="1:5" hidden="1" x14ac:dyDescent="0.3">
      <c r="A6208" t="s">
        <v>552</v>
      </c>
      <c r="B6208" t="s">
        <v>691</v>
      </c>
      <c r="C6208" t="s">
        <v>264</v>
      </c>
      <c r="D6208" s="226">
        <v>-16287.43</v>
      </c>
      <c r="E6208" t="s">
        <v>692</v>
      </c>
    </row>
    <row r="6209" spans="1:5" hidden="1" x14ac:dyDescent="0.3">
      <c r="A6209" t="s">
        <v>552</v>
      </c>
      <c r="B6209" t="s">
        <v>691</v>
      </c>
      <c r="C6209" t="s">
        <v>265</v>
      </c>
      <c r="D6209" s="226">
        <v>-11275.47</v>
      </c>
      <c r="E6209" t="s">
        <v>692</v>
      </c>
    </row>
    <row r="6210" spans="1:5" hidden="1" x14ac:dyDescent="0.3">
      <c r="A6210" t="s">
        <v>552</v>
      </c>
      <c r="B6210" t="s">
        <v>691</v>
      </c>
      <c r="C6210" t="s">
        <v>266</v>
      </c>
      <c r="D6210" s="226">
        <v>-16428.7</v>
      </c>
      <c r="E6210" t="s">
        <v>692</v>
      </c>
    </row>
    <row r="6211" spans="1:5" hidden="1" x14ac:dyDescent="0.3">
      <c r="A6211" t="s">
        <v>552</v>
      </c>
      <c r="B6211" t="s">
        <v>691</v>
      </c>
      <c r="C6211" t="s">
        <v>267</v>
      </c>
      <c r="D6211" s="226">
        <v>-17106.189999999999</v>
      </c>
      <c r="E6211" t="s">
        <v>692</v>
      </c>
    </row>
    <row r="6212" spans="1:5" hidden="1" x14ac:dyDescent="0.3">
      <c r="A6212" t="s">
        <v>552</v>
      </c>
      <c r="B6212" t="s">
        <v>691</v>
      </c>
      <c r="C6212" t="s">
        <v>268</v>
      </c>
      <c r="D6212" s="226">
        <v>0</v>
      </c>
      <c r="E6212" t="s">
        <v>692</v>
      </c>
    </row>
    <row r="6213" spans="1:5" hidden="1" x14ac:dyDescent="0.3">
      <c r="A6213" t="s">
        <v>552</v>
      </c>
      <c r="B6213" t="s">
        <v>691</v>
      </c>
      <c r="C6213" t="s">
        <v>269</v>
      </c>
      <c r="D6213" s="226">
        <v>-580</v>
      </c>
      <c r="E6213" t="s">
        <v>692</v>
      </c>
    </row>
    <row r="6214" spans="1:5" hidden="1" x14ac:dyDescent="0.3">
      <c r="A6214" t="s">
        <v>552</v>
      </c>
      <c r="B6214" t="s">
        <v>691</v>
      </c>
      <c r="C6214" t="s">
        <v>270</v>
      </c>
      <c r="D6214" s="226">
        <v>-5289.97</v>
      </c>
      <c r="E6214" t="s">
        <v>692</v>
      </c>
    </row>
    <row r="6215" spans="1:5" hidden="1" x14ac:dyDescent="0.3">
      <c r="A6215" t="s">
        <v>552</v>
      </c>
      <c r="B6215" t="s">
        <v>691</v>
      </c>
      <c r="C6215" t="s">
        <v>271</v>
      </c>
      <c r="D6215" s="226">
        <v>-11974.9</v>
      </c>
      <c r="E6215" t="s">
        <v>692</v>
      </c>
    </row>
    <row r="6216" spans="1:5" hidden="1" x14ac:dyDescent="0.3">
      <c r="A6216" t="s">
        <v>552</v>
      </c>
      <c r="B6216" t="s">
        <v>691</v>
      </c>
      <c r="C6216" t="s">
        <v>272</v>
      </c>
      <c r="D6216" s="226">
        <v>0</v>
      </c>
      <c r="E6216" t="s">
        <v>692</v>
      </c>
    </row>
    <row r="6217" spans="1:5" hidden="1" x14ac:dyDescent="0.3">
      <c r="A6217" t="s">
        <v>552</v>
      </c>
      <c r="B6217" t="s">
        <v>691</v>
      </c>
      <c r="C6217" t="s">
        <v>273</v>
      </c>
      <c r="D6217" s="226">
        <v>0</v>
      </c>
      <c r="E6217" t="s">
        <v>692</v>
      </c>
    </row>
    <row r="6218" spans="1:5" hidden="1" x14ac:dyDescent="0.3">
      <c r="A6218" t="s">
        <v>552</v>
      </c>
      <c r="B6218" t="s">
        <v>691</v>
      </c>
      <c r="C6218" t="s">
        <v>274</v>
      </c>
      <c r="D6218" s="226">
        <v>-1056.08</v>
      </c>
      <c r="E6218" t="s">
        <v>692</v>
      </c>
    </row>
    <row r="6219" spans="1:5" hidden="1" x14ac:dyDescent="0.3">
      <c r="A6219" t="s">
        <v>552</v>
      </c>
      <c r="B6219" t="s">
        <v>691</v>
      </c>
      <c r="C6219" t="s">
        <v>275</v>
      </c>
      <c r="D6219" s="226">
        <v>-1783.47</v>
      </c>
      <c r="E6219" t="s">
        <v>692</v>
      </c>
    </row>
    <row r="6220" spans="1:5" hidden="1" x14ac:dyDescent="0.3">
      <c r="A6220" t="s">
        <v>552</v>
      </c>
      <c r="B6220" t="s">
        <v>691</v>
      </c>
      <c r="C6220" t="s">
        <v>276</v>
      </c>
      <c r="D6220" s="226">
        <v>-1376</v>
      </c>
      <c r="E6220" t="s">
        <v>692</v>
      </c>
    </row>
    <row r="6221" spans="1:5" hidden="1" x14ac:dyDescent="0.3">
      <c r="A6221" t="s">
        <v>552</v>
      </c>
      <c r="B6221" t="s">
        <v>691</v>
      </c>
      <c r="C6221" t="s">
        <v>277</v>
      </c>
      <c r="D6221" s="226">
        <v>-10136.299999999999</v>
      </c>
      <c r="E6221" t="s">
        <v>692</v>
      </c>
    </row>
    <row r="6222" spans="1:5" hidden="1" x14ac:dyDescent="0.3">
      <c r="A6222" t="s">
        <v>552</v>
      </c>
      <c r="B6222" t="s">
        <v>691</v>
      </c>
      <c r="C6222" t="s">
        <v>44</v>
      </c>
      <c r="D6222" s="226">
        <v>-7.0000000000000007E-2</v>
      </c>
      <c r="E6222" t="s">
        <v>692</v>
      </c>
    </row>
    <row r="6223" spans="1:5" hidden="1" x14ac:dyDescent="0.3">
      <c r="A6223" t="s">
        <v>552</v>
      </c>
      <c r="B6223" t="s">
        <v>691</v>
      </c>
      <c r="C6223" t="s">
        <v>278</v>
      </c>
      <c r="D6223" s="226">
        <v>-7091.97</v>
      </c>
      <c r="E6223" t="s">
        <v>692</v>
      </c>
    </row>
    <row r="6224" spans="1:5" hidden="1" x14ac:dyDescent="0.3">
      <c r="A6224" t="s">
        <v>552</v>
      </c>
      <c r="B6224" t="s">
        <v>691</v>
      </c>
      <c r="C6224" t="s">
        <v>279</v>
      </c>
      <c r="D6224" s="226">
        <v>0</v>
      </c>
      <c r="E6224" t="s">
        <v>692</v>
      </c>
    </row>
    <row r="6225" spans="1:5" hidden="1" x14ac:dyDescent="0.3">
      <c r="A6225" t="s">
        <v>552</v>
      </c>
      <c r="B6225" t="s">
        <v>691</v>
      </c>
      <c r="C6225" t="s">
        <v>280</v>
      </c>
      <c r="D6225" s="226">
        <v>-478.32</v>
      </c>
      <c r="E6225" t="s">
        <v>692</v>
      </c>
    </row>
    <row r="6226" spans="1:5" hidden="1" x14ac:dyDescent="0.3">
      <c r="A6226" t="s">
        <v>552</v>
      </c>
      <c r="B6226" t="s">
        <v>691</v>
      </c>
      <c r="C6226" t="s">
        <v>281</v>
      </c>
      <c r="D6226" s="226">
        <v>-22</v>
      </c>
      <c r="E6226" t="s">
        <v>692</v>
      </c>
    </row>
    <row r="6227" spans="1:5" hidden="1" x14ac:dyDescent="0.3">
      <c r="A6227" t="s">
        <v>552</v>
      </c>
      <c r="B6227" t="s">
        <v>691</v>
      </c>
      <c r="C6227" t="s">
        <v>282</v>
      </c>
      <c r="D6227" s="226">
        <v>-1715.81</v>
      </c>
      <c r="E6227" t="s">
        <v>692</v>
      </c>
    </row>
    <row r="6228" spans="1:5" hidden="1" x14ac:dyDescent="0.3">
      <c r="A6228" t="s">
        <v>552</v>
      </c>
      <c r="B6228" t="s">
        <v>691</v>
      </c>
      <c r="C6228" t="s">
        <v>283</v>
      </c>
      <c r="D6228" s="226">
        <v>-3594.4</v>
      </c>
      <c r="E6228" t="s">
        <v>692</v>
      </c>
    </row>
    <row r="6229" spans="1:5" hidden="1" x14ac:dyDescent="0.3">
      <c r="A6229" t="s">
        <v>552</v>
      </c>
      <c r="B6229" t="s">
        <v>691</v>
      </c>
      <c r="C6229" t="s">
        <v>284</v>
      </c>
      <c r="D6229" s="226">
        <v>-429</v>
      </c>
      <c r="E6229" t="s">
        <v>692</v>
      </c>
    </row>
    <row r="6230" spans="1:5" hidden="1" x14ac:dyDescent="0.3">
      <c r="A6230" t="s">
        <v>552</v>
      </c>
      <c r="B6230" t="s">
        <v>691</v>
      </c>
      <c r="C6230" t="s">
        <v>285</v>
      </c>
      <c r="D6230" s="226">
        <v>-852.44</v>
      </c>
      <c r="E6230" t="s">
        <v>692</v>
      </c>
    </row>
    <row r="6231" spans="1:5" hidden="1" x14ac:dyDescent="0.3">
      <c r="A6231" t="s">
        <v>552</v>
      </c>
      <c r="B6231" t="s">
        <v>691</v>
      </c>
      <c r="C6231" t="s">
        <v>44</v>
      </c>
      <c r="D6231" s="226">
        <v>0</v>
      </c>
      <c r="E6231" t="s">
        <v>692</v>
      </c>
    </row>
    <row r="6232" spans="1:5" hidden="1" x14ac:dyDescent="0.3">
      <c r="A6232" t="s">
        <v>552</v>
      </c>
      <c r="B6232" t="s">
        <v>691</v>
      </c>
      <c r="C6232" t="s">
        <v>286</v>
      </c>
      <c r="D6232" s="226">
        <v>-9785.6</v>
      </c>
      <c r="E6232" t="s">
        <v>692</v>
      </c>
    </row>
    <row r="6233" spans="1:5" hidden="1" x14ac:dyDescent="0.3">
      <c r="A6233" t="s">
        <v>552</v>
      </c>
      <c r="B6233" t="s">
        <v>691</v>
      </c>
      <c r="C6233" t="s">
        <v>287</v>
      </c>
      <c r="D6233" s="226">
        <v>-5000</v>
      </c>
      <c r="E6233" t="s">
        <v>692</v>
      </c>
    </row>
    <row r="6234" spans="1:5" hidden="1" x14ac:dyDescent="0.3">
      <c r="A6234" t="s">
        <v>552</v>
      </c>
      <c r="B6234" t="s">
        <v>691</v>
      </c>
      <c r="C6234" t="s">
        <v>288</v>
      </c>
      <c r="D6234" s="226">
        <v>0</v>
      </c>
      <c r="E6234" t="s">
        <v>692</v>
      </c>
    </row>
    <row r="6235" spans="1:5" hidden="1" x14ac:dyDescent="0.3">
      <c r="A6235" t="s">
        <v>552</v>
      </c>
      <c r="B6235" t="s">
        <v>691</v>
      </c>
      <c r="C6235" t="s">
        <v>289</v>
      </c>
      <c r="D6235" s="226">
        <v>0</v>
      </c>
      <c r="E6235" t="s">
        <v>692</v>
      </c>
    </row>
    <row r="6236" spans="1:5" hidden="1" x14ac:dyDescent="0.3">
      <c r="A6236" t="s">
        <v>552</v>
      </c>
      <c r="B6236" t="s">
        <v>691</v>
      </c>
      <c r="C6236" t="s">
        <v>290</v>
      </c>
      <c r="D6236" s="226">
        <v>-4111.3999999999996</v>
      </c>
      <c r="E6236" t="s">
        <v>692</v>
      </c>
    </row>
    <row r="6237" spans="1:5" hidden="1" x14ac:dyDescent="0.3">
      <c r="A6237" t="s">
        <v>552</v>
      </c>
      <c r="B6237" t="s">
        <v>691</v>
      </c>
      <c r="C6237" t="s">
        <v>291</v>
      </c>
      <c r="D6237" s="226">
        <v>0</v>
      </c>
      <c r="E6237" t="s">
        <v>692</v>
      </c>
    </row>
    <row r="6238" spans="1:5" hidden="1" x14ac:dyDescent="0.3">
      <c r="A6238" t="s">
        <v>552</v>
      </c>
      <c r="B6238" t="s">
        <v>691</v>
      </c>
      <c r="C6238" t="s">
        <v>292</v>
      </c>
      <c r="D6238" s="226">
        <v>-599.92999999999995</v>
      </c>
      <c r="E6238" t="s">
        <v>692</v>
      </c>
    </row>
    <row r="6239" spans="1:5" hidden="1" x14ac:dyDescent="0.3">
      <c r="A6239" t="s">
        <v>552</v>
      </c>
      <c r="B6239" t="s">
        <v>691</v>
      </c>
      <c r="C6239" t="s">
        <v>293</v>
      </c>
      <c r="D6239" s="226">
        <v>-74.27</v>
      </c>
      <c r="E6239" t="s">
        <v>692</v>
      </c>
    </row>
    <row r="6240" spans="1:5" hidden="1" x14ac:dyDescent="0.3">
      <c r="A6240" t="s">
        <v>552</v>
      </c>
      <c r="B6240" t="s">
        <v>691</v>
      </c>
      <c r="C6240" t="s">
        <v>294</v>
      </c>
      <c r="D6240" s="226">
        <v>0</v>
      </c>
      <c r="E6240" t="s">
        <v>692</v>
      </c>
    </row>
    <row r="6241" spans="1:5" hidden="1" x14ac:dyDescent="0.3">
      <c r="A6241" t="s">
        <v>552</v>
      </c>
      <c r="B6241" t="s">
        <v>691</v>
      </c>
      <c r="C6241" t="s">
        <v>44</v>
      </c>
      <c r="D6241" s="226">
        <v>-0.01</v>
      </c>
      <c r="E6241" t="s">
        <v>692</v>
      </c>
    </row>
    <row r="6242" spans="1:5" hidden="1" x14ac:dyDescent="0.3">
      <c r="A6242" t="s">
        <v>552</v>
      </c>
      <c r="B6242" t="s">
        <v>691</v>
      </c>
      <c r="C6242" t="s">
        <v>295</v>
      </c>
      <c r="D6242" s="226">
        <v>-9195.44</v>
      </c>
      <c r="E6242" t="s">
        <v>692</v>
      </c>
    </row>
    <row r="6243" spans="1:5" hidden="1" x14ac:dyDescent="0.3">
      <c r="A6243" t="s">
        <v>552</v>
      </c>
      <c r="B6243" t="s">
        <v>691</v>
      </c>
      <c r="C6243" t="s">
        <v>296</v>
      </c>
      <c r="D6243" s="226">
        <v>-4500</v>
      </c>
      <c r="E6243" t="s">
        <v>692</v>
      </c>
    </row>
    <row r="6244" spans="1:5" hidden="1" x14ac:dyDescent="0.3">
      <c r="A6244" t="s">
        <v>552</v>
      </c>
      <c r="B6244" t="s">
        <v>691</v>
      </c>
      <c r="C6244" t="s">
        <v>297</v>
      </c>
      <c r="D6244" s="226">
        <v>-500</v>
      </c>
      <c r="E6244" t="s">
        <v>692</v>
      </c>
    </row>
    <row r="6245" spans="1:5" hidden="1" x14ac:dyDescent="0.3">
      <c r="A6245" t="s">
        <v>552</v>
      </c>
      <c r="B6245" t="s">
        <v>691</v>
      </c>
      <c r="C6245" t="s">
        <v>298</v>
      </c>
      <c r="D6245" s="226">
        <v>0</v>
      </c>
      <c r="E6245" t="s">
        <v>692</v>
      </c>
    </row>
    <row r="6246" spans="1:5" hidden="1" x14ac:dyDescent="0.3">
      <c r="A6246" t="s">
        <v>552</v>
      </c>
      <c r="B6246" t="s">
        <v>691</v>
      </c>
      <c r="C6246" t="s">
        <v>299</v>
      </c>
      <c r="D6246" s="226">
        <v>0</v>
      </c>
      <c r="E6246" t="s">
        <v>692</v>
      </c>
    </row>
    <row r="6247" spans="1:5" hidden="1" x14ac:dyDescent="0.3">
      <c r="A6247" t="s">
        <v>552</v>
      </c>
      <c r="B6247" t="s">
        <v>691</v>
      </c>
      <c r="C6247" t="s">
        <v>300</v>
      </c>
      <c r="D6247" s="226">
        <v>0</v>
      </c>
      <c r="E6247" t="s">
        <v>692</v>
      </c>
    </row>
    <row r="6248" spans="1:5" hidden="1" x14ac:dyDescent="0.3">
      <c r="A6248" t="s">
        <v>552</v>
      </c>
      <c r="B6248" t="s">
        <v>691</v>
      </c>
      <c r="C6248" t="s">
        <v>301</v>
      </c>
      <c r="D6248" s="226">
        <v>0</v>
      </c>
      <c r="E6248" t="s">
        <v>692</v>
      </c>
    </row>
    <row r="6249" spans="1:5" hidden="1" x14ac:dyDescent="0.3">
      <c r="A6249" t="s">
        <v>552</v>
      </c>
      <c r="B6249" t="s">
        <v>691</v>
      </c>
      <c r="C6249" t="s">
        <v>302</v>
      </c>
      <c r="D6249" s="226">
        <v>0</v>
      </c>
      <c r="E6249" t="s">
        <v>692</v>
      </c>
    </row>
    <row r="6250" spans="1:5" hidden="1" x14ac:dyDescent="0.3">
      <c r="A6250" t="s">
        <v>552</v>
      </c>
      <c r="B6250" t="s">
        <v>691</v>
      </c>
      <c r="C6250" t="s">
        <v>303</v>
      </c>
      <c r="D6250" s="226">
        <v>-1951.8</v>
      </c>
      <c r="E6250" t="s">
        <v>692</v>
      </c>
    </row>
    <row r="6251" spans="1:5" hidden="1" x14ac:dyDescent="0.3">
      <c r="A6251" t="s">
        <v>552</v>
      </c>
      <c r="B6251" t="s">
        <v>691</v>
      </c>
      <c r="C6251" t="s">
        <v>304</v>
      </c>
      <c r="D6251" s="226">
        <v>0</v>
      </c>
      <c r="E6251" t="s">
        <v>692</v>
      </c>
    </row>
    <row r="6252" spans="1:5" hidden="1" x14ac:dyDescent="0.3">
      <c r="A6252" t="s">
        <v>552</v>
      </c>
      <c r="B6252" t="s">
        <v>691</v>
      </c>
      <c r="C6252" t="s">
        <v>305</v>
      </c>
      <c r="D6252" s="226">
        <v>0</v>
      </c>
      <c r="E6252" t="s">
        <v>692</v>
      </c>
    </row>
    <row r="6253" spans="1:5" hidden="1" x14ac:dyDescent="0.3">
      <c r="A6253" t="s">
        <v>552</v>
      </c>
      <c r="B6253" t="s">
        <v>691</v>
      </c>
      <c r="C6253" t="s">
        <v>306</v>
      </c>
      <c r="D6253" s="226">
        <v>-2243.64</v>
      </c>
      <c r="E6253" t="s">
        <v>692</v>
      </c>
    </row>
    <row r="6254" spans="1:5" hidden="1" x14ac:dyDescent="0.3">
      <c r="A6254" t="s">
        <v>552</v>
      </c>
      <c r="B6254" t="s">
        <v>691</v>
      </c>
      <c r="C6254" t="s">
        <v>44</v>
      </c>
      <c r="D6254" s="226">
        <v>-0.01</v>
      </c>
      <c r="E6254" t="s">
        <v>692</v>
      </c>
    </row>
    <row r="6255" spans="1:5" hidden="1" x14ac:dyDescent="0.3">
      <c r="A6255" t="s">
        <v>552</v>
      </c>
      <c r="B6255" t="s">
        <v>691</v>
      </c>
      <c r="C6255" t="s">
        <v>307</v>
      </c>
      <c r="D6255" s="226">
        <v>-18083.45</v>
      </c>
      <c r="E6255" t="s">
        <v>692</v>
      </c>
    </row>
    <row r="6256" spans="1:5" hidden="1" x14ac:dyDescent="0.3">
      <c r="A6256" t="s">
        <v>552</v>
      </c>
      <c r="B6256" t="s">
        <v>691</v>
      </c>
      <c r="C6256" t="s">
        <v>308</v>
      </c>
      <c r="D6256" s="226">
        <v>-4226.3</v>
      </c>
      <c r="E6256" t="s">
        <v>692</v>
      </c>
    </row>
    <row r="6257" spans="1:5" hidden="1" x14ac:dyDescent="0.3">
      <c r="A6257" t="s">
        <v>552</v>
      </c>
      <c r="B6257" t="s">
        <v>691</v>
      </c>
      <c r="C6257" t="s">
        <v>309</v>
      </c>
      <c r="D6257" s="226">
        <v>0</v>
      </c>
      <c r="E6257" t="s">
        <v>692</v>
      </c>
    </row>
    <row r="6258" spans="1:5" hidden="1" x14ac:dyDescent="0.3">
      <c r="A6258" t="s">
        <v>552</v>
      </c>
      <c r="B6258" t="s">
        <v>691</v>
      </c>
      <c r="C6258" t="s">
        <v>310</v>
      </c>
      <c r="D6258" s="226">
        <v>-1800</v>
      </c>
      <c r="E6258" t="s">
        <v>692</v>
      </c>
    </row>
    <row r="6259" spans="1:5" hidden="1" x14ac:dyDescent="0.3">
      <c r="A6259" t="s">
        <v>552</v>
      </c>
      <c r="B6259" t="s">
        <v>691</v>
      </c>
      <c r="C6259" t="s">
        <v>311</v>
      </c>
      <c r="D6259" s="226">
        <v>-185</v>
      </c>
      <c r="E6259" t="s">
        <v>692</v>
      </c>
    </row>
    <row r="6260" spans="1:5" hidden="1" x14ac:dyDescent="0.3">
      <c r="A6260" t="s">
        <v>552</v>
      </c>
      <c r="B6260" t="s">
        <v>691</v>
      </c>
      <c r="C6260" t="s">
        <v>312</v>
      </c>
      <c r="D6260" s="226">
        <v>0</v>
      </c>
      <c r="E6260" t="s">
        <v>692</v>
      </c>
    </row>
    <row r="6261" spans="1:5" hidden="1" x14ac:dyDescent="0.3">
      <c r="A6261" t="s">
        <v>552</v>
      </c>
      <c r="B6261" t="s">
        <v>691</v>
      </c>
      <c r="C6261" t="s">
        <v>313</v>
      </c>
      <c r="D6261" s="226">
        <v>-2372.15</v>
      </c>
      <c r="E6261" t="s">
        <v>692</v>
      </c>
    </row>
    <row r="6262" spans="1:5" hidden="1" x14ac:dyDescent="0.3">
      <c r="A6262" t="s">
        <v>552</v>
      </c>
      <c r="B6262" t="s">
        <v>691</v>
      </c>
      <c r="C6262" t="s">
        <v>314</v>
      </c>
      <c r="D6262" s="226">
        <v>0</v>
      </c>
      <c r="E6262" t="s">
        <v>692</v>
      </c>
    </row>
    <row r="6263" spans="1:5" hidden="1" x14ac:dyDescent="0.3">
      <c r="A6263" t="s">
        <v>552</v>
      </c>
      <c r="B6263" t="s">
        <v>691</v>
      </c>
      <c r="C6263" t="s">
        <v>315</v>
      </c>
      <c r="D6263" s="226">
        <v>-9500</v>
      </c>
      <c r="E6263" t="s">
        <v>692</v>
      </c>
    </row>
    <row r="6264" spans="1:5" hidden="1" x14ac:dyDescent="0.3">
      <c r="A6264" t="s">
        <v>552</v>
      </c>
      <c r="B6264" t="s">
        <v>691</v>
      </c>
      <c r="C6264" t="s">
        <v>316</v>
      </c>
      <c r="D6264" s="226">
        <v>0</v>
      </c>
      <c r="E6264" t="s">
        <v>692</v>
      </c>
    </row>
    <row r="6265" spans="1:5" hidden="1" x14ac:dyDescent="0.3">
      <c r="A6265" t="s">
        <v>552</v>
      </c>
      <c r="B6265" t="s">
        <v>691</v>
      </c>
      <c r="C6265" t="s">
        <v>44</v>
      </c>
      <c r="D6265" s="226">
        <v>-0.01</v>
      </c>
      <c r="E6265" t="s">
        <v>692</v>
      </c>
    </row>
    <row r="6266" spans="1:5" hidden="1" x14ac:dyDescent="0.3">
      <c r="A6266" t="s">
        <v>552</v>
      </c>
      <c r="B6266" t="s">
        <v>691</v>
      </c>
      <c r="C6266" t="s">
        <v>317</v>
      </c>
      <c r="D6266" s="226">
        <v>-6303.63</v>
      </c>
      <c r="E6266" t="s">
        <v>692</v>
      </c>
    </row>
    <row r="6267" spans="1:5" hidden="1" x14ac:dyDescent="0.3">
      <c r="A6267" t="s">
        <v>552</v>
      </c>
      <c r="B6267" t="s">
        <v>691</v>
      </c>
      <c r="C6267" t="s">
        <v>318</v>
      </c>
      <c r="D6267" s="226">
        <v>-6040</v>
      </c>
      <c r="E6267" t="s">
        <v>692</v>
      </c>
    </row>
    <row r="6268" spans="1:5" hidden="1" x14ac:dyDescent="0.3">
      <c r="A6268" t="s">
        <v>552</v>
      </c>
      <c r="B6268" t="s">
        <v>691</v>
      </c>
      <c r="C6268" t="s">
        <v>319</v>
      </c>
      <c r="D6268" s="226">
        <v>-263.63</v>
      </c>
      <c r="E6268" t="s">
        <v>692</v>
      </c>
    </row>
    <row r="6269" spans="1:5" hidden="1" x14ac:dyDescent="0.3">
      <c r="A6269" t="s">
        <v>552</v>
      </c>
      <c r="B6269" t="s">
        <v>691</v>
      </c>
      <c r="C6269" t="s">
        <v>320</v>
      </c>
      <c r="D6269" s="226">
        <v>0</v>
      </c>
      <c r="E6269" t="s">
        <v>692</v>
      </c>
    </row>
    <row r="6270" spans="1:5" hidden="1" x14ac:dyDescent="0.3">
      <c r="A6270" t="s">
        <v>552</v>
      </c>
      <c r="B6270" t="s">
        <v>691</v>
      </c>
      <c r="C6270" t="s">
        <v>321</v>
      </c>
      <c r="D6270" s="226">
        <v>0</v>
      </c>
      <c r="E6270" t="s">
        <v>692</v>
      </c>
    </row>
    <row r="6271" spans="1:5" hidden="1" x14ac:dyDescent="0.3">
      <c r="A6271" t="s">
        <v>552</v>
      </c>
      <c r="B6271" t="s">
        <v>691</v>
      </c>
      <c r="C6271" t="s">
        <v>44</v>
      </c>
      <c r="D6271" s="226">
        <v>0</v>
      </c>
      <c r="E6271" t="s">
        <v>692</v>
      </c>
    </row>
    <row r="6272" spans="1:5" hidden="1" x14ac:dyDescent="0.3">
      <c r="A6272" t="s">
        <v>552</v>
      </c>
      <c r="B6272" t="s">
        <v>691</v>
      </c>
      <c r="C6272" t="s">
        <v>322</v>
      </c>
      <c r="D6272" s="226">
        <v>-71318.89</v>
      </c>
      <c r="E6272" t="s">
        <v>692</v>
      </c>
    </row>
    <row r="6273" spans="1:5" hidden="1" x14ac:dyDescent="0.3">
      <c r="A6273" t="s">
        <v>552</v>
      </c>
      <c r="B6273" t="s">
        <v>691</v>
      </c>
      <c r="C6273" t="s">
        <v>323</v>
      </c>
      <c r="D6273" s="226">
        <v>0</v>
      </c>
      <c r="E6273" t="s">
        <v>692</v>
      </c>
    </row>
    <row r="6274" spans="1:5" hidden="1" x14ac:dyDescent="0.3">
      <c r="A6274" t="s">
        <v>552</v>
      </c>
      <c r="B6274" t="s">
        <v>691</v>
      </c>
      <c r="C6274" t="s">
        <v>324</v>
      </c>
      <c r="D6274" s="226">
        <v>0</v>
      </c>
      <c r="E6274" t="s">
        <v>692</v>
      </c>
    </row>
    <row r="6275" spans="1:5" hidden="1" x14ac:dyDescent="0.3">
      <c r="A6275" t="s">
        <v>552</v>
      </c>
      <c r="B6275" t="s">
        <v>691</v>
      </c>
      <c r="C6275" t="s">
        <v>325</v>
      </c>
      <c r="D6275" s="226">
        <v>-71318.89</v>
      </c>
      <c r="E6275" t="s">
        <v>692</v>
      </c>
    </row>
    <row r="6276" spans="1:5" hidden="1" x14ac:dyDescent="0.3">
      <c r="A6276" t="s">
        <v>552</v>
      </c>
      <c r="B6276" t="s">
        <v>691</v>
      </c>
      <c r="C6276" t="s">
        <v>44</v>
      </c>
      <c r="D6276" s="226">
        <v>-0.05</v>
      </c>
      <c r="E6276" t="s">
        <v>692</v>
      </c>
    </row>
    <row r="6277" spans="1:5" hidden="1" x14ac:dyDescent="0.3">
      <c r="A6277" t="s">
        <v>552</v>
      </c>
      <c r="B6277" t="s">
        <v>691</v>
      </c>
      <c r="C6277" t="s">
        <v>327</v>
      </c>
      <c r="D6277" s="226">
        <v>-579213.16</v>
      </c>
      <c r="E6277" t="s">
        <v>692</v>
      </c>
    </row>
    <row r="6278" spans="1:5" hidden="1" x14ac:dyDescent="0.3">
      <c r="A6278" t="s">
        <v>552</v>
      </c>
      <c r="B6278" t="s">
        <v>691</v>
      </c>
      <c r="C6278" t="s">
        <v>44</v>
      </c>
      <c r="D6278" s="226">
        <v>-0.41</v>
      </c>
      <c r="E6278" t="s">
        <v>692</v>
      </c>
    </row>
    <row r="6279" spans="1:5" hidden="1" x14ac:dyDescent="0.3">
      <c r="A6279" t="s">
        <v>552</v>
      </c>
      <c r="B6279" t="s">
        <v>691</v>
      </c>
      <c r="C6279" t="s">
        <v>328</v>
      </c>
      <c r="D6279" s="226">
        <v>231584.66</v>
      </c>
      <c r="E6279" t="s">
        <v>692</v>
      </c>
    </row>
    <row r="6280" spans="1:5" hidden="1" x14ac:dyDescent="0.3">
      <c r="A6280" t="s">
        <v>552</v>
      </c>
      <c r="B6280" t="s">
        <v>691</v>
      </c>
      <c r="C6280" t="s">
        <v>44</v>
      </c>
      <c r="D6280" s="226">
        <v>0.16</v>
      </c>
      <c r="E6280" t="s">
        <v>692</v>
      </c>
    </row>
    <row r="6281" spans="1:5" hidden="1" x14ac:dyDescent="0.3">
      <c r="A6281" t="s">
        <v>552</v>
      </c>
      <c r="B6281" t="s">
        <v>691</v>
      </c>
      <c r="C6281" t="s">
        <v>329</v>
      </c>
      <c r="D6281" s="226">
        <v>0</v>
      </c>
      <c r="E6281" t="s">
        <v>692</v>
      </c>
    </row>
    <row r="6282" spans="1:5" hidden="1" x14ac:dyDescent="0.3">
      <c r="A6282" t="s">
        <v>552</v>
      </c>
      <c r="B6282" t="s">
        <v>691</v>
      </c>
      <c r="C6282" t="s">
        <v>331</v>
      </c>
      <c r="D6282" s="226">
        <v>231584.66</v>
      </c>
      <c r="E6282" t="s">
        <v>692</v>
      </c>
    </row>
    <row r="6283" spans="1:5" hidden="1" x14ac:dyDescent="0.3">
      <c r="A6283" t="s">
        <v>552</v>
      </c>
      <c r="B6283" t="s">
        <v>691</v>
      </c>
      <c r="C6283" t="s">
        <v>332</v>
      </c>
      <c r="D6283" s="226">
        <v>-996.05</v>
      </c>
      <c r="E6283" t="s">
        <v>692</v>
      </c>
    </row>
    <row r="6284" spans="1:5" hidden="1" x14ac:dyDescent="0.3">
      <c r="A6284" t="s">
        <v>552</v>
      </c>
      <c r="B6284" t="s">
        <v>691</v>
      </c>
      <c r="C6284" t="s">
        <v>333</v>
      </c>
      <c r="D6284" s="226">
        <v>0</v>
      </c>
      <c r="E6284" t="s">
        <v>692</v>
      </c>
    </row>
    <row r="6285" spans="1:5" hidden="1" x14ac:dyDescent="0.3">
      <c r="A6285" t="s">
        <v>552</v>
      </c>
      <c r="B6285" t="s">
        <v>691</v>
      </c>
      <c r="C6285" t="s">
        <v>335</v>
      </c>
      <c r="D6285" s="226">
        <v>-3401.88</v>
      </c>
      <c r="E6285" t="s">
        <v>692</v>
      </c>
    </row>
    <row r="6286" spans="1:5" hidden="1" x14ac:dyDescent="0.3">
      <c r="A6286" t="s">
        <v>552</v>
      </c>
      <c r="B6286" t="s">
        <v>691</v>
      </c>
      <c r="C6286" t="s">
        <v>337</v>
      </c>
      <c r="D6286" s="226">
        <v>227186.73</v>
      </c>
      <c r="E6286" t="s">
        <v>692</v>
      </c>
    </row>
    <row r="6287" spans="1:5" hidden="1" x14ac:dyDescent="0.3">
      <c r="A6287" t="s">
        <v>552</v>
      </c>
      <c r="B6287" t="s">
        <v>691</v>
      </c>
      <c r="C6287" t="s">
        <v>338</v>
      </c>
      <c r="D6287" s="226">
        <v>-29064.82</v>
      </c>
      <c r="E6287" t="s">
        <v>692</v>
      </c>
    </row>
    <row r="6288" spans="1:5" hidden="1" x14ac:dyDescent="0.3">
      <c r="A6288" t="s">
        <v>552</v>
      </c>
      <c r="B6288" t="s">
        <v>691</v>
      </c>
      <c r="C6288" t="s">
        <v>341</v>
      </c>
      <c r="D6288" s="226">
        <v>0</v>
      </c>
      <c r="E6288" t="s">
        <v>692</v>
      </c>
    </row>
    <row r="6289" spans="1:5" hidden="1" x14ac:dyDescent="0.3">
      <c r="A6289" t="s">
        <v>552</v>
      </c>
      <c r="B6289" t="s">
        <v>691</v>
      </c>
      <c r="C6289" t="s">
        <v>343</v>
      </c>
      <c r="D6289" s="226">
        <v>-15358.14</v>
      </c>
      <c r="E6289" t="s">
        <v>692</v>
      </c>
    </row>
    <row r="6290" spans="1:5" hidden="1" x14ac:dyDescent="0.3">
      <c r="A6290" t="s">
        <v>552</v>
      </c>
      <c r="B6290" t="s">
        <v>691</v>
      </c>
      <c r="C6290" t="s">
        <v>344</v>
      </c>
      <c r="D6290" s="226">
        <v>0</v>
      </c>
      <c r="E6290" t="s">
        <v>692</v>
      </c>
    </row>
    <row r="6291" spans="1:5" hidden="1" x14ac:dyDescent="0.3">
      <c r="A6291" t="s">
        <v>552</v>
      </c>
      <c r="B6291" t="s">
        <v>691</v>
      </c>
      <c r="C6291" t="s">
        <v>345</v>
      </c>
      <c r="D6291" s="226">
        <v>-13706.68</v>
      </c>
      <c r="E6291" t="s">
        <v>692</v>
      </c>
    </row>
    <row r="6292" spans="1:5" hidden="1" x14ac:dyDescent="0.3">
      <c r="A6292" t="s">
        <v>552</v>
      </c>
      <c r="B6292" t="s">
        <v>691</v>
      </c>
      <c r="C6292" t="s">
        <v>346</v>
      </c>
      <c r="D6292" s="226">
        <v>198121.91</v>
      </c>
      <c r="E6292" t="s">
        <v>692</v>
      </c>
    </row>
    <row r="6293" spans="1:5" hidden="1" x14ac:dyDescent="0.3">
      <c r="A6293" t="s">
        <v>552</v>
      </c>
      <c r="B6293" t="s">
        <v>691</v>
      </c>
      <c r="C6293" t="s">
        <v>44</v>
      </c>
      <c r="D6293" s="226">
        <v>0.14000000000000001</v>
      </c>
      <c r="E6293" t="s">
        <v>692</v>
      </c>
    </row>
    <row r="6294" spans="1:5" hidden="1" x14ac:dyDescent="0.3">
      <c r="A6294" t="s">
        <v>552</v>
      </c>
      <c r="B6294" t="s">
        <v>691</v>
      </c>
      <c r="C6294" t="s">
        <v>347</v>
      </c>
      <c r="D6294" s="226">
        <v>-8330</v>
      </c>
      <c r="E6294" t="s">
        <v>692</v>
      </c>
    </row>
    <row r="6295" spans="1:5" hidden="1" x14ac:dyDescent="0.3">
      <c r="A6295" t="s">
        <v>552</v>
      </c>
      <c r="B6295" t="s">
        <v>691</v>
      </c>
      <c r="C6295" t="s">
        <v>654</v>
      </c>
      <c r="D6295" s="226">
        <v>0</v>
      </c>
      <c r="E6295" t="s">
        <v>692</v>
      </c>
    </row>
    <row r="6296" spans="1:5" hidden="1" x14ac:dyDescent="0.3">
      <c r="A6296" t="s">
        <v>552</v>
      </c>
      <c r="B6296" t="s">
        <v>691</v>
      </c>
      <c r="C6296" t="s">
        <v>349</v>
      </c>
      <c r="D6296" s="226">
        <v>0</v>
      </c>
      <c r="E6296" t="s">
        <v>692</v>
      </c>
    </row>
    <row r="6297" spans="1:5" hidden="1" x14ac:dyDescent="0.3">
      <c r="A6297" t="s">
        <v>552</v>
      </c>
      <c r="B6297" t="s">
        <v>691</v>
      </c>
      <c r="C6297" t="s">
        <v>350</v>
      </c>
      <c r="D6297" s="226">
        <v>0</v>
      </c>
      <c r="E6297" t="s">
        <v>692</v>
      </c>
    </row>
    <row r="6298" spans="1:5" hidden="1" x14ac:dyDescent="0.3">
      <c r="A6298" t="s">
        <v>552</v>
      </c>
      <c r="B6298" t="s">
        <v>691</v>
      </c>
      <c r="C6298" t="s">
        <v>351</v>
      </c>
      <c r="D6298" s="226">
        <v>0</v>
      </c>
      <c r="E6298" t="s">
        <v>692</v>
      </c>
    </row>
    <row r="6299" spans="1:5" hidden="1" x14ac:dyDescent="0.3">
      <c r="A6299" t="s">
        <v>552</v>
      </c>
      <c r="B6299" t="s">
        <v>691</v>
      </c>
      <c r="C6299" t="s">
        <v>352</v>
      </c>
      <c r="D6299" s="226">
        <v>-8330</v>
      </c>
      <c r="E6299" t="s">
        <v>692</v>
      </c>
    </row>
    <row r="6300" spans="1:5" hidden="1" x14ac:dyDescent="0.3">
      <c r="A6300" t="s">
        <v>552</v>
      </c>
      <c r="B6300" t="s">
        <v>691</v>
      </c>
      <c r="C6300" t="s">
        <v>353</v>
      </c>
      <c r="D6300" s="226">
        <v>0</v>
      </c>
      <c r="E6300" t="s">
        <v>692</v>
      </c>
    </row>
    <row r="6301" spans="1:5" hidden="1" x14ac:dyDescent="0.3">
      <c r="A6301" t="s">
        <v>552</v>
      </c>
      <c r="B6301" t="s">
        <v>691</v>
      </c>
      <c r="C6301" t="s">
        <v>354</v>
      </c>
      <c r="D6301" s="226">
        <v>0</v>
      </c>
      <c r="E6301" t="s">
        <v>692</v>
      </c>
    </row>
    <row r="6302" spans="1:5" hidden="1" x14ac:dyDescent="0.3">
      <c r="A6302" t="s">
        <v>552</v>
      </c>
      <c r="B6302" t="s">
        <v>691</v>
      </c>
      <c r="C6302" t="s">
        <v>355</v>
      </c>
      <c r="D6302" s="226">
        <v>0</v>
      </c>
      <c r="E6302" t="s">
        <v>692</v>
      </c>
    </row>
    <row r="6303" spans="1:5" hidden="1" x14ac:dyDescent="0.3">
      <c r="A6303" t="s">
        <v>552</v>
      </c>
      <c r="B6303" t="s">
        <v>691</v>
      </c>
      <c r="C6303" t="s">
        <v>356</v>
      </c>
      <c r="D6303" s="226">
        <v>0</v>
      </c>
      <c r="E6303" t="s">
        <v>692</v>
      </c>
    </row>
    <row r="6304" spans="1:5" hidden="1" x14ac:dyDescent="0.3">
      <c r="A6304" t="s">
        <v>552</v>
      </c>
      <c r="B6304" t="s">
        <v>691</v>
      </c>
      <c r="C6304" t="s">
        <v>357</v>
      </c>
      <c r="D6304" s="226">
        <v>0</v>
      </c>
      <c r="E6304" t="s">
        <v>692</v>
      </c>
    </row>
    <row r="6305" spans="1:5" hidden="1" x14ac:dyDescent="0.3">
      <c r="A6305" t="s">
        <v>552</v>
      </c>
      <c r="B6305" t="s">
        <v>691</v>
      </c>
      <c r="C6305" t="s">
        <v>358</v>
      </c>
      <c r="D6305" s="226">
        <v>0</v>
      </c>
      <c r="E6305" t="s">
        <v>692</v>
      </c>
    </row>
    <row r="6306" spans="1:5" hidden="1" x14ac:dyDescent="0.3">
      <c r="A6306" t="s">
        <v>552</v>
      </c>
      <c r="B6306" t="s">
        <v>691</v>
      </c>
      <c r="C6306" t="s">
        <v>359</v>
      </c>
      <c r="D6306" s="226">
        <v>0</v>
      </c>
      <c r="E6306" t="s">
        <v>692</v>
      </c>
    </row>
    <row r="6307" spans="1:5" hidden="1" x14ac:dyDescent="0.3">
      <c r="A6307" t="s">
        <v>552</v>
      </c>
      <c r="B6307" t="s">
        <v>691</v>
      </c>
      <c r="C6307" t="s">
        <v>360</v>
      </c>
      <c r="D6307" s="226">
        <v>0</v>
      </c>
      <c r="E6307" t="s">
        <v>692</v>
      </c>
    </row>
    <row r="6308" spans="1:5" hidden="1" x14ac:dyDescent="0.3">
      <c r="A6308" t="s">
        <v>552</v>
      </c>
      <c r="B6308" t="s">
        <v>691</v>
      </c>
      <c r="C6308" t="s">
        <v>361</v>
      </c>
      <c r="D6308" s="226">
        <v>0</v>
      </c>
      <c r="E6308" t="s">
        <v>692</v>
      </c>
    </row>
    <row r="6309" spans="1:5" hidden="1" x14ac:dyDescent="0.3">
      <c r="A6309" t="s">
        <v>552</v>
      </c>
      <c r="B6309" t="s">
        <v>691</v>
      </c>
      <c r="C6309" t="s">
        <v>362</v>
      </c>
      <c r="D6309" s="226">
        <v>0</v>
      </c>
      <c r="E6309" t="s">
        <v>692</v>
      </c>
    </row>
    <row r="6310" spans="1:5" hidden="1" x14ac:dyDescent="0.3">
      <c r="A6310" t="s">
        <v>552</v>
      </c>
      <c r="B6310" t="s">
        <v>691</v>
      </c>
      <c r="C6310" t="s">
        <v>363</v>
      </c>
      <c r="D6310" s="226">
        <v>0</v>
      </c>
      <c r="E6310" t="s">
        <v>692</v>
      </c>
    </row>
    <row r="6311" spans="1:5" hidden="1" x14ac:dyDescent="0.3">
      <c r="A6311" t="s">
        <v>552</v>
      </c>
      <c r="B6311" t="s">
        <v>691</v>
      </c>
      <c r="C6311" t="s">
        <v>364</v>
      </c>
      <c r="D6311" s="226">
        <v>-1487.96</v>
      </c>
      <c r="E6311" t="s">
        <v>692</v>
      </c>
    </row>
    <row r="6312" spans="1:5" hidden="1" x14ac:dyDescent="0.3">
      <c r="A6312" t="s">
        <v>552</v>
      </c>
      <c r="B6312" t="s">
        <v>691</v>
      </c>
      <c r="C6312" t="s">
        <v>365</v>
      </c>
      <c r="D6312" s="226">
        <v>0</v>
      </c>
      <c r="E6312" t="s">
        <v>692</v>
      </c>
    </row>
    <row r="6313" spans="1:5" hidden="1" x14ac:dyDescent="0.3">
      <c r="A6313" t="s">
        <v>552</v>
      </c>
      <c r="B6313" t="s">
        <v>691</v>
      </c>
      <c r="C6313" t="s">
        <v>366</v>
      </c>
      <c r="D6313" s="226">
        <v>0</v>
      </c>
      <c r="E6313" t="s">
        <v>692</v>
      </c>
    </row>
    <row r="6314" spans="1:5" hidden="1" x14ac:dyDescent="0.3">
      <c r="A6314" t="s">
        <v>552</v>
      </c>
      <c r="B6314" t="s">
        <v>691</v>
      </c>
      <c r="C6314" t="s">
        <v>367</v>
      </c>
      <c r="D6314" s="226">
        <v>-11787.96</v>
      </c>
      <c r="E6314" t="s">
        <v>692</v>
      </c>
    </row>
    <row r="6315" spans="1:5" hidden="1" x14ac:dyDescent="0.3">
      <c r="A6315" t="s">
        <v>552</v>
      </c>
      <c r="B6315" t="s">
        <v>691</v>
      </c>
      <c r="C6315" t="s">
        <v>368</v>
      </c>
      <c r="D6315" s="226">
        <v>10300</v>
      </c>
      <c r="E6315" t="s">
        <v>692</v>
      </c>
    </row>
    <row r="6316" spans="1:5" hidden="1" x14ac:dyDescent="0.3">
      <c r="A6316" t="s">
        <v>552</v>
      </c>
      <c r="B6316" t="s">
        <v>691</v>
      </c>
      <c r="C6316" t="s">
        <v>369</v>
      </c>
      <c r="D6316" s="226">
        <v>0</v>
      </c>
      <c r="E6316" t="s">
        <v>692</v>
      </c>
    </row>
    <row r="6317" spans="1:5" hidden="1" x14ac:dyDescent="0.3">
      <c r="A6317" t="s">
        <v>552</v>
      </c>
      <c r="B6317" t="s">
        <v>691</v>
      </c>
      <c r="C6317" t="s">
        <v>370</v>
      </c>
      <c r="D6317" s="226">
        <v>0</v>
      </c>
      <c r="E6317" t="s">
        <v>692</v>
      </c>
    </row>
    <row r="6318" spans="1:5" hidden="1" x14ac:dyDescent="0.3">
      <c r="A6318" t="s">
        <v>552</v>
      </c>
      <c r="B6318" t="s">
        <v>691</v>
      </c>
      <c r="C6318" t="s">
        <v>371</v>
      </c>
      <c r="D6318" s="226">
        <v>0</v>
      </c>
      <c r="E6318" t="s">
        <v>692</v>
      </c>
    </row>
    <row r="6319" spans="1:5" hidden="1" x14ac:dyDescent="0.3">
      <c r="A6319" t="s">
        <v>552</v>
      </c>
      <c r="B6319" t="s">
        <v>691</v>
      </c>
      <c r="C6319" t="s">
        <v>372</v>
      </c>
      <c r="D6319" s="226">
        <v>-9817.9599999999991</v>
      </c>
      <c r="E6319" t="s">
        <v>692</v>
      </c>
    </row>
    <row r="6320" spans="1:5" hidden="1" x14ac:dyDescent="0.3">
      <c r="A6320" t="s">
        <v>552</v>
      </c>
      <c r="B6320" t="s">
        <v>691</v>
      </c>
      <c r="C6320" t="s">
        <v>373</v>
      </c>
      <c r="D6320" s="226">
        <v>188303.95</v>
      </c>
      <c r="E6320" t="s">
        <v>692</v>
      </c>
    </row>
    <row r="6321" spans="1:5" hidden="1" x14ac:dyDescent="0.3">
      <c r="A6321" t="s">
        <v>552</v>
      </c>
      <c r="B6321" t="s">
        <v>691</v>
      </c>
      <c r="C6321" t="s">
        <v>655</v>
      </c>
      <c r="D6321" s="226">
        <v>188303.95</v>
      </c>
      <c r="E6321" t="s">
        <v>692</v>
      </c>
    </row>
    <row r="6322" spans="1:5" hidden="1" x14ac:dyDescent="0.3">
      <c r="A6322" t="s">
        <v>552</v>
      </c>
      <c r="B6322" t="s">
        <v>693</v>
      </c>
      <c r="C6322" t="s">
        <v>11</v>
      </c>
      <c r="D6322" s="226">
        <v>1671442.69</v>
      </c>
      <c r="E6322" t="s">
        <v>694</v>
      </c>
    </row>
    <row r="6323" spans="1:5" hidden="1" x14ac:dyDescent="0.3">
      <c r="A6323" t="s">
        <v>552</v>
      </c>
      <c r="B6323" t="s">
        <v>693</v>
      </c>
      <c r="C6323" t="s">
        <v>13</v>
      </c>
      <c r="D6323" s="226">
        <v>849084</v>
      </c>
      <c r="E6323" t="s">
        <v>694</v>
      </c>
    </row>
    <row r="6324" spans="1:5" hidden="1" x14ac:dyDescent="0.3">
      <c r="A6324" t="s">
        <v>552</v>
      </c>
      <c r="B6324" t="s">
        <v>693</v>
      </c>
      <c r="C6324" t="s">
        <v>16</v>
      </c>
      <c r="D6324" s="226">
        <v>608762.1</v>
      </c>
      <c r="E6324" t="s">
        <v>694</v>
      </c>
    </row>
    <row r="6325" spans="1:5" hidden="1" x14ac:dyDescent="0.3">
      <c r="A6325" t="s">
        <v>552</v>
      </c>
      <c r="B6325" t="s">
        <v>693</v>
      </c>
      <c r="C6325" t="s">
        <v>17</v>
      </c>
      <c r="D6325" s="226">
        <v>0</v>
      </c>
      <c r="E6325" t="s">
        <v>694</v>
      </c>
    </row>
    <row r="6326" spans="1:5" hidden="1" x14ac:dyDescent="0.3">
      <c r="A6326" t="s">
        <v>552</v>
      </c>
      <c r="B6326" t="s">
        <v>693</v>
      </c>
      <c r="C6326" t="s">
        <v>18</v>
      </c>
      <c r="D6326" s="226">
        <v>0</v>
      </c>
      <c r="E6326" t="s">
        <v>694</v>
      </c>
    </row>
    <row r="6327" spans="1:5" hidden="1" x14ac:dyDescent="0.3">
      <c r="A6327" t="s">
        <v>552</v>
      </c>
      <c r="B6327" t="s">
        <v>693</v>
      </c>
      <c r="C6327" t="s">
        <v>20</v>
      </c>
      <c r="D6327" s="226">
        <v>184539.1</v>
      </c>
      <c r="E6327" t="s">
        <v>694</v>
      </c>
    </row>
    <row r="6328" spans="1:5" hidden="1" x14ac:dyDescent="0.3">
      <c r="A6328" t="s">
        <v>552</v>
      </c>
      <c r="B6328" t="s">
        <v>693</v>
      </c>
      <c r="C6328" t="s">
        <v>23</v>
      </c>
      <c r="D6328" s="226">
        <v>9280</v>
      </c>
      <c r="E6328" t="s">
        <v>694</v>
      </c>
    </row>
    <row r="6329" spans="1:5" hidden="1" x14ac:dyDescent="0.3">
      <c r="A6329" t="s">
        <v>552</v>
      </c>
      <c r="B6329" t="s">
        <v>693</v>
      </c>
      <c r="C6329" t="s">
        <v>25</v>
      </c>
      <c r="D6329" s="226">
        <v>0</v>
      </c>
      <c r="E6329" t="s">
        <v>694</v>
      </c>
    </row>
    <row r="6330" spans="1:5" hidden="1" x14ac:dyDescent="0.3">
      <c r="A6330" t="s">
        <v>552</v>
      </c>
      <c r="B6330" t="s">
        <v>693</v>
      </c>
      <c r="C6330" t="s">
        <v>26</v>
      </c>
      <c r="D6330" s="226">
        <v>0</v>
      </c>
      <c r="E6330" t="s">
        <v>694</v>
      </c>
    </row>
    <row r="6331" spans="1:5" hidden="1" x14ac:dyDescent="0.3">
      <c r="A6331" t="s">
        <v>552</v>
      </c>
      <c r="B6331" t="s">
        <v>693</v>
      </c>
      <c r="C6331" t="s">
        <v>27</v>
      </c>
      <c r="D6331" s="226">
        <v>0</v>
      </c>
      <c r="E6331" t="s">
        <v>694</v>
      </c>
    </row>
    <row r="6332" spans="1:5" hidden="1" x14ac:dyDescent="0.3">
      <c r="A6332" t="s">
        <v>552</v>
      </c>
      <c r="B6332" t="s">
        <v>693</v>
      </c>
      <c r="C6332" t="s">
        <v>29</v>
      </c>
      <c r="D6332" s="226">
        <v>18886.490000000002</v>
      </c>
      <c r="E6332" t="s">
        <v>694</v>
      </c>
    </row>
    <row r="6333" spans="1:5" hidden="1" x14ac:dyDescent="0.3">
      <c r="A6333" t="s">
        <v>552</v>
      </c>
      <c r="B6333" t="s">
        <v>693</v>
      </c>
      <c r="C6333" t="s">
        <v>31</v>
      </c>
      <c r="D6333" s="226">
        <v>891</v>
      </c>
      <c r="E6333" t="s">
        <v>694</v>
      </c>
    </row>
    <row r="6334" spans="1:5" hidden="1" x14ac:dyDescent="0.3">
      <c r="A6334" t="s">
        <v>552</v>
      </c>
      <c r="B6334" t="s">
        <v>693</v>
      </c>
      <c r="C6334" t="s">
        <v>34</v>
      </c>
      <c r="D6334" s="226">
        <v>-22453.97</v>
      </c>
      <c r="E6334" t="s">
        <v>694</v>
      </c>
    </row>
    <row r="6335" spans="1:5" hidden="1" x14ac:dyDescent="0.3">
      <c r="A6335" t="s">
        <v>552</v>
      </c>
      <c r="B6335" t="s">
        <v>693</v>
      </c>
      <c r="C6335" t="s">
        <v>38</v>
      </c>
      <c r="D6335" s="226">
        <v>-4297.1400000000003</v>
      </c>
      <c r="E6335" t="s">
        <v>694</v>
      </c>
    </row>
    <row r="6336" spans="1:5" hidden="1" x14ac:dyDescent="0.3">
      <c r="A6336" t="s">
        <v>552</v>
      </c>
      <c r="B6336" t="s">
        <v>693</v>
      </c>
      <c r="C6336" t="s">
        <v>40</v>
      </c>
      <c r="D6336" s="226">
        <v>-18108.099999999999</v>
      </c>
      <c r="E6336" t="s">
        <v>694</v>
      </c>
    </row>
    <row r="6337" spans="1:5" hidden="1" x14ac:dyDescent="0.3">
      <c r="A6337" t="s">
        <v>552</v>
      </c>
      <c r="B6337" t="s">
        <v>693</v>
      </c>
      <c r="C6337" t="s">
        <v>42</v>
      </c>
      <c r="D6337" s="226">
        <v>-48.73</v>
      </c>
      <c r="E6337" t="s">
        <v>694</v>
      </c>
    </row>
    <row r="6338" spans="1:5" hidden="1" x14ac:dyDescent="0.3">
      <c r="A6338" t="s">
        <v>552</v>
      </c>
      <c r="B6338" t="s">
        <v>693</v>
      </c>
      <c r="C6338" t="s">
        <v>44</v>
      </c>
      <c r="D6338" s="226">
        <v>-0.01</v>
      </c>
      <c r="E6338" t="s">
        <v>694</v>
      </c>
    </row>
    <row r="6339" spans="1:5" hidden="1" x14ac:dyDescent="0.3">
      <c r="A6339" t="s">
        <v>552</v>
      </c>
      <c r="B6339" t="s">
        <v>693</v>
      </c>
      <c r="C6339" t="s">
        <v>45</v>
      </c>
      <c r="D6339" s="226">
        <v>-111537.11</v>
      </c>
      <c r="E6339" t="s">
        <v>694</v>
      </c>
    </row>
    <row r="6340" spans="1:5" hidden="1" x14ac:dyDescent="0.3">
      <c r="A6340" t="s">
        <v>552</v>
      </c>
      <c r="B6340" t="s">
        <v>693</v>
      </c>
      <c r="C6340" t="s">
        <v>46</v>
      </c>
      <c r="D6340" s="226">
        <v>-59849.37</v>
      </c>
      <c r="E6340" t="s">
        <v>694</v>
      </c>
    </row>
    <row r="6341" spans="1:5" hidden="1" x14ac:dyDescent="0.3">
      <c r="A6341" t="s">
        <v>552</v>
      </c>
      <c r="B6341" t="s">
        <v>693</v>
      </c>
      <c r="C6341" t="s">
        <v>48</v>
      </c>
      <c r="D6341" s="226">
        <v>-51687.74</v>
      </c>
      <c r="E6341" t="s">
        <v>694</v>
      </c>
    </row>
    <row r="6342" spans="1:5" hidden="1" x14ac:dyDescent="0.3">
      <c r="A6342" t="s">
        <v>552</v>
      </c>
      <c r="B6342" t="s">
        <v>693</v>
      </c>
      <c r="C6342" t="s">
        <v>49</v>
      </c>
      <c r="D6342" s="226">
        <v>0</v>
      </c>
      <c r="E6342" t="s">
        <v>694</v>
      </c>
    </row>
    <row r="6343" spans="1:5" hidden="1" x14ac:dyDescent="0.3">
      <c r="A6343" t="s">
        <v>552</v>
      </c>
      <c r="B6343" t="s">
        <v>693</v>
      </c>
      <c r="C6343" t="s">
        <v>50</v>
      </c>
      <c r="D6343" s="226">
        <v>1537451.61</v>
      </c>
      <c r="E6343" t="s">
        <v>694</v>
      </c>
    </row>
    <row r="6344" spans="1:5" hidden="1" x14ac:dyDescent="0.3">
      <c r="A6344" t="s">
        <v>552</v>
      </c>
      <c r="B6344" t="s">
        <v>693</v>
      </c>
      <c r="C6344" t="s">
        <v>51</v>
      </c>
      <c r="D6344" s="226">
        <v>-421072.37</v>
      </c>
      <c r="E6344" t="s">
        <v>694</v>
      </c>
    </row>
    <row r="6345" spans="1:5" hidden="1" x14ac:dyDescent="0.3">
      <c r="A6345" t="s">
        <v>552</v>
      </c>
      <c r="B6345" t="s">
        <v>693</v>
      </c>
      <c r="C6345" t="s">
        <v>52</v>
      </c>
      <c r="D6345" s="226">
        <v>-282460.31</v>
      </c>
      <c r="E6345" t="s">
        <v>694</v>
      </c>
    </row>
    <row r="6346" spans="1:5" hidden="1" x14ac:dyDescent="0.3">
      <c r="A6346" t="s">
        <v>552</v>
      </c>
      <c r="B6346" t="s">
        <v>693</v>
      </c>
      <c r="C6346" t="s">
        <v>53</v>
      </c>
      <c r="D6346" s="226">
        <v>-137941.68</v>
      </c>
      <c r="E6346" t="s">
        <v>694</v>
      </c>
    </row>
    <row r="6347" spans="1:5" hidden="1" x14ac:dyDescent="0.3">
      <c r="A6347" t="s">
        <v>552</v>
      </c>
      <c r="B6347" t="s">
        <v>693</v>
      </c>
      <c r="C6347" t="s">
        <v>54</v>
      </c>
      <c r="D6347" s="226">
        <v>-670.38</v>
      </c>
      <c r="E6347" t="s">
        <v>694</v>
      </c>
    </row>
    <row r="6348" spans="1:5" hidden="1" x14ac:dyDescent="0.3">
      <c r="A6348" t="s">
        <v>552</v>
      </c>
      <c r="B6348" t="s">
        <v>693</v>
      </c>
      <c r="C6348" t="s">
        <v>23</v>
      </c>
      <c r="D6348" s="226">
        <v>0</v>
      </c>
      <c r="E6348" t="s">
        <v>694</v>
      </c>
    </row>
    <row r="6349" spans="1:5" hidden="1" x14ac:dyDescent="0.3">
      <c r="A6349" t="s">
        <v>552</v>
      </c>
      <c r="B6349" t="s">
        <v>693</v>
      </c>
      <c r="C6349" t="s">
        <v>44</v>
      </c>
      <c r="D6349" s="226">
        <v>-0.28000000000000003</v>
      </c>
      <c r="E6349" t="s">
        <v>694</v>
      </c>
    </row>
    <row r="6350" spans="1:5" hidden="1" x14ac:dyDescent="0.3">
      <c r="A6350" t="s">
        <v>552</v>
      </c>
      <c r="B6350" t="s">
        <v>693</v>
      </c>
      <c r="C6350" t="s">
        <v>55</v>
      </c>
      <c r="D6350" s="226">
        <v>-0.27</v>
      </c>
      <c r="E6350" t="s">
        <v>694</v>
      </c>
    </row>
    <row r="6351" spans="1:5" hidden="1" x14ac:dyDescent="0.3">
      <c r="A6351" t="s">
        <v>552</v>
      </c>
      <c r="B6351" t="s">
        <v>693</v>
      </c>
      <c r="C6351" t="s">
        <v>56</v>
      </c>
      <c r="D6351" s="226">
        <v>-700</v>
      </c>
      <c r="E6351" t="s">
        <v>694</v>
      </c>
    </row>
    <row r="6352" spans="1:5" hidden="1" x14ac:dyDescent="0.3">
      <c r="A6352" t="s">
        <v>552</v>
      </c>
      <c r="B6352" t="s">
        <v>693</v>
      </c>
      <c r="C6352" t="s">
        <v>57</v>
      </c>
      <c r="D6352" s="226">
        <v>0</v>
      </c>
      <c r="E6352" t="s">
        <v>694</v>
      </c>
    </row>
    <row r="6353" spans="1:5" hidden="1" x14ac:dyDescent="0.3">
      <c r="A6353" t="s">
        <v>552</v>
      </c>
      <c r="B6353" t="s">
        <v>693</v>
      </c>
      <c r="C6353" t="s">
        <v>58</v>
      </c>
      <c r="D6353" s="226">
        <v>0</v>
      </c>
      <c r="E6353" t="s">
        <v>694</v>
      </c>
    </row>
    <row r="6354" spans="1:5" hidden="1" x14ac:dyDescent="0.3">
      <c r="A6354" t="s">
        <v>552</v>
      </c>
      <c r="B6354" t="s">
        <v>693</v>
      </c>
      <c r="C6354" t="s">
        <v>59</v>
      </c>
      <c r="D6354" s="226">
        <v>0</v>
      </c>
      <c r="E6354" t="s">
        <v>694</v>
      </c>
    </row>
    <row r="6355" spans="1:5" hidden="1" x14ac:dyDescent="0.3">
      <c r="A6355" t="s">
        <v>552</v>
      </c>
      <c r="B6355" t="s">
        <v>693</v>
      </c>
      <c r="C6355" t="s">
        <v>61</v>
      </c>
      <c r="D6355" s="226">
        <v>0</v>
      </c>
      <c r="E6355" t="s">
        <v>694</v>
      </c>
    </row>
    <row r="6356" spans="1:5" hidden="1" x14ac:dyDescent="0.3">
      <c r="A6356" t="s">
        <v>552</v>
      </c>
      <c r="B6356" t="s">
        <v>693</v>
      </c>
      <c r="C6356" t="s">
        <v>62</v>
      </c>
      <c r="D6356" s="226">
        <v>0</v>
      </c>
      <c r="E6356" t="s">
        <v>694</v>
      </c>
    </row>
    <row r="6357" spans="1:5" hidden="1" x14ac:dyDescent="0.3">
      <c r="A6357" t="s">
        <v>552</v>
      </c>
      <c r="B6357" t="s">
        <v>693</v>
      </c>
      <c r="C6357" t="s">
        <v>64</v>
      </c>
      <c r="D6357" s="226">
        <v>0</v>
      </c>
      <c r="E6357" t="s">
        <v>694</v>
      </c>
    </row>
    <row r="6358" spans="1:5" hidden="1" x14ac:dyDescent="0.3">
      <c r="A6358" t="s">
        <v>552</v>
      </c>
      <c r="B6358" t="s">
        <v>693</v>
      </c>
      <c r="C6358" t="s">
        <v>65</v>
      </c>
      <c r="D6358" s="226">
        <v>-700</v>
      </c>
      <c r="E6358" t="s">
        <v>694</v>
      </c>
    </row>
    <row r="6359" spans="1:5" hidden="1" x14ac:dyDescent="0.3">
      <c r="A6359" t="s">
        <v>552</v>
      </c>
      <c r="B6359" t="s">
        <v>693</v>
      </c>
      <c r="C6359" t="s">
        <v>66</v>
      </c>
      <c r="D6359" s="226">
        <v>-700</v>
      </c>
      <c r="E6359" t="s">
        <v>694</v>
      </c>
    </row>
    <row r="6360" spans="1:5" hidden="1" x14ac:dyDescent="0.3">
      <c r="A6360" t="s">
        <v>552</v>
      </c>
      <c r="B6360" t="s">
        <v>693</v>
      </c>
      <c r="C6360" t="s">
        <v>68</v>
      </c>
      <c r="D6360" s="226">
        <v>0</v>
      </c>
      <c r="E6360" t="s">
        <v>694</v>
      </c>
    </row>
    <row r="6361" spans="1:5" hidden="1" x14ac:dyDescent="0.3">
      <c r="A6361" t="s">
        <v>552</v>
      </c>
      <c r="B6361" t="s">
        <v>693</v>
      </c>
      <c r="C6361" t="s">
        <v>69</v>
      </c>
      <c r="D6361" s="226">
        <v>0</v>
      </c>
      <c r="E6361" t="s">
        <v>694</v>
      </c>
    </row>
    <row r="6362" spans="1:5" hidden="1" x14ac:dyDescent="0.3">
      <c r="A6362" t="s">
        <v>552</v>
      </c>
      <c r="B6362" t="s">
        <v>693</v>
      </c>
      <c r="C6362" t="s">
        <v>70</v>
      </c>
      <c r="D6362" s="226">
        <v>0</v>
      </c>
      <c r="E6362" t="s">
        <v>694</v>
      </c>
    </row>
    <row r="6363" spans="1:5" hidden="1" x14ac:dyDescent="0.3">
      <c r="A6363" t="s">
        <v>552</v>
      </c>
      <c r="B6363" t="s">
        <v>693</v>
      </c>
      <c r="C6363" t="s">
        <v>44</v>
      </c>
      <c r="D6363" s="226">
        <v>0</v>
      </c>
      <c r="E6363" t="s">
        <v>694</v>
      </c>
    </row>
    <row r="6364" spans="1:5" hidden="1" x14ac:dyDescent="0.3">
      <c r="A6364" t="s">
        <v>552</v>
      </c>
      <c r="B6364" t="s">
        <v>693</v>
      </c>
      <c r="C6364" t="s">
        <v>71</v>
      </c>
      <c r="D6364" s="226">
        <v>-1427.33</v>
      </c>
      <c r="E6364" t="s">
        <v>694</v>
      </c>
    </row>
    <row r="6365" spans="1:5" hidden="1" x14ac:dyDescent="0.3">
      <c r="A6365" t="s">
        <v>552</v>
      </c>
      <c r="B6365" t="s">
        <v>693</v>
      </c>
      <c r="C6365" t="s">
        <v>72</v>
      </c>
      <c r="D6365" s="226">
        <v>-1427.33</v>
      </c>
      <c r="E6365" t="s">
        <v>694</v>
      </c>
    </row>
    <row r="6366" spans="1:5" hidden="1" x14ac:dyDescent="0.3">
      <c r="A6366" t="s">
        <v>552</v>
      </c>
      <c r="B6366" t="s">
        <v>693</v>
      </c>
      <c r="C6366" t="s">
        <v>73</v>
      </c>
      <c r="D6366" s="226">
        <v>-1427.33</v>
      </c>
      <c r="E6366" t="s">
        <v>694</v>
      </c>
    </row>
    <row r="6367" spans="1:5" hidden="1" x14ac:dyDescent="0.3">
      <c r="A6367" t="s">
        <v>552</v>
      </c>
      <c r="B6367" t="s">
        <v>693</v>
      </c>
      <c r="C6367" t="s">
        <v>75</v>
      </c>
      <c r="D6367" s="226">
        <v>0</v>
      </c>
      <c r="E6367" t="s">
        <v>694</v>
      </c>
    </row>
    <row r="6368" spans="1:5" hidden="1" x14ac:dyDescent="0.3">
      <c r="A6368" t="s">
        <v>552</v>
      </c>
      <c r="B6368" t="s">
        <v>693</v>
      </c>
      <c r="C6368" t="s">
        <v>77</v>
      </c>
      <c r="D6368" s="226">
        <v>0</v>
      </c>
      <c r="E6368" t="s">
        <v>694</v>
      </c>
    </row>
    <row r="6369" spans="1:5" hidden="1" x14ac:dyDescent="0.3">
      <c r="A6369" t="s">
        <v>552</v>
      </c>
      <c r="B6369" t="s">
        <v>693</v>
      </c>
      <c r="C6369" t="s">
        <v>78</v>
      </c>
      <c r="D6369" s="226">
        <v>0</v>
      </c>
      <c r="E6369" t="s">
        <v>694</v>
      </c>
    </row>
    <row r="6370" spans="1:5" hidden="1" x14ac:dyDescent="0.3">
      <c r="A6370" t="s">
        <v>552</v>
      </c>
      <c r="B6370" t="s">
        <v>693</v>
      </c>
      <c r="C6370" t="s">
        <v>80</v>
      </c>
      <c r="D6370" s="226">
        <v>0</v>
      </c>
      <c r="E6370" t="s">
        <v>694</v>
      </c>
    </row>
    <row r="6371" spans="1:5" hidden="1" x14ac:dyDescent="0.3">
      <c r="A6371" t="s">
        <v>552</v>
      </c>
      <c r="B6371" t="s">
        <v>693</v>
      </c>
      <c r="C6371" t="s">
        <v>82</v>
      </c>
      <c r="D6371" s="226">
        <v>0</v>
      </c>
      <c r="E6371" t="s">
        <v>694</v>
      </c>
    </row>
    <row r="6372" spans="1:5" hidden="1" x14ac:dyDescent="0.3">
      <c r="A6372" t="s">
        <v>552</v>
      </c>
      <c r="B6372" t="s">
        <v>693</v>
      </c>
      <c r="C6372" t="s">
        <v>84</v>
      </c>
      <c r="D6372" s="226">
        <v>0</v>
      </c>
      <c r="E6372" t="s">
        <v>694</v>
      </c>
    </row>
    <row r="6373" spans="1:5" hidden="1" x14ac:dyDescent="0.3">
      <c r="A6373" t="s">
        <v>552</v>
      </c>
      <c r="B6373" t="s">
        <v>693</v>
      </c>
      <c r="C6373" t="s">
        <v>85</v>
      </c>
      <c r="D6373" s="226">
        <v>0</v>
      </c>
      <c r="E6373" t="s">
        <v>694</v>
      </c>
    </row>
    <row r="6374" spans="1:5" hidden="1" x14ac:dyDescent="0.3">
      <c r="A6374" t="s">
        <v>552</v>
      </c>
      <c r="B6374" t="s">
        <v>693</v>
      </c>
      <c r="C6374" t="s">
        <v>86</v>
      </c>
      <c r="D6374" s="226">
        <v>0</v>
      </c>
      <c r="E6374" t="s">
        <v>694</v>
      </c>
    </row>
    <row r="6375" spans="1:5" hidden="1" x14ac:dyDescent="0.3">
      <c r="A6375" t="s">
        <v>552</v>
      </c>
      <c r="B6375" t="s">
        <v>693</v>
      </c>
      <c r="C6375" t="s">
        <v>87</v>
      </c>
      <c r="D6375" s="226">
        <v>0</v>
      </c>
      <c r="E6375" t="s">
        <v>694</v>
      </c>
    </row>
    <row r="6376" spans="1:5" hidden="1" x14ac:dyDescent="0.3">
      <c r="A6376" t="s">
        <v>552</v>
      </c>
      <c r="B6376" t="s">
        <v>693</v>
      </c>
      <c r="C6376" t="s">
        <v>88</v>
      </c>
      <c r="D6376" s="226">
        <v>0</v>
      </c>
      <c r="E6376" t="s">
        <v>694</v>
      </c>
    </row>
    <row r="6377" spans="1:5" hidden="1" x14ac:dyDescent="0.3">
      <c r="A6377" t="s">
        <v>552</v>
      </c>
      <c r="B6377" t="s">
        <v>693</v>
      </c>
      <c r="C6377" t="s">
        <v>89</v>
      </c>
      <c r="D6377" s="226">
        <v>0</v>
      </c>
      <c r="E6377" t="s">
        <v>694</v>
      </c>
    </row>
    <row r="6378" spans="1:5" hidden="1" x14ac:dyDescent="0.3">
      <c r="A6378" t="s">
        <v>552</v>
      </c>
      <c r="B6378" t="s">
        <v>693</v>
      </c>
      <c r="C6378" t="s">
        <v>90</v>
      </c>
      <c r="D6378" s="226">
        <v>0</v>
      </c>
      <c r="E6378" t="s">
        <v>694</v>
      </c>
    </row>
    <row r="6379" spans="1:5" hidden="1" x14ac:dyDescent="0.3">
      <c r="A6379" t="s">
        <v>552</v>
      </c>
      <c r="B6379" t="s">
        <v>693</v>
      </c>
      <c r="C6379" t="s">
        <v>91</v>
      </c>
      <c r="D6379" s="226">
        <v>0</v>
      </c>
      <c r="E6379" t="s">
        <v>694</v>
      </c>
    </row>
    <row r="6380" spans="1:5" hidden="1" x14ac:dyDescent="0.3">
      <c r="A6380" t="s">
        <v>552</v>
      </c>
      <c r="B6380" t="s">
        <v>693</v>
      </c>
      <c r="C6380" t="s">
        <v>93</v>
      </c>
      <c r="D6380" s="226">
        <v>0</v>
      </c>
      <c r="E6380" t="s">
        <v>694</v>
      </c>
    </row>
    <row r="6381" spans="1:5" hidden="1" x14ac:dyDescent="0.3">
      <c r="A6381" t="s">
        <v>552</v>
      </c>
      <c r="B6381" t="s">
        <v>693</v>
      </c>
      <c r="C6381" t="s">
        <v>95</v>
      </c>
      <c r="D6381" s="226">
        <v>0</v>
      </c>
      <c r="E6381" t="s">
        <v>694</v>
      </c>
    </row>
    <row r="6382" spans="1:5" hidden="1" x14ac:dyDescent="0.3">
      <c r="A6382" t="s">
        <v>552</v>
      </c>
      <c r="B6382" t="s">
        <v>693</v>
      </c>
      <c r="C6382" t="s">
        <v>96</v>
      </c>
      <c r="D6382" s="226">
        <v>0</v>
      </c>
      <c r="E6382" t="s">
        <v>694</v>
      </c>
    </row>
    <row r="6383" spans="1:5" hidden="1" x14ac:dyDescent="0.3">
      <c r="A6383" t="s">
        <v>552</v>
      </c>
      <c r="B6383" t="s">
        <v>693</v>
      </c>
      <c r="C6383" t="s">
        <v>98</v>
      </c>
      <c r="D6383" s="226">
        <v>0</v>
      </c>
      <c r="E6383" t="s">
        <v>694</v>
      </c>
    </row>
    <row r="6384" spans="1:5" hidden="1" x14ac:dyDescent="0.3">
      <c r="A6384" t="s">
        <v>552</v>
      </c>
      <c r="B6384" t="s">
        <v>693</v>
      </c>
      <c r="C6384" t="s">
        <v>100</v>
      </c>
      <c r="D6384" s="226">
        <v>0</v>
      </c>
      <c r="E6384" t="s">
        <v>694</v>
      </c>
    </row>
    <row r="6385" spans="1:5" hidden="1" x14ac:dyDescent="0.3">
      <c r="A6385" t="s">
        <v>552</v>
      </c>
      <c r="B6385" t="s">
        <v>693</v>
      </c>
      <c r="C6385" t="s">
        <v>101</v>
      </c>
      <c r="D6385" s="226">
        <v>0</v>
      </c>
      <c r="E6385" t="s">
        <v>694</v>
      </c>
    </row>
    <row r="6386" spans="1:5" hidden="1" x14ac:dyDescent="0.3">
      <c r="A6386" t="s">
        <v>552</v>
      </c>
      <c r="B6386" t="s">
        <v>693</v>
      </c>
      <c r="C6386" t="s">
        <v>102</v>
      </c>
      <c r="D6386" s="226">
        <v>0</v>
      </c>
      <c r="E6386" t="s">
        <v>694</v>
      </c>
    </row>
    <row r="6387" spans="1:5" hidden="1" x14ac:dyDescent="0.3">
      <c r="A6387" t="s">
        <v>552</v>
      </c>
      <c r="B6387" t="s">
        <v>693</v>
      </c>
      <c r="C6387" t="s">
        <v>103</v>
      </c>
      <c r="D6387" s="226">
        <v>0</v>
      </c>
      <c r="E6387" t="s">
        <v>694</v>
      </c>
    </row>
    <row r="6388" spans="1:5" hidden="1" x14ac:dyDescent="0.3">
      <c r="A6388" t="s">
        <v>552</v>
      </c>
      <c r="B6388" t="s">
        <v>693</v>
      </c>
      <c r="C6388" t="s">
        <v>104</v>
      </c>
      <c r="D6388" s="226">
        <v>0</v>
      </c>
      <c r="E6388" t="s">
        <v>694</v>
      </c>
    </row>
    <row r="6389" spans="1:5" hidden="1" x14ac:dyDescent="0.3">
      <c r="A6389" t="s">
        <v>552</v>
      </c>
      <c r="B6389" t="s">
        <v>693</v>
      </c>
      <c r="C6389" t="s">
        <v>105</v>
      </c>
      <c r="D6389" s="226">
        <v>0</v>
      </c>
      <c r="E6389" t="s">
        <v>694</v>
      </c>
    </row>
    <row r="6390" spans="1:5" hidden="1" x14ac:dyDescent="0.3">
      <c r="A6390" t="s">
        <v>552</v>
      </c>
      <c r="B6390" t="s">
        <v>693</v>
      </c>
      <c r="C6390" t="s">
        <v>107</v>
      </c>
      <c r="D6390" s="226">
        <v>0</v>
      </c>
      <c r="E6390" t="s">
        <v>694</v>
      </c>
    </row>
    <row r="6391" spans="1:5" hidden="1" x14ac:dyDescent="0.3">
      <c r="A6391" t="s">
        <v>552</v>
      </c>
      <c r="B6391" t="s">
        <v>693</v>
      </c>
      <c r="C6391" t="s">
        <v>108</v>
      </c>
      <c r="D6391" s="226">
        <v>0</v>
      </c>
      <c r="E6391" t="s">
        <v>694</v>
      </c>
    </row>
    <row r="6392" spans="1:5" hidden="1" x14ac:dyDescent="0.3">
      <c r="A6392" t="s">
        <v>552</v>
      </c>
      <c r="B6392" t="s">
        <v>693</v>
      </c>
      <c r="C6392" t="s">
        <v>109</v>
      </c>
      <c r="D6392" s="226">
        <v>0</v>
      </c>
      <c r="E6392" t="s">
        <v>694</v>
      </c>
    </row>
    <row r="6393" spans="1:5" hidden="1" x14ac:dyDescent="0.3">
      <c r="A6393" t="s">
        <v>552</v>
      </c>
      <c r="B6393" t="s">
        <v>693</v>
      </c>
      <c r="C6393" t="s">
        <v>110</v>
      </c>
      <c r="D6393" s="226">
        <v>-0.15</v>
      </c>
      <c r="E6393" t="s">
        <v>694</v>
      </c>
    </row>
    <row r="6394" spans="1:5" hidden="1" x14ac:dyDescent="0.3">
      <c r="A6394" t="s">
        <v>552</v>
      </c>
      <c r="B6394" t="s">
        <v>693</v>
      </c>
      <c r="C6394" t="s">
        <v>44</v>
      </c>
      <c r="D6394" s="226">
        <v>0</v>
      </c>
      <c r="E6394" t="s">
        <v>694</v>
      </c>
    </row>
    <row r="6395" spans="1:5" hidden="1" x14ac:dyDescent="0.3">
      <c r="A6395" t="s">
        <v>552</v>
      </c>
      <c r="B6395" t="s">
        <v>693</v>
      </c>
      <c r="C6395" t="s">
        <v>111</v>
      </c>
      <c r="D6395" s="226">
        <v>-105120</v>
      </c>
      <c r="E6395" t="s">
        <v>694</v>
      </c>
    </row>
    <row r="6396" spans="1:5" hidden="1" x14ac:dyDescent="0.3">
      <c r="A6396" t="s">
        <v>552</v>
      </c>
      <c r="B6396" t="s">
        <v>693</v>
      </c>
      <c r="C6396" t="s">
        <v>555</v>
      </c>
      <c r="D6396" s="226">
        <v>-105120</v>
      </c>
      <c r="E6396" t="s">
        <v>694</v>
      </c>
    </row>
    <row r="6397" spans="1:5" hidden="1" x14ac:dyDescent="0.3">
      <c r="A6397" t="s">
        <v>552</v>
      </c>
      <c r="B6397" t="s">
        <v>693</v>
      </c>
      <c r="C6397" t="s">
        <v>44</v>
      </c>
      <c r="D6397" s="226">
        <v>-0.06</v>
      </c>
      <c r="E6397" t="s">
        <v>694</v>
      </c>
    </row>
    <row r="6398" spans="1:5" hidden="1" x14ac:dyDescent="0.3">
      <c r="A6398" t="s">
        <v>552</v>
      </c>
      <c r="B6398" t="s">
        <v>693</v>
      </c>
      <c r="C6398" t="s">
        <v>115</v>
      </c>
      <c r="D6398" s="226">
        <v>-26255.17</v>
      </c>
      <c r="E6398" t="s">
        <v>694</v>
      </c>
    </row>
    <row r="6399" spans="1:5" hidden="1" x14ac:dyDescent="0.3">
      <c r="A6399" t="s">
        <v>552</v>
      </c>
      <c r="B6399" t="s">
        <v>693</v>
      </c>
      <c r="C6399" t="s">
        <v>116</v>
      </c>
      <c r="D6399" s="226">
        <v>-20742.689999999999</v>
      </c>
      <c r="E6399" t="s">
        <v>694</v>
      </c>
    </row>
    <row r="6400" spans="1:5" hidden="1" x14ac:dyDescent="0.3">
      <c r="A6400" t="s">
        <v>552</v>
      </c>
      <c r="B6400" t="s">
        <v>693</v>
      </c>
      <c r="C6400" t="s">
        <v>118</v>
      </c>
      <c r="D6400" s="226">
        <v>-5512.48</v>
      </c>
      <c r="E6400" t="s">
        <v>694</v>
      </c>
    </row>
    <row r="6401" spans="1:5" hidden="1" x14ac:dyDescent="0.3">
      <c r="A6401" t="s">
        <v>552</v>
      </c>
      <c r="B6401" t="s">
        <v>693</v>
      </c>
      <c r="C6401" t="s">
        <v>120</v>
      </c>
      <c r="D6401" s="226">
        <v>0</v>
      </c>
      <c r="E6401" t="s">
        <v>694</v>
      </c>
    </row>
    <row r="6402" spans="1:5" hidden="1" x14ac:dyDescent="0.3">
      <c r="A6402" t="s">
        <v>552</v>
      </c>
      <c r="B6402" t="s">
        <v>693</v>
      </c>
      <c r="C6402" t="s">
        <v>122</v>
      </c>
      <c r="D6402" s="226">
        <v>0</v>
      </c>
      <c r="E6402" t="s">
        <v>694</v>
      </c>
    </row>
    <row r="6403" spans="1:5" hidden="1" x14ac:dyDescent="0.3">
      <c r="A6403" t="s">
        <v>552</v>
      </c>
      <c r="B6403" t="s">
        <v>693</v>
      </c>
      <c r="C6403" t="s">
        <v>44</v>
      </c>
      <c r="D6403" s="226">
        <v>-0.02</v>
      </c>
      <c r="E6403" t="s">
        <v>694</v>
      </c>
    </row>
    <row r="6404" spans="1:5" hidden="1" x14ac:dyDescent="0.3">
      <c r="A6404" t="s">
        <v>552</v>
      </c>
      <c r="B6404" t="s">
        <v>693</v>
      </c>
      <c r="C6404" t="s">
        <v>125</v>
      </c>
      <c r="D6404" s="226">
        <v>982876.74</v>
      </c>
      <c r="E6404" t="s">
        <v>694</v>
      </c>
    </row>
    <row r="6405" spans="1:5" hidden="1" x14ac:dyDescent="0.3">
      <c r="A6405" t="s">
        <v>552</v>
      </c>
      <c r="B6405" t="s">
        <v>693</v>
      </c>
      <c r="C6405" t="s">
        <v>126</v>
      </c>
      <c r="D6405" s="226">
        <v>0.59</v>
      </c>
      <c r="E6405" t="s">
        <v>694</v>
      </c>
    </row>
    <row r="6406" spans="1:5" hidden="1" x14ac:dyDescent="0.3">
      <c r="A6406" t="s">
        <v>552</v>
      </c>
      <c r="B6406" t="s">
        <v>693</v>
      </c>
      <c r="C6406" t="s">
        <v>127</v>
      </c>
      <c r="D6406" s="226">
        <v>-307705.51</v>
      </c>
      <c r="E6406" t="s">
        <v>694</v>
      </c>
    </row>
    <row r="6407" spans="1:5" hidden="1" x14ac:dyDescent="0.3">
      <c r="A6407" t="s">
        <v>552</v>
      </c>
      <c r="B6407" t="s">
        <v>693</v>
      </c>
      <c r="C6407" t="s">
        <v>128</v>
      </c>
      <c r="D6407" s="226">
        <v>-48916</v>
      </c>
      <c r="E6407" t="s">
        <v>694</v>
      </c>
    </row>
    <row r="6408" spans="1:5" hidden="1" x14ac:dyDescent="0.3">
      <c r="A6408" t="s">
        <v>552</v>
      </c>
      <c r="B6408" t="s">
        <v>693</v>
      </c>
      <c r="C6408" t="s">
        <v>556</v>
      </c>
      <c r="D6408" s="226">
        <v>-11416</v>
      </c>
      <c r="E6408" t="s">
        <v>694</v>
      </c>
    </row>
    <row r="6409" spans="1:5" hidden="1" x14ac:dyDescent="0.3">
      <c r="A6409" t="s">
        <v>552</v>
      </c>
      <c r="B6409" t="s">
        <v>693</v>
      </c>
      <c r="C6409" t="s">
        <v>557</v>
      </c>
      <c r="D6409" s="226">
        <v>-6600</v>
      </c>
      <c r="E6409" t="s">
        <v>694</v>
      </c>
    </row>
    <row r="6410" spans="1:5" hidden="1" x14ac:dyDescent="0.3">
      <c r="A6410" t="s">
        <v>552</v>
      </c>
      <c r="B6410" t="s">
        <v>693</v>
      </c>
      <c r="C6410" t="s">
        <v>558</v>
      </c>
      <c r="D6410" s="226">
        <v>0</v>
      </c>
      <c r="E6410" t="s">
        <v>694</v>
      </c>
    </row>
    <row r="6411" spans="1:5" hidden="1" x14ac:dyDescent="0.3">
      <c r="A6411" t="s">
        <v>552</v>
      </c>
      <c r="B6411" t="s">
        <v>693</v>
      </c>
      <c r="C6411" t="s">
        <v>559</v>
      </c>
      <c r="D6411" s="226">
        <v>-16800</v>
      </c>
      <c r="E6411" t="s">
        <v>694</v>
      </c>
    </row>
    <row r="6412" spans="1:5" hidden="1" x14ac:dyDescent="0.3">
      <c r="A6412" t="s">
        <v>552</v>
      </c>
      <c r="B6412" t="s">
        <v>693</v>
      </c>
      <c r="C6412" t="s">
        <v>560</v>
      </c>
      <c r="D6412" s="226">
        <v>-3100</v>
      </c>
      <c r="E6412" t="s">
        <v>694</v>
      </c>
    </row>
    <row r="6413" spans="1:5" hidden="1" x14ac:dyDescent="0.3">
      <c r="A6413" t="s">
        <v>552</v>
      </c>
      <c r="B6413" t="s">
        <v>693</v>
      </c>
      <c r="C6413" t="s">
        <v>561</v>
      </c>
      <c r="D6413" s="226">
        <v>-7000</v>
      </c>
      <c r="E6413" t="s">
        <v>694</v>
      </c>
    </row>
    <row r="6414" spans="1:5" hidden="1" x14ac:dyDescent="0.3">
      <c r="A6414" t="s">
        <v>552</v>
      </c>
      <c r="B6414" t="s">
        <v>693</v>
      </c>
      <c r="C6414" t="s">
        <v>562</v>
      </c>
      <c r="D6414" s="226">
        <v>-4000</v>
      </c>
      <c r="E6414" t="s">
        <v>694</v>
      </c>
    </row>
    <row r="6415" spans="1:5" hidden="1" x14ac:dyDescent="0.3">
      <c r="A6415" t="s">
        <v>552</v>
      </c>
      <c r="B6415" t="s">
        <v>693</v>
      </c>
      <c r="C6415" t="s">
        <v>563</v>
      </c>
      <c r="D6415" s="226">
        <v>0</v>
      </c>
      <c r="E6415" t="s">
        <v>694</v>
      </c>
    </row>
    <row r="6416" spans="1:5" hidden="1" x14ac:dyDescent="0.3">
      <c r="A6416" t="s">
        <v>552</v>
      </c>
      <c r="B6416" t="s">
        <v>693</v>
      </c>
      <c r="C6416" t="s">
        <v>564</v>
      </c>
      <c r="D6416" s="226">
        <v>0</v>
      </c>
      <c r="E6416" t="s">
        <v>694</v>
      </c>
    </row>
    <row r="6417" spans="1:5" hidden="1" x14ac:dyDescent="0.3">
      <c r="A6417" t="s">
        <v>552</v>
      </c>
      <c r="B6417" t="s">
        <v>693</v>
      </c>
      <c r="C6417" t="s">
        <v>565</v>
      </c>
      <c r="D6417" s="226">
        <v>0</v>
      </c>
      <c r="E6417" t="s">
        <v>694</v>
      </c>
    </row>
    <row r="6418" spans="1:5" hidden="1" x14ac:dyDescent="0.3">
      <c r="A6418" t="s">
        <v>552</v>
      </c>
      <c r="B6418" t="s">
        <v>693</v>
      </c>
      <c r="C6418" t="s">
        <v>566</v>
      </c>
      <c r="D6418" s="226">
        <v>0</v>
      </c>
      <c r="E6418" t="s">
        <v>694</v>
      </c>
    </row>
    <row r="6419" spans="1:5" hidden="1" x14ac:dyDescent="0.3">
      <c r="A6419" t="s">
        <v>552</v>
      </c>
      <c r="B6419" t="s">
        <v>693</v>
      </c>
      <c r="C6419" t="s">
        <v>567</v>
      </c>
      <c r="D6419" s="226">
        <v>0</v>
      </c>
      <c r="E6419" t="s">
        <v>694</v>
      </c>
    </row>
    <row r="6420" spans="1:5" hidden="1" x14ac:dyDescent="0.3">
      <c r="A6420" t="s">
        <v>552</v>
      </c>
      <c r="B6420" t="s">
        <v>693</v>
      </c>
      <c r="C6420" t="s">
        <v>141</v>
      </c>
      <c r="D6420" s="226">
        <v>-58801.9</v>
      </c>
      <c r="E6420" t="s">
        <v>694</v>
      </c>
    </row>
    <row r="6421" spans="1:5" hidden="1" x14ac:dyDescent="0.3">
      <c r="A6421" t="s">
        <v>552</v>
      </c>
      <c r="B6421" t="s">
        <v>693</v>
      </c>
      <c r="C6421" t="s">
        <v>568</v>
      </c>
      <c r="D6421" s="226">
        <v>0</v>
      </c>
      <c r="E6421" t="s">
        <v>694</v>
      </c>
    </row>
    <row r="6422" spans="1:5" hidden="1" x14ac:dyDescent="0.3">
      <c r="A6422" t="s">
        <v>552</v>
      </c>
      <c r="B6422" t="s">
        <v>693</v>
      </c>
      <c r="C6422" t="s">
        <v>569</v>
      </c>
      <c r="D6422" s="226">
        <v>0</v>
      </c>
      <c r="E6422" t="s">
        <v>694</v>
      </c>
    </row>
    <row r="6423" spans="1:5" hidden="1" x14ac:dyDescent="0.3">
      <c r="A6423" t="s">
        <v>552</v>
      </c>
      <c r="B6423" t="s">
        <v>693</v>
      </c>
      <c r="C6423" t="s">
        <v>570</v>
      </c>
      <c r="D6423" s="226">
        <v>0</v>
      </c>
      <c r="E6423" t="s">
        <v>694</v>
      </c>
    </row>
    <row r="6424" spans="1:5" hidden="1" x14ac:dyDescent="0.3">
      <c r="A6424" t="s">
        <v>552</v>
      </c>
      <c r="B6424" t="s">
        <v>693</v>
      </c>
      <c r="C6424" t="s">
        <v>571</v>
      </c>
      <c r="D6424" s="226">
        <v>0</v>
      </c>
      <c r="E6424" t="s">
        <v>694</v>
      </c>
    </row>
    <row r="6425" spans="1:5" hidden="1" x14ac:dyDescent="0.3">
      <c r="A6425" t="s">
        <v>552</v>
      </c>
      <c r="B6425" t="s">
        <v>693</v>
      </c>
      <c r="C6425" t="s">
        <v>572</v>
      </c>
      <c r="D6425" s="226">
        <v>0</v>
      </c>
      <c r="E6425" t="s">
        <v>694</v>
      </c>
    </row>
    <row r="6426" spans="1:5" hidden="1" x14ac:dyDescent="0.3">
      <c r="A6426" t="s">
        <v>552</v>
      </c>
      <c r="B6426" t="s">
        <v>693</v>
      </c>
      <c r="C6426" t="s">
        <v>573</v>
      </c>
      <c r="D6426" s="226">
        <v>0</v>
      </c>
      <c r="E6426" t="s">
        <v>694</v>
      </c>
    </row>
    <row r="6427" spans="1:5" hidden="1" x14ac:dyDescent="0.3">
      <c r="A6427" t="s">
        <v>552</v>
      </c>
      <c r="B6427" t="s">
        <v>693</v>
      </c>
      <c r="C6427" t="s">
        <v>574</v>
      </c>
      <c r="D6427" s="226">
        <v>0</v>
      </c>
      <c r="E6427" t="s">
        <v>694</v>
      </c>
    </row>
    <row r="6428" spans="1:5" hidden="1" x14ac:dyDescent="0.3">
      <c r="A6428" t="s">
        <v>552</v>
      </c>
      <c r="B6428" t="s">
        <v>693</v>
      </c>
      <c r="C6428" t="s">
        <v>575</v>
      </c>
      <c r="D6428" s="226">
        <v>0</v>
      </c>
      <c r="E6428" t="s">
        <v>694</v>
      </c>
    </row>
    <row r="6429" spans="1:5" hidden="1" x14ac:dyDescent="0.3">
      <c r="A6429" t="s">
        <v>552</v>
      </c>
      <c r="B6429" t="s">
        <v>693</v>
      </c>
      <c r="C6429" t="s">
        <v>576</v>
      </c>
      <c r="D6429" s="226">
        <v>0</v>
      </c>
      <c r="E6429" t="s">
        <v>694</v>
      </c>
    </row>
    <row r="6430" spans="1:5" hidden="1" x14ac:dyDescent="0.3">
      <c r="A6430" t="s">
        <v>552</v>
      </c>
      <c r="B6430" t="s">
        <v>693</v>
      </c>
      <c r="C6430" t="s">
        <v>577</v>
      </c>
      <c r="D6430" s="226">
        <v>0</v>
      </c>
      <c r="E6430" t="s">
        <v>694</v>
      </c>
    </row>
    <row r="6431" spans="1:5" hidden="1" x14ac:dyDescent="0.3">
      <c r="A6431" t="s">
        <v>552</v>
      </c>
      <c r="B6431" t="s">
        <v>693</v>
      </c>
      <c r="C6431" t="s">
        <v>578</v>
      </c>
      <c r="D6431" s="226">
        <v>0</v>
      </c>
      <c r="E6431" t="s">
        <v>694</v>
      </c>
    </row>
    <row r="6432" spans="1:5" hidden="1" x14ac:dyDescent="0.3">
      <c r="A6432" t="s">
        <v>552</v>
      </c>
      <c r="B6432" t="s">
        <v>693</v>
      </c>
      <c r="C6432" t="s">
        <v>579</v>
      </c>
      <c r="D6432" s="226">
        <v>0</v>
      </c>
      <c r="E6432" t="s">
        <v>694</v>
      </c>
    </row>
    <row r="6433" spans="1:5" hidden="1" x14ac:dyDescent="0.3">
      <c r="A6433" t="s">
        <v>552</v>
      </c>
      <c r="B6433" t="s">
        <v>693</v>
      </c>
      <c r="C6433" t="s">
        <v>580</v>
      </c>
      <c r="D6433" s="226">
        <v>0</v>
      </c>
      <c r="E6433" t="s">
        <v>694</v>
      </c>
    </row>
    <row r="6434" spans="1:5" hidden="1" x14ac:dyDescent="0.3">
      <c r="A6434" t="s">
        <v>552</v>
      </c>
      <c r="B6434" t="s">
        <v>693</v>
      </c>
      <c r="C6434" t="s">
        <v>581</v>
      </c>
      <c r="D6434" s="226">
        <v>0</v>
      </c>
      <c r="E6434" t="s">
        <v>694</v>
      </c>
    </row>
    <row r="6435" spans="1:5" hidden="1" x14ac:dyDescent="0.3">
      <c r="A6435" t="s">
        <v>552</v>
      </c>
      <c r="B6435" t="s">
        <v>693</v>
      </c>
      <c r="C6435" t="s">
        <v>582</v>
      </c>
      <c r="D6435" s="226">
        <v>0</v>
      </c>
      <c r="E6435" t="s">
        <v>694</v>
      </c>
    </row>
    <row r="6436" spans="1:5" hidden="1" x14ac:dyDescent="0.3">
      <c r="A6436" t="s">
        <v>552</v>
      </c>
      <c r="B6436" t="s">
        <v>693</v>
      </c>
      <c r="C6436" t="s">
        <v>583</v>
      </c>
      <c r="D6436" s="226">
        <v>0</v>
      </c>
      <c r="E6436" t="s">
        <v>694</v>
      </c>
    </row>
    <row r="6437" spans="1:5" hidden="1" x14ac:dyDescent="0.3">
      <c r="A6437" t="s">
        <v>552</v>
      </c>
      <c r="B6437" t="s">
        <v>693</v>
      </c>
      <c r="C6437" t="s">
        <v>584</v>
      </c>
      <c r="D6437" s="226">
        <v>0</v>
      </c>
      <c r="E6437" t="s">
        <v>694</v>
      </c>
    </row>
    <row r="6438" spans="1:5" hidden="1" x14ac:dyDescent="0.3">
      <c r="A6438" t="s">
        <v>552</v>
      </c>
      <c r="B6438" t="s">
        <v>693</v>
      </c>
      <c r="C6438" t="s">
        <v>585</v>
      </c>
      <c r="D6438" s="226">
        <v>0</v>
      </c>
      <c r="E6438" t="s">
        <v>694</v>
      </c>
    </row>
    <row r="6439" spans="1:5" hidden="1" x14ac:dyDescent="0.3">
      <c r="A6439" t="s">
        <v>552</v>
      </c>
      <c r="B6439" t="s">
        <v>693</v>
      </c>
      <c r="C6439" t="s">
        <v>586</v>
      </c>
      <c r="D6439" s="226">
        <v>0</v>
      </c>
      <c r="E6439" t="s">
        <v>694</v>
      </c>
    </row>
    <row r="6440" spans="1:5" hidden="1" x14ac:dyDescent="0.3">
      <c r="A6440" t="s">
        <v>552</v>
      </c>
      <c r="B6440" t="s">
        <v>693</v>
      </c>
      <c r="C6440" t="s">
        <v>587</v>
      </c>
      <c r="D6440" s="226">
        <v>0</v>
      </c>
      <c r="E6440" t="s">
        <v>694</v>
      </c>
    </row>
    <row r="6441" spans="1:5" hidden="1" x14ac:dyDescent="0.3">
      <c r="A6441" t="s">
        <v>552</v>
      </c>
      <c r="B6441" t="s">
        <v>693</v>
      </c>
      <c r="C6441" t="s">
        <v>588</v>
      </c>
      <c r="D6441" s="226">
        <v>0</v>
      </c>
      <c r="E6441" t="s">
        <v>694</v>
      </c>
    </row>
    <row r="6442" spans="1:5" hidden="1" x14ac:dyDescent="0.3">
      <c r="A6442" t="s">
        <v>552</v>
      </c>
      <c r="B6442" t="s">
        <v>693</v>
      </c>
      <c r="C6442" t="s">
        <v>589</v>
      </c>
      <c r="D6442" s="226">
        <v>0</v>
      </c>
      <c r="E6442" t="s">
        <v>694</v>
      </c>
    </row>
    <row r="6443" spans="1:5" hidden="1" x14ac:dyDescent="0.3">
      <c r="A6443" t="s">
        <v>552</v>
      </c>
      <c r="B6443" t="s">
        <v>693</v>
      </c>
      <c r="C6443" t="s">
        <v>590</v>
      </c>
      <c r="D6443" s="226">
        <v>0</v>
      </c>
      <c r="E6443" t="s">
        <v>694</v>
      </c>
    </row>
    <row r="6444" spans="1:5" hidden="1" x14ac:dyDescent="0.3">
      <c r="A6444" t="s">
        <v>552</v>
      </c>
      <c r="B6444" t="s">
        <v>693</v>
      </c>
      <c r="C6444" t="s">
        <v>591</v>
      </c>
      <c r="D6444" s="226">
        <v>0</v>
      </c>
      <c r="E6444" t="s">
        <v>694</v>
      </c>
    </row>
    <row r="6445" spans="1:5" hidden="1" x14ac:dyDescent="0.3">
      <c r="A6445" t="s">
        <v>552</v>
      </c>
      <c r="B6445" t="s">
        <v>693</v>
      </c>
      <c r="C6445" t="s">
        <v>592</v>
      </c>
      <c r="D6445" s="226">
        <v>0</v>
      </c>
      <c r="E6445" t="s">
        <v>694</v>
      </c>
    </row>
    <row r="6446" spans="1:5" hidden="1" x14ac:dyDescent="0.3">
      <c r="A6446" t="s">
        <v>552</v>
      </c>
      <c r="B6446" t="s">
        <v>693</v>
      </c>
      <c r="C6446" t="s">
        <v>593</v>
      </c>
      <c r="D6446" s="226">
        <v>0</v>
      </c>
      <c r="E6446" t="s">
        <v>694</v>
      </c>
    </row>
    <row r="6447" spans="1:5" hidden="1" x14ac:dyDescent="0.3">
      <c r="A6447" t="s">
        <v>552</v>
      </c>
      <c r="B6447" t="s">
        <v>693</v>
      </c>
      <c r="C6447" t="s">
        <v>594</v>
      </c>
      <c r="D6447" s="226">
        <v>0</v>
      </c>
      <c r="E6447" t="s">
        <v>694</v>
      </c>
    </row>
    <row r="6448" spans="1:5" hidden="1" x14ac:dyDescent="0.3">
      <c r="A6448" t="s">
        <v>552</v>
      </c>
      <c r="B6448" t="s">
        <v>693</v>
      </c>
      <c r="C6448" t="s">
        <v>595</v>
      </c>
      <c r="D6448" s="226">
        <v>0</v>
      </c>
      <c r="E6448" t="s">
        <v>694</v>
      </c>
    </row>
    <row r="6449" spans="1:5" hidden="1" x14ac:dyDescent="0.3">
      <c r="A6449" t="s">
        <v>552</v>
      </c>
      <c r="B6449" t="s">
        <v>693</v>
      </c>
      <c r="C6449" t="s">
        <v>596</v>
      </c>
      <c r="D6449" s="226">
        <v>0</v>
      </c>
      <c r="E6449" t="s">
        <v>694</v>
      </c>
    </row>
    <row r="6450" spans="1:5" hidden="1" x14ac:dyDescent="0.3">
      <c r="A6450" t="s">
        <v>552</v>
      </c>
      <c r="B6450" t="s">
        <v>693</v>
      </c>
      <c r="C6450" t="s">
        <v>597</v>
      </c>
      <c r="D6450" s="226">
        <v>0</v>
      </c>
      <c r="E6450" t="s">
        <v>694</v>
      </c>
    </row>
    <row r="6451" spans="1:5" hidden="1" x14ac:dyDescent="0.3">
      <c r="A6451" t="s">
        <v>552</v>
      </c>
      <c r="B6451" t="s">
        <v>693</v>
      </c>
      <c r="C6451" t="s">
        <v>598</v>
      </c>
      <c r="D6451" s="226">
        <v>0</v>
      </c>
      <c r="E6451" t="s">
        <v>694</v>
      </c>
    </row>
    <row r="6452" spans="1:5" hidden="1" x14ac:dyDescent="0.3">
      <c r="A6452" t="s">
        <v>552</v>
      </c>
      <c r="B6452" t="s">
        <v>693</v>
      </c>
      <c r="C6452" t="s">
        <v>599</v>
      </c>
      <c r="D6452" s="226">
        <v>0</v>
      </c>
      <c r="E6452" t="s">
        <v>694</v>
      </c>
    </row>
    <row r="6453" spans="1:5" hidden="1" x14ac:dyDescent="0.3">
      <c r="A6453" t="s">
        <v>552</v>
      </c>
      <c r="B6453" t="s">
        <v>693</v>
      </c>
      <c r="C6453" t="s">
        <v>600</v>
      </c>
      <c r="D6453" s="226">
        <v>0</v>
      </c>
      <c r="E6453" t="s">
        <v>694</v>
      </c>
    </row>
    <row r="6454" spans="1:5" hidden="1" x14ac:dyDescent="0.3">
      <c r="A6454" t="s">
        <v>552</v>
      </c>
      <c r="B6454" t="s">
        <v>693</v>
      </c>
      <c r="C6454" t="s">
        <v>601</v>
      </c>
      <c r="D6454" s="226">
        <v>0</v>
      </c>
      <c r="E6454" t="s">
        <v>694</v>
      </c>
    </row>
    <row r="6455" spans="1:5" hidden="1" x14ac:dyDescent="0.3">
      <c r="A6455" t="s">
        <v>552</v>
      </c>
      <c r="B6455" t="s">
        <v>693</v>
      </c>
      <c r="C6455" t="s">
        <v>602</v>
      </c>
      <c r="D6455" s="226">
        <v>0</v>
      </c>
      <c r="E6455" t="s">
        <v>694</v>
      </c>
    </row>
    <row r="6456" spans="1:5" hidden="1" x14ac:dyDescent="0.3">
      <c r="A6456" t="s">
        <v>552</v>
      </c>
      <c r="B6456" t="s">
        <v>693</v>
      </c>
      <c r="C6456" t="s">
        <v>603</v>
      </c>
      <c r="D6456" s="226">
        <v>0</v>
      </c>
      <c r="E6456" t="s">
        <v>694</v>
      </c>
    </row>
    <row r="6457" spans="1:5" hidden="1" x14ac:dyDescent="0.3">
      <c r="A6457" t="s">
        <v>552</v>
      </c>
      <c r="B6457" t="s">
        <v>693</v>
      </c>
      <c r="C6457" t="s">
        <v>604</v>
      </c>
      <c r="D6457" s="226">
        <v>0</v>
      </c>
      <c r="E6457" t="s">
        <v>694</v>
      </c>
    </row>
    <row r="6458" spans="1:5" hidden="1" x14ac:dyDescent="0.3">
      <c r="A6458" t="s">
        <v>552</v>
      </c>
      <c r="B6458" t="s">
        <v>693</v>
      </c>
      <c r="C6458" t="s">
        <v>605</v>
      </c>
      <c r="D6458" s="226">
        <v>0</v>
      </c>
      <c r="E6458" t="s">
        <v>694</v>
      </c>
    </row>
    <row r="6459" spans="1:5" hidden="1" x14ac:dyDescent="0.3">
      <c r="A6459" t="s">
        <v>552</v>
      </c>
      <c r="B6459" t="s">
        <v>693</v>
      </c>
      <c r="C6459" t="s">
        <v>606</v>
      </c>
      <c r="D6459" s="226">
        <v>0</v>
      </c>
      <c r="E6459" t="s">
        <v>694</v>
      </c>
    </row>
    <row r="6460" spans="1:5" hidden="1" x14ac:dyDescent="0.3">
      <c r="A6460" t="s">
        <v>552</v>
      </c>
      <c r="B6460" t="s">
        <v>693</v>
      </c>
      <c r="C6460" t="s">
        <v>607</v>
      </c>
      <c r="D6460" s="226">
        <v>0</v>
      </c>
      <c r="E6460" t="s">
        <v>694</v>
      </c>
    </row>
    <row r="6461" spans="1:5" hidden="1" x14ac:dyDescent="0.3">
      <c r="A6461" t="s">
        <v>552</v>
      </c>
      <c r="B6461" t="s">
        <v>693</v>
      </c>
      <c r="C6461" t="s">
        <v>608</v>
      </c>
      <c r="D6461" s="226">
        <v>0</v>
      </c>
      <c r="E6461" t="s">
        <v>694</v>
      </c>
    </row>
    <row r="6462" spans="1:5" hidden="1" x14ac:dyDescent="0.3">
      <c r="A6462" t="s">
        <v>552</v>
      </c>
      <c r="B6462" t="s">
        <v>693</v>
      </c>
      <c r="C6462" t="s">
        <v>609</v>
      </c>
      <c r="D6462" s="226">
        <v>0</v>
      </c>
      <c r="E6462" t="s">
        <v>694</v>
      </c>
    </row>
    <row r="6463" spans="1:5" hidden="1" x14ac:dyDescent="0.3">
      <c r="A6463" t="s">
        <v>552</v>
      </c>
      <c r="B6463" t="s">
        <v>693</v>
      </c>
      <c r="C6463" t="s">
        <v>610</v>
      </c>
      <c r="D6463" s="226">
        <v>0</v>
      </c>
      <c r="E6463" t="s">
        <v>694</v>
      </c>
    </row>
    <row r="6464" spans="1:5" hidden="1" x14ac:dyDescent="0.3">
      <c r="A6464" t="s">
        <v>552</v>
      </c>
      <c r="B6464" t="s">
        <v>693</v>
      </c>
      <c r="C6464" t="s">
        <v>611</v>
      </c>
      <c r="D6464" s="226">
        <v>0</v>
      </c>
      <c r="E6464" t="s">
        <v>694</v>
      </c>
    </row>
    <row r="6465" spans="1:5" hidden="1" x14ac:dyDescent="0.3">
      <c r="A6465" t="s">
        <v>552</v>
      </c>
      <c r="B6465" t="s">
        <v>693</v>
      </c>
      <c r="C6465" t="s">
        <v>612</v>
      </c>
      <c r="D6465" s="226">
        <v>0</v>
      </c>
      <c r="E6465" t="s">
        <v>694</v>
      </c>
    </row>
    <row r="6466" spans="1:5" hidden="1" x14ac:dyDescent="0.3">
      <c r="A6466" t="s">
        <v>552</v>
      </c>
      <c r="B6466" t="s">
        <v>693</v>
      </c>
      <c r="C6466" t="s">
        <v>613</v>
      </c>
      <c r="D6466" s="226">
        <v>0</v>
      </c>
      <c r="E6466" t="s">
        <v>694</v>
      </c>
    </row>
    <row r="6467" spans="1:5" hidden="1" x14ac:dyDescent="0.3">
      <c r="A6467" t="s">
        <v>552</v>
      </c>
      <c r="B6467" t="s">
        <v>693</v>
      </c>
      <c r="C6467" t="s">
        <v>614</v>
      </c>
      <c r="D6467" s="226">
        <v>0</v>
      </c>
      <c r="E6467" t="s">
        <v>694</v>
      </c>
    </row>
    <row r="6468" spans="1:5" hidden="1" x14ac:dyDescent="0.3">
      <c r="A6468" t="s">
        <v>552</v>
      </c>
      <c r="B6468" t="s">
        <v>693</v>
      </c>
      <c r="C6468" t="s">
        <v>615</v>
      </c>
      <c r="D6468" s="226">
        <v>0</v>
      </c>
      <c r="E6468" t="s">
        <v>694</v>
      </c>
    </row>
    <row r="6469" spans="1:5" hidden="1" x14ac:dyDescent="0.3">
      <c r="A6469" t="s">
        <v>552</v>
      </c>
      <c r="B6469" t="s">
        <v>693</v>
      </c>
      <c r="C6469" t="s">
        <v>616</v>
      </c>
      <c r="D6469" s="226">
        <v>0</v>
      </c>
      <c r="E6469" t="s">
        <v>694</v>
      </c>
    </row>
    <row r="6470" spans="1:5" hidden="1" x14ac:dyDescent="0.3">
      <c r="A6470" t="s">
        <v>552</v>
      </c>
      <c r="B6470" t="s">
        <v>693</v>
      </c>
      <c r="C6470" t="s">
        <v>617</v>
      </c>
      <c r="D6470" s="226">
        <v>0</v>
      </c>
      <c r="E6470" t="s">
        <v>694</v>
      </c>
    </row>
    <row r="6471" spans="1:5" hidden="1" x14ac:dyDescent="0.3">
      <c r="A6471" t="s">
        <v>552</v>
      </c>
      <c r="B6471" t="s">
        <v>693</v>
      </c>
      <c r="C6471" t="s">
        <v>618</v>
      </c>
      <c r="D6471" s="226">
        <v>0</v>
      </c>
      <c r="E6471" t="s">
        <v>694</v>
      </c>
    </row>
    <row r="6472" spans="1:5" hidden="1" x14ac:dyDescent="0.3">
      <c r="A6472" t="s">
        <v>552</v>
      </c>
      <c r="B6472" t="s">
        <v>693</v>
      </c>
      <c r="C6472" t="s">
        <v>619</v>
      </c>
      <c r="D6472" s="226">
        <v>0</v>
      </c>
      <c r="E6472" t="s">
        <v>694</v>
      </c>
    </row>
    <row r="6473" spans="1:5" hidden="1" x14ac:dyDescent="0.3">
      <c r="A6473" t="s">
        <v>552</v>
      </c>
      <c r="B6473" t="s">
        <v>693</v>
      </c>
      <c r="C6473" t="s">
        <v>620</v>
      </c>
      <c r="D6473" s="226">
        <v>0</v>
      </c>
      <c r="E6473" t="s">
        <v>694</v>
      </c>
    </row>
    <row r="6474" spans="1:5" hidden="1" x14ac:dyDescent="0.3">
      <c r="A6474" t="s">
        <v>552</v>
      </c>
      <c r="B6474" t="s">
        <v>693</v>
      </c>
      <c r="C6474" t="s">
        <v>621</v>
      </c>
      <c r="D6474" s="226">
        <v>0</v>
      </c>
      <c r="E6474" t="s">
        <v>694</v>
      </c>
    </row>
    <row r="6475" spans="1:5" hidden="1" x14ac:dyDescent="0.3">
      <c r="A6475" t="s">
        <v>552</v>
      </c>
      <c r="B6475" t="s">
        <v>693</v>
      </c>
      <c r="C6475" t="s">
        <v>622</v>
      </c>
      <c r="D6475" s="226">
        <v>0</v>
      </c>
      <c r="E6475" t="s">
        <v>694</v>
      </c>
    </row>
    <row r="6476" spans="1:5" hidden="1" x14ac:dyDescent="0.3">
      <c r="A6476" t="s">
        <v>552</v>
      </c>
      <c r="B6476" t="s">
        <v>693</v>
      </c>
      <c r="C6476" t="s">
        <v>623</v>
      </c>
      <c r="D6476" s="226">
        <v>0</v>
      </c>
      <c r="E6476" t="s">
        <v>694</v>
      </c>
    </row>
    <row r="6477" spans="1:5" hidden="1" x14ac:dyDescent="0.3">
      <c r="A6477" t="s">
        <v>552</v>
      </c>
      <c r="B6477" t="s">
        <v>693</v>
      </c>
      <c r="C6477" t="s">
        <v>624</v>
      </c>
      <c r="D6477" s="226">
        <v>0</v>
      </c>
      <c r="E6477" t="s">
        <v>694</v>
      </c>
    </row>
    <row r="6478" spans="1:5" hidden="1" x14ac:dyDescent="0.3">
      <c r="A6478" t="s">
        <v>552</v>
      </c>
      <c r="B6478" t="s">
        <v>693</v>
      </c>
      <c r="C6478" t="s">
        <v>200</v>
      </c>
      <c r="D6478" s="226">
        <v>-107306.84</v>
      </c>
      <c r="E6478" t="s">
        <v>694</v>
      </c>
    </row>
    <row r="6479" spans="1:5" hidden="1" x14ac:dyDescent="0.3">
      <c r="A6479" t="s">
        <v>552</v>
      </c>
      <c r="B6479" t="s">
        <v>693</v>
      </c>
      <c r="C6479" t="s">
        <v>202</v>
      </c>
      <c r="D6479" s="226">
        <v>-107306.84</v>
      </c>
      <c r="E6479" t="s">
        <v>694</v>
      </c>
    </row>
    <row r="6480" spans="1:5" hidden="1" x14ac:dyDescent="0.3">
      <c r="A6480" t="s">
        <v>552</v>
      </c>
      <c r="B6480" t="s">
        <v>693</v>
      </c>
      <c r="C6480" t="s">
        <v>625</v>
      </c>
      <c r="D6480" s="226">
        <v>53653.42</v>
      </c>
      <c r="E6480" t="s">
        <v>694</v>
      </c>
    </row>
    <row r="6481" spans="1:5" hidden="1" x14ac:dyDescent="0.3">
      <c r="A6481" t="s">
        <v>552</v>
      </c>
      <c r="B6481" t="s">
        <v>693</v>
      </c>
      <c r="C6481" t="s">
        <v>204</v>
      </c>
      <c r="D6481" s="226">
        <v>-44060.65</v>
      </c>
      <c r="E6481" t="s">
        <v>694</v>
      </c>
    </row>
    <row r="6482" spans="1:5" hidden="1" x14ac:dyDescent="0.3">
      <c r="A6482" t="s">
        <v>552</v>
      </c>
      <c r="B6482" t="s">
        <v>693</v>
      </c>
      <c r="C6482" t="s">
        <v>626</v>
      </c>
      <c r="D6482" s="226">
        <v>-11911.26</v>
      </c>
      <c r="E6482" t="s">
        <v>694</v>
      </c>
    </row>
    <row r="6483" spans="1:5" hidden="1" x14ac:dyDescent="0.3">
      <c r="A6483" t="s">
        <v>552</v>
      </c>
      <c r="B6483" t="s">
        <v>693</v>
      </c>
      <c r="C6483" t="s">
        <v>627</v>
      </c>
      <c r="D6483" s="226">
        <v>-49.87</v>
      </c>
      <c r="E6483" t="s">
        <v>694</v>
      </c>
    </row>
    <row r="6484" spans="1:5" hidden="1" x14ac:dyDescent="0.3">
      <c r="A6484" t="s">
        <v>552</v>
      </c>
      <c r="B6484" t="s">
        <v>693</v>
      </c>
      <c r="C6484" t="s">
        <v>628</v>
      </c>
      <c r="D6484" s="226">
        <v>-15590.25</v>
      </c>
      <c r="E6484" t="s">
        <v>694</v>
      </c>
    </row>
    <row r="6485" spans="1:5" hidden="1" x14ac:dyDescent="0.3">
      <c r="A6485" t="s">
        <v>552</v>
      </c>
      <c r="B6485" t="s">
        <v>693</v>
      </c>
      <c r="C6485" t="s">
        <v>629</v>
      </c>
      <c r="D6485" s="226">
        <v>-5404.95</v>
      </c>
      <c r="E6485" t="s">
        <v>694</v>
      </c>
    </row>
    <row r="6486" spans="1:5" hidden="1" x14ac:dyDescent="0.3">
      <c r="A6486" t="s">
        <v>552</v>
      </c>
      <c r="B6486" t="s">
        <v>693</v>
      </c>
      <c r="C6486" t="s">
        <v>630</v>
      </c>
      <c r="D6486" s="226">
        <v>0</v>
      </c>
      <c r="E6486" t="s">
        <v>694</v>
      </c>
    </row>
    <row r="6487" spans="1:5" hidden="1" x14ac:dyDescent="0.3">
      <c r="A6487" t="s">
        <v>552</v>
      </c>
      <c r="B6487" t="s">
        <v>693</v>
      </c>
      <c r="C6487" t="s">
        <v>631</v>
      </c>
      <c r="D6487" s="226">
        <v>0</v>
      </c>
      <c r="E6487" t="s">
        <v>694</v>
      </c>
    </row>
    <row r="6488" spans="1:5" hidden="1" x14ac:dyDescent="0.3">
      <c r="A6488" t="s">
        <v>552</v>
      </c>
      <c r="B6488" t="s">
        <v>693</v>
      </c>
      <c r="C6488" t="s">
        <v>632</v>
      </c>
      <c r="D6488" s="226">
        <v>0</v>
      </c>
      <c r="E6488" t="s">
        <v>694</v>
      </c>
    </row>
    <row r="6489" spans="1:5" hidden="1" x14ac:dyDescent="0.3">
      <c r="A6489" t="s">
        <v>552</v>
      </c>
      <c r="B6489" t="s">
        <v>693</v>
      </c>
      <c r="C6489" t="s">
        <v>633</v>
      </c>
      <c r="D6489" s="226">
        <v>-594.54</v>
      </c>
      <c r="E6489" t="s">
        <v>694</v>
      </c>
    </row>
    <row r="6490" spans="1:5" hidden="1" x14ac:dyDescent="0.3">
      <c r="A6490" t="s">
        <v>552</v>
      </c>
      <c r="B6490" t="s">
        <v>693</v>
      </c>
      <c r="C6490" t="s">
        <v>634</v>
      </c>
      <c r="D6490" s="226">
        <v>0</v>
      </c>
      <c r="E6490" t="s">
        <v>694</v>
      </c>
    </row>
    <row r="6491" spans="1:5" hidden="1" x14ac:dyDescent="0.3">
      <c r="A6491" t="s">
        <v>552</v>
      </c>
      <c r="B6491" t="s">
        <v>693</v>
      </c>
      <c r="C6491" t="s">
        <v>635</v>
      </c>
      <c r="D6491" s="226">
        <v>0</v>
      </c>
      <c r="E6491" t="s">
        <v>694</v>
      </c>
    </row>
    <row r="6492" spans="1:5" hidden="1" x14ac:dyDescent="0.3">
      <c r="A6492" t="s">
        <v>552</v>
      </c>
      <c r="B6492" t="s">
        <v>693</v>
      </c>
      <c r="C6492" t="s">
        <v>636</v>
      </c>
      <c r="D6492" s="226">
        <v>0</v>
      </c>
      <c r="E6492" t="s">
        <v>694</v>
      </c>
    </row>
    <row r="6493" spans="1:5" hidden="1" x14ac:dyDescent="0.3">
      <c r="A6493" t="s">
        <v>552</v>
      </c>
      <c r="B6493" t="s">
        <v>693</v>
      </c>
      <c r="C6493" t="s">
        <v>637</v>
      </c>
      <c r="D6493" s="226">
        <v>-10300</v>
      </c>
      <c r="E6493" t="s">
        <v>694</v>
      </c>
    </row>
    <row r="6494" spans="1:5" hidden="1" x14ac:dyDescent="0.3">
      <c r="A6494" t="s">
        <v>552</v>
      </c>
      <c r="B6494" t="s">
        <v>693</v>
      </c>
      <c r="C6494" t="s">
        <v>638</v>
      </c>
      <c r="D6494" s="226">
        <v>0</v>
      </c>
      <c r="E6494" t="s">
        <v>694</v>
      </c>
    </row>
    <row r="6495" spans="1:5" hidden="1" x14ac:dyDescent="0.3">
      <c r="A6495" t="s">
        <v>552</v>
      </c>
      <c r="B6495" t="s">
        <v>693</v>
      </c>
      <c r="C6495" t="s">
        <v>639</v>
      </c>
      <c r="D6495" s="226">
        <v>-209.77</v>
      </c>
      <c r="E6495" t="s">
        <v>694</v>
      </c>
    </row>
    <row r="6496" spans="1:5" hidden="1" x14ac:dyDescent="0.3">
      <c r="A6496" t="s">
        <v>552</v>
      </c>
      <c r="B6496" t="s">
        <v>693</v>
      </c>
      <c r="C6496" t="s">
        <v>640</v>
      </c>
      <c r="D6496" s="226">
        <v>0</v>
      </c>
      <c r="E6496" t="s">
        <v>694</v>
      </c>
    </row>
    <row r="6497" spans="1:5" hidden="1" x14ac:dyDescent="0.3">
      <c r="A6497" t="s">
        <v>552</v>
      </c>
      <c r="B6497" t="s">
        <v>693</v>
      </c>
      <c r="C6497" t="s">
        <v>641</v>
      </c>
      <c r="D6497" s="226">
        <v>0</v>
      </c>
      <c r="E6497" t="s">
        <v>694</v>
      </c>
    </row>
    <row r="6498" spans="1:5" hidden="1" x14ac:dyDescent="0.3">
      <c r="A6498" t="s">
        <v>552</v>
      </c>
      <c r="B6498" t="s">
        <v>693</v>
      </c>
      <c r="C6498" t="s">
        <v>237</v>
      </c>
      <c r="D6498" s="226">
        <v>-10697.06</v>
      </c>
      <c r="E6498" t="s">
        <v>694</v>
      </c>
    </row>
    <row r="6499" spans="1:5" hidden="1" x14ac:dyDescent="0.3">
      <c r="A6499" t="s">
        <v>552</v>
      </c>
      <c r="B6499" t="s">
        <v>693</v>
      </c>
      <c r="C6499" t="s">
        <v>642</v>
      </c>
      <c r="D6499" s="226">
        <v>-10309.450000000001</v>
      </c>
      <c r="E6499" t="s">
        <v>694</v>
      </c>
    </row>
    <row r="6500" spans="1:5" hidden="1" x14ac:dyDescent="0.3">
      <c r="A6500" t="s">
        <v>552</v>
      </c>
      <c r="B6500" t="s">
        <v>693</v>
      </c>
      <c r="C6500" t="s">
        <v>643</v>
      </c>
      <c r="D6500" s="226">
        <v>0</v>
      </c>
      <c r="E6500" t="s">
        <v>694</v>
      </c>
    </row>
    <row r="6501" spans="1:5" hidden="1" x14ac:dyDescent="0.3">
      <c r="A6501" t="s">
        <v>552</v>
      </c>
      <c r="B6501" t="s">
        <v>693</v>
      </c>
      <c r="C6501" t="s">
        <v>644</v>
      </c>
      <c r="D6501" s="226">
        <v>0</v>
      </c>
      <c r="E6501" t="s">
        <v>694</v>
      </c>
    </row>
    <row r="6502" spans="1:5" hidden="1" x14ac:dyDescent="0.3">
      <c r="A6502" t="s">
        <v>552</v>
      </c>
      <c r="B6502" t="s">
        <v>693</v>
      </c>
      <c r="C6502" t="s">
        <v>645</v>
      </c>
      <c r="D6502" s="226">
        <v>-387.61</v>
      </c>
      <c r="E6502" t="s">
        <v>694</v>
      </c>
    </row>
    <row r="6503" spans="1:5" hidden="1" x14ac:dyDescent="0.3">
      <c r="A6503" t="s">
        <v>552</v>
      </c>
      <c r="B6503" t="s">
        <v>693</v>
      </c>
      <c r="C6503" t="s">
        <v>646</v>
      </c>
      <c r="D6503" s="226">
        <v>0</v>
      </c>
      <c r="E6503" t="s">
        <v>694</v>
      </c>
    </row>
    <row r="6504" spans="1:5" hidden="1" x14ac:dyDescent="0.3">
      <c r="A6504" t="s">
        <v>552</v>
      </c>
      <c r="B6504" t="s">
        <v>693</v>
      </c>
      <c r="C6504" t="s">
        <v>244</v>
      </c>
      <c r="D6504" s="226">
        <v>-37923.06</v>
      </c>
      <c r="E6504" t="s">
        <v>694</v>
      </c>
    </row>
    <row r="6505" spans="1:5" hidden="1" x14ac:dyDescent="0.3">
      <c r="A6505" t="s">
        <v>552</v>
      </c>
      <c r="B6505" t="s">
        <v>693</v>
      </c>
      <c r="C6505" t="s">
        <v>647</v>
      </c>
      <c r="D6505" s="226">
        <v>0</v>
      </c>
      <c r="E6505" t="s">
        <v>694</v>
      </c>
    </row>
    <row r="6506" spans="1:5" hidden="1" x14ac:dyDescent="0.3">
      <c r="A6506" t="s">
        <v>552</v>
      </c>
      <c r="B6506" t="s">
        <v>693</v>
      </c>
      <c r="C6506" t="s">
        <v>648</v>
      </c>
      <c r="D6506" s="226">
        <v>-405.88</v>
      </c>
      <c r="E6506" t="s">
        <v>694</v>
      </c>
    </row>
    <row r="6507" spans="1:5" hidden="1" x14ac:dyDescent="0.3">
      <c r="A6507" t="s">
        <v>552</v>
      </c>
      <c r="B6507" t="s">
        <v>693</v>
      </c>
      <c r="C6507" t="s">
        <v>649</v>
      </c>
      <c r="D6507" s="226">
        <v>0</v>
      </c>
      <c r="E6507" t="s">
        <v>694</v>
      </c>
    </row>
    <row r="6508" spans="1:5" hidden="1" x14ac:dyDescent="0.3">
      <c r="A6508" t="s">
        <v>552</v>
      </c>
      <c r="B6508" t="s">
        <v>693</v>
      </c>
      <c r="C6508" t="s">
        <v>650</v>
      </c>
      <c r="D6508" s="226">
        <v>-3300</v>
      </c>
      <c r="E6508" t="s">
        <v>694</v>
      </c>
    </row>
    <row r="6509" spans="1:5" hidden="1" x14ac:dyDescent="0.3">
      <c r="A6509" t="s">
        <v>552</v>
      </c>
      <c r="B6509" t="s">
        <v>693</v>
      </c>
      <c r="C6509" t="s">
        <v>651</v>
      </c>
      <c r="D6509" s="226">
        <v>0</v>
      </c>
      <c r="E6509" t="s">
        <v>694</v>
      </c>
    </row>
    <row r="6510" spans="1:5" hidden="1" x14ac:dyDescent="0.3">
      <c r="A6510" t="s">
        <v>552</v>
      </c>
      <c r="B6510" t="s">
        <v>693</v>
      </c>
      <c r="C6510" t="s">
        <v>652</v>
      </c>
      <c r="D6510" s="226">
        <v>-34217.18</v>
      </c>
      <c r="E6510" t="s">
        <v>694</v>
      </c>
    </row>
    <row r="6511" spans="1:5" hidden="1" x14ac:dyDescent="0.3">
      <c r="A6511" t="s">
        <v>552</v>
      </c>
      <c r="B6511" t="s">
        <v>693</v>
      </c>
      <c r="C6511" t="s">
        <v>653</v>
      </c>
      <c r="D6511" s="226">
        <v>0</v>
      </c>
      <c r="E6511" t="s">
        <v>694</v>
      </c>
    </row>
    <row r="6512" spans="1:5" hidden="1" x14ac:dyDescent="0.3">
      <c r="A6512" t="s">
        <v>552</v>
      </c>
      <c r="B6512" t="s">
        <v>693</v>
      </c>
      <c r="C6512" t="s">
        <v>253</v>
      </c>
      <c r="D6512" s="226">
        <v>-0.18</v>
      </c>
      <c r="E6512" t="s">
        <v>694</v>
      </c>
    </row>
    <row r="6513" spans="1:5" hidden="1" x14ac:dyDescent="0.3">
      <c r="A6513" t="s">
        <v>552</v>
      </c>
      <c r="B6513" t="s">
        <v>693</v>
      </c>
      <c r="C6513" t="s">
        <v>254</v>
      </c>
      <c r="D6513" s="226">
        <v>-0.15</v>
      </c>
      <c r="E6513" t="s">
        <v>694</v>
      </c>
    </row>
    <row r="6514" spans="1:5" hidden="1" x14ac:dyDescent="0.3">
      <c r="A6514" t="s">
        <v>552</v>
      </c>
      <c r="B6514" t="s">
        <v>693</v>
      </c>
      <c r="C6514" t="s">
        <v>255</v>
      </c>
      <c r="D6514" s="226">
        <v>-54098.96</v>
      </c>
      <c r="E6514" t="s">
        <v>694</v>
      </c>
    </row>
    <row r="6515" spans="1:5" hidden="1" x14ac:dyDescent="0.3">
      <c r="A6515" t="s">
        <v>552</v>
      </c>
      <c r="B6515" t="s">
        <v>693</v>
      </c>
      <c r="C6515" t="s">
        <v>256</v>
      </c>
      <c r="D6515" s="226">
        <v>-33872.5</v>
      </c>
      <c r="E6515" t="s">
        <v>694</v>
      </c>
    </row>
    <row r="6516" spans="1:5" hidden="1" x14ac:dyDescent="0.3">
      <c r="A6516" t="s">
        <v>552</v>
      </c>
      <c r="B6516" t="s">
        <v>693</v>
      </c>
      <c r="C6516" t="s">
        <v>257</v>
      </c>
      <c r="D6516" s="226">
        <v>-15484.84</v>
      </c>
      <c r="E6516" t="s">
        <v>694</v>
      </c>
    </row>
    <row r="6517" spans="1:5" hidden="1" x14ac:dyDescent="0.3">
      <c r="A6517" t="s">
        <v>552</v>
      </c>
      <c r="B6517" t="s">
        <v>693</v>
      </c>
      <c r="C6517" t="s">
        <v>258</v>
      </c>
      <c r="D6517" s="226">
        <v>-3873.43</v>
      </c>
      <c r="E6517" t="s">
        <v>694</v>
      </c>
    </row>
    <row r="6518" spans="1:5" hidden="1" x14ac:dyDescent="0.3">
      <c r="A6518" t="s">
        <v>552</v>
      </c>
      <c r="B6518" t="s">
        <v>693</v>
      </c>
      <c r="C6518" t="s">
        <v>259</v>
      </c>
      <c r="D6518" s="226">
        <v>0</v>
      </c>
      <c r="E6518" t="s">
        <v>694</v>
      </c>
    </row>
    <row r="6519" spans="1:5" hidden="1" x14ac:dyDescent="0.3">
      <c r="A6519" t="s">
        <v>552</v>
      </c>
      <c r="B6519" t="s">
        <v>693</v>
      </c>
      <c r="C6519" t="s">
        <v>260</v>
      </c>
      <c r="D6519" s="226">
        <v>-868.19</v>
      </c>
      <c r="E6519" t="s">
        <v>694</v>
      </c>
    </row>
    <row r="6520" spans="1:5" hidden="1" x14ac:dyDescent="0.3">
      <c r="A6520" t="s">
        <v>552</v>
      </c>
      <c r="B6520" t="s">
        <v>693</v>
      </c>
      <c r="C6520" t="s">
        <v>261</v>
      </c>
      <c r="D6520" s="226">
        <v>0</v>
      </c>
      <c r="E6520" t="s">
        <v>694</v>
      </c>
    </row>
    <row r="6521" spans="1:5" hidden="1" x14ac:dyDescent="0.3">
      <c r="A6521" t="s">
        <v>552</v>
      </c>
      <c r="B6521" t="s">
        <v>693</v>
      </c>
      <c r="C6521" t="s">
        <v>262</v>
      </c>
      <c r="D6521" s="226">
        <v>0</v>
      </c>
      <c r="E6521" t="s">
        <v>694</v>
      </c>
    </row>
    <row r="6522" spans="1:5" hidden="1" x14ac:dyDescent="0.3">
      <c r="A6522" t="s">
        <v>552</v>
      </c>
      <c r="B6522" t="s">
        <v>693</v>
      </c>
      <c r="C6522" t="s">
        <v>44</v>
      </c>
      <c r="D6522" s="226">
        <v>-0.03</v>
      </c>
      <c r="E6522" t="s">
        <v>694</v>
      </c>
    </row>
    <row r="6523" spans="1:5" hidden="1" x14ac:dyDescent="0.3">
      <c r="A6523" t="s">
        <v>552</v>
      </c>
      <c r="B6523" t="s">
        <v>693</v>
      </c>
      <c r="C6523" t="s">
        <v>263</v>
      </c>
      <c r="D6523" s="226">
        <v>-90873.88</v>
      </c>
      <c r="E6523" t="s">
        <v>694</v>
      </c>
    </row>
    <row r="6524" spans="1:5" hidden="1" x14ac:dyDescent="0.3">
      <c r="A6524" t="s">
        <v>552</v>
      </c>
      <c r="B6524" t="s">
        <v>693</v>
      </c>
      <c r="C6524" t="s">
        <v>264</v>
      </c>
      <c r="D6524" s="226">
        <v>-16287.43</v>
      </c>
      <c r="E6524" t="s">
        <v>694</v>
      </c>
    </row>
    <row r="6525" spans="1:5" hidden="1" x14ac:dyDescent="0.3">
      <c r="A6525" t="s">
        <v>552</v>
      </c>
      <c r="B6525" t="s">
        <v>693</v>
      </c>
      <c r="C6525" t="s">
        <v>265</v>
      </c>
      <c r="D6525" s="226">
        <v>-15249.64</v>
      </c>
      <c r="E6525" t="s">
        <v>694</v>
      </c>
    </row>
    <row r="6526" spans="1:5" hidden="1" x14ac:dyDescent="0.3">
      <c r="A6526" t="s">
        <v>552</v>
      </c>
      <c r="B6526" t="s">
        <v>693</v>
      </c>
      <c r="C6526" t="s">
        <v>266</v>
      </c>
      <c r="D6526" s="226">
        <v>-14935.67</v>
      </c>
      <c r="E6526" t="s">
        <v>694</v>
      </c>
    </row>
    <row r="6527" spans="1:5" hidden="1" x14ac:dyDescent="0.3">
      <c r="A6527" t="s">
        <v>552</v>
      </c>
      <c r="B6527" t="s">
        <v>693</v>
      </c>
      <c r="C6527" t="s">
        <v>267</v>
      </c>
      <c r="D6527" s="226">
        <v>-21330.44</v>
      </c>
      <c r="E6527" t="s">
        <v>694</v>
      </c>
    </row>
    <row r="6528" spans="1:5" hidden="1" x14ac:dyDescent="0.3">
      <c r="A6528" t="s">
        <v>552</v>
      </c>
      <c r="B6528" t="s">
        <v>693</v>
      </c>
      <c r="C6528" t="s">
        <v>268</v>
      </c>
      <c r="D6528" s="226">
        <v>0</v>
      </c>
      <c r="E6528" t="s">
        <v>694</v>
      </c>
    </row>
    <row r="6529" spans="1:5" hidden="1" x14ac:dyDescent="0.3">
      <c r="A6529" t="s">
        <v>552</v>
      </c>
      <c r="B6529" t="s">
        <v>693</v>
      </c>
      <c r="C6529" t="s">
        <v>269</v>
      </c>
      <c r="D6529" s="226">
        <v>-580</v>
      </c>
      <c r="E6529" t="s">
        <v>694</v>
      </c>
    </row>
    <row r="6530" spans="1:5" hidden="1" x14ac:dyDescent="0.3">
      <c r="A6530" t="s">
        <v>552</v>
      </c>
      <c r="B6530" t="s">
        <v>693</v>
      </c>
      <c r="C6530" t="s">
        <v>270</v>
      </c>
      <c r="D6530" s="226">
        <v>-3962.73</v>
      </c>
      <c r="E6530" t="s">
        <v>694</v>
      </c>
    </row>
    <row r="6531" spans="1:5" hidden="1" x14ac:dyDescent="0.3">
      <c r="A6531" t="s">
        <v>552</v>
      </c>
      <c r="B6531" t="s">
        <v>693</v>
      </c>
      <c r="C6531" t="s">
        <v>271</v>
      </c>
      <c r="D6531" s="226">
        <v>-5348.21</v>
      </c>
      <c r="E6531" t="s">
        <v>694</v>
      </c>
    </row>
    <row r="6532" spans="1:5" hidden="1" x14ac:dyDescent="0.3">
      <c r="A6532" t="s">
        <v>552</v>
      </c>
      <c r="B6532" t="s">
        <v>693</v>
      </c>
      <c r="C6532" t="s">
        <v>272</v>
      </c>
      <c r="D6532" s="226">
        <v>0</v>
      </c>
      <c r="E6532" t="s">
        <v>694</v>
      </c>
    </row>
    <row r="6533" spans="1:5" hidden="1" x14ac:dyDescent="0.3">
      <c r="A6533" t="s">
        <v>552</v>
      </c>
      <c r="B6533" t="s">
        <v>693</v>
      </c>
      <c r="C6533" t="s">
        <v>273</v>
      </c>
      <c r="D6533" s="226">
        <v>0</v>
      </c>
      <c r="E6533" t="s">
        <v>694</v>
      </c>
    </row>
    <row r="6534" spans="1:5" hidden="1" x14ac:dyDescent="0.3">
      <c r="A6534" t="s">
        <v>552</v>
      </c>
      <c r="B6534" t="s">
        <v>693</v>
      </c>
      <c r="C6534" t="s">
        <v>274</v>
      </c>
      <c r="D6534" s="226">
        <v>-921.89</v>
      </c>
      <c r="E6534" t="s">
        <v>694</v>
      </c>
    </row>
    <row r="6535" spans="1:5" hidden="1" x14ac:dyDescent="0.3">
      <c r="A6535" t="s">
        <v>552</v>
      </c>
      <c r="B6535" t="s">
        <v>693</v>
      </c>
      <c r="C6535" t="s">
        <v>275</v>
      </c>
      <c r="D6535" s="226">
        <v>-1905.02</v>
      </c>
      <c r="E6535" t="s">
        <v>694</v>
      </c>
    </row>
    <row r="6536" spans="1:5" hidden="1" x14ac:dyDescent="0.3">
      <c r="A6536" t="s">
        <v>552</v>
      </c>
      <c r="B6536" t="s">
        <v>693</v>
      </c>
      <c r="C6536" t="s">
        <v>276</v>
      </c>
      <c r="D6536" s="226">
        <v>-1037</v>
      </c>
      <c r="E6536" t="s">
        <v>694</v>
      </c>
    </row>
    <row r="6537" spans="1:5" hidden="1" x14ac:dyDescent="0.3">
      <c r="A6537" t="s">
        <v>552</v>
      </c>
      <c r="B6537" t="s">
        <v>693</v>
      </c>
      <c r="C6537" t="s">
        <v>277</v>
      </c>
      <c r="D6537" s="226">
        <v>-9315.85</v>
      </c>
      <c r="E6537" t="s">
        <v>694</v>
      </c>
    </row>
    <row r="6538" spans="1:5" hidden="1" x14ac:dyDescent="0.3">
      <c r="A6538" t="s">
        <v>552</v>
      </c>
      <c r="B6538" t="s">
        <v>693</v>
      </c>
      <c r="C6538" t="s">
        <v>44</v>
      </c>
      <c r="D6538" s="226">
        <v>-0.05</v>
      </c>
      <c r="E6538" t="s">
        <v>694</v>
      </c>
    </row>
    <row r="6539" spans="1:5" hidden="1" x14ac:dyDescent="0.3">
      <c r="A6539" t="s">
        <v>552</v>
      </c>
      <c r="B6539" t="s">
        <v>693</v>
      </c>
      <c r="C6539" t="s">
        <v>278</v>
      </c>
      <c r="D6539" s="226">
        <v>-6444.92</v>
      </c>
      <c r="E6539" t="s">
        <v>694</v>
      </c>
    </row>
    <row r="6540" spans="1:5" hidden="1" x14ac:dyDescent="0.3">
      <c r="A6540" t="s">
        <v>552</v>
      </c>
      <c r="B6540" t="s">
        <v>693</v>
      </c>
      <c r="C6540" t="s">
        <v>279</v>
      </c>
      <c r="D6540" s="226">
        <v>0</v>
      </c>
      <c r="E6540" t="s">
        <v>694</v>
      </c>
    </row>
    <row r="6541" spans="1:5" hidden="1" x14ac:dyDescent="0.3">
      <c r="A6541" t="s">
        <v>552</v>
      </c>
      <c r="B6541" t="s">
        <v>693</v>
      </c>
      <c r="C6541" t="s">
        <v>280</v>
      </c>
      <c r="D6541" s="226">
        <v>-478.32</v>
      </c>
      <c r="E6541" t="s">
        <v>694</v>
      </c>
    </row>
    <row r="6542" spans="1:5" hidden="1" x14ac:dyDescent="0.3">
      <c r="A6542" t="s">
        <v>552</v>
      </c>
      <c r="B6542" t="s">
        <v>693</v>
      </c>
      <c r="C6542" t="s">
        <v>281</v>
      </c>
      <c r="D6542" s="226">
        <v>-21.9</v>
      </c>
      <c r="E6542" t="s">
        <v>694</v>
      </c>
    </row>
    <row r="6543" spans="1:5" hidden="1" x14ac:dyDescent="0.3">
      <c r="A6543" t="s">
        <v>552</v>
      </c>
      <c r="B6543" t="s">
        <v>693</v>
      </c>
      <c r="C6543" t="s">
        <v>282</v>
      </c>
      <c r="D6543" s="226">
        <v>-815</v>
      </c>
      <c r="E6543" t="s">
        <v>694</v>
      </c>
    </row>
    <row r="6544" spans="1:5" hidden="1" x14ac:dyDescent="0.3">
      <c r="A6544" t="s">
        <v>552</v>
      </c>
      <c r="B6544" t="s">
        <v>693</v>
      </c>
      <c r="C6544" t="s">
        <v>283</v>
      </c>
      <c r="D6544" s="226">
        <v>-3829.95</v>
      </c>
      <c r="E6544" t="s">
        <v>694</v>
      </c>
    </row>
    <row r="6545" spans="1:5" hidden="1" x14ac:dyDescent="0.3">
      <c r="A6545" t="s">
        <v>552</v>
      </c>
      <c r="B6545" t="s">
        <v>693</v>
      </c>
      <c r="C6545" t="s">
        <v>284</v>
      </c>
      <c r="D6545" s="226">
        <v>-429</v>
      </c>
      <c r="E6545" t="s">
        <v>694</v>
      </c>
    </row>
    <row r="6546" spans="1:5" hidden="1" x14ac:dyDescent="0.3">
      <c r="A6546" t="s">
        <v>552</v>
      </c>
      <c r="B6546" t="s">
        <v>693</v>
      </c>
      <c r="C6546" t="s">
        <v>285</v>
      </c>
      <c r="D6546" s="226">
        <v>-870.75</v>
      </c>
      <c r="E6546" t="s">
        <v>694</v>
      </c>
    </row>
    <row r="6547" spans="1:5" hidden="1" x14ac:dyDescent="0.3">
      <c r="A6547" t="s">
        <v>552</v>
      </c>
      <c r="B6547" t="s">
        <v>693</v>
      </c>
      <c r="C6547" t="s">
        <v>44</v>
      </c>
      <c r="D6547" s="226">
        <v>0</v>
      </c>
      <c r="E6547" t="s">
        <v>694</v>
      </c>
    </row>
    <row r="6548" spans="1:5" hidden="1" x14ac:dyDescent="0.3">
      <c r="A6548" t="s">
        <v>552</v>
      </c>
      <c r="B6548" t="s">
        <v>693</v>
      </c>
      <c r="C6548" t="s">
        <v>286</v>
      </c>
      <c r="D6548" s="226">
        <v>-7823.99</v>
      </c>
      <c r="E6548" t="s">
        <v>694</v>
      </c>
    </row>
    <row r="6549" spans="1:5" hidden="1" x14ac:dyDescent="0.3">
      <c r="A6549" t="s">
        <v>552</v>
      </c>
      <c r="B6549" t="s">
        <v>693</v>
      </c>
      <c r="C6549" t="s">
        <v>287</v>
      </c>
      <c r="D6549" s="226">
        <v>-5000</v>
      </c>
      <c r="E6549" t="s">
        <v>694</v>
      </c>
    </row>
    <row r="6550" spans="1:5" hidden="1" x14ac:dyDescent="0.3">
      <c r="A6550" t="s">
        <v>552</v>
      </c>
      <c r="B6550" t="s">
        <v>693</v>
      </c>
      <c r="C6550" t="s">
        <v>288</v>
      </c>
      <c r="D6550" s="226">
        <v>-587.87</v>
      </c>
      <c r="E6550" t="s">
        <v>694</v>
      </c>
    </row>
    <row r="6551" spans="1:5" hidden="1" x14ac:dyDescent="0.3">
      <c r="A6551" t="s">
        <v>552</v>
      </c>
      <c r="B6551" t="s">
        <v>693</v>
      </c>
      <c r="C6551" t="s">
        <v>289</v>
      </c>
      <c r="D6551" s="226">
        <v>0</v>
      </c>
      <c r="E6551" t="s">
        <v>694</v>
      </c>
    </row>
    <row r="6552" spans="1:5" hidden="1" x14ac:dyDescent="0.3">
      <c r="A6552" t="s">
        <v>552</v>
      </c>
      <c r="B6552" t="s">
        <v>693</v>
      </c>
      <c r="C6552" t="s">
        <v>290</v>
      </c>
      <c r="D6552" s="226">
        <v>-1561.81</v>
      </c>
      <c r="E6552" t="s">
        <v>694</v>
      </c>
    </row>
    <row r="6553" spans="1:5" hidden="1" x14ac:dyDescent="0.3">
      <c r="A6553" t="s">
        <v>552</v>
      </c>
      <c r="B6553" t="s">
        <v>693</v>
      </c>
      <c r="C6553" t="s">
        <v>291</v>
      </c>
      <c r="D6553" s="226">
        <v>0</v>
      </c>
      <c r="E6553" t="s">
        <v>694</v>
      </c>
    </row>
    <row r="6554" spans="1:5" hidden="1" x14ac:dyDescent="0.3">
      <c r="A6554" t="s">
        <v>552</v>
      </c>
      <c r="B6554" t="s">
        <v>693</v>
      </c>
      <c r="C6554" t="s">
        <v>292</v>
      </c>
      <c r="D6554" s="226">
        <v>-674.31</v>
      </c>
      <c r="E6554" t="s">
        <v>694</v>
      </c>
    </row>
    <row r="6555" spans="1:5" hidden="1" x14ac:dyDescent="0.3">
      <c r="A6555" t="s">
        <v>552</v>
      </c>
      <c r="B6555" t="s">
        <v>693</v>
      </c>
      <c r="C6555" t="s">
        <v>293</v>
      </c>
      <c r="D6555" s="226">
        <v>0</v>
      </c>
      <c r="E6555" t="s">
        <v>694</v>
      </c>
    </row>
    <row r="6556" spans="1:5" hidden="1" x14ac:dyDescent="0.3">
      <c r="A6556" t="s">
        <v>552</v>
      </c>
      <c r="B6556" t="s">
        <v>693</v>
      </c>
      <c r="C6556" t="s">
        <v>294</v>
      </c>
      <c r="D6556" s="226">
        <v>0</v>
      </c>
      <c r="E6556" t="s">
        <v>694</v>
      </c>
    </row>
    <row r="6557" spans="1:5" hidden="1" x14ac:dyDescent="0.3">
      <c r="A6557" t="s">
        <v>552</v>
      </c>
      <c r="B6557" t="s">
        <v>693</v>
      </c>
      <c r="C6557" t="s">
        <v>44</v>
      </c>
      <c r="D6557" s="226">
        <v>0</v>
      </c>
      <c r="E6557" t="s">
        <v>694</v>
      </c>
    </row>
    <row r="6558" spans="1:5" hidden="1" x14ac:dyDescent="0.3">
      <c r="A6558" t="s">
        <v>552</v>
      </c>
      <c r="B6558" t="s">
        <v>693</v>
      </c>
      <c r="C6558" t="s">
        <v>295</v>
      </c>
      <c r="D6558" s="226">
        <v>-7639.57</v>
      </c>
      <c r="E6558" t="s">
        <v>694</v>
      </c>
    </row>
    <row r="6559" spans="1:5" hidden="1" x14ac:dyDescent="0.3">
      <c r="A6559" t="s">
        <v>552</v>
      </c>
      <c r="B6559" t="s">
        <v>693</v>
      </c>
      <c r="C6559" t="s">
        <v>296</v>
      </c>
      <c r="D6559" s="226">
        <v>-4500</v>
      </c>
      <c r="E6559" t="s">
        <v>694</v>
      </c>
    </row>
    <row r="6560" spans="1:5" hidden="1" x14ac:dyDescent="0.3">
      <c r="A6560" t="s">
        <v>552</v>
      </c>
      <c r="B6560" t="s">
        <v>693</v>
      </c>
      <c r="C6560" t="s">
        <v>297</v>
      </c>
      <c r="D6560" s="226">
        <v>-500</v>
      </c>
      <c r="E6560" t="s">
        <v>694</v>
      </c>
    </row>
    <row r="6561" spans="1:5" hidden="1" x14ac:dyDescent="0.3">
      <c r="A6561" t="s">
        <v>552</v>
      </c>
      <c r="B6561" t="s">
        <v>693</v>
      </c>
      <c r="C6561" t="s">
        <v>298</v>
      </c>
      <c r="D6561" s="226">
        <v>0</v>
      </c>
      <c r="E6561" t="s">
        <v>694</v>
      </c>
    </row>
    <row r="6562" spans="1:5" hidden="1" x14ac:dyDescent="0.3">
      <c r="A6562" t="s">
        <v>552</v>
      </c>
      <c r="B6562" t="s">
        <v>693</v>
      </c>
      <c r="C6562" t="s">
        <v>299</v>
      </c>
      <c r="D6562" s="226">
        <v>0</v>
      </c>
      <c r="E6562" t="s">
        <v>694</v>
      </c>
    </row>
    <row r="6563" spans="1:5" hidden="1" x14ac:dyDescent="0.3">
      <c r="A6563" t="s">
        <v>552</v>
      </c>
      <c r="B6563" t="s">
        <v>693</v>
      </c>
      <c r="C6563" t="s">
        <v>300</v>
      </c>
      <c r="D6563" s="226">
        <v>0</v>
      </c>
      <c r="E6563" t="s">
        <v>694</v>
      </c>
    </row>
    <row r="6564" spans="1:5" hidden="1" x14ac:dyDescent="0.3">
      <c r="A6564" t="s">
        <v>552</v>
      </c>
      <c r="B6564" t="s">
        <v>693</v>
      </c>
      <c r="C6564" t="s">
        <v>301</v>
      </c>
      <c r="D6564" s="226">
        <v>0</v>
      </c>
      <c r="E6564" t="s">
        <v>694</v>
      </c>
    </row>
    <row r="6565" spans="1:5" hidden="1" x14ac:dyDescent="0.3">
      <c r="A6565" t="s">
        <v>552</v>
      </c>
      <c r="B6565" t="s">
        <v>693</v>
      </c>
      <c r="C6565" t="s">
        <v>302</v>
      </c>
      <c r="D6565" s="226">
        <v>0</v>
      </c>
      <c r="E6565" t="s">
        <v>694</v>
      </c>
    </row>
    <row r="6566" spans="1:5" hidden="1" x14ac:dyDescent="0.3">
      <c r="A6566" t="s">
        <v>552</v>
      </c>
      <c r="B6566" t="s">
        <v>693</v>
      </c>
      <c r="C6566" t="s">
        <v>303</v>
      </c>
      <c r="D6566" s="226">
        <v>-499.5</v>
      </c>
      <c r="E6566" t="s">
        <v>694</v>
      </c>
    </row>
    <row r="6567" spans="1:5" hidden="1" x14ac:dyDescent="0.3">
      <c r="A6567" t="s">
        <v>552</v>
      </c>
      <c r="B6567" t="s">
        <v>693</v>
      </c>
      <c r="C6567" t="s">
        <v>304</v>
      </c>
      <c r="D6567" s="226">
        <v>0</v>
      </c>
      <c r="E6567" t="s">
        <v>694</v>
      </c>
    </row>
    <row r="6568" spans="1:5" hidden="1" x14ac:dyDescent="0.3">
      <c r="A6568" t="s">
        <v>552</v>
      </c>
      <c r="B6568" t="s">
        <v>693</v>
      </c>
      <c r="C6568" t="s">
        <v>305</v>
      </c>
      <c r="D6568" s="226">
        <v>0</v>
      </c>
      <c r="E6568" t="s">
        <v>694</v>
      </c>
    </row>
    <row r="6569" spans="1:5" hidden="1" x14ac:dyDescent="0.3">
      <c r="A6569" t="s">
        <v>552</v>
      </c>
      <c r="B6569" t="s">
        <v>693</v>
      </c>
      <c r="C6569" t="s">
        <v>306</v>
      </c>
      <c r="D6569" s="226">
        <v>-2140.0700000000002</v>
      </c>
      <c r="E6569" t="s">
        <v>694</v>
      </c>
    </row>
    <row r="6570" spans="1:5" hidden="1" x14ac:dyDescent="0.3">
      <c r="A6570" t="s">
        <v>552</v>
      </c>
      <c r="B6570" t="s">
        <v>693</v>
      </c>
      <c r="C6570" t="s">
        <v>44</v>
      </c>
      <c r="D6570" s="226">
        <v>0</v>
      </c>
      <c r="E6570" t="s">
        <v>694</v>
      </c>
    </row>
    <row r="6571" spans="1:5" hidden="1" x14ac:dyDescent="0.3">
      <c r="A6571" t="s">
        <v>552</v>
      </c>
      <c r="B6571" t="s">
        <v>693</v>
      </c>
      <c r="C6571" t="s">
        <v>307</v>
      </c>
      <c r="D6571" s="226">
        <v>-18037.150000000001</v>
      </c>
      <c r="E6571" t="s">
        <v>694</v>
      </c>
    </row>
    <row r="6572" spans="1:5" hidden="1" x14ac:dyDescent="0.3">
      <c r="A6572" t="s">
        <v>552</v>
      </c>
      <c r="B6572" t="s">
        <v>693</v>
      </c>
      <c r="C6572" t="s">
        <v>308</v>
      </c>
      <c r="D6572" s="226">
        <v>-3800</v>
      </c>
      <c r="E6572" t="s">
        <v>694</v>
      </c>
    </row>
    <row r="6573" spans="1:5" hidden="1" x14ac:dyDescent="0.3">
      <c r="A6573" t="s">
        <v>552</v>
      </c>
      <c r="B6573" t="s">
        <v>693</v>
      </c>
      <c r="C6573" t="s">
        <v>309</v>
      </c>
      <c r="D6573" s="226">
        <v>0</v>
      </c>
      <c r="E6573" t="s">
        <v>694</v>
      </c>
    </row>
    <row r="6574" spans="1:5" hidden="1" x14ac:dyDescent="0.3">
      <c r="A6574" t="s">
        <v>552</v>
      </c>
      <c r="B6574" t="s">
        <v>693</v>
      </c>
      <c r="C6574" t="s">
        <v>310</v>
      </c>
      <c r="D6574" s="226">
        <v>-1800</v>
      </c>
      <c r="E6574" t="s">
        <v>694</v>
      </c>
    </row>
    <row r="6575" spans="1:5" hidden="1" x14ac:dyDescent="0.3">
      <c r="A6575" t="s">
        <v>552</v>
      </c>
      <c r="B6575" t="s">
        <v>693</v>
      </c>
      <c r="C6575" t="s">
        <v>311</v>
      </c>
      <c r="D6575" s="226">
        <v>-185</v>
      </c>
      <c r="E6575" t="s">
        <v>694</v>
      </c>
    </row>
    <row r="6576" spans="1:5" hidden="1" x14ac:dyDescent="0.3">
      <c r="A6576" t="s">
        <v>552</v>
      </c>
      <c r="B6576" t="s">
        <v>693</v>
      </c>
      <c r="C6576" t="s">
        <v>312</v>
      </c>
      <c r="D6576" s="226">
        <v>0</v>
      </c>
      <c r="E6576" t="s">
        <v>694</v>
      </c>
    </row>
    <row r="6577" spans="1:5" hidden="1" x14ac:dyDescent="0.3">
      <c r="A6577" t="s">
        <v>552</v>
      </c>
      <c r="B6577" t="s">
        <v>693</v>
      </c>
      <c r="C6577" t="s">
        <v>313</v>
      </c>
      <c r="D6577" s="226">
        <v>-2752.15</v>
      </c>
      <c r="E6577" t="s">
        <v>694</v>
      </c>
    </row>
    <row r="6578" spans="1:5" hidden="1" x14ac:dyDescent="0.3">
      <c r="A6578" t="s">
        <v>552</v>
      </c>
      <c r="B6578" t="s">
        <v>693</v>
      </c>
      <c r="C6578" t="s">
        <v>314</v>
      </c>
      <c r="D6578" s="226">
        <v>0</v>
      </c>
      <c r="E6578" t="s">
        <v>694</v>
      </c>
    </row>
    <row r="6579" spans="1:5" hidden="1" x14ac:dyDescent="0.3">
      <c r="A6579" t="s">
        <v>552</v>
      </c>
      <c r="B6579" t="s">
        <v>693</v>
      </c>
      <c r="C6579" t="s">
        <v>315</v>
      </c>
      <c r="D6579" s="226">
        <v>-9500</v>
      </c>
      <c r="E6579" t="s">
        <v>694</v>
      </c>
    </row>
    <row r="6580" spans="1:5" hidden="1" x14ac:dyDescent="0.3">
      <c r="A6580" t="s">
        <v>552</v>
      </c>
      <c r="B6580" t="s">
        <v>693</v>
      </c>
      <c r="C6580" t="s">
        <v>316</v>
      </c>
      <c r="D6580" s="226">
        <v>0</v>
      </c>
      <c r="E6580" t="s">
        <v>694</v>
      </c>
    </row>
    <row r="6581" spans="1:5" hidden="1" x14ac:dyDescent="0.3">
      <c r="A6581" t="s">
        <v>552</v>
      </c>
      <c r="B6581" t="s">
        <v>693</v>
      </c>
      <c r="C6581" t="s">
        <v>44</v>
      </c>
      <c r="D6581" s="226">
        <v>-0.01</v>
      </c>
      <c r="E6581" t="s">
        <v>694</v>
      </c>
    </row>
    <row r="6582" spans="1:5" hidden="1" x14ac:dyDescent="0.3">
      <c r="A6582" t="s">
        <v>552</v>
      </c>
      <c r="B6582" t="s">
        <v>693</v>
      </c>
      <c r="C6582" t="s">
        <v>317</v>
      </c>
      <c r="D6582" s="226">
        <v>-6294.93</v>
      </c>
      <c r="E6582" t="s">
        <v>694</v>
      </c>
    </row>
    <row r="6583" spans="1:5" hidden="1" x14ac:dyDescent="0.3">
      <c r="A6583" t="s">
        <v>552</v>
      </c>
      <c r="B6583" t="s">
        <v>693</v>
      </c>
      <c r="C6583" t="s">
        <v>318</v>
      </c>
      <c r="D6583" s="226">
        <v>-6040</v>
      </c>
      <c r="E6583" t="s">
        <v>694</v>
      </c>
    </row>
    <row r="6584" spans="1:5" hidden="1" x14ac:dyDescent="0.3">
      <c r="A6584" t="s">
        <v>552</v>
      </c>
      <c r="B6584" t="s">
        <v>693</v>
      </c>
      <c r="C6584" t="s">
        <v>319</v>
      </c>
      <c r="D6584" s="226">
        <v>-254.93</v>
      </c>
      <c r="E6584" t="s">
        <v>694</v>
      </c>
    </row>
    <row r="6585" spans="1:5" hidden="1" x14ac:dyDescent="0.3">
      <c r="A6585" t="s">
        <v>552</v>
      </c>
      <c r="B6585" t="s">
        <v>693</v>
      </c>
      <c r="C6585" t="s">
        <v>320</v>
      </c>
      <c r="D6585" s="226">
        <v>0</v>
      </c>
      <c r="E6585" t="s">
        <v>694</v>
      </c>
    </row>
    <row r="6586" spans="1:5" hidden="1" x14ac:dyDescent="0.3">
      <c r="A6586" t="s">
        <v>552</v>
      </c>
      <c r="B6586" t="s">
        <v>693</v>
      </c>
      <c r="C6586" t="s">
        <v>321</v>
      </c>
      <c r="D6586" s="226">
        <v>0</v>
      </c>
      <c r="E6586" t="s">
        <v>694</v>
      </c>
    </row>
    <row r="6587" spans="1:5" hidden="1" x14ac:dyDescent="0.3">
      <c r="A6587" t="s">
        <v>552</v>
      </c>
      <c r="B6587" t="s">
        <v>693</v>
      </c>
      <c r="C6587" t="s">
        <v>44</v>
      </c>
      <c r="D6587" s="226">
        <v>0</v>
      </c>
      <c r="E6587" t="s">
        <v>694</v>
      </c>
    </row>
    <row r="6588" spans="1:5" hidden="1" x14ac:dyDescent="0.3">
      <c r="A6588" t="s">
        <v>552</v>
      </c>
      <c r="B6588" t="s">
        <v>693</v>
      </c>
      <c r="C6588" t="s">
        <v>322</v>
      </c>
      <c r="D6588" s="226">
        <v>-83572.13</v>
      </c>
      <c r="E6588" t="s">
        <v>694</v>
      </c>
    </row>
    <row r="6589" spans="1:5" hidden="1" x14ac:dyDescent="0.3">
      <c r="A6589" t="s">
        <v>552</v>
      </c>
      <c r="B6589" t="s">
        <v>693</v>
      </c>
      <c r="C6589" t="s">
        <v>323</v>
      </c>
      <c r="D6589" s="226">
        <v>0</v>
      </c>
      <c r="E6589" t="s">
        <v>694</v>
      </c>
    </row>
    <row r="6590" spans="1:5" hidden="1" x14ac:dyDescent="0.3">
      <c r="A6590" t="s">
        <v>552</v>
      </c>
      <c r="B6590" t="s">
        <v>693</v>
      </c>
      <c r="C6590" t="s">
        <v>324</v>
      </c>
      <c r="D6590" s="226">
        <v>0</v>
      </c>
      <c r="E6590" t="s">
        <v>694</v>
      </c>
    </row>
    <row r="6591" spans="1:5" hidden="1" x14ac:dyDescent="0.3">
      <c r="A6591" t="s">
        <v>552</v>
      </c>
      <c r="B6591" t="s">
        <v>693</v>
      </c>
      <c r="C6591" t="s">
        <v>325</v>
      </c>
      <c r="D6591" s="226">
        <v>-83572.13</v>
      </c>
      <c r="E6591" t="s">
        <v>694</v>
      </c>
    </row>
    <row r="6592" spans="1:5" hidden="1" x14ac:dyDescent="0.3">
      <c r="A6592" t="s">
        <v>552</v>
      </c>
      <c r="B6592" t="s">
        <v>693</v>
      </c>
      <c r="C6592" t="s">
        <v>44</v>
      </c>
      <c r="D6592" s="226">
        <v>-0.05</v>
      </c>
      <c r="E6592" t="s">
        <v>694</v>
      </c>
    </row>
    <row r="6593" spans="1:5" hidden="1" x14ac:dyDescent="0.3">
      <c r="A6593" t="s">
        <v>552</v>
      </c>
      <c r="B6593" t="s">
        <v>693</v>
      </c>
      <c r="C6593" t="s">
        <v>327</v>
      </c>
      <c r="D6593" s="226">
        <v>-582491.05000000005</v>
      </c>
      <c r="E6593" t="s">
        <v>694</v>
      </c>
    </row>
    <row r="6594" spans="1:5" hidden="1" x14ac:dyDescent="0.3">
      <c r="A6594" t="s">
        <v>552</v>
      </c>
      <c r="B6594" t="s">
        <v>693</v>
      </c>
      <c r="C6594" t="s">
        <v>44</v>
      </c>
      <c r="D6594" s="226">
        <v>-0.35</v>
      </c>
      <c r="E6594" t="s">
        <v>694</v>
      </c>
    </row>
    <row r="6595" spans="1:5" hidden="1" x14ac:dyDescent="0.3">
      <c r="A6595" t="s">
        <v>552</v>
      </c>
      <c r="B6595" t="s">
        <v>693</v>
      </c>
      <c r="C6595" t="s">
        <v>328</v>
      </c>
      <c r="D6595" s="226">
        <v>400385.7</v>
      </c>
      <c r="E6595" t="s">
        <v>694</v>
      </c>
    </row>
    <row r="6596" spans="1:5" hidden="1" x14ac:dyDescent="0.3">
      <c r="A6596" t="s">
        <v>552</v>
      </c>
      <c r="B6596" t="s">
        <v>693</v>
      </c>
      <c r="C6596" t="s">
        <v>44</v>
      </c>
      <c r="D6596" s="226">
        <v>0.24</v>
      </c>
      <c r="E6596" t="s">
        <v>694</v>
      </c>
    </row>
    <row r="6597" spans="1:5" hidden="1" x14ac:dyDescent="0.3">
      <c r="A6597" t="s">
        <v>552</v>
      </c>
      <c r="B6597" t="s">
        <v>693</v>
      </c>
      <c r="C6597" t="s">
        <v>329</v>
      </c>
      <c r="D6597" s="226">
        <v>0</v>
      </c>
      <c r="E6597" t="s">
        <v>694</v>
      </c>
    </row>
    <row r="6598" spans="1:5" hidden="1" x14ac:dyDescent="0.3">
      <c r="A6598" t="s">
        <v>552</v>
      </c>
      <c r="B6598" t="s">
        <v>693</v>
      </c>
      <c r="C6598" t="s">
        <v>331</v>
      </c>
      <c r="D6598" s="226">
        <v>400385.7</v>
      </c>
      <c r="E6598" t="s">
        <v>694</v>
      </c>
    </row>
    <row r="6599" spans="1:5" hidden="1" x14ac:dyDescent="0.3">
      <c r="A6599" t="s">
        <v>552</v>
      </c>
      <c r="B6599" t="s">
        <v>693</v>
      </c>
      <c r="C6599" t="s">
        <v>332</v>
      </c>
      <c r="D6599" s="226">
        <v>-1379.42</v>
      </c>
      <c r="E6599" t="s">
        <v>694</v>
      </c>
    </row>
    <row r="6600" spans="1:5" hidden="1" x14ac:dyDescent="0.3">
      <c r="A6600" t="s">
        <v>552</v>
      </c>
      <c r="B6600" t="s">
        <v>693</v>
      </c>
      <c r="C6600" t="s">
        <v>333</v>
      </c>
      <c r="D6600" s="226">
        <v>0</v>
      </c>
      <c r="E6600" t="s">
        <v>694</v>
      </c>
    </row>
    <row r="6601" spans="1:5" hidden="1" x14ac:dyDescent="0.3">
      <c r="A6601" t="s">
        <v>552</v>
      </c>
      <c r="B6601" t="s">
        <v>693</v>
      </c>
      <c r="C6601" t="s">
        <v>335</v>
      </c>
      <c r="D6601" s="226">
        <v>0</v>
      </c>
      <c r="E6601" t="s">
        <v>694</v>
      </c>
    </row>
    <row r="6602" spans="1:5" hidden="1" x14ac:dyDescent="0.3">
      <c r="A6602" t="s">
        <v>552</v>
      </c>
      <c r="B6602" t="s">
        <v>693</v>
      </c>
      <c r="C6602" t="s">
        <v>337</v>
      </c>
      <c r="D6602" s="226">
        <v>399006.28</v>
      </c>
      <c r="E6602" t="s">
        <v>694</v>
      </c>
    </row>
    <row r="6603" spans="1:5" hidden="1" x14ac:dyDescent="0.3">
      <c r="A6603" t="s">
        <v>552</v>
      </c>
      <c r="B6603" t="s">
        <v>693</v>
      </c>
      <c r="C6603" t="s">
        <v>338</v>
      </c>
      <c r="D6603" s="226">
        <v>-34214.910000000003</v>
      </c>
      <c r="E6603" t="s">
        <v>694</v>
      </c>
    </row>
    <row r="6604" spans="1:5" hidden="1" x14ac:dyDescent="0.3">
      <c r="A6604" t="s">
        <v>552</v>
      </c>
      <c r="B6604" t="s">
        <v>693</v>
      </c>
      <c r="C6604" t="s">
        <v>341</v>
      </c>
      <c r="D6604" s="226">
        <v>0</v>
      </c>
      <c r="E6604" t="s">
        <v>694</v>
      </c>
    </row>
    <row r="6605" spans="1:5" hidden="1" x14ac:dyDescent="0.3">
      <c r="A6605" t="s">
        <v>552</v>
      </c>
      <c r="B6605" t="s">
        <v>693</v>
      </c>
      <c r="C6605" t="s">
        <v>343</v>
      </c>
      <c r="D6605" s="226">
        <v>-18085.55</v>
      </c>
      <c r="E6605" t="s">
        <v>694</v>
      </c>
    </row>
    <row r="6606" spans="1:5" hidden="1" x14ac:dyDescent="0.3">
      <c r="A6606" t="s">
        <v>552</v>
      </c>
      <c r="B6606" t="s">
        <v>693</v>
      </c>
      <c r="C6606" t="s">
        <v>344</v>
      </c>
      <c r="D6606" s="226">
        <v>0</v>
      </c>
      <c r="E6606" t="s">
        <v>694</v>
      </c>
    </row>
    <row r="6607" spans="1:5" hidden="1" x14ac:dyDescent="0.3">
      <c r="A6607" t="s">
        <v>552</v>
      </c>
      <c r="B6607" t="s">
        <v>693</v>
      </c>
      <c r="C6607" t="s">
        <v>345</v>
      </c>
      <c r="D6607" s="226">
        <v>-16129.35</v>
      </c>
      <c r="E6607" t="s">
        <v>694</v>
      </c>
    </row>
    <row r="6608" spans="1:5" hidden="1" x14ac:dyDescent="0.3">
      <c r="A6608" t="s">
        <v>552</v>
      </c>
      <c r="B6608" t="s">
        <v>693</v>
      </c>
      <c r="C6608" t="s">
        <v>346</v>
      </c>
      <c r="D6608" s="226">
        <v>364791.37</v>
      </c>
      <c r="E6608" t="s">
        <v>694</v>
      </c>
    </row>
    <row r="6609" spans="1:5" hidden="1" x14ac:dyDescent="0.3">
      <c r="A6609" t="s">
        <v>552</v>
      </c>
      <c r="B6609" t="s">
        <v>693</v>
      </c>
      <c r="C6609" t="s">
        <v>44</v>
      </c>
      <c r="D6609" s="226">
        <v>0.22</v>
      </c>
      <c r="E6609" t="s">
        <v>694</v>
      </c>
    </row>
    <row r="6610" spans="1:5" hidden="1" x14ac:dyDescent="0.3">
      <c r="A6610" t="s">
        <v>552</v>
      </c>
      <c r="B6610" t="s">
        <v>693</v>
      </c>
      <c r="C6610" t="s">
        <v>347</v>
      </c>
      <c r="D6610" s="226">
        <v>-18517.55</v>
      </c>
      <c r="E6610" t="s">
        <v>694</v>
      </c>
    </row>
    <row r="6611" spans="1:5" hidden="1" x14ac:dyDescent="0.3">
      <c r="A6611" t="s">
        <v>552</v>
      </c>
      <c r="B6611" t="s">
        <v>693</v>
      </c>
      <c r="C6611" t="s">
        <v>654</v>
      </c>
      <c r="D6611" s="226">
        <v>-6569.55</v>
      </c>
      <c r="E6611" t="s">
        <v>694</v>
      </c>
    </row>
    <row r="6612" spans="1:5" hidden="1" x14ac:dyDescent="0.3">
      <c r="A6612" t="s">
        <v>552</v>
      </c>
      <c r="B6612" t="s">
        <v>693</v>
      </c>
      <c r="C6612" t="s">
        <v>349</v>
      </c>
      <c r="D6612" s="226">
        <v>-3614</v>
      </c>
      <c r="E6612" t="s">
        <v>694</v>
      </c>
    </row>
    <row r="6613" spans="1:5" hidden="1" x14ac:dyDescent="0.3">
      <c r="A6613" t="s">
        <v>552</v>
      </c>
      <c r="B6613" t="s">
        <v>693</v>
      </c>
      <c r="C6613" t="s">
        <v>350</v>
      </c>
      <c r="D6613" s="226">
        <v>0</v>
      </c>
      <c r="E6613" t="s">
        <v>694</v>
      </c>
    </row>
    <row r="6614" spans="1:5" hidden="1" x14ac:dyDescent="0.3">
      <c r="A6614" t="s">
        <v>552</v>
      </c>
      <c r="B6614" t="s">
        <v>693</v>
      </c>
      <c r="C6614" t="s">
        <v>351</v>
      </c>
      <c r="D6614" s="226">
        <v>0</v>
      </c>
      <c r="E6614" t="s">
        <v>694</v>
      </c>
    </row>
    <row r="6615" spans="1:5" hidden="1" x14ac:dyDescent="0.3">
      <c r="A6615" t="s">
        <v>552</v>
      </c>
      <c r="B6615" t="s">
        <v>693</v>
      </c>
      <c r="C6615" t="s">
        <v>352</v>
      </c>
      <c r="D6615" s="226">
        <v>-8334</v>
      </c>
      <c r="E6615" t="s">
        <v>694</v>
      </c>
    </row>
    <row r="6616" spans="1:5" hidden="1" x14ac:dyDescent="0.3">
      <c r="A6616" t="s">
        <v>552</v>
      </c>
      <c r="B6616" t="s">
        <v>693</v>
      </c>
      <c r="C6616" t="s">
        <v>353</v>
      </c>
      <c r="D6616" s="226">
        <v>0</v>
      </c>
      <c r="E6616" t="s">
        <v>694</v>
      </c>
    </row>
    <row r="6617" spans="1:5" hidden="1" x14ac:dyDescent="0.3">
      <c r="A6617" t="s">
        <v>552</v>
      </c>
      <c r="B6617" t="s">
        <v>693</v>
      </c>
      <c r="C6617" t="s">
        <v>354</v>
      </c>
      <c r="D6617" s="226">
        <v>0</v>
      </c>
      <c r="E6617" t="s">
        <v>694</v>
      </c>
    </row>
    <row r="6618" spans="1:5" hidden="1" x14ac:dyDescent="0.3">
      <c r="A6618" t="s">
        <v>552</v>
      </c>
      <c r="B6618" t="s">
        <v>693</v>
      </c>
      <c r="C6618" t="s">
        <v>355</v>
      </c>
      <c r="D6618" s="226">
        <v>0</v>
      </c>
      <c r="E6618" t="s">
        <v>694</v>
      </c>
    </row>
    <row r="6619" spans="1:5" hidden="1" x14ac:dyDescent="0.3">
      <c r="A6619" t="s">
        <v>552</v>
      </c>
      <c r="B6619" t="s">
        <v>693</v>
      </c>
      <c r="C6619" t="s">
        <v>356</v>
      </c>
      <c r="D6619" s="226">
        <v>0</v>
      </c>
      <c r="E6619" t="s">
        <v>694</v>
      </c>
    </row>
    <row r="6620" spans="1:5" hidden="1" x14ac:dyDescent="0.3">
      <c r="A6620" t="s">
        <v>552</v>
      </c>
      <c r="B6620" t="s">
        <v>693</v>
      </c>
      <c r="C6620" t="s">
        <v>357</v>
      </c>
      <c r="D6620" s="226">
        <v>0</v>
      </c>
      <c r="E6620" t="s">
        <v>694</v>
      </c>
    </row>
    <row r="6621" spans="1:5" hidden="1" x14ac:dyDescent="0.3">
      <c r="A6621" t="s">
        <v>552</v>
      </c>
      <c r="B6621" t="s">
        <v>693</v>
      </c>
      <c r="C6621" t="s">
        <v>358</v>
      </c>
      <c r="D6621" s="226">
        <v>0</v>
      </c>
      <c r="E6621" t="s">
        <v>694</v>
      </c>
    </row>
    <row r="6622" spans="1:5" hidden="1" x14ac:dyDescent="0.3">
      <c r="A6622" t="s">
        <v>552</v>
      </c>
      <c r="B6622" t="s">
        <v>693</v>
      </c>
      <c r="C6622" t="s">
        <v>359</v>
      </c>
      <c r="D6622" s="226">
        <v>0</v>
      </c>
      <c r="E6622" t="s">
        <v>694</v>
      </c>
    </row>
    <row r="6623" spans="1:5" hidden="1" x14ac:dyDescent="0.3">
      <c r="A6623" t="s">
        <v>552</v>
      </c>
      <c r="B6623" t="s">
        <v>693</v>
      </c>
      <c r="C6623" t="s">
        <v>360</v>
      </c>
      <c r="D6623" s="226">
        <v>0</v>
      </c>
      <c r="E6623" t="s">
        <v>694</v>
      </c>
    </row>
    <row r="6624" spans="1:5" hidden="1" x14ac:dyDescent="0.3">
      <c r="A6624" t="s">
        <v>552</v>
      </c>
      <c r="B6624" t="s">
        <v>693</v>
      </c>
      <c r="C6624" t="s">
        <v>361</v>
      </c>
      <c r="D6624" s="226">
        <v>0</v>
      </c>
      <c r="E6624" t="s">
        <v>694</v>
      </c>
    </row>
    <row r="6625" spans="1:5" hidden="1" x14ac:dyDescent="0.3">
      <c r="A6625" t="s">
        <v>552</v>
      </c>
      <c r="B6625" t="s">
        <v>693</v>
      </c>
      <c r="C6625" t="s">
        <v>362</v>
      </c>
      <c r="D6625" s="226">
        <v>0</v>
      </c>
      <c r="E6625" t="s">
        <v>694</v>
      </c>
    </row>
    <row r="6626" spans="1:5" hidden="1" x14ac:dyDescent="0.3">
      <c r="A6626" t="s">
        <v>552</v>
      </c>
      <c r="B6626" t="s">
        <v>693</v>
      </c>
      <c r="C6626" t="s">
        <v>363</v>
      </c>
      <c r="D6626" s="226">
        <v>0</v>
      </c>
      <c r="E6626" t="s">
        <v>694</v>
      </c>
    </row>
    <row r="6627" spans="1:5" hidden="1" x14ac:dyDescent="0.3">
      <c r="A6627" t="s">
        <v>552</v>
      </c>
      <c r="B6627" t="s">
        <v>693</v>
      </c>
      <c r="C6627" t="s">
        <v>364</v>
      </c>
      <c r="D6627" s="226">
        <v>-1528.96</v>
      </c>
      <c r="E6627" t="s">
        <v>694</v>
      </c>
    </row>
    <row r="6628" spans="1:5" hidden="1" x14ac:dyDescent="0.3">
      <c r="A6628" t="s">
        <v>552</v>
      </c>
      <c r="B6628" t="s">
        <v>693</v>
      </c>
      <c r="C6628" t="s">
        <v>365</v>
      </c>
      <c r="D6628" s="226">
        <v>0</v>
      </c>
      <c r="E6628" t="s">
        <v>694</v>
      </c>
    </row>
    <row r="6629" spans="1:5" hidden="1" x14ac:dyDescent="0.3">
      <c r="A6629" t="s">
        <v>552</v>
      </c>
      <c r="B6629" t="s">
        <v>693</v>
      </c>
      <c r="C6629" t="s">
        <v>366</v>
      </c>
      <c r="D6629" s="226">
        <v>0</v>
      </c>
      <c r="E6629" t="s">
        <v>694</v>
      </c>
    </row>
    <row r="6630" spans="1:5" hidden="1" x14ac:dyDescent="0.3">
      <c r="A6630" t="s">
        <v>552</v>
      </c>
      <c r="B6630" t="s">
        <v>693</v>
      </c>
      <c r="C6630" t="s">
        <v>367</v>
      </c>
      <c r="D6630" s="226">
        <v>-11828.96</v>
      </c>
      <c r="E6630" t="s">
        <v>694</v>
      </c>
    </row>
    <row r="6631" spans="1:5" hidden="1" x14ac:dyDescent="0.3">
      <c r="A6631" t="s">
        <v>552</v>
      </c>
      <c r="B6631" t="s">
        <v>693</v>
      </c>
      <c r="C6631" t="s">
        <v>368</v>
      </c>
      <c r="D6631" s="226">
        <v>10300</v>
      </c>
      <c r="E6631" t="s">
        <v>694</v>
      </c>
    </row>
    <row r="6632" spans="1:5" hidden="1" x14ac:dyDescent="0.3">
      <c r="A6632" t="s">
        <v>552</v>
      </c>
      <c r="B6632" t="s">
        <v>693</v>
      </c>
      <c r="C6632" t="s">
        <v>369</v>
      </c>
      <c r="D6632" s="226">
        <v>0</v>
      </c>
      <c r="E6632" t="s">
        <v>694</v>
      </c>
    </row>
    <row r="6633" spans="1:5" hidden="1" x14ac:dyDescent="0.3">
      <c r="A6633" t="s">
        <v>552</v>
      </c>
      <c r="B6633" t="s">
        <v>693</v>
      </c>
      <c r="C6633" t="s">
        <v>370</v>
      </c>
      <c r="D6633" s="226">
        <v>0</v>
      </c>
      <c r="E6633" t="s">
        <v>694</v>
      </c>
    </row>
    <row r="6634" spans="1:5" hidden="1" x14ac:dyDescent="0.3">
      <c r="A6634" t="s">
        <v>552</v>
      </c>
      <c r="B6634" t="s">
        <v>693</v>
      </c>
      <c r="C6634" t="s">
        <v>371</v>
      </c>
      <c r="D6634" s="226">
        <v>0</v>
      </c>
      <c r="E6634" t="s">
        <v>694</v>
      </c>
    </row>
    <row r="6635" spans="1:5" hidden="1" x14ac:dyDescent="0.3">
      <c r="A6635" t="s">
        <v>552</v>
      </c>
      <c r="B6635" t="s">
        <v>693</v>
      </c>
      <c r="C6635" t="s">
        <v>372</v>
      </c>
      <c r="D6635" s="226">
        <v>-20046.509999999998</v>
      </c>
      <c r="E6635" t="s">
        <v>694</v>
      </c>
    </row>
    <row r="6636" spans="1:5" hidden="1" x14ac:dyDescent="0.3">
      <c r="A6636" t="s">
        <v>552</v>
      </c>
      <c r="B6636" t="s">
        <v>693</v>
      </c>
      <c r="C6636" t="s">
        <v>373</v>
      </c>
      <c r="D6636" s="226">
        <v>344744.86</v>
      </c>
      <c r="E6636" t="s">
        <v>694</v>
      </c>
    </row>
    <row r="6637" spans="1:5" hidden="1" x14ac:dyDescent="0.3">
      <c r="A6637" t="s">
        <v>552</v>
      </c>
      <c r="B6637" t="s">
        <v>693</v>
      </c>
      <c r="C6637" t="s">
        <v>655</v>
      </c>
      <c r="D6637" s="226">
        <v>344744.86</v>
      </c>
      <c r="E6637" t="s">
        <v>694</v>
      </c>
    </row>
    <row r="6638" spans="1:5" hidden="1" x14ac:dyDescent="0.3">
      <c r="A6638" t="s">
        <v>552</v>
      </c>
      <c r="B6638" t="s">
        <v>695</v>
      </c>
      <c r="C6638" t="s">
        <v>11</v>
      </c>
      <c r="D6638" s="226">
        <v>1510294.45</v>
      </c>
      <c r="E6638" t="s">
        <v>696</v>
      </c>
    </row>
    <row r="6639" spans="1:5" hidden="1" x14ac:dyDescent="0.3">
      <c r="A6639" t="s">
        <v>552</v>
      </c>
      <c r="B6639" t="s">
        <v>695</v>
      </c>
      <c r="C6639" t="s">
        <v>13</v>
      </c>
      <c r="D6639" s="226">
        <v>788147</v>
      </c>
      <c r="E6639" t="s">
        <v>696</v>
      </c>
    </row>
    <row r="6640" spans="1:5" hidden="1" x14ac:dyDescent="0.3">
      <c r="A6640" t="s">
        <v>552</v>
      </c>
      <c r="B6640" t="s">
        <v>695</v>
      </c>
      <c r="C6640" t="s">
        <v>16</v>
      </c>
      <c r="D6640" s="226">
        <v>534826.4</v>
      </c>
      <c r="E6640" t="s">
        <v>696</v>
      </c>
    </row>
    <row r="6641" spans="1:5" hidden="1" x14ac:dyDescent="0.3">
      <c r="A6641" t="s">
        <v>552</v>
      </c>
      <c r="B6641" t="s">
        <v>695</v>
      </c>
      <c r="C6641" t="s">
        <v>17</v>
      </c>
      <c r="D6641" s="226">
        <v>0</v>
      </c>
      <c r="E6641" t="s">
        <v>696</v>
      </c>
    </row>
    <row r="6642" spans="1:5" hidden="1" x14ac:dyDescent="0.3">
      <c r="A6642" t="s">
        <v>552</v>
      </c>
      <c r="B6642" t="s">
        <v>695</v>
      </c>
      <c r="C6642" t="s">
        <v>18</v>
      </c>
      <c r="D6642" s="226">
        <v>0</v>
      </c>
      <c r="E6642" t="s">
        <v>696</v>
      </c>
    </row>
    <row r="6643" spans="1:5" hidden="1" x14ac:dyDescent="0.3">
      <c r="A6643" t="s">
        <v>552</v>
      </c>
      <c r="B6643" t="s">
        <v>695</v>
      </c>
      <c r="C6643" t="s">
        <v>20</v>
      </c>
      <c r="D6643" s="226">
        <v>167267.47</v>
      </c>
      <c r="E6643" t="s">
        <v>696</v>
      </c>
    </row>
    <row r="6644" spans="1:5" hidden="1" x14ac:dyDescent="0.3">
      <c r="A6644" t="s">
        <v>552</v>
      </c>
      <c r="B6644" t="s">
        <v>695</v>
      </c>
      <c r="C6644" t="s">
        <v>23</v>
      </c>
      <c r="D6644" s="226">
        <v>0</v>
      </c>
      <c r="E6644" t="s">
        <v>696</v>
      </c>
    </row>
    <row r="6645" spans="1:5" hidden="1" x14ac:dyDescent="0.3">
      <c r="A6645" t="s">
        <v>552</v>
      </c>
      <c r="B6645" t="s">
        <v>695</v>
      </c>
      <c r="C6645" t="s">
        <v>25</v>
      </c>
      <c r="D6645" s="226">
        <v>0</v>
      </c>
      <c r="E6645" t="s">
        <v>696</v>
      </c>
    </row>
    <row r="6646" spans="1:5" hidden="1" x14ac:dyDescent="0.3">
      <c r="A6646" t="s">
        <v>552</v>
      </c>
      <c r="B6646" t="s">
        <v>695</v>
      </c>
      <c r="C6646" t="s">
        <v>26</v>
      </c>
      <c r="D6646" s="226">
        <v>0</v>
      </c>
      <c r="E6646" t="s">
        <v>696</v>
      </c>
    </row>
    <row r="6647" spans="1:5" hidden="1" x14ac:dyDescent="0.3">
      <c r="A6647" t="s">
        <v>552</v>
      </c>
      <c r="B6647" t="s">
        <v>695</v>
      </c>
      <c r="C6647" t="s">
        <v>27</v>
      </c>
      <c r="D6647" s="226">
        <v>0</v>
      </c>
      <c r="E6647" t="s">
        <v>696</v>
      </c>
    </row>
    <row r="6648" spans="1:5" hidden="1" x14ac:dyDescent="0.3">
      <c r="A6648" t="s">
        <v>552</v>
      </c>
      <c r="B6648" t="s">
        <v>695</v>
      </c>
      <c r="C6648" t="s">
        <v>29</v>
      </c>
      <c r="D6648" s="226">
        <v>18919.580000000002</v>
      </c>
      <c r="E6648" t="s">
        <v>696</v>
      </c>
    </row>
    <row r="6649" spans="1:5" hidden="1" x14ac:dyDescent="0.3">
      <c r="A6649" t="s">
        <v>552</v>
      </c>
      <c r="B6649" t="s">
        <v>695</v>
      </c>
      <c r="C6649" t="s">
        <v>31</v>
      </c>
      <c r="D6649" s="226">
        <v>1134</v>
      </c>
      <c r="E6649" t="s">
        <v>696</v>
      </c>
    </row>
    <row r="6650" spans="1:5" hidden="1" x14ac:dyDescent="0.3">
      <c r="A6650" t="s">
        <v>552</v>
      </c>
      <c r="B6650" t="s">
        <v>695</v>
      </c>
      <c r="C6650" t="s">
        <v>34</v>
      </c>
      <c r="D6650" s="226">
        <v>-22495.64</v>
      </c>
      <c r="E6650" t="s">
        <v>696</v>
      </c>
    </row>
    <row r="6651" spans="1:5" hidden="1" x14ac:dyDescent="0.3">
      <c r="A6651" t="s">
        <v>552</v>
      </c>
      <c r="B6651" t="s">
        <v>695</v>
      </c>
      <c r="C6651" t="s">
        <v>38</v>
      </c>
      <c r="D6651" s="226">
        <v>-4639.18</v>
      </c>
      <c r="E6651" t="s">
        <v>696</v>
      </c>
    </row>
    <row r="6652" spans="1:5" hidden="1" x14ac:dyDescent="0.3">
      <c r="A6652" t="s">
        <v>552</v>
      </c>
      <c r="B6652" t="s">
        <v>695</v>
      </c>
      <c r="C6652" t="s">
        <v>40</v>
      </c>
      <c r="D6652" s="226">
        <v>-17811.080000000002</v>
      </c>
      <c r="E6652" t="s">
        <v>696</v>
      </c>
    </row>
    <row r="6653" spans="1:5" hidden="1" x14ac:dyDescent="0.3">
      <c r="A6653" t="s">
        <v>552</v>
      </c>
      <c r="B6653" t="s">
        <v>695</v>
      </c>
      <c r="C6653" t="s">
        <v>42</v>
      </c>
      <c r="D6653" s="226">
        <v>-45.38</v>
      </c>
      <c r="E6653" t="s">
        <v>696</v>
      </c>
    </row>
    <row r="6654" spans="1:5" hidden="1" x14ac:dyDescent="0.3">
      <c r="A6654" t="s">
        <v>552</v>
      </c>
      <c r="B6654" t="s">
        <v>695</v>
      </c>
      <c r="C6654" t="s">
        <v>44</v>
      </c>
      <c r="D6654" s="226">
        <v>-0.01</v>
      </c>
      <c r="E6654" t="s">
        <v>696</v>
      </c>
    </row>
    <row r="6655" spans="1:5" hidden="1" x14ac:dyDescent="0.3">
      <c r="A6655" t="s">
        <v>552</v>
      </c>
      <c r="B6655" t="s">
        <v>695</v>
      </c>
      <c r="C6655" t="s">
        <v>45</v>
      </c>
      <c r="D6655" s="226">
        <v>-101289.68</v>
      </c>
      <c r="E6655" t="s">
        <v>696</v>
      </c>
    </row>
    <row r="6656" spans="1:5" hidden="1" x14ac:dyDescent="0.3">
      <c r="A6656" t="s">
        <v>552</v>
      </c>
      <c r="B6656" t="s">
        <v>695</v>
      </c>
      <c r="C6656" t="s">
        <v>46</v>
      </c>
      <c r="D6656" s="226">
        <v>-54304.66</v>
      </c>
      <c r="E6656" t="s">
        <v>696</v>
      </c>
    </row>
    <row r="6657" spans="1:5" hidden="1" x14ac:dyDescent="0.3">
      <c r="A6657" t="s">
        <v>552</v>
      </c>
      <c r="B6657" t="s">
        <v>695</v>
      </c>
      <c r="C6657" t="s">
        <v>48</v>
      </c>
      <c r="D6657" s="226">
        <v>-46985.02</v>
      </c>
      <c r="E6657" t="s">
        <v>696</v>
      </c>
    </row>
    <row r="6658" spans="1:5" hidden="1" x14ac:dyDescent="0.3">
      <c r="A6658" t="s">
        <v>552</v>
      </c>
      <c r="B6658" t="s">
        <v>695</v>
      </c>
      <c r="C6658" t="s">
        <v>49</v>
      </c>
      <c r="D6658" s="226">
        <v>0</v>
      </c>
      <c r="E6658" t="s">
        <v>696</v>
      </c>
    </row>
    <row r="6659" spans="1:5" hidden="1" x14ac:dyDescent="0.3">
      <c r="A6659" t="s">
        <v>552</v>
      </c>
      <c r="B6659" t="s">
        <v>695</v>
      </c>
      <c r="C6659" t="s">
        <v>50</v>
      </c>
      <c r="D6659" s="226">
        <v>1386509.13</v>
      </c>
      <c r="E6659" t="s">
        <v>696</v>
      </c>
    </row>
    <row r="6660" spans="1:5" hidden="1" x14ac:dyDescent="0.3">
      <c r="A6660" t="s">
        <v>552</v>
      </c>
      <c r="B6660" t="s">
        <v>695</v>
      </c>
      <c r="C6660" t="s">
        <v>51</v>
      </c>
      <c r="D6660" s="226">
        <v>-384388.14</v>
      </c>
      <c r="E6660" t="s">
        <v>696</v>
      </c>
    </row>
    <row r="6661" spans="1:5" hidden="1" x14ac:dyDescent="0.3">
      <c r="A6661" t="s">
        <v>552</v>
      </c>
      <c r="B6661" t="s">
        <v>695</v>
      </c>
      <c r="C6661" t="s">
        <v>52</v>
      </c>
      <c r="D6661" s="226">
        <v>-262259.90000000002</v>
      </c>
      <c r="E6661" t="s">
        <v>696</v>
      </c>
    </row>
    <row r="6662" spans="1:5" hidden="1" x14ac:dyDescent="0.3">
      <c r="A6662" t="s">
        <v>552</v>
      </c>
      <c r="B6662" t="s">
        <v>695</v>
      </c>
      <c r="C6662" t="s">
        <v>53</v>
      </c>
      <c r="D6662" s="226">
        <v>-121728.24</v>
      </c>
      <c r="E6662" t="s">
        <v>696</v>
      </c>
    </row>
    <row r="6663" spans="1:5" hidden="1" x14ac:dyDescent="0.3">
      <c r="A6663" t="s">
        <v>552</v>
      </c>
      <c r="B6663" t="s">
        <v>695</v>
      </c>
      <c r="C6663" t="s">
        <v>54</v>
      </c>
      <c r="D6663" s="226">
        <v>-400</v>
      </c>
      <c r="E6663" t="s">
        <v>696</v>
      </c>
    </row>
    <row r="6664" spans="1:5" hidden="1" x14ac:dyDescent="0.3">
      <c r="A6664" t="s">
        <v>552</v>
      </c>
      <c r="B6664" t="s">
        <v>695</v>
      </c>
      <c r="C6664" t="s">
        <v>23</v>
      </c>
      <c r="D6664" s="226">
        <v>0</v>
      </c>
      <c r="E6664" t="s">
        <v>696</v>
      </c>
    </row>
    <row r="6665" spans="1:5" hidden="1" x14ac:dyDescent="0.3">
      <c r="A6665" t="s">
        <v>552</v>
      </c>
      <c r="B6665" t="s">
        <v>695</v>
      </c>
      <c r="C6665" t="s">
        <v>44</v>
      </c>
      <c r="D6665" s="226">
        <v>-0.28999999999999998</v>
      </c>
      <c r="E6665" t="s">
        <v>696</v>
      </c>
    </row>
    <row r="6666" spans="1:5" hidden="1" x14ac:dyDescent="0.3">
      <c r="A6666" t="s">
        <v>552</v>
      </c>
      <c r="B6666" t="s">
        <v>695</v>
      </c>
      <c r="C6666" t="s">
        <v>55</v>
      </c>
      <c r="D6666" s="226">
        <v>-0.28000000000000003</v>
      </c>
      <c r="E6666" t="s">
        <v>696</v>
      </c>
    </row>
    <row r="6667" spans="1:5" hidden="1" x14ac:dyDescent="0.3">
      <c r="A6667" t="s">
        <v>552</v>
      </c>
      <c r="B6667" t="s">
        <v>695</v>
      </c>
      <c r="C6667" t="s">
        <v>56</v>
      </c>
      <c r="D6667" s="226">
        <v>-700</v>
      </c>
      <c r="E6667" t="s">
        <v>696</v>
      </c>
    </row>
    <row r="6668" spans="1:5" hidden="1" x14ac:dyDescent="0.3">
      <c r="A6668" t="s">
        <v>552</v>
      </c>
      <c r="B6668" t="s">
        <v>695</v>
      </c>
      <c r="C6668" t="s">
        <v>57</v>
      </c>
      <c r="D6668" s="226">
        <v>0</v>
      </c>
      <c r="E6668" t="s">
        <v>696</v>
      </c>
    </row>
    <row r="6669" spans="1:5" hidden="1" x14ac:dyDescent="0.3">
      <c r="A6669" t="s">
        <v>552</v>
      </c>
      <c r="B6669" t="s">
        <v>695</v>
      </c>
      <c r="C6669" t="s">
        <v>58</v>
      </c>
      <c r="D6669" s="226">
        <v>0</v>
      </c>
      <c r="E6669" t="s">
        <v>696</v>
      </c>
    </row>
    <row r="6670" spans="1:5" hidden="1" x14ac:dyDescent="0.3">
      <c r="A6670" t="s">
        <v>552</v>
      </c>
      <c r="B6670" t="s">
        <v>695</v>
      </c>
      <c r="C6670" t="s">
        <v>59</v>
      </c>
      <c r="D6670" s="226">
        <v>0</v>
      </c>
      <c r="E6670" t="s">
        <v>696</v>
      </c>
    </row>
    <row r="6671" spans="1:5" hidden="1" x14ac:dyDescent="0.3">
      <c r="A6671" t="s">
        <v>552</v>
      </c>
      <c r="B6671" t="s">
        <v>695</v>
      </c>
      <c r="C6671" t="s">
        <v>61</v>
      </c>
      <c r="D6671" s="226">
        <v>0</v>
      </c>
      <c r="E6671" t="s">
        <v>696</v>
      </c>
    </row>
    <row r="6672" spans="1:5" hidden="1" x14ac:dyDescent="0.3">
      <c r="A6672" t="s">
        <v>552</v>
      </c>
      <c r="B6672" t="s">
        <v>695</v>
      </c>
      <c r="C6672" t="s">
        <v>62</v>
      </c>
      <c r="D6672" s="226">
        <v>0</v>
      </c>
      <c r="E6672" t="s">
        <v>696</v>
      </c>
    </row>
    <row r="6673" spans="1:5" hidden="1" x14ac:dyDescent="0.3">
      <c r="A6673" t="s">
        <v>552</v>
      </c>
      <c r="B6673" t="s">
        <v>695</v>
      </c>
      <c r="C6673" t="s">
        <v>64</v>
      </c>
      <c r="D6673" s="226">
        <v>0</v>
      </c>
      <c r="E6673" t="s">
        <v>696</v>
      </c>
    </row>
    <row r="6674" spans="1:5" hidden="1" x14ac:dyDescent="0.3">
      <c r="A6674" t="s">
        <v>552</v>
      </c>
      <c r="B6674" t="s">
        <v>695</v>
      </c>
      <c r="C6674" t="s">
        <v>65</v>
      </c>
      <c r="D6674" s="226">
        <v>-700</v>
      </c>
      <c r="E6674" t="s">
        <v>696</v>
      </c>
    </row>
    <row r="6675" spans="1:5" hidden="1" x14ac:dyDescent="0.3">
      <c r="A6675" t="s">
        <v>552</v>
      </c>
      <c r="B6675" t="s">
        <v>695</v>
      </c>
      <c r="C6675" t="s">
        <v>66</v>
      </c>
      <c r="D6675" s="226">
        <v>-700</v>
      </c>
      <c r="E6675" t="s">
        <v>696</v>
      </c>
    </row>
    <row r="6676" spans="1:5" hidden="1" x14ac:dyDescent="0.3">
      <c r="A6676" t="s">
        <v>552</v>
      </c>
      <c r="B6676" t="s">
        <v>695</v>
      </c>
      <c r="C6676" t="s">
        <v>68</v>
      </c>
      <c r="D6676" s="226">
        <v>0</v>
      </c>
      <c r="E6676" t="s">
        <v>696</v>
      </c>
    </row>
    <row r="6677" spans="1:5" hidden="1" x14ac:dyDescent="0.3">
      <c r="A6677" t="s">
        <v>552</v>
      </c>
      <c r="B6677" t="s">
        <v>695</v>
      </c>
      <c r="C6677" t="s">
        <v>69</v>
      </c>
      <c r="D6677" s="226">
        <v>0</v>
      </c>
      <c r="E6677" t="s">
        <v>696</v>
      </c>
    </row>
    <row r="6678" spans="1:5" hidden="1" x14ac:dyDescent="0.3">
      <c r="A6678" t="s">
        <v>552</v>
      </c>
      <c r="B6678" t="s">
        <v>695</v>
      </c>
      <c r="C6678" t="s">
        <v>70</v>
      </c>
      <c r="D6678" s="226">
        <v>0</v>
      </c>
      <c r="E6678" t="s">
        <v>696</v>
      </c>
    </row>
    <row r="6679" spans="1:5" hidden="1" x14ac:dyDescent="0.3">
      <c r="A6679" t="s">
        <v>552</v>
      </c>
      <c r="B6679" t="s">
        <v>695</v>
      </c>
      <c r="C6679" t="s">
        <v>44</v>
      </c>
      <c r="D6679" s="226">
        <v>0</v>
      </c>
      <c r="E6679" t="s">
        <v>696</v>
      </c>
    </row>
    <row r="6680" spans="1:5" hidden="1" x14ac:dyDescent="0.3">
      <c r="A6680" t="s">
        <v>552</v>
      </c>
      <c r="B6680" t="s">
        <v>695</v>
      </c>
      <c r="C6680" t="s">
        <v>71</v>
      </c>
      <c r="D6680" s="226">
        <v>-1333.33</v>
      </c>
      <c r="E6680" t="s">
        <v>696</v>
      </c>
    </row>
    <row r="6681" spans="1:5" hidden="1" x14ac:dyDescent="0.3">
      <c r="A6681" t="s">
        <v>552</v>
      </c>
      <c r="B6681" t="s">
        <v>695</v>
      </c>
      <c r="C6681" t="s">
        <v>72</v>
      </c>
      <c r="D6681" s="226">
        <v>-1333.33</v>
      </c>
      <c r="E6681" t="s">
        <v>696</v>
      </c>
    </row>
    <row r="6682" spans="1:5" hidden="1" x14ac:dyDescent="0.3">
      <c r="A6682" t="s">
        <v>552</v>
      </c>
      <c r="B6682" t="s">
        <v>695</v>
      </c>
      <c r="C6682" t="s">
        <v>73</v>
      </c>
      <c r="D6682" s="226">
        <v>-1333.33</v>
      </c>
      <c r="E6682" t="s">
        <v>696</v>
      </c>
    </row>
    <row r="6683" spans="1:5" hidden="1" x14ac:dyDescent="0.3">
      <c r="A6683" t="s">
        <v>552</v>
      </c>
      <c r="B6683" t="s">
        <v>695</v>
      </c>
      <c r="C6683" t="s">
        <v>75</v>
      </c>
      <c r="D6683" s="226">
        <v>0</v>
      </c>
      <c r="E6683" t="s">
        <v>696</v>
      </c>
    </row>
    <row r="6684" spans="1:5" hidden="1" x14ac:dyDescent="0.3">
      <c r="A6684" t="s">
        <v>552</v>
      </c>
      <c r="B6684" t="s">
        <v>695</v>
      </c>
      <c r="C6684" t="s">
        <v>77</v>
      </c>
      <c r="D6684" s="226">
        <v>0</v>
      </c>
      <c r="E6684" t="s">
        <v>696</v>
      </c>
    </row>
    <row r="6685" spans="1:5" hidden="1" x14ac:dyDescent="0.3">
      <c r="A6685" t="s">
        <v>552</v>
      </c>
      <c r="B6685" t="s">
        <v>695</v>
      </c>
      <c r="C6685" t="s">
        <v>78</v>
      </c>
      <c r="D6685" s="226">
        <v>0</v>
      </c>
      <c r="E6685" t="s">
        <v>696</v>
      </c>
    </row>
    <row r="6686" spans="1:5" hidden="1" x14ac:dyDescent="0.3">
      <c r="A6686" t="s">
        <v>552</v>
      </c>
      <c r="B6686" t="s">
        <v>695</v>
      </c>
      <c r="C6686" t="s">
        <v>80</v>
      </c>
      <c r="D6686" s="226">
        <v>0</v>
      </c>
      <c r="E6686" t="s">
        <v>696</v>
      </c>
    </row>
    <row r="6687" spans="1:5" hidden="1" x14ac:dyDescent="0.3">
      <c r="A6687" t="s">
        <v>552</v>
      </c>
      <c r="B6687" t="s">
        <v>695</v>
      </c>
      <c r="C6687" t="s">
        <v>82</v>
      </c>
      <c r="D6687" s="226">
        <v>0</v>
      </c>
      <c r="E6687" t="s">
        <v>696</v>
      </c>
    </row>
    <row r="6688" spans="1:5" hidden="1" x14ac:dyDescent="0.3">
      <c r="A6688" t="s">
        <v>552</v>
      </c>
      <c r="B6688" t="s">
        <v>695</v>
      </c>
      <c r="C6688" t="s">
        <v>84</v>
      </c>
      <c r="D6688" s="226">
        <v>0</v>
      </c>
      <c r="E6688" t="s">
        <v>696</v>
      </c>
    </row>
    <row r="6689" spans="1:5" hidden="1" x14ac:dyDescent="0.3">
      <c r="A6689" t="s">
        <v>552</v>
      </c>
      <c r="B6689" t="s">
        <v>695</v>
      </c>
      <c r="C6689" t="s">
        <v>85</v>
      </c>
      <c r="D6689" s="226">
        <v>0</v>
      </c>
      <c r="E6689" t="s">
        <v>696</v>
      </c>
    </row>
    <row r="6690" spans="1:5" hidden="1" x14ac:dyDescent="0.3">
      <c r="A6690" t="s">
        <v>552</v>
      </c>
      <c r="B6690" t="s">
        <v>695</v>
      </c>
      <c r="C6690" t="s">
        <v>86</v>
      </c>
      <c r="D6690" s="226">
        <v>0</v>
      </c>
      <c r="E6690" t="s">
        <v>696</v>
      </c>
    </row>
    <row r="6691" spans="1:5" hidden="1" x14ac:dyDescent="0.3">
      <c r="A6691" t="s">
        <v>552</v>
      </c>
      <c r="B6691" t="s">
        <v>695</v>
      </c>
      <c r="C6691" t="s">
        <v>87</v>
      </c>
      <c r="D6691" s="226">
        <v>0</v>
      </c>
      <c r="E6691" t="s">
        <v>696</v>
      </c>
    </row>
    <row r="6692" spans="1:5" hidden="1" x14ac:dyDescent="0.3">
      <c r="A6692" t="s">
        <v>552</v>
      </c>
      <c r="B6692" t="s">
        <v>695</v>
      </c>
      <c r="C6692" t="s">
        <v>88</v>
      </c>
      <c r="D6692" s="226">
        <v>0</v>
      </c>
      <c r="E6692" t="s">
        <v>696</v>
      </c>
    </row>
    <row r="6693" spans="1:5" hidden="1" x14ac:dyDescent="0.3">
      <c r="A6693" t="s">
        <v>552</v>
      </c>
      <c r="B6693" t="s">
        <v>695</v>
      </c>
      <c r="C6693" t="s">
        <v>89</v>
      </c>
      <c r="D6693" s="226">
        <v>0</v>
      </c>
      <c r="E6693" t="s">
        <v>696</v>
      </c>
    </row>
    <row r="6694" spans="1:5" hidden="1" x14ac:dyDescent="0.3">
      <c r="A6694" t="s">
        <v>552</v>
      </c>
      <c r="B6694" t="s">
        <v>695</v>
      </c>
      <c r="C6694" t="s">
        <v>90</v>
      </c>
      <c r="D6694" s="226">
        <v>0</v>
      </c>
      <c r="E6694" t="s">
        <v>696</v>
      </c>
    </row>
    <row r="6695" spans="1:5" hidden="1" x14ac:dyDescent="0.3">
      <c r="A6695" t="s">
        <v>552</v>
      </c>
      <c r="B6695" t="s">
        <v>695</v>
      </c>
      <c r="C6695" t="s">
        <v>91</v>
      </c>
      <c r="D6695" s="226">
        <v>0</v>
      </c>
      <c r="E6695" t="s">
        <v>696</v>
      </c>
    </row>
    <row r="6696" spans="1:5" hidden="1" x14ac:dyDescent="0.3">
      <c r="A6696" t="s">
        <v>552</v>
      </c>
      <c r="B6696" t="s">
        <v>695</v>
      </c>
      <c r="C6696" t="s">
        <v>93</v>
      </c>
      <c r="D6696" s="226">
        <v>0</v>
      </c>
      <c r="E6696" t="s">
        <v>696</v>
      </c>
    </row>
    <row r="6697" spans="1:5" hidden="1" x14ac:dyDescent="0.3">
      <c r="A6697" t="s">
        <v>552</v>
      </c>
      <c r="B6697" t="s">
        <v>695</v>
      </c>
      <c r="C6697" t="s">
        <v>95</v>
      </c>
      <c r="D6697" s="226">
        <v>0</v>
      </c>
      <c r="E6697" t="s">
        <v>696</v>
      </c>
    </row>
    <row r="6698" spans="1:5" hidden="1" x14ac:dyDescent="0.3">
      <c r="A6698" t="s">
        <v>552</v>
      </c>
      <c r="B6698" t="s">
        <v>695</v>
      </c>
      <c r="C6698" t="s">
        <v>96</v>
      </c>
      <c r="D6698" s="226">
        <v>0</v>
      </c>
      <c r="E6698" t="s">
        <v>696</v>
      </c>
    </row>
    <row r="6699" spans="1:5" hidden="1" x14ac:dyDescent="0.3">
      <c r="A6699" t="s">
        <v>552</v>
      </c>
      <c r="B6699" t="s">
        <v>695</v>
      </c>
      <c r="C6699" t="s">
        <v>98</v>
      </c>
      <c r="D6699" s="226">
        <v>0</v>
      </c>
      <c r="E6699" t="s">
        <v>696</v>
      </c>
    </row>
    <row r="6700" spans="1:5" hidden="1" x14ac:dyDescent="0.3">
      <c r="A6700" t="s">
        <v>552</v>
      </c>
      <c r="B6700" t="s">
        <v>695</v>
      </c>
      <c r="C6700" t="s">
        <v>100</v>
      </c>
      <c r="D6700" s="226">
        <v>0</v>
      </c>
      <c r="E6700" t="s">
        <v>696</v>
      </c>
    </row>
    <row r="6701" spans="1:5" hidden="1" x14ac:dyDescent="0.3">
      <c r="A6701" t="s">
        <v>552</v>
      </c>
      <c r="B6701" t="s">
        <v>695</v>
      </c>
      <c r="C6701" t="s">
        <v>101</v>
      </c>
      <c r="D6701" s="226">
        <v>0</v>
      </c>
      <c r="E6701" t="s">
        <v>696</v>
      </c>
    </row>
    <row r="6702" spans="1:5" hidden="1" x14ac:dyDescent="0.3">
      <c r="A6702" t="s">
        <v>552</v>
      </c>
      <c r="B6702" t="s">
        <v>695</v>
      </c>
      <c r="C6702" t="s">
        <v>102</v>
      </c>
      <c r="D6702" s="226">
        <v>0</v>
      </c>
      <c r="E6702" t="s">
        <v>696</v>
      </c>
    </row>
    <row r="6703" spans="1:5" hidden="1" x14ac:dyDescent="0.3">
      <c r="A6703" t="s">
        <v>552</v>
      </c>
      <c r="B6703" t="s">
        <v>695</v>
      </c>
      <c r="C6703" t="s">
        <v>103</v>
      </c>
      <c r="D6703" s="226">
        <v>0</v>
      </c>
      <c r="E6703" t="s">
        <v>696</v>
      </c>
    </row>
    <row r="6704" spans="1:5" hidden="1" x14ac:dyDescent="0.3">
      <c r="A6704" t="s">
        <v>552</v>
      </c>
      <c r="B6704" t="s">
        <v>695</v>
      </c>
      <c r="C6704" t="s">
        <v>104</v>
      </c>
      <c r="D6704" s="226">
        <v>0</v>
      </c>
      <c r="E6704" t="s">
        <v>696</v>
      </c>
    </row>
    <row r="6705" spans="1:5" hidden="1" x14ac:dyDescent="0.3">
      <c r="A6705" t="s">
        <v>552</v>
      </c>
      <c r="B6705" t="s">
        <v>695</v>
      </c>
      <c r="C6705" t="s">
        <v>105</v>
      </c>
      <c r="D6705" s="226">
        <v>0</v>
      </c>
      <c r="E6705" t="s">
        <v>696</v>
      </c>
    </row>
    <row r="6706" spans="1:5" hidden="1" x14ac:dyDescent="0.3">
      <c r="A6706" t="s">
        <v>552</v>
      </c>
      <c r="B6706" t="s">
        <v>695</v>
      </c>
      <c r="C6706" t="s">
        <v>107</v>
      </c>
      <c r="D6706" s="226">
        <v>0</v>
      </c>
      <c r="E6706" t="s">
        <v>696</v>
      </c>
    </row>
    <row r="6707" spans="1:5" hidden="1" x14ac:dyDescent="0.3">
      <c r="A6707" t="s">
        <v>552</v>
      </c>
      <c r="B6707" t="s">
        <v>695</v>
      </c>
      <c r="C6707" t="s">
        <v>108</v>
      </c>
      <c r="D6707" s="226">
        <v>0</v>
      </c>
      <c r="E6707" t="s">
        <v>696</v>
      </c>
    </row>
    <row r="6708" spans="1:5" hidden="1" x14ac:dyDescent="0.3">
      <c r="A6708" t="s">
        <v>552</v>
      </c>
      <c r="B6708" t="s">
        <v>695</v>
      </c>
      <c r="C6708" t="s">
        <v>109</v>
      </c>
      <c r="D6708" s="226">
        <v>0</v>
      </c>
      <c r="E6708" t="s">
        <v>696</v>
      </c>
    </row>
    <row r="6709" spans="1:5" hidden="1" x14ac:dyDescent="0.3">
      <c r="A6709" t="s">
        <v>552</v>
      </c>
      <c r="B6709" t="s">
        <v>695</v>
      </c>
      <c r="C6709" t="s">
        <v>110</v>
      </c>
      <c r="D6709" s="226">
        <v>0</v>
      </c>
      <c r="E6709" t="s">
        <v>696</v>
      </c>
    </row>
    <row r="6710" spans="1:5" hidden="1" x14ac:dyDescent="0.3">
      <c r="A6710" t="s">
        <v>552</v>
      </c>
      <c r="B6710" t="s">
        <v>695</v>
      </c>
      <c r="C6710" t="s">
        <v>44</v>
      </c>
      <c r="D6710" s="226">
        <v>0</v>
      </c>
      <c r="E6710" t="s">
        <v>696</v>
      </c>
    </row>
    <row r="6711" spans="1:5" hidden="1" x14ac:dyDescent="0.3">
      <c r="A6711" t="s">
        <v>552</v>
      </c>
      <c r="B6711" t="s">
        <v>695</v>
      </c>
      <c r="C6711" t="s">
        <v>111</v>
      </c>
      <c r="D6711" s="226">
        <v>-112940</v>
      </c>
      <c r="E6711" t="s">
        <v>696</v>
      </c>
    </row>
    <row r="6712" spans="1:5" hidden="1" x14ac:dyDescent="0.3">
      <c r="A6712" t="s">
        <v>552</v>
      </c>
      <c r="B6712" t="s">
        <v>695</v>
      </c>
      <c r="C6712" t="s">
        <v>555</v>
      </c>
      <c r="D6712" s="226">
        <v>-112940</v>
      </c>
      <c r="E6712" t="s">
        <v>696</v>
      </c>
    </row>
    <row r="6713" spans="1:5" hidden="1" x14ac:dyDescent="0.3">
      <c r="A6713" t="s">
        <v>552</v>
      </c>
      <c r="B6713" t="s">
        <v>695</v>
      </c>
      <c r="C6713" t="s">
        <v>44</v>
      </c>
      <c r="D6713" s="226">
        <v>-7.0000000000000007E-2</v>
      </c>
      <c r="E6713" t="s">
        <v>696</v>
      </c>
    </row>
    <row r="6714" spans="1:5" hidden="1" x14ac:dyDescent="0.3">
      <c r="A6714" t="s">
        <v>552</v>
      </c>
      <c r="B6714" t="s">
        <v>695</v>
      </c>
      <c r="C6714" t="s">
        <v>115</v>
      </c>
      <c r="D6714" s="226">
        <v>-22434.78</v>
      </c>
      <c r="E6714" t="s">
        <v>696</v>
      </c>
    </row>
    <row r="6715" spans="1:5" hidden="1" x14ac:dyDescent="0.3">
      <c r="A6715" t="s">
        <v>552</v>
      </c>
      <c r="B6715" t="s">
        <v>695</v>
      </c>
      <c r="C6715" t="s">
        <v>116</v>
      </c>
      <c r="D6715" s="226">
        <v>-16479.2</v>
      </c>
      <c r="E6715" t="s">
        <v>696</v>
      </c>
    </row>
    <row r="6716" spans="1:5" hidden="1" x14ac:dyDescent="0.3">
      <c r="A6716" t="s">
        <v>552</v>
      </c>
      <c r="B6716" t="s">
        <v>695</v>
      </c>
      <c r="C6716" t="s">
        <v>118</v>
      </c>
      <c r="D6716" s="226">
        <v>-5955.58</v>
      </c>
      <c r="E6716" t="s">
        <v>696</v>
      </c>
    </row>
    <row r="6717" spans="1:5" hidden="1" x14ac:dyDescent="0.3">
      <c r="A6717" t="s">
        <v>552</v>
      </c>
      <c r="B6717" t="s">
        <v>695</v>
      </c>
      <c r="C6717" t="s">
        <v>120</v>
      </c>
      <c r="D6717" s="226">
        <v>0</v>
      </c>
      <c r="E6717" t="s">
        <v>696</v>
      </c>
    </row>
    <row r="6718" spans="1:5" hidden="1" x14ac:dyDescent="0.3">
      <c r="A6718" t="s">
        <v>552</v>
      </c>
      <c r="B6718" t="s">
        <v>695</v>
      </c>
      <c r="C6718" t="s">
        <v>122</v>
      </c>
      <c r="D6718" s="226">
        <v>0</v>
      </c>
      <c r="E6718" t="s">
        <v>696</v>
      </c>
    </row>
    <row r="6719" spans="1:5" hidden="1" x14ac:dyDescent="0.3">
      <c r="A6719" t="s">
        <v>552</v>
      </c>
      <c r="B6719" t="s">
        <v>695</v>
      </c>
      <c r="C6719" t="s">
        <v>44</v>
      </c>
      <c r="D6719" s="226">
        <v>-0.01</v>
      </c>
      <c r="E6719" t="s">
        <v>696</v>
      </c>
    </row>
    <row r="6720" spans="1:5" hidden="1" x14ac:dyDescent="0.3">
      <c r="A6720" t="s">
        <v>552</v>
      </c>
      <c r="B6720" t="s">
        <v>695</v>
      </c>
      <c r="C6720" t="s">
        <v>125</v>
      </c>
      <c r="D6720" s="226">
        <v>864712.88</v>
      </c>
      <c r="E6720" t="s">
        <v>696</v>
      </c>
    </row>
    <row r="6721" spans="1:5" hidden="1" x14ac:dyDescent="0.3">
      <c r="A6721" t="s">
        <v>552</v>
      </c>
      <c r="B6721" t="s">
        <v>695</v>
      </c>
      <c r="C6721" t="s">
        <v>126</v>
      </c>
      <c r="D6721" s="226">
        <v>0.56999999999999995</v>
      </c>
      <c r="E6721" t="s">
        <v>696</v>
      </c>
    </row>
    <row r="6722" spans="1:5" hidden="1" x14ac:dyDescent="0.3">
      <c r="A6722" t="s">
        <v>552</v>
      </c>
      <c r="B6722" t="s">
        <v>695</v>
      </c>
      <c r="C6722" t="s">
        <v>127</v>
      </c>
      <c r="D6722" s="226">
        <v>-334620.88</v>
      </c>
      <c r="E6722" t="s">
        <v>696</v>
      </c>
    </row>
    <row r="6723" spans="1:5" hidden="1" x14ac:dyDescent="0.3">
      <c r="A6723" t="s">
        <v>552</v>
      </c>
      <c r="B6723" t="s">
        <v>695</v>
      </c>
      <c r="C6723" t="s">
        <v>128</v>
      </c>
      <c r="D6723" s="226">
        <v>-61282.66</v>
      </c>
      <c r="E6723" t="s">
        <v>696</v>
      </c>
    </row>
    <row r="6724" spans="1:5" hidden="1" x14ac:dyDescent="0.3">
      <c r="A6724" t="s">
        <v>552</v>
      </c>
      <c r="B6724" t="s">
        <v>695</v>
      </c>
      <c r="C6724" t="s">
        <v>556</v>
      </c>
      <c r="D6724" s="226">
        <v>-11416</v>
      </c>
      <c r="E6724" t="s">
        <v>696</v>
      </c>
    </row>
    <row r="6725" spans="1:5" hidden="1" x14ac:dyDescent="0.3">
      <c r="A6725" t="s">
        <v>552</v>
      </c>
      <c r="B6725" t="s">
        <v>695</v>
      </c>
      <c r="C6725" t="s">
        <v>557</v>
      </c>
      <c r="D6725" s="226">
        <v>-6600</v>
      </c>
      <c r="E6725" t="s">
        <v>696</v>
      </c>
    </row>
    <row r="6726" spans="1:5" hidden="1" x14ac:dyDescent="0.3">
      <c r="A6726" t="s">
        <v>552</v>
      </c>
      <c r="B6726" t="s">
        <v>695</v>
      </c>
      <c r="C6726" t="s">
        <v>558</v>
      </c>
      <c r="D6726" s="226">
        <v>0</v>
      </c>
      <c r="E6726" t="s">
        <v>696</v>
      </c>
    </row>
    <row r="6727" spans="1:5" hidden="1" x14ac:dyDescent="0.3">
      <c r="A6727" t="s">
        <v>552</v>
      </c>
      <c r="B6727" t="s">
        <v>695</v>
      </c>
      <c r="C6727" t="s">
        <v>559</v>
      </c>
      <c r="D6727" s="226">
        <v>-22260</v>
      </c>
      <c r="E6727" t="s">
        <v>696</v>
      </c>
    </row>
    <row r="6728" spans="1:5" hidden="1" x14ac:dyDescent="0.3">
      <c r="A6728" t="s">
        <v>552</v>
      </c>
      <c r="B6728" t="s">
        <v>695</v>
      </c>
      <c r="C6728" t="s">
        <v>560</v>
      </c>
      <c r="D6728" s="226">
        <v>-3100</v>
      </c>
      <c r="E6728" t="s">
        <v>696</v>
      </c>
    </row>
    <row r="6729" spans="1:5" hidden="1" x14ac:dyDescent="0.3">
      <c r="A6729" t="s">
        <v>552</v>
      </c>
      <c r="B6729" t="s">
        <v>695</v>
      </c>
      <c r="C6729" t="s">
        <v>561</v>
      </c>
      <c r="D6729" s="226">
        <v>-13906.66</v>
      </c>
      <c r="E6729" t="s">
        <v>696</v>
      </c>
    </row>
    <row r="6730" spans="1:5" hidden="1" x14ac:dyDescent="0.3">
      <c r="A6730" t="s">
        <v>552</v>
      </c>
      <c r="B6730" t="s">
        <v>695</v>
      </c>
      <c r="C6730" t="s">
        <v>562</v>
      </c>
      <c r="D6730" s="226">
        <v>-4000</v>
      </c>
      <c r="E6730" t="s">
        <v>696</v>
      </c>
    </row>
    <row r="6731" spans="1:5" hidden="1" x14ac:dyDescent="0.3">
      <c r="A6731" t="s">
        <v>552</v>
      </c>
      <c r="B6731" t="s">
        <v>695</v>
      </c>
      <c r="C6731" t="s">
        <v>563</v>
      </c>
      <c r="D6731" s="226">
        <v>0</v>
      </c>
      <c r="E6731" t="s">
        <v>696</v>
      </c>
    </row>
    <row r="6732" spans="1:5" hidden="1" x14ac:dyDescent="0.3">
      <c r="A6732" t="s">
        <v>552</v>
      </c>
      <c r="B6732" t="s">
        <v>695</v>
      </c>
      <c r="C6732" t="s">
        <v>564</v>
      </c>
      <c r="D6732" s="226">
        <v>0</v>
      </c>
      <c r="E6732" t="s">
        <v>696</v>
      </c>
    </row>
    <row r="6733" spans="1:5" hidden="1" x14ac:dyDescent="0.3">
      <c r="A6733" t="s">
        <v>552</v>
      </c>
      <c r="B6733" t="s">
        <v>695</v>
      </c>
      <c r="C6733" t="s">
        <v>565</v>
      </c>
      <c r="D6733" s="226">
        <v>0</v>
      </c>
      <c r="E6733" t="s">
        <v>696</v>
      </c>
    </row>
    <row r="6734" spans="1:5" hidden="1" x14ac:dyDescent="0.3">
      <c r="A6734" t="s">
        <v>552</v>
      </c>
      <c r="B6734" t="s">
        <v>695</v>
      </c>
      <c r="C6734" t="s">
        <v>566</v>
      </c>
      <c r="D6734" s="226">
        <v>0</v>
      </c>
      <c r="E6734" t="s">
        <v>696</v>
      </c>
    </row>
    <row r="6735" spans="1:5" hidden="1" x14ac:dyDescent="0.3">
      <c r="A6735" t="s">
        <v>552</v>
      </c>
      <c r="B6735" t="s">
        <v>695</v>
      </c>
      <c r="C6735" t="s">
        <v>567</v>
      </c>
      <c r="D6735" s="226">
        <v>0</v>
      </c>
      <c r="E6735" t="s">
        <v>696</v>
      </c>
    </row>
    <row r="6736" spans="1:5" hidden="1" x14ac:dyDescent="0.3">
      <c r="A6736" t="s">
        <v>552</v>
      </c>
      <c r="B6736" t="s">
        <v>695</v>
      </c>
      <c r="C6736" t="s">
        <v>141</v>
      </c>
      <c r="D6736" s="226">
        <v>-52383.199999999997</v>
      </c>
      <c r="E6736" t="s">
        <v>696</v>
      </c>
    </row>
    <row r="6737" spans="1:5" hidden="1" x14ac:dyDescent="0.3">
      <c r="A6737" t="s">
        <v>552</v>
      </c>
      <c r="B6737" t="s">
        <v>695</v>
      </c>
      <c r="C6737" t="s">
        <v>568</v>
      </c>
      <c r="D6737" s="226">
        <v>0</v>
      </c>
      <c r="E6737" t="s">
        <v>696</v>
      </c>
    </row>
    <row r="6738" spans="1:5" hidden="1" x14ac:dyDescent="0.3">
      <c r="A6738" t="s">
        <v>552</v>
      </c>
      <c r="B6738" t="s">
        <v>695</v>
      </c>
      <c r="C6738" t="s">
        <v>569</v>
      </c>
      <c r="D6738" s="226">
        <v>0</v>
      </c>
      <c r="E6738" t="s">
        <v>696</v>
      </c>
    </row>
    <row r="6739" spans="1:5" hidden="1" x14ac:dyDescent="0.3">
      <c r="A6739" t="s">
        <v>552</v>
      </c>
      <c r="B6739" t="s">
        <v>695</v>
      </c>
      <c r="C6739" t="s">
        <v>570</v>
      </c>
      <c r="D6739" s="226">
        <v>0</v>
      </c>
      <c r="E6739" t="s">
        <v>696</v>
      </c>
    </row>
    <row r="6740" spans="1:5" hidden="1" x14ac:dyDescent="0.3">
      <c r="A6740" t="s">
        <v>552</v>
      </c>
      <c r="B6740" t="s">
        <v>695</v>
      </c>
      <c r="C6740" t="s">
        <v>571</v>
      </c>
      <c r="D6740" s="226">
        <v>0</v>
      </c>
      <c r="E6740" t="s">
        <v>696</v>
      </c>
    </row>
    <row r="6741" spans="1:5" hidden="1" x14ac:dyDescent="0.3">
      <c r="A6741" t="s">
        <v>552</v>
      </c>
      <c r="B6741" t="s">
        <v>695</v>
      </c>
      <c r="C6741" t="s">
        <v>572</v>
      </c>
      <c r="D6741" s="226">
        <v>0</v>
      </c>
      <c r="E6741" t="s">
        <v>696</v>
      </c>
    </row>
    <row r="6742" spans="1:5" hidden="1" x14ac:dyDescent="0.3">
      <c r="A6742" t="s">
        <v>552</v>
      </c>
      <c r="B6742" t="s">
        <v>695</v>
      </c>
      <c r="C6742" t="s">
        <v>573</v>
      </c>
      <c r="D6742" s="226">
        <v>0</v>
      </c>
      <c r="E6742" t="s">
        <v>696</v>
      </c>
    </row>
    <row r="6743" spans="1:5" hidden="1" x14ac:dyDescent="0.3">
      <c r="A6743" t="s">
        <v>552</v>
      </c>
      <c r="B6743" t="s">
        <v>695</v>
      </c>
      <c r="C6743" t="s">
        <v>574</v>
      </c>
      <c r="D6743" s="226">
        <v>0</v>
      </c>
      <c r="E6743" t="s">
        <v>696</v>
      </c>
    </row>
    <row r="6744" spans="1:5" hidden="1" x14ac:dyDescent="0.3">
      <c r="A6744" t="s">
        <v>552</v>
      </c>
      <c r="B6744" t="s">
        <v>695</v>
      </c>
      <c r="C6744" t="s">
        <v>575</v>
      </c>
      <c r="D6744" s="226">
        <v>0</v>
      </c>
      <c r="E6744" t="s">
        <v>696</v>
      </c>
    </row>
    <row r="6745" spans="1:5" hidden="1" x14ac:dyDescent="0.3">
      <c r="A6745" t="s">
        <v>552</v>
      </c>
      <c r="B6745" t="s">
        <v>695</v>
      </c>
      <c r="C6745" t="s">
        <v>576</v>
      </c>
      <c r="D6745" s="226">
        <v>0</v>
      </c>
      <c r="E6745" t="s">
        <v>696</v>
      </c>
    </row>
    <row r="6746" spans="1:5" hidden="1" x14ac:dyDescent="0.3">
      <c r="A6746" t="s">
        <v>552</v>
      </c>
      <c r="B6746" t="s">
        <v>695</v>
      </c>
      <c r="C6746" t="s">
        <v>577</v>
      </c>
      <c r="D6746" s="226">
        <v>0</v>
      </c>
      <c r="E6746" t="s">
        <v>696</v>
      </c>
    </row>
    <row r="6747" spans="1:5" hidden="1" x14ac:dyDescent="0.3">
      <c r="A6747" t="s">
        <v>552</v>
      </c>
      <c r="B6747" t="s">
        <v>695</v>
      </c>
      <c r="C6747" t="s">
        <v>578</v>
      </c>
      <c r="D6747" s="226">
        <v>0</v>
      </c>
      <c r="E6747" t="s">
        <v>696</v>
      </c>
    </row>
    <row r="6748" spans="1:5" hidden="1" x14ac:dyDescent="0.3">
      <c r="A6748" t="s">
        <v>552</v>
      </c>
      <c r="B6748" t="s">
        <v>695</v>
      </c>
      <c r="C6748" t="s">
        <v>579</v>
      </c>
      <c r="D6748" s="226">
        <v>0</v>
      </c>
      <c r="E6748" t="s">
        <v>696</v>
      </c>
    </row>
    <row r="6749" spans="1:5" hidden="1" x14ac:dyDescent="0.3">
      <c r="A6749" t="s">
        <v>552</v>
      </c>
      <c r="B6749" t="s">
        <v>695</v>
      </c>
      <c r="C6749" t="s">
        <v>580</v>
      </c>
      <c r="D6749" s="226">
        <v>0</v>
      </c>
      <c r="E6749" t="s">
        <v>696</v>
      </c>
    </row>
    <row r="6750" spans="1:5" hidden="1" x14ac:dyDescent="0.3">
      <c r="A6750" t="s">
        <v>552</v>
      </c>
      <c r="B6750" t="s">
        <v>695</v>
      </c>
      <c r="C6750" t="s">
        <v>581</v>
      </c>
      <c r="D6750" s="226">
        <v>0</v>
      </c>
      <c r="E6750" t="s">
        <v>696</v>
      </c>
    </row>
    <row r="6751" spans="1:5" hidden="1" x14ac:dyDescent="0.3">
      <c r="A6751" t="s">
        <v>552</v>
      </c>
      <c r="B6751" t="s">
        <v>695</v>
      </c>
      <c r="C6751" t="s">
        <v>582</v>
      </c>
      <c r="D6751" s="226">
        <v>0</v>
      </c>
      <c r="E6751" t="s">
        <v>696</v>
      </c>
    </row>
    <row r="6752" spans="1:5" hidden="1" x14ac:dyDescent="0.3">
      <c r="A6752" t="s">
        <v>552</v>
      </c>
      <c r="B6752" t="s">
        <v>695</v>
      </c>
      <c r="C6752" t="s">
        <v>583</v>
      </c>
      <c r="D6752" s="226">
        <v>0</v>
      </c>
      <c r="E6752" t="s">
        <v>696</v>
      </c>
    </row>
    <row r="6753" spans="1:5" hidden="1" x14ac:dyDescent="0.3">
      <c r="A6753" t="s">
        <v>552</v>
      </c>
      <c r="B6753" t="s">
        <v>695</v>
      </c>
      <c r="C6753" t="s">
        <v>584</v>
      </c>
      <c r="D6753" s="226">
        <v>0</v>
      </c>
      <c r="E6753" t="s">
        <v>696</v>
      </c>
    </row>
    <row r="6754" spans="1:5" hidden="1" x14ac:dyDescent="0.3">
      <c r="A6754" t="s">
        <v>552</v>
      </c>
      <c r="B6754" t="s">
        <v>695</v>
      </c>
      <c r="C6754" t="s">
        <v>585</v>
      </c>
      <c r="D6754" s="226">
        <v>0</v>
      </c>
      <c r="E6754" t="s">
        <v>696</v>
      </c>
    </row>
    <row r="6755" spans="1:5" hidden="1" x14ac:dyDescent="0.3">
      <c r="A6755" t="s">
        <v>552</v>
      </c>
      <c r="B6755" t="s">
        <v>695</v>
      </c>
      <c r="C6755" t="s">
        <v>586</v>
      </c>
      <c r="D6755" s="226">
        <v>0</v>
      </c>
      <c r="E6755" t="s">
        <v>696</v>
      </c>
    </row>
    <row r="6756" spans="1:5" hidden="1" x14ac:dyDescent="0.3">
      <c r="A6756" t="s">
        <v>552</v>
      </c>
      <c r="B6756" t="s">
        <v>695</v>
      </c>
      <c r="C6756" t="s">
        <v>587</v>
      </c>
      <c r="D6756" s="226">
        <v>0</v>
      </c>
      <c r="E6756" t="s">
        <v>696</v>
      </c>
    </row>
    <row r="6757" spans="1:5" hidden="1" x14ac:dyDescent="0.3">
      <c r="A6757" t="s">
        <v>552</v>
      </c>
      <c r="B6757" t="s">
        <v>695</v>
      </c>
      <c r="C6757" t="s">
        <v>588</v>
      </c>
      <c r="D6757" s="226">
        <v>0</v>
      </c>
      <c r="E6757" t="s">
        <v>696</v>
      </c>
    </row>
    <row r="6758" spans="1:5" hidden="1" x14ac:dyDescent="0.3">
      <c r="A6758" t="s">
        <v>552</v>
      </c>
      <c r="B6758" t="s">
        <v>695</v>
      </c>
      <c r="C6758" t="s">
        <v>589</v>
      </c>
      <c r="D6758" s="226">
        <v>0</v>
      </c>
      <c r="E6758" t="s">
        <v>696</v>
      </c>
    </row>
    <row r="6759" spans="1:5" hidden="1" x14ac:dyDescent="0.3">
      <c r="A6759" t="s">
        <v>552</v>
      </c>
      <c r="B6759" t="s">
        <v>695</v>
      </c>
      <c r="C6759" t="s">
        <v>590</v>
      </c>
      <c r="D6759" s="226">
        <v>0</v>
      </c>
      <c r="E6759" t="s">
        <v>696</v>
      </c>
    </row>
    <row r="6760" spans="1:5" hidden="1" x14ac:dyDescent="0.3">
      <c r="A6760" t="s">
        <v>552</v>
      </c>
      <c r="B6760" t="s">
        <v>695</v>
      </c>
      <c r="C6760" t="s">
        <v>591</v>
      </c>
      <c r="D6760" s="226">
        <v>0</v>
      </c>
      <c r="E6760" t="s">
        <v>696</v>
      </c>
    </row>
    <row r="6761" spans="1:5" hidden="1" x14ac:dyDescent="0.3">
      <c r="A6761" t="s">
        <v>552</v>
      </c>
      <c r="B6761" t="s">
        <v>695</v>
      </c>
      <c r="C6761" t="s">
        <v>592</v>
      </c>
      <c r="D6761" s="226">
        <v>0</v>
      </c>
      <c r="E6761" t="s">
        <v>696</v>
      </c>
    </row>
    <row r="6762" spans="1:5" hidden="1" x14ac:dyDescent="0.3">
      <c r="A6762" t="s">
        <v>552</v>
      </c>
      <c r="B6762" t="s">
        <v>695</v>
      </c>
      <c r="C6762" t="s">
        <v>593</v>
      </c>
      <c r="D6762" s="226">
        <v>0</v>
      </c>
      <c r="E6762" t="s">
        <v>696</v>
      </c>
    </row>
    <row r="6763" spans="1:5" hidden="1" x14ac:dyDescent="0.3">
      <c r="A6763" t="s">
        <v>552</v>
      </c>
      <c r="B6763" t="s">
        <v>695</v>
      </c>
      <c r="C6763" t="s">
        <v>594</v>
      </c>
      <c r="D6763" s="226">
        <v>0</v>
      </c>
      <c r="E6763" t="s">
        <v>696</v>
      </c>
    </row>
    <row r="6764" spans="1:5" hidden="1" x14ac:dyDescent="0.3">
      <c r="A6764" t="s">
        <v>552</v>
      </c>
      <c r="B6764" t="s">
        <v>695</v>
      </c>
      <c r="C6764" t="s">
        <v>595</v>
      </c>
      <c r="D6764" s="226">
        <v>0</v>
      </c>
      <c r="E6764" t="s">
        <v>696</v>
      </c>
    </row>
    <row r="6765" spans="1:5" hidden="1" x14ac:dyDescent="0.3">
      <c r="A6765" t="s">
        <v>552</v>
      </c>
      <c r="B6765" t="s">
        <v>695</v>
      </c>
      <c r="C6765" t="s">
        <v>596</v>
      </c>
      <c r="D6765" s="226">
        <v>0</v>
      </c>
      <c r="E6765" t="s">
        <v>696</v>
      </c>
    </row>
    <row r="6766" spans="1:5" hidden="1" x14ac:dyDescent="0.3">
      <c r="A6766" t="s">
        <v>552</v>
      </c>
      <c r="B6766" t="s">
        <v>695</v>
      </c>
      <c r="C6766" t="s">
        <v>597</v>
      </c>
      <c r="D6766" s="226">
        <v>0</v>
      </c>
      <c r="E6766" t="s">
        <v>696</v>
      </c>
    </row>
    <row r="6767" spans="1:5" hidden="1" x14ac:dyDescent="0.3">
      <c r="A6767" t="s">
        <v>552</v>
      </c>
      <c r="B6767" t="s">
        <v>695</v>
      </c>
      <c r="C6767" t="s">
        <v>598</v>
      </c>
      <c r="D6767" s="226">
        <v>0</v>
      </c>
      <c r="E6767" t="s">
        <v>696</v>
      </c>
    </row>
    <row r="6768" spans="1:5" hidden="1" x14ac:dyDescent="0.3">
      <c r="A6768" t="s">
        <v>552</v>
      </c>
      <c r="B6768" t="s">
        <v>695</v>
      </c>
      <c r="C6768" t="s">
        <v>599</v>
      </c>
      <c r="D6768" s="226">
        <v>0</v>
      </c>
      <c r="E6768" t="s">
        <v>696</v>
      </c>
    </row>
    <row r="6769" spans="1:5" hidden="1" x14ac:dyDescent="0.3">
      <c r="A6769" t="s">
        <v>552</v>
      </c>
      <c r="B6769" t="s">
        <v>695</v>
      </c>
      <c r="C6769" t="s">
        <v>600</v>
      </c>
      <c r="D6769" s="226">
        <v>0</v>
      </c>
      <c r="E6769" t="s">
        <v>696</v>
      </c>
    </row>
    <row r="6770" spans="1:5" hidden="1" x14ac:dyDescent="0.3">
      <c r="A6770" t="s">
        <v>552</v>
      </c>
      <c r="B6770" t="s">
        <v>695</v>
      </c>
      <c r="C6770" t="s">
        <v>601</v>
      </c>
      <c r="D6770" s="226">
        <v>0</v>
      </c>
      <c r="E6770" t="s">
        <v>696</v>
      </c>
    </row>
    <row r="6771" spans="1:5" hidden="1" x14ac:dyDescent="0.3">
      <c r="A6771" t="s">
        <v>552</v>
      </c>
      <c r="B6771" t="s">
        <v>695</v>
      </c>
      <c r="C6771" t="s">
        <v>602</v>
      </c>
      <c r="D6771" s="226">
        <v>0</v>
      </c>
      <c r="E6771" t="s">
        <v>696</v>
      </c>
    </row>
    <row r="6772" spans="1:5" hidden="1" x14ac:dyDescent="0.3">
      <c r="A6772" t="s">
        <v>552</v>
      </c>
      <c r="B6772" t="s">
        <v>695</v>
      </c>
      <c r="C6772" t="s">
        <v>603</v>
      </c>
      <c r="D6772" s="226">
        <v>0</v>
      </c>
      <c r="E6772" t="s">
        <v>696</v>
      </c>
    </row>
    <row r="6773" spans="1:5" hidden="1" x14ac:dyDescent="0.3">
      <c r="A6773" t="s">
        <v>552</v>
      </c>
      <c r="B6773" t="s">
        <v>695</v>
      </c>
      <c r="C6773" t="s">
        <v>604</v>
      </c>
      <c r="D6773" s="226">
        <v>0</v>
      </c>
      <c r="E6773" t="s">
        <v>696</v>
      </c>
    </row>
    <row r="6774" spans="1:5" hidden="1" x14ac:dyDescent="0.3">
      <c r="A6774" t="s">
        <v>552</v>
      </c>
      <c r="B6774" t="s">
        <v>695</v>
      </c>
      <c r="C6774" t="s">
        <v>605</v>
      </c>
      <c r="D6774" s="226">
        <v>0</v>
      </c>
      <c r="E6774" t="s">
        <v>696</v>
      </c>
    </row>
    <row r="6775" spans="1:5" hidden="1" x14ac:dyDescent="0.3">
      <c r="A6775" t="s">
        <v>552</v>
      </c>
      <c r="B6775" t="s">
        <v>695</v>
      </c>
      <c r="C6775" t="s">
        <v>606</v>
      </c>
      <c r="D6775" s="226">
        <v>0</v>
      </c>
      <c r="E6775" t="s">
        <v>696</v>
      </c>
    </row>
    <row r="6776" spans="1:5" hidden="1" x14ac:dyDescent="0.3">
      <c r="A6776" t="s">
        <v>552</v>
      </c>
      <c r="B6776" t="s">
        <v>695</v>
      </c>
      <c r="C6776" t="s">
        <v>607</v>
      </c>
      <c r="D6776" s="226">
        <v>0</v>
      </c>
      <c r="E6776" t="s">
        <v>696</v>
      </c>
    </row>
    <row r="6777" spans="1:5" hidden="1" x14ac:dyDescent="0.3">
      <c r="A6777" t="s">
        <v>552</v>
      </c>
      <c r="B6777" t="s">
        <v>695</v>
      </c>
      <c r="C6777" t="s">
        <v>608</v>
      </c>
      <c r="D6777" s="226">
        <v>0</v>
      </c>
      <c r="E6777" t="s">
        <v>696</v>
      </c>
    </row>
    <row r="6778" spans="1:5" hidden="1" x14ac:dyDescent="0.3">
      <c r="A6778" t="s">
        <v>552</v>
      </c>
      <c r="B6778" t="s">
        <v>695</v>
      </c>
      <c r="C6778" t="s">
        <v>609</v>
      </c>
      <c r="D6778" s="226">
        <v>0</v>
      </c>
      <c r="E6778" t="s">
        <v>696</v>
      </c>
    </row>
    <row r="6779" spans="1:5" hidden="1" x14ac:dyDescent="0.3">
      <c r="A6779" t="s">
        <v>552</v>
      </c>
      <c r="B6779" t="s">
        <v>695</v>
      </c>
      <c r="C6779" t="s">
        <v>610</v>
      </c>
      <c r="D6779" s="226">
        <v>0</v>
      </c>
      <c r="E6779" t="s">
        <v>696</v>
      </c>
    </row>
    <row r="6780" spans="1:5" hidden="1" x14ac:dyDescent="0.3">
      <c r="A6780" t="s">
        <v>552</v>
      </c>
      <c r="B6780" t="s">
        <v>695</v>
      </c>
      <c r="C6780" t="s">
        <v>611</v>
      </c>
      <c r="D6780" s="226">
        <v>0</v>
      </c>
      <c r="E6780" t="s">
        <v>696</v>
      </c>
    </row>
    <row r="6781" spans="1:5" hidden="1" x14ac:dyDescent="0.3">
      <c r="A6781" t="s">
        <v>552</v>
      </c>
      <c r="B6781" t="s">
        <v>695</v>
      </c>
      <c r="C6781" t="s">
        <v>612</v>
      </c>
      <c r="D6781" s="226">
        <v>0</v>
      </c>
      <c r="E6781" t="s">
        <v>696</v>
      </c>
    </row>
    <row r="6782" spans="1:5" hidden="1" x14ac:dyDescent="0.3">
      <c r="A6782" t="s">
        <v>552</v>
      </c>
      <c r="B6782" t="s">
        <v>695</v>
      </c>
      <c r="C6782" t="s">
        <v>613</v>
      </c>
      <c r="D6782" s="226">
        <v>0</v>
      </c>
      <c r="E6782" t="s">
        <v>696</v>
      </c>
    </row>
    <row r="6783" spans="1:5" hidden="1" x14ac:dyDescent="0.3">
      <c r="A6783" t="s">
        <v>552</v>
      </c>
      <c r="B6783" t="s">
        <v>695</v>
      </c>
      <c r="C6783" t="s">
        <v>614</v>
      </c>
      <c r="D6783" s="226">
        <v>0</v>
      </c>
      <c r="E6783" t="s">
        <v>696</v>
      </c>
    </row>
    <row r="6784" spans="1:5" hidden="1" x14ac:dyDescent="0.3">
      <c r="A6784" t="s">
        <v>552</v>
      </c>
      <c r="B6784" t="s">
        <v>695</v>
      </c>
      <c r="C6784" t="s">
        <v>615</v>
      </c>
      <c r="D6784" s="226">
        <v>0</v>
      </c>
      <c r="E6784" t="s">
        <v>696</v>
      </c>
    </row>
    <row r="6785" spans="1:5" hidden="1" x14ac:dyDescent="0.3">
      <c r="A6785" t="s">
        <v>552</v>
      </c>
      <c r="B6785" t="s">
        <v>695</v>
      </c>
      <c r="C6785" t="s">
        <v>616</v>
      </c>
      <c r="D6785" s="226">
        <v>0</v>
      </c>
      <c r="E6785" t="s">
        <v>696</v>
      </c>
    </row>
    <row r="6786" spans="1:5" hidden="1" x14ac:dyDescent="0.3">
      <c r="A6786" t="s">
        <v>552</v>
      </c>
      <c r="B6786" t="s">
        <v>695</v>
      </c>
      <c r="C6786" t="s">
        <v>617</v>
      </c>
      <c r="D6786" s="226">
        <v>0</v>
      </c>
      <c r="E6786" t="s">
        <v>696</v>
      </c>
    </row>
    <row r="6787" spans="1:5" hidden="1" x14ac:dyDescent="0.3">
      <c r="A6787" t="s">
        <v>552</v>
      </c>
      <c r="B6787" t="s">
        <v>695</v>
      </c>
      <c r="C6787" t="s">
        <v>618</v>
      </c>
      <c r="D6787" s="226">
        <v>0</v>
      </c>
      <c r="E6787" t="s">
        <v>696</v>
      </c>
    </row>
    <row r="6788" spans="1:5" hidden="1" x14ac:dyDescent="0.3">
      <c r="A6788" t="s">
        <v>552</v>
      </c>
      <c r="B6788" t="s">
        <v>695</v>
      </c>
      <c r="C6788" t="s">
        <v>619</v>
      </c>
      <c r="D6788" s="226">
        <v>0</v>
      </c>
      <c r="E6788" t="s">
        <v>696</v>
      </c>
    </row>
    <row r="6789" spans="1:5" hidden="1" x14ac:dyDescent="0.3">
      <c r="A6789" t="s">
        <v>552</v>
      </c>
      <c r="B6789" t="s">
        <v>695</v>
      </c>
      <c r="C6789" t="s">
        <v>620</v>
      </c>
      <c r="D6789" s="226">
        <v>0</v>
      </c>
      <c r="E6789" t="s">
        <v>696</v>
      </c>
    </row>
    <row r="6790" spans="1:5" hidden="1" x14ac:dyDescent="0.3">
      <c r="A6790" t="s">
        <v>552</v>
      </c>
      <c r="B6790" t="s">
        <v>695</v>
      </c>
      <c r="C6790" t="s">
        <v>621</v>
      </c>
      <c r="D6790" s="226">
        <v>0</v>
      </c>
      <c r="E6790" t="s">
        <v>696</v>
      </c>
    </row>
    <row r="6791" spans="1:5" hidden="1" x14ac:dyDescent="0.3">
      <c r="A6791" t="s">
        <v>552</v>
      </c>
      <c r="B6791" t="s">
        <v>695</v>
      </c>
      <c r="C6791" t="s">
        <v>622</v>
      </c>
      <c r="D6791" s="226">
        <v>0</v>
      </c>
      <c r="E6791" t="s">
        <v>696</v>
      </c>
    </row>
    <row r="6792" spans="1:5" hidden="1" x14ac:dyDescent="0.3">
      <c r="A6792" t="s">
        <v>552</v>
      </c>
      <c r="B6792" t="s">
        <v>695</v>
      </c>
      <c r="C6792" t="s">
        <v>623</v>
      </c>
      <c r="D6792" s="226">
        <v>0</v>
      </c>
      <c r="E6792" t="s">
        <v>696</v>
      </c>
    </row>
    <row r="6793" spans="1:5" hidden="1" x14ac:dyDescent="0.3">
      <c r="A6793" t="s">
        <v>552</v>
      </c>
      <c r="B6793" t="s">
        <v>695</v>
      </c>
      <c r="C6793" t="s">
        <v>624</v>
      </c>
      <c r="D6793" s="226">
        <v>0</v>
      </c>
      <c r="E6793" t="s">
        <v>696</v>
      </c>
    </row>
    <row r="6794" spans="1:5" hidden="1" x14ac:dyDescent="0.3">
      <c r="A6794" t="s">
        <v>552</v>
      </c>
      <c r="B6794" t="s">
        <v>695</v>
      </c>
      <c r="C6794" t="s">
        <v>200</v>
      </c>
      <c r="D6794" s="226">
        <v>-99809.33</v>
      </c>
      <c r="E6794" t="s">
        <v>696</v>
      </c>
    </row>
    <row r="6795" spans="1:5" hidden="1" x14ac:dyDescent="0.3">
      <c r="A6795" t="s">
        <v>552</v>
      </c>
      <c r="B6795" t="s">
        <v>695</v>
      </c>
      <c r="C6795" t="s">
        <v>202</v>
      </c>
      <c r="D6795" s="226">
        <v>-99809.33</v>
      </c>
      <c r="E6795" t="s">
        <v>696</v>
      </c>
    </row>
    <row r="6796" spans="1:5" hidden="1" x14ac:dyDescent="0.3">
      <c r="A6796" t="s">
        <v>552</v>
      </c>
      <c r="B6796" t="s">
        <v>695</v>
      </c>
      <c r="C6796" t="s">
        <v>625</v>
      </c>
      <c r="D6796" s="226">
        <v>49904.67</v>
      </c>
      <c r="E6796" t="s">
        <v>696</v>
      </c>
    </row>
    <row r="6797" spans="1:5" hidden="1" x14ac:dyDescent="0.3">
      <c r="A6797" t="s">
        <v>552</v>
      </c>
      <c r="B6797" t="s">
        <v>695</v>
      </c>
      <c r="C6797" t="s">
        <v>204</v>
      </c>
      <c r="D6797" s="226">
        <v>-74685.08</v>
      </c>
      <c r="E6797" t="s">
        <v>696</v>
      </c>
    </row>
    <row r="6798" spans="1:5" hidden="1" x14ac:dyDescent="0.3">
      <c r="A6798" t="s">
        <v>552</v>
      </c>
      <c r="B6798" t="s">
        <v>695</v>
      </c>
      <c r="C6798" t="s">
        <v>626</v>
      </c>
      <c r="D6798" s="226">
        <v>-12428.86</v>
      </c>
      <c r="E6798" t="s">
        <v>696</v>
      </c>
    </row>
    <row r="6799" spans="1:5" hidden="1" x14ac:dyDescent="0.3">
      <c r="A6799" t="s">
        <v>552</v>
      </c>
      <c r="B6799" t="s">
        <v>695</v>
      </c>
      <c r="C6799" t="s">
        <v>627</v>
      </c>
      <c r="D6799" s="226">
        <v>0</v>
      </c>
      <c r="E6799" t="s">
        <v>696</v>
      </c>
    </row>
    <row r="6800" spans="1:5" hidden="1" x14ac:dyDescent="0.3">
      <c r="A6800" t="s">
        <v>552</v>
      </c>
      <c r="B6800" t="s">
        <v>695</v>
      </c>
      <c r="C6800" t="s">
        <v>628</v>
      </c>
      <c r="D6800" s="226">
        <v>-17468</v>
      </c>
      <c r="E6800" t="s">
        <v>696</v>
      </c>
    </row>
    <row r="6801" spans="1:5" hidden="1" x14ac:dyDescent="0.3">
      <c r="A6801" t="s">
        <v>552</v>
      </c>
      <c r="B6801" t="s">
        <v>695</v>
      </c>
      <c r="C6801" t="s">
        <v>629</v>
      </c>
      <c r="D6801" s="226">
        <v>-4943.59</v>
      </c>
      <c r="E6801" t="s">
        <v>696</v>
      </c>
    </row>
    <row r="6802" spans="1:5" hidden="1" x14ac:dyDescent="0.3">
      <c r="A6802" t="s">
        <v>552</v>
      </c>
      <c r="B6802" t="s">
        <v>695</v>
      </c>
      <c r="C6802" t="s">
        <v>630</v>
      </c>
      <c r="D6802" s="226">
        <v>-9012.31</v>
      </c>
      <c r="E6802" t="s">
        <v>696</v>
      </c>
    </row>
    <row r="6803" spans="1:5" hidden="1" x14ac:dyDescent="0.3">
      <c r="A6803" t="s">
        <v>552</v>
      </c>
      <c r="B6803" t="s">
        <v>695</v>
      </c>
      <c r="C6803" t="s">
        <v>631</v>
      </c>
      <c r="D6803" s="226">
        <v>0</v>
      </c>
      <c r="E6803" t="s">
        <v>696</v>
      </c>
    </row>
    <row r="6804" spans="1:5" hidden="1" x14ac:dyDescent="0.3">
      <c r="A6804" t="s">
        <v>552</v>
      </c>
      <c r="B6804" t="s">
        <v>695</v>
      </c>
      <c r="C6804" t="s">
        <v>632</v>
      </c>
      <c r="D6804" s="226">
        <v>0</v>
      </c>
      <c r="E6804" t="s">
        <v>696</v>
      </c>
    </row>
    <row r="6805" spans="1:5" hidden="1" x14ac:dyDescent="0.3">
      <c r="A6805" t="s">
        <v>552</v>
      </c>
      <c r="B6805" t="s">
        <v>695</v>
      </c>
      <c r="C6805" t="s">
        <v>633</v>
      </c>
      <c r="D6805" s="226">
        <v>-543.79</v>
      </c>
      <c r="E6805" t="s">
        <v>696</v>
      </c>
    </row>
    <row r="6806" spans="1:5" hidden="1" x14ac:dyDescent="0.3">
      <c r="A6806" t="s">
        <v>552</v>
      </c>
      <c r="B6806" t="s">
        <v>695</v>
      </c>
      <c r="C6806" t="s">
        <v>634</v>
      </c>
      <c r="D6806" s="226">
        <v>0</v>
      </c>
      <c r="E6806" t="s">
        <v>696</v>
      </c>
    </row>
    <row r="6807" spans="1:5" hidden="1" x14ac:dyDescent="0.3">
      <c r="A6807" t="s">
        <v>552</v>
      </c>
      <c r="B6807" t="s">
        <v>695</v>
      </c>
      <c r="C6807" t="s">
        <v>635</v>
      </c>
      <c r="D6807" s="226">
        <v>-13080.54</v>
      </c>
      <c r="E6807" t="s">
        <v>696</v>
      </c>
    </row>
    <row r="6808" spans="1:5" hidden="1" x14ac:dyDescent="0.3">
      <c r="A6808" t="s">
        <v>552</v>
      </c>
      <c r="B6808" t="s">
        <v>695</v>
      </c>
      <c r="C6808" t="s">
        <v>636</v>
      </c>
      <c r="D6808" s="226">
        <v>-2694.99</v>
      </c>
      <c r="E6808" t="s">
        <v>696</v>
      </c>
    </row>
    <row r="6809" spans="1:5" hidden="1" x14ac:dyDescent="0.3">
      <c r="A6809" t="s">
        <v>552</v>
      </c>
      <c r="B6809" t="s">
        <v>695</v>
      </c>
      <c r="C6809" t="s">
        <v>637</v>
      </c>
      <c r="D6809" s="226">
        <v>-10300</v>
      </c>
      <c r="E6809" t="s">
        <v>696</v>
      </c>
    </row>
    <row r="6810" spans="1:5" hidden="1" x14ac:dyDescent="0.3">
      <c r="A6810" t="s">
        <v>552</v>
      </c>
      <c r="B6810" t="s">
        <v>695</v>
      </c>
      <c r="C6810" t="s">
        <v>638</v>
      </c>
      <c r="D6810" s="226">
        <v>0</v>
      </c>
      <c r="E6810" t="s">
        <v>696</v>
      </c>
    </row>
    <row r="6811" spans="1:5" hidden="1" x14ac:dyDescent="0.3">
      <c r="A6811" t="s">
        <v>552</v>
      </c>
      <c r="B6811" t="s">
        <v>695</v>
      </c>
      <c r="C6811" t="s">
        <v>639</v>
      </c>
      <c r="D6811" s="226">
        <v>-4213</v>
      </c>
      <c r="E6811" t="s">
        <v>696</v>
      </c>
    </row>
    <row r="6812" spans="1:5" hidden="1" x14ac:dyDescent="0.3">
      <c r="A6812" t="s">
        <v>552</v>
      </c>
      <c r="B6812" t="s">
        <v>695</v>
      </c>
      <c r="C6812" t="s">
        <v>640</v>
      </c>
      <c r="D6812" s="226">
        <v>0</v>
      </c>
      <c r="E6812" t="s">
        <v>696</v>
      </c>
    </row>
    <row r="6813" spans="1:5" hidden="1" x14ac:dyDescent="0.3">
      <c r="A6813" t="s">
        <v>552</v>
      </c>
      <c r="B6813" t="s">
        <v>695</v>
      </c>
      <c r="C6813" t="s">
        <v>641</v>
      </c>
      <c r="D6813" s="226">
        <v>0</v>
      </c>
      <c r="E6813" t="s">
        <v>696</v>
      </c>
    </row>
    <row r="6814" spans="1:5" hidden="1" x14ac:dyDescent="0.3">
      <c r="A6814" t="s">
        <v>552</v>
      </c>
      <c r="B6814" t="s">
        <v>695</v>
      </c>
      <c r="C6814" t="s">
        <v>237</v>
      </c>
      <c r="D6814" s="226">
        <v>-9894.9</v>
      </c>
      <c r="E6814" t="s">
        <v>696</v>
      </c>
    </row>
    <row r="6815" spans="1:5" hidden="1" x14ac:dyDescent="0.3">
      <c r="A6815" t="s">
        <v>552</v>
      </c>
      <c r="B6815" t="s">
        <v>695</v>
      </c>
      <c r="C6815" t="s">
        <v>642</v>
      </c>
      <c r="D6815" s="226">
        <v>-9507.2800000000007</v>
      </c>
      <c r="E6815" t="s">
        <v>696</v>
      </c>
    </row>
    <row r="6816" spans="1:5" hidden="1" x14ac:dyDescent="0.3">
      <c r="A6816" t="s">
        <v>552</v>
      </c>
      <c r="B6816" t="s">
        <v>695</v>
      </c>
      <c r="C6816" t="s">
        <v>643</v>
      </c>
      <c r="D6816" s="226">
        <v>0</v>
      </c>
      <c r="E6816" t="s">
        <v>696</v>
      </c>
    </row>
    <row r="6817" spans="1:5" hidden="1" x14ac:dyDescent="0.3">
      <c r="A6817" t="s">
        <v>552</v>
      </c>
      <c r="B6817" t="s">
        <v>695</v>
      </c>
      <c r="C6817" t="s">
        <v>644</v>
      </c>
      <c r="D6817" s="226">
        <v>0</v>
      </c>
      <c r="E6817" t="s">
        <v>696</v>
      </c>
    </row>
    <row r="6818" spans="1:5" hidden="1" x14ac:dyDescent="0.3">
      <c r="A6818" t="s">
        <v>552</v>
      </c>
      <c r="B6818" t="s">
        <v>695</v>
      </c>
      <c r="C6818" t="s">
        <v>645</v>
      </c>
      <c r="D6818" s="226">
        <v>-387.62</v>
      </c>
      <c r="E6818" t="s">
        <v>696</v>
      </c>
    </row>
    <row r="6819" spans="1:5" hidden="1" x14ac:dyDescent="0.3">
      <c r="A6819" t="s">
        <v>552</v>
      </c>
      <c r="B6819" t="s">
        <v>695</v>
      </c>
      <c r="C6819" t="s">
        <v>646</v>
      </c>
      <c r="D6819" s="226">
        <v>0</v>
      </c>
      <c r="E6819" t="s">
        <v>696</v>
      </c>
    </row>
    <row r="6820" spans="1:5" hidden="1" x14ac:dyDescent="0.3">
      <c r="A6820" t="s">
        <v>552</v>
      </c>
      <c r="B6820" t="s">
        <v>695</v>
      </c>
      <c r="C6820" t="s">
        <v>244</v>
      </c>
      <c r="D6820" s="226">
        <v>-36565.71</v>
      </c>
      <c r="E6820" t="s">
        <v>696</v>
      </c>
    </row>
    <row r="6821" spans="1:5" hidden="1" x14ac:dyDescent="0.3">
      <c r="A6821" t="s">
        <v>552</v>
      </c>
      <c r="B6821" t="s">
        <v>695</v>
      </c>
      <c r="C6821" t="s">
        <v>647</v>
      </c>
      <c r="D6821" s="226">
        <v>-1205.45</v>
      </c>
      <c r="E6821" t="s">
        <v>696</v>
      </c>
    </row>
    <row r="6822" spans="1:5" hidden="1" x14ac:dyDescent="0.3">
      <c r="A6822" t="s">
        <v>552</v>
      </c>
      <c r="B6822" t="s">
        <v>695</v>
      </c>
      <c r="C6822" t="s">
        <v>648</v>
      </c>
      <c r="D6822" s="226">
        <v>-405.88</v>
      </c>
      <c r="E6822" t="s">
        <v>696</v>
      </c>
    </row>
    <row r="6823" spans="1:5" hidden="1" x14ac:dyDescent="0.3">
      <c r="A6823" t="s">
        <v>552</v>
      </c>
      <c r="B6823" t="s">
        <v>695</v>
      </c>
      <c r="C6823" t="s">
        <v>649</v>
      </c>
      <c r="D6823" s="226">
        <v>0</v>
      </c>
      <c r="E6823" t="s">
        <v>696</v>
      </c>
    </row>
    <row r="6824" spans="1:5" hidden="1" x14ac:dyDescent="0.3">
      <c r="A6824" t="s">
        <v>552</v>
      </c>
      <c r="B6824" t="s">
        <v>695</v>
      </c>
      <c r="C6824" t="s">
        <v>650</v>
      </c>
      <c r="D6824" s="226">
        <v>-3000</v>
      </c>
      <c r="E6824" t="s">
        <v>696</v>
      </c>
    </row>
    <row r="6825" spans="1:5" hidden="1" x14ac:dyDescent="0.3">
      <c r="A6825" t="s">
        <v>552</v>
      </c>
      <c r="B6825" t="s">
        <v>695</v>
      </c>
      <c r="C6825" t="s">
        <v>651</v>
      </c>
      <c r="D6825" s="226">
        <v>0</v>
      </c>
      <c r="E6825" t="s">
        <v>696</v>
      </c>
    </row>
    <row r="6826" spans="1:5" hidden="1" x14ac:dyDescent="0.3">
      <c r="A6826" t="s">
        <v>552</v>
      </c>
      <c r="B6826" t="s">
        <v>695</v>
      </c>
      <c r="C6826" t="s">
        <v>652</v>
      </c>
      <c r="D6826" s="226">
        <v>-31954.38</v>
      </c>
      <c r="E6826" t="s">
        <v>696</v>
      </c>
    </row>
    <row r="6827" spans="1:5" hidden="1" x14ac:dyDescent="0.3">
      <c r="A6827" t="s">
        <v>552</v>
      </c>
      <c r="B6827" t="s">
        <v>695</v>
      </c>
      <c r="C6827" t="s">
        <v>653</v>
      </c>
      <c r="D6827" s="226">
        <v>0</v>
      </c>
      <c r="E6827" t="s">
        <v>696</v>
      </c>
    </row>
    <row r="6828" spans="1:5" hidden="1" x14ac:dyDescent="0.3">
      <c r="A6828" t="s">
        <v>552</v>
      </c>
      <c r="B6828" t="s">
        <v>695</v>
      </c>
      <c r="C6828" t="s">
        <v>253</v>
      </c>
      <c r="D6828" s="226">
        <v>-0.22</v>
      </c>
      <c r="E6828" t="s">
        <v>696</v>
      </c>
    </row>
    <row r="6829" spans="1:5" hidden="1" x14ac:dyDescent="0.3">
      <c r="A6829" t="s">
        <v>552</v>
      </c>
      <c r="B6829" t="s">
        <v>695</v>
      </c>
      <c r="C6829" t="s">
        <v>254</v>
      </c>
      <c r="D6829" s="226">
        <v>-0.18</v>
      </c>
      <c r="E6829" t="s">
        <v>696</v>
      </c>
    </row>
    <row r="6830" spans="1:5" hidden="1" x14ac:dyDescent="0.3">
      <c r="A6830" t="s">
        <v>552</v>
      </c>
      <c r="B6830" t="s">
        <v>695</v>
      </c>
      <c r="C6830" t="s">
        <v>255</v>
      </c>
      <c r="D6830" s="226">
        <v>-54098.96</v>
      </c>
      <c r="E6830" t="s">
        <v>696</v>
      </c>
    </row>
    <row r="6831" spans="1:5" hidden="1" x14ac:dyDescent="0.3">
      <c r="A6831" t="s">
        <v>552</v>
      </c>
      <c r="B6831" t="s">
        <v>695</v>
      </c>
      <c r="C6831" t="s">
        <v>256</v>
      </c>
      <c r="D6831" s="226">
        <v>-33872.5</v>
      </c>
      <c r="E6831" t="s">
        <v>696</v>
      </c>
    </row>
    <row r="6832" spans="1:5" hidden="1" x14ac:dyDescent="0.3">
      <c r="A6832" t="s">
        <v>552</v>
      </c>
      <c r="B6832" t="s">
        <v>695</v>
      </c>
      <c r="C6832" t="s">
        <v>257</v>
      </c>
      <c r="D6832" s="226">
        <v>-15484.84</v>
      </c>
      <c r="E6832" t="s">
        <v>696</v>
      </c>
    </row>
    <row r="6833" spans="1:5" hidden="1" x14ac:dyDescent="0.3">
      <c r="A6833" t="s">
        <v>552</v>
      </c>
      <c r="B6833" t="s">
        <v>695</v>
      </c>
      <c r="C6833" t="s">
        <v>258</v>
      </c>
      <c r="D6833" s="226">
        <v>-3873.43</v>
      </c>
      <c r="E6833" t="s">
        <v>696</v>
      </c>
    </row>
    <row r="6834" spans="1:5" hidden="1" x14ac:dyDescent="0.3">
      <c r="A6834" t="s">
        <v>552</v>
      </c>
      <c r="B6834" t="s">
        <v>695</v>
      </c>
      <c r="C6834" t="s">
        <v>259</v>
      </c>
      <c r="D6834" s="226">
        <v>0</v>
      </c>
      <c r="E6834" t="s">
        <v>696</v>
      </c>
    </row>
    <row r="6835" spans="1:5" hidden="1" x14ac:dyDescent="0.3">
      <c r="A6835" t="s">
        <v>552</v>
      </c>
      <c r="B6835" t="s">
        <v>695</v>
      </c>
      <c r="C6835" t="s">
        <v>260</v>
      </c>
      <c r="D6835" s="226">
        <v>-868.19</v>
      </c>
      <c r="E6835" t="s">
        <v>696</v>
      </c>
    </row>
    <row r="6836" spans="1:5" hidden="1" x14ac:dyDescent="0.3">
      <c r="A6836" t="s">
        <v>552</v>
      </c>
      <c r="B6836" t="s">
        <v>695</v>
      </c>
      <c r="C6836" t="s">
        <v>261</v>
      </c>
      <c r="D6836" s="226">
        <v>0</v>
      </c>
      <c r="E6836" t="s">
        <v>696</v>
      </c>
    </row>
    <row r="6837" spans="1:5" hidden="1" x14ac:dyDescent="0.3">
      <c r="A6837" t="s">
        <v>552</v>
      </c>
      <c r="B6837" t="s">
        <v>695</v>
      </c>
      <c r="C6837" t="s">
        <v>262</v>
      </c>
      <c r="D6837" s="226">
        <v>0</v>
      </c>
      <c r="E6837" t="s">
        <v>696</v>
      </c>
    </row>
    <row r="6838" spans="1:5" hidden="1" x14ac:dyDescent="0.3">
      <c r="A6838" t="s">
        <v>552</v>
      </c>
      <c r="B6838" t="s">
        <v>695</v>
      </c>
      <c r="C6838" t="s">
        <v>44</v>
      </c>
      <c r="D6838" s="226">
        <v>-0.04</v>
      </c>
      <c r="E6838" t="s">
        <v>696</v>
      </c>
    </row>
    <row r="6839" spans="1:5" hidden="1" x14ac:dyDescent="0.3">
      <c r="A6839" t="s">
        <v>552</v>
      </c>
      <c r="B6839" t="s">
        <v>695</v>
      </c>
      <c r="C6839" t="s">
        <v>263</v>
      </c>
      <c r="D6839" s="226">
        <v>-97989.9</v>
      </c>
      <c r="E6839" t="s">
        <v>696</v>
      </c>
    </row>
    <row r="6840" spans="1:5" hidden="1" x14ac:dyDescent="0.3">
      <c r="A6840" t="s">
        <v>552</v>
      </c>
      <c r="B6840" t="s">
        <v>695</v>
      </c>
      <c r="C6840" t="s">
        <v>264</v>
      </c>
      <c r="D6840" s="226">
        <v>-16884.5</v>
      </c>
      <c r="E6840" t="s">
        <v>696</v>
      </c>
    </row>
    <row r="6841" spans="1:5" hidden="1" x14ac:dyDescent="0.3">
      <c r="A6841" t="s">
        <v>552</v>
      </c>
      <c r="B6841" t="s">
        <v>695</v>
      </c>
      <c r="C6841" t="s">
        <v>265</v>
      </c>
      <c r="D6841" s="226">
        <v>-20832.63</v>
      </c>
      <c r="E6841" t="s">
        <v>696</v>
      </c>
    </row>
    <row r="6842" spans="1:5" hidden="1" x14ac:dyDescent="0.3">
      <c r="A6842" t="s">
        <v>552</v>
      </c>
      <c r="B6842" t="s">
        <v>695</v>
      </c>
      <c r="C6842" t="s">
        <v>266</v>
      </c>
      <c r="D6842" s="226">
        <v>-12088.63</v>
      </c>
      <c r="E6842" t="s">
        <v>696</v>
      </c>
    </row>
    <row r="6843" spans="1:5" hidden="1" x14ac:dyDescent="0.3">
      <c r="A6843" t="s">
        <v>552</v>
      </c>
      <c r="B6843" t="s">
        <v>695</v>
      </c>
      <c r="C6843" t="s">
        <v>267</v>
      </c>
      <c r="D6843" s="226">
        <v>-21748.69</v>
      </c>
      <c r="E6843" t="s">
        <v>696</v>
      </c>
    </row>
    <row r="6844" spans="1:5" hidden="1" x14ac:dyDescent="0.3">
      <c r="A6844" t="s">
        <v>552</v>
      </c>
      <c r="B6844" t="s">
        <v>695</v>
      </c>
      <c r="C6844" t="s">
        <v>268</v>
      </c>
      <c r="D6844" s="226">
        <v>0</v>
      </c>
      <c r="E6844" t="s">
        <v>696</v>
      </c>
    </row>
    <row r="6845" spans="1:5" hidden="1" x14ac:dyDescent="0.3">
      <c r="A6845" t="s">
        <v>552</v>
      </c>
      <c r="B6845" t="s">
        <v>695</v>
      </c>
      <c r="C6845" t="s">
        <v>269</v>
      </c>
      <c r="D6845" s="226">
        <v>-580</v>
      </c>
      <c r="E6845" t="s">
        <v>696</v>
      </c>
    </row>
    <row r="6846" spans="1:5" hidden="1" x14ac:dyDescent="0.3">
      <c r="A6846" t="s">
        <v>552</v>
      </c>
      <c r="B6846" t="s">
        <v>695</v>
      </c>
      <c r="C6846" t="s">
        <v>270</v>
      </c>
      <c r="D6846" s="226">
        <v>-3501.97</v>
      </c>
      <c r="E6846" t="s">
        <v>696</v>
      </c>
    </row>
    <row r="6847" spans="1:5" hidden="1" x14ac:dyDescent="0.3">
      <c r="A6847" t="s">
        <v>552</v>
      </c>
      <c r="B6847" t="s">
        <v>695</v>
      </c>
      <c r="C6847" t="s">
        <v>271</v>
      </c>
      <c r="D6847" s="226">
        <v>-9539.6</v>
      </c>
      <c r="E6847" t="s">
        <v>696</v>
      </c>
    </row>
    <row r="6848" spans="1:5" hidden="1" x14ac:dyDescent="0.3">
      <c r="A6848" t="s">
        <v>552</v>
      </c>
      <c r="B6848" t="s">
        <v>695</v>
      </c>
      <c r="C6848" t="s">
        <v>272</v>
      </c>
      <c r="D6848" s="226">
        <v>0</v>
      </c>
      <c r="E6848" t="s">
        <v>696</v>
      </c>
    </row>
    <row r="6849" spans="1:5" hidden="1" x14ac:dyDescent="0.3">
      <c r="A6849" t="s">
        <v>552</v>
      </c>
      <c r="B6849" t="s">
        <v>695</v>
      </c>
      <c r="C6849" t="s">
        <v>273</v>
      </c>
      <c r="D6849" s="226">
        <v>0</v>
      </c>
      <c r="E6849" t="s">
        <v>696</v>
      </c>
    </row>
    <row r="6850" spans="1:5" hidden="1" x14ac:dyDescent="0.3">
      <c r="A6850" t="s">
        <v>552</v>
      </c>
      <c r="B6850" t="s">
        <v>695</v>
      </c>
      <c r="C6850" t="s">
        <v>274</v>
      </c>
      <c r="D6850" s="226">
        <v>-2036.91</v>
      </c>
      <c r="E6850" t="s">
        <v>696</v>
      </c>
    </row>
    <row r="6851" spans="1:5" hidden="1" x14ac:dyDescent="0.3">
      <c r="A6851" t="s">
        <v>552</v>
      </c>
      <c r="B6851" t="s">
        <v>695</v>
      </c>
      <c r="C6851" t="s">
        <v>275</v>
      </c>
      <c r="D6851" s="226">
        <v>-1783.47</v>
      </c>
      <c r="E6851" t="s">
        <v>696</v>
      </c>
    </row>
    <row r="6852" spans="1:5" hidden="1" x14ac:dyDescent="0.3">
      <c r="A6852" t="s">
        <v>552</v>
      </c>
      <c r="B6852" t="s">
        <v>695</v>
      </c>
      <c r="C6852" t="s">
        <v>276</v>
      </c>
      <c r="D6852" s="226">
        <v>-1000</v>
      </c>
      <c r="E6852" t="s">
        <v>696</v>
      </c>
    </row>
    <row r="6853" spans="1:5" hidden="1" x14ac:dyDescent="0.3">
      <c r="A6853" t="s">
        <v>552</v>
      </c>
      <c r="B6853" t="s">
        <v>695</v>
      </c>
      <c r="C6853" t="s">
        <v>277</v>
      </c>
      <c r="D6853" s="226">
        <v>-7993.5</v>
      </c>
      <c r="E6853" t="s">
        <v>696</v>
      </c>
    </row>
    <row r="6854" spans="1:5" hidden="1" x14ac:dyDescent="0.3">
      <c r="A6854" t="s">
        <v>552</v>
      </c>
      <c r="B6854" t="s">
        <v>695</v>
      </c>
      <c r="C6854" t="s">
        <v>44</v>
      </c>
      <c r="D6854" s="226">
        <v>-0.06</v>
      </c>
      <c r="E6854" t="s">
        <v>696</v>
      </c>
    </row>
    <row r="6855" spans="1:5" hidden="1" x14ac:dyDescent="0.3">
      <c r="A6855" t="s">
        <v>552</v>
      </c>
      <c r="B6855" t="s">
        <v>695</v>
      </c>
      <c r="C6855" t="s">
        <v>278</v>
      </c>
      <c r="D6855" s="226">
        <v>-6222.56</v>
      </c>
      <c r="E6855" t="s">
        <v>696</v>
      </c>
    </row>
    <row r="6856" spans="1:5" hidden="1" x14ac:dyDescent="0.3">
      <c r="A6856" t="s">
        <v>552</v>
      </c>
      <c r="B6856" t="s">
        <v>695</v>
      </c>
      <c r="C6856" t="s">
        <v>279</v>
      </c>
      <c r="D6856" s="226">
        <v>0</v>
      </c>
      <c r="E6856" t="s">
        <v>696</v>
      </c>
    </row>
    <row r="6857" spans="1:5" hidden="1" x14ac:dyDescent="0.3">
      <c r="A6857" t="s">
        <v>552</v>
      </c>
      <c r="B6857" t="s">
        <v>695</v>
      </c>
      <c r="C6857" t="s">
        <v>280</v>
      </c>
      <c r="D6857" s="226">
        <v>-478.32</v>
      </c>
      <c r="E6857" t="s">
        <v>696</v>
      </c>
    </row>
    <row r="6858" spans="1:5" hidden="1" x14ac:dyDescent="0.3">
      <c r="A6858" t="s">
        <v>552</v>
      </c>
      <c r="B6858" t="s">
        <v>695</v>
      </c>
      <c r="C6858" t="s">
        <v>281</v>
      </c>
      <c r="D6858" s="226">
        <v>-23.9</v>
      </c>
      <c r="E6858" t="s">
        <v>696</v>
      </c>
    </row>
    <row r="6859" spans="1:5" hidden="1" x14ac:dyDescent="0.3">
      <c r="A6859" t="s">
        <v>552</v>
      </c>
      <c r="B6859" t="s">
        <v>695</v>
      </c>
      <c r="C6859" t="s">
        <v>282</v>
      </c>
      <c r="D6859" s="226">
        <v>-815</v>
      </c>
      <c r="E6859" t="s">
        <v>696</v>
      </c>
    </row>
    <row r="6860" spans="1:5" hidden="1" x14ac:dyDescent="0.3">
      <c r="A6860" t="s">
        <v>552</v>
      </c>
      <c r="B6860" t="s">
        <v>695</v>
      </c>
      <c r="C6860" t="s">
        <v>283</v>
      </c>
      <c r="D6860" s="226">
        <v>-3624.7</v>
      </c>
      <c r="E6860" t="s">
        <v>696</v>
      </c>
    </row>
    <row r="6861" spans="1:5" hidden="1" x14ac:dyDescent="0.3">
      <c r="A6861" t="s">
        <v>552</v>
      </c>
      <c r="B6861" t="s">
        <v>695</v>
      </c>
      <c r="C6861" t="s">
        <v>284</v>
      </c>
      <c r="D6861" s="226">
        <v>-429</v>
      </c>
      <c r="E6861" t="s">
        <v>696</v>
      </c>
    </row>
    <row r="6862" spans="1:5" hidden="1" x14ac:dyDescent="0.3">
      <c r="A6862" t="s">
        <v>552</v>
      </c>
      <c r="B6862" t="s">
        <v>695</v>
      </c>
      <c r="C6862" t="s">
        <v>285</v>
      </c>
      <c r="D6862" s="226">
        <v>-851.64</v>
      </c>
      <c r="E6862" t="s">
        <v>696</v>
      </c>
    </row>
    <row r="6863" spans="1:5" hidden="1" x14ac:dyDescent="0.3">
      <c r="A6863" t="s">
        <v>552</v>
      </c>
      <c r="B6863" t="s">
        <v>695</v>
      </c>
      <c r="C6863" t="s">
        <v>44</v>
      </c>
      <c r="D6863" s="226">
        <v>0</v>
      </c>
      <c r="E6863" t="s">
        <v>696</v>
      </c>
    </row>
    <row r="6864" spans="1:5" hidden="1" x14ac:dyDescent="0.3">
      <c r="A6864" t="s">
        <v>552</v>
      </c>
      <c r="B6864" t="s">
        <v>695</v>
      </c>
      <c r="C6864" t="s">
        <v>286</v>
      </c>
      <c r="D6864" s="226">
        <v>-21931.62</v>
      </c>
      <c r="E6864" t="s">
        <v>696</v>
      </c>
    </row>
    <row r="6865" spans="1:5" hidden="1" x14ac:dyDescent="0.3">
      <c r="A6865" t="s">
        <v>552</v>
      </c>
      <c r="B6865" t="s">
        <v>695</v>
      </c>
      <c r="C6865" t="s">
        <v>287</v>
      </c>
      <c r="D6865" s="226">
        <v>-5000</v>
      </c>
      <c r="E6865" t="s">
        <v>696</v>
      </c>
    </row>
    <row r="6866" spans="1:5" hidden="1" x14ac:dyDescent="0.3">
      <c r="A6866" t="s">
        <v>552</v>
      </c>
      <c r="B6866" t="s">
        <v>695</v>
      </c>
      <c r="C6866" t="s">
        <v>288</v>
      </c>
      <c r="D6866" s="226">
        <v>-10120.5</v>
      </c>
      <c r="E6866" t="s">
        <v>696</v>
      </c>
    </row>
    <row r="6867" spans="1:5" hidden="1" x14ac:dyDescent="0.3">
      <c r="A6867" t="s">
        <v>552</v>
      </c>
      <c r="B6867" t="s">
        <v>695</v>
      </c>
      <c r="C6867" t="s">
        <v>289</v>
      </c>
      <c r="D6867" s="226">
        <v>0</v>
      </c>
      <c r="E6867" t="s">
        <v>696</v>
      </c>
    </row>
    <row r="6868" spans="1:5" hidden="1" x14ac:dyDescent="0.3">
      <c r="A6868" t="s">
        <v>552</v>
      </c>
      <c r="B6868" t="s">
        <v>695</v>
      </c>
      <c r="C6868" t="s">
        <v>290</v>
      </c>
      <c r="D6868" s="226">
        <v>-6119.74</v>
      </c>
      <c r="E6868" t="s">
        <v>696</v>
      </c>
    </row>
    <row r="6869" spans="1:5" hidden="1" x14ac:dyDescent="0.3">
      <c r="A6869" t="s">
        <v>552</v>
      </c>
      <c r="B6869" t="s">
        <v>695</v>
      </c>
      <c r="C6869" t="s">
        <v>291</v>
      </c>
      <c r="D6869" s="226">
        <v>0</v>
      </c>
      <c r="E6869" t="s">
        <v>696</v>
      </c>
    </row>
    <row r="6870" spans="1:5" hidden="1" x14ac:dyDescent="0.3">
      <c r="A6870" t="s">
        <v>552</v>
      </c>
      <c r="B6870" t="s">
        <v>695</v>
      </c>
      <c r="C6870" t="s">
        <v>292</v>
      </c>
      <c r="D6870" s="226">
        <v>-599.92999999999995</v>
      </c>
      <c r="E6870" t="s">
        <v>696</v>
      </c>
    </row>
    <row r="6871" spans="1:5" hidden="1" x14ac:dyDescent="0.3">
      <c r="A6871" t="s">
        <v>552</v>
      </c>
      <c r="B6871" t="s">
        <v>695</v>
      </c>
      <c r="C6871" t="s">
        <v>293</v>
      </c>
      <c r="D6871" s="226">
        <v>-91.45</v>
      </c>
      <c r="E6871" t="s">
        <v>696</v>
      </c>
    </row>
    <row r="6872" spans="1:5" hidden="1" x14ac:dyDescent="0.3">
      <c r="A6872" t="s">
        <v>552</v>
      </c>
      <c r="B6872" t="s">
        <v>695</v>
      </c>
      <c r="C6872" t="s">
        <v>294</v>
      </c>
      <c r="D6872" s="226">
        <v>0</v>
      </c>
      <c r="E6872" t="s">
        <v>696</v>
      </c>
    </row>
    <row r="6873" spans="1:5" hidden="1" x14ac:dyDescent="0.3">
      <c r="A6873" t="s">
        <v>552</v>
      </c>
      <c r="B6873" t="s">
        <v>695</v>
      </c>
      <c r="C6873" t="s">
        <v>44</v>
      </c>
      <c r="D6873" s="226">
        <v>-0.01</v>
      </c>
      <c r="E6873" t="s">
        <v>696</v>
      </c>
    </row>
    <row r="6874" spans="1:5" hidden="1" x14ac:dyDescent="0.3">
      <c r="A6874" t="s">
        <v>552</v>
      </c>
      <c r="B6874" t="s">
        <v>695</v>
      </c>
      <c r="C6874" t="s">
        <v>295</v>
      </c>
      <c r="D6874" s="226">
        <v>-7188.71</v>
      </c>
      <c r="E6874" t="s">
        <v>696</v>
      </c>
    </row>
    <row r="6875" spans="1:5" hidden="1" x14ac:dyDescent="0.3">
      <c r="A6875" t="s">
        <v>552</v>
      </c>
      <c r="B6875" t="s">
        <v>695</v>
      </c>
      <c r="C6875" t="s">
        <v>296</v>
      </c>
      <c r="D6875" s="226">
        <v>-4500</v>
      </c>
      <c r="E6875" t="s">
        <v>696</v>
      </c>
    </row>
    <row r="6876" spans="1:5" hidden="1" x14ac:dyDescent="0.3">
      <c r="A6876" t="s">
        <v>552</v>
      </c>
      <c r="B6876" t="s">
        <v>695</v>
      </c>
      <c r="C6876" t="s">
        <v>297</v>
      </c>
      <c r="D6876" s="226">
        <v>-500</v>
      </c>
      <c r="E6876" t="s">
        <v>696</v>
      </c>
    </row>
    <row r="6877" spans="1:5" hidden="1" x14ac:dyDescent="0.3">
      <c r="A6877" t="s">
        <v>552</v>
      </c>
      <c r="B6877" t="s">
        <v>695</v>
      </c>
      <c r="C6877" t="s">
        <v>298</v>
      </c>
      <c r="D6877" s="226">
        <v>0</v>
      </c>
      <c r="E6877" t="s">
        <v>696</v>
      </c>
    </row>
    <row r="6878" spans="1:5" hidden="1" x14ac:dyDescent="0.3">
      <c r="A6878" t="s">
        <v>552</v>
      </c>
      <c r="B6878" t="s">
        <v>695</v>
      </c>
      <c r="C6878" t="s">
        <v>299</v>
      </c>
      <c r="D6878" s="226">
        <v>0</v>
      </c>
      <c r="E6878" t="s">
        <v>696</v>
      </c>
    </row>
    <row r="6879" spans="1:5" hidden="1" x14ac:dyDescent="0.3">
      <c r="A6879" t="s">
        <v>552</v>
      </c>
      <c r="B6879" t="s">
        <v>695</v>
      </c>
      <c r="C6879" t="s">
        <v>300</v>
      </c>
      <c r="D6879" s="226">
        <v>0</v>
      </c>
      <c r="E6879" t="s">
        <v>696</v>
      </c>
    </row>
    <row r="6880" spans="1:5" hidden="1" x14ac:dyDescent="0.3">
      <c r="A6880" t="s">
        <v>552</v>
      </c>
      <c r="B6880" t="s">
        <v>695</v>
      </c>
      <c r="C6880" t="s">
        <v>301</v>
      </c>
      <c r="D6880" s="226">
        <v>0</v>
      </c>
      <c r="E6880" t="s">
        <v>696</v>
      </c>
    </row>
    <row r="6881" spans="1:5" hidden="1" x14ac:dyDescent="0.3">
      <c r="A6881" t="s">
        <v>552</v>
      </c>
      <c r="B6881" t="s">
        <v>695</v>
      </c>
      <c r="C6881" t="s">
        <v>302</v>
      </c>
      <c r="D6881" s="226">
        <v>0</v>
      </c>
      <c r="E6881" t="s">
        <v>696</v>
      </c>
    </row>
    <row r="6882" spans="1:5" hidden="1" x14ac:dyDescent="0.3">
      <c r="A6882" t="s">
        <v>552</v>
      </c>
      <c r="B6882" t="s">
        <v>695</v>
      </c>
      <c r="C6882" t="s">
        <v>303</v>
      </c>
      <c r="D6882" s="226">
        <v>0</v>
      </c>
      <c r="E6882" t="s">
        <v>696</v>
      </c>
    </row>
    <row r="6883" spans="1:5" hidden="1" x14ac:dyDescent="0.3">
      <c r="A6883" t="s">
        <v>552</v>
      </c>
      <c r="B6883" t="s">
        <v>695</v>
      </c>
      <c r="C6883" t="s">
        <v>304</v>
      </c>
      <c r="D6883" s="226">
        <v>0</v>
      </c>
      <c r="E6883" t="s">
        <v>696</v>
      </c>
    </row>
    <row r="6884" spans="1:5" hidden="1" x14ac:dyDescent="0.3">
      <c r="A6884" t="s">
        <v>552</v>
      </c>
      <c r="B6884" t="s">
        <v>695</v>
      </c>
      <c r="C6884" t="s">
        <v>305</v>
      </c>
      <c r="D6884" s="226">
        <v>0</v>
      </c>
      <c r="E6884" t="s">
        <v>696</v>
      </c>
    </row>
    <row r="6885" spans="1:5" hidden="1" x14ac:dyDescent="0.3">
      <c r="A6885" t="s">
        <v>552</v>
      </c>
      <c r="B6885" t="s">
        <v>695</v>
      </c>
      <c r="C6885" t="s">
        <v>306</v>
      </c>
      <c r="D6885" s="226">
        <v>-2188.71</v>
      </c>
      <c r="E6885" t="s">
        <v>696</v>
      </c>
    </row>
    <row r="6886" spans="1:5" hidden="1" x14ac:dyDescent="0.3">
      <c r="A6886" t="s">
        <v>552</v>
      </c>
      <c r="B6886" t="s">
        <v>695</v>
      </c>
      <c r="C6886" t="s">
        <v>44</v>
      </c>
      <c r="D6886" s="226">
        <v>0</v>
      </c>
      <c r="E6886" t="s">
        <v>696</v>
      </c>
    </row>
    <row r="6887" spans="1:5" hidden="1" x14ac:dyDescent="0.3">
      <c r="A6887" t="s">
        <v>552</v>
      </c>
      <c r="B6887" t="s">
        <v>695</v>
      </c>
      <c r="C6887" t="s">
        <v>307</v>
      </c>
      <c r="D6887" s="226">
        <v>-17335.580000000002</v>
      </c>
      <c r="E6887" t="s">
        <v>696</v>
      </c>
    </row>
    <row r="6888" spans="1:5" hidden="1" x14ac:dyDescent="0.3">
      <c r="A6888" t="s">
        <v>552</v>
      </c>
      <c r="B6888" t="s">
        <v>695</v>
      </c>
      <c r="C6888" t="s">
        <v>308</v>
      </c>
      <c r="D6888" s="226">
        <v>-4048.43</v>
      </c>
      <c r="E6888" t="s">
        <v>696</v>
      </c>
    </row>
    <row r="6889" spans="1:5" hidden="1" x14ac:dyDescent="0.3">
      <c r="A6889" t="s">
        <v>552</v>
      </c>
      <c r="B6889" t="s">
        <v>695</v>
      </c>
      <c r="C6889" t="s">
        <v>309</v>
      </c>
      <c r="D6889" s="226">
        <v>0</v>
      </c>
      <c r="E6889" t="s">
        <v>696</v>
      </c>
    </row>
    <row r="6890" spans="1:5" hidden="1" x14ac:dyDescent="0.3">
      <c r="A6890" t="s">
        <v>552</v>
      </c>
      <c r="B6890" t="s">
        <v>695</v>
      </c>
      <c r="C6890" t="s">
        <v>310</v>
      </c>
      <c r="D6890" s="226">
        <v>-1800</v>
      </c>
      <c r="E6890" t="s">
        <v>696</v>
      </c>
    </row>
    <row r="6891" spans="1:5" hidden="1" x14ac:dyDescent="0.3">
      <c r="A6891" t="s">
        <v>552</v>
      </c>
      <c r="B6891" t="s">
        <v>695</v>
      </c>
      <c r="C6891" t="s">
        <v>311</v>
      </c>
      <c r="D6891" s="226">
        <v>-185</v>
      </c>
      <c r="E6891" t="s">
        <v>696</v>
      </c>
    </row>
    <row r="6892" spans="1:5" hidden="1" x14ac:dyDescent="0.3">
      <c r="A6892" t="s">
        <v>552</v>
      </c>
      <c r="B6892" t="s">
        <v>695</v>
      </c>
      <c r="C6892" t="s">
        <v>312</v>
      </c>
      <c r="D6892" s="226">
        <v>0</v>
      </c>
      <c r="E6892" t="s">
        <v>696</v>
      </c>
    </row>
    <row r="6893" spans="1:5" hidden="1" x14ac:dyDescent="0.3">
      <c r="A6893" t="s">
        <v>552</v>
      </c>
      <c r="B6893" t="s">
        <v>695</v>
      </c>
      <c r="C6893" t="s">
        <v>313</v>
      </c>
      <c r="D6893" s="226">
        <v>-2372.15</v>
      </c>
      <c r="E6893" t="s">
        <v>696</v>
      </c>
    </row>
    <row r="6894" spans="1:5" hidden="1" x14ac:dyDescent="0.3">
      <c r="A6894" t="s">
        <v>552</v>
      </c>
      <c r="B6894" t="s">
        <v>695</v>
      </c>
      <c r="C6894" t="s">
        <v>314</v>
      </c>
      <c r="D6894" s="226">
        <v>0</v>
      </c>
      <c r="E6894" t="s">
        <v>696</v>
      </c>
    </row>
    <row r="6895" spans="1:5" hidden="1" x14ac:dyDescent="0.3">
      <c r="A6895" t="s">
        <v>552</v>
      </c>
      <c r="B6895" t="s">
        <v>695</v>
      </c>
      <c r="C6895" t="s">
        <v>315</v>
      </c>
      <c r="D6895" s="226">
        <v>-8930</v>
      </c>
      <c r="E6895" t="s">
        <v>696</v>
      </c>
    </row>
    <row r="6896" spans="1:5" hidden="1" x14ac:dyDescent="0.3">
      <c r="A6896" t="s">
        <v>552</v>
      </c>
      <c r="B6896" t="s">
        <v>695</v>
      </c>
      <c r="C6896" t="s">
        <v>316</v>
      </c>
      <c r="D6896" s="226">
        <v>0</v>
      </c>
      <c r="E6896" t="s">
        <v>696</v>
      </c>
    </row>
    <row r="6897" spans="1:5" hidden="1" x14ac:dyDescent="0.3">
      <c r="A6897" t="s">
        <v>552</v>
      </c>
      <c r="B6897" t="s">
        <v>695</v>
      </c>
      <c r="C6897" t="s">
        <v>44</v>
      </c>
      <c r="D6897" s="226">
        <v>-0.01</v>
      </c>
      <c r="E6897" t="s">
        <v>696</v>
      </c>
    </row>
    <row r="6898" spans="1:5" hidden="1" x14ac:dyDescent="0.3">
      <c r="A6898" t="s">
        <v>552</v>
      </c>
      <c r="B6898" t="s">
        <v>695</v>
      </c>
      <c r="C6898" t="s">
        <v>317</v>
      </c>
      <c r="D6898" s="226">
        <v>-7134.03</v>
      </c>
      <c r="E6898" t="s">
        <v>696</v>
      </c>
    </row>
    <row r="6899" spans="1:5" hidden="1" x14ac:dyDescent="0.3">
      <c r="A6899" t="s">
        <v>552</v>
      </c>
      <c r="B6899" t="s">
        <v>695</v>
      </c>
      <c r="C6899" t="s">
        <v>318</v>
      </c>
      <c r="D6899" s="226">
        <v>-6880</v>
      </c>
      <c r="E6899" t="s">
        <v>696</v>
      </c>
    </row>
    <row r="6900" spans="1:5" hidden="1" x14ac:dyDescent="0.3">
      <c r="A6900" t="s">
        <v>552</v>
      </c>
      <c r="B6900" t="s">
        <v>695</v>
      </c>
      <c r="C6900" t="s">
        <v>319</v>
      </c>
      <c r="D6900" s="226">
        <v>-254.03</v>
      </c>
      <c r="E6900" t="s">
        <v>696</v>
      </c>
    </row>
    <row r="6901" spans="1:5" hidden="1" x14ac:dyDescent="0.3">
      <c r="A6901" t="s">
        <v>552</v>
      </c>
      <c r="B6901" t="s">
        <v>695</v>
      </c>
      <c r="C6901" t="s">
        <v>320</v>
      </c>
      <c r="D6901" s="226">
        <v>0</v>
      </c>
      <c r="E6901" t="s">
        <v>696</v>
      </c>
    </row>
    <row r="6902" spans="1:5" hidden="1" x14ac:dyDescent="0.3">
      <c r="A6902" t="s">
        <v>552</v>
      </c>
      <c r="B6902" t="s">
        <v>695</v>
      </c>
      <c r="C6902" t="s">
        <v>321</v>
      </c>
      <c r="D6902" s="226">
        <v>0</v>
      </c>
      <c r="E6902" t="s">
        <v>696</v>
      </c>
    </row>
    <row r="6903" spans="1:5" hidden="1" x14ac:dyDescent="0.3">
      <c r="A6903" t="s">
        <v>552</v>
      </c>
      <c r="B6903" t="s">
        <v>695</v>
      </c>
      <c r="C6903" t="s">
        <v>44</v>
      </c>
      <c r="D6903" s="226">
        <v>0</v>
      </c>
      <c r="E6903" t="s">
        <v>696</v>
      </c>
    </row>
    <row r="6904" spans="1:5" hidden="1" x14ac:dyDescent="0.3">
      <c r="A6904" t="s">
        <v>552</v>
      </c>
      <c r="B6904" t="s">
        <v>695</v>
      </c>
      <c r="C6904" t="s">
        <v>322</v>
      </c>
      <c r="D6904" s="226">
        <v>-75514.720000000001</v>
      </c>
      <c r="E6904" t="s">
        <v>696</v>
      </c>
    </row>
    <row r="6905" spans="1:5" hidden="1" x14ac:dyDescent="0.3">
      <c r="A6905" t="s">
        <v>552</v>
      </c>
      <c r="B6905" t="s">
        <v>695</v>
      </c>
      <c r="C6905" t="s">
        <v>323</v>
      </c>
      <c r="D6905" s="226">
        <v>0</v>
      </c>
      <c r="E6905" t="s">
        <v>696</v>
      </c>
    </row>
    <row r="6906" spans="1:5" hidden="1" x14ac:dyDescent="0.3">
      <c r="A6906" t="s">
        <v>552</v>
      </c>
      <c r="B6906" t="s">
        <v>695</v>
      </c>
      <c r="C6906" t="s">
        <v>324</v>
      </c>
      <c r="D6906" s="226">
        <v>0</v>
      </c>
      <c r="E6906" t="s">
        <v>696</v>
      </c>
    </row>
    <row r="6907" spans="1:5" hidden="1" x14ac:dyDescent="0.3">
      <c r="A6907" t="s">
        <v>552</v>
      </c>
      <c r="B6907" t="s">
        <v>695</v>
      </c>
      <c r="C6907" t="s">
        <v>325</v>
      </c>
      <c r="D6907" s="226">
        <v>-75514.720000000001</v>
      </c>
      <c r="E6907" t="s">
        <v>696</v>
      </c>
    </row>
    <row r="6908" spans="1:5" hidden="1" x14ac:dyDescent="0.3">
      <c r="A6908" t="s">
        <v>552</v>
      </c>
      <c r="B6908" t="s">
        <v>695</v>
      </c>
      <c r="C6908" t="s">
        <v>44</v>
      </c>
      <c r="D6908" s="226">
        <v>-0.05</v>
      </c>
      <c r="E6908" t="s">
        <v>696</v>
      </c>
    </row>
    <row r="6909" spans="1:5" hidden="1" x14ac:dyDescent="0.3">
      <c r="A6909" t="s">
        <v>552</v>
      </c>
      <c r="B6909" t="s">
        <v>695</v>
      </c>
      <c r="C6909" t="s">
        <v>327</v>
      </c>
      <c r="D6909" s="226">
        <v>-622036.96</v>
      </c>
      <c r="E6909" t="s">
        <v>696</v>
      </c>
    </row>
    <row r="6910" spans="1:5" hidden="1" x14ac:dyDescent="0.3">
      <c r="A6910" t="s">
        <v>552</v>
      </c>
      <c r="B6910" t="s">
        <v>695</v>
      </c>
      <c r="C6910" t="s">
        <v>44</v>
      </c>
      <c r="D6910" s="226">
        <v>-0.41</v>
      </c>
      <c r="E6910" t="s">
        <v>696</v>
      </c>
    </row>
    <row r="6911" spans="1:5" hidden="1" x14ac:dyDescent="0.3">
      <c r="A6911" t="s">
        <v>552</v>
      </c>
      <c r="B6911" t="s">
        <v>695</v>
      </c>
      <c r="C6911" t="s">
        <v>328</v>
      </c>
      <c r="D6911" s="226">
        <v>242675.92</v>
      </c>
      <c r="E6911" t="s">
        <v>696</v>
      </c>
    </row>
    <row r="6912" spans="1:5" hidden="1" x14ac:dyDescent="0.3">
      <c r="A6912" t="s">
        <v>552</v>
      </c>
      <c r="B6912" t="s">
        <v>695</v>
      </c>
      <c r="C6912" t="s">
        <v>44</v>
      </c>
      <c r="D6912" s="226">
        <v>0.16</v>
      </c>
      <c r="E6912" t="s">
        <v>696</v>
      </c>
    </row>
    <row r="6913" spans="1:5" hidden="1" x14ac:dyDescent="0.3">
      <c r="A6913" t="s">
        <v>552</v>
      </c>
      <c r="B6913" t="s">
        <v>695</v>
      </c>
      <c r="C6913" t="s">
        <v>329</v>
      </c>
      <c r="D6913" s="226">
        <v>0</v>
      </c>
      <c r="E6913" t="s">
        <v>696</v>
      </c>
    </row>
    <row r="6914" spans="1:5" hidden="1" x14ac:dyDescent="0.3">
      <c r="A6914" t="s">
        <v>552</v>
      </c>
      <c r="B6914" t="s">
        <v>695</v>
      </c>
      <c r="C6914" t="s">
        <v>331</v>
      </c>
      <c r="D6914" s="226">
        <v>242675.92</v>
      </c>
      <c r="E6914" t="s">
        <v>696</v>
      </c>
    </row>
    <row r="6915" spans="1:5" hidden="1" x14ac:dyDescent="0.3">
      <c r="A6915" t="s">
        <v>552</v>
      </c>
      <c r="B6915" t="s">
        <v>695</v>
      </c>
      <c r="C6915" t="s">
        <v>332</v>
      </c>
      <c r="D6915" s="226">
        <v>-13871.21</v>
      </c>
      <c r="E6915" t="s">
        <v>696</v>
      </c>
    </row>
    <row r="6916" spans="1:5" hidden="1" x14ac:dyDescent="0.3">
      <c r="A6916" t="s">
        <v>552</v>
      </c>
      <c r="B6916" t="s">
        <v>695</v>
      </c>
      <c r="C6916" t="s">
        <v>333</v>
      </c>
      <c r="D6916" s="226">
        <v>27342</v>
      </c>
      <c r="E6916" t="s">
        <v>696</v>
      </c>
    </row>
    <row r="6917" spans="1:5" hidden="1" x14ac:dyDescent="0.3">
      <c r="A6917" t="s">
        <v>552</v>
      </c>
      <c r="B6917" t="s">
        <v>695</v>
      </c>
      <c r="C6917" t="s">
        <v>335</v>
      </c>
      <c r="D6917" s="226">
        <v>0</v>
      </c>
      <c r="E6917" t="s">
        <v>696</v>
      </c>
    </row>
    <row r="6918" spans="1:5" hidden="1" x14ac:dyDescent="0.3">
      <c r="A6918" t="s">
        <v>552</v>
      </c>
      <c r="B6918" t="s">
        <v>695</v>
      </c>
      <c r="C6918" t="s">
        <v>337</v>
      </c>
      <c r="D6918" s="226">
        <v>256146.71</v>
      </c>
      <c r="E6918" t="s">
        <v>696</v>
      </c>
    </row>
    <row r="6919" spans="1:5" hidden="1" x14ac:dyDescent="0.3">
      <c r="A6919" t="s">
        <v>552</v>
      </c>
      <c r="B6919" t="s">
        <v>695</v>
      </c>
      <c r="C6919" t="s">
        <v>338</v>
      </c>
      <c r="D6919" s="226">
        <v>-56910.400000000001</v>
      </c>
      <c r="E6919" t="s">
        <v>696</v>
      </c>
    </row>
    <row r="6920" spans="1:5" hidden="1" x14ac:dyDescent="0.3">
      <c r="A6920" t="s">
        <v>552</v>
      </c>
      <c r="B6920" t="s">
        <v>695</v>
      </c>
      <c r="C6920" t="s">
        <v>341</v>
      </c>
      <c r="D6920" s="226">
        <v>0</v>
      </c>
      <c r="E6920" t="s">
        <v>696</v>
      </c>
    </row>
    <row r="6921" spans="1:5" hidden="1" x14ac:dyDescent="0.3">
      <c r="A6921" t="s">
        <v>552</v>
      </c>
      <c r="B6921" t="s">
        <v>695</v>
      </c>
      <c r="C6921" t="s">
        <v>343</v>
      </c>
      <c r="D6921" s="226">
        <v>-16150.81</v>
      </c>
      <c r="E6921" t="s">
        <v>696</v>
      </c>
    </row>
    <row r="6922" spans="1:5" hidden="1" x14ac:dyDescent="0.3">
      <c r="A6922" t="s">
        <v>552</v>
      </c>
      <c r="B6922" t="s">
        <v>695</v>
      </c>
      <c r="C6922" t="s">
        <v>344</v>
      </c>
      <c r="D6922" s="226">
        <v>-26364.67</v>
      </c>
      <c r="E6922" t="s">
        <v>696</v>
      </c>
    </row>
    <row r="6923" spans="1:5" hidden="1" x14ac:dyDescent="0.3">
      <c r="A6923" t="s">
        <v>552</v>
      </c>
      <c r="B6923" t="s">
        <v>695</v>
      </c>
      <c r="C6923" t="s">
        <v>345</v>
      </c>
      <c r="D6923" s="226">
        <v>-14394.91</v>
      </c>
      <c r="E6923" t="s">
        <v>696</v>
      </c>
    </row>
    <row r="6924" spans="1:5" hidden="1" x14ac:dyDescent="0.3">
      <c r="A6924" t="s">
        <v>552</v>
      </c>
      <c r="B6924" t="s">
        <v>695</v>
      </c>
      <c r="C6924" t="s">
        <v>346</v>
      </c>
      <c r="D6924" s="226">
        <v>199236.31</v>
      </c>
      <c r="E6924" t="s">
        <v>696</v>
      </c>
    </row>
    <row r="6925" spans="1:5" hidden="1" x14ac:dyDescent="0.3">
      <c r="A6925" t="s">
        <v>552</v>
      </c>
      <c r="B6925" t="s">
        <v>695</v>
      </c>
      <c r="C6925" t="s">
        <v>44</v>
      </c>
      <c r="D6925" s="226">
        <v>0.13</v>
      </c>
      <c r="E6925" t="s">
        <v>696</v>
      </c>
    </row>
    <row r="6926" spans="1:5" hidden="1" x14ac:dyDescent="0.3">
      <c r="A6926" t="s">
        <v>552</v>
      </c>
      <c r="B6926" t="s">
        <v>695</v>
      </c>
      <c r="C6926" t="s">
        <v>347</v>
      </c>
      <c r="D6926" s="226">
        <v>-8334</v>
      </c>
      <c r="E6926" t="s">
        <v>696</v>
      </c>
    </row>
    <row r="6927" spans="1:5" hidden="1" x14ac:dyDescent="0.3">
      <c r="A6927" t="s">
        <v>552</v>
      </c>
      <c r="B6927" t="s">
        <v>695</v>
      </c>
      <c r="C6927" t="s">
        <v>654</v>
      </c>
      <c r="D6927" s="226">
        <v>0</v>
      </c>
      <c r="E6927" t="s">
        <v>696</v>
      </c>
    </row>
    <row r="6928" spans="1:5" hidden="1" x14ac:dyDescent="0.3">
      <c r="A6928" t="s">
        <v>552</v>
      </c>
      <c r="B6928" t="s">
        <v>695</v>
      </c>
      <c r="C6928" t="s">
        <v>349</v>
      </c>
      <c r="D6928" s="226">
        <v>0</v>
      </c>
      <c r="E6928" t="s">
        <v>696</v>
      </c>
    </row>
    <row r="6929" spans="1:5" hidden="1" x14ac:dyDescent="0.3">
      <c r="A6929" t="s">
        <v>552</v>
      </c>
      <c r="B6929" t="s">
        <v>695</v>
      </c>
      <c r="C6929" t="s">
        <v>350</v>
      </c>
      <c r="D6929" s="226">
        <v>0</v>
      </c>
      <c r="E6929" t="s">
        <v>696</v>
      </c>
    </row>
    <row r="6930" spans="1:5" hidden="1" x14ac:dyDescent="0.3">
      <c r="A6930" t="s">
        <v>552</v>
      </c>
      <c r="B6930" t="s">
        <v>695</v>
      </c>
      <c r="C6930" t="s">
        <v>351</v>
      </c>
      <c r="D6930" s="226">
        <v>0</v>
      </c>
      <c r="E6930" t="s">
        <v>696</v>
      </c>
    </row>
    <row r="6931" spans="1:5" hidden="1" x14ac:dyDescent="0.3">
      <c r="A6931" t="s">
        <v>552</v>
      </c>
      <c r="B6931" t="s">
        <v>695</v>
      </c>
      <c r="C6931" t="s">
        <v>352</v>
      </c>
      <c r="D6931" s="226">
        <v>-8334</v>
      </c>
      <c r="E6931" t="s">
        <v>696</v>
      </c>
    </row>
    <row r="6932" spans="1:5" hidden="1" x14ac:dyDescent="0.3">
      <c r="A6932" t="s">
        <v>552</v>
      </c>
      <c r="B6932" t="s">
        <v>695</v>
      </c>
      <c r="C6932" t="s">
        <v>353</v>
      </c>
      <c r="D6932" s="226">
        <v>0</v>
      </c>
      <c r="E6932" t="s">
        <v>696</v>
      </c>
    </row>
    <row r="6933" spans="1:5" hidden="1" x14ac:dyDescent="0.3">
      <c r="A6933" t="s">
        <v>552</v>
      </c>
      <c r="B6933" t="s">
        <v>695</v>
      </c>
      <c r="C6933" t="s">
        <v>354</v>
      </c>
      <c r="D6933" s="226">
        <v>0</v>
      </c>
      <c r="E6933" t="s">
        <v>696</v>
      </c>
    </row>
    <row r="6934" spans="1:5" hidden="1" x14ac:dyDescent="0.3">
      <c r="A6934" t="s">
        <v>552</v>
      </c>
      <c r="B6934" t="s">
        <v>695</v>
      </c>
      <c r="C6934" t="s">
        <v>355</v>
      </c>
      <c r="D6934" s="226">
        <v>0</v>
      </c>
      <c r="E6934" t="s">
        <v>696</v>
      </c>
    </row>
    <row r="6935" spans="1:5" hidden="1" x14ac:dyDescent="0.3">
      <c r="A6935" t="s">
        <v>552</v>
      </c>
      <c r="B6935" t="s">
        <v>695</v>
      </c>
      <c r="C6935" t="s">
        <v>356</v>
      </c>
      <c r="D6935" s="226">
        <v>0</v>
      </c>
      <c r="E6935" t="s">
        <v>696</v>
      </c>
    </row>
    <row r="6936" spans="1:5" hidden="1" x14ac:dyDescent="0.3">
      <c r="A6936" t="s">
        <v>552</v>
      </c>
      <c r="B6936" t="s">
        <v>695</v>
      </c>
      <c r="C6936" t="s">
        <v>357</v>
      </c>
      <c r="D6936" s="226">
        <v>0</v>
      </c>
      <c r="E6936" t="s">
        <v>696</v>
      </c>
    </row>
    <row r="6937" spans="1:5" hidden="1" x14ac:dyDescent="0.3">
      <c r="A6937" t="s">
        <v>552</v>
      </c>
      <c r="B6937" t="s">
        <v>695</v>
      </c>
      <c r="C6937" t="s">
        <v>358</v>
      </c>
      <c r="D6937" s="226">
        <v>0</v>
      </c>
      <c r="E6937" t="s">
        <v>696</v>
      </c>
    </row>
    <row r="6938" spans="1:5" hidden="1" x14ac:dyDescent="0.3">
      <c r="A6938" t="s">
        <v>552</v>
      </c>
      <c r="B6938" t="s">
        <v>695</v>
      </c>
      <c r="C6938" t="s">
        <v>359</v>
      </c>
      <c r="D6938" s="226">
        <v>0</v>
      </c>
      <c r="E6938" t="s">
        <v>696</v>
      </c>
    </row>
    <row r="6939" spans="1:5" hidden="1" x14ac:dyDescent="0.3">
      <c r="A6939" t="s">
        <v>552</v>
      </c>
      <c r="B6939" t="s">
        <v>695</v>
      </c>
      <c r="C6939" t="s">
        <v>360</v>
      </c>
      <c r="D6939" s="226">
        <v>0</v>
      </c>
      <c r="E6939" t="s">
        <v>696</v>
      </c>
    </row>
    <row r="6940" spans="1:5" hidden="1" x14ac:dyDescent="0.3">
      <c r="A6940" t="s">
        <v>552</v>
      </c>
      <c r="B6940" t="s">
        <v>695</v>
      </c>
      <c r="C6940" t="s">
        <v>361</v>
      </c>
      <c r="D6940" s="226">
        <v>0</v>
      </c>
      <c r="E6940" t="s">
        <v>696</v>
      </c>
    </row>
    <row r="6941" spans="1:5" hidden="1" x14ac:dyDescent="0.3">
      <c r="A6941" t="s">
        <v>552</v>
      </c>
      <c r="B6941" t="s">
        <v>695</v>
      </c>
      <c r="C6941" t="s">
        <v>362</v>
      </c>
      <c r="D6941" s="226">
        <v>0</v>
      </c>
      <c r="E6941" t="s">
        <v>696</v>
      </c>
    </row>
    <row r="6942" spans="1:5" hidden="1" x14ac:dyDescent="0.3">
      <c r="A6942" t="s">
        <v>552</v>
      </c>
      <c r="B6942" t="s">
        <v>695</v>
      </c>
      <c r="C6942" t="s">
        <v>363</v>
      </c>
      <c r="D6942" s="226">
        <v>0</v>
      </c>
      <c r="E6942" t="s">
        <v>696</v>
      </c>
    </row>
    <row r="6943" spans="1:5" hidden="1" x14ac:dyDescent="0.3">
      <c r="A6943" t="s">
        <v>552</v>
      </c>
      <c r="B6943" t="s">
        <v>695</v>
      </c>
      <c r="C6943" t="s">
        <v>364</v>
      </c>
      <c r="D6943" s="226">
        <v>-1566.13</v>
      </c>
      <c r="E6943" t="s">
        <v>696</v>
      </c>
    </row>
    <row r="6944" spans="1:5" hidden="1" x14ac:dyDescent="0.3">
      <c r="A6944" t="s">
        <v>552</v>
      </c>
      <c r="B6944" t="s">
        <v>695</v>
      </c>
      <c r="C6944" t="s">
        <v>365</v>
      </c>
      <c r="D6944" s="226">
        <v>0</v>
      </c>
      <c r="E6944" t="s">
        <v>696</v>
      </c>
    </row>
    <row r="6945" spans="1:5" hidden="1" x14ac:dyDescent="0.3">
      <c r="A6945" t="s">
        <v>552</v>
      </c>
      <c r="B6945" t="s">
        <v>695</v>
      </c>
      <c r="C6945" t="s">
        <v>366</v>
      </c>
      <c r="D6945" s="226">
        <v>0</v>
      </c>
      <c r="E6945" t="s">
        <v>696</v>
      </c>
    </row>
    <row r="6946" spans="1:5" hidden="1" x14ac:dyDescent="0.3">
      <c r="A6946" t="s">
        <v>552</v>
      </c>
      <c r="B6946" t="s">
        <v>695</v>
      </c>
      <c r="C6946" t="s">
        <v>367</v>
      </c>
      <c r="D6946" s="226">
        <v>-11866.13</v>
      </c>
      <c r="E6946" t="s">
        <v>696</v>
      </c>
    </row>
    <row r="6947" spans="1:5" hidden="1" x14ac:dyDescent="0.3">
      <c r="A6947" t="s">
        <v>552</v>
      </c>
      <c r="B6947" t="s">
        <v>695</v>
      </c>
      <c r="C6947" t="s">
        <v>368</v>
      </c>
      <c r="D6947" s="226">
        <v>10300</v>
      </c>
      <c r="E6947" t="s">
        <v>696</v>
      </c>
    </row>
    <row r="6948" spans="1:5" hidden="1" x14ac:dyDescent="0.3">
      <c r="A6948" t="s">
        <v>552</v>
      </c>
      <c r="B6948" t="s">
        <v>695</v>
      </c>
      <c r="C6948" t="s">
        <v>369</v>
      </c>
      <c r="D6948" s="226">
        <v>0</v>
      </c>
      <c r="E6948" t="s">
        <v>696</v>
      </c>
    </row>
    <row r="6949" spans="1:5" hidden="1" x14ac:dyDescent="0.3">
      <c r="A6949" t="s">
        <v>552</v>
      </c>
      <c r="B6949" t="s">
        <v>695</v>
      </c>
      <c r="C6949" t="s">
        <v>370</v>
      </c>
      <c r="D6949" s="226">
        <v>0</v>
      </c>
      <c r="E6949" t="s">
        <v>696</v>
      </c>
    </row>
    <row r="6950" spans="1:5" hidden="1" x14ac:dyDescent="0.3">
      <c r="A6950" t="s">
        <v>552</v>
      </c>
      <c r="B6950" t="s">
        <v>695</v>
      </c>
      <c r="C6950" t="s">
        <v>371</v>
      </c>
      <c r="D6950" s="226">
        <v>0</v>
      </c>
      <c r="E6950" t="s">
        <v>696</v>
      </c>
    </row>
    <row r="6951" spans="1:5" hidden="1" x14ac:dyDescent="0.3">
      <c r="A6951" t="s">
        <v>552</v>
      </c>
      <c r="B6951" t="s">
        <v>695</v>
      </c>
      <c r="C6951" t="s">
        <v>372</v>
      </c>
      <c r="D6951" s="226">
        <v>-9900.1299999999992</v>
      </c>
      <c r="E6951" t="s">
        <v>696</v>
      </c>
    </row>
    <row r="6952" spans="1:5" hidden="1" x14ac:dyDescent="0.3">
      <c r="A6952" t="s">
        <v>552</v>
      </c>
      <c r="B6952" t="s">
        <v>695</v>
      </c>
      <c r="C6952" t="s">
        <v>373</v>
      </c>
      <c r="D6952" s="226">
        <v>189336.18</v>
      </c>
      <c r="E6952" t="s">
        <v>696</v>
      </c>
    </row>
    <row r="6953" spans="1:5" hidden="1" x14ac:dyDescent="0.3">
      <c r="A6953" t="s">
        <v>552</v>
      </c>
      <c r="B6953" t="s">
        <v>695</v>
      </c>
      <c r="C6953" t="s">
        <v>655</v>
      </c>
      <c r="D6953" s="226">
        <v>189336.18</v>
      </c>
      <c r="E6953" t="s">
        <v>696</v>
      </c>
    </row>
    <row r="6954" spans="1:5" hidden="1" x14ac:dyDescent="0.3">
      <c r="A6954" t="s">
        <v>552</v>
      </c>
      <c r="B6954" t="s">
        <v>697</v>
      </c>
      <c r="C6954" t="s">
        <v>11</v>
      </c>
      <c r="D6954" s="226">
        <v>1393156.36</v>
      </c>
      <c r="E6954" t="s">
        <v>698</v>
      </c>
    </row>
    <row r="6955" spans="1:5" hidden="1" x14ac:dyDescent="0.3">
      <c r="A6955" t="s">
        <v>552</v>
      </c>
      <c r="B6955" t="s">
        <v>697</v>
      </c>
      <c r="C6955" t="s">
        <v>13</v>
      </c>
      <c r="D6955" s="226">
        <v>750556.4</v>
      </c>
      <c r="E6955" t="s">
        <v>698</v>
      </c>
    </row>
    <row r="6956" spans="1:5" hidden="1" x14ac:dyDescent="0.3">
      <c r="A6956" t="s">
        <v>552</v>
      </c>
      <c r="B6956" t="s">
        <v>697</v>
      </c>
      <c r="C6956" t="s">
        <v>16</v>
      </c>
      <c r="D6956" s="226">
        <v>462852.4</v>
      </c>
      <c r="E6956" t="s">
        <v>698</v>
      </c>
    </row>
    <row r="6957" spans="1:5" hidden="1" x14ac:dyDescent="0.3">
      <c r="A6957" t="s">
        <v>552</v>
      </c>
      <c r="B6957" t="s">
        <v>697</v>
      </c>
      <c r="C6957" t="s">
        <v>17</v>
      </c>
      <c r="D6957" s="226">
        <v>0</v>
      </c>
      <c r="E6957" t="s">
        <v>698</v>
      </c>
    </row>
    <row r="6958" spans="1:5" hidden="1" x14ac:dyDescent="0.3">
      <c r="A6958" t="s">
        <v>552</v>
      </c>
      <c r="B6958" t="s">
        <v>697</v>
      </c>
      <c r="C6958" t="s">
        <v>18</v>
      </c>
      <c r="D6958" s="226">
        <v>0</v>
      </c>
      <c r="E6958" t="s">
        <v>698</v>
      </c>
    </row>
    <row r="6959" spans="1:5" hidden="1" x14ac:dyDescent="0.3">
      <c r="A6959" t="s">
        <v>552</v>
      </c>
      <c r="B6959" t="s">
        <v>697</v>
      </c>
      <c r="C6959" t="s">
        <v>20</v>
      </c>
      <c r="D6959" s="226">
        <v>154384.78</v>
      </c>
      <c r="E6959" t="s">
        <v>698</v>
      </c>
    </row>
    <row r="6960" spans="1:5" hidden="1" x14ac:dyDescent="0.3">
      <c r="A6960" t="s">
        <v>552</v>
      </c>
      <c r="B6960" t="s">
        <v>697</v>
      </c>
      <c r="C6960" t="s">
        <v>23</v>
      </c>
      <c r="D6960" s="226">
        <v>6174</v>
      </c>
      <c r="E6960" t="s">
        <v>698</v>
      </c>
    </row>
    <row r="6961" spans="1:5" hidden="1" x14ac:dyDescent="0.3">
      <c r="A6961" t="s">
        <v>552</v>
      </c>
      <c r="B6961" t="s">
        <v>697</v>
      </c>
      <c r="C6961" t="s">
        <v>25</v>
      </c>
      <c r="D6961" s="226">
        <v>0</v>
      </c>
      <c r="E6961" t="s">
        <v>698</v>
      </c>
    </row>
    <row r="6962" spans="1:5" hidden="1" x14ac:dyDescent="0.3">
      <c r="A6962" t="s">
        <v>552</v>
      </c>
      <c r="B6962" t="s">
        <v>697</v>
      </c>
      <c r="C6962" t="s">
        <v>26</v>
      </c>
      <c r="D6962" s="226">
        <v>0</v>
      </c>
      <c r="E6962" t="s">
        <v>698</v>
      </c>
    </row>
    <row r="6963" spans="1:5" hidden="1" x14ac:dyDescent="0.3">
      <c r="A6963" t="s">
        <v>552</v>
      </c>
      <c r="B6963" t="s">
        <v>697</v>
      </c>
      <c r="C6963" t="s">
        <v>27</v>
      </c>
      <c r="D6963" s="226">
        <v>0</v>
      </c>
      <c r="E6963" t="s">
        <v>698</v>
      </c>
    </row>
    <row r="6964" spans="1:5" hidden="1" x14ac:dyDescent="0.3">
      <c r="A6964" t="s">
        <v>552</v>
      </c>
      <c r="B6964" t="s">
        <v>697</v>
      </c>
      <c r="C6964" t="s">
        <v>29</v>
      </c>
      <c r="D6964" s="226">
        <v>18378.78</v>
      </c>
      <c r="E6964" t="s">
        <v>698</v>
      </c>
    </row>
    <row r="6965" spans="1:5" hidden="1" x14ac:dyDescent="0.3">
      <c r="A6965" t="s">
        <v>552</v>
      </c>
      <c r="B6965" t="s">
        <v>697</v>
      </c>
      <c r="C6965" t="s">
        <v>31</v>
      </c>
      <c r="D6965" s="226">
        <v>810</v>
      </c>
      <c r="E6965" t="s">
        <v>698</v>
      </c>
    </row>
    <row r="6966" spans="1:5" hidden="1" x14ac:dyDescent="0.3">
      <c r="A6966" t="s">
        <v>552</v>
      </c>
      <c r="B6966" t="s">
        <v>697</v>
      </c>
      <c r="C6966" t="s">
        <v>34</v>
      </c>
      <c r="D6966" s="226">
        <v>-22361.06</v>
      </c>
      <c r="E6966" t="s">
        <v>698</v>
      </c>
    </row>
    <row r="6967" spans="1:5" hidden="1" x14ac:dyDescent="0.3">
      <c r="A6967" t="s">
        <v>552</v>
      </c>
      <c r="B6967" t="s">
        <v>697</v>
      </c>
      <c r="C6967" t="s">
        <v>38</v>
      </c>
      <c r="D6967" s="226">
        <v>-3402.07</v>
      </c>
      <c r="E6967" t="s">
        <v>698</v>
      </c>
    </row>
    <row r="6968" spans="1:5" hidden="1" x14ac:dyDescent="0.3">
      <c r="A6968" t="s">
        <v>552</v>
      </c>
      <c r="B6968" t="s">
        <v>697</v>
      </c>
      <c r="C6968" t="s">
        <v>40</v>
      </c>
      <c r="D6968" s="226">
        <v>-17513.39</v>
      </c>
      <c r="E6968" t="s">
        <v>698</v>
      </c>
    </row>
    <row r="6969" spans="1:5" hidden="1" x14ac:dyDescent="0.3">
      <c r="A6969" t="s">
        <v>552</v>
      </c>
      <c r="B6969" t="s">
        <v>697</v>
      </c>
      <c r="C6969" t="s">
        <v>42</v>
      </c>
      <c r="D6969" s="226">
        <v>-1445.6</v>
      </c>
      <c r="E6969" t="s">
        <v>698</v>
      </c>
    </row>
    <row r="6970" spans="1:5" hidden="1" x14ac:dyDescent="0.3">
      <c r="A6970" t="s">
        <v>552</v>
      </c>
      <c r="B6970" t="s">
        <v>697</v>
      </c>
      <c r="C6970" t="s">
        <v>44</v>
      </c>
      <c r="D6970" s="226">
        <v>-0.02</v>
      </c>
      <c r="E6970" t="s">
        <v>698</v>
      </c>
    </row>
    <row r="6971" spans="1:5" hidden="1" x14ac:dyDescent="0.3">
      <c r="A6971" t="s">
        <v>552</v>
      </c>
      <c r="B6971" t="s">
        <v>697</v>
      </c>
      <c r="C6971" t="s">
        <v>45</v>
      </c>
      <c r="D6971" s="226">
        <v>-92904.79</v>
      </c>
      <c r="E6971" t="s">
        <v>698</v>
      </c>
    </row>
    <row r="6972" spans="1:5" hidden="1" x14ac:dyDescent="0.3">
      <c r="A6972" t="s">
        <v>552</v>
      </c>
      <c r="B6972" t="s">
        <v>697</v>
      </c>
      <c r="C6972" t="s">
        <v>46</v>
      </c>
      <c r="D6972" s="226">
        <v>-49808.68</v>
      </c>
      <c r="E6972" t="s">
        <v>698</v>
      </c>
    </row>
    <row r="6973" spans="1:5" hidden="1" x14ac:dyDescent="0.3">
      <c r="A6973" t="s">
        <v>552</v>
      </c>
      <c r="B6973" t="s">
        <v>697</v>
      </c>
      <c r="C6973" t="s">
        <v>48</v>
      </c>
      <c r="D6973" s="226">
        <v>-43096.11</v>
      </c>
      <c r="E6973" t="s">
        <v>698</v>
      </c>
    </row>
    <row r="6974" spans="1:5" hidden="1" x14ac:dyDescent="0.3">
      <c r="A6974" t="s">
        <v>552</v>
      </c>
      <c r="B6974" t="s">
        <v>697</v>
      </c>
      <c r="C6974" t="s">
        <v>49</v>
      </c>
      <c r="D6974" s="226">
        <v>0</v>
      </c>
      <c r="E6974" t="s">
        <v>698</v>
      </c>
    </row>
    <row r="6975" spans="1:5" hidden="1" x14ac:dyDescent="0.3">
      <c r="A6975" t="s">
        <v>552</v>
      </c>
      <c r="B6975" t="s">
        <v>697</v>
      </c>
      <c r="C6975" t="s">
        <v>50</v>
      </c>
      <c r="D6975" s="226">
        <v>1277890.51</v>
      </c>
      <c r="E6975" t="s">
        <v>698</v>
      </c>
    </row>
    <row r="6976" spans="1:5" hidden="1" x14ac:dyDescent="0.3">
      <c r="A6976" t="s">
        <v>552</v>
      </c>
      <c r="B6976" t="s">
        <v>697</v>
      </c>
      <c r="C6976" t="s">
        <v>51</v>
      </c>
      <c r="D6976" s="226">
        <v>-351686.02</v>
      </c>
      <c r="E6976" t="s">
        <v>698</v>
      </c>
    </row>
    <row r="6977" spans="1:5" hidden="1" x14ac:dyDescent="0.3">
      <c r="A6977" t="s">
        <v>552</v>
      </c>
      <c r="B6977" t="s">
        <v>697</v>
      </c>
      <c r="C6977" t="s">
        <v>52</v>
      </c>
      <c r="D6977" s="226">
        <v>-231924.48000000001</v>
      </c>
      <c r="E6977" t="s">
        <v>698</v>
      </c>
    </row>
    <row r="6978" spans="1:5" hidden="1" x14ac:dyDescent="0.3">
      <c r="A6978" t="s">
        <v>552</v>
      </c>
      <c r="B6978" t="s">
        <v>697</v>
      </c>
      <c r="C6978" t="s">
        <v>53</v>
      </c>
      <c r="D6978" s="226">
        <v>-117702.28</v>
      </c>
      <c r="E6978" t="s">
        <v>698</v>
      </c>
    </row>
    <row r="6979" spans="1:5" hidden="1" x14ac:dyDescent="0.3">
      <c r="A6979" t="s">
        <v>552</v>
      </c>
      <c r="B6979" t="s">
        <v>697</v>
      </c>
      <c r="C6979" t="s">
        <v>54</v>
      </c>
      <c r="D6979" s="226">
        <v>-2059.2600000000002</v>
      </c>
      <c r="E6979" t="s">
        <v>698</v>
      </c>
    </row>
    <row r="6980" spans="1:5" hidden="1" x14ac:dyDescent="0.3">
      <c r="A6980" t="s">
        <v>552</v>
      </c>
      <c r="B6980" t="s">
        <v>697</v>
      </c>
      <c r="C6980" t="s">
        <v>23</v>
      </c>
      <c r="D6980" s="226">
        <v>0</v>
      </c>
      <c r="E6980" t="s">
        <v>698</v>
      </c>
    </row>
    <row r="6981" spans="1:5" hidden="1" x14ac:dyDescent="0.3">
      <c r="A6981" t="s">
        <v>552</v>
      </c>
      <c r="B6981" t="s">
        <v>697</v>
      </c>
      <c r="C6981" t="s">
        <v>44</v>
      </c>
      <c r="D6981" s="226">
        <v>-0.28000000000000003</v>
      </c>
      <c r="E6981" t="s">
        <v>698</v>
      </c>
    </row>
    <row r="6982" spans="1:5" hidden="1" x14ac:dyDescent="0.3">
      <c r="A6982" t="s">
        <v>552</v>
      </c>
      <c r="B6982" t="s">
        <v>697</v>
      </c>
      <c r="C6982" t="s">
        <v>55</v>
      </c>
      <c r="D6982" s="226">
        <v>-0.28000000000000003</v>
      </c>
      <c r="E6982" t="s">
        <v>698</v>
      </c>
    </row>
    <row r="6983" spans="1:5" hidden="1" x14ac:dyDescent="0.3">
      <c r="A6983" t="s">
        <v>552</v>
      </c>
      <c r="B6983" t="s">
        <v>697</v>
      </c>
      <c r="C6983" t="s">
        <v>56</v>
      </c>
      <c r="D6983" s="226">
        <v>-700</v>
      </c>
      <c r="E6983" t="s">
        <v>698</v>
      </c>
    </row>
    <row r="6984" spans="1:5" hidden="1" x14ac:dyDescent="0.3">
      <c r="A6984" t="s">
        <v>552</v>
      </c>
      <c r="B6984" t="s">
        <v>697</v>
      </c>
      <c r="C6984" t="s">
        <v>57</v>
      </c>
      <c r="D6984" s="226">
        <v>0</v>
      </c>
      <c r="E6984" t="s">
        <v>698</v>
      </c>
    </row>
    <row r="6985" spans="1:5" hidden="1" x14ac:dyDescent="0.3">
      <c r="A6985" t="s">
        <v>552</v>
      </c>
      <c r="B6985" t="s">
        <v>697</v>
      </c>
      <c r="C6985" t="s">
        <v>58</v>
      </c>
      <c r="D6985" s="226">
        <v>0</v>
      </c>
      <c r="E6985" t="s">
        <v>698</v>
      </c>
    </row>
    <row r="6986" spans="1:5" hidden="1" x14ac:dyDescent="0.3">
      <c r="A6986" t="s">
        <v>552</v>
      </c>
      <c r="B6986" t="s">
        <v>697</v>
      </c>
      <c r="C6986" t="s">
        <v>59</v>
      </c>
      <c r="D6986" s="226">
        <v>0</v>
      </c>
      <c r="E6986" t="s">
        <v>698</v>
      </c>
    </row>
    <row r="6987" spans="1:5" hidden="1" x14ac:dyDescent="0.3">
      <c r="A6987" t="s">
        <v>552</v>
      </c>
      <c r="B6987" t="s">
        <v>697</v>
      </c>
      <c r="C6987" t="s">
        <v>61</v>
      </c>
      <c r="D6987" s="226">
        <v>0</v>
      </c>
      <c r="E6987" t="s">
        <v>698</v>
      </c>
    </row>
    <row r="6988" spans="1:5" hidden="1" x14ac:dyDescent="0.3">
      <c r="A6988" t="s">
        <v>552</v>
      </c>
      <c r="B6988" t="s">
        <v>697</v>
      </c>
      <c r="C6988" t="s">
        <v>62</v>
      </c>
      <c r="D6988" s="226">
        <v>0</v>
      </c>
      <c r="E6988" t="s">
        <v>698</v>
      </c>
    </row>
    <row r="6989" spans="1:5" hidden="1" x14ac:dyDescent="0.3">
      <c r="A6989" t="s">
        <v>552</v>
      </c>
      <c r="B6989" t="s">
        <v>697</v>
      </c>
      <c r="C6989" t="s">
        <v>64</v>
      </c>
      <c r="D6989" s="226">
        <v>0</v>
      </c>
      <c r="E6989" t="s">
        <v>698</v>
      </c>
    </row>
    <row r="6990" spans="1:5" hidden="1" x14ac:dyDescent="0.3">
      <c r="A6990" t="s">
        <v>552</v>
      </c>
      <c r="B6990" t="s">
        <v>697</v>
      </c>
      <c r="C6990" t="s">
        <v>65</v>
      </c>
      <c r="D6990" s="226">
        <v>-700</v>
      </c>
      <c r="E6990" t="s">
        <v>698</v>
      </c>
    </row>
    <row r="6991" spans="1:5" hidden="1" x14ac:dyDescent="0.3">
      <c r="A6991" t="s">
        <v>552</v>
      </c>
      <c r="B6991" t="s">
        <v>697</v>
      </c>
      <c r="C6991" t="s">
        <v>66</v>
      </c>
      <c r="D6991" s="226">
        <v>-700</v>
      </c>
      <c r="E6991" t="s">
        <v>698</v>
      </c>
    </row>
    <row r="6992" spans="1:5" hidden="1" x14ac:dyDescent="0.3">
      <c r="A6992" t="s">
        <v>552</v>
      </c>
      <c r="B6992" t="s">
        <v>697</v>
      </c>
      <c r="C6992" t="s">
        <v>68</v>
      </c>
      <c r="D6992" s="226">
        <v>0</v>
      </c>
      <c r="E6992" t="s">
        <v>698</v>
      </c>
    </row>
    <row r="6993" spans="1:5" hidden="1" x14ac:dyDescent="0.3">
      <c r="A6993" t="s">
        <v>552</v>
      </c>
      <c r="B6993" t="s">
        <v>697</v>
      </c>
      <c r="C6993" t="s">
        <v>69</v>
      </c>
      <c r="D6993" s="226">
        <v>0</v>
      </c>
      <c r="E6993" t="s">
        <v>698</v>
      </c>
    </row>
    <row r="6994" spans="1:5" hidden="1" x14ac:dyDescent="0.3">
      <c r="A6994" t="s">
        <v>552</v>
      </c>
      <c r="B6994" t="s">
        <v>697</v>
      </c>
      <c r="C6994" t="s">
        <v>70</v>
      </c>
      <c r="D6994" s="226">
        <v>0</v>
      </c>
      <c r="E6994" t="s">
        <v>698</v>
      </c>
    </row>
    <row r="6995" spans="1:5" hidden="1" x14ac:dyDescent="0.3">
      <c r="A6995" t="s">
        <v>552</v>
      </c>
      <c r="B6995" t="s">
        <v>697</v>
      </c>
      <c r="C6995" t="s">
        <v>44</v>
      </c>
      <c r="D6995" s="226">
        <v>0</v>
      </c>
      <c r="E6995" t="s">
        <v>698</v>
      </c>
    </row>
    <row r="6996" spans="1:5" hidden="1" x14ac:dyDescent="0.3">
      <c r="A6996" t="s">
        <v>552</v>
      </c>
      <c r="B6996" t="s">
        <v>697</v>
      </c>
      <c r="C6996" t="s">
        <v>71</v>
      </c>
      <c r="D6996" s="226">
        <v>-2327.7199999999998</v>
      </c>
      <c r="E6996" t="s">
        <v>698</v>
      </c>
    </row>
    <row r="6997" spans="1:5" hidden="1" x14ac:dyDescent="0.3">
      <c r="A6997" t="s">
        <v>552</v>
      </c>
      <c r="B6997" t="s">
        <v>697</v>
      </c>
      <c r="C6997" t="s">
        <v>72</v>
      </c>
      <c r="D6997" s="226">
        <v>-2327.7199999999998</v>
      </c>
      <c r="E6997" t="s">
        <v>698</v>
      </c>
    </row>
    <row r="6998" spans="1:5" hidden="1" x14ac:dyDescent="0.3">
      <c r="A6998" t="s">
        <v>552</v>
      </c>
      <c r="B6998" t="s">
        <v>697</v>
      </c>
      <c r="C6998" t="s">
        <v>73</v>
      </c>
      <c r="D6998" s="226">
        <v>-2240.84</v>
      </c>
      <c r="E6998" t="s">
        <v>698</v>
      </c>
    </row>
    <row r="6999" spans="1:5" hidden="1" x14ac:dyDescent="0.3">
      <c r="A6999" t="s">
        <v>552</v>
      </c>
      <c r="B6999" t="s">
        <v>697</v>
      </c>
      <c r="C6999" t="s">
        <v>75</v>
      </c>
      <c r="D6999" s="226">
        <v>-86.88</v>
      </c>
      <c r="E6999" t="s">
        <v>698</v>
      </c>
    </row>
    <row r="7000" spans="1:5" hidden="1" x14ac:dyDescent="0.3">
      <c r="A7000" t="s">
        <v>552</v>
      </c>
      <c r="B7000" t="s">
        <v>697</v>
      </c>
      <c r="C7000" t="s">
        <v>77</v>
      </c>
      <c r="D7000" s="226">
        <v>0</v>
      </c>
      <c r="E7000" t="s">
        <v>698</v>
      </c>
    </row>
    <row r="7001" spans="1:5" hidden="1" x14ac:dyDescent="0.3">
      <c r="A7001" t="s">
        <v>552</v>
      </c>
      <c r="B7001" t="s">
        <v>697</v>
      </c>
      <c r="C7001" t="s">
        <v>78</v>
      </c>
      <c r="D7001" s="226">
        <v>0</v>
      </c>
      <c r="E7001" t="s">
        <v>698</v>
      </c>
    </row>
    <row r="7002" spans="1:5" hidden="1" x14ac:dyDescent="0.3">
      <c r="A7002" t="s">
        <v>552</v>
      </c>
      <c r="B7002" t="s">
        <v>697</v>
      </c>
      <c r="C7002" t="s">
        <v>80</v>
      </c>
      <c r="D7002" s="226">
        <v>0</v>
      </c>
      <c r="E7002" t="s">
        <v>698</v>
      </c>
    </row>
    <row r="7003" spans="1:5" hidden="1" x14ac:dyDescent="0.3">
      <c r="A7003" t="s">
        <v>552</v>
      </c>
      <c r="B7003" t="s">
        <v>697</v>
      </c>
      <c r="C7003" t="s">
        <v>82</v>
      </c>
      <c r="D7003" s="226">
        <v>0</v>
      </c>
      <c r="E7003" t="s">
        <v>698</v>
      </c>
    </row>
    <row r="7004" spans="1:5" hidden="1" x14ac:dyDescent="0.3">
      <c r="A7004" t="s">
        <v>552</v>
      </c>
      <c r="B7004" t="s">
        <v>697</v>
      </c>
      <c r="C7004" t="s">
        <v>84</v>
      </c>
      <c r="D7004" s="226">
        <v>0</v>
      </c>
      <c r="E7004" t="s">
        <v>698</v>
      </c>
    </row>
    <row r="7005" spans="1:5" hidden="1" x14ac:dyDescent="0.3">
      <c r="A7005" t="s">
        <v>552</v>
      </c>
      <c r="B7005" t="s">
        <v>697</v>
      </c>
      <c r="C7005" t="s">
        <v>85</v>
      </c>
      <c r="D7005" s="226">
        <v>0</v>
      </c>
      <c r="E7005" t="s">
        <v>698</v>
      </c>
    </row>
    <row r="7006" spans="1:5" hidden="1" x14ac:dyDescent="0.3">
      <c r="A7006" t="s">
        <v>552</v>
      </c>
      <c r="B7006" t="s">
        <v>697</v>
      </c>
      <c r="C7006" t="s">
        <v>86</v>
      </c>
      <c r="D7006" s="226">
        <v>0</v>
      </c>
      <c r="E7006" t="s">
        <v>698</v>
      </c>
    </row>
    <row r="7007" spans="1:5" hidden="1" x14ac:dyDescent="0.3">
      <c r="A7007" t="s">
        <v>552</v>
      </c>
      <c r="B7007" t="s">
        <v>697</v>
      </c>
      <c r="C7007" t="s">
        <v>87</v>
      </c>
      <c r="D7007" s="226">
        <v>0</v>
      </c>
      <c r="E7007" t="s">
        <v>698</v>
      </c>
    </row>
    <row r="7008" spans="1:5" hidden="1" x14ac:dyDescent="0.3">
      <c r="A7008" t="s">
        <v>552</v>
      </c>
      <c r="B7008" t="s">
        <v>697</v>
      </c>
      <c r="C7008" t="s">
        <v>88</v>
      </c>
      <c r="D7008" s="226">
        <v>0</v>
      </c>
      <c r="E7008" t="s">
        <v>698</v>
      </c>
    </row>
    <row r="7009" spans="1:5" hidden="1" x14ac:dyDescent="0.3">
      <c r="A7009" t="s">
        <v>552</v>
      </c>
      <c r="B7009" t="s">
        <v>697</v>
      </c>
      <c r="C7009" t="s">
        <v>89</v>
      </c>
      <c r="D7009" s="226">
        <v>0</v>
      </c>
      <c r="E7009" t="s">
        <v>698</v>
      </c>
    </row>
    <row r="7010" spans="1:5" hidden="1" x14ac:dyDescent="0.3">
      <c r="A7010" t="s">
        <v>552</v>
      </c>
      <c r="B7010" t="s">
        <v>697</v>
      </c>
      <c r="C7010" t="s">
        <v>90</v>
      </c>
      <c r="D7010" s="226">
        <v>0</v>
      </c>
      <c r="E7010" t="s">
        <v>698</v>
      </c>
    </row>
    <row r="7011" spans="1:5" hidden="1" x14ac:dyDescent="0.3">
      <c r="A7011" t="s">
        <v>552</v>
      </c>
      <c r="B7011" t="s">
        <v>697</v>
      </c>
      <c r="C7011" t="s">
        <v>91</v>
      </c>
      <c r="D7011" s="226">
        <v>0</v>
      </c>
      <c r="E7011" t="s">
        <v>698</v>
      </c>
    </row>
    <row r="7012" spans="1:5" hidden="1" x14ac:dyDescent="0.3">
      <c r="A7012" t="s">
        <v>552</v>
      </c>
      <c r="B7012" t="s">
        <v>697</v>
      </c>
      <c r="C7012" t="s">
        <v>93</v>
      </c>
      <c r="D7012" s="226">
        <v>0</v>
      </c>
      <c r="E7012" t="s">
        <v>698</v>
      </c>
    </row>
    <row r="7013" spans="1:5" hidden="1" x14ac:dyDescent="0.3">
      <c r="A7013" t="s">
        <v>552</v>
      </c>
      <c r="B7013" t="s">
        <v>697</v>
      </c>
      <c r="C7013" t="s">
        <v>95</v>
      </c>
      <c r="D7013" s="226">
        <v>0</v>
      </c>
      <c r="E7013" t="s">
        <v>698</v>
      </c>
    </row>
    <row r="7014" spans="1:5" hidden="1" x14ac:dyDescent="0.3">
      <c r="A7014" t="s">
        <v>552</v>
      </c>
      <c r="B7014" t="s">
        <v>697</v>
      </c>
      <c r="C7014" t="s">
        <v>96</v>
      </c>
      <c r="D7014" s="226">
        <v>0</v>
      </c>
      <c r="E7014" t="s">
        <v>698</v>
      </c>
    </row>
    <row r="7015" spans="1:5" hidden="1" x14ac:dyDescent="0.3">
      <c r="A7015" t="s">
        <v>552</v>
      </c>
      <c r="B7015" t="s">
        <v>697</v>
      </c>
      <c r="C7015" t="s">
        <v>98</v>
      </c>
      <c r="D7015" s="226">
        <v>0</v>
      </c>
      <c r="E7015" t="s">
        <v>698</v>
      </c>
    </row>
    <row r="7016" spans="1:5" hidden="1" x14ac:dyDescent="0.3">
      <c r="A7016" t="s">
        <v>552</v>
      </c>
      <c r="B7016" t="s">
        <v>697</v>
      </c>
      <c r="C7016" t="s">
        <v>100</v>
      </c>
      <c r="D7016" s="226">
        <v>0</v>
      </c>
      <c r="E7016" t="s">
        <v>698</v>
      </c>
    </row>
    <row r="7017" spans="1:5" hidden="1" x14ac:dyDescent="0.3">
      <c r="A7017" t="s">
        <v>552</v>
      </c>
      <c r="B7017" t="s">
        <v>697</v>
      </c>
      <c r="C7017" t="s">
        <v>101</v>
      </c>
      <c r="D7017" s="226">
        <v>0</v>
      </c>
      <c r="E7017" t="s">
        <v>698</v>
      </c>
    </row>
    <row r="7018" spans="1:5" hidden="1" x14ac:dyDescent="0.3">
      <c r="A7018" t="s">
        <v>552</v>
      </c>
      <c r="B7018" t="s">
        <v>697</v>
      </c>
      <c r="C7018" t="s">
        <v>102</v>
      </c>
      <c r="D7018" s="226">
        <v>0</v>
      </c>
      <c r="E7018" t="s">
        <v>698</v>
      </c>
    </row>
    <row r="7019" spans="1:5" hidden="1" x14ac:dyDescent="0.3">
      <c r="A7019" t="s">
        <v>552</v>
      </c>
      <c r="B7019" t="s">
        <v>697</v>
      </c>
      <c r="C7019" t="s">
        <v>103</v>
      </c>
      <c r="D7019" s="226">
        <v>0</v>
      </c>
      <c r="E7019" t="s">
        <v>698</v>
      </c>
    </row>
    <row r="7020" spans="1:5" hidden="1" x14ac:dyDescent="0.3">
      <c r="A7020" t="s">
        <v>552</v>
      </c>
      <c r="B7020" t="s">
        <v>697</v>
      </c>
      <c r="C7020" t="s">
        <v>104</v>
      </c>
      <c r="D7020" s="226">
        <v>0</v>
      </c>
      <c r="E7020" t="s">
        <v>698</v>
      </c>
    </row>
    <row r="7021" spans="1:5" hidden="1" x14ac:dyDescent="0.3">
      <c r="A7021" t="s">
        <v>552</v>
      </c>
      <c r="B7021" t="s">
        <v>697</v>
      </c>
      <c r="C7021" t="s">
        <v>105</v>
      </c>
      <c r="D7021" s="226">
        <v>0</v>
      </c>
      <c r="E7021" t="s">
        <v>698</v>
      </c>
    </row>
    <row r="7022" spans="1:5" hidden="1" x14ac:dyDescent="0.3">
      <c r="A7022" t="s">
        <v>552</v>
      </c>
      <c r="B7022" t="s">
        <v>697</v>
      </c>
      <c r="C7022" t="s">
        <v>107</v>
      </c>
      <c r="D7022" s="226">
        <v>0</v>
      </c>
      <c r="E7022" t="s">
        <v>698</v>
      </c>
    </row>
    <row r="7023" spans="1:5" hidden="1" x14ac:dyDescent="0.3">
      <c r="A7023" t="s">
        <v>552</v>
      </c>
      <c r="B7023" t="s">
        <v>697</v>
      </c>
      <c r="C7023" t="s">
        <v>108</v>
      </c>
      <c r="D7023" s="226">
        <v>0</v>
      </c>
      <c r="E7023" t="s">
        <v>698</v>
      </c>
    </row>
    <row r="7024" spans="1:5" hidden="1" x14ac:dyDescent="0.3">
      <c r="A7024" t="s">
        <v>552</v>
      </c>
      <c r="B7024" t="s">
        <v>697</v>
      </c>
      <c r="C7024" t="s">
        <v>109</v>
      </c>
      <c r="D7024" s="226">
        <v>0</v>
      </c>
      <c r="E7024" t="s">
        <v>698</v>
      </c>
    </row>
    <row r="7025" spans="1:5" hidden="1" x14ac:dyDescent="0.3">
      <c r="A7025" t="s">
        <v>552</v>
      </c>
      <c r="B7025" t="s">
        <v>697</v>
      </c>
      <c r="C7025" t="s">
        <v>110</v>
      </c>
      <c r="D7025" s="226">
        <v>-0.38</v>
      </c>
      <c r="E7025" t="s">
        <v>698</v>
      </c>
    </row>
    <row r="7026" spans="1:5" hidden="1" x14ac:dyDescent="0.3">
      <c r="A7026" t="s">
        <v>552</v>
      </c>
      <c r="B7026" t="s">
        <v>697</v>
      </c>
      <c r="C7026" t="s">
        <v>44</v>
      </c>
      <c r="D7026" s="226">
        <v>0</v>
      </c>
      <c r="E7026" t="s">
        <v>698</v>
      </c>
    </row>
    <row r="7027" spans="1:5" hidden="1" x14ac:dyDescent="0.3">
      <c r="A7027" t="s">
        <v>552</v>
      </c>
      <c r="B7027" t="s">
        <v>697</v>
      </c>
      <c r="C7027" t="s">
        <v>111</v>
      </c>
      <c r="D7027" s="226">
        <v>-100550</v>
      </c>
      <c r="E7027" t="s">
        <v>698</v>
      </c>
    </row>
    <row r="7028" spans="1:5" hidden="1" x14ac:dyDescent="0.3">
      <c r="A7028" t="s">
        <v>552</v>
      </c>
      <c r="B7028" t="s">
        <v>697</v>
      </c>
      <c r="C7028" t="s">
        <v>555</v>
      </c>
      <c r="D7028" s="226">
        <v>-100550</v>
      </c>
      <c r="E7028" t="s">
        <v>698</v>
      </c>
    </row>
    <row r="7029" spans="1:5" hidden="1" x14ac:dyDescent="0.3">
      <c r="A7029" t="s">
        <v>552</v>
      </c>
      <c r="B7029" t="s">
        <v>697</v>
      </c>
      <c r="C7029" t="s">
        <v>44</v>
      </c>
      <c r="D7029" s="226">
        <v>-7.0000000000000007E-2</v>
      </c>
      <c r="E7029" t="s">
        <v>698</v>
      </c>
    </row>
    <row r="7030" spans="1:5" hidden="1" x14ac:dyDescent="0.3">
      <c r="A7030" t="s">
        <v>552</v>
      </c>
      <c r="B7030" t="s">
        <v>697</v>
      </c>
      <c r="C7030" t="s">
        <v>115</v>
      </c>
      <c r="D7030" s="226">
        <v>-25932.34</v>
      </c>
      <c r="E7030" t="s">
        <v>698</v>
      </c>
    </row>
    <row r="7031" spans="1:5" hidden="1" x14ac:dyDescent="0.3">
      <c r="A7031" t="s">
        <v>552</v>
      </c>
      <c r="B7031" t="s">
        <v>697</v>
      </c>
      <c r="C7031" t="s">
        <v>116</v>
      </c>
      <c r="D7031" s="226">
        <v>-19991.45</v>
      </c>
      <c r="E7031" t="s">
        <v>698</v>
      </c>
    </row>
    <row r="7032" spans="1:5" hidden="1" x14ac:dyDescent="0.3">
      <c r="A7032" t="s">
        <v>552</v>
      </c>
      <c r="B7032" t="s">
        <v>697</v>
      </c>
      <c r="C7032" t="s">
        <v>118</v>
      </c>
      <c r="D7032" s="226">
        <v>-5940.89</v>
      </c>
      <c r="E7032" t="s">
        <v>698</v>
      </c>
    </row>
    <row r="7033" spans="1:5" hidden="1" x14ac:dyDescent="0.3">
      <c r="A7033" t="s">
        <v>552</v>
      </c>
      <c r="B7033" t="s">
        <v>697</v>
      </c>
      <c r="C7033" t="s">
        <v>120</v>
      </c>
      <c r="D7033" s="226">
        <v>0</v>
      </c>
      <c r="E7033" t="s">
        <v>698</v>
      </c>
    </row>
    <row r="7034" spans="1:5" hidden="1" x14ac:dyDescent="0.3">
      <c r="A7034" t="s">
        <v>552</v>
      </c>
      <c r="B7034" t="s">
        <v>697</v>
      </c>
      <c r="C7034" t="s">
        <v>122</v>
      </c>
      <c r="D7034" s="226">
        <v>0</v>
      </c>
      <c r="E7034" t="s">
        <v>698</v>
      </c>
    </row>
    <row r="7035" spans="1:5" hidden="1" x14ac:dyDescent="0.3">
      <c r="A7035" t="s">
        <v>552</v>
      </c>
      <c r="B7035" t="s">
        <v>697</v>
      </c>
      <c r="C7035" t="s">
        <v>44</v>
      </c>
      <c r="D7035" s="226">
        <v>-0.02</v>
      </c>
      <c r="E7035" t="s">
        <v>698</v>
      </c>
    </row>
    <row r="7036" spans="1:5" hidden="1" x14ac:dyDescent="0.3">
      <c r="A7036" t="s">
        <v>552</v>
      </c>
      <c r="B7036" t="s">
        <v>697</v>
      </c>
      <c r="C7036" t="s">
        <v>125</v>
      </c>
      <c r="D7036" s="226">
        <v>796694.43</v>
      </c>
      <c r="E7036" t="s">
        <v>698</v>
      </c>
    </row>
    <row r="7037" spans="1:5" hidden="1" x14ac:dyDescent="0.3">
      <c r="A7037" t="s">
        <v>552</v>
      </c>
      <c r="B7037" t="s">
        <v>697</v>
      </c>
      <c r="C7037" t="s">
        <v>126</v>
      </c>
      <c r="D7037" s="226">
        <v>0.56999999999999995</v>
      </c>
      <c r="E7037" t="s">
        <v>698</v>
      </c>
    </row>
    <row r="7038" spans="1:5" hidden="1" x14ac:dyDescent="0.3">
      <c r="A7038" t="s">
        <v>552</v>
      </c>
      <c r="B7038" t="s">
        <v>697</v>
      </c>
      <c r="C7038" t="s">
        <v>127</v>
      </c>
      <c r="D7038" s="226">
        <v>-304307.09000000003</v>
      </c>
      <c r="E7038" t="s">
        <v>698</v>
      </c>
    </row>
    <row r="7039" spans="1:5" hidden="1" x14ac:dyDescent="0.3">
      <c r="A7039" t="s">
        <v>552</v>
      </c>
      <c r="B7039" t="s">
        <v>697</v>
      </c>
      <c r="C7039" t="s">
        <v>128</v>
      </c>
      <c r="D7039" s="226">
        <v>-46116</v>
      </c>
      <c r="E7039" t="s">
        <v>698</v>
      </c>
    </row>
    <row r="7040" spans="1:5" hidden="1" x14ac:dyDescent="0.3">
      <c r="A7040" t="s">
        <v>552</v>
      </c>
      <c r="B7040" t="s">
        <v>697</v>
      </c>
      <c r="C7040" t="s">
        <v>556</v>
      </c>
      <c r="D7040" s="226">
        <v>-11416</v>
      </c>
      <c r="E7040" t="s">
        <v>698</v>
      </c>
    </row>
    <row r="7041" spans="1:5" hidden="1" x14ac:dyDescent="0.3">
      <c r="A7041" t="s">
        <v>552</v>
      </c>
      <c r="B7041" t="s">
        <v>697</v>
      </c>
      <c r="C7041" t="s">
        <v>557</v>
      </c>
      <c r="D7041" s="226">
        <v>-6600</v>
      </c>
      <c r="E7041" t="s">
        <v>698</v>
      </c>
    </row>
    <row r="7042" spans="1:5" hidden="1" x14ac:dyDescent="0.3">
      <c r="A7042" t="s">
        <v>552</v>
      </c>
      <c r="B7042" t="s">
        <v>697</v>
      </c>
      <c r="C7042" t="s">
        <v>558</v>
      </c>
      <c r="D7042" s="226">
        <v>0</v>
      </c>
      <c r="E7042" t="s">
        <v>698</v>
      </c>
    </row>
    <row r="7043" spans="1:5" hidden="1" x14ac:dyDescent="0.3">
      <c r="A7043" t="s">
        <v>552</v>
      </c>
      <c r="B7043" t="s">
        <v>697</v>
      </c>
      <c r="C7043" t="s">
        <v>559</v>
      </c>
      <c r="D7043" s="226">
        <v>-16800</v>
      </c>
      <c r="E7043" t="s">
        <v>698</v>
      </c>
    </row>
    <row r="7044" spans="1:5" hidden="1" x14ac:dyDescent="0.3">
      <c r="A7044" t="s">
        <v>552</v>
      </c>
      <c r="B7044" t="s">
        <v>697</v>
      </c>
      <c r="C7044" t="s">
        <v>560</v>
      </c>
      <c r="D7044" s="226">
        <v>-3100</v>
      </c>
      <c r="E7044" t="s">
        <v>698</v>
      </c>
    </row>
    <row r="7045" spans="1:5" hidden="1" x14ac:dyDescent="0.3">
      <c r="A7045" t="s">
        <v>552</v>
      </c>
      <c r="B7045" t="s">
        <v>697</v>
      </c>
      <c r="C7045" t="s">
        <v>561</v>
      </c>
      <c r="D7045" s="226">
        <v>-4200</v>
      </c>
      <c r="E7045" t="s">
        <v>698</v>
      </c>
    </row>
    <row r="7046" spans="1:5" hidden="1" x14ac:dyDescent="0.3">
      <c r="A7046" t="s">
        <v>552</v>
      </c>
      <c r="B7046" t="s">
        <v>697</v>
      </c>
      <c r="C7046" t="s">
        <v>562</v>
      </c>
      <c r="D7046" s="226">
        <v>-4000</v>
      </c>
      <c r="E7046" t="s">
        <v>698</v>
      </c>
    </row>
    <row r="7047" spans="1:5" hidden="1" x14ac:dyDescent="0.3">
      <c r="A7047" t="s">
        <v>552</v>
      </c>
      <c r="B7047" t="s">
        <v>697</v>
      </c>
      <c r="C7047" t="s">
        <v>563</v>
      </c>
      <c r="D7047" s="226">
        <v>0</v>
      </c>
      <c r="E7047" t="s">
        <v>698</v>
      </c>
    </row>
    <row r="7048" spans="1:5" hidden="1" x14ac:dyDescent="0.3">
      <c r="A7048" t="s">
        <v>552</v>
      </c>
      <c r="B7048" t="s">
        <v>697</v>
      </c>
      <c r="C7048" t="s">
        <v>564</v>
      </c>
      <c r="D7048" s="226">
        <v>0</v>
      </c>
      <c r="E7048" t="s">
        <v>698</v>
      </c>
    </row>
    <row r="7049" spans="1:5" hidden="1" x14ac:dyDescent="0.3">
      <c r="A7049" t="s">
        <v>552</v>
      </c>
      <c r="B7049" t="s">
        <v>697</v>
      </c>
      <c r="C7049" t="s">
        <v>565</v>
      </c>
      <c r="D7049" s="226">
        <v>0</v>
      </c>
      <c r="E7049" t="s">
        <v>698</v>
      </c>
    </row>
    <row r="7050" spans="1:5" hidden="1" x14ac:dyDescent="0.3">
      <c r="A7050" t="s">
        <v>552</v>
      </c>
      <c r="B7050" t="s">
        <v>697</v>
      </c>
      <c r="C7050" t="s">
        <v>566</v>
      </c>
      <c r="D7050" s="226">
        <v>0</v>
      </c>
      <c r="E7050" t="s">
        <v>698</v>
      </c>
    </row>
    <row r="7051" spans="1:5" hidden="1" x14ac:dyDescent="0.3">
      <c r="A7051" t="s">
        <v>552</v>
      </c>
      <c r="B7051" t="s">
        <v>697</v>
      </c>
      <c r="C7051" t="s">
        <v>567</v>
      </c>
      <c r="D7051" s="226">
        <v>0</v>
      </c>
      <c r="E7051" t="s">
        <v>698</v>
      </c>
    </row>
    <row r="7052" spans="1:5" hidden="1" x14ac:dyDescent="0.3">
      <c r="A7052" t="s">
        <v>552</v>
      </c>
      <c r="B7052" t="s">
        <v>697</v>
      </c>
      <c r="C7052" t="s">
        <v>141</v>
      </c>
      <c r="D7052" s="226">
        <v>-46857.74</v>
      </c>
      <c r="E7052" t="s">
        <v>698</v>
      </c>
    </row>
    <row r="7053" spans="1:5" hidden="1" x14ac:dyDescent="0.3">
      <c r="A7053" t="s">
        <v>552</v>
      </c>
      <c r="B7053" t="s">
        <v>697</v>
      </c>
      <c r="C7053" t="s">
        <v>568</v>
      </c>
      <c r="D7053" s="226">
        <v>0</v>
      </c>
      <c r="E7053" t="s">
        <v>698</v>
      </c>
    </row>
    <row r="7054" spans="1:5" hidden="1" x14ac:dyDescent="0.3">
      <c r="A7054" t="s">
        <v>552</v>
      </c>
      <c r="B7054" t="s">
        <v>697</v>
      </c>
      <c r="C7054" t="s">
        <v>569</v>
      </c>
      <c r="D7054" s="226">
        <v>0</v>
      </c>
      <c r="E7054" t="s">
        <v>698</v>
      </c>
    </row>
    <row r="7055" spans="1:5" hidden="1" x14ac:dyDescent="0.3">
      <c r="A7055" t="s">
        <v>552</v>
      </c>
      <c r="B7055" t="s">
        <v>697</v>
      </c>
      <c r="C7055" t="s">
        <v>570</v>
      </c>
      <c r="D7055" s="226">
        <v>0</v>
      </c>
      <c r="E7055" t="s">
        <v>698</v>
      </c>
    </row>
    <row r="7056" spans="1:5" hidden="1" x14ac:dyDescent="0.3">
      <c r="A7056" t="s">
        <v>552</v>
      </c>
      <c r="B7056" t="s">
        <v>697</v>
      </c>
      <c r="C7056" t="s">
        <v>571</v>
      </c>
      <c r="D7056" s="226">
        <v>0</v>
      </c>
      <c r="E7056" t="s">
        <v>698</v>
      </c>
    </row>
    <row r="7057" spans="1:5" hidden="1" x14ac:dyDescent="0.3">
      <c r="A7057" t="s">
        <v>552</v>
      </c>
      <c r="B7057" t="s">
        <v>697</v>
      </c>
      <c r="C7057" t="s">
        <v>572</v>
      </c>
      <c r="D7057" s="226">
        <v>0</v>
      </c>
      <c r="E7057" t="s">
        <v>698</v>
      </c>
    </row>
    <row r="7058" spans="1:5" hidden="1" x14ac:dyDescent="0.3">
      <c r="A7058" t="s">
        <v>552</v>
      </c>
      <c r="B7058" t="s">
        <v>697</v>
      </c>
      <c r="C7058" t="s">
        <v>573</v>
      </c>
      <c r="D7058" s="226">
        <v>0</v>
      </c>
      <c r="E7058" t="s">
        <v>698</v>
      </c>
    </row>
    <row r="7059" spans="1:5" hidden="1" x14ac:dyDescent="0.3">
      <c r="A7059" t="s">
        <v>552</v>
      </c>
      <c r="B7059" t="s">
        <v>697</v>
      </c>
      <c r="C7059" t="s">
        <v>574</v>
      </c>
      <c r="D7059" s="226">
        <v>0</v>
      </c>
      <c r="E7059" t="s">
        <v>698</v>
      </c>
    </row>
    <row r="7060" spans="1:5" hidden="1" x14ac:dyDescent="0.3">
      <c r="A7060" t="s">
        <v>552</v>
      </c>
      <c r="B7060" t="s">
        <v>697</v>
      </c>
      <c r="C7060" t="s">
        <v>575</v>
      </c>
      <c r="D7060" s="226">
        <v>0</v>
      </c>
      <c r="E7060" t="s">
        <v>698</v>
      </c>
    </row>
    <row r="7061" spans="1:5" hidden="1" x14ac:dyDescent="0.3">
      <c r="A7061" t="s">
        <v>552</v>
      </c>
      <c r="B7061" t="s">
        <v>697</v>
      </c>
      <c r="C7061" t="s">
        <v>576</v>
      </c>
      <c r="D7061" s="226">
        <v>0</v>
      </c>
      <c r="E7061" t="s">
        <v>698</v>
      </c>
    </row>
    <row r="7062" spans="1:5" hidden="1" x14ac:dyDescent="0.3">
      <c r="A7062" t="s">
        <v>552</v>
      </c>
      <c r="B7062" t="s">
        <v>697</v>
      </c>
      <c r="C7062" t="s">
        <v>577</v>
      </c>
      <c r="D7062" s="226">
        <v>0</v>
      </c>
      <c r="E7062" t="s">
        <v>698</v>
      </c>
    </row>
    <row r="7063" spans="1:5" hidden="1" x14ac:dyDescent="0.3">
      <c r="A7063" t="s">
        <v>552</v>
      </c>
      <c r="B7063" t="s">
        <v>697</v>
      </c>
      <c r="C7063" t="s">
        <v>578</v>
      </c>
      <c r="D7063" s="226">
        <v>0</v>
      </c>
      <c r="E7063" t="s">
        <v>698</v>
      </c>
    </row>
    <row r="7064" spans="1:5" hidden="1" x14ac:dyDescent="0.3">
      <c r="A7064" t="s">
        <v>552</v>
      </c>
      <c r="B7064" t="s">
        <v>697</v>
      </c>
      <c r="C7064" t="s">
        <v>579</v>
      </c>
      <c r="D7064" s="226">
        <v>0</v>
      </c>
      <c r="E7064" t="s">
        <v>698</v>
      </c>
    </row>
    <row r="7065" spans="1:5" hidden="1" x14ac:dyDescent="0.3">
      <c r="A7065" t="s">
        <v>552</v>
      </c>
      <c r="B7065" t="s">
        <v>697</v>
      </c>
      <c r="C7065" t="s">
        <v>580</v>
      </c>
      <c r="D7065" s="226">
        <v>0</v>
      </c>
      <c r="E7065" t="s">
        <v>698</v>
      </c>
    </row>
    <row r="7066" spans="1:5" hidden="1" x14ac:dyDescent="0.3">
      <c r="A7066" t="s">
        <v>552</v>
      </c>
      <c r="B7066" t="s">
        <v>697</v>
      </c>
      <c r="C7066" t="s">
        <v>581</v>
      </c>
      <c r="D7066" s="226">
        <v>0</v>
      </c>
      <c r="E7066" t="s">
        <v>698</v>
      </c>
    </row>
    <row r="7067" spans="1:5" hidden="1" x14ac:dyDescent="0.3">
      <c r="A7067" t="s">
        <v>552</v>
      </c>
      <c r="B7067" t="s">
        <v>697</v>
      </c>
      <c r="C7067" t="s">
        <v>582</v>
      </c>
      <c r="D7067" s="226">
        <v>0</v>
      </c>
      <c r="E7067" t="s">
        <v>698</v>
      </c>
    </row>
    <row r="7068" spans="1:5" hidden="1" x14ac:dyDescent="0.3">
      <c r="A7068" t="s">
        <v>552</v>
      </c>
      <c r="B7068" t="s">
        <v>697</v>
      </c>
      <c r="C7068" t="s">
        <v>583</v>
      </c>
      <c r="D7068" s="226">
        <v>0</v>
      </c>
      <c r="E7068" t="s">
        <v>698</v>
      </c>
    </row>
    <row r="7069" spans="1:5" hidden="1" x14ac:dyDescent="0.3">
      <c r="A7069" t="s">
        <v>552</v>
      </c>
      <c r="B7069" t="s">
        <v>697</v>
      </c>
      <c r="C7069" t="s">
        <v>584</v>
      </c>
      <c r="D7069" s="226">
        <v>0</v>
      </c>
      <c r="E7069" t="s">
        <v>698</v>
      </c>
    </row>
    <row r="7070" spans="1:5" hidden="1" x14ac:dyDescent="0.3">
      <c r="A7070" t="s">
        <v>552</v>
      </c>
      <c r="B7070" t="s">
        <v>697</v>
      </c>
      <c r="C7070" t="s">
        <v>585</v>
      </c>
      <c r="D7070" s="226">
        <v>0</v>
      </c>
      <c r="E7070" t="s">
        <v>698</v>
      </c>
    </row>
    <row r="7071" spans="1:5" hidden="1" x14ac:dyDescent="0.3">
      <c r="A7071" t="s">
        <v>552</v>
      </c>
      <c r="B7071" t="s">
        <v>697</v>
      </c>
      <c r="C7071" t="s">
        <v>586</v>
      </c>
      <c r="D7071" s="226">
        <v>0</v>
      </c>
      <c r="E7071" t="s">
        <v>698</v>
      </c>
    </row>
    <row r="7072" spans="1:5" hidden="1" x14ac:dyDescent="0.3">
      <c r="A7072" t="s">
        <v>552</v>
      </c>
      <c r="B7072" t="s">
        <v>697</v>
      </c>
      <c r="C7072" t="s">
        <v>587</v>
      </c>
      <c r="D7072" s="226">
        <v>0</v>
      </c>
      <c r="E7072" t="s">
        <v>698</v>
      </c>
    </row>
    <row r="7073" spans="1:5" hidden="1" x14ac:dyDescent="0.3">
      <c r="A7073" t="s">
        <v>552</v>
      </c>
      <c r="B7073" t="s">
        <v>697</v>
      </c>
      <c r="C7073" t="s">
        <v>588</v>
      </c>
      <c r="D7073" s="226">
        <v>0</v>
      </c>
      <c r="E7073" t="s">
        <v>698</v>
      </c>
    </row>
    <row r="7074" spans="1:5" hidden="1" x14ac:dyDescent="0.3">
      <c r="A7074" t="s">
        <v>552</v>
      </c>
      <c r="B7074" t="s">
        <v>697</v>
      </c>
      <c r="C7074" t="s">
        <v>589</v>
      </c>
      <c r="D7074" s="226">
        <v>0</v>
      </c>
      <c r="E7074" t="s">
        <v>698</v>
      </c>
    </row>
    <row r="7075" spans="1:5" hidden="1" x14ac:dyDescent="0.3">
      <c r="A7075" t="s">
        <v>552</v>
      </c>
      <c r="B7075" t="s">
        <v>697</v>
      </c>
      <c r="C7075" t="s">
        <v>590</v>
      </c>
      <c r="D7075" s="226">
        <v>0</v>
      </c>
      <c r="E7075" t="s">
        <v>698</v>
      </c>
    </row>
    <row r="7076" spans="1:5" hidden="1" x14ac:dyDescent="0.3">
      <c r="A7076" t="s">
        <v>552</v>
      </c>
      <c r="B7076" t="s">
        <v>697</v>
      </c>
      <c r="C7076" t="s">
        <v>591</v>
      </c>
      <c r="D7076" s="226">
        <v>0</v>
      </c>
      <c r="E7076" t="s">
        <v>698</v>
      </c>
    </row>
    <row r="7077" spans="1:5" hidden="1" x14ac:dyDescent="0.3">
      <c r="A7077" t="s">
        <v>552</v>
      </c>
      <c r="B7077" t="s">
        <v>697</v>
      </c>
      <c r="C7077" t="s">
        <v>592</v>
      </c>
      <c r="D7077" s="226">
        <v>0</v>
      </c>
      <c r="E7077" t="s">
        <v>698</v>
      </c>
    </row>
    <row r="7078" spans="1:5" hidden="1" x14ac:dyDescent="0.3">
      <c r="A7078" t="s">
        <v>552</v>
      </c>
      <c r="B7078" t="s">
        <v>697</v>
      </c>
      <c r="C7078" t="s">
        <v>593</v>
      </c>
      <c r="D7078" s="226">
        <v>0</v>
      </c>
      <c r="E7078" t="s">
        <v>698</v>
      </c>
    </row>
    <row r="7079" spans="1:5" hidden="1" x14ac:dyDescent="0.3">
      <c r="A7079" t="s">
        <v>552</v>
      </c>
      <c r="B7079" t="s">
        <v>697</v>
      </c>
      <c r="C7079" t="s">
        <v>594</v>
      </c>
      <c r="D7079" s="226">
        <v>0</v>
      </c>
      <c r="E7079" t="s">
        <v>698</v>
      </c>
    </row>
    <row r="7080" spans="1:5" hidden="1" x14ac:dyDescent="0.3">
      <c r="A7080" t="s">
        <v>552</v>
      </c>
      <c r="B7080" t="s">
        <v>697</v>
      </c>
      <c r="C7080" t="s">
        <v>595</v>
      </c>
      <c r="D7080" s="226">
        <v>0</v>
      </c>
      <c r="E7080" t="s">
        <v>698</v>
      </c>
    </row>
    <row r="7081" spans="1:5" hidden="1" x14ac:dyDescent="0.3">
      <c r="A7081" t="s">
        <v>552</v>
      </c>
      <c r="B7081" t="s">
        <v>697</v>
      </c>
      <c r="C7081" t="s">
        <v>596</v>
      </c>
      <c r="D7081" s="226">
        <v>0</v>
      </c>
      <c r="E7081" t="s">
        <v>698</v>
      </c>
    </row>
    <row r="7082" spans="1:5" hidden="1" x14ac:dyDescent="0.3">
      <c r="A7082" t="s">
        <v>552</v>
      </c>
      <c r="B7082" t="s">
        <v>697</v>
      </c>
      <c r="C7082" t="s">
        <v>597</v>
      </c>
      <c r="D7082" s="226">
        <v>0</v>
      </c>
      <c r="E7082" t="s">
        <v>698</v>
      </c>
    </row>
    <row r="7083" spans="1:5" hidden="1" x14ac:dyDescent="0.3">
      <c r="A7083" t="s">
        <v>552</v>
      </c>
      <c r="B7083" t="s">
        <v>697</v>
      </c>
      <c r="C7083" t="s">
        <v>598</v>
      </c>
      <c r="D7083" s="226">
        <v>0</v>
      </c>
      <c r="E7083" t="s">
        <v>698</v>
      </c>
    </row>
    <row r="7084" spans="1:5" hidden="1" x14ac:dyDescent="0.3">
      <c r="A7084" t="s">
        <v>552</v>
      </c>
      <c r="B7084" t="s">
        <v>697</v>
      </c>
      <c r="C7084" t="s">
        <v>599</v>
      </c>
      <c r="D7084" s="226">
        <v>0</v>
      </c>
      <c r="E7084" t="s">
        <v>698</v>
      </c>
    </row>
    <row r="7085" spans="1:5" hidden="1" x14ac:dyDescent="0.3">
      <c r="A7085" t="s">
        <v>552</v>
      </c>
      <c r="B7085" t="s">
        <v>697</v>
      </c>
      <c r="C7085" t="s">
        <v>600</v>
      </c>
      <c r="D7085" s="226">
        <v>0</v>
      </c>
      <c r="E7085" t="s">
        <v>698</v>
      </c>
    </row>
    <row r="7086" spans="1:5" hidden="1" x14ac:dyDescent="0.3">
      <c r="A7086" t="s">
        <v>552</v>
      </c>
      <c r="B7086" t="s">
        <v>697</v>
      </c>
      <c r="C7086" t="s">
        <v>601</v>
      </c>
      <c r="D7086" s="226">
        <v>0</v>
      </c>
      <c r="E7086" t="s">
        <v>698</v>
      </c>
    </row>
    <row r="7087" spans="1:5" hidden="1" x14ac:dyDescent="0.3">
      <c r="A7087" t="s">
        <v>552</v>
      </c>
      <c r="B7087" t="s">
        <v>697</v>
      </c>
      <c r="C7087" t="s">
        <v>602</v>
      </c>
      <c r="D7087" s="226">
        <v>0</v>
      </c>
      <c r="E7087" t="s">
        <v>698</v>
      </c>
    </row>
    <row r="7088" spans="1:5" hidden="1" x14ac:dyDescent="0.3">
      <c r="A7088" t="s">
        <v>552</v>
      </c>
      <c r="B7088" t="s">
        <v>697</v>
      </c>
      <c r="C7088" t="s">
        <v>603</v>
      </c>
      <c r="D7088" s="226">
        <v>0</v>
      </c>
      <c r="E7088" t="s">
        <v>698</v>
      </c>
    </row>
    <row r="7089" spans="1:5" hidden="1" x14ac:dyDescent="0.3">
      <c r="A7089" t="s">
        <v>552</v>
      </c>
      <c r="B7089" t="s">
        <v>697</v>
      </c>
      <c r="C7089" t="s">
        <v>604</v>
      </c>
      <c r="D7089" s="226">
        <v>0</v>
      </c>
      <c r="E7089" t="s">
        <v>698</v>
      </c>
    </row>
    <row r="7090" spans="1:5" hidden="1" x14ac:dyDescent="0.3">
      <c r="A7090" t="s">
        <v>552</v>
      </c>
      <c r="B7090" t="s">
        <v>697</v>
      </c>
      <c r="C7090" t="s">
        <v>605</v>
      </c>
      <c r="D7090" s="226">
        <v>0</v>
      </c>
      <c r="E7090" t="s">
        <v>698</v>
      </c>
    </row>
    <row r="7091" spans="1:5" hidden="1" x14ac:dyDescent="0.3">
      <c r="A7091" t="s">
        <v>552</v>
      </c>
      <c r="B7091" t="s">
        <v>697</v>
      </c>
      <c r="C7091" t="s">
        <v>606</v>
      </c>
      <c r="D7091" s="226">
        <v>0</v>
      </c>
      <c r="E7091" t="s">
        <v>698</v>
      </c>
    </row>
    <row r="7092" spans="1:5" hidden="1" x14ac:dyDescent="0.3">
      <c r="A7092" t="s">
        <v>552</v>
      </c>
      <c r="B7092" t="s">
        <v>697</v>
      </c>
      <c r="C7092" t="s">
        <v>607</v>
      </c>
      <c r="D7092" s="226">
        <v>0</v>
      </c>
      <c r="E7092" t="s">
        <v>698</v>
      </c>
    </row>
    <row r="7093" spans="1:5" hidden="1" x14ac:dyDescent="0.3">
      <c r="A7093" t="s">
        <v>552</v>
      </c>
      <c r="B7093" t="s">
        <v>697</v>
      </c>
      <c r="C7093" t="s">
        <v>608</v>
      </c>
      <c r="D7093" s="226">
        <v>0</v>
      </c>
      <c r="E7093" t="s">
        <v>698</v>
      </c>
    </row>
    <row r="7094" spans="1:5" hidden="1" x14ac:dyDescent="0.3">
      <c r="A7094" t="s">
        <v>552</v>
      </c>
      <c r="B7094" t="s">
        <v>697</v>
      </c>
      <c r="C7094" t="s">
        <v>609</v>
      </c>
      <c r="D7094" s="226">
        <v>0</v>
      </c>
      <c r="E7094" t="s">
        <v>698</v>
      </c>
    </row>
    <row r="7095" spans="1:5" hidden="1" x14ac:dyDescent="0.3">
      <c r="A7095" t="s">
        <v>552</v>
      </c>
      <c r="B7095" t="s">
        <v>697</v>
      </c>
      <c r="C7095" t="s">
        <v>610</v>
      </c>
      <c r="D7095" s="226">
        <v>0</v>
      </c>
      <c r="E7095" t="s">
        <v>698</v>
      </c>
    </row>
    <row r="7096" spans="1:5" hidden="1" x14ac:dyDescent="0.3">
      <c r="A7096" t="s">
        <v>552</v>
      </c>
      <c r="B7096" t="s">
        <v>697</v>
      </c>
      <c r="C7096" t="s">
        <v>611</v>
      </c>
      <c r="D7096" s="226">
        <v>0</v>
      </c>
      <c r="E7096" t="s">
        <v>698</v>
      </c>
    </row>
    <row r="7097" spans="1:5" hidden="1" x14ac:dyDescent="0.3">
      <c r="A7097" t="s">
        <v>552</v>
      </c>
      <c r="B7097" t="s">
        <v>697</v>
      </c>
      <c r="C7097" t="s">
        <v>612</v>
      </c>
      <c r="D7097" s="226">
        <v>0</v>
      </c>
      <c r="E7097" t="s">
        <v>698</v>
      </c>
    </row>
    <row r="7098" spans="1:5" hidden="1" x14ac:dyDescent="0.3">
      <c r="A7098" t="s">
        <v>552</v>
      </c>
      <c r="B7098" t="s">
        <v>697</v>
      </c>
      <c r="C7098" t="s">
        <v>613</v>
      </c>
      <c r="D7098" s="226">
        <v>0</v>
      </c>
      <c r="E7098" t="s">
        <v>698</v>
      </c>
    </row>
    <row r="7099" spans="1:5" hidden="1" x14ac:dyDescent="0.3">
      <c r="A7099" t="s">
        <v>552</v>
      </c>
      <c r="B7099" t="s">
        <v>697</v>
      </c>
      <c r="C7099" t="s">
        <v>614</v>
      </c>
      <c r="D7099" s="226">
        <v>0</v>
      </c>
      <c r="E7099" t="s">
        <v>698</v>
      </c>
    </row>
    <row r="7100" spans="1:5" hidden="1" x14ac:dyDescent="0.3">
      <c r="A7100" t="s">
        <v>552</v>
      </c>
      <c r="B7100" t="s">
        <v>697</v>
      </c>
      <c r="C7100" t="s">
        <v>615</v>
      </c>
      <c r="D7100" s="226">
        <v>0</v>
      </c>
      <c r="E7100" t="s">
        <v>698</v>
      </c>
    </row>
    <row r="7101" spans="1:5" hidden="1" x14ac:dyDescent="0.3">
      <c r="A7101" t="s">
        <v>552</v>
      </c>
      <c r="B7101" t="s">
        <v>697</v>
      </c>
      <c r="C7101" t="s">
        <v>616</v>
      </c>
      <c r="D7101" s="226">
        <v>0</v>
      </c>
      <c r="E7101" t="s">
        <v>698</v>
      </c>
    </row>
    <row r="7102" spans="1:5" hidden="1" x14ac:dyDescent="0.3">
      <c r="A7102" t="s">
        <v>552</v>
      </c>
      <c r="B7102" t="s">
        <v>697</v>
      </c>
      <c r="C7102" t="s">
        <v>617</v>
      </c>
      <c r="D7102" s="226">
        <v>0</v>
      </c>
      <c r="E7102" t="s">
        <v>698</v>
      </c>
    </row>
    <row r="7103" spans="1:5" hidden="1" x14ac:dyDescent="0.3">
      <c r="A7103" t="s">
        <v>552</v>
      </c>
      <c r="B7103" t="s">
        <v>697</v>
      </c>
      <c r="C7103" t="s">
        <v>618</v>
      </c>
      <c r="D7103" s="226">
        <v>0</v>
      </c>
      <c r="E7103" t="s">
        <v>698</v>
      </c>
    </row>
    <row r="7104" spans="1:5" hidden="1" x14ac:dyDescent="0.3">
      <c r="A7104" t="s">
        <v>552</v>
      </c>
      <c r="B7104" t="s">
        <v>697</v>
      </c>
      <c r="C7104" t="s">
        <v>619</v>
      </c>
      <c r="D7104" s="226">
        <v>0</v>
      </c>
      <c r="E7104" t="s">
        <v>698</v>
      </c>
    </row>
    <row r="7105" spans="1:5" hidden="1" x14ac:dyDescent="0.3">
      <c r="A7105" t="s">
        <v>552</v>
      </c>
      <c r="B7105" t="s">
        <v>697</v>
      </c>
      <c r="C7105" t="s">
        <v>620</v>
      </c>
      <c r="D7105" s="226">
        <v>0</v>
      </c>
      <c r="E7105" t="s">
        <v>698</v>
      </c>
    </row>
    <row r="7106" spans="1:5" hidden="1" x14ac:dyDescent="0.3">
      <c r="A7106" t="s">
        <v>552</v>
      </c>
      <c r="B7106" t="s">
        <v>697</v>
      </c>
      <c r="C7106" t="s">
        <v>621</v>
      </c>
      <c r="D7106" s="226">
        <v>0</v>
      </c>
      <c r="E7106" t="s">
        <v>698</v>
      </c>
    </row>
    <row r="7107" spans="1:5" hidden="1" x14ac:dyDescent="0.3">
      <c r="A7107" t="s">
        <v>552</v>
      </c>
      <c r="B7107" t="s">
        <v>697</v>
      </c>
      <c r="C7107" t="s">
        <v>622</v>
      </c>
      <c r="D7107" s="226">
        <v>0</v>
      </c>
      <c r="E7107" t="s">
        <v>698</v>
      </c>
    </row>
    <row r="7108" spans="1:5" hidden="1" x14ac:dyDescent="0.3">
      <c r="A7108" t="s">
        <v>552</v>
      </c>
      <c r="B7108" t="s">
        <v>697</v>
      </c>
      <c r="C7108" t="s">
        <v>623</v>
      </c>
      <c r="D7108" s="226">
        <v>0</v>
      </c>
      <c r="E7108" t="s">
        <v>698</v>
      </c>
    </row>
    <row r="7109" spans="1:5" hidden="1" x14ac:dyDescent="0.3">
      <c r="A7109" t="s">
        <v>552</v>
      </c>
      <c r="B7109" t="s">
        <v>697</v>
      </c>
      <c r="C7109" t="s">
        <v>624</v>
      </c>
      <c r="D7109" s="226">
        <v>0</v>
      </c>
      <c r="E7109" t="s">
        <v>698</v>
      </c>
    </row>
    <row r="7110" spans="1:5" hidden="1" x14ac:dyDescent="0.3">
      <c r="A7110" t="s">
        <v>552</v>
      </c>
      <c r="B7110" t="s">
        <v>697</v>
      </c>
      <c r="C7110" t="s">
        <v>200</v>
      </c>
      <c r="D7110" s="226">
        <v>-105572.15</v>
      </c>
      <c r="E7110" t="s">
        <v>698</v>
      </c>
    </row>
    <row r="7111" spans="1:5" hidden="1" x14ac:dyDescent="0.3">
      <c r="A7111" t="s">
        <v>552</v>
      </c>
      <c r="B7111" t="s">
        <v>697</v>
      </c>
      <c r="C7111" t="s">
        <v>202</v>
      </c>
      <c r="D7111" s="226">
        <v>-105572.15</v>
      </c>
      <c r="E7111" t="s">
        <v>698</v>
      </c>
    </row>
    <row r="7112" spans="1:5" hidden="1" x14ac:dyDescent="0.3">
      <c r="A7112" t="s">
        <v>552</v>
      </c>
      <c r="B7112" t="s">
        <v>697</v>
      </c>
      <c r="C7112" t="s">
        <v>625</v>
      </c>
      <c r="D7112" s="226">
        <v>52786.080000000002</v>
      </c>
      <c r="E7112" t="s">
        <v>698</v>
      </c>
    </row>
    <row r="7113" spans="1:5" hidden="1" x14ac:dyDescent="0.3">
      <c r="A7113" t="s">
        <v>552</v>
      </c>
      <c r="B7113" t="s">
        <v>697</v>
      </c>
      <c r="C7113" t="s">
        <v>204</v>
      </c>
      <c r="D7113" s="226">
        <v>-58937.1</v>
      </c>
      <c r="E7113" t="s">
        <v>698</v>
      </c>
    </row>
    <row r="7114" spans="1:5" hidden="1" x14ac:dyDescent="0.3">
      <c r="A7114" t="s">
        <v>552</v>
      </c>
      <c r="B7114" t="s">
        <v>697</v>
      </c>
      <c r="C7114" t="s">
        <v>626</v>
      </c>
      <c r="D7114" s="226">
        <v>-19825.02</v>
      </c>
      <c r="E7114" t="s">
        <v>698</v>
      </c>
    </row>
    <row r="7115" spans="1:5" hidden="1" x14ac:dyDescent="0.3">
      <c r="A7115" t="s">
        <v>552</v>
      </c>
      <c r="B7115" t="s">
        <v>697</v>
      </c>
      <c r="C7115" t="s">
        <v>627</v>
      </c>
      <c r="D7115" s="226">
        <v>-49.87</v>
      </c>
      <c r="E7115" t="s">
        <v>698</v>
      </c>
    </row>
    <row r="7116" spans="1:5" hidden="1" x14ac:dyDescent="0.3">
      <c r="A7116" t="s">
        <v>552</v>
      </c>
      <c r="B7116" t="s">
        <v>697</v>
      </c>
      <c r="C7116" t="s">
        <v>628</v>
      </c>
      <c r="D7116" s="226">
        <v>-15084.32</v>
      </c>
      <c r="E7116" t="s">
        <v>698</v>
      </c>
    </row>
    <row r="7117" spans="1:5" hidden="1" x14ac:dyDescent="0.3">
      <c r="A7117" t="s">
        <v>552</v>
      </c>
      <c r="B7117" t="s">
        <v>697</v>
      </c>
      <c r="C7117" t="s">
        <v>629</v>
      </c>
      <c r="D7117" s="226">
        <v>-4418.95</v>
      </c>
      <c r="E7117" t="s">
        <v>698</v>
      </c>
    </row>
    <row r="7118" spans="1:5" hidden="1" x14ac:dyDescent="0.3">
      <c r="A7118" t="s">
        <v>552</v>
      </c>
      <c r="B7118" t="s">
        <v>697</v>
      </c>
      <c r="C7118" t="s">
        <v>630</v>
      </c>
      <c r="D7118" s="226">
        <v>-6315.3</v>
      </c>
      <c r="E7118" t="s">
        <v>698</v>
      </c>
    </row>
    <row r="7119" spans="1:5" hidden="1" x14ac:dyDescent="0.3">
      <c r="A7119" t="s">
        <v>552</v>
      </c>
      <c r="B7119" t="s">
        <v>697</v>
      </c>
      <c r="C7119" t="s">
        <v>631</v>
      </c>
      <c r="D7119" s="226">
        <v>0</v>
      </c>
      <c r="E7119" t="s">
        <v>698</v>
      </c>
    </row>
    <row r="7120" spans="1:5" hidden="1" x14ac:dyDescent="0.3">
      <c r="A7120" t="s">
        <v>552</v>
      </c>
      <c r="B7120" t="s">
        <v>697</v>
      </c>
      <c r="C7120" t="s">
        <v>632</v>
      </c>
      <c r="D7120" s="226">
        <v>0</v>
      </c>
      <c r="E7120" t="s">
        <v>698</v>
      </c>
    </row>
    <row r="7121" spans="1:5" hidden="1" x14ac:dyDescent="0.3">
      <c r="A7121" t="s">
        <v>552</v>
      </c>
      <c r="B7121" t="s">
        <v>697</v>
      </c>
      <c r="C7121" t="s">
        <v>633</v>
      </c>
      <c r="D7121" s="226">
        <v>-486.08</v>
      </c>
      <c r="E7121" t="s">
        <v>698</v>
      </c>
    </row>
    <row r="7122" spans="1:5" hidden="1" x14ac:dyDescent="0.3">
      <c r="A7122" t="s">
        <v>552</v>
      </c>
      <c r="B7122" t="s">
        <v>697</v>
      </c>
      <c r="C7122" t="s">
        <v>634</v>
      </c>
      <c r="D7122" s="226">
        <v>0</v>
      </c>
      <c r="E7122" t="s">
        <v>698</v>
      </c>
    </row>
    <row r="7123" spans="1:5" hidden="1" x14ac:dyDescent="0.3">
      <c r="A7123" t="s">
        <v>552</v>
      </c>
      <c r="B7123" t="s">
        <v>697</v>
      </c>
      <c r="C7123" t="s">
        <v>635</v>
      </c>
      <c r="D7123" s="226">
        <v>-26</v>
      </c>
      <c r="E7123" t="s">
        <v>698</v>
      </c>
    </row>
    <row r="7124" spans="1:5" hidden="1" x14ac:dyDescent="0.3">
      <c r="A7124" t="s">
        <v>552</v>
      </c>
      <c r="B7124" t="s">
        <v>697</v>
      </c>
      <c r="C7124" t="s">
        <v>636</v>
      </c>
      <c r="D7124" s="226">
        <v>0</v>
      </c>
      <c r="E7124" t="s">
        <v>698</v>
      </c>
    </row>
    <row r="7125" spans="1:5" hidden="1" x14ac:dyDescent="0.3">
      <c r="A7125" t="s">
        <v>552</v>
      </c>
      <c r="B7125" t="s">
        <v>697</v>
      </c>
      <c r="C7125" t="s">
        <v>637</v>
      </c>
      <c r="D7125" s="226">
        <v>-9800</v>
      </c>
      <c r="E7125" t="s">
        <v>698</v>
      </c>
    </row>
    <row r="7126" spans="1:5" hidden="1" x14ac:dyDescent="0.3">
      <c r="A7126" t="s">
        <v>552</v>
      </c>
      <c r="B7126" t="s">
        <v>697</v>
      </c>
      <c r="C7126" t="s">
        <v>638</v>
      </c>
      <c r="D7126" s="226">
        <v>0</v>
      </c>
      <c r="E7126" t="s">
        <v>698</v>
      </c>
    </row>
    <row r="7127" spans="1:5" hidden="1" x14ac:dyDescent="0.3">
      <c r="A7127" t="s">
        <v>552</v>
      </c>
      <c r="B7127" t="s">
        <v>697</v>
      </c>
      <c r="C7127" t="s">
        <v>639</v>
      </c>
      <c r="D7127" s="226">
        <v>-2931.55</v>
      </c>
      <c r="E7127" t="s">
        <v>698</v>
      </c>
    </row>
    <row r="7128" spans="1:5" hidden="1" x14ac:dyDescent="0.3">
      <c r="A7128" t="s">
        <v>552</v>
      </c>
      <c r="B7128" t="s">
        <v>697</v>
      </c>
      <c r="C7128" t="s">
        <v>640</v>
      </c>
      <c r="D7128" s="226">
        <v>0</v>
      </c>
      <c r="E7128" t="s">
        <v>698</v>
      </c>
    </row>
    <row r="7129" spans="1:5" hidden="1" x14ac:dyDescent="0.3">
      <c r="A7129" t="s">
        <v>552</v>
      </c>
      <c r="B7129" t="s">
        <v>697</v>
      </c>
      <c r="C7129" t="s">
        <v>641</v>
      </c>
      <c r="D7129" s="226">
        <v>0</v>
      </c>
      <c r="E7129" t="s">
        <v>698</v>
      </c>
    </row>
    <row r="7130" spans="1:5" hidden="1" x14ac:dyDescent="0.3">
      <c r="A7130" t="s">
        <v>552</v>
      </c>
      <c r="B7130" t="s">
        <v>697</v>
      </c>
      <c r="C7130" t="s">
        <v>237</v>
      </c>
      <c r="D7130" s="226">
        <v>-10827.85</v>
      </c>
      <c r="E7130" t="s">
        <v>698</v>
      </c>
    </row>
    <row r="7131" spans="1:5" hidden="1" x14ac:dyDescent="0.3">
      <c r="A7131" t="s">
        <v>552</v>
      </c>
      <c r="B7131" t="s">
        <v>697</v>
      </c>
      <c r="C7131" t="s">
        <v>642</v>
      </c>
      <c r="D7131" s="226">
        <v>-10440.23</v>
      </c>
      <c r="E7131" t="s">
        <v>698</v>
      </c>
    </row>
    <row r="7132" spans="1:5" hidden="1" x14ac:dyDescent="0.3">
      <c r="A7132" t="s">
        <v>552</v>
      </c>
      <c r="B7132" t="s">
        <v>697</v>
      </c>
      <c r="C7132" t="s">
        <v>643</v>
      </c>
      <c r="D7132" s="226">
        <v>0</v>
      </c>
      <c r="E7132" t="s">
        <v>698</v>
      </c>
    </row>
    <row r="7133" spans="1:5" hidden="1" x14ac:dyDescent="0.3">
      <c r="A7133" t="s">
        <v>552</v>
      </c>
      <c r="B7133" t="s">
        <v>697</v>
      </c>
      <c r="C7133" t="s">
        <v>644</v>
      </c>
      <c r="D7133" s="226">
        <v>0</v>
      </c>
      <c r="E7133" t="s">
        <v>698</v>
      </c>
    </row>
    <row r="7134" spans="1:5" hidden="1" x14ac:dyDescent="0.3">
      <c r="A7134" t="s">
        <v>552</v>
      </c>
      <c r="B7134" t="s">
        <v>697</v>
      </c>
      <c r="C7134" t="s">
        <v>645</v>
      </c>
      <c r="D7134" s="226">
        <v>-387.62</v>
      </c>
      <c r="E7134" t="s">
        <v>698</v>
      </c>
    </row>
    <row r="7135" spans="1:5" hidden="1" x14ac:dyDescent="0.3">
      <c r="A7135" t="s">
        <v>552</v>
      </c>
      <c r="B7135" t="s">
        <v>697</v>
      </c>
      <c r="C7135" t="s">
        <v>646</v>
      </c>
      <c r="D7135" s="226">
        <v>0</v>
      </c>
      <c r="E7135" t="s">
        <v>698</v>
      </c>
    </row>
    <row r="7136" spans="1:5" hidden="1" x14ac:dyDescent="0.3">
      <c r="A7136" t="s">
        <v>552</v>
      </c>
      <c r="B7136" t="s">
        <v>697</v>
      </c>
      <c r="C7136" t="s">
        <v>244</v>
      </c>
      <c r="D7136" s="226">
        <v>-35996.25</v>
      </c>
      <c r="E7136" t="s">
        <v>698</v>
      </c>
    </row>
    <row r="7137" spans="1:5" hidden="1" x14ac:dyDescent="0.3">
      <c r="A7137" t="s">
        <v>552</v>
      </c>
      <c r="B7137" t="s">
        <v>697</v>
      </c>
      <c r="C7137" t="s">
        <v>647</v>
      </c>
      <c r="D7137" s="226">
        <v>-1050</v>
      </c>
      <c r="E7137" t="s">
        <v>698</v>
      </c>
    </row>
    <row r="7138" spans="1:5" hidden="1" x14ac:dyDescent="0.3">
      <c r="A7138" t="s">
        <v>552</v>
      </c>
      <c r="B7138" t="s">
        <v>697</v>
      </c>
      <c r="C7138" t="s">
        <v>648</v>
      </c>
      <c r="D7138" s="226">
        <v>-405.88</v>
      </c>
      <c r="E7138" t="s">
        <v>698</v>
      </c>
    </row>
    <row r="7139" spans="1:5" hidden="1" x14ac:dyDescent="0.3">
      <c r="A7139" t="s">
        <v>552</v>
      </c>
      <c r="B7139" t="s">
        <v>697</v>
      </c>
      <c r="C7139" t="s">
        <v>649</v>
      </c>
      <c r="D7139" s="226">
        <v>0</v>
      </c>
      <c r="E7139" t="s">
        <v>698</v>
      </c>
    </row>
    <row r="7140" spans="1:5" hidden="1" x14ac:dyDescent="0.3">
      <c r="A7140" t="s">
        <v>552</v>
      </c>
      <c r="B7140" t="s">
        <v>697</v>
      </c>
      <c r="C7140" t="s">
        <v>650</v>
      </c>
      <c r="D7140" s="226">
        <v>-3000</v>
      </c>
      <c r="E7140" t="s">
        <v>698</v>
      </c>
    </row>
    <row r="7141" spans="1:5" hidden="1" x14ac:dyDescent="0.3">
      <c r="A7141" t="s">
        <v>552</v>
      </c>
      <c r="B7141" t="s">
        <v>697</v>
      </c>
      <c r="C7141" t="s">
        <v>651</v>
      </c>
      <c r="D7141" s="226">
        <v>0</v>
      </c>
      <c r="E7141" t="s">
        <v>698</v>
      </c>
    </row>
    <row r="7142" spans="1:5" hidden="1" x14ac:dyDescent="0.3">
      <c r="A7142" t="s">
        <v>552</v>
      </c>
      <c r="B7142" t="s">
        <v>697</v>
      </c>
      <c r="C7142" t="s">
        <v>652</v>
      </c>
      <c r="D7142" s="226">
        <v>-31540.37</v>
      </c>
      <c r="E7142" t="s">
        <v>698</v>
      </c>
    </row>
    <row r="7143" spans="1:5" hidden="1" x14ac:dyDescent="0.3">
      <c r="A7143" t="s">
        <v>552</v>
      </c>
      <c r="B7143" t="s">
        <v>697</v>
      </c>
      <c r="C7143" t="s">
        <v>653</v>
      </c>
      <c r="D7143" s="226">
        <v>0</v>
      </c>
      <c r="E7143" t="s">
        <v>698</v>
      </c>
    </row>
    <row r="7144" spans="1:5" hidden="1" x14ac:dyDescent="0.3">
      <c r="A7144" t="s">
        <v>552</v>
      </c>
      <c r="B7144" t="s">
        <v>697</v>
      </c>
      <c r="C7144" t="s">
        <v>253</v>
      </c>
      <c r="D7144" s="226">
        <v>-0.22</v>
      </c>
      <c r="E7144" t="s">
        <v>698</v>
      </c>
    </row>
    <row r="7145" spans="1:5" hidden="1" x14ac:dyDescent="0.3">
      <c r="A7145" t="s">
        <v>552</v>
      </c>
      <c r="B7145" t="s">
        <v>697</v>
      </c>
      <c r="C7145" t="s">
        <v>254</v>
      </c>
      <c r="D7145" s="226">
        <v>-0.19</v>
      </c>
      <c r="E7145" t="s">
        <v>698</v>
      </c>
    </row>
    <row r="7146" spans="1:5" hidden="1" x14ac:dyDescent="0.3">
      <c r="A7146" t="s">
        <v>552</v>
      </c>
      <c r="B7146" t="s">
        <v>697</v>
      </c>
      <c r="C7146" t="s">
        <v>255</v>
      </c>
      <c r="D7146" s="226">
        <v>-54304.42</v>
      </c>
      <c r="E7146" t="s">
        <v>698</v>
      </c>
    </row>
    <row r="7147" spans="1:5" hidden="1" x14ac:dyDescent="0.3">
      <c r="A7147" t="s">
        <v>552</v>
      </c>
      <c r="B7147" t="s">
        <v>697</v>
      </c>
      <c r="C7147" t="s">
        <v>256</v>
      </c>
      <c r="D7147" s="226">
        <v>-33872.5</v>
      </c>
      <c r="E7147" t="s">
        <v>698</v>
      </c>
    </row>
    <row r="7148" spans="1:5" hidden="1" x14ac:dyDescent="0.3">
      <c r="A7148" t="s">
        <v>552</v>
      </c>
      <c r="B7148" t="s">
        <v>697</v>
      </c>
      <c r="C7148" t="s">
        <v>257</v>
      </c>
      <c r="D7148" s="226">
        <v>-15690.3</v>
      </c>
      <c r="E7148" t="s">
        <v>698</v>
      </c>
    </row>
    <row r="7149" spans="1:5" hidden="1" x14ac:dyDescent="0.3">
      <c r="A7149" t="s">
        <v>552</v>
      </c>
      <c r="B7149" t="s">
        <v>697</v>
      </c>
      <c r="C7149" t="s">
        <v>258</v>
      </c>
      <c r="D7149" s="226">
        <v>-3873.43</v>
      </c>
      <c r="E7149" t="s">
        <v>698</v>
      </c>
    </row>
    <row r="7150" spans="1:5" hidden="1" x14ac:dyDescent="0.3">
      <c r="A7150" t="s">
        <v>552</v>
      </c>
      <c r="B7150" t="s">
        <v>697</v>
      </c>
      <c r="C7150" t="s">
        <v>259</v>
      </c>
      <c r="D7150" s="226">
        <v>0</v>
      </c>
      <c r="E7150" t="s">
        <v>698</v>
      </c>
    </row>
    <row r="7151" spans="1:5" hidden="1" x14ac:dyDescent="0.3">
      <c r="A7151" t="s">
        <v>552</v>
      </c>
      <c r="B7151" t="s">
        <v>697</v>
      </c>
      <c r="C7151" t="s">
        <v>260</v>
      </c>
      <c r="D7151" s="226">
        <v>-868.19</v>
      </c>
      <c r="E7151" t="s">
        <v>698</v>
      </c>
    </row>
    <row r="7152" spans="1:5" hidden="1" x14ac:dyDescent="0.3">
      <c r="A7152" t="s">
        <v>552</v>
      </c>
      <c r="B7152" t="s">
        <v>697</v>
      </c>
      <c r="C7152" t="s">
        <v>261</v>
      </c>
      <c r="D7152" s="226">
        <v>0</v>
      </c>
      <c r="E7152" t="s">
        <v>698</v>
      </c>
    </row>
    <row r="7153" spans="1:5" hidden="1" x14ac:dyDescent="0.3">
      <c r="A7153" t="s">
        <v>552</v>
      </c>
      <c r="B7153" t="s">
        <v>697</v>
      </c>
      <c r="C7153" t="s">
        <v>262</v>
      </c>
      <c r="D7153" s="226">
        <v>0</v>
      </c>
      <c r="E7153" t="s">
        <v>698</v>
      </c>
    </row>
    <row r="7154" spans="1:5" hidden="1" x14ac:dyDescent="0.3">
      <c r="A7154" t="s">
        <v>552</v>
      </c>
      <c r="B7154" t="s">
        <v>697</v>
      </c>
      <c r="C7154" t="s">
        <v>44</v>
      </c>
      <c r="D7154" s="226">
        <v>-0.04</v>
      </c>
      <c r="E7154" t="s">
        <v>698</v>
      </c>
    </row>
    <row r="7155" spans="1:5" hidden="1" x14ac:dyDescent="0.3">
      <c r="A7155" t="s">
        <v>552</v>
      </c>
      <c r="B7155" t="s">
        <v>697</v>
      </c>
      <c r="C7155" t="s">
        <v>263</v>
      </c>
      <c r="D7155" s="226">
        <v>-102428.16</v>
      </c>
      <c r="E7155" t="s">
        <v>698</v>
      </c>
    </row>
    <row r="7156" spans="1:5" hidden="1" x14ac:dyDescent="0.3">
      <c r="A7156" t="s">
        <v>552</v>
      </c>
      <c r="B7156" t="s">
        <v>697</v>
      </c>
      <c r="C7156" t="s">
        <v>264</v>
      </c>
      <c r="D7156" s="226">
        <v>-18926</v>
      </c>
      <c r="E7156" t="s">
        <v>698</v>
      </c>
    </row>
    <row r="7157" spans="1:5" hidden="1" x14ac:dyDescent="0.3">
      <c r="A7157" t="s">
        <v>552</v>
      </c>
      <c r="B7157" t="s">
        <v>697</v>
      </c>
      <c r="C7157" t="s">
        <v>265</v>
      </c>
      <c r="D7157" s="226">
        <v>-18167.75</v>
      </c>
      <c r="E7157" t="s">
        <v>698</v>
      </c>
    </row>
    <row r="7158" spans="1:5" hidden="1" x14ac:dyDescent="0.3">
      <c r="A7158" t="s">
        <v>552</v>
      </c>
      <c r="B7158" t="s">
        <v>697</v>
      </c>
      <c r="C7158" t="s">
        <v>266</v>
      </c>
      <c r="D7158" s="226">
        <v>-19830.3</v>
      </c>
      <c r="E7158" t="s">
        <v>698</v>
      </c>
    </row>
    <row r="7159" spans="1:5" hidden="1" x14ac:dyDescent="0.3">
      <c r="A7159" t="s">
        <v>552</v>
      </c>
      <c r="B7159" t="s">
        <v>697</v>
      </c>
      <c r="C7159" t="s">
        <v>267</v>
      </c>
      <c r="D7159" s="226">
        <v>-18928.66</v>
      </c>
      <c r="E7159" t="s">
        <v>698</v>
      </c>
    </row>
    <row r="7160" spans="1:5" hidden="1" x14ac:dyDescent="0.3">
      <c r="A7160" t="s">
        <v>552</v>
      </c>
      <c r="B7160" t="s">
        <v>697</v>
      </c>
      <c r="C7160" t="s">
        <v>268</v>
      </c>
      <c r="D7160" s="226">
        <v>0</v>
      </c>
      <c r="E7160" t="s">
        <v>698</v>
      </c>
    </row>
    <row r="7161" spans="1:5" hidden="1" x14ac:dyDescent="0.3">
      <c r="A7161" t="s">
        <v>552</v>
      </c>
      <c r="B7161" t="s">
        <v>697</v>
      </c>
      <c r="C7161" t="s">
        <v>269</v>
      </c>
      <c r="D7161" s="226">
        <v>-580</v>
      </c>
      <c r="E7161" t="s">
        <v>698</v>
      </c>
    </row>
    <row r="7162" spans="1:5" hidden="1" x14ac:dyDescent="0.3">
      <c r="A7162" t="s">
        <v>552</v>
      </c>
      <c r="B7162" t="s">
        <v>697</v>
      </c>
      <c r="C7162" t="s">
        <v>270</v>
      </c>
      <c r="D7162" s="226">
        <v>-3586.05</v>
      </c>
      <c r="E7162" t="s">
        <v>698</v>
      </c>
    </row>
    <row r="7163" spans="1:5" hidden="1" x14ac:dyDescent="0.3">
      <c r="A7163" t="s">
        <v>552</v>
      </c>
      <c r="B7163" t="s">
        <v>697</v>
      </c>
      <c r="C7163" t="s">
        <v>271</v>
      </c>
      <c r="D7163" s="226">
        <v>-7492.47</v>
      </c>
      <c r="E7163" t="s">
        <v>698</v>
      </c>
    </row>
    <row r="7164" spans="1:5" hidden="1" x14ac:dyDescent="0.3">
      <c r="A7164" t="s">
        <v>552</v>
      </c>
      <c r="B7164" t="s">
        <v>697</v>
      </c>
      <c r="C7164" t="s">
        <v>272</v>
      </c>
      <c r="D7164" s="226">
        <v>0</v>
      </c>
      <c r="E7164" t="s">
        <v>698</v>
      </c>
    </row>
    <row r="7165" spans="1:5" hidden="1" x14ac:dyDescent="0.3">
      <c r="A7165" t="s">
        <v>552</v>
      </c>
      <c r="B7165" t="s">
        <v>697</v>
      </c>
      <c r="C7165" t="s">
        <v>273</v>
      </c>
      <c r="D7165" s="226">
        <v>0</v>
      </c>
      <c r="E7165" t="s">
        <v>698</v>
      </c>
    </row>
    <row r="7166" spans="1:5" hidden="1" x14ac:dyDescent="0.3">
      <c r="A7166" t="s">
        <v>552</v>
      </c>
      <c r="B7166" t="s">
        <v>697</v>
      </c>
      <c r="C7166" t="s">
        <v>274</v>
      </c>
      <c r="D7166" s="226">
        <v>-2635.6</v>
      </c>
      <c r="E7166" t="s">
        <v>698</v>
      </c>
    </row>
    <row r="7167" spans="1:5" hidden="1" x14ac:dyDescent="0.3">
      <c r="A7167" t="s">
        <v>552</v>
      </c>
      <c r="B7167" t="s">
        <v>697</v>
      </c>
      <c r="C7167" t="s">
        <v>275</v>
      </c>
      <c r="D7167" s="226">
        <v>-2172.4299999999998</v>
      </c>
      <c r="E7167" t="s">
        <v>698</v>
      </c>
    </row>
    <row r="7168" spans="1:5" hidden="1" x14ac:dyDescent="0.3">
      <c r="A7168" t="s">
        <v>552</v>
      </c>
      <c r="B7168" t="s">
        <v>697</v>
      </c>
      <c r="C7168" t="s">
        <v>276</v>
      </c>
      <c r="D7168" s="226">
        <v>-1180</v>
      </c>
      <c r="E7168" t="s">
        <v>698</v>
      </c>
    </row>
    <row r="7169" spans="1:5" hidden="1" x14ac:dyDescent="0.3">
      <c r="A7169" t="s">
        <v>552</v>
      </c>
      <c r="B7169" t="s">
        <v>697</v>
      </c>
      <c r="C7169" t="s">
        <v>277</v>
      </c>
      <c r="D7169" s="226">
        <v>-8928.9</v>
      </c>
      <c r="E7169" t="s">
        <v>698</v>
      </c>
    </row>
    <row r="7170" spans="1:5" hidden="1" x14ac:dyDescent="0.3">
      <c r="A7170" t="s">
        <v>552</v>
      </c>
      <c r="B7170" t="s">
        <v>697</v>
      </c>
      <c r="C7170" t="s">
        <v>44</v>
      </c>
      <c r="D7170" s="226">
        <v>-7.0000000000000007E-2</v>
      </c>
      <c r="E7170" t="s">
        <v>698</v>
      </c>
    </row>
    <row r="7171" spans="1:5" hidden="1" x14ac:dyDescent="0.3">
      <c r="A7171" t="s">
        <v>552</v>
      </c>
      <c r="B7171" t="s">
        <v>697</v>
      </c>
      <c r="C7171" t="s">
        <v>278</v>
      </c>
      <c r="D7171" s="226">
        <v>-5935.49</v>
      </c>
      <c r="E7171" t="s">
        <v>698</v>
      </c>
    </row>
    <row r="7172" spans="1:5" hidden="1" x14ac:dyDescent="0.3">
      <c r="A7172" t="s">
        <v>552</v>
      </c>
      <c r="B7172" t="s">
        <v>697</v>
      </c>
      <c r="C7172" t="s">
        <v>279</v>
      </c>
      <c r="D7172" s="226">
        <v>0</v>
      </c>
      <c r="E7172" t="s">
        <v>698</v>
      </c>
    </row>
    <row r="7173" spans="1:5" hidden="1" x14ac:dyDescent="0.3">
      <c r="A7173" t="s">
        <v>552</v>
      </c>
      <c r="B7173" t="s">
        <v>697</v>
      </c>
      <c r="C7173" t="s">
        <v>280</v>
      </c>
      <c r="D7173" s="226">
        <v>-478.32</v>
      </c>
      <c r="E7173" t="s">
        <v>698</v>
      </c>
    </row>
    <row r="7174" spans="1:5" hidden="1" x14ac:dyDescent="0.3">
      <c r="A7174" t="s">
        <v>552</v>
      </c>
      <c r="B7174" t="s">
        <v>697</v>
      </c>
      <c r="C7174" t="s">
        <v>281</v>
      </c>
      <c r="D7174" s="226">
        <v>-23.9</v>
      </c>
      <c r="E7174" t="s">
        <v>698</v>
      </c>
    </row>
    <row r="7175" spans="1:5" hidden="1" x14ac:dyDescent="0.3">
      <c r="A7175" t="s">
        <v>552</v>
      </c>
      <c r="B7175" t="s">
        <v>697</v>
      </c>
      <c r="C7175" t="s">
        <v>282</v>
      </c>
      <c r="D7175" s="226">
        <v>-815</v>
      </c>
      <c r="E7175" t="s">
        <v>698</v>
      </c>
    </row>
    <row r="7176" spans="1:5" hidden="1" x14ac:dyDescent="0.3">
      <c r="A7176" t="s">
        <v>552</v>
      </c>
      <c r="B7176" t="s">
        <v>697</v>
      </c>
      <c r="C7176" t="s">
        <v>283</v>
      </c>
      <c r="D7176" s="226">
        <v>-3351.25</v>
      </c>
      <c r="E7176" t="s">
        <v>698</v>
      </c>
    </row>
    <row r="7177" spans="1:5" hidden="1" x14ac:dyDescent="0.3">
      <c r="A7177" t="s">
        <v>552</v>
      </c>
      <c r="B7177" t="s">
        <v>697</v>
      </c>
      <c r="C7177" t="s">
        <v>284</v>
      </c>
      <c r="D7177" s="226">
        <v>-429</v>
      </c>
      <c r="E7177" t="s">
        <v>698</v>
      </c>
    </row>
    <row r="7178" spans="1:5" hidden="1" x14ac:dyDescent="0.3">
      <c r="A7178" t="s">
        <v>552</v>
      </c>
      <c r="B7178" t="s">
        <v>697</v>
      </c>
      <c r="C7178" t="s">
        <v>285</v>
      </c>
      <c r="D7178" s="226">
        <v>-838.02</v>
      </c>
      <c r="E7178" t="s">
        <v>698</v>
      </c>
    </row>
    <row r="7179" spans="1:5" hidden="1" x14ac:dyDescent="0.3">
      <c r="A7179" t="s">
        <v>552</v>
      </c>
      <c r="B7179" t="s">
        <v>697</v>
      </c>
      <c r="C7179" t="s">
        <v>44</v>
      </c>
      <c r="D7179" s="226">
        <v>0</v>
      </c>
      <c r="E7179" t="s">
        <v>698</v>
      </c>
    </row>
    <row r="7180" spans="1:5" hidden="1" x14ac:dyDescent="0.3">
      <c r="A7180" t="s">
        <v>552</v>
      </c>
      <c r="B7180" t="s">
        <v>697</v>
      </c>
      <c r="C7180" t="s">
        <v>286</v>
      </c>
      <c r="D7180" s="226">
        <v>-13492.52</v>
      </c>
      <c r="E7180" t="s">
        <v>698</v>
      </c>
    </row>
    <row r="7181" spans="1:5" hidden="1" x14ac:dyDescent="0.3">
      <c r="A7181" t="s">
        <v>552</v>
      </c>
      <c r="B7181" t="s">
        <v>697</v>
      </c>
      <c r="C7181" t="s">
        <v>287</v>
      </c>
      <c r="D7181" s="226">
        <v>-5000</v>
      </c>
      <c r="E7181" t="s">
        <v>698</v>
      </c>
    </row>
    <row r="7182" spans="1:5" hidden="1" x14ac:dyDescent="0.3">
      <c r="A7182" t="s">
        <v>552</v>
      </c>
      <c r="B7182" t="s">
        <v>697</v>
      </c>
      <c r="C7182" t="s">
        <v>288</v>
      </c>
      <c r="D7182" s="226">
        <v>-5692.5</v>
      </c>
      <c r="E7182" t="s">
        <v>698</v>
      </c>
    </row>
    <row r="7183" spans="1:5" hidden="1" x14ac:dyDescent="0.3">
      <c r="A7183" t="s">
        <v>552</v>
      </c>
      <c r="B7183" t="s">
        <v>697</v>
      </c>
      <c r="C7183" t="s">
        <v>289</v>
      </c>
      <c r="D7183" s="226">
        <v>0</v>
      </c>
      <c r="E7183" t="s">
        <v>698</v>
      </c>
    </row>
    <row r="7184" spans="1:5" hidden="1" x14ac:dyDescent="0.3">
      <c r="A7184" t="s">
        <v>552</v>
      </c>
      <c r="B7184" t="s">
        <v>697</v>
      </c>
      <c r="C7184" t="s">
        <v>290</v>
      </c>
      <c r="D7184" s="226">
        <v>-1913.49</v>
      </c>
      <c r="E7184" t="s">
        <v>698</v>
      </c>
    </row>
    <row r="7185" spans="1:5" hidden="1" x14ac:dyDescent="0.3">
      <c r="A7185" t="s">
        <v>552</v>
      </c>
      <c r="B7185" t="s">
        <v>697</v>
      </c>
      <c r="C7185" t="s">
        <v>291</v>
      </c>
      <c r="D7185" s="226">
        <v>0</v>
      </c>
      <c r="E7185" t="s">
        <v>698</v>
      </c>
    </row>
    <row r="7186" spans="1:5" hidden="1" x14ac:dyDescent="0.3">
      <c r="A7186" t="s">
        <v>552</v>
      </c>
      <c r="B7186" t="s">
        <v>697</v>
      </c>
      <c r="C7186" t="s">
        <v>292</v>
      </c>
      <c r="D7186" s="226">
        <v>-631.23</v>
      </c>
      <c r="E7186" t="s">
        <v>698</v>
      </c>
    </row>
    <row r="7187" spans="1:5" hidden="1" x14ac:dyDescent="0.3">
      <c r="A7187" t="s">
        <v>552</v>
      </c>
      <c r="B7187" t="s">
        <v>697</v>
      </c>
      <c r="C7187" t="s">
        <v>293</v>
      </c>
      <c r="D7187" s="226">
        <v>-255.3</v>
      </c>
      <c r="E7187" t="s">
        <v>698</v>
      </c>
    </row>
    <row r="7188" spans="1:5" hidden="1" x14ac:dyDescent="0.3">
      <c r="A7188" t="s">
        <v>552</v>
      </c>
      <c r="B7188" t="s">
        <v>697</v>
      </c>
      <c r="C7188" t="s">
        <v>294</v>
      </c>
      <c r="D7188" s="226">
        <v>0</v>
      </c>
      <c r="E7188" t="s">
        <v>698</v>
      </c>
    </row>
    <row r="7189" spans="1:5" hidden="1" x14ac:dyDescent="0.3">
      <c r="A7189" t="s">
        <v>552</v>
      </c>
      <c r="B7189" t="s">
        <v>697</v>
      </c>
      <c r="C7189" t="s">
        <v>44</v>
      </c>
      <c r="D7189" s="226">
        <v>-0.01</v>
      </c>
      <c r="E7189" t="s">
        <v>698</v>
      </c>
    </row>
    <row r="7190" spans="1:5" hidden="1" x14ac:dyDescent="0.3">
      <c r="A7190" t="s">
        <v>552</v>
      </c>
      <c r="B7190" t="s">
        <v>697</v>
      </c>
      <c r="C7190" t="s">
        <v>295</v>
      </c>
      <c r="D7190" s="226">
        <v>-8268.34</v>
      </c>
      <c r="E7190" t="s">
        <v>698</v>
      </c>
    </row>
    <row r="7191" spans="1:5" hidden="1" x14ac:dyDescent="0.3">
      <c r="A7191" t="s">
        <v>552</v>
      </c>
      <c r="B7191" t="s">
        <v>697</v>
      </c>
      <c r="C7191" t="s">
        <v>296</v>
      </c>
      <c r="D7191" s="226">
        <v>-4500</v>
      </c>
      <c r="E7191" t="s">
        <v>698</v>
      </c>
    </row>
    <row r="7192" spans="1:5" hidden="1" x14ac:dyDescent="0.3">
      <c r="A7192" t="s">
        <v>552</v>
      </c>
      <c r="B7192" t="s">
        <v>697</v>
      </c>
      <c r="C7192" t="s">
        <v>297</v>
      </c>
      <c r="D7192" s="226">
        <v>-500</v>
      </c>
      <c r="E7192" t="s">
        <v>698</v>
      </c>
    </row>
    <row r="7193" spans="1:5" hidden="1" x14ac:dyDescent="0.3">
      <c r="A7193" t="s">
        <v>552</v>
      </c>
      <c r="B7193" t="s">
        <v>697</v>
      </c>
      <c r="C7193" t="s">
        <v>298</v>
      </c>
      <c r="D7193" s="226">
        <v>0</v>
      </c>
      <c r="E7193" t="s">
        <v>698</v>
      </c>
    </row>
    <row r="7194" spans="1:5" hidden="1" x14ac:dyDescent="0.3">
      <c r="A7194" t="s">
        <v>552</v>
      </c>
      <c r="B7194" t="s">
        <v>697</v>
      </c>
      <c r="C7194" t="s">
        <v>299</v>
      </c>
      <c r="D7194" s="226">
        <v>0</v>
      </c>
      <c r="E7194" t="s">
        <v>698</v>
      </c>
    </row>
    <row r="7195" spans="1:5" hidden="1" x14ac:dyDescent="0.3">
      <c r="A7195" t="s">
        <v>552</v>
      </c>
      <c r="B7195" t="s">
        <v>697</v>
      </c>
      <c r="C7195" t="s">
        <v>300</v>
      </c>
      <c r="D7195" s="226">
        <v>0</v>
      </c>
      <c r="E7195" t="s">
        <v>698</v>
      </c>
    </row>
    <row r="7196" spans="1:5" hidden="1" x14ac:dyDescent="0.3">
      <c r="A7196" t="s">
        <v>552</v>
      </c>
      <c r="B7196" t="s">
        <v>697</v>
      </c>
      <c r="C7196" t="s">
        <v>301</v>
      </c>
      <c r="D7196" s="226">
        <v>0</v>
      </c>
      <c r="E7196" t="s">
        <v>698</v>
      </c>
    </row>
    <row r="7197" spans="1:5" hidden="1" x14ac:dyDescent="0.3">
      <c r="A7197" t="s">
        <v>552</v>
      </c>
      <c r="B7197" t="s">
        <v>697</v>
      </c>
      <c r="C7197" t="s">
        <v>302</v>
      </c>
      <c r="D7197" s="226">
        <v>0</v>
      </c>
      <c r="E7197" t="s">
        <v>698</v>
      </c>
    </row>
    <row r="7198" spans="1:5" hidden="1" x14ac:dyDescent="0.3">
      <c r="A7198" t="s">
        <v>552</v>
      </c>
      <c r="B7198" t="s">
        <v>697</v>
      </c>
      <c r="C7198" t="s">
        <v>303</v>
      </c>
      <c r="D7198" s="226">
        <v>-928</v>
      </c>
      <c r="E7198" t="s">
        <v>698</v>
      </c>
    </row>
    <row r="7199" spans="1:5" hidden="1" x14ac:dyDescent="0.3">
      <c r="A7199" t="s">
        <v>552</v>
      </c>
      <c r="B7199" t="s">
        <v>697</v>
      </c>
      <c r="C7199" t="s">
        <v>304</v>
      </c>
      <c r="D7199" s="226">
        <v>0</v>
      </c>
      <c r="E7199" t="s">
        <v>698</v>
      </c>
    </row>
    <row r="7200" spans="1:5" hidden="1" x14ac:dyDescent="0.3">
      <c r="A7200" t="s">
        <v>552</v>
      </c>
      <c r="B7200" t="s">
        <v>697</v>
      </c>
      <c r="C7200" t="s">
        <v>305</v>
      </c>
      <c r="D7200" s="226">
        <v>0</v>
      </c>
      <c r="E7200" t="s">
        <v>698</v>
      </c>
    </row>
    <row r="7201" spans="1:5" hidden="1" x14ac:dyDescent="0.3">
      <c r="A7201" t="s">
        <v>552</v>
      </c>
      <c r="B7201" t="s">
        <v>697</v>
      </c>
      <c r="C7201" t="s">
        <v>306</v>
      </c>
      <c r="D7201" s="226">
        <v>-2340.34</v>
      </c>
      <c r="E7201" t="s">
        <v>698</v>
      </c>
    </row>
    <row r="7202" spans="1:5" hidden="1" x14ac:dyDescent="0.3">
      <c r="A7202" t="s">
        <v>552</v>
      </c>
      <c r="B7202" t="s">
        <v>697</v>
      </c>
      <c r="C7202" t="s">
        <v>44</v>
      </c>
      <c r="D7202" s="226">
        <v>-0.01</v>
      </c>
      <c r="E7202" t="s">
        <v>698</v>
      </c>
    </row>
    <row r="7203" spans="1:5" hidden="1" x14ac:dyDescent="0.3">
      <c r="A7203" t="s">
        <v>552</v>
      </c>
      <c r="B7203" t="s">
        <v>697</v>
      </c>
      <c r="C7203" t="s">
        <v>307</v>
      </c>
      <c r="D7203" s="226">
        <v>-17499.39</v>
      </c>
      <c r="E7203" t="s">
        <v>698</v>
      </c>
    </row>
    <row r="7204" spans="1:5" hidden="1" x14ac:dyDescent="0.3">
      <c r="A7204" t="s">
        <v>552</v>
      </c>
      <c r="B7204" t="s">
        <v>697</v>
      </c>
      <c r="C7204" t="s">
        <v>308</v>
      </c>
      <c r="D7204" s="226">
        <v>-4022.24</v>
      </c>
      <c r="E7204" t="s">
        <v>698</v>
      </c>
    </row>
    <row r="7205" spans="1:5" hidden="1" x14ac:dyDescent="0.3">
      <c r="A7205" t="s">
        <v>552</v>
      </c>
      <c r="B7205" t="s">
        <v>697</v>
      </c>
      <c r="C7205" t="s">
        <v>309</v>
      </c>
      <c r="D7205" s="226">
        <v>0</v>
      </c>
      <c r="E7205" t="s">
        <v>698</v>
      </c>
    </row>
    <row r="7206" spans="1:5" hidden="1" x14ac:dyDescent="0.3">
      <c r="A7206" t="s">
        <v>552</v>
      </c>
      <c r="B7206" t="s">
        <v>697</v>
      </c>
      <c r="C7206" t="s">
        <v>310</v>
      </c>
      <c r="D7206" s="226">
        <v>-1800</v>
      </c>
      <c r="E7206" t="s">
        <v>698</v>
      </c>
    </row>
    <row r="7207" spans="1:5" hidden="1" x14ac:dyDescent="0.3">
      <c r="A7207" t="s">
        <v>552</v>
      </c>
      <c r="B7207" t="s">
        <v>697</v>
      </c>
      <c r="C7207" t="s">
        <v>311</v>
      </c>
      <c r="D7207" s="226">
        <v>-185</v>
      </c>
      <c r="E7207" t="s">
        <v>698</v>
      </c>
    </row>
    <row r="7208" spans="1:5" hidden="1" x14ac:dyDescent="0.3">
      <c r="A7208" t="s">
        <v>552</v>
      </c>
      <c r="B7208" t="s">
        <v>697</v>
      </c>
      <c r="C7208" t="s">
        <v>312</v>
      </c>
      <c r="D7208" s="226">
        <v>0</v>
      </c>
      <c r="E7208" t="s">
        <v>698</v>
      </c>
    </row>
    <row r="7209" spans="1:5" hidden="1" x14ac:dyDescent="0.3">
      <c r="A7209" t="s">
        <v>552</v>
      </c>
      <c r="B7209" t="s">
        <v>697</v>
      </c>
      <c r="C7209" t="s">
        <v>313</v>
      </c>
      <c r="D7209" s="226">
        <v>-2372.15</v>
      </c>
      <c r="E7209" t="s">
        <v>698</v>
      </c>
    </row>
    <row r="7210" spans="1:5" hidden="1" x14ac:dyDescent="0.3">
      <c r="A7210" t="s">
        <v>552</v>
      </c>
      <c r="B7210" t="s">
        <v>697</v>
      </c>
      <c r="C7210" t="s">
        <v>314</v>
      </c>
      <c r="D7210" s="226">
        <v>0</v>
      </c>
      <c r="E7210" t="s">
        <v>698</v>
      </c>
    </row>
    <row r="7211" spans="1:5" hidden="1" x14ac:dyDescent="0.3">
      <c r="A7211" t="s">
        <v>552</v>
      </c>
      <c r="B7211" t="s">
        <v>697</v>
      </c>
      <c r="C7211" t="s">
        <v>315</v>
      </c>
      <c r="D7211" s="226">
        <v>-9120</v>
      </c>
      <c r="E7211" t="s">
        <v>698</v>
      </c>
    </row>
    <row r="7212" spans="1:5" hidden="1" x14ac:dyDescent="0.3">
      <c r="A7212" t="s">
        <v>552</v>
      </c>
      <c r="B7212" t="s">
        <v>697</v>
      </c>
      <c r="C7212" t="s">
        <v>316</v>
      </c>
      <c r="D7212" s="226">
        <v>0</v>
      </c>
      <c r="E7212" t="s">
        <v>698</v>
      </c>
    </row>
    <row r="7213" spans="1:5" hidden="1" x14ac:dyDescent="0.3">
      <c r="A7213" t="s">
        <v>552</v>
      </c>
      <c r="B7213" t="s">
        <v>697</v>
      </c>
      <c r="C7213" t="s">
        <v>44</v>
      </c>
      <c r="D7213" s="226">
        <v>-0.01</v>
      </c>
      <c r="E7213" t="s">
        <v>698</v>
      </c>
    </row>
    <row r="7214" spans="1:5" hidden="1" x14ac:dyDescent="0.3">
      <c r="A7214" t="s">
        <v>552</v>
      </c>
      <c r="B7214" t="s">
        <v>697</v>
      </c>
      <c r="C7214" t="s">
        <v>317</v>
      </c>
      <c r="D7214" s="226">
        <v>-7128.93</v>
      </c>
      <c r="E7214" t="s">
        <v>698</v>
      </c>
    </row>
    <row r="7215" spans="1:5" hidden="1" x14ac:dyDescent="0.3">
      <c r="A7215" t="s">
        <v>552</v>
      </c>
      <c r="B7215" t="s">
        <v>697</v>
      </c>
      <c r="C7215" t="s">
        <v>318</v>
      </c>
      <c r="D7215" s="226">
        <v>-6880</v>
      </c>
      <c r="E7215" t="s">
        <v>698</v>
      </c>
    </row>
    <row r="7216" spans="1:5" hidden="1" x14ac:dyDescent="0.3">
      <c r="A7216" t="s">
        <v>552</v>
      </c>
      <c r="B7216" t="s">
        <v>697</v>
      </c>
      <c r="C7216" t="s">
        <v>319</v>
      </c>
      <c r="D7216" s="226">
        <v>-248.93</v>
      </c>
      <c r="E7216" t="s">
        <v>698</v>
      </c>
    </row>
    <row r="7217" spans="1:5" hidden="1" x14ac:dyDescent="0.3">
      <c r="A7217" t="s">
        <v>552</v>
      </c>
      <c r="B7217" t="s">
        <v>697</v>
      </c>
      <c r="C7217" t="s">
        <v>320</v>
      </c>
      <c r="D7217" s="226">
        <v>0</v>
      </c>
      <c r="E7217" t="s">
        <v>698</v>
      </c>
    </row>
    <row r="7218" spans="1:5" hidden="1" x14ac:dyDescent="0.3">
      <c r="A7218" t="s">
        <v>552</v>
      </c>
      <c r="B7218" t="s">
        <v>697</v>
      </c>
      <c r="C7218" t="s">
        <v>321</v>
      </c>
      <c r="D7218" s="226">
        <v>0</v>
      </c>
      <c r="E7218" t="s">
        <v>698</v>
      </c>
    </row>
    <row r="7219" spans="1:5" hidden="1" x14ac:dyDescent="0.3">
      <c r="A7219" t="s">
        <v>552</v>
      </c>
      <c r="B7219" t="s">
        <v>697</v>
      </c>
      <c r="C7219" t="s">
        <v>44</v>
      </c>
      <c r="D7219" s="226">
        <v>-0.01</v>
      </c>
      <c r="E7219" t="s">
        <v>698</v>
      </c>
    </row>
    <row r="7220" spans="1:5" hidden="1" x14ac:dyDescent="0.3">
      <c r="A7220" t="s">
        <v>552</v>
      </c>
      <c r="B7220" t="s">
        <v>697</v>
      </c>
      <c r="C7220" t="s">
        <v>322</v>
      </c>
      <c r="D7220" s="226">
        <v>-69657.820000000007</v>
      </c>
      <c r="E7220" t="s">
        <v>698</v>
      </c>
    </row>
    <row r="7221" spans="1:5" hidden="1" x14ac:dyDescent="0.3">
      <c r="A7221" t="s">
        <v>552</v>
      </c>
      <c r="B7221" t="s">
        <v>697</v>
      </c>
      <c r="C7221" t="s">
        <v>323</v>
      </c>
      <c r="D7221" s="226">
        <v>0</v>
      </c>
      <c r="E7221" t="s">
        <v>698</v>
      </c>
    </row>
    <row r="7222" spans="1:5" hidden="1" x14ac:dyDescent="0.3">
      <c r="A7222" t="s">
        <v>552</v>
      </c>
      <c r="B7222" t="s">
        <v>697</v>
      </c>
      <c r="C7222" t="s">
        <v>324</v>
      </c>
      <c r="D7222" s="226">
        <v>0</v>
      </c>
      <c r="E7222" t="s">
        <v>698</v>
      </c>
    </row>
    <row r="7223" spans="1:5" hidden="1" x14ac:dyDescent="0.3">
      <c r="A7223" t="s">
        <v>552</v>
      </c>
      <c r="B7223" t="s">
        <v>697</v>
      </c>
      <c r="C7223" t="s">
        <v>325</v>
      </c>
      <c r="D7223" s="226">
        <v>-69657.820000000007</v>
      </c>
      <c r="E7223" t="s">
        <v>698</v>
      </c>
    </row>
    <row r="7224" spans="1:5" hidden="1" x14ac:dyDescent="0.3">
      <c r="A7224" t="s">
        <v>552</v>
      </c>
      <c r="B7224" t="s">
        <v>697</v>
      </c>
      <c r="C7224" t="s">
        <v>44</v>
      </c>
      <c r="D7224" s="226">
        <v>-0.05</v>
      </c>
      <c r="E7224" t="s">
        <v>698</v>
      </c>
    </row>
    <row r="7225" spans="1:5" hidden="1" x14ac:dyDescent="0.3">
      <c r="A7225" t="s">
        <v>552</v>
      </c>
      <c r="B7225" t="s">
        <v>697</v>
      </c>
      <c r="C7225" t="s">
        <v>327</v>
      </c>
      <c r="D7225" s="226">
        <v>-583022.16</v>
      </c>
      <c r="E7225" t="s">
        <v>698</v>
      </c>
    </row>
    <row r="7226" spans="1:5" hidden="1" x14ac:dyDescent="0.3">
      <c r="A7226" t="s">
        <v>552</v>
      </c>
      <c r="B7226" t="s">
        <v>697</v>
      </c>
      <c r="C7226" t="s">
        <v>44</v>
      </c>
      <c r="D7226" s="226">
        <v>-0.42</v>
      </c>
      <c r="E7226" t="s">
        <v>698</v>
      </c>
    </row>
    <row r="7227" spans="1:5" hidden="1" x14ac:dyDescent="0.3">
      <c r="A7227" t="s">
        <v>552</v>
      </c>
      <c r="B7227" t="s">
        <v>697</v>
      </c>
      <c r="C7227" t="s">
        <v>328</v>
      </c>
      <c r="D7227" s="226">
        <v>213672.27</v>
      </c>
      <c r="E7227" t="s">
        <v>698</v>
      </c>
    </row>
    <row r="7228" spans="1:5" hidden="1" x14ac:dyDescent="0.3">
      <c r="A7228" t="s">
        <v>552</v>
      </c>
      <c r="B7228" t="s">
        <v>697</v>
      </c>
      <c r="C7228" t="s">
        <v>44</v>
      </c>
      <c r="D7228" s="226">
        <v>0.15</v>
      </c>
      <c r="E7228" t="s">
        <v>698</v>
      </c>
    </row>
    <row r="7229" spans="1:5" hidden="1" x14ac:dyDescent="0.3">
      <c r="A7229" t="s">
        <v>552</v>
      </c>
      <c r="B7229" t="s">
        <v>697</v>
      </c>
      <c r="C7229" t="s">
        <v>329</v>
      </c>
      <c r="D7229" s="226">
        <v>0</v>
      </c>
      <c r="E7229" t="s">
        <v>698</v>
      </c>
    </row>
    <row r="7230" spans="1:5" hidden="1" x14ac:dyDescent="0.3">
      <c r="A7230" t="s">
        <v>552</v>
      </c>
      <c r="B7230" t="s">
        <v>697</v>
      </c>
      <c r="C7230" t="s">
        <v>331</v>
      </c>
      <c r="D7230" s="226">
        <v>213672.27</v>
      </c>
      <c r="E7230" t="s">
        <v>698</v>
      </c>
    </row>
    <row r="7231" spans="1:5" hidden="1" x14ac:dyDescent="0.3">
      <c r="A7231" t="s">
        <v>552</v>
      </c>
      <c r="B7231" t="s">
        <v>697</v>
      </c>
      <c r="C7231" t="s">
        <v>332</v>
      </c>
      <c r="D7231" s="226">
        <v>-9327.26</v>
      </c>
      <c r="E7231" t="s">
        <v>698</v>
      </c>
    </row>
    <row r="7232" spans="1:5" hidden="1" x14ac:dyDescent="0.3">
      <c r="A7232" t="s">
        <v>552</v>
      </c>
      <c r="B7232" t="s">
        <v>697</v>
      </c>
      <c r="C7232" t="s">
        <v>333</v>
      </c>
      <c r="D7232" s="226">
        <v>37816</v>
      </c>
      <c r="E7232" t="s">
        <v>698</v>
      </c>
    </row>
    <row r="7233" spans="1:5" hidden="1" x14ac:dyDescent="0.3">
      <c r="A7233" t="s">
        <v>552</v>
      </c>
      <c r="B7233" t="s">
        <v>697</v>
      </c>
      <c r="C7233" t="s">
        <v>335</v>
      </c>
      <c r="D7233" s="226">
        <v>-9250</v>
      </c>
      <c r="E7233" t="s">
        <v>698</v>
      </c>
    </row>
    <row r="7234" spans="1:5" hidden="1" x14ac:dyDescent="0.3">
      <c r="A7234" t="s">
        <v>552</v>
      </c>
      <c r="B7234" t="s">
        <v>697</v>
      </c>
      <c r="C7234" t="s">
        <v>337</v>
      </c>
      <c r="D7234" s="226">
        <v>232911.01</v>
      </c>
      <c r="E7234" t="s">
        <v>698</v>
      </c>
    </row>
    <row r="7235" spans="1:5" hidden="1" x14ac:dyDescent="0.3">
      <c r="A7235" t="s">
        <v>552</v>
      </c>
      <c r="B7235" t="s">
        <v>697</v>
      </c>
      <c r="C7235" t="s">
        <v>338</v>
      </c>
      <c r="D7235" s="226">
        <v>-28342.59</v>
      </c>
      <c r="E7235" t="s">
        <v>698</v>
      </c>
    </row>
    <row r="7236" spans="1:5" hidden="1" x14ac:dyDescent="0.3">
      <c r="A7236" t="s">
        <v>552</v>
      </c>
      <c r="B7236" t="s">
        <v>697</v>
      </c>
      <c r="C7236" t="s">
        <v>341</v>
      </c>
      <c r="D7236" s="226">
        <v>0</v>
      </c>
      <c r="E7236" t="s">
        <v>698</v>
      </c>
    </row>
    <row r="7237" spans="1:5" hidden="1" x14ac:dyDescent="0.3">
      <c r="A7237" t="s">
        <v>552</v>
      </c>
      <c r="B7237" t="s">
        <v>697</v>
      </c>
      <c r="C7237" t="s">
        <v>343</v>
      </c>
      <c r="D7237" s="226">
        <v>-15012.19</v>
      </c>
      <c r="E7237" t="s">
        <v>698</v>
      </c>
    </row>
    <row r="7238" spans="1:5" hidden="1" x14ac:dyDescent="0.3">
      <c r="A7238" t="s">
        <v>552</v>
      </c>
      <c r="B7238" t="s">
        <v>697</v>
      </c>
      <c r="C7238" t="s">
        <v>344</v>
      </c>
      <c r="D7238" s="226">
        <v>0</v>
      </c>
      <c r="E7238" t="s">
        <v>698</v>
      </c>
    </row>
    <row r="7239" spans="1:5" hidden="1" x14ac:dyDescent="0.3">
      <c r="A7239" t="s">
        <v>552</v>
      </c>
      <c r="B7239" t="s">
        <v>697</v>
      </c>
      <c r="C7239" t="s">
        <v>345</v>
      </c>
      <c r="D7239" s="226">
        <v>-13330.4</v>
      </c>
      <c r="E7239" t="s">
        <v>698</v>
      </c>
    </row>
    <row r="7240" spans="1:5" hidden="1" x14ac:dyDescent="0.3">
      <c r="A7240" t="s">
        <v>552</v>
      </c>
      <c r="B7240" t="s">
        <v>697</v>
      </c>
      <c r="C7240" t="s">
        <v>346</v>
      </c>
      <c r="D7240" s="226">
        <v>204568.42</v>
      </c>
      <c r="E7240" t="s">
        <v>698</v>
      </c>
    </row>
    <row r="7241" spans="1:5" hidden="1" x14ac:dyDescent="0.3">
      <c r="A7241" t="s">
        <v>552</v>
      </c>
      <c r="B7241" t="s">
        <v>697</v>
      </c>
      <c r="C7241" t="s">
        <v>44</v>
      </c>
      <c r="D7241" s="226">
        <v>0.15</v>
      </c>
      <c r="E7241" t="s">
        <v>698</v>
      </c>
    </row>
    <row r="7242" spans="1:5" hidden="1" x14ac:dyDescent="0.3">
      <c r="A7242" t="s">
        <v>552</v>
      </c>
      <c r="B7242" t="s">
        <v>697</v>
      </c>
      <c r="C7242" t="s">
        <v>347</v>
      </c>
      <c r="D7242" s="226">
        <v>-8334</v>
      </c>
      <c r="E7242" t="s">
        <v>698</v>
      </c>
    </row>
    <row r="7243" spans="1:5" hidden="1" x14ac:dyDescent="0.3">
      <c r="A7243" t="s">
        <v>552</v>
      </c>
      <c r="B7243" t="s">
        <v>697</v>
      </c>
      <c r="C7243" t="s">
        <v>654</v>
      </c>
      <c r="D7243" s="226">
        <v>0</v>
      </c>
      <c r="E7243" t="s">
        <v>698</v>
      </c>
    </row>
    <row r="7244" spans="1:5" hidden="1" x14ac:dyDescent="0.3">
      <c r="A7244" t="s">
        <v>552</v>
      </c>
      <c r="B7244" t="s">
        <v>697</v>
      </c>
      <c r="C7244" t="s">
        <v>349</v>
      </c>
      <c r="D7244" s="226">
        <v>0</v>
      </c>
      <c r="E7244" t="s">
        <v>698</v>
      </c>
    </row>
    <row r="7245" spans="1:5" hidden="1" x14ac:dyDescent="0.3">
      <c r="A7245" t="s">
        <v>552</v>
      </c>
      <c r="B7245" t="s">
        <v>697</v>
      </c>
      <c r="C7245" t="s">
        <v>350</v>
      </c>
      <c r="D7245" s="226">
        <v>0</v>
      </c>
      <c r="E7245" t="s">
        <v>698</v>
      </c>
    </row>
    <row r="7246" spans="1:5" hidden="1" x14ac:dyDescent="0.3">
      <c r="A7246" t="s">
        <v>552</v>
      </c>
      <c r="B7246" t="s">
        <v>697</v>
      </c>
      <c r="C7246" t="s">
        <v>351</v>
      </c>
      <c r="D7246" s="226">
        <v>0</v>
      </c>
      <c r="E7246" t="s">
        <v>698</v>
      </c>
    </row>
    <row r="7247" spans="1:5" hidden="1" x14ac:dyDescent="0.3">
      <c r="A7247" t="s">
        <v>552</v>
      </c>
      <c r="B7247" t="s">
        <v>697</v>
      </c>
      <c r="C7247" t="s">
        <v>352</v>
      </c>
      <c r="D7247" s="226">
        <v>-8334</v>
      </c>
      <c r="E7247" t="s">
        <v>698</v>
      </c>
    </row>
    <row r="7248" spans="1:5" hidden="1" x14ac:dyDescent="0.3">
      <c r="A7248" t="s">
        <v>552</v>
      </c>
      <c r="B7248" t="s">
        <v>697</v>
      </c>
      <c r="C7248" t="s">
        <v>353</v>
      </c>
      <c r="D7248" s="226">
        <v>0</v>
      </c>
      <c r="E7248" t="s">
        <v>698</v>
      </c>
    </row>
    <row r="7249" spans="1:5" hidden="1" x14ac:dyDescent="0.3">
      <c r="A7249" t="s">
        <v>552</v>
      </c>
      <c r="B7249" t="s">
        <v>697</v>
      </c>
      <c r="C7249" t="s">
        <v>354</v>
      </c>
      <c r="D7249" s="226">
        <v>0</v>
      </c>
      <c r="E7249" t="s">
        <v>698</v>
      </c>
    </row>
    <row r="7250" spans="1:5" hidden="1" x14ac:dyDescent="0.3">
      <c r="A7250" t="s">
        <v>552</v>
      </c>
      <c r="B7250" t="s">
        <v>697</v>
      </c>
      <c r="C7250" t="s">
        <v>355</v>
      </c>
      <c r="D7250" s="226">
        <v>0</v>
      </c>
      <c r="E7250" t="s">
        <v>698</v>
      </c>
    </row>
    <row r="7251" spans="1:5" hidden="1" x14ac:dyDescent="0.3">
      <c r="A7251" t="s">
        <v>552</v>
      </c>
      <c r="B7251" t="s">
        <v>697</v>
      </c>
      <c r="C7251" t="s">
        <v>356</v>
      </c>
      <c r="D7251" s="226">
        <v>0</v>
      </c>
      <c r="E7251" t="s">
        <v>698</v>
      </c>
    </row>
    <row r="7252" spans="1:5" hidden="1" x14ac:dyDescent="0.3">
      <c r="A7252" t="s">
        <v>552</v>
      </c>
      <c r="B7252" t="s">
        <v>697</v>
      </c>
      <c r="C7252" t="s">
        <v>357</v>
      </c>
      <c r="D7252" s="226">
        <v>0</v>
      </c>
      <c r="E7252" t="s">
        <v>698</v>
      </c>
    </row>
    <row r="7253" spans="1:5" hidden="1" x14ac:dyDescent="0.3">
      <c r="A7253" t="s">
        <v>552</v>
      </c>
      <c r="B7253" t="s">
        <v>697</v>
      </c>
      <c r="C7253" t="s">
        <v>358</v>
      </c>
      <c r="D7253" s="226">
        <v>0</v>
      </c>
      <c r="E7253" t="s">
        <v>698</v>
      </c>
    </row>
    <row r="7254" spans="1:5" hidden="1" x14ac:dyDescent="0.3">
      <c r="A7254" t="s">
        <v>552</v>
      </c>
      <c r="B7254" t="s">
        <v>697</v>
      </c>
      <c r="C7254" t="s">
        <v>359</v>
      </c>
      <c r="D7254" s="226">
        <v>0</v>
      </c>
      <c r="E7254" t="s">
        <v>698</v>
      </c>
    </row>
    <row r="7255" spans="1:5" hidden="1" x14ac:dyDescent="0.3">
      <c r="A7255" t="s">
        <v>552</v>
      </c>
      <c r="B7255" t="s">
        <v>697</v>
      </c>
      <c r="C7255" t="s">
        <v>360</v>
      </c>
      <c r="D7255" s="226">
        <v>0</v>
      </c>
      <c r="E7255" t="s">
        <v>698</v>
      </c>
    </row>
    <row r="7256" spans="1:5" hidden="1" x14ac:dyDescent="0.3">
      <c r="A7256" t="s">
        <v>552</v>
      </c>
      <c r="B7256" t="s">
        <v>697</v>
      </c>
      <c r="C7256" t="s">
        <v>361</v>
      </c>
      <c r="D7256" s="226">
        <v>0</v>
      </c>
      <c r="E7256" t="s">
        <v>698</v>
      </c>
    </row>
    <row r="7257" spans="1:5" hidden="1" x14ac:dyDescent="0.3">
      <c r="A7257" t="s">
        <v>552</v>
      </c>
      <c r="B7257" t="s">
        <v>697</v>
      </c>
      <c r="C7257" t="s">
        <v>362</v>
      </c>
      <c r="D7257" s="226">
        <v>0</v>
      </c>
      <c r="E7257" t="s">
        <v>698</v>
      </c>
    </row>
    <row r="7258" spans="1:5" hidden="1" x14ac:dyDescent="0.3">
      <c r="A7258" t="s">
        <v>552</v>
      </c>
      <c r="B7258" t="s">
        <v>697</v>
      </c>
      <c r="C7258" t="s">
        <v>363</v>
      </c>
      <c r="D7258" s="226">
        <v>0</v>
      </c>
      <c r="E7258" t="s">
        <v>698</v>
      </c>
    </row>
    <row r="7259" spans="1:5" hidden="1" x14ac:dyDescent="0.3">
      <c r="A7259" t="s">
        <v>552</v>
      </c>
      <c r="B7259" t="s">
        <v>697</v>
      </c>
      <c r="C7259" t="s">
        <v>364</v>
      </c>
      <c r="D7259" s="226">
        <v>-2181.3000000000002</v>
      </c>
      <c r="E7259" t="s">
        <v>698</v>
      </c>
    </row>
    <row r="7260" spans="1:5" hidden="1" x14ac:dyDescent="0.3">
      <c r="A7260" t="s">
        <v>552</v>
      </c>
      <c r="B7260" t="s">
        <v>697</v>
      </c>
      <c r="C7260" t="s">
        <v>365</v>
      </c>
      <c r="D7260" s="226">
        <v>0</v>
      </c>
      <c r="E7260" t="s">
        <v>698</v>
      </c>
    </row>
    <row r="7261" spans="1:5" hidden="1" x14ac:dyDescent="0.3">
      <c r="A7261" t="s">
        <v>552</v>
      </c>
      <c r="B7261" t="s">
        <v>697</v>
      </c>
      <c r="C7261" t="s">
        <v>366</v>
      </c>
      <c r="D7261" s="226">
        <v>0</v>
      </c>
      <c r="E7261" t="s">
        <v>698</v>
      </c>
    </row>
    <row r="7262" spans="1:5" hidden="1" x14ac:dyDescent="0.3">
      <c r="A7262" t="s">
        <v>552</v>
      </c>
      <c r="B7262" t="s">
        <v>697</v>
      </c>
      <c r="C7262" t="s">
        <v>367</v>
      </c>
      <c r="D7262" s="226">
        <v>-11981.3</v>
      </c>
      <c r="E7262" t="s">
        <v>698</v>
      </c>
    </row>
    <row r="7263" spans="1:5" hidden="1" x14ac:dyDescent="0.3">
      <c r="A7263" t="s">
        <v>552</v>
      </c>
      <c r="B7263" t="s">
        <v>697</v>
      </c>
      <c r="C7263" t="s">
        <v>368</v>
      </c>
      <c r="D7263" s="226">
        <v>9800</v>
      </c>
      <c r="E7263" t="s">
        <v>698</v>
      </c>
    </row>
    <row r="7264" spans="1:5" hidden="1" x14ac:dyDescent="0.3">
      <c r="A7264" t="s">
        <v>552</v>
      </c>
      <c r="B7264" t="s">
        <v>697</v>
      </c>
      <c r="C7264" t="s">
        <v>369</v>
      </c>
      <c r="D7264" s="226">
        <v>0</v>
      </c>
      <c r="E7264" t="s">
        <v>698</v>
      </c>
    </row>
    <row r="7265" spans="1:5" hidden="1" x14ac:dyDescent="0.3">
      <c r="A7265" t="s">
        <v>552</v>
      </c>
      <c r="B7265" t="s">
        <v>697</v>
      </c>
      <c r="C7265" t="s">
        <v>370</v>
      </c>
      <c r="D7265" s="226">
        <v>0</v>
      </c>
      <c r="E7265" t="s">
        <v>698</v>
      </c>
    </row>
    <row r="7266" spans="1:5" hidden="1" x14ac:dyDescent="0.3">
      <c r="A7266" t="s">
        <v>552</v>
      </c>
      <c r="B7266" t="s">
        <v>697</v>
      </c>
      <c r="C7266" t="s">
        <v>371</v>
      </c>
      <c r="D7266" s="226">
        <v>0</v>
      </c>
      <c r="E7266" t="s">
        <v>698</v>
      </c>
    </row>
    <row r="7267" spans="1:5" hidden="1" x14ac:dyDescent="0.3">
      <c r="A7267" t="s">
        <v>552</v>
      </c>
      <c r="B7267" t="s">
        <v>697</v>
      </c>
      <c r="C7267" t="s">
        <v>372</v>
      </c>
      <c r="D7267" s="226">
        <v>-10515.3</v>
      </c>
      <c r="E7267" t="s">
        <v>698</v>
      </c>
    </row>
    <row r="7268" spans="1:5" hidden="1" x14ac:dyDescent="0.3">
      <c r="A7268" t="s">
        <v>552</v>
      </c>
      <c r="B7268" t="s">
        <v>697</v>
      </c>
      <c r="C7268" t="s">
        <v>373</v>
      </c>
      <c r="D7268" s="226">
        <v>194053.12</v>
      </c>
      <c r="E7268" t="s">
        <v>698</v>
      </c>
    </row>
    <row r="7269" spans="1:5" hidden="1" x14ac:dyDescent="0.3">
      <c r="A7269" t="s">
        <v>552</v>
      </c>
      <c r="B7269" t="s">
        <v>697</v>
      </c>
      <c r="C7269" t="s">
        <v>655</v>
      </c>
      <c r="D7269" s="226">
        <v>194053.12</v>
      </c>
      <c r="E7269" t="s">
        <v>698</v>
      </c>
    </row>
    <row r="7270" spans="1:5" hidden="1" x14ac:dyDescent="0.3">
      <c r="A7270" t="s">
        <v>552</v>
      </c>
      <c r="B7270" t="s">
        <v>699</v>
      </c>
      <c r="C7270" t="s">
        <v>11</v>
      </c>
      <c r="D7270" s="226">
        <v>1773594.37</v>
      </c>
      <c r="E7270" t="s">
        <v>700</v>
      </c>
    </row>
    <row r="7271" spans="1:5" hidden="1" x14ac:dyDescent="0.3">
      <c r="A7271" t="s">
        <v>552</v>
      </c>
      <c r="B7271" t="s">
        <v>699</v>
      </c>
      <c r="C7271" t="s">
        <v>13</v>
      </c>
      <c r="D7271" s="226">
        <v>894747.05</v>
      </c>
      <c r="E7271" t="s">
        <v>700</v>
      </c>
    </row>
    <row r="7272" spans="1:5" hidden="1" x14ac:dyDescent="0.3">
      <c r="A7272" t="s">
        <v>552</v>
      </c>
      <c r="B7272" t="s">
        <v>699</v>
      </c>
      <c r="C7272" t="s">
        <v>16</v>
      </c>
      <c r="D7272" s="226">
        <v>608526.05000000005</v>
      </c>
      <c r="E7272" t="s">
        <v>700</v>
      </c>
    </row>
    <row r="7273" spans="1:5" hidden="1" x14ac:dyDescent="0.3">
      <c r="A7273" t="s">
        <v>552</v>
      </c>
      <c r="B7273" t="s">
        <v>699</v>
      </c>
      <c r="C7273" t="s">
        <v>17</v>
      </c>
      <c r="D7273" s="226">
        <v>0</v>
      </c>
      <c r="E7273" t="s">
        <v>700</v>
      </c>
    </row>
    <row r="7274" spans="1:5" hidden="1" x14ac:dyDescent="0.3">
      <c r="A7274" t="s">
        <v>552</v>
      </c>
      <c r="B7274" t="s">
        <v>699</v>
      </c>
      <c r="C7274" t="s">
        <v>18</v>
      </c>
      <c r="D7274" s="226">
        <v>0</v>
      </c>
      <c r="E7274" t="s">
        <v>700</v>
      </c>
    </row>
    <row r="7275" spans="1:5" hidden="1" x14ac:dyDescent="0.3">
      <c r="A7275" t="s">
        <v>552</v>
      </c>
      <c r="B7275" t="s">
        <v>699</v>
      </c>
      <c r="C7275" t="s">
        <v>20</v>
      </c>
      <c r="D7275" s="226">
        <v>192366.13</v>
      </c>
      <c r="E7275" t="s">
        <v>700</v>
      </c>
    </row>
    <row r="7276" spans="1:5" hidden="1" x14ac:dyDescent="0.3">
      <c r="A7276" t="s">
        <v>552</v>
      </c>
      <c r="B7276" t="s">
        <v>699</v>
      </c>
      <c r="C7276" t="s">
        <v>23</v>
      </c>
      <c r="D7276" s="226">
        <v>39307.760000000002</v>
      </c>
      <c r="E7276" t="s">
        <v>700</v>
      </c>
    </row>
    <row r="7277" spans="1:5" hidden="1" x14ac:dyDescent="0.3">
      <c r="A7277" t="s">
        <v>552</v>
      </c>
      <c r="B7277" t="s">
        <v>699</v>
      </c>
      <c r="C7277" t="s">
        <v>25</v>
      </c>
      <c r="D7277" s="226">
        <v>0</v>
      </c>
      <c r="E7277" t="s">
        <v>700</v>
      </c>
    </row>
    <row r="7278" spans="1:5" hidden="1" x14ac:dyDescent="0.3">
      <c r="A7278" t="s">
        <v>552</v>
      </c>
      <c r="B7278" t="s">
        <v>699</v>
      </c>
      <c r="C7278" t="s">
        <v>26</v>
      </c>
      <c r="D7278" s="226">
        <v>11700</v>
      </c>
      <c r="E7278" t="s">
        <v>700</v>
      </c>
    </row>
    <row r="7279" spans="1:5" hidden="1" x14ac:dyDescent="0.3">
      <c r="A7279" t="s">
        <v>552</v>
      </c>
      <c r="B7279" t="s">
        <v>699</v>
      </c>
      <c r="C7279" t="s">
        <v>27</v>
      </c>
      <c r="D7279" s="226">
        <v>0</v>
      </c>
      <c r="E7279" t="s">
        <v>700</v>
      </c>
    </row>
    <row r="7280" spans="1:5" hidden="1" x14ac:dyDescent="0.3">
      <c r="A7280" t="s">
        <v>552</v>
      </c>
      <c r="B7280" t="s">
        <v>699</v>
      </c>
      <c r="C7280" t="s">
        <v>29</v>
      </c>
      <c r="D7280" s="226">
        <v>26110.38</v>
      </c>
      <c r="E7280" t="s">
        <v>700</v>
      </c>
    </row>
    <row r="7281" spans="1:5" hidden="1" x14ac:dyDescent="0.3">
      <c r="A7281" t="s">
        <v>552</v>
      </c>
      <c r="B7281" t="s">
        <v>699</v>
      </c>
      <c r="C7281" t="s">
        <v>31</v>
      </c>
      <c r="D7281" s="226">
        <v>837</v>
      </c>
      <c r="E7281" t="s">
        <v>700</v>
      </c>
    </row>
    <row r="7282" spans="1:5" hidden="1" x14ac:dyDescent="0.3">
      <c r="A7282" t="s">
        <v>552</v>
      </c>
      <c r="B7282" t="s">
        <v>699</v>
      </c>
      <c r="C7282" t="s">
        <v>34</v>
      </c>
      <c r="D7282" s="226">
        <v>-21504.76</v>
      </c>
      <c r="E7282" t="s">
        <v>700</v>
      </c>
    </row>
    <row r="7283" spans="1:5" hidden="1" x14ac:dyDescent="0.3">
      <c r="A7283" t="s">
        <v>552</v>
      </c>
      <c r="B7283" t="s">
        <v>699</v>
      </c>
      <c r="C7283" t="s">
        <v>38</v>
      </c>
      <c r="D7283" s="226">
        <v>-4361.3100000000004</v>
      </c>
      <c r="E7283" t="s">
        <v>700</v>
      </c>
    </row>
    <row r="7284" spans="1:5" hidden="1" x14ac:dyDescent="0.3">
      <c r="A7284" t="s">
        <v>552</v>
      </c>
      <c r="B7284" t="s">
        <v>699</v>
      </c>
      <c r="C7284" t="s">
        <v>40</v>
      </c>
      <c r="D7284" s="226">
        <v>-16860.45</v>
      </c>
      <c r="E7284" t="s">
        <v>700</v>
      </c>
    </row>
    <row r="7285" spans="1:5" hidden="1" x14ac:dyDescent="0.3">
      <c r="A7285" t="s">
        <v>552</v>
      </c>
      <c r="B7285" t="s">
        <v>699</v>
      </c>
      <c r="C7285" t="s">
        <v>42</v>
      </c>
      <c r="D7285" s="226">
        <v>-283</v>
      </c>
      <c r="E7285" t="s">
        <v>700</v>
      </c>
    </row>
    <row r="7286" spans="1:5" hidden="1" x14ac:dyDescent="0.3">
      <c r="A7286" t="s">
        <v>552</v>
      </c>
      <c r="B7286" t="s">
        <v>699</v>
      </c>
      <c r="C7286" t="s">
        <v>44</v>
      </c>
      <c r="D7286" s="226">
        <v>-0.01</v>
      </c>
      <c r="E7286" t="s">
        <v>700</v>
      </c>
    </row>
    <row r="7287" spans="1:5" hidden="1" x14ac:dyDescent="0.3">
      <c r="A7287" t="s">
        <v>552</v>
      </c>
      <c r="B7287" t="s">
        <v>699</v>
      </c>
      <c r="C7287" t="s">
        <v>45</v>
      </c>
      <c r="D7287" s="226">
        <v>-116582.23</v>
      </c>
      <c r="E7287" t="s">
        <v>700</v>
      </c>
    </row>
    <row r="7288" spans="1:5" hidden="1" x14ac:dyDescent="0.3">
      <c r="A7288" t="s">
        <v>552</v>
      </c>
      <c r="B7288" t="s">
        <v>699</v>
      </c>
      <c r="C7288" t="s">
        <v>46</v>
      </c>
      <c r="D7288" s="226">
        <v>-62516.54</v>
      </c>
      <c r="E7288" t="s">
        <v>700</v>
      </c>
    </row>
    <row r="7289" spans="1:5" hidden="1" x14ac:dyDescent="0.3">
      <c r="A7289" t="s">
        <v>552</v>
      </c>
      <c r="B7289" t="s">
        <v>699</v>
      </c>
      <c r="C7289" t="s">
        <v>48</v>
      </c>
      <c r="D7289" s="226">
        <v>-53480.69</v>
      </c>
      <c r="E7289" t="s">
        <v>700</v>
      </c>
    </row>
    <row r="7290" spans="1:5" hidden="1" x14ac:dyDescent="0.3">
      <c r="A7290" t="s">
        <v>552</v>
      </c>
      <c r="B7290" t="s">
        <v>699</v>
      </c>
      <c r="C7290" t="s">
        <v>49</v>
      </c>
      <c r="D7290" s="226">
        <v>-585</v>
      </c>
      <c r="E7290" t="s">
        <v>700</v>
      </c>
    </row>
    <row r="7291" spans="1:5" hidden="1" x14ac:dyDescent="0.3">
      <c r="A7291" t="s">
        <v>552</v>
      </c>
      <c r="B7291" t="s">
        <v>699</v>
      </c>
      <c r="C7291" t="s">
        <v>50</v>
      </c>
      <c r="D7291" s="226">
        <v>1635507.38</v>
      </c>
      <c r="E7291" t="s">
        <v>700</v>
      </c>
    </row>
    <row r="7292" spans="1:5" hidden="1" x14ac:dyDescent="0.3">
      <c r="A7292" t="s">
        <v>552</v>
      </c>
      <c r="B7292" t="s">
        <v>699</v>
      </c>
      <c r="C7292" t="s">
        <v>51</v>
      </c>
      <c r="D7292" s="226">
        <v>-411568.1</v>
      </c>
      <c r="E7292" t="s">
        <v>700</v>
      </c>
    </row>
    <row r="7293" spans="1:5" hidden="1" x14ac:dyDescent="0.3">
      <c r="A7293" t="s">
        <v>552</v>
      </c>
      <c r="B7293" t="s">
        <v>699</v>
      </c>
      <c r="C7293" t="s">
        <v>52</v>
      </c>
      <c r="D7293" s="226">
        <v>-271588.59000000003</v>
      </c>
      <c r="E7293" t="s">
        <v>700</v>
      </c>
    </row>
    <row r="7294" spans="1:5" hidden="1" x14ac:dyDescent="0.3">
      <c r="A7294" t="s">
        <v>552</v>
      </c>
      <c r="B7294" t="s">
        <v>699</v>
      </c>
      <c r="C7294" t="s">
        <v>53</v>
      </c>
      <c r="D7294" s="226">
        <v>-137968.38</v>
      </c>
      <c r="E7294" t="s">
        <v>700</v>
      </c>
    </row>
    <row r="7295" spans="1:5" hidden="1" x14ac:dyDescent="0.3">
      <c r="A7295" t="s">
        <v>552</v>
      </c>
      <c r="B7295" t="s">
        <v>699</v>
      </c>
      <c r="C7295" t="s">
        <v>54</v>
      </c>
      <c r="D7295" s="226">
        <v>-2011.13</v>
      </c>
      <c r="E7295" t="s">
        <v>700</v>
      </c>
    </row>
    <row r="7296" spans="1:5" hidden="1" x14ac:dyDescent="0.3">
      <c r="A7296" t="s">
        <v>552</v>
      </c>
      <c r="B7296" t="s">
        <v>699</v>
      </c>
      <c r="C7296" t="s">
        <v>23</v>
      </c>
      <c r="D7296" s="226">
        <v>0</v>
      </c>
      <c r="E7296" t="s">
        <v>700</v>
      </c>
    </row>
    <row r="7297" spans="1:5" hidden="1" x14ac:dyDescent="0.3">
      <c r="A7297" t="s">
        <v>552</v>
      </c>
      <c r="B7297" t="s">
        <v>699</v>
      </c>
      <c r="C7297" t="s">
        <v>44</v>
      </c>
      <c r="D7297" s="226">
        <v>-0.26</v>
      </c>
      <c r="E7297" t="s">
        <v>700</v>
      </c>
    </row>
    <row r="7298" spans="1:5" hidden="1" x14ac:dyDescent="0.3">
      <c r="A7298" t="s">
        <v>552</v>
      </c>
      <c r="B7298" t="s">
        <v>699</v>
      </c>
      <c r="C7298" t="s">
        <v>55</v>
      </c>
      <c r="D7298" s="226">
        <v>-0.25</v>
      </c>
      <c r="E7298" t="s">
        <v>700</v>
      </c>
    </row>
    <row r="7299" spans="1:5" hidden="1" x14ac:dyDescent="0.3">
      <c r="A7299" t="s">
        <v>552</v>
      </c>
      <c r="B7299" t="s">
        <v>699</v>
      </c>
      <c r="C7299" t="s">
        <v>56</v>
      </c>
      <c r="D7299" s="226">
        <v>-700</v>
      </c>
      <c r="E7299" t="s">
        <v>700</v>
      </c>
    </row>
    <row r="7300" spans="1:5" hidden="1" x14ac:dyDescent="0.3">
      <c r="A7300" t="s">
        <v>552</v>
      </c>
      <c r="B7300" t="s">
        <v>699</v>
      </c>
      <c r="C7300" t="s">
        <v>57</v>
      </c>
      <c r="D7300" s="226">
        <v>0</v>
      </c>
      <c r="E7300" t="s">
        <v>700</v>
      </c>
    </row>
    <row r="7301" spans="1:5" hidden="1" x14ac:dyDescent="0.3">
      <c r="A7301" t="s">
        <v>552</v>
      </c>
      <c r="B7301" t="s">
        <v>699</v>
      </c>
      <c r="C7301" t="s">
        <v>58</v>
      </c>
      <c r="D7301" s="226">
        <v>0</v>
      </c>
      <c r="E7301" t="s">
        <v>700</v>
      </c>
    </row>
    <row r="7302" spans="1:5" hidden="1" x14ac:dyDescent="0.3">
      <c r="A7302" t="s">
        <v>552</v>
      </c>
      <c r="B7302" t="s">
        <v>699</v>
      </c>
      <c r="C7302" t="s">
        <v>59</v>
      </c>
      <c r="D7302" s="226">
        <v>0</v>
      </c>
      <c r="E7302" t="s">
        <v>700</v>
      </c>
    </row>
    <row r="7303" spans="1:5" hidden="1" x14ac:dyDescent="0.3">
      <c r="A7303" t="s">
        <v>552</v>
      </c>
      <c r="B7303" t="s">
        <v>699</v>
      </c>
      <c r="C7303" t="s">
        <v>61</v>
      </c>
      <c r="D7303" s="226">
        <v>0</v>
      </c>
      <c r="E7303" t="s">
        <v>700</v>
      </c>
    </row>
    <row r="7304" spans="1:5" hidden="1" x14ac:dyDescent="0.3">
      <c r="A7304" t="s">
        <v>552</v>
      </c>
      <c r="B7304" t="s">
        <v>699</v>
      </c>
      <c r="C7304" t="s">
        <v>62</v>
      </c>
      <c r="D7304" s="226">
        <v>0</v>
      </c>
      <c r="E7304" t="s">
        <v>700</v>
      </c>
    </row>
    <row r="7305" spans="1:5" hidden="1" x14ac:dyDescent="0.3">
      <c r="A7305" t="s">
        <v>552</v>
      </c>
      <c r="B7305" t="s">
        <v>699</v>
      </c>
      <c r="C7305" t="s">
        <v>64</v>
      </c>
      <c r="D7305" s="226">
        <v>0</v>
      </c>
      <c r="E7305" t="s">
        <v>700</v>
      </c>
    </row>
    <row r="7306" spans="1:5" hidden="1" x14ac:dyDescent="0.3">
      <c r="A7306" t="s">
        <v>552</v>
      </c>
      <c r="B7306" t="s">
        <v>699</v>
      </c>
      <c r="C7306" t="s">
        <v>65</v>
      </c>
      <c r="D7306" s="226">
        <v>-700</v>
      </c>
      <c r="E7306" t="s">
        <v>700</v>
      </c>
    </row>
    <row r="7307" spans="1:5" hidden="1" x14ac:dyDescent="0.3">
      <c r="A7307" t="s">
        <v>552</v>
      </c>
      <c r="B7307" t="s">
        <v>699</v>
      </c>
      <c r="C7307" t="s">
        <v>66</v>
      </c>
      <c r="D7307" s="226">
        <v>-700</v>
      </c>
      <c r="E7307" t="s">
        <v>700</v>
      </c>
    </row>
    <row r="7308" spans="1:5" hidden="1" x14ac:dyDescent="0.3">
      <c r="A7308" t="s">
        <v>552</v>
      </c>
      <c r="B7308" t="s">
        <v>699</v>
      </c>
      <c r="C7308" t="s">
        <v>68</v>
      </c>
      <c r="D7308" s="226">
        <v>0</v>
      </c>
      <c r="E7308" t="s">
        <v>700</v>
      </c>
    </row>
    <row r="7309" spans="1:5" hidden="1" x14ac:dyDescent="0.3">
      <c r="A7309" t="s">
        <v>552</v>
      </c>
      <c r="B7309" t="s">
        <v>699</v>
      </c>
      <c r="C7309" t="s">
        <v>69</v>
      </c>
      <c r="D7309" s="226">
        <v>0</v>
      </c>
      <c r="E7309" t="s">
        <v>700</v>
      </c>
    </row>
    <row r="7310" spans="1:5" hidden="1" x14ac:dyDescent="0.3">
      <c r="A7310" t="s">
        <v>552</v>
      </c>
      <c r="B7310" t="s">
        <v>699</v>
      </c>
      <c r="C7310" t="s">
        <v>70</v>
      </c>
      <c r="D7310" s="226">
        <v>0</v>
      </c>
      <c r="E7310" t="s">
        <v>700</v>
      </c>
    </row>
    <row r="7311" spans="1:5" hidden="1" x14ac:dyDescent="0.3">
      <c r="A7311" t="s">
        <v>552</v>
      </c>
      <c r="B7311" t="s">
        <v>699</v>
      </c>
      <c r="C7311" t="s">
        <v>44</v>
      </c>
      <c r="D7311" s="226">
        <v>0</v>
      </c>
      <c r="E7311" t="s">
        <v>700</v>
      </c>
    </row>
    <row r="7312" spans="1:5" hidden="1" x14ac:dyDescent="0.3">
      <c r="A7312" t="s">
        <v>552</v>
      </c>
      <c r="B7312" t="s">
        <v>699</v>
      </c>
      <c r="C7312" t="s">
        <v>71</v>
      </c>
      <c r="D7312" s="226">
        <v>-2813.15</v>
      </c>
      <c r="E7312" t="s">
        <v>700</v>
      </c>
    </row>
    <row r="7313" spans="1:5" hidden="1" x14ac:dyDescent="0.3">
      <c r="A7313" t="s">
        <v>552</v>
      </c>
      <c r="B7313" t="s">
        <v>699</v>
      </c>
      <c r="C7313" t="s">
        <v>72</v>
      </c>
      <c r="D7313" s="226">
        <v>-2813.15</v>
      </c>
      <c r="E7313" t="s">
        <v>700</v>
      </c>
    </row>
    <row r="7314" spans="1:5" hidden="1" x14ac:dyDescent="0.3">
      <c r="A7314" t="s">
        <v>552</v>
      </c>
      <c r="B7314" t="s">
        <v>699</v>
      </c>
      <c r="C7314" t="s">
        <v>73</v>
      </c>
      <c r="D7314" s="226">
        <v>-2000</v>
      </c>
      <c r="E7314" t="s">
        <v>700</v>
      </c>
    </row>
    <row r="7315" spans="1:5" hidden="1" x14ac:dyDescent="0.3">
      <c r="A7315" t="s">
        <v>552</v>
      </c>
      <c r="B7315" t="s">
        <v>699</v>
      </c>
      <c r="C7315" t="s">
        <v>75</v>
      </c>
      <c r="D7315" s="226">
        <v>-813.15</v>
      </c>
      <c r="E7315" t="s">
        <v>700</v>
      </c>
    </row>
    <row r="7316" spans="1:5" hidden="1" x14ac:dyDescent="0.3">
      <c r="A7316" t="s">
        <v>552</v>
      </c>
      <c r="B7316" t="s">
        <v>699</v>
      </c>
      <c r="C7316" t="s">
        <v>77</v>
      </c>
      <c r="D7316" s="226">
        <v>0</v>
      </c>
      <c r="E7316" t="s">
        <v>700</v>
      </c>
    </row>
    <row r="7317" spans="1:5" hidden="1" x14ac:dyDescent="0.3">
      <c r="A7317" t="s">
        <v>552</v>
      </c>
      <c r="B7317" t="s">
        <v>699</v>
      </c>
      <c r="C7317" t="s">
        <v>78</v>
      </c>
      <c r="D7317" s="226">
        <v>0</v>
      </c>
      <c r="E7317" t="s">
        <v>700</v>
      </c>
    </row>
    <row r="7318" spans="1:5" hidden="1" x14ac:dyDescent="0.3">
      <c r="A7318" t="s">
        <v>552</v>
      </c>
      <c r="B7318" t="s">
        <v>699</v>
      </c>
      <c r="C7318" t="s">
        <v>80</v>
      </c>
      <c r="D7318" s="226">
        <v>0</v>
      </c>
      <c r="E7318" t="s">
        <v>700</v>
      </c>
    </row>
    <row r="7319" spans="1:5" hidden="1" x14ac:dyDescent="0.3">
      <c r="A7319" t="s">
        <v>552</v>
      </c>
      <c r="B7319" t="s">
        <v>699</v>
      </c>
      <c r="C7319" t="s">
        <v>82</v>
      </c>
      <c r="D7319" s="226">
        <v>0</v>
      </c>
      <c r="E7319" t="s">
        <v>700</v>
      </c>
    </row>
    <row r="7320" spans="1:5" hidden="1" x14ac:dyDescent="0.3">
      <c r="A7320" t="s">
        <v>552</v>
      </c>
      <c r="B7320" t="s">
        <v>699</v>
      </c>
      <c r="C7320" t="s">
        <v>84</v>
      </c>
      <c r="D7320" s="226">
        <v>0</v>
      </c>
      <c r="E7320" t="s">
        <v>700</v>
      </c>
    </row>
    <row r="7321" spans="1:5" hidden="1" x14ac:dyDescent="0.3">
      <c r="A7321" t="s">
        <v>552</v>
      </c>
      <c r="B7321" t="s">
        <v>699</v>
      </c>
      <c r="C7321" t="s">
        <v>85</v>
      </c>
      <c r="D7321" s="226">
        <v>0</v>
      </c>
      <c r="E7321" t="s">
        <v>700</v>
      </c>
    </row>
    <row r="7322" spans="1:5" hidden="1" x14ac:dyDescent="0.3">
      <c r="A7322" t="s">
        <v>552</v>
      </c>
      <c r="B7322" t="s">
        <v>699</v>
      </c>
      <c r="C7322" t="s">
        <v>86</v>
      </c>
      <c r="D7322" s="226">
        <v>0</v>
      </c>
      <c r="E7322" t="s">
        <v>700</v>
      </c>
    </row>
    <row r="7323" spans="1:5" hidden="1" x14ac:dyDescent="0.3">
      <c r="A7323" t="s">
        <v>552</v>
      </c>
      <c r="B7323" t="s">
        <v>699</v>
      </c>
      <c r="C7323" t="s">
        <v>87</v>
      </c>
      <c r="D7323" s="226">
        <v>0</v>
      </c>
      <c r="E7323" t="s">
        <v>700</v>
      </c>
    </row>
    <row r="7324" spans="1:5" hidden="1" x14ac:dyDescent="0.3">
      <c r="A7324" t="s">
        <v>552</v>
      </c>
      <c r="B7324" t="s">
        <v>699</v>
      </c>
      <c r="C7324" t="s">
        <v>88</v>
      </c>
      <c r="D7324" s="226">
        <v>0</v>
      </c>
      <c r="E7324" t="s">
        <v>700</v>
      </c>
    </row>
    <row r="7325" spans="1:5" hidden="1" x14ac:dyDescent="0.3">
      <c r="A7325" t="s">
        <v>552</v>
      </c>
      <c r="B7325" t="s">
        <v>699</v>
      </c>
      <c r="C7325" t="s">
        <v>89</v>
      </c>
      <c r="D7325" s="226">
        <v>0</v>
      </c>
      <c r="E7325" t="s">
        <v>700</v>
      </c>
    </row>
    <row r="7326" spans="1:5" hidden="1" x14ac:dyDescent="0.3">
      <c r="A7326" t="s">
        <v>552</v>
      </c>
      <c r="B7326" t="s">
        <v>699</v>
      </c>
      <c r="C7326" t="s">
        <v>90</v>
      </c>
      <c r="D7326" s="226">
        <v>0</v>
      </c>
      <c r="E7326" t="s">
        <v>700</v>
      </c>
    </row>
    <row r="7327" spans="1:5" hidden="1" x14ac:dyDescent="0.3">
      <c r="A7327" t="s">
        <v>552</v>
      </c>
      <c r="B7327" t="s">
        <v>699</v>
      </c>
      <c r="C7327" t="s">
        <v>91</v>
      </c>
      <c r="D7327" s="226">
        <v>0</v>
      </c>
      <c r="E7327" t="s">
        <v>700</v>
      </c>
    </row>
    <row r="7328" spans="1:5" hidden="1" x14ac:dyDescent="0.3">
      <c r="A7328" t="s">
        <v>552</v>
      </c>
      <c r="B7328" t="s">
        <v>699</v>
      </c>
      <c r="C7328" t="s">
        <v>93</v>
      </c>
      <c r="D7328" s="226">
        <v>0</v>
      </c>
      <c r="E7328" t="s">
        <v>700</v>
      </c>
    </row>
    <row r="7329" spans="1:5" hidden="1" x14ac:dyDescent="0.3">
      <c r="A7329" t="s">
        <v>552</v>
      </c>
      <c r="B7329" t="s">
        <v>699</v>
      </c>
      <c r="C7329" t="s">
        <v>95</v>
      </c>
      <c r="D7329" s="226">
        <v>0</v>
      </c>
      <c r="E7329" t="s">
        <v>700</v>
      </c>
    </row>
    <row r="7330" spans="1:5" hidden="1" x14ac:dyDescent="0.3">
      <c r="A7330" t="s">
        <v>552</v>
      </c>
      <c r="B7330" t="s">
        <v>699</v>
      </c>
      <c r="C7330" t="s">
        <v>96</v>
      </c>
      <c r="D7330" s="226">
        <v>0</v>
      </c>
      <c r="E7330" t="s">
        <v>700</v>
      </c>
    </row>
    <row r="7331" spans="1:5" hidden="1" x14ac:dyDescent="0.3">
      <c r="A7331" t="s">
        <v>552</v>
      </c>
      <c r="B7331" t="s">
        <v>699</v>
      </c>
      <c r="C7331" t="s">
        <v>98</v>
      </c>
      <c r="D7331" s="226">
        <v>0</v>
      </c>
      <c r="E7331" t="s">
        <v>700</v>
      </c>
    </row>
    <row r="7332" spans="1:5" hidden="1" x14ac:dyDescent="0.3">
      <c r="A7332" t="s">
        <v>552</v>
      </c>
      <c r="B7332" t="s">
        <v>699</v>
      </c>
      <c r="C7332" t="s">
        <v>100</v>
      </c>
      <c r="D7332" s="226">
        <v>0</v>
      </c>
      <c r="E7332" t="s">
        <v>700</v>
      </c>
    </row>
    <row r="7333" spans="1:5" hidden="1" x14ac:dyDescent="0.3">
      <c r="A7333" t="s">
        <v>552</v>
      </c>
      <c r="B7333" t="s">
        <v>699</v>
      </c>
      <c r="C7333" t="s">
        <v>101</v>
      </c>
      <c r="D7333" s="226">
        <v>0</v>
      </c>
      <c r="E7333" t="s">
        <v>700</v>
      </c>
    </row>
    <row r="7334" spans="1:5" hidden="1" x14ac:dyDescent="0.3">
      <c r="A7334" t="s">
        <v>552</v>
      </c>
      <c r="B7334" t="s">
        <v>699</v>
      </c>
      <c r="C7334" t="s">
        <v>102</v>
      </c>
      <c r="D7334" s="226">
        <v>0</v>
      </c>
      <c r="E7334" t="s">
        <v>700</v>
      </c>
    </row>
    <row r="7335" spans="1:5" hidden="1" x14ac:dyDescent="0.3">
      <c r="A7335" t="s">
        <v>552</v>
      </c>
      <c r="B7335" t="s">
        <v>699</v>
      </c>
      <c r="C7335" t="s">
        <v>103</v>
      </c>
      <c r="D7335" s="226">
        <v>0</v>
      </c>
      <c r="E7335" t="s">
        <v>700</v>
      </c>
    </row>
    <row r="7336" spans="1:5" hidden="1" x14ac:dyDescent="0.3">
      <c r="A7336" t="s">
        <v>552</v>
      </c>
      <c r="B7336" t="s">
        <v>699</v>
      </c>
      <c r="C7336" t="s">
        <v>104</v>
      </c>
      <c r="D7336" s="226">
        <v>0</v>
      </c>
      <c r="E7336" t="s">
        <v>700</v>
      </c>
    </row>
    <row r="7337" spans="1:5" hidden="1" x14ac:dyDescent="0.3">
      <c r="A7337" t="s">
        <v>552</v>
      </c>
      <c r="B7337" t="s">
        <v>699</v>
      </c>
      <c r="C7337" t="s">
        <v>105</v>
      </c>
      <c r="D7337" s="226">
        <v>0</v>
      </c>
      <c r="E7337" t="s">
        <v>700</v>
      </c>
    </row>
    <row r="7338" spans="1:5" hidden="1" x14ac:dyDescent="0.3">
      <c r="A7338" t="s">
        <v>552</v>
      </c>
      <c r="B7338" t="s">
        <v>699</v>
      </c>
      <c r="C7338" t="s">
        <v>107</v>
      </c>
      <c r="D7338" s="226">
        <v>0</v>
      </c>
      <c r="E7338" t="s">
        <v>700</v>
      </c>
    </row>
    <row r="7339" spans="1:5" hidden="1" x14ac:dyDescent="0.3">
      <c r="A7339" t="s">
        <v>552</v>
      </c>
      <c r="B7339" t="s">
        <v>699</v>
      </c>
      <c r="C7339" t="s">
        <v>108</v>
      </c>
      <c r="D7339" s="226">
        <v>0</v>
      </c>
      <c r="E7339" t="s">
        <v>700</v>
      </c>
    </row>
    <row r="7340" spans="1:5" hidden="1" x14ac:dyDescent="0.3">
      <c r="A7340" t="s">
        <v>552</v>
      </c>
      <c r="B7340" t="s">
        <v>699</v>
      </c>
      <c r="C7340" t="s">
        <v>109</v>
      </c>
      <c r="D7340" s="226">
        <v>0</v>
      </c>
      <c r="E7340" t="s">
        <v>700</v>
      </c>
    </row>
    <row r="7341" spans="1:5" hidden="1" x14ac:dyDescent="0.3">
      <c r="A7341" t="s">
        <v>552</v>
      </c>
      <c r="B7341" t="s">
        <v>699</v>
      </c>
      <c r="C7341" t="s">
        <v>110</v>
      </c>
      <c r="D7341" s="226">
        <v>-0.06</v>
      </c>
      <c r="E7341" t="s">
        <v>700</v>
      </c>
    </row>
    <row r="7342" spans="1:5" hidden="1" x14ac:dyDescent="0.3">
      <c r="A7342" t="s">
        <v>552</v>
      </c>
      <c r="B7342" t="s">
        <v>699</v>
      </c>
      <c r="C7342" t="s">
        <v>44</v>
      </c>
      <c r="D7342" s="226">
        <v>0</v>
      </c>
      <c r="E7342" t="s">
        <v>700</v>
      </c>
    </row>
    <row r="7343" spans="1:5" hidden="1" x14ac:dyDescent="0.3">
      <c r="A7343" t="s">
        <v>552</v>
      </c>
      <c r="B7343" t="s">
        <v>699</v>
      </c>
      <c r="C7343" t="s">
        <v>111</v>
      </c>
      <c r="D7343" s="226">
        <v>-100041.68</v>
      </c>
      <c r="E7343" t="s">
        <v>700</v>
      </c>
    </row>
    <row r="7344" spans="1:5" hidden="1" x14ac:dyDescent="0.3">
      <c r="A7344" t="s">
        <v>552</v>
      </c>
      <c r="B7344" t="s">
        <v>699</v>
      </c>
      <c r="C7344" t="s">
        <v>555</v>
      </c>
      <c r="D7344" s="226">
        <v>-100041.68</v>
      </c>
      <c r="E7344" t="s">
        <v>700</v>
      </c>
    </row>
    <row r="7345" spans="1:5" hidden="1" x14ac:dyDescent="0.3">
      <c r="A7345" t="s">
        <v>552</v>
      </c>
      <c r="B7345" t="s">
        <v>699</v>
      </c>
      <c r="C7345" t="s">
        <v>44</v>
      </c>
      <c r="D7345" s="226">
        <v>-0.06</v>
      </c>
      <c r="E7345" t="s">
        <v>700</v>
      </c>
    </row>
    <row r="7346" spans="1:5" hidden="1" x14ac:dyDescent="0.3">
      <c r="A7346" t="s">
        <v>552</v>
      </c>
      <c r="B7346" t="s">
        <v>699</v>
      </c>
      <c r="C7346" t="s">
        <v>115</v>
      </c>
      <c r="D7346" s="226">
        <v>-31593.78</v>
      </c>
      <c r="E7346" t="s">
        <v>700</v>
      </c>
    </row>
    <row r="7347" spans="1:5" hidden="1" x14ac:dyDescent="0.3">
      <c r="A7347" t="s">
        <v>552</v>
      </c>
      <c r="B7347" t="s">
        <v>699</v>
      </c>
      <c r="C7347" t="s">
        <v>116</v>
      </c>
      <c r="D7347" s="226">
        <v>-21541.81</v>
      </c>
      <c r="E7347" t="s">
        <v>700</v>
      </c>
    </row>
    <row r="7348" spans="1:5" hidden="1" x14ac:dyDescent="0.3">
      <c r="A7348" t="s">
        <v>552</v>
      </c>
      <c r="B7348" t="s">
        <v>699</v>
      </c>
      <c r="C7348" t="s">
        <v>118</v>
      </c>
      <c r="D7348" s="226">
        <v>-9908.9699999999993</v>
      </c>
      <c r="E7348" t="s">
        <v>700</v>
      </c>
    </row>
    <row r="7349" spans="1:5" hidden="1" x14ac:dyDescent="0.3">
      <c r="A7349" t="s">
        <v>552</v>
      </c>
      <c r="B7349" t="s">
        <v>699</v>
      </c>
      <c r="C7349" t="s">
        <v>120</v>
      </c>
      <c r="D7349" s="226">
        <v>0</v>
      </c>
      <c r="E7349" t="s">
        <v>700</v>
      </c>
    </row>
    <row r="7350" spans="1:5" hidden="1" x14ac:dyDescent="0.3">
      <c r="A7350" t="s">
        <v>552</v>
      </c>
      <c r="B7350" t="s">
        <v>699</v>
      </c>
      <c r="C7350" t="s">
        <v>122</v>
      </c>
      <c r="D7350" s="226">
        <v>-143</v>
      </c>
      <c r="E7350" t="s">
        <v>700</v>
      </c>
    </row>
    <row r="7351" spans="1:5" hidden="1" x14ac:dyDescent="0.3">
      <c r="A7351" t="s">
        <v>552</v>
      </c>
      <c r="B7351" t="s">
        <v>699</v>
      </c>
      <c r="C7351" t="s">
        <v>44</v>
      </c>
      <c r="D7351" s="226">
        <v>-0.02</v>
      </c>
      <c r="E7351" t="s">
        <v>700</v>
      </c>
    </row>
    <row r="7352" spans="1:5" hidden="1" x14ac:dyDescent="0.3">
      <c r="A7352" t="s">
        <v>552</v>
      </c>
      <c r="B7352" t="s">
        <v>699</v>
      </c>
      <c r="C7352" t="s">
        <v>125</v>
      </c>
      <c r="D7352" s="226">
        <v>1088790.67</v>
      </c>
      <c r="E7352" t="s">
        <v>700</v>
      </c>
    </row>
    <row r="7353" spans="1:5" hidden="1" x14ac:dyDescent="0.3">
      <c r="A7353" t="s">
        <v>552</v>
      </c>
      <c r="B7353" t="s">
        <v>699</v>
      </c>
      <c r="C7353" t="s">
        <v>126</v>
      </c>
      <c r="D7353" s="226">
        <v>0.61</v>
      </c>
      <c r="E7353" t="s">
        <v>700</v>
      </c>
    </row>
    <row r="7354" spans="1:5" hidden="1" x14ac:dyDescent="0.3">
      <c r="A7354" t="s">
        <v>552</v>
      </c>
      <c r="B7354" t="s">
        <v>699</v>
      </c>
      <c r="C7354" t="s">
        <v>127</v>
      </c>
      <c r="D7354" s="226">
        <v>-365494.89</v>
      </c>
      <c r="E7354" t="s">
        <v>700</v>
      </c>
    </row>
    <row r="7355" spans="1:5" hidden="1" x14ac:dyDescent="0.3">
      <c r="A7355" t="s">
        <v>552</v>
      </c>
      <c r="B7355" t="s">
        <v>699</v>
      </c>
      <c r="C7355" t="s">
        <v>128</v>
      </c>
      <c r="D7355" s="226">
        <v>-51116</v>
      </c>
      <c r="E7355" t="s">
        <v>700</v>
      </c>
    </row>
    <row r="7356" spans="1:5" hidden="1" x14ac:dyDescent="0.3">
      <c r="A7356" t="s">
        <v>552</v>
      </c>
      <c r="B7356" t="s">
        <v>699</v>
      </c>
      <c r="C7356" t="s">
        <v>556</v>
      </c>
      <c r="D7356" s="226">
        <v>-11416</v>
      </c>
      <c r="E7356" t="s">
        <v>700</v>
      </c>
    </row>
    <row r="7357" spans="1:5" hidden="1" x14ac:dyDescent="0.3">
      <c r="A7357" t="s">
        <v>552</v>
      </c>
      <c r="B7357" t="s">
        <v>699</v>
      </c>
      <c r="C7357" t="s">
        <v>557</v>
      </c>
      <c r="D7357" s="226">
        <v>-6600</v>
      </c>
      <c r="E7357" t="s">
        <v>700</v>
      </c>
    </row>
    <row r="7358" spans="1:5" hidden="1" x14ac:dyDescent="0.3">
      <c r="A7358" t="s">
        <v>552</v>
      </c>
      <c r="B7358" t="s">
        <v>699</v>
      </c>
      <c r="C7358" t="s">
        <v>558</v>
      </c>
      <c r="D7358" s="226">
        <v>0</v>
      </c>
      <c r="E7358" t="s">
        <v>700</v>
      </c>
    </row>
    <row r="7359" spans="1:5" hidden="1" x14ac:dyDescent="0.3">
      <c r="A7359" t="s">
        <v>552</v>
      </c>
      <c r="B7359" t="s">
        <v>699</v>
      </c>
      <c r="C7359" t="s">
        <v>559</v>
      </c>
      <c r="D7359" s="226">
        <v>-16800</v>
      </c>
      <c r="E7359" t="s">
        <v>700</v>
      </c>
    </row>
    <row r="7360" spans="1:5" hidden="1" x14ac:dyDescent="0.3">
      <c r="A7360" t="s">
        <v>552</v>
      </c>
      <c r="B7360" t="s">
        <v>699</v>
      </c>
      <c r="C7360" t="s">
        <v>560</v>
      </c>
      <c r="D7360" s="226">
        <v>-3100</v>
      </c>
      <c r="E7360" t="s">
        <v>700</v>
      </c>
    </row>
    <row r="7361" spans="1:5" hidden="1" x14ac:dyDescent="0.3">
      <c r="A7361" t="s">
        <v>552</v>
      </c>
      <c r="B7361" t="s">
        <v>699</v>
      </c>
      <c r="C7361" t="s">
        <v>561</v>
      </c>
      <c r="D7361" s="226">
        <v>-9200</v>
      </c>
      <c r="E7361" t="s">
        <v>700</v>
      </c>
    </row>
    <row r="7362" spans="1:5" hidden="1" x14ac:dyDescent="0.3">
      <c r="A7362" t="s">
        <v>552</v>
      </c>
      <c r="B7362" t="s">
        <v>699</v>
      </c>
      <c r="C7362" t="s">
        <v>562</v>
      </c>
      <c r="D7362" s="226">
        <v>-4000</v>
      </c>
      <c r="E7362" t="s">
        <v>700</v>
      </c>
    </row>
    <row r="7363" spans="1:5" hidden="1" x14ac:dyDescent="0.3">
      <c r="A7363" t="s">
        <v>552</v>
      </c>
      <c r="B7363" t="s">
        <v>699</v>
      </c>
      <c r="C7363" t="s">
        <v>563</v>
      </c>
      <c r="D7363" s="226">
        <v>0</v>
      </c>
      <c r="E7363" t="s">
        <v>700</v>
      </c>
    </row>
    <row r="7364" spans="1:5" hidden="1" x14ac:dyDescent="0.3">
      <c r="A7364" t="s">
        <v>552</v>
      </c>
      <c r="B7364" t="s">
        <v>699</v>
      </c>
      <c r="C7364" t="s">
        <v>564</v>
      </c>
      <c r="D7364" s="226">
        <v>0</v>
      </c>
      <c r="E7364" t="s">
        <v>700</v>
      </c>
    </row>
    <row r="7365" spans="1:5" hidden="1" x14ac:dyDescent="0.3">
      <c r="A7365" t="s">
        <v>552</v>
      </c>
      <c r="B7365" t="s">
        <v>699</v>
      </c>
      <c r="C7365" t="s">
        <v>565</v>
      </c>
      <c r="D7365" s="226">
        <v>0</v>
      </c>
      <c r="E7365" t="s">
        <v>700</v>
      </c>
    </row>
    <row r="7366" spans="1:5" hidden="1" x14ac:dyDescent="0.3">
      <c r="A7366" t="s">
        <v>552</v>
      </c>
      <c r="B7366" t="s">
        <v>699</v>
      </c>
      <c r="C7366" t="s">
        <v>566</v>
      </c>
      <c r="D7366" s="226">
        <v>0</v>
      </c>
      <c r="E7366" t="s">
        <v>700</v>
      </c>
    </row>
    <row r="7367" spans="1:5" hidden="1" x14ac:dyDescent="0.3">
      <c r="A7367" t="s">
        <v>552</v>
      </c>
      <c r="B7367" t="s">
        <v>699</v>
      </c>
      <c r="C7367" t="s">
        <v>567</v>
      </c>
      <c r="D7367" s="226">
        <v>0</v>
      </c>
      <c r="E7367" t="s">
        <v>700</v>
      </c>
    </row>
    <row r="7368" spans="1:5" hidden="1" x14ac:dyDescent="0.3">
      <c r="A7368" t="s">
        <v>552</v>
      </c>
      <c r="B7368" t="s">
        <v>699</v>
      </c>
      <c r="C7368" t="s">
        <v>141</v>
      </c>
      <c r="D7368" s="226">
        <v>-41932.43</v>
      </c>
      <c r="E7368" t="s">
        <v>700</v>
      </c>
    </row>
    <row r="7369" spans="1:5" hidden="1" x14ac:dyDescent="0.3">
      <c r="A7369" t="s">
        <v>552</v>
      </c>
      <c r="B7369" t="s">
        <v>699</v>
      </c>
      <c r="C7369" t="s">
        <v>568</v>
      </c>
      <c r="D7369" s="226">
        <v>0</v>
      </c>
      <c r="E7369" t="s">
        <v>700</v>
      </c>
    </row>
    <row r="7370" spans="1:5" hidden="1" x14ac:dyDescent="0.3">
      <c r="A7370" t="s">
        <v>552</v>
      </c>
      <c r="B7370" t="s">
        <v>699</v>
      </c>
      <c r="C7370" t="s">
        <v>569</v>
      </c>
      <c r="D7370" s="226">
        <v>0</v>
      </c>
      <c r="E7370" t="s">
        <v>700</v>
      </c>
    </row>
    <row r="7371" spans="1:5" hidden="1" x14ac:dyDescent="0.3">
      <c r="A7371" t="s">
        <v>552</v>
      </c>
      <c r="B7371" t="s">
        <v>699</v>
      </c>
      <c r="C7371" t="s">
        <v>570</v>
      </c>
      <c r="D7371" s="226">
        <v>0</v>
      </c>
      <c r="E7371" t="s">
        <v>700</v>
      </c>
    </row>
    <row r="7372" spans="1:5" hidden="1" x14ac:dyDescent="0.3">
      <c r="A7372" t="s">
        <v>552</v>
      </c>
      <c r="B7372" t="s">
        <v>699</v>
      </c>
      <c r="C7372" t="s">
        <v>571</v>
      </c>
      <c r="D7372" s="226">
        <v>0</v>
      </c>
      <c r="E7372" t="s">
        <v>700</v>
      </c>
    </row>
    <row r="7373" spans="1:5" hidden="1" x14ac:dyDescent="0.3">
      <c r="A7373" t="s">
        <v>552</v>
      </c>
      <c r="B7373" t="s">
        <v>699</v>
      </c>
      <c r="C7373" t="s">
        <v>572</v>
      </c>
      <c r="D7373" s="226">
        <v>0</v>
      </c>
      <c r="E7373" t="s">
        <v>700</v>
      </c>
    </row>
    <row r="7374" spans="1:5" hidden="1" x14ac:dyDescent="0.3">
      <c r="A7374" t="s">
        <v>552</v>
      </c>
      <c r="B7374" t="s">
        <v>699</v>
      </c>
      <c r="C7374" t="s">
        <v>573</v>
      </c>
      <c r="D7374" s="226">
        <v>0</v>
      </c>
      <c r="E7374" t="s">
        <v>700</v>
      </c>
    </row>
    <row r="7375" spans="1:5" hidden="1" x14ac:dyDescent="0.3">
      <c r="A7375" t="s">
        <v>552</v>
      </c>
      <c r="B7375" t="s">
        <v>699</v>
      </c>
      <c r="C7375" t="s">
        <v>574</v>
      </c>
      <c r="D7375" s="226">
        <v>0</v>
      </c>
      <c r="E7375" t="s">
        <v>700</v>
      </c>
    </row>
    <row r="7376" spans="1:5" hidden="1" x14ac:dyDescent="0.3">
      <c r="A7376" t="s">
        <v>552</v>
      </c>
      <c r="B7376" t="s">
        <v>699</v>
      </c>
      <c r="C7376" t="s">
        <v>575</v>
      </c>
      <c r="D7376" s="226">
        <v>0</v>
      </c>
      <c r="E7376" t="s">
        <v>700</v>
      </c>
    </row>
    <row r="7377" spans="1:5" hidden="1" x14ac:dyDescent="0.3">
      <c r="A7377" t="s">
        <v>552</v>
      </c>
      <c r="B7377" t="s">
        <v>699</v>
      </c>
      <c r="C7377" t="s">
        <v>576</v>
      </c>
      <c r="D7377" s="226">
        <v>0</v>
      </c>
      <c r="E7377" t="s">
        <v>700</v>
      </c>
    </row>
    <row r="7378" spans="1:5" hidden="1" x14ac:dyDescent="0.3">
      <c r="A7378" t="s">
        <v>552</v>
      </c>
      <c r="B7378" t="s">
        <v>699</v>
      </c>
      <c r="C7378" t="s">
        <v>577</v>
      </c>
      <c r="D7378" s="226">
        <v>0</v>
      </c>
      <c r="E7378" t="s">
        <v>700</v>
      </c>
    </row>
    <row r="7379" spans="1:5" hidden="1" x14ac:dyDescent="0.3">
      <c r="A7379" t="s">
        <v>552</v>
      </c>
      <c r="B7379" t="s">
        <v>699</v>
      </c>
      <c r="C7379" t="s">
        <v>578</v>
      </c>
      <c r="D7379" s="226">
        <v>0</v>
      </c>
      <c r="E7379" t="s">
        <v>700</v>
      </c>
    </row>
    <row r="7380" spans="1:5" hidden="1" x14ac:dyDescent="0.3">
      <c r="A7380" t="s">
        <v>552</v>
      </c>
      <c r="B7380" t="s">
        <v>699</v>
      </c>
      <c r="C7380" t="s">
        <v>579</v>
      </c>
      <c r="D7380" s="226">
        <v>0</v>
      </c>
      <c r="E7380" t="s">
        <v>700</v>
      </c>
    </row>
    <row r="7381" spans="1:5" hidden="1" x14ac:dyDescent="0.3">
      <c r="A7381" t="s">
        <v>552</v>
      </c>
      <c r="B7381" t="s">
        <v>699</v>
      </c>
      <c r="C7381" t="s">
        <v>580</v>
      </c>
      <c r="D7381" s="226">
        <v>0</v>
      </c>
      <c r="E7381" t="s">
        <v>700</v>
      </c>
    </row>
    <row r="7382" spans="1:5" hidden="1" x14ac:dyDescent="0.3">
      <c r="A7382" t="s">
        <v>552</v>
      </c>
      <c r="B7382" t="s">
        <v>699</v>
      </c>
      <c r="C7382" t="s">
        <v>581</v>
      </c>
      <c r="D7382" s="226">
        <v>0</v>
      </c>
      <c r="E7382" t="s">
        <v>700</v>
      </c>
    </row>
    <row r="7383" spans="1:5" hidden="1" x14ac:dyDescent="0.3">
      <c r="A7383" t="s">
        <v>552</v>
      </c>
      <c r="B7383" t="s">
        <v>699</v>
      </c>
      <c r="C7383" t="s">
        <v>582</v>
      </c>
      <c r="D7383" s="226">
        <v>0</v>
      </c>
      <c r="E7383" t="s">
        <v>700</v>
      </c>
    </row>
    <row r="7384" spans="1:5" hidden="1" x14ac:dyDescent="0.3">
      <c r="A7384" t="s">
        <v>552</v>
      </c>
      <c r="B7384" t="s">
        <v>699</v>
      </c>
      <c r="C7384" t="s">
        <v>583</v>
      </c>
      <c r="D7384" s="226">
        <v>0</v>
      </c>
      <c r="E7384" t="s">
        <v>700</v>
      </c>
    </row>
    <row r="7385" spans="1:5" hidden="1" x14ac:dyDescent="0.3">
      <c r="A7385" t="s">
        <v>552</v>
      </c>
      <c r="B7385" t="s">
        <v>699</v>
      </c>
      <c r="C7385" t="s">
        <v>584</v>
      </c>
      <c r="D7385" s="226">
        <v>0</v>
      </c>
      <c r="E7385" t="s">
        <v>700</v>
      </c>
    </row>
    <row r="7386" spans="1:5" hidden="1" x14ac:dyDescent="0.3">
      <c r="A7386" t="s">
        <v>552</v>
      </c>
      <c r="B7386" t="s">
        <v>699</v>
      </c>
      <c r="C7386" t="s">
        <v>585</v>
      </c>
      <c r="D7386" s="226">
        <v>0</v>
      </c>
      <c r="E7386" t="s">
        <v>700</v>
      </c>
    </row>
    <row r="7387" spans="1:5" hidden="1" x14ac:dyDescent="0.3">
      <c r="A7387" t="s">
        <v>552</v>
      </c>
      <c r="B7387" t="s">
        <v>699</v>
      </c>
      <c r="C7387" t="s">
        <v>586</v>
      </c>
      <c r="D7387" s="226">
        <v>0</v>
      </c>
      <c r="E7387" t="s">
        <v>700</v>
      </c>
    </row>
    <row r="7388" spans="1:5" hidden="1" x14ac:dyDescent="0.3">
      <c r="A7388" t="s">
        <v>552</v>
      </c>
      <c r="B7388" t="s">
        <v>699</v>
      </c>
      <c r="C7388" t="s">
        <v>587</v>
      </c>
      <c r="D7388" s="226">
        <v>0</v>
      </c>
      <c r="E7388" t="s">
        <v>700</v>
      </c>
    </row>
    <row r="7389" spans="1:5" hidden="1" x14ac:dyDescent="0.3">
      <c r="A7389" t="s">
        <v>552</v>
      </c>
      <c r="B7389" t="s">
        <v>699</v>
      </c>
      <c r="C7389" t="s">
        <v>588</v>
      </c>
      <c r="D7389" s="226">
        <v>0</v>
      </c>
      <c r="E7389" t="s">
        <v>700</v>
      </c>
    </row>
    <row r="7390" spans="1:5" hidden="1" x14ac:dyDescent="0.3">
      <c r="A7390" t="s">
        <v>552</v>
      </c>
      <c r="B7390" t="s">
        <v>699</v>
      </c>
      <c r="C7390" t="s">
        <v>589</v>
      </c>
      <c r="D7390" s="226">
        <v>0</v>
      </c>
      <c r="E7390" t="s">
        <v>700</v>
      </c>
    </row>
    <row r="7391" spans="1:5" hidden="1" x14ac:dyDescent="0.3">
      <c r="A7391" t="s">
        <v>552</v>
      </c>
      <c r="B7391" t="s">
        <v>699</v>
      </c>
      <c r="C7391" t="s">
        <v>590</v>
      </c>
      <c r="D7391" s="226">
        <v>0</v>
      </c>
      <c r="E7391" t="s">
        <v>700</v>
      </c>
    </row>
    <row r="7392" spans="1:5" hidden="1" x14ac:dyDescent="0.3">
      <c r="A7392" t="s">
        <v>552</v>
      </c>
      <c r="B7392" t="s">
        <v>699</v>
      </c>
      <c r="C7392" t="s">
        <v>591</v>
      </c>
      <c r="D7392" s="226">
        <v>0</v>
      </c>
      <c r="E7392" t="s">
        <v>700</v>
      </c>
    </row>
    <row r="7393" spans="1:5" hidden="1" x14ac:dyDescent="0.3">
      <c r="A7393" t="s">
        <v>552</v>
      </c>
      <c r="B7393" t="s">
        <v>699</v>
      </c>
      <c r="C7393" t="s">
        <v>592</v>
      </c>
      <c r="D7393" s="226">
        <v>0</v>
      </c>
      <c r="E7393" t="s">
        <v>700</v>
      </c>
    </row>
    <row r="7394" spans="1:5" hidden="1" x14ac:dyDescent="0.3">
      <c r="A7394" t="s">
        <v>552</v>
      </c>
      <c r="B7394" t="s">
        <v>699</v>
      </c>
      <c r="C7394" t="s">
        <v>593</v>
      </c>
      <c r="D7394" s="226">
        <v>0</v>
      </c>
      <c r="E7394" t="s">
        <v>700</v>
      </c>
    </row>
    <row r="7395" spans="1:5" hidden="1" x14ac:dyDescent="0.3">
      <c r="A7395" t="s">
        <v>552</v>
      </c>
      <c r="B7395" t="s">
        <v>699</v>
      </c>
      <c r="C7395" t="s">
        <v>594</v>
      </c>
      <c r="D7395" s="226">
        <v>0</v>
      </c>
      <c r="E7395" t="s">
        <v>700</v>
      </c>
    </row>
    <row r="7396" spans="1:5" hidden="1" x14ac:dyDescent="0.3">
      <c r="A7396" t="s">
        <v>552</v>
      </c>
      <c r="B7396" t="s">
        <v>699</v>
      </c>
      <c r="C7396" t="s">
        <v>595</v>
      </c>
      <c r="D7396" s="226">
        <v>0</v>
      </c>
      <c r="E7396" t="s">
        <v>700</v>
      </c>
    </row>
    <row r="7397" spans="1:5" hidden="1" x14ac:dyDescent="0.3">
      <c r="A7397" t="s">
        <v>552</v>
      </c>
      <c r="B7397" t="s">
        <v>699</v>
      </c>
      <c r="C7397" t="s">
        <v>596</v>
      </c>
      <c r="D7397" s="226">
        <v>0</v>
      </c>
      <c r="E7397" t="s">
        <v>700</v>
      </c>
    </row>
    <row r="7398" spans="1:5" hidden="1" x14ac:dyDescent="0.3">
      <c r="A7398" t="s">
        <v>552</v>
      </c>
      <c r="B7398" t="s">
        <v>699</v>
      </c>
      <c r="C7398" t="s">
        <v>597</v>
      </c>
      <c r="D7398" s="226">
        <v>0</v>
      </c>
      <c r="E7398" t="s">
        <v>700</v>
      </c>
    </row>
    <row r="7399" spans="1:5" hidden="1" x14ac:dyDescent="0.3">
      <c r="A7399" t="s">
        <v>552</v>
      </c>
      <c r="B7399" t="s">
        <v>699</v>
      </c>
      <c r="C7399" t="s">
        <v>598</v>
      </c>
      <c r="D7399" s="226">
        <v>0</v>
      </c>
      <c r="E7399" t="s">
        <v>700</v>
      </c>
    </row>
    <row r="7400" spans="1:5" hidden="1" x14ac:dyDescent="0.3">
      <c r="A7400" t="s">
        <v>552</v>
      </c>
      <c r="B7400" t="s">
        <v>699</v>
      </c>
      <c r="C7400" t="s">
        <v>599</v>
      </c>
      <c r="D7400" s="226">
        <v>0</v>
      </c>
      <c r="E7400" t="s">
        <v>700</v>
      </c>
    </row>
    <row r="7401" spans="1:5" hidden="1" x14ac:dyDescent="0.3">
      <c r="A7401" t="s">
        <v>552</v>
      </c>
      <c r="B7401" t="s">
        <v>699</v>
      </c>
      <c r="C7401" t="s">
        <v>600</v>
      </c>
      <c r="D7401" s="226">
        <v>0</v>
      </c>
      <c r="E7401" t="s">
        <v>700</v>
      </c>
    </row>
    <row r="7402" spans="1:5" hidden="1" x14ac:dyDescent="0.3">
      <c r="A7402" t="s">
        <v>552</v>
      </c>
      <c r="B7402" t="s">
        <v>699</v>
      </c>
      <c r="C7402" t="s">
        <v>601</v>
      </c>
      <c r="D7402" s="226">
        <v>0</v>
      </c>
      <c r="E7402" t="s">
        <v>700</v>
      </c>
    </row>
    <row r="7403" spans="1:5" hidden="1" x14ac:dyDescent="0.3">
      <c r="A7403" t="s">
        <v>552</v>
      </c>
      <c r="B7403" t="s">
        <v>699</v>
      </c>
      <c r="C7403" t="s">
        <v>602</v>
      </c>
      <c r="D7403" s="226">
        <v>0</v>
      </c>
      <c r="E7403" t="s">
        <v>700</v>
      </c>
    </row>
    <row r="7404" spans="1:5" hidden="1" x14ac:dyDescent="0.3">
      <c r="A7404" t="s">
        <v>552</v>
      </c>
      <c r="B7404" t="s">
        <v>699</v>
      </c>
      <c r="C7404" t="s">
        <v>603</v>
      </c>
      <c r="D7404" s="226">
        <v>0</v>
      </c>
      <c r="E7404" t="s">
        <v>700</v>
      </c>
    </row>
    <row r="7405" spans="1:5" hidden="1" x14ac:dyDescent="0.3">
      <c r="A7405" t="s">
        <v>552</v>
      </c>
      <c r="B7405" t="s">
        <v>699</v>
      </c>
      <c r="C7405" t="s">
        <v>604</v>
      </c>
      <c r="D7405" s="226">
        <v>0</v>
      </c>
      <c r="E7405" t="s">
        <v>700</v>
      </c>
    </row>
    <row r="7406" spans="1:5" hidden="1" x14ac:dyDescent="0.3">
      <c r="A7406" t="s">
        <v>552</v>
      </c>
      <c r="B7406" t="s">
        <v>699</v>
      </c>
      <c r="C7406" t="s">
        <v>605</v>
      </c>
      <c r="D7406" s="226">
        <v>0</v>
      </c>
      <c r="E7406" t="s">
        <v>700</v>
      </c>
    </row>
    <row r="7407" spans="1:5" hidden="1" x14ac:dyDescent="0.3">
      <c r="A7407" t="s">
        <v>552</v>
      </c>
      <c r="B7407" t="s">
        <v>699</v>
      </c>
      <c r="C7407" t="s">
        <v>606</v>
      </c>
      <c r="D7407" s="226">
        <v>0</v>
      </c>
      <c r="E7407" t="s">
        <v>700</v>
      </c>
    </row>
    <row r="7408" spans="1:5" hidden="1" x14ac:dyDescent="0.3">
      <c r="A7408" t="s">
        <v>552</v>
      </c>
      <c r="B7408" t="s">
        <v>699</v>
      </c>
      <c r="C7408" t="s">
        <v>607</v>
      </c>
      <c r="D7408" s="226">
        <v>0</v>
      </c>
      <c r="E7408" t="s">
        <v>700</v>
      </c>
    </row>
    <row r="7409" spans="1:5" hidden="1" x14ac:dyDescent="0.3">
      <c r="A7409" t="s">
        <v>552</v>
      </c>
      <c r="B7409" t="s">
        <v>699</v>
      </c>
      <c r="C7409" t="s">
        <v>608</v>
      </c>
      <c r="D7409" s="226">
        <v>0</v>
      </c>
      <c r="E7409" t="s">
        <v>700</v>
      </c>
    </row>
    <row r="7410" spans="1:5" hidden="1" x14ac:dyDescent="0.3">
      <c r="A7410" t="s">
        <v>552</v>
      </c>
      <c r="B7410" t="s">
        <v>699</v>
      </c>
      <c r="C7410" t="s">
        <v>609</v>
      </c>
      <c r="D7410" s="226">
        <v>0</v>
      </c>
      <c r="E7410" t="s">
        <v>700</v>
      </c>
    </row>
    <row r="7411" spans="1:5" hidden="1" x14ac:dyDescent="0.3">
      <c r="A7411" t="s">
        <v>552</v>
      </c>
      <c r="B7411" t="s">
        <v>699</v>
      </c>
      <c r="C7411" t="s">
        <v>610</v>
      </c>
      <c r="D7411" s="226">
        <v>0</v>
      </c>
      <c r="E7411" t="s">
        <v>700</v>
      </c>
    </row>
    <row r="7412" spans="1:5" hidden="1" x14ac:dyDescent="0.3">
      <c r="A7412" t="s">
        <v>552</v>
      </c>
      <c r="B7412" t="s">
        <v>699</v>
      </c>
      <c r="C7412" t="s">
        <v>611</v>
      </c>
      <c r="D7412" s="226">
        <v>0</v>
      </c>
      <c r="E7412" t="s">
        <v>700</v>
      </c>
    </row>
    <row r="7413" spans="1:5" hidden="1" x14ac:dyDescent="0.3">
      <c r="A7413" t="s">
        <v>552</v>
      </c>
      <c r="B7413" t="s">
        <v>699</v>
      </c>
      <c r="C7413" t="s">
        <v>612</v>
      </c>
      <c r="D7413" s="226">
        <v>0</v>
      </c>
      <c r="E7413" t="s">
        <v>700</v>
      </c>
    </row>
    <row r="7414" spans="1:5" hidden="1" x14ac:dyDescent="0.3">
      <c r="A7414" t="s">
        <v>552</v>
      </c>
      <c r="B7414" t="s">
        <v>699</v>
      </c>
      <c r="C7414" t="s">
        <v>613</v>
      </c>
      <c r="D7414" s="226">
        <v>0</v>
      </c>
      <c r="E7414" t="s">
        <v>700</v>
      </c>
    </row>
    <row r="7415" spans="1:5" hidden="1" x14ac:dyDescent="0.3">
      <c r="A7415" t="s">
        <v>552</v>
      </c>
      <c r="B7415" t="s">
        <v>699</v>
      </c>
      <c r="C7415" t="s">
        <v>614</v>
      </c>
      <c r="D7415" s="226">
        <v>0</v>
      </c>
      <c r="E7415" t="s">
        <v>700</v>
      </c>
    </row>
    <row r="7416" spans="1:5" hidden="1" x14ac:dyDescent="0.3">
      <c r="A7416" t="s">
        <v>552</v>
      </c>
      <c r="B7416" t="s">
        <v>699</v>
      </c>
      <c r="C7416" t="s">
        <v>615</v>
      </c>
      <c r="D7416" s="226">
        <v>0</v>
      </c>
      <c r="E7416" t="s">
        <v>700</v>
      </c>
    </row>
    <row r="7417" spans="1:5" hidden="1" x14ac:dyDescent="0.3">
      <c r="A7417" t="s">
        <v>552</v>
      </c>
      <c r="B7417" t="s">
        <v>699</v>
      </c>
      <c r="C7417" t="s">
        <v>616</v>
      </c>
      <c r="D7417" s="226">
        <v>0</v>
      </c>
      <c r="E7417" t="s">
        <v>700</v>
      </c>
    </row>
    <row r="7418" spans="1:5" hidden="1" x14ac:dyDescent="0.3">
      <c r="A7418" t="s">
        <v>552</v>
      </c>
      <c r="B7418" t="s">
        <v>699</v>
      </c>
      <c r="C7418" t="s">
        <v>617</v>
      </c>
      <c r="D7418" s="226">
        <v>0</v>
      </c>
      <c r="E7418" t="s">
        <v>700</v>
      </c>
    </row>
    <row r="7419" spans="1:5" hidden="1" x14ac:dyDescent="0.3">
      <c r="A7419" t="s">
        <v>552</v>
      </c>
      <c r="B7419" t="s">
        <v>699</v>
      </c>
      <c r="C7419" t="s">
        <v>618</v>
      </c>
      <c r="D7419" s="226">
        <v>0</v>
      </c>
      <c r="E7419" t="s">
        <v>700</v>
      </c>
    </row>
    <row r="7420" spans="1:5" hidden="1" x14ac:dyDescent="0.3">
      <c r="A7420" t="s">
        <v>552</v>
      </c>
      <c r="B7420" t="s">
        <v>699</v>
      </c>
      <c r="C7420" t="s">
        <v>619</v>
      </c>
      <c r="D7420" s="226">
        <v>0</v>
      </c>
      <c r="E7420" t="s">
        <v>700</v>
      </c>
    </row>
    <row r="7421" spans="1:5" hidden="1" x14ac:dyDescent="0.3">
      <c r="A7421" t="s">
        <v>552</v>
      </c>
      <c r="B7421" t="s">
        <v>699</v>
      </c>
      <c r="C7421" t="s">
        <v>620</v>
      </c>
      <c r="D7421" s="226">
        <v>0</v>
      </c>
      <c r="E7421" t="s">
        <v>700</v>
      </c>
    </row>
    <row r="7422" spans="1:5" hidden="1" x14ac:dyDescent="0.3">
      <c r="A7422" t="s">
        <v>552</v>
      </c>
      <c r="B7422" t="s">
        <v>699</v>
      </c>
      <c r="C7422" t="s">
        <v>621</v>
      </c>
      <c r="D7422" s="226">
        <v>0</v>
      </c>
      <c r="E7422" t="s">
        <v>700</v>
      </c>
    </row>
    <row r="7423" spans="1:5" hidden="1" x14ac:dyDescent="0.3">
      <c r="A7423" t="s">
        <v>552</v>
      </c>
      <c r="B7423" t="s">
        <v>699</v>
      </c>
      <c r="C7423" t="s">
        <v>622</v>
      </c>
      <c r="D7423" s="226">
        <v>0</v>
      </c>
      <c r="E7423" t="s">
        <v>700</v>
      </c>
    </row>
    <row r="7424" spans="1:5" hidden="1" x14ac:dyDescent="0.3">
      <c r="A7424" t="s">
        <v>552</v>
      </c>
      <c r="B7424" t="s">
        <v>699</v>
      </c>
      <c r="C7424" t="s">
        <v>623</v>
      </c>
      <c r="D7424" s="226">
        <v>0</v>
      </c>
      <c r="E7424" t="s">
        <v>700</v>
      </c>
    </row>
    <row r="7425" spans="1:5" hidden="1" x14ac:dyDescent="0.3">
      <c r="A7425" t="s">
        <v>552</v>
      </c>
      <c r="B7425" t="s">
        <v>699</v>
      </c>
      <c r="C7425" t="s">
        <v>624</v>
      </c>
      <c r="D7425" s="226">
        <v>0</v>
      </c>
      <c r="E7425" t="s">
        <v>700</v>
      </c>
    </row>
    <row r="7426" spans="1:5" hidden="1" x14ac:dyDescent="0.3">
      <c r="A7426" t="s">
        <v>552</v>
      </c>
      <c r="B7426" t="s">
        <v>699</v>
      </c>
      <c r="C7426" t="s">
        <v>200</v>
      </c>
      <c r="D7426" s="226">
        <v>-127419.65</v>
      </c>
      <c r="E7426" t="s">
        <v>700</v>
      </c>
    </row>
    <row r="7427" spans="1:5" hidden="1" x14ac:dyDescent="0.3">
      <c r="A7427" t="s">
        <v>552</v>
      </c>
      <c r="B7427" t="s">
        <v>699</v>
      </c>
      <c r="C7427" t="s">
        <v>202</v>
      </c>
      <c r="D7427" s="226">
        <v>-127419.65</v>
      </c>
      <c r="E7427" t="s">
        <v>700</v>
      </c>
    </row>
    <row r="7428" spans="1:5" hidden="1" x14ac:dyDescent="0.3">
      <c r="A7428" t="s">
        <v>552</v>
      </c>
      <c r="B7428" t="s">
        <v>699</v>
      </c>
      <c r="C7428" t="s">
        <v>625</v>
      </c>
      <c r="D7428" s="226">
        <v>63709.83</v>
      </c>
      <c r="E7428" t="s">
        <v>700</v>
      </c>
    </row>
    <row r="7429" spans="1:5" hidden="1" x14ac:dyDescent="0.3">
      <c r="A7429" t="s">
        <v>552</v>
      </c>
      <c r="B7429" t="s">
        <v>699</v>
      </c>
      <c r="C7429" t="s">
        <v>204</v>
      </c>
      <c r="D7429" s="226">
        <v>-92050.06</v>
      </c>
      <c r="E7429" t="s">
        <v>700</v>
      </c>
    </row>
    <row r="7430" spans="1:5" hidden="1" x14ac:dyDescent="0.3">
      <c r="A7430" t="s">
        <v>552</v>
      </c>
      <c r="B7430" t="s">
        <v>699</v>
      </c>
      <c r="C7430" t="s">
        <v>626</v>
      </c>
      <c r="D7430" s="226">
        <v>-24978.87</v>
      </c>
      <c r="E7430" t="s">
        <v>700</v>
      </c>
    </row>
    <row r="7431" spans="1:5" hidden="1" x14ac:dyDescent="0.3">
      <c r="A7431" t="s">
        <v>552</v>
      </c>
      <c r="B7431" t="s">
        <v>699</v>
      </c>
      <c r="C7431" t="s">
        <v>627</v>
      </c>
      <c r="D7431" s="226">
        <v>-100</v>
      </c>
      <c r="E7431" t="s">
        <v>700</v>
      </c>
    </row>
    <row r="7432" spans="1:5" hidden="1" x14ac:dyDescent="0.3">
      <c r="A7432" t="s">
        <v>552</v>
      </c>
      <c r="B7432" t="s">
        <v>699</v>
      </c>
      <c r="C7432" t="s">
        <v>628</v>
      </c>
      <c r="D7432" s="226">
        <v>-15847.81</v>
      </c>
      <c r="E7432" t="s">
        <v>700</v>
      </c>
    </row>
    <row r="7433" spans="1:5" hidden="1" x14ac:dyDescent="0.3">
      <c r="A7433" t="s">
        <v>552</v>
      </c>
      <c r="B7433" t="s">
        <v>699</v>
      </c>
      <c r="C7433" t="s">
        <v>629</v>
      </c>
      <c r="D7433" s="226">
        <v>-21430.23</v>
      </c>
      <c r="E7433" t="s">
        <v>700</v>
      </c>
    </row>
    <row r="7434" spans="1:5" hidden="1" x14ac:dyDescent="0.3">
      <c r="A7434" t="s">
        <v>552</v>
      </c>
      <c r="B7434" t="s">
        <v>699</v>
      </c>
      <c r="C7434" t="s">
        <v>630</v>
      </c>
      <c r="D7434" s="226">
        <v>0</v>
      </c>
      <c r="E7434" t="s">
        <v>700</v>
      </c>
    </row>
    <row r="7435" spans="1:5" hidden="1" x14ac:dyDescent="0.3">
      <c r="A7435" t="s">
        <v>552</v>
      </c>
      <c r="B7435" t="s">
        <v>699</v>
      </c>
      <c r="C7435" t="s">
        <v>631</v>
      </c>
      <c r="D7435" s="226">
        <v>0</v>
      </c>
      <c r="E7435" t="s">
        <v>700</v>
      </c>
    </row>
    <row r="7436" spans="1:5" hidden="1" x14ac:dyDescent="0.3">
      <c r="A7436" t="s">
        <v>552</v>
      </c>
      <c r="B7436" t="s">
        <v>699</v>
      </c>
      <c r="C7436" t="s">
        <v>632</v>
      </c>
      <c r="D7436" s="226">
        <v>0</v>
      </c>
      <c r="E7436" t="s">
        <v>700</v>
      </c>
    </row>
    <row r="7437" spans="1:5" hidden="1" x14ac:dyDescent="0.3">
      <c r="A7437" t="s">
        <v>552</v>
      </c>
      <c r="B7437" t="s">
        <v>699</v>
      </c>
      <c r="C7437" t="s">
        <v>633</v>
      </c>
      <c r="D7437" s="226">
        <v>-2800.6</v>
      </c>
      <c r="E7437" t="s">
        <v>700</v>
      </c>
    </row>
    <row r="7438" spans="1:5" hidden="1" x14ac:dyDescent="0.3">
      <c r="A7438" t="s">
        <v>552</v>
      </c>
      <c r="B7438" t="s">
        <v>699</v>
      </c>
      <c r="C7438" t="s">
        <v>634</v>
      </c>
      <c r="D7438" s="226">
        <v>0</v>
      </c>
      <c r="E7438" t="s">
        <v>700</v>
      </c>
    </row>
    <row r="7439" spans="1:5" hidden="1" x14ac:dyDescent="0.3">
      <c r="A7439" t="s">
        <v>552</v>
      </c>
      <c r="B7439" t="s">
        <v>699</v>
      </c>
      <c r="C7439" t="s">
        <v>635</v>
      </c>
      <c r="D7439" s="226">
        <v>-15973.21</v>
      </c>
      <c r="E7439" t="s">
        <v>700</v>
      </c>
    </row>
    <row r="7440" spans="1:5" hidden="1" x14ac:dyDescent="0.3">
      <c r="A7440" t="s">
        <v>552</v>
      </c>
      <c r="B7440" t="s">
        <v>699</v>
      </c>
      <c r="C7440" t="s">
        <v>636</v>
      </c>
      <c r="D7440" s="226">
        <v>-187.79</v>
      </c>
      <c r="E7440" t="s">
        <v>700</v>
      </c>
    </row>
    <row r="7441" spans="1:5" hidden="1" x14ac:dyDescent="0.3">
      <c r="A7441" t="s">
        <v>552</v>
      </c>
      <c r="B7441" t="s">
        <v>699</v>
      </c>
      <c r="C7441" t="s">
        <v>637</v>
      </c>
      <c r="D7441" s="226">
        <v>-7800</v>
      </c>
      <c r="E7441" t="s">
        <v>700</v>
      </c>
    </row>
    <row r="7442" spans="1:5" hidden="1" x14ac:dyDescent="0.3">
      <c r="A7442" t="s">
        <v>552</v>
      </c>
      <c r="B7442" t="s">
        <v>699</v>
      </c>
      <c r="C7442" t="s">
        <v>638</v>
      </c>
      <c r="D7442" s="226">
        <v>0</v>
      </c>
      <c r="E7442" t="s">
        <v>700</v>
      </c>
    </row>
    <row r="7443" spans="1:5" hidden="1" x14ac:dyDescent="0.3">
      <c r="A7443" t="s">
        <v>552</v>
      </c>
      <c r="B7443" t="s">
        <v>699</v>
      </c>
      <c r="C7443" t="s">
        <v>639</v>
      </c>
      <c r="D7443" s="226">
        <v>-2931.55</v>
      </c>
      <c r="E7443" t="s">
        <v>700</v>
      </c>
    </row>
    <row r="7444" spans="1:5" hidden="1" x14ac:dyDescent="0.3">
      <c r="A7444" t="s">
        <v>552</v>
      </c>
      <c r="B7444" t="s">
        <v>699</v>
      </c>
      <c r="C7444" t="s">
        <v>640</v>
      </c>
      <c r="D7444" s="226">
        <v>0</v>
      </c>
      <c r="E7444" t="s">
        <v>700</v>
      </c>
    </row>
    <row r="7445" spans="1:5" hidden="1" x14ac:dyDescent="0.3">
      <c r="A7445" t="s">
        <v>552</v>
      </c>
      <c r="B7445" t="s">
        <v>699</v>
      </c>
      <c r="C7445" t="s">
        <v>641</v>
      </c>
      <c r="D7445" s="226">
        <v>0</v>
      </c>
      <c r="E7445" t="s">
        <v>700</v>
      </c>
    </row>
    <row r="7446" spans="1:5" hidden="1" x14ac:dyDescent="0.3">
      <c r="A7446" t="s">
        <v>552</v>
      </c>
      <c r="B7446" t="s">
        <v>699</v>
      </c>
      <c r="C7446" t="s">
        <v>237</v>
      </c>
      <c r="D7446" s="226">
        <v>-11092.03</v>
      </c>
      <c r="E7446" t="s">
        <v>700</v>
      </c>
    </row>
    <row r="7447" spans="1:5" hidden="1" x14ac:dyDescent="0.3">
      <c r="A7447" t="s">
        <v>552</v>
      </c>
      <c r="B7447" t="s">
        <v>699</v>
      </c>
      <c r="C7447" t="s">
        <v>642</v>
      </c>
      <c r="D7447" s="226">
        <v>-10704.41</v>
      </c>
      <c r="E7447" t="s">
        <v>700</v>
      </c>
    </row>
    <row r="7448" spans="1:5" hidden="1" x14ac:dyDescent="0.3">
      <c r="A7448" t="s">
        <v>552</v>
      </c>
      <c r="B7448" t="s">
        <v>699</v>
      </c>
      <c r="C7448" t="s">
        <v>643</v>
      </c>
      <c r="D7448" s="226">
        <v>0</v>
      </c>
      <c r="E7448" t="s">
        <v>700</v>
      </c>
    </row>
    <row r="7449" spans="1:5" hidden="1" x14ac:dyDescent="0.3">
      <c r="A7449" t="s">
        <v>552</v>
      </c>
      <c r="B7449" t="s">
        <v>699</v>
      </c>
      <c r="C7449" t="s">
        <v>644</v>
      </c>
      <c r="D7449" s="226">
        <v>0</v>
      </c>
      <c r="E7449" t="s">
        <v>700</v>
      </c>
    </row>
    <row r="7450" spans="1:5" hidden="1" x14ac:dyDescent="0.3">
      <c r="A7450" t="s">
        <v>552</v>
      </c>
      <c r="B7450" t="s">
        <v>699</v>
      </c>
      <c r="C7450" t="s">
        <v>645</v>
      </c>
      <c r="D7450" s="226">
        <v>-387.62</v>
      </c>
      <c r="E7450" t="s">
        <v>700</v>
      </c>
    </row>
    <row r="7451" spans="1:5" hidden="1" x14ac:dyDescent="0.3">
      <c r="A7451" t="s">
        <v>552</v>
      </c>
      <c r="B7451" t="s">
        <v>699</v>
      </c>
      <c r="C7451" t="s">
        <v>646</v>
      </c>
      <c r="D7451" s="226">
        <v>0</v>
      </c>
      <c r="E7451" t="s">
        <v>700</v>
      </c>
    </row>
    <row r="7452" spans="1:5" hidden="1" x14ac:dyDescent="0.3">
      <c r="A7452" t="s">
        <v>552</v>
      </c>
      <c r="B7452" t="s">
        <v>699</v>
      </c>
      <c r="C7452" t="s">
        <v>244</v>
      </c>
      <c r="D7452" s="226">
        <v>-41884.720000000001</v>
      </c>
      <c r="E7452" t="s">
        <v>700</v>
      </c>
    </row>
    <row r="7453" spans="1:5" hidden="1" x14ac:dyDescent="0.3">
      <c r="A7453" t="s">
        <v>552</v>
      </c>
      <c r="B7453" t="s">
        <v>699</v>
      </c>
      <c r="C7453" t="s">
        <v>647</v>
      </c>
      <c r="D7453" s="226">
        <v>-1216.42</v>
      </c>
      <c r="E7453" t="s">
        <v>700</v>
      </c>
    </row>
    <row r="7454" spans="1:5" hidden="1" x14ac:dyDescent="0.3">
      <c r="A7454" t="s">
        <v>552</v>
      </c>
      <c r="B7454" t="s">
        <v>699</v>
      </c>
      <c r="C7454" t="s">
        <v>648</v>
      </c>
      <c r="D7454" s="226">
        <v>-1850.78</v>
      </c>
      <c r="E7454" t="s">
        <v>700</v>
      </c>
    </row>
    <row r="7455" spans="1:5" hidden="1" x14ac:dyDescent="0.3">
      <c r="A7455" t="s">
        <v>552</v>
      </c>
      <c r="B7455" t="s">
        <v>699</v>
      </c>
      <c r="C7455" t="s">
        <v>649</v>
      </c>
      <c r="D7455" s="226">
        <v>0</v>
      </c>
      <c r="E7455" t="s">
        <v>700</v>
      </c>
    </row>
    <row r="7456" spans="1:5" hidden="1" x14ac:dyDescent="0.3">
      <c r="A7456" t="s">
        <v>552</v>
      </c>
      <c r="B7456" t="s">
        <v>699</v>
      </c>
      <c r="C7456" t="s">
        <v>650</v>
      </c>
      <c r="D7456" s="226">
        <v>-2700</v>
      </c>
      <c r="E7456" t="s">
        <v>700</v>
      </c>
    </row>
    <row r="7457" spans="1:5" hidden="1" x14ac:dyDescent="0.3">
      <c r="A7457" t="s">
        <v>552</v>
      </c>
      <c r="B7457" t="s">
        <v>699</v>
      </c>
      <c r="C7457" t="s">
        <v>651</v>
      </c>
      <c r="D7457" s="226">
        <v>0</v>
      </c>
      <c r="E7457" t="s">
        <v>700</v>
      </c>
    </row>
    <row r="7458" spans="1:5" hidden="1" x14ac:dyDescent="0.3">
      <c r="A7458" t="s">
        <v>552</v>
      </c>
      <c r="B7458" t="s">
        <v>699</v>
      </c>
      <c r="C7458" t="s">
        <v>652</v>
      </c>
      <c r="D7458" s="226">
        <v>-36117.519999999997</v>
      </c>
      <c r="E7458" t="s">
        <v>700</v>
      </c>
    </row>
    <row r="7459" spans="1:5" hidden="1" x14ac:dyDescent="0.3">
      <c r="A7459" t="s">
        <v>552</v>
      </c>
      <c r="B7459" t="s">
        <v>699</v>
      </c>
      <c r="C7459" t="s">
        <v>653</v>
      </c>
      <c r="D7459" s="226">
        <v>0</v>
      </c>
      <c r="E7459" t="s">
        <v>700</v>
      </c>
    </row>
    <row r="7460" spans="1:5" hidden="1" x14ac:dyDescent="0.3">
      <c r="A7460" t="s">
        <v>552</v>
      </c>
      <c r="B7460" t="s">
        <v>699</v>
      </c>
      <c r="C7460" t="s">
        <v>253</v>
      </c>
      <c r="D7460" s="226">
        <v>-0.21</v>
      </c>
      <c r="E7460" t="s">
        <v>700</v>
      </c>
    </row>
    <row r="7461" spans="1:5" hidden="1" x14ac:dyDescent="0.3">
      <c r="A7461" t="s">
        <v>552</v>
      </c>
      <c r="B7461" t="s">
        <v>699</v>
      </c>
      <c r="C7461" t="s">
        <v>254</v>
      </c>
      <c r="D7461" s="226">
        <v>-0.18</v>
      </c>
      <c r="E7461" t="s">
        <v>700</v>
      </c>
    </row>
    <row r="7462" spans="1:5" hidden="1" x14ac:dyDescent="0.3">
      <c r="A7462" t="s">
        <v>552</v>
      </c>
      <c r="B7462" t="s">
        <v>699</v>
      </c>
      <c r="C7462" t="s">
        <v>255</v>
      </c>
      <c r="D7462" s="226">
        <v>-56035.96</v>
      </c>
      <c r="E7462" t="s">
        <v>700</v>
      </c>
    </row>
    <row r="7463" spans="1:5" hidden="1" x14ac:dyDescent="0.3">
      <c r="A7463" t="s">
        <v>552</v>
      </c>
      <c r="B7463" t="s">
        <v>699</v>
      </c>
      <c r="C7463" t="s">
        <v>256</v>
      </c>
      <c r="D7463" s="226">
        <v>-33872.5</v>
      </c>
      <c r="E7463" t="s">
        <v>700</v>
      </c>
    </row>
    <row r="7464" spans="1:5" hidden="1" x14ac:dyDescent="0.3">
      <c r="A7464" t="s">
        <v>552</v>
      </c>
      <c r="B7464" t="s">
        <v>699</v>
      </c>
      <c r="C7464" t="s">
        <v>257</v>
      </c>
      <c r="D7464" s="226">
        <v>-17421.84</v>
      </c>
      <c r="E7464" t="s">
        <v>700</v>
      </c>
    </row>
    <row r="7465" spans="1:5" hidden="1" x14ac:dyDescent="0.3">
      <c r="A7465" t="s">
        <v>552</v>
      </c>
      <c r="B7465" t="s">
        <v>699</v>
      </c>
      <c r="C7465" t="s">
        <v>258</v>
      </c>
      <c r="D7465" s="226">
        <v>-3873.43</v>
      </c>
      <c r="E7465" t="s">
        <v>700</v>
      </c>
    </row>
    <row r="7466" spans="1:5" hidden="1" x14ac:dyDescent="0.3">
      <c r="A7466" t="s">
        <v>552</v>
      </c>
      <c r="B7466" t="s">
        <v>699</v>
      </c>
      <c r="C7466" t="s">
        <v>259</v>
      </c>
      <c r="D7466" s="226">
        <v>0</v>
      </c>
      <c r="E7466" t="s">
        <v>700</v>
      </c>
    </row>
    <row r="7467" spans="1:5" hidden="1" x14ac:dyDescent="0.3">
      <c r="A7467" t="s">
        <v>552</v>
      </c>
      <c r="B7467" t="s">
        <v>699</v>
      </c>
      <c r="C7467" t="s">
        <v>260</v>
      </c>
      <c r="D7467" s="226">
        <v>-868.19</v>
      </c>
      <c r="E7467" t="s">
        <v>700</v>
      </c>
    </row>
    <row r="7468" spans="1:5" hidden="1" x14ac:dyDescent="0.3">
      <c r="A7468" t="s">
        <v>552</v>
      </c>
      <c r="B7468" t="s">
        <v>699</v>
      </c>
      <c r="C7468" t="s">
        <v>261</v>
      </c>
      <c r="D7468" s="226">
        <v>0</v>
      </c>
      <c r="E7468" t="s">
        <v>700</v>
      </c>
    </row>
    <row r="7469" spans="1:5" hidden="1" x14ac:dyDescent="0.3">
      <c r="A7469" t="s">
        <v>552</v>
      </c>
      <c r="B7469" t="s">
        <v>699</v>
      </c>
      <c r="C7469" t="s">
        <v>262</v>
      </c>
      <c r="D7469" s="226">
        <v>0</v>
      </c>
      <c r="E7469" t="s">
        <v>700</v>
      </c>
    </row>
    <row r="7470" spans="1:5" hidden="1" x14ac:dyDescent="0.3">
      <c r="A7470" t="s">
        <v>552</v>
      </c>
      <c r="B7470" t="s">
        <v>699</v>
      </c>
      <c r="C7470" t="s">
        <v>44</v>
      </c>
      <c r="D7470" s="226">
        <v>-0.03</v>
      </c>
      <c r="E7470" t="s">
        <v>700</v>
      </c>
    </row>
    <row r="7471" spans="1:5" hidden="1" x14ac:dyDescent="0.3">
      <c r="A7471" t="s">
        <v>552</v>
      </c>
      <c r="B7471" t="s">
        <v>699</v>
      </c>
      <c r="C7471" t="s">
        <v>263</v>
      </c>
      <c r="D7471" s="226">
        <v>-98820.06</v>
      </c>
      <c r="E7471" t="s">
        <v>700</v>
      </c>
    </row>
    <row r="7472" spans="1:5" hidden="1" x14ac:dyDescent="0.3">
      <c r="A7472" t="s">
        <v>552</v>
      </c>
      <c r="B7472" t="s">
        <v>699</v>
      </c>
      <c r="C7472" t="s">
        <v>264</v>
      </c>
      <c r="D7472" s="226">
        <v>-20902.54</v>
      </c>
      <c r="E7472" t="s">
        <v>700</v>
      </c>
    </row>
    <row r="7473" spans="1:5" hidden="1" x14ac:dyDescent="0.3">
      <c r="A7473" t="s">
        <v>552</v>
      </c>
      <c r="B7473" t="s">
        <v>699</v>
      </c>
      <c r="C7473" t="s">
        <v>265</v>
      </c>
      <c r="D7473" s="226">
        <v>-15971.14</v>
      </c>
      <c r="E7473" t="s">
        <v>700</v>
      </c>
    </row>
    <row r="7474" spans="1:5" hidden="1" x14ac:dyDescent="0.3">
      <c r="A7474" t="s">
        <v>552</v>
      </c>
      <c r="B7474" t="s">
        <v>699</v>
      </c>
      <c r="C7474" t="s">
        <v>266</v>
      </c>
      <c r="D7474" s="226">
        <v>-13540.33</v>
      </c>
      <c r="E7474" t="s">
        <v>700</v>
      </c>
    </row>
    <row r="7475" spans="1:5" hidden="1" x14ac:dyDescent="0.3">
      <c r="A7475" t="s">
        <v>552</v>
      </c>
      <c r="B7475" t="s">
        <v>699</v>
      </c>
      <c r="C7475" t="s">
        <v>267</v>
      </c>
      <c r="D7475" s="226">
        <v>-22875.67</v>
      </c>
      <c r="E7475" t="s">
        <v>700</v>
      </c>
    </row>
    <row r="7476" spans="1:5" hidden="1" x14ac:dyDescent="0.3">
      <c r="A7476" t="s">
        <v>552</v>
      </c>
      <c r="B7476" t="s">
        <v>699</v>
      </c>
      <c r="C7476" t="s">
        <v>268</v>
      </c>
      <c r="D7476" s="226">
        <v>0</v>
      </c>
      <c r="E7476" t="s">
        <v>700</v>
      </c>
    </row>
    <row r="7477" spans="1:5" hidden="1" x14ac:dyDescent="0.3">
      <c r="A7477" t="s">
        <v>552</v>
      </c>
      <c r="B7477" t="s">
        <v>699</v>
      </c>
      <c r="C7477" t="s">
        <v>269</v>
      </c>
      <c r="D7477" s="226">
        <v>-580</v>
      </c>
      <c r="E7477" t="s">
        <v>700</v>
      </c>
    </row>
    <row r="7478" spans="1:5" hidden="1" x14ac:dyDescent="0.3">
      <c r="A7478" t="s">
        <v>552</v>
      </c>
      <c r="B7478" t="s">
        <v>699</v>
      </c>
      <c r="C7478" t="s">
        <v>270</v>
      </c>
      <c r="D7478" s="226">
        <v>-4717.12</v>
      </c>
      <c r="E7478" t="s">
        <v>700</v>
      </c>
    </row>
    <row r="7479" spans="1:5" hidden="1" x14ac:dyDescent="0.3">
      <c r="A7479" t="s">
        <v>552</v>
      </c>
      <c r="B7479" t="s">
        <v>699</v>
      </c>
      <c r="C7479" t="s">
        <v>271</v>
      </c>
      <c r="D7479" s="226">
        <v>-9101.32</v>
      </c>
      <c r="E7479" t="s">
        <v>700</v>
      </c>
    </row>
    <row r="7480" spans="1:5" hidden="1" x14ac:dyDescent="0.3">
      <c r="A7480" t="s">
        <v>552</v>
      </c>
      <c r="B7480" t="s">
        <v>699</v>
      </c>
      <c r="C7480" t="s">
        <v>272</v>
      </c>
      <c r="D7480" s="226">
        <v>0</v>
      </c>
      <c r="E7480" t="s">
        <v>700</v>
      </c>
    </row>
    <row r="7481" spans="1:5" hidden="1" x14ac:dyDescent="0.3">
      <c r="A7481" t="s">
        <v>552</v>
      </c>
      <c r="B7481" t="s">
        <v>699</v>
      </c>
      <c r="C7481" t="s">
        <v>273</v>
      </c>
      <c r="D7481" s="226">
        <v>0</v>
      </c>
      <c r="E7481" t="s">
        <v>700</v>
      </c>
    </row>
    <row r="7482" spans="1:5" hidden="1" x14ac:dyDescent="0.3">
      <c r="A7482" t="s">
        <v>552</v>
      </c>
      <c r="B7482" t="s">
        <v>699</v>
      </c>
      <c r="C7482" t="s">
        <v>274</v>
      </c>
      <c r="D7482" s="226">
        <v>-1314.46</v>
      </c>
      <c r="E7482" t="s">
        <v>700</v>
      </c>
    </row>
    <row r="7483" spans="1:5" hidden="1" x14ac:dyDescent="0.3">
      <c r="A7483" t="s">
        <v>552</v>
      </c>
      <c r="B7483" t="s">
        <v>699</v>
      </c>
      <c r="C7483" t="s">
        <v>275</v>
      </c>
      <c r="D7483" s="226">
        <v>-1783.47</v>
      </c>
      <c r="E7483" t="s">
        <v>700</v>
      </c>
    </row>
    <row r="7484" spans="1:5" hidden="1" x14ac:dyDescent="0.3">
      <c r="A7484" t="s">
        <v>552</v>
      </c>
      <c r="B7484" t="s">
        <v>699</v>
      </c>
      <c r="C7484" t="s">
        <v>276</v>
      </c>
      <c r="D7484" s="226">
        <v>-1781</v>
      </c>
      <c r="E7484" t="s">
        <v>700</v>
      </c>
    </row>
    <row r="7485" spans="1:5" hidden="1" x14ac:dyDescent="0.3">
      <c r="A7485" t="s">
        <v>552</v>
      </c>
      <c r="B7485" t="s">
        <v>699</v>
      </c>
      <c r="C7485" t="s">
        <v>277</v>
      </c>
      <c r="D7485" s="226">
        <v>-6253.01</v>
      </c>
      <c r="E7485" t="s">
        <v>700</v>
      </c>
    </row>
    <row r="7486" spans="1:5" hidden="1" x14ac:dyDescent="0.3">
      <c r="A7486" t="s">
        <v>552</v>
      </c>
      <c r="B7486" t="s">
        <v>699</v>
      </c>
      <c r="C7486" t="s">
        <v>44</v>
      </c>
      <c r="D7486" s="226">
        <v>-0.06</v>
      </c>
      <c r="E7486" t="s">
        <v>700</v>
      </c>
    </row>
    <row r="7487" spans="1:5" hidden="1" x14ac:dyDescent="0.3">
      <c r="A7487" t="s">
        <v>552</v>
      </c>
      <c r="B7487" t="s">
        <v>699</v>
      </c>
      <c r="C7487" t="s">
        <v>278</v>
      </c>
      <c r="D7487" s="226">
        <v>-5942.95</v>
      </c>
      <c r="E7487" t="s">
        <v>700</v>
      </c>
    </row>
    <row r="7488" spans="1:5" hidden="1" x14ac:dyDescent="0.3">
      <c r="A7488" t="s">
        <v>552</v>
      </c>
      <c r="B7488" t="s">
        <v>699</v>
      </c>
      <c r="C7488" t="s">
        <v>279</v>
      </c>
      <c r="D7488" s="226">
        <v>0</v>
      </c>
      <c r="E7488" t="s">
        <v>700</v>
      </c>
    </row>
    <row r="7489" spans="1:5" hidden="1" x14ac:dyDescent="0.3">
      <c r="A7489" t="s">
        <v>552</v>
      </c>
      <c r="B7489" t="s">
        <v>699</v>
      </c>
      <c r="C7489" t="s">
        <v>280</v>
      </c>
      <c r="D7489" s="226">
        <v>-478.32</v>
      </c>
      <c r="E7489" t="s">
        <v>700</v>
      </c>
    </row>
    <row r="7490" spans="1:5" hidden="1" x14ac:dyDescent="0.3">
      <c r="A7490" t="s">
        <v>552</v>
      </c>
      <c r="B7490" t="s">
        <v>699</v>
      </c>
      <c r="C7490" t="s">
        <v>281</v>
      </c>
      <c r="D7490" s="226">
        <v>-23.9</v>
      </c>
      <c r="E7490" t="s">
        <v>700</v>
      </c>
    </row>
    <row r="7491" spans="1:5" hidden="1" x14ac:dyDescent="0.3">
      <c r="A7491" t="s">
        <v>552</v>
      </c>
      <c r="B7491" t="s">
        <v>699</v>
      </c>
      <c r="C7491" t="s">
        <v>282</v>
      </c>
      <c r="D7491" s="226">
        <v>-815</v>
      </c>
      <c r="E7491" t="s">
        <v>700</v>
      </c>
    </row>
    <row r="7492" spans="1:5" hidden="1" x14ac:dyDescent="0.3">
      <c r="A7492" t="s">
        <v>552</v>
      </c>
      <c r="B7492" t="s">
        <v>699</v>
      </c>
      <c r="C7492" t="s">
        <v>283</v>
      </c>
      <c r="D7492" s="226">
        <v>-3351.25</v>
      </c>
      <c r="E7492" t="s">
        <v>700</v>
      </c>
    </row>
    <row r="7493" spans="1:5" hidden="1" x14ac:dyDescent="0.3">
      <c r="A7493" t="s">
        <v>552</v>
      </c>
      <c r="B7493" t="s">
        <v>699</v>
      </c>
      <c r="C7493" t="s">
        <v>284</v>
      </c>
      <c r="D7493" s="226">
        <v>-429</v>
      </c>
      <c r="E7493" t="s">
        <v>700</v>
      </c>
    </row>
    <row r="7494" spans="1:5" hidden="1" x14ac:dyDescent="0.3">
      <c r="A7494" t="s">
        <v>552</v>
      </c>
      <c r="B7494" t="s">
        <v>699</v>
      </c>
      <c r="C7494" t="s">
        <v>285</v>
      </c>
      <c r="D7494" s="226">
        <v>-845.48</v>
      </c>
      <c r="E7494" t="s">
        <v>700</v>
      </c>
    </row>
    <row r="7495" spans="1:5" hidden="1" x14ac:dyDescent="0.3">
      <c r="A7495" t="s">
        <v>552</v>
      </c>
      <c r="B7495" t="s">
        <v>699</v>
      </c>
      <c r="C7495" t="s">
        <v>44</v>
      </c>
      <c r="D7495" s="226">
        <v>0</v>
      </c>
      <c r="E7495" t="s">
        <v>700</v>
      </c>
    </row>
    <row r="7496" spans="1:5" hidden="1" x14ac:dyDescent="0.3">
      <c r="A7496" t="s">
        <v>552</v>
      </c>
      <c r="B7496" t="s">
        <v>699</v>
      </c>
      <c r="C7496" t="s">
        <v>286</v>
      </c>
      <c r="D7496" s="226">
        <v>-14697.25</v>
      </c>
      <c r="E7496" t="s">
        <v>700</v>
      </c>
    </row>
    <row r="7497" spans="1:5" hidden="1" x14ac:dyDescent="0.3">
      <c r="A7497" t="s">
        <v>552</v>
      </c>
      <c r="B7497" t="s">
        <v>699</v>
      </c>
      <c r="C7497" t="s">
        <v>287</v>
      </c>
      <c r="D7497" s="226">
        <v>-5000</v>
      </c>
      <c r="E7497" t="s">
        <v>700</v>
      </c>
    </row>
    <row r="7498" spans="1:5" hidden="1" x14ac:dyDescent="0.3">
      <c r="A7498" t="s">
        <v>552</v>
      </c>
      <c r="B7498" t="s">
        <v>699</v>
      </c>
      <c r="C7498" t="s">
        <v>288</v>
      </c>
      <c r="D7498" s="226">
        <v>-4492.5</v>
      </c>
      <c r="E7498" t="s">
        <v>700</v>
      </c>
    </row>
    <row r="7499" spans="1:5" hidden="1" x14ac:dyDescent="0.3">
      <c r="A7499" t="s">
        <v>552</v>
      </c>
      <c r="B7499" t="s">
        <v>699</v>
      </c>
      <c r="C7499" t="s">
        <v>289</v>
      </c>
      <c r="D7499" s="226">
        <v>0</v>
      </c>
      <c r="E7499" t="s">
        <v>700</v>
      </c>
    </row>
    <row r="7500" spans="1:5" hidden="1" x14ac:dyDescent="0.3">
      <c r="A7500" t="s">
        <v>552</v>
      </c>
      <c r="B7500" t="s">
        <v>699</v>
      </c>
      <c r="C7500" t="s">
        <v>290</v>
      </c>
      <c r="D7500" s="226">
        <v>-4947.33</v>
      </c>
      <c r="E7500" t="s">
        <v>700</v>
      </c>
    </row>
    <row r="7501" spans="1:5" hidden="1" x14ac:dyDescent="0.3">
      <c r="A7501" t="s">
        <v>552</v>
      </c>
      <c r="B7501" t="s">
        <v>699</v>
      </c>
      <c r="C7501" t="s">
        <v>291</v>
      </c>
      <c r="D7501" s="226">
        <v>0</v>
      </c>
      <c r="E7501" t="s">
        <v>700</v>
      </c>
    </row>
    <row r="7502" spans="1:5" hidden="1" x14ac:dyDescent="0.3">
      <c r="A7502" t="s">
        <v>552</v>
      </c>
      <c r="B7502" t="s">
        <v>699</v>
      </c>
      <c r="C7502" t="s">
        <v>292</v>
      </c>
      <c r="D7502" s="226">
        <v>-202.46</v>
      </c>
      <c r="E7502" t="s">
        <v>700</v>
      </c>
    </row>
    <row r="7503" spans="1:5" hidden="1" x14ac:dyDescent="0.3">
      <c r="A7503" t="s">
        <v>552</v>
      </c>
      <c r="B7503" t="s">
        <v>699</v>
      </c>
      <c r="C7503" t="s">
        <v>293</v>
      </c>
      <c r="D7503" s="226">
        <v>-54.96</v>
      </c>
      <c r="E7503" t="s">
        <v>700</v>
      </c>
    </row>
    <row r="7504" spans="1:5" hidden="1" x14ac:dyDescent="0.3">
      <c r="A7504" t="s">
        <v>552</v>
      </c>
      <c r="B7504" t="s">
        <v>699</v>
      </c>
      <c r="C7504" t="s">
        <v>294</v>
      </c>
      <c r="D7504" s="226">
        <v>0</v>
      </c>
      <c r="E7504" t="s">
        <v>700</v>
      </c>
    </row>
    <row r="7505" spans="1:5" hidden="1" x14ac:dyDescent="0.3">
      <c r="A7505" t="s">
        <v>552</v>
      </c>
      <c r="B7505" t="s">
        <v>699</v>
      </c>
      <c r="C7505" t="s">
        <v>44</v>
      </c>
      <c r="D7505" s="226">
        <v>-0.01</v>
      </c>
      <c r="E7505" t="s">
        <v>700</v>
      </c>
    </row>
    <row r="7506" spans="1:5" hidden="1" x14ac:dyDescent="0.3">
      <c r="A7506" t="s">
        <v>552</v>
      </c>
      <c r="B7506" t="s">
        <v>699</v>
      </c>
      <c r="C7506" t="s">
        <v>295</v>
      </c>
      <c r="D7506" s="226">
        <v>-11364.3</v>
      </c>
      <c r="E7506" t="s">
        <v>700</v>
      </c>
    </row>
    <row r="7507" spans="1:5" hidden="1" x14ac:dyDescent="0.3">
      <c r="A7507" t="s">
        <v>552</v>
      </c>
      <c r="B7507" t="s">
        <v>699</v>
      </c>
      <c r="C7507" t="s">
        <v>296</v>
      </c>
      <c r="D7507" s="226">
        <v>-4500</v>
      </c>
      <c r="E7507" t="s">
        <v>700</v>
      </c>
    </row>
    <row r="7508" spans="1:5" hidden="1" x14ac:dyDescent="0.3">
      <c r="A7508" t="s">
        <v>552</v>
      </c>
      <c r="B7508" t="s">
        <v>699</v>
      </c>
      <c r="C7508" t="s">
        <v>297</v>
      </c>
      <c r="D7508" s="226">
        <v>-500</v>
      </c>
      <c r="E7508" t="s">
        <v>700</v>
      </c>
    </row>
    <row r="7509" spans="1:5" hidden="1" x14ac:dyDescent="0.3">
      <c r="A7509" t="s">
        <v>552</v>
      </c>
      <c r="B7509" t="s">
        <v>699</v>
      </c>
      <c r="C7509" t="s">
        <v>298</v>
      </c>
      <c r="D7509" s="226">
        <v>0</v>
      </c>
      <c r="E7509" t="s">
        <v>700</v>
      </c>
    </row>
    <row r="7510" spans="1:5" hidden="1" x14ac:dyDescent="0.3">
      <c r="A7510" t="s">
        <v>552</v>
      </c>
      <c r="B7510" t="s">
        <v>699</v>
      </c>
      <c r="C7510" t="s">
        <v>299</v>
      </c>
      <c r="D7510" s="226">
        <v>0</v>
      </c>
      <c r="E7510" t="s">
        <v>700</v>
      </c>
    </row>
    <row r="7511" spans="1:5" hidden="1" x14ac:dyDescent="0.3">
      <c r="A7511" t="s">
        <v>552</v>
      </c>
      <c r="B7511" t="s">
        <v>699</v>
      </c>
      <c r="C7511" t="s">
        <v>300</v>
      </c>
      <c r="D7511" s="226">
        <v>0</v>
      </c>
      <c r="E7511" t="s">
        <v>700</v>
      </c>
    </row>
    <row r="7512" spans="1:5" hidden="1" x14ac:dyDescent="0.3">
      <c r="A7512" t="s">
        <v>552</v>
      </c>
      <c r="B7512" t="s">
        <v>699</v>
      </c>
      <c r="C7512" t="s">
        <v>301</v>
      </c>
      <c r="D7512" s="226">
        <v>0</v>
      </c>
      <c r="E7512" t="s">
        <v>700</v>
      </c>
    </row>
    <row r="7513" spans="1:5" hidden="1" x14ac:dyDescent="0.3">
      <c r="A7513" t="s">
        <v>552</v>
      </c>
      <c r="B7513" t="s">
        <v>699</v>
      </c>
      <c r="C7513" t="s">
        <v>302</v>
      </c>
      <c r="D7513" s="226">
        <v>-1666</v>
      </c>
      <c r="E7513" t="s">
        <v>700</v>
      </c>
    </row>
    <row r="7514" spans="1:5" hidden="1" x14ac:dyDescent="0.3">
      <c r="A7514" t="s">
        <v>552</v>
      </c>
      <c r="B7514" t="s">
        <v>699</v>
      </c>
      <c r="C7514" t="s">
        <v>303</v>
      </c>
      <c r="D7514" s="226">
        <v>-2300.8000000000002</v>
      </c>
      <c r="E7514" t="s">
        <v>700</v>
      </c>
    </row>
    <row r="7515" spans="1:5" hidden="1" x14ac:dyDescent="0.3">
      <c r="A7515" t="s">
        <v>552</v>
      </c>
      <c r="B7515" t="s">
        <v>699</v>
      </c>
      <c r="C7515" t="s">
        <v>304</v>
      </c>
      <c r="D7515" s="226">
        <v>0</v>
      </c>
      <c r="E7515" t="s">
        <v>700</v>
      </c>
    </row>
    <row r="7516" spans="1:5" hidden="1" x14ac:dyDescent="0.3">
      <c r="A7516" t="s">
        <v>552</v>
      </c>
      <c r="B7516" t="s">
        <v>699</v>
      </c>
      <c r="C7516" t="s">
        <v>305</v>
      </c>
      <c r="D7516" s="226">
        <v>0</v>
      </c>
      <c r="E7516" t="s">
        <v>700</v>
      </c>
    </row>
    <row r="7517" spans="1:5" hidden="1" x14ac:dyDescent="0.3">
      <c r="A7517" t="s">
        <v>552</v>
      </c>
      <c r="B7517" t="s">
        <v>699</v>
      </c>
      <c r="C7517" t="s">
        <v>306</v>
      </c>
      <c r="D7517" s="226">
        <v>-2397.5</v>
      </c>
      <c r="E7517" t="s">
        <v>700</v>
      </c>
    </row>
    <row r="7518" spans="1:5" hidden="1" x14ac:dyDescent="0.3">
      <c r="A7518" t="s">
        <v>552</v>
      </c>
      <c r="B7518" t="s">
        <v>699</v>
      </c>
      <c r="C7518" t="s">
        <v>44</v>
      </c>
      <c r="D7518" s="226">
        <v>-0.01</v>
      </c>
      <c r="E7518" t="s">
        <v>700</v>
      </c>
    </row>
    <row r="7519" spans="1:5" hidden="1" x14ac:dyDescent="0.3">
      <c r="A7519" t="s">
        <v>552</v>
      </c>
      <c r="B7519" t="s">
        <v>699</v>
      </c>
      <c r="C7519" t="s">
        <v>307</v>
      </c>
      <c r="D7519" s="226">
        <v>-21443.54</v>
      </c>
      <c r="E7519" t="s">
        <v>700</v>
      </c>
    </row>
    <row r="7520" spans="1:5" hidden="1" x14ac:dyDescent="0.3">
      <c r="A7520" t="s">
        <v>552</v>
      </c>
      <c r="B7520" t="s">
        <v>699</v>
      </c>
      <c r="C7520" t="s">
        <v>308</v>
      </c>
      <c r="D7520" s="226">
        <v>-7966.39</v>
      </c>
      <c r="E7520" t="s">
        <v>700</v>
      </c>
    </row>
    <row r="7521" spans="1:5" hidden="1" x14ac:dyDescent="0.3">
      <c r="A7521" t="s">
        <v>552</v>
      </c>
      <c r="B7521" t="s">
        <v>699</v>
      </c>
      <c r="C7521" t="s">
        <v>309</v>
      </c>
      <c r="D7521" s="226">
        <v>0</v>
      </c>
      <c r="E7521" t="s">
        <v>700</v>
      </c>
    </row>
    <row r="7522" spans="1:5" hidden="1" x14ac:dyDescent="0.3">
      <c r="A7522" t="s">
        <v>552</v>
      </c>
      <c r="B7522" t="s">
        <v>699</v>
      </c>
      <c r="C7522" t="s">
        <v>310</v>
      </c>
      <c r="D7522" s="226">
        <v>-1800</v>
      </c>
      <c r="E7522" t="s">
        <v>700</v>
      </c>
    </row>
    <row r="7523" spans="1:5" hidden="1" x14ac:dyDescent="0.3">
      <c r="A7523" t="s">
        <v>552</v>
      </c>
      <c r="B7523" t="s">
        <v>699</v>
      </c>
      <c r="C7523" t="s">
        <v>311</v>
      </c>
      <c r="D7523" s="226">
        <v>-185</v>
      </c>
      <c r="E7523" t="s">
        <v>700</v>
      </c>
    </row>
    <row r="7524" spans="1:5" hidden="1" x14ac:dyDescent="0.3">
      <c r="A7524" t="s">
        <v>552</v>
      </c>
      <c r="B7524" t="s">
        <v>699</v>
      </c>
      <c r="C7524" t="s">
        <v>312</v>
      </c>
      <c r="D7524" s="226">
        <v>0</v>
      </c>
      <c r="E7524" t="s">
        <v>700</v>
      </c>
    </row>
    <row r="7525" spans="1:5" hidden="1" x14ac:dyDescent="0.3">
      <c r="A7525" t="s">
        <v>552</v>
      </c>
      <c r="B7525" t="s">
        <v>699</v>
      </c>
      <c r="C7525" t="s">
        <v>313</v>
      </c>
      <c r="D7525" s="226">
        <v>-2372.15</v>
      </c>
      <c r="E7525" t="s">
        <v>700</v>
      </c>
    </row>
    <row r="7526" spans="1:5" hidden="1" x14ac:dyDescent="0.3">
      <c r="A7526" t="s">
        <v>552</v>
      </c>
      <c r="B7526" t="s">
        <v>699</v>
      </c>
      <c r="C7526" t="s">
        <v>314</v>
      </c>
      <c r="D7526" s="226">
        <v>0</v>
      </c>
      <c r="E7526" t="s">
        <v>700</v>
      </c>
    </row>
    <row r="7527" spans="1:5" hidden="1" x14ac:dyDescent="0.3">
      <c r="A7527" t="s">
        <v>552</v>
      </c>
      <c r="B7527" t="s">
        <v>699</v>
      </c>
      <c r="C7527" t="s">
        <v>315</v>
      </c>
      <c r="D7527" s="226">
        <v>-9120</v>
      </c>
      <c r="E7527" t="s">
        <v>700</v>
      </c>
    </row>
    <row r="7528" spans="1:5" hidden="1" x14ac:dyDescent="0.3">
      <c r="A7528" t="s">
        <v>552</v>
      </c>
      <c r="B7528" t="s">
        <v>699</v>
      </c>
      <c r="C7528" t="s">
        <v>316</v>
      </c>
      <c r="D7528" s="226">
        <v>0</v>
      </c>
      <c r="E7528" t="s">
        <v>700</v>
      </c>
    </row>
    <row r="7529" spans="1:5" hidden="1" x14ac:dyDescent="0.3">
      <c r="A7529" t="s">
        <v>552</v>
      </c>
      <c r="B7529" t="s">
        <v>699</v>
      </c>
      <c r="C7529" t="s">
        <v>44</v>
      </c>
      <c r="D7529" s="226">
        <v>-0.01</v>
      </c>
      <c r="E7529" t="s">
        <v>700</v>
      </c>
    </row>
    <row r="7530" spans="1:5" hidden="1" x14ac:dyDescent="0.3">
      <c r="A7530" t="s">
        <v>552</v>
      </c>
      <c r="B7530" t="s">
        <v>699</v>
      </c>
      <c r="C7530" t="s">
        <v>317</v>
      </c>
      <c r="D7530" s="226">
        <v>-6790.29</v>
      </c>
      <c r="E7530" t="s">
        <v>700</v>
      </c>
    </row>
    <row r="7531" spans="1:5" hidden="1" x14ac:dyDescent="0.3">
      <c r="A7531" t="s">
        <v>552</v>
      </c>
      <c r="B7531" t="s">
        <v>699</v>
      </c>
      <c r="C7531" t="s">
        <v>318</v>
      </c>
      <c r="D7531" s="226">
        <v>-6520</v>
      </c>
      <c r="E7531" t="s">
        <v>700</v>
      </c>
    </row>
    <row r="7532" spans="1:5" hidden="1" x14ac:dyDescent="0.3">
      <c r="A7532" t="s">
        <v>552</v>
      </c>
      <c r="B7532" t="s">
        <v>699</v>
      </c>
      <c r="C7532" t="s">
        <v>319</v>
      </c>
      <c r="D7532" s="226">
        <v>-270.29000000000002</v>
      </c>
      <c r="E7532" t="s">
        <v>700</v>
      </c>
    </row>
    <row r="7533" spans="1:5" hidden="1" x14ac:dyDescent="0.3">
      <c r="A7533" t="s">
        <v>552</v>
      </c>
      <c r="B7533" t="s">
        <v>699</v>
      </c>
      <c r="C7533" t="s">
        <v>320</v>
      </c>
      <c r="D7533" s="226">
        <v>0</v>
      </c>
      <c r="E7533" t="s">
        <v>700</v>
      </c>
    </row>
    <row r="7534" spans="1:5" hidden="1" x14ac:dyDescent="0.3">
      <c r="A7534" t="s">
        <v>552</v>
      </c>
      <c r="B7534" t="s">
        <v>699</v>
      </c>
      <c r="C7534" t="s">
        <v>321</v>
      </c>
      <c r="D7534" s="226">
        <v>0</v>
      </c>
      <c r="E7534" t="s">
        <v>700</v>
      </c>
    </row>
    <row r="7535" spans="1:5" hidden="1" x14ac:dyDescent="0.3">
      <c r="A7535" t="s">
        <v>552</v>
      </c>
      <c r="B7535" t="s">
        <v>699</v>
      </c>
      <c r="C7535" t="s">
        <v>44</v>
      </c>
      <c r="D7535" s="226">
        <v>0</v>
      </c>
      <c r="E7535" t="s">
        <v>700</v>
      </c>
    </row>
    <row r="7536" spans="1:5" hidden="1" x14ac:dyDescent="0.3">
      <c r="A7536" t="s">
        <v>552</v>
      </c>
      <c r="B7536" t="s">
        <v>699</v>
      </c>
      <c r="C7536" t="s">
        <v>322</v>
      </c>
      <c r="D7536" s="226">
        <v>-88679.72</v>
      </c>
      <c r="E7536" t="s">
        <v>700</v>
      </c>
    </row>
    <row r="7537" spans="1:5" hidden="1" x14ac:dyDescent="0.3">
      <c r="A7537" t="s">
        <v>552</v>
      </c>
      <c r="B7537" t="s">
        <v>699</v>
      </c>
      <c r="C7537" t="s">
        <v>323</v>
      </c>
      <c r="D7537" s="226">
        <v>0</v>
      </c>
      <c r="E7537" t="s">
        <v>700</v>
      </c>
    </row>
    <row r="7538" spans="1:5" hidden="1" x14ac:dyDescent="0.3">
      <c r="A7538" t="s">
        <v>552</v>
      </c>
      <c r="B7538" t="s">
        <v>699</v>
      </c>
      <c r="C7538" t="s">
        <v>324</v>
      </c>
      <c r="D7538" s="226">
        <v>0</v>
      </c>
      <c r="E7538" t="s">
        <v>700</v>
      </c>
    </row>
    <row r="7539" spans="1:5" hidden="1" x14ac:dyDescent="0.3">
      <c r="A7539" t="s">
        <v>552</v>
      </c>
      <c r="B7539" t="s">
        <v>699</v>
      </c>
      <c r="C7539" t="s">
        <v>325</v>
      </c>
      <c r="D7539" s="226">
        <v>-88679.72</v>
      </c>
      <c r="E7539" t="s">
        <v>700</v>
      </c>
    </row>
    <row r="7540" spans="1:5" hidden="1" x14ac:dyDescent="0.3">
      <c r="A7540" t="s">
        <v>552</v>
      </c>
      <c r="B7540" t="s">
        <v>699</v>
      </c>
      <c r="C7540" t="s">
        <v>44</v>
      </c>
      <c r="D7540" s="226">
        <v>-0.05</v>
      </c>
      <c r="E7540" t="s">
        <v>700</v>
      </c>
    </row>
    <row r="7541" spans="1:5" hidden="1" x14ac:dyDescent="0.3">
      <c r="A7541" t="s">
        <v>552</v>
      </c>
      <c r="B7541" t="s">
        <v>699</v>
      </c>
      <c r="C7541" t="s">
        <v>327</v>
      </c>
      <c r="D7541" s="226">
        <v>-669268.96</v>
      </c>
      <c r="E7541" t="s">
        <v>700</v>
      </c>
    </row>
    <row r="7542" spans="1:5" hidden="1" x14ac:dyDescent="0.3">
      <c r="A7542" t="s">
        <v>552</v>
      </c>
      <c r="B7542" t="s">
        <v>699</v>
      </c>
      <c r="C7542" t="s">
        <v>44</v>
      </c>
      <c r="D7542" s="226">
        <v>-0.38</v>
      </c>
      <c r="E7542" t="s">
        <v>700</v>
      </c>
    </row>
    <row r="7543" spans="1:5" hidden="1" x14ac:dyDescent="0.3">
      <c r="A7543" t="s">
        <v>552</v>
      </c>
      <c r="B7543" t="s">
        <v>699</v>
      </c>
      <c r="C7543" t="s">
        <v>328</v>
      </c>
      <c r="D7543" s="226">
        <v>419521.71</v>
      </c>
      <c r="E7543" t="s">
        <v>700</v>
      </c>
    </row>
    <row r="7544" spans="1:5" hidden="1" x14ac:dyDescent="0.3">
      <c r="A7544" t="s">
        <v>552</v>
      </c>
      <c r="B7544" t="s">
        <v>699</v>
      </c>
      <c r="C7544" t="s">
        <v>44</v>
      </c>
      <c r="D7544" s="226">
        <v>0.24</v>
      </c>
      <c r="E7544" t="s">
        <v>700</v>
      </c>
    </row>
    <row r="7545" spans="1:5" hidden="1" x14ac:dyDescent="0.3">
      <c r="A7545" t="s">
        <v>552</v>
      </c>
      <c r="B7545" t="s">
        <v>699</v>
      </c>
      <c r="C7545" t="s">
        <v>329</v>
      </c>
      <c r="D7545" s="226">
        <v>0</v>
      </c>
      <c r="E7545" t="s">
        <v>700</v>
      </c>
    </row>
    <row r="7546" spans="1:5" hidden="1" x14ac:dyDescent="0.3">
      <c r="A7546" t="s">
        <v>552</v>
      </c>
      <c r="B7546" t="s">
        <v>699</v>
      </c>
      <c r="C7546" t="s">
        <v>331</v>
      </c>
      <c r="D7546" s="226">
        <v>419521.71</v>
      </c>
      <c r="E7546" t="s">
        <v>700</v>
      </c>
    </row>
    <row r="7547" spans="1:5" hidden="1" x14ac:dyDescent="0.3">
      <c r="A7547" t="s">
        <v>552</v>
      </c>
      <c r="B7547" t="s">
        <v>699</v>
      </c>
      <c r="C7547" t="s">
        <v>332</v>
      </c>
      <c r="D7547" s="226">
        <v>-13023.69</v>
      </c>
      <c r="E7547" t="s">
        <v>700</v>
      </c>
    </row>
    <row r="7548" spans="1:5" hidden="1" x14ac:dyDescent="0.3">
      <c r="A7548" t="s">
        <v>552</v>
      </c>
      <c r="B7548" t="s">
        <v>699</v>
      </c>
      <c r="C7548" t="s">
        <v>333</v>
      </c>
      <c r="D7548" s="226">
        <v>0</v>
      </c>
      <c r="E7548" t="s">
        <v>700</v>
      </c>
    </row>
    <row r="7549" spans="1:5" hidden="1" x14ac:dyDescent="0.3">
      <c r="A7549" t="s">
        <v>552</v>
      </c>
      <c r="B7549" t="s">
        <v>699</v>
      </c>
      <c r="C7549" t="s">
        <v>335</v>
      </c>
      <c r="D7549" s="226">
        <v>0</v>
      </c>
      <c r="E7549" t="s">
        <v>700</v>
      </c>
    </row>
    <row r="7550" spans="1:5" hidden="1" x14ac:dyDescent="0.3">
      <c r="A7550" t="s">
        <v>552</v>
      </c>
      <c r="B7550" t="s">
        <v>699</v>
      </c>
      <c r="C7550" t="s">
        <v>337</v>
      </c>
      <c r="D7550" s="226">
        <v>406498.02</v>
      </c>
      <c r="E7550" t="s">
        <v>700</v>
      </c>
    </row>
    <row r="7551" spans="1:5" hidden="1" x14ac:dyDescent="0.3">
      <c r="A7551" t="s">
        <v>552</v>
      </c>
      <c r="B7551" t="s">
        <v>699</v>
      </c>
      <c r="C7551" t="s">
        <v>338</v>
      </c>
      <c r="D7551" s="226">
        <v>-36864.54</v>
      </c>
      <c r="E7551" t="s">
        <v>700</v>
      </c>
    </row>
    <row r="7552" spans="1:5" hidden="1" x14ac:dyDescent="0.3">
      <c r="A7552" t="s">
        <v>552</v>
      </c>
      <c r="B7552" t="s">
        <v>699</v>
      </c>
      <c r="C7552" t="s">
        <v>341</v>
      </c>
      <c r="D7552" s="226">
        <v>0</v>
      </c>
      <c r="E7552" t="s">
        <v>700</v>
      </c>
    </row>
    <row r="7553" spans="1:5" hidden="1" x14ac:dyDescent="0.3">
      <c r="A7553" t="s">
        <v>552</v>
      </c>
      <c r="B7553" t="s">
        <v>699</v>
      </c>
      <c r="C7553" t="s">
        <v>343</v>
      </c>
      <c r="D7553" s="226">
        <v>-19559.29</v>
      </c>
      <c r="E7553" t="s">
        <v>700</v>
      </c>
    </row>
    <row r="7554" spans="1:5" hidden="1" x14ac:dyDescent="0.3">
      <c r="A7554" t="s">
        <v>552</v>
      </c>
      <c r="B7554" t="s">
        <v>699</v>
      </c>
      <c r="C7554" t="s">
        <v>344</v>
      </c>
      <c r="D7554" s="226">
        <v>0</v>
      </c>
      <c r="E7554" t="s">
        <v>700</v>
      </c>
    </row>
    <row r="7555" spans="1:5" hidden="1" x14ac:dyDescent="0.3">
      <c r="A7555" t="s">
        <v>552</v>
      </c>
      <c r="B7555" t="s">
        <v>699</v>
      </c>
      <c r="C7555" t="s">
        <v>345</v>
      </c>
      <c r="D7555" s="226">
        <v>-17305.25</v>
      </c>
      <c r="E7555" t="s">
        <v>700</v>
      </c>
    </row>
    <row r="7556" spans="1:5" hidden="1" x14ac:dyDescent="0.3">
      <c r="A7556" t="s">
        <v>552</v>
      </c>
      <c r="B7556" t="s">
        <v>699</v>
      </c>
      <c r="C7556" t="s">
        <v>346</v>
      </c>
      <c r="D7556" s="226">
        <v>369633.49</v>
      </c>
      <c r="E7556" t="s">
        <v>700</v>
      </c>
    </row>
    <row r="7557" spans="1:5" hidden="1" x14ac:dyDescent="0.3">
      <c r="A7557" t="s">
        <v>552</v>
      </c>
      <c r="B7557" t="s">
        <v>699</v>
      </c>
      <c r="C7557" t="s">
        <v>44</v>
      </c>
      <c r="D7557" s="226">
        <v>0.21</v>
      </c>
      <c r="E7557" t="s">
        <v>700</v>
      </c>
    </row>
    <row r="7558" spans="1:5" hidden="1" x14ac:dyDescent="0.3">
      <c r="A7558" t="s">
        <v>552</v>
      </c>
      <c r="B7558" t="s">
        <v>699</v>
      </c>
      <c r="C7558" t="s">
        <v>347</v>
      </c>
      <c r="D7558" s="226">
        <v>-8334</v>
      </c>
      <c r="E7558" t="s">
        <v>700</v>
      </c>
    </row>
    <row r="7559" spans="1:5" hidden="1" x14ac:dyDescent="0.3">
      <c r="A7559" t="s">
        <v>552</v>
      </c>
      <c r="B7559" t="s">
        <v>699</v>
      </c>
      <c r="C7559" t="s">
        <v>654</v>
      </c>
      <c r="D7559" s="226">
        <v>0</v>
      </c>
      <c r="E7559" t="s">
        <v>700</v>
      </c>
    </row>
    <row r="7560" spans="1:5" hidden="1" x14ac:dyDescent="0.3">
      <c r="A7560" t="s">
        <v>552</v>
      </c>
      <c r="B7560" t="s">
        <v>699</v>
      </c>
      <c r="C7560" t="s">
        <v>349</v>
      </c>
      <c r="D7560" s="226">
        <v>0</v>
      </c>
      <c r="E7560" t="s">
        <v>700</v>
      </c>
    </row>
    <row r="7561" spans="1:5" hidden="1" x14ac:dyDescent="0.3">
      <c r="A7561" t="s">
        <v>552</v>
      </c>
      <c r="B7561" t="s">
        <v>699</v>
      </c>
      <c r="C7561" t="s">
        <v>350</v>
      </c>
      <c r="D7561" s="226">
        <v>0</v>
      </c>
      <c r="E7561" t="s">
        <v>700</v>
      </c>
    </row>
    <row r="7562" spans="1:5" hidden="1" x14ac:dyDescent="0.3">
      <c r="A7562" t="s">
        <v>552</v>
      </c>
      <c r="B7562" t="s">
        <v>699</v>
      </c>
      <c r="C7562" t="s">
        <v>351</v>
      </c>
      <c r="D7562" s="226">
        <v>0</v>
      </c>
      <c r="E7562" t="s">
        <v>700</v>
      </c>
    </row>
    <row r="7563" spans="1:5" hidden="1" x14ac:dyDescent="0.3">
      <c r="A7563" t="s">
        <v>552</v>
      </c>
      <c r="B7563" t="s">
        <v>699</v>
      </c>
      <c r="C7563" t="s">
        <v>352</v>
      </c>
      <c r="D7563" s="226">
        <v>-8334</v>
      </c>
      <c r="E7563" t="s">
        <v>700</v>
      </c>
    </row>
    <row r="7564" spans="1:5" hidden="1" x14ac:dyDescent="0.3">
      <c r="A7564" t="s">
        <v>552</v>
      </c>
      <c r="B7564" t="s">
        <v>699</v>
      </c>
      <c r="C7564" t="s">
        <v>353</v>
      </c>
      <c r="D7564" s="226">
        <v>0</v>
      </c>
      <c r="E7564" t="s">
        <v>700</v>
      </c>
    </row>
    <row r="7565" spans="1:5" hidden="1" x14ac:dyDescent="0.3">
      <c r="A7565" t="s">
        <v>552</v>
      </c>
      <c r="B7565" t="s">
        <v>699</v>
      </c>
      <c r="C7565" t="s">
        <v>354</v>
      </c>
      <c r="D7565" s="226">
        <v>0</v>
      </c>
      <c r="E7565" t="s">
        <v>700</v>
      </c>
    </row>
    <row r="7566" spans="1:5" hidden="1" x14ac:dyDescent="0.3">
      <c r="A7566" t="s">
        <v>552</v>
      </c>
      <c r="B7566" t="s">
        <v>699</v>
      </c>
      <c r="C7566" t="s">
        <v>355</v>
      </c>
      <c r="D7566" s="226">
        <v>0</v>
      </c>
      <c r="E7566" t="s">
        <v>700</v>
      </c>
    </row>
    <row r="7567" spans="1:5" hidden="1" x14ac:dyDescent="0.3">
      <c r="A7567" t="s">
        <v>552</v>
      </c>
      <c r="B7567" t="s">
        <v>699</v>
      </c>
      <c r="C7567" t="s">
        <v>356</v>
      </c>
      <c r="D7567" s="226">
        <v>0</v>
      </c>
      <c r="E7567" t="s">
        <v>700</v>
      </c>
    </row>
    <row r="7568" spans="1:5" hidden="1" x14ac:dyDescent="0.3">
      <c r="A7568" t="s">
        <v>552</v>
      </c>
      <c r="B7568" t="s">
        <v>699</v>
      </c>
      <c r="C7568" t="s">
        <v>357</v>
      </c>
      <c r="D7568" s="226">
        <v>0</v>
      </c>
      <c r="E7568" t="s">
        <v>700</v>
      </c>
    </row>
    <row r="7569" spans="1:5" hidden="1" x14ac:dyDescent="0.3">
      <c r="A7569" t="s">
        <v>552</v>
      </c>
      <c r="B7569" t="s">
        <v>699</v>
      </c>
      <c r="C7569" t="s">
        <v>358</v>
      </c>
      <c r="D7569" s="226">
        <v>0</v>
      </c>
      <c r="E7569" t="s">
        <v>700</v>
      </c>
    </row>
    <row r="7570" spans="1:5" hidden="1" x14ac:dyDescent="0.3">
      <c r="A7570" t="s">
        <v>552</v>
      </c>
      <c r="B7570" t="s">
        <v>699</v>
      </c>
      <c r="C7570" t="s">
        <v>359</v>
      </c>
      <c r="D7570" s="226">
        <v>0</v>
      </c>
      <c r="E7570" t="s">
        <v>700</v>
      </c>
    </row>
    <row r="7571" spans="1:5" hidden="1" x14ac:dyDescent="0.3">
      <c r="A7571" t="s">
        <v>552</v>
      </c>
      <c r="B7571" t="s">
        <v>699</v>
      </c>
      <c r="C7571" t="s">
        <v>360</v>
      </c>
      <c r="D7571" s="226">
        <v>0</v>
      </c>
      <c r="E7571" t="s">
        <v>700</v>
      </c>
    </row>
    <row r="7572" spans="1:5" hidden="1" x14ac:dyDescent="0.3">
      <c r="A7572" t="s">
        <v>552</v>
      </c>
      <c r="B7572" t="s">
        <v>699</v>
      </c>
      <c r="C7572" t="s">
        <v>361</v>
      </c>
      <c r="D7572" s="226">
        <v>0</v>
      </c>
      <c r="E7572" t="s">
        <v>700</v>
      </c>
    </row>
    <row r="7573" spans="1:5" hidden="1" x14ac:dyDescent="0.3">
      <c r="A7573" t="s">
        <v>552</v>
      </c>
      <c r="B7573" t="s">
        <v>699</v>
      </c>
      <c r="C7573" t="s">
        <v>362</v>
      </c>
      <c r="D7573" s="226">
        <v>0</v>
      </c>
      <c r="E7573" t="s">
        <v>700</v>
      </c>
    </row>
    <row r="7574" spans="1:5" hidden="1" x14ac:dyDescent="0.3">
      <c r="A7574" t="s">
        <v>552</v>
      </c>
      <c r="B7574" t="s">
        <v>699</v>
      </c>
      <c r="C7574" t="s">
        <v>363</v>
      </c>
      <c r="D7574" s="226">
        <v>0</v>
      </c>
      <c r="E7574" t="s">
        <v>700</v>
      </c>
    </row>
    <row r="7575" spans="1:5" hidden="1" x14ac:dyDescent="0.3">
      <c r="A7575" t="s">
        <v>552</v>
      </c>
      <c r="B7575" t="s">
        <v>699</v>
      </c>
      <c r="C7575" t="s">
        <v>364</v>
      </c>
      <c r="D7575" s="226">
        <v>-12692.26</v>
      </c>
      <c r="E7575" t="s">
        <v>700</v>
      </c>
    </row>
    <row r="7576" spans="1:5" hidden="1" x14ac:dyDescent="0.3">
      <c r="A7576" t="s">
        <v>552</v>
      </c>
      <c r="B7576" t="s">
        <v>699</v>
      </c>
      <c r="C7576" t="s">
        <v>365</v>
      </c>
      <c r="D7576" s="226">
        <v>-8469.9599999999991</v>
      </c>
      <c r="E7576" t="s">
        <v>700</v>
      </c>
    </row>
    <row r="7577" spans="1:5" hidden="1" x14ac:dyDescent="0.3">
      <c r="A7577" t="s">
        <v>552</v>
      </c>
      <c r="B7577" t="s">
        <v>699</v>
      </c>
      <c r="C7577" t="s">
        <v>366</v>
      </c>
      <c r="D7577" s="226">
        <v>0</v>
      </c>
      <c r="E7577" t="s">
        <v>700</v>
      </c>
    </row>
    <row r="7578" spans="1:5" hidden="1" x14ac:dyDescent="0.3">
      <c r="A7578" t="s">
        <v>552</v>
      </c>
      <c r="B7578" t="s">
        <v>699</v>
      </c>
      <c r="C7578" t="s">
        <v>367</v>
      </c>
      <c r="D7578" s="226">
        <v>-12022.3</v>
      </c>
      <c r="E7578" t="s">
        <v>700</v>
      </c>
    </row>
    <row r="7579" spans="1:5" hidden="1" x14ac:dyDescent="0.3">
      <c r="A7579" t="s">
        <v>552</v>
      </c>
      <c r="B7579" t="s">
        <v>699</v>
      </c>
      <c r="C7579" t="s">
        <v>368</v>
      </c>
      <c r="D7579" s="226">
        <v>7800</v>
      </c>
      <c r="E7579" t="s">
        <v>700</v>
      </c>
    </row>
    <row r="7580" spans="1:5" hidden="1" x14ac:dyDescent="0.3">
      <c r="A7580" t="s">
        <v>552</v>
      </c>
      <c r="B7580" t="s">
        <v>699</v>
      </c>
      <c r="C7580" t="s">
        <v>369</v>
      </c>
      <c r="D7580" s="226">
        <v>0</v>
      </c>
      <c r="E7580" t="s">
        <v>700</v>
      </c>
    </row>
    <row r="7581" spans="1:5" hidden="1" x14ac:dyDescent="0.3">
      <c r="A7581" t="s">
        <v>552</v>
      </c>
      <c r="B7581" t="s">
        <v>699</v>
      </c>
      <c r="C7581" t="s">
        <v>370</v>
      </c>
      <c r="D7581" s="226">
        <v>0</v>
      </c>
      <c r="E7581" t="s">
        <v>700</v>
      </c>
    </row>
    <row r="7582" spans="1:5" hidden="1" x14ac:dyDescent="0.3">
      <c r="A7582" t="s">
        <v>552</v>
      </c>
      <c r="B7582" t="s">
        <v>699</v>
      </c>
      <c r="C7582" t="s">
        <v>371</v>
      </c>
      <c r="D7582" s="226">
        <v>0</v>
      </c>
      <c r="E7582" t="s">
        <v>700</v>
      </c>
    </row>
    <row r="7583" spans="1:5" hidden="1" x14ac:dyDescent="0.3">
      <c r="A7583" t="s">
        <v>552</v>
      </c>
      <c r="B7583" t="s">
        <v>699</v>
      </c>
      <c r="C7583" t="s">
        <v>372</v>
      </c>
      <c r="D7583" s="226">
        <v>-21026.26</v>
      </c>
      <c r="E7583" t="s">
        <v>700</v>
      </c>
    </row>
    <row r="7584" spans="1:5" hidden="1" x14ac:dyDescent="0.3">
      <c r="A7584" t="s">
        <v>552</v>
      </c>
      <c r="B7584" t="s">
        <v>699</v>
      </c>
      <c r="C7584" t="s">
        <v>373</v>
      </c>
      <c r="D7584" s="226">
        <v>348607.23</v>
      </c>
      <c r="E7584" t="s">
        <v>700</v>
      </c>
    </row>
    <row r="7585" spans="1:5" hidden="1" x14ac:dyDescent="0.3">
      <c r="A7585" t="s">
        <v>552</v>
      </c>
      <c r="B7585" t="s">
        <v>699</v>
      </c>
      <c r="C7585" t="s">
        <v>655</v>
      </c>
      <c r="D7585" s="226">
        <v>348607.23</v>
      </c>
      <c r="E7585" t="s">
        <v>700</v>
      </c>
    </row>
    <row r="7586" spans="1:5" hidden="1" x14ac:dyDescent="0.3">
      <c r="A7586" t="s">
        <v>552</v>
      </c>
      <c r="B7586" t="s">
        <v>701</v>
      </c>
      <c r="C7586" t="s">
        <v>11</v>
      </c>
      <c r="D7586" s="226">
        <v>1723031.17</v>
      </c>
      <c r="E7586" t="s">
        <v>456</v>
      </c>
    </row>
    <row r="7587" spans="1:5" hidden="1" x14ac:dyDescent="0.3">
      <c r="A7587" t="s">
        <v>552</v>
      </c>
      <c r="B7587" t="s">
        <v>701</v>
      </c>
      <c r="C7587" t="s">
        <v>13</v>
      </c>
      <c r="D7587" s="226">
        <v>761623.37</v>
      </c>
      <c r="E7587" t="s">
        <v>456</v>
      </c>
    </row>
    <row r="7588" spans="1:5" hidden="1" x14ac:dyDescent="0.3">
      <c r="A7588" t="s">
        <v>552</v>
      </c>
      <c r="B7588" t="s">
        <v>701</v>
      </c>
      <c r="C7588" t="s">
        <v>16</v>
      </c>
      <c r="D7588" s="226">
        <v>556552.5</v>
      </c>
      <c r="E7588" t="s">
        <v>456</v>
      </c>
    </row>
    <row r="7589" spans="1:5" hidden="1" x14ac:dyDescent="0.3">
      <c r="A7589" t="s">
        <v>552</v>
      </c>
      <c r="B7589" t="s">
        <v>701</v>
      </c>
      <c r="C7589" t="s">
        <v>17</v>
      </c>
      <c r="D7589" s="226">
        <v>0</v>
      </c>
      <c r="E7589" t="s">
        <v>456</v>
      </c>
    </row>
    <row r="7590" spans="1:5" hidden="1" x14ac:dyDescent="0.3">
      <c r="A7590" t="s">
        <v>552</v>
      </c>
      <c r="B7590" t="s">
        <v>701</v>
      </c>
      <c r="C7590" t="s">
        <v>18</v>
      </c>
      <c r="D7590" s="226">
        <v>0</v>
      </c>
      <c r="E7590" t="s">
        <v>456</v>
      </c>
    </row>
    <row r="7591" spans="1:5" hidden="1" x14ac:dyDescent="0.3">
      <c r="A7591" t="s">
        <v>552</v>
      </c>
      <c r="B7591" t="s">
        <v>701</v>
      </c>
      <c r="C7591" t="s">
        <v>20</v>
      </c>
      <c r="D7591" s="226">
        <v>170417.68</v>
      </c>
      <c r="E7591" t="s">
        <v>456</v>
      </c>
    </row>
    <row r="7592" spans="1:5" hidden="1" x14ac:dyDescent="0.3">
      <c r="A7592" t="s">
        <v>552</v>
      </c>
      <c r="B7592" t="s">
        <v>701</v>
      </c>
      <c r="C7592" t="s">
        <v>23</v>
      </c>
      <c r="D7592" s="226">
        <v>177855.26</v>
      </c>
      <c r="E7592" t="s">
        <v>456</v>
      </c>
    </row>
    <row r="7593" spans="1:5" hidden="1" x14ac:dyDescent="0.3">
      <c r="A7593" t="s">
        <v>552</v>
      </c>
      <c r="B7593" t="s">
        <v>701</v>
      </c>
      <c r="C7593" t="s">
        <v>25</v>
      </c>
      <c r="D7593" s="226">
        <v>0</v>
      </c>
      <c r="E7593" t="s">
        <v>456</v>
      </c>
    </row>
    <row r="7594" spans="1:5" hidden="1" x14ac:dyDescent="0.3">
      <c r="A7594" t="s">
        <v>552</v>
      </c>
      <c r="B7594" t="s">
        <v>701</v>
      </c>
      <c r="C7594" t="s">
        <v>26</v>
      </c>
      <c r="D7594" s="226">
        <v>26226</v>
      </c>
      <c r="E7594" t="s">
        <v>456</v>
      </c>
    </row>
    <row r="7595" spans="1:5" hidden="1" x14ac:dyDescent="0.3">
      <c r="A7595" t="s">
        <v>552</v>
      </c>
      <c r="B7595" t="s">
        <v>701</v>
      </c>
      <c r="C7595" t="s">
        <v>27</v>
      </c>
      <c r="D7595" s="226">
        <v>0</v>
      </c>
      <c r="E7595" t="s">
        <v>456</v>
      </c>
    </row>
    <row r="7596" spans="1:5" hidden="1" x14ac:dyDescent="0.3">
      <c r="A7596" t="s">
        <v>552</v>
      </c>
      <c r="B7596" t="s">
        <v>701</v>
      </c>
      <c r="C7596" t="s">
        <v>29</v>
      </c>
      <c r="D7596" s="226">
        <v>29249.360000000001</v>
      </c>
      <c r="E7596" t="s">
        <v>456</v>
      </c>
    </row>
    <row r="7597" spans="1:5" hidden="1" x14ac:dyDescent="0.3">
      <c r="A7597" t="s">
        <v>552</v>
      </c>
      <c r="B7597" t="s">
        <v>701</v>
      </c>
      <c r="C7597" t="s">
        <v>31</v>
      </c>
      <c r="D7597" s="226">
        <v>1107</v>
      </c>
      <c r="E7597" t="s">
        <v>456</v>
      </c>
    </row>
    <row r="7598" spans="1:5" hidden="1" x14ac:dyDescent="0.3">
      <c r="A7598" t="s">
        <v>552</v>
      </c>
      <c r="B7598" t="s">
        <v>701</v>
      </c>
      <c r="C7598" t="s">
        <v>34</v>
      </c>
      <c r="D7598" s="226">
        <v>-21591.08</v>
      </c>
      <c r="E7598" t="s">
        <v>456</v>
      </c>
    </row>
    <row r="7599" spans="1:5" hidden="1" x14ac:dyDescent="0.3">
      <c r="A7599" t="s">
        <v>552</v>
      </c>
      <c r="B7599" t="s">
        <v>701</v>
      </c>
      <c r="C7599" t="s">
        <v>38</v>
      </c>
      <c r="D7599" s="226">
        <v>-5620.75</v>
      </c>
      <c r="E7599" t="s">
        <v>456</v>
      </c>
    </row>
    <row r="7600" spans="1:5" hidden="1" x14ac:dyDescent="0.3">
      <c r="A7600" t="s">
        <v>552</v>
      </c>
      <c r="B7600" t="s">
        <v>701</v>
      </c>
      <c r="C7600" t="s">
        <v>40</v>
      </c>
      <c r="D7600" s="226">
        <v>-15938.89</v>
      </c>
      <c r="E7600" t="s">
        <v>456</v>
      </c>
    </row>
    <row r="7601" spans="1:5" hidden="1" x14ac:dyDescent="0.3">
      <c r="A7601" t="s">
        <v>552</v>
      </c>
      <c r="B7601" t="s">
        <v>701</v>
      </c>
      <c r="C7601" t="s">
        <v>42</v>
      </c>
      <c r="D7601" s="226">
        <v>-31.43</v>
      </c>
      <c r="E7601" t="s">
        <v>456</v>
      </c>
    </row>
    <row r="7602" spans="1:5" hidden="1" x14ac:dyDescent="0.3">
      <c r="A7602" t="s">
        <v>552</v>
      </c>
      <c r="B7602" t="s">
        <v>701</v>
      </c>
      <c r="C7602" t="s">
        <v>44</v>
      </c>
      <c r="D7602" s="226">
        <v>-0.01</v>
      </c>
      <c r="E7602" t="s">
        <v>456</v>
      </c>
    </row>
    <row r="7603" spans="1:5" hidden="1" x14ac:dyDescent="0.3">
      <c r="A7603" t="s">
        <v>552</v>
      </c>
      <c r="B7603" t="s">
        <v>701</v>
      </c>
      <c r="C7603" t="s">
        <v>45</v>
      </c>
      <c r="D7603" s="226">
        <v>-104002.45</v>
      </c>
      <c r="E7603" t="s">
        <v>456</v>
      </c>
    </row>
    <row r="7604" spans="1:5" hidden="1" x14ac:dyDescent="0.3">
      <c r="A7604" t="s">
        <v>552</v>
      </c>
      <c r="B7604" t="s">
        <v>701</v>
      </c>
      <c r="C7604" t="s">
        <v>46</v>
      </c>
      <c r="D7604" s="226">
        <v>-55610.85</v>
      </c>
      <c r="E7604" t="s">
        <v>456</v>
      </c>
    </row>
    <row r="7605" spans="1:5" hidden="1" x14ac:dyDescent="0.3">
      <c r="A7605" t="s">
        <v>552</v>
      </c>
      <c r="B7605" t="s">
        <v>701</v>
      </c>
      <c r="C7605" t="s">
        <v>48</v>
      </c>
      <c r="D7605" s="226">
        <v>-47080.3</v>
      </c>
      <c r="E7605" t="s">
        <v>456</v>
      </c>
    </row>
    <row r="7606" spans="1:5" hidden="1" x14ac:dyDescent="0.3">
      <c r="A7606" t="s">
        <v>552</v>
      </c>
      <c r="B7606" t="s">
        <v>701</v>
      </c>
      <c r="C7606" t="s">
        <v>49</v>
      </c>
      <c r="D7606" s="226">
        <v>-1311.3</v>
      </c>
      <c r="E7606" t="s">
        <v>456</v>
      </c>
    </row>
    <row r="7607" spans="1:5" hidden="1" x14ac:dyDescent="0.3">
      <c r="A7607" t="s">
        <v>552</v>
      </c>
      <c r="B7607" t="s">
        <v>701</v>
      </c>
      <c r="C7607" t="s">
        <v>50</v>
      </c>
      <c r="D7607" s="226">
        <v>1597437.64</v>
      </c>
      <c r="E7607" t="s">
        <v>456</v>
      </c>
    </row>
    <row r="7608" spans="1:5" hidden="1" x14ac:dyDescent="0.3">
      <c r="A7608" t="s">
        <v>552</v>
      </c>
      <c r="B7608" t="s">
        <v>701</v>
      </c>
      <c r="C7608" t="s">
        <v>51</v>
      </c>
      <c r="D7608" s="226">
        <v>-410252.61</v>
      </c>
      <c r="E7608" t="s">
        <v>456</v>
      </c>
    </row>
    <row r="7609" spans="1:5" hidden="1" x14ac:dyDescent="0.3">
      <c r="A7609" t="s">
        <v>552</v>
      </c>
      <c r="B7609" t="s">
        <v>701</v>
      </c>
      <c r="C7609" t="s">
        <v>52</v>
      </c>
      <c r="D7609" s="226">
        <v>-261734.1</v>
      </c>
      <c r="E7609" t="s">
        <v>456</v>
      </c>
    </row>
    <row r="7610" spans="1:5" hidden="1" x14ac:dyDescent="0.3">
      <c r="A7610" t="s">
        <v>552</v>
      </c>
      <c r="B7610" t="s">
        <v>701</v>
      </c>
      <c r="C7610" t="s">
        <v>53</v>
      </c>
      <c r="D7610" s="226">
        <v>-145788.88</v>
      </c>
      <c r="E7610" t="s">
        <v>456</v>
      </c>
    </row>
    <row r="7611" spans="1:5" hidden="1" x14ac:dyDescent="0.3">
      <c r="A7611" t="s">
        <v>552</v>
      </c>
      <c r="B7611" t="s">
        <v>701</v>
      </c>
      <c r="C7611" t="s">
        <v>54</v>
      </c>
      <c r="D7611" s="226">
        <v>-2729.63</v>
      </c>
      <c r="E7611" t="s">
        <v>456</v>
      </c>
    </row>
    <row r="7612" spans="1:5" hidden="1" x14ac:dyDescent="0.3">
      <c r="A7612" t="s">
        <v>552</v>
      </c>
      <c r="B7612" t="s">
        <v>701</v>
      </c>
      <c r="C7612" t="s">
        <v>23</v>
      </c>
      <c r="D7612" s="226">
        <v>0</v>
      </c>
      <c r="E7612" t="s">
        <v>456</v>
      </c>
    </row>
    <row r="7613" spans="1:5" hidden="1" x14ac:dyDescent="0.3">
      <c r="A7613" t="s">
        <v>552</v>
      </c>
      <c r="B7613" t="s">
        <v>701</v>
      </c>
      <c r="C7613" t="s">
        <v>44</v>
      </c>
      <c r="D7613" s="226">
        <v>-0.27</v>
      </c>
      <c r="E7613" t="s">
        <v>456</v>
      </c>
    </row>
    <row r="7614" spans="1:5" hidden="1" x14ac:dyDescent="0.3">
      <c r="A7614" t="s">
        <v>552</v>
      </c>
      <c r="B7614" t="s">
        <v>701</v>
      </c>
      <c r="C7614" t="s">
        <v>55</v>
      </c>
      <c r="D7614" s="226">
        <v>-0.26</v>
      </c>
      <c r="E7614" t="s">
        <v>456</v>
      </c>
    </row>
    <row r="7615" spans="1:5" hidden="1" x14ac:dyDescent="0.3">
      <c r="A7615" t="s">
        <v>552</v>
      </c>
      <c r="B7615" t="s">
        <v>701</v>
      </c>
      <c r="C7615" t="s">
        <v>56</v>
      </c>
      <c r="D7615" s="226">
        <v>-700</v>
      </c>
      <c r="E7615" t="s">
        <v>456</v>
      </c>
    </row>
    <row r="7616" spans="1:5" hidden="1" x14ac:dyDescent="0.3">
      <c r="A7616" t="s">
        <v>552</v>
      </c>
      <c r="B7616" t="s">
        <v>701</v>
      </c>
      <c r="C7616" t="s">
        <v>57</v>
      </c>
      <c r="D7616" s="226">
        <v>0</v>
      </c>
      <c r="E7616" t="s">
        <v>456</v>
      </c>
    </row>
    <row r="7617" spans="1:5" hidden="1" x14ac:dyDescent="0.3">
      <c r="A7617" t="s">
        <v>552</v>
      </c>
      <c r="B7617" t="s">
        <v>701</v>
      </c>
      <c r="C7617" t="s">
        <v>58</v>
      </c>
      <c r="D7617" s="226">
        <v>0</v>
      </c>
      <c r="E7617" t="s">
        <v>456</v>
      </c>
    </row>
    <row r="7618" spans="1:5" hidden="1" x14ac:dyDescent="0.3">
      <c r="A7618" t="s">
        <v>552</v>
      </c>
      <c r="B7618" t="s">
        <v>701</v>
      </c>
      <c r="C7618" t="s">
        <v>59</v>
      </c>
      <c r="D7618" s="226">
        <v>0</v>
      </c>
      <c r="E7618" t="s">
        <v>456</v>
      </c>
    </row>
    <row r="7619" spans="1:5" hidden="1" x14ac:dyDescent="0.3">
      <c r="A7619" t="s">
        <v>552</v>
      </c>
      <c r="B7619" t="s">
        <v>701</v>
      </c>
      <c r="C7619" t="s">
        <v>61</v>
      </c>
      <c r="D7619" s="226">
        <v>0</v>
      </c>
      <c r="E7619" t="s">
        <v>456</v>
      </c>
    </row>
    <row r="7620" spans="1:5" hidden="1" x14ac:dyDescent="0.3">
      <c r="A7620" t="s">
        <v>552</v>
      </c>
      <c r="B7620" t="s">
        <v>701</v>
      </c>
      <c r="C7620" t="s">
        <v>62</v>
      </c>
      <c r="D7620" s="226">
        <v>0</v>
      </c>
      <c r="E7620" t="s">
        <v>456</v>
      </c>
    </row>
    <row r="7621" spans="1:5" hidden="1" x14ac:dyDescent="0.3">
      <c r="A7621" t="s">
        <v>552</v>
      </c>
      <c r="B7621" t="s">
        <v>701</v>
      </c>
      <c r="C7621" t="s">
        <v>64</v>
      </c>
      <c r="D7621" s="226">
        <v>0</v>
      </c>
      <c r="E7621" t="s">
        <v>456</v>
      </c>
    </row>
    <row r="7622" spans="1:5" hidden="1" x14ac:dyDescent="0.3">
      <c r="A7622" t="s">
        <v>552</v>
      </c>
      <c r="B7622" t="s">
        <v>701</v>
      </c>
      <c r="C7622" t="s">
        <v>65</v>
      </c>
      <c r="D7622" s="226">
        <v>-700</v>
      </c>
      <c r="E7622" t="s">
        <v>456</v>
      </c>
    </row>
    <row r="7623" spans="1:5" hidden="1" x14ac:dyDescent="0.3">
      <c r="A7623" t="s">
        <v>552</v>
      </c>
      <c r="B7623" t="s">
        <v>701</v>
      </c>
      <c r="C7623" t="s">
        <v>66</v>
      </c>
      <c r="D7623" s="226">
        <v>-700</v>
      </c>
      <c r="E7623" t="s">
        <v>456</v>
      </c>
    </row>
    <row r="7624" spans="1:5" hidden="1" x14ac:dyDescent="0.3">
      <c r="A7624" t="s">
        <v>552</v>
      </c>
      <c r="B7624" t="s">
        <v>701</v>
      </c>
      <c r="C7624" t="s">
        <v>68</v>
      </c>
      <c r="D7624" s="226">
        <v>0</v>
      </c>
      <c r="E7624" t="s">
        <v>456</v>
      </c>
    </row>
    <row r="7625" spans="1:5" hidden="1" x14ac:dyDescent="0.3">
      <c r="A7625" t="s">
        <v>552</v>
      </c>
      <c r="B7625" t="s">
        <v>701</v>
      </c>
      <c r="C7625" t="s">
        <v>69</v>
      </c>
      <c r="D7625" s="226">
        <v>0</v>
      </c>
      <c r="E7625" t="s">
        <v>456</v>
      </c>
    </row>
    <row r="7626" spans="1:5" hidden="1" x14ac:dyDescent="0.3">
      <c r="A7626" t="s">
        <v>552</v>
      </c>
      <c r="B7626" t="s">
        <v>701</v>
      </c>
      <c r="C7626" t="s">
        <v>70</v>
      </c>
      <c r="D7626" s="226">
        <v>0</v>
      </c>
      <c r="E7626" t="s">
        <v>456</v>
      </c>
    </row>
    <row r="7627" spans="1:5" hidden="1" x14ac:dyDescent="0.3">
      <c r="A7627" t="s">
        <v>552</v>
      </c>
      <c r="B7627" t="s">
        <v>701</v>
      </c>
      <c r="C7627" t="s">
        <v>44</v>
      </c>
      <c r="D7627" s="226">
        <v>0</v>
      </c>
      <c r="E7627" t="s">
        <v>456</v>
      </c>
    </row>
    <row r="7628" spans="1:5" hidden="1" x14ac:dyDescent="0.3">
      <c r="A7628" t="s">
        <v>552</v>
      </c>
      <c r="B7628" t="s">
        <v>701</v>
      </c>
      <c r="C7628" t="s">
        <v>71</v>
      </c>
      <c r="D7628" s="226">
        <v>-16612.060000000001</v>
      </c>
      <c r="E7628" t="s">
        <v>456</v>
      </c>
    </row>
    <row r="7629" spans="1:5" hidden="1" x14ac:dyDescent="0.3">
      <c r="A7629" t="s">
        <v>552</v>
      </c>
      <c r="B7629" t="s">
        <v>701</v>
      </c>
      <c r="C7629" t="s">
        <v>72</v>
      </c>
      <c r="D7629" s="226">
        <v>-3092.87</v>
      </c>
      <c r="E7629" t="s">
        <v>456</v>
      </c>
    </row>
    <row r="7630" spans="1:5" hidden="1" x14ac:dyDescent="0.3">
      <c r="A7630" t="s">
        <v>552</v>
      </c>
      <c r="B7630" t="s">
        <v>701</v>
      </c>
      <c r="C7630" t="s">
        <v>73</v>
      </c>
      <c r="D7630" s="226">
        <v>-2000</v>
      </c>
      <c r="E7630" t="s">
        <v>456</v>
      </c>
    </row>
    <row r="7631" spans="1:5" hidden="1" x14ac:dyDescent="0.3">
      <c r="A7631" t="s">
        <v>552</v>
      </c>
      <c r="B7631" t="s">
        <v>701</v>
      </c>
      <c r="C7631" t="s">
        <v>75</v>
      </c>
      <c r="D7631" s="226">
        <v>-1092.8699999999999</v>
      </c>
      <c r="E7631" t="s">
        <v>456</v>
      </c>
    </row>
    <row r="7632" spans="1:5" hidden="1" x14ac:dyDescent="0.3">
      <c r="A7632" t="s">
        <v>552</v>
      </c>
      <c r="B7632" t="s">
        <v>701</v>
      </c>
      <c r="C7632" t="s">
        <v>77</v>
      </c>
      <c r="D7632" s="226">
        <v>0</v>
      </c>
      <c r="E7632" t="s">
        <v>456</v>
      </c>
    </row>
    <row r="7633" spans="1:5" hidden="1" x14ac:dyDescent="0.3">
      <c r="A7633" t="s">
        <v>552</v>
      </c>
      <c r="B7633" t="s">
        <v>701</v>
      </c>
      <c r="C7633" t="s">
        <v>78</v>
      </c>
      <c r="D7633" s="226">
        <v>0</v>
      </c>
      <c r="E7633" t="s">
        <v>456</v>
      </c>
    </row>
    <row r="7634" spans="1:5" hidden="1" x14ac:dyDescent="0.3">
      <c r="A7634" t="s">
        <v>552</v>
      </c>
      <c r="B7634" t="s">
        <v>701</v>
      </c>
      <c r="C7634" t="s">
        <v>80</v>
      </c>
      <c r="D7634" s="226">
        <v>0</v>
      </c>
      <c r="E7634" t="s">
        <v>456</v>
      </c>
    </row>
    <row r="7635" spans="1:5" hidden="1" x14ac:dyDescent="0.3">
      <c r="A7635" t="s">
        <v>552</v>
      </c>
      <c r="B7635" t="s">
        <v>701</v>
      </c>
      <c r="C7635" t="s">
        <v>82</v>
      </c>
      <c r="D7635" s="226">
        <v>0</v>
      </c>
      <c r="E7635" t="s">
        <v>456</v>
      </c>
    </row>
    <row r="7636" spans="1:5" hidden="1" x14ac:dyDescent="0.3">
      <c r="A7636" t="s">
        <v>552</v>
      </c>
      <c r="B7636" t="s">
        <v>701</v>
      </c>
      <c r="C7636" t="s">
        <v>84</v>
      </c>
      <c r="D7636" s="226">
        <v>0</v>
      </c>
      <c r="E7636" t="s">
        <v>456</v>
      </c>
    </row>
    <row r="7637" spans="1:5" hidden="1" x14ac:dyDescent="0.3">
      <c r="A7637" t="s">
        <v>552</v>
      </c>
      <c r="B7637" t="s">
        <v>701</v>
      </c>
      <c r="C7637" t="s">
        <v>85</v>
      </c>
      <c r="D7637" s="226">
        <v>0</v>
      </c>
      <c r="E7637" t="s">
        <v>456</v>
      </c>
    </row>
    <row r="7638" spans="1:5" hidden="1" x14ac:dyDescent="0.3">
      <c r="A7638" t="s">
        <v>552</v>
      </c>
      <c r="B7638" t="s">
        <v>701</v>
      </c>
      <c r="C7638" t="s">
        <v>86</v>
      </c>
      <c r="D7638" s="226">
        <v>0</v>
      </c>
      <c r="E7638" t="s">
        <v>456</v>
      </c>
    </row>
    <row r="7639" spans="1:5" hidden="1" x14ac:dyDescent="0.3">
      <c r="A7639" t="s">
        <v>552</v>
      </c>
      <c r="B7639" t="s">
        <v>701</v>
      </c>
      <c r="C7639" t="s">
        <v>87</v>
      </c>
      <c r="D7639" s="226">
        <v>0</v>
      </c>
      <c r="E7639" t="s">
        <v>456</v>
      </c>
    </row>
    <row r="7640" spans="1:5" hidden="1" x14ac:dyDescent="0.3">
      <c r="A7640" t="s">
        <v>552</v>
      </c>
      <c r="B7640" t="s">
        <v>701</v>
      </c>
      <c r="C7640" t="s">
        <v>88</v>
      </c>
      <c r="D7640" s="226">
        <v>0</v>
      </c>
      <c r="E7640" t="s">
        <v>456</v>
      </c>
    </row>
    <row r="7641" spans="1:5" hidden="1" x14ac:dyDescent="0.3">
      <c r="A7641" t="s">
        <v>552</v>
      </c>
      <c r="B7641" t="s">
        <v>701</v>
      </c>
      <c r="C7641" t="s">
        <v>89</v>
      </c>
      <c r="D7641" s="226">
        <v>0</v>
      </c>
      <c r="E7641" t="s">
        <v>456</v>
      </c>
    </row>
    <row r="7642" spans="1:5" hidden="1" x14ac:dyDescent="0.3">
      <c r="A7642" t="s">
        <v>552</v>
      </c>
      <c r="B7642" t="s">
        <v>701</v>
      </c>
      <c r="C7642" t="s">
        <v>90</v>
      </c>
      <c r="D7642" s="226">
        <v>0</v>
      </c>
      <c r="E7642" t="s">
        <v>456</v>
      </c>
    </row>
    <row r="7643" spans="1:5" hidden="1" x14ac:dyDescent="0.3">
      <c r="A7643" t="s">
        <v>552</v>
      </c>
      <c r="B7643" t="s">
        <v>701</v>
      </c>
      <c r="C7643" t="s">
        <v>91</v>
      </c>
      <c r="D7643" s="226">
        <v>0</v>
      </c>
      <c r="E7643" t="s">
        <v>456</v>
      </c>
    </row>
    <row r="7644" spans="1:5" hidden="1" x14ac:dyDescent="0.3">
      <c r="A7644" t="s">
        <v>552</v>
      </c>
      <c r="B7644" t="s">
        <v>701</v>
      </c>
      <c r="C7644" t="s">
        <v>93</v>
      </c>
      <c r="D7644" s="226">
        <v>0</v>
      </c>
      <c r="E7644" t="s">
        <v>456</v>
      </c>
    </row>
    <row r="7645" spans="1:5" hidden="1" x14ac:dyDescent="0.3">
      <c r="A7645" t="s">
        <v>552</v>
      </c>
      <c r="B7645" t="s">
        <v>701</v>
      </c>
      <c r="C7645" t="s">
        <v>95</v>
      </c>
      <c r="D7645" s="226">
        <v>0</v>
      </c>
      <c r="E7645" t="s">
        <v>456</v>
      </c>
    </row>
    <row r="7646" spans="1:5" hidden="1" x14ac:dyDescent="0.3">
      <c r="A7646" t="s">
        <v>552</v>
      </c>
      <c r="B7646" t="s">
        <v>701</v>
      </c>
      <c r="C7646" t="s">
        <v>96</v>
      </c>
      <c r="D7646" s="226">
        <v>0</v>
      </c>
      <c r="E7646" t="s">
        <v>456</v>
      </c>
    </row>
    <row r="7647" spans="1:5" hidden="1" x14ac:dyDescent="0.3">
      <c r="A7647" t="s">
        <v>552</v>
      </c>
      <c r="B7647" t="s">
        <v>701</v>
      </c>
      <c r="C7647" t="s">
        <v>98</v>
      </c>
      <c r="D7647" s="226">
        <v>0</v>
      </c>
      <c r="E7647" t="s">
        <v>456</v>
      </c>
    </row>
    <row r="7648" spans="1:5" hidden="1" x14ac:dyDescent="0.3">
      <c r="A7648" t="s">
        <v>552</v>
      </c>
      <c r="B7648" t="s">
        <v>701</v>
      </c>
      <c r="C7648" t="s">
        <v>100</v>
      </c>
      <c r="D7648" s="226">
        <v>0</v>
      </c>
      <c r="E7648" t="s">
        <v>456</v>
      </c>
    </row>
    <row r="7649" spans="1:5" hidden="1" x14ac:dyDescent="0.3">
      <c r="A7649" t="s">
        <v>552</v>
      </c>
      <c r="B7649" t="s">
        <v>701</v>
      </c>
      <c r="C7649" t="s">
        <v>101</v>
      </c>
      <c r="D7649" s="226">
        <v>-13519.19</v>
      </c>
      <c r="E7649" t="s">
        <v>456</v>
      </c>
    </row>
    <row r="7650" spans="1:5" hidden="1" x14ac:dyDescent="0.3">
      <c r="A7650" t="s">
        <v>552</v>
      </c>
      <c r="B7650" t="s">
        <v>701</v>
      </c>
      <c r="C7650" t="s">
        <v>102</v>
      </c>
      <c r="D7650" s="226">
        <v>-13519.19</v>
      </c>
      <c r="E7650" t="s">
        <v>456</v>
      </c>
    </row>
    <row r="7651" spans="1:5" hidden="1" x14ac:dyDescent="0.3">
      <c r="A7651" t="s">
        <v>552</v>
      </c>
      <c r="B7651" t="s">
        <v>701</v>
      </c>
      <c r="C7651" t="s">
        <v>103</v>
      </c>
      <c r="D7651" s="226">
        <v>0</v>
      </c>
      <c r="E7651" t="s">
        <v>456</v>
      </c>
    </row>
    <row r="7652" spans="1:5" hidden="1" x14ac:dyDescent="0.3">
      <c r="A7652" t="s">
        <v>552</v>
      </c>
      <c r="B7652" t="s">
        <v>701</v>
      </c>
      <c r="C7652" t="s">
        <v>104</v>
      </c>
      <c r="D7652" s="226">
        <v>0</v>
      </c>
      <c r="E7652" t="s">
        <v>456</v>
      </c>
    </row>
    <row r="7653" spans="1:5" hidden="1" x14ac:dyDescent="0.3">
      <c r="A7653" t="s">
        <v>552</v>
      </c>
      <c r="B7653" t="s">
        <v>701</v>
      </c>
      <c r="C7653" t="s">
        <v>105</v>
      </c>
      <c r="D7653" s="226">
        <v>0</v>
      </c>
      <c r="E7653" t="s">
        <v>456</v>
      </c>
    </row>
    <row r="7654" spans="1:5" hidden="1" x14ac:dyDescent="0.3">
      <c r="A7654" t="s">
        <v>552</v>
      </c>
      <c r="B7654" t="s">
        <v>701</v>
      </c>
      <c r="C7654" t="s">
        <v>107</v>
      </c>
      <c r="D7654" s="226">
        <v>0</v>
      </c>
      <c r="E7654" t="s">
        <v>456</v>
      </c>
    </row>
    <row r="7655" spans="1:5" hidden="1" x14ac:dyDescent="0.3">
      <c r="A7655" t="s">
        <v>552</v>
      </c>
      <c r="B7655" t="s">
        <v>701</v>
      </c>
      <c r="C7655" t="s">
        <v>108</v>
      </c>
      <c r="D7655" s="226">
        <v>0</v>
      </c>
      <c r="E7655" t="s">
        <v>456</v>
      </c>
    </row>
    <row r="7656" spans="1:5" hidden="1" x14ac:dyDescent="0.3">
      <c r="A7656" t="s">
        <v>552</v>
      </c>
      <c r="B7656" t="s">
        <v>701</v>
      </c>
      <c r="C7656" t="s">
        <v>109</v>
      </c>
      <c r="D7656" s="226">
        <v>0</v>
      </c>
      <c r="E7656" t="s">
        <v>456</v>
      </c>
    </row>
    <row r="7657" spans="1:5" hidden="1" x14ac:dyDescent="0.3">
      <c r="A7657" t="s">
        <v>552</v>
      </c>
      <c r="B7657" t="s">
        <v>701</v>
      </c>
      <c r="C7657" t="s">
        <v>110</v>
      </c>
      <c r="D7657" s="226">
        <v>-0.08</v>
      </c>
      <c r="E7657" t="s">
        <v>456</v>
      </c>
    </row>
    <row r="7658" spans="1:5" hidden="1" x14ac:dyDescent="0.3">
      <c r="A7658" t="s">
        <v>552</v>
      </c>
      <c r="B7658" t="s">
        <v>701</v>
      </c>
      <c r="C7658" t="s">
        <v>44</v>
      </c>
      <c r="D7658" s="226">
        <v>-0.01</v>
      </c>
      <c r="E7658" t="s">
        <v>456</v>
      </c>
    </row>
    <row r="7659" spans="1:5" hidden="1" x14ac:dyDescent="0.3">
      <c r="A7659" t="s">
        <v>552</v>
      </c>
      <c r="B7659" t="s">
        <v>701</v>
      </c>
      <c r="C7659" t="s">
        <v>111</v>
      </c>
      <c r="D7659" s="226">
        <v>-127900</v>
      </c>
      <c r="E7659" t="s">
        <v>456</v>
      </c>
    </row>
    <row r="7660" spans="1:5" hidden="1" x14ac:dyDescent="0.3">
      <c r="A7660" t="s">
        <v>552</v>
      </c>
      <c r="B7660" t="s">
        <v>701</v>
      </c>
      <c r="C7660" t="s">
        <v>555</v>
      </c>
      <c r="D7660" s="226">
        <v>-127900</v>
      </c>
      <c r="E7660" t="s">
        <v>456</v>
      </c>
    </row>
    <row r="7661" spans="1:5" hidden="1" x14ac:dyDescent="0.3">
      <c r="A7661" t="s">
        <v>552</v>
      </c>
      <c r="B7661" t="s">
        <v>701</v>
      </c>
      <c r="C7661" t="s">
        <v>44</v>
      </c>
      <c r="D7661" s="226">
        <v>-7.0000000000000007E-2</v>
      </c>
      <c r="E7661" t="s">
        <v>456</v>
      </c>
    </row>
    <row r="7662" spans="1:5" hidden="1" x14ac:dyDescent="0.3">
      <c r="A7662" t="s">
        <v>552</v>
      </c>
      <c r="B7662" t="s">
        <v>701</v>
      </c>
      <c r="C7662" t="s">
        <v>115</v>
      </c>
      <c r="D7662" s="226">
        <v>-32947.870000000003</v>
      </c>
      <c r="E7662" t="s">
        <v>456</v>
      </c>
    </row>
    <row r="7663" spans="1:5" hidden="1" x14ac:dyDescent="0.3">
      <c r="A7663" t="s">
        <v>552</v>
      </c>
      <c r="B7663" t="s">
        <v>701</v>
      </c>
      <c r="C7663" t="s">
        <v>116</v>
      </c>
      <c r="D7663" s="226">
        <v>-22792.13</v>
      </c>
      <c r="E7663" t="s">
        <v>456</v>
      </c>
    </row>
    <row r="7664" spans="1:5" hidden="1" x14ac:dyDescent="0.3">
      <c r="A7664" t="s">
        <v>552</v>
      </c>
      <c r="B7664" t="s">
        <v>701</v>
      </c>
      <c r="C7664" t="s">
        <v>118</v>
      </c>
      <c r="D7664" s="226">
        <v>-9994.15</v>
      </c>
      <c r="E7664" t="s">
        <v>456</v>
      </c>
    </row>
    <row r="7665" spans="1:5" hidden="1" x14ac:dyDescent="0.3">
      <c r="A7665" t="s">
        <v>552</v>
      </c>
      <c r="B7665" t="s">
        <v>701</v>
      </c>
      <c r="C7665" t="s">
        <v>120</v>
      </c>
      <c r="D7665" s="226">
        <v>0</v>
      </c>
      <c r="E7665" t="s">
        <v>456</v>
      </c>
    </row>
    <row r="7666" spans="1:5" hidden="1" x14ac:dyDescent="0.3">
      <c r="A7666" t="s">
        <v>552</v>
      </c>
      <c r="B7666" t="s">
        <v>701</v>
      </c>
      <c r="C7666" t="s">
        <v>122</v>
      </c>
      <c r="D7666" s="226">
        <v>-161.59</v>
      </c>
      <c r="E7666" t="s">
        <v>456</v>
      </c>
    </row>
    <row r="7667" spans="1:5" hidden="1" x14ac:dyDescent="0.3">
      <c r="A7667" t="s">
        <v>552</v>
      </c>
      <c r="B7667" t="s">
        <v>701</v>
      </c>
      <c r="C7667" t="s">
        <v>44</v>
      </c>
      <c r="D7667" s="226">
        <v>-0.02</v>
      </c>
      <c r="E7667" t="s">
        <v>456</v>
      </c>
    </row>
    <row r="7668" spans="1:5" hidden="1" x14ac:dyDescent="0.3">
      <c r="A7668" t="s">
        <v>552</v>
      </c>
      <c r="B7668" t="s">
        <v>701</v>
      </c>
      <c r="C7668" t="s">
        <v>125</v>
      </c>
      <c r="D7668" s="226">
        <v>1009025.1</v>
      </c>
      <c r="E7668" t="s">
        <v>456</v>
      </c>
    </row>
    <row r="7669" spans="1:5" hidden="1" x14ac:dyDescent="0.3">
      <c r="A7669" t="s">
        <v>552</v>
      </c>
      <c r="B7669" t="s">
        <v>701</v>
      </c>
      <c r="C7669" t="s">
        <v>126</v>
      </c>
      <c r="D7669" s="226">
        <v>0.59</v>
      </c>
      <c r="E7669" t="s">
        <v>456</v>
      </c>
    </row>
    <row r="7670" spans="1:5" hidden="1" x14ac:dyDescent="0.3">
      <c r="A7670" t="s">
        <v>552</v>
      </c>
      <c r="B7670" t="s">
        <v>701</v>
      </c>
      <c r="C7670" t="s">
        <v>127</v>
      </c>
      <c r="D7670" s="226">
        <v>-394209.78</v>
      </c>
      <c r="E7670" t="s">
        <v>456</v>
      </c>
    </row>
    <row r="7671" spans="1:5" hidden="1" x14ac:dyDescent="0.3">
      <c r="A7671" t="s">
        <v>552</v>
      </c>
      <c r="B7671" t="s">
        <v>701</v>
      </c>
      <c r="C7671" t="s">
        <v>128</v>
      </c>
      <c r="D7671" s="226">
        <v>-51116</v>
      </c>
      <c r="E7671" t="s">
        <v>456</v>
      </c>
    </row>
    <row r="7672" spans="1:5" hidden="1" x14ac:dyDescent="0.3">
      <c r="A7672" t="s">
        <v>552</v>
      </c>
      <c r="B7672" t="s">
        <v>701</v>
      </c>
      <c r="C7672" t="s">
        <v>556</v>
      </c>
      <c r="D7672" s="226">
        <v>-11416</v>
      </c>
      <c r="E7672" t="s">
        <v>456</v>
      </c>
    </row>
    <row r="7673" spans="1:5" hidden="1" x14ac:dyDescent="0.3">
      <c r="A7673" t="s">
        <v>552</v>
      </c>
      <c r="B7673" t="s">
        <v>701</v>
      </c>
      <c r="C7673" t="s">
        <v>557</v>
      </c>
      <c r="D7673" s="226">
        <v>-6600</v>
      </c>
      <c r="E7673" t="s">
        <v>456</v>
      </c>
    </row>
    <row r="7674" spans="1:5" hidden="1" x14ac:dyDescent="0.3">
      <c r="A7674" t="s">
        <v>552</v>
      </c>
      <c r="B7674" t="s">
        <v>701</v>
      </c>
      <c r="C7674" t="s">
        <v>558</v>
      </c>
      <c r="D7674" s="226">
        <v>0</v>
      </c>
      <c r="E7674" t="s">
        <v>456</v>
      </c>
    </row>
    <row r="7675" spans="1:5" hidden="1" x14ac:dyDescent="0.3">
      <c r="A7675" t="s">
        <v>552</v>
      </c>
      <c r="B7675" t="s">
        <v>701</v>
      </c>
      <c r="C7675" t="s">
        <v>559</v>
      </c>
      <c r="D7675" s="226">
        <v>-16800</v>
      </c>
      <c r="E7675" t="s">
        <v>456</v>
      </c>
    </row>
    <row r="7676" spans="1:5" hidden="1" x14ac:dyDescent="0.3">
      <c r="A7676" t="s">
        <v>552</v>
      </c>
      <c r="B7676" t="s">
        <v>701</v>
      </c>
      <c r="C7676" t="s">
        <v>560</v>
      </c>
      <c r="D7676" s="226">
        <v>-3100</v>
      </c>
      <c r="E7676" t="s">
        <v>456</v>
      </c>
    </row>
    <row r="7677" spans="1:5" hidden="1" x14ac:dyDescent="0.3">
      <c r="A7677" t="s">
        <v>552</v>
      </c>
      <c r="B7677" t="s">
        <v>701</v>
      </c>
      <c r="C7677" t="s">
        <v>561</v>
      </c>
      <c r="D7677" s="226">
        <v>-9200</v>
      </c>
      <c r="E7677" t="s">
        <v>456</v>
      </c>
    </row>
    <row r="7678" spans="1:5" hidden="1" x14ac:dyDescent="0.3">
      <c r="A7678" t="s">
        <v>552</v>
      </c>
      <c r="B7678" t="s">
        <v>701</v>
      </c>
      <c r="C7678" t="s">
        <v>562</v>
      </c>
      <c r="D7678" s="226">
        <v>-4000</v>
      </c>
      <c r="E7678" t="s">
        <v>456</v>
      </c>
    </row>
    <row r="7679" spans="1:5" hidden="1" x14ac:dyDescent="0.3">
      <c r="A7679" t="s">
        <v>552</v>
      </c>
      <c r="B7679" t="s">
        <v>701</v>
      </c>
      <c r="C7679" t="s">
        <v>563</v>
      </c>
      <c r="D7679" s="226">
        <v>0</v>
      </c>
      <c r="E7679" t="s">
        <v>456</v>
      </c>
    </row>
    <row r="7680" spans="1:5" hidden="1" x14ac:dyDescent="0.3">
      <c r="A7680" t="s">
        <v>552</v>
      </c>
      <c r="B7680" t="s">
        <v>701</v>
      </c>
      <c r="C7680" t="s">
        <v>564</v>
      </c>
      <c r="D7680" s="226">
        <v>0</v>
      </c>
      <c r="E7680" t="s">
        <v>456</v>
      </c>
    </row>
    <row r="7681" spans="1:5" hidden="1" x14ac:dyDescent="0.3">
      <c r="A7681" t="s">
        <v>552</v>
      </c>
      <c r="B7681" t="s">
        <v>701</v>
      </c>
      <c r="C7681" t="s">
        <v>565</v>
      </c>
      <c r="D7681" s="226">
        <v>0</v>
      </c>
      <c r="E7681" t="s">
        <v>456</v>
      </c>
    </row>
    <row r="7682" spans="1:5" hidden="1" x14ac:dyDescent="0.3">
      <c r="A7682" t="s">
        <v>552</v>
      </c>
      <c r="B7682" t="s">
        <v>701</v>
      </c>
      <c r="C7682" t="s">
        <v>566</v>
      </c>
      <c r="D7682" s="226">
        <v>0</v>
      </c>
      <c r="E7682" t="s">
        <v>456</v>
      </c>
    </row>
    <row r="7683" spans="1:5" hidden="1" x14ac:dyDescent="0.3">
      <c r="A7683" t="s">
        <v>552</v>
      </c>
      <c r="B7683" t="s">
        <v>701</v>
      </c>
      <c r="C7683" t="s">
        <v>567</v>
      </c>
      <c r="D7683" s="226">
        <v>0</v>
      </c>
      <c r="E7683" t="s">
        <v>456</v>
      </c>
    </row>
    <row r="7684" spans="1:5" hidden="1" x14ac:dyDescent="0.3">
      <c r="A7684" t="s">
        <v>552</v>
      </c>
      <c r="B7684" t="s">
        <v>701</v>
      </c>
      <c r="C7684" t="s">
        <v>141</v>
      </c>
      <c r="D7684" s="226">
        <v>-45427.54</v>
      </c>
      <c r="E7684" t="s">
        <v>456</v>
      </c>
    </row>
    <row r="7685" spans="1:5" hidden="1" x14ac:dyDescent="0.3">
      <c r="A7685" t="s">
        <v>552</v>
      </c>
      <c r="B7685" t="s">
        <v>701</v>
      </c>
      <c r="C7685" t="s">
        <v>568</v>
      </c>
      <c r="D7685" s="226">
        <v>0</v>
      </c>
      <c r="E7685" t="s">
        <v>456</v>
      </c>
    </row>
    <row r="7686" spans="1:5" hidden="1" x14ac:dyDescent="0.3">
      <c r="A7686" t="s">
        <v>552</v>
      </c>
      <c r="B7686" t="s">
        <v>701</v>
      </c>
      <c r="C7686" t="s">
        <v>569</v>
      </c>
      <c r="D7686" s="226">
        <v>0</v>
      </c>
      <c r="E7686" t="s">
        <v>456</v>
      </c>
    </row>
    <row r="7687" spans="1:5" hidden="1" x14ac:dyDescent="0.3">
      <c r="A7687" t="s">
        <v>552</v>
      </c>
      <c r="B7687" t="s">
        <v>701</v>
      </c>
      <c r="C7687" t="s">
        <v>570</v>
      </c>
      <c r="D7687" s="226">
        <v>0</v>
      </c>
      <c r="E7687" t="s">
        <v>456</v>
      </c>
    </row>
    <row r="7688" spans="1:5" hidden="1" x14ac:dyDescent="0.3">
      <c r="A7688" t="s">
        <v>552</v>
      </c>
      <c r="B7688" t="s">
        <v>701</v>
      </c>
      <c r="C7688" t="s">
        <v>571</v>
      </c>
      <c r="D7688" s="226">
        <v>0</v>
      </c>
      <c r="E7688" t="s">
        <v>456</v>
      </c>
    </row>
    <row r="7689" spans="1:5" hidden="1" x14ac:dyDescent="0.3">
      <c r="A7689" t="s">
        <v>552</v>
      </c>
      <c r="B7689" t="s">
        <v>701</v>
      </c>
      <c r="C7689" t="s">
        <v>572</v>
      </c>
      <c r="D7689" s="226">
        <v>0</v>
      </c>
      <c r="E7689" t="s">
        <v>456</v>
      </c>
    </row>
    <row r="7690" spans="1:5" hidden="1" x14ac:dyDescent="0.3">
      <c r="A7690" t="s">
        <v>552</v>
      </c>
      <c r="B7690" t="s">
        <v>701</v>
      </c>
      <c r="C7690" t="s">
        <v>573</v>
      </c>
      <c r="D7690" s="226">
        <v>0</v>
      </c>
      <c r="E7690" t="s">
        <v>456</v>
      </c>
    </row>
    <row r="7691" spans="1:5" hidden="1" x14ac:dyDescent="0.3">
      <c r="A7691" t="s">
        <v>552</v>
      </c>
      <c r="B7691" t="s">
        <v>701</v>
      </c>
      <c r="C7691" t="s">
        <v>574</v>
      </c>
      <c r="D7691" s="226">
        <v>0</v>
      </c>
      <c r="E7691" t="s">
        <v>456</v>
      </c>
    </row>
    <row r="7692" spans="1:5" hidden="1" x14ac:dyDescent="0.3">
      <c r="A7692" t="s">
        <v>552</v>
      </c>
      <c r="B7692" t="s">
        <v>701</v>
      </c>
      <c r="C7692" t="s">
        <v>575</v>
      </c>
      <c r="D7692" s="226">
        <v>0</v>
      </c>
      <c r="E7692" t="s">
        <v>456</v>
      </c>
    </row>
    <row r="7693" spans="1:5" hidden="1" x14ac:dyDescent="0.3">
      <c r="A7693" t="s">
        <v>552</v>
      </c>
      <c r="B7693" t="s">
        <v>701</v>
      </c>
      <c r="C7693" t="s">
        <v>576</v>
      </c>
      <c r="D7693" s="226">
        <v>0</v>
      </c>
      <c r="E7693" t="s">
        <v>456</v>
      </c>
    </row>
    <row r="7694" spans="1:5" hidden="1" x14ac:dyDescent="0.3">
      <c r="A7694" t="s">
        <v>552</v>
      </c>
      <c r="B7694" t="s">
        <v>701</v>
      </c>
      <c r="C7694" t="s">
        <v>577</v>
      </c>
      <c r="D7694" s="226">
        <v>0</v>
      </c>
      <c r="E7694" t="s">
        <v>456</v>
      </c>
    </row>
    <row r="7695" spans="1:5" hidden="1" x14ac:dyDescent="0.3">
      <c r="A7695" t="s">
        <v>552</v>
      </c>
      <c r="B7695" t="s">
        <v>701</v>
      </c>
      <c r="C7695" t="s">
        <v>578</v>
      </c>
      <c r="D7695" s="226">
        <v>0</v>
      </c>
      <c r="E7695" t="s">
        <v>456</v>
      </c>
    </row>
    <row r="7696" spans="1:5" hidden="1" x14ac:dyDescent="0.3">
      <c r="A7696" t="s">
        <v>552</v>
      </c>
      <c r="B7696" t="s">
        <v>701</v>
      </c>
      <c r="C7696" t="s">
        <v>579</v>
      </c>
      <c r="D7696" s="226">
        <v>0</v>
      </c>
      <c r="E7696" t="s">
        <v>456</v>
      </c>
    </row>
    <row r="7697" spans="1:5" hidden="1" x14ac:dyDescent="0.3">
      <c r="A7697" t="s">
        <v>552</v>
      </c>
      <c r="B7697" t="s">
        <v>701</v>
      </c>
      <c r="C7697" t="s">
        <v>580</v>
      </c>
      <c r="D7697" s="226">
        <v>0</v>
      </c>
      <c r="E7697" t="s">
        <v>456</v>
      </c>
    </row>
    <row r="7698" spans="1:5" hidden="1" x14ac:dyDescent="0.3">
      <c r="A7698" t="s">
        <v>552</v>
      </c>
      <c r="B7698" t="s">
        <v>701</v>
      </c>
      <c r="C7698" t="s">
        <v>581</v>
      </c>
      <c r="D7698" s="226">
        <v>0</v>
      </c>
      <c r="E7698" t="s">
        <v>456</v>
      </c>
    </row>
    <row r="7699" spans="1:5" hidden="1" x14ac:dyDescent="0.3">
      <c r="A7699" t="s">
        <v>552</v>
      </c>
      <c r="B7699" t="s">
        <v>701</v>
      </c>
      <c r="C7699" t="s">
        <v>582</v>
      </c>
      <c r="D7699" s="226">
        <v>0</v>
      </c>
      <c r="E7699" t="s">
        <v>456</v>
      </c>
    </row>
    <row r="7700" spans="1:5" hidden="1" x14ac:dyDescent="0.3">
      <c r="A7700" t="s">
        <v>552</v>
      </c>
      <c r="B7700" t="s">
        <v>701</v>
      </c>
      <c r="C7700" t="s">
        <v>583</v>
      </c>
      <c r="D7700" s="226">
        <v>0</v>
      </c>
      <c r="E7700" t="s">
        <v>456</v>
      </c>
    </row>
    <row r="7701" spans="1:5" hidden="1" x14ac:dyDescent="0.3">
      <c r="A7701" t="s">
        <v>552</v>
      </c>
      <c r="B7701" t="s">
        <v>701</v>
      </c>
      <c r="C7701" t="s">
        <v>584</v>
      </c>
      <c r="D7701" s="226">
        <v>0</v>
      </c>
      <c r="E7701" t="s">
        <v>456</v>
      </c>
    </row>
    <row r="7702" spans="1:5" hidden="1" x14ac:dyDescent="0.3">
      <c r="A7702" t="s">
        <v>552</v>
      </c>
      <c r="B7702" t="s">
        <v>701</v>
      </c>
      <c r="C7702" t="s">
        <v>585</v>
      </c>
      <c r="D7702" s="226">
        <v>0</v>
      </c>
      <c r="E7702" t="s">
        <v>456</v>
      </c>
    </row>
    <row r="7703" spans="1:5" hidden="1" x14ac:dyDescent="0.3">
      <c r="A7703" t="s">
        <v>552</v>
      </c>
      <c r="B7703" t="s">
        <v>701</v>
      </c>
      <c r="C7703" t="s">
        <v>586</v>
      </c>
      <c r="D7703" s="226">
        <v>0</v>
      </c>
      <c r="E7703" t="s">
        <v>456</v>
      </c>
    </row>
    <row r="7704" spans="1:5" hidden="1" x14ac:dyDescent="0.3">
      <c r="A7704" t="s">
        <v>552</v>
      </c>
      <c r="B7704" t="s">
        <v>701</v>
      </c>
      <c r="C7704" t="s">
        <v>587</v>
      </c>
      <c r="D7704" s="226">
        <v>0</v>
      </c>
      <c r="E7704" t="s">
        <v>456</v>
      </c>
    </row>
    <row r="7705" spans="1:5" hidden="1" x14ac:dyDescent="0.3">
      <c r="A7705" t="s">
        <v>552</v>
      </c>
      <c r="B7705" t="s">
        <v>701</v>
      </c>
      <c r="C7705" t="s">
        <v>588</v>
      </c>
      <c r="D7705" s="226">
        <v>0</v>
      </c>
      <c r="E7705" t="s">
        <v>456</v>
      </c>
    </row>
    <row r="7706" spans="1:5" hidden="1" x14ac:dyDescent="0.3">
      <c r="A7706" t="s">
        <v>552</v>
      </c>
      <c r="B7706" t="s">
        <v>701</v>
      </c>
      <c r="C7706" t="s">
        <v>589</v>
      </c>
      <c r="D7706" s="226">
        <v>0</v>
      </c>
      <c r="E7706" t="s">
        <v>456</v>
      </c>
    </row>
    <row r="7707" spans="1:5" hidden="1" x14ac:dyDescent="0.3">
      <c r="A7707" t="s">
        <v>552</v>
      </c>
      <c r="B7707" t="s">
        <v>701</v>
      </c>
      <c r="C7707" t="s">
        <v>590</v>
      </c>
      <c r="D7707" s="226">
        <v>0</v>
      </c>
      <c r="E7707" t="s">
        <v>456</v>
      </c>
    </row>
    <row r="7708" spans="1:5" hidden="1" x14ac:dyDescent="0.3">
      <c r="A7708" t="s">
        <v>552</v>
      </c>
      <c r="B7708" t="s">
        <v>701</v>
      </c>
      <c r="C7708" t="s">
        <v>591</v>
      </c>
      <c r="D7708" s="226">
        <v>0</v>
      </c>
      <c r="E7708" t="s">
        <v>456</v>
      </c>
    </row>
    <row r="7709" spans="1:5" hidden="1" x14ac:dyDescent="0.3">
      <c r="A7709" t="s">
        <v>552</v>
      </c>
      <c r="B7709" t="s">
        <v>701</v>
      </c>
      <c r="C7709" t="s">
        <v>592</v>
      </c>
      <c r="D7709" s="226">
        <v>0</v>
      </c>
      <c r="E7709" t="s">
        <v>456</v>
      </c>
    </row>
    <row r="7710" spans="1:5" hidden="1" x14ac:dyDescent="0.3">
      <c r="A7710" t="s">
        <v>552</v>
      </c>
      <c r="B7710" t="s">
        <v>701</v>
      </c>
      <c r="C7710" t="s">
        <v>593</v>
      </c>
      <c r="D7710" s="226">
        <v>0</v>
      </c>
      <c r="E7710" t="s">
        <v>456</v>
      </c>
    </row>
    <row r="7711" spans="1:5" hidden="1" x14ac:dyDescent="0.3">
      <c r="A7711" t="s">
        <v>552</v>
      </c>
      <c r="B7711" t="s">
        <v>701</v>
      </c>
      <c r="C7711" t="s">
        <v>594</v>
      </c>
      <c r="D7711" s="226">
        <v>0</v>
      </c>
      <c r="E7711" t="s">
        <v>456</v>
      </c>
    </row>
    <row r="7712" spans="1:5" hidden="1" x14ac:dyDescent="0.3">
      <c r="A7712" t="s">
        <v>552</v>
      </c>
      <c r="B7712" t="s">
        <v>701</v>
      </c>
      <c r="C7712" t="s">
        <v>595</v>
      </c>
      <c r="D7712" s="226">
        <v>0</v>
      </c>
      <c r="E7712" t="s">
        <v>456</v>
      </c>
    </row>
    <row r="7713" spans="1:5" hidden="1" x14ac:dyDescent="0.3">
      <c r="A7713" t="s">
        <v>552</v>
      </c>
      <c r="B7713" t="s">
        <v>701</v>
      </c>
      <c r="C7713" t="s">
        <v>596</v>
      </c>
      <c r="D7713" s="226">
        <v>0</v>
      </c>
      <c r="E7713" t="s">
        <v>456</v>
      </c>
    </row>
    <row r="7714" spans="1:5" hidden="1" x14ac:dyDescent="0.3">
      <c r="A7714" t="s">
        <v>552</v>
      </c>
      <c r="B7714" t="s">
        <v>701</v>
      </c>
      <c r="C7714" t="s">
        <v>597</v>
      </c>
      <c r="D7714" s="226">
        <v>0</v>
      </c>
      <c r="E7714" t="s">
        <v>456</v>
      </c>
    </row>
    <row r="7715" spans="1:5" hidden="1" x14ac:dyDescent="0.3">
      <c r="A7715" t="s">
        <v>552</v>
      </c>
      <c r="B7715" t="s">
        <v>701</v>
      </c>
      <c r="C7715" t="s">
        <v>598</v>
      </c>
      <c r="D7715" s="226">
        <v>0</v>
      </c>
      <c r="E7715" t="s">
        <v>456</v>
      </c>
    </row>
    <row r="7716" spans="1:5" hidden="1" x14ac:dyDescent="0.3">
      <c r="A7716" t="s">
        <v>552</v>
      </c>
      <c r="B7716" t="s">
        <v>701</v>
      </c>
      <c r="C7716" t="s">
        <v>599</v>
      </c>
      <c r="D7716" s="226">
        <v>0</v>
      </c>
      <c r="E7716" t="s">
        <v>456</v>
      </c>
    </row>
    <row r="7717" spans="1:5" hidden="1" x14ac:dyDescent="0.3">
      <c r="A7717" t="s">
        <v>552</v>
      </c>
      <c r="B7717" t="s">
        <v>701</v>
      </c>
      <c r="C7717" t="s">
        <v>600</v>
      </c>
      <c r="D7717" s="226">
        <v>0</v>
      </c>
      <c r="E7717" t="s">
        <v>456</v>
      </c>
    </row>
    <row r="7718" spans="1:5" hidden="1" x14ac:dyDescent="0.3">
      <c r="A7718" t="s">
        <v>552</v>
      </c>
      <c r="B7718" t="s">
        <v>701</v>
      </c>
      <c r="C7718" t="s">
        <v>601</v>
      </c>
      <c r="D7718" s="226">
        <v>0</v>
      </c>
      <c r="E7718" t="s">
        <v>456</v>
      </c>
    </row>
    <row r="7719" spans="1:5" hidden="1" x14ac:dyDescent="0.3">
      <c r="A7719" t="s">
        <v>552</v>
      </c>
      <c r="B7719" t="s">
        <v>701</v>
      </c>
      <c r="C7719" t="s">
        <v>602</v>
      </c>
      <c r="D7719" s="226">
        <v>0</v>
      </c>
      <c r="E7719" t="s">
        <v>456</v>
      </c>
    </row>
    <row r="7720" spans="1:5" hidden="1" x14ac:dyDescent="0.3">
      <c r="A7720" t="s">
        <v>552</v>
      </c>
      <c r="B7720" t="s">
        <v>701</v>
      </c>
      <c r="C7720" t="s">
        <v>603</v>
      </c>
      <c r="D7720" s="226">
        <v>0</v>
      </c>
      <c r="E7720" t="s">
        <v>456</v>
      </c>
    </row>
    <row r="7721" spans="1:5" hidden="1" x14ac:dyDescent="0.3">
      <c r="A7721" t="s">
        <v>552</v>
      </c>
      <c r="B7721" t="s">
        <v>701</v>
      </c>
      <c r="C7721" t="s">
        <v>604</v>
      </c>
      <c r="D7721" s="226">
        <v>0</v>
      </c>
      <c r="E7721" t="s">
        <v>456</v>
      </c>
    </row>
    <row r="7722" spans="1:5" hidden="1" x14ac:dyDescent="0.3">
      <c r="A7722" t="s">
        <v>552</v>
      </c>
      <c r="B7722" t="s">
        <v>701</v>
      </c>
      <c r="C7722" t="s">
        <v>605</v>
      </c>
      <c r="D7722" s="226">
        <v>0</v>
      </c>
      <c r="E7722" t="s">
        <v>456</v>
      </c>
    </row>
    <row r="7723" spans="1:5" hidden="1" x14ac:dyDescent="0.3">
      <c r="A7723" t="s">
        <v>552</v>
      </c>
      <c r="B7723" t="s">
        <v>701</v>
      </c>
      <c r="C7723" t="s">
        <v>606</v>
      </c>
      <c r="D7723" s="226">
        <v>0</v>
      </c>
      <c r="E7723" t="s">
        <v>456</v>
      </c>
    </row>
    <row r="7724" spans="1:5" hidden="1" x14ac:dyDescent="0.3">
      <c r="A7724" t="s">
        <v>552</v>
      </c>
      <c r="B7724" t="s">
        <v>701</v>
      </c>
      <c r="C7724" t="s">
        <v>607</v>
      </c>
      <c r="D7724" s="226">
        <v>0</v>
      </c>
      <c r="E7724" t="s">
        <v>456</v>
      </c>
    </row>
    <row r="7725" spans="1:5" hidden="1" x14ac:dyDescent="0.3">
      <c r="A7725" t="s">
        <v>552</v>
      </c>
      <c r="B7725" t="s">
        <v>701</v>
      </c>
      <c r="C7725" t="s">
        <v>608</v>
      </c>
      <c r="D7725" s="226">
        <v>0</v>
      </c>
      <c r="E7725" t="s">
        <v>456</v>
      </c>
    </row>
    <row r="7726" spans="1:5" hidden="1" x14ac:dyDescent="0.3">
      <c r="A7726" t="s">
        <v>552</v>
      </c>
      <c r="B7726" t="s">
        <v>701</v>
      </c>
      <c r="C7726" t="s">
        <v>609</v>
      </c>
      <c r="D7726" s="226">
        <v>0</v>
      </c>
      <c r="E7726" t="s">
        <v>456</v>
      </c>
    </row>
    <row r="7727" spans="1:5" hidden="1" x14ac:dyDescent="0.3">
      <c r="A7727" t="s">
        <v>552</v>
      </c>
      <c r="B7727" t="s">
        <v>701</v>
      </c>
      <c r="C7727" t="s">
        <v>610</v>
      </c>
      <c r="D7727" s="226">
        <v>0</v>
      </c>
      <c r="E7727" t="s">
        <v>456</v>
      </c>
    </row>
    <row r="7728" spans="1:5" hidden="1" x14ac:dyDescent="0.3">
      <c r="A7728" t="s">
        <v>552</v>
      </c>
      <c r="B7728" t="s">
        <v>701</v>
      </c>
      <c r="C7728" t="s">
        <v>611</v>
      </c>
      <c r="D7728" s="226">
        <v>0</v>
      </c>
      <c r="E7728" t="s">
        <v>456</v>
      </c>
    </row>
    <row r="7729" spans="1:5" hidden="1" x14ac:dyDescent="0.3">
      <c r="A7729" t="s">
        <v>552</v>
      </c>
      <c r="B7729" t="s">
        <v>701</v>
      </c>
      <c r="C7729" t="s">
        <v>612</v>
      </c>
      <c r="D7729" s="226">
        <v>0</v>
      </c>
      <c r="E7729" t="s">
        <v>456</v>
      </c>
    </row>
    <row r="7730" spans="1:5" hidden="1" x14ac:dyDescent="0.3">
      <c r="A7730" t="s">
        <v>552</v>
      </c>
      <c r="B7730" t="s">
        <v>701</v>
      </c>
      <c r="C7730" t="s">
        <v>613</v>
      </c>
      <c r="D7730" s="226">
        <v>0</v>
      </c>
      <c r="E7730" t="s">
        <v>456</v>
      </c>
    </row>
    <row r="7731" spans="1:5" hidden="1" x14ac:dyDescent="0.3">
      <c r="A7731" t="s">
        <v>552</v>
      </c>
      <c r="B7731" t="s">
        <v>701</v>
      </c>
      <c r="C7731" t="s">
        <v>614</v>
      </c>
      <c r="D7731" s="226">
        <v>0</v>
      </c>
      <c r="E7731" t="s">
        <v>456</v>
      </c>
    </row>
    <row r="7732" spans="1:5" hidden="1" x14ac:dyDescent="0.3">
      <c r="A7732" t="s">
        <v>552</v>
      </c>
      <c r="B7732" t="s">
        <v>701</v>
      </c>
      <c r="C7732" t="s">
        <v>615</v>
      </c>
      <c r="D7732" s="226">
        <v>0</v>
      </c>
      <c r="E7732" t="s">
        <v>456</v>
      </c>
    </row>
    <row r="7733" spans="1:5" hidden="1" x14ac:dyDescent="0.3">
      <c r="A7733" t="s">
        <v>552</v>
      </c>
      <c r="B7733" t="s">
        <v>701</v>
      </c>
      <c r="C7733" t="s">
        <v>616</v>
      </c>
      <c r="D7733" s="226">
        <v>0</v>
      </c>
      <c r="E7733" t="s">
        <v>456</v>
      </c>
    </row>
    <row r="7734" spans="1:5" hidden="1" x14ac:dyDescent="0.3">
      <c r="A7734" t="s">
        <v>552</v>
      </c>
      <c r="B7734" t="s">
        <v>701</v>
      </c>
      <c r="C7734" t="s">
        <v>617</v>
      </c>
      <c r="D7734" s="226">
        <v>0</v>
      </c>
      <c r="E7734" t="s">
        <v>456</v>
      </c>
    </row>
    <row r="7735" spans="1:5" hidden="1" x14ac:dyDescent="0.3">
      <c r="A7735" t="s">
        <v>552</v>
      </c>
      <c r="B7735" t="s">
        <v>701</v>
      </c>
      <c r="C7735" t="s">
        <v>618</v>
      </c>
      <c r="D7735" s="226">
        <v>0</v>
      </c>
      <c r="E7735" t="s">
        <v>456</v>
      </c>
    </row>
    <row r="7736" spans="1:5" hidden="1" x14ac:dyDescent="0.3">
      <c r="A7736" t="s">
        <v>552</v>
      </c>
      <c r="B7736" t="s">
        <v>701</v>
      </c>
      <c r="C7736" t="s">
        <v>619</v>
      </c>
      <c r="D7736" s="226">
        <v>0</v>
      </c>
      <c r="E7736" t="s">
        <v>456</v>
      </c>
    </row>
    <row r="7737" spans="1:5" hidden="1" x14ac:dyDescent="0.3">
      <c r="A7737" t="s">
        <v>552</v>
      </c>
      <c r="B7737" t="s">
        <v>701</v>
      </c>
      <c r="C7737" t="s">
        <v>620</v>
      </c>
      <c r="D7737" s="226">
        <v>0</v>
      </c>
      <c r="E7737" t="s">
        <v>456</v>
      </c>
    </row>
    <row r="7738" spans="1:5" hidden="1" x14ac:dyDescent="0.3">
      <c r="A7738" t="s">
        <v>552</v>
      </c>
      <c r="B7738" t="s">
        <v>701</v>
      </c>
      <c r="C7738" t="s">
        <v>621</v>
      </c>
      <c r="D7738" s="226">
        <v>0</v>
      </c>
      <c r="E7738" t="s">
        <v>456</v>
      </c>
    </row>
    <row r="7739" spans="1:5" hidden="1" x14ac:dyDescent="0.3">
      <c r="A7739" t="s">
        <v>552</v>
      </c>
      <c r="B7739" t="s">
        <v>701</v>
      </c>
      <c r="C7739" t="s">
        <v>622</v>
      </c>
      <c r="D7739" s="226">
        <v>0</v>
      </c>
      <c r="E7739" t="s">
        <v>456</v>
      </c>
    </row>
    <row r="7740" spans="1:5" hidden="1" x14ac:dyDescent="0.3">
      <c r="A7740" t="s">
        <v>552</v>
      </c>
      <c r="B7740" t="s">
        <v>701</v>
      </c>
      <c r="C7740" t="s">
        <v>623</v>
      </c>
      <c r="D7740" s="226">
        <v>0</v>
      </c>
      <c r="E7740" t="s">
        <v>456</v>
      </c>
    </row>
    <row r="7741" spans="1:5" hidden="1" x14ac:dyDescent="0.3">
      <c r="A7741" t="s">
        <v>552</v>
      </c>
      <c r="B7741" t="s">
        <v>701</v>
      </c>
      <c r="C7741" t="s">
        <v>624</v>
      </c>
      <c r="D7741" s="226">
        <v>0</v>
      </c>
      <c r="E7741" t="s">
        <v>456</v>
      </c>
    </row>
    <row r="7742" spans="1:5" hidden="1" x14ac:dyDescent="0.3">
      <c r="A7742" t="s">
        <v>552</v>
      </c>
      <c r="B7742" t="s">
        <v>701</v>
      </c>
      <c r="C7742" t="s">
        <v>200</v>
      </c>
      <c r="D7742" s="226">
        <v>-127713.06</v>
      </c>
      <c r="E7742" t="s">
        <v>456</v>
      </c>
    </row>
    <row r="7743" spans="1:5" hidden="1" x14ac:dyDescent="0.3">
      <c r="A7743" t="s">
        <v>552</v>
      </c>
      <c r="B7743" t="s">
        <v>701</v>
      </c>
      <c r="C7743" t="s">
        <v>202</v>
      </c>
      <c r="D7743" s="226">
        <v>-127713.06</v>
      </c>
      <c r="E7743" t="s">
        <v>456</v>
      </c>
    </row>
    <row r="7744" spans="1:5" hidden="1" x14ac:dyDescent="0.3">
      <c r="A7744" t="s">
        <v>552</v>
      </c>
      <c r="B7744" t="s">
        <v>701</v>
      </c>
      <c r="C7744" t="s">
        <v>625</v>
      </c>
      <c r="D7744" s="226">
        <v>63856.53</v>
      </c>
      <c r="E7744" t="s">
        <v>456</v>
      </c>
    </row>
    <row r="7745" spans="1:5" hidden="1" x14ac:dyDescent="0.3">
      <c r="A7745" t="s">
        <v>552</v>
      </c>
      <c r="B7745" t="s">
        <v>701</v>
      </c>
      <c r="C7745" t="s">
        <v>204</v>
      </c>
      <c r="D7745" s="226">
        <v>-111682.7</v>
      </c>
      <c r="E7745" t="s">
        <v>456</v>
      </c>
    </row>
    <row r="7746" spans="1:5" hidden="1" x14ac:dyDescent="0.3">
      <c r="A7746" t="s">
        <v>552</v>
      </c>
      <c r="B7746" t="s">
        <v>701</v>
      </c>
      <c r="C7746" t="s">
        <v>626</v>
      </c>
      <c r="D7746" s="226">
        <v>-29400.51</v>
      </c>
      <c r="E7746" t="s">
        <v>456</v>
      </c>
    </row>
    <row r="7747" spans="1:5" hidden="1" x14ac:dyDescent="0.3">
      <c r="A7747" t="s">
        <v>552</v>
      </c>
      <c r="B7747" t="s">
        <v>701</v>
      </c>
      <c r="C7747" t="s">
        <v>627</v>
      </c>
      <c r="D7747" s="226">
        <v>0</v>
      </c>
      <c r="E7747" t="s">
        <v>456</v>
      </c>
    </row>
    <row r="7748" spans="1:5" hidden="1" x14ac:dyDescent="0.3">
      <c r="A7748" t="s">
        <v>552</v>
      </c>
      <c r="B7748" t="s">
        <v>701</v>
      </c>
      <c r="C7748" t="s">
        <v>628</v>
      </c>
      <c r="D7748" s="226">
        <v>-18993.849999999999</v>
      </c>
      <c r="E7748" t="s">
        <v>456</v>
      </c>
    </row>
    <row r="7749" spans="1:5" hidden="1" x14ac:dyDescent="0.3">
      <c r="A7749" t="s">
        <v>552</v>
      </c>
      <c r="B7749" t="s">
        <v>701</v>
      </c>
      <c r="C7749" t="s">
        <v>629</v>
      </c>
      <c r="D7749" s="226">
        <v>-21430.23</v>
      </c>
      <c r="E7749" t="s">
        <v>456</v>
      </c>
    </row>
    <row r="7750" spans="1:5" hidden="1" x14ac:dyDescent="0.3">
      <c r="A7750" t="s">
        <v>552</v>
      </c>
      <c r="B7750" t="s">
        <v>701</v>
      </c>
      <c r="C7750" t="s">
        <v>630</v>
      </c>
      <c r="D7750" s="226">
        <v>-5749.84</v>
      </c>
      <c r="E7750" t="s">
        <v>456</v>
      </c>
    </row>
    <row r="7751" spans="1:5" hidden="1" x14ac:dyDescent="0.3">
      <c r="A7751" t="s">
        <v>552</v>
      </c>
      <c r="B7751" t="s">
        <v>701</v>
      </c>
      <c r="C7751" t="s">
        <v>631</v>
      </c>
      <c r="D7751" s="226">
        <v>0</v>
      </c>
      <c r="E7751" t="s">
        <v>456</v>
      </c>
    </row>
    <row r="7752" spans="1:5" hidden="1" x14ac:dyDescent="0.3">
      <c r="A7752" t="s">
        <v>552</v>
      </c>
      <c r="B7752" t="s">
        <v>701</v>
      </c>
      <c r="C7752" t="s">
        <v>632</v>
      </c>
      <c r="D7752" s="226">
        <v>0</v>
      </c>
      <c r="E7752" t="s">
        <v>456</v>
      </c>
    </row>
    <row r="7753" spans="1:5" hidden="1" x14ac:dyDescent="0.3">
      <c r="A7753" t="s">
        <v>552</v>
      </c>
      <c r="B7753" t="s">
        <v>701</v>
      </c>
      <c r="C7753" t="s">
        <v>633</v>
      </c>
      <c r="D7753" s="226">
        <v>-2800.6</v>
      </c>
      <c r="E7753" t="s">
        <v>456</v>
      </c>
    </row>
    <row r="7754" spans="1:5" hidden="1" x14ac:dyDescent="0.3">
      <c r="A7754" t="s">
        <v>552</v>
      </c>
      <c r="B7754" t="s">
        <v>701</v>
      </c>
      <c r="C7754" t="s">
        <v>634</v>
      </c>
      <c r="D7754" s="226">
        <v>0</v>
      </c>
      <c r="E7754" t="s">
        <v>456</v>
      </c>
    </row>
    <row r="7755" spans="1:5" hidden="1" x14ac:dyDescent="0.3">
      <c r="A7755" t="s">
        <v>552</v>
      </c>
      <c r="B7755" t="s">
        <v>701</v>
      </c>
      <c r="C7755" t="s">
        <v>635</v>
      </c>
      <c r="D7755" s="226">
        <v>-22576.12</v>
      </c>
      <c r="E7755" t="s">
        <v>456</v>
      </c>
    </row>
    <row r="7756" spans="1:5" hidden="1" x14ac:dyDescent="0.3">
      <c r="A7756" t="s">
        <v>552</v>
      </c>
      <c r="B7756" t="s">
        <v>701</v>
      </c>
      <c r="C7756" t="s">
        <v>636</v>
      </c>
      <c r="D7756" s="226">
        <v>0</v>
      </c>
      <c r="E7756" t="s">
        <v>456</v>
      </c>
    </row>
    <row r="7757" spans="1:5" hidden="1" x14ac:dyDescent="0.3">
      <c r="A7757" t="s">
        <v>552</v>
      </c>
      <c r="B7757" t="s">
        <v>701</v>
      </c>
      <c r="C7757" t="s">
        <v>637</v>
      </c>
      <c r="D7757" s="226">
        <v>-7800</v>
      </c>
      <c r="E7757" t="s">
        <v>456</v>
      </c>
    </row>
    <row r="7758" spans="1:5" hidden="1" x14ac:dyDescent="0.3">
      <c r="A7758" t="s">
        <v>552</v>
      </c>
      <c r="B7758" t="s">
        <v>701</v>
      </c>
      <c r="C7758" t="s">
        <v>638</v>
      </c>
      <c r="D7758" s="226">
        <v>0</v>
      </c>
      <c r="E7758" t="s">
        <v>456</v>
      </c>
    </row>
    <row r="7759" spans="1:5" hidden="1" x14ac:dyDescent="0.3">
      <c r="A7759" t="s">
        <v>552</v>
      </c>
      <c r="B7759" t="s">
        <v>701</v>
      </c>
      <c r="C7759" t="s">
        <v>639</v>
      </c>
      <c r="D7759" s="226">
        <v>-2931.55</v>
      </c>
      <c r="E7759" t="s">
        <v>456</v>
      </c>
    </row>
    <row r="7760" spans="1:5" hidden="1" x14ac:dyDescent="0.3">
      <c r="A7760" t="s">
        <v>552</v>
      </c>
      <c r="B7760" t="s">
        <v>701</v>
      </c>
      <c r="C7760" t="s">
        <v>640</v>
      </c>
      <c r="D7760" s="226">
        <v>0</v>
      </c>
      <c r="E7760" t="s">
        <v>456</v>
      </c>
    </row>
    <row r="7761" spans="1:5" hidden="1" x14ac:dyDescent="0.3">
      <c r="A7761" t="s">
        <v>552</v>
      </c>
      <c r="B7761" t="s">
        <v>701</v>
      </c>
      <c r="C7761" t="s">
        <v>641</v>
      </c>
      <c r="D7761" s="226">
        <v>0</v>
      </c>
      <c r="E7761" t="s">
        <v>456</v>
      </c>
    </row>
    <row r="7762" spans="1:5" hidden="1" x14ac:dyDescent="0.3">
      <c r="A7762" t="s">
        <v>552</v>
      </c>
      <c r="B7762" t="s">
        <v>701</v>
      </c>
      <c r="C7762" t="s">
        <v>237</v>
      </c>
      <c r="D7762" s="226">
        <v>-11076.74</v>
      </c>
      <c r="E7762" t="s">
        <v>456</v>
      </c>
    </row>
    <row r="7763" spans="1:5" hidden="1" x14ac:dyDescent="0.3">
      <c r="A7763" t="s">
        <v>552</v>
      </c>
      <c r="B7763" t="s">
        <v>701</v>
      </c>
      <c r="C7763" t="s">
        <v>642</v>
      </c>
      <c r="D7763" s="226">
        <v>-10689.12</v>
      </c>
      <c r="E7763" t="s">
        <v>456</v>
      </c>
    </row>
    <row r="7764" spans="1:5" hidden="1" x14ac:dyDescent="0.3">
      <c r="A7764" t="s">
        <v>552</v>
      </c>
      <c r="B7764" t="s">
        <v>701</v>
      </c>
      <c r="C7764" t="s">
        <v>643</v>
      </c>
      <c r="D7764" s="226">
        <v>0</v>
      </c>
      <c r="E7764" t="s">
        <v>456</v>
      </c>
    </row>
    <row r="7765" spans="1:5" hidden="1" x14ac:dyDescent="0.3">
      <c r="A7765" t="s">
        <v>552</v>
      </c>
      <c r="B7765" t="s">
        <v>701</v>
      </c>
      <c r="C7765" t="s">
        <v>644</v>
      </c>
      <c r="D7765" s="226">
        <v>0</v>
      </c>
      <c r="E7765" t="s">
        <v>456</v>
      </c>
    </row>
    <row r="7766" spans="1:5" hidden="1" x14ac:dyDescent="0.3">
      <c r="A7766" t="s">
        <v>552</v>
      </c>
      <c r="B7766" t="s">
        <v>701</v>
      </c>
      <c r="C7766" t="s">
        <v>645</v>
      </c>
      <c r="D7766" s="226">
        <v>-387.62</v>
      </c>
      <c r="E7766" t="s">
        <v>456</v>
      </c>
    </row>
    <row r="7767" spans="1:5" hidden="1" x14ac:dyDescent="0.3">
      <c r="A7767" t="s">
        <v>552</v>
      </c>
      <c r="B7767" t="s">
        <v>701</v>
      </c>
      <c r="C7767" t="s">
        <v>646</v>
      </c>
      <c r="D7767" s="226">
        <v>0</v>
      </c>
      <c r="E7767" t="s">
        <v>456</v>
      </c>
    </row>
    <row r="7768" spans="1:5" hidden="1" x14ac:dyDescent="0.3">
      <c r="A7768" t="s">
        <v>552</v>
      </c>
      <c r="B7768" t="s">
        <v>701</v>
      </c>
      <c r="C7768" t="s">
        <v>244</v>
      </c>
      <c r="D7768" s="226">
        <v>-47193.75</v>
      </c>
      <c r="E7768" t="s">
        <v>456</v>
      </c>
    </row>
    <row r="7769" spans="1:5" hidden="1" x14ac:dyDescent="0.3">
      <c r="A7769" t="s">
        <v>552</v>
      </c>
      <c r="B7769" t="s">
        <v>701</v>
      </c>
      <c r="C7769" t="s">
        <v>647</v>
      </c>
      <c r="D7769" s="226">
        <v>-1050</v>
      </c>
      <c r="E7769" t="s">
        <v>456</v>
      </c>
    </row>
    <row r="7770" spans="1:5" hidden="1" x14ac:dyDescent="0.3">
      <c r="A7770" t="s">
        <v>552</v>
      </c>
      <c r="B7770" t="s">
        <v>701</v>
      </c>
      <c r="C7770" t="s">
        <v>648</v>
      </c>
      <c r="D7770" s="226">
        <v>-1002.2</v>
      </c>
      <c r="E7770" t="s">
        <v>456</v>
      </c>
    </row>
    <row r="7771" spans="1:5" hidden="1" x14ac:dyDescent="0.3">
      <c r="A7771" t="s">
        <v>552</v>
      </c>
      <c r="B7771" t="s">
        <v>701</v>
      </c>
      <c r="C7771" t="s">
        <v>649</v>
      </c>
      <c r="D7771" s="226">
        <v>0</v>
      </c>
      <c r="E7771" t="s">
        <v>456</v>
      </c>
    </row>
    <row r="7772" spans="1:5" hidden="1" x14ac:dyDescent="0.3">
      <c r="A7772" t="s">
        <v>552</v>
      </c>
      <c r="B7772" t="s">
        <v>701</v>
      </c>
      <c r="C7772" t="s">
        <v>650</v>
      </c>
      <c r="D7772" s="226">
        <v>-10400</v>
      </c>
      <c r="E7772" t="s">
        <v>456</v>
      </c>
    </row>
    <row r="7773" spans="1:5" hidden="1" x14ac:dyDescent="0.3">
      <c r="A7773" t="s">
        <v>552</v>
      </c>
      <c r="B7773" t="s">
        <v>701</v>
      </c>
      <c r="C7773" t="s">
        <v>651</v>
      </c>
      <c r="D7773" s="226">
        <v>0</v>
      </c>
      <c r="E7773" t="s">
        <v>456</v>
      </c>
    </row>
    <row r="7774" spans="1:5" hidden="1" x14ac:dyDescent="0.3">
      <c r="A7774" t="s">
        <v>552</v>
      </c>
      <c r="B7774" t="s">
        <v>701</v>
      </c>
      <c r="C7774" t="s">
        <v>652</v>
      </c>
      <c r="D7774" s="226">
        <v>-34741.550000000003</v>
      </c>
      <c r="E7774" t="s">
        <v>456</v>
      </c>
    </row>
    <row r="7775" spans="1:5" hidden="1" x14ac:dyDescent="0.3">
      <c r="A7775" t="s">
        <v>552</v>
      </c>
      <c r="B7775" t="s">
        <v>701</v>
      </c>
      <c r="C7775" t="s">
        <v>653</v>
      </c>
      <c r="D7775" s="226">
        <v>0</v>
      </c>
      <c r="E7775" t="s">
        <v>456</v>
      </c>
    </row>
    <row r="7776" spans="1:5" hidden="1" x14ac:dyDescent="0.3">
      <c r="A7776" t="s">
        <v>552</v>
      </c>
      <c r="B7776" t="s">
        <v>701</v>
      </c>
      <c r="C7776" t="s">
        <v>253</v>
      </c>
      <c r="D7776" s="226">
        <v>-0.23</v>
      </c>
      <c r="E7776" t="s">
        <v>456</v>
      </c>
    </row>
    <row r="7777" spans="1:5" hidden="1" x14ac:dyDescent="0.3">
      <c r="A7777" t="s">
        <v>552</v>
      </c>
      <c r="B7777" t="s">
        <v>701</v>
      </c>
      <c r="C7777" t="s">
        <v>254</v>
      </c>
      <c r="D7777" s="226">
        <v>-0.2</v>
      </c>
      <c r="E7777" t="s">
        <v>456</v>
      </c>
    </row>
    <row r="7778" spans="1:5" hidden="1" x14ac:dyDescent="0.3">
      <c r="A7778" t="s">
        <v>552</v>
      </c>
      <c r="B7778" t="s">
        <v>701</v>
      </c>
      <c r="C7778" t="s">
        <v>255</v>
      </c>
      <c r="D7778" s="226">
        <v>-56035.96</v>
      </c>
      <c r="E7778" t="s">
        <v>456</v>
      </c>
    </row>
    <row r="7779" spans="1:5" hidden="1" x14ac:dyDescent="0.3">
      <c r="A7779" t="s">
        <v>552</v>
      </c>
      <c r="B7779" t="s">
        <v>701</v>
      </c>
      <c r="C7779" t="s">
        <v>256</v>
      </c>
      <c r="D7779" s="226">
        <v>-33872.5</v>
      </c>
      <c r="E7779" t="s">
        <v>456</v>
      </c>
    </row>
    <row r="7780" spans="1:5" hidden="1" x14ac:dyDescent="0.3">
      <c r="A7780" t="s">
        <v>552</v>
      </c>
      <c r="B7780" t="s">
        <v>701</v>
      </c>
      <c r="C7780" t="s">
        <v>257</v>
      </c>
      <c r="D7780" s="226">
        <v>-17421.84</v>
      </c>
      <c r="E7780" t="s">
        <v>456</v>
      </c>
    </row>
    <row r="7781" spans="1:5" hidden="1" x14ac:dyDescent="0.3">
      <c r="A7781" t="s">
        <v>552</v>
      </c>
      <c r="B7781" t="s">
        <v>701</v>
      </c>
      <c r="C7781" t="s">
        <v>258</v>
      </c>
      <c r="D7781" s="226">
        <v>-3873.43</v>
      </c>
      <c r="E7781" t="s">
        <v>456</v>
      </c>
    </row>
    <row r="7782" spans="1:5" hidden="1" x14ac:dyDescent="0.3">
      <c r="A7782" t="s">
        <v>552</v>
      </c>
      <c r="B7782" t="s">
        <v>701</v>
      </c>
      <c r="C7782" t="s">
        <v>259</v>
      </c>
      <c r="D7782" s="226">
        <v>0</v>
      </c>
      <c r="E7782" t="s">
        <v>456</v>
      </c>
    </row>
    <row r="7783" spans="1:5" hidden="1" x14ac:dyDescent="0.3">
      <c r="A7783" t="s">
        <v>552</v>
      </c>
      <c r="B7783" t="s">
        <v>701</v>
      </c>
      <c r="C7783" t="s">
        <v>260</v>
      </c>
      <c r="D7783" s="226">
        <v>-868.19</v>
      </c>
      <c r="E7783" t="s">
        <v>456</v>
      </c>
    </row>
    <row r="7784" spans="1:5" hidden="1" x14ac:dyDescent="0.3">
      <c r="A7784" t="s">
        <v>552</v>
      </c>
      <c r="B7784" t="s">
        <v>701</v>
      </c>
      <c r="C7784" t="s">
        <v>261</v>
      </c>
      <c r="D7784" s="226">
        <v>0</v>
      </c>
      <c r="E7784" t="s">
        <v>456</v>
      </c>
    </row>
    <row r="7785" spans="1:5" hidden="1" x14ac:dyDescent="0.3">
      <c r="A7785" t="s">
        <v>552</v>
      </c>
      <c r="B7785" t="s">
        <v>701</v>
      </c>
      <c r="C7785" t="s">
        <v>262</v>
      </c>
      <c r="D7785" s="226">
        <v>0</v>
      </c>
      <c r="E7785" t="s">
        <v>456</v>
      </c>
    </row>
    <row r="7786" spans="1:5" hidden="1" x14ac:dyDescent="0.3">
      <c r="A7786" t="s">
        <v>552</v>
      </c>
      <c r="B7786" t="s">
        <v>701</v>
      </c>
      <c r="C7786" t="s">
        <v>44</v>
      </c>
      <c r="D7786" s="226">
        <v>-0.03</v>
      </c>
      <c r="E7786" t="s">
        <v>456</v>
      </c>
    </row>
    <row r="7787" spans="1:5" hidden="1" x14ac:dyDescent="0.3">
      <c r="A7787" t="s">
        <v>552</v>
      </c>
      <c r="B7787" t="s">
        <v>701</v>
      </c>
      <c r="C7787" t="s">
        <v>263</v>
      </c>
      <c r="D7787" s="226">
        <v>-98580.12</v>
      </c>
      <c r="E7787" t="s">
        <v>456</v>
      </c>
    </row>
    <row r="7788" spans="1:5" hidden="1" x14ac:dyDescent="0.3">
      <c r="A7788" t="s">
        <v>552</v>
      </c>
      <c r="B7788" t="s">
        <v>701</v>
      </c>
      <c r="C7788" t="s">
        <v>264</v>
      </c>
      <c r="D7788" s="226">
        <v>-16286.46</v>
      </c>
      <c r="E7788" t="s">
        <v>456</v>
      </c>
    </row>
    <row r="7789" spans="1:5" hidden="1" x14ac:dyDescent="0.3">
      <c r="A7789" t="s">
        <v>552</v>
      </c>
      <c r="B7789" t="s">
        <v>701</v>
      </c>
      <c r="C7789" t="s">
        <v>265</v>
      </c>
      <c r="D7789" s="226">
        <v>-18428.43</v>
      </c>
      <c r="E7789" t="s">
        <v>456</v>
      </c>
    </row>
    <row r="7790" spans="1:5" hidden="1" x14ac:dyDescent="0.3">
      <c r="A7790" t="s">
        <v>552</v>
      </c>
      <c r="B7790" t="s">
        <v>701</v>
      </c>
      <c r="C7790" t="s">
        <v>266</v>
      </c>
      <c r="D7790" s="226">
        <v>-16729.919999999998</v>
      </c>
      <c r="E7790" t="s">
        <v>456</v>
      </c>
    </row>
    <row r="7791" spans="1:5" hidden="1" x14ac:dyDescent="0.3">
      <c r="A7791" t="s">
        <v>552</v>
      </c>
      <c r="B7791" t="s">
        <v>701</v>
      </c>
      <c r="C7791" t="s">
        <v>267</v>
      </c>
      <c r="D7791" s="226">
        <v>-24420</v>
      </c>
      <c r="E7791" t="s">
        <v>456</v>
      </c>
    </row>
    <row r="7792" spans="1:5" hidden="1" x14ac:dyDescent="0.3">
      <c r="A7792" t="s">
        <v>552</v>
      </c>
      <c r="B7792" t="s">
        <v>701</v>
      </c>
      <c r="C7792" t="s">
        <v>268</v>
      </c>
      <c r="D7792" s="226">
        <v>0</v>
      </c>
      <c r="E7792" t="s">
        <v>456</v>
      </c>
    </row>
    <row r="7793" spans="1:5" hidden="1" x14ac:dyDescent="0.3">
      <c r="A7793" t="s">
        <v>552</v>
      </c>
      <c r="B7793" t="s">
        <v>701</v>
      </c>
      <c r="C7793" t="s">
        <v>269</v>
      </c>
      <c r="D7793" s="226">
        <v>-580</v>
      </c>
      <c r="E7793" t="s">
        <v>456</v>
      </c>
    </row>
    <row r="7794" spans="1:5" hidden="1" x14ac:dyDescent="0.3">
      <c r="A7794" t="s">
        <v>552</v>
      </c>
      <c r="B7794" t="s">
        <v>701</v>
      </c>
      <c r="C7794" t="s">
        <v>270</v>
      </c>
      <c r="D7794" s="226">
        <v>-2847.34</v>
      </c>
      <c r="E7794" t="s">
        <v>456</v>
      </c>
    </row>
    <row r="7795" spans="1:5" hidden="1" x14ac:dyDescent="0.3">
      <c r="A7795" t="s">
        <v>552</v>
      </c>
      <c r="B7795" t="s">
        <v>701</v>
      </c>
      <c r="C7795" t="s">
        <v>271</v>
      </c>
      <c r="D7795" s="226">
        <v>-5655.42</v>
      </c>
      <c r="E7795" t="s">
        <v>456</v>
      </c>
    </row>
    <row r="7796" spans="1:5" hidden="1" x14ac:dyDescent="0.3">
      <c r="A7796" t="s">
        <v>552</v>
      </c>
      <c r="B7796" t="s">
        <v>701</v>
      </c>
      <c r="C7796" t="s">
        <v>272</v>
      </c>
      <c r="D7796" s="226">
        <v>0</v>
      </c>
      <c r="E7796" t="s">
        <v>456</v>
      </c>
    </row>
    <row r="7797" spans="1:5" hidden="1" x14ac:dyDescent="0.3">
      <c r="A7797" t="s">
        <v>552</v>
      </c>
      <c r="B7797" t="s">
        <v>701</v>
      </c>
      <c r="C7797" t="s">
        <v>273</v>
      </c>
      <c r="D7797" s="226">
        <v>0</v>
      </c>
      <c r="E7797" t="s">
        <v>456</v>
      </c>
    </row>
    <row r="7798" spans="1:5" hidden="1" x14ac:dyDescent="0.3">
      <c r="A7798" t="s">
        <v>552</v>
      </c>
      <c r="B7798" t="s">
        <v>701</v>
      </c>
      <c r="C7798" t="s">
        <v>274</v>
      </c>
      <c r="D7798" s="226">
        <v>-2083.44</v>
      </c>
      <c r="E7798" t="s">
        <v>456</v>
      </c>
    </row>
    <row r="7799" spans="1:5" hidden="1" x14ac:dyDescent="0.3">
      <c r="A7799" t="s">
        <v>552</v>
      </c>
      <c r="B7799" t="s">
        <v>701</v>
      </c>
      <c r="C7799" t="s">
        <v>275</v>
      </c>
      <c r="D7799" s="226">
        <v>-2416.8000000000002</v>
      </c>
      <c r="E7799" t="s">
        <v>456</v>
      </c>
    </row>
    <row r="7800" spans="1:5" hidden="1" x14ac:dyDescent="0.3">
      <c r="A7800" t="s">
        <v>552</v>
      </c>
      <c r="B7800" t="s">
        <v>701</v>
      </c>
      <c r="C7800" t="s">
        <v>276</v>
      </c>
      <c r="D7800" s="226">
        <v>-1692</v>
      </c>
      <c r="E7800" t="s">
        <v>456</v>
      </c>
    </row>
    <row r="7801" spans="1:5" hidden="1" x14ac:dyDescent="0.3">
      <c r="A7801" t="s">
        <v>552</v>
      </c>
      <c r="B7801" t="s">
        <v>701</v>
      </c>
      <c r="C7801" t="s">
        <v>277</v>
      </c>
      <c r="D7801" s="226">
        <v>-7440.31</v>
      </c>
      <c r="E7801" t="s">
        <v>456</v>
      </c>
    </row>
    <row r="7802" spans="1:5" hidden="1" x14ac:dyDescent="0.3">
      <c r="A7802" t="s">
        <v>552</v>
      </c>
      <c r="B7802" t="s">
        <v>701</v>
      </c>
      <c r="C7802" t="s">
        <v>44</v>
      </c>
      <c r="D7802" s="226">
        <v>-0.06</v>
      </c>
      <c r="E7802" t="s">
        <v>456</v>
      </c>
    </row>
    <row r="7803" spans="1:5" hidden="1" x14ac:dyDescent="0.3">
      <c r="A7803" t="s">
        <v>552</v>
      </c>
      <c r="B7803" t="s">
        <v>701</v>
      </c>
      <c r="C7803" t="s">
        <v>278</v>
      </c>
      <c r="D7803" s="226">
        <v>-4821.32</v>
      </c>
      <c r="E7803" t="s">
        <v>456</v>
      </c>
    </row>
    <row r="7804" spans="1:5" hidden="1" x14ac:dyDescent="0.3">
      <c r="A7804" t="s">
        <v>552</v>
      </c>
      <c r="B7804" t="s">
        <v>701</v>
      </c>
      <c r="C7804" t="s">
        <v>279</v>
      </c>
      <c r="D7804" s="226">
        <v>0</v>
      </c>
      <c r="E7804" t="s">
        <v>456</v>
      </c>
    </row>
    <row r="7805" spans="1:5" hidden="1" x14ac:dyDescent="0.3">
      <c r="A7805" t="s">
        <v>552</v>
      </c>
      <c r="B7805" t="s">
        <v>701</v>
      </c>
      <c r="C7805" t="s">
        <v>280</v>
      </c>
      <c r="D7805" s="226">
        <v>-478.32</v>
      </c>
      <c r="E7805" t="s">
        <v>456</v>
      </c>
    </row>
    <row r="7806" spans="1:5" hidden="1" x14ac:dyDescent="0.3">
      <c r="A7806" t="s">
        <v>552</v>
      </c>
      <c r="B7806" t="s">
        <v>701</v>
      </c>
      <c r="C7806" t="s">
        <v>281</v>
      </c>
      <c r="D7806" s="226">
        <v>-23.9</v>
      </c>
      <c r="E7806" t="s">
        <v>456</v>
      </c>
    </row>
    <row r="7807" spans="1:5" hidden="1" x14ac:dyDescent="0.3">
      <c r="A7807" t="s">
        <v>552</v>
      </c>
      <c r="B7807" t="s">
        <v>701</v>
      </c>
      <c r="C7807" t="s">
        <v>282</v>
      </c>
      <c r="D7807" s="226">
        <v>0</v>
      </c>
      <c r="E7807" t="s">
        <v>456</v>
      </c>
    </row>
    <row r="7808" spans="1:5" hidden="1" x14ac:dyDescent="0.3">
      <c r="A7808" t="s">
        <v>552</v>
      </c>
      <c r="B7808" t="s">
        <v>701</v>
      </c>
      <c r="C7808" t="s">
        <v>283</v>
      </c>
      <c r="D7808" s="226">
        <v>-3031.25</v>
      </c>
      <c r="E7808" t="s">
        <v>456</v>
      </c>
    </row>
    <row r="7809" spans="1:5" hidden="1" x14ac:dyDescent="0.3">
      <c r="A7809" t="s">
        <v>552</v>
      </c>
      <c r="B7809" t="s">
        <v>701</v>
      </c>
      <c r="C7809" t="s">
        <v>284</v>
      </c>
      <c r="D7809" s="226">
        <v>-429</v>
      </c>
      <c r="E7809" t="s">
        <v>456</v>
      </c>
    </row>
    <row r="7810" spans="1:5" hidden="1" x14ac:dyDescent="0.3">
      <c r="A7810" t="s">
        <v>552</v>
      </c>
      <c r="B7810" t="s">
        <v>701</v>
      </c>
      <c r="C7810" t="s">
        <v>285</v>
      </c>
      <c r="D7810" s="226">
        <v>-858.85</v>
      </c>
      <c r="E7810" t="s">
        <v>456</v>
      </c>
    </row>
    <row r="7811" spans="1:5" hidden="1" x14ac:dyDescent="0.3">
      <c r="A7811" t="s">
        <v>552</v>
      </c>
      <c r="B7811" t="s">
        <v>701</v>
      </c>
      <c r="C7811" t="s">
        <v>44</v>
      </c>
      <c r="D7811" s="226">
        <v>0</v>
      </c>
      <c r="E7811" t="s">
        <v>456</v>
      </c>
    </row>
    <row r="7812" spans="1:5" hidden="1" x14ac:dyDescent="0.3">
      <c r="A7812" t="s">
        <v>552</v>
      </c>
      <c r="B7812" t="s">
        <v>701</v>
      </c>
      <c r="C7812" t="s">
        <v>286</v>
      </c>
      <c r="D7812" s="226">
        <v>-18059.099999999999</v>
      </c>
      <c r="E7812" t="s">
        <v>456</v>
      </c>
    </row>
    <row r="7813" spans="1:5" hidden="1" x14ac:dyDescent="0.3">
      <c r="A7813" t="s">
        <v>552</v>
      </c>
      <c r="B7813" t="s">
        <v>701</v>
      </c>
      <c r="C7813" t="s">
        <v>287</v>
      </c>
      <c r="D7813" s="226">
        <v>-5800</v>
      </c>
      <c r="E7813" t="s">
        <v>456</v>
      </c>
    </row>
    <row r="7814" spans="1:5" hidden="1" x14ac:dyDescent="0.3">
      <c r="A7814" t="s">
        <v>552</v>
      </c>
      <c r="B7814" t="s">
        <v>701</v>
      </c>
      <c r="C7814" t="s">
        <v>288</v>
      </c>
      <c r="D7814" s="226">
        <v>-6792.5</v>
      </c>
      <c r="E7814" t="s">
        <v>456</v>
      </c>
    </row>
    <row r="7815" spans="1:5" hidden="1" x14ac:dyDescent="0.3">
      <c r="A7815" t="s">
        <v>552</v>
      </c>
      <c r="B7815" t="s">
        <v>701</v>
      </c>
      <c r="C7815" t="s">
        <v>289</v>
      </c>
      <c r="D7815" s="226">
        <v>0</v>
      </c>
      <c r="E7815" t="s">
        <v>456</v>
      </c>
    </row>
    <row r="7816" spans="1:5" hidden="1" x14ac:dyDescent="0.3">
      <c r="A7816" t="s">
        <v>552</v>
      </c>
      <c r="B7816" t="s">
        <v>701</v>
      </c>
      <c r="C7816" t="s">
        <v>290</v>
      </c>
      <c r="D7816" s="226">
        <v>-4802.62</v>
      </c>
      <c r="E7816" t="s">
        <v>456</v>
      </c>
    </row>
    <row r="7817" spans="1:5" hidden="1" x14ac:dyDescent="0.3">
      <c r="A7817" t="s">
        <v>552</v>
      </c>
      <c r="B7817" t="s">
        <v>701</v>
      </c>
      <c r="C7817" t="s">
        <v>291</v>
      </c>
      <c r="D7817" s="226">
        <v>0</v>
      </c>
      <c r="E7817" t="s">
        <v>456</v>
      </c>
    </row>
    <row r="7818" spans="1:5" hidden="1" x14ac:dyDescent="0.3">
      <c r="A7818" t="s">
        <v>552</v>
      </c>
      <c r="B7818" t="s">
        <v>701</v>
      </c>
      <c r="C7818" t="s">
        <v>292</v>
      </c>
      <c r="D7818" s="226">
        <v>-599.92999999999995</v>
      </c>
      <c r="E7818" t="s">
        <v>456</v>
      </c>
    </row>
    <row r="7819" spans="1:5" hidden="1" x14ac:dyDescent="0.3">
      <c r="A7819" t="s">
        <v>552</v>
      </c>
      <c r="B7819" t="s">
        <v>701</v>
      </c>
      <c r="C7819" t="s">
        <v>293</v>
      </c>
      <c r="D7819" s="226">
        <v>-64.05</v>
      </c>
      <c r="E7819" t="s">
        <v>456</v>
      </c>
    </row>
    <row r="7820" spans="1:5" hidden="1" x14ac:dyDescent="0.3">
      <c r="A7820" t="s">
        <v>552</v>
      </c>
      <c r="B7820" t="s">
        <v>701</v>
      </c>
      <c r="C7820" t="s">
        <v>294</v>
      </c>
      <c r="D7820" s="226">
        <v>0</v>
      </c>
      <c r="E7820" t="s">
        <v>456</v>
      </c>
    </row>
    <row r="7821" spans="1:5" hidden="1" x14ac:dyDescent="0.3">
      <c r="A7821" t="s">
        <v>552</v>
      </c>
      <c r="B7821" t="s">
        <v>701</v>
      </c>
      <c r="C7821" t="s">
        <v>44</v>
      </c>
      <c r="D7821" s="226">
        <v>-0.01</v>
      </c>
      <c r="E7821" t="s">
        <v>456</v>
      </c>
    </row>
    <row r="7822" spans="1:5" hidden="1" x14ac:dyDescent="0.3">
      <c r="A7822" t="s">
        <v>552</v>
      </c>
      <c r="B7822" t="s">
        <v>701</v>
      </c>
      <c r="C7822" t="s">
        <v>295</v>
      </c>
      <c r="D7822" s="226">
        <v>-7861.73</v>
      </c>
      <c r="E7822" t="s">
        <v>456</v>
      </c>
    </row>
    <row r="7823" spans="1:5" hidden="1" x14ac:dyDescent="0.3">
      <c r="A7823" t="s">
        <v>552</v>
      </c>
      <c r="B7823" t="s">
        <v>701</v>
      </c>
      <c r="C7823" t="s">
        <v>296</v>
      </c>
      <c r="D7823" s="226">
        <v>-4500</v>
      </c>
      <c r="E7823" t="s">
        <v>456</v>
      </c>
    </row>
    <row r="7824" spans="1:5" hidden="1" x14ac:dyDescent="0.3">
      <c r="A7824" t="s">
        <v>552</v>
      </c>
      <c r="B7824" t="s">
        <v>701</v>
      </c>
      <c r="C7824" t="s">
        <v>297</v>
      </c>
      <c r="D7824" s="226">
        <v>-500</v>
      </c>
      <c r="E7824" t="s">
        <v>456</v>
      </c>
    </row>
    <row r="7825" spans="1:5" hidden="1" x14ac:dyDescent="0.3">
      <c r="A7825" t="s">
        <v>552</v>
      </c>
      <c r="B7825" t="s">
        <v>701</v>
      </c>
      <c r="C7825" t="s">
        <v>298</v>
      </c>
      <c r="D7825" s="226">
        <v>0</v>
      </c>
      <c r="E7825" t="s">
        <v>456</v>
      </c>
    </row>
    <row r="7826" spans="1:5" hidden="1" x14ac:dyDescent="0.3">
      <c r="A7826" t="s">
        <v>552</v>
      </c>
      <c r="B7826" t="s">
        <v>701</v>
      </c>
      <c r="C7826" t="s">
        <v>299</v>
      </c>
      <c r="D7826" s="226">
        <v>0</v>
      </c>
      <c r="E7826" t="s">
        <v>456</v>
      </c>
    </row>
    <row r="7827" spans="1:5" hidden="1" x14ac:dyDescent="0.3">
      <c r="A7827" t="s">
        <v>552</v>
      </c>
      <c r="B7827" t="s">
        <v>701</v>
      </c>
      <c r="C7827" t="s">
        <v>300</v>
      </c>
      <c r="D7827" s="226">
        <v>0</v>
      </c>
      <c r="E7827" t="s">
        <v>456</v>
      </c>
    </row>
    <row r="7828" spans="1:5" hidden="1" x14ac:dyDescent="0.3">
      <c r="A7828" t="s">
        <v>552</v>
      </c>
      <c r="B7828" t="s">
        <v>701</v>
      </c>
      <c r="C7828" t="s">
        <v>301</v>
      </c>
      <c r="D7828" s="226">
        <v>0</v>
      </c>
      <c r="E7828" t="s">
        <v>456</v>
      </c>
    </row>
    <row r="7829" spans="1:5" hidden="1" x14ac:dyDescent="0.3">
      <c r="A7829" t="s">
        <v>552</v>
      </c>
      <c r="B7829" t="s">
        <v>701</v>
      </c>
      <c r="C7829" t="s">
        <v>302</v>
      </c>
      <c r="D7829" s="226">
        <v>0</v>
      </c>
      <c r="E7829" t="s">
        <v>456</v>
      </c>
    </row>
    <row r="7830" spans="1:5" hidden="1" x14ac:dyDescent="0.3">
      <c r="A7830" t="s">
        <v>552</v>
      </c>
      <c r="B7830" t="s">
        <v>701</v>
      </c>
      <c r="C7830" t="s">
        <v>303</v>
      </c>
      <c r="D7830" s="226">
        <v>-670.2</v>
      </c>
      <c r="E7830" t="s">
        <v>456</v>
      </c>
    </row>
    <row r="7831" spans="1:5" hidden="1" x14ac:dyDescent="0.3">
      <c r="A7831" t="s">
        <v>552</v>
      </c>
      <c r="B7831" t="s">
        <v>701</v>
      </c>
      <c r="C7831" t="s">
        <v>304</v>
      </c>
      <c r="D7831" s="226">
        <v>0</v>
      </c>
      <c r="E7831" t="s">
        <v>456</v>
      </c>
    </row>
    <row r="7832" spans="1:5" hidden="1" x14ac:dyDescent="0.3">
      <c r="A7832" t="s">
        <v>552</v>
      </c>
      <c r="B7832" t="s">
        <v>701</v>
      </c>
      <c r="C7832" t="s">
        <v>305</v>
      </c>
      <c r="D7832" s="226">
        <v>0</v>
      </c>
      <c r="E7832" t="s">
        <v>456</v>
      </c>
    </row>
    <row r="7833" spans="1:5" hidden="1" x14ac:dyDescent="0.3">
      <c r="A7833" t="s">
        <v>552</v>
      </c>
      <c r="B7833" t="s">
        <v>701</v>
      </c>
      <c r="C7833" t="s">
        <v>306</v>
      </c>
      <c r="D7833" s="226">
        <v>-2191.5300000000002</v>
      </c>
      <c r="E7833" t="s">
        <v>456</v>
      </c>
    </row>
    <row r="7834" spans="1:5" hidden="1" x14ac:dyDescent="0.3">
      <c r="A7834" t="s">
        <v>552</v>
      </c>
      <c r="B7834" t="s">
        <v>701</v>
      </c>
      <c r="C7834" t="s">
        <v>44</v>
      </c>
      <c r="D7834" s="226">
        <v>0</v>
      </c>
      <c r="E7834" t="s">
        <v>456</v>
      </c>
    </row>
    <row r="7835" spans="1:5" hidden="1" x14ac:dyDescent="0.3">
      <c r="A7835" t="s">
        <v>552</v>
      </c>
      <c r="B7835" t="s">
        <v>701</v>
      </c>
      <c r="C7835" t="s">
        <v>307</v>
      </c>
      <c r="D7835" s="226">
        <v>-19037.22</v>
      </c>
      <c r="E7835" t="s">
        <v>456</v>
      </c>
    </row>
    <row r="7836" spans="1:5" hidden="1" x14ac:dyDescent="0.3">
      <c r="A7836" t="s">
        <v>552</v>
      </c>
      <c r="B7836" t="s">
        <v>701</v>
      </c>
      <c r="C7836" t="s">
        <v>308</v>
      </c>
      <c r="D7836" s="226">
        <v>-5750.07</v>
      </c>
      <c r="E7836" t="s">
        <v>456</v>
      </c>
    </row>
    <row r="7837" spans="1:5" hidden="1" x14ac:dyDescent="0.3">
      <c r="A7837" t="s">
        <v>552</v>
      </c>
      <c r="B7837" t="s">
        <v>701</v>
      </c>
      <c r="C7837" t="s">
        <v>309</v>
      </c>
      <c r="D7837" s="226">
        <v>0</v>
      </c>
      <c r="E7837" t="s">
        <v>456</v>
      </c>
    </row>
    <row r="7838" spans="1:5" hidden="1" x14ac:dyDescent="0.3">
      <c r="A7838" t="s">
        <v>552</v>
      </c>
      <c r="B7838" t="s">
        <v>701</v>
      </c>
      <c r="C7838" t="s">
        <v>310</v>
      </c>
      <c r="D7838" s="226">
        <v>-1800</v>
      </c>
      <c r="E7838" t="s">
        <v>456</v>
      </c>
    </row>
    <row r="7839" spans="1:5" hidden="1" x14ac:dyDescent="0.3">
      <c r="A7839" t="s">
        <v>552</v>
      </c>
      <c r="B7839" t="s">
        <v>701</v>
      </c>
      <c r="C7839" t="s">
        <v>311</v>
      </c>
      <c r="D7839" s="226">
        <v>-185</v>
      </c>
      <c r="E7839" t="s">
        <v>456</v>
      </c>
    </row>
    <row r="7840" spans="1:5" hidden="1" x14ac:dyDescent="0.3">
      <c r="A7840" t="s">
        <v>552</v>
      </c>
      <c r="B7840" t="s">
        <v>701</v>
      </c>
      <c r="C7840" t="s">
        <v>312</v>
      </c>
      <c r="D7840" s="226">
        <v>0</v>
      </c>
      <c r="E7840" t="s">
        <v>456</v>
      </c>
    </row>
    <row r="7841" spans="1:5" hidden="1" x14ac:dyDescent="0.3">
      <c r="A7841" t="s">
        <v>552</v>
      </c>
      <c r="B7841" t="s">
        <v>701</v>
      </c>
      <c r="C7841" t="s">
        <v>313</v>
      </c>
      <c r="D7841" s="226">
        <v>-2372.15</v>
      </c>
      <c r="E7841" t="s">
        <v>456</v>
      </c>
    </row>
    <row r="7842" spans="1:5" hidden="1" x14ac:dyDescent="0.3">
      <c r="A7842" t="s">
        <v>552</v>
      </c>
      <c r="B7842" t="s">
        <v>701</v>
      </c>
      <c r="C7842" t="s">
        <v>314</v>
      </c>
      <c r="D7842" s="226">
        <v>0</v>
      </c>
      <c r="E7842" t="s">
        <v>456</v>
      </c>
    </row>
    <row r="7843" spans="1:5" hidden="1" x14ac:dyDescent="0.3">
      <c r="A7843" t="s">
        <v>552</v>
      </c>
      <c r="B7843" t="s">
        <v>701</v>
      </c>
      <c r="C7843" t="s">
        <v>315</v>
      </c>
      <c r="D7843" s="226">
        <v>-8930</v>
      </c>
      <c r="E7843" t="s">
        <v>456</v>
      </c>
    </row>
    <row r="7844" spans="1:5" hidden="1" x14ac:dyDescent="0.3">
      <c r="A7844" t="s">
        <v>552</v>
      </c>
      <c r="B7844" t="s">
        <v>701</v>
      </c>
      <c r="C7844" t="s">
        <v>316</v>
      </c>
      <c r="D7844" s="226">
        <v>0</v>
      </c>
      <c r="E7844" t="s">
        <v>456</v>
      </c>
    </row>
    <row r="7845" spans="1:5" hidden="1" x14ac:dyDescent="0.3">
      <c r="A7845" t="s">
        <v>552</v>
      </c>
      <c r="B7845" t="s">
        <v>701</v>
      </c>
      <c r="C7845" t="s">
        <v>44</v>
      </c>
      <c r="D7845" s="226">
        <v>-0.01</v>
      </c>
      <c r="E7845" t="s">
        <v>456</v>
      </c>
    </row>
    <row r="7846" spans="1:5" hidden="1" x14ac:dyDescent="0.3">
      <c r="A7846" t="s">
        <v>552</v>
      </c>
      <c r="B7846" t="s">
        <v>701</v>
      </c>
      <c r="C7846" t="s">
        <v>317</v>
      </c>
      <c r="D7846" s="226">
        <v>-6747.41</v>
      </c>
      <c r="E7846" t="s">
        <v>456</v>
      </c>
    </row>
    <row r="7847" spans="1:5" hidden="1" x14ac:dyDescent="0.3">
      <c r="A7847" t="s">
        <v>552</v>
      </c>
      <c r="B7847" t="s">
        <v>701</v>
      </c>
      <c r="C7847" t="s">
        <v>318</v>
      </c>
      <c r="D7847" s="226">
        <v>-6480</v>
      </c>
      <c r="E7847" t="s">
        <v>456</v>
      </c>
    </row>
    <row r="7848" spans="1:5" hidden="1" x14ac:dyDescent="0.3">
      <c r="A7848" t="s">
        <v>552</v>
      </c>
      <c r="B7848" t="s">
        <v>701</v>
      </c>
      <c r="C7848" t="s">
        <v>319</v>
      </c>
      <c r="D7848" s="226">
        <v>-267.41000000000003</v>
      </c>
      <c r="E7848" t="s">
        <v>456</v>
      </c>
    </row>
    <row r="7849" spans="1:5" hidden="1" x14ac:dyDescent="0.3">
      <c r="A7849" t="s">
        <v>552</v>
      </c>
      <c r="B7849" t="s">
        <v>701</v>
      </c>
      <c r="C7849" t="s">
        <v>320</v>
      </c>
      <c r="D7849" s="226">
        <v>0</v>
      </c>
      <c r="E7849" t="s">
        <v>456</v>
      </c>
    </row>
    <row r="7850" spans="1:5" hidden="1" x14ac:dyDescent="0.3">
      <c r="A7850" t="s">
        <v>552</v>
      </c>
      <c r="B7850" t="s">
        <v>701</v>
      </c>
      <c r="C7850" t="s">
        <v>321</v>
      </c>
      <c r="D7850" s="226">
        <v>0</v>
      </c>
      <c r="E7850" t="s">
        <v>456</v>
      </c>
    </row>
    <row r="7851" spans="1:5" hidden="1" x14ac:dyDescent="0.3">
      <c r="A7851" t="s">
        <v>552</v>
      </c>
      <c r="B7851" t="s">
        <v>701</v>
      </c>
      <c r="C7851" t="s">
        <v>44</v>
      </c>
      <c r="D7851" s="226">
        <v>0</v>
      </c>
      <c r="E7851" t="s">
        <v>456</v>
      </c>
    </row>
    <row r="7852" spans="1:5" hidden="1" x14ac:dyDescent="0.3">
      <c r="A7852" t="s">
        <v>552</v>
      </c>
      <c r="B7852" t="s">
        <v>701</v>
      </c>
      <c r="C7852" t="s">
        <v>322</v>
      </c>
      <c r="D7852" s="226">
        <v>-86151.56</v>
      </c>
      <c r="E7852" t="s">
        <v>456</v>
      </c>
    </row>
    <row r="7853" spans="1:5" hidden="1" x14ac:dyDescent="0.3">
      <c r="A7853" t="s">
        <v>552</v>
      </c>
      <c r="B7853" t="s">
        <v>701</v>
      </c>
      <c r="C7853" t="s">
        <v>323</v>
      </c>
      <c r="D7853" s="226">
        <v>0</v>
      </c>
      <c r="E7853" t="s">
        <v>456</v>
      </c>
    </row>
    <row r="7854" spans="1:5" hidden="1" x14ac:dyDescent="0.3">
      <c r="A7854" t="s">
        <v>552</v>
      </c>
      <c r="B7854" t="s">
        <v>701</v>
      </c>
      <c r="C7854" t="s">
        <v>324</v>
      </c>
      <c r="D7854" s="226">
        <v>0</v>
      </c>
      <c r="E7854" t="s">
        <v>456</v>
      </c>
    </row>
    <row r="7855" spans="1:5" hidden="1" x14ac:dyDescent="0.3">
      <c r="A7855" t="s">
        <v>552</v>
      </c>
      <c r="B7855" t="s">
        <v>701</v>
      </c>
      <c r="C7855" t="s">
        <v>325</v>
      </c>
      <c r="D7855" s="226">
        <v>-86151.56</v>
      </c>
      <c r="E7855" t="s">
        <v>456</v>
      </c>
    </row>
    <row r="7856" spans="1:5" hidden="1" x14ac:dyDescent="0.3">
      <c r="A7856" t="s">
        <v>552</v>
      </c>
      <c r="B7856" t="s">
        <v>701</v>
      </c>
      <c r="C7856" t="s">
        <v>44</v>
      </c>
      <c r="D7856" s="226">
        <v>-0.05</v>
      </c>
      <c r="E7856" t="s">
        <v>456</v>
      </c>
    </row>
    <row r="7857" spans="1:5" hidden="1" x14ac:dyDescent="0.3">
      <c r="A7857" t="s">
        <v>552</v>
      </c>
      <c r="B7857" t="s">
        <v>701</v>
      </c>
      <c r="C7857" t="s">
        <v>327</v>
      </c>
      <c r="D7857" s="226">
        <v>-691504.2</v>
      </c>
      <c r="E7857" t="s">
        <v>456</v>
      </c>
    </row>
    <row r="7858" spans="1:5" hidden="1" x14ac:dyDescent="0.3">
      <c r="A7858" t="s">
        <v>552</v>
      </c>
      <c r="B7858" t="s">
        <v>701</v>
      </c>
      <c r="C7858" t="s">
        <v>44</v>
      </c>
      <c r="D7858" s="226">
        <v>-0.4</v>
      </c>
      <c r="E7858" t="s">
        <v>456</v>
      </c>
    </row>
    <row r="7859" spans="1:5" hidden="1" x14ac:dyDescent="0.3">
      <c r="A7859" t="s">
        <v>552</v>
      </c>
      <c r="B7859" t="s">
        <v>701</v>
      </c>
      <c r="C7859" t="s">
        <v>328</v>
      </c>
      <c r="D7859" s="226">
        <v>317520.90999999997</v>
      </c>
      <c r="E7859" t="s">
        <v>456</v>
      </c>
    </row>
    <row r="7860" spans="1:5" hidden="1" x14ac:dyDescent="0.3">
      <c r="A7860" t="s">
        <v>552</v>
      </c>
      <c r="B7860" t="s">
        <v>701</v>
      </c>
      <c r="C7860" t="s">
        <v>44</v>
      </c>
      <c r="D7860" s="226">
        <v>0.18</v>
      </c>
      <c r="E7860" t="s">
        <v>456</v>
      </c>
    </row>
    <row r="7861" spans="1:5" hidden="1" x14ac:dyDescent="0.3">
      <c r="A7861" t="s">
        <v>552</v>
      </c>
      <c r="B7861" t="s">
        <v>701</v>
      </c>
      <c r="C7861" t="s">
        <v>329</v>
      </c>
      <c r="D7861" s="226">
        <v>0</v>
      </c>
      <c r="E7861" t="s">
        <v>456</v>
      </c>
    </row>
    <row r="7862" spans="1:5" hidden="1" x14ac:dyDescent="0.3">
      <c r="A7862" t="s">
        <v>552</v>
      </c>
      <c r="B7862" t="s">
        <v>701</v>
      </c>
      <c r="C7862" t="s">
        <v>331</v>
      </c>
      <c r="D7862" s="226">
        <v>317520.90999999997</v>
      </c>
      <c r="E7862" t="s">
        <v>456</v>
      </c>
    </row>
    <row r="7863" spans="1:5" hidden="1" x14ac:dyDescent="0.3">
      <c r="A7863" t="s">
        <v>552</v>
      </c>
      <c r="B7863" t="s">
        <v>701</v>
      </c>
      <c r="C7863" t="s">
        <v>332</v>
      </c>
      <c r="D7863" s="226">
        <v>-11014.04</v>
      </c>
      <c r="E7863" t="s">
        <v>456</v>
      </c>
    </row>
    <row r="7864" spans="1:5" hidden="1" x14ac:dyDescent="0.3">
      <c r="A7864" t="s">
        <v>552</v>
      </c>
      <c r="B7864" t="s">
        <v>701</v>
      </c>
      <c r="C7864" t="s">
        <v>333</v>
      </c>
      <c r="D7864" s="226">
        <v>0</v>
      </c>
      <c r="E7864" t="s">
        <v>456</v>
      </c>
    </row>
    <row r="7865" spans="1:5" hidden="1" x14ac:dyDescent="0.3">
      <c r="A7865" t="s">
        <v>552</v>
      </c>
      <c r="B7865" t="s">
        <v>701</v>
      </c>
      <c r="C7865" t="s">
        <v>335</v>
      </c>
      <c r="D7865" s="226">
        <v>0</v>
      </c>
      <c r="E7865" t="s">
        <v>456</v>
      </c>
    </row>
    <row r="7866" spans="1:5" hidden="1" x14ac:dyDescent="0.3">
      <c r="A7866" t="s">
        <v>552</v>
      </c>
      <c r="B7866" t="s">
        <v>701</v>
      </c>
      <c r="C7866" t="s">
        <v>337</v>
      </c>
      <c r="D7866" s="226">
        <v>306506.87</v>
      </c>
      <c r="E7866" t="s">
        <v>456</v>
      </c>
    </row>
    <row r="7867" spans="1:5" hidden="1" x14ac:dyDescent="0.3">
      <c r="A7867" t="s">
        <v>552</v>
      </c>
      <c r="B7867" t="s">
        <v>701</v>
      </c>
      <c r="C7867" t="s">
        <v>338</v>
      </c>
      <c r="D7867" s="226">
        <v>-66254.179999999993</v>
      </c>
      <c r="E7867" t="s">
        <v>456</v>
      </c>
    </row>
    <row r="7868" spans="1:5" hidden="1" x14ac:dyDescent="0.3">
      <c r="A7868" t="s">
        <v>552</v>
      </c>
      <c r="B7868" t="s">
        <v>701</v>
      </c>
      <c r="C7868" t="s">
        <v>341</v>
      </c>
      <c r="D7868" s="226">
        <v>0</v>
      </c>
      <c r="E7868" t="s">
        <v>456</v>
      </c>
    </row>
    <row r="7869" spans="1:5" hidden="1" x14ac:dyDescent="0.3">
      <c r="A7869" t="s">
        <v>552</v>
      </c>
      <c r="B7869" t="s">
        <v>701</v>
      </c>
      <c r="C7869" t="s">
        <v>343</v>
      </c>
      <c r="D7869" s="226">
        <v>-19092.57</v>
      </c>
      <c r="E7869" t="s">
        <v>456</v>
      </c>
    </row>
    <row r="7870" spans="1:5" hidden="1" x14ac:dyDescent="0.3">
      <c r="A7870" t="s">
        <v>552</v>
      </c>
      <c r="B7870" t="s">
        <v>701</v>
      </c>
      <c r="C7870" t="s">
        <v>344</v>
      </c>
      <c r="D7870" s="226">
        <v>-30510.17</v>
      </c>
      <c r="E7870" t="s">
        <v>456</v>
      </c>
    </row>
    <row r="7871" spans="1:5" hidden="1" x14ac:dyDescent="0.3">
      <c r="A7871" t="s">
        <v>552</v>
      </c>
      <c r="B7871" t="s">
        <v>701</v>
      </c>
      <c r="C7871" t="s">
        <v>345</v>
      </c>
      <c r="D7871" s="226">
        <v>-16651.439999999999</v>
      </c>
      <c r="E7871" t="s">
        <v>456</v>
      </c>
    </row>
    <row r="7872" spans="1:5" hidden="1" x14ac:dyDescent="0.3">
      <c r="A7872" t="s">
        <v>552</v>
      </c>
      <c r="B7872" t="s">
        <v>701</v>
      </c>
      <c r="C7872" t="s">
        <v>346</v>
      </c>
      <c r="D7872" s="226">
        <v>240252.69</v>
      </c>
      <c r="E7872" t="s">
        <v>456</v>
      </c>
    </row>
    <row r="7873" spans="1:5" hidden="1" x14ac:dyDescent="0.3">
      <c r="A7873" t="s">
        <v>552</v>
      </c>
      <c r="B7873" t="s">
        <v>701</v>
      </c>
      <c r="C7873" t="s">
        <v>44</v>
      </c>
      <c r="D7873" s="226">
        <v>0.14000000000000001</v>
      </c>
      <c r="E7873" t="s">
        <v>456</v>
      </c>
    </row>
    <row r="7874" spans="1:5" hidden="1" x14ac:dyDescent="0.3">
      <c r="A7874" t="s">
        <v>552</v>
      </c>
      <c r="B7874" t="s">
        <v>701</v>
      </c>
      <c r="C7874" t="s">
        <v>347</v>
      </c>
      <c r="D7874" s="226">
        <v>-8334</v>
      </c>
      <c r="E7874" t="s">
        <v>456</v>
      </c>
    </row>
    <row r="7875" spans="1:5" hidden="1" x14ac:dyDescent="0.3">
      <c r="A7875" t="s">
        <v>552</v>
      </c>
      <c r="B7875" t="s">
        <v>701</v>
      </c>
      <c r="C7875" t="s">
        <v>654</v>
      </c>
      <c r="D7875" s="226">
        <v>0</v>
      </c>
      <c r="E7875" t="s">
        <v>456</v>
      </c>
    </row>
    <row r="7876" spans="1:5" hidden="1" x14ac:dyDescent="0.3">
      <c r="A7876" t="s">
        <v>552</v>
      </c>
      <c r="B7876" t="s">
        <v>701</v>
      </c>
      <c r="C7876" t="s">
        <v>349</v>
      </c>
      <c r="D7876" s="226">
        <v>0</v>
      </c>
      <c r="E7876" t="s">
        <v>456</v>
      </c>
    </row>
    <row r="7877" spans="1:5" hidden="1" x14ac:dyDescent="0.3">
      <c r="A7877" t="s">
        <v>552</v>
      </c>
      <c r="B7877" t="s">
        <v>701</v>
      </c>
      <c r="C7877" t="s">
        <v>350</v>
      </c>
      <c r="D7877" s="226">
        <v>0</v>
      </c>
      <c r="E7877" t="s">
        <v>456</v>
      </c>
    </row>
    <row r="7878" spans="1:5" hidden="1" x14ac:dyDescent="0.3">
      <c r="A7878" t="s">
        <v>552</v>
      </c>
      <c r="B7878" t="s">
        <v>701</v>
      </c>
      <c r="C7878" t="s">
        <v>351</v>
      </c>
      <c r="D7878" s="226">
        <v>0</v>
      </c>
      <c r="E7878" t="s">
        <v>456</v>
      </c>
    </row>
    <row r="7879" spans="1:5" hidden="1" x14ac:dyDescent="0.3">
      <c r="A7879" t="s">
        <v>552</v>
      </c>
      <c r="B7879" t="s">
        <v>701</v>
      </c>
      <c r="C7879" t="s">
        <v>352</v>
      </c>
      <c r="D7879" s="226">
        <v>-8334</v>
      </c>
      <c r="E7879" t="s">
        <v>456</v>
      </c>
    </row>
    <row r="7880" spans="1:5" hidden="1" x14ac:dyDescent="0.3">
      <c r="A7880" t="s">
        <v>552</v>
      </c>
      <c r="B7880" t="s">
        <v>701</v>
      </c>
      <c r="C7880" t="s">
        <v>353</v>
      </c>
      <c r="D7880" s="226">
        <v>0</v>
      </c>
      <c r="E7880" t="s">
        <v>456</v>
      </c>
    </row>
    <row r="7881" spans="1:5" hidden="1" x14ac:dyDescent="0.3">
      <c r="A7881" t="s">
        <v>552</v>
      </c>
      <c r="B7881" t="s">
        <v>701</v>
      </c>
      <c r="C7881" t="s">
        <v>354</v>
      </c>
      <c r="D7881" s="226">
        <v>0</v>
      </c>
      <c r="E7881" t="s">
        <v>456</v>
      </c>
    </row>
    <row r="7882" spans="1:5" hidden="1" x14ac:dyDescent="0.3">
      <c r="A7882" t="s">
        <v>552</v>
      </c>
      <c r="B7882" t="s">
        <v>701</v>
      </c>
      <c r="C7882" t="s">
        <v>355</v>
      </c>
      <c r="D7882" s="226">
        <v>0</v>
      </c>
      <c r="E7882" t="s">
        <v>456</v>
      </c>
    </row>
    <row r="7883" spans="1:5" hidden="1" x14ac:dyDescent="0.3">
      <c r="A7883" t="s">
        <v>552</v>
      </c>
      <c r="B7883" t="s">
        <v>701</v>
      </c>
      <c r="C7883" t="s">
        <v>356</v>
      </c>
      <c r="D7883" s="226">
        <v>0</v>
      </c>
      <c r="E7883" t="s">
        <v>456</v>
      </c>
    </row>
    <row r="7884" spans="1:5" hidden="1" x14ac:dyDescent="0.3">
      <c r="A7884" t="s">
        <v>552</v>
      </c>
      <c r="B7884" t="s">
        <v>701</v>
      </c>
      <c r="C7884" t="s">
        <v>357</v>
      </c>
      <c r="D7884" s="226">
        <v>0</v>
      </c>
      <c r="E7884" t="s">
        <v>456</v>
      </c>
    </row>
    <row r="7885" spans="1:5" hidden="1" x14ac:dyDescent="0.3">
      <c r="A7885" t="s">
        <v>552</v>
      </c>
      <c r="B7885" t="s">
        <v>701</v>
      </c>
      <c r="C7885" t="s">
        <v>358</v>
      </c>
      <c r="D7885" s="226">
        <v>0</v>
      </c>
      <c r="E7885" t="s">
        <v>456</v>
      </c>
    </row>
    <row r="7886" spans="1:5" hidden="1" x14ac:dyDescent="0.3">
      <c r="A7886" t="s">
        <v>552</v>
      </c>
      <c r="B7886" t="s">
        <v>701</v>
      </c>
      <c r="C7886" t="s">
        <v>359</v>
      </c>
      <c r="D7886" s="226">
        <v>0</v>
      </c>
      <c r="E7886" t="s">
        <v>456</v>
      </c>
    </row>
    <row r="7887" spans="1:5" hidden="1" x14ac:dyDescent="0.3">
      <c r="A7887" t="s">
        <v>552</v>
      </c>
      <c r="B7887" t="s">
        <v>701</v>
      </c>
      <c r="C7887" t="s">
        <v>360</v>
      </c>
      <c r="D7887" s="226">
        <v>0</v>
      </c>
      <c r="E7887" t="s">
        <v>456</v>
      </c>
    </row>
    <row r="7888" spans="1:5" hidden="1" x14ac:dyDescent="0.3">
      <c r="A7888" t="s">
        <v>552</v>
      </c>
      <c r="B7888" t="s">
        <v>701</v>
      </c>
      <c r="C7888" t="s">
        <v>361</v>
      </c>
      <c r="D7888" s="226">
        <v>0</v>
      </c>
      <c r="E7888" t="s">
        <v>456</v>
      </c>
    </row>
    <row r="7889" spans="1:5" hidden="1" x14ac:dyDescent="0.3">
      <c r="A7889" t="s">
        <v>552</v>
      </c>
      <c r="B7889" t="s">
        <v>701</v>
      </c>
      <c r="C7889" t="s">
        <v>362</v>
      </c>
      <c r="D7889" s="226">
        <v>0</v>
      </c>
      <c r="E7889" t="s">
        <v>456</v>
      </c>
    </row>
    <row r="7890" spans="1:5" hidden="1" x14ac:dyDescent="0.3">
      <c r="A7890" t="s">
        <v>552</v>
      </c>
      <c r="B7890" t="s">
        <v>701</v>
      </c>
      <c r="C7890" t="s">
        <v>363</v>
      </c>
      <c r="D7890" s="226">
        <v>0</v>
      </c>
      <c r="E7890" t="s">
        <v>456</v>
      </c>
    </row>
    <row r="7891" spans="1:5" hidden="1" x14ac:dyDescent="0.3">
      <c r="A7891" t="s">
        <v>552</v>
      </c>
      <c r="B7891" t="s">
        <v>701</v>
      </c>
      <c r="C7891" t="s">
        <v>364</v>
      </c>
      <c r="D7891" s="226">
        <v>-4255.95</v>
      </c>
      <c r="E7891" t="s">
        <v>456</v>
      </c>
    </row>
    <row r="7892" spans="1:5" hidden="1" x14ac:dyDescent="0.3">
      <c r="A7892" t="s">
        <v>552</v>
      </c>
      <c r="B7892" t="s">
        <v>701</v>
      </c>
      <c r="C7892" t="s">
        <v>365</v>
      </c>
      <c r="D7892" s="226">
        <v>0</v>
      </c>
      <c r="E7892" t="s">
        <v>456</v>
      </c>
    </row>
    <row r="7893" spans="1:5" hidden="1" x14ac:dyDescent="0.3">
      <c r="A7893" t="s">
        <v>552</v>
      </c>
      <c r="B7893" t="s">
        <v>701</v>
      </c>
      <c r="C7893" t="s">
        <v>366</v>
      </c>
      <c r="D7893" s="226">
        <v>0</v>
      </c>
      <c r="E7893" t="s">
        <v>456</v>
      </c>
    </row>
    <row r="7894" spans="1:5" hidden="1" x14ac:dyDescent="0.3">
      <c r="A7894" t="s">
        <v>552</v>
      </c>
      <c r="B7894" t="s">
        <v>701</v>
      </c>
      <c r="C7894" t="s">
        <v>367</v>
      </c>
      <c r="D7894" s="226">
        <v>-12055.95</v>
      </c>
      <c r="E7894" t="s">
        <v>456</v>
      </c>
    </row>
    <row r="7895" spans="1:5" hidden="1" x14ac:dyDescent="0.3">
      <c r="A7895" t="s">
        <v>552</v>
      </c>
      <c r="B7895" t="s">
        <v>701</v>
      </c>
      <c r="C7895" t="s">
        <v>368</v>
      </c>
      <c r="D7895" s="226">
        <v>7800</v>
      </c>
      <c r="E7895" t="s">
        <v>456</v>
      </c>
    </row>
    <row r="7896" spans="1:5" hidden="1" x14ac:dyDescent="0.3">
      <c r="A7896" t="s">
        <v>552</v>
      </c>
      <c r="B7896" t="s">
        <v>701</v>
      </c>
      <c r="C7896" t="s">
        <v>369</v>
      </c>
      <c r="D7896" s="226">
        <v>0</v>
      </c>
      <c r="E7896" t="s">
        <v>456</v>
      </c>
    </row>
    <row r="7897" spans="1:5" hidden="1" x14ac:dyDescent="0.3">
      <c r="A7897" t="s">
        <v>552</v>
      </c>
      <c r="B7897" t="s">
        <v>701</v>
      </c>
      <c r="C7897" t="s">
        <v>370</v>
      </c>
      <c r="D7897" s="226">
        <v>0</v>
      </c>
      <c r="E7897" t="s">
        <v>456</v>
      </c>
    </row>
    <row r="7898" spans="1:5" hidden="1" x14ac:dyDescent="0.3">
      <c r="A7898" t="s">
        <v>552</v>
      </c>
      <c r="B7898" t="s">
        <v>701</v>
      </c>
      <c r="C7898" t="s">
        <v>371</v>
      </c>
      <c r="D7898" s="226">
        <v>0</v>
      </c>
      <c r="E7898" t="s">
        <v>456</v>
      </c>
    </row>
    <row r="7899" spans="1:5" hidden="1" x14ac:dyDescent="0.3">
      <c r="A7899" t="s">
        <v>552</v>
      </c>
      <c r="B7899" t="s">
        <v>701</v>
      </c>
      <c r="C7899" t="s">
        <v>372</v>
      </c>
      <c r="D7899" s="226">
        <v>-12589.95</v>
      </c>
      <c r="E7899" t="s">
        <v>456</v>
      </c>
    </row>
    <row r="7900" spans="1:5" hidden="1" x14ac:dyDescent="0.3">
      <c r="A7900" t="s">
        <v>552</v>
      </c>
      <c r="B7900" t="s">
        <v>701</v>
      </c>
      <c r="C7900" t="s">
        <v>373</v>
      </c>
      <c r="D7900" s="226">
        <v>227662.74</v>
      </c>
      <c r="E7900" t="s">
        <v>456</v>
      </c>
    </row>
    <row r="7901" spans="1:5" hidden="1" x14ac:dyDescent="0.3">
      <c r="A7901" t="s">
        <v>552</v>
      </c>
      <c r="B7901" t="s">
        <v>701</v>
      </c>
      <c r="C7901" t="s">
        <v>655</v>
      </c>
      <c r="D7901" s="226">
        <v>227662.74</v>
      </c>
      <c r="E7901" t="s">
        <v>456</v>
      </c>
    </row>
    <row r="7902" spans="1:5" hidden="1" x14ac:dyDescent="0.3">
      <c r="A7902" t="s">
        <v>552</v>
      </c>
      <c r="B7902" t="s">
        <v>702</v>
      </c>
      <c r="C7902" t="s">
        <v>11</v>
      </c>
      <c r="D7902" s="226">
        <v>17609010.469999999</v>
      </c>
      <c r="E7902" t="s">
        <v>702</v>
      </c>
    </row>
    <row r="7903" spans="1:5" hidden="1" x14ac:dyDescent="0.3">
      <c r="A7903" t="s">
        <v>552</v>
      </c>
      <c r="B7903" t="s">
        <v>702</v>
      </c>
      <c r="C7903" t="s">
        <v>13</v>
      </c>
      <c r="D7903" s="226">
        <v>8789076.4000000004</v>
      </c>
      <c r="E7903" t="s">
        <v>702</v>
      </c>
    </row>
    <row r="7904" spans="1:5" hidden="1" x14ac:dyDescent="0.3">
      <c r="A7904" t="s">
        <v>552</v>
      </c>
      <c r="B7904" t="s">
        <v>702</v>
      </c>
      <c r="C7904" t="s">
        <v>16</v>
      </c>
      <c r="D7904" s="226">
        <v>6274809.7699999996</v>
      </c>
      <c r="E7904" t="s">
        <v>702</v>
      </c>
    </row>
    <row r="7905" spans="1:5" hidden="1" x14ac:dyDescent="0.3">
      <c r="A7905" t="s">
        <v>552</v>
      </c>
      <c r="B7905" t="s">
        <v>702</v>
      </c>
      <c r="C7905" t="s">
        <v>17</v>
      </c>
      <c r="D7905" s="226">
        <v>1483</v>
      </c>
      <c r="E7905" t="s">
        <v>702</v>
      </c>
    </row>
    <row r="7906" spans="1:5" hidden="1" x14ac:dyDescent="0.3">
      <c r="A7906" t="s">
        <v>552</v>
      </c>
      <c r="B7906" t="s">
        <v>702</v>
      </c>
      <c r="C7906" t="s">
        <v>18</v>
      </c>
      <c r="D7906" s="226">
        <v>0</v>
      </c>
      <c r="E7906" t="s">
        <v>702</v>
      </c>
    </row>
    <row r="7907" spans="1:5" hidden="1" x14ac:dyDescent="0.3">
      <c r="A7907" t="s">
        <v>552</v>
      </c>
      <c r="B7907" t="s">
        <v>702</v>
      </c>
      <c r="C7907" t="s">
        <v>20</v>
      </c>
      <c r="D7907" s="226">
        <v>1913413.08</v>
      </c>
      <c r="E7907" t="s">
        <v>702</v>
      </c>
    </row>
    <row r="7908" spans="1:5" hidden="1" x14ac:dyDescent="0.3">
      <c r="A7908" t="s">
        <v>552</v>
      </c>
      <c r="B7908" t="s">
        <v>702</v>
      </c>
      <c r="C7908" t="s">
        <v>23</v>
      </c>
      <c r="D7908" s="226">
        <v>305612.02</v>
      </c>
      <c r="E7908" t="s">
        <v>702</v>
      </c>
    </row>
    <row r="7909" spans="1:5" hidden="1" x14ac:dyDescent="0.3">
      <c r="A7909" t="s">
        <v>552</v>
      </c>
      <c r="B7909" t="s">
        <v>702</v>
      </c>
      <c r="C7909" t="s">
        <v>25</v>
      </c>
      <c r="D7909" s="226">
        <v>0</v>
      </c>
      <c r="E7909" t="s">
        <v>702</v>
      </c>
    </row>
    <row r="7910" spans="1:5" hidden="1" x14ac:dyDescent="0.3">
      <c r="A7910" t="s">
        <v>552</v>
      </c>
      <c r="B7910" t="s">
        <v>702</v>
      </c>
      <c r="C7910" t="s">
        <v>26</v>
      </c>
      <c r="D7910" s="226">
        <v>80106</v>
      </c>
      <c r="E7910" t="s">
        <v>702</v>
      </c>
    </row>
    <row r="7911" spans="1:5" hidden="1" x14ac:dyDescent="0.3">
      <c r="A7911" t="s">
        <v>552</v>
      </c>
      <c r="B7911" t="s">
        <v>702</v>
      </c>
      <c r="C7911" t="s">
        <v>27</v>
      </c>
      <c r="D7911" s="226">
        <v>0</v>
      </c>
      <c r="E7911" t="s">
        <v>702</v>
      </c>
    </row>
    <row r="7912" spans="1:5" hidden="1" x14ac:dyDescent="0.3">
      <c r="A7912" t="s">
        <v>552</v>
      </c>
      <c r="B7912" t="s">
        <v>702</v>
      </c>
      <c r="C7912" t="s">
        <v>29</v>
      </c>
      <c r="D7912" s="226">
        <v>226942.95</v>
      </c>
      <c r="E7912" t="s">
        <v>702</v>
      </c>
    </row>
    <row r="7913" spans="1:5" hidden="1" x14ac:dyDescent="0.3">
      <c r="A7913" t="s">
        <v>552</v>
      </c>
      <c r="B7913" t="s">
        <v>702</v>
      </c>
      <c r="C7913" t="s">
        <v>31</v>
      </c>
      <c r="D7913" s="226">
        <v>17567.25</v>
      </c>
      <c r="E7913" t="s">
        <v>702</v>
      </c>
    </row>
    <row r="7914" spans="1:5" hidden="1" x14ac:dyDescent="0.3">
      <c r="A7914" t="s">
        <v>552</v>
      </c>
      <c r="B7914" t="s">
        <v>702</v>
      </c>
      <c r="C7914" t="s">
        <v>34</v>
      </c>
      <c r="D7914" s="226">
        <v>-233212.59</v>
      </c>
      <c r="E7914" t="s">
        <v>702</v>
      </c>
    </row>
    <row r="7915" spans="1:5" hidden="1" x14ac:dyDescent="0.3">
      <c r="A7915" t="s">
        <v>552</v>
      </c>
      <c r="B7915" t="s">
        <v>702</v>
      </c>
      <c r="C7915" t="s">
        <v>38</v>
      </c>
      <c r="D7915" s="226">
        <v>-52097.64</v>
      </c>
      <c r="E7915" t="s">
        <v>702</v>
      </c>
    </row>
    <row r="7916" spans="1:5" hidden="1" x14ac:dyDescent="0.3">
      <c r="A7916" t="s">
        <v>552</v>
      </c>
      <c r="B7916" t="s">
        <v>702</v>
      </c>
      <c r="C7916" t="s">
        <v>40</v>
      </c>
      <c r="D7916" s="226">
        <v>-177254.61</v>
      </c>
      <c r="E7916" t="s">
        <v>702</v>
      </c>
    </row>
    <row r="7917" spans="1:5" hidden="1" x14ac:dyDescent="0.3">
      <c r="A7917" t="s">
        <v>552</v>
      </c>
      <c r="B7917" t="s">
        <v>702</v>
      </c>
      <c r="C7917" t="s">
        <v>42</v>
      </c>
      <c r="D7917" s="226">
        <v>-3860.34</v>
      </c>
      <c r="E7917" t="s">
        <v>702</v>
      </c>
    </row>
    <row r="7918" spans="1:5" hidden="1" x14ac:dyDescent="0.3">
      <c r="A7918" t="s">
        <v>552</v>
      </c>
      <c r="B7918" t="s">
        <v>702</v>
      </c>
      <c r="C7918" t="s">
        <v>44</v>
      </c>
      <c r="D7918" s="226">
        <v>-0.01</v>
      </c>
      <c r="E7918" t="s">
        <v>702</v>
      </c>
    </row>
    <row r="7919" spans="1:5" hidden="1" x14ac:dyDescent="0.3">
      <c r="A7919" t="s">
        <v>552</v>
      </c>
      <c r="B7919" t="s">
        <v>702</v>
      </c>
      <c r="C7919" t="s">
        <v>45</v>
      </c>
      <c r="D7919" s="226">
        <v>-1162163.73</v>
      </c>
      <c r="E7919" t="s">
        <v>702</v>
      </c>
    </row>
    <row r="7920" spans="1:5" hidden="1" x14ac:dyDescent="0.3">
      <c r="A7920" t="s">
        <v>552</v>
      </c>
      <c r="B7920" t="s">
        <v>702</v>
      </c>
      <c r="C7920" t="s">
        <v>46</v>
      </c>
      <c r="D7920" s="226">
        <v>-623061.78</v>
      </c>
      <c r="E7920" t="s">
        <v>702</v>
      </c>
    </row>
    <row r="7921" spans="1:5" hidden="1" x14ac:dyDescent="0.3">
      <c r="A7921" t="s">
        <v>552</v>
      </c>
      <c r="B7921" t="s">
        <v>702</v>
      </c>
      <c r="C7921" t="s">
        <v>48</v>
      </c>
      <c r="D7921" s="226">
        <v>-535096.64</v>
      </c>
      <c r="E7921" t="s">
        <v>702</v>
      </c>
    </row>
    <row r="7922" spans="1:5" hidden="1" x14ac:dyDescent="0.3">
      <c r="A7922" t="s">
        <v>552</v>
      </c>
      <c r="B7922" t="s">
        <v>702</v>
      </c>
      <c r="C7922" t="s">
        <v>49</v>
      </c>
      <c r="D7922" s="226">
        <v>-4005.3</v>
      </c>
      <c r="E7922" t="s">
        <v>702</v>
      </c>
    </row>
    <row r="7923" spans="1:5" hidden="1" x14ac:dyDescent="0.3">
      <c r="A7923" t="s">
        <v>552</v>
      </c>
      <c r="B7923" t="s">
        <v>702</v>
      </c>
      <c r="C7923" t="s">
        <v>50</v>
      </c>
      <c r="D7923" s="226">
        <v>16213634.16</v>
      </c>
      <c r="E7923" t="s">
        <v>702</v>
      </c>
    </row>
    <row r="7924" spans="1:5" hidden="1" x14ac:dyDescent="0.3">
      <c r="A7924" t="s">
        <v>552</v>
      </c>
      <c r="B7924" t="s">
        <v>702</v>
      </c>
      <c r="C7924" t="s">
        <v>51</v>
      </c>
      <c r="D7924" s="226">
        <v>-4522687.87</v>
      </c>
      <c r="E7924" t="s">
        <v>702</v>
      </c>
    </row>
    <row r="7925" spans="1:5" hidden="1" x14ac:dyDescent="0.3">
      <c r="A7925" t="s">
        <v>552</v>
      </c>
      <c r="B7925" t="s">
        <v>702</v>
      </c>
      <c r="C7925" t="s">
        <v>52</v>
      </c>
      <c r="D7925" s="226">
        <v>-3006802.08</v>
      </c>
      <c r="E7925" t="s">
        <v>702</v>
      </c>
    </row>
    <row r="7926" spans="1:5" hidden="1" x14ac:dyDescent="0.3">
      <c r="A7926" t="s">
        <v>552</v>
      </c>
      <c r="B7926" t="s">
        <v>702</v>
      </c>
      <c r="C7926" t="s">
        <v>53</v>
      </c>
      <c r="D7926" s="226">
        <v>-1501664.11</v>
      </c>
      <c r="E7926" t="s">
        <v>702</v>
      </c>
    </row>
    <row r="7927" spans="1:5" hidden="1" x14ac:dyDescent="0.3">
      <c r="A7927" t="s">
        <v>552</v>
      </c>
      <c r="B7927" t="s">
        <v>702</v>
      </c>
      <c r="C7927" t="s">
        <v>54</v>
      </c>
      <c r="D7927" s="226">
        <v>-14221.68</v>
      </c>
      <c r="E7927" t="s">
        <v>702</v>
      </c>
    </row>
    <row r="7928" spans="1:5" hidden="1" x14ac:dyDescent="0.3">
      <c r="A7928" t="s">
        <v>552</v>
      </c>
      <c r="B7928" t="s">
        <v>702</v>
      </c>
      <c r="C7928" t="s">
        <v>23</v>
      </c>
      <c r="D7928" s="226">
        <v>0</v>
      </c>
      <c r="E7928" t="s">
        <v>702</v>
      </c>
    </row>
    <row r="7929" spans="1:5" hidden="1" x14ac:dyDescent="0.3">
      <c r="A7929" t="s">
        <v>552</v>
      </c>
      <c r="B7929" t="s">
        <v>702</v>
      </c>
      <c r="C7929" t="s">
        <v>44</v>
      </c>
      <c r="D7929" s="226">
        <v>-0.28999999999999998</v>
      </c>
      <c r="E7929" t="s">
        <v>702</v>
      </c>
    </row>
    <row r="7930" spans="1:5" hidden="1" x14ac:dyDescent="0.3">
      <c r="A7930" t="s">
        <v>552</v>
      </c>
      <c r="B7930" t="s">
        <v>702</v>
      </c>
      <c r="C7930" t="s">
        <v>55</v>
      </c>
      <c r="D7930" s="226">
        <v>-0.28000000000000003</v>
      </c>
      <c r="E7930" t="s">
        <v>702</v>
      </c>
    </row>
    <row r="7931" spans="1:5" hidden="1" x14ac:dyDescent="0.3">
      <c r="A7931" t="s">
        <v>552</v>
      </c>
      <c r="B7931" t="s">
        <v>702</v>
      </c>
      <c r="C7931" t="s">
        <v>56</v>
      </c>
      <c r="D7931" s="226">
        <v>-10700</v>
      </c>
      <c r="E7931" t="s">
        <v>702</v>
      </c>
    </row>
    <row r="7932" spans="1:5" hidden="1" x14ac:dyDescent="0.3">
      <c r="A7932" t="s">
        <v>552</v>
      </c>
      <c r="B7932" t="s">
        <v>702</v>
      </c>
      <c r="C7932" t="s">
        <v>57</v>
      </c>
      <c r="D7932" s="226">
        <v>-4850</v>
      </c>
      <c r="E7932" t="s">
        <v>702</v>
      </c>
    </row>
    <row r="7933" spans="1:5" hidden="1" x14ac:dyDescent="0.3">
      <c r="A7933" t="s">
        <v>552</v>
      </c>
      <c r="B7933" t="s">
        <v>702</v>
      </c>
      <c r="C7933" t="s">
        <v>58</v>
      </c>
      <c r="D7933" s="226">
        <v>-4850</v>
      </c>
      <c r="E7933" t="s">
        <v>702</v>
      </c>
    </row>
    <row r="7934" spans="1:5" hidden="1" x14ac:dyDescent="0.3">
      <c r="A7934" t="s">
        <v>552</v>
      </c>
      <c r="B7934" t="s">
        <v>702</v>
      </c>
      <c r="C7934" t="s">
        <v>59</v>
      </c>
      <c r="D7934" s="226">
        <v>0</v>
      </c>
      <c r="E7934" t="s">
        <v>702</v>
      </c>
    </row>
    <row r="7935" spans="1:5" hidden="1" x14ac:dyDescent="0.3">
      <c r="A7935" t="s">
        <v>552</v>
      </c>
      <c r="B7935" t="s">
        <v>702</v>
      </c>
      <c r="C7935" t="s">
        <v>61</v>
      </c>
      <c r="D7935" s="226">
        <v>0</v>
      </c>
      <c r="E7935" t="s">
        <v>702</v>
      </c>
    </row>
    <row r="7936" spans="1:5" hidden="1" x14ac:dyDescent="0.3">
      <c r="A7936" t="s">
        <v>552</v>
      </c>
      <c r="B7936" t="s">
        <v>702</v>
      </c>
      <c r="C7936" t="s">
        <v>62</v>
      </c>
      <c r="D7936" s="226">
        <v>0</v>
      </c>
      <c r="E7936" t="s">
        <v>702</v>
      </c>
    </row>
    <row r="7937" spans="1:5" hidden="1" x14ac:dyDescent="0.3">
      <c r="A7937" t="s">
        <v>552</v>
      </c>
      <c r="B7937" t="s">
        <v>702</v>
      </c>
      <c r="C7937" t="s">
        <v>64</v>
      </c>
      <c r="D7937" s="226">
        <v>0</v>
      </c>
      <c r="E7937" t="s">
        <v>702</v>
      </c>
    </row>
    <row r="7938" spans="1:5" hidden="1" x14ac:dyDescent="0.3">
      <c r="A7938" t="s">
        <v>552</v>
      </c>
      <c r="B7938" t="s">
        <v>702</v>
      </c>
      <c r="C7938" t="s">
        <v>65</v>
      </c>
      <c r="D7938" s="226">
        <v>-5850</v>
      </c>
      <c r="E7938" t="s">
        <v>702</v>
      </c>
    </row>
    <row r="7939" spans="1:5" hidden="1" x14ac:dyDescent="0.3">
      <c r="A7939" t="s">
        <v>552</v>
      </c>
      <c r="B7939" t="s">
        <v>702</v>
      </c>
      <c r="C7939" t="s">
        <v>66</v>
      </c>
      <c r="D7939" s="226">
        <v>-5850</v>
      </c>
      <c r="E7939" t="s">
        <v>702</v>
      </c>
    </row>
    <row r="7940" spans="1:5" hidden="1" x14ac:dyDescent="0.3">
      <c r="A7940" t="s">
        <v>552</v>
      </c>
      <c r="B7940" t="s">
        <v>702</v>
      </c>
      <c r="C7940" t="s">
        <v>68</v>
      </c>
      <c r="D7940" s="226">
        <v>0</v>
      </c>
      <c r="E7940" t="s">
        <v>702</v>
      </c>
    </row>
    <row r="7941" spans="1:5" hidden="1" x14ac:dyDescent="0.3">
      <c r="A7941" t="s">
        <v>552</v>
      </c>
      <c r="B7941" t="s">
        <v>702</v>
      </c>
      <c r="C7941" t="s">
        <v>69</v>
      </c>
      <c r="D7941" s="226">
        <v>0</v>
      </c>
      <c r="E7941" t="s">
        <v>702</v>
      </c>
    </row>
    <row r="7942" spans="1:5" hidden="1" x14ac:dyDescent="0.3">
      <c r="A7942" t="s">
        <v>552</v>
      </c>
      <c r="B7942" t="s">
        <v>702</v>
      </c>
      <c r="C7942" t="s">
        <v>70</v>
      </c>
      <c r="D7942" s="226">
        <v>-7.22</v>
      </c>
      <c r="E7942" t="s">
        <v>702</v>
      </c>
    </row>
    <row r="7943" spans="1:5" hidden="1" x14ac:dyDescent="0.3">
      <c r="A7943" t="s">
        <v>552</v>
      </c>
      <c r="B7943" t="s">
        <v>702</v>
      </c>
      <c r="C7943" t="s">
        <v>44</v>
      </c>
      <c r="D7943" s="226">
        <v>0</v>
      </c>
      <c r="E7943" t="s">
        <v>702</v>
      </c>
    </row>
    <row r="7944" spans="1:5" hidden="1" x14ac:dyDescent="0.3">
      <c r="A7944" t="s">
        <v>552</v>
      </c>
      <c r="B7944" t="s">
        <v>702</v>
      </c>
      <c r="C7944" t="s">
        <v>71</v>
      </c>
      <c r="D7944" s="226">
        <v>-59015.11</v>
      </c>
      <c r="E7944" t="s">
        <v>702</v>
      </c>
    </row>
    <row r="7945" spans="1:5" hidden="1" x14ac:dyDescent="0.3">
      <c r="A7945" t="s">
        <v>552</v>
      </c>
      <c r="B7945" t="s">
        <v>702</v>
      </c>
      <c r="C7945" t="s">
        <v>72</v>
      </c>
      <c r="D7945" s="226">
        <v>-26500.93</v>
      </c>
      <c r="E7945" t="s">
        <v>702</v>
      </c>
    </row>
    <row r="7946" spans="1:5" hidden="1" x14ac:dyDescent="0.3">
      <c r="A7946" t="s">
        <v>552</v>
      </c>
      <c r="B7946" t="s">
        <v>702</v>
      </c>
      <c r="C7946" t="s">
        <v>73</v>
      </c>
      <c r="D7946" s="226">
        <v>-23134.83</v>
      </c>
      <c r="E7946" t="s">
        <v>702</v>
      </c>
    </row>
    <row r="7947" spans="1:5" hidden="1" x14ac:dyDescent="0.3">
      <c r="A7947" t="s">
        <v>552</v>
      </c>
      <c r="B7947" t="s">
        <v>702</v>
      </c>
      <c r="C7947" t="s">
        <v>75</v>
      </c>
      <c r="D7947" s="226">
        <v>-3366.1</v>
      </c>
      <c r="E7947" t="s">
        <v>702</v>
      </c>
    </row>
    <row r="7948" spans="1:5" hidden="1" x14ac:dyDescent="0.3">
      <c r="A7948" t="s">
        <v>552</v>
      </c>
      <c r="B7948" t="s">
        <v>702</v>
      </c>
      <c r="C7948" t="s">
        <v>77</v>
      </c>
      <c r="D7948" s="226">
        <v>0</v>
      </c>
      <c r="E7948" t="s">
        <v>702</v>
      </c>
    </row>
    <row r="7949" spans="1:5" hidden="1" x14ac:dyDescent="0.3">
      <c r="A7949" t="s">
        <v>552</v>
      </c>
      <c r="B7949" t="s">
        <v>702</v>
      </c>
      <c r="C7949" t="s">
        <v>78</v>
      </c>
      <c r="D7949" s="226">
        <v>0</v>
      </c>
      <c r="E7949" t="s">
        <v>702</v>
      </c>
    </row>
    <row r="7950" spans="1:5" hidden="1" x14ac:dyDescent="0.3">
      <c r="A7950" t="s">
        <v>552</v>
      </c>
      <c r="B7950" t="s">
        <v>702</v>
      </c>
      <c r="C7950" t="s">
        <v>80</v>
      </c>
      <c r="D7950" s="226">
        <v>0</v>
      </c>
      <c r="E7950" t="s">
        <v>702</v>
      </c>
    </row>
    <row r="7951" spans="1:5" hidden="1" x14ac:dyDescent="0.3">
      <c r="A7951" t="s">
        <v>552</v>
      </c>
      <c r="B7951" t="s">
        <v>702</v>
      </c>
      <c r="C7951" t="s">
        <v>82</v>
      </c>
      <c r="D7951" s="226">
        <v>0</v>
      </c>
      <c r="E7951" t="s">
        <v>702</v>
      </c>
    </row>
    <row r="7952" spans="1:5" hidden="1" x14ac:dyDescent="0.3">
      <c r="A7952" t="s">
        <v>552</v>
      </c>
      <c r="B7952" t="s">
        <v>702</v>
      </c>
      <c r="C7952" t="s">
        <v>84</v>
      </c>
      <c r="D7952" s="226">
        <v>0</v>
      </c>
      <c r="E7952" t="s">
        <v>702</v>
      </c>
    </row>
    <row r="7953" spans="1:5" hidden="1" x14ac:dyDescent="0.3">
      <c r="A7953" t="s">
        <v>552</v>
      </c>
      <c r="B7953" t="s">
        <v>702</v>
      </c>
      <c r="C7953" t="s">
        <v>85</v>
      </c>
      <c r="D7953" s="226">
        <v>-113.99</v>
      </c>
      <c r="E7953" t="s">
        <v>702</v>
      </c>
    </row>
    <row r="7954" spans="1:5" hidden="1" x14ac:dyDescent="0.3">
      <c r="A7954" t="s">
        <v>552</v>
      </c>
      <c r="B7954" t="s">
        <v>702</v>
      </c>
      <c r="C7954" t="s">
        <v>86</v>
      </c>
      <c r="D7954" s="226">
        <v>0</v>
      </c>
      <c r="E7954" t="s">
        <v>702</v>
      </c>
    </row>
    <row r="7955" spans="1:5" hidden="1" x14ac:dyDescent="0.3">
      <c r="A7955" t="s">
        <v>552</v>
      </c>
      <c r="B7955" t="s">
        <v>702</v>
      </c>
      <c r="C7955" t="s">
        <v>87</v>
      </c>
      <c r="D7955" s="226">
        <v>0</v>
      </c>
      <c r="E7955" t="s">
        <v>702</v>
      </c>
    </row>
    <row r="7956" spans="1:5" hidden="1" x14ac:dyDescent="0.3">
      <c r="A7956" t="s">
        <v>552</v>
      </c>
      <c r="B7956" t="s">
        <v>702</v>
      </c>
      <c r="C7956" t="s">
        <v>88</v>
      </c>
      <c r="D7956" s="226">
        <v>-113.99</v>
      </c>
      <c r="E7956" t="s">
        <v>702</v>
      </c>
    </row>
    <row r="7957" spans="1:5" hidden="1" x14ac:dyDescent="0.3">
      <c r="A7957" t="s">
        <v>552</v>
      </c>
      <c r="B7957" t="s">
        <v>702</v>
      </c>
      <c r="C7957" t="s">
        <v>89</v>
      </c>
      <c r="D7957" s="226">
        <v>0</v>
      </c>
      <c r="E7957" t="s">
        <v>702</v>
      </c>
    </row>
    <row r="7958" spans="1:5" hidden="1" x14ac:dyDescent="0.3">
      <c r="A7958" t="s">
        <v>552</v>
      </c>
      <c r="B7958" t="s">
        <v>702</v>
      </c>
      <c r="C7958" t="s">
        <v>90</v>
      </c>
      <c r="D7958" s="226">
        <v>0</v>
      </c>
      <c r="E7958" t="s">
        <v>702</v>
      </c>
    </row>
    <row r="7959" spans="1:5" hidden="1" x14ac:dyDescent="0.3">
      <c r="A7959" t="s">
        <v>552</v>
      </c>
      <c r="B7959" t="s">
        <v>702</v>
      </c>
      <c r="C7959" t="s">
        <v>91</v>
      </c>
      <c r="D7959" s="226">
        <v>0</v>
      </c>
      <c r="E7959" t="s">
        <v>702</v>
      </c>
    </row>
    <row r="7960" spans="1:5" hidden="1" x14ac:dyDescent="0.3">
      <c r="A7960" t="s">
        <v>552</v>
      </c>
      <c r="B7960" t="s">
        <v>702</v>
      </c>
      <c r="C7960" t="s">
        <v>93</v>
      </c>
      <c r="D7960" s="226">
        <v>0</v>
      </c>
      <c r="E7960" t="s">
        <v>702</v>
      </c>
    </row>
    <row r="7961" spans="1:5" hidden="1" x14ac:dyDescent="0.3">
      <c r="A7961" t="s">
        <v>552</v>
      </c>
      <c r="B7961" t="s">
        <v>702</v>
      </c>
      <c r="C7961" t="s">
        <v>95</v>
      </c>
      <c r="D7961" s="226">
        <v>0</v>
      </c>
      <c r="E7961" t="s">
        <v>702</v>
      </c>
    </row>
    <row r="7962" spans="1:5" hidden="1" x14ac:dyDescent="0.3">
      <c r="A7962" t="s">
        <v>552</v>
      </c>
      <c r="B7962" t="s">
        <v>702</v>
      </c>
      <c r="C7962" t="s">
        <v>96</v>
      </c>
      <c r="D7962" s="226">
        <v>0</v>
      </c>
      <c r="E7962" t="s">
        <v>702</v>
      </c>
    </row>
    <row r="7963" spans="1:5" hidden="1" x14ac:dyDescent="0.3">
      <c r="A7963" t="s">
        <v>552</v>
      </c>
      <c r="B7963" t="s">
        <v>702</v>
      </c>
      <c r="C7963" t="s">
        <v>98</v>
      </c>
      <c r="D7963" s="226">
        <v>0</v>
      </c>
      <c r="E7963" t="s">
        <v>702</v>
      </c>
    </row>
    <row r="7964" spans="1:5" hidden="1" x14ac:dyDescent="0.3">
      <c r="A7964" t="s">
        <v>552</v>
      </c>
      <c r="B7964" t="s">
        <v>702</v>
      </c>
      <c r="C7964" t="s">
        <v>100</v>
      </c>
      <c r="D7964" s="226">
        <v>0</v>
      </c>
      <c r="E7964" t="s">
        <v>702</v>
      </c>
    </row>
    <row r="7965" spans="1:5" hidden="1" x14ac:dyDescent="0.3">
      <c r="A7965" t="s">
        <v>552</v>
      </c>
      <c r="B7965" t="s">
        <v>702</v>
      </c>
      <c r="C7965" t="s">
        <v>101</v>
      </c>
      <c r="D7965" s="226">
        <v>-32400.19</v>
      </c>
      <c r="E7965" t="s">
        <v>702</v>
      </c>
    </row>
    <row r="7966" spans="1:5" hidden="1" x14ac:dyDescent="0.3">
      <c r="A7966" t="s">
        <v>552</v>
      </c>
      <c r="B7966" t="s">
        <v>702</v>
      </c>
      <c r="C7966" t="s">
        <v>102</v>
      </c>
      <c r="D7966" s="226">
        <v>-14110.19</v>
      </c>
      <c r="E7966" t="s">
        <v>702</v>
      </c>
    </row>
    <row r="7967" spans="1:5" hidden="1" x14ac:dyDescent="0.3">
      <c r="A7967" t="s">
        <v>552</v>
      </c>
      <c r="B7967" t="s">
        <v>702</v>
      </c>
      <c r="C7967" t="s">
        <v>103</v>
      </c>
      <c r="D7967" s="226">
        <v>-18290</v>
      </c>
      <c r="E7967" t="s">
        <v>702</v>
      </c>
    </row>
    <row r="7968" spans="1:5" hidden="1" x14ac:dyDescent="0.3">
      <c r="A7968" t="s">
        <v>552</v>
      </c>
      <c r="B7968" t="s">
        <v>702</v>
      </c>
      <c r="C7968" t="s">
        <v>104</v>
      </c>
      <c r="D7968" s="226">
        <v>0</v>
      </c>
      <c r="E7968" t="s">
        <v>702</v>
      </c>
    </row>
    <row r="7969" spans="1:5" hidden="1" x14ac:dyDescent="0.3">
      <c r="A7969" t="s">
        <v>552</v>
      </c>
      <c r="B7969" t="s">
        <v>702</v>
      </c>
      <c r="C7969" t="s">
        <v>105</v>
      </c>
      <c r="D7969" s="226">
        <v>0</v>
      </c>
      <c r="E7969" t="s">
        <v>702</v>
      </c>
    </row>
    <row r="7970" spans="1:5" hidden="1" x14ac:dyDescent="0.3">
      <c r="A7970" t="s">
        <v>552</v>
      </c>
      <c r="B7970" t="s">
        <v>702</v>
      </c>
      <c r="C7970" t="s">
        <v>107</v>
      </c>
      <c r="D7970" s="226">
        <v>0</v>
      </c>
      <c r="E7970" t="s">
        <v>702</v>
      </c>
    </row>
    <row r="7971" spans="1:5" hidden="1" x14ac:dyDescent="0.3">
      <c r="A7971" t="s">
        <v>552</v>
      </c>
      <c r="B7971" t="s">
        <v>702</v>
      </c>
      <c r="C7971" t="s">
        <v>108</v>
      </c>
      <c r="D7971" s="226">
        <v>0</v>
      </c>
      <c r="E7971" t="s">
        <v>702</v>
      </c>
    </row>
    <row r="7972" spans="1:5" hidden="1" x14ac:dyDescent="0.3">
      <c r="A7972" t="s">
        <v>552</v>
      </c>
      <c r="B7972" t="s">
        <v>702</v>
      </c>
      <c r="C7972" t="s">
        <v>109</v>
      </c>
      <c r="D7972" s="226">
        <v>0</v>
      </c>
      <c r="E7972" t="s">
        <v>702</v>
      </c>
    </row>
    <row r="7973" spans="1:5" hidden="1" x14ac:dyDescent="0.3">
      <c r="A7973" t="s">
        <v>552</v>
      </c>
      <c r="B7973" t="s">
        <v>702</v>
      </c>
      <c r="C7973" t="s">
        <v>110</v>
      </c>
      <c r="D7973" s="226">
        <v>-0.15</v>
      </c>
      <c r="E7973" t="s">
        <v>702</v>
      </c>
    </row>
    <row r="7974" spans="1:5" hidden="1" x14ac:dyDescent="0.3">
      <c r="A7974" t="s">
        <v>552</v>
      </c>
      <c r="B7974" t="s">
        <v>702</v>
      </c>
      <c r="C7974" t="s">
        <v>44</v>
      </c>
      <c r="D7974" s="226">
        <v>0</v>
      </c>
      <c r="E7974" t="s">
        <v>702</v>
      </c>
    </row>
    <row r="7975" spans="1:5" hidden="1" x14ac:dyDescent="0.3">
      <c r="A7975" t="s">
        <v>552</v>
      </c>
      <c r="B7975" t="s">
        <v>702</v>
      </c>
      <c r="C7975" t="s">
        <v>111</v>
      </c>
      <c r="D7975" s="226">
        <v>-1201141.68</v>
      </c>
      <c r="E7975" t="s">
        <v>702</v>
      </c>
    </row>
    <row r="7976" spans="1:5" hidden="1" x14ac:dyDescent="0.3">
      <c r="A7976" t="s">
        <v>552</v>
      </c>
      <c r="B7976" t="s">
        <v>702</v>
      </c>
      <c r="C7976" t="s">
        <v>555</v>
      </c>
      <c r="D7976" s="226">
        <v>-1201141.68</v>
      </c>
      <c r="E7976" t="s">
        <v>702</v>
      </c>
    </row>
    <row r="7977" spans="1:5" hidden="1" x14ac:dyDescent="0.3">
      <c r="A7977" t="s">
        <v>552</v>
      </c>
      <c r="B7977" t="s">
        <v>702</v>
      </c>
      <c r="C7977" t="s">
        <v>44</v>
      </c>
      <c r="D7977" s="226">
        <v>-7.0000000000000007E-2</v>
      </c>
      <c r="E7977" t="s">
        <v>702</v>
      </c>
    </row>
    <row r="7978" spans="1:5" hidden="1" x14ac:dyDescent="0.3">
      <c r="A7978" t="s">
        <v>552</v>
      </c>
      <c r="B7978" t="s">
        <v>702</v>
      </c>
      <c r="C7978" t="s">
        <v>115</v>
      </c>
      <c r="D7978" s="226">
        <v>-298892.59999999998</v>
      </c>
      <c r="E7978" t="s">
        <v>702</v>
      </c>
    </row>
    <row r="7979" spans="1:5" hidden="1" x14ac:dyDescent="0.3">
      <c r="A7979" t="s">
        <v>552</v>
      </c>
      <c r="B7979" t="s">
        <v>702</v>
      </c>
      <c r="C7979" t="s">
        <v>116</v>
      </c>
      <c r="D7979" s="226">
        <v>-232410.05</v>
      </c>
      <c r="E7979" t="s">
        <v>702</v>
      </c>
    </row>
    <row r="7980" spans="1:5" hidden="1" x14ac:dyDescent="0.3">
      <c r="A7980" t="s">
        <v>552</v>
      </c>
      <c r="B7980" t="s">
        <v>702</v>
      </c>
      <c r="C7980" t="s">
        <v>118</v>
      </c>
      <c r="D7980" s="226">
        <v>-65707.77</v>
      </c>
      <c r="E7980" t="s">
        <v>702</v>
      </c>
    </row>
    <row r="7981" spans="1:5" hidden="1" x14ac:dyDescent="0.3">
      <c r="A7981" t="s">
        <v>552</v>
      </c>
      <c r="B7981" t="s">
        <v>702</v>
      </c>
      <c r="C7981" t="s">
        <v>120</v>
      </c>
      <c r="D7981" s="226">
        <v>0</v>
      </c>
      <c r="E7981" t="s">
        <v>702</v>
      </c>
    </row>
    <row r="7982" spans="1:5" hidden="1" x14ac:dyDescent="0.3">
      <c r="A7982" t="s">
        <v>552</v>
      </c>
      <c r="B7982" t="s">
        <v>702</v>
      </c>
      <c r="C7982" t="s">
        <v>122</v>
      </c>
      <c r="D7982" s="226">
        <v>-774.78</v>
      </c>
      <c r="E7982" t="s">
        <v>702</v>
      </c>
    </row>
    <row r="7983" spans="1:5" hidden="1" x14ac:dyDescent="0.3">
      <c r="A7983" t="s">
        <v>552</v>
      </c>
      <c r="B7983" t="s">
        <v>702</v>
      </c>
      <c r="C7983" t="s">
        <v>44</v>
      </c>
      <c r="D7983" s="226">
        <v>-0.02</v>
      </c>
      <c r="E7983" t="s">
        <v>702</v>
      </c>
    </row>
    <row r="7984" spans="1:5" hidden="1" x14ac:dyDescent="0.3">
      <c r="A7984" t="s">
        <v>552</v>
      </c>
      <c r="B7984" t="s">
        <v>702</v>
      </c>
      <c r="C7984" t="s">
        <v>125</v>
      </c>
      <c r="D7984" s="226">
        <v>10121196.9</v>
      </c>
      <c r="E7984" t="s">
        <v>702</v>
      </c>
    </row>
    <row r="7985" spans="1:5" hidden="1" x14ac:dyDescent="0.3">
      <c r="A7985" t="s">
        <v>552</v>
      </c>
      <c r="B7985" t="s">
        <v>702</v>
      </c>
      <c r="C7985" t="s">
        <v>126</v>
      </c>
      <c r="D7985" s="226">
        <v>0.56999999999999995</v>
      </c>
      <c r="E7985" t="s">
        <v>702</v>
      </c>
    </row>
    <row r="7986" spans="1:5" hidden="1" x14ac:dyDescent="0.3">
      <c r="A7986" t="s">
        <v>552</v>
      </c>
      <c r="B7986" t="s">
        <v>702</v>
      </c>
      <c r="C7986" t="s">
        <v>127</v>
      </c>
      <c r="D7986" s="226">
        <v>-3753144.06</v>
      </c>
      <c r="E7986" t="s">
        <v>702</v>
      </c>
    </row>
    <row r="7987" spans="1:5" hidden="1" x14ac:dyDescent="0.3">
      <c r="A7987" t="s">
        <v>552</v>
      </c>
      <c r="B7987" t="s">
        <v>702</v>
      </c>
      <c r="C7987" t="s">
        <v>128</v>
      </c>
      <c r="D7987" s="226">
        <v>-590930.52</v>
      </c>
      <c r="E7987" t="s">
        <v>702</v>
      </c>
    </row>
    <row r="7988" spans="1:5" hidden="1" x14ac:dyDescent="0.3">
      <c r="A7988" t="s">
        <v>552</v>
      </c>
      <c r="B7988" t="s">
        <v>702</v>
      </c>
      <c r="C7988" t="s">
        <v>556</v>
      </c>
      <c r="D7988" s="226">
        <v>-131496</v>
      </c>
      <c r="E7988" t="s">
        <v>702</v>
      </c>
    </row>
    <row r="7989" spans="1:5" hidden="1" x14ac:dyDescent="0.3">
      <c r="A7989" t="s">
        <v>552</v>
      </c>
      <c r="B7989" t="s">
        <v>702</v>
      </c>
      <c r="C7989" t="s">
        <v>557</v>
      </c>
      <c r="D7989" s="226">
        <v>-79200</v>
      </c>
      <c r="E7989" t="s">
        <v>702</v>
      </c>
    </row>
    <row r="7990" spans="1:5" hidden="1" x14ac:dyDescent="0.3">
      <c r="A7990" t="s">
        <v>552</v>
      </c>
      <c r="B7990" t="s">
        <v>702</v>
      </c>
      <c r="C7990" t="s">
        <v>558</v>
      </c>
      <c r="D7990" s="226">
        <v>0</v>
      </c>
      <c r="E7990" t="s">
        <v>702</v>
      </c>
    </row>
    <row r="7991" spans="1:5" hidden="1" x14ac:dyDescent="0.3">
      <c r="A7991" t="s">
        <v>552</v>
      </c>
      <c r="B7991" t="s">
        <v>702</v>
      </c>
      <c r="C7991" t="s">
        <v>559</v>
      </c>
      <c r="D7991" s="226">
        <v>-200010</v>
      </c>
      <c r="E7991" t="s">
        <v>702</v>
      </c>
    </row>
    <row r="7992" spans="1:5" hidden="1" x14ac:dyDescent="0.3">
      <c r="A7992" t="s">
        <v>552</v>
      </c>
      <c r="B7992" t="s">
        <v>702</v>
      </c>
      <c r="C7992" t="s">
        <v>560</v>
      </c>
      <c r="D7992" s="226">
        <v>-39717.86</v>
      </c>
      <c r="E7992" t="s">
        <v>702</v>
      </c>
    </row>
    <row r="7993" spans="1:5" hidden="1" x14ac:dyDescent="0.3">
      <c r="A7993" t="s">
        <v>552</v>
      </c>
      <c r="B7993" t="s">
        <v>702</v>
      </c>
      <c r="C7993" t="s">
        <v>561</v>
      </c>
      <c r="D7993" s="226">
        <v>-92506.66</v>
      </c>
      <c r="E7993" t="s">
        <v>702</v>
      </c>
    </row>
    <row r="7994" spans="1:5" hidden="1" x14ac:dyDescent="0.3">
      <c r="A7994" t="s">
        <v>552</v>
      </c>
      <c r="B7994" t="s">
        <v>702</v>
      </c>
      <c r="C7994" t="s">
        <v>562</v>
      </c>
      <c r="D7994" s="226">
        <v>-48000</v>
      </c>
      <c r="E7994" t="s">
        <v>702</v>
      </c>
    </row>
    <row r="7995" spans="1:5" hidden="1" x14ac:dyDescent="0.3">
      <c r="A7995" t="s">
        <v>552</v>
      </c>
      <c r="B7995" t="s">
        <v>702</v>
      </c>
      <c r="C7995" t="s">
        <v>563</v>
      </c>
      <c r="D7995" s="226">
        <v>0</v>
      </c>
      <c r="E7995" t="s">
        <v>702</v>
      </c>
    </row>
    <row r="7996" spans="1:5" hidden="1" x14ac:dyDescent="0.3">
      <c r="A7996" t="s">
        <v>552</v>
      </c>
      <c r="B7996" t="s">
        <v>702</v>
      </c>
      <c r="C7996" t="s">
        <v>564</v>
      </c>
      <c r="D7996" s="226">
        <v>0</v>
      </c>
      <c r="E7996" t="s">
        <v>702</v>
      </c>
    </row>
    <row r="7997" spans="1:5" hidden="1" x14ac:dyDescent="0.3">
      <c r="A7997" t="s">
        <v>552</v>
      </c>
      <c r="B7997" t="s">
        <v>702</v>
      </c>
      <c r="C7997" t="s">
        <v>565</v>
      </c>
      <c r="D7997" s="226">
        <v>0</v>
      </c>
      <c r="E7997" t="s">
        <v>702</v>
      </c>
    </row>
    <row r="7998" spans="1:5" hidden="1" x14ac:dyDescent="0.3">
      <c r="A7998" t="s">
        <v>552</v>
      </c>
      <c r="B7998" t="s">
        <v>702</v>
      </c>
      <c r="C7998" t="s">
        <v>566</v>
      </c>
      <c r="D7998" s="226">
        <v>0</v>
      </c>
      <c r="E7998" t="s">
        <v>702</v>
      </c>
    </row>
    <row r="7999" spans="1:5" hidden="1" x14ac:dyDescent="0.3">
      <c r="A7999" t="s">
        <v>552</v>
      </c>
      <c r="B7999" t="s">
        <v>702</v>
      </c>
      <c r="C7999" t="s">
        <v>567</v>
      </c>
      <c r="D7999" s="226">
        <v>0</v>
      </c>
      <c r="E7999" t="s">
        <v>702</v>
      </c>
    </row>
    <row r="8000" spans="1:5" hidden="1" x14ac:dyDescent="0.3">
      <c r="A8000" t="s">
        <v>552</v>
      </c>
      <c r="B8000" t="s">
        <v>702</v>
      </c>
      <c r="C8000" t="s">
        <v>141</v>
      </c>
      <c r="D8000" s="226">
        <v>-615457.75</v>
      </c>
      <c r="E8000" t="s">
        <v>702</v>
      </c>
    </row>
    <row r="8001" spans="1:5" hidden="1" x14ac:dyDescent="0.3">
      <c r="A8001" t="s">
        <v>552</v>
      </c>
      <c r="B8001" t="s">
        <v>702</v>
      </c>
      <c r="C8001" t="s">
        <v>568</v>
      </c>
      <c r="D8001" s="226">
        <v>0</v>
      </c>
      <c r="E8001" t="s">
        <v>702</v>
      </c>
    </row>
    <row r="8002" spans="1:5" hidden="1" x14ac:dyDescent="0.3">
      <c r="A8002" t="s">
        <v>552</v>
      </c>
      <c r="B8002" t="s">
        <v>702</v>
      </c>
      <c r="C8002" t="s">
        <v>569</v>
      </c>
      <c r="D8002" s="226">
        <v>0</v>
      </c>
      <c r="E8002" t="s">
        <v>702</v>
      </c>
    </row>
    <row r="8003" spans="1:5" hidden="1" x14ac:dyDescent="0.3">
      <c r="A8003" t="s">
        <v>552</v>
      </c>
      <c r="B8003" t="s">
        <v>702</v>
      </c>
      <c r="C8003" t="s">
        <v>570</v>
      </c>
      <c r="D8003" s="226">
        <v>0</v>
      </c>
      <c r="E8003" t="s">
        <v>702</v>
      </c>
    </row>
    <row r="8004" spans="1:5" hidden="1" x14ac:dyDescent="0.3">
      <c r="A8004" t="s">
        <v>552</v>
      </c>
      <c r="B8004" t="s">
        <v>702</v>
      </c>
      <c r="C8004" t="s">
        <v>571</v>
      </c>
      <c r="D8004" s="226">
        <v>0</v>
      </c>
      <c r="E8004" t="s">
        <v>702</v>
      </c>
    </row>
    <row r="8005" spans="1:5" hidden="1" x14ac:dyDescent="0.3">
      <c r="A8005" t="s">
        <v>552</v>
      </c>
      <c r="B8005" t="s">
        <v>702</v>
      </c>
      <c r="C8005" t="s">
        <v>572</v>
      </c>
      <c r="D8005" s="226">
        <v>0</v>
      </c>
      <c r="E8005" t="s">
        <v>702</v>
      </c>
    </row>
    <row r="8006" spans="1:5" hidden="1" x14ac:dyDescent="0.3">
      <c r="A8006" t="s">
        <v>552</v>
      </c>
      <c r="B8006" t="s">
        <v>702</v>
      </c>
      <c r="C8006" t="s">
        <v>573</v>
      </c>
      <c r="D8006" s="226">
        <v>0</v>
      </c>
      <c r="E8006" t="s">
        <v>702</v>
      </c>
    </row>
    <row r="8007" spans="1:5" hidden="1" x14ac:dyDescent="0.3">
      <c r="A8007" t="s">
        <v>552</v>
      </c>
      <c r="B8007" t="s">
        <v>702</v>
      </c>
      <c r="C8007" t="s">
        <v>574</v>
      </c>
      <c r="D8007" s="226">
        <v>0</v>
      </c>
      <c r="E8007" t="s">
        <v>702</v>
      </c>
    </row>
    <row r="8008" spans="1:5" hidden="1" x14ac:dyDescent="0.3">
      <c r="A8008" t="s">
        <v>552</v>
      </c>
      <c r="B8008" t="s">
        <v>702</v>
      </c>
      <c r="C8008" t="s">
        <v>575</v>
      </c>
      <c r="D8008" s="226">
        <v>0</v>
      </c>
      <c r="E8008" t="s">
        <v>702</v>
      </c>
    </row>
    <row r="8009" spans="1:5" hidden="1" x14ac:dyDescent="0.3">
      <c r="A8009" t="s">
        <v>552</v>
      </c>
      <c r="B8009" t="s">
        <v>702</v>
      </c>
      <c r="C8009" t="s">
        <v>576</v>
      </c>
      <c r="D8009" s="226">
        <v>0</v>
      </c>
      <c r="E8009" t="s">
        <v>702</v>
      </c>
    </row>
    <row r="8010" spans="1:5" hidden="1" x14ac:dyDescent="0.3">
      <c r="A8010" t="s">
        <v>552</v>
      </c>
      <c r="B8010" t="s">
        <v>702</v>
      </c>
      <c r="C8010" t="s">
        <v>577</v>
      </c>
      <c r="D8010" s="226">
        <v>0</v>
      </c>
      <c r="E8010" t="s">
        <v>702</v>
      </c>
    </row>
    <row r="8011" spans="1:5" hidden="1" x14ac:dyDescent="0.3">
      <c r="A8011" t="s">
        <v>552</v>
      </c>
      <c r="B8011" t="s">
        <v>702</v>
      </c>
      <c r="C8011" t="s">
        <v>578</v>
      </c>
      <c r="D8011" s="226">
        <v>0</v>
      </c>
      <c r="E8011" t="s">
        <v>702</v>
      </c>
    </row>
    <row r="8012" spans="1:5" hidden="1" x14ac:dyDescent="0.3">
      <c r="A8012" t="s">
        <v>552</v>
      </c>
      <c r="B8012" t="s">
        <v>702</v>
      </c>
      <c r="C8012" t="s">
        <v>579</v>
      </c>
      <c r="D8012" s="226">
        <v>0</v>
      </c>
      <c r="E8012" t="s">
        <v>702</v>
      </c>
    </row>
    <row r="8013" spans="1:5" hidden="1" x14ac:dyDescent="0.3">
      <c r="A8013" t="s">
        <v>552</v>
      </c>
      <c r="B8013" t="s">
        <v>702</v>
      </c>
      <c r="C8013" t="s">
        <v>580</v>
      </c>
      <c r="D8013" s="226">
        <v>0</v>
      </c>
      <c r="E8013" t="s">
        <v>702</v>
      </c>
    </row>
    <row r="8014" spans="1:5" hidden="1" x14ac:dyDescent="0.3">
      <c r="A8014" t="s">
        <v>552</v>
      </c>
      <c r="B8014" t="s">
        <v>702</v>
      </c>
      <c r="C8014" t="s">
        <v>581</v>
      </c>
      <c r="D8014" s="226">
        <v>0</v>
      </c>
      <c r="E8014" t="s">
        <v>702</v>
      </c>
    </row>
    <row r="8015" spans="1:5" hidden="1" x14ac:dyDescent="0.3">
      <c r="A8015" t="s">
        <v>552</v>
      </c>
      <c r="B8015" t="s">
        <v>702</v>
      </c>
      <c r="C8015" t="s">
        <v>582</v>
      </c>
      <c r="D8015" s="226">
        <v>0</v>
      </c>
      <c r="E8015" t="s">
        <v>702</v>
      </c>
    </row>
    <row r="8016" spans="1:5" hidden="1" x14ac:dyDescent="0.3">
      <c r="A8016" t="s">
        <v>552</v>
      </c>
      <c r="B8016" t="s">
        <v>702</v>
      </c>
      <c r="C8016" t="s">
        <v>583</v>
      </c>
      <c r="D8016" s="226">
        <v>0</v>
      </c>
      <c r="E8016" t="s">
        <v>702</v>
      </c>
    </row>
    <row r="8017" spans="1:5" hidden="1" x14ac:dyDescent="0.3">
      <c r="A8017" t="s">
        <v>552</v>
      </c>
      <c r="B8017" t="s">
        <v>702</v>
      </c>
      <c r="C8017" t="s">
        <v>584</v>
      </c>
      <c r="D8017" s="226">
        <v>0</v>
      </c>
      <c r="E8017" t="s">
        <v>702</v>
      </c>
    </row>
    <row r="8018" spans="1:5" hidden="1" x14ac:dyDescent="0.3">
      <c r="A8018" t="s">
        <v>552</v>
      </c>
      <c r="B8018" t="s">
        <v>702</v>
      </c>
      <c r="C8018" t="s">
        <v>585</v>
      </c>
      <c r="D8018" s="226">
        <v>0</v>
      </c>
      <c r="E8018" t="s">
        <v>702</v>
      </c>
    </row>
    <row r="8019" spans="1:5" hidden="1" x14ac:dyDescent="0.3">
      <c r="A8019" t="s">
        <v>552</v>
      </c>
      <c r="B8019" t="s">
        <v>702</v>
      </c>
      <c r="C8019" t="s">
        <v>586</v>
      </c>
      <c r="D8019" s="226">
        <v>0</v>
      </c>
      <c r="E8019" t="s">
        <v>702</v>
      </c>
    </row>
    <row r="8020" spans="1:5" hidden="1" x14ac:dyDescent="0.3">
      <c r="A8020" t="s">
        <v>552</v>
      </c>
      <c r="B8020" t="s">
        <v>702</v>
      </c>
      <c r="C8020" t="s">
        <v>587</v>
      </c>
      <c r="D8020" s="226">
        <v>0</v>
      </c>
      <c r="E8020" t="s">
        <v>702</v>
      </c>
    </row>
    <row r="8021" spans="1:5" hidden="1" x14ac:dyDescent="0.3">
      <c r="A8021" t="s">
        <v>552</v>
      </c>
      <c r="B8021" t="s">
        <v>702</v>
      </c>
      <c r="C8021" t="s">
        <v>588</v>
      </c>
      <c r="D8021" s="226">
        <v>0</v>
      </c>
      <c r="E8021" t="s">
        <v>702</v>
      </c>
    </row>
    <row r="8022" spans="1:5" hidden="1" x14ac:dyDescent="0.3">
      <c r="A8022" t="s">
        <v>552</v>
      </c>
      <c r="B8022" t="s">
        <v>702</v>
      </c>
      <c r="C8022" t="s">
        <v>589</v>
      </c>
      <c r="D8022" s="226">
        <v>0</v>
      </c>
      <c r="E8022" t="s">
        <v>702</v>
      </c>
    </row>
    <row r="8023" spans="1:5" hidden="1" x14ac:dyDescent="0.3">
      <c r="A8023" t="s">
        <v>552</v>
      </c>
      <c r="B8023" t="s">
        <v>702</v>
      </c>
      <c r="C8023" t="s">
        <v>590</v>
      </c>
      <c r="D8023" s="226">
        <v>0</v>
      </c>
      <c r="E8023" t="s">
        <v>702</v>
      </c>
    </row>
    <row r="8024" spans="1:5" hidden="1" x14ac:dyDescent="0.3">
      <c r="A8024" t="s">
        <v>552</v>
      </c>
      <c r="B8024" t="s">
        <v>702</v>
      </c>
      <c r="C8024" t="s">
        <v>591</v>
      </c>
      <c r="D8024" s="226">
        <v>0</v>
      </c>
      <c r="E8024" t="s">
        <v>702</v>
      </c>
    </row>
    <row r="8025" spans="1:5" hidden="1" x14ac:dyDescent="0.3">
      <c r="A8025" t="s">
        <v>552</v>
      </c>
      <c r="B8025" t="s">
        <v>702</v>
      </c>
      <c r="C8025" t="s">
        <v>592</v>
      </c>
      <c r="D8025" s="226">
        <v>0</v>
      </c>
      <c r="E8025" t="s">
        <v>702</v>
      </c>
    </row>
    <row r="8026" spans="1:5" hidden="1" x14ac:dyDescent="0.3">
      <c r="A8026" t="s">
        <v>552</v>
      </c>
      <c r="B8026" t="s">
        <v>702</v>
      </c>
      <c r="C8026" t="s">
        <v>593</v>
      </c>
      <c r="D8026" s="226">
        <v>0</v>
      </c>
      <c r="E8026" t="s">
        <v>702</v>
      </c>
    </row>
    <row r="8027" spans="1:5" hidden="1" x14ac:dyDescent="0.3">
      <c r="A8027" t="s">
        <v>552</v>
      </c>
      <c r="B8027" t="s">
        <v>702</v>
      </c>
      <c r="C8027" t="s">
        <v>594</v>
      </c>
      <c r="D8027" s="226">
        <v>0</v>
      </c>
      <c r="E8027" t="s">
        <v>702</v>
      </c>
    </row>
    <row r="8028" spans="1:5" hidden="1" x14ac:dyDescent="0.3">
      <c r="A8028" t="s">
        <v>552</v>
      </c>
      <c r="B8028" t="s">
        <v>702</v>
      </c>
      <c r="C8028" t="s">
        <v>595</v>
      </c>
      <c r="D8028" s="226">
        <v>0</v>
      </c>
      <c r="E8028" t="s">
        <v>702</v>
      </c>
    </row>
    <row r="8029" spans="1:5" hidden="1" x14ac:dyDescent="0.3">
      <c r="A8029" t="s">
        <v>552</v>
      </c>
      <c r="B8029" t="s">
        <v>702</v>
      </c>
      <c r="C8029" t="s">
        <v>596</v>
      </c>
      <c r="D8029" s="226">
        <v>0</v>
      </c>
      <c r="E8029" t="s">
        <v>702</v>
      </c>
    </row>
    <row r="8030" spans="1:5" hidden="1" x14ac:dyDescent="0.3">
      <c r="A8030" t="s">
        <v>552</v>
      </c>
      <c r="B8030" t="s">
        <v>702</v>
      </c>
      <c r="C8030" t="s">
        <v>597</v>
      </c>
      <c r="D8030" s="226">
        <v>0</v>
      </c>
      <c r="E8030" t="s">
        <v>702</v>
      </c>
    </row>
    <row r="8031" spans="1:5" hidden="1" x14ac:dyDescent="0.3">
      <c r="A8031" t="s">
        <v>552</v>
      </c>
      <c r="B8031" t="s">
        <v>702</v>
      </c>
      <c r="C8031" t="s">
        <v>598</v>
      </c>
      <c r="D8031" s="226">
        <v>0</v>
      </c>
      <c r="E8031" t="s">
        <v>702</v>
      </c>
    </row>
    <row r="8032" spans="1:5" hidden="1" x14ac:dyDescent="0.3">
      <c r="A8032" t="s">
        <v>552</v>
      </c>
      <c r="B8032" t="s">
        <v>702</v>
      </c>
      <c r="C8032" t="s">
        <v>599</v>
      </c>
      <c r="D8032" s="226">
        <v>0</v>
      </c>
      <c r="E8032" t="s">
        <v>702</v>
      </c>
    </row>
    <row r="8033" spans="1:5" hidden="1" x14ac:dyDescent="0.3">
      <c r="A8033" t="s">
        <v>552</v>
      </c>
      <c r="B8033" t="s">
        <v>702</v>
      </c>
      <c r="C8033" t="s">
        <v>600</v>
      </c>
      <c r="D8033" s="226">
        <v>0</v>
      </c>
      <c r="E8033" t="s">
        <v>702</v>
      </c>
    </row>
    <row r="8034" spans="1:5" hidden="1" x14ac:dyDescent="0.3">
      <c r="A8034" t="s">
        <v>552</v>
      </c>
      <c r="B8034" t="s">
        <v>702</v>
      </c>
      <c r="C8034" t="s">
        <v>601</v>
      </c>
      <c r="D8034" s="226">
        <v>0</v>
      </c>
      <c r="E8034" t="s">
        <v>702</v>
      </c>
    </row>
    <row r="8035" spans="1:5" hidden="1" x14ac:dyDescent="0.3">
      <c r="A8035" t="s">
        <v>552</v>
      </c>
      <c r="B8035" t="s">
        <v>702</v>
      </c>
      <c r="C8035" t="s">
        <v>602</v>
      </c>
      <c r="D8035" s="226">
        <v>0</v>
      </c>
      <c r="E8035" t="s">
        <v>702</v>
      </c>
    </row>
    <row r="8036" spans="1:5" hidden="1" x14ac:dyDescent="0.3">
      <c r="A8036" t="s">
        <v>552</v>
      </c>
      <c r="B8036" t="s">
        <v>702</v>
      </c>
      <c r="C8036" t="s">
        <v>603</v>
      </c>
      <c r="D8036" s="226">
        <v>0</v>
      </c>
      <c r="E8036" t="s">
        <v>702</v>
      </c>
    </row>
    <row r="8037" spans="1:5" hidden="1" x14ac:dyDescent="0.3">
      <c r="A8037" t="s">
        <v>552</v>
      </c>
      <c r="B8037" t="s">
        <v>702</v>
      </c>
      <c r="C8037" t="s">
        <v>604</v>
      </c>
      <c r="D8037" s="226">
        <v>0</v>
      </c>
      <c r="E8037" t="s">
        <v>702</v>
      </c>
    </row>
    <row r="8038" spans="1:5" hidden="1" x14ac:dyDescent="0.3">
      <c r="A8038" t="s">
        <v>552</v>
      </c>
      <c r="B8038" t="s">
        <v>702</v>
      </c>
      <c r="C8038" t="s">
        <v>605</v>
      </c>
      <c r="D8038" s="226">
        <v>0</v>
      </c>
      <c r="E8038" t="s">
        <v>702</v>
      </c>
    </row>
    <row r="8039" spans="1:5" hidden="1" x14ac:dyDescent="0.3">
      <c r="A8039" t="s">
        <v>552</v>
      </c>
      <c r="B8039" t="s">
        <v>702</v>
      </c>
      <c r="C8039" t="s">
        <v>606</v>
      </c>
      <c r="D8039" s="226">
        <v>0</v>
      </c>
      <c r="E8039" t="s">
        <v>702</v>
      </c>
    </row>
    <row r="8040" spans="1:5" hidden="1" x14ac:dyDescent="0.3">
      <c r="A8040" t="s">
        <v>552</v>
      </c>
      <c r="B8040" t="s">
        <v>702</v>
      </c>
      <c r="C8040" t="s">
        <v>607</v>
      </c>
      <c r="D8040" s="226">
        <v>0</v>
      </c>
      <c r="E8040" t="s">
        <v>702</v>
      </c>
    </row>
    <row r="8041" spans="1:5" hidden="1" x14ac:dyDescent="0.3">
      <c r="A8041" t="s">
        <v>552</v>
      </c>
      <c r="B8041" t="s">
        <v>702</v>
      </c>
      <c r="C8041" t="s">
        <v>608</v>
      </c>
      <c r="D8041" s="226">
        <v>0</v>
      </c>
      <c r="E8041" t="s">
        <v>702</v>
      </c>
    </row>
    <row r="8042" spans="1:5" hidden="1" x14ac:dyDescent="0.3">
      <c r="A8042" t="s">
        <v>552</v>
      </c>
      <c r="B8042" t="s">
        <v>702</v>
      </c>
      <c r="C8042" t="s">
        <v>609</v>
      </c>
      <c r="D8042" s="226">
        <v>0</v>
      </c>
      <c r="E8042" t="s">
        <v>702</v>
      </c>
    </row>
    <row r="8043" spans="1:5" hidden="1" x14ac:dyDescent="0.3">
      <c r="A8043" t="s">
        <v>552</v>
      </c>
      <c r="B8043" t="s">
        <v>702</v>
      </c>
      <c r="C8043" t="s">
        <v>610</v>
      </c>
      <c r="D8043" s="226">
        <v>0</v>
      </c>
      <c r="E8043" t="s">
        <v>702</v>
      </c>
    </row>
    <row r="8044" spans="1:5" hidden="1" x14ac:dyDescent="0.3">
      <c r="A8044" t="s">
        <v>552</v>
      </c>
      <c r="B8044" t="s">
        <v>702</v>
      </c>
      <c r="C8044" t="s">
        <v>611</v>
      </c>
      <c r="D8044" s="226">
        <v>0</v>
      </c>
      <c r="E8044" t="s">
        <v>702</v>
      </c>
    </row>
    <row r="8045" spans="1:5" hidden="1" x14ac:dyDescent="0.3">
      <c r="A8045" t="s">
        <v>552</v>
      </c>
      <c r="B8045" t="s">
        <v>702</v>
      </c>
      <c r="C8045" t="s">
        <v>612</v>
      </c>
      <c r="D8045" s="226">
        <v>0</v>
      </c>
      <c r="E8045" t="s">
        <v>702</v>
      </c>
    </row>
    <row r="8046" spans="1:5" hidden="1" x14ac:dyDescent="0.3">
      <c r="A8046" t="s">
        <v>552</v>
      </c>
      <c r="B8046" t="s">
        <v>702</v>
      </c>
      <c r="C8046" t="s">
        <v>613</v>
      </c>
      <c r="D8046" s="226">
        <v>0</v>
      </c>
      <c r="E8046" t="s">
        <v>702</v>
      </c>
    </row>
    <row r="8047" spans="1:5" hidden="1" x14ac:dyDescent="0.3">
      <c r="A8047" t="s">
        <v>552</v>
      </c>
      <c r="B8047" t="s">
        <v>702</v>
      </c>
      <c r="C8047" t="s">
        <v>614</v>
      </c>
      <c r="D8047" s="226">
        <v>0</v>
      </c>
      <c r="E8047" t="s">
        <v>702</v>
      </c>
    </row>
    <row r="8048" spans="1:5" hidden="1" x14ac:dyDescent="0.3">
      <c r="A8048" t="s">
        <v>552</v>
      </c>
      <c r="B8048" t="s">
        <v>702</v>
      </c>
      <c r="C8048" t="s">
        <v>615</v>
      </c>
      <c r="D8048" s="226">
        <v>0</v>
      </c>
      <c r="E8048" t="s">
        <v>702</v>
      </c>
    </row>
    <row r="8049" spans="1:5" hidden="1" x14ac:dyDescent="0.3">
      <c r="A8049" t="s">
        <v>552</v>
      </c>
      <c r="B8049" t="s">
        <v>702</v>
      </c>
      <c r="C8049" t="s">
        <v>616</v>
      </c>
      <c r="D8049" s="226">
        <v>0</v>
      </c>
      <c r="E8049" t="s">
        <v>702</v>
      </c>
    </row>
    <row r="8050" spans="1:5" hidden="1" x14ac:dyDescent="0.3">
      <c r="A8050" t="s">
        <v>552</v>
      </c>
      <c r="B8050" t="s">
        <v>702</v>
      </c>
      <c r="C8050" t="s">
        <v>617</v>
      </c>
      <c r="D8050" s="226">
        <v>0</v>
      </c>
      <c r="E8050" t="s">
        <v>702</v>
      </c>
    </row>
    <row r="8051" spans="1:5" hidden="1" x14ac:dyDescent="0.3">
      <c r="A8051" t="s">
        <v>552</v>
      </c>
      <c r="B8051" t="s">
        <v>702</v>
      </c>
      <c r="C8051" t="s">
        <v>618</v>
      </c>
      <c r="D8051" s="226">
        <v>0</v>
      </c>
      <c r="E8051" t="s">
        <v>702</v>
      </c>
    </row>
    <row r="8052" spans="1:5" hidden="1" x14ac:dyDescent="0.3">
      <c r="A8052" t="s">
        <v>552</v>
      </c>
      <c r="B8052" t="s">
        <v>702</v>
      </c>
      <c r="C8052" t="s">
        <v>619</v>
      </c>
      <c r="D8052" s="226">
        <v>0</v>
      </c>
      <c r="E8052" t="s">
        <v>702</v>
      </c>
    </row>
    <row r="8053" spans="1:5" hidden="1" x14ac:dyDescent="0.3">
      <c r="A8053" t="s">
        <v>552</v>
      </c>
      <c r="B8053" t="s">
        <v>702</v>
      </c>
      <c r="C8053" t="s">
        <v>620</v>
      </c>
      <c r="D8053" s="226">
        <v>0</v>
      </c>
      <c r="E8053" t="s">
        <v>702</v>
      </c>
    </row>
    <row r="8054" spans="1:5" hidden="1" x14ac:dyDescent="0.3">
      <c r="A8054" t="s">
        <v>552</v>
      </c>
      <c r="B8054" t="s">
        <v>702</v>
      </c>
      <c r="C8054" t="s">
        <v>621</v>
      </c>
      <c r="D8054" s="226">
        <v>0</v>
      </c>
      <c r="E8054" t="s">
        <v>702</v>
      </c>
    </row>
    <row r="8055" spans="1:5" hidden="1" x14ac:dyDescent="0.3">
      <c r="A8055" t="s">
        <v>552</v>
      </c>
      <c r="B8055" t="s">
        <v>702</v>
      </c>
      <c r="C8055" t="s">
        <v>622</v>
      </c>
      <c r="D8055" s="226">
        <v>0</v>
      </c>
      <c r="E8055" t="s">
        <v>702</v>
      </c>
    </row>
    <row r="8056" spans="1:5" hidden="1" x14ac:dyDescent="0.3">
      <c r="A8056" t="s">
        <v>552</v>
      </c>
      <c r="B8056" t="s">
        <v>702</v>
      </c>
      <c r="C8056" t="s">
        <v>623</v>
      </c>
      <c r="D8056" s="226">
        <v>0</v>
      </c>
      <c r="E8056" t="s">
        <v>702</v>
      </c>
    </row>
    <row r="8057" spans="1:5" hidden="1" x14ac:dyDescent="0.3">
      <c r="A8057" t="s">
        <v>552</v>
      </c>
      <c r="B8057" t="s">
        <v>702</v>
      </c>
      <c r="C8057" t="s">
        <v>624</v>
      </c>
      <c r="D8057" s="226">
        <v>0</v>
      </c>
      <c r="E8057" t="s">
        <v>702</v>
      </c>
    </row>
    <row r="8058" spans="1:5" hidden="1" x14ac:dyDescent="0.3">
      <c r="A8058" t="s">
        <v>552</v>
      </c>
      <c r="B8058" t="s">
        <v>702</v>
      </c>
      <c r="C8058" t="s">
        <v>200</v>
      </c>
      <c r="D8058" s="226">
        <v>-1240875.55</v>
      </c>
      <c r="E8058" t="s">
        <v>702</v>
      </c>
    </row>
    <row r="8059" spans="1:5" hidden="1" x14ac:dyDescent="0.3">
      <c r="A8059" t="s">
        <v>552</v>
      </c>
      <c r="B8059" t="s">
        <v>702</v>
      </c>
      <c r="C8059" t="s">
        <v>202</v>
      </c>
      <c r="D8059" s="226">
        <v>-1240875.55</v>
      </c>
      <c r="E8059" t="s">
        <v>702</v>
      </c>
    </row>
    <row r="8060" spans="1:5" hidden="1" x14ac:dyDescent="0.3">
      <c r="A8060" t="s">
        <v>552</v>
      </c>
      <c r="B8060" t="s">
        <v>702</v>
      </c>
      <c r="C8060" t="s">
        <v>625</v>
      </c>
      <c r="D8060" s="226">
        <v>620437.77</v>
      </c>
      <c r="E8060" t="s">
        <v>702</v>
      </c>
    </row>
    <row r="8061" spans="1:5" hidden="1" x14ac:dyDescent="0.3">
      <c r="A8061" t="s">
        <v>552</v>
      </c>
      <c r="B8061" t="s">
        <v>702</v>
      </c>
      <c r="C8061" t="s">
        <v>204</v>
      </c>
      <c r="D8061" s="226">
        <v>-742173.23</v>
      </c>
      <c r="E8061" t="s">
        <v>702</v>
      </c>
    </row>
    <row r="8062" spans="1:5" hidden="1" x14ac:dyDescent="0.3">
      <c r="A8062" t="s">
        <v>552</v>
      </c>
      <c r="B8062" t="s">
        <v>702</v>
      </c>
      <c r="C8062" t="s">
        <v>626</v>
      </c>
      <c r="D8062" s="226">
        <v>-176232.25</v>
      </c>
      <c r="E8062" t="s">
        <v>702</v>
      </c>
    </row>
    <row r="8063" spans="1:5" hidden="1" x14ac:dyDescent="0.3">
      <c r="A8063" t="s">
        <v>552</v>
      </c>
      <c r="B8063" t="s">
        <v>702</v>
      </c>
      <c r="C8063" t="s">
        <v>627</v>
      </c>
      <c r="D8063" s="226">
        <v>-249.61</v>
      </c>
      <c r="E8063" t="s">
        <v>702</v>
      </c>
    </row>
    <row r="8064" spans="1:5" hidden="1" x14ac:dyDescent="0.3">
      <c r="A8064" t="s">
        <v>552</v>
      </c>
      <c r="B8064" t="s">
        <v>702</v>
      </c>
      <c r="C8064" t="s">
        <v>628</v>
      </c>
      <c r="D8064" s="226">
        <v>-184007.72</v>
      </c>
      <c r="E8064" t="s">
        <v>702</v>
      </c>
    </row>
    <row r="8065" spans="1:5" hidden="1" x14ac:dyDescent="0.3">
      <c r="A8065" t="s">
        <v>552</v>
      </c>
      <c r="B8065" t="s">
        <v>702</v>
      </c>
      <c r="C8065" t="s">
        <v>629</v>
      </c>
      <c r="D8065" s="226">
        <v>-91596.28</v>
      </c>
      <c r="E8065" t="s">
        <v>702</v>
      </c>
    </row>
    <row r="8066" spans="1:5" hidden="1" x14ac:dyDescent="0.3">
      <c r="A8066" t="s">
        <v>552</v>
      </c>
      <c r="B8066" t="s">
        <v>702</v>
      </c>
      <c r="C8066" t="s">
        <v>630</v>
      </c>
      <c r="D8066" s="226">
        <v>-76456.070000000007</v>
      </c>
      <c r="E8066" t="s">
        <v>702</v>
      </c>
    </row>
    <row r="8067" spans="1:5" hidden="1" x14ac:dyDescent="0.3">
      <c r="A8067" t="s">
        <v>552</v>
      </c>
      <c r="B8067" t="s">
        <v>702</v>
      </c>
      <c r="C8067" t="s">
        <v>631</v>
      </c>
      <c r="D8067" s="226">
        <v>0</v>
      </c>
      <c r="E8067" t="s">
        <v>702</v>
      </c>
    </row>
    <row r="8068" spans="1:5" hidden="1" x14ac:dyDescent="0.3">
      <c r="A8068" t="s">
        <v>552</v>
      </c>
      <c r="B8068" t="s">
        <v>702</v>
      </c>
      <c r="C8068" t="s">
        <v>632</v>
      </c>
      <c r="D8068" s="226">
        <v>0</v>
      </c>
      <c r="E8068" t="s">
        <v>702</v>
      </c>
    </row>
    <row r="8069" spans="1:5" hidden="1" x14ac:dyDescent="0.3">
      <c r="A8069" t="s">
        <v>552</v>
      </c>
      <c r="B8069" t="s">
        <v>702</v>
      </c>
      <c r="C8069" t="s">
        <v>633</v>
      </c>
      <c r="D8069" s="226">
        <v>-10962.13</v>
      </c>
      <c r="E8069" t="s">
        <v>702</v>
      </c>
    </row>
    <row r="8070" spans="1:5" hidden="1" x14ac:dyDescent="0.3">
      <c r="A8070" t="s">
        <v>552</v>
      </c>
      <c r="B8070" t="s">
        <v>702</v>
      </c>
      <c r="C8070" t="s">
        <v>634</v>
      </c>
      <c r="D8070" s="226">
        <v>0</v>
      </c>
      <c r="E8070" t="s">
        <v>702</v>
      </c>
    </row>
    <row r="8071" spans="1:5" hidden="1" x14ac:dyDescent="0.3">
      <c r="A8071" t="s">
        <v>552</v>
      </c>
      <c r="B8071" t="s">
        <v>702</v>
      </c>
      <c r="C8071" t="s">
        <v>635</v>
      </c>
      <c r="D8071" s="226">
        <v>-56288.15</v>
      </c>
      <c r="E8071" t="s">
        <v>702</v>
      </c>
    </row>
    <row r="8072" spans="1:5" hidden="1" x14ac:dyDescent="0.3">
      <c r="A8072" t="s">
        <v>552</v>
      </c>
      <c r="B8072" t="s">
        <v>702</v>
      </c>
      <c r="C8072" t="s">
        <v>636</v>
      </c>
      <c r="D8072" s="226">
        <v>-2882.78</v>
      </c>
      <c r="E8072" t="s">
        <v>702</v>
      </c>
    </row>
    <row r="8073" spans="1:5" hidden="1" x14ac:dyDescent="0.3">
      <c r="A8073" t="s">
        <v>552</v>
      </c>
      <c r="B8073" t="s">
        <v>702</v>
      </c>
      <c r="C8073" t="s">
        <v>637</v>
      </c>
      <c r="D8073" s="226">
        <v>-102900</v>
      </c>
      <c r="E8073" t="s">
        <v>702</v>
      </c>
    </row>
    <row r="8074" spans="1:5" hidden="1" x14ac:dyDescent="0.3">
      <c r="A8074" t="s">
        <v>552</v>
      </c>
      <c r="B8074" t="s">
        <v>702</v>
      </c>
      <c r="C8074" t="s">
        <v>638</v>
      </c>
      <c r="D8074" s="226">
        <v>0</v>
      </c>
      <c r="E8074" t="s">
        <v>702</v>
      </c>
    </row>
    <row r="8075" spans="1:5" hidden="1" x14ac:dyDescent="0.3">
      <c r="A8075" t="s">
        <v>552</v>
      </c>
      <c r="B8075" t="s">
        <v>702</v>
      </c>
      <c r="C8075" t="s">
        <v>639</v>
      </c>
      <c r="D8075" s="226">
        <v>-40598.230000000003</v>
      </c>
      <c r="E8075" t="s">
        <v>702</v>
      </c>
    </row>
    <row r="8076" spans="1:5" hidden="1" x14ac:dyDescent="0.3">
      <c r="A8076" t="s">
        <v>552</v>
      </c>
      <c r="B8076" t="s">
        <v>702</v>
      </c>
      <c r="C8076" t="s">
        <v>640</v>
      </c>
      <c r="D8076" s="226">
        <v>0</v>
      </c>
      <c r="E8076" t="s">
        <v>702</v>
      </c>
    </row>
    <row r="8077" spans="1:5" hidden="1" x14ac:dyDescent="0.3">
      <c r="A8077" t="s">
        <v>552</v>
      </c>
      <c r="B8077" t="s">
        <v>702</v>
      </c>
      <c r="C8077" t="s">
        <v>641</v>
      </c>
      <c r="D8077" s="226">
        <v>0</v>
      </c>
      <c r="E8077" t="s">
        <v>702</v>
      </c>
    </row>
    <row r="8078" spans="1:5" hidden="1" x14ac:dyDescent="0.3">
      <c r="A8078" t="s">
        <v>552</v>
      </c>
      <c r="B8078" t="s">
        <v>702</v>
      </c>
      <c r="C8078" t="s">
        <v>237</v>
      </c>
      <c r="D8078" s="226">
        <v>-114829.62</v>
      </c>
      <c r="E8078" t="s">
        <v>702</v>
      </c>
    </row>
    <row r="8079" spans="1:5" hidden="1" x14ac:dyDescent="0.3">
      <c r="A8079" t="s">
        <v>552</v>
      </c>
      <c r="B8079" t="s">
        <v>702</v>
      </c>
      <c r="C8079" t="s">
        <v>642</v>
      </c>
      <c r="D8079" s="226">
        <v>-110638.93</v>
      </c>
      <c r="E8079" t="s">
        <v>702</v>
      </c>
    </row>
    <row r="8080" spans="1:5" hidden="1" x14ac:dyDescent="0.3">
      <c r="A8080" t="s">
        <v>552</v>
      </c>
      <c r="B8080" t="s">
        <v>702</v>
      </c>
      <c r="C8080" t="s">
        <v>643</v>
      </c>
      <c r="D8080" s="226">
        <v>0</v>
      </c>
      <c r="E8080" t="s">
        <v>702</v>
      </c>
    </row>
    <row r="8081" spans="1:5" hidden="1" x14ac:dyDescent="0.3">
      <c r="A8081" t="s">
        <v>552</v>
      </c>
      <c r="B8081" t="s">
        <v>702</v>
      </c>
      <c r="C8081" t="s">
        <v>644</v>
      </c>
      <c r="D8081" s="226">
        <v>0</v>
      </c>
      <c r="E8081" t="s">
        <v>702</v>
      </c>
    </row>
    <row r="8082" spans="1:5" hidden="1" x14ac:dyDescent="0.3">
      <c r="A8082" t="s">
        <v>552</v>
      </c>
      <c r="B8082" t="s">
        <v>702</v>
      </c>
      <c r="C8082" t="s">
        <v>645</v>
      </c>
      <c r="D8082" s="226">
        <v>-4190.6899999999996</v>
      </c>
      <c r="E8082" t="s">
        <v>702</v>
      </c>
    </row>
    <row r="8083" spans="1:5" hidden="1" x14ac:dyDescent="0.3">
      <c r="A8083" t="s">
        <v>552</v>
      </c>
      <c r="B8083" t="s">
        <v>702</v>
      </c>
      <c r="C8083" t="s">
        <v>646</v>
      </c>
      <c r="D8083" s="226">
        <v>0</v>
      </c>
      <c r="E8083" t="s">
        <v>702</v>
      </c>
    </row>
    <row r="8084" spans="1:5" hidden="1" x14ac:dyDescent="0.3">
      <c r="A8084" t="s">
        <v>552</v>
      </c>
      <c r="B8084" t="s">
        <v>702</v>
      </c>
      <c r="C8084" t="s">
        <v>244</v>
      </c>
      <c r="D8084" s="226">
        <v>-448877.39</v>
      </c>
      <c r="E8084" t="s">
        <v>702</v>
      </c>
    </row>
    <row r="8085" spans="1:5" hidden="1" x14ac:dyDescent="0.3">
      <c r="A8085" t="s">
        <v>552</v>
      </c>
      <c r="B8085" t="s">
        <v>702</v>
      </c>
      <c r="C8085" t="s">
        <v>647</v>
      </c>
      <c r="D8085" s="226">
        <v>-7218.27</v>
      </c>
      <c r="E8085" t="s">
        <v>702</v>
      </c>
    </row>
    <row r="8086" spans="1:5" hidden="1" x14ac:dyDescent="0.3">
      <c r="A8086" t="s">
        <v>552</v>
      </c>
      <c r="B8086" t="s">
        <v>702</v>
      </c>
      <c r="C8086" t="s">
        <v>648</v>
      </c>
      <c r="D8086" s="226">
        <v>-8181.28</v>
      </c>
      <c r="E8086" t="s">
        <v>702</v>
      </c>
    </row>
    <row r="8087" spans="1:5" hidden="1" x14ac:dyDescent="0.3">
      <c r="A8087" t="s">
        <v>552</v>
      </c>
      <c r="B8087" t="s">
        <v>702</v>
      </c>
      <c r="C8087" t="s">
        <v>649</v>
      </c>
      <c r="D8087" s="226">
        <v>0</v>
      </c>
      <c r="E8087" t="s">
        <v>702</v>
      </c>
    </row>
    <row r="8088" spans="1:5" hidden="1" x14ac:dyDescent="0.3">
      <c r="A8088" t="s">
        <v>552</v>
      </c>
      <c r="B8088" t="s">
        <v>702</v>
      </c>
      <c r="C8088" t="s">
        <v>650</v>
      </c>
      <c r="D8088" s="226">
        <v>-47000</v>
      </c>
      <c r="E8088" t="s">
        <v>702</v>
      </c>
    </row>
    <row r="8089" spans="1:5" hidden="1" x14ac:dyDescent="0.3">
      <c r="A8089" t="s">
        <v>552</v>
      </c>
      <c r="B8089" t="s">
        <v>702</v>
      </c>
      <c r="C8089" t="s">
        <v>651</v>
      </c>
      <c r="D8089" s="226">
        <v>0</v>
      </c>
      <c r="E8089" t="s">
        <v>702</v>
      </c>
    </row>
    <row r="8090" spans="1:5" hidden="1" x14ac:dyDescent="0.3">
      <c r="A8090" t="s">
        <v>552</v>
      </c>
      <c r="B8090" t="s">
        <v>702</v>
      </c>
      <c r="C8090" t="s">
        <v>652</v>
      </c>
      <c r="D8090" s="226">
        <v>-386477.84</v>
      </c>
      <c r="E8090" t="s">
        <v>702</v>
      </c>
    </row>
    <row r="8091" spans="1:5" hidden="1" x14ac:dyDescent="0.3">
      <c r="A8091" t="s">
        <v>552</v>
      </c>
      <c r="B8091" t="s">
        <v>702</v>
      </c>
      <c r="C8091" t="s">
        <v>653</v>
      </c>
      <c r="D8091" s="226">
        <v>0</v>
      </c>
      <c r="E8091" t="s">
        <v>702</v>
      </c>
    </row>
    <row r="8092" spans="1:5" hidden="1" x14ac:dyDescent="0.3">
      <c r="A8092" t="s">
        <v>552</v>
      </c>
      <c r="B8092" t="s">
        <v>702</v>
      </c>
      <c r="C8092" t="s">
        <v>253</v>
      </c>
      <c r="D8092" s="226">
        <v>-0.21</v>
      </c>
      <c r="E8092" t="s">
        <v>702</v>
      </c>
    </row>
    <row r="8093" spans="1:5" hidden="1" x14ac:dyDescent="0.3">
      <c r="A8093" t="s">
        <v>552</v>
      </c>
      <c r="B8093" t="s">
        <v>702</v>
      </c>
      <c r="C8093" t="s">
        <v>254</v>
      </c>
      <c r="D8093" s="226">
        <v>-0.18</v>
      </c>
      <c r="E8093" t="s">
        <v>702</v>
      </c>
    </row>
    <row r="8094" spans="1:5" hidden="1" x14ac:dyDescent="0.3">
      <c r="A8094" t="s">
        <v>552</v>
      </c>
      <c r="B8094" t="s">
        <v>702</v>
      </c>
      <c r="C8094" t="s">
        <v>255</v>
      </c>
      <c r="D8094" s="226">
        <v>-617596.62</v>
      </c>
      <c r="E8094" t="s">
        <v>702</v>
      </c>
    </row>
    <row r="8095" spans="1:5" hidden="1" x14ac:dyDescent="0.3">
      <c r="A8095" t="s">
        <v>552</v>
      </c>
      <c r="B8095" t="s">
        <v>702</v>
      </c>
      <c r="C8095" t="s">
        <v>256</v>
      </c>
      <c r="D8095" s="226">
        <v>-371235</v>
      </c>
      <c r="E8095" t="s">
        <v>702</v>
      </c>
    </row>
    <row r="8096" spans="1:5" hidden="1" x14ac:dyDescent="0.3">
      <c r="A8096" t="s">
        <v>552</v>
      </c>
      <c r="B8096" t="s">
        <v>702</v>
      </c>
      <c r="C8096" t="s">
        <v>257</v>
      </c>
      <c r="D8096" s="226">
        <v>-195086.15</v>
      </c>
      <c r="E8096" t="s">
        <v>702</v>
      </c>
    </row>
    <row r="8097" spans="1:5" hidden="1" x14ac:dyDescent="0.3">
      <c r="A8097" t="s">
        <v>552</v>
      </c>
      <c r="B8097" t="s">
        <v>702</v>
      </c>
      <c r="C8097" t="s">
        <v>258</v>
      </c>
      <c r="D8097" s="226">
        <v>-46481.16</v>
      </c>
      <c r="E8097" t="s">
        <v>702</v>
      </c>
    </row>
    <row r="8098" spans="1:5" hidden="1" x14ac:dyDescent="0.3">
      <c r="A8098" t="s">
        <v>552</v>
      </c>
      <c r="B8098" t="s">
        <v>702</v>
      </c>
      <c r="C8098" t="s">
        <v>259</v>
      </c>
      <c r="D8098" s="226">
        <v>0</v>
      </c>
      <c r="E8098" t="s">
        <v>702</v>
      </c>
    </row>
    <row r="8099" spans="1:5" hidden="1" x14ac:dyDescent="0.3">
      <c r="A8099" t="s">
        <v>552</v>
      </c>
      <c r="B8099" t="s">
        <v>702</v>
      </c>
      <c r="C8099" t="s">
        <v>260</v>
      </c>
      <c r="D8099" s="226">
        <v>-4340.95</v>
      </c>
      <c r="E8099" t="s">
        <v>702</v>
      </c>
    </row>
    <row r="8100" spans="1:5" hidden="1" x14ac:dyDescent="0.3">
      <c r="A8100" t="s">
        <v>552</v>
      </c>
      <c r="B8100" t="s">
        <v>702</v>
      </c>
      <c r="C8100" t="s">
        <v>261</v>
      </c>
      <c r="D8100" s="226">
        <v>0</v>
      </c>
      <c r="E8100" t="s">
        <v>702</v>
      </c>
    </row>
    <row r="8101" spans="1:5" hidden="1" x14ac:dyDescent="0.3">
      <c r="A8101" t="s">
        <v>552</v>
      </c>
      <c r="B8101" t="s">
        <v>702</v>
      </c>
      <c r="C8101" t="s">
        <v>262</v>
      </c>
      <c r="D8101" s="226">
        <v>-453.36</v>
      </c>
      <c r="E8101" t="s">
        <v>702</v>
      </c>
    </row>
    <row r="8102" spans="1:5" hidden="1" x14ac:dyDescent="0.3">
      <c r="A8102" t="s">
        <v>552</v>
      </c>
      <c r="B8102" t="s">
        <v>702</v>
      </c>
      <c r="C8102" t="s">
        <v>44</v>
      </c>
      <c r="D8102" s="226">
        <v>-0.04</v>
      </c>
      <c r="E8102" t="s">
        <v>702</v>
      </c>
    </row>
    <row r="8103" spans="1:5" hidden="1" x14ac:dyDescent="0.3">
      <c r="A8103" t="s">
        <v>552</v>
      </c>
      <c r="B8103" t="s">
        <v>702</v>
      </c>
      <c r="C8103" t="s">
        <v>263</v>
      </c>
      <c r="D8103" s="226">
        <v>-1083068.0900000001</v>
      </c>
      <c r="E8103" t="s">
        <v>702</v>
      </c>
    </row>
    <row r="8104" spans="1:5" hidden="1" x14ac:dyDescent="0.3">
      <c r="A8104" t="s">
        <v>552</v>
      </c>
      <c r="B8104" t="s">
        <v>702</v>
      </c>
      <c r="C8104" t="s">
        <v>264</v>
      </c>
      <c r="D8104" s="226">
        <v>-201156.49</v>
      </c>
      <c r="E8104" t="s">
        <v>702</v>
      </c>
    </row>
    <row r="8105" spans="1:5" hidden="1" x14ac:dyDescent="0.3">
      <c r="A8105" t="s">
        <v>552</v>
      </c>
      <c r="B8105" t="s">
        <v>702</v>
      </c>
      <c r="C8105" t="s">
        <v>265</v>
      </c>
      <c r="D8105" s="226">
        <v>-196028.74</v>
      </c>
      <c r="E8105" t="s">
        <v>702</v>
      </c>
    </row>
    <row r="8106" spans="1:5" hidden="1" x14ac:dyDescent="0.3">
      <c r="A8106" t="s">
        <v>552</v>
      </c>
      <c r="B8106" t="s">
        <v>702</v>
      </c>
      <c r="C8106" t="s">
        <v>266</v>
      </c>
      <c r="D8106" s="226">
        <v>-163962.25</v>
      </c>
      <c r="E8106" t="s">
        <v>702</v>
      </c>
    </row>
    <row r="8107" spans="1:5" hidden="1" x14ac:dyDescent="0.3">
      <c r="A8107" t="s">
        <v>552</v>
      </c>
      <c r="B8107" t="s">
        <v>702</v>
      </c>
      <c r="C8107" t="s">
        <v>267</v>
      </c>
      <c r="D8107" s="226">
        <v>-224755.14</v>
      </c>
      <c r="E8107" t="s">
        <v>702</v>
      </c>
    </row>
    <row r="8108" spans="1:5" hidden="1" x14ac:dyDescent="0.3">
      <c r="A8108" t="s">
        <v>552</v>
      </c>
      <c r="B8108" t="s">
        <v>702</v>
      </c>
      <c r="C8108" t="s">
        <v>268</v>
      </c>
      <c r="D8108" s="226">
        <v>-325</v>
      </c>
      <c r="E8108" t="s">
        <v>702</v>
      </c>
    </row>
    <row r="8109" spans="1:5" hidden="1" x14ac:dyDescent="0.3">
      <c r="A8109" t="s">
        <v>552</v>
      </c>
      <c r="B8109" t="s">
        <v>702</v>
      </c>
      <c r="C8109" t="s">
        <v>269</v>
      </c>
      <c r="D8109" s="226">
        <v>-7009.87</v>
      </c>
      <c r="E8109" t="s">
        <v>702</v>
      </c>
    </row>
    <row r="8110" spans="1:5" hidden="1" x14ac:dyDescent="0.3">
      <c r="A8110" t="s">
        <v>552</v>
      </c>
      <c r="B8110" t="s">
        <v>702</v>
      </c>
      <c r="C8110" t="s">
        <v>270</v>
      </c>
      <c r="D8110" s="226">
        <v>-45688.98</v>
      </c>
      <c r="E8110" t="s">
        <v>702</v>
      </c>
    </row>
    <row r="8111" spans="1:5" hidden="1" x14ac:dyDescent="0.3">
      <c r="A8111" t="s">
        <v>552</v>
      </c>
      <c r="B8111" t="s">
        <v>702</v>
      </c>
      <c r="C8111" t="s">
        <v>271</v>
      </c>
      <c r="D8111" s="226">
        <v>-82396.990000000005</v>
      </c>
      <c r="E8111" t="s">
        <v>702</v>
      </c>
    </row>
    <row r="8112" spans="1:5" hidden="1" x14ac:dyDescent="0.3">
      <c r="A8112" t="s">
        <v>552</v>
      </c>
      <c r="B8112" t="s">
        <v>702</v>
      </c>
      <c r="C8112" t="s">
        <v>272</v>
      </c>
      <c r="D8112" s="226">
        <v>-281.60000000000002</v>
      </c>
      <c r="E8112" t="s">
        <v>702</v>
      </c>
    </row>
    <row r="8113" spans="1:5" hidden="1" x14ac:dyDescent="0.3">
      <c r="A8113" t="s">
        <v>552</v>
      </c>
      <c r="B8113" t="s">
        <v>702</v>
      </c>
      <c r="C8113" t="s">
        <v>273</v>
      </c>
      <c r="D8113" s="226">
        <v>0</v>
      </c>
      <c r="E8113" t="s">
        <v>702</v>
      </c>
    </row>
    <row r="8114" spans="1:5" hidden="1" x14ac:dyDescent="0.3">
      <c r="A8114" t="s">
        <v>552</v>
      </c>
      <c r="B8114" t="s">
        <v>702</v>
      </c>
      <c r="C8114" t="s">
        <v>274</v>
      </c>
      <c r="D8114" s="226">
        <v>-15668.52</v>
      </c>
      <c r="E8114" t="s">
        <v>702</v>
      </c>
    </row>
    <row r="8115" spans="1:5" hidden="1" x14ac:dyDescent="0.3">
      <c r="A8115" t="s">
        <v>552</v>
      </c>
      <c r="B8115" t="s">
        <v>702</v>
      </c>
      <c r="C8115" t="s">
        <v>275</v>
      </c>
      <c r="D8115" s="226">
        <v>-18385.23</v>
      </c>
      <c r="E8115" t="s">
        <v>702</v>
      </c>
    </row>
    <row r="8116" spans="1:5" hidden="1" x14ac:dyDescent="0.3">
      <c r="A8116" t="s">
        <v>552</v>
      </c>
      <c r="B8116" t="s">
        <v>702</v>
      </c>
      <c r="C8116" t="s">
        <v>276</v>
      </c>
      <c r="D8116" s="226">
        <v>-17693.5</v>
      </c>
      <c r="E8116" t="s">
        <v>702</v>
      </c>
    </row>
    <row r="8117" spans="1:5" hidden="1" x14ac:dyDescent="0.3">
      <c r="A8117" t="s">
        <v>552</v>
      </c>
      <c r="B8117" t="s">
        <v>702</v>
      </c>
      <c r="C8117" t="s">
        <v>277</v>
      </c>
      <c r="D8117" s="226">
        <v>-109715.78</v>
      </c>
      <c r="E8117" t="s">
        <v>702</v>
      </c>
    </row>
    <row r="8118" spans="1:5" hidden="1" x14ac:dyDescent="0.3">
      <c r="A8118" t="s">
        <v>552</v>
      </c>
      <c r="B8118" t="s">
        <v>702</v>
      </c>
      <c r="C8118" t="s">
        <v>44</v>
      </c>
      <c r="D8118" s="226">
        <v>-0.06</v>
      </c>
      <c r="E8118" t="s">
        <v>702</v>
      </c>
    </row>
    <row r="8119" spans="1:5" hidden="1" x14ac:dyDescent="0.3">
      <c r="A8119" t="s">
        <v>552</v>
      </c>
      <c r="B8119" t="s">
        <v>702</v>
      </c>
      <c r="C8119" t="s">
        <v>278</v>
      </c>
      <c r="D8119" s="226">
        <v>-76958.679999999993</v>
      </c>
      <c r="E8119" t="s">
        <v>702</v>
      </c>
    </row>
    <row r="8120" spans="1:5" hidden="1" x14ac:dyDescent="0.3">
      <c r="A8120" t="s">
        <v>552</v>
      </c>
      <c r="B8120" t="s">
        <v>702</v>
      </c>
      <c r="C8120" t="s">
        <v>279</v>
      </c>
      <c r="D8120" s="226">
        <v>0</v>
      </c>
      <c r="E8120" t="s">
        <v>702</v>
      </c>
    </row>
    <row r="8121" spans="1:5" hidden="1" x14ac:dyDescent="0.3">
      <c r="A8121" t="s">
        <v>552</v>
      </c>
      <c r="B8121" t="s">
        <v>702</v>
      </c>
      <c r="C8121" t="s">
        <v>280</v>
      </c>
      <c r="D8121" s="226">
        <v>-5572.85</v>
      </c>
      <c r="E8121" t="s">
        <v>702</v>
      </c>
    </row>
    <row r="8122" spans="1:5" hidden="1" x14ac:dyDescent="0.3">
      <c r="A8122" t="s">
        <v>552</v>
      </c>
      <c r="B8122" t="s">
        <v>702</v>
      </c>
      <c r="C8122" t="s">
        <v>281</v>
      </c>
      <c r="D8122" s="226">
        <v>-270.89999999999998</v>
      </c>
      <c r="E8122" t="s">
        <v>702</v>
      </c>
    </row>
    <row r="8123" spans="1:5" hidden="1" x14ac:dyDescent="0.3">
      <c r="A8123" t="s">
        <v>552</v>
      </c>
      <c r="B8123" t="s">
        <v>702</v>
      </c>
      <c r="C8123" t="s">
        <v>282</v>
      </c>
      <c r="D8123" s="226">
        <v>-9865.81</v>
      </c>
      <c r="E8123" t="s">
        <v>702</v>
      </c>
    </row>
    <row r="8124" spans="1:5" hidden="1" x14ac:dyDescent="0.3">
      <c r="A8124" t="s">
        <v>552</v>
      </c>
      <c r="B8124" t="s">
        <v>702</v>
      </c>
      <c r="C8124" t="s">
        <v>283</v>
      </c>
      <c r="D8124" s="226">
        <v>-43425.39</v>
      </c>
      <c r="E8124" t="s">
        <v>702</v>
      </c>
    </row>
    <row r="8125" spans="1:5" hidden="1" x14ac:dyDescent="0.3">
      <c r="A8125" t="s">
        <v>552</v>
      </c>
      <c r="B8125" t="s">
        <v>702</v>
      </c>
      <c r="C8125" t="s">
        <v>284</v>
      </c>
      <c r="D8125" s="226">
        <v>-5068</v>
      </c>
      <c r="E8125" t="s">
        <v>702</v>
      </c>
    </row>
    <row r="8126" spans="1:5" hidden="1" x14ac:dyDescent="0.3">
      <c r="A8126" t="s">
        <v>552</v>
      </c>
      <c r="B8126" t="s">
        <v>702</v>
      </c>
      <c r="C8126" t="s">
        <v>285</v>
      </c>
      <c r="D8126" s="226">
        <v>-12755.73</v>
      </c>
      <c r="E8126" t="s">
        <v>702</v>
      </c>
    </row>
    <row r="8127" spans="1:5" hidden="1" x14ac:dyDescent="0.3">
      <c r="A8127" t="s">
        <v>552</v>
      </c>
      <c r="B8127" t="s">
        <v>702</v>
      </c>
      <c r="C8127" t="s">
        <v>44</v>
      </c>
      <c r="D8127" s="226">
        <v>0</v>
      </c>
      <c r="E8127" t="s">
        <v>702</v>
      </c>
    </row>
    <row r="8128" spans="1:5" hidden="1" x14ac:dyDescent="0.3">
      <c r="A8128" t="s">
        <v>552</v>
      </c>
      <c r="B8128" t="s">
        <v>702</v>
      </c>
      <c r="C8128" t="s">
        <v>286</v>
      </c>
      <c r="D8128" s="226">
        <v>-152506.6</v>
      </c>
      <c r="E8128" t="s">
        <v>702</v>
      </c>
    </row>
    <row r="8129" spans="1:5" hidden="1" x14ac:dyDescent="0.3">
      <c r="A8129" t="s">
        <v>552</v>
      </c>
      <c r="B8129" t="s">
        <v>702</v>
      </c>
      <c r="C8129" t="s">
        <v>287</v>
      </c>
      <c r="D8129" s="226">
        <v>-66691.22</v>
      </c>
      <c r="E8129" t="s">
        <v>702</v>
      </c>
    </row>
    <row r="8130" spans="1:5" hidden="1" x14ac:dyDescent="0.3">
      <c r="A8130" t="s">
        <v>552</v>
      </c>
      <c r="B8130" t="s">
        <v>702</v>
      </c>
      <c r="C8130" t="s">
        <v>288</v>
      </c>
      <c r="D8130" s="226">
        <v>-44889.599999999999</v>
      </c>
      <c r="E8130" t="s">
        <v>702</v>
      </c>
    </row>
    <row r="8131" spans="1:5" hidden="1" x14ac:dyDescent="0.3">
      <c r="A8131" t="s">
        <v>552</v>
      </c>
      <c r="B8131" t="s">
        <v>702</v>
      </c>
      <c r="C8131" t="s">
        <v>289</v>
      </c>
      <c r="D8131" s="226">
        <v>-550</v>
      </c>
      <c r="E8131" t="s">
        <v>702</v>
      </c>
    </row>
    <row r="8132" spans="1:5" hidden="1" x14ac:dyDescent="0.3">
      <c r="A8132" t="s">
        <v>552</v>
      </c>
      <c r="B8132" t="s">
        <v>702</v>
      </c>
      <c r="C8132" t="s">
        <v>290</v>
      </c>
      <c r="D8132" s="226">
        <v>-35245.449999999997</v>
      </c>
      <c r="E8132" t="s">
        <v>702</v>
      </c>
    </row>
    <row r="8133" spans="1:5" hidden="1" x14ac:dyDescent="0.3">
      <c r="A8133" t="s">
        <v>552</v>
      </c>
      <c r="B8133" t="s">
        <v>702</v>
      </c>
      <c r="C8133" t="s">
        <v>291</v>
      </c>
      <c r="D8133" s="226">
        <v>0</v>
      </c>
      <c r="E8133" t="s">
        <v>702</v>
      </c>
    </row>
    <row r="8134" spans="1:5" hidden="1" x14ac:dyDescent="0.3">
      <c r="A8134" t="s">
        <v>552</v>
      </c>
      <c r="B8134" t="s">
        <v>702</v>
      </c>
      <c r="C8134" t="s">
        <v>292</v>
      </c>
      <c r="D8134" s="226">
        <v>-4234.4399999999996</v>
      </c>
      <c r="E8134" t="s">
        <v>702</v>
      </c>
    </row>
    <row r="8135" spans="1:5" hidden="1" x14ac:dyDescent="0.3">
      <c r="A8135" t="s">
        <v>552</v>
      </c>
      <c r="B8135" t="s">
        <v>702</v>
      </c>
      <c r="C8135" t="s">
        <v>293</v>
      </c>
      <c r="D8135" s="226">
        <v>-895.89</v>
      </c>
      <c r="E8135" t="s">
        <v>702</v>
      </c>
    </row>
    <row r="8136" spans="1:5" hidden="1" x14ac:dyDescent="0.3">
      <c r="A8136" t="s">
        <v>552</v>
      </c>
      <c r="B8136" t="s">
        <v>702</v>
      </c>
      <c r="C8136" t="s">
        <v>294</v>
      </c>
      <c r="D8136" s="226">
        <v>0</v>
      </c>
      <c r="E8136" t="s">
        <v>702</v>
      </c>
    </row>
    <row r="8137" spans="1:5" hidden="1" x14ac:dyDescent="0.3">
      <c r="A8137" t="s">
        <v>552</v>
      </c>
      <c r="B8137" t="s">
        <v>702</v>
      </c>
      <c r="C8137" t="s">
        <v>44</v>
      </c>
      <c r="D8137" s="226">
        <v>-0.01</v>
      </c>
      <c r="E8137" t="s">
        <v>702</v>
      </c>
    </row>
    <row r="8138" spans="1:5" hidden="1" x14ac:dyDescent="0.3">
      <c r="A8138" t="s">
        <v>552</v>
      </c>
      <c r="B8138" t="s">
        <v>702</v>
      </c>
      <c r="C8138" t="s">
        <v>295</v>
      </c>
      <c r="D8138" s="226">
        <v>-103777.26</v>
      </c>
      <c r="E8138" t="s">
        <v>702</v>
      </c>
    </row>
    <row r="8139" spans="1:5" hidden="1" x14ac:dyDescent="0.3">
      <c r="A8139" t="s">
        <v>552</v>
      </c>
      <c r="B8139" t="s">
        <v>702</v>
      </c>
      <c r="C8139" t="s">
        <v>296</v>
      </c>
      <c r="D8139" s="226">
        <v>-54000</v>
      </c>
      <c r="E8139" t="s">
        <v>702</v>
      </c>
    </row>
    <row r="8140" spans="1:5" hidden="1" x14ac:dyDescent="0.3">
      <c r="A8140" t="s">
        <v>552</v>
      </c>
      <c r="B8140" t="s">
        <v>702</v>
      </c>
      <c r="C8140" t="s">
        <v>297</v>
      </c>
      <c r="D8140" s="226">
        <v>-5880</v>
      </c>
      <c r="E8140" t="s">
        <v>702</v>
      </c>
    </row>
    <row r="8141" spans="1:5" hidden="1" x14ac:dyDescent="0.3">
      <c r="A8141" t="s">
        <v>552</v>
      </c>
      <c r="B8141" t="s">
        <v>702</v>
      </c>
      <c r="C8141" t="s">
        <v>298</v>
      </c>
      <c r="D8141" s="226">
        <v>0</v>
      </c>
      <c r="E8141" t="s">
        <v>702</v>
      </c>
    </row>
    <row r="8142" spans="1:5" hidden="1" x14ac:dyDescent="0.3">
      <c r="A8142" t="s">
        <v>552</v>
      </c>
      <c r="B8142" t="s">
        <v>702</v>
      </c>
      <c r="C8142" t="s">
        <v>299</v>
      </c>
      <c r="D8142" s="226">
        <v>0</v>
      </c>
      <c r="E8142" t="s">
        <v>702</v>
      </c>
    </row>
    <row r="8143" spans="1:5" hidden="1" x14ac:dyDescent="0.3">
      <c r="A8143" t="s">
        <v>552</v>
      </c>
      <c r="B8143" t="s">
        <v>702</v>
      </c>
      <c r="C8143" t="s">
        <v>300</v>
      </c>
      <c r="D8143" s="226">
        <v>0</v>
      </c>
      <c r="E8143" t="s">
        <v>702</v>
      </c>
    </row>
    <row r="8144" spans="1:5" hidden="1" x14ac:dyDescent="0.3">
      <c r="A8144" t="s">
        <v>552</v>
      </c>
      <c r="B8144" t="s">
        <v>702</v>
      </c>
      <c r="C8144" t="s">
        <v>301</v>
      </c>
      <c r="D8144" s="226">
        <v>0</v>
      </c>
      <c r="E8144" t="s">
        <v>702</v>
      </c>
    </row>
    <row r="8145" spans="1:5" hidden="1" x14ac:dyDescent="0.3">
      <c r="A8145" t="s">
        <v>552</v>
      </c>
      <c r="B8145" t="s">
        <v>702</v>
      </c>
      <c r="C8145" t="s">
        <v>302</v>
      </c>
      <c r="D8145" s="226">
        <v>-3166</v>
      </c>
      <c r="E8145" t="s">
        <v>702</v>
      </c>
    </row>
    <row r="8146" spans="1:5" hidden="1" x14ac:dyDescent="0.3">
      <c r="A8146" t="s">
        <v>552</v>
      </c>
      <c r="B8146" t="s">
        <v>702</v>
      </c>
      <c r="C8146" t="s">
        <v>303</v>
      </c>
      <c r="D8146" s="226">
        <v>-15120.8</v>
      </c>
      <c r="E8146" t="s">
        <v>702</v>
      </c>
    </row>
    <row r="8147" spans="1:5" hidden="1" x14ac:dyDescent="0.3">
      <c r="A8147" t="s">
        <v>552</v>
      </c>
      <c r="B8147" t="s">
        <v>702</v>
      </c>
      <c r="C8147" t="s">
        <v>304</v>
      </c>
      <c r="D8147" s="226">
        <v>-320.7</v>
      </c>
      <c r="E8147" t="s">
        <v>702</v>
      </c>
    </row>
    <row r="8148" spans="1:5" hidden="1" x14ac:dyDescent="0.3">
      <c r="A8148" t="s">
        <v>552</v>
      </c>
      <c r="B8148" t="s">
        <v>702</v>
      </c>
      <c r="C8148" t="s">
        <v>305</v>
      </c>
      <c r="D8148" s="226">
        <v>0</v>
      </c>
      <c r="E8148" t="s">
        <v>702</v>
      </c>
    </row>
    <row r="8149" spans="1:5" hidden="1" x14ac:dyDescent="0.3">
      <c r="A8149" t="s">
        <v>552</v>
      </c>
      <c r="B8149" t="s">
        <v>702</v>
      </c>
      <c r="C8149" t="s">
        <v>306</v>
      </c>
      <c r="D8149" s="226">
        <v>-25289.77</v>
      </c>
      <c r="E8149" t="s">
        <v>702</v>
      </c>
    </row>
    <row r="8150" spans="1:5" hidden="1" x14ac:dyDescent="0.3">
      <c r="A8150" t="s">
        <v>552</v>
      </c>
      <c r="B8150" t="s">
        <v>702</v>
      </c>
      <c r="C8150" t="s">
        <v>44</v>
      </c>
      <c r="D8150" s="226">
        <v>-0.01</v>
      </c>
      <c r="E8150" t="s">
        <v>702</v>
      </c>
    </row>
    <row r="8151" spans="1:5" hidden="1" x14ac:dyDescent="0.3">
      <c r="A8151" t="s">
        <v>552</v>
      </c>
      <c r="B8151" t="s">
        <v>702</v>
      </c>
      <c r="C8151" t="s">
        <v>307</v>
      </c>
      <c r="D8151" s="226">
        <v>-225428.71</v>
      </c>
      <c r="E8151" t="s">
        <v>702</v>
      </c>
    </row>
    <row r="8152" spans="1:5" hidden="1" x14ac:dyDescent="0.3">
      <c r="A8152" t="s">
        <v>552</v>
      </c>
      <c r="B8152" t="s">
        <v>702</v>
      </c>
      <c r="C8152" t="s">
        <v>308</v>
      </c>
      <c r="D8152" s="226">
        <v>-52949.43</v>
      </c>
      <c r="E8152" t="s">
        <v>702</v>
      </c>
    </row>
    <row r="8153" spans="1:5" hidden="1" x14ac:dyDescent="0.3">
      <c r="A8153" t="s">
        <v>552</v>
      </c>
      <c r="B8153" t="s">
        <v>702</v>
      </c>
      <c r="C8153" t="s">
        <v>309</v>
      </c>
      <c r="D8153" s="226">
        <v>0</v>
      </c>
      <c r="E8153" t="s">
        <v>702</v>
      </c>
    </row>
    <row r="8154" spans="1:5" hidden="1" x14ac:dyDescent="0.3">
      <c r="A8154" t="s">
        <v>552</v>
      </c>
      <c r="B8154" t="s">
        <v>702</v>
      </c>
      <c r="C8154" t="s">
        <v>310</v>
      </c>
      <c r="D8154" s="226">
        <v>-17358.48</v>
      </c>
      <c r="E8154" t="s">
        <v>702</v>
      </c>
    </row>
    <row r="8155" spans="1:5" hidden="1" x14ac:dyDescent="0.3">
      <c r="A8155" t="s">
        <v>552</v>
      </c>
      <c r="B8155" t="s">
        <v>702</v>
      </c>
      <c r="C8155" t="s">
        <v>311</v>
      </c>
      <c r="D8155" s="226">
        <v>-2220</v>
      </c>
      <c r="E8155" t="s">
        <v>702</v>
      </c>
    </row>
    <row r="8156" spans="1:5" hidden="1" x14ac:dyDescent="0.3">
      <c r="A8156" t="s">
        <v>552</v>
      </c>
      <c r="B8156" t="s">
        <v>702</v>
      </c>
      <c r="C8156" t="s">
        <v>312</v>
      </c>
      <c r="D8156" s="226">
        <v>-5025</v>
      </c>
      <c r="E8156" t="s">
        <v>702</v>
      </c>
    </row>
    <row r="8157" spans="1:5" hidden="1" x14ac:dyDescent="0.3">
      <c r="A8157" t="s">
        <v>552</v>
      </c>
      <c r="B8157" t="s">
        <v>702</v>
      </c>
      <c r="C8157" t="s">
        <v>313</v>
      </c>
      <c r="D8157" s="226">
        <v>-29220.799999999999</v>
      </c>
      <c r="E8157" t="s">
        <v>702</v>
      </c>
    </row>
    <row r="8158" spans="1:5" hidden="1" x14ac:dyDescent="0.3">
      <c r="A8158" t="s">
        <v>552</v>
      </c>
      <c r="B8158" t="s">
        <v>702</v>
      </c>
      <c r="C8158" t="s">
        <v>314</v>
      </c>
      <c r="D8158" s="226">
        <v>0</v>
      </c>
      <c r="E8158" t="s">
        <v>702</v>
      </c>
    </row>
    <row r="8159" spans="1:5" hidden="1" x14ac:dyDescent="0.3">
      <c r="A8159" t="s">
        <v>552</v>
      </c>
      <c r="B8159" t="s">
        <v>702</v>
      </c>
      <c r="C8159" t="s">
        <v>315</v>
      </c>
      <c r="D8159" s="226">
        <v>-118655</v>
      </c>
      <c r="E8159" t="s">
        <v>702</v>
      </c>
    </row>
    <row r="8160" spans="1:5" hidden="1" x14ac:dyDescent="0.3">
      <c r="A8160" t="s">
        <v>552</v>
      </c>
      <c r="B8160" t="s">
        <v>702</v>
      </c>
      <c r="C8160" t="s">
        <v>316</v>
      </c>
      <c r="D8160" s="226">
        <v>0</v>
      </c>
      <c r="E8160" t="s">
        <v>702</v>
      </c>
    </row>
    <row r="8161" spans="1:5" hidden="1" x14ac:dyDescent="0.3">
      <c r="A8161" t="s">
        <v>552</v>
      </c>
      <c r="B8161" t="s">
        <v>702</v>
      </c>
      <c r="C8161" t="s">
        <v>44</v>
      </c>
      <c r="D8161" s="226">
        <v>-0.01</v>
      </c>
      <c r="E8161" t="s">
        <v>702</v>
      </c>
    </row>
    <row r="8162" spans="1:5" hidden="1" x14ac:dyDescent="0.3">
      <c r="A8162" t="s">
        <v>552</v>
      </c>
      <c r="B8162" t="s">
        <v>702</v>
      </c>
      <c r="C8162" t="s">
        <v>317</v>
      </c>
      <c r="D8162" s="226">
        <v>-78696.62</v>
      </c>
      <c r="E8162" t="s">
        <v>702</v>
      </c>
    </row>
    <row r="8163" spans="1:5" hidden="1" x14ac:dyDescent="0.3">
      <c r="A8163" t="s">
        <v>552</v>
      </c>
      <c r="B8163" t="s">
        <v>702</v>
      </c>
      <c r="C8163" t="s">
        <v>318</v>
      </c>
      <c r="D8163" s="226">
        <v>-76037.490000000005</v>
      </c>
      <c r="E8163" t="s">
        <v>702</v>
      </c>
    </row>
    <row r="8164" spans="1:5" hidden="1" x14ac:dyDescent="0.3">
      <c r="A8164" t="s">
        <v>552</v>
      </c>
      <c r="B8164" t="s">
        <v>702</v>
      </c>
      <c r="C8164" t="s">
        <v>319</v>
      </c>
      <c r="D8164" s="226">
        <v>-2659.13</v>
      </c>
      <c r="E8164" t="s">
        <v>702</v>
      </c>
    </row>
    <row r="8165" spans="1:5" hidden="1" x14ac:dyDescent="0.3">
      <c r="A8165" t="s">
        <v>552</v>
      </c>
      <c r="B8165" t="s">
        <v>702</v>
      </c>
      <c r="C8165" t="s">
        <v>320</v>
      </c>
      <c r="D8165" s="226">
        <v>0</v>
      </c>
      <c r="E8165" t="s">
        <v>702</v>
      </c>
    </row>
    <row r="8166" spans="1:5" hidden="1" x14ac:dyDescent="0.3">
      <c r="A8166" t="s">
        <v>552</v>
      </c>
      <c r="B8166" t="s">
        <v>702</v>
      </c>
      <c r="C8166" t="s">
        <v>321</v>
      </c>
      <c r="D8166" s="226">
        <v>0</v>
      </c>
      <c r="E8166" t="s">
        <v>702</v>
      </c>
    </row>
    <row r="8167" spans="1:5" hidden="1" x14ac:dyDescent="0.3">
      <c r="A8167" t="s">
        <v>552</v>
      </c>
      <c r="B8167" t="s">
        <v>702</v>
      </c>
      <c r="C8167" t="s">
        <v>44</v>
      </c>
      <c r="D8167" s="226">
        <v>0</v>
      </c>
      <c r="E8167" t="s">
        <v>702</v>
      </c>
    </row>
    <row r="8168" spans="1:5" hidden="1" x14ac:dyDescent="0.3">
      <c r="A8168" t="s">
        <v>552</v>
      </c>
      <c r="B8168" t="s">
        <v>702</v>
      </c>
      <c r="C8168" t="s">
        <v>322</v>
      </c>
      <c r="D8168" s="226">
        <v>-880450.52</v>
      </c>
      <c r="E8168" t="s">
        <v>702</v>
      </c>
    </row>
    <row r="8169" spans="1:5" hidden="1" x14ac:dyDescent="0.3">
      <c r="A8169" t="s">
        <v>552</v>
      </c>
      <c r="B8169" t="s">
        <v>702</v>
      </c>
      <c r="C8169" t="s">
        <v>323</v>
      </c>
      <c r="D8169" s="226">
        <v>0</v>
      </c>
      <c r="E8169" t="s">
        <v>702</v>
      </c>
    </row>
    <row r="8170" spans="1:5" hidden="1" x14ac:dyDescent="0.3">
      <c r="A8170" t="s">
        <v>552</v>
      </c>
      <c r="B8170" t="s">
        <v>702</v>
      </c>
      <c r="C8170" t="s">
        <v>324</v>
      </c>
      <c r="D8170" s="226">
        <v>0</v>
      </c>
      <c r="E8170" t="s">
        <v>702</v>
      </c>
    </row>
    <row r="8171" spans="1:5" hidden="1" x14ac:dyDescent="0.3">
      <c r="A8171" t="s">
        <v>552</v>
      </c>
      <c r="B8171" t="s">
        <v>702</v>
      </c>
      <c r="C8171" t="s">
        <v>325</v>
      </c>
      <c r="D8171" s="226">
        <v>-880450.52</v>
      </c>
      <c r="E8171" t="s">
        <v>702</v>
      </c>
    </row>
    <row r="8172" spans="1:5" hidden="1" x14ac:dyDescent="0.3">
      <c r="A8172" t="s">
        <v>552</v>
      </c>
      <c r="B8172" t="s">
        <v>702</v>
      </c>
      <c r="C8172" t="s">
        <v>44</v>
      </c>
      <c r="D8172" s="226">
        <v>-0.05</v>
      </c>
      <c r="E8172" t="s">
        <v>702</v>
      </c>
    </row>
    <row r="8173" spans="1:5" hidden="1" x14ac:dyDescent="0.3">
      <c r="A8173" t="s">
        <v>552</v>
      </c>
      <c r="B8173" t="s">
        <v>702</v>
      </c>
      <c r="C8173" t="s">
        <v>327</v>
      </c>
      <c r="D8173" s="226">
        <v>-6971627.1699999999</v>
      </c>
      <c r="E8173" t="s">
        <v>702</v>
      </c>
    </row>
    <row r="8174" spans="1:5" hidden="1" x14ac:dyDescent="0.3">
      <c r="A8174" t="s">
        <v>552</v>
      </c>
      <c r="B8174" t="s">
        <v>702</v>
      </c>
      <c r="C8174" t="s">
        <v>44</v>
      </c>
      <c r="D8174" s="226">
        <v>-0.4</v>
      </c>
      <c r="E8174" t="s">
        <v>702</v>
      </c>
    </row>
    <row r="8175" spans="1:5" hidden="1" x14ac:dyDescent="0.3">
      <c r="A8175" t="s">
        <v>552</v>
      </c>
      <c r="B8175" t="s">
        <v>702</v>
      </c>
      <c r="C8175" t="s">
        <v>328</v>
      </c>
      <c r="D8175" s="226">
        <v>3149569.73</v>
      </c>
      <c r="E8175" t="s">
        <v>702</v>
      </c>
    </row>
    <row r="8176" spans="1:5" hidden="1" x14ac:dyDescent="0.3">
      <c r="A8176" t="s">
        <v>552</v>
      </c>
      <c r="B8176" t="s">
        <v>702</v>
      </c>
      <c r="C8176" t="s">
        <v>44</v>
      </c>
      <c r="D8176" s="226">
        <v>0.18</v>
      </c>
      <c r="E8176" t="s">
        <v>702</v>
      </c>
    </row>
    <row r="8177" spans="1:5" hidden="1" x14ac:dyDescent="0.3">
      <c r="A8177" t="s">
        <v>552</v>
      </c>
      <c r="B8177" t="s">
        <v>702</v>
      </c>
      <c r="C8177" t="s">
        <v>329</v>
      </c>
      <c r="D8177" s="226">
        <v>0</v>
      </c>
      <c r="E8177" t="s">
        <v>702</v>
      </c>
    </row>
    <row r="8178" spans="1:5" hidden="1" x14ac:dyDescent="0.3">
      <c r="A8178" t="s">
        <v>552</v>
      </c>
      <c r="B8178" t="s">
        <v>702</v>
      </c>
      <c r="C8178" t="s">
        <v>331</v>
      </c>
      <c r="D8178" s="226">
        <v>3149569.73</v>
      </c>
      <c r="E8178" t="s">
        <v>702</v>
      </c>
    </row>
    <row r="8179" spans="1:5" hidden="1" x14ac:dyDescent="0.3">
      <c r="A8179" t="s">
        <v>552</v>
      </c>
      <c r="B8179" t="s">
        <v>702</v>
      </c>
      <c r="C8179" t="s">
        <v>332</v>
      </c>
      <c r="D8179" s="226">
        <v>-60023.63</v>
      </c>
      <c r="E8179" t="s">
        <v>702</v>
      </c>
    </row>
    <row r="8180" spans="1:5" hidden="1" x14ac:dyDescent="0.3">
      <c r="A8180" t="s">
        <v>552</v>
      </c>
      <c r="B8180" t="s">
        <v>702</v>
      </c>
      <c r="C8180" t="s">
        <v>333</v>
      </c>
      <c r="D8180" s="226">
        <v>120787.5</v>
      </c>
      <c r="E8180" t="s">
        <v>702</v>
      </c>
    </row>
    <row r="8181" spans="1:5" hidden="1" x14ac:dyDescent="0.3">
      <c r="A8181" t="s">
        <v>552</v>
      </c>
      <c r="B8181" t="s">
        <v>702</v>
      </c>
      <c r="C8181" t="s">
        <v>335</v>
      </c>
      <c r="D8181" s="226">
        <v>-55859.62</v>
      </c>
      <c r="E8181" t="s">
        <v>702</v>
      </c>
    </row>
    <row r="8182" spans="1:5" hidden="1" x14ac:dyDescent="0.3">
      <c r="A8182" t="s">
        <v>552</v>
      </c>
      <c r="B8182" t="s">
        <v>702</v>
      </c>
      <c r="C8182" t="s">
        <v>337</v>
      </c>
      <c r="D8182" s="226">
        <v>3154473.98</v>
      </c>
      <c r="E8182" t="s">
        <v>702</v>
      </c>
    </row>
    <row r="8183" spans="1:5" hidden="1" x14ac:dyDescent="0.3">
      <c r="A8183" t="s">
        <v>552</v>
      </c>
      <c r="B8183" t="s">
        <v>702</v>
      </c>
      <c r="C8183" t="s">
        <v>338</v>
      </c>
      <c r="D8183" s="226">
        <v>-464869.11</v>
      </c>
      <c r="E8183" t="s">
        <v>702</v>
      </c>
    </row>
    <row r="8184" spans="1:5" hidden="1" x14ac:dyDescent="0.3">
      <c r="A8184" t="s">
        <v>552</v>
      </c>
      <c r="B8184" t="s">
        <v>702</v>
      </c>
      <c r="C8184" t="s">
        <v>341</v>
      </c>
      <c r="D8184" s="226">
        <v>0</v>
      </c>
      <c r="E8184" t="s">
        <v>702</v>
      </c>
    </row>
    <row r="8185" spans="1:5" hidden="1" x14ac:dyDescent="0.3">
      <c r="A8185" t="s">
        <v>552</v>
      </c>
      <c r="B8185" t="s">
        <v>702</v>
      </c>
      <c r="C8185" t="s">
        <v>343</v>
      </c>
      <c r="D8185" s="226">
        <v>-190959.61</v>
      </c>
      <c r="E8185" t="s">
        <v>702</v>
      </c>
    </row>
    <row r="8186" spans="1:5" hidden="1" x14ac:dyDescent="0.3">
      <c r="A8186" t="s">
        <v>552</v>
      </c>
      <c r="B8186" t="s">
        <v>702</v>
      </c>
      <c r="C8186" t="s">
        <v>344</v>
      </c>
      <c r="D8186" s="226">
        <v>-104157.92</v>
      </c>
      <c r="E8186" t="s">
        <v>702</v>
      </c>
    </row>
    <row r="8187" spans="1:5" hidden="1" x14ac:dyDescent="0.3">
      <c r="A8187" t="s">
        <v>552</v>
      </c>
      <c r="B8187" t="s">
        <v>702</v>
      </c>
      <c r="C8187" t="s">
        <v>345</v>
      </c>
      <c r="D8187" s="226">
        <v>-169751.58</v>
      </c>
      <c r="E8187" t="s">
        <v>702</v>
      </c>
    </row>
    <row r="8188" spans="1:5" hidden="1" x14ac:dyDescent="0.3">
      <c r="A8188" t="s">
        <v>552</v>
      </c>
      <c r="B8188" t="s">
        <v>702</v>
      </c>
      <c r="C8188" t="s">
        <v>346</v>
      </c>
      <c r="D8188" s="226">
        <v>2689604.87</v>
      </c>
      <c r="E8188" t="s">
        <v>702</v>
      </c>
    </row>
    <row r="8189" spans="1:5" hidden="1" x14ac:dyDescent="0.3">
      <c r="A8189" t="s">
        <v>552</v>
      </c>
      <c r="B8189" t="s">
        <v>702</v>
      </c>
      <c r="C8189" t="s">
        <v>44</v>
      </c>
      <c r="D8189" s="226">
        <v>0.15</v>
      </c>
      <c r="E8189" t="s">
        <v>702</v>
      </c>
    </row>
    <row r="8190" spans="1:5" hidden="1" x14ac:dyDescent="0.3">
      <c r="A8190" t="s">
        <v>552</v>
      </c>
      <c r="B8190" t="s">
        <v>702</v>
      </c>
      <c r="C8190" t="s">
        <v>347</v>
      </c>
      <c r="D8190" s="226">
        <v>-140784.37</v>
      </c>
      <c r="E8190" t="s">
        <v>702</v>
      </c>
    </row>
    <row r="8191" spans="1:5" hidden="1" x14ac:dyDescent="0.3">
      <c r="A8191" t="s">
        <v>552</v>
      </c>
      <c r="B8191" t="s">
        <v>702</v>
      </c>
      <c r="C8191" t="s">
        <v>654</v>
      </c>
      <c r="D8191" s="226">
        <v>-27639.55</v>
      </c>
      <c r="E8191" t="s">
        <v>702</v>
      </c>
    </row>
    <row r="8192" spans="1:5" hidden="1" x14ac:dyDescent="0.3">
      <c r="A8192" t="s">
        <v>552</v>
      </c>
      <c r="B8192" t="s">
        <v>702</v>
      </c>
      <c r="C8192" t="s">
        <v>349</v>
      </c>
      <c r="D8192" s="226">
        <v>-47098.33</v>
      </c>
      <c r="E8192" t="s">
        <v>702</v>
      </c>
    </row>
    <row r="8193" spans="1:5" hidden="1" x14ac:dyDescent="0.3">
      <c r="A8193" t="s">
        <v>552</v>
      </c>
      <c r="B8193" t="s">
        <v>702</v>
      </c>
      <c r="C8193" t="s">
        <v>350</v>
      </c>
      <c r="D8193" s="226">
        <v>-7736.92</v>
      </c>
      <c r="E8193" t="s">
        <v>702</v>
      </c>
    </row>
    <row r="8194" spans="1:5" hidden="1" x14ac:dyDescent="0.3">
      <c r="A8194" t="s">
        <v>552</v>
      </c>
      <c r="B8194" t="s">
        <v>702</v>
      </c>
      <c r="C8194" t="s">
        <v>351</v>
      </c>
      <c r="D8194" s="226">
        <v>-5598.76</v>
      </c>
      <c r="E8194" t="s">
        <v>702</v>
      </c>
    </row>
    <row r="8195" spans="1:5" hidden="1" x14ac:dyDescent="0.3">
      <c r="A8195" t="s">
        <v>552</v>
      </c>
      <c r="B8195" t="s">
        <v>702</v>
      </c>
      <c r="C8195" t="s">
        <v>352</v>
      </c>
      <c r="D8195" s="226">
        <v>-50000</v>
      </c>
      <c r="E8195" t="s">
        <v>702</v>
      </c>
    </row>
    <row r="8196" spans="1:5" hidden="1" x14ac:dyDescent="0.3">
      <c r="A8196" t="s">
        <v>552</v>
      </c>
      <c r="B8196" t="s">
        <v>702</v>
      </c>
      <c r="C8196" t="s">
        <v>353</v>
      </c>
      <c r="D8196" s="226">
        <v>0</v>
      </c>
      <c r="E8196" t="s">
        <v>702</v>
      </c>
    </row>
    <row r="8197" spans="1:5" hidden="1" x14ac:dyDescent="0.3">
      <c r="A8197" t="s">
        <v>552</v>
      </c>
      <c r="B8197" t="s">
        <v>702</v>
      </c>
      <c r="C8197" t="s">
        <v>354</v>
      </c>
      <c r="D8197" s="226">
        <v>0</v>
      </c>
      <c r="E8197" t="s">
        <v>702</v>
      </c>
    </row>
    <row r="8198" spans="1:5" hidden="1" x14ac:dyDescent="0.3">
      <c r="A8198" t="s">
        <v>552</v>
      </c>
      <c r="B8198" t="s">
        <v>702</v>
      </c>
      <c r="C8198" t="s">
        <v>355</v>
      </c>
      <c r="D8198" s="226">
        <v>0</v>
      </c>
      <c r="E8198" t="s">
        <v>702</v>
      </c>
    </row>
    <row r="8199" spans="1:5" hidden="1" x14ac:dyDescent="0.3">
      <c r="A8199" t="s">
        <v>552</v>
      </c>
      <c r="B8199" t="s">
        <v>702</v>
      </c>
      <c r="C8199" t="s">
        <v>356</v>
      </c>
      <c r="D8199" s="226">
        <v>0</v>
      </c>
      <c r="E8199" t="s">
        <v>702</v>
      </c>
    </row>
    <row r="8200" spans="1:5" hidden="1" x14ac:dyDescent="0.3">
      <c r="A8200" t="s">
        <v>552</v>
      </c>
      <c r="B8200" t="s">
        <v>702</v>
      </c>
      <c r="C8200" t="s">
        <v>357</v>
      </c>
      <c r="D8200" s="226">
        <v>0</v>
      </c>
      <c r="E8200" t="s">
        <v>702</v>
      </c>
    </row>
    <row r="8201" spans="1:5" hidden="1" x14ac:dyDescent="0.3">
      <c r="A8201" t="s">
        <v>552</v>
      </c>
      <c r="B8201" t="s">
        <v>702</v>
      </c>
      <c r="C8201" t="s">
        <v>358</v>
      </c>
      <c r="D8201" s="226">
        <v>-2710.81</v>
      </c>
      <c r="E8201" t="s">
        <v>702</v>
      </c>
    </row>
    <row r="8202" spans="1:5" hidden="1" x14ac:dyDescent="0.3">
      <c r="A8202" t="s">
        <v>552</v>
      </c>
      <c r="B8202" t="s">
        <v>702</v>
      </c>
      <c r="C8202" t="s">
        <v>359</v>
      </c>
      <c r="D8202" s="226">
        <v>0</v>
      </c>
      <c r="E8202" t="s">
        <v>702</v>
      </c>
    </row>
    <row r="8203" spans="1:5" hidden="1" x14ac:dyDescent="0.3">
      <c r="A8203" t="s">
        <v>552</v>
      </c>
      <c r="B8203" t="s">
        <v>702</v>
      </c>
      <c r="C8203" t="s">
        <v>360</v>
      </c>
      <c r="D8203" s="226">
        <v>0</v>
      </c>
      <c r="E8203" t="s">
        <v>702</v>
      </c>
    </row>
    <row r="8204" spans="1:5" hidden="1" x14ac:dyDescent="0.3">
      <c r="A8204" t="s">
        <v>552</v>
      </c>
      <c r="B8204" t="s">
        <v>702</v>
      </c>
      <c r="C8204" t="s">
        <v>361</v>
      </c>
      <c r="D8204" s="226">
        <v>0</v>
      </c>
      <c r="E8204" t="s">
        <v>702</v>
      </c>
    </row>
    <row r="8205" spans="1:5" hidden="1" x14ac:dyDescent="0.3">
      <c r="A8205" t="s">
        <v>552</v>
      </c>
      <c r="B8205" t="s">
        <v>702</v>
      </c>
      <c r="C8205" t="s">
        <v>362</v>
      </c>
      <c r="D8205" s="226">
        <v>0</v>
      </c>
      <c r="E8205" t="s">
        <v>702</v>
      </c>
    </row>
    <row r="8206" spans="1:5" hidden="1" x14ac:dyDescent="0.3">
      <c r="A8206" t="s">
        <v>552</v>
      </c>
      <c r="B8206" t="s">
        <v>702</v>
      </c>
      <c r="C8206" t="s">
        <v>363</v>
      </c>
      <c r="D8206" s="226">
        <v>0</v>
      </c>
      <c r="E8206" t="s">
        <v>702</v>
      </c>
    </row>
    <row r="8207" spans="1:5" hidden="1" x14ac:dyDescent="0.3">
      <c r="A8207" t="s">
        <v>552</v>
      </c>
      <c r="B8207" t="s">
        <v>702</v>
      </c>
      <c r="C8207" t="s">
        <v>364</v>
      </c>
      <c r="D8207" s="226">
        <v>-73717.77</v>
      </c>
      <c r="E8207" t="s">
        <v>702</v>
      </c>
    </row>
    <row r="8208" spans="1:5" hidden="1" x14ac:dyDescent="0.3">
      <c r="A8208" t="s">
        <v>552</v>
      </c>
      <c r="B8208" t="s">
        <v>702</v>
      </c>
      <c r="C8208" t="s">
        <v>365</v>
      </c>
      <c r="D8208" s="226">
        <v>-35298.39</v>
      </c>
      <c r="E8208" t="s">
        <v>702</v>
      </c>
    </row>
    <row r="8209" spans="1:5" hidden="1" x14ac:dyDescent="0.3">
      <c r="A8209" t="s">
        <v>552</v>
      </c>
      <c r="B8209" t="s">
        <v>702</v>
      </c>
      <c r="C8209" t="s">
        <v>366</v>
      </c>
      <c r="D8209" s="226">
        <v>0</v>
      </c>
      <c r="E8209" t="s">
        <v>702</v>
      </c>
    </row>
    <row r="8210" spans="1:5" hidden="1" x14ac:dyDescent="0.3">
      <c r="A8210" t="s">
        <v>552</v>
      </c>
      <c r="B8210" t="s">
        <v>702</v>
      </c>
      <c r="C8210" t="s">
        <v>367</v>
      </c>
      <c r="D8210" s="226">
        <v>-132519.38</v>
      </c>
      <c r="E8210" t="s">
        <v>702</v>
      </c>
    </row>
    <row r="8211" spans="1:5" hidden="1" x14ac:dyDescent="0.3">
      <c r="A8211" t="s">
        <v>552</v>
      </c>
      <c r="B8211" t="s">
        <v>702</v>
      </c>
      <c r="C8211" t="s">
        <v>368</v>
      </c>
      <c r="D8211" s="226">
        <v>94100</v>
      </c>
      <c r="E8211" t="s">
        <v>702</v>
      </c>
    </row>
    <row r="8212" spans="1:5" hidden="1" x14ac:dyDescent="0.3">
      <c r="A8212" t="s">
        <v>552</v>
      </c>
      <c r="B8212" t="s">
        <v>702</v>
      </c>
      <c r="C8212" t="s">
        <v>369</v>
      </c>
      <c r="D8212" s="226">
        <v>0</v>
      </c>
      <c r="E8212" t="s">
        <v>702</v>
      </c>
    </row>
    <row r="8213" spans="1:5" hidden="1" x14ac:dyDescent="0.3">
      <c r="A8213" t="s">
        <v>552</v>
      </c>
      <c r="B8213" t="s">
        <v>702</v>
      </c>
      <c r="C8213" t="s">
        <v>370</v>
      </c>
      <c r="D8213" s="226">
        <v>0</v>
      </c>
      <c r="E8213" t="s">
        <v>702</v>
      </c>
    </row>
    <row r="8214" spans="1:5" hidden="1" x14ac:dyDescent="0.3">
      <c r="A8214" t="s">
        <v>552</v>
      </c>
      <c r="B8214" t="s">
        <v>702</v>
      </c>
      <c r="C8214" t="s">
        <v>371</v>
      </c>
      <c r="D8214" s="226">
        <v>0</v>
      </c>
      <c r="E8214" t="s">
        <v>702</v>
      </c>
    </row>
    <row r="8215" spans="1:5" hidden="1" x14ac:dyDescent="0.3">
      <c r="A8215" t="s">
        <v>552</v>
      </c>
      <c r="B8215" t="s">
        <v>702</v>
      </c>
      <c r="C8215" t="s">
        <v>372</v>
      </c>
      <c r="D8215" s="226">
        <v>-214502.14</v>
      </c>
      <c r="E8215" t="s">
        <v>702</v>
      </c>
    </row>
    <row r="8216" spans="1:5" hidden="1" x14ac:dyDescent="0.3">
      <c r="A8216" t="s">
        <v>552</v>
      </c>
      <c r="B8216" t="s">
        <v>702</v>
      </c>
      <c r="C8216" t="s">
        <v>373</v>
      </c>
      <c r="D8216" s="226">
        <v>2475102.73</v>
      </c>
      <c r="E8216" t="s">
        <v>702</v>
      </c>
    </row>
    <row r="8217" spans="1:5" hidden="1" x14ac:dyDescent="0.3">
      <c r="A8217" t="s">
        <v>552</v>
      </c>
      <c r="B8217" t="s">
        <v>702</v>
      </c>
      <c r="C8217" t="s">
        <v>655</v>
      </c>
      <c r="D8217" s="226">
        <v>0</v>
      </c>
      <c r="E8217" t="s">
        <v>702</v>
      </c>
    </row>
    <row r="8218" spans="1:5" hidden="1" x14ac:dyDescent="0.3">
      <c r="A8218" t="s">
        <v>552</v>
      </c>
      <c r="B8218" t="s">
        <v>703</v>
      </c>
      <c r="C8218" t="s">
        <v>11</v>
      </c>
      <c r="D8218" s="226">
        <v>1477501.41</v>
      </c>
      <c r="E8218" t="s">
        <v>704</v>
      </c>
    </row>
    <row r="8219" spans="1:5" hidden="1" x14ac:dyDescent="0.3">
      <c r="A8219" t="s">
        <v>552</v>
      </c>
      <c r="B8219" t="s">
        <v>703</v>
      </c>
      <c r="C8219" t="s">
        <v>13</v>
      </c>
      <c r="D8219" s="226">
        <v>740119</v>
      </c>
      <c r="E8219" t="s">
        <v>704</v>
      </c>
    </row>
    <row r="8220" spans="1:5" hidden="1" x14ac:dyDescent="0.3">
      <c r="A8220" t="s">
        <v>552</v>
      </c>
      <c r="B8220" t="s">
        <v>703</v>
      </c>
      <c r="C8220" t="s">
        <v>16</v>
      </c>
      <c r="D8220" s="226">
        <v>524369.19999999995</v>
      </c>
      <c r="E8220" t="s">
        <v>704</v>
      </c>
    </row>
    <row r="8221" spans="1:5" hidden="1" x14ac:dyDescent="0.3">
      <c r="A8221" t="s">
        <v>552</v>
      </c>
      <c r="B8221" t="s">
        <v>703</v>
      </c>
      <c r="C8221" t="s">
        <v>17</v>
      </c>
      <c r="D8221" s="226">
        <v>0</v>
      </c>
      <c r="E8221" t="s">
        <v>704</v>
      </c>
    </row>
    <row r="8222" spans="1:5" hidden="1" x14ac:dyDescent="0.3">
      <c r="A8222" t="s">
        <v>552</v>
      </c>
      <c r="B8222" t="s">
        <v>703</v>
      </c>
      <c r="C8222" t="s">
        <v>18</v>
      </c>
      <c r="D8222" s="226">
        <v>0</v>
      </c>
      <c r="E8222" t="s">
        <v>704</v>
      </c>
    </row>
    <row r="8223" spans="1:5" hidden="1" x14ac:dyDescent="0.3">
      <c r="A8223" t="s">
        <v>552</v>
      </c>
      <c r="B8223" t="s">
        <v>703</v>
      </c>
      <c r="C8223" t="s">
        <v>20</v>
      </c>
      <c r="D8223" s="226">
        <v>160822.89000000001</v>
      </c>
      <c r="E8223" t="s">
        <v>704</v>
      </c>
    </row>
    <row r="8224" spans="1:5" hidden="1" x14ac:dyDescent="0.3">
      <c r="A8224" t="s">
        <v>552</v>
      </c>
      <c r="B8224" t="s">
        <v>703</v>
      </c>
      <c r="C8224" t="s">
        <v>23</v>
      </c>
      <c r="D8224" s="226">
        <v>9012.5</v>
      </c>
      <c r="E8224" t="s">
        <v>704</v>
      </c>
    </row>
    <row r="8225" spans="1:5" hidden="1" x14ac:dyDescent="0.3">
      <c r="A8225" t="s">
        <v>552</v>
      </c>
      <c r="B8225" t="s">
        <v>703</v>
      </c>
      <c r="C8225" t="s">
        <v>25</v>
      </c>
      <c r="D8225" s="226">
        <v>0</v>
      </c>
      <c r="E8225" t="s">
        <v>704</v>
      </c>
    </row>
    <row r="8226" spans="1:5" hidden="1" x14ac:dyDescent="0.3">
      <c r="A8226" t="s">
        <v>552</v>
      </c>
      <c r="B8226" t="s">
        <v>703</v>
      </c>
      <c r="C8226" t="s">
        <v>26</v>
      </c>
      <c r="D8226" s="226">
        <v>0</v>
      </c>
      <c r="E8226" t="s">
        <v>704</v>
      </c>
    </row>
    <row r="8227" spans="1:5" hidden="1" x14ac:dyDescent="0.3">
      <c r="A8227" t="s">
        <v>552</v>
      </c>
      <c r="B8227" t="s">
        <v>703</v>
      </c>
      <c r="C8227" t="s">
        <v>27</v>
      </c>
      <c r="D8227" s="226">
        <v>0</v>
      </c>
      <c r="E8227" t="s">
        <v>704</v>
      </c>
    </row>
    <row r="8228" spans="1:5" hidden="1" x14ac:dyDescent="0.3">
      <c r="A8228" t="s">
        <v>552</v>
      </c>
      <c r="B8228" t="s">
        <v>703</v>
      </c>
      <c r="C8228" t="s">
        <v>29</v>
      </c>
      <c r="D8228" s="226">
        <v>42367.82</v>
      </c>
      <c r="E8228" t="s">
        <v>704</v>
      </c>
    </row>
    <row r="8229" spans="1:5" hidden="1" x14ac:dyDescent="0.3">
      <c r="A8229" t="s">
        <v>552</v>
      </c>
      <c r="B8229" t="s">
        <v>703</v>
      </c>
      <c r="C8229" t="s">
        <v>31</v>
      </c>
      <c r="D8229" s="226">
        <v>810</v>
      </c>
      <c r="E8229" t="s">
        <v>704</v>
      </c>
    </row>
    <row r="8230" spans="1:5" hidden="1" x14ac:dyDescent="0.3">
      <c r="A8230" t="s">
        <v>552</v>
      </c>
      <c r="B8230" t="s">
        <v>703</v>
      </c>
      <c r="C8230" t="s">
        <v>33</v>
      </c>
      <c r="D8230" s="226">
        <v>9012.5</v>
      </c>
      <c r="E8230" t="s">
        <v>704</v>
      </c>
    </row>
    <row r="8231" spans="1:5" hidden="1" x14ac:dyDescent="0.3">
      <c r="A8231" t="s">
        <v>552</v>
      </c>
      <c r="B8231" t="s">
        <v>703</v>
      </c>
      <c r="C8231" t="s">
        <v>34</v>
      </c>
      <c r="D8231" s="226">
        <v>-24890.62</v>
      </c>
      <c r="E8231" t="s">
        <v>704</v>
      </c>
    </row>
    <row r="8232" spans="1:5" hidden="1" x14ac:dyDescent="0.3">
      <c r="A8232" t="s">
        <v>552</v>
      </c>
      <c r="B8232" t="s">
        <v>703</v>
      </c>
      <c r="C8232" t="s">
        <v>38</v>
      </c>
      <c r="D8232" s="226">
        <v>-5739.89</v>
      </c>
      <c r="E8232" t="s">
        <v>704</v>
      </c>
    </row>
    <row r="8233" spans="1:5" hidden="1" x14ac:dyDescent="0.3">
      <c r="A8233" t="s">
        <v>552</v>
      </c>
      <c r="B8233" t="s">
        <v>703</v>
      </c>
      <c r="C8233" t="s">
        <v>40</v>
      </c>
      <c r="D8233" s="226">
        <v>-17893.990000000002</v>
      </c>
      <c r="E8233" t="s">
        <v>704</v>
      </c>
    </row>
    <row r="8234" spans="1:5" hidden="1" x14ac:dyDescent="0.3">
      <c r="A8234" t="s">
        <v>552</v>
      </c>
      <c r="B8234" t="s">
        <v>703</v>
      </c>
      <c r="C8234" t="s">
        <v>42</v>
      </c>
      <c r="D8234" s="226">
        <v>-1256.74</v>
      </c>
      <c r="E8234" t="s">
        <v>704</v>
      </c>
    </row>
    <row r="8235" spans="1:5" hidden="1" x14ac:dyDescent="0.3">
      <c r="A8235" t="s">
        <v>552</v>
      </c>
      <c r="B8235" t="s">
        <v>703</v>
      </c>
      <c r="C8235" t="s">
        <v>44</v>
      </c>
      <c r="D8235" s="226">
        <v>-0.02</v>
      </c>
      <c r="E8235" t="s">
        <v>704</v>
      </c>
    </row>
    <row r="8236" spans="1:5" hidden="1" x14ac:dyDescent="0.3">
      <c r="A8236" t="s">
        <v>552</v>
      </c>
      <c r="B8236" t="s">
        <v>703</v>
      </c>
      <c r="C8236" t="s">
        <v>45</v>
      </c>
      <c r="D8236" s="226">
        <v>-98742.77</v>
      </c>
      <c r="E8236" t="s">
        <v>704</v>
      </c>
    </row>
    <row r="8237" spans="1:5" hidden="1" x14ac:dyDescent="0.3">
      <c r="A8237" t="s">
        <v>552</v>
      </c>
      <c r="B8237" t="s">
        <v>703</v>
      </c>
      <c r="C8237" t="s">
        <v>46</v>
      </c>
      <c r="D8237" s="226">
        <v>-46108.03</v>
      </c>
      <c r="E8237" t="s">
        <v>704</v>
      </c>
    </row>
    <row r="8238" spans="1:5" hidden="1" x14ac:dyDescent="0.3">
      <c r="A8238" t="s">
        <v>552</v>
      </c>
      <c r="B8238" t="s">
        <v>703</v>
      </c>
      <c r="C8238" t="s">
        <v>48</v>
      </c>
      <c r="D8238" s="226">
        <v>-52634.74</v>
      </c>
      <c r="E8238" t="s">
        <v>704</v>
      </c>
    </row>
    <row r="8239" spans="1:5" hidden="1" x14ac:dyDescent="0.3">
      <c r="A8239" t="s">
        <v>552</v>
      </c>
      <c r="B8239" t="s">
        <v>703</v>
      </c>
      <c r="C8239" t="s">
        <v>49</v>
      </c>
      <c r="D8239" s="226">
        <v>0</v>
      </c>
      <c r="E8239" t="s">
        <v>704</v>
      </c>
    </row>
    <row r="8240" spans="1:5" hidden="1" x14ac:dyDescent="0.3">
      <c r="A8240" t="s">
        <v>552</v>
      </c>
      <c r="B8240" t="s">
        <v>703</v>
      </c>
      <c r="C8240" t="s">
        <v>50</v>
      </c>
      <c r="D8240" s="226">
        <v>1353868.02</v>
      </c>
      <c r="E8240" t="s">
        <v>704</v>
      </c>
    </row>
    <row r="8241" spans="1:5" hidden="1" x14ac:dyDescent="0.3">
      <c r="A8241" t="s">
        <v>552</v>
      </c>
      <c r="B8241" t="s">
        <v>703</v>
      </c>
      <c r="C8241" t="s">
        <v>51</v>
      </c>
      <c r="D8241" s="226">
        <v>-367799.85</v>
      </c>
      <c r="E8241" t="s">
        <v>704</v>
      </c>
    </row>
    <row r="8242" spans="1:5" hidden="1" x14ac:dyDescent="0.3">
      <c r="A8242" t="s">
        <v>552</v>
      </c>
      <c r="B8242" t="s">
        <v>703</v>
      </c>
      <c r="C8242" t="s">
        <v>52</v>
      </c>
      <c r="D8242" s="226">
        <v>-247746.86</v>
      </c>
      <c r="E8242" t="s">
        <v>704</v>
      </c>
    </row>
    <row r="8243" spans="1:5" hidden="1" x14ac:dyDescent="0.3">
      <c r="A8243" t="s">
        <v>552</v>
      </c>
      <c r="B8243" t="s">
        <v>703</v>
      </c>
      <c r="C8243" t="s">
        <v>53</v>
      </c>
      <c r="D8243" s="226">
        <v>-118393.23</v>
      </c>
      <c r="E8243" t="s">
        <v>704</v>
      </c>
    </row>
    <row r="8244" spans="1:5" hidden="1" x14ac:dyDescent="0.3">
      <c r="A8244" t="s">
        <v>552</v>
      </c>
      <c r="B8244" t="s">
        <v>703</v>
      </c>
      <c r="C8244" t="s">
        <v>54</v>
      </c>
      <c r="D8244" s="226">
        <v>-1659.76</v>
      </c>
      <c r="E8244" t="s">
        <v>704</v>
      </c>
    </row>
    <row r="8245" spans="1:5" hidden="1" x14ac:dyDescent="0.3">
      <c r="A8245" t="s">
        <v>552</v>
      </c>
      <c r="B8245" t="s">
        <v>703</v>
      </c>
      <c r="C8245" t="s">
        <v>23</v>
      </c>
      <c r="D8245" s="226">
        <v>0</v>
      </c>
      <c r="E8245" t="s">
        <v>704</v>
      </c>
    </row>
    <row r="8246" spans="1:5" hidden="1" x14ac:dyDescent="0.3">
      <c r="A8246" t="s">
        <v>552</v>
      </c>
      <c r="B8246" t="s">
        <v>703</v>
      </c>
      <c r="C8246" t="s">
        <v>44</v>
      </c>
      <c r="D8246" s="226">
        <v>-0.28000000000000003</v>
      </c>
      <c r="E8246" t="s">
        <v>704</v>
      </c>
    </row>
    <row r="8247" spans="1:5" hidden="1" x14ac:dyDescent="0.3">
      <c r="A8247" t="s">
        <v>552</v>
      </c>
      <c r="B8247" t="s">
        <v>703</v>
      </c>
      <c r="C8247" t="s">
        <v>55</v>
      </c>
      <c r="D8247" s="226">
        <v>-0.27</v>
      </c>
      <c r="E8247" t="s">
        <v>704</v>
      </c>
    </row>
    <row r="8248" spans="1:5" hidden="1" x14ac:dyDescent="0.3">
      <c r="A8248" t="s">
        <v>552</v>
      </c>
      <c r="B8248" t="s">
        <v>703</v>
      </c>
      <c r="C8248" t="s">
        <v>56</v>
      </c>
      <c r="D8248" s="226">
        <v>-926.9</v>
      </c>
      <c r="E8248" t="s">
        <v>704</v>
      </c>
    </row>
    <row r="8249" spans="1:5" hidden="1" x14ac:dyDescent="0.3">
      <c r="A8249" t="s">
        <v>552</v>
      </c>
      <c r="B8249" t="s">
        <v>703</v>
      </c>
      <c r="C8249" t="s">
        <v>57</v>
      </c>
      <c r="D8249" s="226">
        <v>-226.9</v>
      </c>
      <c r="E8249" t="s">
        <v>704</v>
      </c>
    </row>
    <row r="8250" spans="1:5" hidden="1" x14ac:dyDescent="0.3">
      <c r="A8250" t="s">
        <v>552</v>
      </c>
      <c r="B8250" t="s">
        <v>703</v>
      </c>
      <c r="C8250" t="s">
        <v>58</v>
      </c>
      <c r="D8250" s="226">
        <v>0</v>
      </c>
      <c r="E8250" t="s">
        <v>704</v>
      </c>
    </row>
    <row r="8251" spans="1:5" hidden="1" x14ac:dyDescent="0.3">
      <c r="A8251" t="s">
        <v>552</v>
      </c>
      <c r="B8251" t="s">
        <v>703</v>
      </c>
      <c r="C8251" t="s">
        <v>59</v>
      </c>
      <c r="D8251" s="226">
        <v>-226.9</v>
      </c>
      <c r="E8251" t="s">
        <v>704</v>
      </c>
    </row>
    <row r="8252" spans="1:5" hidden="1" x14ac:dyDescent="0.3">
      <c r="A8252" t="s">
        <v>552</v>
      </c>
      <c r="B8252" t="s">
        <v>703</v>
      </c>
      <c r="C8252" t="s">
        <v>61</v>
      </c>
      <c r="D8252" s="226">
        <v>0</v>
      </c>
      <c r="E8252" t="s">
        <v>704</v>
      </c>
    </row>
    <row r="8253" spans="1:5" hidden="1" x14ac:dyDescent="0.3">
      <c r="A8253" t="s">
        <v>552</v>
      </c>
      <c r="B8253" t="s">
        <v>703</v>
      </c>
      <c r="C8253" t="s">
        <v>62</v>
      </c>
      <c r="D8253" s="226">
        <v>0</v>
      </c>
      <c r="E8253" t="s">
        <v>704</v>
      </c>
    </row>
    <row r="8254" spans="1:5" hidden="1" x14ac:dyDescent="0.3">
      <c r="A8254" t="s">
        <v>552</v>
      </c>
      <c r="B8254" t="s">
        <v>703</v>
      </c>
      <c r="C8254" t="s">
        <v>64</v>
      </c>
      <c r="D8254" s="226">
        <v>0</v>
      </c>
      <c r="E8254" t="s">
        <v>704</v>
      </c>
    </row>
    <row r="8255" spans="1:5" hidden="1" x14ac:dyDescent="0.3">
      <c r="A8255" t="s">
        <v>552</v>
      </c>
      <c r="B8255" t="s">
        <v>703</v>
      </c>
      <c r="C8255" t="s">
        <v>65</v>
      </c>
      <c r="D8255" s="226">
        <v>-700</v>
      </c>
      <c r="E8255" t="s">
        <v>704</v>
      </c>
    </row>
    <row r="8256" spans="1:5" hidden="1" x14ac:dyDescent="0.3">
      <c r="A8256" t="s">
        <v>552</v>
      </c>
      <c r="B8256" t="s">
        <v>703</v>
      </c>
      <c r="C8256" t="s">
        <v>66</v>
      </c>
      <c r="D8256" s="226">
        <v>-700</v>
      </c>
      <c r="E8256" t="s">
        <v>704</v>
      </c>
    </row>
    <row r="8257" spans="1:5" hidden="1" x14ac:dyDescent="0.3">
      <c r="A8257" t="s">
        <v>552</v>
      </c>
      <c r="B8257" t="s">
        <v>703</v>
      </c>
      <c r="C8257" t="s">
        <v>68</v>
      </c>
      <c r="D8257" s="226">
        <v>0</v>
      </c>
      <c r="E8257" t="s">
        <v>704</v>
      </c>
    </row>
    <row r="8258" spans="1:5" hidden="1" x14ac:dyDescent="0.3">
      <c r="A8258" t="s">
        <v>552</v>
      </c>
      <c r="B8258" t="s">
        <v>703</v>
      </c>
      <c r="C8258" t="s">
        <v>69</v>
      </c>
      <c r="D8258" s="226">
        <v>0</v>
      </c>
      <c r="E8258" t="s">
        <v>704</v>
      </c>
    </row>
    <row r="8259" spans="1:5" hidden="1" x14ac:dyDescent="0.3">
      <c r="A8259" t="s">
        <v>552</v>
      </c>
      <c r="B8259" t="s">
        <v>703</v>
      </c>
      <c r="C8259" t="s">
        <v>70</v>
      </c>
      <c r="D8259" s="226">
        <v>0</v>
      </c>
      <c r="E8259" t="s">
        <v>704</v>
      </c>
    </row>
    <row r="8260" spans="1:5" hidden="1" x14ac:dyDescent="0.3">
      <c r="A8260" t="s">
        <v>552</v>
      </c>
      <c r="B8260" t="s">
        <v>703</v>
      </c>
      <c r="C8260" t="s">
        <v>44</v>
      </c>
      <c r="D8260" s="226">
        <v>0</v>
      </c>
      <c r="E8260" t="s">
        <v>704</v>
      </c>
    </row>
    <row r="8261" spans="1:5" hidden="1" x14ac:dyDescent="0.3">
      <c r="A8261" t="s">
        <v>552</v>
      </c>
      <c r="B8261" t="s">
        <v>703</v>
      </c>
      <c r="C8261" t="s">
        <v>71</v>
      </c>
      <c r="D8261" s="226">
        <v>-2740.99</v>
      </c>
      <c r="E8261" t="s">
        <v>704</v>
      </c>
    </row>
    <row r="8262" spans="1:5" hidden="1" x14ac:dyDescent="0.3">
      <c r="A8262" t="s">
        <v>552</v>
      </c>
      <c r="B8262" t="s">
        <v>703</v>
      </c>
      <c r="C8262" t="s">
        <v>72</v>
      </c>
      <c r="D8262" s="226">
        <v>-2395.9899999999998</v>
      </c>
      <c r="E8262" t="s">
        <v>704</v>
      </c>
    </row>
    <row r="8263" spans="1:5" hidden="1" x14ac:dyDescent="0.3">
      <c r="A8263" t="s">
        <v>552</v>
      </c>
      <c r="B8263" t="s">
        <v>703</v>
      </c>
      <c r="C8263" t="s">
        <v>73</v>
      </c>
      <c r="D8263" s="226">
        <v>-2000</v>
      </c>
      <c r="E8263" t="s">
        <v>704</v>
      </c>
    </row>
    <row r="8264" spans="1:5" hidden="1" x14ac:dyDescent="0.3">
      <c r="A8264" t="s">
        <v>552</v>
      </c>
      <c r="B8264" t="s">
        <v>703</v>
      </c>
      <c r="C8264" t="s">
        <v>75</v>
      </c>
      <c r="D8264" s="226">
        <v>-395.99</v>
      </c>
      <c r="E8264" t="s">
        <v>704</v>
      </c>
    </row>
    <row r="8265" spans="1:5" hidden="1" x14ac:dyDescent="0.3">
      <c r="A8265" t="s">
        <v>552</v>
      </c>
      <c r="B8265" t="s">
        <v>703</v>
      </c>
      <c r="C8265" t="s">
        <v>77</v>
      </c>
      <c r="D8265" s="226">
        <v>-345</v>
      </c>
      <c r="E8265" t="s">
        <v>704</v>
      </c>
    </row>
    <row r="8266" spans="1:5" hidden="1" x14ac:dyDescent="0.3">
      <c r="A8266" t="s">
        <v>552</v>
      </c>
      <c r="B8266" t="s">
        <v>703</v>
      </c>
      <c r="C8266" t="s">
        <v>78</v>
      </c>
      <c r="D8266" s="226">
        <v>0</v>
      </c>
      <c r="E8266" t="s">
        <v>704</v>
      </c>
    </row>
    <row r="8267" spans="1:5" hidden="1" x14ac:dyDescent="0.3">
      <c r="A8267" t="s">
        <v>552</v>
      </c>
      <c r="B8267" t="s">
        <v>703</v>
      </c>
      <c r="C8267" t="s">
        <v>80</v>
      </c>
      <c r="D8267" s="226">
        <v>0</v>
      </c>
      <c r="E8267" t="s">
        <v>704</v>
      </c>
    </row>
    <row r="8268" spans="1:5" hidden="1" x14ac:dyDescent="0.3">
      <c r="A8268" t="s">
        <v>552</v>
      </c>
      <c r="B8268" t="s">
        <v>703</v>
      </c>
      <c r="C8268" t="s">
        <v>82</v>
      </c>
      <c r="D8268" s="226">
        <v>0</v>
      </c>
      <c r="E8268" t="s">
        <v>704</v>
      </c>
    </row>
    <row r="8269" spans="1:5" hidden="1" x14ac:dyDescent="0.3">
      <c r="A8269" t="s">
        <v>552</v>
      </c>
      <c r="B8269" t="s">
        <v>703</v>
      </c>
      <c r="C8269" t="s">
        <v>84</v>
      </c>
      <c r="D8269" s="226">
        <v>-345</v>
      </c>
      <c r="E8269" t="s">
        <v>704</v>
      </c>
    </row>
    <row r="8270" spans="1:5" hidden="1" x14ac:dyDescent="0.3">
      <c r="A8270" t="s">
        <v>552</v>
      </c>
      <c r="B8270" t="s">
        <v>703</v>
      </c>
      <c r="C8270" t="s">
        <v>85</v>
      </c>
      <c r="D8270" s="226">
        <v>0</v>
      </c>
      <c r="E8270" t="s">
        <v>704</v>
      </c>
    </row>
    <row r="8271" spans="1:5" hidden="1" x14ac:dyDescent="0.3">
      <c r="A8271" t="s">
        <v>552</v>
      </c>
      <c r="B8271" t="s">
        <v>703</v>
      </c>
      <c r="C8271" t="s">
        <v>86</v>
      </c>
      <c r="D8271" s="226">
        <v>0</v>
      </c>
      <c r="E8271" t="s">
        <v>704</v>
      </c>
    </row>
    <row r="8272" spans="1:5" hidden="1" x14ac:dyDescent="0.3">
      <c r="A8272" t="s">
        <v>552</v>
      </c>
      <c r="B8272" t="s">
        <v>703</v>
      </c>
      <c r="C8272" t="s">
        <v>87</v>
      </c>
      <c r="D8272" s="226">
        <v>0</v>
      </c>
      <c r="E8272" t="s">
        <v>704</v>
      </c>
    </row>
    <row r="8273" spans="1:5" hidden="1" x14ac:dyDescent="0.3">
      <c r="A8273" t="s">
        <v>552</v>
      </c>
      <c r="B8273" t="s">
        <v>703</v>
      </c>
      <c r="C8273" t="s">
        <v>88</v>
      </c>
      <c r="D8273" s="226">
        <v>0</v>
      </c>
      <c r="E8273" t="s">
        <v>704</v>
      </c>
    </row>
    <row r="8274" spans="1:5" hidden="1" x14ac:dyDescent="0.3">
      <c r="A8274" t="s">
        <v>552</v>
      </c>
      <c r="B8274" t="s">
        <v>703</v>
      </c>
      <c r="C8274" t="s">
        <v>89</v>
      </c>
      <c r="D8274" s="226">
        <v>0</v>
      </c>
      <c r="E8274" t="s">
        <v>704</v>
      </c>
    </row>
    <row r="8275" spans="1:5" hidden="1" x14ac:dyDescent="0.3">
      <c r="A8275" t="s">
        <v>552</v>
      </c>
      <c r="B8275" t="s">
        <v>703</v>
      </c>
      <c r="C8275" t="s">
        <v>90</v>
      </c>
      <c r="D8275" s="226">
        <v>0</v>
      </c>
      <c r="E8275" t="s">
        <v>704</v>
      </c>
    </row>
    <row r="8276" spans="1:5" hidden="1" x14ac:dyDescent="0.3">
      <c r="A8276" t="s">
        <v>552</v>
      </c>
      <c r="B8276" t="s">
        <v>703</v>
      </c>
      <c r="C8276" t="s">
        <v>91</v>
      </c>
      <c r="D8276" s="226">
        <v>0</v>
      </c>
      <c r="E8276" t="s">
        <v>704</v>
      </c>
    </row>
    <row r="8277" spans="1:5" hidden="1" x14ac:dyDescent="0.3">
      <c r="A8277" t="s">
        <v>552</v>
      </c>
      <c r="B8277" t="s">
        <v>703</v>
      </c>
      <c r="C8277" t="s">
        <v>93</v>
      </c>
      <c r="D8277" s="226">
        <v>0</v>
      </c>
      <c r="E8277" t="s">
        <v>704</v>
      </c>
    </row>
    <row r="8278" spans="1:5" hidden="1" x14ac:dyDescent="0.3">
      <c r="A8278" t="s">
        <v>552</v>
      </c>
      <c r="B8278" t="s">
        <v>703</v>
      </c>
      <c r="C8278" t="s">
        <v>95</v>
      </c>
      <c r="D8278" s="226">
        <v>0</v>
      </c>
      <c r="E8278" t="s">
        <v>704</v>
      </c>
    </row>
    <row r="8279" spans="1:5" hidden="1" x14ac:dyDescent="0.3">
      <c r="A8279" t="s">
        <v>552</v>
      </c>
      <c r="B8279" t="s">
        <v>703</v>
      </c>
      <c r="C8279" t="s">
        <v>96</v>
      </c>
      <c r="D8279" s="226">
        <v>0</v>
      </c>
      <c r="E8279" t="s">
        <v>704</v>
      </c>
    </row>
    <row r="8280" spans="1:5" hidden="1" x14ac:dyDescent="0.3">
      <c r="A8280" t="s">
        <v>552</v>
      </c>
      <c r="B8280" t="s">
        <v>703</v>
      </c>
      <c r="C8280" t="s">
        <v>98</v>
      </c>
      <c r="D8280" s="226">
        <v>0</v>
      </c>
      <c r="E8280" t="s">
        <v>704</v>
      </c>
    </row>
    <row r="8281" spans="1:5" hidden="1" x14ac:dyDescent="0.3">
      <c r="A8281" t="s">
        <v>552</v>
      </c>
      <c r="B8281" t="s">
        <v>703</v>
      </c>
      <c r="C8281" t="s">
        <v>100</v>
      </c>
      <c r="D8281" s="226">
        <v>0</v>
      </c>
      <c r="E8281" t="s">
        <v>704</v>
      </c>
    </row>
    <row r="8282" spans="1:5" hidden="1" x14ac:dyDescent="0.3">
      <c r="A8282" t="s">
        <v>552</v>
      </c>
      <c r="B8282" t="s">
        <v>703</v>
      </c>
      <c r="C8282" t="s">
        <v>101</v>
      </c>
      <c r="D8282" s="226">
        <v>0</v>
      </c>
      <c r="E8282" t="s">
        <v>704</v>
      </c>
    </row>
    <row r="8283" spans="1:5" hidden="1" x14ac:dyDescent="0.3">
      <c r="A8283" t="s">
        <v>552</v>
      </c>
      <c r="B8283" t="s">
        <v>703</v>
      </c>
      <c r="C8283" t="s">
        <v>102</v>
      </c>
      <c r="D8283" s="226">
        <v>0</v>
      </c>
      <c r="E8283" t="s">
        <v>704</v>
      </c>
    </row>
    <row r="8284" spans="1:5" hidden="1" x14ac:dyDescent="0.3">
      <c r="A8284" t="s">
        <v>552</v>
      </c>
      <c r="B8284" t="s">
        <v>703</v>
      </c>
      <c r="C8284" t="s">
        <v>103</v>
      </c>
      <c r="D8284" s="226">
        <v>0</v>
      </c>
      <c r="E8284" t="s">
        <v>704</v>
      </c>
    </row>
    <row r="8285" spans="1:5" hidden="1" x14ac:dyDescent="0.3">
      <c r="A8285" t="s">
        <v>552</v>
      </c>
      <c r="B8285" t="s">
        <v>703</v>
      </c>
      <c r="C8285" t="s">
        <v>104</v>
      </c>
      <c r="D8285" s="226">
        <v>0</v>
      </c>
      <c r="E8285" t="s">
        <v>704</v>
      </c>
    </row>
    <row r="8286" spans="1:5" hidden="1" x14ac:dyDescent="0.3">
      <c r="A8286" t="s">
        <v>552</v>
      </c>
      <c r="B8286" t="s">
        <v>703</v>
      </c>
      <c r="C8286" t="s">
        <v>105</v>
      </c>
      <c r="D8286" s="226">
        <v>0</v>
      </c>
      <c r="E8286" t="s">
        <v>704</v>
      </c>
    </row>
    <row r="8287" spans="1:5" hidden="1" x14ac:dyDescent="0.3">
      <c r="A8287" t="s">
        <v>552</v>
      </c>
      <c r="B8287" t="s">
        <v>703</v>
      </c>
      <c r="C8287" t="s">
        <v>107</v>
      </c>
      <c r="D8287" s="226">
        <v>0</v>
      </c>
      <c r="E8287" t="s">
        <v>704</v>
      </c>
    </row>
    <row r="8288" spans="1:5" hidden="1" x14ac:dyDescent="0.3">
      <c r="A8288" t="s">
        <v>552</v>
      </c>
      <c r="B8288" t="s">
        <v>703</v>
      </c>
      <c r="C8288" t="s">
        <v>108</v>
      </c>
      <c r="D8288" s="226">
        <v>0</v>
      </c>
      <c r="E8288" t="s">
        <v>704</v>
      </c>
    </row>
    <row r="8289" spans="1:5" hidden="1" x14ac:dyDescent="0.3">
      <c r="A8289" t="s">
        <v>552</v>
      </c>
      <c r="B8289" t="s">
        <v>703</v>
      </c>
      <c r="C8289" t="s">
        <v>109</v>
      </c>
      <c r="D8289" s="226">
        <v>0</v>
      </c>
      <c r="E8289" t="s">
        <v>704</v>
      </c>
    </row>
    <row r="8290" spans="1:5" hidden="1" x14ac:dyDescent="0.3">
      <c r="A8290" t="s">
        <v>552</v>
      </c>
      <c r="B8290" t="s">
        <v>703</v>
      </c>
      <c r="C8290" t="s">
        <v>110</v>
      </c>
      <c r="D8290" s="226">
        <v>-0.3</v>
      </c>
      <c r="E8290" t="s">
        <v>704</v>
      </c>
    </row>
    <row r="8291" spans="1:5" hidden="1" x14ac:dyDescent="0.3">
      <c r="A8291" t="s">
        <v>552</v>
      </c>
      <c r="B8291" t="s">
        <v>703</v>
      </c>
      <c r="C8291" t="s">
        <v>44</v>
      </c>
      <c r="D8291" s="226">
        <v>0</v>
      </c>
      <c r="E8291" t="s">
        <v>704</v>
      </c>
    </row>
    <row r="8292" spans="1:5" hidden="1" x14ac:dyDescent="0.3">
      <c r="A8292" t="s">
        <v>552</v>
      </c>
      <c r="B8292" t="s">
        <v>703</v>
      </c>
      <c r="C8292" t="s">
        <v>111</v>
      </c>
      <c r="D8292" s="226">
        <v>-89270</v>
      </c>
      <c r="E8292" t="s">
        <v>704</v>
      </c>
    </row>
    <row r="8293" spans="1:5" hidden="1" x14ac:dyDescent="0.3">
      <c r="A8293" t="s">
        <v>552</v>
      </c>
      <c r="B8293" t="s">
        <v>703</v>
      </c>
      <c r="C8293" t="s">
        <v>555</v>
      </c>
      <c r="D8293" s="226">
        <v>-89270</v>
      </c>
      <c r="E8293" t="s">
        <v>704</v>
      </c>
    </row>
    <row r="8294" spans="1:5" hidden="1" x14ac:dyDescent="0.3">
      <c r="A8294" t="s">
        <v>552</v>
      </c>
      <c r="B8294" t="s">
        <v>703</v>
      </c>
      <c r="C8294" t="s">
        <v>44</v>
      </c>
      <c r="D8294" s="226">
        <v>-0.06</v>
      </c>
      <c r="E8294" t="s">
        <v>704</v>
      </c>
    </row>
    <row r="8295" spans="1:5" hidden="1" x14ac:dyDescent="0.3">
      <c r="A8295" t="s">
        <v>552</v>
      </c>
      <c r="B8295" t="s">
        <v>703</v>
      </c>
      <c r="C8295" t="s">
        <v>115</v>
      </c>
      <c r="D8295" s="226">
        <v>-47593.42</v>
      </c>
      <c r="E8295" t="s">
        <v>704</v>
      </c>
    </row>
    <row r="8296" spans="1:5" hidden="1" x14ac:dyDescent="0.3">
      <c r="A8296" t="s">
        <v>552</v>
      </c>
      <c r="B8296" t="s">
        <v>703</v>
      </c>
      <c r="C8296" t="s">
        <v>116</v>
      </c>
      <c r="D8296" s="226">
        <v>-32483.53</v>
      </c>
      <c r="E8296" t="s">
        <v>704</v>
      </c>
    </row>
    <row r="8297" spans="1:5" hidden="1" x14ac:dyDescent="0.3">
      <c r="A8297" t="s">
        <v>552</v>
      </c>
      <c r="B8297" t="s">
        <v>703</v>
      </c>
      <c r="C8297" t="s">
        <v>118</v>
      </c>
      <c r="D8297" s="226">
        <v>-15075.89</v>
      </c>
      <c r="E8297" t="s">
        <v>704</v>
      </c>
    </row>
    <row r="8298" spans="1:5" hidden="1" x14ac:dyDescent="0.3">
      <c r="A8298" t="s">
        <v>552</v>
      </c>
      <c r="B8298" t="s">
        <v>703</v>
      </c>
      <c r="C8298" t="s">
        <v>120</v>
      </c>
      <c r="D8298" s="226">
        <v>0</v>
      </c>
      <c r="E8298" t="s">
        <v>704</v>
      </c>
    </row>
    <row r="8299" spans="1:5" hidden="1" x14ac:dyDescent="0.3">
      <c r="A8299" t="s">
        <v>552</v>
      </c>
      <c r="B8299" t="s">
        <v>703</v>
      </c>
      <c r="C8299" t="s">
        <v>122</v>
      </c>
      <c r="D8299" s="226">
        <v>-34</v>
      </c>
      <c r="E8299" t="s">
        <v>704</v>
      </c>
    </row>
    <row r="8300" spans="1:5" hidden="1" x14ac:dyDescent="0.3">
      <c r="A8300" t="s">
        <v>552</v>
      </c>
      <c r="B8300" t="s">
        <v>703</v>
      </c>
      <c r="C8300" t="s">
        <v>44</v>
      </c>
      <c r="D8300" s="226">
        <v>-0.03</v>
      </c>
      <c r="E8300" t="s">
        <v>704</v>
      </c>
    </row>
    <row r="8301" spans="1:5" hidden="1" x14ac:dyDescent="0.3">
      <c r="A8301" t="s">
        <v>552</v>
      </c>
      <c r="B8301" t="s">
        <v>703</v>
      </c>
      <c r="C8301" t="s">
        <v>125</v>
      </c>
      <c r="D8301" s="226">
        <v>845536.86</v>
      </c>
      <c r="E8301" t="s">
        <v>704</v>
      </c>
    </row>
    <row r="8302" spans="1:5" hidden="1" x14ac:dyDescent="0.3">
      <c r="A8302" t="s">
        <v>552</v>
      </c>
      <c r="B8302" t="s">
        <v>703</v>
      </c>
      <c r="C8302" t="s">
        <v>126</v>
      </c>
      <c r="D8302" s="226">
        <v>0.56999999999999995</v>
      </c>
      <c r="E8302" t="s">
        <v>704</v>
      </c>
    </row>
    <row r="8303" spans="1:5" hidden="1" x14ac:dyDescent="0.3">
      <c r="A8303" t="s">
        <v>552</v>
      </c>
      <c r="B8303" t="s">
        <v>703</v>
      </c>
      <c r="C8303" t="s">
        <v>127</v>
      </c>
      <c r="D8303" s="226">
        <v>-346343.24</v>
      </c>
      <c r="E8303" t="s">
        <v>704</v>
      </c>
    </row>
    <row r="8304" spans="1:5" hidden="1" x14ac:dyDescent="0.3">
      <c r="A8304" t="s">
        <v>552</v>
      </c>
      <c r="B8304" t="s">
        <v>703</v>
      </c>
      <c r="C8304" t="s">
        <v>128</v>
      </c>
      <c r="D8304" s="226">
        <v>-49766</v>
      </c>
      <c r="E8304" t="s">
        <v>704</v>
      </c>
    </row>
    <row r="8305" spans="1:5" hidden="1" x14ac:dyDescent="0.3">
      <c r="A8305" t="s">
        <v>552</v>
      </c>
      <c r="B8305" t="s">
        <v>703</v>
      </c>
      <c r="C8305" t="s">
        <v>556</v>
      </c>
      <c r="D8305" s="226">
        <v>-10906</v>
      </c>
      <c r="E8305" t="s">
        <v>704</v>
      </c>
    </row>
    <row r="8306" spans="1:5" hidden="1" x14ac:dyDescent="0.3">
      <c r="A8306" t="s">
        <v>552</v>
      </c>
      <c r="B8306" t="s">
        <v>703</v>
      </c>
      <c r="C8306" t="s">
        <v>557</v>
      </c>
      <c r="D8306" s="226">
        <v>-6600</v>
      </c>
      <c r="E8306" t="s">
        <v>704</v>
      </c>
    </row>
    <row r="8307" spans="1:5" hidden="1" x14ac:dyDescent="0.3">
      <c r="A8307" t="s">
        <v>552</v>
      </c>
      <c r="B8307" t="s">
        <v>703</v>
      </c>
      <c r="C8307" t="s">
        <v>558</v>
      </c>
      <c r="D8307" s="226">
        <v>0</v>
      </c>
      <c r="E8307" t="s">
        <v>704</v>
      </c>
    </row>
    <row r="8308" spans="1:5" hidden="1" x14ac:dyDescent="0.3">
      <c r="A8308" t="s">
        <v>552</v>
      </c>
      <c r="B8308" t="s">
        <v>703</v>
      </c>
      <c r="C8308" t="s">
        <v>559</v>
      </c>
      <c r="D8308" s="226">
        <v>-15960</v>
      </c>
      <c r="E8308" t="s">
        <v>704</v>
      </c>
    </row>
    <row r="8309" spans="1:5" hidden="1" x14ac:dyDescent="0.3">
      <c r="A8309" t="s">
        <v>552</v>
      </c>
      <c r="B8309" t="s">
        <v>703</v>
      </c>
      <c r="C8309" t="s">
        <v>560</v>
      </c>
      <c r="D8309" s="226">
        <v>-3100</v>
      </c>
      <c r="E8309" t="s">
        <v>704</v>
      </c>
    </row>
    <row r="8310" spans="1:5" hidden="1" x14ac:dyDescent="0.3">
      <c r="A8310" t="s">
        <v>552</v>
      </c>
      <c r="B8310" t="s">
        <v>703</v>
      </c>
      <c r="C8310" t="s">
        <v>561</v>
      </c>
      <c r="D8310" s="226">
        <v>-5000</v>
      </c>
      <c r="E8310" t="s">
        <v>704</v>
      </c>
    </row>
    <row r="8311" spans="1:5" hidden="1" x14ac:dyDescent="0.3">
      <c r="A8311" t="s">
        <v>552</v>
      </c>
      <c r="B8311" t="s">
        <v>703</v>
      </c>
      <c r="C8311" t="s">
        <v>562</v>
      </c>
      <c r="D8311" s="226">
        <v>-4000</v>
      </c>
      <c r="E8311" t="s">
        <v>704</v>
      </c>
    </row>
    <row r="8312" spans="1:5" hidden="1" x14ac:dyDescent="0.3">
      <c r="A8312" t="s">
        <v>552</v>
      </c>
      <c r="B8312" t="s">
        <v>703</v>
      </c>
      <c r="C8312" t="s">
        <v>563</v>
      </c>
      <c r="D8312" s="226">
        <v>-4200</v>
      </c>
      <c r="E8312" t="s">
        <v>704</v>
      </c>
    </row>
    <row r="8313" spans="1:5" hidden="1" x14ac:dyDescent="0.3">
      <c r="A8313" t="s">
        <v>552</v>
      </c>
      <c r="B8313" t="s">
        <v>703</v>
      </c>
      <c r="C8313" t="s">
        <v>564</v>
      </c>
      <c r="D8313" s="226">
        <v>0</v>
      </c>
      <c r="E8313" t="s">
        <v>704</v>
      </c>
    </row>
    <row r="8314" spans="1:5" hidden="1" x14ac:dyDescent="0.3">
      <c r="A8314" t="s">
        <v>552</v>
      </c>
      <c r="B8314" t="s">
        <v>703</v>
      </c>
      <c r="C8314" t="s">
        <v>565</v>
      </c>
      <c r="D8314" s="226">
        <v>0</v>
      </c>
      <c r="E8314" t="s">
        <v>704</v>
      </c>
    </row>
    <row r="8315" spans="1:5" hidden="1" x14ac:dyDescent="0.3">
      <c r="A8315" t="s">
        <v>552</v>
      </c>
      <c r="B8315" t="s">
        <v>703</v>
      </c>
      <c r="C8315" t="s">
        <v>566</v>
      </c>
      <c r="D8315" s="226">
        <v>0</v>
      </c>
      <c r="E8315" t="s">
        <v>704</v>
      </c>
    </row>
    <row r="8316" spans="1:5" hidden="1" x14ac:dyDescent="0.3">
      <c r="A8316" t="s">
        <v>552</v>
      </c>
      <c r="B8316" t="s">
        <v>703</v>
      </c>
      <c r="C8316" t="s">
        <v>567</v>
      </c>
      <c r="D8316" s="226">
        <v>0</v>
      </c>
      <c r="E8316" t="s">
        <v>704</v>
      </c>
    </row>
    <row r="8317" spans="1:5" hidden="1" x14ac:dyDescent="0.3">
      <c r="A8317" t="s">
        <v>552</v>
      </c>
      <c r="B8317" t="s">
        <v>703</v>
      </c>
      <c r="C8317" t="s">
        <v>141</v>
      </c>
      <c r="D8317" s="226">
        <v>-52566.51</v>
      </c>
      <c r="E8317" t="s">
        <v>704</v>
      </c>
    </row>
    <row r="8318" spans="1:5" hidden="1" x14ac:dyDescent="0.3">
      <c r="A8318" t="s">
        <v>552</v>
      </c>
      <c r="B8318" t="s">
        <v>703</v>
      </c>
      <c r="C8318" t="s">
        <v>568</v>
      </c>
      <c r="D8318" s="226">
        <v>0</v>
      </c>
      <c r="E8318" t="s">
        <v>704</v>
      </c>
    </row>
    <row r="8319" spans="1:5" hidden="1" x14ac:dyDescent="0.3">
      <c r="A8319" t="s">
        <v>552</v>
      </c>
      <c r="B8319" t="s">
        <v>703</v>
      </c>
      <c r="C8319" t="s">
        <v>569</v>
      </c>
      <c r="D8319" s="226">
        <v>0</v>
      </c>
      <c r="E8319" t="s">
        <v>704</v>
      </c>
    </row>
    <row r="8320" spans="1:5" hidden="1" x14ac:dyDescent="0.3">
      <c r="A8320" t="s">
        <v>552</v>
      </c>
      <c r="B8320" t="s">
        <v>703</v>
      </c>
      <c r="C8320" t="s">
        <v>570</v>
      </c>
      <c r="D8320" s="226">
        <v>0</v>
      </c>
      <c r="E8320" t="s">
        <v>704</v>
      </c>
    </row>
    <row r="8321" spans="1:5" hidden="1" x14ac:dyDescent="0.3">
      <c r="A8321" t="s">
        <v>552</v>
      </c>
      <c r="B8321" t="s">
        <v>703</v>
      </c>
      <c r="C8321" t="s">
        <v>571</v>
      </c>
      <c r="D8321" s="226">
        <v>0</v>
      </c>
      <c r="E8321" t="s">
        <v>704</v>
      </c>
    </row>
    <row r="8322" spans="1:5" hidden="1" x14ac:dyDescent="0.3">
      <c r="A8322" t="s">
        <v>552</v>
      </c>
      <c r="B8322" t="s">
        <v>703</v>
      </c>
      <c r="C8322" t="s">
        <v>572</v>
      </c>
      <c r="D8322" s="226">
        <v>0</v>
      </c>
      <c r="E8322" t="s">
        <v>704</v>
      </c>
    </row>
    <row r="8323" spans="1:5" hidden="1" x14ac:dyDescent="0.3">
      <c r="A8323" t="s">
        <v>552</v>
      </c>
      <c r="B8323" t="s">
        <v>703</v>
      </c>
      <c r="C8323" t="s">
        <v>573</v>
      </c>
      <c r="D8323" s="226">
        <v>0</v>
      </c>
      <c r="E8323" t="s">
        <v>704</v>
      </c>
    </row>
    <row r="8324" spans="1:5" hidden="1" x14ac:dyDescent="0.3">
      <c r="A8324" t="s">
        <v>552</v>
      </c>
      <c r="B8324" t="s">
        <v>703</v>
      </c>
      <c r="C8324" t="s">
        <v>574</v>
      </c>
      <c r="D8324" s="226">
        <v>0</v>
      </c>
      <c r="E8324" t="s">
        <v>704</v>
      </c>
    </row>
    <row r="8325" spans="1:5" hidden="1" x14ac:dyDescent="0.3">
      <c r="A8325" t="s">
        <v>552</v>
      </c>
      <c r="B8325" t="s">
        <v>703</v>
      </c>
      <c r="C8325" t="s">
        <v>575</v>
      </c>
      <c r="D8325" s="226">
        <v>0</v>
      </c>
      <c r="E8325" t="s">
        <v>704</v>
      </c>
    </row>
    <row r="8326" spans="1:5" hidden="1" x14ac:dyDescent="0.3">
      <c r="A8326" t="s">
        <v>552</v>
      </c>
      <c r="B8326" t="s">
        <v>703</v>
      </c>
      <c r="C8326" t="s">
        <v>576</v>
      </c>
      <c r="D8326" s="226">
        <v>0</v>
      </c>
      <c r="E8326" t="s">
        <v>704</v>
      </c>
    </row>
    <row r="8327" spans="1:5" hidden="1" x14ac:dyDescent="0.3">
      <c r="A8327" t="s">
        <v>552</v>
      </c>
      <c r="B8327" t="s">
        <v>703</v>
      </c>
      <c r="C8327" t="s">
        <v>577</v>
      </c>
      <c r="D8327" s="226">
        <v>0</v>
      </c>
      <c r="E8327" t="s">
        <v>704</v>
      </c>
    </row>
    <row r="8328" spans="1:5" hidden="1" x14ac:dyDescent="0.3">
      <c r="A8328" t="s">
        <v>552</v>
      </c>
      <c r="B8328" t="s">
        <v>703</v>
      </c>
      <c r="C8328" t="s">
        <v>578</v>
      </c>
      <c r="D8328" s="226">
        <v>0</v>
      </c>
      <c r="E8328" t="s">
        <v>704</v>
      </c>
    </row>
    <row r="8329" spans="1:5" hidden="1" x14ac:dyDescent="0.3">
      <c r="A8329" t="s">
        <v>552</v>
      </c>
      <c r="B8329" t="s">
        <v>703</v>
      </c>
      <c r="C8329" t="s">
        <v>579</v>
      </c>
      <c r="D8329" s="226">
        <v>0</v>
      </c>
      <c r="E8329" t="s">
        <v>704</v>
      </c>
    </row>
    <row r="8330" spans="1:5" hidden="1" x14ac:dyDescent="0.3">
      <c r="A8330" t="s">
        <v>552</v>
      </c>
      <c r="B8330" t="s">
        <v>703</v>
      </c>
      <c r="C8330" t="s">
        <v>580</v>
      </c>
      <c r="D8330" s="226">
        <v>0</v>
      </c>
      <c r="E8330" t="s">
        <v>704</v>
      </c>
    </row>
    <row r="8331" spans="1:5" hidden="1" x14ac:dyDescent="0.3">
      <c r="A8331" t="s">
        <v>552</v>
      </c>
      <c r="B8331" t="s">
        <v>703</v>
      </c>
      <c r="C8331" t="s">
        <v>581</v>
      </c>
      <c r="D8331" s="226">
        <v>0</v>
      </c>
      <c r="E8331" t="s">
        <v>704</v>
      </c>
    </row>
    <row r="8332" spans="1:5" hidden="1" x14ac:dyDescent="0.3">
      <c r="A8332" t="s">
        <v>552</v>
      </c>
      <c r="B8332" t="s">
        <v>703</v>
      </c>
      <c r="C8332" t="s">
        <v>582</v>
      </c>
      <c r="D8332" s="226">
        <v>0</v>
      </c>
      <c r="E8332" t="s">
        <v>704</v>
      </c>
    </row>
    <row r="8333" spans="1:5" hidden="1" x14ac:dyDescent="0.3">
      <c r="A8333" t="s">
        <v>552</v>
      </c>
      <c r="B8333" t="s">
        <v>703</v>
      </c>
      <c r="C8333" t="s">
        <v>583</v>
      </c>
      <c r="D8333" s="226">
        <v>0</v>
      </c>
      <c r="E8333" t="s">
        <v>704</v>
      </c>
    </row>
    <row r="8334" spans="1:5" hidden="1" x14ac:dyDescent="0.3">
      <c r="A8334" t="s">
        <v>552</v>
      </c>
      <c r="B8334" t="s">
        <v>703</v>
      </c>
      <c r="C8334" t="s">
        <v>584</v>
      </c>
      <c r="D8334" s="226">
        <v>0</v>
      </c>
      <c r="E8334" t="s">
        <v>704</v>
      </c>
    </row>
    <row r="8335" spans="1:5" hidden="1" x14ac:dyDescent="0.3">
      <c r="A8335" t="s">
        <v>552</v>
      </c>
      <c r="B8335" t="s">
        <v>703</v>
      </c>
      <c r="C8335" t="s">
        <v>585</v>
      </c>
      <c r="D8335" s="226">
        <v>0</v>
      </c>
      <c r="E8335" t="s">
        <v>704</v>
      </c>
    </row>
    <row r="8336" spans="1:5" hidden="1" x14ac:dyDescent="0.3">
      <c r="A8336" t="s">
        <v>552</v>
      </c>
      <c r="B8336" t="s">
        <v>703</v>
      </c>
      <c r="C8336" t="s">
        <v>586</v>
      </c>
      <c r="D8336" s="226">
        <v>0</v>
      </c>
      <c r="E8336" t="s">
        <v>704</v>
      </c>
    </row>
    <row r="8337" spans="1:5" hidden="1" x14ac:dyDescent="0.3">
      <c r="A8337" t="s">
        <v>552</v>
      </c>
      <c r="B8337" t="s">
        <v>703</v>
      </c>
      <c r="C8337" t="s">
        <v>587</v>
      </c>
      <c r="D8337" s="226">
        <v>0</v>
      </c>
      <c r="E8337" t="s">
        <v>704</v>
      </c>
    </row>
    <row r="8338" spans="1:5" hidden="1" x14ac:dyDescent="0.3">
      <c r="A8338" t="s">
        <v>552</v>
      </c>
      <c r="B8338" t="s">
        <v>703</v>
      </c>
      <c r="C8338" t="s">
        <v>588</v>
      </c>
      <c r="D8338" s="226">
        <v>0</v>
      </c>
      <c r="E8338" t="s">
        <v>704</v>
      </c>
    </row>
    <row r="8339" spans="1:5" hidden="1" x14ac:dyDescent="0.3">
      <c r="A8339" t="s">
        <v>552</v>
      </c>
      <c r="B8339" t="s">
        <v>703</v>
      </c>
      <c r="C8339" t="s">
        <v>589</v>
      </c>
      <c r="D8339" s="226">
        <v>0</v>
      </c>
      <c r="E8339" t="s">
        <v>704</v>
      </c>
    </row>
    <row r="8340" spans="1:5" hidden="1" x14ac:dyDescent="0.3">
      <c r="A8340" t="s">
        <v>552</v>
      </c>
      <c r="B8340" t="s">
        <v>703</v>
      </c>
      <c r="C8340" t="s">
        <v>590</v>
      </c>
      <c r="D8340" s="226">
        <v>0</v>
      </c>
      <c r="E8340" t="s">
        <v>704</v>
      </c>
    </row>
    <row r="8341" spans="1:5" hidden="1" x14ac:dyDescent="0.3">
      <c r="A8341" t="s">
        <v>552</v>
      </c>
      <c r="B8341" t="s">
        <v>703</v>
      </c>
      <c r="C8341" t="s">
        <v>591</v>
      </c>
      <c r="D8341" s="226">
        <v>0</v>
      </c>
      <c r="E8341" t="s">
        <v>704</v>
      </c>
    </row>
    <row r="8342" spans="1:5" hidden="1" x14ac:dyDescent="0.3">
      <c r="A8342" t="s">
        <v>552</v>
      </c>
      <c r="B8342" t="s">
        <v>703</v>
      </c>
      <c r="C8342" t="s">
        <v>592</v>
      </c>
      <c r="D8342" s="226">
        <v>0</v>
      </c>
      <c r="E8342" t="s">
        <v>704</v>
      </c>
    </row>
    <row r="8343" spans="1:5" hidden="1" x14ac:dyDescent="0.3">
      <c r="A8343" t="s">
        <v>552</v>
      </c>
      <c r="B8343" t="s">
        <v>703</v>
      </c>
      <c r="C8343" t="s">
        <v>593</v>
      </c>
      <c r="D8343" s="226">
        <v>0</v>
      </c>
      <c r="E8343" t="s">
        <v>704</v>
      </c>
    </row>
    <row r="8344" spans="1:5" hidden="1" x14ac:dyDescent="0.3">
      <c r="A8344" t="s">
        <v>552</v>
      </c>
      <c r="B8344" t="s">
        <v>703</v>
      </c>
      <c r="C8344" t="s">
        <v>594</v>
      </c>
      <c r="D8344" s="226">
        <v>0</v>
      </c>
      <c r="E8344" t="s">
        <v>704</v>
      </c>
    </row>
    <row r="8345" spans="1:5" hidden="1" x14ac:dyDescent="0.3">
      <c r="A8345" t="s">
        <v>552</v>
      </c>
      <c r="B8345" t="s">
        <v>703</v>
      </c>
      <c r="C8345" t="s">
        <v>595</v>
      </c>
      <c r="D8345" s="226">
        <v>0</v>
      </c>
      <c r="E8345" t="s">
        <v>704</v>
      </c>
    </row>
    <row r="8346" spans="1:5" hidden="1" x14ac:dyDescent="0.3">
      <c r="A8346" t="s">
        <v>552</v>
      </c>
      <c r="B8346" t="s">
        <v>703</v>
      </c>
      <c r="C8346" t="s">
        <v>596</v>
      </c>
      <c r="D8346" s="226">
        <v>0</v>
      </c>
      <c r="E8346" t="s">
        <v>704</v>
      </c>
    </row>
    <row r="8347" spans="1:5" hidden="1" x14ac:dyDescent="0.3">
      <c r="A8347" t="s">
        <v>552</v>
      </c>
      <c r="B8347" t="s">
        <v>703</v>
      </c>
      <c r="C8347" t="s">
        <v>597</v>
      </c>
      <c r="D8347" s="226">
        <v>0</v>
      </c>
      <c r="E8347" t="s">
        <v>704</v>
      </c>
    </row>
    <row r="8348" spans="1:5" hidden="1" x14ac:dyDescent="0.3">
      <c r="A8348" t="s">
        <v>552</v>
      </c>
      <c r="B8348" t="s">
        <v>703</v>
      </c>
      <c r="C8348" t="s">
        <v>598</v>
      </c>
      <c r="D8348" s="226">
        <v>0</v>
      </c>
      <c r="E8348" t="s">
        <v>704</v>
      </c>
    </row>
    <row r="8349" spans="1:5" hidden="1" x14ac:dyDescent="0.3">
      <c r="A8349" t="s">
        <v>552</v>
      </c>
      <c r="B8349" t="s">
        <v>703</v>
      </c>
      <c r="C8349" t="s">
        <v>599</v>
      </c>
      <c r="D8349" s="226">
        <v>0</v>
      </c>
      <c r="E8349" t="s">
        <v>704</v>
      </c>
    </row>
    <row r="8350" spans="1:5" hidden="1" x14ac:dyDescent="0.3">
      <c r="A8350" t="s">
        <v>552</v>
      </c>
      <c r="B8350" t="s">
        <v>703</v>
      </c>
      <c r="C8350" t="s">
        <v>600</v>
      </c>
      <c r="D8350" s="226">
        <v>0</v>
      </c>
      <c r="E8350" t="s">
        <v>704</v>
      </c>
    </row>
    <row r="8351" spans="1:5" hidden="1" x14ac:dyDescent="0.3">
      <c r="A8351" t="s">
        <v>552</v>
      </c>
      <c r="B8351" t="s">
        <v>703</v>
      </c>
      <c r="C8351" t="s">
        <v>601</v>
      </c>
      <c r="D8351" s="226">
        <v>0</v>
      </c>
      <c r="E8351" t="s">
        <v>704</v>
      </c>
    </row>
    <row r="8352" spans="1:5" hidden="1" x14ac:dyDescent="0.3">
      <c r="A8352" t="s">
        <v>552</v>
      </c>
      <c r="B8352" t="s">
        <v>703</v>
      </c>
      <c r="C8352" t="s">
        <v>602</v>
      </c>
      <c r="D8352" s="226">
        <v>0</v>
      </c>
      <c r="E8352" t="s">
        <v>704</v>
      </c>
    </row>
    <row r="8353" spans="1:5" hidden="1" x14ac:dyDescent="0.3">
      <c r="A8353" t="s">
        <v>552</v>
      </c>
      <c r="B8353" t="s">
        <v>703</v>
      </c>
      <c r="C8353" t="s">
        <v>603</v>
      </c>
      <c r="D8353" s="226">
        <v>0</v>
      </c>
      <c r="E8353" t="s">
        <v>704</v>
      </c>
    </row>
    <row r="8354" spans="1:5" hidden="1" x14ac:dyDescent="0.3">
      <c r="A8354" t="s">
        <v>552</v>
      </c>
      <c r="B8354" t="s">
        <v>703</v>
      </c>
      <c r="C8354" t="s">
        <v>604</v>
      </c>
      <c r="D8354" s="226">
        <v>0</v>
      </c>
      <c r="E8354" t="s">
        <v>704</v>
      </c>
    </row>
    <row r="8355" spans="1:5" hidden="1" x14ac:dyDescent="0.3">
      <c r="A8355" t="s">
        <v>552</v>
      </c>
      <c r="B8355" t="s">
        <v>703</v>
      </c>
      <c r="C8355" t="s">
        <v>605</v>
      </c>
      <c r="D8355" s="226">
        <v>0</v>
      </c>
      <c r="E8355" t="s">
        <v>704</v>
      </c>
    </row>
    <row r="8356" spans="1:5" hidden="1" x14ac:dyDescent="0.3">
      <c r="A8356" t="s">
        <v>552</v>
      </c>
      <c r="B8356" t="s">
        <v>703</v>
      </c>
      <c r="C8356" t="s">
        <v>606</v>
      </c>
      <c r="D8356" s="226">
        <v>0</v>
      </c>
      <c r="E8356" t="s">
        <v>704</v>
      </c>
    </row>
    <row r="8357" spans="1:5" hidden="1" x14ac:dyDescent="0.3">
      <c r="A8357" t="s">
        <v>552</v>
      </c>
      <c r="B8357" t="s">
        <v>703</v>
      </c>
      <c r="C8357" t="s">
        <v>607</v>
      </c>
      <c r="D8357" s="226">
        <v>0</v>
      </c>
      <c r="E8357" t="s">
        <v>704</v>
      </c>
    </row>
    <row r="8358" spans="1:5" hidden="1" x14ac:dyDescent="0.3">
      <c r="A8358" t="s">
        <v>552</v>
      </c>
      <c r="B8358" t="s">
        <v>703</v>
      </c>
      <c r="C8358" t="s">
        <v>608</v>
      </c>
      <c r="D8358" s="226">
        <v>0</v>
      </c>
      <c r="E8358" t="s">
        <v>704</v>
      </c>
    </row>
    <row r="8359" spans="1:5" hidden="1" x14ac:dyDescent="0.3">
      <c r="A8359" t="s">
        <v>552</v>
      </c>
      <c r="B8359" t="s">
        <v>703</v>
      </c>
      <c r="C8359" t="s">
        <v>609</v>
      </c>
      <c r="D8359" s="226">
        <v>0</v>
      </c>
      <c r="E8359" t="s">
        <v>704</v>
      </c>
    </row>
    <row r="8360" spans="1:5" hidden="1" x14ac:dyDescent="0.3">
      <c r="A8360" t="s">
        <v>552</v>
      </c>
      <c r="B8360" t="s">
        <v>703</v>
      </c>
      <c r="C8360" t="s">
        <v>610</v>
      </c>
      <c r="D8360" s="226">
        <v>0</v>
      </c>
      <c r="E8360" t="s">
        <v>704</v>
      </c>
    </row>
    <row r="8361" spans="1:5" hidden="1" x14ac:dyDescent="0.3">
      <c r="A8361" t="s">
        <v>552</v>
      </c>
      <c r="B8361" t="s">
        <v>703</v>
      </c>
      <c r="C8361" t="s">
        <v>611</v>
      </c>
      <c r="D8361" s="226">
        <v>0</v>
      </c>
      <c r="E8361" t="s">
        <v>704</v>
      </c>
    </row>
    <row r="8362" spans="1:5" hidden="1" x14ac:dyDescent="0.3">
      <c r="A8362" t="s">
        <v>552</v>
      </c>
      <c r="B8362" t="s">
        <v>703</v>
      </c>
      <c r="C8362" t="s">
        <v>612</v>
      </c>
      <c r="D8362" s="226">
        <v>0</v>
      </c>
      <c r="E8362" t="s">
        <v>704</v>
      </c>
    </row>
    <row r="8363" spans="1:5" hidden="1" x14ac:dyDescent="0.3">
      <c r="A8363" t="s">
        <v>552</v>
      </c>
      <c r="B8363" t="s">
        <v>703</v>
      </c>
      <c r="C8363" t="s">
        <v>613</v>
      </c>
      <c r="D8363" s="226">
        <v>0</v>
      </c>
      <c r="E8363" t="s">
        <v>704</v>
      </c>
    </row>
    <row r="8364" spans="1:5" hidden="1" x14ac:dyDescent="0.3">
      <c r="A8364" t="s">
        <v>552</v>
      </c>
      <c r="B8364" t="s">
        <v>703</v>
      </c>
      <c r="C8364" t="s">
        <v>614</v>
      </c>
      <c r="D8364" s="226">
        <v>0</v>
      </c>
      <c r="E8364" t="s">
        <v>704</v>
      </c>
    </row>
    <row r="8365" spans="1:5" hidden="1" x14ac:dyDescent="0.3">
      <c r="A8365" t="s">
        <v>552</v>
      </c>
      <c r="B8365" t="s">
        <v>703</v>
      </c>
      <c r="C8365" t="s">
        <v>615</v>
      </c>
      <c r="D8365" s="226">
        <v>0</v>
      </c>
      <c r="E8365" t="s">
        <v>704</v>
      </c>
    </row>
    <row r="8366" spans="1:5" hidden="1" x14ac:dyDescent="0.3">
      <c r="A8366" t="s">
        <v>552</v>
      </c>
      <c r="B8366" t="s">
        <v>703</v>
      </c>
      <c r="C8366" t="s">
        <v>616</v>
      </c>
      <c r="D8366" s="226">
        <v>0</v>
      </c>
      <c r="E8366" t="s">
        <v>704</v>
      </c>
    </row>
    <row r="8367" spans="1:5" hidden="1" x14ac:dyDescent="0.3">
      <c r="A8367" t="s">
        <v>552</v>
      </c>
      <c r="B8367" t="s">
        <v>703</v>
      </c>
      <c r="C8367" t="s">
        <v>617</v>
      </c>
      <c r="D8367" s="226">
        <v>0</v>
      </c>
      <c r="E8367" t="s">
        <v>704</v>
      </c>
    </row>
    <row r="8368" spans="1:5" hidden="1" x14ac:dyDescent="0.3">
      <c r="A8368" t="s">
        <v>552</v>
      </c>
      <c r="B8368" t="s">
        <v>703</v>
      </c>
      <c r="C8368" t="s">
        <v>618</v>
      </c>
      <c r="D8368" s="226">
        <v>0</v>
      </c>
      <c r="E8368" t="s">
        <v>704</v>
      </c>
    </row>
    <row r="8369" spans="1:5" hidden="1" x14ac:dyDescent="0.3">
      <c r="A8369" t="s">
        <v>552</v>
      </c>
      <c r="B8369" t="s">
        <v>703</v>
      </c>
      <c r="C8369" t="s">
        <v>619</v>
      </c>
      <c r="D8369" s="226">
        <v>0</v>
      </c>
      <c r="E8369" t="s">
        <v>704</v>
      </c>
    </row>
    <row r="8370" spans="1:5" hidden="1" x14ac:dyDescent="0.3">
      <c r="A8370" t="s">
        <v>552</v>
      </c>
      <c r="B8370" t="s">
        <v>703</v>
      </c>
      <c r="C8370" t="s">
        <v>620</v>
      </c>
      <c r="D8370" s="226">
        <v>0</v>
      </c>
      <c r="E8370" t="s">
        <v>704</v>
      </c>
    </row>
    <row r="8371" spans="1:5" hidden="1" x14ac:dyDescent="0.3">
      <c r="A8371" t="s">
        <v>552</v>
      </c>
      <c r="B8371" t="s">
        <v>703</v>
      </c>
      <c r="C8371" t="s">
        <v>621</v>
      </c>
      <c r="D8371" s="226">
        <v>0</v>
      </c>
      <c r="E8371" t="s">
        <v>704</v>
      </c>
    </row>
    <row r="8372" spans="1:5" hidden="1" x14ac:dyDescent="0.3">
      <c r="A8372" t="s">
        <v>552</v>
      </c>
      <c r="B8372" t="s">
        <v>703</v>
      </c>
      <c r="C8372" t="s">
        <v>622</v>
      </c>
      <c r="D8372" s="226">
        <v>0</v>
      </c>
      <c r="E8372" t="s">
        <v>704</v>
      </c>
    </row>
    <row r="8373" spans="1:5" hidden="1" x14ac:dyDescent="0.3">
      <c r="A8373" t="s">
        <v>552</v>
      </c>
      <c r="B8373" t="s">
        <v>703</v>
      </c>
      <c r="C8373" t="s">
        <v>623</v>
      </c>
      <c r="D8373" s="226">
        <v>0</v>
      </c>
      <c r="E8373" t="s">
        <v>704</v>
      </c>
    </row>
    <row r="8374" spans="1:5" hidden="1" x14ac:dyDescent="0.3">
      <c r="A8374" t="s">
        <v>552</v>
      </c>
      <c r="B8374" t="s">
        <v>703</v>
      </c>
      <c r="C8374" t="s">
        <v>624</v>
      </c>
      <c r="D8374" s="226">
        <v>0</v>
      </c>
      <c r="E8374" t="s">
        <v>704</v>
      </c>
    </row>
    <row r="8375" spans="1:5" hidden="1" x14ac:dyDescent="0.3">
      <c r="A8375" t="s">
        <v>552</v>
      </c>
      <c r="B8375" t="s">
        <v>703</v>
      </c>
      <c r="C8375" t="s">
        <v>200</v>
      </c>
      <c r="D8375" s="226">
        <v>-134308.03</v>
      </c>
      <c r="E8375" t="s">
        <v>704</v>
      </c>
    </row>
    <row r="8376" spans="1:5" hidden="1" x14ac:dyDescent="0.3">
      <c r="A8376" t="s">
        <v>552</v>
      </c>
      <c r="B8376" t="s">
        <v>703</v>
      </c>
      <c r="C8376" t="s">
        <v>202</v>
      </c>
      <c r="D8376" s="226">
        <v>-134308.03</v>
      </c>
      <c r="E8376" t="s">
        <v>704</v>
      </c>
    </row>
    <row r="8377" spans="1:5" hidden="1" x14ac:dyDescent="0.3">
      <c r="A8377" t="s">
        <v>552</v>
      </c>
      <c r="B8377" t="s">
        <v>703</v>
      </c>
      <c r="C8377" t="s">
        <v>625</v>
      </c>
      <c r="D8377" s="226">
        <v>67154.02</v>
      </c>
      <c r="E8377" t="s">
        <v>704</v>
      </c>
    </row>
    <row r="8378" spans="1:5" hidden="1" x14ac:dyDescent="0.3">
      <c r="A8378" t="s">
        <v>552</v>
      </c>
      <c r="B8378" t="s">
        <v>703</v>
      </c>
      <c r="C8378" t="s">
        <v>204</v>
      </c>
      <c r="D8378" s="226">
        <v>-60833.04</v>
      </c>
      <c r="E8378" t="s">
        <v>704</v>
      </c>
    </row>
    <row r="8379" spans="1:5" hidden="1" x14ac:dyDescent="0.3">
      <c r="A8379" t="s">
        <v>552</v>
      </c>
      <c r="B8379" t="s">
        <v>703</v>
      </c>
      <c r="C8379" t="s">
        <v>626</v>
      </c>
      <c r="D8379" s="226">
        <v>-22462.46</v>
      </c>
      <c r="E8379" t="s">
        <v>704</v>
      </c>
    </row>
    <row r="8380" spans="1:5" hidden="1" x14ac:dyDescent="0.3">
      <c r="A8380" t="s">
        <v>552</v>
      </c>
      <c r="B8380" t="s">
        <v>703</v>
      </c>
      <c r="C8380" t="s">
        <v>627</v>
      </c>
      <c r="D8380" s="226">
        <v>0</v>
      </c>
      <c r="E8380" t="s">
        <v>704</v>
      </c>
    </row>
    <row r="8381" spans="1:5" hidden="1" x14ac:dyDescent="0.3">
      <c r="A8381" t="s">
        <v>552</v>
      </c>
      <c r="B8381" t="s">
        <v>703</v>
      </c>
      <c r="C8381" t="s">
        <v>628</v>
      </c>
      <c r="D8381" s="226">
        <v>0</v>
      </c>
      <c r="E8381" t="s">
        <v>704</v>
      </c>
    </row>
    <row r="8382" spans="1:5" hidden="1" x14ac:dyDescent="0.3">
      <c r="A8382" t="s">
        <v>552</v>
      </c>
      <c r="B8382" t="s">
        <v>703</v>
      </c>
      <c r="C8382" t="s">
        <v>629</v>
      </c>
      <c r="D8382" s="226">
        <v>-4998.47</v>
      </c>
      <c r="E8382" t="s">
        <v>704</v>
      </c>
    </row>
    <row r="8383" spans="1:5" hidden="1" x14ac:dyDescent="0.3">
      <c r="A8383" t="s">
        <v>552</v>
      </c>
      <c r="B8383" t="s">
        <v>703</v>
      </c>
      <c r="C8383" t="s">
        <v>630</v>
      </c>
      <c r="D8383" s="226">
        <v>-17121.39</v>
      </c>
      <c r="E8383" t="s">
        <v>704</v>
      </c>
    </row>
    <row r="8384" spans="1:5" hidden="1" x14ac:dyDescent="0.3">
      <c r="A8384" t="s">
        <v>552</v>
      </c>
      <c r="B8384" t="s">
        <v>703</v>
      </c>
      <c r="C8384" t="s">
        <v>631</v>
      </c>
      <c r="D8384" s="226">
        <v>-44.49</v>
      </c>
      <c r="E8384" t="s">
        <v>704</v>
      </c>
    </row>
    <row r="8385" spans="1:5" hidden="1" x14ac:dyDescent="0.3">
      <c r="A8385" t="s">
        <v>552</v>
      </c>
      <c r="B8385" t="s">
        <v>703</v>
      </c>
      <c r="C8385" t="s">
        <v>632</v>
      </c>
      <c r="D8385" s="226">
        <v>0</v>
      </c>
      <c r="E8385" t="s">
        <v>704</v>
      </c>
    </row>
    <row r="8386" spans="1:5" hidden="1" x14ac:dyDescent="0.3">
      <c r="A8386" t="s">
        <v>552</v>
      </c>
      <c r="B8386" t="s">
        <v>703</v>
      </c>
      <c r="C8386" t="s">
        <v>633</v>
      </c>
      <c r="D8386" s="226">
        <v>0</v>
      </c>
      <c r="E8386" t="s">
        <v>704</v>
      </c>
    </row>
    <row r="8387" spans="1:5" hidden="1" x14ac:dyDescent="0.3">
      <c r="A8387" t="s">
        <v>552</v>
      </c>
      <c r="B8387" t="s">
        <v>703</v>
      </c>
      <c r="C8387" t="s">
        <v>634</v>
      </c>
      <c r="D8387" s="226">
        <v>0</v>
      </c>
      <c r="E8387" t="s">
        <v>704</v>
      </c>
    </row>
    <row r="8388" spans="1:5" hidden="1" x14ac:dyDescent="0.3">
      <c r="A8388" t="s">
        <v>552</v>
      </c>
      <c r="B8388" t="s">
        <v>703</v>
      </c>
      <c r="C8388" t="s">
        <v>635</v>
      </c>
      <c r="D8388" s="226">
        <v>-9308.48</v>
      </c>
      <c r="E8388" t="s">
        <v>704</v>
      </c>
    </row>
    <row r="8389" spans="1:5" hidden="1" x14ac:dyDescent="0.3">
      <c r="A8389" t="s">
        <v>552</v>
      </c>
      <c r="B8389" t="s">
        <v>703</v>
      </c>
      <c r="C8389" t="s">
        <v>636</v>
      </c>
      <c r="D8389" s="226">
        <v>-1897.75</v>
      </c>
      <c r="E8389" t="s">
        <v>704</v>
      </c>
    </row>
    <row r="8390" spans="1:5" hidden="1" x14ac:dyDescent="0.3">
      <c r="A8390" t="s">
        <v>552</v>
      </c>
      <c r="B8390" t="s">
        <v>703</v>
      </c>
      <c r="C8390" t="s">
        <v>637</v>
      </c>
      <c r="D8390" s="226">
        <v>-5000</v>
      </c>
      <c r="E8390" t="s">
        <v>704</v>
      </c>
    </row>
    <row r="8391" spans="1:5" hidden="1" x14ac:dyDescent="0.3">
      <c r="A8391" t="s">
        <v>552</v>
      </c>
      <c r="B8391" t="s">
        <v>703</v>
      </c>
      <c r="C8391" t="s">
        <v>638</v>
      </c>
      <c r="D8391" s="226">
        <v>0</v>
      </c>
      <c r="E8391" t="s">
        <v>704</v>
      </c>
    </row>
    <row r="8392" spans="1:5" hidden="1" x14ac:dyDescent="0.3">
      <c r="A8392" t="s">
        <v>552</v>
      </c>
      <c r="B8392" t="s">
        <v>703</v>
      </c>
      <c r="C8392" t="s">
        <v>639</v>
      </c>
      <c r="D8392" s="226">
        <v>0</v>
      </c>
      <c r="E8392" t="s">
        <v>704</v>
      </c>
    </row>
    <row r="8393" spans="1:5" hidden="1" x14ac:dyDescent="0.3">
      <c r="A8393" t="s">
        <v>552</v>
      </c>
      <c r="B8393" t="s">
        <v>703</v>
      </c>
      <c r="C8393" t="s">
        <v>640</v>
      </c>
      <c r="D8393" s="226">
        <v>0</v>
      </c>
      <c r="E8393" t="s">
        <v>704</v>
      </c>
    </row>
    <row r="8394" spans="1:5" hidden="1" x14ac:dyDescent="0.3">
      <c r="A8394" t="s">
        <v>552</v>
      </c>
      <c r="B8394" t="s">
        <v>703</v>
      </c>
      <c r="C8394" t="s">
        <v>641</v>
      </c>
      <c r="D8394" s="226">
        <v>0</v>
      </c>
      <c r="E8394" t="s">
        <v>704</v>
      </c>
    </row>
    <row r="8395" spans="1:5" hidden="1" x14ac:dyDescent="0.3">
      <c r="A8395" t="s">
        <v>552</v>
      </c>
      <c r="B8395" t="s">
        <v>703</v>
      </c>
      <c r="C8395" t="s">
        <v>237</v>
      </c>
      <c r="D8395" s="226">
        <v>-11822.16</v>
      </c>
      <c r="E8395" t="s">
        <v>704</v>
      </c>
    </row>
    <row r="8396" spans="1:5" hidden="1" x14ac:dyDescent="0.3">
      <c r="A8396" t="s">
        <v>552</v>
      </c>
      <c r="B8396" t="s">
        <v>703</v>
      </c>
      <c r="C8396" t="s">
        <v>642</v>
      </c>
      <c r="D8396" s="226">
        <v>-11434.54</v>
      </c>
      <c r="E8396" t="s">
        <v>704</v>
      </c>
    </row>
    <row r="8397" spans="1:5" hidden="1" x14ac:dyDescent="0.3">
      <c r="A8397" t="s">
        <v>552</v>
      </c>
      <c r="B8397" t="s">
        <v>703</v>
      </c>
      <c r="C8397" t="s">
        <v>643</v>
      </c>
      <c r="D8397" s="226">
        <v>0</v>
      </c>
      <c r="E8397" t="s">
        <v>704</v>
      </c>
    </row>
    <row r="8398" spans="1:5" hidden="1" x14ac:dyDescent="0.3">
      <c r="A8398" t="s">
        <v>552</v>
      </c>
      <c r="B8398" t="s">
        <v>703</v>
      </c>
      <c r="C8398" t="s">
        <v>644</v>
      </c>
      <c r="D8398" s="226">
        <v>0</v>
      </c>
      <c r="E8398" t="s">
        <v>704</v>
      </c>
    </row>
    <row r="8399" spans="1:5" hidden="1" x14ac:dyDescent="0.3">
      <c r="A8399" t="s">
        <v>552</v>
      </c>
      <c r="B8399" t="s">
        <v>703</v>
      </c>
      <c r="C8399" t="s">
        <v>645</v>
      </c>
      <c r="D8399" s="226">
        <v>-387.62</v>
      </c>
      <c r="E8399" t="s">
        <v>704</v>
      </c>
    </row>
    <row r="8400" spans="1:5" hidden="1" x14ac:dyDescent="0.3">
      <c r="A8400" t="s">
        <v>552</v>
      </c>
      <c r="B8400" t="s">
        <v>703</v>
      </c>
      <c r="C8400" t="s">
        <v>646</v>
      </c>
      <c r="D8400" s="226">
        <v>0</v>
      </c>
      <c r="E8400" t="s">
        <v>704</v>
      </c>
    </row>
    <row r="8401" spans="1:5" hidden="1" x14ac:dyDescent="0.3">
      <c r="A8401" t="s">
        <v>552</v>
      </c>
      <c r="B8401" t="s">
        <v>703</v>
      </c>
      <c r="C8401" t="s">
        <v>244</v>
      </c>
      <c r="D8401" s="226">
        <v>-37047.5</v>
      </c>
      <c r="E8401" t="s">
        <v>704</v>
      </c>
    </row>
    <row r="8402" spans="1:5" hidden="1" x14ac:dyDescent="0.3">
      <c r="A8402" t="s">
        <v>552</v>
      </c>
      <c r="B8402" t="s">
        <v>703</v>
      </c>
      <c r="C8402" t="s">
        <v>647</v>
      </c>
      <c r="D8402" s="226">
        <v>0</v>
      </c>
      <c r="E8402" t="s">
        <v>704</v>
      </c>
    </row>
    <row r="8403" spans="1:5" hidden="1" x14ac:dyDescent="0.3">
      <c r="A8403" t="s">
        <v>552</v>
      </c>
      <c r="B8403" t="s">
        <v>703</v>
      </c>
      <c r="C8403" t="s">
        <v>648</v>
      </c>
      <c r="D8403" s="226">
        <v>-404.42</v>
      </c>
      <c r="E8403" t="s">
        <v>704</v>
      </c>
    </row>
    <row r="8404" spans="1:5" hidden="1" x14ac:dyDescent="0.3">
      <c r="A8404" t="s">
        <v>552</v>
      </c>
      <c r="B8404" t="s">
        <v>703</v>
      </c>
      <c r="C8404" t="s">
        <v>649</v>
      </c>
      <c r="D8404" s="226">
        <v>0</v>
      </c>
      <c r="E8404" t="s">
        <v>704</v>
      </c>
    </row>
    <row r="8405" spans="1:5" hidden="1" x14ac:dyDescent="0.3">
      <c r="A8405" t="s">
        <v>552</v>
      </c>
      <c r="B8405" t="s">
        <v>703</v>
      </c>
      <c r="C8405" t="s">
        <v>650</v>
      </c>
      <c r="D8405" s="226">
        <v>-2400</v>
      </c>
      <c r="E8405" t="s">
        <v>704</v>
      </c>
    </row>
    <row r="8406" spans="1:5" hidden="1" x14ac:dyDescent="0.3">
      <c r="A8406" t="s">
        <v>552</v>
      </c>
      <c r="B8406" t="s">
        <v>703</v>
      </c>
      <c r="C8406" t="s">
        <v>651</v>
      </c>
      <c r="D8406" s="226">
        <v>0</v>
      </c>
      <c r="E8406" t="s">
        <v>704</v>
      </c>
    </row>
    <row r="8407" spans="1:5" hidden="1" x14ac:dyDescent="0.3">
      <c r="A8407" t="s">
        <v>552</v>
      </c>
      <c r="B8407" t="s">
        <v>703</v>
      </c>
      <c r="C8407" t="s">
        <v>652</v>
      </c>
      <c r="D8407" s="226">
        <v>-34243.08</v>
      </c>
      <c r="E8407" t="s">
        <v>704</v>
      </c>
    </row>
    <row r="8408" spans="1:5" hidden="1" x14ac:dyDescent="0.3">
      <c r="A8408" t="s">
        <v>552</v>
      </c>
      <c r="B8408" t="s">
        <v>703</v>
      </c>
      <c r="C8408" t="s">
        <v>653</v>
      </c>
      <c r="D8408" s="226">
        <v>0</v>
      </c>
      <c r="E8408" t="s">
        <v>704</v>
      </c>
    </row>
    <row r="8409" spans="1:5" hidden="1" x14ac:dyDescent="0.3">
      <c r="A8409" t="s">
        <v>552</v>
      </c>
      <c r="B8409" t="s">
        <v>703</v>
      </c>
      <c r="C8409" t="s">
        <v>253</v>
      </c>
      <c r="D8409" s="226">
        <v>-0.23</v>
      </c>
      <c r="E8409" t="s">
        <v>704</v>
      </c>
    </row>
    <row r="8410" spans="1:5" hidden="1" x14ac:dyDescent="0.3">
      <c r="A8410" t="s">
        <v>552</v>
      </c>
      <c r="B8410" t="s">
        <v>703</v>
      </c>
      <c r="C8410" t="s">
        <v>254</v>
      </c>
      <c r="D8410" s="226">
        <v>-0.23</v>
      </c>
      <c r="E8410" t="s">
        <v>704</v>
      </c>
    </row>
    <row r="8411" spans="1:5" hidden="1" x14ac:dyDescent="0.3">
      <c r="A8411" t="s">
        <v>552</v>
      </c>
      <c r="B8411" t="s">
        <v>703</v>
      </c>
      <c r="C8411" t="s">
        <v>255</v>
      </c>
      <c r="D8411" s="226">
        <v>-56050.04</v>
      </c>
      <c r="E8411" t="s">
        <v>704</v>
      </c>
    </row>
    <row r="8412" spans="1:5" hidden="1" x14ac:dyDescent="0.3">
      <c r="A8412" t="s">
        <v>552</v>
      </c>
      <c r="B8412" t="s">
        <v>703</v>
      </c>
      <c r="C8412" t="s">
        <v>256</v>
      </c>
      <c r="D8412" s="226">
        <v>-33872.5</v>
      </c>
      <c r="E8412" t="s">
        <v>704</v>
      </c>
    </row>
    <row r="8413" spans="1:5" hidden="1" x14ac:dyDescent="0.3">
      <c r="A8413" t="s">
        <v>552</v>
      </c>
      <c r="B8413" t="s">
        <v>703</v>
      </c>
      <c r="C8413" t="s">
        <v>257</v>
      </c>
      <c r="D8413" s="226">
        <v>-19120.98</v>
      </c>
      <c r="E8413" t="s">
        <v>704</v>
      </c>
    </row>
    <row r="8414" spans="1:5" hidden="1" x14ac:dyDescent="0.3">
      <c r="A8414" t="s">
        <v>552</v>
      </c>
      <c r="B8414" t="s">
        <v>703</v>
      </c>
      <c r="C8414" t="s">
        <v>258</v>
      </c>
      <c r="D8414" s="226">
        <v>-2188.37</v>
      </c>
      <c r="E8414" t="s">
        <v>704</v>
      </c>
    </row>
    <row r="8415" spans="1:5" hidden="1" x14ac:dyDescent="0.3">
      <c r="A8415" t="s">
        <v>552</v>
      </c>
      <c r="B8415" t="s">
        <v>703</v>
      </c>
      <c r="C8415" t="s">
        <v>259</v>
      </c>
      <c r="D8415" s="226">
        <v>0</v>
      </c>
      <c r="E8415" t="s">
        <v>704</v>
      </c>
    </row>
    <row r="8416" spans="1:5" hidden="1" x14ac:dyDescent="0.3">
      <c r="A8416" t="s">
        <v>552</v>
      </c>
      <c r="B8416" t="s">
        <v>703</v>
      </c>
      <c r="C8416" t="s">
        <v>260</v>
      </c>
      <c r="D8416" s="226">
        <v>-868.19</v>
      </c>
      <c r="E8416" t="s">
        <v>704</v>
      </c>
    </row>
    <row r="8417" spans="1:5" hidden="1" x14ac:dyDescent="0.3">
      <c r="A8417" t="s">
        <v>552</v>
      </c>
      <c r="B8417" t="s">
        <v>703</v>
      </c>
      <c r="C8417" t="s">
        <v>261</v>
      </c>
      <c r="D8417" s="226">
        <v>0</v>
      </c>
      <c r="E8417" t="s">
        <v>704</v>
      </c>
    </row>
    <row r="8418" spans="1:5" hidden="1" x14ac:dyDescent="0.3">
      <c r="A8418" t="s">
        <v>552</v>
      </c>
      <c r="B8418" t="s">
        <v>703</v>
      </c>
      <c r="C8418" t="s">
        <v>262</v>
      </c>
      <c r="D8418" s="226">
        <v>0</v>
      </c>
      <c r="E8418" t="s">
        <v>704</v>
      </c>
    </row>
    <row r="8419" spans="1:5" hidden="1" x14ac:dyDescent="0.3">
      <c r="A8419" t="s">
        <v>552</v>
      </c>
      <c r="B8419" t="s">
        <v>703</v>
      </c>
      <c r="C8419" t="s">
        <v>44</v>
      </c>
      <c r="D8419" s="226">
        <v>-0.04</v>
      </c>
      <c r="E8419" t="s">
        <v>704</v>
      </c>
    </row>
    <row r="8420" spans="1:5" hidden="1" x14ac:dyDescent="0.3">
      <c r="A8420" t="s">
        <v>552</v>
      </c>
      <c r="B8420" t="s">
        <v>703</v>
      </c>
      <c r="C8420" t="s">
        <v>263</v>
      </c>
      <c r="D8420" s="226">
        <v>-84404.22</v>
      </c>
      <c r="E8420" t="s">
        <v>704</v>
      </c>
    </row>
    <row r="8421" spans="1:5" hidden="1" x14ac:dyDescent="0.3">
      <c r="A8421" t="s">
        <v>552</v>
      </c>
      <c r="B8421" t="s">
        <v>703</v>
      </c>
      <c r="C8421" t="s">
        <v>264</v>
      </c>
      <c r="D8421" s="226">
        <v>-17169.61</v>
      </c>
      <c r="E8421" t="s">
        <v>704</v>
      </c>
    </row>
    <row r="8422" spans="1:5" hidden="1" x14ac:dyDescent="0.3">
      <c r="A8422" t="s">
        <v>552</v>
      </c>
      <c r="B8422" t="s">
        <v>703</v>
      </c>
      <c r="C8422" t="s">
        <v>265</v>
      </c>
      <c r="D8422" s="226">
        <v>-19371.419999999998</v>
      </c>
      <c r="E8422" t="s">
        <v>704</v>
      </c>
    </row>
    <row r="8423" spans="1:5" hidden="1" x14ac:dyDescent="0.3">
      <c r="A8423" t="s">
        <v>552</v>
      </c>
      <c r="B8423" t="s">
        <v>703</v>
      </c>
      <c r="C8423" t="s">
        <v>266</v>
      </c>
      <c r="D8423" s="226">
        <v>-13384.83</v>
      </c>
      <c r="E8423" t="s">
        <v>704</v>
      </c>
    </row>
    <row r="8424" spans="1:5" hidden="1" x14ac:dyDescent="0.3">
      <c r="A8424" t="s">
        <v>552</v>
      </c>
      <c r="B8424" t="s">
        <v>703</v>
      </c>
      <c r="C8424" t="s">
        <v>267</v>
      </c>
      <c r="D8424" s="226">
        <v>-15819.47</v>
      </c>
      <c r="E8424" t="s">
        <v>704</v>
      </c>
    </row>
    <row r="8425" spans="1:5" hidden="1" x14ac:dyDescent="0.3">
      <c r="A8425" t="s">
        <v>552</v>
      </c>
      <c r="B8425" t="s">
        <v>703</v>
      </c>
      <c r="C8425" t="s">
        <v>268</v>
      </c>
      <c r="D8425" s="226">
        <v>0</v>
      </c>
      <c r="E8425" t="s">
        <v>704</v>
      </c>
    </row>
    <row r="8426" spans="1:5" hidden="1" x14ac:dyDescent="0.3">
      <c r="A8426" t="s">
        <v>552</v>
      </c>
      <c r="B8426" t="s">
        <v>703</v>
      </c>
      <c r="C8426" t="s">
        <v>269</v>
      </c>
      <c r="D8426" s="226">
        <v>-580</v>
      </c>
      <c r="E8426" t="s">
        <v>704</v>
      </c>
    </row>
    <row r="8427" spans="1:5" hidden="1" x14ac:dyDescent="0.3">
      <c r="A8427" t="s">
        <v>552</v>
      </c>
      <c r="B8427" t="s">
        <v>703</v>
      </c>
      <c r="C8427" t="s">
        <v>270</v>
      </c>
      <c r="D8427" s="226">
        <v>-3861.84</v>
      </c>
      <c r="E8427" t="s">
        <v>704</v>
      </c>
    </row>
    <row r="8428" spans="1:5" hidden="1" x14ac:dyDescent="0.3">
      <c r="A8428" t="s">
        <v>552</v>
      </c>
      <c r="B8428" t="s">
        <v>703</v>
      </c>
      <c r="C8428" t="s">
        <v>271</v>
      </c>
      <c r="D8428" s="226">
        <v>-2968.26</v>
      </c>
      <c r="E8428" t="s">
        <v>704</v>
      </c>
    </row>
    <row r="8429" spans="1:5" hidden="1" x14ac:dyDescent="0.3">
      <c r="A8429" t="s">
        <v>552</v>
      </c>
      <c r="B8429" t="s">
        <v>703</v>
      </c>
      <c r="C8429" t="s">
        <v>272</v>
      </c>
      <c r="D8429" s="226">
        <v>0</v>
      </c>
      <c r="E8429" t="s">
        <v>704</v>
      </c>
    </row>
    <row r="8430" spans="1:5" hidden="1" x14ac:dyDescent="0.3">
      <c r="A8430" t="s">
        <v>552</v>
      </c>
      <c r="B8430" t="s">
        <v>703</v>
      </c>
      <c r="C8430" t="s">
        <v>273</v>
      </c>
      <c r="D8430" s="226">
        <v>0</v>
      </c>
      <c r="E8430" t="s">
        <v>704</v>
      </c>
    </row>
    <row r="8431" spans="1:5" hidden="1" x14ac:dyDescent="0.3">
      <c r="A8431" t="s">
        <v>552</v>
      </c>
      <c r="B8431" t="s">
        <v>703</v>
      </c>
      <c r="C8431" t="s">
        <v>274</v>
      </c>
      <c r="D8431" s="226">
        <v>-1078.19</v>
      </c>
      <c r="E8431" t="s">
        <v>704</v>
      </c>
    </row>
    <row r="8432" spans="1:5" hidden="1" x14ac:dyDescent="0.3">
      <c r="A8432" t="s">
        <v>552</v>
      </c>
      <c r="B8432" t="s">
        <v>703</v>
      </c>
      <c r="C8432" t="s">
        <v>275</v>
      </c>
      <c r="D8432" s="226">
        <v>-2416.8000000000002</v>
      </c>
      <c r="E8432" t="s">
        <v>704</v>
      </c>
    </row>
    <row r="8433" spans="1:5" hidden="1" x14ac:dyDescent="0.3">
      <c r="A8433" t="s">
        <v>552</v>
      </c>
      <c r="B8433" t="s">
        <v>703</v>
      </c>
      <c r="C8433" t="s">
        <v>276</v>
      </c>
      <c r="D8433" s="226">
        <v>-1982</v>
      </c>
      <c r="E8433" t="s">
        <v>704</v>
      </c>
    </row>
    <row r="8434" spans="1:5" hidden="1" x14ac:dyDescent="0.3">
      <c r="A8434" t="s">
        <v>552</v>
      </c>
      <c r="B8434" t="s">
        <v>703</v>
      </c>
      <c r="C8434" t="s">
        <v>277</v>
      </c>
      <c r="D8434" s="226">
        <v>-5771.8</v>
      </c>
      <c r="E8434" t="s">
        <v>704</v>
      </c>
    </row>
    <row r="8435" spans="1:5" hidden="1" x14ac:dyDescent="0.3">
      <c r="A8435" t="s">
        <v>552</v>
      </c>
      <c r="B8435" t="s">
        <v>703</v>
      </c>
      <c r="C8435" t="s">
        <v>44</v>
      </c>
      <c r="D8435" s="226">
        <v>-0.06</v>
      </c>
      <c r="E8435" t="s">
        <v>704</v>
      </c>
    </row>
    <row r="8436" spans="1:5" hidden="1" x14ac:dyDescent="0.3">
      <c r="A8436" t="s">
        <v>552</v>
      </c>
      <c r="B8436" t="s">
        <v>703</v>
      </c>
      <c r="C8436" t="s">
        <v>278</v>
      </c>
      <c r="D8436" s="226">
        <v>-4235.63</v>
      </c>
      <c r="E8436" t="s">
        <v>704</v>
      </c>
    </row>
    <row r="8437" spans="1:5" hidden="1" x14ac:dyDescent="0.3">
      <c r="A8437" t="s">
        <v>552</v>
      </c>
      <c r="B8437" t="s">
        <v>703</v>
      </c>
      <c r="C8437" t="s">
        <v>279</v>
      </c>
      <c r="D8437" s="226">
        <v>0</v>
      </c>
      <c r="E8437" t="s">
        <v>704</v>
      </c>
    </row>
    <row r="8438" spans="1:5" hidden="1" x14ac:dyDescent="0.3">
      <c r="A8438" t="s">
        <v>552</v>
      </c>
      <c r="B8438" t="s">
        <v>703</v>
      </c>
      <c r="C8438" t="s">
        <v>280</v>
      </c>
      <c r="D8438" s="226">
        <v>-478.32</v>
      </c>
      <c r="E8438" t="s">
        <v>704</v>
      </c>
    </row>
    <row r="8439" spans="1:5" hidden="1" x14ac:dyDescent="0.3">
      <c r="A8439" t="s">
        <v>552</v>
      </c>
      <c r="B8439" t="s">
        <v>703</v>
      </c>
      <c r="C8439" t="s">
        <v>281</v>
      </c>
      <c r="D8439" s="226">
        <v>-23.9</v>
      </c>
      <c r="E8439" t="s">
        <v>704</v>
      </c>
    </row>
    <row r="8440" spans="1:5" hidden="1" x14ac:dyDescent="0.3">
      <c r="A8440" t="s">
        <v>552</v>
      </c>
      <c r="B8440" t="s">
        <v>703</v>
      </c>
      <c r="C8440" t="s">
        <v>282</v>
      </c>
      <c r="D8440" s="226">
        <v>0</v>
      </c>
      <c r="E8440" t="s">
        <v>704</v>
      </c>
    </row>
    <row r="8441" spans="1:5" hidden="1" x14ac:dyDescent="0.3">
      <c r="A8441" t="s">
        <v>552</v>
      </c>
      <c r="B8441" t="s">
        <v>703</v>
      </c>
      <c r="C8441" t="s">
        <v>283</v>
      </c>
      <c r="D8441" s="226">
        <v>-2428.34</v>
      </c>
      <c r="E8441" t="s">
        <v>704</v>
      </c>
    </row>
    <row r="8442" spans="1:5" hidden="1" x14ac:dyDescent="0.3">
      <c r="A8442" t="s">
        <v>552</v>
      </c>
      <c r="B8442" t="s">
        <v>703</v>
      </c>
      <c r="C8442" t="s">
        <v>284</v>
      </c>
      <c r="D8442" s="226">
        <v>-429</v>
      </c>
      <c r="E8442" t="s">
        <v>704</v>
      </c>
    </row>
    <row r="8443" spans="1:5" hidden="1" x14ac:dyDescent="0.3">
      <c r="A8443" t="s">
        <v>552</v>
      </c>
      <c r="B8443" t="s">
        <v>703</v>
      </c>
      <c r="C8443" t="s">
        <v>285</v>
      </c>
      <c r="D8443" s="226">
        <v>-876.07</v>
      </c>
      <c r="E8443" t="s">
        <v>704</v>
      </c>
    </row>
    <row r="8444" spans="1:5" hidden="1" x14ac:dyDescent="0.3">
      <c r="A8444" t="s">
        <v>552</v>
      </c>
      <c r="B8444" t="s">
        <v>703</v>
      </c>
      <c r="C8444" t="s">
        <v>44</v>
      </c>
      <c r="D8444" s="226">
        <v>0</v>
      </c>
      <c r="E8444" t="s">
        <v>704</v>
      </c>
    </row>
    <row r="8445" spans="1:5" hidden="1" x14ac:dyDescent="0.3">
      <c r="A8445" t="s">
        <v>552</v>
      </c>
      <c r="B8445" t="s">
        <v>703</v>
      </c>
      <c r="C8445" t="s">
        <v>286</v>
      </c>
      <c r="D8445" s="226">
        <v>-12606.82</v>
      </c>
      <c r="E8445" t="s">
        <v>704</v>
      </c>
    </row>
    <row r="8446" spans="1:5" hidden="1" x14ac:dyDescent="0.3">
      <c r="A8446" t="s">
        <v>552</v>
      </c>
      <c r="B8446" t="s">
        <v>703</v>
      </c>
      <c r="C8446" t="s">
        <v>287</v>
      </c>
      <c r="D8446" s="226">
        <v>-6428.92</v>
      </c>
      <c r="E8446" t="s">
        <v>704</v>
      </c>
    </row>
    <row r="8447" spans="1:5" hidden="1" x14ac:dyDescent="0.3">
      <c r="A8447" t="s">
        <v>552</v>
      </c>
      <c r="B8447" t="s">
        <v>703</v>
      </c>
      <c r="C8447" t="s">
        <v>288</v>
      </c>
      <c r="D8447" s="226">
        <v>-1464</v>
      </c>
      <c r="E8447" t="s">
        <v>704</v>
      </c>
    </row>
    <row r="8448" spans="1:5" hidden="1" x14ac:dyDescent="0.3">
      <c r="A8448" t="s">
        <v>552</v>
      </c>
      <c r="B8448" t="s">
        <v>703</v>
      </c>
      <c r="C8448" t="s">
        <v>289</v>
      </c>
      <c r="D8448" s="226">
        <v>0</v>
      </c>
      <c r="E8448" t="s">
        <v>704</v>
      </c>
    </row>
    <row r="8449" spans="1:5" hidden="1" x14ac:dyDescent="0.3">
      <c r="A8449" t="s">
        <v>552</v>
      </c>
      <c r="B8449" t="s">
        <v>703</v>
      </c>
      <c r="C8449" t="s">
        <v>290</v>
      </c>
      <c r="D8449" s="226">
        <v>-4468.08</v>
      </c>
      <c r="E8449" t="s">
        <v>704</v>
      </c>
    </row>
    <row r="8450" spans="1:5" hidden="1" x14ac:dyDescent="0.3">
      <c r="A8450" t="s">
        <v>552</v>
      </c>
      <c r="B8450" t="s">
        <v>703</v>
      </c>
      <c r="C8450" t="s">
        <v>291</v>
      </c>
      <c r="D8450" s="226">
        <v>0</v>
      </c>
      <c r="E8450" t="s">
        <v>704</v>
      </c>
    </row>
    <row r="8451" spans="1:5" hidden="1" x14ac:dyDescent="0.3">
      <c r="A8451" t="s">
        <v>552</v>
      </c>
      <c r="B8451" t="s">
        <v>703</v>
      </c>
      <c r="C8451" t="s">
        <v>292</v>
      </c>
      <c r="D8451" s="226">
        <v>0</v>
      </c>
      <c r="E8451" t="s">
        <v>704</v>
      </c>
    </row>
    <row r="8452" spans="1:5" hidden="1" x14ac:dyDescent="0.3">
      <c r="A8452" t="s">
        <v>552</v>
      </c>
      <c r="B8452" t="s">
        <v>703</v>
      </c>
      <c r="C8452" t="s">
        <v>293</v>
      </c>
      <c r="D8452" s="226">
        <v>-245.82</v>
      </c>
      <c r="E8452" t="s">
        <v>704</v>
      </c>
    </row>
    <row r="8453" spans="1:5" hidden="1" x14ac:dyDescent="0.3">
      <c r="A8453" t="s">
        <v>552</v>
      </c>
      <c r="B8453" t="s">
        <v>703</v>
      </c>
      <c r="C8453" t="s">
        <v>294</v>
      </c>
      <c r="D8453" s="226">
        <v>0</v>
      </c>
      <c r="E8453" t="s">
        <v>704</v>
      </c>
    </row>
    <row r="8454" spans="1:5" hidden="1" x14ac:dyDescent="0.3">
      <c r="A8454" t="s">
        <v>552</v>
      </c>
      <c r="B8454" t="s">
        <v>703</v>
      </c>
      <c r="C8454" t="s">
        <v>44</v>
      </c>
      <c r="D8454" s="226">
        <v>-0.01</v>
      </c>
      <c r="E8454" t="s">
        <v>704</v>
      </c>
    </row>
    <row r="8455" spans="1:5" hidden="1" x14ac:dyDescent="0.3">
      <c r="A8455" t="s">
        <v>552</v>
      </c>
      <c r="B8455" t="s">
        <v>703</v>
      </c>
      <c r="C8455" t="s">
        <v>295</v>
      </c>
      <c r="D8455" s="226">
        <v>-11425.17</v>
      </c>
      <c r="E8455" t="s">
        <v>704</v>
      </c>
    </row>
    <row r="8456" spans="1:5" hidden="1" x14ac:dyDescent="0.3">
      <c r="A8456" t="s">
        <v>552</v>
      </c>
      <c r="B8456" t="s">
        <v>703</v>
      </c>
      <c r="C8456" t="s">
        <v>296</v>
      </c>
      <c r="D8456" s="226">
        <v>-4500</v>
      </c>
      <c r="E8456" t="s">
        <v>704</v>
      </c>
    </row>
    <row r="8457" spans="1:5" hidden="1" x14ac:dyDescent="0.3">
      <c r="A8457" t="s">
        <v>552</v>
      </c>
      <c r="B8457" t="s">
        <v>703</v>
      </c>
      <c r="C8457" t="s">
        <v>297</v>
      </c>
      <c r="D8457" s="226">
        <v>-500</v>
      </c>
      <c r="E8457" t="s">
        <v>704</v>
      </c>
    </row>
    <row r="8458" spans="1:5" hidden="1" x14ac:dyDescent="0.3">
      <c r="A8458" t="s">
        <v>552</v>
      </c>
      <c r="B8458" t="s">
        <v>703</v>
      </c>
      <c r="C8458" t="s">
        <v>298</v>
      </c>
      <c r="D8458" s="226">
        <v>0</v>
      </c>
      <c r="E8458" t="s">
        <v>704</v>
      </c>
    </row>
    <row r="8459" spans="1:5" hidden="1" x14ac:dyDescent="0.3">
      <c r="A8459" t="s">
        <v>552</v>
      </c>
      <c r="B8459" t="s">
        <v>703</v>
      </c>
      <c r="C8459" t="s">
        <v>299</v>
      </c>
      <c r="D8459" s="226">
        <v>0</v>
      </c>
      <c r="E8459" t="s">
        <v>704</v>
      </c>
    </row>
    <row r="8460" spans="1:5" hidden="1" x14ac:dyDescent="0.3">
      <c r="A8460" t="s">
        <v>552</v>
      </c>
      <c r="B8460" t="s">
        <v>703</v>
      </c>
      <c r="C8460" t="s">
        <v>300</v>
      </c>
      <c r="D8460" s="226">
        <v>0</v>
      </c>
      <c r="E8460" t="s">
        <v>704</v>
      </c>
    </row>
    <row r="8461" spans="1:5" hidden="1" x14ac:dyDescent="0.3">
      <c r="A8461" t="s">
        <v>552</v>
      </c>
      <c r="B8461" t="s">
        <v>703</v>
      </c>
      <c r="C8461" t="s">
        <v>301</v>
      </c>
      <c r="D8461" s="226">
        <v>0</v>
      </c>
      <c r="E8461" t="s">
        <v>704</v>
      </c>
    </row>
    <row r="8462" spans="1:5" hidden="1" x14ac:dyDescent="0.3">
      <c r="A8462" t="s">
        <v>552</v>
      </c>
      <c r="B8462" t="s">
        <v>703</v>
      </c>
      <c r="C8462" t="s">
        <v>302</v>
      </c>
      <c r="D8462" s="226">
        <v>-4000</v>
      </c>
      <c r="E8462" t="s">
        <v>704</v>
      </c>
    </row>
    <row r="8463" spans="1:5" hidden="1" x14ac:dyDescent="0.3">
      <c r="A8463" t="s">
        <v>552</v>
      </c>
      <c r="B8463" t="s">
        <v>703</v>
      </c>
      <c r="C8463" t="s">
        <v>303</v>
      </c>
      <c r="D8463" s="226">
        <v>-153.19999999999999</v>
      </c>
      <c r="E8463" t="s">
        <v>704</v>
      </c>
    </row>
    <row r="8464" spans="1:5" hidden="1" x14ac:dyDescent="0.3">
      <c r="A8464" t="s">
        <v>552</v>
      </c>
      <c r="B8464" t="s">
        <v>703</v>
      </c>
      <c r="C8464" t="s">
        <v>304</v>
      </c>
      <c r="D8464" s="226">
        <v>0</v>
      </c>
      <c r="E8464" t="s">
        <v>704</v>
      </c>
    </row>
    <row r="8465" spans="1:5" hidden="1" x14ac:dyDescent="0.3">
      <c r="A8465" t="s">
        <v>552</v>
      </c>
      <c r="B8465" t="s">
        <v>703</v>
      </c>
      <c r="C8465" t="s">
        <v>305</v>
      </c>
      <c r="D8465" s="226">
        <v>0</v>
      </c>
      <c r="E8465" t="s">
        <v>704</v>
      </c>
    </row>
    <row r="8466" spans="1:5" hidden="1" x14ac:dyDescent="0.3">
      <c r="A8466" t="s">
        <v>552</v>
      </c>
      <c r="B8466" t="s">
        <v>703</v>
      </c>
      <c r="C8466" t="s">
        <v>306</v>
      </c>
      <c r="D8466" s="226">
        <v>-2271.9699999999998</v>
      </c>
      <c r="E8466" t="s">
        <v>704</v>
      </c>
    </row>
    <row r="8467" spans="1:5" hidden="1" x14ac:dyDescent="0.3">
      <c r="A8467" t="s">
        <v>552</v>
      </c>
      <c r="B8467" t="s">
        <v>703</v>
      </c>
      <c r="C8467" t="s">
        <v>44</v>
      </c>
      <c r="D8467" s="226">
        <v>-0.01</v>
      </c>
      <c r="E8467" t="s">
        <v>704</v>
      </c>
    </row>
    <row r="8468" spans="1:5" hidden="1" x14ac:dyDescent="0.3">
      <c r="A8468" t="s">
        <v>552</v>
      </c>
      <c r="B8468" t="s">
        <v>703</v>
      </c>
      <c r="C8468" t="s">
        <v>307</v>
      </c>
      <c r="D8468" s="226">
        <v>-17161.419999999998</v>
      </c>
      <c r="E8468" t="s">
        <v>704</v>
      </c>
    </row>
    <row r="8469" spans="1:5" hidden="1" x14ac:dyDescent="0.3">
      <c r="A8469" t="s">
        <v>552</v>
      </c>
      <c r="B8469" t="s">
        <v>703</v>
      </c>
      <c r="C8469" t="s">
        <v>308</v>
      </c>
      <c r="D8469" s="226">
        <v>-3874.27</v>
      </c>
      <c r="E8469" t="s">
        <v>704</v>
      </c>
    </row>
    <row r="8470" spans="1:5" hidden="1" x14ac:dyDescent="0.3">
      <c r="A8470" t="s">
        <v>552</v>
      </c>
      <c r="B8470" t="s">
        <v>703</v>
      </c>
      <c r="C8470" t="s">
        <v>309</v>
      </c>
      <c r="D8470" s="226">
        <v>0</v>
      </c>
      <c r="E8470" t="s">
        <v>704</v>
      </c>
    </row>
    <row r="8471" spans="1:5" hidden="1" x14ac:dyDescent="0.3">
      <c r="A8471" t="s">
        <v>552</v>
      </c>
      <c r="B8471" t="s">
        <v>703</v>
      </c>
      <c r="C8471" t="s">
        <v>310</v>
      </c>
      <c r="D8471" s="226">
        <v>-1800</v>
      </c>
      <c r="E8471" t="s">
        <v>704</v>
      </c>
    </row>
    <row r="8472" spans="1:5" hidden="1" x14ac:dyDescent="0.3">
      <c r="A8472" t="s">
        <v>552</v>
      </c>
      <c r="B8472" t="s">
        <v>703</v>
      </c>
      <c r="C8472" t="s">
        <v>311</v>
      </c>
      <c r="D8472" s="226">
        <v>-185</v>
      </c>
      <c r="E8472" t="s">
        <v>704</v>
      </c>
    </row>
    <row r="8473" spans="1:5" hidden="1" x14ac:dyDescent="0.3">
      <c r="A8473" t="s">
        <v>552</v>
      </c>
      <c r="B8473" t="s">
        <v>703</v>
      </c>
      <c r="C8473" t="s">
        <v>312</v>
      </c>
      <c r="D8473" s="226">
        <v>0</v>
      </c>
      <c r="E8473" t="s">
        <v>704</v>
      </c>
    </row>
    <row r="8474" spans="1:5" hidden="1" x14ac:dyDescent="0.3">
      <c r="A8474" t="s">
        <v>552</v>
      </c>
      <c r="B8474" t="s">
        <v>703</v>
      </c>
      <c r="C8474" t="s">
        <v>313</v>
      </c>
      <c r="D8474" s="226">
        <v>-2372.15</v>
      </c>
      <c r="E8474" t="s">
        <v>704</v>
      </c>
    </row>
    <row r="8475" spans="1:5" hidden="1" x14ac:dyDescent="0.3">
      <c r="A8475" t="s">
        <v>552</v>
      </c>
      <c r="B8475" t="s">
        <v>703</v>
      </c>
      <c r="C8475" t="s">
        <v>314</v>
      </c>
      <c r="D8475" s="226">
        <v>0</v>
      </c>
      <c r="E8475" t="s">
        <v>704</v>
      </c>
    </row>
    <row r="8476" spans="1:5" hidden="1" x14ac:dyDescent="0.3">
      <c r="A8476" t="s">
        <v>552</v>
      </c>
      <c r="B8476" t="s">
        <v>703</v>
      </c>
      <c r="C8476" t="s">
        <v>315</v>
      </c>
      <c r="D8476" s="226">
        <v>-8930</v>
      </c>
      <c r="E8476" t="s">
        <v>704</v>
      </c>
    </row>
    <row r="8477" spans="1:5" hidden="1" x14ac:dyDescent="0.3">
      <c r="A8477" t="s">
        <v>552</v>
      </c>
      <c r="B8477" t="s">
        <v>703</v>
      </c>
      <c r="C8477" t="s">
        <v>316</v>
      </c>
      <c r="D8477" s="226">
        <v>0</v>
      </c>
      <c r="E8477" t="s">
        <v>704</v>
      </c>
    </row>
    <row r="8478" spans="1:5" hidden="1" x14ac:dyDescent="0.3">
      <c r="A8478" t="s">
        <v>552</v>
      </c>
      <c r="B8478" t="s">
        <v>703</v>
      </c>
      <c r="C8478" t="s">
        <v>44</v>
      </c>
      <c r="D8478" s="226">
        <v>-0.01</v>
      </c>
      <c r="E8478" t="s">
        <v>704</v>
      </c>
    </row>
    <row r="8479" spans="1:5" hidden="1" x14ac:dyDescent="0.3">
      <c r="A8479" t="s">
        <v>552</v>
      </c>
      <c r="B8479" t="s">
        <v>703</v>
      </c>
      <c r="C8479" t="s">
        <v>317</v>
      </c>
      <c r="D8479" s="226">
        <v>-6745.49</v>
      </c>
      <c r="E8479" t="s">
        <v>704</v>
      </c>
    </row>
    <row r="8480" spans="1:5" hidden="1" x14ac:dyDescent="0.3">
      <c r="A8480" t="s">
        <v>552</v>
      </c>
      <c r="B8480" t="s">
        <v>703</v>
      </c>
      <c r="C8480" t="s">
        <v>318</v>
      </c>
      <c r="D8480" s="226">
        <v>-6480</v>
      </c>
      <c r="E8480" t="s">
        <v>704</v>
      </c>
    </row>
    <row r="8481" spans="1:5" hidden="1" x14ac:dyDescent="0.3">
      <c r="A8481" t="s">
        <v>552</v>
      </c>
      <c r="B8481" t="s">
        <v>703</v>
      </c>
      <c r="C8481" t="s">
        <v>319</v>
      </c>
      <c r="D8481" s="226">
        <v>-265.49</v>
      </c>
      <c r="E8481" t="s">
        <v>704</v>
      </c>
    </row>
    <row r="8482" spans="1:5" hidden="1" x14ac:dyDescent="0.3">
      <c r="A8482" t="s">
        <v>552</v>
      </c>
      <c r="B8482" t="s">
        <v>703</v>
      </c>
      <c r="C8482" t="s">
        <v>320</v>
      </c>
      <c r="D8482" s="226">
        <v>0</v>
      </c>
      <c r="E8482" t="s">
        <v>704</v>
      </c>
    </row>
    <row r="8483" spans="1:5" hidden="1" x14ac:dyDescent="0.3">
      <c r="A8483" t="s">
        <v>552</v>
      </c>
      <c r="B8483" t="s">
        <v>703</v>
      </c>
      <c r="C8483" t="s">
        <v>321</v>
      </c>
      <c r="D8483" s="226">
        <v>0</v>
      </c>
      <c r="E8483" t="s">
        <v>704</v>
      </c>
    </row>
    <row r="8484" spans="1:5" hidden="1" x14ac:dyDescent="0.3">
      <c r="A8484" t="s">
        <v>552</v>
      </c>
      <c r="B8484" t="s">
        <v>703</v>
      </c>
      <c r="C8484" t="s">
        <v>44</v>
      </c>
      <c r="D8484" s="226">
        <v>0</v>
      </c>
      <c r="E8484" t="s">
        <v>704</v>
      </c>
    </row>
    <row r="8485" spans="1:5" hidden="1" x14ac:dyDescent="0.3">
      <c r="A8485" t="s">
        <v>552</v>
      </c>
      <c r="B8485" t="s">
        <v>703</v>
      </c>
      <c r="C8485" t="s">
        <v>322</v>
      </c>
      <c r="D8485" s="226">
        <v>-73875.070000000007</v>
      </c>
      <c r="E8485" t="s">
        <v>704</v>
      </c>
    </row>
    <row r="8486" spans="1:5" hidden="1" x14ac:dyDescent="0.3">
      <c r="A8486" t="s">
        <v>552</v>
      </c>
      <c r="B8486" t="s">
        <v>703</v>
      </c>
      <c r="C8486" t="s">
        <v>323</v>
      </c>
      <c r="D8486" s="226">
        <v>0</v>
      </c>
      <c r="E8486" t="s">
        <v>704</v>
      </c>
    </row>
    <row r="8487" spans="1:5" hidden="1" x14ac:dyDescent="0.3">
      <c r="A8487" t="s">
        <v>552</v>
      </c>
      <c r="B8487" t="s">
        <v>703</v>
      </c>
      <c r="C8487" t="s">
        <v>324</v>
      </c>
      <c r="D8487" s="226">
        <v>0</v>
      </c>
      <c r="E8487" t="s">
        <v>704</v>
      </c>
    </row>
    <row r="8488" spans="1:5" hidden="1" x14ac:dyDescent="0.3">
      <c r="A8488" t="s">
        <v>552</v>
      </c>
      <c r="B8488" t="s">
        <v>703</v>
      </c>
      <c r="C8488" t="s">
        <v>325</v>
      </c>
      <c r="D8488" s="226">
        <v>-73875.070000000007</v>
      </c>
      <c r="E8488" t="s">
        <v>704</v>
      </c>
    </row>
    <row r="8489" spans="1:5" hidden="1" x14ac:dyDescent="0.3">
      <c r="A8489" t="s">
        <v>552</v>
      </c>
      <c r="B8489" t="s">
        <v>703</v>
      </c>
      <c r="C8489" t="s">
        <v>44</v>
      </c>
      <c r="D8489" s="226">
        <v>-0.05</v>
      </c>
      <c r="E8489" t="s">
        <v>704</v>
      </c>
    </row>
    <row r="8490" spans="1:5" hidden="1" x14ac:dyDescent="0.3">
      <c r="A8490" t="s">
        <v>552</v>
      </c>
      <c r="B8490" t="s">
        <v>703</v>
      </c>
      <c r="C8490" t="s">
        <v>327</v>
      </c>
      <c r="D8490" s="226">
        <v>-612847.1</v>
      </c>
      <c r="E8490" t="s">
        <v>704</v>
      </c>
    </row>
    <row r="8491" spans="1:5" hidden="1" x14ac:dyDescent="0.3">
      <c r="A8491" t="s">
        <v>552</v>
      </c>
      <c r="B8491" t="s">
        <v>703</v>
      </c>
      <c r="C8491" t="s">
        <v>44</v>
      </c>
      <c r="D8491" s="226">
        <v>-0.41</v>
      </c>
      <c r="E8491" t="s">
        <v>704</v>
      </c>
    </row>
    <row r="8492" spans="1:5" hidden="1" x14ac:dyDescent="0.3">
      <c r="A8492" t="s">
        <v>552</v>
      </c>
      <c r="B8492" t="s">
        <v>703</v>
      </c>
      <c r="C8492" t="s">
        <v>328</v>
      </c>
      <c r="D8492" s="226">
        <v>232689.76</v>
      </c>
      <c r="E8492" t="s">
        <v>704</v>
      </c>
    </row>
    <row r="8493" spans="1:5" hidden="1" x14ac:dyDescent="0.3">
      <c r="A8493" t="s">
        <v>552</v>
      </c>
      <c r="B8493" t="s">
        <v>703</v>
      </c>
      <c r="C8493" t="s">
        <v>44</v>
      </c>
      <c r="D8493" s="226">
        <v>0.16</v>
      </c>
      <c r="E8493" t="s">
        <v>704</v>
      </c>
    </row>
    <row r="8494" spans="1:5" hidden="1" x14ac:dyDescent="0.3">
      <c r="A8494" t="s">
        <v>552</v>
      </c>
      <c r="B8494" t="s">
        <v>703</v>
      </c>
      <c r="C8494" t="s">
        <v>329</v>
      </c>
      <c r="D8494" s="226">
        <v>0</v>
      </c>
      <c r="E8494" t="s">
        <v>704</v>
      </c>
    </row>
    <row r="8495" spans="1:5" hidden="1" x14ac:dyDescent="0.3">
      <c r="A8495" t="s">
        <v>552</v>
      </c>
      <c r="B8495" t="s">
        <v>703</v>
      </c>
      <c r="C8495" t="s">
        <v>331</v>
      </c>
      <c r="D8495" s="226">
        <v>232689.76</v>
      </c>
      <c r="E8495" t="s">
        <v>704</v>
      </c>
    </row>
    <row r="8496" spans="1:5" hidden="1" x14ac:dyDescent="0.3">
      <c r="A8496" t="s">
        <v>552</v>
      </c>
      <c r="B8496" t="s">
        <v>703</v>
      </c>
      <c r="C8496" t="s">
        <v>332</v>
      </c>
      <c r="D8496" s="226">
        <v>-1235.99</v>
      </c>
      <c r="E8496" t="s">
        <v>704</v>
      </c>
    </row>
    <row r="8497" spans="1:5" hidden="1" x14ac:dyDescent="0.3">
      <c r="A8497" t="s">
        <v>552</v>
      </c>
      <c r="B8497" t="s">
        <v>703</v>
      </c>
      <c r="C8497" t="s">
        <v>333</v>
      </c>
      <c r="D8497" s="226">
        <v>0</v>
      </c>
      <c r="E8497" t="s">
        <v>704</v>
      </c>
    </row>
    <row r="8498" spans="1:5" hidden="1" x14ac:dyDescent="0.3">
      <c r="A8498" t="s">
        <v>552</v>
      </c>
      <c r="B8498" t="s">
        <v>703</v>
      </c>
      <c r="C8498" t="s">
        <v>335</v>
      </c>
      <c r="D8498" s="226">
        <v>-2500</v>
      </c>
      <c r="E8498" t="s">
        <v>704</v>
      </c>
    </row>
    <row r="8499" spans="1:5" hidden="1" x14ac:dyDescent="0.3">
      <c r="A8499" t="s">
        <v>552</v>
      </c>
      <c r="B8499" t="s">
        <v>703</v>
      </c>
      <c r="C8499" t="s">
        <v>337</v>
      </c>
      <c r="D8499" s="226">
        <v>228953.77</v>
      </c>
      <c r="E8499" t="s">
        <v>704</v>
      </c>
    </row>
    <row r="8500" spans="1:5" hidden="1" x14ac:dyDescent="0.3">
      <c r="A8500" t="s">
        <v>552</v>
      </c>
      <c r="B8500" t="s">
        <v>703</v>
      </c>
      <c r="C8500" t="s">
        <v>338</v>
      </c>
      <c r="D8500" s="226">
        <v>-43898.22</v>
      </c>
      <c r="E8500" t="s">
        <v>704</v>
      </c>
    </row>
    <row r="8501" spans="1:5" hidden="1" x14ac:dyDescent="0.3">
      <c r="A8501" t="s">
        <v>552</v>
      </c>
      <c r="B8501" t="s">
        <v>703</v>
      </c>
      <c r="C8501" t="s">
        <v>341</v>
      </c>
      <c r="D8501" s="226">
        <v>-13722.27</v>
      </c>
      <c r="E8501" t="s">
        <v>704</v>
      </c>
    </row>
    <row r="8502" spans="1:5" hidden="1" x14ac:dyDescent="0.3">
      <c r="A8502" t="s">
        <v>552</v>
      </c>
      <c r="B8502" t="s">
        <v>703</v>
      </c>
      <c r="C8502" t="s">
        <v>343</v>
      </c>
      <c r="D8502" s="226">
        <v>-15891.67</v>
      </c>
      <c r="E8502" t="s">
        <v>704</v>
      </c>
    </row>
    <row r="8503" spans="1:5" hidden="1" x14ac:dyDescent="0.3">
      <c r="A8503" t="s">
        <v>552</v>
      </c>
      <c r="B8503" t="s">
        <v>703</v>
      </c>
      <c r="C8503" t="s">
        <v>344</v>
      </c>
      <c r="D8503" s="226">
        <v>0</v>
      </c>
      <c r="E8503" t="s">
        <v>704</v>
      </c>
    </row>
    <row r="8504" spans="1:5" hidden="1" x14ac:dyDescent="0.3">
      <c r="A8504" t="s">
        <v>552</v>
      </c>
      <c r="B8504" t="s">
        <v>703</v>
      </c>
      <c r="C8504" t="s">
        <v>345</v>
      </c>
      <c r="D8504" s="226">
        <v>-14284.28</v>
      </c>
      <c r="E8504" t="s">
        <v>704</v>
      </c>
    </row>
    <row r="8505" spans="1:5" hidden="1" x14ac:dyDescent="0.3">
      <c r="A8505" t="s">
        <v>552</v>
      </c>
      <c r="B8505" t="s">
        <v>703</v>
      </c>
      <c r="C8505" t="s">
        <v>346</v>
      </c>
      <c r="D8505" s="226">
        <v>185055.55</v>
      </c>
      <c r="E8505" t="s">
        <v>704</v>
      </c>
    </row>
    <row r="8506" spans="1:5" hidden="1" x14ac:dyDescent="0.3">
      <c r="A8506" t="s">
        <v>552</v>
      </c>
      <c r="B8506" t="s">
        <v>703</v>
      </c>
      <c r="C8506" t="s">
        <v>44</v>
      </c>
      <c r="D8506" s="226">
        <v>0.13</v>
      </c>
      <c r="E8506" t="s">
        <v>704</v>
      </c>
    </row>
    <row r="8507" spans="1:5" hidden="1" x14ac:dyDescent="0.3">
      <c r="A8507" t="s">
        <v>552</v>
      </c>
      <c r="B8507" t="s">
        <v>703</v>
      </c>
      <c r="C8507" t="s">
        <v>347</v>
      </c>
      <c r="D8507" s="226">
        <v>0</v>
      </c>
      <c r="E8507" t="s">
        <v>704</v>
      </c>
    </row>
    <row r="8508" spans="1:5" hidden="1" x14ac:dyDescent="0.3">
      <c r="A8508" t="s">
        <v>552</v>
      </c>
      <c r="B8508" t="s">
        <v>703</v>
      </c>
      <c r="C8508" t="s">
        <v>654</v>
      </c>
      <c r="D8508" s="226">
        <v>0</v>
      </c>
      <c r="E8508" t="s">
        <v>704</v>
      </c>
    </row>
    <row r="8509" spans="1:5" hidden="1" x14ac:dyDescent="0.3">
      <c r="A8509" t="s">
        <v>552</v>
      </c>
      <c r="B8509" t="s">
        <v>703</v>
      </c>
      <c r="C8509" t="s">
        <v>349</v>
      </c>
      <c r="D8509" s="226">
        <v>0</v>
      </c>
      <c r="E8509" t="s">
        <v>704</v>
      </c>
    </row>
    <row r="8510" spans="1:5" hidden="1" x14ac:dyDescent="0.3">
      <c r="A8510" t="s">
        <v>552</v>
      </c>
      <c r="B8510" t="s">
        <v>703</v>
      </c>
      <c r="C8510" t="s">
        <v>350</v>
      </c>
      <c r="D8510" s="226">
        <v>0</v>
      </c>
      <c r="E8510" t="s">
        <v>704</v>
      </c>
    </row>
    <row r="8511" spans="1:5" hidden="1" x14ac:dyDescent="0.3">
      <c r="A8511" t="s">
        <v>552</v>
      </c>
      <c r="B8511" t="s">
        <v>703</v>
      </c>
      <c r="C8511" t="s">
        <v>351</v>
      </c>
      <c r="D8511" s="226">
        <v>0</v>
      </c>
      <c r="E8511" t="s">
        <v>704</v>
      </c>
    </row>
    <row r="8512" spans="1:5" hidden="1" x14ac:dyDescent="0.3">
      <c r="A8512" t="s">
        <v>552</v>
      </c>
      <c r="B8512" t="s">
        <v>703</v>
      </c>
      <c r="C8512" t="s">
        <v>352</v>
      </c>
      <c r="D8512" s="226">
        <v>0</v>
      </c>
      <c r="E8512" t="s">
        <v>704</v>
      </c>
    </row>
    <row r="8513" spans="1:5" hidden="1" x14ac:dyDescent="0.3">
      <c r="A8513" t="s">
        <v>552</v>
      </c>
      <c r="B8513" t="s">
        <v>703</v>
      </c>
      <c r="C8513" t="s">
        <v>353</v>
      </c>
      <c r="D8513" s="226">
        <v>0</v>
      </c>
      <c r="E8513" t="s">
        <v>704</v>
      </c>
    </row>
    <row r="8514" spans="1:5" hidden="1" x14ac:dyDescent="0.3">
      <c r="A8514" t="s">
        <v>552</v>
      </c>
      <c r="B8514" t="s">
        <v>703</v>
      </c>
      <c r="C8514" t="s">
        <v>354</v>
      </c>
      <c r="D8514" s="226">
        <v>0</v>
      </c>
      <c r="E8514" t="s">
        <v>704</v>
      </c>
    </row>
    <row r="8515" spans="1:5" hidden="1" x14ac:dyDescent="0.3">
      <c r="A8515" t="s">
        <v>552</v>
      </c>
      <c r="B8515" t="s">
        <v>703</v>
      </c>
      <c r="C8515" t="s">
        <v>355</v>
      </c>
      <c r="D8515" s="226">
        <v>0</v>
      </c>
      <c r="E8515" t="s">
        <v>704</v>
      </c>
    </row>
    <row r="8516" spans="1:5" hidden="1" x14ac:dyDescent="0.3">
      <c r="A8516" t="s">
        <v>552</v>
      </c>
      <c r="B8516" t="s">
        <v>703</v>
      </c>
      <c r="C8516" t="s">
        <v>356</v>
      </c>
      <c r="D8516" s="226">
        <v>0</v>
      </c>
      <c r="E8516" t="s">
        <v>704</v>
      </c>
    </row>
    <row r="8517" spans="1:5" hidden="1" x14ac:dyDescent="0.3">
      <c r="A8517" t="s">
        <v>552</v>
      </c>
      <c r="B8517" t="s">
        <v>703</v>
      </c>
      <c r="C8517" t="s">
        <v>357</v>
      </c>
      <c r="D8517" s="226">
        <v>0</v>
      </c>
      <c r="E8517" t="s">
        <v>704</v>
      </c>
    </row>
    <row r="8518" spans="1:5" hidden="1" x14ac:dyDescent="0.3">
      <c r="A8518" t="s">
        <v>552</v>
      </c>
      <c r="B8518" t="s">
        <v>703</v>
      </c>
      <c r="C8518" t="s">
        <v>358</v>
      </c>
      <c r="D8518" s="226">
        <v>0</v>
      </c>
      <c r="E8518" t="s">
        <v>704</v>
      </c>
    </row>
    <row r="8519" spans="1:5" hidden="1" x14ac:dyDescent="0.3">
      <c r="A8519" t="s">
        <v>552</v>
      </c>
      <c r="B8519" t="s">
        <v>703</v>
      </c>
      <c r="C8519" t="s">
        <v>359</v>
      </c>
      <c r="D8519" s="226">
        <v>0</v>
      </c>
      <c r="E8519" t="s">
        <v>704</v>
      </c>
    </row>
    <row r="8520" spans="1:5" hidden="1" x14ac:dyDescent="0.3">
      <c r="A8520" t="s">
        <v>552</v>
      </c>
      <c r="B8520" t="s">
        <v>703</v>
      </c>
      <c r="C8520" t="s">
        <v>360</v>
      </c>
      <c r="D8520" s="226">
        <v>0</v>
      </c>
      <c r="E8520" t="s">
        <v>704</v>
      </c>
    </row>
    <row r="8521" spans="1:5" hidden="1" x14ac:dyDescent="0.3">
      <c r="A8521" t="s">
        <v>552</v>
      </c>
      <c r="B8521" t="s">
        <v>703</v>
      </c>
      <c r="C8521" t="s">
        <v>361</v>
      </c>
      <c r="D8521" s="226">
        <v>0</v>
      </c>
      <c r="E8521" t="s">
        <v>704</v>
      </c>
    </row>
    <row r="8522" spans="1:5" hidden="1" x14ac:dyDescent="0.3">
      <c r="A8522" t="s">
        <v>552</v>
      </c>
      <c r="B8522" t="s">
        <v>703</v>
      </c>
      <c r="C8522" t="s">
        <v>362</v>
      </c>
      <c r="D8522" s="226">
        <v>0</v>
      </c>
      <c r="E8522" t="s">
        <v>704</v>
      </c>
    </row>
    <row r="8523" spans="1:5" hidden="1" x14ac:dyDescent="0.3">
      <c r="A8523" t="s">
        <v>552</v>
      </c>
      <c r="B8523" t="s">
        <v>703</v>
      </c>
      <c r="C8523" t="s">
        <v>363</v>
      </c>
      <c r="D8523" s="226">
        <v>0</v>
      </c>
      <c r="E8523" t="s">
        <v>704</v>
      </c>
    </row>
    <row r="8524" spans="1:5" hidden="1" x14ac:dyDescent="0.3">
      <c r="A8524" t="s">
        <v>552</v>
      </c>
      <c r="B8524" t="s">
        <v>703</v>
      </c>
      <c r="C8524" t="s">
        <v>364</v>
      </c>
      <c r="D8524" s="226">
        <v>-20540.72</v>
      </c>
      <c r="E8524" t="s">
        <v>704</v>
      </c>
    </row>
    <row r="8525" spans="1:5" hidden="1" x14ac:dyDescent="0.3">
      <c r="A8525" t="s">
        <v>552</v>
      </c>
      <c r="B8525" t="s">
        <v>703</v>
      </c>
      <c r="C8525" t="s">
        <v>365</v>
      </c>
      <c r="D8525" s="226">
        <v>-8445.69</v>
      </c>
      <c r="E8525" t="s">
        <v>704</v>
      </c>
    </row>
    <row r="8526" spans="1:5" hidden="1" x14ac:dyDescent="0.3">
      <c r="A8526" t="s">
        <v>552</v>
      </c>
      <c r="B8526" t="s">
        <v>703</v>
      </c>
      <c r="C8526" t="s">
        <v>366</v>
      </c>
      <c r="D8526" s="226">
        <v>0</v>
      </c>
      <c r="E8526" t="s">
        <v>704</v>
      </c>
    </row>
    <row r="8527" spans="1:5" hidden="1" x14ac:dyDescent="0.3">
      <c r="A8527" t="s">
        <v>552</v>
      </c>
      <c r="B8527" t="s">
        <v>703</v>
      </c>
      <c r="C8527" t="s">
        <v>367</v>
      </c>
      <c r="D8527" s="226">
        <v>-12095.03</v>
      </c>
      <c r="E8527" t="s">
        <v>704</v>
      </c>
    </row>
    <row r="8528" spans="1:5" hidden="1" x14ac:dyDescent="0.3">
      <c r="A8528" t="s">
        <v>552</v>
      </c>
      <c r="B8528" t="s">
        <v>703</v>
      </c>
      <c r="C8528" t="s">
        <v>368</v>
      </c>
      <c r="D8528" s="226">
        <v>0</v>
      </c>
      <c r="E8528" t="s">
        <v>704</v>
      </c>
    </row>
    <row r="8529" spans="1:5" hidden="1" x14ac:dyDescent="0.3">
      <c r="A8529" t="s">
        <v>552</v>
      </c>
      <c r="B8529" t="s">
        <v>703</v>
      </c>
      <c r="C8529" t="s">
        <v>369</v>
      </c>
      <c r="D8529" s="226">
        <v>0</v>
      </c>
      <c r="E8529" t="s">
        <v>704</v>
      </c>
    </row>
    <row r="8530" spans="1:5" hidden="1" x14ac:dyDescent="0.3">
      <c r="A8530" t="s">
        <v>552</v>
      </c>
      <c r="B8530" t="s">
        <v>703</v>
      </c>
      <c r="C8530" t="s">
        <v>370</v>
      </c>
      <c r="D8530" s="226">
        <v>0</v>
      </c>
      <c r="E8530" t="s">
        <v>704</v>
      </c>
    </row>
    <row r="8531" spans="1:5" hidden="1" x14ac:dyDescent="0.3">
      <c r="A8531" t="s">
        <v>552</v>
      </c>
      <c r="B8531" t="s">
        <v>703</v>
      </c>
      <c r="C8531" t="s">
        <v>371</v>
      </c>
      <c r="D8531" s="226">
        <v>0</v>
      </c>
      <c r="E8531" t="s">
        <v>704</v>
      </c>
    </row>
    <row r="8532" spans="1:5" hidden="1" x14ac:dyDescent="0.3">
      <c r="A8532" t="s">
        <v>552</v>
      </c>
      <c r="B8532" t="s">
        <v>703</v>
      </c>
      <c r="C8532" t="s">
        <v>372</v>
      </c>
      <c r="D8532" s="226">
        <v>-20540.72</v>
      </c>
      <c r="E8532" t="s">
        <v>704</v>
      </c>
    </row>
    <row r="8533" spans="1:5" hidden="1" x14ac:dyDescent="0.3">
      <c r="A8533" t="s">
        <v>552</v>
      </c>
      <c r="B8533" t="s">
        <v>703</v>
      </c>
      <c r="C8533" t="s">
        <v>373</v>
      </c>
      <c r="D8533" s="226">
        <v>164514.82999999999</v>
      </c>
      <c r="E8533" t="s">
        <v>704</v>
      </c>
    </row>
    <row r="8534" spans="1:5" hidden="1" x14ac:dyDescent="0.3">
      <c r="A8534" t="s">
        <v>552</v>
      </c>
      <c r="B8534" t="s">
        <v>703</v>
      </c>
      <c r="C8534" t="s">
        <v>655</v>
      </c>
      <c r="D8534" s="226">
        <v>0</v>
      </c>
      <c r="E8534" t="s">
        <v>704</v>
      </c>
    </row>
    <row r="8535" spans="1:5" hidden="1" x14ac:dyDescent="0.3">
      <c r="A8535" t="s">
        <v>552</v>
      </c>
      <c r="B8535" t="s">
        <v>705</v>
      </c>
      <c r="C8535" t="s">
        <v>11</v>
      </c>
      <c r="D8535" s="226">
        <v>1503242.13</v>
      </c>
      <c r="E8535" t="s">
        <v>706</v>
      </c>
    </row>
    <row r="8536" spans="1:5" hidden="1" x14ac:dyDescent="0.3">
      <c r="A8536" t="s">
        <v>552</v>
      </c>
      <c r="B8536" t="s">
        <v>705</v>
      </c>
      <c r="C8536" t="s">
        <v>13</v>
      </c>
      <c r="D8536" s="226">
        <v>743944.39</v>
      </c>
      <c r="E8536" t="s">
        <v>706</v>
      </c>
    </row>
    <row r="8537" spans="1:5" hidden="1" x14ac:dyDescent="0.3">
      <c r="A8537" t="s">
        <v>552</v>
      </c>
      <c r="B8537" t="s">
        <v>705</v>
      </c>
      <c r="C8537" t="s">
        <v>16</v>
      </c>
      <c r="D8537" s="226">
        <v>495095.31</v>
      </c>
      <c r="E8537" t="s">
        <v>706</v>
      </c>
    </row>
    <row r="8538" spans="1:5" hidden="1" x14ac:dyDescent="0.3">
      <c r="A8538" t="s">
        <v>552</v>
      </c>
      <c r="B8538" t="s">
        <v>705</v>
      </c>
      <c r="C8538" t="s">
        <v>17</v>
      </c>
      <c r="D8538" s="226">
        <v>3375</v>
      </c>
      <c r="E8538" t="s">
        <v>706</v>
      </c>
    </row>
    <row r="8539" spans="1:5" hidden="1" x14ac:dyDescent="0.3">
      <c r="A8539" t="s">
        <v>552</v>
      </c>
      <c r="B8539" t="s">
        <v>705</v>
      </c>
      <c r="C8539" t="s">
        <v>18</v>
      </c>
      <c r="D8539" s="226">
        <v>0</v>
      </c>
      <c r="E8539" t="s">
        <v>706</v>
      </c>
    </row>
    <row r="8540" spans="1:5" hidden="1" x14ac:dyDescent="0.3">
      <c r="A8540" t="s">
        <v>552</v>
      </c>
      <c r="B8540" t="s">
        <v>705</v>
      </c>
      <c r="C8540" t="s">
        <v>20</v>
      </c>
      <c r="D8540" s="226">
        <v>156236.21</v>
      </c>
      <c r="E8540" t="s">
        <v>706</v>
      </c>
    </row>
    <row r="8541" spans="1:5" hidden="1" x14ac:dyDescent="0.3">
      <c r="A8541" t="s">
        <v>552</v>
      </c>
      <c r="B8541" t="s">
        <v>705</v>
      </c>
      <c r="C8541" t="s">
        <v>23</v>
      </c>
      <c r="D8541" s="226">
        <v>35128</v>
      </c>
      <c r="E8541" t="s">
        <v>706</v>
      </c>
    </row>
    <row r="8542" spans="1:5" hidden="1" x14ac:dyDescent="0.3">
      <c r="A8542" t="s">
        <v>552</v>
      </c>
      <c r="B8542" t="s">
        <v>705</v>
      </c>
      <c r="C8542" t="s">
        <v>25</v>
      </c>
      <c r="D8542" s="226">
        <v>0</v>
      </c>
      <c r="E8542" t="s">
        <v>706</v>
      </c>
    </row>
    <row r="8543" spans="1:5" hidden="1" x14ac:dyDescent="0.3">
      <c r="A8543" t="s">
        <v>552</v>
      </c>
      <c r="B8543" t="s">
        <v>705</v>
      </c>
      <c r="C8543" t="s">
        <v>26</v>
      </c>
      <c r="D8543" s="226">
        <v>0</v>
      </c>
      <c r="E8543" t="s">
        <v>706</v>
      </c>
    </row>
    <row r="8544" spans="1:5" hidden="1" x14ac:dyDescent="0.3">
      <c r="A8544" t="s">
        <v>552</v>
      </c>
      <c r="B8544" t="s">
        <v>705</v>
      </c>
      <c r="C8544" t="s">
        <v>27</v>
      </c>
      <c r="D8544" s="226">
        <v>0</v>
      </c>
      <c r="E8544" t="s">
        <v>706</v>
      </c>
    </row>
    <row r="8545" spans="1:5" hidden="1" x14ac:dyDescent="0.3">
      <c r="A8545" t="s">
        <v>552</v>
      </c>
      <c r="B8545" t="s">
        <v>705</v>
      </c>
      <c r="C8545" t="s">
        <v>29</v>
      </c>
      <c r="D8545" s="226">
        <v>68788.22</v>
      </c>
      <c r="E8545" t="s">
        <v>706</v>
      </c>
    </row>
    <row r="8546" spans="1:5" hidden="1" x14ac:dyDescent="0.3">
      <c r="A8546" t="s">
        <v>552</v>
      </c>
      <c r="B8546" t="s">
        <v>705</v>
      </c>
      <c r="C8546" t="s">
        <v>31</v>
      </c>
      <c r="D8546" s="226">
        <v>675</v>
      </c>
      <c r="E8546" t="s">
        <v>706</v>
      </c>
    </row>
    <row r="8547" spans="1:5" hidden="1" x14ac:dyDescent="0.3">
      <c r="A8547" t="s">
        <v>552</v>
      </c>
      <c r="B8547" t="s">
        <v>705</v>
      </c>
      <c r="C8547" t="s">
        <v>33</v>
      </c>
      <c r="D8547" s="226">
        <v>35128</v>
      </c>
      <c r="E8547" t="s">
        <v>706</v>
      </c>
    </row>
    <row r="8548" spans="1:5" hidden="1" x14ac:dyDescent="0.3">
      <c r="A8548" t="s">
        <v>552</v>
      </c>
      <c r="B8548" t="s">
        <v>705</v>
      </c>
      <c r="C8548" t="s">
        <v>34</v>
      </c>
      <c r="D8548" s="226">
        <v>-20140.18</v>
      </c>
      <c r="E8548" t="s">
        <v>706</v>
      </c>
    </row>
    <row r="8549" spans="1:5" hidden="1" x14ac:dyDescent="0.3">
      <c r="A8549" t="s">
        <v>552</v>
      </c>
      <c r="B8549" t="s">
        <v>705</v>
      </c>
      <c r="C8549" t="s">
        <v>38</v>
      </c>
      <c r="D8549" s="226">
        <v>-6478.23</v>
      </c>
      <c r="E8549" t="s">
        <v>706</v>
      </c>
    </row>
    <row r="8550" spans="1:5" hidden="1" x14ac:dyDescent="0.3">
      <c r="A8550" t="s">
        <v>552</v>
      </c>
      <c r="B8550" t="s">
        <v>705</v>
      </c>
      <c r="C8550" t="s">
        <v>40</v>
      </c>
      <c r="D8550" s="226">
        <v>-13245.36</v>
      </c>
      <c r="E8550" t="s">
        <v>706</v>
      </c>
    </row>
    <row r="8551" spans="1:5" hidden="1" x14ac:dyDescent="0.3">
      <c r="A8551" t="s">
        <v>552</v>
      </c>
      <c r="B8551" t="s">
        <v>705</v>
      </c>
      <c r="C8551" t="s">
        <v>42</v>
      </c>
      <c r="D8551" s="226">
        <v>-416.59</v>
      </c>
      <c r="E8551" t="s">
        <v>706</v>
      </c>
    </row>
    <row r="8552" spans="1:5" hidden="1" x14ac:dyDescent="0.3">
      <c r="A8552" t="s">
        <v>552</v>
      </c>
      <c r="B8552" t="s">
        <v>705</v>
      </c>
      <c r="C8552" t="s">
        <v>44</v>
      </c>
      <c r="D8552" s="226">
        <v>-0.01</v>
      </c>
      <c r="E8552" t="s">
        <v>706</v>
      </c>
    </row>
    <row r="8553" spans="1:5" hidden="1" x14ac:dyDescent="0.3">
      <c r="A8553" t="s">
        <v>552</v>
      </c>
      <c r="B8553" t="s">
        <v>705</v>
      </c>
      <c r="C8553" t="s">
        <v>45</v>
      </c>
      <c r="D8553" s="226">
        <v>-101028.67</v>
      </c>
      <c r="E8553" t="s">
        <v>706</v>
      </c>
    </row>
    <row r="8554" spans="1:5" hidden="1" x14ac:dyDescent="0.3">
      <c r="A8554" t="s">
        <v>552</v>
      </c>
      <c r="B8554" t="s">
        <v>705</v>
      </c>
      <c r="C8554" t="s">
        <v>46</v>
      </c>
      <c r="D8554" s="226">
        <v>-47175.44</v>
      </c>
      <c r="E8554" t="s">
        <v>706</v>
      </c>
    </row>
    <row r="8555" spans="1:5" hidden="1" x14ac:dyDescent="0.3">
      <c r="A8555" t="s">
        <v>552</v>
      </c>
      <c r="B8555" t="s">
        <v>705</v>
      </c>
      <c r="C8555" t="s">
        <v>48</v>
      </c>
      <c r="D8555" s="226">
        <v>-53853.24</v>
      </c>
      <c r="E8555" t="s">
        <v>706</v>
      </c>
    </row>
    <row r="8556" spans="1:5" hidden="1" x14ac:dyDescent="0.3">
      <c r="A8556" t="s">
        <v>552</v>
      </c>
      <c r="B8556" t="s">
        <v>705</v>
      </c>
      <c r="C8556" t="s">
        <v>49</v>
      </c>
      <c r="D8556" s="226">
        <v>0</v>
      </c>
      <c r="E8556" t="s">
        <v>706</v>
      </c>
    </row>
    <row r="8557" spans="1:5" hidden="1" x14ac:dyDescent="0.3">
      <c r="A8557" t="s">
        <v>552</v>
      </c>
      <c r="B8557" t="s">
        <v>705</v>
      </c>
      <c r="C8557" t="s">
        <v>50</v>
      </c>
      <c r="D8557" s="226">
        <v>1382073.28</v>
      </c>
      <c r="E8557" t="s">
        <v>706</v>
      </c>
    </row>
    <row r="8558" spans="1:5" hidden="1" x14ac:dyDescent="0.3">
      <c r="A8558" t="s">
        <v>552</v>
      </c>
      <c r="B8558" t="s">
        <v>705</v>
      </c>
      <c r="C8558" t="s">
        <v>51</v>
      </c>
      <c r="D8558" s="226">
        <v>-346136.79</v>
      </c>
      <c r="E8558" t="s">
        <v>706</v>
      </c>
    </row>
    <row r="8559" spans="1:5" hidden="1" x14ac:dyDescent="0.3">
      <c r="A8559" t="s">
        <v>552</v>
      </c>
      <c r="B8559" t="s">
        <v>705</v>
      </c>
      <c r="C8559" t="s">
        <v>52</v>
      </c>
      <c r="D8559" s="226">
        <v>-229769.89</v>
      </c>
      <c r="E8559" t="s">
        <v>706</v>
      </c>
    </row>
    <row r="8560" spans="1:5" hidden="1" x14ac:dyDescent="0.3">
      <c r="A8560" t="s">
        <v>552</v>
      </c>
      <c r="B8560" t="s">
        <v>705</v>
      </c>
      <c r="C8560" t="s">
        <v>53</v>
      </c>
      <c r="D8560" s="226">
        <v>-112296.51</v>
      </c>
      <c r="E8560" t="s">
        <v>706</v>
      </c>
    </row>
    <row r="8561" spans="1:5" hidden="1" x14ac:dyDescent="0.3">
      <c r="A8561" t="s">
        <v>552</v>
      </c>
      <c r="B8561" t="s">
        <v>705</v>
      </c>
      <c r="C8561" t="s">
        <v>54</v>
      </c>
      <c r="D8561" s="226">
        <v>-4070.39</v>
      </c>
      <c r="E8561" t="s">
        <v>706</v>
      </c>
    </row>
    <row r="8562" spans="1:5" hidden="1" x14ac:dyDescent="0.3">
      <c r="A8562" t="s">
        <v>552</v>
      </c>
      <c r="B8562" t="s">
        <v>705</v>
      </c>
      <c r="C8562" t="s">
        <v>23</v>
      </c>
      <c r="D8562" s="226">
        <v>0</v>
      </c>
      <c r="E8562" t="s">
        <v>706</v>
      </c>
    </row>
    <row r="8563" spans="1:5" hidden="1" x14ac:dyDescent="0.3">
      <c r="A8563" t="s">
        <v>552</v>
      </c>
      <c r="B8563" t="s">
        <v>705</v>
      </c>
      <c r="C8563" t="s">
        <v>44</v>
      </c>
      <c r="D8563" s="226">
        <v>-0.26</v>
      </c>
      <c r="E8563" t="s">
        <v>706</v>
      </c>
    </row>
    <row r="8564" spans="1:5" hidden="1" x14ac:dyDescent="0.3">
      <c r="A8564" t="s">
        <v>552</v>
      </c>
      <c r="B8564" t="s">
        <v>705</v>
      </c>
      <c r="C8564" t="s">
        <v>55</v>
      </c>
      <c r="D8564" s="226">
        <v>-0.25</v>
      </c>
      <c r="E8564" t="s">
        <v>706</v>
      </c>
    </row>
    <row r="8565" spans="1:5" hidden="1" x14ac:dyDescent="0.3">
      <c r="A8565" t="s">
        <v>552</v>
      </c>
      <c r="B8565" t="s">
        <v>705</v>
      </c>
      <c r="C8565" t="s">
        <v>56</v>
      </c>
      <c r="D8565" s="226">
        <v>-1083.29</v>
      </c>
      <c r="E8565" t="s">
        <v>706</v>
      </c>
    </row>
    <row r="8566" spans="1:5" hidden="1" x14ac:dyDescent="0.3">
      <c r="A8566" t="s">
        <v>552</v>
      </c>
      <c r="B8566" t="s">
        <v>705</v>
      </c>
      <c r="C8566" t="s">
        <v>57</v>
      </c>
      <c r="D8566" s="226">
        <v>-383.29</v>
      </c>
      <c r="E8566" t="s">
        <v>706</v>
      </c>
    </row>
    <row r="8567" spans="1:5" hidden="1" x14ac:dyDescent="0.3">
      <c r="A8567" t="s">
        <v>552</v>
      </c>
      <c r="B8567" t="s">
        <v>705</v>
      </c>
      <c r="C8567" t="s">
        <v>58</v>
      </c>
      <c r="D8567" s="226">
        <v>0</v>
      </c>
      <c r="E8567" t="s">
        <v>706</v>
      </c>
    </row>
    <row r="8568" spans="1:5" hidden="1" x14ac:dyDescent="0.3">
      <c r="A8568" t="s">
        <v>552</v>
      </c>
      <c r="B8568" t="s">
        <v>705</v>
      </c>
      <c r="C8568" t="s">
        <v>59</v>
      </c>
      <c r="D8568" s="226">
        <v>-383.29</v>
      </c>
      <c r="E8568" t="s">
        <v>706</v>
      </c>
    </row>
    <row r="8569" spans="1:5" hidden="1" x14ac:dyDescent="0.3">
      <c r="A8569" t="s">
        <v>552</v>
      </c>
      <c r="B8569" t="s">
        <v>705</v>
      </c>
      <c r="C8569" t="s">
        <v>61</v>
      </c>
      <c r="D8569" s="226">
        <v>0</v>
      </c>
      <c r="E8569" t="s">
        <v>706</v>
      </c>
    </row>
    <row r="8570" spans="1:5" hidden="1" x14ac:dyDescent="0.3">
      <c r="A8570" t="s">
        <v>552</v>
      </c>
      <c r="B8570" t="s">
        <v>705</v>
      </c>
      <c r="C8570" t="s">
        <v>62</v>
      </c>
      <c r="D8570" s="226">
        <v>0</v>
      </c>
      <c r="E8570" t="s">
        <v>706</v>
      </c>
    </row>
    <row r="8571" spans="1:5" hidden="1" x14ac:dyDescent="0.3">
      <c r="A8571" t="s">
        <v>552</v>
      </c>
      <c r="B8571" t="s">
        <v>705</v>
      </c>
      <c r="C8571" t="s">
        <v>64</v>
      </c>
      <c r="D8571" s="226">
        <v>0</v>
      </c>
      <c r="E8571" t="s">
        <v>706</v>
      </c>
    </row>
    <row r="8572" spans="1:5" hidden="1" x14ac:dyDescent="0.3">
      <c r="A8572" t="s">
        <v>552</v>
      </c>
      <c r="B8572" t="s">
        <v>705</v>
      </c>
      <c r="C8572" t="s">
        <v>65</v>
      </c>
      <c r="D8572" s="226">
        <v>-700</v>
      </c>
      <c r="E8572" t="s">
        <v>706</v>
      </c>
    </row>
    <row r="8573" spans="1:5" hidden="1" x14ac:dyDescent="0.3">
      <c r="A8573" t="s">
        <v>552</v>
      </c>
      <c r="B8573" t="s">
        <v>705</v>
      </c>
      <c r="C8573" t="s">
        <v>66</v>
      </c>
      <c r="D8573" s="226">
        <v>-700</v>
      </c>
      <c r="E8573" t="s">
        <v>706</v>
      </c>
    </row>
    <row r="8574" spans="1:5" hidden="1" x14ac:dyDescent="0.3">
      <c r="A8574" t="s">
        <v>552</v>
      </c>
      <c r="B8574" t="s">
        <v>705</v>
      </c>
      <c r="C8574" t="s">
        <v>68</v>
      </c>
      <c r="D8574" s="226">
        <v>0</v>
      </c>
      <c r="E8574" t="s">
        <v>706</v>
      </c>
    </row>
    <row r="8575" spans="1:5" hidden="1" x14ac:dyDescent="0.3">
      <c r="A8575" t="s">
        <v>552</v>
      </c>
      <c r="B8575" t="s">
        <v>705</v>
      </c>
      <c r="C8575" t="s">
        <v>69</v>
      </c>
      <c r="D8575" s="226">
        <v>0</v>
      </c>
      <c r="E8575" t="s">
        <v>706</v>
      </c>
    </row>
    <row r="8576" spans="1:5" hidden="1" x14ac:dyDescent="0.3">
      <c r="A8576" t="s">
        <v>552</v>
      </c>
      <c r="B8576" t="s">
        <v>705</v>
      </c>
      <c r="C8576" t="s">
        <v>70</v>
      </c>
      <c r="D8576" s="226">
        <v>-0.32</v>
      </c>
      <c r="E8576" t="s">
        <v>706</v>
      </c>
    </row>
    <row r="8577" spans="1:5" hidden="1" x14ac:dyDescent="0.3">
      <c r="A8577" t="s">
        <v>552</v>
      </c>
      <c r="B8577" t="s">
        <v>705</v>
      </c>
      <c r="C8577" t="s">
        <v>44</v>
      </c>
      <c r="D8577" s="226">
        <v>0</v>
      </c>
      <c r="E8577" t="s">
        <v>706</v>
      </c>
    </row>
    <row r="8578" spans="1:5" hidden="1" x14ac:dyDescent="0.3">
      <c r="A8578" t="s">
        <v>552</v>
      </c>
      <c r="B8578" t="s">
        <v>705</v>
      </c>
      <c r="C8578" t="s">
        <v>71</v>
      </c>
      <c r="D8578" s="226">
        <v>-4465.84</v>
      </c>
      <c r="E8578" t="s">
        <v>706</v>
      </c>
    </row>
    <row r="8579" spans="1:5" hidden="1" x14ac:dyDescent="0.3">
      <c r="A8579" t="s">
        <v>552</v>
      </c>
      <c r="B8579" t="s">
        <v>705</v>
      </c>
      <c r="C8579" t="s">
        <v>72</v>
      </c>
      <c r="D8579" s="226">
        <v>-2551.84</v>
      </c>
      <c r="E8579" t="s">
        <v>706</v>
      </c>
    </row>
    <row r="8580" spans="1:5" hidden="1" x14ac:dyDescent="0.3">
      <c r="A8580" t="s">
        <v>552</v>
      </c>
      <c r="B8580" t="s">
        <v>705</v>
      </c>
      <c r="C8580" t="s">
        <v>73</v>
      </c>
      <c r="D8580" s="226">
        <v>-2000</v>
      </c>
      <c r="E8580" t="s">
        <v>706</v>
      </c>
    </row>
    <row r="8581" spans="1:5" hidden="1" x14ac:dyDescent="0.3">
      <c r="A8581" t="s">
        <v>552</v>
      </c>
      <c r="B8581" t="s">
        <v>705</v>
      </c>
      <c r="C8581" t="s">
        <v>75</v>
      </c>
      <c r="D8581" s="226">
        <v>-551.84</v>
      </c>
      <c r="E8581" t="s">
        <v>706</v>
      </c>
    </row>
    <row r="8582" spans="1:5" hidden="1" x14ac:dyDescent="0.3">
      <c r="A8582" t="s">
        <v>552</v>
      </c>
      <c r="B8582" t="s">
        <v>705</v>
      </c>
      <c r="C8582" t="s">
        <v>77</v>
      </c>
      <c r="D8582" s="226">
        <v>-1914</v>
      </c>
      <c r="E8582" t="s">
        <v>706</v>
      </c>
    </row>
    <row r="8583" spans="1:5" hidden="1" x14ac:dyDescent="0.3">
      <c r="A8583" t="s">
        <v>552</v>
      </c>
      <c r="B8583" t="s">
        <v>705</v>
      </c>
      <c r="C8583" t="s">
        <v>78</v>
      </c>
      <c r="D8583" s="226">
        <v>-1914</v>
      </c>
      <c r="E8583" t="s">
        <v>706</v>
      </c>
    </row>
    <row r="8584" spans="1:5" hidden="1" x14ac:dyDescent="0.3">
      <c r="A8584" t="s">
        <v>552</v>
      </c>
      <c r="B8584" t="s">
        <v>705</v>
      </c>
      <c r="C8584" t="s">
        <v>80</v>
      </c>
      <c r="D8584" s="226">
        <v>0</v>
      </c>
      <c r="E8584" t="s">
        <v>706</v>
      </c>
    </row>
    <row r="8585" spans="1:5" hidden="1" x14ac:dyDescent="0.3">
      <c r="A8585" t="s">
        <v>552</v>
      </c>
      <c r="B8585" t="s">
        <v>705</v>
      </c>
      <c r="C8585" t="s">
        <v>82</v>
      </c>
      <c r="D8585" s="226">
        <v>0</v>
      </c>
      <c r="E8585" t="s">
        <v>706</v>
      </c>
    </row>
    <row r="8586" spans="1:5" hidden="1" x14ac:dyDescent="0.3">
      <c r="A8586" t="s">
        <v>552</v>
      </c>
      <c r="B8586" t="s">
        <v>705</v>
      </c>
      <c r="C8586" t="s">
        <v>84</v>
      </c>
      <c r="D8586" s="226">
        <v>0</v>
      </c>
      <c r="E8586" t="s">
        <v>706</v>
      </c>
    </row>
    <row r="8587" spans="1:5" hidden="1" x14ac:dyDescent="0.3">
      <c r="A8587" t="s">
        <v>552</v>
      </c>
      <c r="B8587" t="s">
        <v>705</v>
      </c>
      <c r="C8587" t="s">
        <v>85</v>
      </c>
      <c r="D8587" s="226">
        <v>0</v>
      </c>
      <c r="E8587" t="s">
        <v>706</v>
      </c>
    </row>
    <row r="8588" spans="1:5" hidden="1" x14ac:dyDescent="0.3">
      <c r="A8588" t="s">
        <v>552</v>
      </c>
      <c r="B8588" t="s">
        <v>705</v>
      </c>
      <c r="C8588" t="s">
        <v>86</v>
      </c>
      <c r="D8588" s="226">
        <v>0</v>
      </c>
      <c r="E8588" t="s">
        <v>706</v>
      </c>
    </row>
    <row r="8589" spans="1:5" hidden="1" x14ac:dyDescent="0.3">
      <c r="A8589" t="s">
        <v>552</v>
      </c>
      <c r="B8589" t="s">
        <v>705</v>
      </c>
      <c r="C8589" t="s">
        <v>87</v>
      </c>
      <c r="D8589" s="226">
        <v>0</v>
      </c>
      <c r="E8589" t="s">
        <v>706</v>
      </c>
    </row>
    <row r="8590" spans="1:5" hidden="1" x14ac:dyDescent="0.3">
      <c r="A8590" t="s">
        <v>552</v>
      </c>
      <c r="B8590" t="s">
        <v>705</v>
      </c>
      <c r="C8590" t="s">
        <v>88</v>
      </c>
      <c r="D8590" s="226">
        <v>0</v>
      </c>
      <c r="E8590" t="s">
        <v>706</v>
      </c>
    </row>
    <row r="8591" spans="1:5" hidden="1" x14ac:dyDescent="0.3">
      <c r="A8591" t="s">
        <v>552</v>
      </c>
      <c r="B8591" t="s">
        <v>705</v>
      </c>
      <c r="C8591" t="s">
        <v>89</v>
      </c>
      <c r="D8591" s="226">
        <v>0</v>
      </c>
      <c r="E8591" t="s">
        <v>706</v>
      </c>
    </row>
    <row r="8592" spans="1:5" hidden="1" x14ac:dyDescent="0.3">
      <c r="A8592" t="s">
        <v>552</v>
      </c>
      <c r="B8592" t="s">
        <v>705</v>
      </c>
      <c r="C8592" t="s">
        <v>90</v>
      </c>
      <c r="D8592" s="226">
        <v>0</v>
      </c>
      <c r="E8592" t="s">
        <v>706</v>
      </c>
    </row>
    <row r="8593" spans="1:5" hidden="1" x14ac:dyDescent="0.3">
      <c r="A8593" t="s">
        <v>552</v>
      </c>
      <c r="B8593" t="s">
        <v>705</v>
      </c>
      <c r="C8593" t="s">
        <v>91</v>
      </c>
      <c r="D8593" s="226">
        <v>0</v>
      </c>
      <c r="E8593" t="s">
        <v>706</v>
      </c>
    </row>
    <row r="8594" spans="1:5" hidden="1" x14ac:dyDescent="0.3">
      <c r="A8594" t="s">
        <v>552</v>
      </c>
      <c r="B8594" t="s">
        <v>705</v>
      </c>
      <c r="C8594" t="s">
        <v>93</v>
      </c>
      <c r="D8594" s="226">
        <v>0</v>
      </c>
      <c r="E8594" t="s">
        <v>706</v>
      </c>
    </row>
    <row r="8595" spans="1:5" hidden="1" x14ac:dyDescent="0.3">
      <c r="A8595" t="s">
        <v>552</v>
      </c>
      <c r="B8595" t="s">
        <v>705</v>
      </c>
      <c r="C8595" t="s">
        <v>95</v>
      </c>
      <c r="D8595" s="226">
        <v>0</v>
      </c>
      <c r="E8595" t="s">
        <v>706</v>
      </c>
    </row>
    <row r="8596" spans="1:5" hidden="1" x14ac:dyDescent="0.3">
      <c r="A8596" t="s">
        <v>552</v>
      </c>
      <c r="B8596" t="s">
        <v>705</v>
      </c>
      <c r="C8596" t="s">
        <v>96</v>
      </c>
      <c r="D8596" s="226">
        <v>0</v>
      </c>
      <c r="E8596" t="s">
        <v>706</v>
      </c>
    </row>
    <row r="8597" spans="1:5" hidden="1" x14ac:dyDescent="0.3">
      <c r="A8597" t="s">
        <v>552</v>
      </c>
      <c r="B8597" t="s">
        <v>705</v>
      </c>
      <c r="C8597" t="s">
        <v>98</v>
      </c>
      <c r="D8597" s="226">
        <v>0</v>
      </c>
      <c r="E8597" t="s">
        <v>706</v>
      </c>
    </row>
    <row r="8598" spans="1:5" hidden="1" x14ac:dyDescent="0.3">
      <c r="A8598" t="s">
        <v>552</v>
      </c>
      <c r="B8598" t="s">
        <v>705</v>
      </c>
      <c r="C8598" t="s">
        <v>100</v>
      </c>
      <c r="D8598" s="226">
        <v>0</v>
      </c>
      <c r="E8598" t="s">
        <v>706</v>
      </c>
    </row>
    <row r="8599" spans="1:5" hidden="1" x14ac:dyDescent="0.3">
      <c r="A8599" t="s">
        <v>552</v>
      </c>
      <c r="B8599" t="s">
        <v>705</v>
      </c>
      <c r="C8599" t="s">
        <v>101</v>
      </c>
      <c r="D8599" s="226">
        <v>0</v>
      </c>
      <c r="E8599" t="s">
        <v>706</v>
      </c>
    </row>
    <row r="8600" spans="1:5" hidden="1" x14ac:dyDescent="0.3">
      <c r="A8600" t="s">
        <v>552</v>
      </c>
      <c r="B8600" t="s">
        <v>705</v>
      </c>
      <c r="C8600" t="s">
        <v>102</v>
      </c>
      <c r="D8600" s="226">
        <v>0</v>
      </c>
      <c r="E8600" t="s">
        <v>706</v>
      </c>
    </row>
    <row r="8601" spans="1:5" hidden="1" x14ac:dyDescent="0.3">
      <c r="A8601" t="s">
        <v>552</v>
      </c>
      <c r="B8601" t="s">
        <v>705</v>
      </c>
      <c r="C8601" t="s">
        <v>103</v>
      </c>
      <c r="D8601" s="226">
        <v>0</v>
      </c>
      <c r="E8601" t="s">
        <v>706</v>
      </c>
    </row>
    <row r="8602" spans="1:5" hidden="1" x14ac:dyDescent="0.3">
      <c r="A8602" t="s">
        <v>552</v>
      </c>
      <c r="B8602" t="s">
        <v>705</v>
      </c>
      <c r="C8602" t="s">
        <v>104</v>
      </c>
      <c r="D8602" s="226">
        <v>0</v>
      </c>
      <c r="E8602" t="s">
        <v>706</v>
      </c>
    </row>
    <row r="8603" spans="1:5" hidden="1" x14ac:dyDescent="0.3">
      <c r="A8603" t="s">
        <v>552</v>
      </c>
      <c r="B8603" t="s">
        <v>705</v>
      </c>
      <c r="C8603" t="s">
        <v>105</v>
      </c>
      <c r="D8603" s="226">
        <v>0</v>
      </c>
      <c r="E8603" t="s">
        <v>706</v>
      </c>
    </row>
    <row r="8604" spans="1:5" hidden="1" x14ac:dyDescent="0.3">
      <c r="A8604" t="s">
        <v>552</v>
      </c>
      <c r="B8604" t="s">
        <v>705</v>
      </c>
      <c r="C8604" t="s">
        <v>107</v>
      </c>
      <c r="D8604" s="226">
        <v>0</v>
      </c>
      <c r="E8604" t="s">
        <v>706</v>
      </c>
    </row>
    <row r="8605" spans="1:5" hidden="1" x14ac:dyDescent="0.3">
      <c r="A8605" t="s">
        <v>552</v>
      </c>
      <c r="B8605" t="s">
        <v>705</v>
      </c>
      <c r="C8605" t="s">
        <v>108</v>
      </c>
      <c r="D8605" s="226">
        <v>0</v>
      </c>
      <c r="E8605" t="s">
        <v>706</v>
      </c>
    </row>
    <row r="8606" spans="1:5" hidden="1" x14ac:dyDescent="0.3">
      <c r="A8606" t="s">
        <v>552</v>
      </c>
      <c r="B8606" t="s">
        <v>705</v>
      </c>
      <c r="C8606" t="s">
        <v>109</v>
      </c>
      <c r="D8606" s="226">
        <v>0</v>
      </c>
      <c r="E8606" t="s">
        <v>706</v>
      </c>
    </row>
    <row r="8607" spans="1:5" hidden="1" x14ac:dyDescent="0.3">
      <c r="A8607" t="s">
        <v>552</v>
      </c>
      <c r="B8607" t="s">
        <v>705</v>
      </c>
      <c r="C8607" t="s">
        <v>110</v>
      </c>
      <c r="D8607" s="226">
        <v>-0.13</v>
      </c>
      <c r="E8607" t="s">
        <v>706</v>
      </c>
    </row>
    <row r="8608" spans="1:5" hidden="1" x14ac:dyDescent="0.3">
      <c r="A8608" t="s">
        <v>552</v>
      </c>
      <c r="B8608" t="s">
        <v>705</v>
      </c>
      <c r="C8608" t="s">
        <v>44</v>
      </c>
      <c r="D8608" s="226">
        <v>0</v>
      </c>
      <c r="E8608" t="s">
        <v>706</v>
      </c>
    </row>
    <row r="8609" spans="1:5" hidden="1" x14ac:dyDescent="0.3">
      <c r="A8609" t="s">
        <v>552</v>
      </c>
      <c r="B8609" t="s">
        <v>705</v>
      </c>
      <c r="C8609" t="s">
        <v>111</v>
      </c>
      <c r="D8609" s="226">
        <v>-92560</v>
      </c>
      <c r="E8609" t="s">
        <v>706</v>
      </c>
    </row>
    <row r="8610" spans="1:5" hidden="1" x14ac:dyDescent="0.3">
      <c r="A8610" t="s">
        <v>552</v>
      </c>
      <c r="B8610" t="s">
        <v>705</v>
      </c>
      <c r="C8610" t="s">
        <v>555</v>
      </c>
      <c r="D8610" s="226">
        <v>-92560</v>
      </c>
      <c r="E8610" t="s">
        <v>706</v>
      </c>
    </row>
    <row r="8611" spans="1:5" hidden="1" x14ac:dyDescent="0.3">
      <c r="A8611" t="s">
        <v>552</v>
      </c>
      <c r="B8611" t="s">
        <v>705</v>
      </c>
      <c r="C8611" t="s">
        <v>44</v>
      </c>
      <c r="D8611" s="226">
        <v>-0.06</v>
      </c>
      <c r="E8611" t="s">
        <v>706</v>
      </c>
    </row>
    <row r="8612" spans="1:5" hidden="1" x14ac:dyDescent="0.3">
      <c r="A8612" t="s">
        <v>552</v>
      </c>
      <c r="B8612" t="s">
        <v>705</v>
      </c>
      <c r="C8612" t="s">
        <v>115</v>
      </c>
      <c r="D8612" s="226">
        <v>-55553.31</v>
      </c>
      <c r="E8612" t="s">
        <v>706</v>
      </c>
    </row>
    <row r="8613" spans="1:5" hidden="1" x14ac:dyDescent="0.3">
      <c r="A8613" t="s">
        <v>552</v>
      </c>
      <c r="B8613" t="s">
        <v>705</v>
      </c>
      <c r="C8613" t="s">
        <v>116</v>
      </c>
      <c r="D8613" s="226">
        <v>-30781.84</v>
      </c>
      <c r="E8613" t="s">
        <v>706</v>
      </c>
    </row>
    <row r="8614" spans="1:5" hidden="1" x14ac:dyDescent="0.3">
      <c r="A8614" t="s">
        <v>552</v>
      </c>
      <c r="B8614" t="s">
        <v>705</v>
      </c>
      <c r="C8614" t="s">
        <v>118</v>
      </c>
      <c r="D8614" s="226">
        <v>-24573.15</v>
      </c>
      <c r="E8614" t="s">
        <v>706</v>
      </c>
    </row>
    <row r="8615" spans="1:5" hidden="1" x14ac:dyDescent="0.3">
      <c r="A8615" t="s">
        <v>552</v>
      </c>
      <c r="B8615" t="s">
        <v>705</v>
      </c>
      <c r="C8615" t="s">
        <v>120</v>
      </c>
      <c r="D8615" s="226">
        <v>0</v>
      </c>
      <c r="E8615" t="s">
        <v>706</v>
      </c>
    </row>
    <row r="8616" spans="1:5" hidden="1" x14ac:dyDescent="0.3">
      <c r="A8616" t="s">
        <v>552</v>
      </c>
      <c r="B8616" t="s">
        <v>705</v>
      </c>
      <c r="C8616" t="s">
        <v>122</v>
      </c>
      <c r="D8616" s="226">
        <v>-198.32</v>
      </c>
      <c r="E8616" t="s">
        <v>706</v>
      </c>
    </row>
    <row r="8617" spans="1:5" hidden="1" x14ac:dyDescent="0.3">
      <c r="A8617" t="s">
        <v>552</v>
      </c>
      <c r="B8617" t="s">
        <v>705</v>
      </c>
      <c r="C8617" t="s">
        <v>44</v>
      </c>
      <c r="D8617" s="226">
        <v>-0.04</v>
      </c>
      <c r="E8617" t="s">
        <v>706</v>
      </c>
    </row>
    <row r="8618" spans="1:5" hidden="1" x14ac:dyDescent="0.3">
      <c r="A8618" t="s">
        <v>552</v>
      </c>
      <c r="B8618" t="s">
        <v>705</v>
      </c>
      <c r="C8618" t="s">
        <v>125</v>
      </c>
      <c r="D8618" s="226">
        <v>882274.05</v>
      </c>
      <c r="E8618" t="s">
        <v>706</v>
      </c>
    </row>
    <row r="8619" spans="1:5" hidden="1" x14ac:dyDescent="0.3">
      <c r="A8619" t="s">
        <v>552</v>
      </c>
      <c r="B8619" t="s">
        <v>705</v>
      </c>
      <c r="C8619" t="s">
        <v>126</v>
      </c>
      <c r="D8619" s="226">
        <v>0.59</v>
      </c>
      <c r="E8619" t="s">
        <v>706</v>
      </c>
    </row>
    <row r="8620" spans="1:5" hidden="1" x14ac:dyDescent="0.3">
      <c r="A8620" t="s">
        <v>552</v>
      </c>
      <c r="B8620" t="s">
        <v>705</v>
      </c>
      <c r="C8620" t="s">
        <v>127</v>
      </c>
      <c r="D8620" s="226">
        <v>-318108.02</v>
      </c>
      <c r="E8620" t="s">
        <v>706</v>
      </c>
    </row>
    <row r="8621" spans="1:5" hidden="1" x14ac:dyDescent="0.3">
      <c r="A8621" t="s">
        <v>552</v>
      </c>
      <c r="B8621" t="s">
        <v>705</v>
      </c>
      <c r="C8621" t="s">
        <v>128</v>
      </c>
      <c r="D8621" s="226">
        <v>-46406</v>
      </c>
      <c r="E8621" t="s">
        <v>706</v>
      </c>
    </row>
    <row r="8622" spans="1:5" hidden="1" x14ac:dyDescent="0.3">
      <c r="A8622" t="s">
        <v>552</v>
      </c>
      <c r="B8622" t="s">
        <v>705</v>
      </c>
      <c r="C8622" t="s">
        <v>556</v>
      </c>
      <c r="D8622" s="226">
        <v>-10906</v>
      </c>
      <c r="E8622" t="s">
        <v>706</v>
      </c>
    </row>
    <row r="8623" spans="1:5" hidden="1" x14ac:dyDescent="0.3">
      <c r="A8623" t="s">
        <v>552</v>
      </c>
      <c r="B8623" t="s">
        <v>705</v>
      </c>
      <c r="C8623" t="s">
        <v>557</v>
      </c>
      <c r="D8623" s="226">
        <v>-6600</v>
      </c>
      <c r="E8623" t="s">
        <v>706</v>
      </c>
    </row>
    <row r="8624" spans="1:5" hidden="1" x14ac:dyDescent="0.3">
      <c r="A8624" t="s">
        <v>552</v>
      </c>
      <c r="B8624" t="s">
        <v>705</v>
      </c>
      <c r="C8624" t="s">
        <v>558</v>
      </c>
      <c r="D8624" s="226">
        <v>0</v>
      </c>
      <c r="E8624" t="s">
        <v>706</v>
      </c>
    </row>
    <row r="8625" spans="1:5" hidden="1" x14ac:dyDescent="0.3">
      <c r="A8625" t="s">
        <v>552</v>
      </c>
      <c r="B8625" t="s">
        <v>705</v>
      </c>
      <c r="C8625" t="s">
        <v>559</v>
      </c>
      <c r="D8625" s="226">
        <v>-12600</v>
      </c>
      <c r="E8625" t="s">
        <v>706</v>
      </c>
    </row>
    <row r="8626" spans="1:5" hidden="1" x14ac:dyDescent="0.3">
      <c r="A8626" t="s">
        <v>552</v>
      </c>
      <c r="B8626" t="s">
        <v>705</v>
      </c>
      <c r="C8626" t="s">
        <v>560</v>
      </c>
      <c r="D8626" s="226">
        <v>-3100</v>
      </c>
      <c r="E8626" t="s">
        <v>706</v>
      </c>
    </row>
    <row r="8627" spans="1:5" hidden="1" x14ac:dyDescent="0.3">
      <c r="A8627" t="s">
        <v>552</v>
      </c>
      <c r="B8627" t="s">
        <v>705</v>
      </c>
      <c r="C8627" t="s">
        <v>561</v>
      </c>
      <c r="D8627" s="226">
        <v>-5000</v>
      </c>
      <c r="E8627" t="s">
        <v>706</v>
      </c>
    </row>
    <row r="8628" spans="1:5" hidden="1" x14ac:dyDescent="0.3">
      <c r="A8628" t="s">
        <v>552</v>
      </c>
      <c r="B8628" t="s">
        <v>705</v>
      </c>
      <c r="C8628" t="s">
        <v>562</v>
      </c>
      <c r="D8628" s="226">
        <v>-4000</v>
      </c>
      <c r="E8628" t="s">
        <v>706</v>
      </c>
    </row>
    <row r="8629" spans="1:5" hidden="1" x14ac:dyDescent="0.3">
      <c r="A8629" t="s">
        <v>552</v>
      </c>
      <c r="B8629" t="s">
        <v>705</v>
      </c>
      <c r="C8629" t="s">
        <v>563</v>
      </c>
      <c r="D8629" s="226">
        <v>-4200</v>
      </c>
      <c r="E8629" t="s">
        <v>706</v>
      </c>
    </row>
    <row r="8630" spans="1:5" hidden="1" x14ac:dyDescent="0.3">
      <c r="A8630" t="s">
        <v>552</v>
      </c>
      <c r="B8630" t="s">
        <v>705</v>
      </c>
      <c r="C8630" t="s">
        <v>564</v>
      </c>
      <c r="D8630" s="226">
        <v>0</v>
      </c>
      <c r="E8630" t="s">
        <v>706</v>
      </c>
    </row>
    <row r="8631" spans="1:5" hidden="1" x14ac:dyDescent="0.3">
      <c r="A8631" t="s">
        <v>552</v>
      </c>
      <c r="B8631" t="s">
        <v>705</v>
      </c>
      <c r="C8631" t="s">
        <v>565</v>
      </c>
      <c r="D8631" s="226">
        <v>0</v>
      </c>
      <c r="E8631" t="s">
        <v>706</v>
      </c>
    </row>
    <row r="8632" spans="1:5" hidden="1" x14ac:dyDescent="0.3">
      <c r="A8632" t="s">
        <v>552</v>
      </c>
      <c r="B8632" t="s">
        <v>705</v>
      </c>
      <c r="C8632" t="s">
        <v>566</v>
      </c>
      <c r="D8632" s="226">
        <v>0</v>
      </c>
      <c r="E8632" t="s">
        <v>706</v>
      </c>
    </row>
    <row r="8633" spans="1:5" hidden="1" x14ac:dyDescent="0.3">
      <c r="A8633" t="s">
        <v>552</v>
      </c>
      <c r="B8633" t="s">
        <v>705</v>
      </c>
      <c r="C8633" t="s">
        <v>567</v>
      </c>
      <c r="D8633" s="226">
        <v>0</v>
      </c>
      <c r="E8633" t="s">
        <v>706</v>
      </c>
    </row>
    <row r="8634" spans="1:5" hidden="1" x14ac:dyDescent="0.3">
      <c r="A8634" t="s">
        <v>552</v>
      </c>
      <c r="B8634" t="s">
        <v>705</v>
      </c>
      <c r="C8634" t="s">
        <v>141</v>
      </c>
      <c r="D8634" s="226">
        <v>-47842.39</v>
      </c>
      <c r="E8634" t="s">
        <v>706</v>
      </c>
    </row>
    <row r="8635" spans="1:5" hidden="1" x14ac:dyDescent="0.3">
      <c r="A8635" t="s">
        <v>552</v>
      </c>
      <c r="B8635" t="s">
        <v>705</v>
      </c>
      <c r="C8635" t="s">
        <v>568</v>
      </c>
      <c r="D8635" s="226">
        <v>0</v>
      </c>
      <c r="E8635" t="s">
        <v>706</v>
      </c>
    </row>
    <row r="8636" spans="1:5" hidden="1" x14ac:dyDescent="0.3">
      <c r="A8636" t="s">
        <v>552</v>
      </c>
      <c r="B8636" t="s">
        <v>705</v>
      </c>
      <c r="C8636" t="s">
        <v>569</v>
      </c>
      <c r="D8636" s="226">
        <v>0</v>
      </c>
      <c r="E8636" t="s">
        <v>706</v>
      </c>
    </row>
    <row r="8637" spans="1:5" hidden="1" x14ac:dyDescent="0.3">
      <c r="A8637" t="s">
        <v>552</v>
      </c>
      <c r="B8637" t="s">
        <v>705</v>
      </c>
      <c r="C8637" t="s">
        <v>570</v>
      </c>
      <c r="D8637" s="226">
        <v>0</v>
      </c>
      <c r="E8637" t="s">
        <v>706</v>
      </c>
    </row>
    <row r="8638" spans="1:5" hidden="1" x14ac:dyDescent="0.3">
      <c r="A8638" t="s">
        <v>552</v>
      </c>
      <c r="B8638" t="s">
        <v>705</v>
      </c>
      <c r="C8638" t="s">
        <v>571</v>
      </c>
      <c r="D8638" s="226">
        <v>0</v>
      </c>
      <c r="E8638" t="s">
        <v>706</v>
      </c>
    </row>
    <row r="8639" spans="1:5" hidden="1" x14ac:dyDescent="0.3">
      <c r="A8639" t="s">
        <v>552</v>
      </c>
      <c r="B8639" t="s">
        <v>705</v>
      </c>
      <c r="C8639" t="s">
        <v>572</v>
      </c>
      <c r="D8639" s="226">
        <v>0</v>
      </c>
      <c r="E8639" t="s">
        <v>706</v>
      </c>
    </row>
    <row r="8640" spans="1:5" hidden="1" x14ac:dyDescent="0.3">
      <c r="A8640" t="s">
        <v>552</v>
      </c>
      <c r="B8640" t="s">
        <v>705</v>
      </c>
      <c r="C8640" t="s">
        <v>573</v>
      </c>
      <c r="D8640" s="226">
        <v>0</v>
      </c>
      <c r="E8640" t="s">
        <v>706</v>
      </c>
    </row>
    <row r="8641" spans="1:5" hidden="1" x14ac:dyDescent="0.3">
      <c r="A8641" t="s">
        <v>552</v>
      </c>
      <c r="B8641" t="s">
        <v>705</v>
      </c>
      <c r="C8641" t="s">
        <v>574</v>
      </c>
      <c r="D8641" s="226">
        <v>0</v>
      </c>
      <c r="E8641" t="s">
        <v>706</v>
      </c>
    </row>
    <row r="8642" spans="1:5" hidden="1" x14ac:dyDescent="0.3">
      <c r="A8642" t="s">
        <v>552</v>
      </c>
      <c r="B8642" t="s">
        <v>705</v>
      </c>
      <c r="C8642" t="s">
        <v>575</v>
      </c>
      <c r="D8642" s="226">
        <v>0</v>
      </c>
      <c r="E8642" t="s">
        <v>706</v>
      </c>
    </row>
    <row r="8643" spans="1:5" hidden="1" x14ac:dyDescent="0.3">
      <c r="A8643" t="s">
        <v>552</v>
      </c>
      <c r="B8643" t="s">
        <v>705</v>
      </c>
      <c r="C8643" t="s">
        <v>576</v>
      </c>
      <c r="D8643" s="226">
        <v>0</v>
      </c>
      <c r="E8643" t="s">
        <v>706</v>
      </c>
    </row>
    <row r="8644" spans="1:5" hidden="1" x14ac:dyDescent="0.3">
      <c r="A8644" t="s">
        <v>552</v>
      </c>
      <c r="B8644" t="s">
        <v>705</v>
      </c>
      <c r="C8644" t="s">
        <v>577</v>
      </c>
      <c r="D8644" s="226">
        <v>0</v>
      </c>
      <c r="E8644" t="s">
        <v>706</v>
      </c>
    </row>
    <row r="8645" spans="1:5" hidden="1" x14ac:dyDescent="0.3">
      <c r="A8645" t="s">
        <v>552</v>
      </c>
      <c r="B8645" t="s">
        <v>705</v>
      </c>
      <c r="C8645" t="s">
        <v>578</v>
      </c>
      <c r="D8645" s="226">
        <v>0</v>
      </c>
      <c r="E8645" t="s">
        <v>706</v>
      </c>
    </row>
    <row r="8646" spans="1:5" hidden="1" x14ac:dyDescent="0.3">
      <c r="A8646" t="s">
        <v>552</v>
      </c>
      <c r="B8646" t="s">
        <v>705</v>
      </c>
      <c r="C8646" t="s">
        <v>579</v>
      </c>
      <c r="D8646" s="226">
        <v>0</v>
      </c>
      <c r="E8646" t="s">
        <v>706</v>
      </c>
    </row>
    <row r="8647" spans="1:5" hidden="1" x14ac:dyDescent="0.3">
      <c r="A8647" t="s">
        <v>552</v>
      </c>
      <c r="B8647" t="s">
        <v>705</v>
      </c>
      <c r="C8647" t="s">
        <v>580</v>
      </c>
      <c r="D8647" s="226">
        <v>0</v>
      </c>
      <c r="E8647" t="s">
        <v>706</v>
      </c>
    </row>
    <row r="8648" spans="1:5" hidden="1" x14ac:dyDescent="0.3">
      <c r="A8648" t="s">
        <v>552</v>
      </c>
      <c r="B8648" t="s">
        <v>705</v>
      </c>
      <c r="C8648" t="s">
        <v>581</v>
      </c>
      <c r="D8648" s="226">
        <v>0</v>
      </c>
      <c r="E8648" t="s">
        <v>706</v>
      </c>
    </row>
    <row r="8649" spans="1:5" hidden="1" x14ac:dyDescent="0.3">
      <c r="A8649" t="s">
        <v>552</v>
      </c>
      <c r="B8649" t="s">
        <v>705</v>
      </c>
      <c r="C8649" t="s">
        <v>582</v>
      </c>
      <c r="D8649" s="226">
        <v>0</v>
      </c>
      <c r="E8649" t="s">
        <v>706</v>
      </c>
    </row>
    <row r="8650" spans="1:5" hidden="1" x14ac:dyDescent="0.3">
      <c r="A8650" t="s">
        <v>552</v>
      </c>
      <c r="B8650" t="s">
        <v>705</v>
      </c>
      <c r="C8650" t="s">
        <v>583</v>
      </c>
      <c r="D8650" s="226">
        <v>0</v>
      </c>
      <c r="E8650" t="s">
        <v>706</v>
      </c>
    </row>
    <row r="8651" spans="1:5" hidden="1" x14ac:dyDescent="0.3">
      <c r="A8651" t="s">
        <v>552</v>
      </c>
      <c r="B8651" t="s">
        <v>705</v>
      </c>
      <c r="C8651" t="s">
        <v>584</v>
      </c>
      <c r="D8651" s="226">
        <v>0</v>
      </c>
      <c r="E8651" t="s">
        <v>706</v>
      </c>
    </row>
    <row r="8652" spans="1:5" hidden="1" x14ac:dyDescent="0.3">
      <c r="A8652" t="s">
        <v>552</v>
      </c>
      <c r="B8652" t="s">
        <v>705</v>
      </c>
      <c r="C8652" t="s">
        <v>585</v>
      </c>
      <c r="D8652" s="226">
        <v>0</v>
      </c>
      <c r="E8652" t="s">
        <v>706</v>
      </c>
    </row>
    <row r="8653" spans="1:5" hidden="1" x14ac:dyDescent="0.3">
      <c r="A8653" t="s">
        <v>552</v>
      </c>
      <c r="B8653" t="s">
        <v>705</v>
      </c>
      <c r="C8653" t="s">
        <v>586</v>
      </c>
      <c r="D8653" s="226">
        <v>0</v>
      </c>
      <c r="E8653" t="s">
        <v>706</v>
      </c>
    </row>
    <row r="8654" spans="1:5" hidden="1" x14ac:dyDescent="0.3">
      <c r="A8654" t="s">
        <v>552</v>
      </c>
      <c r="B8654" t="s">
        <v>705</v>
      </c>
      <c r="C8654" t="s">
        <v>587</v>
      </c>
      <c r="D8654" s="226">
        <v>0</v>
      </c>
      <c r="E8654" t="s">
        <v>706</v>
      </c>
    </row>
    <row r="8655" spans="1:5" hidden="1" x14ac:dyDescent="0.3">
      <c r="A8655" t="s">
        <v>552</v>
      </c>
      <c r="B8655" t="s">
        <v>705</v>
      </c>
      <c r="C8655" t="s">
        <v>588</v>
      </c>
      <c r="D8655" s="226">
        <v>0</v>
      </c>
      <c r="E8655" t="s">
        <v>706</v>
      </c>
    </row>
    <row r="8656" spans="1:5" hidden="1" x14ac:dyDescent="0.3">
      <c r="A8656" t="s">
        <v>552</v>
      </c>
      <c r="B8656" t="s">
        <v>705</v>
      </c>
      <c r="C8656" t="s">
        <v>589</v>
      </c>
      <c r="D8656" s="226">
        <v>0</v>
      </c>
      <c r="E8656" t="s">
        <v>706</v>
      </c>
    </row>
    <row r="8657" spans="1:5" hidden="1" x14ac:dyDescent="0.3">
      <c r="A8657" t="s">
        <v>552</v>
      </c>
      <c r="B8657" t="s">
        <v>705</v>
      </c>
      <c r="C8657" t="s">
        <v>590</v>
      </c>
      <c r="D8657" s="226">
        <v>0</v>
      </c>
      <c r="E8657" t="s">
        <v>706</v>
      </c>
    </row>
    <row r="8658" spans="1:5" hidden="1" x14ac:dyDescent="0.3">
      <c r="A8658" t="s">
        <v>552</v>
      </c>
      <c r="B8658" t="s">
        <v>705</v>
      </c>
      <c r="C8658" t="s">
        <v>591</v>
      </c>
      <c r="D8658" s="226">
        <v>0</v>
      </c>
      <c r="E8658" t="s">
        <v>706</v>
      </c>
    </row>
    <row r="8659" spans="1:5" hidden="1" x14ac:dyDescent="0.3">
      <c r="A8659" t="s">
        <v>552</v>
      </c>
      <c r="B8659" t="s">
        <v>705</v>
      </c>
      <c r="C8659" t="s">
        <v>592</v>
      </c>
      <c r="D8659" s="226">
        <v>0</v>
      </c>
      <c r="E8659" t="s">
        <v>706</v>
      </c>
    </row>
    <row r="8660" spans="1:5" hidden="1" x14ac:dyDescent="0.3">
      <c r="A8660" t="s">
        <v>552</v>
      </c>
      <c r="B8660" t="s">
        <v>705</v>
      </c>
      <c r="C8660" t="s">
        <v>593</v>
      </c>
      <c r="D8660" s="226">
        <v>0</v>
      </c>
      <c r="E8660" t="s">
        <v>706</v>
      </c>
    </row>
    <row r="8661" spans="1:5" hidden="1" x14ac:dyDescent="0.3">
      <c r="A8661" t="s">
        <v>552</v>
      </c>
      <c r="B8661" t="s">
        <v>705</v>
      </c>
      <c r="C8661" t="s">
        <v>594</v>
      </c>
      <c r="D8661" s="226">
        <v>0</v>
      </c>
      <c r="E8661" t="s">
        <v>706</v>
      </c>
    </row>
    <row r="8662" spans="1:5" hidden="1" x14ac:dyDescent="0.3">
      <c r="A8662" t="s">
        <v>552</v>
      </c>
      <c r="B8662" t="s">
        <v>705</v>
      </c>
      <c r="C8662" t="s">
        <v>595</v>
      </c>
      <c r="D8662" s="226">
        <v>0</v>
      </c>
      <c r="E8662" t="s">
        <v>706</v>
      </c>
    </row>
    <row r="8663" spans="1:5" hidden="1" x14ac:dyDescent="0.3">
      <c r="A8663" t="s">
        <v>552</v>
      </c>
      <c r="B8663" t="s">
        <v>705</v>
      </c>
      <c r="C8663" t="s">
        <v>596</v>
      </c>
      <c r="D8663" s="226">
        <v>0</v>
      </c>
      <c r="E8663" t="s">
        <v>706</v>
      </c>
    </row>
    <row r="8664" spans="1:5" hidden="1" x14ac:dyDescent="0.3">
      <c r="A8664" t="s">
        <v>552</v>
      </c>
      <c r="B8664" t="s">
        <v>705</v>
      </c>
      <c r="C8664" t="s">
        <v>597</v>
      </c>
      <c r="D8664" s="226">
        <v>0</v>
      </c>
      <c r="E8664" t="s">
        <v>706</v>
      </c>
    </row>
    <row r="8665" spans="1:5" hidden="1" x14ac:dyDescent="0.3">
      <c r="A8665" t="s">
        <v>552</v>
      </c>
      <c r="B8665" t="s">
        <v>705</v>
      </c>
      <c r="C8665" t="s">
        <v>598</v>
      </c>
      <c r="D8665" s="226">
        <v>0</v>
      </c>
      <c r="E8665" t="s">
        <v>706</v>
      </c>
    </row>
    <row r="8666" spans="1:5" hidden="1" x14ac:dyDescent="0.3">
      <c r="A8666" t="s">
        <v>552</v>
      </c>
      <c r="B8666" t="s">
        <v>705</v>
      </c>
      <c r="C8666" t="s">
        <v>599</v>
      </c>
      <c r="D8666" s="226">
        <v>0</v>
      </c>
      <c r="E8666" t="s">
        <v>706</v>
      </c>
    </row>
    <row r="8667" spans="1:5" hidden="1" x14ac:dyDescent="0.3">
      <c r="A8667" t="s">
        <v>552</v>
      </c>
      <c r="B8667" t="s">
        <v>705</v>
      </c>
      <c r="C8667" t="s">
        <v>600</v>
      </c>
      <c r="D8667" s="226">
        <v>0</v>
      </c>
      <c r="E8667" t="s">
        <v>706</v>
      </c>
    </row>
    <row r="8668" spans="1:5" hidden="1" x14ac:dyDescent="0.3">
      <c r="A8668" t="s">
        <v>552</v>
      </c>
      <c r="B8668" t="s">
        <v>705</v>
      </c>
      <c r="C8668" t="s">
        <v>601</v>
      </c>
      <c r="D8668" s="226">
        <v>0</v>
      </c>
      <c r="E8668" t="s">
        <v>706</v>
      </c>
    </row>
    <row r="8669" spans="1:5" hidden="1" x14ac:dyDescent="0.3">
      <c r="A8669" t="s">
        <v>552</v>
      </c>
      <c r="B8669" t="s">
        <v>705</v>
      </c>
      <c r="C8669" t="s">
        <v>602</v>
      </c>
      <c r="D8669" s="226">
        <v>0</v>
      </c>
      <c r="E8669" t="s">
        <v>706</v>
      </c>
    </row>
    <row r="8670" spans="1:5" hidden="1" x14ac:dyDescent="0.3">
      <c r="A8670" t="s">
        <v>552</v>
      </c>
      <c r="B8670" t="s">
        <v>705</v>
      </c>
      <c r="C8670" t="s">
        <v>603</v>
      </c>
      <c r="D8670" s="226">
        <v>0</v>
      </c>
      <c r="E8670" t="s">
        <v>706</v>
      </c>
    </row>
    <row r="8671" spans="1:5" hidden="1" x14ac:dyDescent="0.3">
      <c r="A8671" t="s">
        <v>552</v>
      </c>
      <c r="B8671" t="s">
        <v>705</v>
      </c>
      <c r="C8671" t="s">
        <v>604</v>
      </c>
      <c r="D8671" s="226">
        <v>0</v>
      </c>
      <c r="E8671" t="s">
        <v>706</v>
      </c>
    </row>
    <row r="8672" spans="1:5" hidden="1" x14ac:dyDescent="0.3">
      <c r="A8672" t="s">
        <v>552</v>
      </c>
      <c r="B8672" t="s">
        <v>705</v>
      </c>
      <c r="C8672" t="s">
        <v>605</v>
      </c>
      <c r="D8672" s="226">
        <v>0</v>
      </c>
      <c r="E8672" t="s">
        <v>706</v>
      </c>
    </row>
    <row r="8673" spans="1:5" hidden="1" x14ac:dyDescent="0.3">
      <c r="A8673" t="s">
        <v>552</v>
      </c>
      <c r="B8673" t="s">
        <v>705</v>
      </c>
      <c r="C8673" t="s">
        <v>606</v>
      </c>
      <c r="D8673" s="226">
        <v>0</v>
      </c>
      <c r="E8673" t="s">
        <v>706</v>
      </c>
    </row>
    <row r="8674" spans="1:5" hidden="1" x14ac:dyDescent="0.3">
      <c r="A8674" t="s">
        <v>552</v>
      </c>
      <c r="B8674" t="s">
        <v>705</v>
      </c>
      <c r="C8674" t="s">
        <v>607</v>
      </c>
      <c r="D8674" s="226">
        <v>0</v>
      </c>
      <c r="E8674" t="s">
        <v>706</v>
      </c>
    </row>
    <row r="8675" spans="1:5" hidden="1" x14ac:dyDescent="0.3">
      <c r="A8675" t="s">
        <v>552</v>
      </c>
      <c r="B8675" t="s">
        <v>705</v>
      </c>
      <c r="C8675" t="s">
        <v>608</v>
      </c>
      <c r="D8675" s="226">
        <v>0</v>
      </c>
      <c r="E8675" t="s">
        <v>706</v>
      </c>
    </row>
    <row r="8676" spans="1:5" hidden="1" x14ac:dyDescent="0.3">
      <c r="A8676" t="s">
        <v>552</v>
      </c>
      <c r="B8676" t="s">
        <v>705</v>
      </c>
      <c r="C8676" t="s">
        <v>609</v>
      </c>
      <c r="D8676" s="226">
        <v>0</v>
      </c>
      <c r="E8676" t="s">
        <v>706</v>
      </c>
    </row>
    <row r="8677" spans="1:5" hidden="1" x14ac:dyDescent="0.3">
      <c r="A8677" t="s">
        <v>552</v>
      </c>
      <c r="B8677" t="s">
        <v>705</v>
      </c>
      <c r="C8677" t="s">
        <v>610</v>
      </c>
      <c r="D8677" s="226">
        <v>0</v>
      </c>
      <c r="E8677" t="s">
        <v>706</v>
      </c>
    </row>
    <row r="8678" spans="1:5" hidden="1" x14ac:dyDescent="0.3">
      <c r="A8678" t="s">
        <v>552</v>
      </c>
      <c r="B8678" t="s">
        <v>705</v>
      </c>
      <c r="C8678" t="s">
        <v>611</v>
      </c>
      <c r="D8678" s="226">
        <v>0</v>
      </c>
      <c r="E8678" t="s">
        <v>706</v>
      </c>
    </row>
    <row r="8679" spans="1:5" hidden="1" x14ac:dyDescent="0.3">
      <c r="A8679" t="s">
        <v>552</v>
      </c>
      <c r="B8679" t="s">
        <v>705</v>
      </c>
      <c r="C8679" t="s">
        <v>612</v>
      </c>
      <c r="D8679" s="226">
        <v>0</v>
      </c>
      <c r="E8679" t="s">
        <v>706</v>
      </c>
    </row>
    <row r="8680" spans="1:5" hidden="1" x14ac:dyDescent="0.3">
      <c r="A8680" t="s">
        <v>552</v>
      </c>
      <c r="B8680" t="s">
        <v>705</v>
      </c>
      <c r="C8680" t="s">
        <v>613</v>
      </c>
      <c r="D8680" s="226">
        <v>0</v>
      </c>
      <c r="E8680" t="s">
        <v>706</v>
      </c>
    </row>
    <row r="8681" spans="1:5" hidden="1" x14ac:dyDescent="0.3">
      <c r="A8681" t="s">
        <v>552</v>
      </c>
      <c r="B8681" t="s">
        <v>705</v>
      </c>
      <c r="C8681" t="s">
        <v>614</v>
      </c>
      <c r="D8681" s="226">
        <v>0</v>
      </c>
      <c r="E8681" t="s">
        <v>706</v>
      </c>
    </row>
    <row r="8682" spans="1:5" hidden="1" x14ac:dyDescent="0.3">
      <c r="A8682" t="s">
        <v>552</v>
      </c>
      <c r="B8682" t="s">
        <v>705</v>
      </c>
      <c r="C8682" t="s">
        <v>615</v>
      </c>
      <c r="D8682" s="226">
        <v>0</v>
      </c>
      <c r="E8682" t="s">
        <v>706</v>
      </c>
    </row>
    <row r="8683" spans="1:5" hidden="1" x14ac:dyDescent="0.3">
      <c r="A8683" t="s">
        <v>552</v>
      </c>
      <c r="B8683" t="s">
        <v>705</v>
      </c>
      <c r="C8683" t="s">
        <v>616</v>
      </c>
      <c r="D8683" s="226">
        <v>0</v>
      </c>
      <c r="E8683" t="s">
        <v>706</v>
      </c>
    </row>
    <row r="8684" spans="1:5" hidden="1" x14ac:dyDescent="0.3">
      <c r="A8684" t="s">
        <v>552</v>
      </c>
      <c r="B8684" t="s">
        <v>705</v>
      </c>
      <c r="C8684" t="s">
        <v>617</v>
      </c>
      <c r="D8684" s="226">
        <v>0</v>
      </c>
      <c r="E8684" t="s">
        <v>706</v>
      </c>
    </row>
    <row r="8685" spans="1:5" hidden="1" x14ac:dyDescent="0.3">
      <c r="A8685" t="s">
        <v>552</v>
      </c>
      <c r="B8685" t="s">
        <v>705</v>
      </c>
      <c r="C8685" t="s">
        <v>618</v>
      </c>
      <c r="D8685" s="226">
        <v>0</v>
      </c>
      <c r="E8685" t="s">
        <v>706</v>
      </c>
    </row>
    <row r="8686" spans="1:5" hidden="1" x14ac:dyDescent="0.3">
      <c r="A8686" t="s">
        <v>552</v>
      </c>
      <c r="B8686" t="s">
        <v>705</v>
      </c>
      <c r="C8686" t="s">
        <v>619</v>
      </c>
      <c r="D8686" s="226">
        <v>0</v>
      </c>
      <c r="E8686" t="s">
        <v>706</v>
      </c>
    </row>
    <row r="8687" spans="1:5" hidden="1" x14ac:dyDescent="0.3">
      <c r="A8687" t="s">
        <v>552</v>
      </c>
      <c r="B8687" t="s">
        <v>705</v>
      </c>
      <c r="C8687" t="s">
        <v>620</v>
      </c>
      <c r="D8687" s="226">
        <v>0</v>
      </c>
      <c r="E8687" t="s">
        <v>706</v>
      </c>
    </row>
    <row r="8688" spans="1:5" hidden="1" x14ac:dyDescent="0.3">
      <c r="A8688" t="s">
        <v>552</v>
      </c>
      <c r="B8688" t="s">
        <v>705</v>
      </c>
      <c r="C8688" t="s">
        <v>621</v>
      </c>
      <c r="D8688" s="226">
        <v>0</v>
      </c>
      <c r="E8688" t="s">
        <v>706</v>
      </c>
    </row>
    <row r="8689" spans="1:5" hidden="1" x14ac:dyDescent="0.3">
      <c r="A8689" t="s">
        <v>552</v>
      </c>
      <c r="B8689" t="s">
        <v>705</v>
      </c>
      <c r="C8689" t="s">
        <v>622</v>
      </c>
      <c r="D8689" s="226">
        <v>0</v>
      </c>
      <c r="E8689" t="s">
        <v>706</v>
      </c>
    </row>
    <row r="8690" spans="1:5" hidden="1" x14ac:dyDescent="0.3">
      <c r="A8690" t="s">
        <v>552</v>
      </c>
      <c r="B8690" t="s">
        <v>705</v>
      </c>
      <c r="C8690" t="s">
        <v>623</v>
      </c>
      <c r="D8690" s="226">
        <v>0</v>
      </c>
      <c r="E8690" t="s">
        <v>706</v>
      </c>
    </row>
    <row r="8691" spans="1:5" hidden="1" x14ac:dyDescent="0.3">
      <c r="A8691" t="s">
        <v>552</v>
      </c>
      <c r="B8691" t="s">
        <v>705</v>
      </c>
      <c r="C8691" t="s">
        <v>624</v>
      </c>
      <c r="D8691" s="226">
        <v>0</v>
      </c>
      <c r="E8691" t="s">
        <v>706</v>
      </c>
    </row>
    <row r="8692" spans="1:5" hidden="1" x14ac:dyDescent="0.3">
      <c r="A8692" t="s">
        <v>552</v>
      </c>
      <c r="B8692" t="s">
        <v>705</v>
      </c>
      <c r="C8692" t="s">
        <v>200</v>
      </c>
      <c r="D8692" s="226">
        <v>-123507.36</v>
      </c>
      <c r="E8692" t="s">
        <v>706</v>
      </c>
    </row>
    <row r="8693" spans="1:5" hidden="1" x14ac:dyDescent="0.3">
      <c r="A8693" t="s">
        <v>552</v>
      </c>
      <c r="B8693" t="s">
        <v>705</v>
      </c>
      <c r="C8693" t="s">
        <v>202</v>
      </c>
      <c r="D8693" s="226">
        <v>-123507.36</v>
      </c>
      <c r="E8693" t="s">
        <v>706</v>
      </c>
    </row>
    <row r="8694" spans="1:5" hidden="1" x14ac:dyDescent="0.3">
      <c r="A8694" t="s">
        <v>552</v>
      </c>
      <c r="B8694" t="s">
        <v>705</v>
      </c>
      <c r="C8694" t="s">
        <v>625</v>
      </c>
      <c r="D8694" s="226">
        <v>61753.68</v>
      </c>
      <c r="E8694" t="s">
        <v>706</v>
      </c>
    </row>
    <row r="8695" spans="1:5" hidden="1" x14ac:dyDescent="0.3">
      <c r="A8695" t="s">
        <v>552</v>
      </c>
      <c r="B8695" t="s">
        <v>705</v>
      </c>
      <c r="C8695" t="s">
        <v>204</v>
      </c>
      <c r="D8695" s="226">
        <v>-52172.79</v>
      </c>
      <c r="E8695" t="s">
        <v>706</v>
      </c>
    </row>
    <row r="8696" spans="1:5" hidden="1" x14ac:dyDescent="0.3">
      <c r="A8696" t="s">
        <v>552</v>
      </c>
      <c r="B8696" t="s">
        <v>705</v>
      </c>
      <c r="C8696" t="s">
        <v>626</v>
      </c>
      <c r="D8696" s="226">
        <v>-21554.95</v>
      </c>
      <c r="E8696" t="s">
        <v>706</v>
      </c>
    </row>
    <row r="8697" spans="1:5" hidden="1" x14ac:dyDescent="0.3">
      <c r="A8697" t="s">
        <v>552</v>
      </c>
      <c r="B8697" t="s">
        <v>705</v>
      </c>
      <c r="C8697" t="s">
        <v>627</v>
      </c>
      <c r="D8697" s="226">
        <v>0</v>
      </c>
      <c r="E8697" t="s">
        <v>706</v>
      </c>
    </row>
    <row r="8698" spans="1:5" hidden="1" x14ac:dyDescent="0.3">
      <c r="A8698" t="s">
        <v>552</v>
      </c>
      <c r="B8698" t="s">
        <v>705</v>
      </c>
      <c r="C8698" t="s">
        <v>628</v>
      </c>
      <c r="D8698" s="226">
        <v>0</v>
      </c>
      <c r="E8698" t="s">
        <v>706</v>
      </c>
    </row>
    <row r="8699" spans="1:5" hidden="1" x14ac:dyDescent="0.3">
      <c r="A8699" t="s">
        <v>552</v>
      </c>
      <c r="B8699" t="s">
        <v>705</v>
      </c>
      <c r="C8699" t="s">
        <v>629</v>
      </c>
      <c r="D8699" s="226">
        <v>-4627.79</v>
      </c>
      <c r="E8699" t="s">
        <v>706</v>
      </c>
    </row>
    <row r="8700" spans="1:5" hidden="1" x14ac:dyDescent="0.3">
      <c r="A8700" t="s">
        <v>552</v>
      </c>
      <c r="B8700" t="s">
        <v>705</v>
      </c>
      <c r="C8700" t="s">
        <v>630</v>
      </c>
      <c r="D8700" s="226">
        <v>-17334.400000000001</v>
      </c>
      <c r="E8700" t="s">
        <v>706</v>
      </c>
    </row>
    <row r="8701" spans="1:5" hidden="1" x14ac:dyDescent="0.3">
      <c r="A8701" t="s">
        <v>552</v>
      </c>
      <c r="B8701" t="s">
        <v>705</v>
      </c>
      <c r="C8701" t="s">
        <v>631</v>
      </c>
      <c r="D8701" s="226">
        <v>-41.19</v>
      </c>
      <c r="E8701" t="s">
        <v>706</v>
      </c>
    </row>
    <row r="8702" spans="1:5" hidden="1" x14ac:dyDescent="0.3">
      <c r="A8702" t="s">
        <v>552</v>
      </c>
      <c r="B8702" t="s">
        <v>705</v>
      </c>
      <c r="C8702" t="s">
        <v>632</v>
      </c>
      <c r="D8702" s="226">
        <v>0</v>
      </c>
      <c r="E8702" t="s">
        <v>706</v>
      </c>
    </row>
    <row r="8703" spans="1:5" hidden="1" x14ac:dyDescent="0.3">
      <c r="A8703" t="s">
        <v>552</v>
      </c>
      <c r="B8703" t="s">
        <v>705</v>
      </c>
      <c r="C8703" t="s">
        <v>633</v>
      </c>
      <c r="D8703" s="226">
        <v>0</v>
      </c>
      <c r="E8703" t="s">
        <v>706</v>
      </c>
    </row>
    <row r="8704" spans="1:5" hidden="1" x14ac:dyDescent="0.3">
      <c r="A8704" t="s">
        <v>552</v>
      </c>
      <c r="B8704" t="s">
        <v>705</v>
      </c>
      <c r="C8704" t="s">
        <v>634</v>
      </c>
      <c r="D8704" s="226">
        <v>0</v>
      </c>
      <c r="E8704" t="s">
        <v>706</v>
      </c>
    </row>
    <row r="8705" spans="1:5" hidden="1" x14ac:dyDescent="0.3">
      <c r="A8705" t="s">
        <v>552</v>
      </c>
      <c r="B8705" t="s">
        <v>705</v>
      </c>
      <c r="C8705" t="s">
        <v>635</v>
      </c>
      <c r="D8705" s="226">
        <v>-3614.46</v>
      </c>
      <c r="E8705" t="s">
        <v>706</v>
      </c>
    </row>
    <row r="8706" spans="1:5" hidden="1" x14ac:dyDescent="0.3">
      <c r="A8706" t="s">
        <v>552</v>
      </c>
      <c r="B8706" t="s">
        <v>705</v>
      </c>
      <c r="C8706" t="s">
        <v>636</v>
      </c>
      <c r="D8706" s="226">
        <v>0</v>
      </c>
      <c r="E8706" t="s">
        <v>706</v>
      </c>
    </row>
    <row r="8707" spans="1:5" hidden="1" x14ac:dyDescent="0.3">
      <c r="A8707" t="s">
        <v>552</v>
      </c>
      <c r="B8707" t="s">
        <v>705</v>
      </c>
      <c r="C8707" t="s">
        <v>637</v>
      </c>
      <c r="D8707" s="226">
        <v>-5000</v>
      </c>
      <c r="E8707" t="s">
        <v>706</v>
      </c>
    </row>
    <row r="8708" spans="1:5" hidden="1" x14ac:dyDescent="0.3">
      <c r="A8708" t="s">
        <v>552</v>
      </c>
      <c r="B8708" t="s">
        <v>705</v>
      </c>
      <c r="C8708" t="s">
        <v>638</v>
      </c>
      <c r="D8708" s="226">
        <v>0</v>
      </c>
      <c r="E8708" t="s">
        <v>706</v>
      </c>
    </row>
    <row r="8709" spans="1:5" hidden="1" x14ac:dyDescent="0.3">
      <c r="A8709" t="s">
        <v>552</v>
      </c>
      <c r="B8709" t="s">
        <v>705</v>
      </c>
      <c r="C8709" t="s">
        <v>639</v>
      </c>
      <c r="D8709" s="226">
        <v>0</v>
      </c>
      <c r="E8709" t="s">
        <v>706</v>
      </c>
    </row>
    <row r="8710" spans="1:5" hidden="1" x14ac:dyDescent="0.3">
      <c r="A8710" t="s">
        <v>552</v>
      </c>
      <c r="B8710" t="s">
        <v>705</v>
      </c>
      <c r="C8710" t="s">
        <v>640</v>
      </c>
      <c r="D8710" s="226">
        <v>0</v>
      </c>
      <c r="E8710" t="s">
        <v>706</v>
      </c>
    </row>
    <row r="8711" spans="1:5" hidden="1" x14ac:dyDescent="0.3">
      <c r="A8711" t="s">
        <v>552</v>
      </c>
      <c r="B8711" t="s">
        <v>705</v>
      </c>
      <c r="C8711" t="s">
        <v>641</v>
      </c>
      <c r="D8711" s="226">
        <v>0</v>
      </c>
      <c r="E8711" t="s">
        <v>706</v>
      </c>
    </row>
    <row r="8712" spans="1:5" hidden="1" x14ac:dyDescent="0.3">
      <c r="A8712" t="s">
        <v>552</v>
      </c>
      <c r="B8712" t="s">
        <v>705</v>
      </c>
      <c r="C8712" t="s">
        <v>237</v>
      </c>
      <c r="D8712" s="226">
        <v>-10467.209999999999</v>
      </c>
      <c r="E8712" t="s">
        <v>706</v>
      </c>
    </row>
    <row r="8713" spans="1:5" hidden="1" x14ac:dyDescent="0.3">
      <c r="A8713" t="s">
        <v>552</v>
      </c>
      <c r="B8713" t="s">
        <v>705</v>
      </c>
      <c r="C8713" t="s">
        <v>642</v>
      </c>
      <c r="D8713" s="226">
        <v>-10079.59</v>
      </c>
      <c r="E8713" t="s">
        <v>706</v>
      </c>
    </row>
    <row r="8714" spans="1:5" hidden="1" x14ac:dyDescent="0.3">
      <c r="A8714" t="s">
        <v>552</v>
      </c>
      <c r="B8714" t="s">
        <v>705</v>
      </c>
      <c r="C8714" t="s">
        <v>643</v>
      </c>
      <c r="D8714" s="226">
        <v>0</v>
      </c>
      <c r="E8714" t="s">
        <v>706</v>
      </c>
    </row>
    <row r="8715" spans="1:5" hidden="1" x14ac:dyDescent="0.3">
      <c r="A8715" t="s">
        <v>552</v>
      </c>
      <c r="B8715" t="s">
        <v>705</v>
      </c>
      <c r="C8715" t="s">
        <v>644</v>
      </c>
      <c r="D8715" s="226">
        <v>0</v>
      </c>
      <c r="E8715" t="s">
        <v>706</v>
      </c>
    </row>
    <row r="8716" spans="1:5" hidden="1" x14ac:dyDescent="0.3">
      <c r="A8716" t="s">
        <v>552</v>
      </c>
      <c r="B8716" t="s">
        <v>705</v>
      </c>
      <c r="C8716" t="s">
        <v>645</v>
      </c>
      <c r="D8716" s="226">
        <v>-387.62</v>
      </c>
      <c r="E8716" t="s">
        <v>706</v>
      </c>
    </row>
    <row r="8717" spans="1:5" hidden="1" x14ac:dyDescent="0.3">
      <c r="A8717" t="s">
        <v>552</v>
      </c>
      <c r="B8717" t="s">
        <v>705</v>
      </c>
      <c r="C8717" t="s">
        <v>646</v>
      </c>
      <c r="D8717" s="226">
        <v>0</v>
      </c>
      <c r="E8717" t="s">
        <v>706</v>
      </c>
    </row>
    <row r="8718" spans="1:5" hidden="1" x14ac:dyDescent="0.3">
      <c r="A8718" t="s">
        <v>552</v>
      </c>
      <c r="B8718" t="s">
        <v>705</v>
      </c>
      <c r="C8718" t="s">
        <v>244</v>
      </c>
      <c r="D8718" s="226">
        <v>-37712.269999999997</v>
      </c>
      <c r="E8718" t="s">
        <v>706</v>
      </c>
    </row>
    <row r="8719" spans="1:5" hidden="1" x14ac:dyDescent="0.3">
      <c r="A8719" t="s">
        <v>552</v>
      </c>
      <c r="B8719" t="s">
        <v>705</v>
      </c>
      <c r="C8719" t="s">
        <v>647</v>
      </c>
      <c r="D8719" s="226">
        <v>0</v>
      </c>
      <c r="E8719" t="s">
        <v>706</v>
      </c>
    </row>
    <row r="8720" spans="1:5" hidden="1" x14ac:dyDescent="0.3">
      <c r="A8720" t="s">
        <v>552</v>
      </c>
      <c r="B8720" t="s">
        <v>705</v>
      </c>
      <c r="C8720" t="s">
        <v>648</v>
      </c>
      <c r="D8720" s="226">
        <v>-647.24</v>
      </c>
      <c r="E8720" t="s">
        <v>706</v>
      </c>
    </row>
    <row r="8721" spans="1:5" hidden="1" x14ac:dyDescent="0.3">
      <c r="A8721" t="s">
        <v>552</v>
      </c>
      <c r="B8721" t="s">
        <v>705</v>
      </c>
      <c r="C8721" t="s">
        <v>649</v>
      </c>
      <c r="D8721" s="226">
        <v>0</v>
      </c>
      <c r="E8721" t="s">
        <v>706</v>
      </c>
    </row>
    <row r="8722" spans="1:5" hidden="1" x14ac:dyDescent="0.3">
      <c r="A8722" t="s">
        <v>552</v>
      </c>
      <c r="B8722" t="s">
        <v>705</v>
      </c>
      <c r="C8722" t="s">
        <v>650</v>
      </c>
      <c r="D8722" s="226">
        <v>-2700</v>
      </c>
      <c r="E8722" t="s">
        <v>706</v>
      </c>
    </row>
    <row r="8723" spans="1:5" hidden="1" x14ac:dyDescent="0.3">
      <c r="A8723" t="s">
        <v>552</v>
      </c>
      <c r="B8723" t="s">
        <v>705</v>
      </c>
      <c r="C8723" t="s">
        <v>651</v>
      </c>
      <c r="D8723" s="226">
        <v>0</v>
      </c>
      <c r="E8723" t="s">
        <v>706</v>
      </c>
    </row>
    <row r="8724" spans="1:5" hidden="1" x14ac:dyDescent="0.3">
      <c r="A8724" t="s">
        <v>552</v>
      </c>
      <c r="B8724" t="s">
        <v>705</v>
      </c>
      <c r="C8724" t="s">
        <v>652</v>
      </c>
      <c r="D8724" s="226">
        <v>-34365.03</v>
      </c>
      <c r="E8724" t="s">
        <v>706</v>
      </c>
    </row>
    <row r="8725" spans="1:5" hidden="1" x14ac:dyDescent="0.3">
      <c r="A8725" t="s">
        <v>552</v>
      </c>
      <c r="B8725" t="s">
        <v>705</v>
      </c>
      <c r="C8725" t="s">
        <v>653</v>
      </c>
      <c r="D8725" s="226">
        <v>0</v>
      </c>
      <c r="E8725" t="s">
        <v>706</v>
      </c>
    </row>
    <row r="8726" spans="1:5" hidden="1" x14ac:dyDescent="0.3">
      <c r="A8726" t="s">
        <v>552</v>
      </c>
      <c r="B8726" t="s">
        <v>705</v>
      </c>
      <c r="C8726" t="s">
        <v>253</v>
      </c>
      <c r="D8726" s="226">
        <v>-0.21</v>
      </c>
      <c r="E8726" t="s">
        <v>706</v>
      </c>
    </row>
    <row r="8727" spans="1:5" hidden="1" x14ac:dyDescent="0.3">
      <c r="A8727" t="s">
        <v>552</v>
      </c>
      <c r="B8727" t="s">
        <v>705</v>
      </c>
      <c r="C8727" t="s">
        <v>254</v>
      </c>
      <c r="D8727" s="226">
        <v>-0.2</v>
      </c>
      <c r="E8727" t="s">
        <v>706</v>
      </c>
    </row>
    <row r="8728" spans="1:5" hidden="1" x14ac:dyDescent="0.3">
      <c r="A8728" t="s">
        <v>552</v>
      </c>
      <c r="B8728" t="s">
        <v>705</v>
      </c>
      <c r="C8728" t="s">
        <v>255</v>
      </c>
      <c r="D8728" s="226">
        <v>-53521.31</v>
      </c>
      <c r="E8728" t="s">
        <v>706</v>
      </c>
    </row>
    <row r="8729" spans="1:5" hidden="1" x14ac:dyDescent="0.3">
      <c r="A8729" t="s">
        <v>552</v>
      </c>
      <c r="B8729" t="s">
        <v>705</v>
      </c>
      <c r="C8729" t="s">
        <v>256</v>
      </c>
      <c r="D8729" s="226">
        <v>-33872.5</v>
      </c>
      <c r="E8729" t="s">
        <v>706</v>
      </c>
    </row>
    <row r="8730" spans="1:5" hidden="1" x14ac:dyDescent="0.3">
      <c r="A8730" t="s">
        <v>552</v>
      </c>
      <c r="B8730" t="s">
        <v>705</v>
      </c>
      <c r="C8730" t="s">
        <v>257</v>
      </c>
      <c r="D8730" s="226">
        <v>-17460.439999999999</v>
      </c>
      <c r="E8730" t="s">
        <v>706</v>
      </c>
    </row>
    <row r="8731" spans="1:5" hidden="1" x14ac:dyDescent="0.3">
      <c r="A8731" t="s">
        <v>552</v>
      </c>
      <c r="B8731" t="s">
        <v>705</v>
      </c>
      <c r="C8731" t="s">
        <v>258</v>
      </c>
      <c r="D8731" s="226">
        <v>-2188.37</v>
      </c>
      <c r="E8731" t="s">
        <v>706</v>
      </c>
    </row>
    <row r="8732" spans="1:5" hidden="1" x14ac:dyDescent="0.3">
      <c r="A8732" t="s">
        <v>552</v>
      </c>
      <c r="B8732" t="s">
        <v>705</v>
      </c>
      <c r="C8732" t="s">
        <v>259</v>
      </c>
      <c r="D8732" s="226">
        <v>0</v>
      </c>
      <c r="E8732" t="s">
        <v>706</v>
      </c>
    </row>
    <row r="8733" spans="1:5" hidden="1" x14ac:dyDescent="0.3">
      <c r="A8733" t="s">
        <v>552</v>
      </c>
      <c r="B8733" t="s">
        <v>705</v>
      </c>
      <c r="C8733" t="s">
        <v>260</v>
      </c>
      <c r="D8733" s="226">
        <v>0</v>
      </c>
      <c r="E8733" t="s">
        <v>706</v>
      </c>
    </row>
    <row r="8734" spans="1:5" hidden="1" x14ac:dyDescent="0.3">
      <c r="A8734" t="s">
        <v>552</v>
      </c>
      <c r="B8734" t="s">
        <v>705</v>
      </c>
      <c r="C8734" t="s">
        <v>261</v>
      </c>
      <c r="D8734" s="226">
        <v>0</v>
      </c>
      <c r="E8734" t="s">
        <v>706</v>
      </c>
    </row>
    <row r="8735" spans="1:5" hidden="1" x14ac:dyDescent="0.3">
      <c r="A8735" t="s">
        <v>552</v>
      </c>
      <c r="B8735" t="s">
        <v>705</v>
      </c>
      <c r="C8735" t="s">
        <v>262</v>
      </c>
      <c r="D8735" s="226">
        <v>0</v>
      </c>
      <c r="E8735" t="s">
        <v>706</v>
      </c>
    </row>
    <row r="8736" spans="1:5" hidden="1" x14ac:dyDescent="0.3">
      <c r="A8736" t="s">
        <v>552</v>
      </c>
      <c r="B8736" t="s">
        <v>705</v>
      </c>
      <c r="C8736" t="s">
        <v>44</v>
      </c>
      <c r="D8736" s="226">
        <v>-0.04</v>
      </c>
      <c r="E8736" t="s">
        <v>706</v>
      </c>
    </row>
    <row r="8737" spans="1:5" hidden="1" x14ac:dyDescent="0.3">
      <c r="A8737" t="s">
        <v>552</v>
      </c>
      <c r="B8737" t="s">
        <v>705</v>
      </c>
      <c r="C8737" t="s">
        <v>263</v>
      </c>
      <c r="D8737" s="226">
        <v>-88343.91</v>
      </c>
      <c r="E8737" t="s">
        <v>706</v>
      </c>
    </row>
    <row r="8738" spans="1:5" hidden="1" x14ac:dyDescent="0.3">
      <c r="A8738" t="s">
        <v>552</v>
      </c>
      <c r="B8738" t="s">
        <v>705</v>
      </c>
      <c r="C8738" t="s">
        <v>264</v>
      </c>
      <c r="D8738" s="226">
        <v>-17676.330000000002</v>
      </c>
      <c r="E8738" t="s">
        <v>706</v>
      </c>
    </row>
    <row r="8739" spans="1:5" hidden="1" x14ac:dyDescent="0.3">
      <c r="A8739" t="s">
        <v>552</v>
      </c>
      <c r="B8739" t="s">
        <v>705</v>
      </c>
      <c r="C8739" t="s">
        <v>265</v>
      </c>
      <c r="D8739" s="226">
        <v>-16433.02</v>
      </c>
      <c r="E8739" t="s">
        <v>706</v>
      </c>
    </row>
    <row r="8740" spans="1:5" hidden="1" x14ac:dyDescent="0.3">
      <c r="A8740" t="s">
        <v>552</v>
      </c>
      <c r="B8740" t="s">
        <v>705</v>
      </c>
      <c r="C8740" t="s">
        <v>266</v>
      </c>
      <c r="D8740" s="226">
        <v>-14357.89</v>
      </c>
      <c r="E8740" t="s">
        <v>706</v>
      </c>
    </row>
    <row r="8741" spans="1:5" hidden="1" x14ac:dyDescent="0.3">
      <c r="A8741" t="s">
        <v>552</v>
      </c>
      <c r="B8741" t="s">
        <v>705</v>
      </c>
      <c r="C8741" t="s">
        <v>267</v>
      </c>
      <c r="D8741" s="226">
        <v>-17935.830000000002</v>
      </c>
      <c r="E8741" t="s">
        <v>706</v>
      </c>
    </row>
    <row r="8742" spans="1:5" hidden="1" x14ac:dyDescent="0.3">
      <c r="A8742" t="s">
        <v>552</v>
      </c>
      <c r="B8742" t="s">
        <v>705</v>
      </c>
      <c r="C8742" t="s">
        <v>268</v>
      </c>
      <c r="D8742" s="226">
        <v>-52.5</v>
      </c>
      <c r="E8742" t="s">
        <v>706</v>
      </c>
    </row>
    <row r="8743" spans="1:5" hidden="1" x14ac:dyDescent="0.3">
      <c r="A8743" t="s">
        <v>552</v>
      </c>
      <c r="B8743" t="s">
        <v>705</v>
      </c>
      <c r="C8743" t="s">
        <v>269</v>
      </c>
      <c r="D8743" s="226">
        <v>-580</v>
      </c>
      <c r="E8743" t="s">
        <v>706</v>
      </c>
    </row>
    <row r="8744" spans="1:5" hidden="1" x14ac:dyDescent="0.3">
      <c r="A8744" t="s">
        <v>552</v>
      </c>
      <c r="B8744" t="s">
        <v>705</v>
      </c>
      <c r="C8744" t="s">
        <v>270</v>
      </c>
      <c r="D8744" s="226">
        <v>-4116.9799999999996</v>
      </c>
      <c r="E8744" t="s">
        <v>706</v>
      </c>
    </row>
    <row r="8745" spans="1:5" hidden="1" x14ac:dyDescent="0.3">
      <c r="A8745" t="s">
        <v>552</v>
      </c>
      <c r="B8745" t="s">
        <v>705</v>
      </c>
      <c r="C8745" t="s">
        <v>271</v>
      </c>
      <c r="D8745" s="226">
        <v>-4837.54</v>
      </c>
      <c r="E8745" t="s">
        <v>706</v>
      </c>
    </row>
    <row r="8746" spans="1:5" hidden="1" x14ac:dyDescent="0.3">
      <c r="A8746" t="s">
        <v>552</v>
      </c>
      <c r="B8746" t="s">
        <v>705</v>
      </c>
      <c r="C8746" t="s">
        <v>272</v>
      </c>
      <c r="D8746" s="226">
        <v>-300</v>
      </c>
      <c r="E8746" t="s">
        <v>706</v>
      </c>
    </row>
    <row r="8747" spans="1:5" hidden="1" x14ac:dyDescent="0.3">
      <c r="A8747" t="s">
        <v>552</v>
      </c>
      <c r="B8747" t="s">
        <v>705</v>
      </c>
      <c r="C8747" t="s">
        <v>273</v>
      </c>
      <c r="D8747" s="226">
        <v>0</v>
      </c>
      <c r="E8747" t="s">
        <v>706</v>
      </c>
    </row>
    <row r="8748" spans="1:5" hidden="1" x14ac:dyDescent="0.3">
      <c r="A8748" t="s">
        <v>552</v>
      </c>
      <c r="B8748" t="s">
        <v>705</v>
      </c>
      <c r="C8748" t="s">
        <v>274</v>
      </c>
      <c r="D8748" s="226">
        <v>-1254.8</v>
      </c>
      <c r="E8748" t="s">
        <v>706</v>
      </c>
    </row>
    <row r="8749" spans="1:5" hidden="1" x14ac:dyDescent="0.3">
      <c r="A8749" t="s">
        <v>552</v>
      </c>
      <c r="B8749" t="s">
        <v>705</v>
      </c>
      <c r="C8749" t="s">
        <v>275</v>
      </c>
      <c r="D8749" s="226">
        <v>-2416.8000000000002</v>
      </c>
      <c r="E8749" t="s">
        <v>706</v>
      </c>
    </row>
    <row r="8750" spans="1:5" hidden="1" x14ac:dyDescent="0.3">
      <c r="A8750" t="s">
        <v>552</v>
      </c>
      <c r="B8750" t="s">
        <v>705</v>
      </c>
      <c r="C8750" t="s">
        <v>276</v>
      </c>
      <c r="D8750" s="226">
        <v>-1496.87</v>
      </c>
      <c r="E8750" t="s">
        <v>706</v>
      </c>
    </row>
    <row r="8751" spans="1:5" hidden="1" x14ac:dyDescent="0.3">
      <c r="A8751" t="s">
        <v>552</v>
      </c>
      <c r="B8751" t="s">
        <v>705</v>
      </c>
      <c r="C8751" t="s">
        <v>277</v>
      </c>
      <c r="D8751" s="226">
        <v>-6885.35</v>
      </c>
      <c r="E8751" t="s">
        <v>706</v>
      </c>
    </row>
    <row r="8752" spans="1:5" hidden="1" x14ac:dyDescent="0.3">
      <c r="A8752" t="s">
        <v>552</v>
      </c>
      <c r="B8752" t="s">
        <v>705</v>
      </c>
      <c r="C8752" t="s">
        <v>44</v>
      </c>
      <c r="D8752" s="226">
        <v>-0.06</v>
      </c>
      <c r="E8752" t="s">
        <v>706</v>
      </c>
    </row>
    <row r="8753" spans="1:5" hidden="1" x14ac:dyDescent="0.3">
      <c r="A8753" t="s">
        <v>552</v>
      </c>
      <c r="B8753" t="s">
        <v>705</v>
      </c>
      <c r="C8753" t="s">
        <v>278</v>
      </c>
      <c r="D8753" s="226">
        <v>-4644.7</v>
      </c>
      <c r="E8753" t="s">
        <v>706</v>
      </c>
    </row>
    <row r="8754" spans="1:5" hidden="1" x14ac:dyDescent="0.3">
      <c r="A8754" t="s">
        <v>552</v>
      </c>
      <c r="B8754" t="s">
        <v>705</v>
      </c>
      <c r="C8754" t="s">
        <v>279</v>
      </c>
      <c r="D8754" s="226">
        <v>-119.97</v>
      </c>
      <c r="E8754" t="s">
        <v>706</v>
      </c>
    </row>
    <row r="8755" spans="1:5" hidden="1" x14ac:dyDescent="0.3">
      <c r="A8755" t="s">
        <v>552</v>
      </c>
      <c r="B8755" t="s">
        <v>705</v>
      </c>
      <c r="C8755" t="s">
        <v>280</v>
      </c>
      <c r="D8755" s="226">
        <v>-478.42</v>
      </c>
      <c r="E8755" t="s">
        <v>706</v>
      </c>
    </row>
    <row r="8756" spans="1:5" hidden="1" x14ac:dyDescent="0.3">
      <c r="A8756" t="s">
        <v>552</v>
      </c>
      <c r="B8756" t="s">
        <v>705</v>
      </c>
      <c r="C8756" t="s">
        <v>281</v>
      </c>
      <c r="D8756" s="226">
        <v>0</v>
      </c>
      <c r="E8756" t="s">
        <v>706</v>
      </c>
    </row>
    <row r="8757" spans="1:5" hidden="1" x14ac:dyDescent="0.3">
      <c r="A8757" t="s">
        <v>552</v>
      </c>
      <c r="B8757" t="s">
        <v>705</v>
      </c>
      <c r="C8757" t="s">
        <v>282</v>
      </c>
      <c r="D8757" s="226">
        <v>-199.42</v>
      </c>
      <c r="E8757" t="s">
        <v>706</v>
      </c>
    </row>
    <row r="8758" spans="1:5" hidden="1" x14ac:dyDescent="0.3">
      <c r="A8758" t="s">
        <v>552</v>
      </c>
      <c r="B8758" t="s">
        <v>705</v>
      </c>
      <c r="C8758" t="s">
        <v>283</v>
      </c>
      <c r="D8758" s="226">
        <v>-2414</v>
      </c>
      <c r="E8758" t="s">
        <v>706</v>
      </c>
    </row>
    <row r="8759" spans="1:5" hidden="1" x14ac:dyDescent="0.3">
      <c r="A8759" t="s">
        <v>552</v>
      </c>
      <c r="B8759" t="s">
        <v>705</v>
      </c>
      <c r="C8759" t="s">
        <v>284</v>
      </c>
      <c r="D8759" s="226">
        <v>-429</v>
      </c>
      <c r="E8759" t="s">
        <v>706</v>
      </c>
    </row>
    <row r="8760" spans="1:5" hidden="1" x14ac:dyDescent="0.3">
      <c r="A8760" t="s">
        <v>552</v>
      </c>
      <c r="B8760" t="s">
        <v>705</v>
      </c>
      <c r="C8760" t="s">
        <v>285</v>
      </c>
      <c r="D8760" s="226">
        <v>-1003.89</v>
      </c>
      <c r="E8760" t="s">
        <v>706</v>
      </c>
    </row>
    <row r="8761" spans="1:5" hidden="1" x14ac:dyDescent="0.3">
      <c r="A8761" t="s">
        <v>552</v>
      </c>
      <c r="B8761" t="s">
        <v>705</v>
      </c>
      <c r="C8761" t="s">
        <v>44</v>
      </c>
      <c r="D8761" s="226">
        <v>0</v>
      </c>
      <c r="E8761" t="s">
        <v>706</v>
      </c>
    </row>
    <row r="8762" spans="1:5" hidden="1" x14ac:dyDescent="0.3">
      <c r="A8762" t="s">
        <v>552</v>
      </c>
      <c r="B8762" t="s">
        <v>705</v>
      </c>
      <c r="C8762" t="s">
        <v>286</v>
      </c>
      <c r="D8762" s="226">
        <v>-12261.27</v>
      </c>
      <c r="E8762" t="s">
        <v>706</v>
      </c>
    </row>
    <row r="8763" spans="1:5" hidden="1" x14ac:dyDescent="0.3">
      <c r="A8763" t="s">
        <v>552</v>
      </c>
      <c r="B8763" t="s">
        <v>705</v>
      </c>
      <c r="C8763" t="s">
        <v>287</v>
      </c>
      <c r="D8763" s="226">
        <v>-5000</v>
      </c>
      <c r="E8763" t="s">
        <v>706</v>
      </c>
    </row>
    <row r="8764" spans="1:5" hidden="1" x14ac:dyDescent="0.3">
      <c r="A8764" t="s">
        <v>552</v>
      </c>
      <c r="B8764" t="s">
        <v>705</v>
      </c>
      <c r="C8764" t="s">
        <v>288</v>
      </c>
      <c r="D8764" s="226">
        <v>-2089.87</v>
      </c>
      <c r="E8764" t="s">
        <v>706</v>
      </c>
    </row>
    <row r="8765" spans="1:5" hidden="1" x14ac:dyDescent="0.3">
      <c r="A8765" t="s">
        <v>552</v>
      </c>
      <c r="B8765" t="s">
        <v>705</v>
      </c>
      <c r="C8765" t="s">
        <v>289</v>
      </c>
      <c r="D8765" s="226">
        <v>0</v>
      </c>
      <c r="E8765" t="s">
        <v>706</v>
      </c>
    </row>
    <row r="8766" spans="1:5" hidden="1" x14ac:dyDescent="0.3">
      <c r="A8766" t="s">
        <v>552</v>
      </c>
      <c r="B8766" t="s">
        <v>705</v>
      </c>
      <c r="C8766" t="s">
        <v>290</v>
      </c>
      <c r="D8766" s="226">
        <v>-5103.41</v>
      </c>
      <c r="E8766" t="s">
        <v>706</v>
      </c>
    </row>
    <row r="8767" spans="1:5" hidden="1" x14ac:dyDescent="0.3">
      <c r="A8767" t="s">
        <v>552</v>
      </c>
      <c r="B8767" t="s">
        <v>705</v>
      </c>
      <c r="C8767" t="s">
        <v>291</v>
      </c>
      <c r="D8767" s="226">
        <v>0</v>
      </c>
      <c r="E8767" t="s">
        <v>706</v>
      </c>
    </row>
    <row r="8768" spans="1:5" hidden="1" x14ac:dyDescent="0.3">
      <c r="A8768" t="s">
        <v>552</v>
      </c>
      <c r="B8768" t="s">
        <v>705</v>
      </c>
      <c r="C8768" t="s">
        <v>292</v>
      </c>
      <c r="D8768" s="226">
        <v>0</v>
      </c>
      <c r="E8768" t="s">
        <v>706</v>
      </c>
    </row>
    <row r="8769" spans="1:5" hidden="1" x14ac:dyDescent="0.3">
      <c r="A8769" t="s">
        <v>552</v>
      </c>
      <c r="B8769" t="s">
        <v>705</v>
      </c>
      <c r="C8769" t="s">
        <v>293</v>
      </c>
      <c r="D8769" s="226">
        <v>-67.989999999999995</v>
      </c>
      <c r="E8769" t="s">
        <v>706</v>
      </c>
    </row>
    <row r="8770" spans="1:5" hidden="1" x14ac:dyDescent="0.3">
      <c r="A8770" t="s">
        <v>552</v>
      </c>
      <c r="B8770" t="s">
        <v>705</v>
      </c>
      <c r="C8770" t="s">
        <v>294</v>
      </c>
      <c r="D8770" s="226">
        <v>0</v>
      </c>
      <c r="E8770" t="s">
        <v>706</v>
      </c>
    </row>
    <row r="8771" spans="1:5" hidden="1" x14ac:dyDescent="0.3">
      <c r="A8771" t="s">
        <v>552</v>
      </c>
      <c r="B8771" t="s">
        <v>705</v>
      </c>
      <c r="C8771" t="s">
        <v>44</v>
      </c>
      <c r="D8771" s="226">
        <v>-0.01</v>
      </c>
      <c r="E8771" t="s">
        <v>706</v>
      </c>
    </row>
    <row r="8772" spans="1:5" hidden="1" x14ac:dyDescent="0.3">
      <c r="A8772" t="s">
        <v>552</v>
      </c>
      <c r="B8772" t="s">
        <v>705</v>
      </c>
      <c r="C8772" t="s">
        <v>295</v>
      </c>
      <c r="D8772" s="226">
        <v>-9233.5400000000009</v>
      </c>
      <c r="E8772" t="s">
        <v>706</v>
      </c>
    </row>
    <row r="8773" spans="1:5" hidden="1" x14ac:dyDescent="0.3">
      <c r="A8773" t="s">
        <v>552</v>
      </c>
      <c r="B8773" t="s">
        <v>705</v>
      </c>
      <c r="C8773" t="s">
        <v>296</v>
      </c>
      <c r="D8773" s="226">
        <v>-4500</v>
      </c>
      <c r="E8773" t="s">
        <v>706</v>
      </c>
    </row>
    <row r="8774" spans="1:5" hidden="1" x14ac:dyDescent="0.3">
      <c r="A8774" t="s">
        <v>552</v>
      </c>
      <c r="B8774" t="s">
        <v>705</v>
      </c>
      <c r="C8774" t="s">
        <v>297</v>
      </c>
      <c r="D8774" s="226">
        <v>-500</v>
      </c>
      <c r="E8774" t="s">
        <v>706</v>
      </c>
    </row>
    <row r="8775" spans="1:5" hidden="1" x14ac:dyDescent="0.3">
      <c r="A8775" t="s">
        <v>552</v>
      </c>
      <c r="B8775" t="s">
        <v>705</v>
      </c>
      <c r="C8775" t="s">
        <v>298</v>
      </c>
      <c r="D8775" s="226">
        <v>0</v>
      </c>
      <c r="E8775" t="s">
        <v>706</v>
      </c>
    </row>
    <row r="8776" spans="1:5" hidden="1" x14ac:dyDescent="0.3">
      <c r="A8776" t="s">
        <v>552</v>
      </c>
      <c r="B8776" t="s">
        <v>705</v>
      </c>
      <c r="C8776" t="s">
        <v>299</v>
      </c>
      <c r="D8776" s="226">
        <v>0</v>
      </c>
      <c r="E8776" t="s">
        <v>706</v>
      </c>
    </row>
    <row r="8777" spans="1:5" hidden="1" x14ac:dyDescent="0.3">
      <c r="A8777" t="s">
        <v>552</v>
      </c>
      <c r="B8777" t="s">
        <v>705</v>
      </c>
      <c r="C8777" t="s">
        <v>300</v>
      </c>
      <c r="D8777" s="226">
        <v>0</v>
      </c>
      <c r="E8777" t="s">
        <v>706</v>
      </c>
    </row>
    <row r="8778" spans="1:5" hidden="1" x14ac:dyDescent="0.3">
      <c r="A8778" t="s">
        <v>552</v>
      </c>
      <c r="B8778" t="s">
        <v>705</v>
      </c>
      <c r="C8778" t="s">
        <v>301</v>
      </c>
      <c r="D8778" s="226">
        <v>0</v>
      </c>
      <c r="E8778" t="s">
        <v>706</v>
      </c>
    </row>
    <row r="8779" spans="1:5" hidden="1" x14ac:dyDescent="0.3">
      <c r="A8779" t="s">
        <v>552</v>
      </c>
      <c r="B8779" t="s">
        <v>705</v>
      </c>
      <c r="C8779" t="s">
        <v>302</v>
      </c>
      <c r="D8779" s="226">
        <v>-350</v>
      </c>
      <c r="E8779" t="s">
        <v>706</v>
      </c>
    </row>
    <row r="8780" spans="1:5" hidden="1" x14ac:dyDescent="0.3">
      <c r="A8780" t="s">
        <v>552</v>
      </c>
      <c r="B8780" t="s">
        <v>705</v>
      </c>
      <c r="C8780" t="s">
        <v>303</v>
      </c>
      <c r="D8780" s="226">
        <v>-952.6</v>
      </c>
      <c r="E8780" t="s">
        <v>706</v>
      </c>
    </row>
    <row r="8781" spans="1:5" hidden="1" x14ac:dyDescent="0.3">
      <c r="A8781" t="s">
        <v>552</v>
      </c>
      <c r="B8781" t="s">
        <v>705</v>
      </c>
      <c r="C8781" t="s">
        <v>304</v>
      </c>
      <c r="D8781" s="226">
        <v>0</v>
      </c>
      <c r="E8781" t="s">
        <v>706</v>
      </c>
    </row>
    <row r="8782" spans="1:5" hidden="1" x14ac:dyDescent="0.3">
      <c r="A8782" t="s">
        <v>552</v>
      </c>
      <c r="B8782" t="s">
        <v>705</v>
      </c>
      <c r="C8782" t="s">
        <v>305</v>
      </c>
      <c r="D8782" s="226">
        <v>0</v>
      </c>
      <c r="E8782" t="s">
        <v>706</v>
      </c>
    </row>
    <row r="8783" spans="1:5" hidden="1" x14ac:dyDescent="0.3">
      <c r="A8783" t="s">
        <v>552</v>
      </c>
      <c r="B8783" t="s">
        <v>705</v>
      </c>
      <c r="C8783" t="s">
        <v>306</v>
      </c>
      <c r="D8783" s="226">
        <v>-2930.94</v>
      </c>
      <c r="E8783" t="s">
        <v>706</v>
      </c>
    </row>
    <row r="8784" spans="1:5" hidden="1" x14ac:dyDescent="0.3">
      <c r="A8784" t="s">
        <v>552</v>
      </c>
      <c r="B8784" t="s">
        <v>705</v>
      </c>
      <c r="C8784" t="s">
        <v>44</v>
      </c>
      <c r="D8784" s="226">
        <v>-0.01</v>
      </c>
      <c r="E8784" t="s">
        <v>706</v>
      </c>
    </row>
    <row r="8785" spans="1:5" hidden="1" x14ac:dyDescent="0.3">
      <c r="A8785" t="s">
        <v>552</v>
      </c>
      <c r="B8785" t="s">
        <v>705</v>
      </c>
      <c r="C8785" t="s">
        <v>307</v>
      </c>
      <c r="D8785" s="226">
        <v>-18721.259999999998</v>
      </c>
      <c r="E8785" t="s">
        <v>706</v>
      </c>
    </row>
    <row r="8786" spans="1:5" hidden="1" x14ac:dyDescent="0.3">
      <c r="A8786" t="s">
        <v>552</v>
      </c>
      <c r="B8786" t="s">
        <v>705</v>
      </c>
      <c r="C8786" t="s">
        <v>308</v>
      </c>
      <c r="D8786" s="226">
        <v>-4095.31</v>
      </c>
      <c r="E8786" t="s">
        <v>706</v>
      </c>
    </row>
    <row r="8787" spans="1:5" hidden="1" x14ac:dyDescent="0.3">
      <c r="A8787" t="s">
        <v>552</v>
      </c>
      <c r="B8787" t="s">
        <v>705</v>
      </c>
      <c r="C8787" t="s">
        <v>309</v>
      </c>
      <c r="D8787" s="226">
        <v>0</v>
      </c>
      <c r="E8787" t="s">
        <v>706</v>
      </c>
    </row>
    <row r="8788" spans="1:5" hidden="1" x14ac:dyDescent="0.3">
      <c r="A8788" t="s">
        <v>552</v>
      </c>
      <c r="B8788" t="s">
        <v>705</v>
      </c>
      <c r="C8788" t="s">
        <v>310</v>
      </c>
      <c r="D8788" s="226">
        <v>-1707.75</v>
      </c>
      <c r="E8788" t="s">
        <v>706</v>
      </c>
    </row>
    <row r="8789" spans="1:5" hidden="1" x14ac:dyDescent="0.3">
      <c r="A8789" t="s">
        <v>552</v>
      </c>
      <c r="B8789" t="s">
        <v>705</v>
      </c>
      <c r="C8789" t="s">
        <v>311</v>
      </c>
      <c r="D8789" s="226">
        <v>-185</v>
      </c>
      <c r="E8789" t="s">
        <v>706</v>
      </c>
    </row>
    <row r="8790" spans="1:5" hidden="1" x14ac:dyDescent="0.3">
      <c r="A8790" t="s">
        <v>552</v>
      </c>
      <c r="B8790" t="s">
        <v>705</v>
      </c>
      <c r="C8790" t="s">
        <v>312</v>
      </c>
      <c r="D8790" s="226">
        <v>0</v>
      </c>
      <c r="E8790" t="s">
        <v>706</v>
      </c>
    </row>
    <row r="8791" spans="1:5" hidden="1" x14ac:dyDescent="0.3">
      <c r="A8791" t="s">
        <v>552</v>
      </c>
      <c r="B8791" t="s">
        <v>705</v>
      </c>
      <c r="C8791" t="s">
        <v>313</v>
      </c>
      <c r="D8791" s="226">
        <v>-2473.1999999999998</v>
      </c>
      <c r="E8791" t="s">
        <v>706</v>
      </c>
    </row>
    <row r="8792" spans="1:5" hidden="1" x14ac:dyDescent="0.3">
      <c r="A8792" t="s">
        <v>552</v>
      </c>
      <c r="B8792" t="s">
        <v>705</v>
      </c>
      <c r="C8792" t="s">
        <v>314</v>
      </c>
      <c r="D8792" s="226">
        <v>0</v>
      </c>
      <c r="E8792" t="s">
        <v>706</v>
      </c>
    </row>
    <row r="8793" spans="1:5" hidden="1" x14ac:dyDescent="0.3">
      <c r="A8793" t="s">
        <v>552</v>
      </c>
      <c r="B8793" t="s">
        <v>705</v>
      </c>
      <c r="C8793" t="s">
        <v>315</v>
      </c>
      <c r="D8793" s="226">
        <v>-10260</v>
      </c>
      <c r="E8793" t="s">
        <v>706</v>
      </c>
    </row>
    <row r="8794" spans="1:5" hidden="1" x14ac:dyDescent="0.3">
      <c r="A8794" t="s">
        <v>552</v>
      </c>
      <c r="B8794" t="s">
        <v>705</v>
      </c>
      <c r="C8794" t="s">
        <v>316</v>
      </c>
      <c r="D8794" s="226">
        <v>0</v>
      </c>
      <c r="E8794" t="s">
        <v>706</v>
      </c>
    </row>
    <row r="8795" spans="1:5" hidden="1" x14ac:dyDescent="0.3">
      <c r="A8795" t="s">
        <v>552</v>
      </c>
      <c r="B8795" t="s">
        <v>705</v>
      </c>
      <c r="C8795" t="s">
        <v>44</v>
      </c>
      <c r="D8795" s="226">
        <v>-0.01</v>
      </c>
      <c r="E8795" t="s">
        <v>706</v>
      </c>
    </row>
    <row r="8796" spans="1:5" hidden="1" x14ac:dyDescent="0.3">
      <c r="A8796" t="s">
        <v>552</v>
      </c>
      <c r="B8796" t="s">
        <v>705</v>
      </c>
      <c r="C8796" t="s">
        <v>317</v>
      </c>
      <c r="D8796" s="226">
        <v>-6732.64</v>
      </c>
      <c r="E8796" t="s">
        <v>706</v>
      </c>
    </row>
    <row r="8797" spans="1:5" hidden="1" x14ac:dyDescent="0.3">
      <c r="A8797" t="s">
        <v>552</v>
      </c>
      <c r="B8797" t="s">
        <v>705</v>
      </c>
      <c r="C8797" t="s">
        <v>318</v>
      </c>
      <c r="D8797" s="226">
        <v>-6480</v>
      </c>
      <c r="E8797" t="s">
        <v>706</v>
      </c>
    </row>
    <row r="8798" spans="1:5" hidden="1" x14ac:dyDescent="0.3">
      <c r="A8798" t="s">
        <v>552</v>
      </c>
      <c r="B8798" t="s">
        <v>705</v>
      </c>
      <c r="C8798" t="s">
        <v>319</v>
      </c>
      <c r="D8798" s="226">
        <v>-252.64</v>
      </c>
      <c r="E8798" t="s">
        <v>706</v>
      </c>
    </row>
    <row r="8799" spans="1:5" hidden="1" x14ac:dyDescent="0.3">
      <c r="A8799" t="s">
        <v>552</v>
      </c>
      <c r="B8799" t="s">
        <v>705</v>
      </c>
      <c r="C8799" t="s">
        <v>320</v>
      </c>
      <c r="D8799" s="226">
        <v>0</v>
      </c>
      <c r="E8799" t="s">
        <v>706</v>
      </c>
    </row>
    <row r="8800" spans="1:5" hidden="1" x14ac:dyDescent="0.3">
      <c r="A8800" t="s">
        <v>552</v>
      </c>
      <c r="B8800" t="s">
        <v>705</v>
      </c>
      <c r="C8800" t="s">
        <v>321</v>
      </c>
      <c r="D8800" s="226">
        <v>0</v>
      </c>
      <c r="E8800" t="s">
        <v>706</v>
      </c>
    </row>
    <row r="8801" spans="1:5" hidden="1" x14ac:dyDescent="0.3">
      <c r="A8801" t="s">
        <v>552</v>
      </c>
      <c r="B8801" t="s">
        <v>705</v>
      </c>
      <c r="C8801" t="s">
        <v>44</v>
      </c>
      <c r="D8801" s="226">
        <v>0</v>
      </c>
      <c r="E8801" t="s">
        <v>706</v>
      </c>
    </row>
    <row r="8802" spans="1:5" hidden="1" x14ac:dyDescent="0.3">
      <c r="A8802" t="s">
        <v>552</v>
      </c>
      <c r="B8802" t="s">
        <v>705</v>
      </c>
      <c r="C8802" t="s">
        <v>322</v>
      </c>
      <c r="D8802" s="226">
        <v>-75162.11</v>
      </c>
      <c r="E8802" t="s">
        <v>706</v>
      </c>
    </row>
    <row r="8803" spans="1:5" hidden="1" x14ac:dyDescent="0.3">
      <c r="A8803" t="s">
        <v>552</v>
      </c>
      <c r="B8803" t="s">
        <v>705</v>
      </c>
      <c r="C8803" t="s">
        <v>323</v>
      </c>
      <c r="D8803" s="226">
        <v>0</v>
      </c>
      <c r="E8803" t="s">
        <v>706</v>
      </c>
    </row>
    <row r="8804" spans="1:5" hidden="1" x14ac:dyDescent="0.3">
      <c r="A8804" t="s">
        <v>552</v>
      </c>
      <c r="B8804" t="s">
        <v>705</v>
      </c>
      <c r="C8804" t="s">
        <v>324</v>
      </c>
      <c r="D8804" s="226">
        <v>0</v>
      </c>
      <c r="E8804" t="s">
        <v>706</v>
      </c>
    </row>
    <row r="8805" spans="1:5" hidden="1" x14ac:dyDescent="0.3">
      <c r="A8805" t="s">
        <v>552</v>
      </c>
      <c r="B8805" t="s">
        <v>705</v>
      </c>
      <c r="C8805" t="s">
        <v>325</v>
      </c>
      <c r="D8805" s="226">
        <v>-75162.11</v>
      </c>
      <c r="E8805" t="s">
        <v>706</v>
      </c>
    </row>
    <row r="8806" spans="1:5" hidden="1" x14ac:dyDescent="0.3">
      <c r="A8806" t="s">
        <v>552</v>
      </c>
      <c r="B8806" t="s">
        <v>705</v>
      </c>
      <c r="C8806" t="s">
        <v>44</v>
      </c>
      <c r="D8806" s="226">
        <v>-0.05</v>
      </c>
      <c r="E8806" t="s">
        <v>706</v>
      </c>
    </row>
    <row r="8807" spans="1:5" hidden="1" x14ac:dyDescent="0.3">
      <c r="A8807" t="s">
        <v>552</v>
      </c>
      <c r="B8807" t="s">
        <v>705</v>
      </c>
      <c r="C8807" t="s">
        <v>327</v>
      </c>
      <c r="D8807" s="226">
        <v>-586728.75</v>
      </c>
      <c r="E8807" t="s">
        <v>706</v>
      </c>
    </row>
    <row r="8808" spans="1:5" hidden="1" x14ac:dyDescent="0.3">
      <c r="A8808" t="s">
        <v>552</v>
      </c>
      <c r="B8808" t="s">
        <v>705</v>
      </c>
      <c r="C8808" t="s">
        <v>44</v>
      </c>
      <c r="D8808" s="226">
        <v>-0.39</v>
      </c>
      <c r="E8808" t="s">
        <v>706</v>
      </c>
    </row>
    <row r="8809" spans="1:5" hidden="1" x14ac:dyDescent="0.3">
      <c r="A8809" t="s">
        <v>552</v>
      </c>
      <c r="B8809" t="s">
        <v>705</v>
      </c>
      <c r="C8809" t="s">
        <v>328</v>
      </c>
      <c r="D8809" s="226">
        <v>295545.3</v>
      </c>
      <c r="E8809" t="s">
        <v>706</v>
      </c>
    </row>
    <row r="8810" spans="1:5" hidden="1" x14ac:dyDescent="0.3">
      <c r="A8810" t="s">
        <v>552</v>
      </c>
      <c r="B8810" t="s">
        <v>705</v>
      </c>
      <c r="C8810" t="s">
        <v>44</v>
      </c>
      <c r="D8810" s="226">
        <v>0.2</v>
      </c>
      <c r="E8810" t="s">
        <v>706</v>
      </c>
    </row>
    <row r="8811" spans="1:5" hidden="1" x14ac:dyDescent="0.3">
      <c r="A8811" t="s">
        <v>552</v>
      </c>
      <c r="B8811" t="s">
        <v>705</v>
      </c>
      <c r="C8811" t="s">
        <v>329</v>
      </c>
      <c r="D8811" s="226">
        <v>0</v>
      </c>
      <c r="E8811" t="s">
        <v>706</v>
      </c>
    </row>
    <row r="8812" spans="1:5" hidden="1" x14ac:dyDescent="0.3">
      <c r="A8812" t="s">
        <v>552</v>
      </c>
      <c r="B8812" t="s">
        <v>705</v>
      </c>
      <c r="C8812" t="s">
        <v>331</v>
      </c>
      <c r="D8812" s="226">
        <v>295545.3</v>
      </c>
      <c r="E8812" t="s">
        <v>706</v>
      </c>
    </row>
    <row r="8813" spans="1:5" hidden="1" x14ac:dyDescent="0.3">
      <c r="A8813" t="s">
        <v>552</v>
      </c>
      <c r="B8813" t="s">
        <v>705</v>
      </c>
      <c r="C8813" t="s">
        <v>332</v>
      </c>
      <c r="D8813" s="226">
        <v>-1235.0899999999999</v>
      </c>
      <c r="E8813" t="s">
        <v>706</v>
      </c>
    </row>
    <row r="8814" spans="1:5" hidden="1" x14ac:dyDescent="0.3">
      <c r="A8814" t="s">
        <v>552</v>
      </c>
      <c r="B8814" t="s">
        <v>705</v>
      </c>
      <c r="C8814" t="s">
        <v>333</v>
      </c>
      <c r="D8814" s="226">
        <v>0</v>
      </c>
      <c r="E8814" t="s">
        <v>706</v>
      </c>
    </row>
    <row r="8815" spans="1:5" hidden="1" x14ac:dyDescent="0.3">
      <c r="A8815" t="s">
        <v>552</v>
      </c>
      <c r="B8815" t="s">
        <v>705</v>
      </c>
      <c r="C8815" t="s">
        <v>335</v>
      </c>
      <c r="D8815" s="226">
        <v>-27080</v>
      </c>
      <c r="E8815" t="s">
        <v>706</v>
      </c>
    </row>
    <row r="8816" spans="1:5" hidden="1" x14ac:dyDescent="0.3">
      <c r="A8816" t="s">
        <v>552</v>
      </c>
      <c r="B8816" t="s">
        <v>705</v>
      </c>
      <c r="C8816" t="s">
        <v>337</v>
      </c>
      <c r="D8816" s="226">
        <v>267230.21000000002</v>
      </c>
      <c r="E8816" t="s">
        <v>706</v>
      </c>
    </row>
    <row r="8817" spans="1:5" hidden="1" x14ac:dyDescent="0.3">
      <c r="A8817" t="s">
        <v>552</v>
      </c>
      <c r="B8817" t="s">
        <v>705</v>
      </c>
      <c r="C8817" t="s">
        <v>338</v>
      </c>
      <c r="D8817" s="226">
        <v>-44287.02</v>
      </c>
      <c r="E8817" t="s">
        <v>706</v>
      </c>
    </row>
    <row r="8818" spans="1:5" hidden="1" x14ac:dyDescent="0.3">
      <c r="A8818" t="s">
        <v>552</v>
      </c>
      <c r="B8818" t="s">
        <v>705</v>
      </c>
      <c r="C8818" t="s">
        <v>341</v>
      </c>
      <c r="D8818" s="226">
        <v>-13529.92</v>
      </c>
      <c r="E8818" t="s">
        <v>706</v>
      </c>
    </row>
    <row r="8819" spans="1:5" hidden="1" x14ac:dyDescent="0.3">
      <c r="A8819" t="s">
        <v>552</v>
      </c>
      <c r="B8819" t="s">
        <v>705</v>
      </c>
      <c r="C8819" t="s">
        <v>343</v>
      </c>
      <c r="D8819" s="226">
        <v>-16155.97</v>
      </c>
      <c r="E8819" t="s">
        <v>706</v>
      </c>
    </row>
    <row r="8820" spans="1:5" hidden="1" x14ac:dyDescent="0.3">
      <c r="A8820" t="s">
        <v>552</v>
      </c>
      <c r="B8820" t="s">
        <v>705</v>
      </c>
      <c r="C8820" t="s">
        <v>344</v>
      </c>
      <c r="D8820" s="226">
        <v>0</v>
      </c>
      <c r="E8820" t="s">
        <v>706</v>
      </c>
    </row>
    <row r="8821" spans="1:5" hidden="1" x14ac:dyDescent="0.3">
      <c r="A8821" t="s">
        <v>552</v>
      </c>
      <c r="B8821" t="s">
        <v>705</v>
      </c>
      <c r="C8821" t="s">
        <v>345</v>
      </c>
      <c r="D8821" s="226">
        <v>-14601.12</v>
      </c>
      <c r="E8821" t="s">
        <v>706</v>
      </c>
    </row>
    <row r="8822" spans="1:5" hidden="1" x14ac:dyDescent="0.3">
      <c r="A8822" t="s">
        <v>552</v>
      </c>
      <c r="B8822" t="s">
        <v>705</v>
      </c>
      <c r="C8822" t="s">
        <v>346</v>
      </c>
      <c r="D8822" s="226">
        <v>222943.19</v>
      </c>
      <c r="E8822" t="s">
        <v>706</v>
      </c>
    </row>
    <row r="8823" spans="1:5" hidden="1" x14ac:dyDescent="0.3">
      <c r="A8823" t="s">
        <v>552</v>
      </c>
      <c r="B8823" t="s">
        <v>705</v>
      </c>
      <c r="C8823" t="s">
        <v>44</v>
      </c>
      <c r="D8823" s="226">
        <v>0.15</v>
      </c>
      <c r="E8823" t="s">
        <v>706</v>
      </c>
    </row>
    <row r="8824" spans="1:5" hidden="1" x14ac:dyDescent="0.3">
      <c r="A8824" t="s">
        <v>552</v>
      </c>
      <c r="B8824" t="s">
        <v>705</v>
      </c>
      <c r="C8824" t="s">
        <v>347</v>
      </c>
      <c r="D8824" s="226">
        <v>0</v>
      </c>
      <c r="E8824" t="s">
        <v>706</v>
      </c>
    </row>
    <row r="8825" spans="1:5" hidden="1" x14ac:dyDescent="0.3">
      <c r="A8825" t="s">
        <v>552</v>
      </c>
      <c r="B8825" t="s">
        <v>705</v>
      </c>
      <c r="C8825" t="s">
        <v>654</v>
      </c>
      <c r="D8825" s="226">
        <v>0</v>
      </c>
      <c r="E8825" t="s">
        <v>706</v>
      </c>
    </row>
    <row r="8826" spans="1:5" hidden="1" x14ac:dyDescent="0.3">
      <c r="A8826" t="s">
        <v>552</v>
      </c>
      <c r="B8826" t="s">
        <v>705</v>
      </c>
      <c r="C8826" t="s">
        <v>349</v>
      </c>
      <c r="D8826" s="226">
        <v>0</v>
      </c>
      <c r="E8826" t="s">
        <v>706</v>
      </c>
    </row>
    <row r="8827" spans="1:5" hidden="1" x14ac:dyDescent="0.3">
      <c r="A8827" t="s">
        <v>552</v>
      </c>
      <c r="B8827" t="s">
        <v>705</v>
      </c>
      <c r="C8827" t="s">
        <v>350</v>
      </c>
      <c r="D8827" s="226">
        <v>0</v>
      </c>
      <c r="E8827" t="s">
        <v>706</v>
      </c>
    </row>
    <row r="8828" spans="1:5" hidden="1" x14ac:dyDescent="0.3">
      <c r="A8828" t="s">
        <v>552</v>
      </c>
      <c r="B8828" t="s">
        <v>705</v>
      </c>
      <c r="C8828" t="s">
        <v>351</v>
      </c>
      <c r="D8828" s="226">
        <v>0</v>
      </c>
      <c r="E8828" t="s">
        <v>706</v>
      </c>
    </row>
    <row r="8829" spans="1:5" hidden="1" x14ac:dyDescent="0.3">
      <c r="A8829" t="s">
        <v>552</v>
      </c>
      <c r="B8829" t="s">
        <v>705</v>
      </c>
      <c r="C8829" t="s">
        <v>352</v>
      </c>
      <c r="D8829" s="226">
        <v>0</v>
      </c>
      <c r="E8829" t="s">
        <v>706</v>
      </c>
    </row>
    <row r="8830" spans="1:5" hidden="1" x14ac:dyDescent="0.3">
      <c r="A8830" t="s">
        <v>552</v>
      </c>
      <c r="B8830" t="s">
        <v>705</v>
      </c>
      <c r="C8830" t="s">
        <v>353</v>
      </c>
      <c r="D8830" s="226">
        <v>0</v>
      </c>
      <c r="E8830" t="s">
        <v>706</v>
      </c>
    </row>
    <row r="8831" spans="1:5" hidden="1" x14ac:dyDescent="0.3">
      <c r="A8831" t="s">
        <v>552</v>
      </c>
      <c r="B8831" t="s">
        <v>705</v>
      </c>
      <c r="C8831" t="s">
        <v>354</v>
      </c>
      <c r="D8831" s="226">
        <v>0</v>
      </c>
      <c r="E8831" t="s">
        <v>706</v>
      </c>
    </row>
    <row r="8832" spans="1:5" hidden="1" x14ac:dyDescent="0.3">
      <c r="A8832" t="s">
        <v>552</v>
      </c>
      <c r="B8832" t="s">
        <v>705</v>
      </c>
      <c r="C8832" t="s">
        <v>355</v>
      </c>
      <c r="D8832" s="226">
        <v>0</v>
      </c>
      <c r="E8832" t="s">
        <v>706</v>
      </c>
    </row>
    <row r="8833" spans="1:5" hidden="1" x14ac:dyDescent="0.3">
      <c r="A8833" t="s">
        <v>552</v>
      </c>
      <c r="B8833" t="s">
        <v>705</v>
      </c>
      <c r="C8833" t="s">
        <v>356</v>
      </c>
      <c r="D8833" s="226">
        <v>0</v>
      </c>
      <c r="E8833" t="s">
        <v>706</v>
      </c>
    </row>
    <row r="8834" spans="1:5" hidden="1" x14ac:dyDescent="0.3">
      <c r="A8834" t="s">
        <v>552</v>
      </c>
      <c r="B8834" t="s">
        <v>705</v>
      </c>
      <c r="C8834" t="s">
        <v>357</v>
      </c>
      <c r="D8834" s="226">
        <v>0</v>
      </c>
      <c r="E8834" t="s">
        <v>706</v>
      </c>
    </row>
    <row r="8835" spans="1:5" hidden="1" x14ac:dyDescent="0.3">
      <c r="A8835" t="s">
        <v>552</v>
      </c>
      <c r="B8835" t="s">
        <v>705</v>
      </c>
      <c r="C8835" t="s">
        <v>358</v>
      </c>
      <c r="D8835" s="226">
        <v>0</v>
      </c>
      <c r="E8835" t="s">
        <v>706</v>
      </c>
    </row>
    <row r="8836" spans="1:5" hidden="1" x14ac:dyDescent="0.3">
      <c r="A8836" t="s">
        <v>552</v>
      </c>
      <c r="B8836" t="s">
        <v>705</v>
      </c>
      <c r="C8836" t="s">
        <v>359</v>
      </c>
      <c r="D8836" s="226">
        <v>0</v>
      </c>
      <c r="E8836" t="s">
        <v>706</v>
      </c>
    </row>
    <row r="8837" spans="1:5" hidden="1" x14ac:dyDescent="0.3">
      <c r="A8837" t="s">
        <v>552</v>
      </c>
      <c r="B8837" t="s">
        <v>705</v>
      </c>
      <c r="C8837" t="s">
        <v>360</v>
      </c>
      <c r="D8837" s="226">
        <v>0</v>
      </c>
      <c r="E8837" t="s">
        <v>706</v>
      </c>
    </row>
    <row r="8838" spans="1:5" hidden="1" x14ac:dyDescent="0.3">
      <c r="A8838" t="s">
        <v>552</v>
      </c>
      <c r="B8838" t="s">
        <v>705</v>
      </c>
      <c r="C8838" t="s">
        <v>361</v>
      </c>
      <c r="D8838" s="226">
        <v>0</v>
      </c>
      <c r="E8838" t="s">
        <v>706</v>
      </c>
    </row>
    <row r="8839" spans="1:5" hidden="1" x14ac:dyDescent="0.3">
      <c r="A8839" t="s">
        <v>552</v>
      </c>
      <c r="B8839" t="s">
        <v>705</v>
      </c>
      <c r="C8839" t="s">
        <v>362</v>
      </c>
      <c r="D8839" s="226">
        <v>0</v>
      </c>
      <c r="E8839" t="s">
        <v>706</v>
      </c>
    </row>
    <row r="8840" spans="1:5" hidden="1" x14ac:dyDescent="0.3">
      <c r="A8840" t="s">
        <v>552</v>
      </c>
      <c r="B8840" t="s">
        <v>705</v>
      </c>
      <c r="C8840" t="s">
        <v>363</v>
      </c>
      <c r="D8840" s="226">
        <v>0</v>
      </c>
      <c r="E8840" t="s">
        <v>706</v>
      </c>
    </row>
    <row r="8841" spans="1:5" hidden="1" x14ac:dyDescent="0.3">
      <c r="A8841" t="s">
        <v>552</v>
      </c>
      <c r="B8841" t="s">
        <v>705</v>
      </c>
      <c r="C8841" t="s">
        <v>364</v>
      </c>
      <c r="D8841" s="226">
        <v>-8342.9</v>
      </c>
      <c r="E8841" t="s">
        <v>706</v>
      </c>
    </row>
    <row r="8842" spans="1:5" hidden="1" x14ac:dyDescent="0.3">
      <c r="A8842" t="s">
        <v>552</v>
      </c>
      <c r="B8842" t="s">
        <v>705</v>
      </c>
      <c r="C8842" t="s">
        <v>365</v>
      </c>
      <c r="D8842" s="226">
        <v>0</v>
      </c>
      <c r="E8842" t="s">
        <v>706</v>
      </c>
    </row>
    <row r="8843" spans="1:5" hidden="1" x14ac:dyDescent="0.3">
      <c r="A8843" t="s">
        <v>552</v>
      </c>
      <c r="B8843" t="s">
        <v>705</v>
      </c>
      <c r="C8843" t="s">
        <v>366</v>
      </c>
      <c r="D8843" s="226">
        <v>0</v>
      </c>
      <c r="E8843" t="s">
        <v>706</v>
      </c>
    </row>
    <row r="8844" spans="1:5" hidden="1" x14ac:dyDescent="0.3">
      <c r="A8844" t="s">
        <v>552</v>
      </c>
      <c r="B8844" t="s">
        <v>705</v>
      </c>
      <c r="C8844" t="s">
        <v>367</v>
      </c>
      <c r="D8844" s="226">
        <v>-8342.9</v>
      </c>
      <c r="E8844" t="s">
        <v>706</v>
      </c>
    </row>
    <row r="8845" spans="1:5" hidden="1" x14ac:dyDescent="0.3">
      <c r="A8845" t="s">
        <v>552</v>
      </c>
      <c r="B8845" t="s">
        <v>705</v>
      </c>
      <c r="C8845" t="s">
        <v>368</v>
      </c>
      <c r="D8845" s="226">
        <v>0</v>
      </c>
      <c r="E8845" t="s">
        <v>706</v>
      </c>
    </row>
    <row r="8846" spans="1:5" hidden="1" x14ac:dyDescent="0.3">
      <c r="A8846" t="s">
        <v>552</v>
      </c>
      <c r="B8846" t="s">
        <v>705</v>
      </c>
      <c r="C8846" t="s">
        <v>369</v>
      </c>
      <c r="D8846" s="226">
        <v>0</v>
      </c>
      <c r="E8846" t="s">
        <v>706</v>
      </c>
    </row>
    <row r="8847" spans="1:5" hidden="1" x14ac:dyDescent="0.3">
      <c r="A8847" t="s">
        <v>552</v>
      </c>
      <c r="B8847" t="s">
        <v>705</v>
      </c>
      <c r="C8847" t="s">
        <v>370</v>
      </c>
      <c r="D8847" s="226">
        <v>0</v>
      </c>
      <c r="E8847" t="s">
        <v>706</v>
      </c>
    </row>
    <row r="8848" spans="1:5" hidden="1" x14ac:dyDescent="0.3">
      <c r="A8848" t="s">
        <v>552</v>
      </c>
      <c r="B8848" t="s">
        <v>705</v>
      </c>
      <c r="C8848" t="s">
        <v>371</v>
      </c>
      <c r="D8848" s="226">
        <v>0</v>
      </c>
      <c r="E8848" t="s">
        <v>706</v>
      </c>
    </row>
    <row r="8849" spans="1:5" hidden="1" x14ac:dyDescent="0.3">
      <c r="A8849" t="s">
        <v>552</v>
      </c>
      <c r="B8849" t="s">
        <v>705</v>
      </c>
      <c r="C8849" t="s">
        <v>372</v>
      </c>
      <c r="D8849" s="226">
        <v>-8342.9</v>
      </c>
      <c r="E8849" t="s">
        <v>706</v>
      </c>
    </row>
    <row r="8850" spans="1:5" hidden="1" x14ac:dyDescent="0.3">
      <c r="A8850" t="s">
        <v>552</v>
      </c>
      <c r="B8850" t="s">
        <v>705</v>
      </c>
      <c r="C8850" t="s">
        <v>373</v>
      </c>
      <c r="D8850" s="226">
        <v>214600.29</v>
      </c>
      <c r="E8850" t="s">
        <v>706</v>
      </c>
    </row>
    <row r="8851" spans="1:5" hidden="1" x14ac:dyDescent="0.3">
      <c r="A8851" t="s">
        <v>552</v>
      </c>
      <c r="B8851" t="s">
        <v>705</v>
      </c>
      <c r="C8851" t="s">
        <v>655</v>
      </c>
      <c r="D8851" s="226">
        <v>0</v>
      </c>
      <c r="E8851" t="s">
        <v>706</v>
      </c>
    </row>
    <row r="8852" spans="1:5" hidden="1" x14ac:dyDescent="0.3">
      <c r="A8852" t="s">
        <v>552</v>
      </c>
      <c r="B8852" t="s">
        <v>703</v>
      </c>
      <c r="C8852" t="s">
        <v>23</v>
      </c>
      <c r="D8852" s="226">
        <v>9012.5</v>
      </c>
      <c r="E8852" t="s">
        <v>704</v>
      </c>
    </row>
    <row r="8853" spans="1:5" hidden="1" x14ac:dyDescent="0.3">
      <c r="A8853" t="s">
        <v>552</v>
      </c>
      <c r="B8853" t="s">
        <v>703</v>
      </c>
      <c r="C8853" t="s">
        <v>44</v>
      </c>
      <c r="D8853" s="226">
        <v>-0.02</v>
      </c>
      <c r="E8853" t="s">
        <v>704</v>
      </c>
    </row>
    <row r="8854" spans="1:5" hidden="1" x14ac:dyDescent="0.3">
      <c r="A8854" t="s">
        <v>552</v>
      </c>
      <c r="B8854" t="s">
        <v>703</v>
      </c>
      <c r="C8854" t="s">
        <v>51</v>
      </c>
      <c r="D8854" s="226">
        <v>-367455.15</v>
      </c>
      <c r="E8854" t="s">
        <v>704</v>
      </c>
    </row>
    <row r="8855" spans="1:5" hidden="1" x14ac:dyDescent="0.3">
      <c r="A8855" t="s">
        <v>552</v>
      </c>
      <c r="B8855" t="s">
        <v>703</v>
      </c>
      <c r="C8855" t="s">
        <v>53</v>
      </c>
      <c r="D8855" s="226">
        <v>-118048.53</v>
      </c>
      <c r="E8855" t="s">
        <v>704</v>
      </c>
    </row>
    <row r="8856" spans="1:5" hidden="1" x14ac:dyDescent="0.3">
      <c r="A8856" t="s">
        <v>552</v>
      </c>
      <c r="B8856" t="s">
        <v>703</v>
      </c>
      <c r="C8856" t="s">
        <v>44</v>
      </c>
      <c r="D8856" s="226">
        <v>-0.28000000000000003</v>
      </c>
      <c r="E8856" t="s">
        <v>704</v>
      </c>
    </row>
    <row r="8857" spans="1:5" hidden="1" x14ac:dyDescent="0.3">
      <c r="A8857" t="s">
        <v>552</v>
      </c>
      <c r="B8857" t="s">
        <v>703</v>
      </c>
      <c r="C8857" t="s">
        <v>44</v>
      </c>
      <c r="D8857" s="226">
        <v>0</v>
      </c>
      <c r="E8857" t="s">
        <v>704</v>
      </c>
    </row>
    <row r="8858" spans="1:5" hidden="1" x14ac:dyDescent="0.3">
      <c r="A8858" t="s">
        <v>552</v>
      </c>
      <c r="B8858" t="s">
        <v>703</v>
      </c>
      <c r="C8858" t="s">
        <v>44</v>
      </c>
      <c r="D8858" s="226">
        <v>0</v>
      </c>
      <c r="E8858" t="s">
        <v>704</v>
      </c>
    </row>
    <row r="8859" spans="1:5" hidden="1" x14ac:dyDescent="0.3">
      <c r="A8859" t="s">
        <v>552</v>
      </c>
      <c r="B8859" t="s">
        <v>703</v>
      </c>
      <c r="C8859" t="s">
        <v>44</v>
      </c>
      <c r="D8859" s="226">
        <v>-0.06</v>
      </c>
      <c r="E8859" t="s">
        <v>704</v>
      </c>
    </row>
    <row r="8860" spans="1:5" hidden="1" x14ac:dyDescent="0.3">
      <c r="A8860" t="s">
        <v>552</v>
      </c>
      <c r="B8860" t="s">
        <v>703</v>
      </c>
      <c r="C8860" t="s">
        <v>44</v>
      </c>
      <c r="D8860" s="226">
        <v>-0.03</v>
      </c>
      <c r="E8860" t="s">
        <v>704</v>
      </c>
    </row>
    <row r="8861" spans="1:5" hidden="1" x14ac:dyDescent="0.3">
      <c r="A8861" t="s">
        <v>552</v>
      </c>
      <c r="B8861" t="s">
        <v>703</v>
      </c>
      <c r="C8861" t="s">
        <v>125</v>
      </c>
      <c r="D8861" s="226">
        <v>845881.56</v>
      </c>
      <c r="E8861" t="s">
        <v>704</v>
      </c>
    </row>
    <row r="8862" spans="1:5" hidden="1" x14ac:dyDescent="0.3">
      <c r="A8862" t="s">
        <v>552</v>
      </c>
      <c r="B8862" t="s">
        <v>703</v>
      </c>
      <c r="C8862" t="s">
        <v>127</v>
      </c>
      <c r="D8862" s="226">
        <v>-351943.24</v>
      </c>
      <c r="E8862" t="s">
        <v>704</v>
      </c>
    </row>
    <row r="8863" spans="1:5" hidden="1" x14ac:dyDescent="0.3">
      <c r="A8863" t="s">
        <v>552</v>
      </c>
      <c r="B8863" t="s">
        <v>703</v>
      </c>
      <c r="C8863" t="s">
        <v>204</v>
      </c>
      <c r="D8863" s="226">
        <v>-66433.039999999994</v>
      </c>
      <c r="E8863" t="s">
        <v>704</v>
      </c>
    </row>
    <row r="8864" spans="1:5" hidden="1" x14ac:dyDescent="0.3">
      <c r="A8864" t="s">
        <v>552</v>
      </c>
      <c r="B8864" t="s">
        <v>703</v>
      </c>
      <c r="C8864" t="s">
        <v>637</v>
      </c>
      <c r="D8864" s="226">
        <v>-10600</v>
      </c>
      <c r="E8864" t="s">
        <v>704</v>
      </c>
    </row>
    <row r="8865" spans="1:5" hidden="1" x14ac:dyDescent="0.3">
      <c r="A8865" t="s">
        <v>552</v>
      </c>
      <c r="B8865" t="s">
        <v>703</v>
      </c>
      <c r="C8865" t="s">
        <v>253</v>
      </c>
      <c r="D8865" s="226">
        <v>-0.24</v>
      </c>
      <c r="E8865" t="s">
        <v>704</v>
      </c>
    </row>
    <row r="8866" spans="1:5" hidden="1" x14ac:dyDescent="0.3">
      <c r="A8866" t="s">
        <v>552</v>
      </c>
      <c r="B8866" t="s">
        <v>703</v>
      </c>
      <c r="C8866" t="s">
        <v>44</v>
      </c>
      <c r="D8866" s="226">
        <v>-0.04</v>
      </c>
      <c r="E8866" t="s">
        <v>704</v>
      </c>
    </row>
    <row r="8867" spans="1:5" hidden="1" x14ac:dyDescent="0.3">
      <c r="A8867" t="s">
        <v>552</v>
      </c>
      <c r="B8867" t="s">
        <v>703</v>
      </c>
      <c r="C8867" t="s">
        <v>263</v>
      </c>
      <c r="D8867" s="226">
        <v>-85196.22</v>
      </c>
      <c r="E8867" t="s">
        <v>704</v>
      </c>
    </row>
    <row r="8868" spans="1:5" hidden="1" x14ac:dyDescent="0.3">
      <c r="A8868" t="s">
        <v>552</v>
      </c>
      <c r="B8868" t="s">
        <v>703</v>
      </c>
      <c r="C8868" t="s">
        <v>277</v>
      </c>
      <c r="D8868" s="226">
        <v>-6563.8</v>
      </c>
      <c r="E8868" t="s">
        <v>704</v>
      </c>
    </row>
    <row r="8869" spans="1:5" hidden="1" x14ac:dyDescent="0.3">
      <c r="A8869" t="s">
        <v>552</v>
      </c>
      <c r="B8869" t="s">
        <v>703</v>
      </c>
      <c r="C8869" t="s">
        <v>44</v>
      </c>
      <c r="D8869" s="226">
        <v>-0.06</v>
      </c>
      <c r="E8869" t="s">
        <v>704</v>
      </c>
    </row>
    <row r="8870" spans="1:5" hidden="1" x14ac:dyDescent="0.3">
      <c r="A8870" t="s">
        <v>552</v>
      </c>
      <c r="B8870" t="s">
        <v>703</v>
      </c>
      <c r="C8870" t="s">
        <v>44</v>
      </c>
      <c r="D8870" s="226">
        <v>0</v>
      </c>
      <c r="E8870" t="s">
        <v>704</v>
      </c>
    </row>
    <row r="8871" spans="1:5" hidden="1" x14ac:dyDescent="0.3">
      <c r="A8871" t="s">
        <v>552</v>
      </c>
      <c r="B8871" t="s">
        <v>703</v>
      </c>
      <c r="C8871" t="s">
        <v>44</v>
      </c>
      <c r="D8871" s="226">
        <v>-0.01</v>
      </c>
      <c r="E8871" t="s">
        <v>704</v>
      </c>
    </row>
    <row r="8872" spans="1:5" hidden="1" x14ac:dyDescent="0.3">
      <c r="A8872" t="s">
        <v>552</v>
      </c>
      <c r="B8872" t="s">
        <v>703</v>
      </c>
      <c r="C8872" t="s">
        <v>295</v>
      </c>
      <c r="D8872" s="226">
        <v>-11275.17</v>
      </c>
      <c r="E8872" t="s">
        <v>704</v>
      </c>
    </row>
    <row r="8873" spans="1:5" hidden="1" x14ac:dyDescent="0.3">
      <c r="A8873" t="s">
        <v>552</v>
      </c>
      <c r="B8873" t="s">
        <v>703</v>
      </c>
      <c r="C8873" t="s">
        <v>306</v>
      </c>
      <c r="D8873" s="226">
        <v>-2121.9699999999998</v>
      </c>
      <c r="E8873" t="s">
        <v>704</v>
      </c>
    </row>
    <row r="8874" spans="1:5" hidden="1" x14ac:dyDescent="0.3">
      <c r="A8874" t="s">
        <v>552</v>
      </c>
      <c r="B8874" t="s">
        <v>703</v>
      </c>
      <c r="C8874" t="s">
        <v>44</v>
      </c>
      <c r="D8874" s="226">
        <v>-0.01</v>
      </c>
      <c r="E8874" t="s">
        <v>704</v>
      </c>
    </row>
    <row r="8875" spans="1:5" hidden="1" x14ac:dyDescent="0.3">
      <c r="A8875" t="s">
        <v>552</v>
      </c>
      <c r="B8875" t="s">
        <v>703</v>
      </c>
      <c r="C8875" t="s">
        <v>44</v>
      </c>
      <c r="D8875" s="226">
        <v>-0.01</v>
      </c>
      <c r="E8875" t="s">
        <v>704</v>
      </c>
    </row>
    <row r="8876" spans="1:5" hidden="1" x14ac:dyDescent="0.3">
      <c r="A8876" t="s">
        <v>552</v>
      </c>
      <c r="B8876" t="s">
        <v>703</v>
      </c>
      <c r="C8876" t="s">
        <v>44</v>
      </c>
      <c r="D8876" s="226">
        <v>0</v>
      </c>
      <c r="E8876" t="s">
        <v>704</v>
      </c>
    </row>
    <row r="8877" spans="1:5" hidden="1" x14ac:dyDescent="0.3">
      <c r="A8877" t="s">
        <v>552</v>
      </c>
      <c r="B8877" t="s">
        <v>703</v>
      </c>
      <c r="C8877" t="s">
        <v>44</v>
      </c>
      <c r="D8877" s="226">
        <v>-0.05</v>
      </c>
      <c r="E8877" t="s">
        <v>704</v>
      </c>
    </row>
    <row r="8878" spans="1:5" hidden="1" x14ac:dyDescent="0.3">
      <c r="A8878" t="s">
        <v>552</v>
      </c>
      <c r="B8878" t="s">
        <v>703</v>
      </c>
      <c r="C8878" t="s">
        <v>327</v>
      </c>
      <c r="D8878" s="226">
        <v>-619089.1</v>
      </c>
      <c r="E8878" t="s">
        <v>704</v>
      </c>
    </row>
    <row r="8879" spans="1:5" hidden="1" x14ac:dyDescent="0.3">
      <c r="A8879" t="s">
        <v>552</v>
      </c>
      <c r="B8879" t="s">
        <v>703</v>
      </c>
      <c r="C8879" t="s">
        <v>44</v>
      </c>
      <c r="D8879" s="226">
        <v>-0.42</v>
      </c>
      <c r="E8879" t="s">
        <v>704</v>
      </c>
    </row>
    <row r="8880" spans="1:5" hidden="1" x14ac:dyDescent="0.3">
      <c r="A8880" t="s">
        <v>552</v>
      </c>
      <c r="B8880" t="s">
        <v>703</v>
      </c>
      <c r="C8880" t="s">
        <v>328</v>
      </c>
      <c r="D8880" s="226">
        <v>226792.46</v>
      </c>
      <c r="E8880" t="s">
        <v>704</v>
      </c>
    </row>
    <row r="8881" spans="1:5" hidden="1" x14ac:dyDescent="0.3">
      <c r="A8881" t="s">
        <v>552</v>
      </c>
      <c r="B8881" t="s">
        <v>703</v>
      </c>
      <c r="C8881" t="s">
        <v>44</v>
      </c>
      <c r="D8881" s="226">
        <v>0.15</v>
      </c>
      <c r="E8881" t="s">
        <v>704</v>
      </c>
    </row>
    <row r="8882" spans="1:5" hidden="1" x14ac:dyDescent="0.3">
      <c r="A8882" t="s">
        <v>552</v>
      </c>
      <c r="B8882" t="s">
        <v>703</v>
      </c>
      <c r="C8882" t="s">
        <v>331</v>
      </c>
      <c r="D8882" s="226">
        <v>226792.46</v>
      </c>
      <c r="E8882" t="s">
        <v>704</v>
      </c>
    </row>
    <row r="8883" spans="1:5" hidden="1" x14ac:dyDescent="0.3">
      <c r="A8883" t="s">
        <v>552</v>
      </c>
      <c r="B8883" t="s">
        <v>703</v>
      </c>
      <c r="C8883" t="s">
        <v>337</v>
      </c>
      <c r="D8883" s="226">
        <v>223056.47</v>
      </c>
      <c r="E8883" t="s">
        <v>704</v>
      </c>
    </row>
    <row r="8884" spans="1:5" hidden="1" x14ac:dyDescent="0.3">
      <c r="A8884" t="s">
        <v>552</v>
      </c>
      <c r="B8884" t="s">
        <v>703</v>
      </c>
      <c r="C8884" t="s">
        <v>346</v>
      </c>
      <c r="D8884" s="226">
        <v>179158.25</v>
      </c>
      <c r="E8884" t="s">
        <v>704</v>
      </c>
    </row>
    <row r="8885" spans="1:5" hidden="1" x14ac:dyDescent="0.3">
      <c r="A8885" t="s">
        <v>552</v>
      </c>
      <c r="B8885" t="s">
        <v>703</v>
      </c>
      <c r="C8885" t="s">
        <v>44</v>
      </c>
      <c r="D8885" s="226">
        <v>0.12</v>
      </c>
      <c r="E8885" t="s">
        <v>704</v>
      </c>
    </row>
    <row r="8886" spans="1:5" hidden="1" x14ac:dyDescent="0.3">
      <c r="A8886" t="s">
        <v>552</v>
      </c>
      <c r="B8886" t="s">
        <v>703</v>
      </c>
      <c r="C8886" t="s">
        <v>373</v>
      </c>
      <c r="D8886" s="226">
        <v>158617.53</v>
      </c>
      <c r="E8886" t="s">
        <v>704</v>
      </c>
    </row>
    <row r="8887" spans="1:5" hidden="1" x14ac:dyDescent="0.3">
      <c r="A8887" t="s">
        <v>552</v>
      </c>
      <c r="B8887" t="s">
        <v>705</v>
      </c>
      <c r="C8887" t="s">
        <v>23</v>
      </c>
      <c r="D8887" s="226">
        <v>35128</v>
      </c>
      <c r="E8887" t="s">
        <v>706</v>
      </c>
    </row>
    <row r="8888" spans="1:5" hidden="1" x14ac:dyDescent="0.3">
      <c r="A8888" t="s">
        <v>552</v>
      </c>
      <c r="B8888" t="s">
        <v>705</v>
      </c>
      <c r="C8888" t="s">
        <v>44</v>
      </c>
      <c r="D8888" s="226">
        <v>-0.01</v>
      </c>
      <c r="E8888" t="s">
        <v>706</v>
      </c>
    </row>
    <row r="8889" spans="1:5" hidden="1" x14ac:dyDescent="0.3">
      <c r="A8889" t="s">
        <v>552</v>
      </c>
      <c r="B8889" t="s">
        <v>705</v>
      </c>
      <c r="C8889" t="s">
        <v>51</v>
      </c>
      <c r="D8889" s="226">
        <v>-346948.07</v>
      </c>
      <c r="E8889" t="s">
        <v>706</v>
      </c>
    </row>
    <row r="8890" spans="1:5" hidden="1" x14ac:dyDescent="0.3">
      <c r="A8890" t="s">
        <v>552</v>
      </c>
      <c r="B8890" t="s">
        <v>705</v>
      </c>
      <c r="C8890" t="s">
        <v>53</v>
      </c>
      <c r="D8890" s="226">
        <v>-113107.79</v>
      </c>
      <c r="E8890" t="s">
        <v>706</v>
      </c>
    </row>
    <row r="8891" spans="1:5" hidden="1" x14ac:dyDescent="0.3">
      <c r="A8891" t="s">
        <v>552</v>
      </c>
      <c r="B8891" t="s">
        <v>705</v>
      </c>
      <c r="C8891" t="s">
        <v>44</v>
      </c>
      <c r="D8891" s="226">
        <v>-0.26</v>
      </c>
      <c r="E8891" t="s">
        <v>706</v>
      </c>
    </row>
    <row r="8892" spans="1:5" hidden="1" x14ac:dyDescent="0.3">
      <c r="A8892" t="s">
        <v>552</v>
      </c>
      <c r="B8892" t="s">
        <v>705</v>
      </c>
      <c r="C8892" t="s">
        <v>44</v>
      </c>
      <c r="D8892" s="226">
        <v>0</v>
      </c>
      <c r="E8892" t="s">
        <v>706</v>
      </c>
    </row>
    <row r="8893" spans="1:5" hidden="1" x14ac:dyDescent="0.3">
      <c r="A8893" t="s">
        <v>552</v>
      </c>
      <c r="B8893" t="s">
        <v>705</v>
      </c>
      <c r="C8893" t="s">
        <v>44</v>
      </c>
      <c r="D8893" s="226">
        <v>0</v>
      </c>
      <c r="E8893" t="s">
        <v>706</v>
      </c>
    </row>
    <row r="8894" spans="1:5" hidden="1" x14ac:dyDescent="0.3">
      <c r="A8894" t="s">
        <v>552</v>
      </c>
      <c r="B8894" t="s">
        <v>705</v>
      </c>
      <c r="C8894" t="s">
        <v>44</v>
      </c>
      <c r="D8894" s="226">
        <v>-0.06</v>
      </c>
      <c r="E8894" t="s">
        <v>706</v>
      </c>
    </row>
    <row r="8895" spans="1:5" hidden="1" x14ac:dyDescent="0.3">
      <c r="A8895" t="s">
        <v>552</v>
      </c>
      <c r="B8895" t="s">
        <v>705</v>
      </c>
      <c r="C8895" t="s">
        <v>44</v>
      </c>
      <c r="D8895" s="226">
        <v>-0.04</v>
      </c>
      <c r="E8895" t="s">
        <v>706</v>
      </c>
    </row>
    <row r="8896" spans="1:5" hidden="1" x14ac:dyDescent="0.3">
      <c r="A8896" t="s">
        <v>552</v>
      </c>
      <c r="B8896" t="s">
        <v>705</v>
      </c>
      <c r="C8896" t="s">
        <v>125</v>
      </c>
      <c r="D8896" s="226">
        <v>881462.77</v>
      </c>
      <c r="E8896" t="s">
        <v>706</v>
      </c>
    </row>
    <row r="8897" spans="1:5" hidden="1" x14ac:dyDescent="0.3">
      <c r="A8897" t="s">
        <v>552</v>
      </c>
      <c r="B8897" t="s">
        <v>705</v>
      </c>
      <c r="C8897" t="s">
        <v>44</v>
      </c>
      <c r="D8897" s="226">
        <v>-0.04</v>
      </c>
      <c r="E8897" t="s">
        <v>706</v>
      </c>
    </row>
    <row r="8898" spans="1:5" hidden="1" x14ac:dyDescent="0.3">
      <c r="A8898" t="s">
        <v>552</v>
      </c>
      <c r="B8898" t="s">
        <v>705</v>
      </c>
      <c r="C8898" t="s">
        <v>263</v>
      </c>
      <c r="D8898" s="226">
        <v>-87663.31</v>
      </c>
      <c r="E8898" t="s">
        <v>706</v>
      </c>
    </row>
    <row r="8899" spans="1:5" hidden="1" x14ac:dyDescent="0.3">
      <c r="A8899" t="s">
        <v>552</v>
      </c>
      <c r="B8899" t="s">
        <v>705</v>
      </c>
      <c r="C8899" t="s">
        <v>271</v>
      </c>
      <c r="D8899" s="226">
        <v>-3958.94</v>
      </c>
      <c r="E8899" t="s">
        <v>706</v>
      </c>
    </row>
    <row r="8900" spans="1:5" hidden="1" x14ac:dyDescent="0.3">
      <c r="A8900" t="s">
        <v>552</v>
      </c>
      <c r="B8900" t="s">
        <v>705</v>
      </c>
      <c r="C8900" t="s">
        <v>277</v>
      </c>
      <c r="D8900" s="226">
        <v>-7083.35</v>
      </c>
      <c r="E8900" t="s">
        <v>706</v>
      </c>
    </row>
    <row r="8901" spans="1:5" hidden="1" x14ac:dyDescent="0.3">
      <c r="A8901" t="s">
        <v>552</v>
      </c>
      <c r="B8901" t="s">
        <v>705</v>
      </c>
      <c r="C8901" t="s">
        <v>44</v>
      </c>
      <c r="D8901" s="226">
        <v>-0.06</v>
      </c>
      <c r="E8901" t="s">
        <v>706</v>
      </c>
    </row>
    <row r="8902" spans="1:5" hidden="1" x14ac:dyDescent="0.3">
      <c r="A8902" t="s">
        <v>552</v>
      </c>
      <c r="B8902" t="s">
        <v>705</v>
      </c>
      <c r="C8902" t="s">
        <v>278</v>
      </c>
      <c r="D8902" s="226">
        <v>-4319.1899999999996</v>
      </c>
      <c r="E8902" t="s">
        <v>706</v>
      </c>
    </row>
    <row r="8903" spans="1:5" hidden="1" x14ac:dyDescent="0.3">
      <c r="A8903" t="s">
        <v>552</v>
      </c>
      <c r="B8903" t="s">
        <v>705</v>
      </c>
      <c r="C8903" t="s">
        <v>281</v>
      </c>
      <c r="D8903" s="226">
        <v>-23.9</v>
      </c>
      <c r="E8903" t="s">
        <v>706</v>
      </c>
    </row>
    <row r="8904" spans="1:5" hidden="1" x14ac:dyDescent="0.3">
      <c r="A8904" t="s">
        <v>552</v>
      </c>
      <c r="B8904" t="s">
        <v>705</v>
      </c>
      <c r="C8904" t="s">
        <v>282</v>
      </c>
      <c r="D8904" s="226">
        <v>0</v>
      </c>
      <c r="E8904" t="s">
        <v>706</v>
      </c>
    </row>
    <row r="8905" spans="1:5" hidden="1" x14ac:dyDescent="0.3">
      <c r="A8905" t="s">
        <v>552</v>
      </c>
      <c r="B8905" t="s">
        <v>705</v>
      </c>
      <c r="C8905" t="s">
        <v>285</v>
      </c>
      <c r="D8905" s="226">
        <v>-853.9</v>
      </c>
      <c r="E8905" t="s">
        <v>706</v>
      </c>
    </row>
    <row r="8906" spans="1:5" hidden="1" x14ac:dyDescent="0.3">
      <c r="A8906" t="s">
        <v>552</v>
      </c>
      <c r="B8906" t="s">
        <v>705</v>
      </c>
      <c r="C8906" t="s">
        <v>44</v>
      </c>
      <c r="D8906" s="226">
        <v>0</v>
      </c>
      <c r="E8906" t="s">
        <v>706</v>
      </c>
    </row>
    <row r="8907" spans="1:5" hidden="1" x14ac:dyDescent="0.3">
      <c r="A8907" t="s">
        <v>552</v>
      </c>
      <c r="B8907" t="s">
        <v>705</v>
      </c>
      <c r="C8907" t="s">
        <v>44</v>
      </c>
      <c r="D8907" s="226">
        <v>-0.01</v>
      </c>
      <c r="E8907" t="s">
        <v>706</v>
      </c>
    </row>
    <row r="8908" spans="1:5" hidden="1" x14ac:dyDescent="0.3">
      <c r="A8908" t="s">
        <v>552</v>
      </c>
      <c r="B8908" t="s">
        <v>705</v>
      </c>
      <c r="C8908" t="s">
        <v>295</v>
      </c>
      <c r="D8908" s="226">
        <v>-9083.5400000000009</v>
      </c>
      <c r="E8908" t="s">
        <v>706</v>
      </c>
    </row>
    <row r="8909" spans="1:5" hidden="1" x14ac:dyDescent="0.3">
      <c r="A8909" t="s">
        <v>552</v>
      </c>
      <c r="B8909" t="s">
        <v>705</v>
      </c>
      <c r="C8909" t="s">
        <v>306</v>
      </c>
      <c r="D8909" s="226">
        <v>-2780.94</v>
      </c>
      <c r="E8909" t="s">
        <v>706</v>
      </c>
    </row>
    <row r="8910" spans="1:5" hidden="1" x14ac:dyDescent="0.3">
      <c r="A8910" t="s">
        <v>552</v>
      </c>
      <c r="B8910" t="s">
        <v>705</v>
      </c>
      <c r="C8910" t="s">
        <v>44</v>
      </c>
      <c r="D8910" s="226">
        <v>-0.01</v>
      </c>
      <c r="E8910" t="s">
        <v>706</v>
      </c>
    </row>
    <row r="8911" spans="1:5" hidden="1" x14ac:dyDescent="0.3">
      <c r="A8911" t="s">
        <v>552</v>
      </c>
      <c r="B8911" t="s">
        <v>705</v>
      </c>
      <c r="C8911" t="s">
        <v>44</v>
      </c>
      <c r="D8911" s="226">
        <v>-0.01</v>
      </c>
      <c r="E8911" t="s">
        <v>706</v>
      </c>
    </row>
    <row r="8912" spans="1:5" hidden="1" x14ac:dyDescent="0.3">
      <c r="A8912" t="s">
        <v>552</v>
      </c>
      <c r="B8912" t="s">
        <v>705</v>
      </c>
      <c r="C8912" t="s">
        <v>44</v>
      </c>
      <c r="D8912" s="226">
        <v>0</v>
      </c>
      <c r="E8912" t="s">
        <v>706</v>
      </c>
    </row>
    <row r="8913" spans="1:5" hidden="1" x14ac:dyDescent="0.3">
      <c r="A8913" t="s">
        <v>552</v>
      </c>
      <c r="B8913" t="s">
        <v>705</v>
      </c>
      <c r="C8913" t="s">
        <v>44</v>
      </c>
      <c r="D8913" s="226">
        <v>-0.05</v>
      </c>
      <c r="E8913" t="s">
        <v>706</v>
      </c>
    </row>
    <row r="8914" spans="1:5" hidden="1" x14ac:dyDescent="0.3">
      <c r="A8914" t="s">
        <v>552</v>
      </c>
      <c r="B8914" t="s">
        <v>705</v>
      </c>
      <c r="C8914" t="s">
        <v>327</v>
      </c>
      <c r="D8914" s="226">
        <v>-585572.64</v>
      </c>
      <c r="E8914" t="s">
        <v>706</v>
      </c>
    </row>
    <row r="8915" spans="1:5" hidden="1" x14ac:dyDescent="0.3">
      <c r="A8915" t="s">
        <v>552</v>
      </c>
      <c r="B8915" t="s">
        <v>705</v>
      </c>
      <c r="C8915" t="s">
        <v>44</v>
      </c>
      <c r="D8915" s="226">
        <v>-0.39</v>
      </c>
      <c r="E8915" t="s">
        <v>706</v>
      </c>
    </row>
    <row r="8916" spans="1:5" hidden="1" x14ac:dyDescent="0.3">
      <c r="A8916" t="s">
        <v>552</v>
      </c>
      <c r="B8916" t="s">
        <v>705</v>
      </c>
      <c r="C8916" t="s">
        <v>328</v>
      </c>
      <c r="D8916" s="226">
        <v>295890.13</v>
      </c>
      <c r="E8916" t="s">
        <v>706</v>
      </c>
    </row>
    <row r="8917" spans="1:5" hidden="1" x14ac:dyDescent="0.3">
      <c r="A8917" t="s">
        <v>552</v>
      </c>
      <c r="B8917" t="s">
        <v>705</v>
      </c>
      <c r="C8917" t="s">
        <v>44</v>
      </c>
      <c r="D8917" s="226">
        <v>0.2</v>
      </c>
      <c r="E8917" t="s">
        <v>706</v>
      </c>
    </row>
    <row r="8918" spans="1:5" hidden="1" x14ac:dyDescent="0.3">
      <c r="A8918" t="s">
        <v>552</v>
      </c>
      <c r="B8918" t="s">
        <v>705</v>
      </c>
      <c r="C8918" t="s">
        <v>331</v>
      </c>
      <c r="D8918" s="226">
        <v>295890.13</v>
      </c>
      <c r="E8918" t="s">
        <v>706</v>
      </c>
    </row>
    <row r="8919" spans="1:5" hidden="1" x14ac:dyDescent="0.3">
      <c r="A8919" t="s">
        <v>552</v>
      </c>
      <c r="B8919" t="s">
        <v>705</v>
      </c>
      <c r="C8919" t="s">
        <v>337</v>
      </c>
      <c r="D8919" s="226">
        <v>267575.03999999998</v>
      </c>
      <c r="E8919" t="s">
        <v>706</v>
      </c>
    </row>
    <row r="8920" spans="1:5" hidden="1" x14ac:dyDescent="0.3">
      <c r="A8920" t="s">
        <v>552</v>
      </c>
      <c r="B8920" t="s">
        <v>705</v>
      </c>
      <c r="C8920" t="s">
        <v>338</v>
      </c>
      <c r="D8920" s="226">
        <v>-44396.37</v>
      </c>
      <c r="E8920" t="s">
        <v>706</v>
      </c>
    </row>
    <row r="8921" spans="1:5" hidden="1" x14ac:dyDescent="0.3">
      <c r="A8921" t="s">
        <v>552</v>
      </c>
      <c r="B8921" t="s">
        <v>705</v>
      </c>
      <c r="C8921" t="s">
        <v>343</v>
      </c>
      <c r="D8921" s="226">
        <v>-16265.32</v>
      </c>
      <c r="E8921" t="s">
        <v>706</v>
      </c>
    </row>
    <row r="8922" spans="1:5" hidden="1" x14ac:dyDescent="0.3">
      <c r="A8922" t="s">
        <v>552</v>
      </c>
      <c r="B8922" t="s">
        <v>705</v>
      </c>
      <c r="C8922" t="s">
        <v>346</v>
      </c>
      <c r="D8922" s="226">
        <v>223178.67</v>
      </c>
      <c r="E8922" t="s">
        <v>706</v>
      </c>
    </row>
    <row r="8923" spans="1:5" hidden="1" x14ac:dyDescent="0.3">
      <c r="A8923" t="s">
        <v>552</v>
      </c>
      <c r="B8923" t="s">
        <v>705</v>
      </c>
      <c r="C8923" t="s">
        <v>373</v>
      </c>
      <c r="D8923" s="226">
        <v>214835.77</v>
      </c>
      <c r="E8923" t="s">
        <v>706</v>
      </c>
    </row>
    <row r="8924" spans="1:5" hidden="1" x14ac:dyDescent="0.3">
      <c r="A8924" t="s">
        <v>552</v>
      </c>
      <c r="B8924" t="s">
        <v>707</v>
      </c>
      <c r="C8924" t="s">
        <v>11</v>
      </c>
      <c r="D8924" s="226">
        <v>1844734.83</v>
      </c>
      <c r="E8924" t="s">
        <v>708</v>
      </c>
    </row>
    <row r="8925" spans="1:5" hidden="1" x14ac:dyDescent="0.3">
      <c r="A8925" t="s">
        <v>552</v>
      </c>
      <c r="B8925" t="s">
        <v>707</v>
      </c>
      <c r="C8925" t="s">
        <v>13</v>
      </c>
      <c r="D8925" s="226">
        <v>925277.15</v>
      </c>
      <c r="E8925" t="s">
        <v>708</v>
      </c>
    </row>
    <row r="8926" spans="1:5" hidden="1" x14ac:dyDescent="0.3">
      <c r="A8926" t="s">
        <v>552</v>
      </c>
      <c r="B8926" t="s">
        <v>707</v>
      </c>
      <c r="C8926" t="s">
        <v>16</v>
      </c>
      <c r="D8926" s="226">
        <v>621529.35</v>
      </c>
      <c r="E8926" t="s">
        <v>708</v>
      </c>
    </row>
    <row r="8927" spans="1:5" hidden="1" x14ac:dyDescent="0.3">
      <c r="A8927" t="s">
        <v>552</v>
      </c>
      <c r="B8927" t="s">
        <v>707</v>
      </c>
      <c r="C8927" t="s">
        <v>17</v>
      </c>
      <c r="D8927" s="226">
        <v>0</v>
      </c>
      <c r="E8927" t="s">
        <v>708</v>
      </c>
    </row>
    <row r="8928" spans="1:5" hidden="1" x14ac:dyDescent="0.3">
      <c r="A8928" t="s">
        <v>552</v>
      </c>
      <c r="B8928" t="s">
        <v>707</v>
      </c>
      <c r="C8928" t="s">
        <v>18</v>
      </c>
      <c r="D8928" s="226">
        <v>0</v>
      </c>
      <c r="E8928" t="s">
        <v>708</v>
      </c>
    </row>
    <row r="8929" spans="1:5" hidden="1" x14ac:dyDescent="0.3">
      <c r="A8929" t="s">
        <v>552</v>
      </c>
      <c r="B8929" t="s">
        <v>707</v>
      </c>
      <c r="C8929" t="s">
        <v>20</v>
      </c>
      <c r="D8929" s="226">
        <v>197116.51</v>
      </c>
      <c r="E8929" t="s">
        <v>708</v>
      </c>
    </row>
    <row r="8930" spans="1:5" hidden="1" x14ac:dyDescent="0.3">
      <c r="A8930" t="s">
        <v>552</v>
      </c>
      <c r="B8930" t="s">
        <v>707</v>
      </c>
      <c r="C8930" t="s">
        <v>23</v>
      </c>
      <c r="D8930" s="226">
        <v>22625.7</v>
      </c>
      <c r="E8930" t="s">
        <v>708</v>
      </c>
    </row>
    <row r="8931" spans="1:5" hidden="1" x14ac:dyDescent="0.3">
      <c r="A8931" t="s">
        <v>552</v>
      </c>
      <c r="B8931" t="s">
        <v>707</v>
      </c>
      <c r="C8931" t="s">
        <v>25</v>
      </c>
      <c r="D8931" s="226">
        <v>0</v>
      </c>
      <c r="E8931" t="s">
        <v>708</v>
      </c>
    </row>
    <row r="8932" spans="1:5" hidden="1" x14ac:dyDescent="0.3">
      <c r="A8932" t="s">
        <v>552</v>
      </c>
      <c r="B8932" t="s">
        <v>707</v>
      </c>
      <c r="C8932" t="s">
        <v>26</v>
      </c>
      <c r="D8932" s="226">
        <v>561.6</v>
      </c>
      <c r="E8932" t="s">
        <v>708</v>
      </c>
    </row>
    <row r="8933" spans="1:5" hidden="1" x14ac:dyDescent="0.3">
      <c r="A8933" t="s">
        <v>552</v>
      </c>
      <c r="B8933" t="s">
        <v>707</v>
      </c>
      <c r="C8933" t="s">
        <v>27</v>
      </c>
      <c r="D8933" s="226">
        <v>0</v>
      </c>
      <c r="E8933" t="s">
        <v>708</v>
      </c>
    </row>
    <row r="8934" spans="1:5" hidden="1" x14ac:dyDescent="0.3">
      <c r="A8934" t="s">
        <v>552</v>
      </c>
      <c r="B8934" t="s">
        <v>707</v>
      </c>
      <c r="C8934" t="s">
        <v>29</v>
      </c>
      <c r="D8934" s="226">
        <v>76895.520000000004</v>
      </c>
      <c r="E8934" t="s">
        <v>708</v>
      </c>
    </row>
    <row r="8935" spans="1:5" hidden="1" x14ac:dyDescent="0.3">
      <c r="A8935" t="s">
        <v>552</v>
      </c>
      <c r="B8935" t="s">
        <v>707</v>
      </c>
      <c r="C8935" t="s">
        <v>31</v>
      </c>
      <c r="D8935" s="226">
        <v>729</v>
      </c>
      <c r="E8935" t="s">
        <v>708</v>
      </c>
    </row>
    <row r="8936" spans="1:5" hidden="1" x14ac:dyDescent="0.3">
      <c r="A8936" t="s">
        <v>552</v>
      </c>
      <c r="B8936" t="s">
        <v>707</v>
      </c>
      <c r="C8936" t="s">
        <v>33</v>
      </c>
      <c r="D8936" s="226">
        <v>23187.3</v>
      </c>
      <c r="E8936" t="s">
        <v>708</v>
      </c>
    </row>
    <row r="8937" spans="1:5" hidden="1" x14ac:dyDescent="0.3">
      <c r="A8937" t="s">
        <v>552</v>
      </c>
      <c r="B8937" t="s">
        <v>707</v>
      </c>
      <c r="C8937" t="s">
        <v>34</v>
      </c>
      <c r="D8937" s="226">
        <v>-23601.99</v>
      </c>
      <c r="E8937" t="s">
        <v>708</v>
      </c>
    </row>
    <row r="8938" spans="1:5" hidden="1" x14ac:dyDescent="0.3">
      <c r="A8938" t="s">
        <v>552</v>
      </c>
      <c r="B8938" t="s">
        <v>707</v>
      </c>
      <c r="C8938" t="s">
        <v>38</v>
      </c>
      <c r="D8938" s="226">
        <v>-5836.37</v>
      </c>
      <c r="E8938" t="s">
        <v>708</v>
      </c>
    </row>
    <row r="8939" spans="1:5" hidden="1" x14ac:dyDescent="0.3">
      <c r="A8939" t="s">
        <v>552</v>
      </c>
      <c r="B8939" t="s">
        <v>707</v>
      </c>
      <c r="C8939" t="s">
        <v>40</v>
      </c>
      <c r="D8939" s="226">
        <v>-17739.28</v>
      </c>
      <c r="E8939" t="s">
        <v>708</v>
      </c>
    </row>
    <row r="8940" spans="1:5" hidden="1" x14ac:dyDescent="0.3">
      <c r="A8940" t="s">
        <v>552</v>
      </c>
      <c r="B8940" t="s">
        <v>707</v>
      </c>
      <c r="C8940" t="s">
        <v>42</v>
      </c>
      <c r="D8940" s="226">
        <v>-26.34</v>
      </c>
      <c r="E8940" t="s">
        <v>708</v>
      </c>
    </row>
    <row r="8941" spans="1:5" hidden="1" x14ac:dyDescent="0.3">
      <c r="A8941" t="s">
        <v>552</v>
      </c>
      <c r="B8941" t="s">
        <v>707</v>
      </c>
      <c r="C8941" t="s">
        <v>44</v>
      </c>
      <c r="D8941" s="226">
        <v>-0.01</v>
      </c>
      <c r="E8941" t="s">
        <v>708</v>
      </c>
    </row>
    <row r="8942" spans="1:5" hidden="1" x14ac:dyDescent="0.3">
      <c r="A8942" t="s">
        <v>552</v>
      </c>
      <c r="B8942" t="s">
        <v>707</v>
      </c>
      <c r="C8942" t="s">
        <v>45</v>
      </c>
      <c r="D8942" s="226">
        <v>-123589.01</v>
      </c>
      <c r="E8942" t="s">
        <v>708</v>
      </c>
    </row>
    <row r="8943" spans="1:5" hidden="1" x14ac:dyDescent="0.3">
      <c r="A8943" t="s">
        <v>552</v>
      </c>
      <c r="B8943" t="s">
        <v>707</v>
      </c>
      <c r="C8943" t="s">
        <v>46</v>
      </c>
      <c r="D8943" s="226">
        <v>-57707.82</v>
      </c>
      <c r="E8943" t="s">
        <v>708</v>
      </c>
    </row>
    <row r="8944" spans="1:5" hidden="1" x14ac:dyDescent="0.3">
      <c r="A8944" t="s">
        <v>552</v>
      </c>
      <c r="B8944" t="s">
        <v>707</v>
      </c>
      <c r="C8944" t="s">
        <v>48</v>
      </c>
      <c r="D8944" s="226">
        <v>-65853.11</v>
      </c>
      <c r="E8944" t="s">
        <v>708</v>
      </c>
    </row>
    <row r="8945" spans="1:5" hidden="1" x14ac:dyDescent="0.3">
      <c r="A8945" t="s">
        <v>552</v>
      </c>
      <c r="B8945" t="s">
        <v>707</v>
      </c>
      <c r="C8945" t="s">
        <v>49</v>
      </c>
      <c r="D8945" s="226">
        <v>-28.08</v>
      </c>
      <c r="E8945" t="s">
        <v>708</v>
      </c>
    </row>
    <row r="8946" spans="1:5" hidden="1" x14ac:dyDescent="0.3">
      <c r="A8946" t="s">
        <v>552</v>
      </c>
      <c r="B8946" t="s">
        <v>707</v>
      </c>
      <c r="C8946" t="s">
        <v>50</v>
      </c>
      <c r="D8946" s="226">
        <v>1697543.83</v>
      </c>
      <c r="E8946" t="s">
        <v>708</v>
      </c>
    </row>
    <row r="8947" spans="1:5" hidden="1" x14ac:dyDescent="0.3">
      <c r="A8947" t="s">
        <v>552</v>
      </c>
      <c r="B8947" t="s">
        <v>707</v>
      </c>
      <c r="C8947" t="s">
        <v>51</v>
      </c>
      <c r="D8947" s="226">
        <v>-427807.62</v>
      </c>
      <c r="E8947" t="s">
        <v>708</v>
      </c>
    </row>
    <row r="8948" spans="1:5" hidden="1" x14ac:dyDescent="0.3">
      <c r="A8948" t="s">
        <v>552</v>
      </c>
      <c r="B8948" t="s">
        <v>707</v>
      </c>
      <c r="C8948" t="s">
        <v>52</v>
      </c>
      <c r="D8948" s="226">
        <v>-286323.45</v>
      </c>
      <c r="E8948" t="s">
        <v>708</v>
      </c>
    </row>
    <row r="8949" spans="1:5" hidden="1" x14ac:dyDescent="0.3">
      <c r="A8949" t="s">
        <v>552</v>
      </c>
      <c r="B8949" t="s">
        <v>707</v>
      </c>
      <c r="C8949" t="s">
        <v>53</v>
      </c>
      <c r="D8949" s="226">
        <v>-136024.9</v>
      </c>
      <c r="E8949" t="s">
        <v>708</v>
      </c>
    </row>
    <row r="8950" spans="1:5" hidden="1" x14ac:dyDescent="0.3">
      <c r="A8950" t="s">
        <v>552</v>
      </c>
      <c r="B8950" t="s">
        <v>707</v>
      </c>
      <c r="C8950" t="s">
        <v>54</v>
      </c>
      <c r="D8950" s="226">
        <v>-5459.27</v>
      </c>
      <c r="E8950" t="s">
        <v>708</v>
      </c>
    </row>
    <row r="8951" spans="1:5" hidden="1" x14ac:dyDescent="0.3">
      <c r="A8951" t="s">
        <v>552</v>
      </c>
      <c r="B8951" t="s">
        <v>707</v>
      </c>
      <c r="C8951" t="s">
        <v>44</v>
      </c>
      <c r="D8951" s="226">
        <v>-0.26</v>
      </c>
      <c r="E8951" t="s">
        <v>708</v>
      </c>
    </row>
    <row r="8952" spans="1:5" hidden="1" x14ac:dyDescent="0.3">
      <c r="A8952" t="s">
        <v>552</v>
      </c>
      <c r="B8952" t="s">
        <v>707</v>
      </c>
      <c r="C8952" t="s">
        <v>55</v>
      </c>
      <c r="D8952" s="226">
        <v>-0.25</v>
      </c>
      <c r="E8952" t="s">
        <v>708</v>
      </c>
    </row>
    <row r="8953" spans="1:5" hidden="1" x14ac:dyDescent="0.3">
      <c r="A8953" t="s">
        <v>552</v>
      </c>
      <c r="B8953" t="s">
        <v>707</v>
      </c>
      <c r="C8953" t="s">
        <v>56</v>
      </c>
      <c r="D8953" s="226">
        <v>-700</v>
      </c>
      <c r="E8953" t="s">
        <v>708</v>
      </c>
    </row>
    <row r="8954" spans="1:5" hidden="1" x14ac:dyDescent="0.3">
      <c r="A8954" t="s">
        <v>552</v>
      </c>
      <c r="B8954" t="s">
        <v>707</v>
      </c>
      <c r="C8954" t="s">
        <v>57</v>
      </c>
      <c r="D8954" s="226">
        <v>0</v>
      </c>
      <c r="E8954" t="s">
        <v>708</v>
      </c>
    </row>
    <row r="8955" spans="1:5" hidden="1" x14ac:dyDescent="0.3">
      <c r="A8955" t="s">
        <v>552</v>
      </c>
      <c r="B8955" t="s">
        <v>707</v>
      </c>
      <c r="C8955" t="s">
        <v>58</v>
      </c>
      <c r="D8955" s="226">
        <v>0</v>
      </c>
      <c r="E8955" t="s">
        <v>708</v>
      </c>
    </row>
    <row r="8956" spans="1:5" hidden="1" x14ac:dyDescent="0.3">
      <c r="A8956" t="s">
        <v>552</v>
      </c>
      <c r="B8956" t="s">
        <v>707</v>
      </c>
      <c r="C8956" t="s">
        <v>59</v>
      </c>
      <c r="D8956" s="226">
        <v>0</v>
      </c>
      <c r="E8956" t="s">
        <v>708</v>
      </c>
    </row>
    <row r="8957" spans="1:5" hidden="1" x14ac:dyDescent="0.3">
      <c r="A8957" t="s">
        <v>552</v>
      </c>
      <c r="B8957" t="s">
        <v>707</v>
      </c>
      <c r="C8957" t="s">
        <v>61</v>
      </c>
      <c r="D8957" s="226">
        <v>0</v>
      </c>
      <c r="E8957" t="s">
        <v>708</v>
      </c>
    </row>
    <row r="8958" spans="1:5" hidden="1" x14ac:dyDescent="0.3">
      <c r="A8958" t="s">
        <v>552</v>
      </c>
      <c r="B8958" t="s">
        <v>707</v>
      </c>
      <c r="C8958" t="s">
        <v>62</v>
      </c>
      <c r="D8958" s="226">
        <v>0</v>
      </c>
      <c r="E8958" t="s">
        <v>708</v>
      </c>
    </row>
    <row r="8959" spans="1:5" hidden="1" x14ac:dyDescent="0.3">
      <c r="A8959" t="s">
        <v>552</v>
      </c>
      <c r="B8959" t="s">
        <v>707</v>
      </c>
      <c r="C8959" t="s">
        <v>64</v>
      </c>
      <c r="D8959" s="226">
        <v>0</v>
      </c>
      <c r="E8959" t="s">
        <v>708</v>
      </c>
    </row>
    <row r="8960" spans="1:5" hidden="1" x14ac:dyDescent="0.3">
      <c r="A8960" t="s">
        <v>552</v>
      </c>
      <c r="B8960" t="s">
        <v>707</v>
      </c>
      <c r="C8960" t="s">
        <v>65</v>
      </c>
      <c r="D8960" s="226">
        <v>-700</v>
      </c>
      <c r="E8960" t="s">
        <v>708</v>
      </c>
    </row>
    <row r="8961" spans="1:5" hidden="1" x14ac:dyDescent="0.3">
      <c r="A8961" t="s">
        <v>552</v>
      </c>
      <c r="B8961" t="s">
        <v>707</v>
      </c>
      <c r="C8961" t="s">
        <v>66</v>
      </c>
      <c r="D8961" s="226">
        <v>-700</v>
      </c>
      <c r="E8961" t="s">
        <v>708</v>
      </c>
    </row>
    <row r="8962" spans="1:5" hidden="1" x14ac:dyDescent="0.3">
      <c r="A8962" t="s">
        <v>552</v>
      </c>
      <c r="B8962" t="s">
        <v>707</v>
      </c>
      <c r="C8962" t="s">
        <v>68</v>
      </c>
      <c r="D8962" s="226">
        <v>0</v>
      </c>
      <c r="E8962" t="s">
        <v>708</v>
      </c>
    </row>
    <row r="8963" spans="1:5" hidden="1" x14ac:dyDescent="0.3">
      <c r="A8963" t="s">
        <v>552</v>
      </c>
      <c r="B8963" t="s">
        <v>707</v>
      </c>
      <c r="C8963" t="s">
        <v>69</v>
      </c>
      <c r="D8963" s="226">
        <v>0</v>
      </c>
      <c r="E8963" t="s">
        <v>708</v>
      </c>
    </row>
    <row r="8964" spans="1:5" hidden="1" x14ac:dyDescent="0.3">
      <c r="A8964" t="s">
        <v>552</v>
      </c>
      <c r="B8964" t="s">
        <v>707</v>
      </c>
      <c r="C8964" t="s">
        <v>70</v>
      </c>
      <c r="D8964" s="226">
        <v>0</v>
      </c>
      <c r="E8964" t="s">
        <v>708</v>
      </c>
    </row>
    <row r="8965" spans="1:5" hidden="1" x14ac:dyDescent="0.3">
      <c r="A8965" t="s">
        <v>552</v>
      </c>
      <c r="B8965" t="s">
        <v>707</v>
      </c>
      <c r="C8965" t="s">
        <v>44</v>
      </c>
      <c r="D8965" s="226">
        <v>0</v>
      </c>
      <c r="E8965" t="s">
        <v>708</v>
      </c>
    </row>
    <row r="8966" spans="1:5" hidden="1" x14ac:dyDescent="0.3">
      <c r="A8966" t="s">
        <v>552</v>
      </c>
      <c r="B8966" t="s">
        <v>707</v>
      </c>
      <c r="C8966" t="s">
        <v>71</v>
      </c>
      <c r="D8966" s="226">
        <v>-4636.6099999999997</v>
      </c>
      <c r="E8966" t="s">
        <v>708</v>
      </c>
    </row>
    <row r="8967" spans="1:5" hidden="1" x14ac:dyDescent="0.3">
      <c r="A8967" t="s">
        <v>552</v>
      </c>
      <c r="B8967" t="s">
        <v>707</v>
      </c>
      <c r="C8967" t="s">
        <v>72</v>
      </c>
      <c r="D8967" s="226">
        <v>-2304.8200000000002</v>
      </c>
      <c r="E8967" t="s">
        <v>708</v>
      </c>
    </row>
    <row r="8968" spans="1:5" hidden="1" x14ac:dyDescent="0.3">
      <c r="A8968" t="s">
        <v>552</v>
      </c>
      <c r="B8968" t="s">
        <v>707</v>
      </c>
      <c r="C8968" t="s">
        <v>73</v>
      </c>
      <c r="D8968" s="226">
        <v>-2000</v>
      </c>
      <c r="E8968" t="s">
        <v>708</v>
      </c>
    </row>
    <row r="8969" spans="1:5" hidden="1" x14ac:dyDescent="0.3">
      <c r="A8969" t="s">
        <v>552</v>
      </c>
      <c r="B8969" t="s">
        <v>707</v>
      </c>
      <c r="C8969" t="s">
        <v>75</v>
      </c>
      <c r="D8969" s="226">
        <v>-304.82</v>
      </c>
      <c r="E8969" t="s">
        <v>708</v>
      </c>
    </row>
    <row r="8970" spans="1:5" hidden="1" x14ac:dyDescent="0.3">
      <c r="A8970" t="s">
        <v>552</v>
      </c>
      <c r="B8970" t="s">
        <v>707</v>
      </c>
      <c r="C8970" t="s">
        <v>77</v>
      </c>
      <c r="D8970" s="226">
        <v>0</v>
      </c>
      <c r="E8970" t="s">
        <v>708</v>
      </c>
    </row>
    <row r="8971" spans="1:5" hidden="1" x14ac:dyDescent="0.3">
      <c r="A8971" t="s">
        <v>552</v>
      </c>
      <c r="B8971" t="s">
        <v>707</v>
      </c>
      <c r="C8971" t="s">
        <v>78</v>
      </c>
      <c r="D8971" s="226">
        <v>0</v>
      </c>
      <c r="E8971" t="s">
        <v>708</v>
      </c>
    </row>
    <row r="8972" spans="1:5" hidden="1" x14ac:dyDescent="0.3">
      <c r="A8972" t="s">
        <v>552</v>
      </c>
      <c r="B8972" t="s">
        <v>707</v>
      </c>
      <c r="C8972" t="s">
        <v>80</v>
      </c>
      <c r="D8972" s="226">
        <v>0</v>
      </c>
      <c r="E8972" t="s">
        <v>708</v>
      </c>
    </row>
    <row r="8973" spans="1:5" hidden="1" x14ac:dyDescent="0.3">
      <c r="A8973" t="s">
        <v>552</v>
      </c>
      <c r="B8973" t="s">
        <v>707</v>
      </c>
      <c r="C8973" t="s">
        <v>82</v>
      </c>
      <c r="D8973" s="226">
        <v>0</v>
      </c>
      <c r="E8973" t="s">
        <v>708</v>
      </c>
    </row>
    <row r="8974" spans="1:5" hidden="1" x14ac:dyDescent="0.3">
      <c r="A8974" t="s">
        <v>552</v>
      </c>
      <c r="B8974" t="s">
        <v>707</v>
      </c>
      <c r="C8974" t="s">
        <v>84</v>
      </c>
      <c r="D8974" s="226">
        <v>0</v>
      </c>
      <c r="E8974" t="s">
        <v>708</v>
      </c>
    </row>
    <row r="8975" spans="1:5" hidden="1" x14ac:dyDescent="0.3">
      <c r="A8975" t="s">
        <v>552</v>
      </c>
      <c r="B8975" t="s">
        <v>707</v>
      </c>
      <c r="C8975" t="s">
        <v>85</v>
      </c>
      <c r="D8975" s="226">
        <v>0</v>
      </c>
      <c r="E8975" t="s">
        <v>708</v>
      </c>
    </row>
    <row r="8976" spans="1:5" hidden="1" x14ac:dyDescent="0.3">
      <c r="A8976" t="s">
        <v>552</v>
      </c>
      <c r="B8976" t="s">
        <v>707</v>
      </c>
      <c r="C8976" t="s">
        <v>86</v>
      </c>
      <c r="D8976" s="226">
        <v>0</v>
      </c>
      <c r="E8976" t="s">
        <v>708</v>
      </c>
    </row>
    <row r="8977" spans="1:5" hidden="1" x14ac:dyDescent="0.3">
      <c r="A8977" t="s">
        <v>552</v>
      </c>
      <c r="B8977" t="s">
        <v>707</v>
      </c>
      <c r="C8977" t="s">
        <v>87</v>
      </c>
      <c r="D8977" s="226">
        <v>0</v>
      </c>
      <c r="E8977" t="s">
        <v>708</v>
      </c>
    </row>
    <row r="8978" spans="1:5" hidden="1" x14ac:dyDescent="0.3">
      <c r="A8978" t="s">
        <v>552</v>
      </c>
      <c r="B8978" t="s">
        <v>707</v>
      </c>
      <c r="C8978" t="s">
        <v>88</v>
      </c>
      <c r="D8978" s="226">
        <v>0</v>
      </c>
      <c r="E8978" t="s">
        <v>708</v>
      </c>
    </row>
    <row r="8979" spans="1:5" hidden="1" x14ac:dyDescent="0.3">
      <c r="A8979" t="s">
        <v>552</v>
      </c>
      <c r="B8979" t="s">
        <v>707</v>
      </c>
      <c r="C8979" t="s">
        <v>89</v>
      </c>
      <c r="D8979" s="226">
        <v>0</v>
      </c>
      <c r="E8979" t="s">
        <v>708</v>
      </c>
    </row>
    <row r="8980" spans="1:5" hidden="1" x14ac:dyDescent="0.3">
      <c r="A8980" t="s">
        <v>552</v>
      </c>
      <c r="B8980" t="s">
        <v>707</v>
      </c>
      <c r="C8980" t="s">
        <v>90</v>
      </c>
      <c r="D8980" s="226">
        <v>0</v>
      </c>
      <c r="E8980" t="s">
        <v>708</v>
      </c>
    </row>
    <row r="8981" spans="1:5" hidden="1" x14ac:dyDescent="0.3">
      <c r="A8981" t="s">
        <v>552</v>
      </c>
      <c r="B8981" t="s">
        <v>707</v>
      </c>
      <c r="C8981" t="s">
        <v>91</v>
      </c>
      <c r="D8981" s="226">
        <v>0</v>
      </c>
      <c r="E8981" t="s">
        <v>708</v>
      </c>
    </row>
    <row r="8982" spans="1:5" hidden="1" x14ac:dyDescent="0.3">
      <c r="A8982" t="s">
        <v>552</v>
      </c>
      <c r="B8982" t="s">
        <v>707</v>
      </c>
      <c r="C8982" t="s">
        <v>93</v>
      </c>
      <c r="D8982" s="226">
        <v>0</v>
      </c>
      <c r="E8982" t="s">
        <v>708</v>
      </c>
    </row>
    <row r="8983" spans="1:5" hidden="1" x14ac:dyDescent="0.3">
      <c r="A8983" t="s">
        <v>552</v>
      </c>
      <c r="B8983" t="s">
        <v>707</v>
      </c>
      <c r="C8983" t="s">
        <v>95</v>
      </c>
      <c r="D8983" s="226">
        <v>0</v>
      </c>
      <c r="E8983" t="s">
        <v>708</v>
      </c>
    </row>
    <row r="8984" spans="1:5" hidden="1" x14ac:dyDescent="0.3">
      <c r="A8984" t="s">
        <v>552</v>
      </c>
      <c r="B8984" t="s">
        <v>707</v>
      </c>
      <c r="C8984" t="s">
        <v>96</v>
      </c>
      <c r="D8984" s="226">
        <v>0</v>
      </c>
      <c r="E8984" t="s">
        <v>708</v>
      </c>
    </row>
    <row r="8985" spans="1:5" hidden="1" x14ac:dyDescent="0.3">
      <c r="A8985" t="s">
        <v>552</v>
      </c>
      <c r="B8985" t="s">
        <v>707</v>
      </c>
      <c r="C8985" t="s">
        <v>98</v>
      </c>
      <c r="D8985" s="226">
        <v>0</v>
      </c>
      <c r="E8985" t="s">
        <v>708</v>
      </c>
    </row>
    <row r="8986" spans="1:5" hidden="1" x14ac:dyDescent="0.3">
      <c r="A8986" t="s">
        <v>552</v>
      </c>
      <c r="B8986" t="s">
        <v>707</v>
      </c>
      <c r="C8986" t="s">
        <v>100</v>
      </c>
      <c r="D8986" s="226">
        <v>0</v>
      </c>
      <c r="E8986" t="s">
        <v>708</v>
      </c>
    </row>
    <row r="8987" spans="1:5" hidden="1" x14ac:dyDescent="0.3">
      <c r="A8987" t="s">
        <v>552</v>
      </c>
      <c r="B8987" t="s">
        <v>707</v>
      </c>
      <c r="C8987" t="s">
        <v>101</v>
      </c>
      <c r="D8987" s="226">
        <v>-2331.79</v>
      </c>
      <c r="E8987" t="s">
        <v>708</v>
      </c>
    </row>
    <row r="8988" spans="1:5" hidden="1" x14ac:dyDescent="0.3">
      <c r="A8988" t="s">
        <v>552</v>
      </c>
      <c r="B8988" t="s">
        <v>707</v>
      </c>
      <c r="C8988" t="s">
        <v>102</v>
      </c>
      <c r="D8988" s="226">
        <v>-1203.79</v>
      </c>
      <c r="E8988" t="s">
        <v>708</v>
      </c>
    </row>
    <row r="8989" spans="1:5" hidden="1" x14ac:dyDescent="0.3">
      <c r="A8989" t="s">
        <v>552</v>
      </c>
      <c r="B8989" t="s">
        <v>707</v>
      </c>
      <c r="C8989" t="s">
        <v>103</v>
      </c>
      <c r="D8989" s="226">
        <v>-1128</v>
      </c>
      <c r="E8989" t="s">
        <v>708</v>
      </c>
    </row>
    <row r="8990" spans="1:5" hidden="1" x14ac:dyDescent="0.3">
      <c r="A8990" t="s">
        <v>552</v>
      </c>
      <c r="B8990" t="s">
        <v>707</v>
      </c>
      <c r="C8990" t="s">
        <v>104</v>
      </c>
      <c r="D8990" s="226">
        <v>0</v>
      </c>
      <c r="E8990" t="s">
        <v>708</v>
      </c>
    </row>
    <row r="8991" spans="1:5" hidden="1" x14ac:dyDescent="0.3">
      <c r="A8991" t="s">
        <v>552</v>
      </c>
      <c r="B8991" t="s">
        <v>707</v>
      </c>
      <c r="C8991" t="s">
        <v>105</v>
      </c>
      <c r="D8991" s="226">
        <v>0</v>
      </c>
      <c r="E8991" t="s">
        <v>708</v>
      </c>
    </row>
    <row r="8992" spans="1:5" hidden="1" x14ac:dyDescent="0.3">
      <c r="A8992" t="s">
        <v>552</v>
      </c>
      <c r="B8992" t="s">
        <v>707</v>
      </c>
      <c r="C8992" t="s">
        <v>107</v>
      </c>
      <c r="D8992" s="226">
        <v>0</v>
      </c>
      <c r="E8992" t="s">
        <v>708</v>
      </c>
    </row>
    <row r="8993" spans="1:5" hidden="1" x14ac:dyDescent="0.3">
      <c r="A8993" t="s">
        <v>552</v>
      </c>
      <c r="B8993" t="s">
        <v>707</v>
      </c>
      <c r="C8993" t="s">
        <v>108</v>
      </c>
      <c r="D8993" s="226">
        <v>0</v>
      </c>
      <c r="E8993" t="s">
        <v>708</v>
      </c>
    </row>
    <row r="8994" spans="1:5" hidden="1" x14ac:dyDescent="0.3">
      <c r="A8994" t="s">
        <v>552</v>
      </c>
      <c r="B8994" t="s">
        <v>707</v>
      </c>
      <c r="C8994" t="s">
        <v>109</v>
      </c>
      <c r="D8994" s="226">
        <v>0</v>
      </c>
      <c r="E8994" t="s">
        <v>708</v>
      </c>
    </row>
    <row r="8995" spans="1:5" hidden="1" x14ac:dyDescent="0.3">
      <c r="A8995" t="s">
        <v>552</v>
      </c>
      <c r="B8995" t="s">
        <v>707</v>
      </c>
      <c r="C8995" t="s">
        <v>110</v>
      </c>
      <c r="D8995" s="226">
        <v>-0.2</v>
      </c>
      <c r="E8995" t="s">
        <v>708</v>
      </c>
    </row>
    <row r="8996" spans="1:5" hidden="1" x14ac:dyDescent="0.3">
      <c r="A8996" t="s">
        <v>552</v>
      </c>
      <c r="B8996" t="s">
        <v>707</v>
      </c>
      <c r="C8996" t="s">
        <v>44</v>
      </c>
      <c r="D8996" s="226">
        <v>0</v>
      </c>
      <c r="E8996" t="s">
        <v>708</v>
      </c>
    </row>
    <row r="8997" spans="1:5" hidden="1" x14ac:dyDescent="0.3">
      <c r="A8997" t="s">
        <v>552</v>
      </c>
      <c r="B8997" t="s">
        <v>707</v>
      </c>
      <c r="C8997" t="s">
        <v>111</v>
      </c>
      <c r="D8997" s="226">
        <v>-106400</v>
      </c>
      <c r="E8997" t="s">
        <v>708</v>
      </c>
    </row>
    <row r="8998" spans="1:5" hidden="1" x14ac:dyDescent="0.3">
      <c r="A8998" t="s">
        <v>552</v>
      </c>
      <c r="B8998" t="s">
        <v>707</v>
      </c>
      <c r="C8998" t="s">
        <v>555</v>
      </c>
      <c r="D8998" s="226">
        <v>-106400</v>
      </c>
      <c r="E8998" t="s">
        <v>708</v>
      </c>
    </row>
    <row r="8999" spans="1:5" hidden="1" x14ac:dyDescent="0.3">
      <c r="A8999" t="s">
        <v>552</v>
      </c>
      <c r="B8999" t="s">
        <v>707</v>
      </c>
      <c r="C8999" t="s">
        <v>44</v>
      </c>
      <c r="D8999" s="226">
        <v>-0.06</v>
      </c>
      <c r="E8999" t="s">
        <v>708</v>
      </c>
    </row>
    <row r="9000" spans="1:5" hidden="1" x14ac:dyDescent="0.3">
      <c r="A9000" t="s">
        <v>552</v>
      </c>
      <c r="B9000" t="s">
        <v>707</v>
      </c>
      <c r="C9000" t="s">
        <v>115</v>
      </c>
      <c r="D9000" s="226">
        <v>-65471.29</v>
      </c>
      <c r="E9000" t="s">
        <v>708</v>
      </c>
    </row>
    <row r="9001" spans="1:5" hidden="1" x14ac:dyDescent="0.3">
      <c r="A9001" t="s">
        <v>552</v>
      </c>
      <c r="B9001" t="s">
        <v>707</v>
      </c>
      <c r="C9001" t="s">
        <v>116</v>
      </c>
      <c r="D9001" s="226">
        <v>-39269.9</v>
      </c>
      <c r="E9001" t="s">
        <v>708</v>
      </c>
    </row>
    <row r="9002" spans="1:5" hidden="1" x14ac:dyDescent="0.3">
      <c r="A9002" t="s">
        <v>552</v>
      </c>
      <c r="B9002" t="s">
        <v>707</v>
      </c>
      <c r="C9002" t="s">
        <v>118</v>
      </c>
      <c r="D9002" s="226">
        <v>-26201.39</v>
      </c>
      <c r="E9002" t="s">
        <v>708</v>
      </c>
    </row>
    <row r="9003" spans="1:5" hidden="1" x14ac:dyDescent="0.3">
      <c r="A9003" t="s">
        <v>552</v>
      </c>
      <c r="B9003" t="s">
        <v>707</v>
      </c>
      <c r="C9003" t="s">
        <v>120</v>
      </c>
      <c r="D9003" s="226">
        <v>0</v>
      </c>
      <c r="E9003" t="s">
        <v>708</v>
      </c>
    </row>
    <row r="9004" spans="1:5" hidden="1" x14ac:dyDescent="0.3">
      <c r="A9004" t="s">
        <v>552</v>
      </c>
      <c r="B9004" t="s">
        <v>707</v>
      </c>
      <c r="C9004" t="s">
        <v>122</v>
      </c>
      <c r="D9004" s="226">
        <v>0</v>
      </c>
      <c r="E9004" t="s">
        <v>708</v>
      </c>
    </row>
    <row r="9005" spans="1:5" hidden="1" x14ac:dyDescent="0.3">
      <c r="A9005" t="s">
        <v>552</v>
      </c>
      <c r="B9005" t="s">
        <v>707</v>
      </c>
      <c r="C9005" t="s">
        <v>44</v>
      </c>
      <c r="D9005" s="226">
        <v>-0.04</v>
      </c>
      <c r="E9005" t="s">
        <v>708</v>
      </c>
    </row>
    <row r="9006" spans="1:5" hidden="1" x14ac:dyDescent="0.3">
      <c r="A9006" t="s">
        <v>552</v>
      </c>
      <c r="B9006" t="s">
        <v>707</v>
      </c>
      <c r="C9006" t="s">
        <v>125</v>
      </c>
      <c r="D9006" s="226">
        <v>1092528.31</v>
      </c>
      <c r="E9006" t="s">
        <v>708</v>
      </c>
    </row>
    <row r="9007" spans="1:5" hidden="1" x14ac:dyDescent="0.3">
      <c r="A9007" t="s">
        <v>552</v>
      </c>
      <c r="B9007" t="s">
        <v>707</v>
      </c>
      <c r="C9007" t="s">
        <v>126</v>
      </c>
      <c r="D9007" s="226">
        <v>0.59</v>
      </c>
      <c r="E9007" t="s">
        <v>708</v>
      </c>
    </row>
    <row r="9008" spans="1:5" hidden="1" x14ac:dyDescent="0.3">
      <c r="A9008" t="s">
        <v>552</v>
      </c>
      <c r="B9008" t="s">
        <v>707</v>
      </c>
      <c r="C9008" t="s">
        <v>127</v>
      </c>
      <c r="D9008" s="226">
        <v>-361617.47</v>
      </c>
      <c r="E9008" t="s">
        <v>708</v>
      </c>
    </row>
    <row r="9009" spans="1:5" hidden="1" x14ac:dyDescent="0.3">
      <c r="A9009" t="s">
        <v>552</v>
      </c>
      <c r="B9009" t="s">
        <v>707</v>
      </c>
      <c r="C9009" t="s">
        <v>128</v>
      </c>
      <c r="D9009" s="226">
        <v>-46406</v>
      </c>
      <c r="E9009" t="s">
        <v>708</v>
      </c>
    </row>
    <row r="9010" spans="1:5" hidden="1" x14ac:dyDescent="0.3">
      <c r="A9010" t="s">
        <v>552</v>
      </c>
      <c r="B9010" t="s">
        <v>707</v>
      </c>
      <c r="C9010" t="s">
        <v>556</v>
      </c>
      <c r="D9010" s="226">
        <v>-10906</v>
      </c>
      <c r="E9010" t="s">
        <v>708</v>
      </c>
    </row>
    <row r="9011" spans="1:5" hidden="1" x14ac:dyDescent="0.3">
      <c r="A9011" t="s">
        <v>552</v>
      </c>
      <c r="B9011" t="s">
        <v>707</v>
      </c>
      <c r="C9011" t="s">
        <v>557</v>
      </c>
      <c r="D9011" s="226">
        <v>-6600</v>
      </c>
      <c r="E9011" t="s">
        <v>708</v>
      </c>
    </row>
    <row r="9012" spans="1:5" hidden="1" x14ac:dyDescent="0.3">
      <c r="A9012" t="s">
        <v>552</v>
      </c>
      <c r="B9012" t="s">
        <v>707</v>
      </c>
      <c r="C9012" t="s">
        <v>558</v>
      </c>
      <c r="D9012" s="226">
        <v>0</v>
      </c>
      <c r="E9012" t="s">
        <v>708</v>
      </c>
    </row>
    <row r="9013" spans="1:5" hidden="1" x14ac:dyDescent="0.3">
      <c r="A9013" t="s">
        <v>552</v>
      </c>
      <c r="B9013" t="s">
        <v>707</v>
      </c>
      <c r="C9013" t="s">
        <v>559</v>
      </c>
      <c r="D9013" s="226">
        <v>-12600</v>
      </c>
      <c r="E9013" t="s">
        <v>708</v>
      </c>
    </row>
    <row r="9014" spans="1:5" hidden="1" x14ac:dyDescent="0.3">
      <c r="A9014" t="s">
        <v>552</v>
      </c>
      <c r="B9014" t="s">
        <v>707</v>
      </c>
      <c r="C9014" t="s">
        <v>560</v>
      </c>
      <c r="D9014" s="226">
        <v>-3100</v>
      </c>
      <c r="E9014" t="s">
        <v>708</v>
      </c>
    </row>
    <row r="9015" spans="1:5" hidden="1" x14ac:dyDescent="0.3">
      <c r="A9015" t="s">
        <v>552</v>
      </c>
      <c r="B9015" t="s">
        <v>707</v>
      </c>
      <c r="C9015" t="s">
        <v>561</v>
      </c>
      <c r="D9015" s="226">
        <v>-5000</v>
      </c>
      <c r="E9015" t="s">
        <v>708</v>
      </c>
    </row>
    <row r="9016" spans="1:5" hidden="1" x14ac:dyDescent="0.3">
      <c r="A9016" t="s">
        <v>552</v>
      </c>
      <c r="B9016" t="s">
        <v>707</v>
      </c>
      <c r="C9016" t="s">
        <v>562</v>
      </c>
      <c r="D9016" s="226">
        <v>-4000</v>
      </c>
      <c r="E9016" t="s">
        <v>708</v>
      </c>
    </row>
    <row r="9017" spans="1:5" hidden="1" x14ac:dyDescent="0.3">
      <c r="A9017" t="s">
        <v>552</v>
      </c>
      <c r="B9017" t="s">
        <v>707</v>
      </c>
      <c r="C9017" t="s">
        <v>563</v>
      </c>
      <c r="D9017" s="226">
        <v>-4200</v>
      </c>
      <c r="E9017" t="s">
        <v>708</v>
      </c>
    </row>
    <row r="9018" spans="1:5" hidden="1" x14ac:dyDescent="0.3">
      <c r="A9018" t="s">
        <v>552</v>
      </c>
      <c r="B9018" t="s">
        <v>707</v>
      </c>
      <c r="C9018" t="s">
        <v>564</v>
      </c>
      <c r="D9018" s="226">
        <v>0</v>
      </c>
      <c r="E9018" t="s">
        <v>708</v>
      </c>
    </row>
    <row r="9019" spans="1:5" hidden="1" x14ac:dyDescent="0.3">
      <c r="A9019" t="s">
        <v>552</v>
      </c>
      <c r="B9019" t="s">
        <v>707</v>
      </c>
      <c r="C9019" t="s">
        <v>565</v>
      </c>
      <c r="D9019" s="226">
        <v>0</v>
      </c>
      <c r="E9019" t="s">
        <v>708</v>
      </c>
    </row>
    <row r="9020" spans="1:5" hidden="1" x14ac:dyDescent="0.3">
      <c r="A9020" t="s">
        <v>552</v>
      </c>
      <c r="B9020" t="s">
        <v>707</v>
      </c>
      <c r="C9020" t="s">
        <v>566</v>
      </c>
      <c r="D9020" s="226">
        <v>0</v>
      </c>
      <c r="E9020" t="s">
        <v>708</v>
      </c>
    </row>
    <row r="9021" spans="1:5" hidden="1" x14ac:dyDescent="0.3">
      <c r="A9021" t="s">
        <v>552</v>
      </c>
      <c r="B9021" t="s">
        <v>707</v>
      </c>
      <c r="C9021" t="s">
        <v>567</v>
      </c>
      <c r="D9021" s="226">
        <v>0</v>
      </c>
      <c r="E9021" t="s">
        <v>708</v>
      </c>
    </row>
    <row r="9022" spans="1:5" hidden="1" x14ac:dyDescent="0.3">
      <c r="A9022" t="s">
        <v>552</v>
      </c>
      <c r="B9022" t="s">
        <v>707</v>
      </c>
      <c r="C9022" t="s">
        <v>141</v>
      </c>
      <c r="D9022" s="226">
        <v>-46508.66</v>
      </c>
      <c r="E9022" t="s">
        <v>708</v>
      </c>
    </row>
    <row r="9023" spans="1:5" hidden="1" x14ac:dyDescent="0.3">
      <c r="A9023" t="s">
        <v>552</v>
      </c>
      <c r="B9023" t="s">
        <v>707</v>
      </c>
      <c r="C9023" t="s">
        <v>568</v>
      </c>
      <c r="D9023" s="226">
        <v>0</v>
      </c>
      <c r="E9023" t="s">
        <v>708</v>
      </c>
    </row>
    <row r="9024" spans="1:5" hidden="1" x14ac:dyDescent="0.3">
      <c r="A9024" t="s">
        <v>552</v>
      </c>
      <c r="B9024" t="s">
        <v>707</v>
      </c>
      <c r="C9024" t="s">
        <v>569</v>
      </c>
      <c r="D9024" s="226">
        <v>0</v>
      </c>
      <c r="E9024" t="s">
        <v>708</v>
      </c>
    </row>
    <row r="9025" spans="1:5" hidden="1" x14ac:dyDescent="0.3">
      <c r="A9025" t="s">
        <v>552</v>
      </c>
      <c r="B9025" t="s">
        <v>707</v>
      </c>
      <c r="C9025" t="s">
        <v>570</v>
      </c>
      <c r="D9025" s="226">
        <v>0</v>
      </c>
      <c r="E9025" t="s">
        <v>708</v>
      </c>
    </row>
    <row r="9026" spans="1:5" hidden="1" x14ac:dyDescent="0.3">
      <c r="A9026" t="s">
        <v>552</v>
      </c>
      <c r="B9026" t="s">
        <v>707</v>
      </c>
      <c r="C9026" t="s">
        <v>571</v>
      </c>
      <c r="D9026" s="226">
        <v>0</v>
      </c>
      <c r="E9026" t="s">
        <v>708</v>
      </c>
    </row>
    <row r="9027" spans="1:5" hidden="1" x14ac:dyDescent="0.3">
      <c r="A9027" t="s">
        <v>552</v>
      </c>
      <c r="B9027" t="s">
        <v>707</v>
      </c>
      <c r="C9027" t="s">
        <v>572</v>
      </c>
      <c r="D9027" s="226">
        <v>0</v>
      </c>
      <c r="E9027" t="s">
        <v>708</v>
      </c>
    </row>
    <row r="9028" spans="1:5" hidden="1" x14ac:dyDescent="0.3">
      <c r="A9028" t="s">
        <v>552</v>
      </c>
      <c r="B9028" t="s">
        <v>707</v>
      </c>
      <c r="C9028" t="s">
        <v>573</v>
      </c>
      <c r="D9028" s="226">
        <v>0</v>
      </c>
      <c r="E9028" t="s">
        <v>708</v>
      </c>
    </row>
    <row r="9029" spans="1:5" hidden="1" x14ac:dyDescent="0.3">
      <c r="A9029" t="s">
        <v>552</v>
      </c>
      <c r="B9029" t="s">
        <v>707</v>
      </c>
      <c r="C9029" t="s">
        <v>574</v>
      </c>
      <c r="D9029" s="226">
        <v>0</v>
      </c>
      <c r="E9029" t="s">
        <v>708</v>
      </c>
    </row>
    <row r="9030" spans="1:5" hidden="1" x14ac:dyDescent="0.3">
      <c r="A9030" t="s">
        <v>552</v>
      </c>
      <c r="B9030" t="s">
        <v>707</v>
      </c>
      <c r="C9030" t="s">
        <v>575</v>
      </c>
      <c r="D9030" s="226">
        <v>0</v>
      </c>
      <c r="E9030" t="s">
        <v>708</v>
      </c>
    </row>
    <row r="9031" spans="1:5" hidden="1" x14ac:dyDescent="0.3">
      <c r="A9031" t="s">
        <v>552</v>
      </c>
      <c r="B9031" t="s">
        <v>707</v>
      </c>
      <c r="C9031" t="s">
        <v>576</v>
      </c>
      <c r="D9031" s="226">
        <v>0</v>
      </c>
      <c r="E9031" t="s">
        <v>708</v>
      </c>
    </row>
    <row r="9032" spans="1:5" hidden="1" x14ac:dyDescent="0.3">
      <c r="A9032" t="s">
        <v>552</v>
      </c>
      <c r="B9032" t="s">
        <v>707</v>
      </c>
      <c r="C9032" t="s">
        <v>577</v>
      </c>
      <c r="D9032" s="226">
        <v>0</v>
      </c>
      <c r="E9032" t="s">
        <v>708</v>
      </c>
    </row>
    <row r="9033" spans="1:5" hidden="1" x14ac:dyDescent="0.3">
      <c r="A9033" t="s">
        <v>552</v>
      </c>
      <c r="B9033" t="s">
        <v>707</v>
      </c>
      <c r="C9033" t="s">
        <v>578</v>
      </c>
      <c r="D9033" s="226">
        <v>0</v>
      </c>
      <c r="E9033" t="s">
        <v>708</v>
      </c>
    </row>
    <row r="9034" spans="1:5" hidden="1" x14ac:dyDescent="0.3">
      <c r="A9034" t="s">
        <v>552</v>
      </c>
      <c r="B9034" t="s">
        <v>707</v>
      </c>
      <c r="C9034" t="s">
        <v>579</v>
      </c>
      <c r="D9034" s="226">
        <v>0</v>
      </c>
      <c r="E9034" t="s">
        <v>708</v>
      </c>
    </row>
    <row r="9035" spans="1:5" hidden="1" x14ac:dyDescent="0.3">
      <c r="A9035" t="s">
        <v>552</v>
      </c>
      <c r="B9035" t="s">
        <v>707</v>
      </c>
      <c r="C9035" t="s">
        <v>580</v>
      </c>
      <c r="D9035" s="226">
        <v>0</v>
      </c>
      <c r="E9035" t="s">
        <v>708</v>
      </c>
    </row>
    <row r="9036" spans="1:5" hidden="1" x14ac:dyDescent="0.3">
      <c r="A9036" t="s">
        <v>552</v>
      </c>
      <c r="B9036" t="s">
        <v>707</v>
      </c>
      <c r="C9036" t="s">
        <v>581</v>
      </c>
      <c r="D9036" s="226">
        <v>0</v>
      </c>
      <c r="E9036" t="s">
        <v>708</v>
      </c>
    </row>
    <row r="9037" spans="1:5" hidden="1" x14ac:dyDescent="0.3">
      <c r="A9037" t="s">
        <v>552</v>
      </c>
      <c r="B9037" t="s">
        <v>707</v>
      </c>
      <c r="C9037" t="s">
        <v>582</v>
      </c>
      <c r="D9037" s="226">
        <v>0</v>
      </c>
      <c r="E9037" t="s">
        <v>708</v>
      </c>
    </row>
    <row r="9038" spans="1:5" hidden="1" x14ac:dyDescent="0.3">
      <c r="A9038" t="s">
        <v>552</v>
      </c>
      <c r="B9038" t="s">
        <v>707</v>
      </c>
      <c r="C9038" t="s">
        <v>583</v>
      </c>
      <c r="D9038" s="226">
        <v>0</v>
      </c>
      <c r="E9038" t="s">
        <v>708</v>
      </c>
    </row>
    <row r="9039" spans="1:5" hidden="1" x14ac:dyDescent="0.3">
      <c r="A9039" t="s">
        <v>552</v>
      </c>
      <c r="B9039" t="s">
        <v>707</v>
      </c>
      <c r="C9039" t="s">
        <v>584</v>
      </c>
      <c r="D9039" s="226">
        <v>0</v>
      </c>
      <c r="E9039" t="s">
        <v>708</v>
      </c>
    </row>
    <row r="9040" spans="1:5" hidden="1" x14ac:dyDescent="0.3">
      <c r="A9040" t="s">
        <v>552</v>
      </c>
      <c r="B9040" t="s">
        <v>707</v>
      </c>
      <c r="C9040" t="s">
        <v>585</v>
      </c>
      <c r="D9040" s="226">
        <v>0</v>
      </c>
      <c r="E9040" t="s">
        <v>708</v>
      </c>
    </row>
    <row r="9041" spans="1:5" hidden="1" x14ac:dyDescent="0.3">
      <c r="A9041" t="s">
        <v>552</v>
      </c>
      <c r="B9041" t="s">
        <v>707</v>
      </c>
      <c r="C9041" t="s">
        <v>586</v>
      </c>
      <c r="D9041" s="226">
        <v>0</v>
      </c>
      <c r="E9041" t="s">
        <v>708</v>
      </c>
    </row>
    <row r="9042" spans="1:5" hidden="1" x14ac:dyDescent="0.3">
      <c r="A9042" t="s">
        <v>552</v>
      </c>
      <c r="B9042" t="s">
        <v>707</v>
      </c>
      <c r="C9042" t="s">
        <v>587</v>
      </c>
      <c r="D9042" s="226">
        <v>0</v>
      </c>
      <c r="E9042" t="s">
        <v>708</v>
      </c>
    </row>
    <row r="9043" spans="1:5" hidden="1" x14ac:dyDescent="0.3">
      <c r="A9043" t="s">
        <v>552</v>
      </c>
      <c r="B9043" t="s">
        <v>707</v>
      </c>
      <c r="C9043" t="s">
        <v>588</v>
      </c>
      <c r="D9043" s="226">
        <v>0</v>
      </c>
      <c r="E9043" t="s">
        <v>708</v>
      </c>
    </row>
    <row r="9044" spans="1:5" hidden="1" x14ac:dyDescent="0.3">
      <c r="A9044" t="s">
        <v>552</v>
      </c>
      <c r="B9044" t="s">
        <v>707</v>
      </c>
      <c r="C9044" t="s">
        <v>589</v>
      </c>
      <c r="D9044" s="226">
        <v>0</v>
      </c>
      <c r="E9044" t="s">
        <v>708</v>
      </c>
    </row>
    <row r="9045" spans="1:5" hidden="1" x14ac:dyDescent="0.3">
      <c r="A9045" t="s">
        <v>552</v>
      </c>
      <c r="B9045" t="s">
        <v>707</v>
      </c>
      <c r="C9045" t="s">
        <v>590</v>
      </c>
      <c r="D9045" s="226">
        <v>0</v>
      </c>
      <c r="E9045" t="s">
        <v>708</v>
      </c>
    </row>
    <row r="9046" spans="1:5" hidden="1" x14ac:dyDescent="0.3">
      <c r="A9046" t="s">
        <v>552</v>
      </c>
      <c r="B9046" t="s">
        <v>707</v>
      </c>
      <c r="C9046" t="s">
        <v>591</v>
      </c>
      <c r="D9046" s="226">
        <v>0</v>
      </c>
      <c r="E9046" t="s">
        <v>708</v>
      </c>
    </row>
    <row r="9047" spans="1:5" hidden="1" x14ac:dyDescent="0.3">
      <c r="A9047" t="s">
        <v>552</v>
      </c>
      <c r="B9047" t="s">
        <v>707</v>
      </c>
      <c r="C9047" t="s">
        <v>592</v>
      </c>
      <c r="D9047" s="226">
        <v>0</v>
      </c>
      <c r="E9047" t="s">
        <v>708</v>
      </c>
    </row>
    <row r="9048" spans="1:5" hidden="1" x14ac:dyDescent="0.3">
      <c r="A9048" t="s">
        <v>552</v>
      </c>
      <c r="B9048" t="s">
        <v>707</v>
      </c>
      <c r="C9048" t="s">
        <v>593</v>
      </c>
      <c r="D9048" s="226">
        <v>0</v>
      </c>
      <c r="E9048" t="s">
        <v>708</v>
      </c>
    </row>
    <row r="9049" spans="1:5" hidden="1" x14ac:dyDescent="0.3">
      <c r="A9049" t="s">
        <v>552</v>
      </c>
      <c r="B9049" t="s">
        <v>707</v>
      </c>
      <c r="C9049" t="s">
        <v>594</v>
      </c>
      <c r="D9049" s="226">
        <v>0</v>
      </c>
      <c r="E9049" t="s">
        <v>708</v>
      </c>
    </row>
    <row r="9050" spans="1:5" hidden="1" x14ac:dyDescent="0.3">
      <c r="A9050" t="s">
        <v>552</v>
      </c>
      <c r="B9050" t="s">
        <v>707</v>
      </c>
      <c r="C9050" t="s">
        <v>595</v>
      </c>
      <c r="D9050" s="226">
        <v>0</v>
      </c>
      <c r="E9050" t="s">
        <v>708</v>
      </c>
    </row>
    <row r="9051" spans="1:5" hidden="1" x14ac:dyDescent="0.3">
      <c r="A9051" t="s">
        <v>552</v>
      </c>
      <c r="B9051" t="s">
        <v>707</v>
      </c>
      <c r="C9051" t="s">
        <v>596</v>
      </c>
      <c r="D9051" s="226">
        <v>0</v>
      </c>
      <c r="E9051" t="s">
        <v>708</v>
      </c>
    </row>
    <row r="9052" spans="1:5" hidden="1" x14ac:dyDescent="0.3">
      <c r="A9052" t="s">
        <v>552</v>
      </c>
      <c r="B9052" t="s">
        <v>707</v>
      </c>
      <c r="C9052" t="s">
        <v>597</v>
      </c>
      <c r="D9052" s="226">
        <v>0</v>
      </c>
      <c r="E9052" t="s">
        <v>708</v>
      </c>
    </row>
    <row r="9053" spans="1:5" hidden="1" x14ac:dyDescent="0.3">
      <c r="A9053" t="s">
        <v>552</v>
      </c>
      <c r="B9053" t="s">
        <v>707</v>
      </c>
      <c r="C9053" t="s">
        <v>598</v>
      </c>
      <c r="D9053" s="226">
        <v>0</v>
      </c>
      <c r="E9053" t="s">
        <v>708</v>
      </c>
    </row>
    <row r="9054" spans="1:5" hidden="1" x14ac:dyDescent="0.3">
      <c r="A9054" t="s">
        <v>552</v>
      </c>
      <c r="B9054" t="s">
        <v>707</v>
      </c>
      <c r="C9054" t="s">
        <v>599</v>
      </c>
      <c r="D9054" s="226">
        <v>0</v>
      </c>
      <c r="E9054" t="s">
        <v>708</v>
      </c>
    </row>
    <row r="9055" spans="1:5" hidden="1" x14ac:dyDescent="0.3">
      <c r="A9055" t="s">
        <v>552</v>
      </c>
      <c r="B9055" t="s">
        <v>707</v>
      </c>
      <c r="C9055" t="s">
        <v>600</v>
      </c>
      <c r="D9055" s="226">
        <v>0</v>
      </c>
      <c r="E9055" t="s">
        <v>708</v>
      </c>
    </row>
    <row r="9056" spans="1:5" hidden="1" x14ac:dyDescent="0.3">
      <c r="A9056" t="s">
        <v>552</v>
      </c>
      <c r="B9056" t="s">
        <v>707</v>
      </c>
      <c r="C9056" t="s">
        <v>601</v>
      </c>
      <c r="D9056" s="226">
        <v>0</v>
      </c>
      <c r="E9056" t="s">
        <v>708</v>
      </c>
    </row>
    <row r="9057" spans="1:5" hidden="1" x14ac:dyDescent="0.3">
      <c r="A9057" t="s">
        <v>552</v>
      </c>
      <c r="B9057" t="s">
        <v>707</v>
      </c>
      <c r="C9057" t="s">
        <v>602</v>
      </c>
      <c r="D9057" s="226">
        <v>0</v>
      </c>
      <c r="E9057" t="s">
        <v>708</v>
      </c>
    </row>
    <row r="9058" spans="1:5" hidden="1" x14ac:dyDescent="0.3">
      <c r="A9058" t="s">
        <v>552</v>
      </c>
      <c r="B9058" t="s">
        <v>707</v>
      </c>
      <c r="C9058" t="s">
        <v>603</v>
      </c>
      <c r="D9058" s="226">
        <v>0</v>
      </c>
      <c r="E9058" t="s">
        <v>708</v>
      </c>
    </row>
    <row r="9059" spans="1:5" hidden="1" x14ac:dyDescent="0.3">
      <c r="A9059" t="s">
        <v>552</v>
      </c>
      <c r="B9059" t="s">
        <v>707</v>
      </c>
      <c r="C9059" t="s">
        <v>604</v>
      </c>
      <c r="D9059" s="226">
        <v>0</v>
      </c>
      <c r="E9059" t="s">
        <v>708</v>
      </c>
    </row>
    <row r="9060" spans="1:5" hidden="1" x14ac:dyDescent="0.3">
      <c r="A9060" t="s">
        <v>552</v>
      </c>
      <c r="B9060" t="s">
        <v>707</v>
      </c>
      <c r="C9060" t="s">
        <v>605</v>
      </c>
      <c r="D9060" s="226">
        <v>0</v>
      </c>
      <c r="E9060" t="s">
        <v>708</v>
      </c>
    </row>
    <row r="9061" spans="1:5" hidden="1" x14ac:dyDescent="0.3">
      <c r="A9061" t="s">
        <v>552</v>
      </c>
      <c r="B9061" t="s">
        <v>707</v>
      </c>
      <c r="C9061" t="s">
        <v>606</v>
      </c>
      <c r="D9061" s="226">
        <v>0</v>
      </c>
      <c r="E9061" t="s">
        <v>708</v>
      </c>
    </row>
    <row r="9062" spans="1:5" hidden="1" x14ac:dyDescent="0.3">
      <c r="A9062" t="s">
        <v>552</v>
      </c>
      <c r="B9062" t="s">
        <v>707</v>
      </c>
      <c r="C9062" t="s">
        <v>607</v>
      </c>
      <c r="D9062" s="226">
        <v>0</v>
      </c>
      <c r="E9062" t="s">
        <v>708</v>
      </c>
    </row>
    <row r="9063" spans="1:5" hidden="1" x14ac:dyDescent="0.3">
      <c r="A9063" t="s">
        <v>552</v>
      </c>
      <c r="B9063" t="s">
        <v>707</v>
      </c>
      <c r="C9063" t="s">
        <v>608</v>
      </c>
      <c r="D9063" s="226">
        <v>0</v>
      </c>
      <c r="E9063" t="s">
        <v>708</v>
      </c>
    </row>
    <row r="9064" spans="1:5" hidden="1" x14ac:dyDescent="0.3">
      <c r="A9064" t="s">
        <v>552</v>
      </c>
      <c r="B9064" t="s">
        <v>707</v>
      </c>
      <c r="C9064" t="s">
        <v>609</v>
      </c>
      <c r="D9064" s="226">
        <v>0</v>
      </c>
      <c r="E9064" t="s">
        <v>708</v>
      </c>
    </row>
    <row r="9065" spans="1:5" hidden="1" x14ac:dyDescent="0.3">
      <c r="A9065" t="s">
        <v>552</v>
      </c>
      <c r="B9065" t="s">
        <v>707</v>
      </c>
      <c r="C9065" t="s">
        <v>610</v>
      </c>
      <c r="D9065" s="226">
        <v>0</v>
      </c>
      <c r="E9065" t="s">
        <v>708</v>
      </c>
    </row>
    <row r="9066" spans="1:5" hidden="1" x14ac:dyDescent="0.3">
      <c r="A9066" t="s">
        <v>552</v>
      </c>
      <c r="B9066" t="s">
        <v>707</v>
      </c>
      <c r="C9066" t="s">
        <v>611</v>
      </c>
      <c r="D9066" s="226">
        <v>0</v>
      </c>
      <c r="E9066" t="s">
        <v>708</v>
      </c>
    </row>
    <row r="9067" spans="1:5" hidden="1" x14ac:dyDescent="0.3">
      <c r="A9067" t="s">
        <v>552</v>
      </c>
      <c r="B9067" t="s">
        <v>707</v>
      </c>
      <c r="C9067" t="s">
        <v>612</v>
      </c>
      <c r="D9067" s="226">
        <v>0</v>
      </c>
      <c r="E9067" t="s">
        <v>708</v>
      </c>
    </row>
    <row r="9068" spans="1:5" hidden="1" x14ac:dyDescent="0.3">
      <c r="A9068" t="s">
        <v>552</v>
      </c>
      <c r="B9068" t="s">
        <v>707</v>
      </c>
      <c r="C9068" t="s">
        <v>613</v>
      </c>
      <c r="D9068" s="226">
        <v>0</v>
      </c>
      <c r="E9068" t="s">
        <v>708</v>
      </c>
    </row>
    <row r="9069" spans="1:5" hidden="1" x14ac:dyDescent="0.3">
      <c r="A9069" t="s">
        <v>552</v>
      </c>
      <c r="B9069" t="s">
        <v>707</v>
      </c>
      <c r="C9069" t="s">
        <v>614</v>
      </c>
      <c r="D9069" s="226">
        <v>0</v>
      </c>
      <c r="E9069" t="s">
        <v>708</v>
      </c>
    </row>
    <row r="9070" spans="1:5" hidden="1" x14ac:dyDescent="0.3">
      <c r="A9070" t="s">
        <v>552</v>
      </c>
      <c r="B9070" t="s">
        <v>707</v>
      </c>
      <c r="C9070" t="s">
        <v>615</v>
      </c>
      <c r="D9070" s="226">
        <v>0</v>
      </c>
      <c r="E9070" t="s">
        <v>708</v>
      </c>
    </row>
    <row r="9071" spans="1:5" hidden="1" x14ac:dyDescent="0.3">
      <c r="A9071" t="s">
        <v>552</v>
      </c>
      <c r="B9071" t="s">
        <v>707</v>
      </c>
      <c r="C9071" t="s">
        <v>616</v>
      </c>
      <c r="D9071" s="226">
        <v>0</v>
      </c>
      <c r="E9071" t="s">
        <v>708</v>
      </c>
    </row>
    <row r="9072" spans="1:5" hidden="1" x14ac:dyDescent="0.3">
      <c r="A9072" t="s">
        <v>552</v>
      </c>
      <c r="B9072" t="s">
        <v>707</v>
      </c>
      <c r="C9072" t="s">
        <v>617</v>
      </c>
      <c r="D9072" s="226">
        <v>0</v>
      </c>
      <c r="E9072" t="s">
        <v>708</v>
      </c>
    </row>
    <row r="9073" spans="1:5" hidden="1" x14ac:dyDescent="0.3">
      <c r="A9073" t="s">
        <v>552</v>
      </c>
      <c r="B9073" t="s">
        <v>707</v>
      </c>
      <c r="C9073" t="s">
        <v>618</v>
      </c>
      <c r="D9073" s="226">
        <v>0</v>
      </c>
      <c r="E9073" t="s">
        <v>708</v>
      </c>
    </row>
    <row r="9074" spans="1:5" hidden="1" x14ac:dyDescent="0.3">
      <c r="A9074" t="s">
        <v>552</v>
      </c>
      <c r="B9074" t="s">
        <v>707</v>
      </c>
      <c r="C9074" t="s">
        <v>619</v>
      </c>
      <c r="D9074" s="226">
        <v>0</v>
      </c>
      <c r="E9074" t="s">
        <v>708</v>
      </c>
    </row>
    <row r="9075" spans="1:5" hidden="1" x14ac:dyDescent="0.3">
      <c r="A9075" t="s">
        <v>552</v>
      </c>
      <c r="B9075" t="s">
        <v>707</v>
      </c>
      <c r="C9075" t="s">
        <v>620</v>
      </c>
      <c r="D9075" s="226">
        <v>0</v>
      </c>
      <c r="E9075" t="s">
        <v>708</v>
      </c>
    </row>
    <row r="9076" spans="1:5" hidden="1" x14ac:dyDescent="0.3">
      <c r="A9076" t="s">
        <v>552</v>
      </c>
      <c r="B9076" t="s">
        <v>707</v>
      </c>
      <c r="C9076" t="s">
        <v>621</v>
      </c>
      <c r="D9076" s="226">
        <v>0</v>
      </c>
      <c r="E9076" t="s">
        <v>708</v>
      </c>
    </row>
    <row r="9077" spans="1:5" hidden="1" x14ac:dyDescent="0.3">
      <c r="A9077" t="s">
        <v>552</v>
      </c>
      <c r="B9077" t="s">
        <v>707</v>
      </c>
      <c r="C9077" t="s">
        <v>622</v>
      </c>
      <c r="D9077" s="226">
        <v>0</v>
      </c>
      <c r="E9077" t="s">
        <v>708</v>
      </c>
    </row>
    <row r="9078" spans="1:5" hidden="1" x14ac:dyDescent="0.3">
      <c r="A9078" t="s">
        <v>552</v>
      </c>
      <c r="B9078" t="s">
        <v>707</v>
      </c>
      <c r="C9078" t="s">
        <v>623</v>
      </c>
      <c r="D9078" s="226">
        <v>0</v>
      </c>
      <c r="E9078" t="s">
        <v>708</v>
      </c>
    </row>
    <row r="9079" spans="1:5" hidden="1" x14ac:dyDescent="0.3">
      <c r="A9079" t="s">
        <v>552</v>
      </c>
      <c r="B9079" t="s">
        <v>707</v>
      </c>
      <c r="C9079" t="s">
        <v>624</v>
      </c>
      <c r="D9079" s="226">
        <v>0</v>
      </c>
      <c r="E9079" t="s">
        <v>708</v>
      </c>
    </row>
    <row r="9080" spans="1:5" hidden="1" x14ac:dyDescent="0.3">
      <c r="A9080" t="s">
        <v>552</v>
      </c>
      <c r="B9080" t="s">
        <v>707</v>
      </c>
      <c r="C9080" t="s">
        <v>200</v>
      </c>
      <c r="D9080" s="226">
        <v>-139672.09</v>
      </c>
      <c r="E9080" t="s">
        <v>708</v>
      </c>
    </row>
    <row r="9081" spans="1:5" hidden="1" x14ac:dyDescent="0.3">
      <c r="A9081" t="s">
        <v>552</v>
      </c>
      <c r="B9081" t="s">
        <v>707</v>
      </c>
      <c r="C9081" t="s">
        <v>202</v>
      </c>
      <c r="D9081" s="226">
        <v>-139672.09</v>
      </c>
      <c r="E9081" t="s">
        <v>708</v>
      </c>
    </row>
    <row r="9082" spans="1:5" hidden="1" x14ac:dyDescent="0.3">
      <c r="A9082" t="s">
        <v>552</v>
      </c>
      <c r="B9082" t="s">
        <v>707</v>
      </c>
      <c r="C9082" t="s">
        <v>625</v>
      </c>
      <c r="D9082" s="226">
        <v>69836.05</v>
      </c>
      <c r="E9082" t="s">
        <v>708</v>
      </c>
    </row>
    <row r="9083" spans="1:5" hidden="1" x14ac:dyDescent="0.3">
      <c r="A9083" t="s">
        <v>552</v>
      </c>
      <c r="B9083" t="s">
        <v>707</v>
      </c>
      <c r="C9083" t="s">
        <v>204</v>
      </c>
      <c r="D9083" s="226">
        <v>-55536.91</v>
      </c>
      <c r="E9083" t="s">
        <v>708</v>
      </c>
    </row>
    <row r="9084" spans="1:5" hidden="1" x14ac:dyDescent="0.3">
      <c r="A9084" t="s">
        <v>552</v>
      </c>
      <c r="B9084" t="s">
        <v>707</v>
      </c>
      <c r="C9084" t="s">
        <v>626</v>
      </c>
      <c r="D9084" s="226">
        <v>-23603.48</v>
      </c>
      <c r="E9084" t="s">
        <v>708</v>
      </c>
    </row>
    <row r="9085" spans="1:5" hidden="1" x14ac:dyDescent="0.3">
      <c r="A9085" t="s">
        <v>552</v>
      </c>
      <c r="B9085" t="s">
        <v>707</v>
      </c>
      <c r="C9085" t="s">
        <v>627</v>
      </c>
      <c r="D9085" s="226">
        <v>0</v>
      </c>
      <c r="E9085" t="s">
        <v>708</v>
      </c>
    </row>
    <row r="9086" spans="1:5" hidden="1" x14ac:dyDescent="0.3">
      <c r="A9086" t="s">
        <v>552</v>
      </c>
      <c r="B9086" t="s">
        <v>707</v>
      </c>
      <c r="C9086" t="s">
        <v>628</v>
      </c>
      <c r="D9086" s="226">
        <v>0</v>
      </c>
      <c r="E9086" t="s">
        <v>708</v>
      </c>
    </row>
    <row r="9087" spans="1:5" hidden="1" x14ac:dyDescent="0.3">
      <c r="A9087" t="s">
        <v>552</v>
      </c>
      <c r="B9087" t="s">
        <v>707</v>
      </c>
      <c r="C9087" t="s">
        <v>629</v>
      </c>
      <c r="D9087" s="226">
        <v>-4612.76</v>
      </c>
      <c r="E9087" t="s">
        <v>708</v>
      </c>
    </row>
    <row r="9088" spans="1:5" hidden="1" x14ac:dyDescent="0.3">
      <c r="A9088" t="s">
        <v>552</v>
      </c>
      <c r="B9088" t="s">
        <v>707</v>
      </c>
      <c r="C9088" t="s">
        <v>630</v>
      </c>
      <c r="D9088" s="226">
        <v>-9513.5499999999993</v>
      </c>
      <c r="E9088" t="s">
        <v>708</v>
      </c>
    </row>
    <row r="9089" spans="1:5" hidden="1" x14ac:dyDescent="0.3">
      <c r="A9089" t="s">
        <v>552</v>
      </c>
      <c r="B9089" t="s">
        <v>707</v>
      </c>
      <c r="C9089" t="s">
        <v>631</v>
      </c>
      <c r="D9089" s="226">
        <v>-41.05</v>
      </c>
      <c r="E9089" t="s">
        <v>708</v>
      </c>
    </row>
    <row r="9090" spans="1:5" hidden="1" x14ac:dyDescent="0.3">
      <c r="A9090" t="s">
        <v>552</v>
      </c>
      <c r="B9090" t="s">
        <v>707</v>
      </c>
      <c r="C9090" t="s">
        <v>632</v>
      </c>
      <c r="D9090" s="226">
        <v>0</v>
      </c>
      <c r="E9090" t="s">
        <v>708</v>
      </c>
    </row>
    <row r="9091" spans="1:5" hidden="1" x14ac:dyDescent="0.3">
      <c r="A9091" t="s">
        <v>552</v>
      </c>
      <c r="B9091" t="s">
        <v>707</v>
      </c>
      <c r="C9091" t="s">
        <v>633</v>
      </c>
      <c r="D9091" s="226">
        <v>0</v>
      </c>
      <c r="E9091" t="s">
        <v>708</v>
      </c>
    </row>
    <row r="9092" spans="1:5" hidden="1" x14ac:dyDescent="0.3">
      <c r="A9092" t="s">
        <v>552</v>
      </c>
      <c r="B9092" t="s">
        <v>707</v>
      </c>
      <c r="C9092" t="s">
        <v>634</v>
      </c>
      <c r="D9092" s="226">
        <v>0</v>
      </c>
      <c r="E9092" t="s">
        <v>708</v>
      </c>
    </row>
    <row r="9093" spans="1:5" hidden="1" x14ac:dyDescent="0.3">
      <c r="A9093" t="s">
        <v>552</v>
      </c>
      <c r="B9093" t="s">
        <v>707</v>
      </c>
      <c r="C9093" t="s">
        <v>635</v>
      </c>
      <c r="D9093" s="226">
        <v>-6338.5</v>
      </c>
      <c r="E9093" t="s">
        <v>708</v>
      </c>
    </row>
    <row r="9094" spans="1:5" hidden="1" x14ac:dyDescent="0.3">
      <c r="A9094" t="s">
        <v>552</v>
      </c>
      <c r="B9094" t="s">
        <v>707</v>
      </c>
      <c r="C9094" t="s">
        <v>636</v>
      </c>
      <c r="D9094" s="226">
        <v>-627.55999999999995</v>
      </c>
      <c r="E9094" t="s">
        <v>708</v>
      </c>
    </row>
    <row r="9095" spans="1:5" hidden="1" x14ac:dyDescent="0.3">
      <c r="A9095" t="s">
        <v>552</v>
      </c>
      <c r="B9095" t="s">
        <v>707</v>
      </c>
      <c r="C9095" t="s">
        <v>637</v>
      </c>
      <c r="D9095" s="226">
        <v>-10800</v>
      </c>
      <c r="E9095" t="s">
        <v>708</v>
      </c>
    </row>
    <row r="9096" spans="1:5" hidden="1" x14ac:dyDescent="0.3">
      <c r="A9096" t="s">
        <v>552</v>
      </c>
      <c r="B9096" t="s">
        <v>707</v>
      </c>
      <c r="C9096" t="s">
        <v>638</v>
      </c>
      <c r="D9096" s="226">
        <v>0</v>
      </c>
      <c r="E9096" t="s">
        <v>708</v>
      </c>
    </row>
    <row r="9097" spans="1:5" hidden="1" x14ac:dyDescent="0.3">
      <c r="A9097" t="s">
        <v>552</v>
      </c>
      <c r="B9097" t="s">
        <v>707</v>
      </c>
      <c r="C9097" t="s">
        <v>639</v>
      </c>
      <c r="D9097" s="226">
        <v>0</v>
      </c>
      <c r="E9097" t="s">
        <v>708</v>
      </c>
    </row>
    <row r="9098" spans="1:5" hidden="1" x14ac:dyDescent="0.3">
      <c r="A9098" t="s">
        <v>552</v>
      </c>
      <c r="B9098" t="s">
        <v>707</v>
      </c>
      <c r="C9098" t="s">
        <v>640</v>
      </c>
      <c r="D9098" s="226">
        <v>0</v>
      </c>
      <c r="E9098" t="s">
        <v>708</v>
      </c>
    </row>
    <row r="9099" spans="1:5" hidden="1" x14ac:dyDescent="0.3">
      <c r="A9099" t="s">
        <v>552</v>
      </c>
      <c r="B9099" t="s">
        <v>707</v>
      </c>
      <c r="C9099" t="s">
        <v>641</v>
      </c>
      <c r="D9099" s="226">
        <v>0</v>
      </c>
      <c r="E9099" t="s">
        <v>708</v>
      </c>
    </row>
    <row r="9100" spans="1:5" hidden="1" x14ac:dyDescent="0.3">
      <c r="A9100" t="s">
        <v>552</v>
      </c>
      <c r="B9100" t="s">
        <v>707</v>
      </c>
      <c r="C9100" t="s">
        <v>237</v>
      </c>
      <c r="D9100" s="226">
        <v>-11254.51</v>
      </c>
      <c r="E9100" t="s">
        <v>708</v>
      </c>
    </row>
    <row r="9101" spans="1:5" hidden="1" x14ac:dyDescent="0.3">
      <c r="A9101" t="s">
        <v>552</v>
      </c>
      <c r="B9101" t="s">
        <v>707</v>
      </c>
      <c r="C9101" t="s">
        <v>642</v>
      </c>
      <c r="D9101" s="226">
        <v>-10866.89</v>
      </c>
      <c r="E9101" t="s">
        <v>708</v>
      </c>
    </row>
    <row r="9102" spans="1:5" hidden="1" x14ac:dyDescent="0.3">
      <c r="A9102" t="s">
        <v>552</v>
      </c>
      <c r="B9102" t="s">
        <v>707</v>
      </c>
      <c r="C9102" t="s">
        <v>643</v>
      </c>
      <c r="D9102" s="226">
        <v>0</v>
      </c>
      <c r="E9102" t="s">
        <v>708</v>
      </c>
    </row>
    <row r="9103" spans="1:5" hidden="1" x14ac:dyDescent="0.3">
      <c r="A9103" t="s">
        <v>552</v>
      </c>
      <c r="B9103" t="s">
        <v>707</v>
      </c>
      <c r="C9103" t="s">
        <v>644</v>
      </c>
      <c r="D9103" s="226">
        <v>0</v>
      </c>
      <c r="E9103" t="s">
        <v>708</v>
      </c>
    </row>
    <row r="9104" spans="1:5" hidden="1" x14ac:dyDescent="0.3">
      <c r="A9104" t="s">
        <v>552</v>
      </c>
      <c r="B9104" t="s">
        <v>707</v>
      </c>
      <c r="C9104" t="s">
        <v>645</v>
      </c>
      <c r="D9104" s="226">
        <v>-387.62</v>
      </c>
      <c r="E9104" t="s">
        <v>708</v>
      </c>
    </row>
    <row r="9105" spans="1:5" hidden="1" x14ac:dyDescent="0.3">
      <c r="A9105" t="s">
        <v>552</v>
      </c>
      <c r="B9105" t="s">
        <v>707</v>
      </c>
      <c r="C9105" t="s">
        <v>646</v>
      </c>
      <c r="D9105" s="226">
        <v>0</v>
      </c>
      <c r="E9105" t="s">
        <v>708</v>
      </c>
    </row>
    <row r="9106" spans="1:5" hidden="1" x14ac:dyDescent="0.3">
      <c r="A9106" t="s">
        <v>552</v>
      </c>
      <c r="B9106" t="s">
        <v>707</v>
      </c>
      <c r="C9106" t="s">
        <v>244</v>
      </c>
      <c r="D9106" s="226">
        <v>-62239.31</v>
      </c>
      <c r="E9106" t="s">
        <v>708</v>
      </c>
    </row>
    <row r="9107" spans="1:5" hidden="1" x14ac:dyDescent="0.3">
      <c r="A9107" t="s">
        <v>552</v>
      </c>
      <c r="B9107" t="s">
        <v>707</v>
      </c>
      <c r="C9107" t="s">
        <v>647</v>
      </c>
      <c r="D9107" s="226">
        <v>-17044.810000000001</v>
      </c>
      <c r="E9107" t="s">
        <v>708</v>
      </c>
    </row>
    <row r="9108" spans="1:5" hidden="1" x14ac:dyDescent="0.3">
      <c r="A9108" t="s">
        <v>552</v>
      </c>
      <c r="B9108" t="s">
        <v>707</v>
      </c>
      <c r="C9108" t="s">
        <v>648</v>
      </c>
      <c r="D9108" s="226">
        <v>-727.94</v>
      </c>
      <c r="E9108" t="s">
        <v>708</v>
      </c>
    </row>
    <row r="9109" spans="1:5" hidden="1" x14ac:dyDescent="0.3">
      <c r="A9109" t="s">
        <v>552</v>
      </c>
      <c r="B9109" t="s">
        <v>707</v>
      </c>
      <c r="C9109" t="s">
        <v>649</v>
      </c>
      <c r="D9109" s="226">
        <v>0</v>
      </c>
      <c r="E9109" t="s">
        <v>708</v>
      </c>
    </row>
    <row r="9110" spans="1:5" hidden="1" x14ac:dyDescent="0.3">
      <c r="A9110" t="s">
        <v>552</v>
      </c>
      <c r="B9110" t="s">
        <v>707</v>
      </c>
      <c r="C9110" t="s">
        <v>650</v>
      </c>
      <c r="D9110" s="226">
        <v>-2400</v>
      </c>
      <c r="E9110" t="s">
        <v>708</v>
      </c>
    </row>
    <row r="9111" spans="1:5" hidden="1" x14ac:dyDescent="0.3">
      <c r="A9111" t="s">
        <v>552</v>
      </c>
      <c r="B9111" t="s">
        <v>707</v>
      </c>
      <c r="C9111" t="s">
        <v>651</v>
      </c>
      <c r="D9111" s="226">
        <v>0</v>
      </c>
      <c r="E9111" t="s">
        <v>708</v>
      </c>
    </row>
    <row r="9112" spans="1:5" hidden="1" x14ac:dyDescent="0.3">
      <c r="A9112" t="s">
        <v>552</v>
      </c>
      <c r="B9112" t="s">
        <v>707</v>
      </c>
      <c r="C9112" t="s">
        <v>652</v>
      </c>
      <c r="D9112" s="226">
        <v>-42066.559999999998</v>
      </c>
      <c r="E9112" t="s">
        <v>708</v>
      </c>
    </row>
    <row r="9113" spans="1:5" hidden="1" x14ac:dyDescent="0.3">
      <c r="A9113" t="s">
        <v>552</v>
      </c>
      <c r="B9113" t="s">
        <v>707</v>
      </c>
      <c r="C9113" t="s">
        <v>653</v>
      </c>
      <c r="D9113" s="226">
        <v>0</v>
      </c>
      <c r="E9113" t="s">
        <v>708</v>
      </c>
    </row>
    <row r="9114" spans="1:5" hidden="1" x14ac:dyDescent="0.3">
      <c r="A9114" t="s">
        <v>552</v>
      </c>
      <c r="B9114" t="s">
        <v>707</v>
      </c>
      <c r="C9114" t="s">
        <v>253</v>
      </c>
      <c r="D9114" s="226">
        <v>-0.2</v>
      </c>
      <c r="E9114" t="s">
        <v>708</v>
      </c>
    </row>
    <row r="9115" spans="1:5" hidden="1" x14ac:dyDescent="0.3">
      <c r="A9115" t="s">
        <v>552</v>
      </c>
      <c r="B9115" t="s">
        <v>707</v>
      </c>
      <c r="C9115" t="s">
        <v>254</v>
      </c>
      <c r="D9115" s="226">
        <v>-0.19</v>
      </c>
      <c r="E9115" t="s">
        <v>708</v>
      </c>
    </row>
    <row r="9116" spans="1:5" hidden="1" x14ac:dyDescent="0.3">
      <c r="A9116" t="s">
        <v>552</v>
      </c>
      <c r="B9116" t="s">
        <v>707</v>
      </c>
      <c r="C9116" t="s">
        <v>255</v>
      </c>
      <c r="D9116" s="226">
        <v>-56833.31</v>
      </c>
      <c r="E9116" t="s">
        <v>708</v>
      </c>
    </row>
    <row r="9117" spans="1:5" hidden="1" x14ac:dyDescent="0.3">
      <c r="A9117" t="s">
        <v>552</v>
      </c>
      <c r="B9117" t="s">
        <v>707</v>
      </c>
      <c r="C9117" t="s">
        <v>256</v>
      </c>
      <c r="D9117" s="226">
        <v>-33872.5</v>
      </c>
      <c r="E9117" t="s">
        <v>708</v>
      </c>
    </row>
    <row r="9118" spans="1:5" hidden="1" x14ac:dyDescent="0.3">
      <c r="A9118" t="s">
        <v>552</v>
      </c>
      <c r="B9118" t="s">
        <v>707</v>
      </c>
      <c r="C9118" t="s">
        <v>257</v>
      </c>
      <c r="D9118" s="226">
        <v>-20772.439999999999</v>
      </c>
      <c r="E9118" t="s">
        <v>708</v>
      </c>
    </row>
    <row r="9119" spans="1:5" hidden="1" x14ac:dyDescent="0.3">
      <c r="A9119" t="s">
        <v>552</v>
      </c>
      <c r="B9119" t="s">
        <v>707</v>
      </c>
      <c r="C9119" t="s">
        <v>258</v>
      </c>
      <c r="D9119" s="226">
        <v>-2188.37</v>
      </c>
      <c r="E9119" t="s">
        <v>708</v>
      </c>
    </row>
    <row r="9120" spans="1:5" hidden="1" x14ac:dyDescent="0.3">
      <c r="A9120" t="s">
        <v>552</v>
      </c>
      <c r="B9120" t="s">
        <v>707</v>
      </c>
      <c r="C9120" t="s">
        <v>259</v>
      </c>
      <c r="D9120" s="226">
        <v>0</v>
      </c>
      <c r="E9120" t="s">
        <v>708</v>
      </c>
    </row>
    <row r="9121" spans="1:5" hidden="1" x14ac:dyDescent="0.3">
      <c r="A9121" t="s">
        <v>552</v>
      </c>
      <c r="B9121" t="s">
        <v>707</v>
      </c>
      <c r="C9121" t="s">
        <v>260</v>
      </c>
      <c r="D9121" s="226">
        <v>0</v>
      </c>
      <c r="E9121" t="s">
        <v>708</v>
      </c>
    </row>
    <row r="9122" spans="1:5" hidden="1" x14ac:dyDescent="0.3">
      <c r="A9122" t="s">
        <v>552</v>
      </c>
      <c r="B9122" t="s">
        <v>707</v>
      </c>
      <c r="C9122" t="s">
        <v>261</v>
      </c>
      <c r="D9122" s="226">
        <v>0</v>
      </c>
      <c r="E9122" t="s">
        <v>708</v>
      </c>
    </row>
    <row r="9123" spans="1:5" hidden="1" x14ac:dyDescent="0.3">
      <c r="A9123" t="s">
        <v>552</v>
      </c>
      <c r="B9123" t="s">
        <v>707</v>
      </c>
      <c r="C9123" t="s">
        <v>262</v>
      </c>
      <c r="D9123" s="226">
        <v>0</v>
      </c>
      <c r="E9123" t="s">
        <v>708</v>
      </c>
    </row>
    <row r="9124" spans="1:5" hidden="1" x14ac:dyDescent="0.3">
      <c r="A9124" t="s">
        <v>552</v>
      </c>
      <c r="B9124" t="s">
        <v>707</v>
      </c>
      <c r="C9124" t="s">
        <v>44</v>
      </c>
      <c r="D9124" s="226">
        <v>-0.03</v>
      </c>
      <c r="E9124" t="s">
        <v>708</v>
      </c>
    </row>
    <row r="9125" spans="1:5" hidden="1" x14ac:dyDescent="0.3">
      <c r="A9125" t="s">
        <v>552</v>
      </c>
      <c r="B9125" t="s">
        <v>707</v>
      </c>
      <c r="C9125" t="s">
        <v>263</v>
      </c>
      <c r="D9125" s="226">
        <v>-107580.92</v>
      </c>
      <c r="E9125" t="s">
        <v>708</v>
      </c>
    </row>
    <row r="9126" spans="1:5" hidden="1" x14ac:dyDescent="0.3">
      <c r="A9126" t="s">
        <v>552</v>
      </c>
      <c r="B9126" t="s">
        <v>707</v>
      </c>
      <c r="C9126" t="s">
        <v>264</v>
      </c>
      <c r="D9126" s="226">
        <v>-19307.2</v>
      </c>
      <c r="E9126" t="s">
        <v>708</v>
      </c>
    </row>
    <row r="9127" spans="1:5" hidden="1" x14ac:dyDescent="0.3">
      <c r="A9127" t="s">
        <v>552</v>
      </c>
      <c r="B9127" t="s">
        <v>707</v>
      </c>
      <c r="C9127" t="s">
        <v>265</v>
      </c>
      <c r="D9127" s="226">
        <v>-18553.38</v>
      </c>
      <c r="E9127" t="s">
        <v>708</v>
      </c>
    </row>
    <row r="9128" spans="1:5" hidden="1" x14ac:dyDescent="0.3">
      <c r="A9128" t="s">
        <v>552</v>
      </c>
      <c r="B9128" t="s">
        <v>707</v>
      </c>
      <c r="C9128" t="s">
        <v>266</v>
      </c>
      <c r="D9128" s="226">
        <v>-14837.23</v>
      </c>
      <c r="E9128" t="s">
        <v>708</v>
      </c>
    </row>
    <row r="9129" spans="1:5" hidden="1" x14ac:dyDescent="0.3">
      <c r="A9129" t="s">
        <v>552</v>
      </c>
      <c r="B9129" t="s">
        <v>707</v>
      </c>
      <c r="C9129" t="s">
        <v>267</v>
      </c>
      <c r="D9129" s="226">
        <v>-22055.18</v>
      </c>
      <c r="E9129" t="s">
        <v>708</v>
      </c>
    </row>
    <row r="9130" spans="1:5" hidden="1" x14ac:dyDescent="0.3">
      <c r="A9130" t="s">
        <v>552</v>
      </c>
      <c r="B9130" t="s">
        <v>707</v>
      </c>
      <c r="C9130" t="s">
        <v>268</v>
      </c>
      <c r="D9130" s="226">
        <v>0</v>
      </c>
      <c r="E9130" t="s">
        <v>708</v>
      </c>
    </row>
    <row r="9131" spans="1:5" hidden="1" x14ac:dyDescent="0.3">
      <c r="A9131" t="s">
        <v>552</v>
      </c>
      <c r="B9131" t="s">
        <v>707</v>
      </c>
      <c r="C9131" t="s">
        <v>269</v>
      </c>
      <c r="D9131" s="226">
        <v>-629.87</v>
      </c>
      <c r="E9131" t="s">
        <v>708</v>
      </c>
    </row>
    <row r="9132" spans="1:5" hidden="1" x14ac:dyDescent="0.3">
      <c r="A9132" t="s">
        <v>552</v>
      </c>
      <c r="B9132" t="s">
        <v>707</v>
      </c>
      <c r="C9132" t="s">
        <v>270</v>
      </c>
      <c r="D9132" s="226">
        <v>-3707.38</v>
      </c>
      <c r="E9132" t="s">
        <v>708</v>
      </c>
    </row>
    <row r="9133" spans="1:5" hidden="1" x14ac:dyDescent="0.3">
      <c r="A9133" t="s">
        <v>552</v>
      </c>
      <c r="B9133" t="s">
        <v>707</v>
      </c>
      <c r="C9133" t="s">
        <v>271</v>
      </c>
      <c r="D9133" s="226">
        <v>-14464.99</v>
      </c>
      <c r="E9133" t="s">
        <v>708</v>
      </c>
    </row>
    <row r="9134" spans="1:5" hidden="1" x14ac:dyDescent="0.3">
      <c r="A9134" t="s">
        <v>552</v>
      </c>
      <c r="B9134" t="s">
        <v>707</v>
      </c>
      <c r="C9134" t="s">
        <v>272</v>
      </c>
      <c r="D9134" s="226">
        <v>0</v>
      </c>
      <c r="E9134" t="s">
        <v>708</v>
      </c>
    </row>
    <row r="9135" spans="1:5" hidden="1" x14ac:dyDescent="0.3">
      <c r="A9135" t="s">
        <v>552</v>
      </c>
      <c r="B9135" t="s">
        <v>707</v>
      </c>
      <c r="C9135" t="s">
        <v>273</v>
      </c>
      <c r="D9135" s="226">
        <v>0</v>
      </c>
      <c r="E9135" t="s">
        <v>708</v>
      </c>
    </row>
    <row r="9136" spans="1:5" hidden="1" x14ac:dyDescent="0.3">
      <c r="A9136" t="s">
        <v>552</v>
      </c>
      <c r="B9136" t="s">
        <v>707</v>
      </c>
      <c r="C9136" t="s">
        <v>274</v>
      </c>
      <c r="D9136" s="226">
        <v>-2081.16</v>
      </c>
      <c r="E9136" t="s">
        <v>708</v>
      </c>
    </row>
    <row r="9137" spans="1:5" hidden="1" x14ac:dyDescent="0.3">
      <c r="A9137" t="s">
        <v>552</v>
      </c>
      <c r="B9137" t="s">
        <v>707</v>
      </c>
      <c r="C9137" t="s">
        <v>275</v>
      </c>
      <c r="D9137" s="226">
        <v>-2416.8000000000002</v>
      </c>
      <c r="E9137" t="s">
        <v>708</v>
      </c>
    </row>
    <row r="9138" spans="1:5" hidden="1" x14ac:dyDescent="0.3">
      <c r="A9138" t="s">
        <v>552</v>
      </c>
      <c r="B9138" t="s">
        <v>707</v>
      </c>
      <c r="C9138" t="s">
        <v>276</v>
      </c>
      <c r="D9138" s="226">
        <v>-1537</v>
      </c>
      <c r="E9138" t="s">
        <v>708</v>
      </c>
    </row>
    <row r="9139" spans="1:5" hidden="1" x14ac:dyDescent="0.3">
      <c r="A9139" t="s">
        <v>552</v>
      </c>
      <c r="B9139" t="s">
        <v>707</v>
      </c>
      <c r="C9139" t="s">
        <v>277</v>
      </c>
      <c r="D9139" s="226">
        <v>-7990.73</v>
      </c>
      <c r="E9139" t="s">
        <v>708</v>
      </c>
    </row>
    <row r="9140" spans="1:5" hidden="1" x14ac:dyDescent="0.3">
      <c r="A9140" t="s">
        <v>552</v>
      </c>
      <c r="B9140" t="s">
        <v>707</v>
      </c>
      <c r="C9140" t="s">
        <v>44</v>
      </c>
      <c r="D9140" s="226">
        <v>-0.06</v>
      </c>
      <c r="E9140" t="s">
        <v>708</v>
      </c>
    </row>
    <row r="9141" spans="1:5" hidden="1" x14ac:dyDescent="0.3">
      <c r="A9141" t="s">
        <v>552</v>
      </c>
      <c r="B9141" t="s">
        <v>707</v>
      </c>
      <c r="C9141" t="s">
        <v>278</v>
      </c>
      <c r="D9141" s="226">
        <v>-4934.53</v>
      </c>
      <c r="E9141" t="s">
        <v>708</v>
      </c>
    </row>
    <row r="9142" spans="1:5" hidden="1" x14ac:dyDescent="0.3">
      <c r="A9142" t="s">
        <v>552</v>
      </c>
      <c r="B9142" t="s">
        <v>707</v>
      </c>
      <c r="C9142" t="s">
        <v>279</v>
      </c>
      <c r="D9142" s="226">
        <v>-119.97</v>
      </c>
      <c r="E9142" t="s">
        <v>708</v>
      </c>
    </row>
    <row r="9143" spans="1:5" hidden="1" x14ac:dyDescent="0.3">
      <c r="A9143" t="s">
        <v>552</v>
      </c>
      <c r="B9143" t="s">
        <v>707</v>
      </c>
      <c r="C9143" t="s">
        <v>280</v>
      </c>
      <c r="D9143" s="226">
        <v>-478.32</v>
      </c>
      <c r="E9143" t="s">
        <v>708</v>
      </c>
    </row>
    <row r="9144" spans="1:5" hidden="1" x14ac:dyDescent="0.3">
      <c r="A9144" t="s">
        <v>552</v>
      </c>
      <c r="B9144" t="s">
        <v>707</v>
      </c>
      <c r="C9144" t="s">
        <v>281</v>
      </c>
      <c r="D9144" s="226">
        <v>-23.9</v>
      </c>
      <c r="E9144" t="s">
        <v>708</v>
      </c>
    </row>
    <row r="9145" spans="1:5" hidden="1" x14ac:dyDescent="0.3">
      <c r="A9145" t="s">
        <v>552</v>
      </c>
      <c r="B9145" t="s">
        <v>707</v>
      </c>
      <c r="C9145" t="s">
        <v>282</v>
      </c>
      <c r="D9145" s="226">
        <v>0</v>
      </c>
      <c r="E9145" t="s">
        <v>708</v>
      </c>
    </row>
    <row r="9146" spans="1:5" hidden="1" x14ac:dyDescent="0.3">
      <c r="A9146" t="s">
        <v>552</v>
      </c>
      <c r="B9146" t="s">
        <v>707</v>
      </c>
      <c r="C9146" t="s">
        <v>283</v>
      </c>
      <c r="D9146" s="226">
        <v>-3031.25</v>
      </c>
      <c r="E9146" t="s">
        <v>708</v>
      </c>
    </row>
    <row r="9147" spans="1:5" hidden="1" x14ac:dyDescent="0.3">
      <c r="A9147" t="s">
        <v>552</v>
      </c>
      <c r="B9147" t="s">
        <v>707</v>
      </c>
      <c r="C9147" t="s">
        <v>284</v>
      </c>
      <c r="D9147" s="226">
        <v>-429</v>
      </c>
      <c r="E9147" t="s">
        <v>708</v>
      </c>
    </row>
    <row r="9148" spans="1:5" hidden="1" x14ac:dyDescent="0.3">
      <c r="A9148" t="s">
        <v>552</v>
      </c>
      <c r="B9148" t="s">
        <v>707</v>
      </c>
      <c r="C9148" t="s">
        <v>285</v>
      </c>
      <c r="D9148" s="226">
        <v>-852.09</v>
      </c>
      <c r="E9148" t="s">
        <v>708</v>
      </c>
    </row>
    <row r="9149" spans="1:5" hidden="1" x14ac:dyDescent="0.3">
      <c r="A9149" t="s">
        <v>552</v>
      </c>
      <c r="B9149" t="s">
        <v>707</v>
      </c>
      <c r="C9149" t="s">
        <v>44</v>
      </c>
      <c r="D9149" s="226">
        <v>0</v>
      </c>
      <c r="E9149" t="s">
        <v>708</v>
      </c>
    </row>
    <row r="9150" spans="1:5" hidden="1" x14ac:dyDescent="0.3">
      <c r="A9150" t="s">
        <v>552</v>
      </c>
      <c r="B9150" t="s">
        <v>707</v>
      </c>
      <c r="C9150" t="s">
        <v>286</v>
      </c>
      <c r="D9150" s="226">
        <v>-24298.68</v>
      </c>
      <c r="E9150" t="s">
        <v>708</v>
      </c>
    </row>
    <row r="9151" spans="1:5" hidden="1" x14ac:dyDescent="0.3">
      <c r="A9151" t="s">
        <v>552</v>
      </c>
      <c r="B9151" t="s">
        <v>707</v>
      </c>
      <c r="C9151" t="s">
        <v>287</v>
      </c>
      <c r="D9151" s="226">
        <v>-5250</v>
      </c>
      <c r="E9151" t="s">
        <v>708</v>
      </c>
    </row>
    <row r="9152" spans="1:5" hidden="1" x14ac:dyDescent="0.3">
      <c r="A9152" t="s">
        <v>552</v>
      </c>
      <c r="B9152" t="s">
        <v>707</v>
      </c>
      <c r="C9152" t="s">
        <v>288</v>
      </c>
      <c r="D9152" s="226">
        <v>-1650</v>
      </c>
      <c r="E9152" t="s">
        <v>708</v>
      </c>
    </row>
    <row r="9153" spans="1:5" hidden="1" x14ac:dyDescent="0.3">
      <c r="A9153" t="s">
        <v>552</v>
      </c>
      <c r="B9153" t="s">
        <v>707</v>
      </c>
      <c r="C9153" t="s">
        <v>289</v>
      </c>
      <c r="D9153" s="226">
        <v>-7000</v>
      </c>
      <c r="E9153" t="s">
        <v>708</v>
      </c>
    </row>
    <row r="9154" spans="1:5" hidden="1" x14ac:dyDescent="0.3">
      <c r="A9154" t="s">
        <v>552</v>
      </c>
      <c r="B9154" t="s">
        <v>707</v>
      </c>
      <c r="C9154" t="s">
        <v>290</v>
      </c>
      <c r="D9154" s="226">
        <v>-10319.75</v>
      </c>
      <c r="E9154" t="s">
        <v>708</v>
      </c>
    </row>
    <row r="9155" spans="1:5" hidden="1" x14ac:dyDescent="0.3">
      <c r="A9155" t="s">
        <v>552</v>
      </c>
      <c r="B9155" t="s">
        <v>707</v>
      </c>
      <c r="C9155" t="s">
        <v>291</v>
      </c>
      <c r="D9155" s="226">
        <v>0</v>
      </c>
      <c r="E9155" t="s">
        <v>708</v>
      </c>
    </row>
    <row r="9156" spans="1:5" hidden="1" x14ac:dyDescent="0.3">
      <c r="A9156" t="s">
        <v>552</v>
      </c>
      <c r="B9156" t="s">
        <v>707</v>
      </c>
      <c r="C9156" t="s">
        <v>292</v>
      </c>
      <c r="D9156" s="226">
        <v>0</v>
      </c>
      <c r="E9156" t="s">
        <v>708</v>
      </c>
    </row>
    <row r="9157" spans="1:5" hidden="1" x14ac:dyDescent="0.3">
      <c r="A9157" t="s">
        <v>552</v>
      </c>
      <c r="B9157" t="s">
        <v>707</v>
      </c>
      <c r="C9157" t="s">
        <v>293</v>
      </c>
      <c r="D9157" s="226">
        <v>-78.930000000000007</v>
      </c>
      <c r="E9157" t="s">
        <v>708</v>
      </c>
    </row>
    <row r="9158" spans="1:5" hidden="1" x14ac:dyDescent="0.3">
      <c r="A9158" t="s">
        <v>552</v>
      </c>
      <c r="B9158" t="s">
        <v>707</v>
      </c>
      <c r="C9158" t="s">
        <v>294</v>
      </c>
      <c r="D9158" s="226">
        <v>0</v>
      </c>
      <c r="E9158" t="s">
        <v>708</v>
      </c>
    </row>
    <row r="9159" spans="1:5" hidden="1" x14ac:dyDescent="0.3">
      <c r="A9159" t="s">
        <v>552</v>
      </c>
      <c r="B9159" t="s">
        <v>707</v>
      </c>
      <c r="C9159" t="s">
        <v>44</v>
      </c>
      <c r="D9159" s="226">
        <v>-0.01</v>
      </c>
      <c r="E9159" t="s">
        <v>708</v>
      </c>
    </row>
    <row r="9160" spans="1:5" hidden="1" x14ac:dyDescent="0.3">
      <c r="A9160" t="s">
        <v>552</v>
      </c>
      <c r="B9160" t="s">
        <v>707</v>
      </c>
      <c r="C9160" t="s">
        <v>295</v>
      </c>
      <c r="D9160" s="226">
        <v>-8607.41</v>
      </c>
      <c r="E9160" t="s">
        <v>708</v>
      </c>
    </row>
    <row r="9161" spans="1:5" hidden="1" x14ac:dyDescent="0.3">
      <c r="A9161" t="s">
        <v>552</v>
      </c>
      <c r="B9161" t="s">
        <v>707</v>
      </c>
      <c r="C9161" t="s">
        <v>296</v>
      </c>
      <c r="D9161" s="226">
        <v>-4500</v>
      </c>
      <c r="E9161" t="s">
        <v>708</v>
      </c>
    </row>
    <row r="9162" spans="1:5" hidden="1" x14ac:dyDescent="0.3">
      <c r="A9162" t="s">
        <v>552</v>
      </c>
      <c r="B9162" t="s">
        <v>707</v>
      </c>
      <c r="C9162" t="s">
        <v>297</v>
      </c>
      <c r="D9162" s="226">
        <v>-500</v>
      </c>
      <c r="E9162" t="s">
        <v>708</v>
      </c>
    </row>
    <row r="9163" spans="1:5" hidden="1" x14ac:dyDescent="0.3">
      <c r="A9163" t="s">
        <v>552</v>
      </c>
      <c r="B9163" t="s">
        <v>707</v>
      </c>
      <c r="C9163" t="s">
        <v>298</v>
      </c>
      <c r="D9163" s="226">
        <v>0</v>
      </c>
      <c r="E9163" t="s">
        <v>708</v>
      </c>
    </row>
    <row r="9164" spans="1:5" hidden="1" x14ac:dyDescent="0.3">
      <c r="A9164" t="s">
        <v>552</v>
      </c>
      <c r="B9164" t="s">
        <v>707</v>
      </c>
      <c r="C9164" t="s">
        <v>299</v>
      </c>
      <c r="D9164" s="226">
        <v>0</v>
      </c>
      <c r="E9164" t="s">
        <v>708</v>
      </c>
    </row>
    <row r="9165" spans="1:5" hidden="1" x14ac:dyDescent="0.3">
      <c r="A9165" t="s">
        <v>552</v>
      </c>
      <c r="B9165" t="s">
        <v>707</v>
      </c>
      <c r="C9165" t="s">
        <v>300</v>
      </c>
      <c r="D9165" s="226">
        <v>0</v>
      </c>
      <c r="E9165" t="s">
        <v>708</v>
      </c>
    </row>
    <row r="9166" spans="1:5" hidden="1" x14ac:dyDescent="0.3">
      <c r="A9166" t="s">
        <v>552</v>
      </c>
      <c r="B9166" t="s">
        <v>707</v>
      </c>
      <c r="C9166" t="s">
        <v>301</v>
      </c>
      <c r="D9166" s="226">
        <v>0</v>
      </c>
      <c r="E9166" t="s">
        <v>708</v>
      </c>
    </row>
    <row r="9167" spans="1:5" hidden="1" x14ac:dyDescent="0.3">
      <c r="A9167" t="s">
        <v>552</v>
      </c>
      <c r="B9167" t="s">
        <v>707</v>
      </c>
      <c r="C9167" t="s">
        <v>302</v>
      </c>
      <c r="D9167" s="226">
        <v>0</v>
      </c>
      <c r="E9167" t="s">
        <v>708</v>
      </c>
    </row>
    <row r="9168" spans="1:5" hidden="1" x14ac:dyDescent="0.3">
      <c r="A9168" t="s">
        <v>552</v>
      </c>
      <c r="B9168" t="s">
        <v>707</v>
      </c>
      <c r="C9168" t="s">
        <v>303</v>
      </c>
      <c r="D9168" s="226">
        <v>-1192</v>
      </c>
      <c r="E9168" t="s">
        <v>708</v>
      </c>
    </row>
    <row r="9169" spans="1:5" hidden="1" x14ac:dyDescent="0.3">
      <c r="A9169" t="s">
        <v>552</v>
      </c>
      <c r="B9169" t="s">
        <v>707</v>
      </c>
      <c r="C9169" t="s">
        <v>304</v>
      </c>
      <c r="D9169" s="226">
        <v>0</v>
      </c>
      <c r="E9169" t="s">
        <v>708</v>
      </c>
    </row>
    <row r="9170" spans="1:5" hidden="1" x14ac:dyDescent="0.3">
      <c r="A9170" t="s">
        <v>552</v>
      </c>
      <c r="B9170" t="s">
        <v>707</v>
      </c>
      <c r="C9170" t="s">
        <v>305</v>
      </c>
      <c r="D9170" s="226">
        <v>0</v>
      </c>
      <c r="E9170" t="s">
        <v>708</v>
      </c>
    </row>
    <row r="9171" spans="1:5" hidden="1" x14ac:dyDescent="0.3">
      <c r="A9171" t="s">
        <v>552</v>
      </c>
      <c r="B9171" t="s">
        <v>707</v>
      </c>
      <c r="C9171" t="s">
        <v>306</v>
      </c>
      <c r="D9171" s="226">
        <v>-2415.41</v>
      </c>
      <c r="E9171" t="s">
        <v>708</v>
      </c>
    </row>
    <row r="9172" spans="1:5" hidden="1" x14ac:dyDescent="0.3">
      <c r="A9172" t="s">
        <v>552</v>
      </c>
      <c r="B9172" t="s">
        <v>707</v>
      </c>
      <c r="C9172" t="s">
        <v>44</v>
      </c>
      <c r="D9172" s="226">
        <v>0</v>
      </c>
      <c r="E9172" t="s">
        <v>708</v>
      </c>
    </row>
    <row r="9173" spans="1:5" hidden="1" x14ac:dyDescent="0.3">
      <c r="A9173" t="s">
        <v>552</v>
      </c>
      <c r="B9173" t="s">
        <v>707</v>
      </c>
      <c r="C9173" t="s">
        <v>307</v>
      </c>
      <c r="D9173" s="226">
        <v>-18095.37</v>
      </c>
      <c r="E9173" t="s">
        <v>708</v>
      </c>
    </row>
    <row r="9174" spans="1:5" hidden="1" x14ac:dyDescent="0.3">
      <c r="A9174" t="s">
        <v>552</v>
      </c>
      <c r="B9174" t="s">
        <v>707</v>
      </c>
      <c r="C9174" t="s">
        <v>308</v>
      </c>
      <c r="D9174" s="226">
        <v>-4609.42</v>
      </c>
      <c r="E9174" t="s">
        <v>708</v>
      </c>
    </row>
    <row r="9175" spans="1:5" hidden="1" x14ac:dyDescent="0.3">
      <c r="A9175" t="s">
        <v>552</v>
      </c>
      <c r="B9175" t="s">
        <v>707</v>
      </c>
      <c r="C9175" t="s">
        <v>309</v>
      </c>
      <c r="D9175" s="226">
        <v>0</v>
      </c>
      <c r="E9175" t="s">
        <v>708</v>
      </c>
    </row>
    <row r="9176" spans="1:5" hidden="1" x14ac:dyDescent="0.3">
      <c r="A9176" t="s">
        <v>552</v>
      </c>
      <c r="B9176" t="s">
        <v>707</v>
      </c>
      <c r="C9176" t="s">
        <v>310</v>
      </c>
      <c r="D9176" s="226">
        <v>-1707.75</v>
      </c>
      <c r="E9176" t="s">
        <v>708</v>
      </c>
    </row>
    <row r="9177" spans="1:5" hidden="1" x14ac:dyDescent="0.3">
      <c r="A9177" t="s">
        <v>552</v>
      </c>
      <c r="B9177" t="s">
        <v>707</v>
      </c>
      <c r="C9177" t="s">
        <v>311</v>
      </c>
      <c r="D9177" s="226">
        <v>-185</v>
      </c>
      <c r="E9177" t="s">
        <v>708</v>
      </c>
    </row>
    <row r="9178" spans="1:5" hidden="1" x14ac:dyDescent="0.3">
      <c r="A9178" t="s">
        <v>552</v>
      </c>
      <c r="B9178" t="s">
        <v>707</v>
      </c>
      <c r="C9178" t="s">
        <v>312</v>
      </c>
      <c r="D9178" s="226">
        <v>0</v>
      </c>
      <c r="E9178" t="s">
        <v>708</v>
      </c>
    </row>
    <row r="9179" spans="1:5" hidden="1" x14ac:dyDescent="0.3">
      <c r="A9179" t="s">
        <v>552</v>
      </c>
      <c r="B9179" t="s">
        <v>707</v>
      </c>
      <c r="C9179" t="s">
        <v>313</v>
      </c>
      <c r="D9179" s="226">
        <v>-2473.1999999999998</v>
      </c>
      <c r="E9179" t="s">
        <v>708</v>
      </c>
    </row>
    <row r="9180" spans="1:5" hidden="1" x14ac:dyDescent="0.3">
      <c r="A9180" t="s">
        <v>552</v>
      </c>
      <c r="B9180" t="s">
        <v>707</v>
      </c>
      <c r="C9180" t="s">
        <v>314</v>
      </c>
      <c r="D9180" s="226">
        <v>0</v>
      </c>
      <c r="E9180" t="s">
        <v>708</v>
      </c>
    </row>
    <row r="9181" spans="1:5" hidden="1" x14ac:dyDescent="0.3">
      <c r="A9181" t="s">
        <v>552</v>
      </c>
      <c r="B9181" t="s">
        <v>707</v>
      </c>
      <c r="C9181" t="s">
        <v>315</v>
      </c>
      <c r="D9181" s="226">
        <v>-9120</v>
      </c>
      <c r="E9181" t="s">
        <v>708</v>
      </c>
    </row>
    <row r="9182" spans="1:5" hidden="1" x14ac:dyDescent="0.3">
      <c r="A9182" t="s">
        <v>552</v>
      </c>
      <c r="B9182" t="s">
        <v>707</v>
      </c>
      <c r="C9182" t="s">
        <v>316</v>
      </c>
      <c r="D9182" s="226">
        <v>0</v>
      </c>
      <c r="E9182" t="s">
        <v>708</v>
      </c>
    </row>
    <row r="9183" spans="1:5" hidden="1" x14ac:dyDescent="0.3">
      <c r="A9183" t="s">
        <v>552</v>
      </c>
      <c r="B9183" t="s">
        <v>707</v>
      </c>
      <c r="C9183" t="s">
        <v>44</v>
      </c>
      <c r="D9183" s="226">
        <v>-0.01</v>
      </c>
      <c r="E9183" t="s">
        <v>708</v>
      </c>
    </row>
    <row r="9184" spans="1:5" hidden="1" x14ac:dyDescent="0.3">
      <c r="A9184" t="s">
        <v>552</v>
      </c>
      <c r="B9184" t="s">
        <v>707</v>
      </c>
      <c r="C9184" t="s">
        <v>317</v>
      </c>
      <c r="D9184" s="226">
        <v>-6733.66</v>
      </c>
      <c r="E9184" t="s">
        <v>708</v>
      </c>
    </row>
    <row r="9185" spans="1:5" hidden="1" x14ac:dyDescent="0.3">
      <c r="A9185" t="s">
        <v>552</v>
      </c>
      <c r="B9185" t="s">
        <v>707</v>
      </c>
      <c r="C9185" t="s">
        <v>318</v>
      </c>
      <c r="D9185" s="226">
        <v>-6480</v>
      </c>
      <c r="E9185" t="s">
        <v>708</v>
      </c>
    </row>
    <row r="9186" spans="1:5" hidden="1" x14ac:dyDescent="0.3">
      <c r="A9186" t="s">
        <v>552</v>
      </c>
      <c r="B9186" t="s">
        <v>707</v>
      </c>
      <c r="C9186" t="s">
        <v>319</v>
      </c>
      <c r="D9186" s="226">
        <v>-253.66</v>
      </c>
      <c r="E9186" t="s">
        <v>708</v>
      </c>
    </row>
    <row r="9187" spans="1:5" hidden="1" x14ac:dyDescent="0.3">
      <c r="A9187" t="s">
        <v>552</v>
      </c>
      <c r="B9187" t="s">
        <v>707</v>
      </c>
      <c r="C9187" t="s">
        <v>320</v>
      </c>
      <c r="D9187" s="226">
        <v>0</v>
      </c>
      <c r="E9187" t="s">
        <v>708</v>
      </c>
    </row>
    <row r="9188" spans="1:5" hidden="1" x14ac:dyDescent="0.3">
      <c r="A9188" t="s">
        <v>552</v>
      </c>
      <c r="B9188" t="s">
        <v>707</v>
      </c>
      <c r="C9188" t="s">
        <v>321</v>
      </c>
      <c r="D9188" s="226">
        <v>0</v>
      </c>
      <c r="E9188" t="s">
        <v>708</v>
      </c>
    </row>
    <row r="9189" spans="1:5" hidden="1" x14ac:dyDescent="0.3">
      <c r="A9189" t="s">
        <v>552</v>
      </c>
      <c r="B9189" t="s">
        <v>707</v>
      </c>
      <c r="C9189" t="s">
        <v>44</v>
      </c>
      <c r="D9189" s="226">
        <v>0</v>
      </c>
      <c r="E9189" t="s">
        <v>708</v>
      </c>
    </row>
    <row r="9190" spans="1:5" hidden="1" x14ac:dyDescent="0.3">
      <c r="A9190" t="s">
        <v>552</v>
      </c>
      <c r="B9190" t="s">
        <v>707</v>
      </c>
      <c r="C9190" t="s">
        <v>322</v>
      </c>
      <c r="D9190" s="226">
        <v>-92236.74</v>
      </c>
      <c r="E9190" t="s">
        <v>708</v>
      </c>
    </row>
    <row r="9191" spans="1:5" hidden="1" x14ac:dyDescent="0.3">
      <c r="A9191" t="s">
        <v>552</v>
      </c>
      <c r="B9191" t="s">
        <v>707</v>
      </c>
      <c r="C9191" t="s">
        <v>323</v>
      </c>
      <c r="D9191" s="226">
        <v>0</v>
      </c>
      <c r="E9191" t="s">
        <v>708</v>
      </c>
    </row>
    <row r="9192" spans="1:5" hidden="1" x14ac:dyDescent="0.3">
      <c r="A9192" t="s">
        <v>552</v>
      </c>
      <c r="B9192" t="s">
        <v>707</v>
      </c>
      <c r="C9192" t="s">
        <v>324</v>
      </c>
      <c r="D9192" s="226">
        <v>0</v>
      </c>
      <c r="E9192" t="s">
        <v>708</v>
      </c>
    </row>
    <row r="9193" spans="1:5" hidden="1" x14ac:dyDescent="0.3">
      <c r="A9193" t="s">
        <v>552</v>
      </c>
      <c r="B9193" t="s">
        <v>707</v>
      </c>
      <c r="C9193" t="s">
        <v>325</v>
      </c>
      <c r="D9193" s="226">
        <v>-92236.74</v>
      </c>
      <c r="E9193" t="s">
        <v>708</v>
      </c>
    </row>
    <row r="9194" spans="1:5" hidden="1" x14ac:dyDescent="0.3">
      <c r="A9194" t="s">
        <v>552</v>
      </c>
      <c r="B9194" t="s">
        <v>707</v>
      </c>
      <c r="C9194" t="s">
        <v>44</v>
      </c>
      <c r="D9194" s="226">
        <v>-0.05</v>
      </c>
      <c r="E9194" t="s">
        <v>708</v>
      </c>
    </row>
    <row r="9195" spans="1:5" hidden="1" x14ac:dyDescent="0.3">
      <c r="A9195" t="s">
        <v>552</v>
      </c>
      <c r="B9195" t="s">
        <v>707</v>
      </c>
      <c r="C9195" t="s">
        <v>327</v>
      </c>
      <c r="D9195" s="226">
        <v>-680938.09</v>
      </c>
      <c r="E9195" t="s">
        <v>708</v>
      </c>
    </row>
    <row r="9196" spans="1:5" hidden="1" x14ac:dyDescent="0.3">
      <c r="A9196" t="s">
        <v>552</v>
      </c>
      <c r="B9196" t="s">
        <v>707</v>
      </c>
      <c r="C9196" t="s">
        <v>44</v>
      </c>
      <c r="D9196" s="226">
        <v>-0.37</v>
      </c>
      <c r="E9196" t="s">
        <v>708</v>
      </c>
    </row>
    <row r="9197" spans="1:5" hidden="1" x14ac:dyDescent="0.3">
      <c r="A9197" t="s">
        <v>552</v>
      </c>
      <c r="B9197" t="s">
        <v>707</v>
      </c>
      <c r="C9197" t="s">
        <v>328</v>
      </c>
      <c r="D9197" s="226">
        <v>411590.22</v>
      </c>
      <c r="E9197" t="s">
        <v>708</v>
      </c>
    </row>
    <row r="9198" spans="1:5" hidden="1" x14ac:dyDescent="0.3">
      <c r="A9198" t="s">
        <v>552</v>
      </c>
      <c r="B9198" t="s">
        <v>707</v>
      </c>
      <c r="C9198" t="s">
        <v>44</v>
      </c>
      <c r="D9198" s="226">
        <v>0.22</v>
      </c>
      <c r="E9198" t="s">
        <v>708</v>
      </c>
    </row>
    <row r="9199" spans="1:5" hidden="1" x14ac:dyDescent="0.3">
      <c r="A9199" t="s">
        <v>552</v>
      </c>
      <c r="B9199" t="s">
        <v>707</v>
      </c>
      <c r="C9199" t="s">
        <v>329</v>
      </c>
      <c r="D9199" s="226">
        <v>0</v>
      </c>
      <c r="E9199" t="s">
        <v>708</v>
      </c>
    </row>
    <row r="9200" spans="1:5" hidden="1" x14ac:dyDescent="0.3">
      <c r="A9200" t="s">
        <v>552</v>
      </c>
      <c r="B9200" t="s">
        <v>707</v>
      </c>
      <c r="C9200" t="s">
        <v>331</v>
      </c>
      <c r="D9200" s="226">
        <v>411590.22</v>
      </c>
      <c r="E9200" t="s">
        <v>708</v>
      </c>
    </row>
    <row r="9201" spans="1:5" hidden="1" x14ac:dyDescent="0.3">
      <c r="A9201" t="s">
        <v>552</v>
      </c>
      <c r="B9201" t="s">
        <v>707</v>
      </c>
      <c r="C9201" t="s">
        <v>332</v>
      </c>
      <c r="D9201" s="226">
        <v>-1112.48</v>
      </c>
      <c r="E9201" t="s">
        <v>708</v>
      </c>
    </row>
    <row r="9202" spans="1:5" hidden="1" x14ac:dyDescent="0.3">
      <c r="A9202" t="s">
        <v>552</v>
      </c>
      <c r="B9202" t="s">
        <v>707</v>
      </c>
      <c r="C9202" t="s">
        <v>333</v>
      </c>
      <c r="D9202" s="226">
        <v>14826.62</v>
      </c>
      <c r="E9202" t="s">
        <v>708</v>
      </c>
    </row>
    <row r="9203" spans="1:5" hidden="1" x14ac:dyDescent="0.3">
      <c r="A9203" t="s">
        <v>552</v>
      </c>
      <c r="B9203" t="s">
        <v>707</v>
      </c>
      <c r="C9203" t="s">
        <v>335</v>
      </c>
      <c r="D9203" s="226">
        <v>0</v>
      </c>
      <c r="E9203" t="s">
        <v>708</v>
      </c>
    </row>
    <row r="9204" spans="1:5" hidden="1" x14ac:dyDescent="0.3">
      <c r="A9204" t="s">
        <v>552</v>
      </c>
      <c r="B9204" t="s">
        <v>707</v>
      </c>
      <c r="C9204" t="s">
        <v>337</v>
      </c>
      <c r="D9204" s="226">
        <v>425304.36</v>
      </c>
      <c r="E9204" t="s">
        <v>708</v>
      </c>
    </row>
    <row r="9205" spans="1:5" hidden="1" x14ac:dyDescent="0.3">
      <c r="A9205" t="s">
        <v>552</v>
      </c>
      <c r="B9205" t="s">
        <v>707</v>
      </c>
      <c r="C9205" t="s">
        <v>338</v>
      </c>
      <c r="D9205" s="226">
        <v>-81354.89</v>
      </c>
      <c r="E9205" t="s">
        <v>708</v>
      </c>
    </row>
    <row r="9206" spans="1:5" hidden="1" x14ac:dyDescent="0.3">
      <c r="A9206" t="s">
        <v>552</v>
      </c>
      <c r="B9206" t="s">
        <v>707</v>
      </c>
      <c r="C9206" t="s">
        <v>341</v>
      </c>
      <c r="D9206" s="226">
        <v>-14670.19</v>
      </c>
      <c r="E9206" t="s">
        <v>708</v>
      </c>
    </row>
    <row r="9207" spans="1:5" hidden="1" x14ac:dyDescent="0.3">
      <c r="A9207" t="s">
        <v>552</v>
      </c>
      <c r="B9207" t="s">
        <v>707</v>
      </c>
      <c r="C9207" t="s">
        <v>343</v>
      </c>
      <c r="D9207" s="226">
        <v>-20114.990000000002</v>
      </c>
      <c r="E9207" t="s">
        <v>708</v>
      </c>
    </row>
    <row r="9208" spans="1:5" hidden="1" x14ac:dyDescent="0.3">
      <c r="A9208" t="s">
        <v>552</v>
      </c>
      <c r="B9208" t="s">
        <v>707</v>
      </c>
      <c r="C9208" t="s">
        <v>344</v>
      </c>
      <c r="D9208" s="226">
        <v>-28707.59</v>
      </c>
      <c r="E9208" t="s">
        <v>708</v>
      </c>
    </row>
    <row r="9209" spans="1:5" hidden="1" x14ac:dyDescent="0.3">
      <c r="A9209" t="s">
        <v>552</v>
      </c>
      <c r="B9209" t="s">
        <v>707</v>
      </c>
      <c r="C9209" t="s">
        <v>345</v>
      </c>
      <c r="D9209" s="226">
        <v>-17862.12</v>
      </c>
      <c r="E9209" t="s">
        <v>708</v>
      </c>
    </row>
    <row r="9210" spans="1:5" hidden="1" x14ac:dyDescent="0.3">
      <c r="A9210" t="s">
        <v>552</v>
      </c>
      <c r="B9210" t="s">
        <v>707</v>
      </c>
      <c r="C9210" t="s">
        <v>346</v>
      </c>
      <c r="D9210" s="226">
        <v>343949.47</v>
      </c>
      <c r="E9210" t="s">
        <v>708</v>
      </c>
    </row>
    <row r="9211" spans="1:5" hidden="1" x14ac:dyDescent="0.3">
      <c r="A9211" t="s">
        <v>552</v>
      </c>
      <c r="B9211" t="s">
        <v>707</v>
      </c>
      <c r="C9211" t="s">
        <v>44</v>
      </c>
      <c r="D9211" s="226">
        <v>0.19</v>
      </c>
      <c r="E9211" t="s">
        <v>708</v>
      </c>
    </row>
    <row r="9212" spans="1:5" hidden="1" x14ac:dyDescent="0.3">
      <c r="A9212" t="s">
        <v>552</v>
      </c>
      <c r="B9212" t="s">
        <v>707</v>
      </c>
      <c r="C9212" t="s">
        <v>347</v>
      </c>
      <c r="D9212" s="226">
        <v>0</v>
      </c>
      <c r="E9212" t="s">
        <v>708</v>
      </c>
    </row>
    <row r="9213" spans="1:5" hidden="1" x14ac:dyDescent="0.3">
      <c r="A9213" t="s">
        <v>552</v>
      </c>
      <c r="B9213" t="s">
        <v>707</v>
      </c>
      <c r="C9213" t="s">
        <v>654</v>
      </c>
      <c r="D9213" s="226">
        <v>0</v>
      </c>
      <c r="E9213" t="s">
        <v>708</v>
      </c>
    </row>
    <row r="9214" spans="1:5" hidden="1" x14ac:dyDescent="0.3">
      <c r="A9214" t="s">
        <v>552</v>
      </c>
      <c r="B9214" t="s">
        <v>707</v>
      </c>
      <c r="C9214" t="s">
        <v>349</v>
      </c>
      <c r="D9214" s="226">
        <v>0</v>
      </c>
      <c r="E9214" t="s">
        <v>708</v>
      </c>
    </row>
    <row r="9215" spans="1:5" hidden="1" x14ac:dyDescent="0.3">
      <c r="A9215" t="s">
        <v>552</v>
      </c>
      <c r="B9215" t="s">
        <v>707</v>
      </c>
      <c r="C9215" t="s">
        <v>350</v>
      </c>
      <c r="D9215" s="226">
        <v>0</v>
      </c>
      <c r="E9215" t="s">
        <v>708</v>
      </c>
    </row>
    <row r="9216" spans="1:5" hidden="1" x14ac:dyDescent="0.3">
      <c r="A9216" t="s">
        <v>552</v>
      </c>
      <c r="B9216" t="s">
        <v>707</v>
      </c>
      <c r="C9216" t="s">
        <v>351</v>
      </c>
      <c r="D9216" s="226">
        <v>0</v>
      </c>
      <c r="E9216" t="s">
        <v>708</v>
      </c>
    </row>
    <row r="9217" spans="1:5" hidden="1" x14ac:dyDescent="0.3">
      <c r="A9217" t="s">
        <v>552</v>
      </c>
      <c r="B9217" t="s">
        <v>707</v>
      </c>
      <c r="C9217" t="s">
        <v>352</v>
      </c>
      <c r="D9217" s="226">
        <v>0</v>
      </c>
      <c r="E9217" t="s">
        <v>708</v>
      </c>
    </row>
    <row r="9218" spans="1:5" hidden="1" x14ac:dyDescent="0.3">
      <c r="A9218" t="s">
        <v>552</v>
      </c>
      <c r="B9218" t="s">
        <v>707</v>
      </c>
      <c r="C9218" t="s">
        <v>353</v>
      </c>
      <c r="D9218" s="226">
        <v>0</v>
      </c>
      <c r="E9218" t="s">
        <v>708</v>
      </c>
    </row>
    <row r="9219" spans="1:5" hidden="1" x14ac:dyDescent="0.3">
      <c r="A9219" t="s">
        <v>552</v>
      </c>
      <c r="B9219" t="s">
        <v>707</v>
      </c>
      <c r="C9219" t="s">
        <v>354</v>
      </c>
      <c r="D9219" s="226">
        <v>0</v>
      </c>
      <c r="E9219" t="s">
        <v>708</v>
      </c>
    </row>
    <row r="9220" spans="1:5" hidden="1" x14ac:dyDescent="0.3">
      <c r="A9220" t="s">
        <v>552</v>
      </c>
      <c r="B9220" t="s">
        <v>707</v>
      </c>
      <c r="C9220" t="s">
        <v>355</v>
      </c>
      <c r="D9220" s="226">
        <v>0</v>
      </c>
      <c r="E9220" t="s">
        <v>708</v>
      </c>
    </row>
    <row r="9221" spans="1:5" hidden="1" x14ac:dyDescent="0.3">
      <c r="A9221" t="s">
        <v>552</v>
      </c>
      <c r="B9221" t="s">
        <v>707</v>
      </c>
      <c r="C9221" t="s">
        <v>356</v>
      </c>
      <c r="D9221" s="226">
        <v>0</v>
      </c>
      <c r="E9221" t="s">
        <v>708</v>
      </c>
    </row>
    <row r="9222" spans="1:5" hidden="1" x14ac:dyDescent="0.3">
      <c r="A9222" t="s">
        <v>552</v>
      </c>
      <c r="B9222" t="s">
        <v>707</v>
      </c>
      <c r="C9222" t="s">
        <v>357</v>
      </c>
      <c r="D9222" s="226">
        <v>0</v>
      </c>
      <c r="E9222" t="s">
        <v>708</v>
      </c>
    </row>
    <row r="9223" spans="1:5" hidden="1" x14ac:dyDescent="0.3">
      <c r="A9223" t="s">
        <v>552</v>
      </c>
      <c r="B9223" t="s">
        <v>707</v>
      </c>
      <c r="C9223" t="s">
        <v>358</v>
      </c>
      <c r="D9223" s="226">
        <v>0</v>
      </c>
      <c r="E9223" t="s">
        <v>708</v>
      </c>
    </row>
    <row r="9224" spans="1:5" hidden="1" x14ac:dyDescent="0.3">
      <c r="A9224" t="s">
        <v>552</v>
      </c>
      <c r="B9224" t="s">
        <v>707</v>
      </c>
      <c r="C9224" t="s">
        <v>359</v>
      </c>
      <c r="D9224" s="226">
        <v>0</v>
      </c>
      <c r="E9224" t="s">
        <v>708</v>
      </c>
    </row>
    <row r="9225" spans="1:5" hidden="1" x14ac:dyDescent="0.3">
      <c r="A9225" t="s">
        <v>552</v>
      </c>
      <c r="B9225" t="s">
        <v>707</v>
      </c>
      <c r="C9225" t="s">
        <v>360</v>
      </c>
      <c r="D9225" s="226">
        <v>0</v>
      </c>
      <c r="E9225" t="s">
        <v>708</v>
      </c>
    </row>
    <row r="9226" spans="1:5" hidden="1" x14ac:dyDescent="0.3">
      <c r="A9226" t="s">
        <v>552</v>
      </c>
      <c r="B9226" t="s">
        <v>707</v>
      </c>
      <c r="C9226" t="s">
        <v>361</v>
      </c>
      <c r="D9226" s="226">
        <v>0</v>
      </c>
      <c r="E9226" t="s">
        <v>708</v>
      </c>
    </row>
    <row r="9227" spans="1:5" hidden="1" x14ac:dyDescent="0.3">
      <c r="A9227" t="s">
        <v>552</v>
      </c>
      <c r="B9227" t="s">
        <v>707</v>
      </c>
      <c r="C9227" t="s">
        <v>362</v>
      </c>
      <c r="D9227" s="226">
        <v>0</v>
      </c>
      <c r="E9227" t="s">
        <v>708</v>
      </c>
    </row>
    <row r="9228" spans="1:5" hidden="1" x14ac:dyDescent="0.3">
      <c r="A9228" t="s">
        <v>552</v>
      </c>
      <c r="B9228" t="s">
        <v>707</v>
      </c>
      <c r="C9228" t="s">
        <v>363</v>
      </c>
      <c r="D9228" s="226">
        <v>0</v>
      </c>
      <c r="E9228" t="s">
        <v>708</v>
      </c>
    </row>
    <row r="9229" spans="1:5" hidden="1" x14ac:dyDescent="0.3">
      <c r="A9229" t="s">
        <v>552</v>
      </c>
      <c r="B9229" t="s">
        <v>707</v>
      </c>
      <c r="C9229" t="s">
        <v>364</v>
      </c>
      <c r="D9229" s="226">
        <v>-8342.9</v>
      </c>
      <c r="E9229" t="s">
        <v>708</v>
      </c>
    </row>
    <row r="9230" spans="1:5" hidden="1" x14ac:dyDescent="0.3">
      <c r="A9230" t="s">
        <v>552</v>
      </c>
      <c r="B9230" t="s">
        <v>707</v>
      </c>
      <c r="C9230" t="s">
        <v>365</v>
      </c>
      <c r="D9230" s="226">
        <v>0</v>
      </c>
      <c r="E9230" t="s">
        <v>708</v>
      </c>
    </row>
    <row r="9231" spans="1:5" hidden="1" x14ac:dyDescent="0.3">
      <c r="A9231" t="s">
        <v>552</v>
      </c>
      <c r="B9231" t="s">
        <v>707</v>
      </c>
      <c r="C9231" t="s">
        <v>366</v>
      </c>
      <c r="D9231" s="226">
        <v>0</v>
      </c>
      <c r="E9231" t="s">
        <v>708</v>
      </c>
    </row>
    <row r="9232" spans="1:5" hidden="1" x14ac:dyDescent="0.3">
      <c r="A9232" t="s">
        <v>552</v>
      </c>
      <c r="B9232" t="s">
        <v>707</v>
      </c>
      <c r="C9232" t="s">
        <v>367</v>
      </c>
      <c r="D9232" s="226">
        <v>-8342.9</v>
      </c>
      <c r="E9232" t="s">
        <v>708</v>
      </c>
    </row>
    <row r="9233" spans="1:5" hidden="1" x14ac:dyDescent="0.3">
      <c r="A9233" t="s">
        <v>552</v>
      </c>
      <c r="B9233" t="s">
        <v>707</v>
      </c>
      <c r="C9233" t="s">
        <v>368</v>
      </c>
      <c r="D9233" s="226">
        <v>0</v>
      </c>
      <c r="E9233" t="s">
        <v>708</v>
      </c>
    </row>
    <row r="9234" spans="1:5" hidden="1" x14ac:dyDescent="0.3">
      <c r="A9234" t="s">
        <v>552</v>
      </c>
      <c r="B9234" t="s">
        <v>707</v>
      </c>
      <c r="C9234" t="s">
        <v>369</v>
      </c>
      <c r="D9234" s="226">
        <v>0</v>
      </c>
      <c r="E9234" t="s">
        <v>708</v>
      </c>
    </row>
    <row r="9235" spans="1:5" hidden="1" x14ac:dyDescent="0.3">
      <c r="A9235" t="s">
        <v>552</v>
      </c>
      <c r="B9235" t="s">
        <v>707</v>
      </c>
      <c r="C9235" t="s">
        <v>370</v>
      </c>
      <c r="D9235" s="226">
        <v>0</v>
      </c>
      <c r="E9235" t="s">
        <v>708</v>
      </c>
    </row>
    <row r="9236" spans="1:5" hidden="1" x14ac:dyDescent="0.3">
      <c r="A9236" t="s">
        <v>552</v>
      </c>
      <c r="B9236" t="s">
        <v>707</v>
      </c>
      <c r="C9236" t="s">
        <v>371</v>
      </c>
      <c r="D9236" s="226">
        <v>0</v>
      </c>
      <c r="E9236" t="s">
        <v>708</v>
      </c>
    </row>
    <row r="9237" spans="1:5" hidden="1" x14ac:dyDescent="0.3">
      <c r="A9237" t="s">
        <v>552</v>
      </c>
      <c r="B9237" t="s">
        <v>707</v>
      </c>
      <c r="C9237" t="s">
        <v>372</v>
      </c>
      <c r="D9237" s="226">
        <v>-8342.9</v>
      </c>
      <c r="E9237" t="s">
        <v>708</v>
      </c>
    </row>
    <row r="9238" spans="1:5" hidden="1" x14ac:dyDescent="0.3">
      <c r="A9238" t="s">
        <v>552</v>
      </c>
      <c r="B9238" t="s">
        <v>707</v>
      </c>
      <c r="C9238" t="s">
        <v>373</v>
      </c>
      <c r="D9238" s="226">
        <v>335606.57</v>
      </c>
      <c r="E9238" t="s">
        <v>708</v>
      </c>
    </row>
    <row r="9239" spans="1:5" hidden="1" x14ac:dyDescent="0.3">
      <c r="A9239" t="s">
        <v>552</v>
      </c>
      <c r="B9239" t="s">
        <v>703</v>
      </c>
      <c r="C9239" t="s">
        <v>44</v>
      </c>
      <c r="D9239" s="226">
        <v>-0.02</v>
      </c>
      <c r="E9239" t="s">
        <v>704</v>
      </c>
    </row>
    <row r="9240" spans="1:5" hidden="1" x14ac:dyDescent="0.3">
      <c r="A9240" t="s">
        <v>552</v>
      </c>
      <c r="B9240" t="s">
        <v>703</v>
      </c>
      <c r="C9240" t="s">
        <v>44</v>
      </c>
      <c r="D9240" s="226">
        <v>-0.28000000000000003</v>
      </c>
      <c r="E9240" t="s">
        <v>704</v>
      </c>
    </row>
    <row r="9241" spans="1:5" hidden="1" x14ac:dyDescent="0.3">
      <c r="A9241" t="s">
        <v>552</v>
      </c>
      <c r="B9241" t="s">
        <v>703</v>
      </c>
      <c r="C9241" t="s">
        <v>44</v>
      </c>
      <c r="D9241" s="226">
        <v>0</v>
      </c>
      <c r="E9241" t="s">
        <v>704</v>
      </c>
    </row>
    <row r="9242" spans="1:5" hidden="1" x14ac:dyDescent="0.3">
      <c r="A9242" t="s">
        <v>552</v>
      </c>
      <c r="B9242" t="s">
        <v>703</v>
      </c>
      <c r="C9242" t="s">
        <v>44</v>
      </c>
      <c r="D9242" s="226">
        <v>0</v>
      </c>
      <c r="E9242" t="s">
        <v>704</v>
      </c>
    </row>
    <row r="9243" spans="1:5" hidden="1" x14ac:dyDescent="0.3">
      <c r="A9243" t="s">
        <v>552</v>
      </c>
      <c r="B9243" t="s">
        <v>703</v>
      </c>
      <c r="C9243" t="s">
        <v>44</v>
      </c>
      <c r="D9243" s="226">
        <v>-0.06</v>
      </c>
      <c r="E9243" t="s">
        <v>704</v>
      </c>
    </row>
    <row r="9244" spans="1:5" hidden="1" x14ac:dyDescent="0.3">
      <c r="A9244" t="s">
        <v>552</v>
      </c>
      <c r="B9244" t="s">
        <v>703</v>
      </c>
      <c r="C9244" t="s">
        <v>44</v>
      </c>
      <c r="D9244" s="226">
        <v>-0.03</v>
      </c>
      <c r="E9244" t="s">
        <v>704</v>
      </c>
    </row>
    <row r="9245" spans="1:5" hidden="1" x14ac:dyDescent="0.3">
      <c r="A9245" t="s">
        <v>552</v>
      </c>
      <c r="B9245" t="s">
        <v>703</v>
      </c>
      <c r="C9245" t="s">
        <v>44</v>
      </c>
      <c r="D9245" s="226">
        <v>-0.04</v>
      </c>
      <c r="E9245" t="s">
        <v>704</v>
      </c>
    </row>
    <row r="9246" spans="1:5" hidden="1" x14ac:dyDescent="0.3">
      <c r="A9246" t="s">
        <v>552</v>
      </c>
      <c r="B9246" t="s">
        <v>703</v>
      </c>
      <c r="C9246" t="s">
        <v>44</v>
      </c>
      <c r="D9246" s="226">
        <v>-0.06</v>
      </c>
      <c r="E9246" t="s">
        <v>704</v>
      </c>
    </row>
    <row r="9247" spans="1:5" hidden="1" x14ac:dyDescent="0.3">
      <c r="A9247" t="s">
        <v>552</v>
      </c>
      <c r="B9247" t="s">
        <v>703</v>
      </c>
      <c r="C9247" t="s">
        <v>44</v>
      </c>
      <c r="D9247" s="226">
        <v>0</v>
      </c>
      <c r="E9247" t="s">
        <v>704</v>
      </c>
    </row>
    <row r="9248" spans="1:5" hidden="1" x14ac:dyDescent="0.3">
      <c r="A9248" t="s">
        <v>552</v>
      </c>
      <c r="B9248" t="s">
        <v>703</v>
      </c>
      <c r="C9248" t="s">
        <v>44</v>
      </c>
      <c r="D9248" s="226">
        <v>-0.01</v>
      </c>
      <c r="E9248" t="s">
        <v>704</v>
      </c>
    </row>
    <row r="9249" spans="1:5" hidden="1" x14ac:dyDescent="0.3">
      <c r="A9249" t="s">
        <v>552</v>
      </c>
      <c r="B9249" t="s">
        <v>703</v>
      </c>
      <c r="C9249" t="s">
        <v>44</v>
      </c>
      <c r="D9249" s="226">
        <v>-0.01</v>
      </c>
      <c r="E9249" t="s">
        <v>704</v>
      </c>
    </row>
    <row r="9250" spans="1:5" hidden="1" x14ac:dyDescent="0.3">
      <c r="A9250" t="s">
        <v>552</v>
      </c>
      <c r="B9250" t="s">
        <v>703</v>
      </c>
      <c r="C9250" t="s">
        <v>44</v>
      </c>
      <c r="D9250" s="226">
        <v>-0.01</v>
      </c>
      <c r="E9250" t="s">
        <v>704</v>
      </c>
    </row>
    <row r="9251" spans="1:5" hidden="1" x14ac:dyDescent="0.3">
      <c r="A9251" t="s">
        <v>552</v>
      </c>
      <c r="B9251" t="s">
        <v>703</v>
      </c>
      <c r="C9251" t="s">
        <v>44</v>
      </c>
      <c r="D9251" s="226">
        <v>0</v>
      </c>
      <c r="E9251" t="s">
        <v>704</v>
      </c>
    </row>
    <row r="9252" spans="1:5" hidden="1" x14ac:dyDescent="0.3">
      <c r="A9252" t="s">
        <v>552</v>
      </c>
      <c r="B9252" t="s">
        <v>703</v>
      </c>
      <c r="C9252" t="s">
        <v>44</v>
      </c>
      <c r="D9252" s="226">
        <v>-0.05</v>
      </c>
      <c r="E9252" t="s">
        <v>704</v>
      </c>
    </row>
    <row r="9253" spans="1:5" hidden="1" x14ac:dyDescent="0.3">
      <c r="A9253" t="s">
        <v>552</v>
      </c>
      <c r="B9253" t="s">
        <v>703</v>
      </c>
      <c r="C9253" t="s">
        <v>44</v>
      </c>
      <c r="D9253" s="226">
        <v>-0.42</v>
      </c>
      <c r="E9253" t="s">
        <v>704</v>
      </c>
    </row>
    <row r="9254" spans="1:5" hidden="1" x14ac:dyDescent="0.3">
      <c r="A9254" t="s">
        <v>552</v>
      </c>
      <c r="B9254" t="s">
        <v>703</v>
      </c>
      <c r="C9254" t="s">
        <v>44</v>
      </c>
      <c r="D9254" s="226">
        <v>0.15</v>
      </c>
      <c r="E9254" t="s">
        <v>704</v>
      </c>
    </row>
    <row r="9255" spans="1:5" hidden="1" x14ac:dyDescent="0.3">
      <c r="A9255" t="s">
        <v>552</v>
      </c>
      <c r="B9255" t="s">
        <v>703</v>
      </c>
      <c r="C9255" t="s">
        <v>332</v>
      </c>
      <c r="D9255" s="226">
        <v>-1067.49</v>
      </c>
      <c r="E9255" t="s">
        <v>704</v>
      </c>
    </row>
    <row r="9256" spans="1:5" hidden="1" x14ac:dyDescent="0.3">
      <c r="A9256" t="s">
        <v>552</v>
      </c>
      <c r="B9256" t="s">
        <v>703</v>
      </c>
      <c r="C9256" t="s">
        <v>337</v>
      </c>
      <c r="D9256" s="226">
        <v>223224.97</v>
      </c>
      <c r="E9256" t="s">
        <v>704</v>
      </c>
    </row>
    <row r="9257" spans="1:5" hidden="1" x14ac:dyDescent="0.3">
      <c r="A9257" t="s">
        <v>552</v>
      </c>
      <c r="B9257" t="s">
        <v>703</v>
      </c>
      <c r="C9257" t="s">
        <v>338</v>
      </c>
      <c r="D9257" s="226">
        <v>-43918.47</v>
      </c>
      <c r="E9257" t="s">
        <v>704</v>
      </c>
    </row>
    <row r="9258" spans="1:5" hidden="1" x14ac:dyDescent="0.3">
      <c r="A9258" t="s">
        <v>552</v>
      </c>
      <c r="B9258" t="s">
        <v>703</v>
      </c>
      <c r="C9258" t="s">
        <v>343</v>
      </c>
      <c r="D9258" s="226">
        <v>-15911.92</v>
      </c>
      <c r="E9258" t="s">
        <v>704</v>
      </c>
    </row>
    <row r="9259" spans="1:5" hidden="1" x14ac:dyDescent="0.3">
      <c r="A9259" t="s">
        <v>552</v>
      </c>
      <c r="B9259" t="s">
        <v>703</v>
      </c>
      <c r="C9259" t="s">
        <v>346</v>
      </c>
      <c r="D9259" s="226">
        <v>179306.5</v>
      </c>
      <c r="E9259" t="s">
        <v>704</v>
      </c>
    </row>
    <row r="9260" spans="1:5" hidden="1" x14ac:dyDescent="0.3">
      <c r="A9260" t="s">
        <v>552</v>
      </c>
      <c r="B9260" t="s">
        <v>703</v>
      </c>
      <c r="C9260" t="s">
        <v>373</v>
      </c>
      <c r="D9260" s="226">
        <v>158765.78</v>
      </c>
      <c r="E9260" t="s">
        <v>704</v>
      </c>
    </row>
    <row r="9261" spans="1:5" hidden="1" x14ac:dyDescent="0.3">
      <c r="A9261" t="s">
        <v>552</v>
      </c>
      <c r="B9261" t="s">
        <v>705</v>
      </c>
      <c r="C9261" t="s">
        <v>44</v>
      </c>
      <c r="D9261" s="226">
        <v>-0.01</v>
      </c>
      <c r="E9261" t="s">
        <v>706</v>
      </c>
    </row>
    <row r="9262" spans="1:5" hidden="1" x14ac:dyDescent="0.3">
      <c r="A9262" t="s">
        <v>552</v>
      </c>
      <c r="B9262" t="s">
        <v>705</v>
      </c>
      <c r="C9262" t="s">
        <v>44</v>
      </c>
      <c r="D9262" s="226">
        <v>-0.26</v>
      </c>
      <c r="E9262" t="s">
        <v>706</v>
      </c>
    </row>
    <row r="9263" spans="1:5" hidden="1" x14ac:dyDescent="0.3">
      <c r="A9263" t="s">
        <v>552</v>
      </c>
      <c r="B9263" t="s">
        <v>705</v>
      </c>
      <c r="C9263" t="s">
        <v>44</v>
      </c>
      <c r="D9263" s="226">
        <v>0</v>
      </c>
      <c r="E9263" t="s">
        <v>706</v>
      </c>
    </row>
    <row r="9264" spans="1:5" hidden="1" x14ac:dyDescent="0.3">
      <c r="A9264" t="s">
        <v>552</v>
      </c>
      <c r="B9264" t="s">
        <v>705</v>
      </c>
      <c r="C9264" t="s">
        <v>44</v>
      </c>
      <c r="D9264" s="226">
        <v>0</v>
      </c>
      <c r="E9264" t="s">
        <v>706</v>
      </c>
    </row>
    <row r="9265" spans="1:5" hidden="1" x14ac:dyDescent="0.3">
      <c r="A9265" t="s">
        <v>552</v>
      </c>
      <c r="B9265" t="s">
        <v>705</v>
      </c>
      <c r="C9265" t="s">
        <v>44</v>
      </c>
      <c r="D9265" s="226">
        <v>-0.06</v>
      </c>
      <c r="E9265" t="s">
        <v>706</v>
      </c>
    </row>
    <row r="9266" spans="1:5" hidden="1" x14ac:dyDescent="0.3">
      <c r="A9266" t="s">
        <v>552</v>
      </c>
      <c r="B9266" t="s">
        <v>705</v>
      </c>
      <c r="C9266" t="s">
        <v>44</v>
      </c>
      <c r="D9266" s="226">
        <v>-0.04</v>
      </c>
      <c r="E9266" t="s">
        <v>706</v>
      </c>
    </row>
    <row r="9267" spans="1:5" hidden="1" x14ac:dyDescent="0.3">
      <c r="A9267" t="s">
        <v>552</v>
      </c>
      <c r="B9267" t="s">
        <v>705</v>
      </c>
      <c r="C9267" t="s">
        <v>44</v>
      </c>
      <c r="D9267" s="226">
        <v>-0.04</v>
      </c>
      <c r="E9267" t="s">
        <v>706</v>
      </c>
    </row>
    <row r="9268" spans="1:5" hidden="1" x14ac:dyDescent="0.3">
      <c r="A9268" t="s">
        <v>552</v>
      </c>
      <c r="B9268" t="s">
        <v>705</v>
      </c>
      <c r="C9268" t="s">
        <v>44</v>
      </c>
      <c r="D9268" s="226">
        <v>-0.06</v>
      </c>
      <c r="E9268" t="s">
        <v>706</v>
      </c>
    </row>
    <row r="9269" spans="1:5" hidden="1" x14ac:dyDescent="0.3">
      <c r="A9269" t="s">
        <v>552</v>
      </c>
      <c r="B9269" t="s">
        <v>705</v>
      </c>
      <c r="C9269" t="s">
        <v>44</v>
      </c>
      <c r="D9269" s="226">
        <v>0</v>
      </c>
      <c r="E9269" t="s">
        <v>706</v>
      </c>
    </row>
    <row r="9270" spans="1:5" hidden="1" x14ac:dyDescent="0.3">
      <c r="A9270" t="s">
        <v>552</v>
      </c>
      <c r="B9270" t="s">
        <v>705</v>
      </c>
      <c r="C9270" t="s">
        <v>44</v>
      </c>
      <c r="D9270" s="226">
        <v>-0.01</v>
      </c>
      <c r="E9270" t="s">
        <v>706</v>
      </c>
    </row>
    <row r="9271" spans="1:5" hidden="1" x14ac:dyDescent="0.3">
      <c r="A9271" t="s">
        <v>552</v>
      </c>
      <c r="B9271" t="s">
        <v>705</v>
      </c>
      <c r="C9271" t="s">
        <v>44</v>
      </c>
      <c r="D9271" s="226">
        <v>-0.01</v>
      </c>
      <c r="E9271" t="s">
        <v>706</v>
      </c>
    </row>
    <row r="9272" spans="1:5" hidden="1" x14ac:dyDescent="0.3">
      <c r="A9272" t="s">
        <v>552</v>
      </c>
      <c r="B9272" t="s">
        <v>705</v>
      </c>
      <c r="C9272" t="s">
        <v>44</v>
      </c>
      <c r="D9272" s="226">
        <v>-0.01</v>
      </c>
      <c r="E9272" t="s">
        <v>706</v>
      </c>
    </row>
    <row r="9273" spans="1:5" hidden="1" x14ac:dyDescent="0.3">
      <c r="A9273" t="s">
        <v>552</v>
      </c>
      <c r="B9273" t="s">
        <v>705</v>
      </c>
      <c r="C9273" t="s">
        <v>44</v>
      </c>
      <c r="D9273" s="226">
        <v>0</v>
      </c>
      <c r="E9273" t="s">
        <v>706</v>
      </c>
    </row>
    <row r="9274" spans="1:5" hidden="1" x14ac:dyDescent="0.3">
      <c r="A9274" t="s">
        <v>552</v>
      </c>
      <c r="B9274" t="s">
        <v>705</v>
      </c>
      <c r="C9274" t="s">
        <v>44</v>
      </c>
      <c r="D9274" s="226">
        <v>-0.05</v>
      </c>
      <c r="E9274" t="s">
        <v>706</v>
      </c>
    </row>
    <row r="9275" spans="1:5" hidden="1" x14ac:dyDescent="0.3">
      <c r="A9275" t="s">
        <v>552</v>
      </c>
      <c r="B9275" t="s">
        <v>705</v>
      </c>
      <c r="C9275" t="s">
        <v>44</v>
      </c>
      <c r="D9275" s="226">
        <v>-0.39</v>
      </c>
      <c r="E9275" t="s">
        <v>706</v>
      </c>
    </row>
    <row r="9276" spans="1:5" hidden="1" x14ac:dyDescent="0.3">
      <c r="A9276" t="s">
        <v>552</v>
      </c>
      <c r="B9276" t="s">
        <v>705</v>
      </c>
      <c r="C9276" t="s">
        <v>338</v>
      </c>
      <c r="D9276" s="226">
        <v>-44388.27</v>
      </c>
      <c r="E9276" t="s">
        <v>706</v>
      </c>
    </row>
    <row r="9277" spans="1:5" hidden="1" x14ac:dyDescent="0.3">
      <c r="A9277" t="s">
        <v>552</v>
      </c>
      <c r="B9277" t="s">
        <v>705</v>
      </c>
      <c r="C9277" t="s">
        <v>343</v>
      </c>
      <c r="D9277" s="226">
        <v>-16257.22</v>
      </c>
      <c r="E9277" t="s">
        <v>706</v>
      </c>
    </row>
    <row r="9278" spans="1:5" hidden="1" x14ac:dyDescent="0.3">
      <c r="A9278" t="s">
        <v>552</v>
      </c>
      <c r="B9278" t="s">
        <v>705</v>
      </c>
      <c r="C9278" t="s">
        <v>346</v>
      </c>
      <c r="D9278" s="226">
        <v>223186.77</v>
      </c>
      <c r="E9278" t="s">
        <v>706</v>
      </c>
    </row>
    <row r="9279" spans="1:5" hidden="1" x14ac:dyDescent="0.3">
      <c r="A9279" t="s">
        <v>552</v>
      </c>
      <c r="B9279" t="s">
        <v>705</v>
      </c>
      <c r="C9279" t="s">
        <v>44</v>
      </c>
      <c r="D9279" s="226">
        <v>0.15</v>
      </c>
      <c r="E9279" t="s">
        <v>706</v>
      </c>
    </row>
    <row r="9280" spans="1:5" hidden="1" x14ac:dyDescent="0.3">
      <c r="A9280" t="s">
        <v>552</v>
      </c>
      <c r="B9280" t="s">
        <v>705</v>
      </c>
      <c r="C9280" t="s">
        <v>373</v>
      </c>
      <c r="D9280" s="226">
        <v>214843.87</v>
      </c>
      <c r="E9280" t="s">
        <v>706</v>
      </c>
    </row>
    <row r="9281" spans="1:5" hidden="1" x14ac:dyDescent="0.3">
      <c r="A9281" t="s">
        <v>552</v>
      </c>
      <c r="B9281" t="s">
        <v>707</v>
      </c>
      <c r="C9281" t="s">
        <v>11</v>
      </c>
      <c r="D9281" s="226">
        <v>1844977.83</v>
      </c>
      <c r="E9281" t="s">
        <v>708</v>
      </c>
    </row>
    <row r="9282" spans="1:5" hidden="1" x14ac:dyDescent="0.3">
      <c r="A9282" t="s">
        <v>552</v>
      </c>
      <c r="B9282" t="s">
        <v>707</v>
      </c>
      <c r="C9282" t="s">
        <v>31</v>
      </c>
      <c r="D9282" s="226">
        <v>972</v>
      </c>
      <c r="E9282" t="s">
        <v>708</v>
      </c>
    </row>
    <row r="9283" spans="1:5" hidden="1" x14ac:dyDescent="0.3">
      <c r="A9283" t="s">
        <v>552</v>
      </c>
      <c r="B9283" t="s">
        <v>707</v>
      </c>
      <c r="C9283" t="s">
        <v>44</v>
      </c>
      <c r="D9283" s="226">
        <v>-0.01</v>
      </c>
      <c r="E9283" t="s">
        <v>708</v>
      </c>
    </row>
    <row r="9284" spans="1:5" hidden="1" x14ac:dyDescent="0.3">
      <c r="A9284" t="s">
        <v>552</v>
      </c>
      <c r="B9284" t="s">
        <v>707</v>
      </c>
      <c r="C9284" t="s">
        <v>50</v>
      </c>
      <c r="D9284" s="226">
        <v>1697786.83</v>
      </c>
      <c r="E9284" t="s">
        <v>708</v>
      </c>
    </row>
    <row r="9285" spans="1:5" hidden="1" x14ac:dyDescent="0.3">
      <c r="A9285" t="s">
        <v>552</v>
      </c>
      <c r="B9285" t="s">
        <v>707</v>
      </c>
      <c r="C9285" t="s">
        <v>51</v>
      </c>
      <c r="D9285" s="226">
        <v>-427787.34</v>
      </c>
      <c r="E9285" t="s">
        <v>708</v>
      </c>
    </row>
    <row r="9286" spans="1:5" hidden="1" x14ac:dyDescent="0.3">
      <c r="A9286" t="s">
        <v>552</v>
      </c>
      <c r="B9286" t="s">
        <v>707</v>
      </c>
      <c r="C9286" t="s">
        <v>52</v>
      </c>
      <c r="D9286" s="226">
        <v>-286293.45</v>
      </c>
      <c r="E9286" t="s">
        <v>708</v>
      </c>
    </row>
    <row r="9287" spans="1:5" hidden="1" x14ac:dyDescent="0.3">
      <c r="A9287" t="s">
        <v>552</v>
      </c>
      <c r="B9287" t="s">
        <v>707</v>
      </c>
      <c r="C9287" t="s">
        <v>53</v>
      </c>
      <c r="D9287" s="226">
        <v>-136034.62</v>
      </c>
      <c r="E9287" t="s">
        <v>708</v>
      </c>
    </row>
    <row r="9288" spans="1:5" hidden="1" x14ac:dyDescent="0.3">
      <c r="A9288" t="s">
        <v>552</v>
      </c>
      <c r="B9288" t="s">
        <v>707</v>
      </c>
      <c r="C9288" t="s">
        <v>44</v>
      </c>
      <c r="D9288" s="226">
        <v>-0.26</v>
      </c>
      <c r="E9288" t="s">
        <v>708</v>
      </c>
    </row>
    <row r="9289" spans="1:5" hidden="1" x14ac:dyDescent="0.3">
      <c r="A9289" t="s">
        <v>552</v>
      </c>
      <c r="B9289" t="s">
        <v>707</v>
      </c>
      <c r="C9289" t="s">
        <v>44</v>
      </c>
      <c r="D9289" s="226">
        <v>0</v>
      </c>
      <c r="E9289" t="s">
        <v>708</v>
      </c>
    </row>
    <row r="9290" spans="1:5" hidden="1" x14ac:dyDescent="0.3">
      <c r="A9290" t="s">
        <v>552</v>
      </c>
      <c r="B9290" t="s">
        <v>707</v>
      </c>
      <c r="C9290" t="s">
        <v>44</v>
      </c>
      <c r="D9290" s="226">
        <v>0</v>
      </c>
      <c r="E9290" t="s">
        <v>708</v>
      </c>
    </row>
    <row r="9291" spans="1:5" hidden="1" x14ac:dyDescent="0.3">
      <c r="A9291" t="s">
        <v>552</v>
      </c>
      <c r="B9291" t="s">
        <v>707</v>
      </c>
      <c r="C9291" t="s">
        <v>44</v>
      </c>
      <c r="D9291" s="226">
        <v>-0.06</v>
      </c>
      <c r="E9291" t="s">
        <v>708</v>
      </c>
    </row>
    <row r="9292" spans="1:5" hidden="1" x14ac:dyDescent="0.3">
      <c r="A9292" t="s">
        <v>552</v>
      </c>
      <c r="B9292" t="s">
        <v>707</v>
      </c>
      <c r="C9292" t="s">
        <v>44</v>
      </c>
      <c r="D9292" s="226">
        <v>-0.04</v>
      </c>
      <c r="E9292" t="s">
        <v>708</v>
      </c>
    </row>
    <row r="9293" spans="1:5" hidden="1" x14ac:dyDescent="0.3">
      <c r="A9293" t="s">
        <v>552</v>
      </c>
      <c r="B9293" t="s">
        <v>707</v>
      </c>
      <c r="C9293" t="s">
        <v>125</v>
      </c>
      <c r="D9293" s="226">
        <v>1092791.5900000001</v>
      </c>
      <c r="E9293" t="s">
        <v>708</v>
      </c>
    </row>
    <row r="9294" spans="1:5" hidden="1" x14ac:dyDescent="0.3">
      <c r="A9294" t="s">
        <v>552</v>
      </c>
      <c r="B9294" t="s">
        <v>707</v>
      </c>
      <c r="C9294" t="s">
        <v>44</v>
      </c>
      <c r="D9294" s="226">
        <v>-0.03</v>
      </c>
      <c r="E9294" t="s">
        <v>708</v>
      </c>
    </row>
    <row r="9295" spans="1:5" hidden="1" x14ac:dyDescent="0.3">
      <c r="A9295" t="s">
        <v>552</v>
      </c>
      <c r="B9295" t="s">
        <v>707</v>
      </c>
      <c r="C9295" t="s">
        <v>263</v>
      </c>
      <c r="D9295" s="226">
        <v>-107992.18</v>
      </c>
      <c r="E9295" t="s">
        <v>708</v>
      </c>
    </row>
    <row r="9296" spans="1:5" hidden="1" x14ac:dyDescent="0.3">
      <c r="A9296" t="s">
        <v>552</v>
      </c>
      <c r="B9296" t="s">
        <v>707</v>
      </c>
      <c r="C9296" t="s">
        <v>267</v>
      </c>
      <c r="D9296" s="226">
        <v>-22055.33</v>
      </c>
      <c r="E9296" t="s">
        <v>708</v>
      </c>
    </row>
    <row r="9297" spans="1:5" hidden="1" x14ac:dyDescent="0.3">
      <c r="A9297" t="s">
        <v>552</v>
      </c>
      <c r="B9297" t="s">
        <v>707</v>
      </c>
      <c r="C9297" t="s">
        <v>271</v>
      </c>
      <c r="D9297" s="226">
        <v>-14876.1</v>
      </c>
      <c r="E9297" t="s">
        <v>708</v>
      </c>
    </row>
    <row r="9298" spans="1:5" hidden="1" x14ac:dyDescent="0.3">
      <c r="A9298" t="s">
        <v>552</v>
      </c>
      <c r="B9298" t="s">
        <v>707</v>
      </c>
      <c r="C9298" t="s">
        <v>44</v>
      </c>
      <c r="D9298" s="226">
        <v>-0.06</v>
      </c>
      <c r="E9298" t="s">
        <v>708</v>
      </c>
    </row>
    <row r="9299" spans="1:5" hidden="1" x14ac:dyDescent="0.3">
      <c r="A9299" t="s">
        <v>552</v>
      </c>
      <c r="B9299" t="s">
        <v>707</v>
      </c>
      <c r="C9299" t="s">
        <v>44</v>
      </c>
      <c r="D9299" s="226">
        <v>0</v>
      </c>
      <c r="E9299" t="s">
        <v>708</v>
      </c>
    </row>
    <row r="9300" spans="1:5" hidden="1" x14ac:dyDescent="0.3">
      <c r="A9300" t="s">
        <v>552</v>
      </c>
      <c r="B9300" t="s">
        <v>707</v>
      </c>
      <c r="C9300" t="s">
        <v>44</v>
      </c>
      <c r="D9300" s="226">
        <v>-0.01</v>
      </c>
      <c r="E9300" t="s">
        <v>708</v>
      </c>
    </row>
    <row r="9301" spans="1:5" hidden="1" x14ac:dyDescent="0.3">
      <c r="A9301" t="s">
        <v>552</v>
      </c>
      <c r="B9301" t="s">
        <v>707</v>
      </c>
      <c r="C9301" t="s">
        <v>44</v>
      </c>
      <c r="D9301" s="226">
        <v>0</v>
      </c>
      <c r="E9301" t="s">
        <v>708</v>
      </c>
    </row>
    <row r="9302" spans="1:5" hidden="1" x14ac:dyDescent="0.3">
      <c r="A9302" t="s">
        <v>552</v>
      </c>
      <c r="B9302" t="s">
        <v>707</v>
      </c>
      <c r="C9302" t="s">
        <v>44</v>
      </c>
      <c r="D9302" s="226">
        <v>-0.01</v>
      </c>
      <c r="E9302" t="s">
        <v>708</v>
      </c>
    </row>
    <row r="9303" spans="1:5" hidden="1" x14ac:dyDescent="0.3">
      <c r="A9303" t="s">
        <v>552</v>
      </c>
      <c r="B9303" t="s">
        <v>707</v>
      </c>
      <c r="C9303" t="s">
        <v>44</v>
      </c>
      <c r="D9303" s="226">
        <v>0</v>
      </c>
      <c r="E9303" t="s">
        <v>708</v>
      </c>
    </row>
    <row r="9304" spans="1:5" hidden="1" x14ac:dyDescent="0.3">
      <c r="A9304" t="s">
        <v>552</v>
      </c>
      <c r="B9304" t="s">
        <v>707</v>
      </c>
      <c r="C9304" t="s">
        <v>322</v>
      </c>
      <c r="D9304" s="226">
        <v>-92248.89</v>
      </c>
      <c r="E9304" t="s">
        <v>708</v>
      </c>
    </row>
    <row r="9305" spans="1:5" hidden="1" x14ac:dyDescent="0.3">
      <c r="A9305" t="s">
        <v>552</v>
      </c>
      <c r="B9305" t="s">
        <v>707</v>
      </c>
      <c r="C9305" t="s">
        <v>325</v>
      </c>
      <c r="D9305" s="226">
        <v>-92248.89</v>
      </c>
      <c r="E9305" t="s">
        <v>708</v>
      </c>
    </row>
    <row r="9306" spans="1:5" hidden="1" x14ac:dyDescent="0.3">
      <c r="A9306" t="s">
        <v>552</v>
      </c>
      <c r="B9306" t="s">
        <v>707</v>
      </c>
      <c r="C9306" t="s">
        <v>44</v>
      </c>
      <c r="D9306" s="226">
        <v>-0.05</v>
      </c>
      <c r="E9306" t="s">
        <v>708</v>
      </c>
    </row>
    <row r="9307" spans="1:5" hidden="1" x14ac:dyDescent="0.3">
      <c r="A9307" t="s">
        <v>552</v>
      </c>
      <c r="B9307" t="s">
        <v>707</v>
      </c>
      <c r="C9307" t="s">
        <v>327</v>
      </c>
      <c r="D9307" s="226">
        <v>-681361.5</v>
      </c>
      <c r="E9307" t="s">
        <v>708</v>
      </c>
    </row>
    <row r="9308" spans="1:5" hidden="1" x14ac:dyDescent="0.3">
      <c r="A9308" t="s">
        <v>552</v>
      </c>
      <c r="B9308" t="s">
        <v>707</v>
      </c>
      <c r="C9308" t="s">
        <v>44</v>
      </c>
      <c r="D9308" s="226">
        <v>-0.37</v>
      </c>
      <c r="E9308" t="s">
        <v>708</v>
      </c>
    </row>
    <row r="9309" spans="1:5" hidden="1" x14ac:dyDescent="0.3">
      <c r="A9309" t="s">
        <v>552</v>
      </c>
      <c r="B9309" t="s">
        <v>707</v>
      </c>
      <c r="C9309" t="s">
        <v>328</v>
      </c>
      <c r="D9309" s="226">
        <v>411430.09</v>
      </c>
      <c r="E9309" t="s">
        <v>708</v>
      </c>
    </row>
    <row r="9310" spans="1:5" hidden="1" x14ac:dyDescent="0.3">
      <c r="A9310" t="s">
        <v>552</v>
      </c>
      <c r="B9310" t="s">
        <v>707</v>
      </c>
      <c r="C9310" t="s">
        <v>44</v>
      </c>
      <c r="D9310" s="226">
        <v>0.22</v>
      </c>
      <c r="E9310" t="s">
        <v>708</v>
      </c>
    </row>
    <row r="9311" spans="1:5" hidden="1" x14ac:dyDescent="0.3">
      <c r="A9311" t="s">
        <v>552</v>
      </c>
      <c r="B9311" t="s">
        <v>707</v>
      </c>
      <c r="C9311" t="s">
        <v>331</v>
      </c>
      <c r="D9311" s="226">
        <v>411430.09</v>
      </c>
      <c r="E9311" t="s">
        <v>708</v>
      </c>
    </row>
    <row r="9312" spans="1:5" hidden="1" x14ac:dyDescent="0.3">
      <c r="A9312" t="s">
        <v>552</v>
      </c>
      <c r="B9312" t="s">
        <v>707</v>
      </c>
      <c r="C9312" t="s">
        <v>332</v>
      </c>
      <c r="D9312" s="226">
        <v>-1292.3</v>
      </c>
      <c r="E9312" t="s">
        <v>708</v>
      </c>
    </row>
    <row r="9313" spans="1:5" hidden="1" x14ac:dyDescent="0.3">
      <c r="A9313" t="s">
        <v>552</v>
      </c>
      <c r="B9313" t="s">
        <v>707</v>
      </c>
      <c r="C9313" t="s">
        <v>337</v>
      </c>
      <c r="D9313" s="226">
        <v>424964.41</v>
      </c>
      <c r="E9313" t="s">
        <v>708</v>
      </c>
    </row>
    <row r="9314" spans="1:5" hidden="1" x14ac:dyDescent="0.3">
      <c r="A9314" t="s">
        <v>552</v>
      </c>
      <c r="B9314" t="s">
        <v>707</v>
      </c>
      <c r="C9314" t="s">
        <v>338</v>
      </c>
      <c r="D9314" s="226">
        <v>-81214.759999999995</v>
      </c>
      <c r="E9314" t="s">
        <v>708</v>
      </c>
    </row>
    <row r="9315" spans="1:5" hidden="1" x14ac:dyDescent="0.3">
      <c r="A9315" t="s">
        <v>552</v>
      </c>
      <c r="B9315" t="s">
        <v>707</v>
      </c>
      <c r="C9315" t="s">
        <v>343</v>
      </c>
      <c r="D9315" s="226">
        <v>-19928.689999999999</v>
      </c>
      <c r="E9315" t="s">
        <v>708</v>
      </c>
    </row>
    <row r="9316" spans="1:5" hidden="1" x14ac:dyDescent="0.3">
      <c r="A9316" t="s">
        <v>552</v>
      </c>
      <c r="B9316" t="s">
        <v>707</v>
      </c>
      <c r="C9316" t="s">
        <v>344</v>
      </c>
      <c r="D9316" s="226">
        <v>-28731.89</v>
      </c>
      <c r="E9316" t="s">
        <v>708</v>
      </c>
    </row>
    <row r="9317" spans="1:5" hidden="1" x14ac:dyDescent="0.3">
      <c r="A9317" t="s">
        <v>552</v>
      </c>
      <c r="B9317" t="s">
        <v>707</v>
      </c>
      <c r="C9317" t="s">
        <v>345</v>
      </c>
      <c r="D9317" s="226">
        <v>-17883.990000000002</v>
      </c>
      <c r="E9317" t="s">
        <v>708</v>
      </c>
    </row>
    <row r="9318" spans="1:5" hidden="1" x14ac:dyDescent="0.3">
      <c r="A9318" t="s">
        <v>552</v>
      </c>
      <c r="B9318" t="s">
        <v>707</v>
      </c>
      <c r="C9318" t="s">
        <v>346</v>
      </c>
      <c r="D9318" s="226">
        <v>343749.65</v>
      </c>
      <c r="E9318" t="s">
        <v>708</v>
      </c>
    </row>
    <row r="9319" spans="1:5" hidden="1" x14ac:dyDescent="0.3">
      <c r="A9319" t="s">
        <v>552</v>
      </c>
      <c r="B9319" t="s">
        <v>707</v>
      </c>
      <c r="C9319" t="s">
        <v>373</v>
      </c>
      <c r="D9319" s="226">
        <v>335406.75</v>
      </c>
      <c r="E9319" t="s">
        <v>708</v>
      </c>
    </row>
    <row r="9320" spans="1:5" hidden="1" x14ac:dyDescent="0.3">
      <c r="A9320" t="s">
        <v>552</v>
      </c>
      <c r="B9320" t="s">
        <v>709</v>
      </c>
      <c r="C9320" t="s">
        <v>11</v>
      </c>
      <c r="D9320" s="226">
        <v>1785431.81</v>
      </c>
      <c r="E9320" t="s">
        <v>710</v>
      </c>
    </row>
    <row r="9321" spans="1:5" hidden="1" x14ac:dyDescent="0.3">
      <c r="A9321" t="s">
        <v>552</v>
      </c>
      <c r="B9321" t="s">
        <v>709</v>
      </c>
      <c r="C9321" t="s">
        <v>13</v>
      </c>
      <c r="D9321" s="226">
        <v>841743.16</v>
      </c>
      <c r="E9321" t="s">
        <v>710</v>
      </c>
    </row>
    <row r="9322" spans="1:5" hidden="1" x14ac:dyDescent="0.3">
      <c r="A9322" t="s">
        <v>552</v>
      </c>
      <c r="B9322" t="s">
        <v>709</v>
      </c>
      <c r="C9322" t="s">
        <v>16</v>
      </c>
      <c r="D9322" s="226">
        <v>612292.54</v>
      </c>
      <c r="E9322" t="s">
        <v>710</v>
      </c>
    </row>
    <row r="9323" spans="1:5" hidden="1" x14ac:dyDescent="0.3">
      <c r="A9323" t="s">
        <v>552</v>
      </c>
      <c r="B9323" t="s">
        <v>709</v>
      </c>
      <c r="C9323" t="s">
        <v>17</v>
      </c>
      <c r="D9323" s="226">
        <v>0</v>
      </c>
      <c r="E9323" t="s">
        <v>710</v>
      </c>
    </row>
    <row r="9324" spans="1:5" hidden="1" x14ac:dyDescent="0.3">
      <c r="A9324" t="s">
        <v>552</v>
      </c>
      <c r="B9324" t="s">
        <v>709</v>
      </c>
      <c r="C9324" t="s">
        <v>18</v>
      </c>
      <c r="D9324" s="226">
        <v>0</v>
      </c>
      <c r="E9324" t="s">
        <v>710</v>
      </c>
    </row>
    <row r="9325" spans="1:5" hidden="1" x14ac:dyDescent="0.3">
      <c r="A9325" t="s">
        <v>552</v>
      </c>
      <c r="B9325" t="s">
        <v>709</v>
      </c>
      <c r="C9325" t="s">
        <v>20</v>
      </c>
      <c r="D9325" s="226">
        <v>184793.12</v>
      </c>
      <c r="E9325" t="s">
        <v>710</v>
      </c>
    </row>
    <row r="9326" spans="1:5" hidden="1" x14ac:dyDescent="0.3">
      <c r="A9326" t="s">
        <v>552</v>
      </c>
      <c r="B9326" t="s">
        <v>709</v>
      </c>
      <c r="C9326" t="s">
        <v>23</v>
      </c>
      <c r="D9326" s="226">
        <v>12600</v>
      </c>
      <c r="E9326" t="s">
        <v>710</v>
      </c>
    </row>
    <row r="9327" spans="1:5" hidden="1" x14ac:dyDescent="0.3">
      <c r="A9327" t="s">
        <v>552</v>
      </c>
      <c r="B9327" t="s">
        <v>709</v>
      </c>
      <c r="C9327" t="s">
        <v>25</v>
      </c>
      <c r="D9327" s="226">
        <v>0</v>
      </c>
      <c r="E9327" t="s">
        <v>710</v>
      </c>
    </row>
    <row r="9328" spans="1:5" hidden="1" x14ac:dyDescent="0.3">
      <c r="A9328" t="s">
        <v>552</v>
      </c>
      <c r="B9328" t="s">
        <v>709</v>
      </c>
      <c r="C9328" t="s">
        <v>26</v>
      </c>
      <c r="D9328" s="226">
        <v>75047.600000000006</v>
      </c>
      <c r="E9328" t="s">
        <v>710</v>
      </c>
    </row>
    <row r="9329" spans="1:5" hidden="1" x14ac:dyDescent="0.3">
      <c r="A9329" t="s">
        <v>552</v>
      </c>
      <c r="B9329" t="s">
        <v>709</v>
      </c>
      <c r="C9329" t="s">
        <v>27</v>
      </c>
      <c r="D9329" s="226">
        <v>0</v>
      </c>
      <c r="E9329" t="s">
        <v>710</v>
      </c>
    </row>
    <row r="9330" spans="1:5" hidden="1" x14ac:dyDescent="0.3">
      <c r="A9330" t="s">
        <v>552</v>
      </c>
      <c r="B9330" t="s">
        <v>709</v>
      </c>
      <c r="C9330" t="s">
        <v>29</v>
      </c>
      <c r="D9330" s="226">
        <v>58361.39</v>
      </c>
      <c r="E9330" t="s">
        <v>710</v>
      </c>
    </row>
    <row r="9331" spans="1:5" hidden="1" x14ac:dyDescent="0.3">
      <c r="A9331" t="s">
        <v>552</v>
      </c>
      <c r="B9331" t="s">
        <v>709</v>
      </c>
      <c r="C9331" t="s">
        <v>31</v>
      </c>
      <c r="D9331" s="226">
        <v>594</v>
      </c>
      <c r="E9331" t="s">
        <v>710</v>
      </c>
    </row>
    <row r="9332" spans="1:5" hidden="1" x14ac:dyDescent="0.3">
      <c r="A9332" t="s">
        <v>552</v>
      </c>
      <c r="B9332" t="s">
        <v>709</v>
      </c>
      <c r="C9332" t="s">
        <v>33</v>
      </c>
      <c r="D9332" s="226">
        <v>87647.6</v>
      </c>
      <c r="E9332" t="s">
        <v>710</v>
      </c>
    </row>
    <row r="9333" spans="1:5" hidden="1" x14ac:dyDescent="0.3">
      <c r="A9333" t="s">
        <v>552</v>
      </c>
      <c r="B9333" t="s">
        <v>709</v>
      </c>
      <c r="C9333" t="s">
        <v>34</v>
      </c>
      <c r="D9333" s="226">
        <v>-20167.560000000001</v>
      </c>
      <c r="E9333" t="s">
        <v>710</v>
      </c>
    </row>
    <row r="9334" spans="1:5" hidden="1" x14ac:dyDescent="0.3">
      <c r="A9334" t="s">
        <v>552</v>
      </c>
      <c r="B9334" t="s">
        <v>709</v>
      </c>
      <c r="C9334" t="s">
        <v>38</v>
      </c>
      <c r="D9334" s="226">
        <v>-4687.57</v>
      </c>
      <c r="E9334" t="s">
        <v>710</v>
      </c>
    </row>
    <row r="9335" spans="1:5" hidden="1" x14ac:dyDescent="0.3">
      <c r="A9335" t="s">
        <v>552</v>
      </c>
      <c r="B9335" t="s">
        <v>709</v>
      </c>
      <c r="C9335" t="s">
        <v>40</v>
      </c>
      <c r="D9335" s="226">
        <v>-15259.64</v>
      </c>
      <c r="E9335" t="s">
        <v>710</v>
      </c>
    </row>
    <row r="9336" spans="1:5" hidden="1" x14ac:dyDescent="0.3">
      <c r="A9336" t="s">
        <v>552</v>
      </c>
      <c r="B9336" t="s">
        <v>709</v>
      </c>
      <c r="C9336" t="s">
        <v>42</v>
      </c>
      <c r="D9336" s="226">
        <v>-220.35</v>
      </c>
      <c r="E9336" t="s">
        <v>710</v>
      </c>
    </row>
    <row r="9337" spans="1:5" hidden="1" x14ac:dyDescent="0.3">
      <c r="A9337" t="s">
        <v>552</v>
      </c>
      <c r="B9337" t="s">
        <v>709</v>
      </c>
      <c r="C9337" t="s">
        <v>44</v>
      </c>
      <c r="D9337" s="226">
        <v>-0.01</v>
      </c>
      <c r="E9337" t="s">
        <v>710</v>
      </c>
    </row>
    <row r="9338" spans="1:5" hidden="1" x14ac:dyDescent="0.3">
      <c r="A9338" t="s">
        <v>552</v>
      </c>
      <c r="B9338" t="s">
        <v>709</v>
      </c>
      <c r="C9338" t="s">
        <v>45</v>
      </c>
      <c r="D9338" s="226">
        <v>-120927.4</v>
      </c>
      <c r="E9338" t="s">
        <v>710</v>
      </c>
    </row>
    <row r="9339" spans="1:5" hidden="1" x14ac:dyDescent="0.3">
      <c r="A9339" t="s">
        <v>552</v>
      </c>
      <c r="B9339" t="s">
        <v>709</v>
      </c>
      <c r="C9339" t="s">
        <v>46</v>
      </c>
      <c r="D9339" s="226">
        <v>-56175.14</v>
      </c>
      <c r="E9339" t="s">
        <v>710</v>
      </c>
    </row>
    <row r="9340" spans="1:5" hidden="1" x14ac:dyDescent="0.3">
      <c r="A9340" t="s">
        <v>552</v>
      </c>
      <c r="B9340" t="s">
        <v>709</v>
      </c>
      <c r="C9340" t="s">
        <v>48</v>
      </c>
      <c r="D9340" s="226">
        <v>-60999.88</v>
      </c>
      <c r="E9340" t="s">
        <v>710</v>
      </c>
    </row>
    <row r="9341" spans="1:5" hidden="1" x14ac:dyDescent="0.3">
      <c r="A9341" t="s">
        <v>552</v>
      </c>
      <c r="B9341" t="s">
        <v>709</v>
      </c>
      <c r="C9341" t="s">
        <v>49</v>
      </c>
      <c r="D9341" s="226">
        <v>-3752.38</v>
      </c>
      <c r="E9341" t="s">
        <v>710</v>
      </c>
    </row>
    <row r="9342" spans="1:5" hidden="1" x14ac:dyDescent="0.3">
      <c r="A9342" t="s">
        <v>552</v>
      </c>
      <c r="B9342" t="s">
        <v>709</v>
      </c>
      <c r="C9342" t="s">
        <v>50</v>
      </c>
      <c r="D9342" s="226">
        <v>1644336.85</v>
      </c>
      <c r="E9342" t="s">
        <v>710</v>
      </c>
    </row>
    <row r="9343" spans="1:5" hidden="1" x14ac:dyDescent="0.3">
      <c r="A9343" t="s">
        <v>552</v>
      </c>
      <c r="B9343" t="s">
        <v>709</v>
      </c>
      <c r="C9343" t="s">
        <v>51</v>
      </c>
      <c r="D9343" s="226">
        <v>-427052.77</v>
      </c>
      <c r="E9343" t="s">
        <v>710</v>
      </c>
    </row>
    <row r="9344" spans="1:5" hidden="1" x14ac:dyDescent="0.3">
      <c r="A9344" t="s">
        <v>552</v>
      </c>
      <c r="B9344" t="s">
        <v>709</v>
      </c>
      <c r="C9344" t="s">
        <v>52</v>
      </c>
      <c r="D9344" s="226">
        <v>-293711.90000000002</v>
      </c>
      <c r="E9344" t="s">
        <v>710</v>
      </c>
    </row>
    <row r="9345" spans="1:5" hidden="1" x14ac:dyDescent="0.3">
      <c r="A9345" t="s">
        <v>552</v>
      </c>
      <c r="B9345" t="s">
        <v>709</v>
      </c>
      <c r="C9345" t="s">
        <v>53</v>
      </c>
      <c r="D9345" s="226">
        <v>-133340.87</v>
      </c>
      <c r="E9345" t="s">
        <v>710</v>
      </c>
    </row>
    <row r="9346" spans="1:5" hidden="1" x14ac:dyDescent="0.3">
      <c r="A9346" t="s">
        <v>552</v>
      </c>
      <c r="B9346" t="s">
        <v>709</v>
      </c>
      <c r="C9346" t="s">
        <v>54</v>
      </c>
      <c r="D9346" s="226">
        <v>0</v>
      </c>
      <c r="E9346" t="s">
        <v>710</v>
      </c>
    </row>
    <row r="9347" spans="1:5" hidden="1" x14ac:dyDescent="0.3">
      <c r="A9347" t="s">
        <v>552</v>
      </c>
      <c r="B9347" t="s">
        <v>709</v>
      </c>
      <c r="C9347" t="s">
        <v>44</v>
      </c>
      <c r="D9347" s="226">
        <v>-0.28000000000000003</v>
      </c>
      <c r="E9347" t="s">
        <v>710</v>
      </c>
    </row>
    <row r="9348" spans="1:5" hidden="1" x14ac:dyDescent="0.3">
      <c r="A9348" t="s">
        <v>552</v>
      </c>
      <c r="B9348" t="s">
        <v>709</v>
      </c>
      <c r="C9348" t="s">
        <v>55</v>
      </c>
      <c r="D9348" s="226">
        <v>-0.26</v>
      </c>
      <c r="E9348" t="s">
        <v>710</v>
      </c>
    </row>
    <row r="9349" spans="1:5" hidden="1" x14ac:dyDescent="0.3">
      <c r="A9349" t="s">
        <v>552</v>
      </c>
      <c r="B9349" t="s">
        <v>709</v>
      </c>
      <c r="C9349" t="s">
        <v>56</v>
      </c>
      <c r="D9349" s="226">
        <v>-700</v>
      </c>
      <c r="E9349" t="s">
        <v>710</v>
      </c>
    </row>
    <row r="9350" spans="1:5" hidden="1" x14ac:dyDescent="0.3">
      <c r="A9350" t="s">
        <v>552</v>
      </c>
      <c r="B9350" t="s">
        <v>709</v>
      </c>
      <c r="C9350" t="s">
        <v>57</v>
      </c>
      <c r="D9350" s="226">
        <v>0</v>
      </c>
      <c r="E9350" t="s">
        <v>710</v>
      </c>
    </row>
    <row r="9351" spans="1:5" hidden="1" x14ac:dyDescent="0.3">
      <c r="A9351" t="s">
        <v>552</v>
      </c>
      <c r="B9351" t="s">
        <v>709</v>
      </c>
      <c r="C9351" t="s">
        <v>58</v>
      </c>
      <c r="D9351" s="226">
        <v>0</v>
      </c>
      <c r="E9351" t="s">
        <v>710</v>
      </c>
    </row>
    <row r="9352" spans="1:5" hidden="1" x14ac:dyDescent="0.3">
      <c r="A9352" t="s">
        <v>552</v>
      </c>
      <c r="B9352" t="s">
        <v>709</v>
      </c>
      <c r="C9352" t="s">
        <v>59</v>
      </c>
      <c r="D9352" s="226">
        <v>0</v>
      </c>
      <c r="E9352" t="s">
        <v>710</v>
      </c>
    </row>
    <row r="9353" spans="1:5" hidden="1" x14ac:dyDescent="0.3">
      <c r="A9353" t="s">
        <v>552</v>
      </c>
      <c r="B9353" t="s">
        <v>709</v>
      </c>
      <c r="C9353" t="s">
        <v>61</v>
      </c>
      <c r="D9353" s="226">
        <v>0</v>
      </c>
      <c r="E9353" t="s">
        <v>710</v>
      </c>
    </row>
    <row r="9354" spans="1:5" hidden="1" x14ac:dyDescent="0.3">
      <c r="A9354" t="s">
        <v>552</v>
      </c>
      <c r="B9354" t="s">
        <v>709</v>
      </c>
      <c r="C9354" t="s">
        <v>62</v>
      </c>
      <c r="D9354" s="226">
        <v>0</v>
      </c>
      <c r="E9354" t="s">
        <v>710</v>
      </c>
    </row>
    <row r="9355" spans="1:5" hidden="1" x14ac:dyDescent="0.3">
      <c r="A9355" t="s">
        <v>552</v>
      </c>
      <c r="B9355" t="s">
        <v>709</v>
      </c>
      <c r="C9355" t="s">
        <v>64</v>
      </c>
      <c r="D9355" s="226">
        <v>0</v>
      </c>
      <c r="E9355" t="s">
        <v>710</v>
      </c>
    </row>
    <row r="9356" spans="1:5" hidden="1" x14ac:dyDescent="0.3">
      <c r="A9356" t="s">
        <v>552</v>
      </c>
      <c r="B9356" t="s">
        <v>709</v>
      </c>
      <c r="C9356" t="s">
        <v>65</v>
      </c>
      <c r="D9356" s="226">
        <v>-700</v>
      </c>
      <c r="E9356" t="s">
        <v>710</v>
      </c>
    </row>
    <row r="9357" spans="1:5" hidden="1" x14ac:dyDescent="0.3">
      <c r="A9357" t="s">
        <v>552</v>
      </c>
      <c r="B9357" t="s">
        <v>709</v>
      </c>
      <c r="C9357" t="s">
        <v>66</v>
      </c>
      <c r="D9357" s="226">
        <v>-700</v>
      </c>
      <c r="E9357" t="s">
        <v>710</v>
      </c>
    </row>
    <row r="9358" spans="1:5" hidden="1" x14ac:dyDescent="0.3">
      <c r="A9358" t="s">
        <v>552</v>
      </c>
      <c r="B9358" t="s">
        <v>709</v>
      </c>
      <c r="C9358" t="s">
        <v>68</v>
      </c>
      <c r="D9358" s="226">
        <v>0</v>
      </c>
      <c r="E9358" t="s">
        <v>710</v>
      </c>
    </row>
    <row r="9359" spans="1:5" hidden="1" x14ac:dyDescent="0.3">
      <c r="A9359" t="s">
        <v>552</v>
      </c>
      <c r="B9359" t="s">
        <v>709</v>
      </c>
      <c r="C9359" t="s">
        <v>69</v>
      </c>
      <c r="D9359" s="226">
        <v>0</v>
      </c>
      <c r="E9359" t="s">
        <v>710</v>
      </c>
    </row>
    <row r="9360" spans="1:5" hidden="1" x14ac:dyDescent="0.3">
      <c r="A9360" t="s">
        <v>552</v>
      </c>
      <c r="B9360" t="s">
        <v>709</v>
      </c>
      <c r="C9360" t="s">
        <v>70</v>
      </c>
      <c r="D9360" s="226">
        <v>0</v>
      </c>
      <c r="E9360" t="s">
        <v>710</v>
      </c>
    </row>
    <row r="9361" spans="1:5" hidden="1" x14ac:dyDescent="0.3">
      <c r="A9361" t="s">
        <v>552</v>
      </c>
      <c r="B9361" t="s">
        <v>709</v>
      </c>
      <c r="C9361" t="s">
        <v>44</v>
      </c>
      <c r="D9361" s="226">
        <v>0</v>
      </c>
      <c r="E9361" t="s">
        <v>710</v>
      </c>
    </row>
    <row r="9362" spans="1:5" hidden="1" x14ac:dyDescent="0.3">
      <c r="A9362" t="s">
        <v>552</v>
      </c>
      <c r="B9362" t="s">
        <v>709</v>
      </c>
      <c r="C9362" t="s">
        <v>71</v>
      </c>
      <c r="D9362" s="226">
        <v>-3562.51</v>
      </c>
      <c r="E9362" t="s">
        <v>710</v>
      </c>
    </row>
    <row r="9363" spans="1:5" hidden="1" x14ac:dyDescent="0.3">
      <c r="A9363" t="s">
        <v>552</v>
      </c>
      <c r="B9363" t="s">
        <v>709</v>
      </c>
      <c r="C9363" t="s">
        <v>72</v>
      </c>
      <c r="D9363" s="226">
        <v>-3562.51</v>
      </c>
      <c r="E9363" t="s">
        <v>710</v>
      </c>
    </row>
    <row r="9364" spans="1:5" hidden="1" x14ac:dyDescent="0.3">
      <c r="A9364" t="s">
        <v>552</v>
      </c>
      <c r="B9364" t="s">
        <v>709</v>
      </c>
      <c r="C9364" t="s">
        <v>73</v>
      </c>
      <c r="D9364" s="226">
        <v>-2000</v>
      </c>
      <c r="E9364" t="s">
        <v>710</v>
      </c>
    </row>
    <row r="9365" spans="1:5" hidden="1" x14ac:dyDescent="0.3">
      <c r="A9365" t="s">
        <v>552</v>
      </c>
      <c r="B9365" t="s">
        <v>709</v>
      </c>
      <c r="C9365" t="s">
        <v>75</v>
      </c>
      <c r="D9365" s="226">
        <v>-1562.51</v>
      </c>
      <c r="E9365" t="s">
        <v>710</v>
      </c>
    </row>
    <row r="9366" spans="1:5" hidden="1" x14ac:dyDescent="0.3">
      <c r="A9366" t="s">
        <v>552</v>
      </c>
      <c r="B9366" t="s">
        <v>709</v>
      </c>
      <c r="C9366" t="s">
        <v>77</v>
      </c>
      <c r="D9366" s="226">
        <v>0</v>
      </c>
      <c r="E9366" t="s">
        <v>710</v>
      </c>
    </row>
    <row r="9367" spans="1:5" hidden="1" x14ac:dyDescent="0.3">
      <c r="A9367" t="s">
        <v>552</v>
      </c>
      <c r="B9367" t="s">
        <v>709</v>
      </c>
      <c r="C9367" t="s">
        <v>78</v>
      </c>
      <c r="D9367" s="226">
        <v>0</v>
      </c>
      <c r="E9367" t="s">
        <v>710</v>
      </c>
    </row>
    <row r="9368" spans="1:5" hidden="1" x14ac:dyDescent="0.3">
      <c r="A9368" t="s">
        <v>552</v>
      </c>
      <c r="B9368" t="s">
        <v>709</v>
      </c>
      <c r="C9368" t="s">
        <v>80</v>
      </c>
      <c r="D9368" s="226">
        <v>0</v>
      </c>
      <c r="E9368" t="s">
        <v>710</v>
      </c>
    </row>
    <row r="9369" spans="1:5" hidden="1" x14ac:dyDescent="0.3">
      <c r="A9369" t="s">
        <v>552</v>
      </c>
      <c r="B9369" t="s">
        <v>709</v>
      </c>
      <c r="C9369" t="s">
        <v>82</v>
      </c>
      <c r="D9369" s="226">
        <v>0</v>
      </c>
      <c r="E9369" t="s">
        <v>710</v>
      </c>
    </row>
    <row r="9370" spans="1:5" hidden="1" x14ac:dyDescent="0.3">
      <c r="A9370" t="s">
        <v>552</v>
      </c>
      <c r="B9370" t="s">
        <v>709</v>
      </c>
      <c r="C9370" t="s">
        <v>84</v>
      </c>
      <c r="D9370" s="226">
        <v>0</v>
      </c>
      <c r="E9370" t="s">
        <v>710</v>
      </c>
    </row>
    <row r="9371" spans="1:5" hidden="1" x14ac:dyDescent="0.3">
      <c r="A9371" t="s">
        <v>552</v>
      </c>
      <c r="B9371" t="s">
        <v>709</v>
      </c>
      <c r="C9371" t="s">
        <v>85</v>
      </c>
      <c r="D9371" s="226">
        <v>0</v>
      </c>
      <c r="E9371" t="s">
        <v>710</v>
      </c>
    </row>
    <row r="9372" spans="1:5" hidden="1" x14ac:dyDescent="0.3">
      <c r="A9372" t="s">
        <v>552</v>
      </c>
      <c r="B9372" t="s">
        <v>709</v>
      </c>
      <c r="C9372" t="s">
        <v>86</v>
      </c>
      <c r="D9372" s="226">
        <v>0</v>
      </c>
      <c r="E9372" t="s">
        <v>710</v>
      </c>
    </row>
    <row r="9373" spans="1:5" hidden="1" x14ac:dyDescent="0.3">
      <c r="A9373" t="s">
        <v>552</v>
      </c>
      <c r="B9373" t="s">
        <v>709</v>
      </c>
      <c r="C9373" t="s">
        <v>87</v>
      </c>
      <c r="D9373" s="226">
        <v>0</v>
      </c>
      <c r="E9373" t="s">
        <v>710</v>
      </c>
    </row>
    <row r="9374" spans="1:5" hidden="1" x14ac:dyDescent="0.3">
      <c r="A9374" t="s">
        <v>552</v>
      </c>
      <c r="B9374" t="s">
        <v>709</v>
      </c>
      <c r="C9374" t="s">
        <v>88</v>
      </c>
      <c r="D9374" s="226">
        <v>0</v>
      </c>
      <c r="E9374" t="s">
        <v>710</v>
      </c>
    </row>
    <row r="9375" spans="1:5" hidden="1" x14ac:dyDescent="0.3">
      <c r="A9375" t="s">
        <v>552</v>
      </c>
      <c r="B9375" t="s">
        <v>709</v>
      </c>
      <c r="C9375" t="s">
        <v>89</v>
      </c>
      <c r="D9375" s="226">
        <v>0</v>
      </c>
      <c r="E9375" t="s">
        <v>710</v>
      </c>
    </row>
    <row r="9376" spans="1:5" hidden="1" x14ac:dyDescent="0.3">
      <c r="A9376" t="s">
        <v>552</v>
      </c>
      <c r="B9376" t="s">
        <v>709</v>
      </c>
      <c r="C9376" t="s">
        <v>90</v>
      </c>
      <c r="D9376" s="226">
        <v>0</v>
      </c>
      <c r="E9376" t="s">
        <v>710</v>
      </c>
    </row>
    <row r="9377" spans="1:5" hidden="1" x14ac:dyDescent="0.3">
      <c r="A9377" t="s">
        <v>552</v>
      </c>
      <c r="B9377" t="s">
        <v>709</v>
      </c>
      <c r="C9377" t="s">
        <v>91</v>
      </c>
      <c r="D9377" s="226">
        <v>0</v>
      </c>
      <c r="E9377" t="s">
        <v>710</v>
      </c>
    </row>
    <row r="9378" spans="1:5" hidden="1" x14ac:dyDescent="0.3">
      <c r="A9378" t="s">
        <v>552</v>
      </c>
      <c r="B9378" t="s">
        <v>709</v>
      </c>
      <c r="C9378" t="s">
        <v>93</v>
      </c>
      <c r="D9378" s="226">
        <v>0</v>
      </c>
      <c r="E9378" t="s">
        <v>710</v>
      </c>
    </row>
    <row r="9379" spans="1:5" hidden="1" x14ac:dyDescent="0.3">
      <c r="A9379" t="s">
        <v>552</v>
      </c>
      <c r="B9379" t="s">
        <v>709</v>
      </c>
      <c r="C9379" t="s">
        <v>95</v>
      </c>
      <c r="D9379" s="226">
        <v>0</v>
      </c>
      <c r="E9379" t="s">
        <v>710</v>
      </c>
    </row>
    <row r="9380" spans="1:5" hidden="1" x14ac:dyDescent="0.3">
      <c r="A9380" t="s">
        <v>552</v>
      </c>
      <c r="B9380" t="s">
        <v>709</v>
      </c>
      <c r="C9380" t="s">
        <v>96</v>
      </c>
      <c r="D9380" s="226">
        <v>0</v>
      </c>
      <c r="E9380" t="s">
        <v>710</v>
      </c>
    </row>
    <row r="9381" spans="1:5" hidden="1" x14ac:dyDescent="0.3">
      <c r="A9381" t="s">
        <v>552</v>
      </c>
      <c r="B9381" t="s">
        <v>709</v>
      </c>
      <c r="C9381" t="s">
        <v>98</v>
      </c>
      <c r="D9381" s="226">
        <v>0</v>
      </c>
      <c r="E9381" t="s">
        <v>710</v>
      </c>
    </row>
    <row r="9382" spans="1:5" hidden="1" x14ac:dyDescent="0.3">
      <c r="A9382" t="s">
        <v>552</v>
      </c>
      <c r="B9382" t="s">
        <v>709</v>
      </c>
      <c r="C9382" t="s">
        <v>100</v>
      </c>
      <c r="D9382" s="226">
        <v>0</v>
      </c>
      <c r="E9382" t="s">
        <v>710</v>
      </c>
    </row>
    <row r="9383" spans="1:5" hidden="1" x14ac:dyDescent="0.3">
      <c r="A9383" t="s">
        <v>552</v>
      </c>
      <c r="B9383" t="s">
        <v>709</v>
      </c>
      <c r="C9383" t="s">
        <v>101</v>
      </c>
      <c r="D9383" s="226">
        <v>0</v>
      </c>
      <c r="E9383" t="s">
        <v>710</v>
      </c>
    </row>
    <row r="9384" spans="1:5" hidden="1" x14ac:dyDescent="0.3">
      <c r="A9384" t="s">
        <v>552</v>
      </c>
      <c r="B9384" t="s">
        <v>709</v>
      </c>
      <c r="C9384" t="s">
        <v>102</v>
      </c>
      <c r="D9384" s="226">
        <v>0</v>
      </c>
      <c r="E9384" t="s">
        <v>710</v>
      </c>
    </row>
    <row r="9385" spans="1:5" hidden="1" x14ac:dyDescent="0.3">
      <c r="A9385" t="s">
        <v>552</v>
      </c>
      <c r="B9385" t="s">
        <v>709</v>
      </c>
      <c r="C9385" t="s">
        <v>103</v>
      </c>
      <c r="D9385" s="226">
        <v>0</v>
      </c>
      <c r="E9385" t="s">
        <v>710</v>
      </c>
    </row>
    <row r="9386" spans="1:5" hidden="1" x14ac:dyDescent="0.3">
      <c r="A9386" t="s">
        <v>552</v>
      </c>
      <c r="B9386" t="s">
        <v>709</v>
      </c>
      <c r="C9386" t="s">
        <v>104</v>
      </c>
      <c r="D9386" s="226">
        <v>0</v>
      </c>
      <c r="E9386" t="s">
        <v>710</v>
      </c>
    </row>
    <row r="9387" spans="1:5" hidden="1" x14ac:dyDescent="0.3">
      <c r="A9387" t="s">
        <v>552</v>
      </c>
      <c r="B9387" t="s">
        <v>709</v>
      </c>
      <c r="C9387" t="s">
        <v>105</v>
      </c>
      <c r="D9387" s="226">
        <v>0</v>
      </c>
      <c r="E9387" t="s">
        <v>710</v>
      </c>
    </row>
    <row r="9388" spans="1:5" hidden="1" x14ac:dyDescent="0.3">
      <c r="A9388" t="s">
        <v>552</v>
      </c>
      <c r="B9388" t="s">
        <v>709</v>
      </c>
      <c r="C9388" t="s">
        <v>107</v>
      </c>
      <c r="D9388" s="226">
        <v>0</v>
      </c>
      <c r="E9388" t="s">
        <v>710</v>
      </c>
    </row>
    <row r="9389" spans="1:5" hidden="1" x14ac:dyDescent="0.3">
      <c r="A9389" t="s">
        <v>552</v>
      </c>
      <c r="B9389" t="s">
        <v>709</v>
      </c>
      <c r="C9389" t="s">
        <v>108</v>
      </c>
      <c r="D9389" s="226">
        <v>0</v>
      </c>
      <c r="E9389" t="s">
        <v>710</v>
      </c>
    </row>
    <row r="9390" spans="1:5" hidden="1" x14ac:dyDescent="0.3">
      <c r="A9390" t="s">
        <v>552</v>
      </c>
      <c r="B9390" t="s">
        <v>709</v>
      </c>
      <c r="C9390" t="s">
        <v>109</v>
      </c>
      <c r="D9390" s="226">
        <v>0</v>
      </c>
      <c r="E9390" t="s">
        <v>710</v>
      </c>
    </row>
    <row r="9391" spans="1:5" hidden="1" x14ac:dyDescent="0.3">
      <c r="A9391" t="s">
        <v>552</v>
      </c>
      <c r="B9391" t="s">
        <v>709</v>
      </c>
      <c r="C9391" t="s">
        <v>110</v>
      </c>
      <c r="D9391" s="226">
        <v>-0.04</v>
      </c>
      <c r="E9391" t="s">
        <v>710</v>
      </c>
    </row>
    <row r="9392" spans="1:5" hidden="1" x14ac:dyDescent="0.3">
      <c r="A9392" t="s">
        <v>552</v>
      </c>
      <c r="B9392" t="s">
        <v>709</v>
      </c>
      <c r="C9392" t="s">
        <v>44</v>
      </c>
      <c r="D9392" s="226">
        <v>0</v>
      </c>
      <c r="E9392" t="s">
        <v>710</v>
      </c>
    </row>
    <row r="9393" spans="1:5" hidden="1" x14ac:dyDescent="0.3">
      <c r="A9393" t="s">
        <v>552</v>
      </c>
      <c r="B9393" t="s">
        <v>709</v>
      </c>
      <c r="C9393" t="s">
        <v>111</v>
      </c>
      <c r="D9393" s="226">
        <v>-123520</v>
      </c>
      <c r="E9393" t="s">
        <v>710</v>
      </c>
    </row>
    <row r="9394" spans="1:5" hidden="1" x14ac:dyDescent="0.3">
      <c r="A9394" t="s">
        <v>552</v>
      </c>
      <c r="B9394" t="s">
        <v>709</v>
      </c>
      <c r="C9394" t="s">
        <v>555</v>
      </c>
      <c r="D9394" s="226">
        <v>-123520</v>
      </c>
      <c r="E9394" t="s">
        <v>710</v>
      </c>
    </row>
    <row r="9395" spans="1:5" hidden="1" x14ac:dyDescent="0.3">
      <c r="A9395" t="s">
        <v>552</v>
      </c>
      <c r="B9395" t="s">
        <v>709</v>
      </c>
      <c r="C9395" t="s">
        <v>44</v>
      </c>
      <c r="D9395" s="226">
        <v>-7.0000000000000007E-2</v>
      </c>
      <c r="E9395" t="s">
        <v>710</v>
      </c>
    </row>
    <row r="9396" spans="1:5" hidden="1" x14ac:dyDescent="0.3">
      <c r="A9396" t="s">
        <v>552</v>
      </c>
      <c r="B9396" t="s">
        <v>709</v>
      </c>
      <c r="C9396" t="s">
        <v>115</v>
      </c>
      <c r="D9396" s="226">
        <v>-52479.21</v>
      </c>
      <c r="E9396" t="s">
        <v>710</v>
      </c>
    </row>
    <row r="9397" spans="1:5" hidden="1" x14ac:dyDescent="0.3">
      <c r="A9397" t="s">
        <v>552</v>
      </c>
      <c r="B9397" t="s">
        <v>709</v>
      </c>
      <c r="C9397" t="s">
        <v>116</v>
      </c>
      <c r="D9397" s="226">
        <v>-35586.36</v>
      </c>
      <c r="E9397" t="s">
        <v>710</v>
      </c>
    </row>
    <row r="9398" spans="1:5" hidden="1" x14ac:dyDescent="0.3">
      <c r="A9398" t="s">
        <v>552</v>
      </c>
      <c r="B9398" t="s">
        <v>709</v>
      </c>
      <c r="C9398" t="s">
        <v>118</v>
      </c>
      <c r="D9398" s="226">
        <v>-16892.849999999999</v>
      </c>
      <c r="E9398" t="s">
        <v>710</v>
      </c>
    </row>
    <row r="9399" spans="1:5" hidden="1" x14ac:dyDescent="0.3">
      <c r="A9399" t="s">
        <v>552</v>
      </c>
      <c r="B9399" t="s">
        <v>709</v>
      </c>
      <c r="C9399" t="s">
        <v>120</v>
      </c>
      <c r="D9399" s="226">
        <v>0</v>
      </c>
      <c r="E9399" t="s">
        <v>710</v>
      </c>
    </row>
    <row r="9400" spans="1:5" hidden="1" x14ac:dyDescent="0.3">
      <c r="A9400" t="s">
        <v>552</v>
      </c>
      <c r="B9400" t="s">
        <v>709</v>
      </c>
      <c r="C9400" t="s">
        <v>122</v>
      </c>
      <c r="D9400" s="226">
        <v>0</v>
      </c>
      <c r="E9400" t="s">
        <v>710</v>
      </c>
    </row>
    <row r="9401" spans="1:5" hidden="1" x14ac:dyDescent="0.3">
      <c r="A9401" t="s">
        <v>552</v>
      </c>
      <c r="B9401" t="s">
        <v>709</v>
      </c>
      <c r="C9401" t="s">
        <v>44</v>
      </c>
      <c r="D9401" s="226">
        <v>-0.03</v>
      </c>
      <c r="E9401" t="s">
        <v>710</v>
      </c>
    </row>
    <row r="9402" spans="1:5" hidden="1" x14ac:dyDescent="0.3">
      <c r="A9402" t="s">
        <v>552</v>
      </c>
      <c r="B9402" t="s">
        <v>709</v>
      </c>
      <c r="C9402" t="s">
        <v>125</v>
      </c>
      <c r="D9402" s="226">
        <v>1037022.36</v>
      </c>
      <c r="E9402" t="s">
        <v>710</v>
      </c>
    </row>
    <row r="9403" spans="1:5" hidden="1" x14ac:dyDescent="0.3">
      <c r="A9403" t="s">
        <v>552</v>
      </c>
      <c r="B9403" t="s">
        <v>709</v>
      </c>
      <c r="C9403" t="s">
        <v>126</v>
      </c>
      <c r="D9403" s="226">
        <v>0.57999999999999996</v>
      </c>
      <c r="E9403" t="s">
        <v>710</v>
      </c>
    </row>
    <row r="9404" spans="1:5" hidden="1" x14ac:dyDescent="0.3">
      <c r="A9404" t="s">
        <v>552</v>
      </c>
      <c r="B9404" t="s">
        <v>709</v>
      </c>
      <c r="C9404" t="s">
        <v>127</v>
      </c>
      <c r="D9404" s="226">
        <v>-371070.74</v>
      </c>
      <c r="E9404" t="s">
        <v>710</v>
      </c>
    </row>
    <row r="9405" spans="1:5" hidden="1" x14ac:dyDescent="0.3">
      <c r="A9405" t="s">
        <v>552</v>
      </c>
      <c r="B9405" t="s">
        <v>709</v>
      </c>
      <c r="C9405" t="s">
        <v>128</v>
      </c>
      <c r="D9405" s="226">
        <v>-51309.29</v>
      </c>
      <c r="E9405" t="s">
        <v>710</v>
      </c>
    </row>
    <row r="9406" spans="1:5" hidden="1" x14ac:dyDescent="0.3">
      <c r="A9406" t="s">
        <v>552</v>
      </c>
      <c r="B9406" t="s">
        <v>709</v>
      </c>
      <c r="C9406" t="s">
        <v>556</v>
      </c>
      <c r="D9406" s="226">
        <v>-11859.29</v>
      </c>
      <c r="E9406" t="s">
        <v>710</v>
      </c>
    </row>
    <row r="9407" spans="1:5" hidden="1" x14ac:dyDescent="0.3">
      <c r="A9407" t="s">
        <v>552</v>
      </c>
      <c r="B9407" t="s">
        <v>709</v>
      </c>
      <c r="C9407" t="s">
        <v>557</v>
      </c>
      <c r="D9407" s="226">
        <v>-6600</v>
      </c>
      <c r="E9407" t="s">
        <v>710</v>
      </c>
    </row>
    <row r="9408" spans="1:5" hidden="1" x14ac:dyDescent="0.3">
      <c r="A9408" t="s">
        <v>552</v>
      </c>
      <c r="B9408" t="s">
        <v>709</v>
      </c>
      <c r="C9408" t="s">
        <v>558</v>
      </c>
      <c r="D9408" s="226">
        <v>0</v>
      </c>
      <c r="E9408" t="s">
        <v>710</v>
      </c>
    </row>
    <row r="9409" spans="1:5" hidden="1" x14ac:dyDescent="0.3">
      <c r="A9409" t="s">
        <v>552</v>
      </c>
      <c r="B9409" t="s">
        <v>709</v>
      </c>
      <c r="C9409" t="s">
        <v>559</v>
      </c>
      <c r="D9409" s="226">
        <v>-16100</v>
      </c>
      <c r="E9409" t="s">
        <v>710</v>
      </c>
    </row>
    <row r="9410" spans="1:5" hidden="1" x14ac:dyDescent="0.3">
      <c r="A9410" t="s">
        <v>552</v>
      </c>
      <c r="B9410" t="s">
        <v>709</v>
      </c>
      <c r="C9410" t="s">
        <v>560</v>
      </c>
      <c r="D9410" s="226">
        <v>-3500</v>
      </c>
      <c r="E9410" t="s">
        <v>710</v>
      </c>
    </row>
    <row r="9411" spans="1:5" hidden="1" x14ac:dyDescent="0.3">
      <c r="A9411" t="s">
        <v>552</v>
      </c>
      <c r="B9411" t="s">
        <v>709</v>
      </c>
      <c r="C9411" t="s">
        <v>561</v>
      </c>
      <c r="D9411" s="226">
        <v>-5050</v>
      </c>
      <c r="E9411" t="s">
        <v>710</v>
      </c>
    </row>
    <row r="9412" spans="1:5" hidden="1" x14ac:dyDescent="0.3">
      <c r="A9412" t="s">
        <v>552</v>
      </c>
      <c r="B9412" t="s">
        <v>709</v>
      </c>
      <c r="C9412" t="s">
        <v>562</v>
      </c>
      <c r="D9412" s="226">
        <v>-4000</v>
      </c>
      <c r="E9412" t="s">
        <v>710</v>
      </c>
    </row>
    <row r="9413" spans="1:5" hidden="1" x14ac:dyDescent="0.3">
      <c r="A9413" t="s">
        <v>552</v>
      </c>
      <c r="B9413" t="s">
        <v>709</v>
      </c>
      <c r="C9413" t="s">
        <v>563</v>
      </c>
      <c r="D9413" s="226">
        <v>-4200</v>
      </c>
      <c r="E9413" t="s">
        <v>710</v>
      </c>
    </row>
    <row r="9414" spans="1:5" hidden="1" x14ac:dyDescent="0.3">
      <c r="A9414" t="s">
        <v>552</v>
      </c>
      <c r="B9414" t="s">
        <v>709</v>
      </c>
      <c r="C9414" t="s">
        <v>564</v>
      </c>
      <c r="D9414" s="226">
        <v>0</v>
      </c>
      <c r="E9414" t="s">
        <v>710</v>
      </c>
    </row>
    <row r="9415" spans="1:5" hidden="1" x14ac:dyDescent="0.3">
      <c r="A9415" t="s">
        <v>552</v>
      </c>
      <c r="B9415" t="s">
        <v>709</v>
      </c>
      <c r="C9415" t="s">
        <v>565</v>
      </c>
      <c r="D9415" s="226">
        <v>0</v>
      </c>
      <c r="E9415" t="s">
        <v>710</v>
      </c>
    </row>
    <row r="9416" spans="1:5" hidden="1" x14ac:dyDescent="0.3">
      <c r="A9416" t="s">
        <v>552</v>
      </c>
      <c r="B9416" t="s">
        <v>709</v>
      </c>
      <c r="C9416" t="s">
        <v>566</v>
      </c>
      <c r="D9416" s="226">
        <v>0</v>
      </c>
      <c r="E9416" t="s">
        <v>710</v>
      </c>
    </row>
    <row r="9417" spans="1:5" hidden="1" x14ac:dyDescent="0.3">
      <c r="A9417" t="s">
        <v>552</v>
      </c>
      <c r="B9417" t="s">
        <v>709</v>
      </c>
      <c r="C9417" t="s">
        <v>567</v>
      </c>
      <c r="D9417" s="226">
        <v>0</v>
      </c>
      <c r="E9417" t="s">
        <v>710</v>
      </c>
    </row>
    <row r="9418" spans="1:5" hidden="1" x14ac:dyDescent="0.3">
      <c r="A9418" t="s">
        <v>552</v>
      </c>
      <c r="B9418" t="s">
        <v>709</v>
      </c>
      <c r="C9418" t="s">
        <v>141</v>
      </c>
      <c r="D9418" s="226">
        <v>-49705.67</v>
      </c>
      <c r="E9418" t="s">
        <v>710</v>
      </c>
    </row>
    <row r="9419" spans="1:5" hidden="1" x14ac:dyDescent="0.3">
      <c r="A9419" t="s">
        <v>552</v>
      </c>
      <c r="B9419" t="s">
        <v>709</v>
      </c>
      <c r="C9419" t="s">
        <v>568</v>
      </c>
      <c r="D9419" s="226">
        <v>0</v>
      </c>
      <c r="E9419" t="s">
        <v>710</v>
      </c>
    </row>
    <row r="9420" spans="1:5" hidden="1" x14ac:dyDescent="0.3">
      <c r="A9420" t="s">
        <v>552</v>
      </c>
      <c r="B9420" t="s">
        <v>709</v>
      </c>
      <c r="C9420" t="s">
        <v>569</v>
      </c>
      <c r="D9420" s="226">
        <v>0</v>
      </c>
      <c r="E9420" t="s">
        <v>710</v>
      </c>
    </row>
    <row r="9421" spans="1:5" hidden="1" x14ac:dyDescent="0.3">
      <c r="A9421" t="s">
        <v>552</v>
      </c>
      <c r="B9421" t="s">
        <v>709</v>
      </c>
      <c r="C9421" t="s">
        <v>570</v>
      </c>
      <c r="D9421" s="226">
        <v>0</v>
      </c>
      <c r="E9421" t="s">
        <v>710</v>
      </c>
    </row>
    <row r="9422" spans="1:5" hidden="1" x14ac:dyDescent="0.3">
      <c r="A9422" t="s">
        <v>552</v>
      </c>
      <c r="B9422" t="s">
        <v>709</v>
      </c>
      <c r="C9422" t="s">
        <v>571</v>
      </c>
      <c r="D9422" s="226">
        <v>0</v>
      </c>
      <c r="E9422" t="s">
        <v>710</v>
      </c>
    </row>
    <row r="9423" spans="1:5" hidden="1" x14ac:dyDescent="0.3">
      <c r="A9423" t="s">
        <v>552</v>
      </c>
      <c r="B9423" t="s">
        <v>709</v>
      </c>
      <c r="C9423" t="s">
        <v>572</v>
      </c>
      <c r="D9423" s="226">
        <v>0</v>
      </c>
      <c r="E9423" t="s">
        <v>710</v>
      </c>
    </row>
    <row r="9424" spans="1:5" hidden="1" x14ac:dyDescent="0.3">
      <c r="A9424" t="s">
        <v>552</v>
      </c>
      <c r="B9424" t="s">
        <v>709</v>
      </c>
      <c r="C9424" t="s">
        <v>573</v>
      </c>
      <c r="D9424" s="226">
        <v>0</v>
      </c>
      <c r="E9424" t="s">
        <v>710</v>
      </c>
    </row>
    <row r="9425" spans="1:5" hidden="1" x14ac:dyDescent="0.3">
      <c r="A9425" t="s">
        <v>552</v>
      </c>
      <c r="B9425" t="s">
        <v>709</v>
      </c>
      <c r="C9425" t="s">
        <v>574</v>
      </c>
      <c r="D9425" s="226">
        <v>0</v>
      </c>
      <c r="E9425" t="s">
        <v>710</v>
      </c>
    </row>
    <row r="9426" spans="1:5" hidden="1" x14ac:dyDescent="0.3">
      <c r="A9426" t="s">
        <v>552</v>
      </c>
      <c r="B9426" t="s">
        <v>709</v>
      </c>
      <c r="C9426" t="s">
        <v>575</v>
      </c>
      <c r="D9426" s="226">
        <v>0</v>
      </c>
      <c r="E9426" t="s">
        <v>710</v>
      </c>
    </row>
    <row r="9427" spans="1:5" hidden="1" x14ac:dyDescent="0.3">
      <c r="A9427" t="s">
        <v>552</v>
      </c>
      <c r="B9427" t="s">
        <v>709</v>
      </c>
      <c r="C9427" t="s">
        <v>576</v>
      </c>
      <c r="D9427" s="226">
        <v>0</v>
      </c>
      <c r="E9427" t="s">
        <v>710</v>
      </c>
    </row>
    <row r="9428" spans="1:5" hidden="1" x14ac:dyDescent="0.3">
      <c r="A9428" t="s">
        <v>552</v>
      </c>
      <c r="B9428" t="s">
        <v>709</v>
      </c>
      <c r="C9428" t="s">
        <v>577</v>
      </c>
      <c r="D9428" s="226">
        <v>0</v>
      </c>
      <c r="E9428" t="s">
        <v>710</v>
      </c>
    </row>
    <row r="9429" spans="1:5" hidden="1" x14ac:dyDescent="0.3">
      <c r="A9429" t="s">
        <v>552</v>
      </c>
      <c r="B9429" t="s">
        <v>709</v>
      </c>
      <c r="C9429" t="s">
        <v>578</v>
      </c>
      <c r="D9429" s="226">
        <v>0</v>
      </c>
      <c r="E9429" t="s">
        <v>710</v>
      </c>
    </row>
    <row r="9430" spans="1:5" hidden="1" x14ac:dyDescent="0.3">
      <c r="A9430" t="s">
        <v>552</v>
      </c>
      <c r="B9430" t="s">
        <v>709</v>
      </c>
      <c r="C9430" t="s">
        <v>579</v>
      </c>
      <c r="D9430" s="226">
        <v>0</v>
      </c>
      <c r="E9430" t="s">
        <v>710</v>
      </c>
    </row>
    <row r="9431" spans="1:5" hidden="1" x14ac:dyDescent="0.3">
      <c r="A9431" t="s">
        <v>552</v>
      </c>
      <c r="B9431" t="s">
        <v>709</v>
      </c>
      <c r="C9431" t="s">
        <v>580</v>
      </c>
      <c r="D9431" s="226">
        <v>0</v>
      </c>
      <c r="E9431" t="s">
        <v>710</v>
      </c>
    </row>
    <row r="9432" spans="1:5" hidden="1" x14ac:dyDescent="0.3">
      <c r="A9432" t="s">
        <v>552</v>
      </c>
      <c r="B9432" t="s">
        <v>709</v>
      </c>
      <c r="C9432" t="s">
        <v>581</v>
      </c>
      <c r="D9432" s="226">
        <v>0</v>
      </c>
      <c r="E9432" t="s">
        <v>710</v>
      </c>
    </row>
    <row r="9433" spans="1:5" hidden="1" x14ac:dyDescent="0.3">
      <c r="A9433" t="s">
        <v>552</v>
      </c>
      <c r="B9433" t="s">
        <v>709</v>
      </c>
      <c r="C9433" t="s">
        <v>582</v>
      </c>
      <c r="D9433" s="226">
        <v>0</v>
      </c>
      <c r="E9433" t="s">
        <v>710</v>
      </c>
    </row>
    <row r="9434" spans="1:5" hidden="1" x14ac:dyDescent="0.3">
      <c r="A9434" t="s">
        <v>552</v>
      </c>
      <c r="B9434" t="s">
        <v>709</v>
      </c>
      <c r="C9434" t="s">
        <v>583</v>
      </c>
      <c r="D9434" s="226">
        <v>0</v>
      </c>
      <c r="E9434" t="s">
        <v>710</v>
      </c>
    </row>
    <row r="9435" spans="1:5" hidden="1" x14ac:dyDescent="0.3">
      <c r="A9435" t="s">
        <v>552</v>
      </c>
      <c r="B9435" t="s">
        <v>709</v>
      </c>
      <c r="C9435" t="s">
        <v>584</v>
      </c>
      <c r="D9435" s="226">
        <v>0</v>
      </c>
      <c r="E9435" t="s">
        <v>710</v>
      </c>
    </row>
    <row r="9436" spans="1:5" hidden="1" x14ac:dyDescent="0.3">
      <c r="A9436" t="s">
        <v>552</v>
      </c>
      <c r="B9436" t="s">
        <v>709</v>
      </c>
      <c r="C9436" t="s">
        <v>585</v>
      </c>
      <c r="D9436" s="226">
        <v>0</v>
      </c>
      <c r="E9436" t="s">
        <v>710</v>
      </c>
    </row>
    <row r="9437" spans="1:5" hidden="1" x14ac:dyDescent="0.3">
      <c r="A9437" t="s">
        <v>552</v>
      </c>
      <c r="B9437" t="s">
        <v>709</v>
      </c>
      <c r="C9437" t="s">
        <v>586</v>
      </c>
      <c r="D9437" s="226">
        <v>0</v>
      </c>
      <c r="E9437" t="s">
        <v>710</v>
      </c>
    </row>
    <row r="9438" spans="1:5" hidden="1" x14ac:dyDescent="0.3">
      <c r="A9438" t="s">
        <v>552</v>
      </c>
      <c r="B9438" t="s">
        <v>709</v>
      </c>
      <c r="C9438" t="s">
        <v>587</v>
      </c>
      <c r="D9438" s="226">
        <v>0</v>
      </c>
      <c r="E9438" t="s">
        <v>710</v>
      </c>
    </row>
    <row r="9439" spans="1:5" hidden="1" x14ac:dyDescent="0.3">
      <c r="A9439" t="s">
        <v>552</v>
      </c>
      <c r="B9439" t="s">
        <v>709</v>
      </c>
      <c r="C9439" t="s">
        <v>588</v>
      </c>
      <c r="D9439" s="226">
        <v>0</v>
      </c>
      <c r="E9439" t="s">
        <v>710</v>
      </c>
    </row>
    <row r="9440" spans="1:5" hidden="1" x14ac:dyDescent="0.3">
      <c r="A9440" t="s">
        <v>552</v>
      </c>
      <c r="B9440" t="s">
        <v>709</v>
      </c>
      <c r="C9440" t="s">
        <v>589</v>
      </c>
      <c r="D9440" s="226">
        <v>0</v>
      </c>
      <c r="E9440" t="s">
        <v>710</v>
      </c>
    </row>
    <row r="9441" spans="1:5" hidden="1" x14ac:dyDescent="0.3">
      <c r="A9441" t="s">
        <v>552</v>
      </c>
      <c r="B9441" t="s">
        <v>709</v>
      </c>
      <c r="C9441" t="s">
        <v>590</v>
      </c>
      <c r="D9441" s="226">
        <v>0</v>
      </c>
      <c r="E9441" t="s">
        <v>710</v>
      </c>
    </row>
    <row r="9442" spans="1:5" hidden="1" x14ac:dyDescent="0.3">
      <c r="A9442" t="s">
        <v>552</v>
      </c>
      <c r="B9442" t="s">
        <v>709</v>
      </c>
      <c r="C9442" t="s">
        <v>591</v>
      </c>
      <c r="D9442" s="226">
        <v>0</v>
      </c>
      <c r="E9442" t="s">
        <v>710</v>
      </c>
    </row>
    <row r="9443" spans="1:5" hidden="1" x14ac:dyDescent="0.3">
      <c r="A9443" t="s">
        <v>552</v>
      </c>
      <c r="B9443" t="s">
        <v>709</v>
      </c>
      <c r="C9443" t="s">
        <v>592</v>
      </c>
      <c r="D9443" s="226">
        <v>0</v>
      </c>
      <c r="E9443" t="s">
        <v>710</v>
      </c>
    </row>
    <row r="9444" spans="1:5" hidden="1" x14ac:dyDescent="0.3">
      <c r="A9444" t="s">
        <v>552</v>
      </c>
      <c r="B9444" t="s">
        <v>709</v>
      </c>
      <c r="C9444" t="s">
        <v>593</v>
      </c>
      <c r="D9444" s="226">
        <v>0</v>
      </c>
      <c r="E9444" t="s">
        <v>710</v>
      </c>
    </row>
    <row r="9445" spans="1:5" hidden="1" x14ac:dyDescent="0.3">
      <c r="A9445" t="s">
        <v>552</v>
      </c>
      <c r="B9445" t="s">
        <v>709</v>
      </c>
      <c r="C9445" t="s">
        <v>594</v>
      </c>
      <c r="D9445" s="226">
        <v>0</v>
      </c>
      <c r="E9445" t="s">
        <v>710</v>
      </c>
    </row>
    <row r="9446" spans="1:5" hidden="1" x14ac:dyDescent="0.3">
      <c r="A9446" t="s">
        <v>552</v>
      </c>
      <c r="B9446" t="s">
        <v>709</v>
      </c>
      <c r="C9446" t="s">
        <v>595</v>
      </c>
      <c r="D9446" s="226">
        <v>0</v>
      </c>
      <c r="E9446" t="s">
        <v>710</v>
      </c>
    </row>
    <row r="9447" spans="1:5" hidden="1" x14ac:dyDescent="0.3">
      <c r="A9447" t="s">
        <v>552</v>
      </c>
      <c r="B9447" t="s">
        <v>709</v>
      </c>
      <c r="C9447" t="s">
        <v>596</v>
      </c>
      <c r="D9447" s="226">
        <v>0</v>
      </c>
      <c r="E9447" t="s">
        <v>710</v>
      </c>
    </row>
    <row r="9448" spans="1:5" hidden="1" x14ac:dyDescent="0.3">
      <c r="A9448" t="s">
        <v>552</v>
      </c>
      <c r="B9448" t="s">
        <v>709</v>
      </c>
      <c r="C9448" t="s">
        <v>597</v>
      </c>
      <c r="D9448" s="226">
        <v>0</v>
      </c>
      <c r="E9448" t="s">
        <v>710</v>
      </c>
    </row>
    <row r="9449" spans="1:5" hidden="1" x14ac:dyDescent="0.3">
      <c r="A9449" t="s">
        <v>552</v>
      </c>
      <c r="B9449" t="s">
        <v>709</v>
      </c>
      <c r="C9449" t="s">
        <v>598</v>
      </c>
      <c r="D9449" s="226">
        <v>0</v>
      </c>
      <c r="E9449" t="s">
        <v>710</v>
      </c>
    </row>
    <row r="9450" spans="1:5" hidden="1" x14ac:dyDescent="0.3">
      <c r="A9450" t="s">
        <v>552</v>
      </c>
      <c r="B9450" t="s">
        <v>709</v>
      </c>
      <c r="C9450" t="s">
        <v>599</v>
      </c>
      <c r="D9450" s="226">
        <v>0</v>
      </c>
      <c r="E9450" t="s">
        <v>710</v>
      </c>
    </row>
    <row r="9451" spans="1:5" hidden="1" x14ac:dyDescent="0.3">
      <c r="A9451" t="s">
        <v>552</v>
      </c>
      <c r="B9451" t="s">
        <v>709</v>
      </c>
      <c r="C9451" t="s">
        <v>600</v>
      </c>
      <c r="D9451" s="226">
        <v>0</v>
      </c>
      <c r="E9451" t="s">
        <v>710</v>
      </c>
    </row>
    <row r="9452" spans="1:5" hidden="1" x14ac:dyDescent="0.3">
      <c r="A9452" t="s">
        <v>552</v>
      </c>
      <c r="B9452" t="s">
        <v>709</v>
      </c>
      <c r="C9452" t="s">
        <v>601</v>
      </c>
      <c r="D9452" s="226">
        <v>0</v>
      </c>
      <c r="E9452" t="s">
        <v>710</v>
      </c>
    </row>
    <row r="9453" spans="1:5" hidden="1" x14ac:dyDescent="0.3">
      <c r="A9453" t="s">
        <v>552</v>
      </c>
      <c r="B9453" t="s">
        <v>709</v>
      </c>
      <c r="C9453" t="s">
        <v>602</v>
      </c>
      <c r="D9453" s="226">
        <v>0</v>
      </c>
      <c r="E9453" t="s">
        <v>710</v>
      </c>
    </row>
    <row r="9454" spans="1:5" hidden="1" x14ac:dyDescent="0.3">
      <c r="A9454" t="s">
        <v>552</v>
      </c>
      <c r="B9454" t="s">
        <v>709</v>
      </c>
      <c r="C9454" t="s">
        <v>603</v>
      </c>
      <c r="D9454" s="226">
        <v>0</v>
      </c>
      <c r="E9454" t="s">
        <v>710</v>
      </c>
    </row>
    <row r="9455" spans="1:5" hidden="1" x14ac:dyDescent="0.3">
      <c r="A9455" t="s">
        <v>552</v>
      </c>
      <c r="B9455" t="s">
        <v>709</v>
      </c>
      <c r="C9455" t="s">
        <v>604</v>
      </c>
      <c r="D9455" s="226">
        <v>0</v>
      </c>
      <c r="E9455" t="s">
        <v>710</v>
      </c>
    </row>
    <row r="9456" spans="1:5" hidden="1" x14ac:dyDescent="0.3">
      <c r="A9456" t="s">
        <v>552</v>
      </c>
      <c r="B9456" t="s">
        <v>709</v>
      </c>
      <c r="C9456" t="s">
        <v>605</v>
      </c>
      <c r="D9456" s="226">
        <v>0</v>
      </c>
      <c r="E9456" t="s">
        <v>710</v>
      </c>
    </row>
    <row r="9457" spans="1:5" hidden="1" x14ac:dyDescent="0.3">
      <c r="A9457" t="s">
        <v>552</v>
      </c>
      <c r="B9457" t="s">
        <v>709</v>
      </c>
      <c r="C9457" t="s">
        <v>606</v>
      </c>
      <c r="D9457" s="226">
        <v>0</v>
      </c>
      <c r="E9457" t="s">
        <v>710</v>
      </c>
    </row>
    <row r="9458" spans="1:5" hidden="1" x14ac:dyDescent="0.3">
      <c r="A9458" t="s">
        <v>552</v>
      </c>
      <c r="B9458" t="s">
        <v>709</v>
      </c>
      <c r="C9458" t="s">
        <v>607</v>
      </c>
      <c r="D9458" s="226">
        <v>0</v>
      </c>
      <c r="E9458" t="s">
        <v>710</v>
      </c>
    </row>
    <row r="9459" spans="1:5" hidden="1" x14ac:dyDescent="0.3">
      <c r="A9459" t="s">
        <v>552</v>
      </c>
      <c r="B9459" t="s">
        <v>709</v>
      </c>
      <c r="C9459" t="s">
        <v>608</v>
      </c>
      <c r="D9459" s="226">
        <v>0</v>
      </c>
      <c r="E9459" t="s">
        <v>710</v>
      </c>
    </row>
    <row r="9460" spans="1:5" hidden="1" x14ac:dyDescent="0.3">
      <c r="A9460" t="s">
        <v>552</v>
      </c>
      <c r="B9460" t="s">
        <v>709</v>
      </c>
      <c r="C9460" t="s">
        <v>609</v>
      </c>
      <c r="D9460" s="226">
        <v>0</v>
      </c>
      <c r="E9460" t="s">
        <v>710</v>
      </c>
    </row>
    <row r="9461" spans="1:5" hidden="1" x14ac:dyDescent="0.3">
      <c r="A9461" t="s">
        <v>552</v>
      </c>
      <c r="B9461" t="s">
        <v>709</v>
      </c>
      <c r="C9461" t="s">
        <v>610</v>
      </c>
      <c r="D9461" s="226">
        <v>0</v>
      </c>
      <c r="E9461" t="s">
        <v>710</v>
      </c>
    </row>
    <row r="9462" spans="1:5" hidden="1" x14ac:dyDescent="0.3">
      <c r="A9462" t="s">
        <v>552</v>
      </c>
      <c r="B9462" t="s">
        <v>709</v>
      </c>
      <c r="C9462" t="s">
        <v>611</v>
      </c>
      <c r="D9462" s="226">
        <v>0</v>
      </c>
      <c r="E9462" t="s">
        <v>710</v>
      </c>
    </row>
    <row r="9463" spans="1:5" hidden="1" x14ac:dyDescent="0.3">
      <c r="A9463" t="s">
        <v>552</v>
      </c>
      <c r="B9463" t="s">
        <v>709</v>
      </c>
      <c r="C9463" t="s">
        <v>612</v>
      </c>
      <c r="D9463" s="226">
        <v>0</v>
      </c>
      <c r="E9463" t="s">
        <v>710</v>
      </c>
    </row>
    <row r="9464" spans="1:5" hidden="1" x14ac:dyDescent="0.3">
      <c r="A9464" t="s">
        <v>552</v>
      </c>
      <c r="B9464" t="s">
        <v>709</v>
      </c>
      <c r="C9464" t="s">
        <v>613</v>
      </c>
      <c r="D9464" s="226">
        <v>0</v>
      </c>
      <c r="E9464" t="s">
        <v>710</v>
      </c>
    </row>
    <row r="9465" spans="1:5" hidden="1" x14ac:dyDescent="0.3">
      <c r="A9465" t="s">
        <v>552</v>
      </c>
      <c r="B9465" t="s">
        <v>709</v>
      </c>
      <c r="C9465" t="s">
        <v>614</v>
      </c>
      <c r="D9465" s="226">
        <v>0</v>
      </c>
      <c r="E9465" t="s">
        <v>710</v>
      </c>
    </row>
    <row r="9466" spans="1:5" hidden="1" x14ac:dyDescent="0.3">
      <c r="A9466" t="s">
        <v>552</v>
      </c>
      <c r="B9466" t="s">
        <v>709</v>
      </c>
      <c r="C9466" t="s">
        <v>615</v>
      </c>
      <c r="D9466" s="226">
        <v>0</v>
      </c>
      <c r="E9466" t="s">
        <v>710</v>
      </c>
    </row>
    <row r="9467" spans="1:5" hidden="1" x14ac:dyDescent="0.3">
      <c r="A9467" t="s">
        <v>552</v>
      </c>
      <c r="B9467" t="s">
        <v>709</v>
      </c>
      <c r="C9467" t="s">
        <v>616</v>
      </c>
      <c r="D9467" s="226">
        <v>0</v>
      </c>
      <c r="E9467" t="s">
        <v>710</v>
      </c>
    </row>
    <row r="9468" spans="1:5" hidden="1" x14ac:dyDescent="0.3">
      <c r="A9468" t="s">
        <v>552</v>
      </c>
      <c r="B9468" t="s">
        <v>709</v>
      </c>
      <c r="C9468" t="s">
        <v>617</v>
      </c>
      <c r="D9468" s="226">
        <v>0</v>
      </c>
      <c r="E9468" t="s">
        <v>710</v>
      </c>
    </row>
    <row r="9469" spans="1:5" hidden="1" x14ac:dyDescent="0.3">
      <c r="A9469" t="s">
        <v>552</v>
      </c>
      <c r="B9469" t="s">
        <v>709</v>
      </c>
      <c r="C9469" t="s">
        <v>618</v>
      </c>
      <c r="D9469" s="226">
        <v>0</v>
      </c>
      <c r="E9469" t="s">
        <v>710</v>
      </c>
    </row>
    <row r="9470" spans="1:5" hidden="1" x14ac:dyDescent="0.3">
      <c r="A9470" t="s">
        <v>552</v>
      </c>
      <c r="B9470" t="s">
        <v>709</v>
      </c>
      <c r="C9470" t="s">
        <v>619</v>
      </c>
      <c r="D9470" s="226">
        <v>0</v>
      </c>
      <c r="E9470" t="s">
        <v>710</v>
      </c>
    </row>
    <row r="9471" spans="1:5" hidden="1" x14ac:dyDescent="0.3">
      <c r="A9471" t="s">
        <v>552</v>
      </c>
      <c r="B9471" t="s">
        <v>709</v>
      </c>
      <c r="C9471" t="s">
        <v>620</v>
      </c>
      <c r="D9471" s="226">
        <v>0</v>
      </c>
      <c r="E9471" t="s">
        <v>710</v>
      </c>
    </row>
    <row r="9472" spans="1:5" hidden="1" x14ac:dyDescent="0.3">
      <c r="A9472" t="s">
        <v>552</v>
      </c>
      <c r="B9472" t="s">
        <v>709</v>
      </c>
      <c r="C9472" t="s">
        <v>621</v>
      </c>
      <c r="D9472" s="226">
        <v>0</v>
      </c>
      <c r="E9472" t="s">
        <v>710</v>
      </c>
    </row>
    <row r="9473" spans="1:5" hidden="1" x14ac:dyDescent="0.3">
      <c r="A9473" t="s">
        <v>552</v>
      </c>
      <c r="B9473" t="s">
        <v>709</v>
      </c>
      <c r="C9473" t="s">
        <v>622</v>
      </c>
      <c r="D9473" s="226">
        <v>0</v>
      </c>
      <c r="E9473" t="s">
        <v>710</v>
      </c>
    </row>
    <row r="9474" spans="1:5" hidden="1" x14ac:dyDescent="0.3">
      <c r="A9474" t="s">
        <v>552</v>
      </c>
      <c r="B9474" t="s">
        <v>709</v>
      </c>
      <c r="C9474" t="s">
        <v>623</v>
      </c>
      <c r="D9474" s="226">
        <v>0</v>
      </c>
      <c r="E9474" t="s">
        <v>710</v>
      </c>
    </row>
    <row r="9475" spans="1:5" hidden="1" x14ac:dyDescent="0.3">
      <c r="A9475" t="s">
        <v>552</v>
      </c>
      <c r="B9475" t="s">
        <v>709</v>
      </c>
      <c r="C9475" t="s">
        <v>624</v>
      </c>
      <c r="D9475" s="226">
        <v>0</v>
      </c>
      <c r="E9475" t="s">
        <v>710</v>
      </c>
    </row>
    <row r="9476" spans="1:5" hidden="1" x14ac:dyDescent="0.3">
      <c r="A9476" t="s">
        <v>552</v>
      </c>
      <c r="B9476" t="s">
        <v>709</v>
      </c>
      <c r="C9476" t="s">
        <v>200</v>
      </c>
      <c r="D9476" s="226">
        <v>-151884.43</v>
      </c>
      <c r="E9476" t="s">
        <v>710</v>
      </c>
    </row>
    <row r="9477" spans="1:5" hidden="1" x14ac:dyDescent="0.3">
      <c r="A9477" t="s">
        <v>552</v>
      </c>
      <c r="B9477" t="s">
        <v>709</v>
      </c>
      <c r="C9477" t="s">
        <v>202</v>
      </c>
      <c r="D9477" s="226">
        <v>-151884.43</v>
      </c>
      <c r="E9477" t="s">
        <v>710</v>
      </c>
    </row>
    <row r="9478" spans="1:5" hidden="1" x14ac:dyDescent="0.3">
      <c r="A9478" t="s">
        <v>552</v>
      </c>
      <c r="B9478" t="s">
        <v>709</v>
      </c>
      <c r="C9478" t="s">
        <v>625</v>
      </c>
      <c r="D9478" s="226">
        <v>75942.22</v>
      </c>
      <c r="E9478" t="s">
        <v>710</v>
      </c>
    </row>
    <row r="9479" spans="1:5" hidden="1" x14ac:dyDescent="0.3">
      <c r="A9479" t="s">
        <v>552</v>
      </c>
      <c r="B9479" t="s">
        <v>709</v>
      </c>
      <c r="C9479" t="s">
        <v>204</v>
      </c>
      <c r="D9479" s="226">
        <v>-61947.199999999997</v>
      </c>
      <c r="E9479" t="s">
        <v>710</v>
      </c>
    </row>
    <row r="9480" spans="1:5" hidden="1" x14ac:dyDescent="0.3">
      <c r="A9480" t="s">
        <v>552</v>
      </c>
      <c r="B9480" t="s">
        <v>709</v>
      </c>
      <c r="C9480" t="s">
        <v>626</v>
      </c>
      <c r="D9480" s="226">
        <v>-27770.6</v>
      </c>
      <c r="E9480" t="s">
        <v>710</v>
      </c>
    </row>
    <row r="9481" spans="1:5" hidden="1" x14ac:dyDescent="0.3">
      <c r="A9481" t="s">
        <v>552</v>
      </c>
      <c r="B9481" t="s">
        <v>709</v>
      </c>
      <c r="C9481" t="s">
        <v>627</v>
      </c>
      <c r="D9481" s="226">
        <v>0</v>
      </c>
      <c r="E9481" t="s">
        <v>710</v>
      </c>
    </row>
    <row r="9482" spans="1:5" hidden="1" x14ac:dyDescent="0.3">
      <c r="A9482" t="s">
        <v>552</v>
      </c>
      <c r="B9482" t="s">
        <v>709</v>
      </c>
      <c r="C9482" t="s">
        <v>628</v>
      </c>
      <c r="D9482" s="226">
        <v>0</v>
      </c>
      <c r="E9482" t="s">
        <v>710</v>
      </c>
    </row>
    <row r="9483" spans="1:5" hidden="1" x14ac:dyDescent="0.3">
      <c r="A9483" t="s">
        <v>552</v>
      </c>
      <c r="B9483" t="s">
        <v>709</v>
      </c>
      <c r="C9483" t="s">
        <v>629</v>
      </c>
      <c r="D9483" s="226">
        <v>-4997.92</v>
      </c>
      <c r="E9483" t="s">
        <v>710</v>
      </c>
    </row>
    <row r="9484" spans="1:5" hidden="1" x14ac:dyDescent="0.3">
      <c r="A9484" t="s">
        <v>552</v>
      </c>
      <c r="B9484" t="s">
        <v>709</v>
      </c>
      <c r="C9484" t="s">
        <v>630</v>
      </c>
      <c r="D9484" s="226">
        <v>-19134.2</v>
      </c>
      <c r="E9484" t="s">
        <v>710</v>
      </c>
    </row>
    <row r="9485" spans="1:5" hidden="1" x14ac:dyDescent="0.3">
      <c r="A9485" t="s">
        <v>552</v>
      </c>
      <c r="B9485" t="s">
        <v>709</v>
      </c>
      <c r="C9485" t="s">
        <v>631</v>
      </c>
      <c r="D9485" s="226">
        <v>-44.48</v>
      </c>
      <c r="E9485" t="s">
        <v>710</v>
      </c>
    </row>
    <row r="9486" spans="1:5" hidden="1" x14ac:dyDescent="0.3">
      <c r="A9486" t="s">
        <v>552</v>
      </c>
      <c r="B9486" t="s">
        <v>709</v>
      </c>
      <c r="C9486" t="s">
        <v>632</v>
      </c>
      <c r="D9486" s="226">
        <v>0</v>
      </c>
      <c r="E9486" t="s">
        <v>710</v>
      </c>
    </row>
    <row r="9487" spans="1:5" hidden="1" x14ac:dyDescent="0.3">
      <c r="A9487" t="s">
        <v>552</v>
      </c>
      <c r="B9487" t="s">
        <v>709</v>
      </c>
      <c r="C9487" t="s">
        <v>633</v>
      </c>
      <c r="D9487" s="226">
        <v>0</v>
      </c>
      <c r="E9487" t="s">
        <v>710</v>
      </c>
    </row>
    <row r="9488" spans="1:5" hidden="1" x14ac:dyDescent="0.3">
      <c r="A9488" t="s">
        <v>552</v>
      </c>
      <c r="B9488" t="s">
        <v>709</v>
      </c>
      <c r="C9488" t="s">
        <v>634</v>
      </c>
      <c r="D9488" s="226">
        <v>0</v>
      </c>
      <c r="E9488" t="s">
        <v>710</v>
      </c>
    </row>
    <row r="9489" spans="1:5" hidden="1" x14ac:dyDescent="0.3">
      <c r="A9489" t="s">
        <v>552</v>
      </c>
      <c r="B9489" t="s">
        <v>709</v>
      </c>
      <c r="C9489" t="s">
        <v>635</v>
      </c>
      <c r="D9489" s="226">
        <v>0</v>
      </c>
      <c r="E9489" t="s">
        <v>710</v>
      </c>
    </row>
    <row r="9490" spans="1:5" hidden="1" x14ac:dyDescent="0.3">
      <c r="A9490" t="s">
        <v>552</v>
      </c>
      <c r="B9490" t="s">
        <v>709</v>
      </c>
      <c r="C9490" t="s">
        <v>636</v>
      </c>
      <c r="D9490" s="226">
        <v>0</v>
      </c>
      <c r="E9490" t="s">
        <v>710</v>
      </c>
    </row>
    <row r="9491" spans="1:5" hidden="1" x14ac:dyDescent="0.3">
      <c r="A9491" t="s">
        <v>552</v>
      </c>
      <c r="B9491" t="s">
        <v>709</v>
      </c>
      <c r="C9491" t="s">
        <v>637</v>
      </c>
      <c r="D9491" s="226">
        <v>-10000</v>
      </c>
      <c r="E9491" t="s">
        <v>710</v>
      </c>
    </row>
    <row r="9492" spans="1:5" hidden="1" x14ac:dyDescent="0.3">
      <c r="A9492" t="s">
        <v>552</v>
      </c>
      <c r="B9492" t="s">
        <v>709</v>
      </c>
      <c r="C9492" t="s">
        <v>638</v>
      </c>
      <c r="D9492" s="226">
        <v>0</v>
      </c>
      <c r="E9492" t="s">
        <v>710</v>
      </c>
    </row>
    <row r="9493" spans="1:5" hidden="1" x14ac:dyDescent="0.3">
      <c r="A9493" t="s">
        <v>552</v>
      </c>
      <c r="B9493" t="s">
        <v>709</v>
      </c>
      <c r="C9493" t="s">
        <v>639</v>
      </c>
      <c r="D9493" s="226">
        <v>0</v>
      </c>
      <c r="E9493" t="s">
        <v>710</v>
      </c>
    </row>
    <row r="9494" spans="1:5" hidden="1" x14ac:dyDescent="0.3">
      <c r="A9494" t="s">
        <v>552</v>
      </c>
      <c r="B9494" t="s">
        <v>709</v>
      </c>
      <c r="C9494" t="s">
        <v>640</v>
      </c>
      <c r="D9494" s="226">
        <v>0</v>
      </c>
      <c r="E9494" t="s">
        <v>710</v>
      </c>
    </row>
    <row r="9495" spans="1:5" hidden="1" x14ac:dyDescent="0.3">
      <c r="A9495" t="s">
        <v>552</v>
      </c>
      <c r="B9495" t="s">
        <v>709</v>
      </c>
      <c r="C9495" t="s">
        <v>641</v>
      </c>
      <c r="D9495" s="226">
        <v>0</v>
      </c>
      <c r="E9495" t="s">
        <v>710</v>
      </c>
    </row>
    <row r="9496" spans="1:5" hidden="1" x14ac:dyDescent="0.3">
      <c r="A9496" t="s">
        <v>552</v>
      </c>
      <c r="B9496" t="s">
        <v>709</v>
      </c>
      <c r="C9496" t="s">
        <v>237</v>
      </c>
      <c r="D9496" s="226">
        <v>-11583.2</v>
      </c>
      <c r="E9496" t="s">
        <v>710</v>
      </c>
    </row>
    <row r="9497" spans="1:5" hidden="1" x14ac:dyDescent="0.3">
      <c r="A9497" t="s">
        <v>552</v>
      </c>
      <c r="B9497" t="s">
        <v>709</v>
      </c>
      <c r="C9497" t="s">
        <v>642</v>
      </c>
      <c r="D9497" s="226">
        <v>-11195.58</v>
      </c>
      <c r="E9497" t="s">
        <v>710</v>
      </c>
    </row>
    <row r="9498" spans="1:5" hidden="1" x14ac:dyDescent="0.3">
      <c r="A9498" t="s">
        <v>552</v>
      </c>
      <c r="B9498" t="s">
        <v>709</v>
      </c>
      <c r="C9498" t="s">
        <v>643</v>
      </c>
      <c r="D9498" s="226">
        <v>0</v>
      </c>
      <c r="E9498" t="s">
        <v>710</v>
      </c>
    </row>
    <row r="9499" spans="1:5" hidden="1" x14ac:dyDescent="0.3">
      <c r="A9499" t="s">
        <v>552</v>
      </c>
      <c r="B9499" t="s">
        <v>709</v>
      </c>
      <c r="C9499" t="s">
        <v>644</v>
      </c>
      <c r="D9499" s="226">
        <v>0</v>
      </c>
      <c r="E9499" t="s">
        <v>710</v>
      </c>
    </row>
    <row r="9500" spans="1:5" hidden="1" x14ac:dyDescent="0.3">
      <c r="A9500" t="s">
        <v>552</v>
      </c>
      <c r="B9500" t="s">
        <v>709</v>
      </c>
      <c r="C9500" t="s">
        <v>645</v>
      </c>
      <c r="D9500" s="226">
        <v>-387.62</v>
      </c>
      <c r="E9500" t="s">
        <v>710</v>
      </c>
    </row>
    <row r="9501" spans="1:5" hidden="1" x14ac:dyDescent="0.3">
      <c r="A9501" t="s">
        <v>552</v>
      </c>
      <c r="B9501" t="s">
        <v>709</v>
      </c>
      <c r="C9501" t="s">
        <v>646</v>
      </c>
      <c r="D9501" s="226">
        <v>0</v>
      </c>
      <c r="E9501" t="s">
        <v>710</v>
      </c>
    </row>
    <row r="9502" spans="1:5" hidden="1" x14ac:dyDescent="0.3">
      <c r="A9502" t="s">
        <v>552</v>
      </c>
      <c r="B9502" t="s">
        <v>709</v>
      </c>
      <c r="C9502" t="s">
        <v>244</v>
      </c>
      <c r="D9502" s="226">
        <v>-44640.95</v>
      </c>
      <c r="E9502" t="s">
        <v>710</v>
      </c>
    </row>
    <row r="9503" spans="1:5" hidden="1" x14ac:dyDescent="0.3">
      <c r="A9503" t="s">
        <v>552</v>
      </c>
      <c r="B9503" t="s">
        <v>709</v>
      </c>
      <c r="C9503" t="s">
        <v>647</v>
      </c>
      <c r="D9503" s="226">
        <v>0</v>
      </c>
      <c r="E9503" t="s">
        <v>710</v>
      </c>
    </row>
    <row r="9504" spans="1:5" hidden="1" x14ac:dyDescent="0.3">
      <c r="A9504" t="s">
        <v>552</v>
      </c>
      <c r="B9504" t="s">
        <v>709</v>
      </c>
      <c r="C9504" t="s">
        <v>648</v>
      </c>
      <c r="D9504" s="226">
        <v>-726.84</v>
      </c>
      <c r="E9504" t="s">
        <v>710</v>
      </c>
    </row>
    <row r="9505" spans="1:5" hidden="1" x14ac:dyDescent="0.3">
      <c r="A9505" t="s">
        <v>552</v>
      </c>
      <c r="B9505" t="s">
        <v>709</v>
      </c>
      <c r="C9505" t="s">
        <v>649</v>
      </c>
      <c r="D9505" s="226">
        <v>0</v>
      </c>
      <c r="E9505" t="s">
        <v>710</v>
      </c>
    </row>
    <row r="9506" spans="1:5" hidden="1" x14ac:dyDescent="0.3">
      <c r="A9506" t="s">
        <v>552</v>
      </c>
      <c r="B9506" t="s">
        <v>709</v>
      </c>
      <c r="C9506" t="s">
        <v>650</v>
      </c>
      <c r="D9506" s="226">
        <v>-2700</v>
      </c>
      <c r="E9506" t="s">
        <v>710</v>
      </c>
    </row>
    <row r="9507" spans="1:5" hidden="1" x14ac:dyDescent="0.3">
      <c r="A9507" t="s">
        <v>552</v>
      </c>
      <c r="B9507" t="s">
        <v>709</v>
      </c>
      <c r="C9507" t="s">
        <v>651</v>
      </c>
      <c r="D9507" s="226">
        <v>0</v>
      </c>
      <c r="E9507" t="s">
        <v>710</v>
      </c>
    </row>
    <row r="9508" spans="1:5" hidden="1" x14ac:dyDescent="0.3">
      <c r="A9508" t="s">
        <v>552</v>
      </c>
      <c r="B9508" t="s">
        <v>709</v>
      </c>
      <c r="C9508" t="s">
        <v>652</v>
      </c>
      <c r="D9508" s="226">
        <v>-41214.11</v>
      </c>
      <c r="E9508" t="s">
        <v>710</v>
      </c>
    </row>
    <row r="9509" spans="1:5" hidden="1" x14ac:dyDescent="0.3">
      <c r="A9509" t="s">
        <v>552</v>
      </c>
      <c r="B9509" t="s">
        <v>709</v>
      </c>
      <c r="C9509" t="s">
        <v>653</v>
      </c>
      <c r="D9509" s="226">
        <v>0</v>
      </c>
      <c r="E9509" t="s">
        <v>710</v>
      </c>
    </row>
    <row r="9510" spans="1:5" hidden="1" x14ac:dyDescent="0.3">
      <c r="A9510" t="s">
        <v>552</v>
      </c>
      <c r="B9510" t="s">
        <v>709</v>
      </c>
      <c r="C9510" t="s">
        <v>253</v>
      </c>
      <c r="D9510" s="226">
        <v>-0.21</v>
      </c>
      <c r="E9510" t="s">
        <v>710</v>
      </c>
    </row>
    <row r="9511" spans="1:5" hidden="1" x14ac:dyDescent="0.3">
      <c r="A9511" t="s">
        <v>552</v>
      </c>
      <c r="B9511" t="s">
        <v>709</v>
      </c>
      <c r="C9511" t="s">
        <v>254</v>
      </c>
      <c r="D9511" s="226">
        <v>-0.2</v>
      </c>
      <c r="E9511" t="s">
        <v>710</v>
      </c>
    </row>
    <row r="9512" spans="1:5" hidden="1" x14ac:dyDescent="0.3">
      <c r="A9512" t="s">
        <v>552</v>
      </c>
      <c r="B9512" t="s">
        <v>709</v>
      </c>
      <c r="C9512" t="s">
        <v>255</v>
      </c>
      <c r="D9512" s="226">
        <v>-52921.31</v>
      </c>
      <c r="E9512" t="s">
        <v>710</v>
      </c>
    </row>
    <row r="9513" spans="1:5" hidden="1" x14ac:dyDescent="0.3">
      <c r="A9513" t="s">
        <v>552</v>
      </c>
      <c r="B9513" t="s">
        <v>709</v>
      </c>
      <c r="C9513" t="s">
        <v>256</v>
      </c>
      <c r="D9513" s="226">
        <v>-33872.5</v>
      </c>
      <c r="E9513" t="s">
        <v>710</v>
      </c>
    </row>
    <row r="9514" spans="1:5" hidden="1" x14ac:dyDescent="0.3">
      <c r="A9514" t="s">
        <v>552</v>
      </c>
      <c r="B9514" t="s">
        <v>709</v>
      </c>
      <c r="C9514" t="s">
        <v>257</v>
      </c>
      <c r="D9514" s="226">
        <v>-16860.439999999999</v>
      </c>
      <c r="E9514" t="s">
        <v>710</v>
      </c>
    </row>
    <row r="9515" spans="1:5" hidden="1" x14ac:dyDescent="0.3">
      <c r="A9515" t="s">
        <v>552</v>
      </c>
      <c r="B9515" t="s">
        <v>709</v>
      </c>
      <c r="C9515" t="s">
        <v>258</v>
      </c>
      <c r="D9515" s="226">
        <v>-2188.37</v>
      </c>
      <c r="E9515" t="s">
        <v>710</v>
      </c>
    </row>
    <row r="9516" spans="1:5" hidden="1" x14ac:dyDescent="0.3">
      <c r="A9516" t="s">
        <v>552</v>
      </c>
      <c r="B9516" t="s">
        <v>709</v>
      </c>
      <c r="C9516" t="s">
        <v>259</v>
      </c>
      <c r="D9516" s="226">
        <v>0</v>
      </c>
      <c r="E9516" t="s">
        <v>710</v>
      </c>
    </row>
    <row r="9517" spans="1:5" hidden="1" x14ac:dyDescent="0.3">
      <c r="A9517" t="s">
        <v>552</v>
      </c>
      <c r="B9517" t="s">
        <v>709</v>
      </c>
      <c r="C9517" t="s">
        <v>260</v>
      </c>
      <c r="D9517" s="226">
        <v>0</v>
      </c>
      <c r="E9517" t="s">
        <v>710</v>
      </c>
    </row>
    <row r="9518" spans="1:5" hidden="1" x14ac:dyDescent="0.3">
      <c r="A9518" t="s">
        <v>552</v>
      </c>
      <c r="B9518" t="s">
        <v>709</v>
      </c>
      <c r="C9518" t="s">
        <v>261</v>
      </c>
      <c r="D9518" s="226">
        <v>0</v>
      </c>
      <c r="E9518" t="s">
        <v>710</v>
      </c>
    </row>
    <row r="9519" spans="1:5" hidden="1" x14ac:dyDescent="0.3">
      <c r="A9519" t="s">
        <v>552</v>
      </c>
      <c r="B9519" t="s">
        <v>709</v>
      </c>
      <c r="C9519" t="s">
        <v>262</v>
      </c>
      <c r="D9519" s="226">
        <v>0</v>
      </c>
      <c r="E9519" t="s">
        <v>710</v>
      </c>
    </row>
    <row r="9520" spans="1:5" hidden="1" x14ac:dyDescent="0.3">
      <c r="A9520" t="s">
        <v>552</v>
      </c>
      <c r="B9520" t="s">
        <v>709</v>
      </c>
      <c r="C9520" t="s">
        <v>44</v>
      </c>
      <c r="D9520" s="226">
        <v>-0.03</v>
      </c>
      <c r="E9520" t="s">
        <v>710</v>
      </c>
    </row>
    <row r="9521" spans="1:5" hidden="1" x14ac:dyDescent="0.3">
      <c r="A9521" t="s">
        <v>552</v>
      </c>
      <c r="B9521" t="s">
        <v>709</v>
      </c>
      <c r="C9521" t="s">
        <v>263</v>
      </c>
      <c r="D9521" s="226">
        <v>-107810.85</v>
      </c>
      <c r="E9521" t="s">
        <v>710</v>
      </c>
    </row>
    <row r="9522" spans="1:5" hidden="1" x14ac:dyDescent="0.3">
      <c r="A9522" t="s">
        <v>552</v>
      </c>
      <c r="B9522" t="s">
        <v>709</v>
      </c>
      <c r="C9522" t="s">
        <v>264</v>
      </c>
      <c r="D9522" s="226">
        <v>-20076.95</v>
      </c>
      <c r="E9522" t="s">
        <v>710</v>
      </c>
    </row>
    <row r="9523" spans="1:5" hidden="1" x14ac:dyDescent="0.3">
      <c r="A9523" t="s">
        <v>552</v>
      </c>
      <c r="B9523" t="s">
        <v>709</v>
      </c>
      <c r="C9523" t="s">
        <v>265</v>
      </c>
      <c r="D9523" s="226">
        <v>-18326.84</v>
      </c>
      <c r="E9523" t="s">
        <v>710</v>
      </c>
    </row>
    <row r="9524" spans="1:5" hidden="1" x14ac:dyDescent="0.3">
      <c r="A9524" t="s">
        <v>552</v>
      </c>
      <c r="B9524" t="s">
        <v>709</v>
      </c>
      <c r="C9524" t="s">
        <v>266</v>
      </c>
      <c r="D9524" s="226">
        <v>-15431.99</v>
      </c>
      <c r="E9524" t="s">
        <v>710</v>
      </c>
    </row>
    <row r="9525" spans="1:5" hidden="1" x14ac:dyDescent="0.3">
      <c r="A9525" t="s">
        <v>552</v>
      </c>
      <c r="B9525" t="s">
        <v>709</v>
      </c>
      <c r="C9525" t="s">
        <v>267</v>
      </c>
      <c r="D9525" s="226">
        <v>-23397.33</v>
      </c>
      <c r="E9525" t="s">
        <v>710</v>
      </c>
    </row>
    <row r="9526" spans="1:5" hidden="1" x14ac:dyDescent="0.3">
      <c r="A9526" t="s">
        <v>552</v>
      </c>
      <c r="B9526" t="s">
        <v>709</v>
      </c>
      <c r="C9526" t="s">
        <v>268</v>
      </c>
      <c r="D9526" s="226">
        <v>0</v>
      </c>
      <c r="E9526" t="s">
        <v>710</v>
      </c>
    </row>
    <row r="9527" spans="1:5" hidden="1" x14ac:dyDescent="0.3">
      <c r="A9527" t="s">
        <v>552</v>
      </c>
      <c r="B9527" t="s">
        <v>709</v>
      </c>
      <c r="C9527" t="s">
        <v>269</v>
      </c>
      <c r="D9527" s="226">
        <v>-580</v>
      </c>
      <c r="E9527" t="s">
        <v>710</v>
      </c>
    </row>
    <row r="9528" spans="1:5" hidden="1" x14ac:dyDescent="0.3">
      <c r="A9528" t="s">
        <v>552</v>
      </c>
      <c r="B9528" t="s">
        <v>709</v>
      </c>
      <c r="C9528" t="s">
        <v>270</v>
      </c>
      <c r="D9528" s="226">
        <v>-3500</v>
      </c>
      <c r="E9528" t="s">
        <v>710</v>
      </c>
    </row>
    <row r="9529" spans="1:5" hidden="1" x14ac:dyDescent="0.3">
      <c r="A9529" t="s">
        <v>552</v>
      </c>
      <c r="B9529" t="s">
        <v>709</v>
      </c>
      <c r="C9529" t="s">
        <v>271</v>
      </c>
      <c r="D9529" s="226">
        <v>-11254.13</v>
      </c>
      <c r="E9529" t="s">
        <v>710</v>
      </c>
    </row>
    <row r="9530" spans="1:5" hidden="1" x14ac:dyDescent="0.3">
      <c r="A9530" t="s">
        <v>552</v>
      </c>
      <c r="B9530" t="s">
        <v>709</v>
      </c>
      <c r="C9530" t="s">
        <v>272</v>
      </c>
      <c r="D9530" s="226">
        <v>0</v>
      </c>
      <c r="E9530" t="s">
        <v>710</v>
      </c>
    </row>
    <row r="9531" spans="1:5" hidden="1" x14ac:dyDescent="0.3">
      <c r="A9531" t="s">
        <v>552</v>
      </c>
      <c r="B9531" t="s">
        <v>709</v>
      </c>
      <c r="C9531" t="s">
        <v>273</v>
      </c>
      <c r="D9531" s="226">
        <v>0</v>
      </c>
      <c r="E9531" t="s">
        <v>710</v>
      </c>
    </row>
    <row r="9532" spans="1:5" hidden="1" x14ac:dyDescent="0.3">
      <c r="A9532" t="s">
        <v>552</v>
      </c>
      <c r="B9532" t="s">
        <v>709</v>
      </c>
      <c r="C9532" t="s">
        <v>274</v>
      </c>
      <c r="D9532" s="226">
        <v>-1468.36</v>
      </c>
      <c r="E9532" t="s">
        <v>710</v>
      </c>
    </row>
    <row r="9533" spans="1:5" hidden="1" x14ac:dyDescent="0.3">
      <c r="A9533" t="s">
        <v>552</v>
      </c>
      <c r="B9533" t="s">
        <v>709</v>
      </c>
      <c r="C9533" t="s">
        <v>275</v>
      </c>
      <c r="D9533" s="226">
        <v>-2466.67</v>
      </c>
      <c r="E9533" t="s">
        <v>710</v>
      </c>
    </row>
    <row r="9534" spans="1:5" hidden="1" x14ac:dyDescent="0.3">
      <c r="A9534" t="s">
        <v>552</v>
      </c>
      <c r="B9534" t="s">
        <v>709</v>
      </c>
      <c r="C9534" t="s">
        <v>276</v>
      </c>
      <c r="D9534" s="226">
        <v>-1477</v>
      </c>
      <c r="E9534" t="s">
        <v>710</v>
      </c>
    </row>
    <row r="9535" spans="1:5" hidden="1" x14ac:dyDescent="0.3">
      <c r="A9535" t="s">
        <v>552</v>
      </c>
      <c r="B9535" t="s">
        <v>709</v>
      </c>
      <c r="C9535" t="s">
        <v>277</v>
      </c>
      <c r="D9535" s="226">
        <v>-9831.58</v>
      </c>
      <c r="E9535" t="s">
        <v>710</v>
      </c>
    </row>
    <row r="9536" spans="1:5" hidden="1" x14ac:dyDescent="0.3">
      <c r="A9536" t="s">
        <v>552</v>
      </c>
      <c r="B9536" t="s">
        <v>709</v>
      </c>
      <c r="C9536" t="s">
        <v>44</v>
      </c>
      <c r="D9536" s="226">
        <v>-0.06</v>
      </c>
      <c r="E9536" t="s">
        <v>710</v>
      </c>
    </row>
    <row r="9537" spans="1:5" hidden="1" x14ac:dyDescent="0.3">
      <c r="A9537" t="s">
        <v>552</v>
      </c>
      <c r="B9537" t="s">
        <v>709</v>
      </c>
      <c r="C9537" t="s">
        <v>278</v>
      </c>
      <c r="D9537" s="226">
        <v>-5203.9399999999996</v>
      </c>
      <c r="E9537" t="s">
        <v>710</v>
      </c>
    </row>
    <row r="9538" spans="1:5" hidden="1" x14ac:dyDescent="0.3">
      <c r="A9538" t="s">
        <v>552</v>
      </c>
      <c r="B9538" t="s">
        <v>709</v>
      </c>
      <c r="C9538" t="s">
        <v>279</v>
      </c>
      <c r="D9538" s="226">
        <v>-119.97</v>
      </c>
      <c r="E9538" t="s">
        <v>710</v>
      </c>
    </row>
    <row r="9539" spans="1:5" hidden="1" x14ac:dyDescent="0.3">
      <c r="A9539" t="s">
        <v>552</v>
      </c>
      <c r="B9539" t="s">
        <v>709</v>
      </c>
      <c r="C9539" t="s">
        <v>280</v>
      </c>
      <c r="D9539" s="226">
        <v>-478.32</v>
      </c>
      <c r="E9539" t="s">
        <v>710</v>
      </c>
    </row>
    <row r="9540" spans="1:5" hidden="1" x14ac:dyDescent="0.3">
      <c r="A9540" t="s">
        <v>552</v>
      </c>
      <c r="B9540" t="s">
        <v>709</v>
      </c>
      <c r="C9540" t="s">
        <v>281</v>
      </c>
      <c r="D9540" s="226">
        <v>-23.9</v>
      </c>
      <c r="E9540" t="s">
        <v>710</v>
      </c>
    </row>
    <row r="9541" spans="1:5" hidden="1" x14ac:dyDescent="0.3">
      <c r="A9541" t="s">
        <v>552</v>
      </c>
      <c r="B9541" t="s">
        <v>709</v>
      </c>
      <c r="C9541" t="s">
        <v>282</v>
      </c>
      <c r="D9541" s="226">
        <v>0</v>
      </c>
      <c r="E9541" t="s">
        <v>710</v>
      </c>
    </row>
    <row r="9542" spans="1:5" hidden="1" x14ac:dyDescent="0.3">
      <c r="A9542" t="s">
        <v>552</v>
      </c>
      <c r="B9542" t="s">
        <v>709</v>
      </c>
      <c r="C9542" t="s">
        <v>283</v>
      </c>
      <c r="D9542" s="226">
        <v>-3111.25</v>
      </c>
      <c r="E9542" t="s">
        <v>710</v>
      </c>
    </row>
    <row r="9543" spans="1:5" hidden="1" x14ac:dyDescent="0.3">
      <c r="A9543" t="s">
        <v>552</v>
      </c>
      <c r="B9543" t="s">
        <v>709</v>
      </c>
      <c r="C9543" t="s">
        <v>284</v>
      </c>
      <c r="D9543" s="226">
        <v>-429</v>
      </c>
      <c r="E9543" t="s">
        <v>710</v>
      </c>
    </row>
    <row r="9544" spans="1:5" hidden="1" x14ac:dyDescent="0.3">
      <c r="A9544" t="s">
        <v>552</v>
      </c>
      <c r="B9544" t="s">
        <v>709</v>
      </c>
      <c r="C9544" t="s">
        <v>285</v>
      </c>
      <c r="D9544" s="226">
        <v>-1041.5</v>
      </c>
      <c r="E9544" t="s">
        <v>710</v>
      </c>
    </row>
    <row r="9545" spans="1:5" hidden="1" x14ac:dyDescent="0.3">
      <c r="A9545" t="s">
        <v>552</v>
      </c>
      <c r="B9545" t="s">
        <v>709</v>
      </c>
      <c r="C9545" t="s">
        <v>44</v>
      </c>
      <c r="D9545" s="226">
        <v>0</v>
      </c>
      <c r="E9545" t="s">
        <v>710</v>
      </c>
    </row>
    <row r="9546" spans="1:5" hidden="1" x14ac:dyDescent="0.3">
      <c r="A9546" t="s">
        <v>552</v>
      </c>
      <c r="B9546" t="s">
        <v>709</v>
      </c>
      <c r="C9546" t="s">
        <v>286</v>
      </c>
      <c r="D9546" s="226">
        <v>-12378.62</v>
      </c>
      <c r="E9546" t="s">
        <v>710</v>
      </c>
    </row>
    <row r="9547" spans="1:5" hidden="1" x14ac:dyDescent="0.3">
      <c r="A9547" t="s">
        <v>552</v>
      </c>
      <c r="B9547" t="s">
        <v>709</v>
      </c>
      <c r="C9547" t="s">
        <v>287</v>
      </c>
      <c r="D9547" s="226">
        <v>-5080</v>
      </c>
      <c r="E9547" t="s">
        <v>710</v>
      </c>
    </row>
    <row r="9548" spans="1:5" hidden="1" x14ac:dyDescent="0.3">
      <c r="A9548" t="s">
        <v>552</v>
      </c>
      <c r="B9548" t="s">
        <v>709</v>
      </c>
      <c r="C9548" t="s">
        <v>288</v>
      </c>
      <c r="D9548" s="226">
        <v>-2125</v>
      </c>
      <c r="E9548" t="s">
        <v>710</v>
      </c>
    </row>
    <row r="9549" spans="1:5" hidden="1" x14ac:dyDescent="0.3">
      <c r="A9549" t="s">
        <v>552</v>
      </c>
      <c r="B9549" t="s">
        <v>709</v>
      </c>
      <c r="C9549" t="s">
        <v>289</v>
      </c>
      <c r="D9549" s="226">
        <v>0</v>
      </c>
      <c r="E9549" t="s">
        <v>710</v>
      </c>
    </row>
    <row r="9550" spans="1:5" hidden="1" x14ac:dyDescent="0.3">
      <c r="A9550" t="s">
        <v>552</v>
      </c>
      <c r="B9550" t="s">
        <v>709</v>
      </c>
      <c r="C9550" t="s">
        <v>290</v>
      </c>
      <c r="D9550" s="226">
        <v>-5041.6000000000004</v>
      </c>
      <c r="E9550" t="s">
        <v>710</v>
      </c>
    </row>
    <row r="9551" spans="1:5" hidden="1" x14ac:dyDescent="0.3">
      <c r="A9551" t="s">
        <v>552</v>
      </c>
      <c r="B9551" t="s">
        <v>709</v>
      </c>
      <c r="C9551" t="s">
        <v>291</v>
      </c>
      <c r="D9551" s="226">
        <v>0</v>
      </c>
      <c r="E9551" t="s">
        <v>710</v>
      </c>
    </row>
    <row r="9552" spans="1:5" hidden="1" x14ac:dyDescent="0.3">
      <c r="A9552" t="s">
        <v>552</v>
      </c>
      <c r="B9552" t="s">
        <v>709</v>
      </c>
      <c r="C9552" t="s">
        <v>292</v>
      </c>
      <c r="D9552" s="226">
        <v>0</v>
      </c>
      <c r="E9552" t="s">
        <v>710</v>
      </c>
    </row>
    <row r="9553" spans="1:5" hidden="1" x14ac:dyDescent="0.3">
      <c r="A9553" t="s">
        <v>552</v>
      </c>
      <c r="B9553" t="s">
        <v>709</v>
      </c>
      <c r="C9553" t="s">
        <v>293</v>
      </c>
      <c r="D9553" s="226">
        <v>-132.02000000000001</v>
      </c>
      <c r="E9553" t="s">
        <v>710</v>
      </c>
    </row>
    <row r="9554" spans="1:5" hidden="1" x14ac:dyDescent="0.3">
      <c r="A9554" t="s">
        <v>552</v>
      </c>
      <c r="B9554" t="s">
        <v>709</v>
      </c>
      <c r="C9554" t="s">
        <v>294</v>
      </c>
      <c r="D9554" s="226">
        <v>0</v>
      </c>
      <c r="E9554" t="s">
        <v>710</v>
      </c>
    </row>
    <row r="9555" spans="1:5" hidden="1" x14ac:dyDescent="0.3">
      <c r="A9555" t="s">
        <v>552</v>
      </c>
      <c r="B9555" t="s">
        <v>709</v>
      </c>
      <c r="C9555" t="s">
        <v>44</v>
      </c>
      <c r="D9555" s="226">
        <v>-0.01</v>
      </c>
      <c r="E9555" t="s">
        <v>710</v>
      </c>
    </row>
    <row r="9556" spans="1:5" hidden="1" x14ac:dyDescent="0.3">
      <c r="A9556" t="s">
        <v>552</v>
      </c>
      <c r="B9556" t="s">
        <v>709</v>
      </c>
      <c r="C9556" t="s">
        <v>295</v>
      </c>
      <c r="D9556" s="226">
        <v>-7207.23</v>
      </c>
      <c r="E9556" t="s">
        <v>710</v>
      </c>
    </row>
    <row r="9557" spans="1:5" hidden="1" x14ac:dyDescent="0.3">
      <c r="A9557" t="s">
        <v>552</v>
      </c>
      <c r="B9557" t="s">
        <v>709</v>
      </c>
      <c r="C9557" t="s">
        <v>296</v>
      </c>
      <c r="D9557" s="226">
        <v>-4500</v>
      </c>
      <c r="E9557" t="s">
        <v>710</v>
      </c>
    </row>
    <row r="9558" spans="1:5" hidden="1" x14ac:dyDescent="0.3">
      <c r="A9558" t="s">
        <v>552</v>
      </c>
      <c r="B9558" t="s">
        <v>709</v>
      </c>
      <c r="C9558" t="s">
        <v>297</v>
      </c>
      <c r="D9558" s="226">
        <v>-500</v>
      </c>
      <c r="E9558" t="s">
        <v>710</v>
      </c>
    </row>
    <row r="9559" spans="1:5" hidden="1" x14ac:dyDescent="0.3">
      <c r="A9559" t="s">
        <v>552</v>
      </c>
      <c r="B9559" t="s">
        <v>709</v>
      </c>
      <c r="C9559" t="s">
        <v>298</v>
      </c>
      <c r="D9559" s="226">
        <v>0</v>
      </c>
      <c r="E9559" t="s">
        <v>710</v>
      </c>
    </row>
    <row r="9560" spans="1:5" hidden="1" x14ac:dyDescent="0.3">
      <c r="A9560" t="s">
        <v>552</v>
      </c>
      <c r="B9560" t="s">
        <v>709</v>
      </c>
      <c r="C9560" t="s">
        <v>299</v>
      </c>
      <c r="D9560" s="226">
        <v>0</v>
      </c>
      <c r="E9560" t="s">
        <v>710</v>
      </c>
    </row>
    <row r="9561" spans="1:5" hidden="1" x14ac:dyDescent="0.3">
      <c r="A9561" t="s">
        <v>552</v>
      </c>
      <c r="B9561" t="s">
        <v>709</v>
      </c>
      <c r="C9561" t="s">
        <v>300</v>
      </c>
      <c r="D9561" s="226">
        <v>0</v>
      </c>
      <c r="E9561" t="s">
        <v>710</v>
      </c>
    </row>
    <row r="9562" spans="1:5" hidden="1" x14ac:dyDescent="0.3">
      <c r="A9562" t="s">
        <v>552</v>
      </c>
      <c r="B9562" t="s">
        <v>709</v>
      </c>
      <c r="C9562" t="s">
        <v>301</v>
      </c>
      <c r="D9562" s="226">
        <v>0</v>
      </c>
      <c r="E9562" t="s">
        <v>710</v>
      </c>
    </row>
    <row r="9563" spans="1:5" hidden="1" x14ac:dyDescent="0.3">
      <c r="A9563" t="s">
        <v>552</v>
      </c>
      <c r="B9563" t="s">
        <v>709</v>
      </c>
      <c r="C9563" t="s">
        <v>302</v>
      </c>
      <c r="D9563" s="226">
        <v>0</v>
      </c>
      <c r="E9563" t="s">
        <v>710</v>
      </c>
    </row>
    <row r="9564" spans="1:5" hidden="1" x14ac:dyDescent="0.3">
      <c r="A9564" t="s">
        <v>552</v>
      </c>
      <c r="B9564" t="s">
        <v>709</v>
      </c>
      <c r="C9564" t="s">
        <v>303</v>
      </c>
      <c r="D9564" s="226">
        <v>-245.2</v>
      </c>
      <c r="E9564" t="s">
        <v>710</v>
      </c>
    </row>
    <row r="9565" spans="1:5" hidden="1" x14ac:dyDescent="0.3">
      <c r="A9565" t="s">
        <v>552</v>
      </c>
      <c r="B9565" t="s">
        <v>709</v>
      </c>
      <c r="C9565" t="s">
        <v>304</v>
      </c>
      <c r="D9565" s="226">
        <v>0</v>
      </c>
      <c r="E9565" t="s">
        <v>710</v>
      </c>
    </row>
    <row r="9566" spans="1:5" hidden="1" x14ac:dyDescent="0.3">
      <c r="A9566" t="s">
        <v>552</v>
      </c>
      <c r="B9566" t="s">
        <v>709</v>
      </c>
      <c r="C9566" t="s">
        <v>305</v>
      </c>
      <c r="D9566" s="226">
        <v>0</v>
      </c>
      <c r="E9566" t="s">
        <v>710</v>
      </c>
    </row>
    <row r="9567" spans="1:5" hidden="1" x14ac:dyDescent="0.3">
      <c r="A9567" t="s">
        <v>552</v>
      </c>
      <c r="B9567" t="s">
        <v>709</v>
      </c>
      <c r="C9567" t="s">
        <v>306</v>
      </c>
      <c r="D9567" s="226">
        <v>-1962.03</v>
      </c>
      <c r="E9567" t="s">
        <v>710</v>
      </c>
    </row>
    <row r="9568" spans="1:5" hidden="1" x14ac:dyDescent="0.3">
      <c r="A9568" t="s">
        <v>552</v>
      </c>
      <c r="B9568" t="s">
        <v>709</v>
      </c>
      <c r="C9568" t="s">
        <v>44</v>
      </c>
      <c r="D9568" s="226">
        <v>0</v>
      </c>
      <c r="E9568" t="s">
        <v>710</v>
      </c>
    </row>
    <row r="9569" spans="1:5" hidden="1" x14ac:dyDescent="0.3">
      <c r="A9569" t="s">
        <v>552</v>
      </c>
      <c r="B9569" t="s">
        <v>709</v>
      </c>
      <c r="C9569" t="s">
        <v>307</v>
      </c>
      <c r="D9569" s="226">
        <v>-18884.43</v>
      </c>
      <c r="E9569" t="s">
        <v>710</v>
      </c>
    </row>
    <row r="9570" spans="1:5" hidden="1" x14ac:dyDescent="0.3">
      <c r="A9570" t="s">
        <v>552</v>
      </c>
      <c r="B9570" t="s">
        <v>709</v>
      </c>
      <c r="C9570" t="s">
        <v>308</v>
      </c>
      <c r="D9570" s="226">
        <v>-4831.4799999999996</v>
      </c>
      <c r="E9570" t="s">
        <v>710</v>
      </c>
    </row>
    <row r="9571" spans="1:5" hidden="1" x14ac:dyDescent="0.3">
      <c r="A9571" t="s">
        <v>552</v>
      </c>
      <c r="B9571" t="s">
        <v>709</v>
      </c>
      <c r="C9571" t="s">
        <v>309</v>
      </c>
      <c r="D9571" s="226">
        <v>0</v>
      </c>
      <c r="E9571" t="s">
        <v>710</v>
      </c>
    </row>
    <row r="9572" spans="1:5" hidden="1" x14ac:dyDescent="0.3">
      <c r="A9572" t="s">
        <v>552</v>
      </c>
      <c r="B9572" t="s">
        <v>709</v>
      </c>
      <c r="C9572" t="s">
        <v>310</v>
      </c>
      <c r="D9572" s="226">
        <v>-1704.75</v>
      </c>
      <c r="E9572" t="s">
        <v>710</v>
      </c>
    </row>
    <row r="9573" spans="1:5" hidden="1" x14ac:dyDescent="0.3">
      <c r="A9573" t="s">
        <v>552</v>
      </c>
      <c r="B9573" t="s">
        <v>709</v>
      </c>
      <c r="C9573" t="s">
        <v>311</v>
      </c>
      <c r="D9573" s="226">
        <v>-185</v>
      </c>
      <c r="E9573" t="s">
        <v>710</v>
      </c>
    </row>
    <row r="9574" spans="1:5" hidden="1" x14ac:dyDescent="0.3">
      <c r="A9574" t="s">
        <v>552</v>
      </c>
      <c r="B9574" t="s">
        <v>709</v>
      </c>
      <c r="C9574" t="s">
        <v>312</v>
      </c>
      <c r="D9574" s="226">
        <v>0</v>
      </c>
      <c r="E9574" t="s">
        <v>710</v>
      </c>
    </row>
    <row r="9575" spans="1:5" hidden="1" x14ac:dyDescent="0.3">
      <c r="A9575" t="s">
        <v>552</v>
      </c>
      <c r="B9575" t="s">
        <v>709</v>
      </c>
      <c r="C9575" t="s">
        <v>313</v>
      </c>
      <c r="D9575" s="226">
        <v>-2473.1999999999998</v>
      </c>
      <c r="E9575" t="s">
        <v>710</v>
      </c>
    </row>
    <row r="9576" spans="1:5" hidden="1" x14ac:dyDescent="0.3">
      <c r="A9576" t="s">
        <v>552</v>
      </c>
      <c r="B9576" t="s">
        <v>709</v>
      </c>
      <c r="C9576" t="s">
        <v>314</v>
      </c>
      <c r="D9576" s="226">
        <v>0</v>
      </c>
      <c r="E9576" t="s">
        <v>710</v>
      </c>
    </row>
    <row r="9577" spans="1:5" hidden="1" x14ac:dyDescent="0.3">
      <c r="A9577" t="s">
        <v>552</v>
      </c>
      <c r="B9577" t="s">
        <v>709</v>
      </c>
      <c r="C9577" t="s">
        <v>315</v>
      </c>
      <c r="D9577" s="226">
        <v>-9690</v>
      </c>
      <c r="E9577" t="s">
        <v>710</v>
      </c>
    </row>
    <row r="9578" spans="1:5" hidden="1" x14ac:dyDescent="0.3">
      <c r="A9578" t="s">
        <v>552</v>
      </c>
      <c r="B9578" t="s">
        <v>709</v>
      </c>
      <c r="C9578" t="s">
        <v>316</v>
      </c>
      <c r="D9578" s="226">
        <v>0</v>
      </c>
      <c r="E9578" t="s">
        <v>710</v>
      </c>
    </row>
    <row r="9579" spans="1:5" hidden="1" x14ac:dyDescent="0.3">
      <c r="A9579" t="s">
        <v>552</v>
      </c>
      <c r="B9579" t="s">
        <v>709</v>
      </c>
      <c r="C9579" t="s">
        <v>44</v>
      </c>
      <c r="D9579" s="226">
        <v>-0.01</v>
      </c>
      <c r="E9579" t="s">
        <v>710</v>
      </c>
    </row>
    <row r="9580" spans="1:5" hidden="1" x14ac:dyDescent="0.3">
      <c r="A9580" t="s">
        <v>552</v>
      </c>
      <c r="B9580" t="s">
        <v>709</v>
      </c>
      <c r="C9580" t="s">
        <v>317</v>
      </c>
      <c r="D9580" s="226">
        <v>-6799.12</v>
      </c>
      <c r="E9580" t="s">
        <v>710</v>
      </c>
    </row>
    <row r="9581" spans="1:5" hidden="1" x14ac:dyDescent="0.3">
      <c r="A9581" t="s">
        <v>552</v>
      </c>
      <c r="B9581" t="s">
        <v>709</v>
      </c>
      <c r="C9581" t="s">
        <v>318</v>
      </c>
      <c r="D9581" s="226">
        <v>-6540</v>
      </c>
      <c r="E9581" t="s">
        <v>710</v>
      </c>
    </row>
    <row r="9582" spans="1:5" hidden="1" x14ac:dyDescent="0.3">
      <c r="A9582" t="s">
        <v>552</v>
      </c>
      <c r="B9582" t="s">
        <v>709</v>
      </c>
      <c r="C9582" t="s">
        <v>319</v>
      </c>
      <c r="D9582" s="226">
        <v>-259.12</v>
      </c>
      <c r="E9582" t="s">
        <v>710</v>
      </c>
    </row>
    <row r="9583" spans="1:5" hidden="1" x14ac:dyDescent="0.3">
      <c r="A9583" t="s">
        <v>552</v>
      </c>
      <c r="B9583" t="s">
        <v>709</v>
      </c>
      <c r="C9583" t="s">
        <v>320</v>
      </c>
      <c r="D9583" s="226">
        <v>0</v>
      </c>
      <c r="E9583" t="s">
        <v>710</v>
      </c>
    </row>
    <row r="9584" spans="1:5" hidden="1" x14ac:dyDescent="0.3">
      <c r="A9584" t="s">
        <v>552</v>
      </c>
      <c r="B9584" t="s">
        <v>709</v>
      </c>
      <c r="C9584" t="s">
        <v>321</v>
      </c>
      <c r="D9584" s="226">
        <v>0</v>
      </c>
      <c r="E9584" t="s">
        <v>710</v>
      </c>
    </row>
    <row r="9585" spans="1:5" hidden="1" x14ac:dyDescent="0.3">
      <c r="A9585" t="s">
        <v>552</v>
      </c>
      <c r="B9585" t="s">
        <v>709</v>
      </c>
      <c r="C9585" t="s">
        <v>44</v>
      </c>
      <c r="D9585" s="226">
        <v>0</v>
      </c>
      <c r="E9585" t="s">
        <v>710</v>
      </c>
    </row>
    <row r="9586" spans="1:5" hidden="1" x14ac:dyDescent="0.3">
      <c r="A9586" t="s">
        <v>552</v>
      </c>
      <c r="B9586" t="s">
        <v>709</v>
      </c>
      <c r="C9586" t="s">
        <v>322</v>
      </c>
      <c r="D9586" s="226">
        <v>-89271.59</v>
      </c>
      <c r="E9586" t="s">
        <v>710</v>
      </c>
    </row>
    <row r="9587" spans="1:5" hidden="1" x14ac:dyDescent="0.3">
      <c r="A9587" t="s">
        <v>552</v>
      </c>
      <c r="B9587" t="s">
        <v>709</v>
      </c>
      <c r="C9587" t="s">
        <v>323</v>
      </c>
      <c r="D9587" s="226">
        <v>0</v>
      </c>
      <c r="E9587" t="s">
        <v>710</v>
      </c>
    </row>
    <row r="9588" spans="1:5" hidden="1" x14ac:dyDescent="0.3">
      <c r="A9588" t="s">
        <v>552</v>
      </c>
      <c r="B9588" t="s">
        <v>709</v>
      </c>
      <c r="C9588" t="s">
        <v>324</v>
      </c>
      <c r="D9588" s="226">
        <v>0</v>
      </c>
      <c r="E9588" t="s">
        <v>710</v>
      </c>
    </row>
    <row r="9589" spans="1:5" hidden="1" x14ac:dyDescent="0.3">
      <c r="A9589" t="s">
        <v>552</v>
      </c>
      <c r="B9589" t="s">
        <v>709</v>
      </c>
      <c r="C9589" t="s">
        <v>325</v>
      </c>
      <c r="D9589" s="226">
        <v>-89271.59</v>
      </c>
      <c r="E9589" t="s">
        <v>710</v>
      </c>
    </row>
    <row r="9590" spans="1:5" hidden="1" x14ac:dyDescent="0.3">
      <c r="A9590" t="s">
        <v>552</v>
      </c>
      <c r="B9590" t="s">
        <v>709</v>
      </c>
      <c r="C9590" t="s">
        <v>44</v>
      </c>
      <c r="D9590" s="226">
        <v>-0.05</v>
      </c>
      <c r="E9590" t="s">
        <v>710</v>
      </c>
    </row>
    <row r="9591" spans="1:5" hidden="1" x14ac:dyDescent="0.3">
      <c r="A9591" t="s">
        <v>552</v>
      </c>
      <c r="B9591" t="s">
        <v>709</v>
      </c>
      <c r="C9591" t="s">
        <v>327</v>
      </c>
      <c r="D9591" s="226">
        <v>-671547.83</v>
      </c>
      <c r="E9591" t="s">
        <v>710</v>
      </c>
    </row>
    <row r="9592" spans="1:5" hidden="1" x14ac:dyDescent="0.3">
      <c r="A9592" t="s">
        <v>552</v>
      </c>
      <c r="B9592" t="s">
        <v>709</v>
      </c>
      <c r="C9592" t="s">
        <v>44</v>
      </c>
      <c r="D9592" s="226">
        <v>-0.38</v>
      </c>
      <c r="E9592" t="s">
        <v>710</v>
      </c>
    </row>
    <row r="9593" spans="1:5" hidden="1" x14ac:dyDescent="0.3">
      <c r="A9593" t="s">
        <v>552</v>
      </c>
      <c r="B9593" t="s">
        <v>709</v>
      </c>
      <c r="C9593" t="s">
        <v>328</v>
      </c>
      <c r="D9593" s="226">
        <v>365474.54</v>
      </c>
      <c r="E9593" t="s">
        <v>710</v>
      </c>
    </row>
    <row r="9594" spans="1:5" hidden="1" x14ac:dyDescent="0.3">
      <c r="A9594" t="s">
        <v>552</v>
      </c>
      <c r="B9594" t="s">
        <v>709</v>
      </c>
      <c r="C9594" t="s">
        <v>44</v>
      </c>
      <c r="D9594" s="226">
        <v>0.2</v>
      </c>
      <c r="E9594" t="s">
        <v>710</v>
      </c>
    </row>
    <row r="9595" spans="1:5" hidden="1" x14ac:dyDescent="0.3">
      <c r="A9595" t="s">
        <v>552</v>
      </c>
      <c r="B9595" t="s">
        <v>709</v>
      </c>
      <c r="C9595" t="s">
        <v>329</v>
      </c>
      <c r="D9595" s="226">
        <v>0</v>
      </c>
      <c r="E9595" t="s">
        <v>710</v>
      </c>
    </row>
    <row r="9596" spans="1:5" hidden="1" x14ac:dyDescent="0.3">
      <c r="A9596" t="s">
        <v>552</v>
      </c>
      <c r="B9596" t="s">
        <v>709</v>
      </c>
      <c r="C9596" t="s">
        <v>331</v>
      </c>
      <c r="D9596" s="226">
        <v>365474.54</v>
      </c>
      <c r="E9596" t="s">
        <v>710</v>
      </c>
    </row>
    <row r="9597" spans="1:5" hidden="1" x14ac:dyDescent="0.3">
      <c r="A9597" t="s">
        <v>552</v>
      </c>
      <c r="B9597" t="s">
        <v>709</v>
      </c>
      <c r="C9597" t="s">
        <v>332</v>
      </c>
      <c r="D9597" s="226">
        <v>-1383.09</v>
      </c>
      <c r="E9597" t="s">
        <v>710</v>
      </c>
    </row>
    <row r="9598" spans="1:5" hidden="1" x14ac:dyDescent="0.3">
      <c r="A9598" t="s">
        <v>552</v>
      </c>
      <c r="B9598" t="s">
        <v>709</v>
      </c>
      <c r="C9598" t="s">
        <v>333</v>
      </c>
      <c r="D9598" s="226">
        <v>0</v>
      </c>
      <c r="E9598" t="s">
        <v>710</v>
      </c>
    </row>
    <row r="9599" spans="1:5" hidden="1" x14ac:dyDescent="0.3">
      <c r="A9599" t="s">
        <v>552</v>
      </c>
      <c r="B9599" t="s">
        <v>709</v>
      </c>
      <c r="C9599" t="s">
        <v>335</v>
      </c>
      <c r="D9599" s="226">
        <v>0</v>
      </c>
      <c r="E9599" t="s">
        <v>710</v>
      </c>
    </row>
    <row r="9600" spans="1:5" hidden="1" x14ac:dyDescent="0.3">
      <c r="A9600" t="s">
        <v>552</v>
      </c>
      <c r="B9600" t="s">
        <v>709</v>
      </c>
      <c r="C9600" t="s">
        <v>337</v>
      </c>
      <c r="D9600" s="226">
        <v>364091.45</v>
      </c>
      <c r="E9600" t="s">
        <v>710</v>
      </c>
    </row>
    <row r="9601" spans="1:5" hidden="1" x14ac:dyDescent="0.3">
      <c r="A9601" t="s">
        <v>552</v>
      </c>
      <c r="B9601" t="s">
        <v>709</v>
      </c>
      <c r="C9601" t="s">
        <v>338</v>
      </c>
      <c r="D9601" s="226">
        <v>-57276.28</v>
      </c>
      <c r="E9601" t="s">
        <v>710</v>
      </c>
    </row>
    <row r="9602" spans="1:5" hidden="1" x14ac:dyDescent="0.3">
      <c r="A9602" t="s">
        <v>552</v>
      </c>
      <c r="B9602" t="s">
        <v>709</v>
      </c>
      <c r="C9602" t="s">
        <v>341</v>
      </c>
      <c r="D9602" s="226">
        <v>-16600.13</v>
      </c>
      <c r="E9602" t="s">
        <v>710</v>
      </c>
    </row>
    <row r="9603" spans="1:5" hidden="1" x14ac:dyDescent="0.3">
      <c r="A9603" t="s">
        <v>552</v>
      </c>
      <c r="B9603" t="s">
        <v>709</v>
      </c>
      <c r="C9603" t="s">
        <v>343</v>
      </c>
      <c r="D9603" s="226">
        <v>-21991.35</v>
      </c>
      <c r="E9603" t="s">
        <v>710</v>
      </c>
    </row>
    <row r="9604" spans="1:5" hidden="1" x14ac:dyDescent="0.3">
      <c r="A9604" t="s">
        <v>552</v>
      </c>
      <c r="B9604" t="s">
        <v>709</v>
      </c>
      <c r="C9604" t="s">
        <v>344</v>
      </c>
      <c r="D9604" s="226">
        <v>0</v>
      </c>
      <c r="E9604" t="s">
        <v>710</v>
      </c>
    </row>
    <row r="9605" spans="1:5" hidden="1" x14ac:dyDescent="0.3">
      <c r="A9605" t="s">
        <v>552</v>
      </c>
      <c r="B9605" t="s">
        <v>709</v>
      </c>
      <c r="C9605" t="s">
        <v>345</v>
      </c>
      <c r="D9605" s="226">
        <v>-18684.8</v>
      </c>
      <c r="E9605" t="s">
        <v>710</v>
      </c>
    </row>
    <row r="9606" spans="1:5" hidden="1" x14ac:dyDescent="0.3">
      <c r="A9606" t="s">
        <v>552</v>
      </c>
      <c r="B9606" t="s">
        <v>709</v>
      </c>
      <c r="C9606" t="s">
        <v>346</v>
      </c>
      <c r="D9606" s="226">
        <v>306815.15999999997</v>
      </c>
      <c r="E9606" t="s">
        <v>710</v>
      </c>
    </row>
    <row r="9607" spans="1:5" hidden="1" x14ac:dyDescent="0.3">
      <c r="A9607" t="s">
        <v>552</v>
      </c>
      <c r="B9607" t="s">
        <v>709</v>
      </c>
      <c r="C9607" t="s">
        <v>44</v>
      </c>
      <c r="D9607" s="226">
        <v>0.17</v>
      </c>
      <c r="E9607" t="s">
        <v>710</v>
      </c>
    </row>
    <row r="9608" spans="1:5" hidden="1" x14ac:dyDescent="0.3">
      <c r="A9608" t="s">
        <v>552</v>
      </c>
      <c r="B9608" t="s">
        <v>709</v>
      </c>
      <c r="C9608" t="s">
        <v>347</v>
      </c>
      <c r="D9608" s="226">
        <v>0</v>
      </c>
      <c r="E9608" t="s">
        <v>710</v>
      </c>
    </row>
    <row r="9609" spans="1:5" hidden="1" x14ac:dyDescent="0.3">
      <c r="A9609" t="s">
        <v>552</v>
      </c>
      <c r="B9609" t="s">
        <v>709</v>
      </c>
      <c r="C9609" t="s">
        <v>654</v>
      </c>
      <c r="D9609" s="226">
        <v>0</v>
      </c>
      <c r="E9609" t="s">
        <v>710</v>
      </c>
    </row>
    <row r="9610" spans="1:5" hidden="1" x14ac:dyDescent="0.3">
      <c r="A9610" t="s">
        <v>552</v>
      </c>
      <c r="B9610" t="s">
        <v>709</v>
      </c>
      <c r="C9610" t="s">
        <v>349</v>
      </c>
      <c r="D9610" s="226">
        <v>0</v>
      </c>
      <c r="E9610" t="s">
        <v>710</v>
      </c>
    </row>
    <row r="9611" spans="1:5" hidden="1" x14ac:dyDescent="0.3">
      <c r="A9611" t="s">
        <v>552</v>
      </c>
      <c r="B9611" t="s">
        <v>709</v>
      </c>
      <c r="C9611" t="s">
        <v>350</v>
      </c>
      <c r="D9611" s="226">
        <v>0</v>
      </c>
      <c r="E9611" t="s">
        <v>710</v>
      </c>
    </row>
    <row r="9612" spans="1:5" hidden="1" x14ac:dyDescent="0.3">
      <c r="A9612" t="s">
        <v>552</v>
      </c>
      <c r="B9612" t="s">
        <v>709</v>
      </c>
      <c r="C9612" t="s">
        <v>351</v>
      </c>
      <c r="D9612" s="226">
        <v>0</v>
      </c>
      <c r="E9612" t="s">
        <v>710</v>
      </c>
    </row>
    <row r="9613" spans="1:5" hidden="1" x14ac:dyDescent="0.3">
      <c r="A9613" t="s">
        <v>552</v>
      </c>
      <c r="B9613" t="s">
        <v>709</v>
      </c>
      <c r="C9613" t="s">
        <v>352</v>
      </c>
      <c r="D9613" s="226">
        <v>0</v>
      </c>
      <c r="E9613" t="s">
        <v>710</v>
      </c>
    </row>
    <row r="9614" spans="1:5" hidden="1" x14ac:dyDescent="0.3">
      <c r="A9614" t="s">
        <v>552</v>
      </c>
      <c r="B9614" t="s">
        <v>709</v>
      </c>
      <c r="C9614" t="s">
        <v>353</v>
      </c>
      <c r="D9614" s="226">
        <v>0</v>
      </c>
      <c r="E9614" t="s">
        <v>710</v>
      </c>
    </row>
    <row r="9615" spans="1:5" hidden="1" x14ac:dyDescent="0.3">
      <c r="A9615" t="s">
        <v>552</v>
      </c>
      <c r="B9615" t="s">
        <v>709</v>
      </c>
      <c r="C9615" t="s">
        <v>354</v>
      </c>
      <c r="D9615" s="226">
        <v>0</v>
      </c>
      <c r="E9615" t="s">
        <v>710</v>
      </c>
    </row>
    <row r="9616" spans="1:5" hidden="1" x14ac:dyDescent="0.3">
      <c r="A9616" t="s">
        <v>552</v>
      </c>
      <c r="B9616" t="s">
        <v>709</v>
      </c>
      <c r="C9616" t="s">
        <v>355</v>
      </c>
      <c r="D9616" s="226">
        <v>0</v>
      </c>
      <c r="E9616" t="s">
        <v>710</v>
      </c>
    </row>
    <row r="9617" spans="1:5" hidden="1" x14ac:dyDescent="0.3">
      <c r="A9617" t="s">
        <v>552</v>
      </c>
      <c r="B9617" t="s">
        <v>709</v>
      </c>
      <c r="C9617" t="s">
        <v>356</v>
      </c>
      <c r="D9617" s="226">
        <v>0</v>
      </c>
      <c r="E9617" t="s">
        <v>710</v>
      </c>
    </row>
    <row r="9618" spans="1:5" hidden="1" x14ac:dyDescent="0.3">
      <c r="A9618" t="s">
        <v>552</v>
      </c>
      <c r="B9618" t="s">
        <v>709</v>
      </c>
      <c r="C9618" t="s">
        <v>357</v>
      </c>
      <c r="D9618" s="226">
        <v>0</v>
      </c>
      <c r="E9618" t="s">
        <v>710</v>
      </c>
    </row>
    <row r="9619" spans="1:5" hidden="1" x14ac:dyDescent="0.3">
      <c r="A9619" t="s">
        <v>552</v>
      </c>
      <c r="B9619" t="s">
        <v>709</v>
      </c>
      <c r="C9619" t="s">
        <v>358</v>
      </c>
      <c r="D9619" s="226">
        <v>0</v>
      </c>
      <c r="E9619" t="s">
        <v>710</v>
      </c>
    </row>
    <row r="9620" spans="1:5" hidden="1" x14ac:dyDescent="0.3">
      <c r="A9620" t="s">
        <v>552</v>
      </c>
      <c r="B9620" t="s">
        <v>709</v>
      </c>
      <c r="C9620" t="s">
        <v>359</v>
      </c>
      <c r="D9620" s="226">
        <v>0</v>
      </c>
      <c r="E9620" t="s">
        <v>710</v>
      </c>
    </row>
    <row r="9621" spans="1:5" hidden="1" x14ac:dyDescent="0.3">
      <c r="A9621" t="s">
        <v>552</v>
      </c>
      <c r="B9621" t="s">
        <v>709</v>
      </c>
      <c r="C9621" t="s">
        <v>360</v>
      </c>
      <c r="D9621" s="226">
        <v>0</v>
      </c>
      <c r="E9621" t="s">
        <v>710</v>
      </c>
    </row>
    <row r="9622" spans="1:5" hidden="1" x14ac:dyDescent="0.3">
      <c r="A9622" t="s">
        <v>552</v>
      </c>
      <c r="B9622" t="s">
        <v>709</v>
      </c>
      <c r="C9622" t="s">
        <v>361</v>
      </c>
      <c r="D9622" s="226">
        <v>0</v>
      </c>
      <c r="E9622" t="s">
        <v>710</v>
      </c>
    </row>
    <row r="9623" spans="1:5" hidden="1" x14ac:dyDescent="0.3">
      <c r="A9623" t="s">
        <v>552</v>
      </c>
      <c r="B9623" t="s">
        <v>709</v>
      </c>
      <c r="C9623" t="s">
        <v>362</v>
      </c>
      <c r="D9623" s="226">
        <v>0</v>
      </c>
      <c r="E9623" t="s">
        <v>710</v>
      </c>
    </row>
    <row r="9624" spans="1:5" hidden="1" x14ac:dyDescent="0.3">
      <c r="A9624" t="s">
        <v>552</v>
      </c>
      <c r="B9624" t="s">
        <v>709</v>
      </c>
      <c r="C9624" t="s">
        <v>363</v>
      </c>
      <c r="D9624" s="226">
        <v>0</v>
      </c>
      <c r="E9624" t="s">
        <v>710</v>
      </c>
    </row>
    <row r="9625" spans="1:5" hidden="1" x14ac:dyDescent="0.3">
      <c r="A9625" t="s">
        <v>552</v>
      </c>
      <c r="B9625" t="s">
        <v>709</v>
      </c>
      <c r="C9625" t="s">
        <v>364</v>
      </c>
      <c r="D9625" s="226">
        <v>-8342.9</v>
      </c>
      <c r="E9625" t="s">
        <v>710</v>
      </c>
    </row>
    <row r="9626" spans="1:5" hidden="1" x14ac:dyDescent="0.3">
      <c r="A9626" t="s">
        <v>552</v>
      </c>
      <c r="B9626" t="s">
        <v>709</v>
      </c>
      <c r="C9626" t="s">
        <v>365</v>
      </c>
      <c r="D9626" s="226">
        <v>0</v>
      </c>
      <c r="E9626" t="s">
        <v>710</v>
      </c>
    </row>
    <row r="9627" spans="1:5" hidden="1" x14ac:dyDescent="0.3">
      <c r="A9627" t="s">
        <v>552</v>
      </c>
      <c r="B9627" t="s">
        <v>709</v>
      </c>
      <c r="C9627" t="s">
        <v>366</v>
      </c>
      <c r="D9627" s="226">
        <v>0</v>
      </c>
      <c r="E9627" t="s">
        <v>710</v>
      </c>
    </row>
    <row r="9628" spans="1:5" hidden="1" x14ac:dyDescent="0.3">
      <c r="A9628" t="s">
        <v>552</v>
      </c>
      <c r="B9628" t="s">
        <v>709</v>
      </c>
      <c r="C9628" t="s">
        <v>367</v>
      </c>
      <c r="D9628" s="226">
        <v>-8342.9</v>
      </c>
      <c r="E9628" t="s">
        <v>710</v>
      </c>
    </row>
    <row r="9629" spans="1:5" hidden="1" x14ac:dyDescent="0.3">
      <c r="A9629" t="s">
        <v>552</v>
      </c>
      <c r="B9629" t="s">
        <v>709</v>
      </c>
      <c r="C9629" t="s">
        <v>368</v>
      </c>
      <c r="D9629" s="226">
        <v>0</v>
      </c>
      <c r="E9629" t="s">
        <v>710</v>
      </c>
    </row>
    <row r="9630" spans="1:5" hidden="1" x14ac:dyDescent="0.3">
      <c r="A9630" t="s">
        <v>552</v>
      </c>
      <c r="B9630" t="s">
        <v>709</v>
      </c>
      <c r="C9630" t="s">
        <v>369</v>
      </c>
      <c r="D9630" s="226">
        <v>0</v>
      </c>
      <c r="E9630" t="s">
        <v>710</v>
      </c>
    </row>
    <row r="9631" spans="1:5" hidden="1" x14ac:dyDescent="0.3">
      <c r="A9631" t="s">
        <v>552</v>
      </c>
      <c r="B9631" t="s">
        <v>709</v>
      </c>
      <c r="C9631" t="s">
        <v>370</v>
      </c>
      <c r="D9631" s="226">
        <v>0</v>
      </c>
      <c r="E9631" t="s">
        <v>710</v>
      </c>
    </row>
    <row r="9632" spans="1:5" hidden="1" x14ac:dyDescent="0.3">
      <c r="A9632" t="s">
        <v>552</v>
      </c>
      <c r="B9632" t="s">
        <v>709</v>
      </c>
      <c r="C9632" t="s">
        <v>371</v>
      </c>
      <c r="D9632" s="226">
        <v>0</v>
      </c>
      <c r="E9632" t="s">
        <v>710</v>
      </c>
    </row>
    <row r="9633" spans="1:5" hidden="1" x14ac:dyDescent="0.3">
      <c r="A9633" t="s">
        <v>552</v>
      </c>
      <c r="B9633" t="s">
        <v>709</v>
      </c>
      <c r="C9633" t="s">
        <v>372</v>
      </c>
      <c r="D9633" s="226">
        <v>-8342.9</v>
      </c>
      <c r="E9633" t="s">
        <v>710</v>
      </c>
    </row>
    <row r="9634" spans="1:5" hidden="1" x14ac:dyDescent="0.3">
      <c r="A9634" t="s">
        <v>552</v>
      </c>
      <c r="B9634" t="s">
        <v>709</v>
      </c>
      <c r="C9634" t="s">
        <v>373</v>
      </c>
      <c r="D9634" s="226">
        <v>298472.26</v>
      </c>
      <c r="E9634" t="s">
        <v>710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activeCell="B8" sqref="B8"/>
    </sheetView>
  </sheetViews>
  <sheetFormatPr defaultRowHeight="14.4" x14ac:dyDescent="0.3"/>
  <cols>
    <col min="2" max="2" width="21.44140625" customWidth="1"/>
  </cols>
  <sheetData>
    <row r="1" spans="1:8" x14ac:dyDescent="0.3">
      <c r="A1" t="s">
        <v>711</v>
      </c>
      <c r="B1" t="s">
        <v>712</v>
      </c>
      <c r="C1" t="s">
        <v>713</v>
      </c>
      <c r="D1" t="s">
        <v>551</v>
      </c>
      <c r="E1" t="s">
        <v>714</v>
      </c>
      <c r="F1" t="s">
        <v>715</v>
      </c>
      <c r="G1" t="s">
        <v>716</v>
      </c>
      <c r="H1" t="s">
        <v>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28"/>
  <sheetViews>
    <sheetView workbookViewId="0"/>
  </sheetViews>
  <sheetFormatPr defaultRowHeight="14.4" x14ac:dyDescent="0.3"/>
  <sheetData>
    <row r="1" spans="1:18" x14ac:dyDescent="0.3">
      <c r="A1" t="s">
        <v>718</v>
      </c>
      <c r="B1" t="s">
        <v>547</v>
      </c>
      <c r="C1" t="s">
        <v>719</v>
      </c>
      <c r="D1" t="s">
        <v>720</v>
      </c>
      <c r="E1" t="s">
        <v>721</v>
      </c>
      <c r="F1" t="s">
        <v>722</v>
      </c>
      <c r="G1" t="s">
        <v>723</v>
      </c>
      <c r="H1" t="s">
        <v>724</v>
      </c>
      <c r="I1" t="s">
        <v>725</v>
      </c>
      <c r="J1" t="s">
        <v>726</v>
      </c>
      <c r="K1" t="s">
        <v>727</v>
      </c>
      <c r="L1" t="s">
        <v>728</v>
      </c>
      <c r="M1" t="s">
        <v>729</v>
      </c>
      <c r="N1" t="s">
        <v>730</v>
      </c>
      <c r="O1" t="s">
        <v>731</v>
      </c>
      <c r="P1" t="s">
        <v>732</v>
      </c>
      <c r="Q1" t="s">
        <v>551</v>
      </c>
      <c r="R1" t="s">
        <v>733</v>
      </c>
    </row>
    <row r="2" spans="1:18" x14ac:dyDescent="0.3">
      <c r="A2">
        <v>147652</v>
      </c>
      <c r="B2" t="s">
        <v>734</v>
      </c>
      <c r="C2" t="s">
        <v>735</v>
      </c>
      <c r="D2" t="s">
        <v>736</v>
      </c>
      <c r="E2" s="465">
        <v>47644</v>
      </c>
      <c r="F2" s="465">
        <v>46239</v>
      </c>
      <c r="G2" t="s">
        <v>255</v>
      </c>
      <c r="H2" t="s">
        <v>256</v>
      </c>
      <c r="I2" t="s">
        <v>737</v>
      </c>
      <c r="J2">
        <v>-146497.85999999999</v>
      </c>
      <c r="K2">
        <v>-146497.85999999999</v>
      </c>
      <c r="O2" t="s">
        <v>738</v>
      </c>
      <c r="Q2" t="s">
        <v>739</v>
      </c>
      <c r="R2">
        <v>0</v>
      </c>
    </row>
    <row r="3" spans="1:18" x14ac:dyDescent="0.3">
      <c r="A3">
        <v>147651</v>
      </c>
      <c r="B3" t="s">
        <v>734</v>
      </c>
      <c r="C3" t="s">
        <v>735</v>
      </c>
      <c r="D3" t="s">
        <v>740</v>
      </c>
      <c r="E3" s="465">
        <v>47613</v>
      </c>
      <c r="F3" s="465">
        <v>47613</v>
      </c>
      <c r="G3" t="s">
        <v>255</v>
      </c>
      <c r="H3" t="s">
        <v>256</v>
      </c>
      <c r="I3" t="s">
        <v>737</v>
      </c>
      <c r="J3">
        <v>-99999999.989999995</v>
      </c>
      <c r="K3">
        <v>-99999999.989999995</v>
      </c>
      <c r="O3" t="s">
        <v>738</v>
      </c>
      <c r="Q3" t="s">
        <v>741</v>
      </c>
      <c r="R3">
        <v>0</v>
      </c>
    </row>
    <row r="4" spans="1:18" x14ac:dyDescent="0.3">
      <c r="A4">
        <v>147650</v>
      </c>
      <c r="B4" t="s">
        <v>734</v>
      </c>
      <c r="C4" t="s">
        <v>735</v>
      </c>
      <c r="E4" s="465">
        <v>47583</v>
      </c>
      <c r="F4" s="465">
        <v>47608</v>
      </c>
      <c r="G4" t="s">
        <v>255</v>
      </c>
      <c r="H4" t="s">
        <v>256</v>
      </c>
      <c r="I4" t="s">
        <v>737</v>
      </c>
      <c r="J4">
        <v>-140000</v>
      </c>
      <c r="K4">
        <v>-140000</v>
      </c>
      <c r="O4" t="s">
        <v>742</v>
      </c>
      <c r="Q4" t="s">
        <v>743</v>
      </c>
      <c r="R4">
        <v>0</v>
      </c>
    </row>
    <row r="5" spans="1:18" x14ac:dyDescent="0.3">
      <c r="A5">
        <v>147649</v>
      </c>
      <c r="B5" t="s">
        <v>734</v>
      </c>
      <c r="C5" t="s">
        <v>735</v>
      </c>
      <c r="E5" s="465">
        <v>47552</v>
      </c>
      <c r="F5" s="465">
        <v>47578</v>
      </c>
      <c r="G5" t="s">
        <v>255</v>
      </c>
      <c r="H5" t="s">
        <v>256</v>
      </c>
      <c r="I5" t="s">
        <v>737</v>
      </c>
      <c r="J5">
        <v>-140000</v>
      </c>
      <c r="K5">
        <v>-140000</v>
      </c>
      <c r="O5" t="s">
        <v>742</v>
      </c>
      <c r="Q5" t="s">
        <v>744</v>
      </c>
      <c r="R5">
        <v>0</v>
      </c>
    </row>
    <row r="6" spans="1:18" x14ac:dyDescent="0.3">
      <c r="A6">
        <v>147648</v>
      </c>
      <c r="B6" t="s">
        <v>734</v>
      </c>
      <c r="C6" t="s">
        <v>735</v>
      </c>
      <c r="E6" s="465">
        <v>47524</v>
      </c>
      <c r="F6" s="465">
        <v>47547</v>
      </c>
      <c r="G6" t="s">
        <v>255</v>
      </c>
      <c r="H6" t="s">
        <v>256</v>
      </c>
      <c r="I6" t="s">
        <v>737</v>
      </c>
      <c r="J6">
        <v>-140000</v>
      </c>
      <c r="K6">
        <v>-140000</v>
      </c>
      <c r="O6" t="s">
        <v>742</v>
      </c>
      <c r="Q6" t="s">
        <v>745</v>
      </c>
      <c r="R6">
        <v>0</v>
      </c>
    </row>
    <row r="7" spans="1:18" x14ac:dyDescent="0.3">
      <c r="A7">
        <v>147647</v>
      </c>
      <c r="B7" t="s">
        <v>734</v>
      </c>
      <c r="C7" t="s">
        <v>735</v>
      </c>
      <c r="E7" s="465">
        <v>47493</v>
      </c>
      <c r="F7" s="465">
        <v>47519</v>
      </c>
      <c r="G7" t="s">
        <v>255</v>
      </c>
      <c r="H7" t="s">
        <v>256</v>
      </c>
      <c r="I7" t="s">
        <v>737</v>
      </c>
      <c r="J7">
        <v>-140000</v>
      </c>
      <c r="K7">
        <v>-140000</v>
      </c>
      <c r="O7" t="s">
        <v>742</v>
      </c>
      <c r="Q7" t="s">
        <v>746</v>
      </c>
      <c r="R7">
        <v>0</v>
      </c>
    </row>
    <row r="8" spans="1:18" x14ac:dyDescent="0.3">
      <c r="A8">
        <v>147646</v>
      </c>
      <c r="B8" t="s">
        <v>734</v>
      </c>
      <c r="C8" t="s">
        <v>735</v>
      </c>
      <c r="E8" s="465">
        <v>47462</v>
      </c>
      <c r="F8" s="465">
        <v>47488</v>
      </c>
      <c r="G8" t="s">
        <v>255</v>
      </c>
      <c r="H8" t="s">
        <v>256</v>
      </c>
      <c r="I8" t="s">
        <v>737</v>
      </c>
      <c r="J8">
        <v>-140000</v>
      </c>
      <c r="K8">
        <v>-140000</v>
      </c>
      <c r="O8" t="s">
        <v>742</v>
      </c>
      <c r="Q8" t="s">
        <v>747</v>
      </c>
      <c r="R8">
        <v>0</v>
      </c>
    </row>
    <row r="9" spans="1:18" x14ac:dyDescent="0.3">
      <c r="A9">
        <v>147645</v>
      </c>
      <c r="B9" t="s">
        <v>734</v>
      </c>
      <c r="C9" t="s">
        <v>735</v>
      </c>
      <c r="E9" s="465">
        <v>47432</v>
      </c>
      <c r="F9" s="465">
        <v>47457</v>
      </c>
      <c r="G9" t="s">
        <v>255</v>
      </c>
      <c r="H9" t="s">
        <v>256</v>
      </c>
      <c r="I9" t="s">
        <v>737</v>
      </c>
      <c r="J9">
        <v>-140000</v>
      </c>
      <c r="K9">
        <v>-140000</v>
      </c>
      <c r="O9" t="s">
        <v>742</v>
      </c>
      <c r="Q9" t="s">
        <v>748</v>
      </c>
      <c r="R9">
        <v>0</v>
      </c>
    </row>
    <row r="10" spans="1:18" x14ac:dyDescent="0.3">
      <c r="A10">
        <v>147644</v>
      </c>
      <c r="B10" t="s">
        <v>734</v>
      </c>
      <c r="C10" t="s">
        <v>735</v>
      </c>
      <c r="E10" s="465">
        <v>47401</v>
      </c>
      <c r="F10" s="465">
        <v>47427</v>
      </c>
      <c r="G10" t="s">
        <v>255</v>
      </c>
      <c r="H10" t="s">
        <v>256</v>
      </c>
      <c r="I10" t="s">
        <v>737</v>
      </c>
      <c r="J10">
        <v>-140000</v>
      </c>
      <c r="K10">
        <v>-140000</v>
      </c>
      <c r="O10" t="s">
        <v>742</v>
      </c>
      <c r="Q10" t="s">
        <v>749</v>
      </c>
      <c r="R10">
        <v>0</v>
      </c>
    </row>
    <row r="11" spans="1:18" x14ac:dyDescent="0.3">
      <c r="A11">
        <v>147643</v>
      </c>
      <c r="B11" t="s">
        <v>734</v>
      </c>
      <c r="C11" t="s">
        <v>735</v>
      </c>
      <c r="E11" s="465">
        <v>47371</v>
      </c>
      <c r="F11" s="465">
        <v>47396</v>
      </c>
      <c r="G11" t="s">
        <v>255</v>
      </c>
      <c r="H11" t="s">
        <v>256</v>
      </c>
      <c r="I11" t="s">
        <v>737</v>
      </c>
      <c r="J11">
        <v>-140000</v>
      </c>
      <c r="K11">
        <v>-140000</v>
      </c>
      <c r="O11" t="s">
        <v>742</v>
      </c>
      <c r="Q11" t="s">
        <v>750</v>
      </c>
      <c r="R11">
        <v>0</v>
      </c>
    </row>
    <row r="12" spans="1:18" x14ac:dyDescent="0.3">
      <c r="A12">
        <v>147642</v>
      </c>
      <c r="B12" t="s">
        <v>734</v>
      </c>
      <c r="C12" t="s">
        <v>735</v>
      </c>
      <c r="E12" s="465">
        <v>47340</v>
      </c>
      <c r="F12" s="465">
        <v>47366</v>
      </c>
      <c r="G12" t="s">
        <v>255</v>
      </c>
      <c r="H12" t="s">
        <v>256</v>
      </c>
      <c r="I12" t="s">
        <v>737</v>
      </c>
      <c r="J12">
        <v>-140000</v>
      </c>
      <c r="K12">
        <v>-140000</v>
      </c>
      <c r="O12" t="s">
        <v>742</v>
      </c>
      <c r="Q12" t="s">
        <v>751</v>
      </c>
      <c r="R12">
        <v>0</v>
      </c>
    </row>
    <row r="13" spans="1:18" x14ac:dyDescent="0.3">
      <c r="A13">
        <v>147641</v>
      </c>
      <c r="B13" t="s">
        <v>734</v>
      </c>
      <c r="C13" t="s">
        <v>735</v>
      </c>
      <c r="E13" s="465">
        <v>47309</v>
      </c>
      <c r="F13" s="465">
        <v>47335</v>
      </c>
      <c r="G13" t="s">
        <v>255</v>
      </c>
      <c r="H13" t="s">
        <v>256</v>
      </c>
      <c r="I13" t="s">
        <v>737</v>
      </c>
      <c r="J13">
        <v>-140000</v>
      </c>
      <c r="K13">
        <v>-140000</v>
      </c>
      <c r="O13" t="s">
        <v>742</v>
      </c>
      <c r="Q13" t="s">
        <v>752</v>
      </c>
      <c r="R13">
        <v>0</v>
      </c>
    </row>
    <row r="14" spans="1:18" x14ac:dyDescent="0.3">
      <c r="A14">
        <v>147640</v>
      </c>
      <c r="B14" t="s">
        <v>734</v>
      </c>
      <c r="C14" t="s">
        <v>735</v>
      </c>
      <c r="E14" s="465">
        <v>47279</v>
      </c>
      <c r="F14" s="465">
        <v>47304</v>
      </c>
      <c r="G14" t="s">
        <v>255</v>
      </c>
      <c r="H14" t="s">
        <v>256</v>
      </c>
      <c r="I14" t="s">
        <v>737</v>
      </c>
      <c r="J14">
        <v>-140000</v>
      </c>
      <c r="K14">
        <v>-140000</v>
      </c>
      <c r="O14" t="s">
        <v>742</v>
      </c>
      <c r="Q14" t="s">
        <v>753</v>
      </c>
      <c r="R14">
        <v>0</v>
      </c>
    </row>
    <row r="15" spans="1:18" x14ac:dyDescent="0.3">
      <c r="A15">
        <v>147639</v>
      </c>
      <c r="B15" t="s">
        <v>734</v>
      </c>
      <c r="C15" t="s">
        <v>735</v>
      </c>
      <c r="E15" s="465">
        <v>47248</v>
      </c>
      <c r="F15" s="465">
        <v>47274</v>
      </c>
      <c r="G15" t="s">
        <v>255</v>
      </c>
      <c r="H15" t="s">
        <v>256</v>
      </c>
      <c r="I15" t="s">
        <v>737</v>
      </c>
      <c r="J15">
        <v>-140000</v>
      </c>
      <c r="K15">
        <v>-140000</v>
      </c>
      <c r="O15" t="s">
        <v>742</v>
      </c>
      <c r="Q15" t="s">
        <v>754</v>
      </c>
      <c r="R15">
        <v>0</v>
      </c>
    </row>
    <row r="16" spans="1:18" x14ac:dyDescent="0.3">
      <c r="A16">
        <v>147638</v>
      </c>
      <c r="B16" t="s">
        <v>734</v>
      </c>
      <c r="C16" t="s">
        <v>735</v>
      </c>
      <c r="E16" s="465">
        <v>47218</v>
      </c>
      <c r="F16" s="465">
        <v>47243</v>
      </c>
      <c r="G16" t="s">
        <v>255</v>
      </c>
      <c r="H16" t="s">
        <v>256</v>
      </c>
      <c r="I16" t="s">
        <v>737</v>
      </c>
      <c r="J16">
        <v>-140000</v>
      </c>
      <c r="K16">
        <v>-140000</v>
      </c>
      <c r="O16" t="s">
        <v>742</v>
      </c>
      <c r="Q16" t="s">
        <v>755</v>
      </c>
      <c r="R16">
        <v>0</v>
      </c>
    </row>
    <row r="17" spans="1:18" x14ac:dyDescent="0.3">
      <c r="A17">
        <v>147637</v>
      </c>
      <c r="B17" t="s">
        <v>734</v>
      </c>
      <c r="C17" t="s">
        <v>735</v>
      </c>
      <c r="E17" s="465">
        <v>47187</v>
      </c>
      <c r="F17" s="465">
        <v>47213</v>
      </c>
      <c r="G17" t="s">
        <v>255</v>
      </c>
      <c r="H17" t="s">
        <v>256</v>
      </c>
      <c r="I17" t="s">
        <v>737</v>
      </c>
      <c r="J17">
        <v>-140000</v>
      </c>
      <c r="K17">
        <v>-140000</v>
      </c>
      <c r="O17" t="s">
        <v>742</v>
      </c>
      <c r="Q17" t="s">
        <v>756</v>
      </c>
      <c r="R17">
        <v>0</v>
      </c>
    </row>
    <row r="18" spans="1:18" x14ac:dyDescent="0.3">
      <c r="A18">
        <v>147636</v>
      </c>
      <c r="B18" t="s">
        <v>734</v>
      </c>
      <c r="C18" t="s">
        <v>735</v>
      </c>
      <c r="E18" s="465">
        <v>47159</v>
      </c>
      <c r="F18" s="465">
        <v>47182</v>
      </c>
      <c r="G18" t="s">
        <v>255</v>
      </c>
      <c r="H18" t="s">
        <v>256</v>
      </c>
      <c r="I18" t="s">
        <v>737</v>
      </c>
      <c r="J18">
        <v>-140000</v>
      </c>
      <c r="K18">
        <v>-140000</v>
      </c>
      <c r="O18" t="s">
        <v>742</v>
      </c>
      <c r="Q18" t="s">
        <v>757</v>
      </c>
      <c r="R18">
        <v>0</v>
      </c>
    </row>
    <row r="19" spans="1:18" x14ac:dyDescent="0.3">
      <c r="A19">
        <v>147635</v>
      </c>
      <c r="B19" t="s">
        <v>734</v>
      </c>
      <c r="C19" t="s">
        <v>735</v>
      </c>
      <c r="E19" s="465">
        <v>47128</v>
      </c>
      <c r="F19" s="465">
        <v>47154</v>
      </c>
      <c r="G19" t="s">
        <v>255</v>
      </c>
      <c r="H19" t="s">
        <v>256</v>
      </c>
      <c r="I19" t="s">
        <v>737</v>
      </c>
      <c r="J19">
        <v>-140000</v>
      </c>
      <c r="K19">
        <v>-140000</v>
      </c>
      <c r="O19" t="s">
        <v>742</v>
      </c>
      <c r="Q19" t="s">
        <v>758</v>
      </c>
      <c r="R19">
        <v>0</v>
      </c>
    </row>
    <row r="20" spans="1:18" x14ac:dyDescent="0.3">
      <c r="A20">
        <v>147634</v>
      </c>
      <c r="B20" t="s">
        <v>734</v>
      </c>
      <c r="C20" t="s">
        <v>735</v>
      </c>
      <c r="E20" s="465">
        <v>47097</v>
      </c>
      <c r="F20" s="465">
        <v>47123</v>
      </c>
      <c r="G20" t="s">
        <v>255</v>
      </c>
      <c r="H20" t="s">
        <v>256</v>
      </c>
      <c r="I20" t="s">
        <v>737</v>
      </c>
      <c r="J20">
        <v>-140000</v>
      </c>
      <c r="K20">
        <v>-140000</v>
      </c>
      <c r="O20" t="s">
        <v>742</v>
      </c>
      <c r="Q20" t="s">
        <v>759</v>
      </c>
      <c r="R20">
        <v>0</v>
      </c>
    </row>
    <row r="21" spans="1:18" x14ac:dyDescent="0.3">
      <c r="A21">
        <v>147633</v>
      </c>
      <c r="B21" t="s">
        <v>734</v>
      </c>
      <c r="C21" t="s">
        <v>735</v>
      </c>
      <c r="E21" s="465">
        <v>47067</v>
      </c>
      <c r="F21" s="465">
        <v>47092</v>
      </c>
      <c r="G21" t="s">
        <v>255</v>
      </c>
      <c r="H21" t="s">
        <v>256</v>
      </c>
      <c r="I21" t="s">
        <v>737</v>
      </c>
      <c r="J21">
        <v>-140000</v>
      </c>
      <c r="K21">
        <v>-140000</v>
      </c>
      <c r="O21" t="s">
        <v>742</v>
      </c>
      <c r="Q21" t="s">
        <v>760</v>
      </c>
      <c r="R21">
        <v>0</v>
      </c>
    </row>
    <row r="22" spans="1:18" x14ac:dyDescent="0.3">
      <c r="A22">
        <v>147632</v>
      </c>
      <c r="B22" t="s">
        <v>734</v>
      </c>
      <c r="C22" t="s">
        <v>735</v>
      </c>
      <c r="E22" s="465">
        <v>47036</v>
      </c>
      <c r="F22" s="465">
        <v>47062</v>
      </c>
      <c r="G22" t="s">
        <v>255</v>
      </c>
      <c r="H22" t="s">
        <v>256</v>
      </c>
      <c r="I22" t="s">
        <v>737</v>
      </c>
      <c r="J22">
        <v>-140000</v>
      </c>
      <c r="K22">
        <v>-140000</v>
      </c>
      <c r="O22" t="s">
        <v>742</v>
      </c>
      <c r="Q22" t="s">
        <v>761</v>
      </c>
      <c r="R22">
        <v>0</v>
      </c>
    </row>
    <row r="23" spans="1:18" x14ac:dyDescent="0.3">
      <c r="A23">
        <v>147631</v>
      </c>
      <c r="B23" t="s">
        <v>734</v>
      </c>
      <c r="C23" t="s">
        <v>735</v>
      </c>
      <c r="E23" s="465">
        <v>47006</v>
      </c>
      <c r="F23" s="465">
        <v>47031</v>
      </c>
      <c r="G23" t="s">
        <v>255</v>
      </c>
      <c r="H23" t="s">
        <v>256</v>
      </c>
      <c r="I23" t="s">
        <v>737</v>
      </c>
      <c r="J23">
        <v>-140000</v>
      </c>
      <c r="K23">
        <v>-140000</v>
      </c>
      <c r="O23" t="s">
        <v>742</v>
      </c>
      <c r="Q23" t="s">
        <v>762</v>
      </c>
      <c r="R23">
        <v>0</v>
      </c>
    </row>
    <row r="24" spans="1:18" x14ac:dyDescent="0.3">
      <c r="A24">
        <v>147630</v>
      </c>
      <c r="B24" t="s">
        <v>734</v>
      </c>
      <c r="C24" t="s">
        <v>735</v>
      </c>
      <c r="E24" s="465">
        <v>46975</v>
      </c>
      <c r="F24" s="465">
        <v>47001</v>
      </c>
      <c r="G24" t="s">
        <v>255</v>
      </c>
      <c r="H24" t="s">
        <v>256</v>
      </c>
      <c r="I24" t="s">
        <v>737</v>
      </c>
      <c r="J24">
        <v>-140000</v>
      </c>
      <c r="K24">
        <v>-140000</v>
      </c>
      <c r="O24" t="s">
        <v>742</v>
      </c>
      <c r="Q24" t="s">
        <v>763</v>
      </c>
      <c r="R24">
        <v>0</v>
      </c>
    </row>
    <row r="25" spans="1:18" x14ac:dyDescent="0.3">
      <c r="A25">
        <v>147629</v>
      </c>
      <c r="B25" t="s">
        <v>734</v>
      </c>
      <c r="C25" t="s">
        <v>735</v>
      </c>
      <c r="E25" s="465">
        <v>46944</v>
      </c>
      <c r="F25" s="465">
        <v>46970</v>
      </c>
      <c r="G25" t="s">
        <v>255</v>
      </c>
      <c r="H25" t="s">
        <v>256</v>
      </c>
      <c r="I25" t="s">
        <v>737</v>
      </c>
      <c r="J25">
        <v>-140000</v>
      </c>
      <c r="K25">
        <v>-140000</v>
      </c>
      <c r="O25" t="s">
        <v>742</v>
      </c>
      <c r="Q25" t="s">
        <v>764</v>
      </c>
      <c r="R25">
        <v>0</v>
      </c>
    </row>
    <row r="26" spans="1:18" x14ac:dyDescent="0.3">
      <c r="A26">
        <v>147628</v>
      </c>
      <c r="B26" t="s">
        <v>734</v>
      </c>
      <c r="C26" t="s">
        <v>735</v>
      </c>
      <c r="E26" s="465">
        <v>46914</v>
      </c>
      <c r="F26" s="465">
        <v>46939</v>
      </c>
      <c r="G26" t="s">
        <v>255</v>
      </c>
      <c r="H26" t="s">
        <v>256</v>
      </c>
      <c r="I26" t="s">
        <v>737</v>
      </c>
      <c r="J26">
        <v>-140000</v>
      </c>
      <c r="K26">
        <v>-140000</v>
      </c>
      <c r="O26" t="s">
        <v>742</v>
      </c>
      <c r="Q26" t="s">
        <v>765</v>
      </c>
      <c r="R26">
        <v>0</v>
      </c>
    </row>
    <row r="27" spans="1:18" x14ac:dyDescent="0.3">
      <c r="A27">
        <v>147627</v>
      </c>
      <c r="B27" t="s">
        <v>734</v>
      </c>
      <c r="C27" t="s">
        <v>735</v>
      </c>
      <c r="E27" s="465">
        <v>46883</v>
      </c>
      <c r="F27" s="465">
        <v>46909</v>
      </c>
      <c r="G27" t="s">
        <v>255</v>
      </c>
      <c r="H27" t="s">
        <v>256</v>
      </c>
      <c r="I27" t="s">
        <v>737</v>
      </c>
      <c r="J27">
        <v>-140000</v>
      </c>
      <c r="K27">
        <v>-140000</v>
      </c>
      <c r="O27" t="s">
        <v>742</v>
      </c>
      <c r="Q27" t="s">
        <v>766</v>
      </c>
      <c r="R27">
        <v>0</v>
      </c>
    </row>
    <row r="28" spans="1:18" x14ac:dyDescent="0.3">
      <c r="A28">
        <v>147626</v>
      </c>
      <c r="B28" t="s">
        <v>734</v>
      </c>
      <c r="C28" t="s">
        <v>735</v>
      </c>
      <c r="E28" s="465">
        <v>46853</v>
      </c>
      <c r="F28" s="465">
        <v>46878</v>
      </c>
      <c r="G28" t="s">
        <v>255</v>
      </c>
      <c r="H28" t="s">
        <v>256</v>
      </c>
      <c r="I28" t="s">
        <v>737</v>
      </c>
      <c r="J28">
        <v>-140000</v>
      </c>
      <c r="K28">
        <v>-140000</v>
      </c>
      <c r="O28" t="s">
        <v>742</v>
      </c>
      <c r="Q28" t="s">
        <v>767</v>
      </c>
      <c r="R28">
        <v>0</v>
      </c>
    </row>
    <row r="29" spans="1:18" x14ac:dyDescent="0.3">
      <c r="A29">
        <v>147625</v>
      </c>
      <c r="B29" t="s">
        <v>734</v>
      </c>
      <c r="C29" t="s">
        <v>735</v>
      </c>
      <c r="E29" s="465">
        <v>46822</v>
      </c>
      <c r="F29" s="465">
        <v>46848</v>
      </c>
      <c r="G29" t="s">
        <v>255</v>
      </c>
      <c r="H29" t="s">
        <v>256</v>
      </c>
      <c r="I29" t="s">
        <v>737</v>
      </c>
      <c r="J29">
        <v>-140000</v>
      </c>
      <c r="K29">
        <v>-140000</v>
      </c>
      <c r="O29" t="s">
        <v>742</v>
      </c>
      <c r="Q29" t="s">
        <v>768</v>
      </c>
      <c r="R29">
        <v>0</v>
      </c>
    </row>
    <row r="30" spans="1:18" x14ac:dyDescent="0.3">
      <c r="A30">
        <v>147624</v>
      </c>
      <c r="B30" t="s">
        <v>734</v>
      </c>
      <c r="C30" t="s">
        <v>735</v>
      </c>
      <c r="E30" s="465">
        <v>46793</v>
      </c>
      <c r="F30" s="465">
        <v>46817</v>
      </c>
      <c r="G30" t="s">
        <v>255</v>
      </c>
      <c r="H30" t="s">
        <v>256</v>
      </c>
      <c r="I30" t="s">
        <v>737</v>
      </c>
      <c r="J30">
        <v>-140000</v>
      </c>
      <c r="K30">
        <v>-140000</v>
      </c>
      <c r="O30" t="s">
        <v>742</v>
      </c>
      <c r="Q30" t="s">
        <v>769</v>
      </c>
      <c r="R30">
        <v>0</v>
      </c>
    </row>
    <row r="31" spans="1:18" x14ac:dyDescent="0.3">
      <c r="A31">
        <v>147623</v>
      </c>
      <c r="B31" t="s">
        <v>734</v>
      </c>
      <c r="C31" t="s">
        <v>735</v>
      </c>
      <c r="E31" s="465">
        <v>46762</v>
      </c>
      <c r="F31" s="465">
        <v>46788</v>
      </c>
      <c r="G31" t="s">
        <v>255</v>
      </c>
      <c r="H31" t="s">
        <v>256</v>
      </c>
      <c r="I31" t="s">
        <v>737</v>
      </c>
      <c r="J31">
        <v>-140000</v>
      </c>
      <c r="K31">
        <v>-140000</v>
      </c>
      <c r="O31" t="s">
        <v>742</v>
      </c>
      <c r="Q31" t="s">
        <v>770</v>
      </c>
      <c r="R31">
        <v>0</v>
      </c>
    </row>
    <row r="32" spans="1:18" x14ac:dyDescent="0.3">
      <c r="A32">
        <v>147622</v>
      </c>
      <c r="B32" t="s">
        <v>734</v>
      </c>
      <c r="C32" t="s">
        <v>735</v>
      </c>
      <c r="E32" s="465">
        <v>46731</v>
      </c>
      <c r="F32" s="465">
        <v>46757</v>
      </c>
      <c r="G32" t="s">
        <v>255</v>
      </c>
      <c r="H32" t="s">
        <v>256</v>
      </c>
      <c r="I32" t="s">
        <v>737</v>
      </c>
      <c r="J32">
        <v>-140000</v>
      </c>
      <c r="K32">
        <v>-140000</v>
      </c>
      <c r="O32" t="s">
        <v>742</v>
      </c>
      <c r="Q32" t="s">
        <v>771</v>
      </c>
      <c r="R32">
        <v>0</v>
      </c>
    </row>
    <row r="33" spans="1:18" x14ac:dyDescent="0.3">
      <c r="A33">
        <v>147621</v>
      </c>
      <c r="B33" t="s">
        <v>734</v>
      </c>
      <c r="C33" t="s">
        <v>735</v>
      </c>
      <c r="E33" s="465">
        <v>46701</v>
      </c>
      <c r="F33" s="465">
        <v>46726</v>
      </c>
      <c r="G33" t="s">
        <v>255</v>
      </c>
      <c r="H33" t="s">
        <v>256</v>
      </c>
      <c r="I33" t="s">
        <v>737</v>
      </c>
      <c r="J33">
        <v>-140000</v>
      </c>
      <c r="K33">
        <v>-140000</v>
      </c>
      <c r="O33" t="s">
        <v>742</v>
      </c>
      <c r="Q33" t="s">
        <v>772</v>
      </c>
      <c r="R33">
        <v>0</v>
      </c>
    </row>
    <row r="34" spans="1:18" x14ac:dyDescent="0.3">
      <c r="A34">
        <v>147620</v>
      </c>
      <c r="B34" t="s">
        <v>734</v>
      </c>
      <c r="C34" t="s">
        <v>735</v>
      </c>
      <c r="E34" s="465">
        <v>46670</v>
      </c>
      <c r="F34" s="465">
        <v>46696</v>
      </c>
      <c r="G34" t="s">
        <v>255</v>
      </c>
      <c r="H34" t="s">
        <v>256</v>
      </c>
      <c r="I34" t="s">
        <v>737</v>
      </c>
      <c r="J34">
        <v>-140000</v>
      </c>
      <c r="K34">
        <v>-140000</v>
      </c>
      <c r="O34" t="s">
        <v>742</v>
      </c>
      <c r="Q34" t="s">
        <v>773</v>
      </c>
      <c r="R34">
        <v>0</v>
      </c>
    </row>
    <row r="35" spans="1:18" x14ac:dyDescent="0.3">
      <c r="A35">
        <v>147619</v>
      </c>
      <c r="B35" t="s">
        <v>734</v>
      </c>
      <c r="C35" t="s">
        <v>735</v>
      </c>
      <c r="E35" s="465">
        <v>46640</v>
      </c>
      <c r="F35" s="465">
        <v>46665</v>
      </c>
      <c r="G35" t="s">
        <v>255</v>
      </c>
      <c r="H35" t="s">
        <v>256</v>
      </c>
      <c r="I35" t="s">
        <v>737</v>
      </c>
      <c r="J35">
        <v>-140000</v>
      </c>
      <c r="K35">
        <v>-140000</v>
      </c>
      <c r="O35" t="s">
        <v>742</v>
      </c>
      <c r="Q35" t="s">
        <v>774</v>
      </c>
      <c r="R35">
        <v>0</v>
      </c>
    </row>
    <row r="36" spans="1:18" x14ac:dyDescent="0.3">
      <c r="A36">
        <v>238200</v>
      </c>
      <c r="B36" t="s">
        <v>734</v>
      </c>
      <c r="C36" t="s">
        <v>428</v>
      </c>
      <c r="D36" t="s">
        <v>775</v>
      </c>
      <c r="E36" s="465">
        <v>46631</v>
      </c>
      <c r="F36" s="465">
        <v>46619</v>
      </c>
      <c r="G36" t="s">
        <v>776</v>
      </c>
      <c r="H36" t="s">
        <v>210</v>
      </c>
      <c r="I36" t="s">
        <v>777</v>
      </c>
      <c r="J36">
        <v>-34000</v>
      </c>
      <c r="K36">
        <v>-34000</v>
      </c>
      <c r="O36" t="s">
        <v>742</v>
      </c>
      <c r="Q36" t="s">
        <v>774</v>
      </c>
      <c r="R36">
        <v>0</v>
      </c>
    </row>
    <row r="37" spans="1:18" x14ac:dyDescent="0.3">
      <c r="A37">
        <v>147618</v>
      </c>
      <c r="B37" t="s">
        <v>734</v>
      </c>
      <c r="C37" t="s">
        <v>735</v>
      </c>
      <c r="E37" s="465">
        <v>46609</v>
      </c>
      <c r="F37" s="465">
        <v>46635</v>
      </c>
      <c r="G37" t="s">
        <v>255</v>
      </c>
      <c r="H37" t="s">
        <v>256</v>
      </c>
      <c r="I37" t="s">
        <v>737</v>
      </c>
      <c r="J37">
        <v>-140000</v>
      </c>
      <c r="K37">
        <v>-140000</v>
      </c>
      <c r="O37" t="s">
        <v>742</v>
      </c>
      <c r="Q37" t="s">
        <v>778</v>
      </c>
      <c r="R37">
        <v>0</v>
      </c>
    </row>
    <row r="38" spans="1:18" x14ac:dyDescent="0.3">
      <c r="A38">
        <v>238215</v>
      </c>
      <c r="B38" t="s">
        <v>734</v>
      </c>
      <c r="C38" t="s">
        <v>427</v>
      </c>
      <c r="D38" t="s">
        <v>775</v>
      </c>
      <c r="E38" s="465">
        <v>46600</v>
      </c>
      <c r="F38" s="465">
        <v>46618</v>
      </c>
      <c r="G38" t="s">
        <v>776</v>
      </c>
      <c r="H38" t="s">
        <v>205</v>
      </c>
      <c r="I38" t="s">
        <v>779</v>
      </c>
      <c r="J38">
        <v>-5000</v>
      </c>
      <c r="K38">
        <v>-5000</v>
      </c>
      <c r="O38" t="s">
        <v>742</v>
      </c>
      <c r="Q38" t="s">
        <v>778</v>
      </c>
      <c r="R38">
        <v>0</v>
      </c>
    </row>
    <row r="39" spans="1:18" x14ac:dyDescent="0.3">
      <c r="A39">
        <v>238231</v>
      </c>
      <c r="B39" t="s">
        <v>734</v>
      </c>
      <c r="C39" t="s">
        <v>780</v>
      </c>
      <c r="D39" t="s">
        <v>775</v>
      </c>
      <c r="E39" s="465">
        <v>46600</v>
      </c>
      <c r="F39" s="465">
        <v>46618</v>
      </c>
      <c r="G39" t="s">
        <v>776</v>
      </c>
      <c r="H39" t="s">
        <v>781</v>
      </c>
      <c r="J39">
        <v>-5000</v>
      </c>
      <c r="K39">
        <v>-5000</v>
      </c>
      <c r="O39" t="s">
        <v>742</v>
      </c>
      <c r="Q39" t="s">
        <v>778</v>
      </c>
      <c r="R39">
        <v>0</v>
      </c>
    </row>
    <row r="40" spans="1:18" x14ac:dyDescent="0.3">
      <c r="A40">
        <v>238199</v>
      </c>
      <c r="B40" t="s">
        <v>734</v>
      </c>
      <c r="C40" t="s">
        <v>428</v>
      </c>
      <c r="D40" t="s">
        <v>775</v>
      </c>
      <c r="E40" s="465">
        <v>46600</v>
      </c>
      <c r="F40" s="465">
        <v>46588</v>
      </c>
      <c r="G40" t="s">
        <v>776</v>
      </c>
      <c r="H40" t="s">
        <v>210</v>
      </c>
      <c r="I40" t="s">
        <v>777</v>
      </c>
      <c r="J40">
        <v>-34000</v>
      </c>
      <c r="K40">
        <v>-34000</v>
      </c>
      <c r="O40" t="s">
        <v>742</v>
      </c>
      <c r="Q40" t="s">
        <v>778</v>
      </c>
      <c r="R40">
        <v>0</v>
      </c>
    </row>
    <row r="41" spans="1:18" x14ac:dyDescent="0.3">
      <c r="A41">
        <v>147617</v>
      </c>
      <c r="B41" t="s">
        <v>734</v>
      </c>
      <c r="C41" t="s">
        <v>735</v>
      </c>
      <c r="E41" s="465">
        <v>46578</v>
      </c>
      <c r="F41" s="465">
        <v>46604</v>
      </c>
      <c r="G41" t="s">
        <v>255</v>
      </c>
      <c r="H41" t="s">
        <v>256</v>
      </c>
      <c r="I41" t="s">
        <v>737</v>
      </c>
      <c r="J41">
        <v>-140000</v>
      </c>
      <c r="K41">
        <v>-140000</v>
      </c>
      <c r="O41" t="s">
        <v>742</v>
      </c>
      <c r="Q41" t="s">
        <v>782</v>
      </c>
      <c r="R41">
        <v>0</v>
      </c>
    </row>
    <row r="42" spans="1:18" x14ac:dyDescent="0.3">
      <c r="A42">
        <v>240027</v>
      </c>
      <c r="B42" t="s">
        <v>734</v>
      </c>
      <c r="C42" t="s">
        <v>783</v>
      </c>
      <c r="D42" t="s">
        <v>775</v>
      </c>
      <c r="E42" s="465">
        <v>46569</v>
      </c>
      <c r="F42" s="465">
        <v>46563</v>
      </c>
      <c r="G42" t="s">
        <v>784</v>
      </c>
      <c r="H42" t="s">
        <v>238</v>
      </c>
      <c r="I42" t="s">
        <v>785</v>
      </c>
      <c r="J42">
        <v>-300</v>
      </c>
      <c r="K42">
        <v>-300</v>
      </c>
      <c r="O42" t="s">
        <v>742</v>
      </c>
      <c r="Q42" t="s">
        <v>782</v>
      </c>
      <c r="R42">
        <v>0</v>
      </c>
    </row>
    <row r="43" spans="1:18" x14ac:dyDescent="0.3">
      <c r="A43">
        <v>238198</v>
      </c>
      <c r="B43" t="s">
        <v>734</v>
      </c>
      <c r="C43" t="s">
        <v>428</v>
      </c>
      <c r="D43" t="s">
        <v>775</v>
      </c>
      <c r="E43" s="465">
        <v>46569</v>
      </c>
      <c r="F43" s="465">
        <v>46558</v>
      </c>
      <c r="G43" t="s">
        <v>776</v>
      </c>
      <c r="H43" t="s">
        <v>210</v>
      </c>
      <c r="I43" t="s">
        <v>777</v>
      </c>
      <c r="J43">
        <v>-34000</v>
      </c>
      <c r="K43">
        <v>-34000</v>
      </c>
      <c r="O43" t="s">
        <v>742</v>
      </c>
      <c r="Q43" t="s">
        <v>782</v>
      </c>
      <c r="R43">
        <v>0</v>
      </c>
    </row>
    <row r="44" spans="1:18" x14ac:dyDescent="0.3">
      <c r="A44">
        <v>238214</v>
      </c>
      <c r="B44" t="s">
        <v>734</v>
      </c>
      <c r="C44" t="s">
        <v>427</v>
      </c>
      <c r="D44" t="s">
        <v>775</v>
      </c>
      <c r="E44" s="465">
        <v>46569</v>
      </c>
      <c r="F44" s="465">
        <v>46587</v>
      </c>
      <c r="G44" t="s">
        <v>776</v>
      </c>
      <c r="H44" t="s">
        <v>205</v>
      </c>
      <c r="I44" t="s">
        <v>779</v>
      </c>
      <c r="J44">
        <v>-5000</v>
      </c>
      <c r="K44">
        <v>-5000</v>
      </c>
      <c r="O44" t="s">
        <v>742</v>
      </c>
      <c r="Q44" t="s">
        <v>782</v>
      </c>
      <c r="R44">
        <v>0</v>
      </c>
    </row>
    <row r="45" spans="1:18" x14ac:dyDescent="0.3">
      <c r="A45">
        <v>238230</v>
      </c>
      <c r="B45" t="s">
        <v>734</v>
      </c>
      <c r="C45" t="s">
        <v>780</v>
      </c>
      <c r="D45" t="s">
        <v>775</v>
      </c>
      <c r="E45" s="465">
        <v>46569</v>
      </c>
      <c r="F45" s="465">
        <v>46587</v>
      </c>
      <c r="G45" t="s">
        <v>776</v>
      </c>
      <c r="H45" t="s">
        <v>781</v>
      </c>
      <c r="J45">
        <v>-5000</v>
      </c>
      <c r="K45">
        <v>-5000</v>
      </c>
      <c r="O45" t="s">
        <v>742</v>
      </c>
      <c r="Q45" t="s">
        <v>782</v>
      </c>
      <c r="R45">
        <v>0</v>
      </c>
    </row>
    <row r="46" spans="1:18" x14ac:dyDescent="0.3">
      <c r="A46">
        <v>243378</v>
      </c>
      <c r="B46" t="s">
        <v>734</v>
      </c>
      <c r="C46" t="s">
        <v>786</v>
      </c>
      <c r="D46" t="s">
        <v>775</v>
      </c>
      <c r="E46" s="465">
        <v>46569</v>
      </c>
      <c r="F46" s="465">
        <v>46574</v>
      </c>
      <c r="G46" t="s">
        <v>787</v>
      </c>
      <c r="H46" t="s">
        <v>788</v>
      </c>
      <c r="I46" t="s">
        <v>789</v>
      </c>
      <c r="J46">
        <v>-805.7</v>
      </c>
      <c r="K46">
        <v>-805.7</v>
      </c>
      <c r="O46" t="s">
        <v>742</v>
      </c>
      <c r="Q46" t="s">
        <v>782</v>
      </c>
      <c r="R46">
        <v>0</v>
      </c>
    </row>
    <row r="47" spans="1:18" x14ac:dyDescent="0.3">
      <c r="A47">
        <v>147616</v>
      </c>
      <c r="B47" t="s">
        <v>734</v>
      </c>
      <c r="C47" t="s">
        <v>735</v>
      </c>
      <c r="E47" s="465">
        <v>46548</v>
      </c>
      <c r="F47" s="465">
        <v>46573</v>
      </c>
      <c r="G47" t="s">
        <v>255</v>
      </c>
      <c r="H47" t="s">
        <v>256</v>
      </c>
      <c r="I47" t="s">
        <v>737</v>
      </c>
      <c r="J47">
        <v>-140000</v>
      </c>
      <c r="K47">
        <v>-140000</v>
      </c>
      <c r="O47" t="s">
        <v>742</v>
      </c>
      <c r="Q47" t="s">
        <v>790</v>
      </c>
      <c r="R47">
        <v>0</v>
      </c>
    </row>
    <row r="48" spans="1:18" x14ac:dyDescent="0.3">
      <c r="A48">
        <v>248882</v>
      </c>
      <c r="B48" t="s">
        <v>734</v>
      </c>
      <c r="C48" t="s">
        <v>791</v>
      </c>
      <c r="D48" t="s">
        <v>775</v>
      </c>
      <c r="E48" s="465">
        <v>46545</v>
      </c>
      <c r="F48" s="465">
        <v>46583</v>
      </c>
      <c r="G48" t="s">
        <v>792</v>
      </c>
      <c r="H48" t="s">
        <v>793</v>
      </c>
      <c r="I48" t="s">
        <v>794</v>
      </c>
      <c r="J48">
        <v>-4500</v>
      </c>
      <c r="K48">
        <v>-4500</v>
      </c>
      <c r="O48" t="s">
        <v>742</v>
      </c>
      <c r="Q48" t="s">
        <v>790</v>
      </c>
      <c r="R48">
        <v>0</v>
      </c>
    </row>
    <row r="49" spans="1:18" x14ac:dyDescent="0.3">
      <c r="A49">
        <v>243377</v>
      </c>
      <c r="B49" t="s">
        <v>734</v>
      </c>
      <c r="C49" t="s">
        <v>786</v>
      </c>
      <c r="D49" t="s">
        <v>775</v>
      </c>
      <c r="E49" s="465">
        <v>46539</v>
      </c>
      <c r="F49" s="465">
        <v>46544</v>
      </c>
      <c r="G49" t="s">
        <v>787</v>
      </c>
      <c r="H49" t="s">
        <v>788</v>
      </c>
      <c r="I49" t="s">
        <v>789</v>
      </c>
      <c r="J49">
        <v>-805.7</v>
      </c>
      <c r="K49">
        <v>-805.7</v>
      </c>
      <c r="O49" t="s">
        <v>742</v>
      </c>
      <c r="Q49" t="s">
        <v>790</v>
      </c>
      <c r="R49">
        <v>0</v>
      </c>
    </row>
    <row r="50" spans="1:18" x14ac:dyDescent="0.3">
      <c r="A50">
        <v>238229</v>
      </c>
      <c r="B50" t="s">
        <v>734</v>
      </c>
      <c r="C50" t="s">
        <v>780</v>
      </c>
      <c r="D50" t="s">
        <v>775</v>
      </c>
      <c r="E50" s="465">
        <v>46539</v>
      </c>
      <c r="F50" s="465">
        <v>46557</v>
      </c>
      <c r="G50" t="s">
        <v>776</v>
      </c>
      <c r="H50" t="s">
        <v>781</v>
      </c>
      <c r="J50">
        <v>-5000</v>
      </c>
      <c r="K50">
        <v>-5000</v>
      </c>
      <c r="O50" t="s">
        <v>742</v>
      </c>
      <c r="Q50" t="s">
        <v>790</v>
      </c>
      <c r="R50">
        <v>0</v>
      </c>
    </row>
    <row r="51" spans="1:18" x14ac:dyDescent="0.3">
      <c r="A51">
        <v>234170</v>
      </c>
      <c r="B51" t="s">
        <v>734</v>
      </c>
      <c r="C51" t="s">
        <v>795</v>
      </c>
      <c r="D51" t="s">
        <v>775</v>
      </c>
      <c r="E51" s="465">
        <v>46539</v>
      </c>
      <c r="F51" s="465">
        <v>46573</v>
      </c>
      <c r="G51" t="s">
        <v>787</v>
      </c>
      <c r="H51" t="s">
        <v>788</v>
      </c>
      <c r="I51" t="s">
        <v>796</v>
      </c>
      <c r="J51">
        <v>-40000</v>
      </c>
      <c r="K51">
        <v>-40000</v>
      </c>
      <c r="O51" t="s">
        <v>742</v>
      </c>
      <c r="Q51" t="s">
        <v>790</v>
      </c>
      <c r="R51">
        <v>0</v>
      </c>
    </row>
    <row r="52" spans="1:18" x14ac:dyDescent="0.3">
      <c r="A52">
        <v>238213</v>
      </c>
      <c r="B52" t="s">
        <v>734</v>
      </c>
      <c r="C52" t="s">
        <v>427</v>
      </c>
      <c r="D52" t="s">
        <v>775</v>
      </c>
      <c r="E52" s="465">
        <v>46539</v>
      </c>
      <c r="F52" s="465">
        <v>46557</v>
      </c>
      <c r="G52" t="s">
        <v>776</v>
      </c>
      <c r="H52" t="s">
        <v>205</v>
      </c>
      <c r="I52" t="s">
        <v>779</v>
      </c>
      <c r="J52">
        <v>-5000</v>
      </c>
      <c r="K52">
        <v>-5000</v>
      </c>
      <c r="O52" t="s">
        <v>742</v>
      </c>
      <c r="Q52" t="s">
        <v>790</v>
      </c>
      <c r="R52">
        <v>0</v>
      </c>
    </row>
    <row r="53" spans="1:18" x14ac:dyDescent="0.3">
      <c r="A53">
        <v>238197</v>
      </c>
      <c r="B53" t="s">
        <v>734</v>
      </c>
      <c r="C53" t="s">
        <v>428</v>
      </c>
      <c r="D53" t="s">
        <v>775</v>
      </c>
      <c r="E53" s="465">
        <v>46539</v>
      </c>
      <c r="F53" s="465">
        <v>46527</v>
      </c>
      <c r="G53" t="s">
        <v>776</v>
      </c>
      <c r="H53" t="s">
        <v>210</v>
      </c>
      <c r="I53" t="s">
        <v>777</v>
      </c>
      <c r="J53">
        <v>-34000</v>
      </c>
      <c r="K53">
        <v>-34000</v>
      </c>
      <c r="O53" t="s">
        <v>742</v>
      </c>
      <c r="Q53" t="s">
        <v>790</v>
      </c>
      <c r="R53">
        <v>0</v>
      </c>
    </row>
    <row r="54" spans="1:18" x14ac:dyDescent="0.3">
      <c r="A54">
        <v>237261</v>
      </c>
      <c r="B54" t="s">
        <v>734</v>
      </c>
      <c r="C54" t="s">
        <v>797</v>
      </c>
      <c r="D54" t="s">
        <v>775</v>
      </c>
      <c r="E54" s="465">
        <v>46539</v>
      </c>
      <c r="F54" s="465">
        <v>46548</v>
      </c>
      <c r="G54" t="s">
        <v>784</v>
      </c>
      <c r="H54" t="s">
        <v>798</v>
      </c>
      <c r="J54">
        <v>-100</v>
      </c>
      <c r="K54">
        <v>-100</v>
      </c>
      <c r="O54" t="s">
        <v>742</v>
      </c>
      <c r="Q54" t="s">
        <v>790</v>
      </c>
      <c r="R54">
        <v>0</v>
      </c>
    </row>
    <row r="55" spans="1:18" x14ac:dyDescent="0.3">
      <c r="A55">
        <v>240026</v>
      </c>
      <c r="B55" t="s">
        <v>734</v>
      </c>
      <c r="C55" t="s">
        <v>783</v>
      </c>
      <c r="D55" t="s">
        <v>775</v>
      </c>
      <c r="E55" s="465">
        <v>46539</v>
      </c>
      <c r="F55" s="465">
        <v>46532</v>
      </c>
      <c r="G55" t="s">
        <v>784</v>
      </c>
      <c r="H55" t="s">
        <v>238</v>
      </c>
      <c r="I55" t="s">
        <v>785</v>
      </c>
      <c r="J55">
        <v>-300</v>
      </c>
      <c r="K55">
        <v>-300</v>
      </c>
      <c r="O55" t="s">
        <v>742</v>
      </c>
      <c r="Q55" t="s">
        <v>790</v>
      </c>
      <c r="R55">
        <v>0</v>
      </c>
    </row>
    <row r="56" spans="1:18" x14ac:dyDescent="0.3">
      <c r="A56">
        <v>147615</v>
      </c>
      <c r="B56" t="s">
        <v>734</v>
      </c>
      <c r="C56" t="s">
        <v>735</v>
      </c>
      <c r="E56" s="465">
        <v>46517</v>
      </c>
      <c r="F56" s="465">
        <v>46543</v>
      </c>
      <c r="G56" t="s">
        <v>255</v>
      </c>
      <c r="H56" t="s">
        <v>256</v>
      </c>
      <c r="I56" t="s">
        <v>737</v>
      </c>
      <c r="J56">
        <v>-140000</v>
      </c>
      <c r="K56">
        <v>-140000</v>
      </c>
      <c r="O56" t="s">
        <v>742</v>
      </c>
      <c r="Q56" t="s">
        <v>799</v>
      </c>
      <c r="R56">
        <v>0</v>
      </c>
    </row>
    <row r="57" spans="1:18" x14ac:dyDescent="0.3">
      <c r="A57">
        <v>248881</v>
      </c>
      <c r="B57" t="s">
        <v>734</v>
      </c>
      <c r="C57" t="s">
        <v>791</v>
      </c>
      <c r="D57" t="s">
        <v>775</v>
      </c>
      <c r="E57" s="465">
        <v>46514</v>
      </c>
      <c r="F57" s="465">
        <v>46553</v>
      </c>
      <c r="G57" t="s">
        <v>792</v>
      </c>
      <c r="H57" t="s">
        <v>793</v>
      </c>
      <c r="I57" t="s">
        <v>794</v>
      </c>
      <c r="J57">
        <v>-4500</v>
      </c>
      <c r="K57">
        <v>-4500</v>
      </c>
      <c r="O57" t="s">
        <v>742</v>
      </c>
      <c r="Q57" t="s">
        <v>799</v>
      </c>
      <c r="R57">
        <v>0</v>
      </c>
    </row>
    <row r="58" spans="1:18" x14ac:dyDescent="0.3">
      <c r="A58">
        <v>238212</v>
      </c>
      <c r="B58" t="s">
        <v>734</v>
      </c>
      <c r="C58" t="s">
        <v>427</v>
      </c>
      <c r="D58" t="s">
        <v>775</v>
      </c>
      <c r="E58" s="465">
        <v>46508</v>
      </c>
      <c r="F58" s="465">
        <v>46526</v>
      </c>
      <c r="G58" t="s">
        <v>776</v>
      </c>
      <c r="H58" t="s">
        <v>205</v>
      </c>
      <c r="I58" t="s">
        <v>779</v>
      </c>
      <c r="J58">
        <v>-5000</v>
      </c>
      <c r="K58">
        <v>-5000</v>
      </c>
      <c r="O58" t="s">
        <v>742</v>
      </c>
      <c r="Q58" t="s">
        <v>799</v>
      </c>
      <c r="R58">
        <v>0</v>
      </c>
    </row>
    <row r="59" spans="1:18" x14ac:dyDescent="0.3">
      <c r="A59">
        <v>233318</v>
      </c>
      <c r="B59" t="s">
        <v>734</v>
      </c>
      <c r="C59" t="s">
        <v>783</v>
      </c>
      <c r="D59" t="s">
        <v>775</v>
      </c>
      <c r="E59" s="465">
        <v>46508</v>
      </c>
      <c r="F59" s="465">
        <v>46503</v>
      </c>
      <c r="G59" t="s">
        <v>784</v>
      </c>
      <c r="H59" t="s">
        <v>238</v>
      </c>
      <c r="I59" t="s">
        <v>800</v>
      </c>
      <c r="J59">
        <v>-6000</v>
      </c>
      <c r="K59">
        <v>-6000</v>
      </c>
      <c r="O59" t="s">
        <v>742</v>
      </c>
      <c r="Q59" t="s">
        <v>799</v>
      </c>
      <c r="R59">
        <v>0</v>
      </c>
    </row>
    <row r="60" spans="1:18" x14ac:dyDescent="0.3">
      <c r="A60">
        <v>240025</v>
      </c>
      <c r="B60" t="s">
        <v>734</v>
      </c>
      <c r="C60" t="s">
        <v>783</v>
      </c>
      <c r="D60" t="s">
        <v>775</v>
      </c>
      <c r="E60" s="465">
        <v>46508</v>
      </c>
      <c r="F60" s="465">
        <v>46502</v>
      </c>
      <c r="G60" t="s">
        <v>784</v>
      </c>
      <c r="H60" t="s">
        <v>238</v>
      </c>
      <c r="I60" t="s">
        <v>785</v>
      </c>
      <c r="J60">
        <v>-300</v>
      </c>
      <c r="K60">
        <v>-300</v>
      </c>
      <c r="O60" t="s">
        <v>742</v>
      </c>
      <c r="Q60" t="s">
        <v>799</v>
      </c>
      <c r="R60">
        <v>0</v>
      </c>
    </row>
    <row r="61" spans="1:18" x14ac:dyDescent="0.3">
      <c r="A61">
        <v>237190</v>
      </c>
      <c r="B61" t="s">
        <v>734</v>
      </c>
      <c r="C61" t="s">
        <v>801</v>
      </c>
      <c r="D61" t="s">
        <v>775</v>
      </c>
      <c r="E61" s="465">
        <v>46508</v>
      </c>
      <c r="F61" s="465">
        <v>46517</v>
      </c>
      <c r="G61" t="s">
        <v>784</v>
      </c>
      <c r="H61" t="s">
        <v>241</v>
      </c>
      <c r="I61" t="s">
        <v>802</v>
      </c>
      <c r="J61">
        <v>-1000</v>
      </c>
      <c r="K61">
        <v>-1000</v>
      </c>
      <c r="O61" t="s">
        <v>742</v>
      </c>
      <c r="Q61" t="s">
        <v>799</v>
      </c>
      <c r="R61">
        <v>0</v>
      </c>
    </row>
    <row r="62" spans="1:18" x14ac:dyDescent="0.3">
      <c r="A62">
        <v>233302</v>
      </c>
      <c r="B62" t="s">
        <v>734</v>
      </c>
      <c r="C62" t="s">
        <v>783</v>
      </c>
      <c r="D62" t="s">
        <v>775</v>
      </c>
      <c r="E62" s="465">
        <v>46508</v>
      </c>
      <c r="F62" s="465">
        <v>46502</v>
      </c>
      <c r="G62" t="s">
        <v>784</v>
      </c>
      <c r="H62" t="s">
        <v>238</v>
      </c>
      <c r="I62" t="s">
        <v>803</v>
      </c>
      <c r="J62">
        <v>-5000</v>
      </c>
      <c r="K62">
        <v>-5000</v>
      </c>
      <c r="O62" t="s">
        <v>742</v>
      </c>
      <c r="Q62" t="s">
        <v>799</v>
      </c>
      <c r="R62">
        <v>0</v>
      </c>
    </row>
    <row r="63" spans="1:18" x14ac:dyDescent="0.3">
      <c r="A63">
        <v>235527</v>
      </c>
      <c r="B63" t="s">
        <v>734</v>
      </c>
      <c r="C63" t="s">
        <v>804</v>
      </c>
      <c r="D63" t="s">
        <v>775</v>
      </c>
      <c r="E63" s="465">
        <v>46508</v>
      </c>
      <c r="F63" s="465">
        <v>46539</v>
      </c>
      <c r="G63" t="s">
        <v>792</v>
      </c>
      <c r="H63" t="s">
        <v>793</v>
      </c>
      <c r="I63" t="s">
        <v>805</v>
      </c>
      <c r="J63">
        <v>-2100</v>
      </c>
      <c r="K63">
        <v>-2100</v>
      </c>
      <c r="O63" t="s">
        <v>742</v>
      </c>
      <c r="Q63" t="s">
        <v>799</v>
      </c>
      <c r="R63">
        <v>0</v>
      </c>
    </row>
    <row r="64" spans="1:18" x14ac:dyDescent="0.3">
      <c r="A64">
        <v>238228</v>
      </c>
      <c r="B64" t="s">
        <v>734</v>
      </c>
      <c r="C64" t="s">
        <v>780</v>
      </c>
      <c r="D64" t="s">
        <v>775</v>
      </c>
      <c r="E64" s="465">
        <v>46508</v>
      </c>
      <c r="F64" s="465">
        <v>46526</v>
      </c>
      <c r="G64" t="s">
        <v>776</v>
      </c>
      <c r="H64" t="s">
        <v>781</v>
      </c>
      <c r="J64">
        <v>-5000</v>
      </c>
      <c r="K64">
        <v>-5000</v>
      </c>
      <c r="O64" t="s">
        <v>742</v>
      </c>
      <c r="Q64" t="s">
        <v>799</v>
      </c>
      <c r="R64">
        <v>0</v>
      </c>
    </row>
    <row r="65" spans="1:18" x14ac:dyDescent="0.3">
      <c r="A65">
        <v>238196</v>
      </c>
      <c r="B65" t="s">
        <v>734</v>
      </c>
      <c r="C65" t="s">
        <v>428</v>
      </c>
      <c r="D65" t="s">
        <v>775</v>
      </c>
      <c r="E65" s="465">
        <v>46508</v>
      </c>
      <c r="F65" s="465">
        <v>46497</v>
      </c>
      <c r="G65" t="s">
        <v>776</v>
      </c>
      <c r="H65" t="s">
        <v>210</v>
      </c>
      <c r="I65" t="s">
        <v>777</v>
      </c>
      <c r="J65">
        <v>-34000</v>
      </c>
      <c r="K65">
        <v>-34000</v>
      </c>
      <c r="O65" t="s">
        <v>742</v>
      </c>
      <c r="Q65" t="s">
        <v>799</v>
      </c>
      <c r="R65">
        <v>0</v>
      </c>
    </row>
    <row r="66" spans="1:18" x14ac:dyDescent="0.3">
      <c r="A66">
        <v>237236</v>
      </c>
      <c r="B66" t="s">
        <v>734</v>
      </c>
      <c r="C66" t="s">
        <v>806</v>
      </c>
      <c r="D66" t="s">
        <v>775</v>
      </c>
      <c r="E66" s="465">
        <v>46508</v>
      </c>
      <c r="F66" s="465">
        <v>46516</v>
      </c>
      <c r="G66" t="s">
        <v>784</v>
      </c>
      <c r="H66" t="s">
        <v>246</v>
      </c>
      <c r="I66" t="s">
        <v>807</v>
      </c>
      <c r="J66">
        <v>-750</v>
      </c>
      <c r="K66">
        <v>-750</v>
      </c>
      <c r="O66" t="s">
        <v>742</v>
      </c>
      <c r="Q66" t="s">
        <v>799</v>
      </c>
      <c r="R66">
        <v>0</v>
      </c>
    </row>
    <row r="67" spans="1:18" x14ac:dyDescent="0.3">
      <c r="A67">
        <v>241751</v>
      </c>
      <c r="B67" t="s">
        <v>734</v>
      </c>
      <c r="C67" t="s">
        <v>808</v>
      </c>
      <c r="D67" t="s">
        <v>775</v>
      </c>
      <c r="E67" s="465">
        <v>46508</v>
      </c>
      <c r="F67" s="465">
        <v>46539</v>
      </c>
      <c r="G67" t="s">
        <v>792</v>
      </c>
      <c r="H67" t="s">
        <v>793</v>
      </c>
      <c r="I67" t="s">
        <v>809</v>
      </c>
      <c r="J67">
        <v>-2100</v>
      </c>
      <c r="K67">
        <v>-2100</v>
      </c>
      <c r="O67" t="s">
        <v>742</v>
      </c>
      <c r="Q67" t="s">
        <v>799</v>
      </c>
      <c r="R67">
        <v>0</v>
      </c>
    </row>
    <row r="68" spans="1:18" x14ac:dyDescent="0.3">
      <c r="A68">
        <v>241763</v>
      </c>
      <c r="B68" t="s">
        <v>734</v>
      </c>
      <c r="C68" t="s">
        <v>808</v>
      </c>
      <c r="D68" t="s">
        <v>775</v>
      </c>
      <c r="E68" s="465">
        <v>46508</v>
      </c>
      <c r="F68" s="465">
        <v>46553</v>
      </c>
      <c r="G68" t="s">
        <v>792</v>
      </c>
      <c r="H68" t="s">
        <v>793</v>
      </c>
      <c r="I68" t="s">
        <v>810</v>
      </c>
      <c r="J68">
        <v>-2100</v>
      </c>
      <c r="K68">
        <v>-2100</v>
      </c>
      <c r="O68" t="s">
        <v>742</v>
      </c>
      <c r="Q68" t="s">
        <v>799</v>
      </c>
      <c r="R68">
        <v>0</v>
      </c>
    </row>
    <row r="69" spans="1:18" x14ac:dyDescent="0.3">
      <c r="A69">
        <v>234169</v>
      </c>
      <c r="B69" t="s">
        <v>734</v>
      </c>
      <c r="C69" t="s">
        <v>795</v>
      </c>
      <c r="D69" t="s">
        <v>775</v>
      </c>
      <c r="E69" s="465">
        <v>46508</v>
      </c>
      <c r="F69" s="465">
        <v>46543</v>
      </c>
      <c r="G69" t="s">
        <v>787</v>
      </c>
      <c r="H69" t="s">
        <v>788</v>
      </c>
      <c r="I69" t="s">
        <v>796</v>
      </c>
      <c r="J69">
        <v>-40000</v>
      </c>
      <c r="K69">
        <v>-40000</v>
      </c>
      <c r="O69" t="s">
        <v>742</v>
      </c>
      <c r="Q69" t="s">
        <v>799</v>
      </c>
      <c r="R69">
        <v>0</v>
      </c>
    </row>
    <row r="70" spans="1:18" x14ac:dyDescent="0.3">
      <c r="A70">
        <v>235547</v>
      </c>
      <c r="B70" t="s">
        <v>734</v>
      </c>
      <c r="C70" t="s">
        <v>804</v>
      </c>
      <c r="D70" t="s">
        <v>775</v>
      </c>
      <c r="E70" s="465">
        <v>46508</v>
      </c>
      <c r="F70" s="465">
        <v>46553</v>
      </c>
      <c r="G70" t="s">
        <v>792</v>
      </c>
      <c r="H70" t="s">
        <v>793</v>
      </c>
      <c r="I70" t="s">
        <v>811</v>
      </c>
      <c r="J70">
        <v>-2100</v>
      </c>
      <c r="K70">
        <v>-2100</v>
      </c>
      <c r="O70" t="s">
        <v>742</v>
      </c>
      <c r="Q70" t="s">
        <v>799</v>
      </c>
      <c r="R70">
        <v>0</v>
      </c>
    </row>
    <row r="71" spans="1:18" x14ac:dyDescent="0.3">
      <c r="A71">
        <v>243376</v>
      </c>
      <c r="B71" t="s">
        <v>734</v>
      </c>
      <c r="C71" t="s">
        <v>786</v>
      </c>
      <c r="D71" t="s">
        <v>775</v>
      </c>
      <c r="E71" s="465">
        <v>46508</v>
      </c>
      <c r="F71" s="465">
        <v>46513</v>
      </c>
      <c r="G71" t="s">
        <v>787</v>
      </c>
      <c r="H71" t="s">
        <v>788</v>
      </c>
      <c r="I71" t="s">
        <v>789</v>
      </c>
      <c r="J71">
        <v>-805.7</v>
      </c>
      <c r="K71">
        <v>-805.7</v>
      </c>
      <c r="O71" t="s">
        <v>742</v>
      </c>
      <c r="Q71" t="s">
        <v>799</v>
      </c>
      <c r="R71">
        <v>0</v>
      </c>
    </row>
    <row r="72" spans="1:18" x14ac:dyDescent="0.3">
      <c r="A72">
        <v>241775</v>
      </c>
      <c r="B72" t="s">
        <v>734</v>
      </c>
      <c r="C72" t="s">
        <v>812</v>
      </c>
      <c r="D72" t="s">
        <v>775</v>
      </c>
      <c r="E72" s="465">
        <v>46508</v>
      </c>
      <c r="F72" s="465">
        <v>46539</v>
      </c>
      <c r="G72" t="s">
        <v>792</v>
      </c>
      <c r="H72" t="s">
        <v>793</v>
      </c>
      <c r="I72" t="s">
        <v>813</v>
      </c>
      <c r="J72">
        <v>-2100</v>
      </c>
      <c r="K72">
        <v>-2100</v>
      </c>
      <c r="O72" t="s">
        <v>742</v>
      </c>
      <c r="Q72" t="s">
        <v>799</v>
      </c>
      <c r="R72">
        <v>0</v>
      </c>
    </row>
    <row r="73" spans="1:18" x14ac:dyDescent="0.3">
      <c r="A73">
        <v>241787</v>
      </c>
      <c r="B73" t="s">
        <v>734</v>
      </c>
      <c r="C73" t="s">
        <v>812</v>
      </c>
      <c r="D73" t="s">
        <v>775</v>
      </c>
      <c r="E73" s="465">
        <v>46508</v>
      </c>
      <c r="F73" s="465">
        <v>46553</v>
      </c>
      <c r="G73" t="s">
        <v>792</v>
      </c>
      <c r="H73" t="s">
        <v>793</v>
      </c>
      <c r="I73" t="s">
        <v>810</v>
      </c>
      <c r="J73">
        <v>-2100</v>
      </c>
      <c r="K73">
        <v>-2100</v>
      </c>
      <c r="O73" t="s">
        <v>742</v>
      </c>
      <c r="Q73" t="s">
        <v>799</v>
      </c>
      <c r="R73">
        <v>0</v>
      </c>
    </row>
    <row r="74" spans="1:18" x14ac:dyDescent="0.3">
      <c r="A74">
        <v>237260</v>
      </c>
      <c r="B74" t="s">
        <v>734</v>
      </c>
      <c r="C74" t="s">
        <v>797</v>
      </c>
      <c r="D74" t="s">
        <v>775</v>
      </c>
      <c r="E74" s="465">
        <v>46508</v>
      </c>
      <c r="F74" s="465">
        <v>46517</v>
      </c>
      <c r="G74" t="s">
        <v>784</v>
      </c>
      <c r="H74" t="s">
        <v>798</v>
      </c>
      <c r="J74">
        <v>-100</v>
      </c>
      <c r="K74">
        <v>-100</v>
      </c>
      <c r="O74" t="s">
        <v>742</v>
      </c>
      <c r="Q74" t="s">
        <v>799</v>
      </c>
      <c r="R74">
        <v>0</v>
      </c>
    </row>
    <row r="75" spans="1:18" x14ac:dyDescent="0.3">
      <c r="A75">
        <v>224327</v>
      </c>
      <c r="B75" t="s">
        <v>734</v>
      </c>
      <c r="C75" t="s">
        <v>814</v>
      </c>
      <c r="D75" t="s">
        <v>775</v>
      </c>
      <c r="E75" s="465">
        <v>46491</v>
      </c>
      <c r="F75" s="465">
        <v>46497</v>
      </c>
      <c r="G75" t="s">
        <v>307</v>
      </c>
      <c r="H75" t="s">
        <v>312</v>
      </c>
      <c r="J75">
        <v>-2200</v>
      </c>
      <c r="K75">
        <v>-2200</v>
      </c>
      <c r="O75" t="s">
        <v>742</v>
      </c>
      <c r="Q75" t="s">
        <v>815</v>
      </c>
      <c r="R75">
        <v>0</v>
      </c>
    </row>
    <row r="76" spans="1:18" x14ac:dyDescent="0.3">
      <c r="A76">
        <v>147614</v>
      </c>
      <c r="B76" t="s">
        <v>734</v>
      </c>
      <c r="C76" t="s">
        <v>735</v>
      </c>
      <c r="E76" s="465">
        <v>46487</v>
      </c>
      <c r="F76" s="465">
        <v>46512</v>
      </c>
      <c r="G76" t="s">
        <v>255</v>
      </c>
      <c r="H76" t="s">
        <v>256</v>
      </c>
      <c r="I76" t="s">
        <v>737</v>
      </c>
      <c r="J76">
        <v>-140000</v>
      </c>
      <c r="K76">
        <v>-140000</v>
      </c>
      <c r="O76" t="s">
        <v>742</v>
      </c>
      <c r="Q76" t="s">
        <v>815</v>
      </c>
      <c r="R76">
        <v>0</v>
      </c>
    </row>
    <row r="77" spans="1:18" x14ac:dyDescent="0.3">
      <c r="A77">
        <v>248880</v>
      </c>
      <c r="B77" t="s">
        <v>734</v>
      </c>
      <c r="C77" t="s">
        <v>791</v>
      </c>
      <c r="D77" t="s">
        <v>775</v>
      </c>
      <c r="E77" s="465">
        <v>46484</v>
      </c>
      <c r="F77" s="465">
        <v>46522</v>
      </c>
      <c r="G77" t="s">
        <v>792</v>
      </c>
      <c r="H77" t="s">
        <v>793</v>
      </c>
      <c r="I77" t="s">
        <v>794</v>
      </c>
      <c r="J77">
        <v>-4500</v>
      </c>
      <c r="K77">
        <v>-4500</v>
      </c>
      <c r="O77" t="s">
        <v>742</v>
      </c>
      <c r="Q77" t="s">
        <v>815</v>
      </c>
      <c r="R77">
        <v>0</v>
      </c>
    </row>
    <row r="78" spans="1:18" x14ac:dyDescent="0.3">
      <c r="A78">
        <v>241750</v>
      </c>
      <c r="B78" t="s">
        <v>734</v>
      </c>
      <c r="C78" t="s">
        <v>808</v>
      </c>
      <c r="D78" t="s">
        <v>775</v>
      </c>
      <c r="E78" s="465">
        <v>46478</v>
      </c>
      <c r="F78" s="465">
        <v>46508</v>
      </c>
      <c r="G78" t="s">
        <v>792</v>
      </c>
      <c r="H78" t="s">
        <v>793</v>
      </c>
      <c r="I78" t="s">
        <v>809</v>
      </c>
      <c r="J78">
        <v>-2100</v>
      </c>
      <c r="K78">
        <v>-2100</v>
      </c>
      <c r="O78" t="s">
        <v>742</v>
      </c>
      <c r="Q78" t="s">
        <v>815</v>
      </c>
      <c r="R78">
        <v>0</v>
      </c>
    </row>
    <row r="79" spans="1:18" x14ac:dyDescent="0.3">
      <c r="A79">
        <v>235526</v>
      </c>
      <c r="B79" t="s">
        <v>734</v>
      </c>
      <c r="C79" t="s">
        <v>804</v>
      </c>
      <c r="D79" t="s">
        <v>775</v>
      </c>
      <c r="E79" s="465">
        <v>46478</v>
      </c>
      <c r="F79" s="465">
        <v>46508</v>
      </c>
      <c r="G79" t="s">
        <v>792</v>
      </c>
      <c r="H79" t="s">
        <v>793</v>
      </c>
      <c r="I79" t="s">
        <v>805</v>
      </c>
      <c r="J79">
        <v>-2100</v>
      </c>
      <c r="K79">
        <v>-2100</v>
      </c>
      <c r="O79" t="s">
        <v>742</v>
      </c>
      <c r="Q79" t="s">
        <v>815</v>
      </c>
      <c r="R79">
        <v>0</v>
      </c>
    </row>
    <row r="80" spans="1:18" x14ac:dyDescent="0.3">
      <c r="A80">
        <v>232271</v>
      </c>
      <c r="B80" t="s">
        <v>734</v>
      </c>
      <c r="C80" t="s">
        <v>816</v>
      </c>
      <c r="D80" t="s">
        <v>775</v>
      </c>
      <c r="E80" s="465">
        <v>46478</v>
      </c>
      <c r="F80" s="465">
        <v>46522</v>
      </c>
      <c r="G80" t="s">
        <v>792</v>
      </c>
      <c r="H80" t="s">
        <v>793</v>
      </c>
      <c r="I80" t="s">
        <v>817</v>
      </c>
      <c r="J80">
        <v>-2000</v>
      </c>
      <c r="K80">
        <v>-2000</v>
      </c>
      <c r="O80" t="s">
        <v>742</v>
      </c>
      <c r="Q80" t="s">
        <v>815</v>
      </c>
      <c r="R80">
        <v>0</v>
      </c>
    </row>
    <row r="81" spans="1:18" x14ac:dyDescent="0.3">
      <c r="A81">
        <v>233301</v>
      </c>
      <c r="B81" t="s">
        <v>734</v>
      </c>
      <c r="C81" t="s">
        <v>783</v>
      </c>
      <c r="D81" t="s">
        <v>775</v>
      </c>
      <c r="E81" s="465">
        <v>46478</v>
      </c>
      <c r="F81" s="465">
        <v>46471</v>
      </c>
      <c r="G81" t="s">
        <v>784</v>
      </c>
      <c r="H81" t="s">
        <v>238</v>
      </c>
      <c r="I81" t="s">
        <v>803</v>
      </c>
      <c r="J81">
        <v>-5000</v>
      </c>
      <c r="K81">
        <v>-5000</v>
      </c>
      <c r="O81" t="s">
        <v>742</v>
      </c>
      <c r="Q81" t="s">
        <v>815</v>
      </c>
      <c r="R81">
        <v>0</v>
      </c>
    </row>
    <row r="82" spans="1:18" x14ac:dyDescent="0.3">
      <c r="A82">
        <v>232259</v>
      </c>
      <c r="B82" t="s">
        <v>734</v>
      </c>
      <c r="C82" t="s">
        <v>816</v>
      </c>
      <c r="D82" t="s">
        <v>775</v>
      </c>
      <c r="E82" s="465">
        <v>46478</v>
      </c>
      <c r="F82" s="465">
        <v>46508</v>
      </c>
      <c r="G82" t="s">
        <v>792</v>
      </c>
      <c r="H82" t="s">
        <v>793</v>
      </c>
      <c r="I82" t="s">
        <v>817</v>
      </c>
      <c r="J82">
        <v>-2000</v>
      </c>
      <c r="K82">
        <v>-2000</v>
      </c>
      <c r="O82" t="s">
        <v>742</v>
      </c>
      <c r="Q82" t="s">
        <v>815</v>
      </c>
      <c r="R82">
        <v>0</v>
      </c>
    </row>
    <row r="83" spans="1:18" x14ac:dyDescent="0.3">
      <c r="A83">
        <v>232198</v>
      </c>
      <c r="B83" t="s">
        <v>734</v>
      </c>
      <c r="C83" t="s">
        <v>818</v>
      </c>
      <c r="D83" t="s">
        <v>775</v>
      </c>
      <c r="E83" s="465">
        <v>46478</v>
      </c>
      <c r="F83" s="465">
        <v>46522</v>
      </c>
      <c r="G83" t="s">
        <v>792</v>
      </c>
      <c r="H83" t="s">
        <v>793</v>
      </c>
      <c r="I83" t="s">
        <v>819</v>
      </c>
      <c r="J83">
        <v>-3250</v>
      </c>
      <c r="K83">
        <v>-3250</v>
      </c>
      <c r="O83" t="s">
        <v>742</v>
      </c>
      <c r="Q83" t="s">
        <v>815</v>
      </c>
      <c r="R83">
        <v>0</v>
      </c>
    </row>
    <row r="84" spans="1:18" x14ac:dyDescent="0.3">
      <c r="A84">
        <v>238227</v>
      </c>
      <c r="B84" t="s">
        <v>734</v>
      </c>
      <c r="C84" t="s">
        <v>780</v>
      </c>
      <c r="D84" t="s">
        <v>775</v>
      </c>
      <c r="E84" s="465">
        <v>46478</v>
      </c>
      <c r="F84" s="465">
        <v>46496</v>
      </c>
      <c r="G84" t="s">
        <v>776</v>
      </c>
      <c r="H84" t="s">
        <v>781</v>
      </c>
      <c r="J84">
        <v>-5000</v>
      </c>
      <c r="K84">
        <v>-5000</v>
      </c>
      <c r="O84" t="s">
        <v>742</v>
      </c>
      <c r="Q84" t="s">
        <v>815</v>
      </c>
      <c r="R84">
        <v>0</v>
      </c>
    </row>
    <row r="85" spans="1:18" x14ac:dyDescent="0.3">
      <c r="A85">
        <v>232186</v>
      </c>
      <c r="B85" t="s">
        <v>734</v>
      </c>
      <c r="C85" t="s">
        <v>818</v>
      </c>
      <c r="D85" t="s">
        <v>775</v>
      </c>
      <c r="E85" s="465">
        <v>46478</v>
      </c>
      <c r="F85" s="465">
        <v>46508</v>
      </c>
      <c r="G85" t="s">
        <v>792</v>
      </c>
      <c r="H85" t="s">
        <v>793</v>
      </c>
      <c r="I85" t="s">
        <v>819</v>
      </c>
      <c r="J85">
        <v>-3250</v>
      </c>
      <c r="K85">
        <v>-3250</v>
      </c>
      <c r="O85" t="s">
        <v>742</v>
      </c>
      <c r="Q85" t="s">
        <v>815</v>
      </c>
      <c r="R85">
        <v>0</v>
      </c>
    </row>
    <row r="86" spans="1:18" x14ac:dyDescent="0.3">
      <c r="A86">
        <v>238195</v>
      </c>
      <c r="B86" t="s">
        <v>734</v>
      </c>
      <c r="C86" t="s">
        <v>428</v>
      </c>
      <c r="D86" t="s">
        <v>775</v>
      </c>
      <c r="E86" s="465">
        <v>46478</v>
      </c>
      <c r="F86" s="465">
        <v>46466</v>
      </c>
      <c r="G86" t="s">
        <v>776</v>
      </c>
      <c r="H86" t="s">
        <v>210</v>
      </c>
      <c r="I86" t="s">
        <v>777</v>
      </c>
      <c r="J86">
        <v>-34000</v>
      </c>
      <c r="K86">
        <v>-34000</v>
      </c>
      <c r="O86" t="s">
        <v>742</v>
      </c>
      <c r="Q86" t="s">
        <v>815</v>
      </c>
      <c r="R86">
        <v>0</v>
      </c>
    </row>
    <row r="87" spans="1:18" x14ac:dyDescent="0.3">
      <c r="A87">
        <v>238211</v>
      </c>
      <c r="B87" t="s">
        <v>734</v>
      </c>
      <c r="C87" t="s">
        <v>427</v>
      </c>
      <c r="D87" t="s">
        <v>775</v>
      </c>
      <c r="E87" s="465">
        <v>46478</v>
      </c>
      <c r="F87" s="465">
        <v>46496</v>
      </c>
      <c r="G87" t="s">
        <v>776</v>
      </c>
      <c r="H87" t="s">
        <v>205</v>
      </c>
      <c r="I87" t="s">
        <v>779</v>
      </c>
      <c r="J87">
        <v>-5000</v>
      </c>
      <c r="K87">
        <v>-5000</v>
      </c>
      <c r="O87" t="s">
        <v>742</v>
      </c>
      <c r="Q87" t="s">
        <v>815</v>
      </c>
      <c r="R87">
        <v>0</v>
      </c>
    </row>
    <row r="88" spans="1:18" x14ac:dyDescent="0.3">
      <c r="A88">
        <v>237235</v>
      </c>
      <c r="B88" t="s">
        <v>734</v>
      </c>
      <c r="C88" t="s">
        <v>806</v>
      </c>
      <c r="D88" t="s">
        <v>775</v>
      </c>
      <c r="E88" s="465">
        <v>46478</v>
      </c>
      <c r="F88" s="465">
        <v>46486</v>
      </c>
      <c r="G88" t="s">
        <v>784</v>
      </c>
      <c r="H88" t="s">
        <v>246</v>
      </c>
      <c r="I88" t="s">
        <v>807</v>
      </c>
      <c r="J88">
        <v>-750</v>
      </c>
      <c r="K88">
        <v>-750</v>
      </c>
      <c r="O88" t="s">
        <v>742</v>
      </c>
      <c r="Q88" t="s">
        <v>815</v>
      </c>
      <c r="R88">
        <v>0</v>
      </c>
    </row>
    <row r="89" spans="1:18" x14ac:dyDescent="0.3">
      <c r="A89">
        <v>241762</v>
      </c>
      <c r="B89" t="s">
        <v>734</v>
      </c>
      <c r="C89" t="s">
        <v>808</v>
      </c>
      <c r="D89" t="s">
        <v>775</v>
      </c>
      <c r="E89" s="465">
        <v>46478</v>
      </c>
      <c r="F89" s="465">
        <v>46522</v>
      </c>
      <c r="G89" t="s">
        <v>792</v>
      </c>
      <c r="H89" t="s">
        <v>793</v>
      </c>
      <c r="I89" t="s">
        <v>810</v>
      </c>
      <c r="J89">
        <v>-2100</v>
      </c>
      <c r="K89">
        <v>-2100</v>
      </c>
      <c r="O89" t="s">
        <v>742</v>
      </c>
      <c r="Q89" t="s">
        <v>815</v>
      </c>
      <c r="R89">
        <v>0</v>
      </c>
    </row>
    <row r="90" spans="1:18" x14ac:dyDescent="0.3">
      <c r="A90">
        <v>234168</v>
      </c>
      <c r="B90" t="s">
        <v>734</v>
      </c>
      <c r="C90" t="s">
        <v>795</v>
      </c>
      <c r="D90" t="s">
        <v>775</v>
      </c>
      <c r="E90" s="465">
        <v>46478</v>
      </c>
      <c r="F90" s="465">
        <v>46512</v>
      </c>
      <c r="G90" t="s">
        <v>787</v>
      </c>
      <c r="H90" t="s">
        <v>788</v>
      </c>
      <c r="I90" t="s">
        <v>796</v>
      </c>
      <c r="J90">
        <v>-40000</v>
      </c>
      <c r="K90">
        <v>-40000</v>
      </c>
      <c r="O90" t="s">
        <v>742</v>
      </c>
      <c r="Q90" t="s">
        <v>815</v>
      </c>
      <c r="R90">
        <v>0</v>
      </c>
    </row>
    <row r="91" spans="1:18" x14ac:dyDescent="0.3">
      <c r="A91">
        <v>243375</v>
      </c>
      <c r="B91" t="s">
        <v>734</v>
      </c>
      <c r="C91" t="s">
        <v>786</v>
      </c>
      <c r="D91" t="s">
        <v>775</v>
      </c>
      <c r="E91" s="465">
        <v>46478</v>
      </c>
      <c r="F91" s="465">
        <v>46483</v>
      </c>
      <c r="G91" t="s">
        <v>787</v>
      </c>
      <c r="H91" t="s">
        <v>788</v>
      </c>
      <c r="I91" t="s">
        <v>789</v>
      </c>
      <c r="J91">
        <v>-805.7</v>
      </c>
      <c r="K91">
        <v>-805.7</v>
      </c>
      <c r="O91" t="s">
        <v>742</v>
      </c>
      <c r="Q91" t="s">
        <v>815</v>
      </c>
      <c r="R91">
        <v>0</v>
      </c>
    </row>
    <row r="92" spans="1:18" x14ac:dyDescent="0.3">
      <c r="A92">
        <v>235546</v>
      </c>
      <c r="B92" t="s">
        <v>734</v>
      </c>
      <c r="C92" t="s">
        <v>804</v>
      </c>
      <c r="D92" t="s">
        <v>775</v>
      </c>
      <c r="E92" s="465">
        <v>46478</v>
      </c>
      <c r="F92" s="465">
        <v>46522</v>
      </c>
      <c r="G92" t="s">
        <v>792</v>
      </c>
      <c r="H92" t="s">
        <v>793</v>
      </c>
      <c r="I92" t="s">
        <v>811</v>
      </c>
      <c r="J92">
        <v>-2100</v>
      </c>
      <c r="K92">
        <v>-2100</v>
      </c>
      <c r="O92" t="s">
        <v>742</v>
      </c>
      <c r="Q92" t="s">
        <v>815</v>
      </c>
      <c r="R92">
        <v>0</v>
      </c>
    </row>
    <row r="93" spans="1:18" x14ac:dyDescent="0.3">
      <c r="A93">
        <v>233317</v>
      </c>
      <c r="B93" t="s">
        <v>734</v>
      </c>
      <c r="C93" t="s">
        <v>783</v>
      </c>
      <c r="D93" t="s">
        <v>775</v>
      </c>
      <c r="E93" s="465">
        <v>46478</v>
      </c>
      <c r="F93" s="465">
        <v>46472</v>
      </c>
      <c r="G93" t="s">
        <v>784</v>
      </c>
      <c r="H93" t="s">
        <v>238</v>
      </c>
      <c r="I93" t="s">
        <v>800</v>
      </c>
      <c r="J93">
        <v>-6000</v>
      </c>
      <c r="K93">
        <v>-6000</v>
      </c>
      <c r="O93" t="s">
        <v>742</v>
      </c>
      <c r="Q93" t="s">
        <v>815</v>
      </c>
      <c r="R93">
        <v>0</v>
      </c>
    </row>
    <row r="94" spans="1:18" x14ac:dyDescent="0.3">
      <c r="A94">
        <v>241774</v>
      </c>
      <c r="B94" t="s">
        <v>734</v>
      </c>
      <c r="C94" t="s">
        <v>812</v>
      </c>
      <c r="D94" t="s">
        <v>775</v>
      </c>
      <c r="E94" s="465">
        <v>46478</v>
      </c>
      <c r="F94" s="465">
        <v>46508</v>
      </c>
      <c r="G94" t="s">
        <v>792</v>
      </c>
      <c r="H94" t="s">
        <v>793</v>
      </c>
      <c r="I94" t="s">
        <v>813</v>
      </c>
      <c r="J94">
        <v>-2100</v>
      </c>
      <c r="K94">
        <v>-2100</v>
      </c>
      <c r="O94" t="s">
        <v>742</v>
      </c>
      <c r="Q94" t="s">
        <v>815</v>
      </c>
      <c r="R94">
        <v>0</v>
      </c>
    </row>
    <row r="95" spans="1:18" x14ac:dyDescent="0.3">
      <c r="A95">
        <v>237189</v>
      </c>
      <c r="B95" t="s">
        <v>734</v>
      </c>
      <c r="C95" t="s">
        <v>801</v>
      </c>
      <c r="D95" t="s">
        <v>775</v>
      </c>
      <c r="E95" s="465">
        <v>46478</v>
      </c>
      <c r="F95" s="465">
        <v>46487</v>
      </c>
      <c r="G95" t="s">
        <v>784</v>
      </c>
      <c r="H95" t="s">
        <v>241</v>
      </c>
      <c r="I95" t="s">
        <v>802</v>
      </c>
      <c r="J95">
        <v>-1000</v>
      </c>
      <c r="K95">
        <v>-1000</v>
      </c>
      <c r="O95" t="s">
        <v>742</v>
      </c>
      <c r="Q95" t="s">
        <v>815</v>
      </c>
      <c r="R95">
        <v>0</v>
      </c>
    </row>
    <row r="96" spans="1:18" x14ac:dyDescent="0.3">
      <c r="A96">
        <v>241786</v>
      </c>
      <c r="B96" t="s">
        <v>734</v>
      </c>
      <c r="C96" t="s">
        <v>812</v>
      </c>
      <c r="D96" t="s">
        <v>775</v>
      </c>
      <c r="E96" s="465">
        <v>46478</v>
      </c>
      <c r="F96" s="465">
        <v>46522</v>
      </c>
      <c r="G96" t="s">
        <v>792</v>
      </c>
      <c r="H96" t="s">
        <v>793</v>
      </c>
      <c r="I96" t="s">
        <v>810</v>
      </c>
      <c r="J96">
        <v>-2100</v>
      </c>
      <c r="K96">
        <v>-2100</v>
      </c>
      <c r="O96" t="s">
        <v>742</v>
      </c>
      <c r="Q96" t="s">
        <v>815</v>
      </c>
      <c r="R96">
        <v>0</v>
      </c>
    </row>
    <row r="97" spans="1:18" x14ac:dyDescent="0.3">
      <c r="A97">
        <v>237259</v>
      </c>
      <c r="B97" t="s">
        <v>734</v>
      </c>
      <c r="C97" t="s">
        <v>797</v>
      </c>
      <c r="D97" t="s">
        <v>775</v>
      </c>
      <c r="E97" s="465">
        <v>46478</v>
      </c>
      <c r="F97" s="465">
        <v>46487</v>
      </c>
      <c r="G97" t="s">
        <v>784</v>
      </c>
      <c r="H97" t="s">
        <v>798</v>
      </c>
      <c r="J97">
        <v>-100</v>
      </c>
      <c r="K97">
        <v>-100</v>
      </c>
      <c r="O97" t="s">
        <v>742</v>
      </c>
      <c r="Q97" t="s">
        <v>815</v>
      </c>
      <c r="R97">
        <v>0</v>
      </c>
    </row>
    <row r="98" spans="1:18" x14ac:dyDescent="0.3">
      <c r="A98">
        <v>240024</v>
      </c>
      <c r="B98" t="s">
        <v>734</v>
      </c>
      <c r="C98" t="s">
        <v>783</v>
      </c>
      <c r="D98" t="s">
        <v>775</v>
      </c>
      <c r="E98" s="465">
        <v>46478</v>
      </c>
      <c r="F98" s="465">
        <v>46471</v>
      </c>
      <c r="G98" t="s">
        <v>784</v>
      </c>
      <c r="H98" t="s">
        <v>238</v>
      </c>
      <c r="I98" t="s">
        <v>785</v>
      </c>
      <c r="J98">
        <v>-300</v>
      </c>
      <c r="K98">
        <v>-300</v>
      </c>
      <c r="O98" t="s">
        <v>742</v>
      </c>
      <c r="Q98" t="s">
        <v>815</v>
      </c>
      <c r="R98">
        <v>0</v>
      </c>
    </row>
    <row r="99" spans="1:18" x14ac:dyDescent="0.3">
      <c r="A99">
        <v>224326</v>
      </c>
      <c r="B99" t="s">
        <v>734</v>
      </c>
      <c r="C99" t="s">
        <v>814</v>
      </c>
      <c r="D99" t="s">
        <v>775</v>
      </c>
      <c r="E99" s="465">
        <v>46460</v>
      </c>
      <c r="F99" s="465">
        <v>46466</v>
      </c>
      <c r="G99" t="s">
        <v>307</v>
      </c>
      <c r="H99" t="s">
        <v>312</v>
      </c>
      <c r="J99">
        <v>-2200</v>
      </c>
      <c r="K99">
        <v>-2200</v>
      </c>
      <c r="O99" t="s">
        <v>742</v>
      </c>
      <c r="Q99" t="s">
        <v>820</v>
      </c>
      <c r="R99">
        <v>0</v>
      </c>
    </row>
    <row r="100" spans="1:18" x14ac:dyDescent="0.3">
      <c r="A100">
        <v>147613</v>
      </c>
      <c r="B100" t="s">
        <v>734</v>
      </c>
      <c r="C100" t="s">
        <v>735</v>
      </c>
      <c r="E100" s="465">
        <v>46456</v>
      </c>
      <c r="F100" s="465">
        <v>46482</v>
      </c>
      <c r="G100" t="s">
        <v>255</v>
      </c>
      <c r="H100" t="s">
        <v>256</v>
      </c>
      <c r="I100" t="s">
        <v>737</v>
      </c>
      <c r="J100">
        <v>-140000</v>
      </c>
      <c r="K100">
        <v>-140000</v>
      </c>
      <c r="O100" t="s">
        <v>742</v>
      </c>
      <c r="Q100" t="s">
        <v>820</v>
      </c>
      <c r="R100">
        <v>0</v>
      </c>
    </row>
    <row r="101" spans="1:18" x14ac:dyDescent="0.3">
      <c r="A101">
        <v>248879</v>
      </c>
      <c r="B101" t="s">
        <v>734</v>
      </c>
      <c r="C101" t="s">
        <v>791</v>
      </c>
      <c r="D101" t="s">
        <v>775</v>
      </c>
      <c r="E101" s="465">
        <v>46453</v>
      </c>
      <c r="F101" s="465">
        <v>46492</v>
      </c>
      <c r="G101" t="s">
        <v>792</v>
      </c>
      <c r="H101" t="s">
        <v>793</v>
      </c>
      <c r="I101" t="s">
        <v>794</v>
      </c>
      <c r="J101">
        <v>-4500</v>
      </c>
      <c r="K101">
        <v>-4500</v>
      </c>
      <c r="O101" t="s">
        <v>742</v>
      </c>
      <c r="Q101" t="s">
        <v>820</v>
      </c>
      <c r="R101">
        <v>0</v>
      </c>
    </row>
    <row r="102" spans="1:18" x14ac:dyDescent="0.3">
      <c r="A102">
        <v>243374</v>
      </c>
      <c r="B102" t="s">
        <v>734</v>
      </c>
      <c r="C102" t="s">
        <v>786</v>
      </c>
      <c r="D102" t="s">
        <v>775</v>
      </c>
      <c r="E102" s="465">
        <v>46447</v>
      </c>
      <c r="F102" s="465">
        <v>46452</v>
      </c>
      <c r="G102" t="s">
        <v>787</v>
      </c>
      <c r="H102" t="s">
        <v>788</v>
      </c>
      <c r="I102" t="s">
        <v>789</v>
      </c>
      <c r="J102">
        <v>-805.7</v>
      </c>
      <c r="K102">
        <v>-805.7</v>
      </c>
      <c r="O102" t="s">
        <v>742</v>
      </c>
      <c r="Q102" t="s">
        <v>820</v>
      </c>
      <c r="R102">
        <v>0</v>
      </c>
    </row>
    <row r="103" spans="1:18" x14ac:dyDescent="0.3">
      <c r="A103">
        <v>237188</v>
      </c>
      <c r="B103" t="s">
        <v>734</v>
      </c>
      <c r="C103" t="s">
        <v>801</v>
      </c>
      <c r="D103" t="s">
        <v>775</v>
      </c>
      <c r="E103" s="465">
        <v>46447</v>
      </c>
      <c r="F103" s="465">
        <v>46456</v>
      </c>
      <c r="G103" t="s">
        <v>784</v>
      </c>
      <c r="H103" t="s">
        <v>241</v>
      </c>
      <c r="I103" t="s">
        <v>802</v>
      </c>
      <c r="J103">
        <v>-1000</v>
      </c>
      <c r="K103">
        <v>-1000</v>
      </c>
      <c r="O103" t="s">
        <v>742</v>
      </c>
      <c r="Q103" t="s">
        <v>820</v>
      </c>
      <c r="R103">
        <v>0</v>
      </c>
    </row>
    <row r="104" spans="1:18" x14ac:dyDescent="0.3">
      <c r="A104">
        <v>232197</v>
      </c>
      <c r="B104" t="s">
        <v>734</v>
      </c>
      <c r="C104" t="s">
        <v>818</v>
      </c>
      <c r="D104" t="s">
        <v>775</v>
      </c>
      <c r="E104" s="465">
        <v>46447</v>
      </c>
      <c r="F104" s="465">
        <v>46492</v>
      </c>
      <c r="G104" t="s">
        <v>792</v>
      </c>
      <c r="H104" t="s">
        <v>793</v>
      </c>
      <c r="I104" t="s">
        <v>819</v>
      </c>
      <c r="J104">
        <v>-3250</v>
      </c>
      <c r="K104">
        <v>-3250</v>
      </c>
      <c r="O104" t="s">
        <v>742</v>
      </c>
      <c r="Q104" t="s">
        <v>820</v>
      </c>
      <c r="R104">
        <v>0</v>
      </c>
    </row>
    <row r="105" spans="1:18" x14ac:dyDescent="0.3">
      <c r="A105">
        <v>238226</v>
      </c>
      <c r="B105" t="s">
        <v>734</v>
      </c>
      <c r="C105" t="s">
        <v>780</v>
      </c>
      <c r="D105" t="s">
        <v>775</v>
      </c>
      <c r="E105" s="465">
        <v>46447</v>
      </c>
      <c r="F105" s="465">
        <v>46465</v>
      </c>
      <c r="G105" t="s">
        <v>776</v>
      </c>
      <c r="H105" t="s">
        <v>781</v>
      </c>
      <c r="J105">
        <v>-5000</v>
      </c>
      <c r="K105">
        <v>-5000</v>
      </c>
      <c r="O105" t="s">
        <v>742</v>
      </c>
      <c r="Q105" t="s">
        <v>820</v>
      </c>
      <c r="R105">
        <v>0</v>
      </c>
    </row>
    <row r="106" spans="1:18" x14ac:dyDescent="0.3">
      <c r="A106">
        <v>232185</v>
      </c>
      <c r="B106" t="s">
        <v>734</v>
      </c>
      <c r="C106" t="s">
        <v>818</v>
      </c>
      <c r="D106" t="s">
        <v>775</v>
      </c>
      <c r="E106" s="465">
        <v>46447</v>
      </c>
      <c r="F106" s="465">
        <v>46478</v>
      </c>
      <c r="G106" t="s">
        <v>792</v>
      </c>
      <c r="H106" t="s">
        <v>793</v>
      </c>
      <c r="I106" t="s">
        <v>819</v>
      </c>
      <c r="J106">
        <v>-3250</v>
      </c>
      <c r="K106">
        <v>-3250</v>
      </c>
      <c r="O106" t="s">
        <v>742</v>
      </c>
      <c r="Q106" t="s">
        <v>820</v>
      </c>
      <c r="R106">
        <v>0</v>
      </c>
    </row>
    <row r="107" spans="1:18" x14ac:dyDescent="0.3">
      <c r="A107">
        <v>235525</v>
      </c>
      <c r="B107" t="s">
        <v>734</v>
      </c>
      <c r="C107" t="s">
        <v>804</v>
      </c>
      <c r="D107" t="s">
        <v>775</v>
      </c>
      <c r="E107" s="465">
        <v>46447</v>
      </c>
      <c r="F107" s="465">
        <v>46478</v>
      </c>
      <c r="G107" t="s">
        <v>792</v>
      </c>
      <c r="H107" t="s">
        <v>793</v>
      </c>
      <c r="I107" t="s">
        <v>805</v>
      </c>
      <c r="J107">
        <v>-2100</v>
      </c>
      <c r="K107">
        <v>-2100</v>
      </c>
      <c r="O107" t="s">
        <v>742</v>
      </c>
      <c r="Q107" t="s">
        <v>820</v>
      </c>
      <c r="R107">
        <v>0</v>
      </c>
    </row>
    <row r="108" spans="1:18" x14ac:dyDescent="0.3">
      <c r="A108">
        <v>237234</v>
      </c>
      <c r="B108" t="s">
        <v>734</v>
      </c>
      <c r="C108" t="s">
        <v>806</v>
      </c>
      <c r="D108" t="s">
        <v>775</v>
      </c>
      <c r="E108" s="465">
        <v>46447</v>
      </c>
      <c r="F108" s="465">
        <v>46455</v>
      </c>
      <c r="G108" t="s">
        <v>784</v>
      </c>
      <c r="H108" t="s">
        <v>246</v>
      </c>
      <c r="I108" t="s">
        <v>807</v>
      </c>
      <c r="J108">
        <v>-750</v>
      </c>
      <c r="K108">
        <v>-750</v>
      </c>
      <c r="O108" t="s">
        <v>742</v>
      </c>
      <c r="Q108" t="s">
        <v>820</v>
      </c>
      <c r="R108">
        <v>0</v>
      </c>
    </row>
    <row r="109" spans="1:18" x14ac:dyDescent="0.3">
      <c r="A109">
        <v>234167</v>
      </c>
      <c r="B109" t="s">
        <v>734</v>
      </c>
      <c r="C109" t="s">
        <v>795</v>
      </c>
      <c r="D109" t="s">
        <v>775</v>
      </c>
      <c r="E109" s="465">
        <v>46447</v>
      </c>
      <c r="F109" s="465">
        <v>46482</v>
      </c>
      <c r="G109" t="s">
        <v>787</v>
      </c>
      <c r="H109" t="s">
        <v>788</v>
      </c>
      <c r="I109" t="s">
        <v>796</v>
      </c>
      <c r="J109">
        <v>-40000</v>
      </c>
      <c r="K109">
        <v>-40000</v>
      </c>
      <c r="O109" t="s">
        <v>742</v>
      </c>
      <c r="Q109" t="s">
        <v>820</v>
      </c>
      <c r="R109">
        <v>0</v>
      </c>
    </row>
    <row r="110" spans="1:18" x14ac:dyDescent="0.3">
      <c r="A110">
        <v>223766</v>
      </c>
      <c r="B110" t="s">
        <v>734</v>
      </c>
      <c r="C110" t="s">
        <v>821</v>
      </c>
      <c r="D110" t="s">
        <v>775</v>
      </c>
      <c r="E110" s="465">
        <v>46447</v>
      </c>
      <c r="F110" s="465">
        <v>46487</v>
      </c>
      <c r="G110" t="s">
        <v>792</v>
      </c>
      <c r="H110" t="s">
        <v>793</v>
      </c>
      <c r="I110" t="s">
        <v>822</v>
      </c>
      <c r="J110">
        <v>-8000</v>
      </c>
      <c r="K110">
        <v>-8000</v>
      </c>
      <c r="M110" t="s">
        <v>823</v>
      </c>
      <c r="N110" t="s">
        <v>129</v>
      </c>
      <c r="O110" t="s">
        <v>742</v>
      </c>
      <c r="Q110" t="s">
        <v>820</v>
      </c>
      <c r="R110">
        <v>0</v>
      </c>
    </row>
    <row r="111" spans="1:18" x14ac:dyDescent="0.3">
      <c r="A111">
        <v>241761</v>
      </c>
      <c r="B111" t="s">
        <v>734</v>
      </c>
      <c r="C111" t="s">
        <v>808</v>
      </c>
      <c r="D111" t="s">
        <v>775</v>
      </c>
      <c r="E111" s="465">
        <v>46447</v>
      </c>
      <c r="F111" s="465">
        <v>46492</v>
      </c>
      <c r="G111" t="s">
        <v>792</v>
      </c>
      <c r="H111" t="s">
        <v>793</v>
      </c>
      <c r="I111" t="s">
        <v>810</v>
      </c>
      <c r="J111">
        <v>-2100</v>
      </c>
      <c r="K111">
        <v>-2100</v>
      </c>
      <c r="O111" t="s">
        <v>742</v>
      </c>
      <c r="Q111" t="s">
        <v>820</v>
      </c>
      <c r="R111">
        <v>0</v>
      </c>
    </row>
    <row r="112" spans="1:18" x14ac:dyDescent="0.3">
      <c r="A112">
        <v>233316</v>
      </c>
      <c r="B112" t="s">
        <v>734</v>
      </c>
      <c r="C112" t="s">
        <v>783</v>
      </c>
      <c r="D112" t="s">
        <v>775</v>
      </c>
      <c r="E112" s="465">
        <v>46447</v>
      </c>
      <c r="F112" s="465">
        <v>46444</v>
      </c>
      <c r="G112" t="s">
        <v>784</v>
      </c>
      <c r="H112" t="s">
        <v>238</v>
      </c>
      <c r="I112" t="s">
        <v>800</v>
      </c>
      <c r="J112">
        <v>-6000</v>
      </c>
      <c r="K112">
        <v>-6000</v>
      </c>
      <c r="O112" t="s">
        <v>742</v>
      </c>
      <c r="Q112" t="s">
        <v>820</v>
      </c>
      <c r="R112">
        <v>0</v>
      </c>
    </row>
    <row r="113" spans="1:18" x14ac:dyDescent="0.3">
      <c r="A113">
        <v>238210</v>
      </c>
      <c r="B113" t="s">
        <v>734</v>
      </c>
      <c r="C113" t="s">
        <v>427</v>
      </c>
      <c r="D113" t="s">
        <v>775</v>
      </c>
      <c r="E113" s="465">
        <v>46447</v>
      </c>
      <c r="F113" s="465">
        <v>46465</v>
      </c>
      <c r="G113" t="s">
        <v>776</v>
      </c>
      <c r="H113" t="s">
        <v>205</v>
      </c>
      <c r="I113" t="s">
        <v>779</v>
      </c>
      <c r="J113">
        <v>-5000</v>
      </c>
      <c r="K113">
        <v>-5000</v>
      </c>
      <c r="O113" t="s">
        <v>742</v>
      </c>
      <c r="Q113" t="s">
        <v>820</v>
      </c>
      <c r="R113">
        <v>0</v>
      </c>
    </row>
    <row r="114" spans="1:18" x14ac:dyDescent="0.3">
      <c r="A114">
        <v>241749</v>
      </c>
      <c r="B114" t="s">
        <v>734</v>
      </c>
      <c r="C114" t="s">
        <v>808</v>
      </c>
      <c r="D114" t="s">
        <v>775</v>
      </c>
      <c r="E114" s="465">
        <v>46447</v>
      </c>
      <c r="F114" s="465">
        <v>46478</v>
      </c>
      <c r="G114" t="s">
        <v>792</v>
      </c>
      <c r="H114" t="s">
        <v>793</v>
      </c>
      <c r="I114" t="s">
        <v>809</v>
      </c>
      <c r="J114">
        <v>-2100</v>
      </c>
      <c r="K114">
        <v>-2100</v>
      </c>
      <c r="O114" t="s">
        <v>742</v>
      </c>
      <c r="Q114" t="s">
        <v>820</v>
      </c>
      <c r="R114">
        <v>0</v>
      </c>
    </row>
    <row r="115" spans="1:18" x14ac:dyDescent="0.3">
      <c r="A115">
        <v>235545</v>
      </c>
      <c r="B115" t="s">
        <v>734</v>
      </c>
      <c r="C115" t="s">
        <v>804</v>
      </c>
      <c r="D115" t="s">
        <v>775</v>
      </c>
      <c r="E115" s="465">
        <v>46447</v>
      </c>
      <c r="F115" s="465">
        <v>46492</v>
      </c>
      <c r="G115" t="s">
        <v>792</v>
      </c>
      <c r="H115" t="s">
        <v>793</v>
      </c>
      <c r="I115" t="s">
        <v>811</v>
      </c>
      <c r="J115">
        <v>-2100</v>
      </c>
      <c r="K115">
        <v>-2100</v>
      </c>
      <c r="O115" t="s">
        <v>742</v>
      </c>
      <c r="Q115" t="s">
        <v>820</v>
      </c>
      <c r="R115">
        <v>0</v>
      </c>
    </row>
    <row r="116" spans="1:18" x14ac:dyDescent="0.3">
      <c r="A116">
        <v>241773</v>
      </c>
      <c r="B116" t="s">
        <v>734</v>
      </c>
      <c r="C116" t="s">
        <v>812</v>
      </c>
      <c r="D116" t="s">
        <v>775</v>
      </c>
      <c r="E116" s="465">
        <v>46447</v>
      </c>
      <c r="F116" s="465">
        <v>46478</v>
      </c>
      <c r="G116" t="s">
        <v>792</v>
      </c>
      <c r="H116" t="s">
        <v>793</v>
      </c>
      <c r="I116" t="s">
        <v>813</v>
      </c>
      <c r="J116">
        <v>-2100</v>
      </c>
      <c r="K116">
        <v>-2100</v>
      </c>
      <c r="O116" t="s">
        <v>742</v>
      </c>
      <c r="Q116" t="s">
        <v>820</v>
      </c>
      <c r="R116">
        <v>0</v>
      </c>
    </row>
    <row r="117" spans="1:18" x14ac:dyDescent="0.3">
      <c r="A117">
        <v>230541</v>
      </c>
      <c r="B117" t="s">
        <v>734</v>
      </c>
      <c r="C117" t="s">
        <v>824</v>
      </c>
      <c r="D117" t="s">
        <v>775</v>
      </c>
      <c r="E117" s="465">
        <v>46447</v>
      </c>
      <c r="F117" s="465">
        <v>46464</v>
      </c>
      <c r="G117" t="s">
        <v>825</v>
      </c>
      <c r="H117" t="s">
        <v>826</v>
      </c>
      <c r="J117">
        <v>-400</v>
      </c>
      <c r="K117">
        <v>-400</v>
      </c>
      <c r="O117" t="s">
        <v>742</v>
      </c>
      <c r="Q117" t="s">
        <v>820</v>
      </c>
      <c r="R117">
        <v>0</v>
      </c>
    </row>
    <row r="118" spans="1:18" x14ac:dyDescent="0.3">
      <c r="A118">
        <v>230529</v>
      </c>
      <c r="B118" t="s">
        <v>734</v>
      </c>
      <c r="C118" t="s">
        <v>824</v>
      </c>
      <c r="D118" t="s">
        <v>775</v>
      </c>
      <c r="E118" s="465">
        <v>46447</v>
      </c>
      <c r="F118" s="465">
        <v>46464</v>
      </c>
      <c r="G118" t="s">
        <v>825</v>
      </c>
      <c r="H118" t="s">
        <v>826</v>
      </c>
      <c r="J118">
        <v>-700</v>
      </c>
      <c r="K118">
        <v>-700</v>
      </c>
      <c r="O118" t="s">
        <v>742</v>
      </c>
      <c r="Q118" t="s">
        <v>820</v>
      </c>
      <c r="R118">
        <v>0</v>
      </c>
    </row>
    <row r="119" spans="1:18" x14ac:dyDescent="0.3">
      <c r="A119">
        <v>237258</v>
      </c>
      <c r="B119" t="s">
        <v>734</v>
      </c>
      <c r="C119" t="s">
        <v>797</v>
      </c>
      <c r="D119" t="s">
        <v>775</v>
      </c>
      <c r="E119" s="465">
        <v>46447</v>
      </c>
      <c r="F119" s="465">
        <v>46456</v>
      </c>
      <c r="G119" t="s">
        <v>784</v>
      </c>
      <c r="H119" t="s">
        <v>798</v>
      </c>
      <c r="J119">
        <v>-100</v>
      </c>
      <c r="K119">
        <v>-100</v>
      </c>
      <c r="O119" t="s">
        <v>742</v>
      </c>
      <c r="Q119" t="s">
        <v>820</v>
      </c>
      <c r="R119">
        <v>0</v>
      </c>
    </row>
    <row r="120" spans="1:18" x14ac:dyDescent="0.3">
      <c r="A120">
        <v>241785</v>
      </c>
      <c r="B120" t="s">
        <v>734</v>
      </c>
      <c r="C120" t="s">
        <v>812</v>
      </c>
      <c r="D120" t="s">
        <v>775</v>
      </c>
      <c r="E120" s="465">
        <v>46447</v>
      </c>
      <c r="F120" s="465">
        <v>46492</v>
      </c>
      <c r="G120" t="s">
        <v>792</v>
      </c>
      <c r="H120" t="s">
        <v>793</v>
      </c>
      <c r="I120" t="s">
        <v>810</v>
      </c>
      <c r="J120">
        <v>-2100</v>
      </c>
      <c r="K120">
        <v>-2100</v>
      </c>
      <c r="O120" t="s">
        <v>742</v>
      </c>
      <c r="Q120" t="s">
        <v>820</v>
      </c>
      <c r="R120">
        <v>0</v>
      </c>
    </row>
    <row r="121" spans="1:18" x14ac:dyDescent="0.3">
      <c r="A121">
        <v>227307</v>
      </c>
      <c r="B121" t="s">
        <v>734</v>
      </c>
      <c r="C121" t="s">
        <v>827</v>
      </c>
      <c r="D121" t="s">
        <v>775</v>
      </c>
      <c r="E121" s="465">
        <v>46447</v>
      </c>
      <c r="F121" s="465">
        <v>46492</v>
      </c>
      <c r="G121" t="s">
        <v>792</v>
      </c>
      <c r="H121" t="s">
        <v>793</v>
      </c>
      <c r="I121" t="s">
        <v>828</v>
      </c>
      <c r="J121">
        <v>-2000</v>
      </c>
      <c r="K121">
        <v>-2000</v>
      </c>
      <c r="O121" t="s">
        <v>742</v>
      </c>
      <c r="Q121" t="s">
        <v>820</v>
      </c>
      <c r="R121">
        <v>0</v>
      </c>
    </row>
    <row r="122" spans="1:18" x14ac:dyDescent="0.3">
      <c r="A122">
        <v>227295</v>
      </c>
      <c r="B122" t="s">
        <v>734</v>
      </c>
      <c r="C122" t="s">
        <v>827</v>
      </c>
      <c r="D122" t="s">
        <v>775</v>
      </c>
      <c r="E122" s="465">
        <v>46447</v>
      </c>
      <c r="F122" s="465">
        <v>46478</v>
      </c>
      <c r="G122" t="s">
        <v>792</v>
      </c>
      <c r="H122" t="s">
        <v>793</v>
      </c>
      <c r="I122" t="s">
        <v>829</v>
      </c>
      <c r="J122">
        <v>-2000</v>
      </c>
      <c r="K122">
        <v>-2000</v>
      </c>
      <c r="O122" t="s">
        <v>742</v>
      </c>
      <c r="Q122" t="s">
        <v>820</v>
      </c>
      <c r="R122">
        <v>0</v>
      </c>
    </row>
    <row r="123" spans="1:18" x14ac:dyDescent="0.3">
      <c r="A123">
        <v>240023</v>
      </c>
      <c r="B123" t="s">
        <v>734</v>
      </c>
      <c r="C123" t="s">
        <v>783</v>
      </c>
      <c r="D123" t="s">
        <v>775</v>
      </c>
      <c r="E123" s="465">
        <v>46447</v>
      </c>
      <c r="F123" s="465">
        <v>46443</v>
      </c>
      <c r="G123" t="s">
        <v>784</v>
      </c>
      <c r="H123" t="s">
        <v>238</v>
      </c>
      <c r="I123" t="s">
        <v>785</v>
      </c>
      <c r="J123">
        <v>-300</v>
      </c>
      <c r="K123">
        <v>-300</v>
      </c>
      <c r="O123" t="s">
        <v>742</v>
      </c>
      <c r="Q123" t="s">
        <v>820</v>
      </c>
      <c r="R123">
        <v>0</v>
      </c>
    </row>
    <row r="124" spans="1:18" x14ac:dyDescent="0.3">
      <c r="A124">
        <v>238194</v>
      </c>
      <c r="B124" t="s">
        <v>734</v>
      </c>
      <c r="C124" t="s">
        <v>428</v>
      </c>
      <c r="D124" t="s">
        <v>775</v>
      </c>
      <c r="E124" s="465">
        <v>46447</v>
      </c>
      <c r="F124" s="465">
        <v>46438</v>
      </c>
      <c r="G124" t="s">
        <v>776</v>
      </c>
      <c r="H124" t="s">
        <v>210</v>
      </c>
      <c r="I124" t="s">
        <v>777</v>
      </c>
      <c r="J124">
        <v>-34000</v>
      </c>
      <c r="K124">
        <v>-34000</v>
      </c>
      <c r="O124" t="s">
        <v>742</v>
      </c>
      <c r="Q124" t="s">
        <v>820</v>
      </c>
      <c r="R124">
        <v>0</v>
      </c>
    </row>
    <row r="125" spans="1:18" x14ac:dyDescent="0.3">
      <c r="A125">
        <v>233300</v>
      </c>
      <c r="B125" t="s">
        <v>734</v>
      </c>
      <c r="C125" t="s">
        <v>783</v>
      </c>
      <c r="D125" t="s">
        <v>775</v>
      </c>
      <c r="E125" s="465">
        <v>46447</v>
      </c>
      <c r="F125" s="465">
        <v>46443</v>
      </c>
      <c r="G125" t="s">
        <v>784</v>
      </c>
      <c r="H125" t="s">
        <v>238</v>
      </c>
      <c r="I125" t="s">
        <v>803</v>
      </c>
      <c r="J125">
        <v>-5000</v>
      </c>
      <c r="K125">
        <v>-5000</v>
      </c>
      <c r="O125" t="s">
        <v>742</v>
      </c>
      <c r="Q125" t="s">
        <v>820</v>
      </c>
      <c r="R125">
        <v>0</v>
      </c>
    </row>
    <row r="126" spans="1:18" x14ac:dyDescent="0.3">
      <c r="A126">
        <v>232270</v>
      </c>
      <c r="B126" t="s">
        <v>734</v>
      </c>
      <c r="C126" t="s">
        <v>816</v>
      </c>
      <c r="D126" t="s">
        <v>775</v>
      </c>
      <c r="E126" s="465">
        <v>46447</v>
      </c>
      <c r="F126" s="465">
        <v>46492</v>
      </c>
      <c r="G126" t="s">
        <v>792</v>
      </c>
      <c r="H126" t="s">
        <v>793</v>
      </c>
      <c r="I126" t="s">
        <v>817</v>
      </c>
      <c r="J126">
        <v>-2000</v>
      </c>
      <c r="K126">
        <v>-2000</v>
      </c>
      <c r="O126" t="s">
        <v>742</v>
      </c>
      <c r="Q126" t="s">
        <v>820</v>
      </c>
      <c r="R126">
        <v>0</v>
      </c>
    </row>
    <row r="127" spans="1:18" x14ac:dyDescent="0.3">
      <c r="A127">
        <v>232258</v>
      </c>
      <c r="B127" t="s">
        <v>734</v>
      </c>
      <c r="C127" t="s">
        <v>816</v>
      </c>
      <c r="D127" t="s">
        <v>775</v>
      </c>
      <c r="E127" s="465">
        <v>46447</v>
      </c>
      <c r="F127" s="465">
        <v>46478</v>
      </c>
      <c r="G127" t="s">
        <v>792</v>
      </c>
      <c r="H127" t="s">
        <v>793</v>
      </c>
      <c r="I127" t="s">
        <v>817</v>
      </c>
      <c r="J127">
        <v>-2000</v>
      </c>
      <c r="K127">
        <v>-2000</v>
      </c>
      <c r="O127" t="s">
        <v>742</v>
      </c>
      <c r="Q127" t="s">
        <v>820</v>
      </c>
      <c r="R127">
        <v>0</v>
      </c>
    </row>
    <row r="128" spans="1:18" x14ac:dyDescent="0.3">
      <c r="A128">
        <v>228290</v>
      </c>
      <c r="B128" t="s">
        <v>734</v>
      </c>
      <c r="C128" t="s">
        <v>830</v>
      </c>
      <c r="D128" t="s">
        <v>775</v>
      </c>
      <c r="E128" s="465">
        <v>46446</v>
      </c>
      <c r="F128" s="465">
        <v>46450</v>
      </c>
      <c r="G128" t="s">
        <v>263</v>
      </c>
      <c r="H128" t="s">
        <v>265</v>
      </c>
      <c r="J128">
        <v>-1500</v>
      </c>
      <c r="K128">
        <v>-1500</v>
      </c>
      <c r="O128" t="s">
        <v>742</v>
      </c>
      <c r="Q128" t="s">
        <v>831</v>
      </c>
      <c r="R128">
        <v>0</v>
      </c>
    </row>
    <row r="129" spans="1:18" x14ac:dyDescent="0.3">
      <c r="A129">
        <v>231983</v>
      </c>
      <c r="B129" t="s">
        <v>734</v>
      </c>
      <c r="C129" t="s">
        <v>832</v>
      </c>
      <c r="D129" t="s">
        <v>775</v>
      </c>
      <c r="E129" s="465">
        <v>46446</v>
      </c>
      <c r="F129" s="465">
        <v>46458</v>
      </c>
      <c r="G129" t="s">
        <v>295</v>
      </c>
      <c r="H129" t="s">
        <v>297</v>
      </c>
      <c r="J129">
        <v>-1000</v>
      </c>
      <c r="K129">
        <v>-1000</v>
      </c>
      <c r="O129" t="s">
        <v>742</v>
      </c>
      <c r="Q129" t="s">
        <v>831</v>
      </c>
      <c r="R129">
        <v>0</v>
      </c>
    </row>
    <row r="130" spans="1:18" x14ac:dyDescent="0.3">
      <c r="A130">
        <v>224325</v>
      </c>
      <c r="B130" t="s">
        <v>734</v>
      </c>
      <c r="C130" t="s">
        <v>814</v>
      </c>
      <c r="D130" t="s">
        <v>775</v>
      </c>
      <c r="E130" s="465">
        <v>46432</v>
      </c>
      <c r="F130" s="465">
        <v>46438</v>
      </c>
      <c r="G130" t="s">
        <v>307</v>
      </c>
      <c r="H130" t="s">
        <v>312</v>
      </c>
      <c r="J130">
        <v>-2200</v>
      </c>
      <c r="K130">
        <v>-2200</v>
      </c>
      <c r="O130" t="s">
        <v>742</v>
      </c>
      <c r="Q130" t="s">
        <v>831</v>
      </c>
      <c r="R130">
        <v>0</v>
      </c>
    </row>
    <row r="131" spans="1:18" x14ac:dyDescent="0.3">
      <c r="A131">
        <v>147612</v>
      </c>
      <c r="B131" t="s">
        <v>734</v>
      </c>
      <c r="C131" t="s">
        <v>735</v>
      </c>
      <c r="E131" s="465">
        <v>46428</v>
      </c>
      <c r="F131" s="465">
        <v>46451</v>
      </c>
      <c r="G131" t="s">
        <v>255</v>
      </c>
      <c r="H131" t="s">
        <v>256</v>
      </c>
      <c r="I131" t="s">
        <v>737</v>
      </c>
      <c r="J131">
        <v>-140000</v>
      </c>
      <c r="K131">
        <v>-140000</v>
      </c>
      <c r="O131" t="s">
        <v>742</v>
      </c>
      <c r="Q131" t="s">
        <v>831</v>
      </c>
      <c r="R131">
        <v>0</v>
      </c>
    </row>
    <row r="132" spans="1:18" x14ac:dyDescent="0.3">
      <c r="A132">
        <v>248878</v>
      </c>
      <c r="B132" t="s">
        <v>734</v>
      </c>
      <c r="C132" t="s">
        <v>791</v>
      </c>
      <c r="D132" t="s">
        <v>775</v>
      </c>
      <c r="E132" s="465">
        <v>46425</v>
      </c>
      <c r="F132" s="465">
        <v>46461</v>
      </c>
      <c r="G132" t="s">
        <v>792</v>
      </c>
      <c r="H132" t="s">
        <v>793</v>
      </c>
      <c r="I132" t="s">
        <v>794</v>
      </c>
      <c r="J132">
        <v>-4500</v>
      </c>
      <c r="K132">
        <v>-4500</v>
      </c>
      <c r="O132" t="s">
        <v>742</v>
      </c>
      <c r="Q132" t="s">
        <v>831</v>
      </c>
      <c r="R132">
        <v>0</v>
      </c>
    </row>
    <row r="133" spans="1:18" x14ac:dyDescent="0.3">
      <c r="A133">
        <v>238193</v>
      </c>
      <c r="B133" t="s">
        <v>734</v>
      </c>
      <c r="C133" t="s">
        <v>428</v>
      </c>
      <c r="D133" t="s">
        <v>775</v>
      </c>
      <c r="E133" s="465">
        <v>46419</v>
      </c>
      <c r="F133" s="465">
        <v>46407</v>
      </c>
      <c r="G133" t="s">
        <v>776</v>
      </c>
      <c r="H133" t="s">
        <v>210</v>
      </c>
      <c r="I133" t="s">
        <v>777</v>
      </c>
      <c r="J133">
        <v>-34000</v>
      </c>
      <c r="K133">
        <v>-34000</v>
      </c>
      <c r="O133" t="s">
        <v>742</v>
      </c>
      <c r="Q133" t="s">
        <v>831</v>
      </c>
      <c r="R133">
        <v>0</v>
      </c>
    </row>
    <row r="134" spans="1:18" x14ac:dyDescent="0.3">
      <c r="A134">
        <v>238209</v>
      </c>
      <c r="B134" t="s">
        <v>734</v>
      </c>
      <c r="C134" t="s">
        <v>427</v>
      </c>
      <c r="D134" t="s">
        <v>775</v>
      </c>
      <c r="E134" s="465">
        <v>46419</v>
      </c>
      <c r="F134" s="465">
        <v>46437</v>
      </c>
      <c r="G134" t="s">
        <v>776</v>
      </c>
      <c r="H134" t="s">
        <v>205</v>
      </c>
      <c r="I134" t="s">
        <v>779</v>
      </c>
      <c r="J134">
        <v>-5000</v>
      </c>
      <c r="K134">
        <v>-5000</v>
      </c>
      <c r="O134" t="s">
        <v>742</v>
      </c>
      <c r="Q134" t="s">
        <v>831</v>
      </c>
      <c r="R134">
        <v>0</v>
      </c>
    </row>
    <row r="135" spans="1:18" x14ac:dyDescent="0.3">
      <c r="A135">
        <v>241772</v>
      </c>
      <c r="B135" t="s">
        <v>734</v>
      </c>
      <c r="C135" t="s">
        <v>812</v>
      </c>
      <c r="D135" t="s">
        <v>775</v>
      </c>
      <c r="E135" s="465">
        <v>46419</v>
      </c>
      <c r="F135" s="465">
        <v>46447</v>
      </c>
      <c r="G135" t="s">
        <v>792</v>
      </c>
      <c r="H135" t="s">
        <v>793</v>
      </c>
      <c r="I135" t="s">
        <v>813</v>
      </c>
      <c r="J135">
        <v>-2100</v>
      </c>
      <c r="K135">
        <v>-2100</v>
      </c>
      <c r="O135" t="s">
        <v>742</v>
      </c>
      <c r="Q135" t="s">
        <v>831</v>
      </c>
      <c r="R135">
        <v>0</v>
      </c>
    </row>
    <row r="136" spans="1:18" x14ac:dyDescent="0.3">
      <c r="A136">
        <v>243373</v>
      </c>
      <c r="B136" t="s">
        <v>734</v>
      </c>
      <c r="C136" t="s">
        <v>786</v>
      </c>
      <c r="D136" t="s">
        <v>775</v>
      </c>
      <c r="E136" s="465">
        <v>46419</v>
      </c>
      <c r="F136" s="465">
        <v>46424</v>
      </c>
      <c r="G136" t="s">
        <v>787</v>
      </c>
      <c r="H136" t="s">
        <v>788</v>
      </c>
      <c r="I136" t="s">
        <v>789</v>
      </c>
      <c r="J136">
        <v>-805.7</v>
      </c>
      <c r="K136">
        <v>-805.7</v>
      </c>
      <c r="O136" t="s">
        <v>742</v>
      </c>
      <c r="Q136" t="s">
        <v>831</v>
      </c>
      <c r="R136">
        <v>0</v>
      </c>
    </row>
    <row r="137" spans="1:18" x14ac:dyDescent="0.3">
      <c r="A137">
        <v>230528</v>
      </c>
      <c r="B137" t="s">
        <v>734</v>
      </c>
      <c r="C137" t="s">
        <v>824</v>
      </c>
      <c r="D137" t="s">
        <v>775</v>
      </c>
      <c r="E137" s="465">
        <v>46419</v>
      </c>
      <c r="F137" s="465">
        <v>46436</v>
      </c>
      <c r="G137" t="s">
        <v>825</v>
      </c>
      <c r="H137" t="s">
        <v>826</v>
      </c>
      <c r="J137">
        <v>-700</v>
      </c>
      <c r="K137">
        <v>-700</v>
      </c>
      <c r="O137" t="s">
        <v>742</v>
      </c>
      <c r="Q137" t="s">
        <v>831</v>
      </c>
      <c r="R137">
        <v>0</v>
      </c>
    </row>
    <row r="138" spans="1:18" x14ac:dyDescent="0.3">
      <c r="A138">
        <v>241760</v>
      </c>
      <c r="B138" t="s">
        <v>734</v>
      </c>
      <c r="C138" t="s">
        <v>808</v>
      </c>
      <c r="D138" t="s">
        <v>775</v>
      </c>
      <c r="E138" s="465">
        <v>46419</v>
      </c>
      <c r="F138" s="465">
        <v>46461</v>
      </c>
      <c r="G138" t="s">
        <v>792</v>
      </c>
      <c r="H138" t="s">
        <v>793</v>
      </c>
      <c r="I138" t="s">
        <v>810</v>
      </c>
      <c r="J138">
        <v>-2100</v>
      </c>
      <c r="K138">
        <v>-2100</v>
      </c>
      <c r="O138" t="s">
        <v>742</v>
      </c>
      <c r="Q138" t="s">
        <v>831</v>
      </c>
      <c r="R138">
        <v>0</v>
      </c>
    </row>
    <row r="139" spans="1:18" x14ac:dyDescent="0.3">
      <c r="A139">
        <v>233315</v>
      </c>
      <c r="B139" t="s">
        <v>734</v>
      </c>
      <c r="C139" t="s">
        <v>783</v>
      </c>
      <c r="D139" t="s">
        <v>775</v>
      </c>
      <c r="E139" s="465">
        <v>46419</v>
      </c>
      <c r="F139" s="465">
        <v>46413</v>
      </c>
      <c r="G139" t="s">
        <v>784</v>
      </c>
      <c r="H139" t="s">
        <v>238</v>
      </c>
      <c r="I139" t="s">
        <v>800</v>
      </c>
      <c r="J139">
        <v>-6000</v>
      </c>
      <c r="K139">
        <v>-6000</v>
      </c>
      <c r="O139" t="s">
        <v>742</v>
      </c>
      <c r="Q139" t="s">
        <v>831</v>
      </c>
      <c r="R139">
        <v>0</v>
      </c>
    </row>
    <row r="140" spans="1:18" x14ac:dyDescent="0.3">
      <c r="A140">
        <v>223765</v>
      </c>
      <c r="B140" t="s">
        <v>734</v>
      </c>
      <c r="C140" t="s">
        <v>821</v>
      </c>
      <c r="D140" t="s">
        <v>775</v>
      </c>
      <c r="E140" s="465">
        <v>46419</v>
      </c>
      <c r="F140" s="465">
        <v>46456</v>
      </c>
      <c r="G140" t="s">
        <v>792</v>
      </c>
      <c r="H140" t="s">
        <v>793</v>
      </c>
      <c r="I140" t="s">
        <v>822</v>
      </c>
      <c r="J140">
        <v>-8000</v>
      </c>
      <c r="K140">
        <v>-8000</v>
      </c>
      <c r="M140" t="s">
        <v>823</v>
      </c>
      <c r="N140" t="s">
        <v>129</v>
      </c>
      <c r="O140" t="s">
        <v>742</v>
      </c>
      <c r="Q140" t="s">
        <v>831</v>
      </c>
      <c r="R140">
        <v>0</v>
      </c>
    </row>
    <row r="141" spans="1:18" x14ac:dyDescent="0.3">
      <c r="A141">
        <v>241748</v>
      </c>
      <c r="B141" t="s">
        <v>734</v>
      </c>
      <c r="C141" t="s">
        <v>808</v>
      </c>
      <c r="D141" t="s">
        <v>775</v>
      </c>
      <c r="E141" s="465">
        <v>46419</v>
      </c>
      <c r="F141" s="465">
        <v>46447</v>
      </c>
      <c r="G141" t="s">
        <v>792</v>
      </c>
      <c r="H141" t="s">
        <v>793</v>
      </c>
      <c r="I141" t="s">
        <v>809</v>
      </c>
      <c r="J141">
        <v>-2100</v>
      </c>
      <c r="K141">
        <v>-2100</v>
      </c>
      <c r="O141" t="s">
        <v>742</v>
      </c>
      <c r="Q141" t="s">
        <v>831</v>
      </c>
      <c r="R141">
        <v>0</v>
      </c>
    </row>
    <row r="142" spans="1:18" x14ac:dyDescent="0.3">
      <c r="A142">
        <v>230540</v>
      </c>
      <c r="B142" t="s">
        <v>734</v>
      </c>
      <c r="C142" t="s">
        <v>824</v>
      </c>
      <c r="D142" t="s">
        <v>775</v>
      </c>
      <c r="E142" s="465">
        <v>46419</v>
      </c>
      <c r="F142" s="465">
        <v>46436</v>
      </c>
      <c r="G142" t="s">
        <v>825</v>
      </c>
      <c r="H142" t="s">
        <v>826</v>
      </c>
      <c r="J142">
        <v>-400</v>
      </c>
      <c r="K142">
        <v>-400</v>
      </c>
      <c r="O142" t="s">
        <v>742</v>
      </c>
      <c r="Q142" t="s">
        <v>831</v>
      </c>
      <c r="R142">
        <v>0</v>
      </c>
    </row>
    <row r="143" spans="1:18" x14ac:dyDescent="0.3">
      <c r="A143">
        <v>235544</v>
      </c>
      <c r="B143" t="s">
        <v>734</v>
      </c>
      <c r="C143" t="s">
        <v>804</v>
      </c>
      <c r="D143" t="s">
        <v>775</v>
      </c>
      <c r="E143" s="465">
        <v>46419</v>
      </c>
      <c r="F143" s="465">
        <v>46461</v>
      </c>
      <c r="G143" t="s">
        <v>792</v>
      </c>
      <c r="H143" t="s">
        <v>793</v>
      </c>
      <c r="I143" t="s">
        <v>811</v>
      </c>
      <c r="J143">
        <v>-2100</v>
      </c>
      <c r="K143">
        <v>-2100</v>
      </c>
      <c r="O143" t="s">
        <v>742</v>
      </c>
      <c r="Q143" t="s">
        <v>831</v>
      </c>
      <c r="R143">
        <v>0</v>
      </c>
    </row>
    <row r="144" spans="1:18" x14ac:dyDescent="0.3">
      <c r="A144">
        <v>238225</v>
      </c>
      <c r="B144" t="s">
        <v>734</v>
      </c>
      <c r="C144" t="s">
        <v>780</v>
      </c>
      <c r="D144" t="s">
        <v>775</v>
      </c>
      <c r="E144" s="465">
        <v>46419</v>
      </c>
      <c r="F144" s="465">
        <v>46437</v>
      </c>
      <c r="G144" t="s">
        <v>776</v>
      </c>
      <c r="H144" t="s">
        <v>781</v>
      </c>
      <c r="J144">
        <v>-5000</v>
      </c>
      <c r="K144">
        <v>-5000</v>
      </c>
      <c r="O144" t="s">
        <v>742</v>
      </c>
      <c r="Q144" t="s">
        <v>831</v>
      </c>
      <c r="R144">
        <v>0</v>
      </c>
    </row>
    <row r="145" spans="1:18" x14ac:dyDescent="0.3">
      <c r="A145">
        <v>237257</v>
      </c>
      <c r="B145" t="s">
        <v>734</v>
      </c>
      <c r="C145" t="s">
        <v>797</v>
      </c>
      <c r="D145" t="s">
        <v>775</v>
      </c>
      <c r="E145" s="465">
        <v>46419</v>
      </c>
      <c r="F145" s="465">
        <v>46428</v>
      </c>
      <c r="G145" t="s">
        <v>784</v>
      </c>
      <c r="H145" t="s">
        <v>798</v>
      </c>
      <c r="J145">
        <v>-100</v>
      </c>
      <c r="K145">
        <v>-100</v>
      </c>
      <c r="O145" t="s">
        <v>742</v>
      </c>
      <c r="Q145" t="s">
        <v>831</v>
      </c>
      <c r="R145">
        <v>0</v>
      </c>
    </row>
    <row r="146" spans="1:18" x14ac:dyDescent="0.3">
      <c r="A146">
        <v>232269</v>
      </c>
      <c r="B146" t="s">
        <v>734</v>
      </c>
      <c r="C146" t="s">
        <v>816</v>
      </c>
      <c r="D146" t="s">
        <v>775</v>
      </c>
      <c r="E146" s="465">
        <v>46419</v>
      </c>
      <c r="F146" s="465">
        <v>46461</v>
      </c>
      <c r="G146" t="s">
        <v>792</v>
      </c>
      <c r="H146" t="s">
        <v>793</v>
      </c>
      <c r="I146" t="s">
        <v>817</v>
      </c>
      <c r="J146">
        <v>-2000</v>
      </c>
      <c r="K146">
        <v>-2000</v>
      </c>
      <c r="O146" t="s">
        <v>742</v>
      </c>
      <c r="Q146" t="s">
        <v>831</v>
      </c>
      <c r="R146">
        <v>0</v>
      </c>
    </row>
    <row r="147" spans="1:18" x14ac:dyDescent="0.3">
      <c r="A147">
        <v>241784</v>
      </c>
      <c r="B147" t="s">
        <v>734</v>
      </c>
      <c r="C147" t="s">
        <v>812</v>
      </c>
      <c r="D147" t="s">
        <v>775</v>
      </c>
      <c r="E147" s="465">
        <v>46419</v>
      </c>
      <c r="F147" s="465">
        <v>46461</v>
      </c>
      <c r="G147" t="s">
        <v>792</v>
      </c>
      <c r="H147" t="s">
        <v>793</v>
      </c>
      <c r="I147" t="s">
        <v>810</v>
      </c>
      <c r="J147">
        <v>-2100</v>
      </c>
      <c r="K147">
        <v>-2100</v>
      </c>
      <c r="O147" t="s">
        <v>742</v>
      </c>
      <c r="Q147" t="s">
        <v>831</v>
      </c>
      <c r="R147">
        <v>0</v>
      </c>
    </row>
    <row r="148" spans="1:18" x14ac:dyDescent="0.3">
      <c r="A148">
        <v>240022</v>
      </c>
      <c r="B148" t="s">
        <v>734</v>
      </c>
      <c r="C148" t="s">
        <v>783</v>
      </c>
      <c r="D148" t="s">
        <v>775</v>
      </c>
      <c r="E148" s="465">
        <v>46419</v>
      </c>
      <c r="F148" s="465">
        <v>46412</v>
      </c>
      <c r="G148" t="s">
        <v>784</v>
      </c>
      <c r="H148" t="s">
        <v>238</v>
      </c>
      <c r="I148" t="s">
        <v>785</v>
      </c>
      <c r="J148">
        <v>-300</v>
      </c>
      <c r="K148">
        <v>-300</v>
      </c>
      <c r="O148" t="s">
        <v>742</v>
      </c>
      <c r="Q148" t="s">
        <v>831</v>
      </c>
      <c r="R148">
        <v>0</v>
      </c>
    </row>
    <row r="149" spans="1:18" x14ac:dyDescent="0.3">
      <c r="A149">
        <v>227306</v>
      </c>
      <c r="B149" t="s">
        <v>734</v>
      </c>
      <c r="C149" t="s">
        <v>827</v>
      </c>
      <c r="D149" t="s">
        <v>775</v>
      </c>
      <c r="E149" s="465">
        <v>46419</v>
      </c>
      <c r="F149" s="465">
        <v>46461</v>
      </c>
      <c r="G149" t="s">
        <v>792</v>
      </c>
      <c r="H149" t="s">
        <v>793</v>
      </c>
      <c r="I149" t="s">
        <v>828</v>
      </c>
      <c r="J149">
        <v>-2000</v>
      </c>
      <c r="K149">
        <v>-2000</v>
      </c>
      <c r="O149" t="s">
        <v>742</v>
      </c>
      <c r="Q149" t="s">
        <v>831</v>
      </c>
      <c r="R149">
        <v>0</v>
      </c>
    </row>
    <row r="150" spans="1:18" x14ac:dyDescent="0.3">
      <c r="A150">
        <v>227294</v>
      </c>
      <c r="B150" t="s">
        <v>734</v>
      </c>
      <c r="C150" t="s">
        <v>827</v>
      </c>
      <c r="D150" t="s">
        <v>775</v>
      </c>
      <c r="E150" s="465">
        <v>46419</v>
      </c>
      <c r="F150" s="465">
        <v>46447</v>
      </c>
      <c r="G150" t="s">
        <v>792</v>
      </c>
      <c r="H150" t="s">
        <v>793</v>
      </c>
      <c r="I150" t="s">
        <v>829</v>
      </c>
      <c r="J150">
        <v>-2000</v>
      </c>
      <c r="K150">
        <v>-2000</v>
      </c>
      <c r="O150" t="s">
        <v>742</v>
      </c>
      <c r="Q150" t="s">
        <v>831</v>
      </c>
      <c r="R150">
        <v>0</v>
      </c>
    </row>
    <row r="151" spans="1:18" x14ac:dyDescent="0.3">
      <c r="A151">
        <v>233299</v>
      </c>
      <c r="B151" t="s">
        <v>734</v>
      </c>
      <c r="C151" t="s">
        <v>783</v>
      </c>
      <c r="D151" t="s">
        <v>775</v>
      </c>
      <c r="E151" s="465">
        <v>46419</v>
      </c>
      <c r="F151" s="465">
        <v>46412</v>
      </c>
      <c r="G151" t="s">
        <v>784</v>
      </c>
      <c r="H151" t="s">
        <v>238</v>
      </c>
      <c r="I151" t="s">
        <v>803</v>
      </c>
      <c r="J151">
        <v>-5000</v>
      </c>
      <c r="K151">
        <v>-5000</v>
      </c>
      <c r="O151" t="s">
        <v>742</v>
      </c>
      <c r="Q151" t="s">
        <v>831</v>
      </c>
      <c r="R151">
        <v>0</v>
      </c>
    </row>
    <row r="152" spans="1:18" x14ac:dyDescent="0.3">
      <c r="A152">
        <v>237233</v>
      </c>
      <c r="B152" t="s">
        <v>734</v>
      </c>
      <c r="C152" t="s">
        <v>806</v>
      </c>
      <c r="D152" t="s">
        <v>775</v>
      </c>
      <c r="E152" s="465">
        <v>46419</v>
      </c>
      <c r="F152" s="465">
        <v>46427</v>
      </c>
      <c r="G152" t="s">
        <v>784</v>
      </c>
      <c r="H152" t="s">
        <v>246</v>
      </c>
      <c r="I152" t="s">
        <v>807</v>
      </c>
      <c r="J152">
        <v>-750</v>
      </c>
      <c r="K152">
        <v>-750</v>
      </c>
      <c r="O152" t="s">
        <v>742</v>
      </c>
      <c r="Q152" t="s">
        <v>831</v>
      </c>
      <c r="R152">
        <v>0</v>
      </c>
    </row>
    <row r="153" spans="1:18" x14ac:dyDescent="0.3">
      <c r="A153">
        <v>235524</v>
      </c>
      <c r="B153" t="s">
        <v>734</v>
      </c>
      <c r="C153" t="s">
        <v>804</v>
      </c>
      <c r="D153" t="s">
        <v>775</v>
      </c>
      <c r="E153" s="465">
        <v>46419</v>
      </c>
      <c r="F153" s="465">
        <v>46447</v>
      </c>
      <c r="G153" t="s">
        <v>792</v>
      </c>
      <c r="H153" t="s">
        <v>793</v>
      </c>
      <c r="I153" t="s">
        <v>805</v>
      </c>
      <c r="J153">
        <v>-2100</v>
      </c>
      <c r="K153">
        <v>-2100</v>
      </c>
      <c r="O153" t="s">
        <v>742</v>
      </c>
      <c r="Q153" t="s">
        <v>831</v>
      </c>
      <c r="R153">
        <v>0</v>
      </c>
    </row>
    <row r="154" spans="1:18" x14ac:dyDescent="0.3">
      <c r="A154">
        <v>232196</v>
      </c>
      <c r="B154" t="s">
        <v>734</v>
      </c>
      <c r="C154" t="s">
        <v>818</v>
      </c>
      <c r="D154" t="s">
        <v>775</v>
      </c>
      <c r="E154" s="465">
        <v>46419</v>
      </c>
      <c r="F154" s="465">
        <v>46461</v>
      </c>
      <c r="G154" t="s">
        <v>792</v>
      </c>
      <c r="H154" t="s">
        <v>793</v>
      </c>
      <c r="I154" t="s">
        <v>819</v>
      </c>
      <c r="J154">
        <v>-3250</v>
      </c>
      <c r="K154">
        <v>-3250</v>
      </c>
      <c r="O154" t="s">
        <v>742</v>
      </c>
      <c r="Q154" t="s">
        <v>831</v>
      </c>
      <c r="R154">
        <v>0</v>
      </c>
    </row>
    <row r="155" spans="1:18" x14ac:dyDescent="0.3">
      <c r="A155">
        <v>234166</v>
      </c>
      <c r="B155" t="s">
        <v>734</v>
      </c>
      <c r="C155" t="s">
        <v>795</v>
      </c>
      <c r="D155" t="s">
        <v>775</v>
      </c>
      <c r="E155" s="465">
        <v>46419</v>
      </c>
      <c r="F155" s="465">
        <v>46451</v>
      </c>
      <c r="G155" t="s">
        <v>787</v>
      </c>
      <c r="H155" t="s">
        <v>788</v>
      </c>
      <c r="I155" t="s">
        <v>796</v>
      </c>
      <c r="J155">
        <v>-40000</v>
      </c>
      <c r="K155">
        <v>-40000</v>
      </c>
      <c r="O155" t="s">
        <v>742</v>
      </c>
      <c r="Q155" t="s">
        <v>831</v>
      </c>
      <c r="R155">
        <v>0</v>
      </c>
    </row>
    <row r="156" spans="1:18" x14ac:dyDescent="0.3">
      <c r="A156">
        <v>237187</v>
      </c>
      <c r="B156" t="s">
        <v>734</v>
      </c>
      <c r="C156" t="s">
        <v>801</v>
      </c>
      <c r="D156" t="s">
        <v>775</v>
      </c>
      <c r="E156" s="465">
        <v>46419</v>
      </c>
      <c r="F156" s="465">
        <v>46428</v>
      </c>
      <c r="G156" t="s">
        <v>784</v>
      </c>
      <c r="H156" t="s">
        <v>241</v>
      </c>
      <c r="I156" t="s">
        <v>802</v>
      </c>
      <c r="J156">
        <v>-1000</v>
      </c>
      <c r="K156">
        <v>-1000</v>
      </c>
      <c r="O156" t="s">
        <v>742</v>
      </c>
      <c r="Q156" t="s">
        <v>831</v>
      </c>
      <c r="R156">
        <v>0</v>
      </c>
    </row>
    <row r="157" spans="1:18" x14ac:dyDescent="0.3">
      <c r="A157">
        <v>232257</v>
      </c>
      <c r="B157" t="s">
        <v>734</v>
      </c>
      <c r="C157" t="s">
        <v>816</v>
      </c>
      <c r="D157" t="s">
        <v>775</v>
      </c>
      <c r="E157" s="465">
        <v>46419</v>
      </c>
      <c r="F157" s="465">
        <v>46447</v>
      </c>
      <c r="G157" t="s">
        <v>792</v>
      </c>
      <c r="H157" t="s">
        <v>793</v>
      </c>
      <c r="I157" t="s">
        <v>817</v>
      </c>
      <c r="J157">
        <v>-2000</v>
      </c>
      <c r="K157">
        <v>-2000</v>
      </c>
      <c r="O157" t="s">
        <v>742</v>
      </c>
      <c r="Q157" t="s">
        <v>831</v>
      </c>
      <c r="R157">
        <v>0</v>
      </c>
    </row>
    <row r="158" spans="1:18" x14ac:dyDescent="0.3">
      <c r="A158">
        <v>232184</v>
      </c>
      <c r="B158" t="s">
        <v>734</v>
      </c>
      <c r="C158" t="s">
        <v>818</v>
      </c>
      <c r="D158" t="s">
        <v>775</v>
      </c>
      <c r="E158" s="465">
        <v>46419</v>
      </c>
      <c r="F158" s="465">
        <v>46447</v>
      </c>
      <c r="G158" t="s">
        <v>792</v>
      </c>
      <c r="H158" t="s">
        <v>793</v>
      </c>
      <c r="I158" t="s">
        <v>819</v>
      </c>
      <c r="J158">
        <v>-3250</v>
      </c>
      <c r="K158">
        <v>-3250</v>
      </c>
      <c r="O158" t="s">
        <v>742</v>
      </c>
      <c r="Q158" t="s">
        <v>831</v>
      </c>
      <c r="R158">
        <v>0</v>
      </c>
    </row>
    <row r="159" spans="1:18" x14ac:dyDescent="0.3">
      <c r="A159">
        <v>249043</v>
      </c>
      <c r="B159" t="s">
        <v>734</v>
      </c>
      <c r="C159" t="s">
        <v>428</v>
      </c>
      <c r="D159" t="s">
        <v>775</v>
      </c>
      <c r="E159" s="465">
        <v>46417</v>
      </c>
      <c r="F159" s="465">
        <v>46438</v>
      </c>
      <c r="G159" t="s">
        <v>833</v>
      </c>
      <c r="H159" t="s">
        <v>348</v>
      </c>
      <c r="J159">
        <v>-5000</v>
      </c>
      <c r="K159">
        <v>-5000</v>
      </c>
      <c r="O159" t="s">
        <v>742</v>
      </c>
      <c r="Q159" t="s">
        <v>834</v>
      </c>
      <c r="R159">
        <v>0</v>
      </c>
    </row>
    <row r="160" spans="1:18" x14ac:dyDescent="0.3">
      <c r="A160">
        <v>228289</v>
      </c>
      <c r="B160" t="s">
        <v>734</v>
      </c>
      <c r="C160" t="s">
        <v>830</v>
      </c>
      <c r="D160" t="s">
        <v>775</v>
      </c>
      <c r="E160" s="465">
        <v>46417</v>
      </c>
      <c r="F160" s="465">
        <v>46422</v>
      </c>
      <c r="G160" t="s">
        <v>263</v>
      </c>
      <c r="H160" t="s">
        <v>265</v>
      </c>
      <c r="J160">
        <v>-1500</v>
      </c>
      <c r="K160">
        <v>-1500</v>
      </c>
      <c r="O160" t="s">
        <v>742</v>
      </c>
      <c r="Q160" t="s">
        <v>834</v>
      </c>
      <c r="R160">
        <v>0</v>
      </c>
    </row>
    <row r="161" spans="1:18" x14ac:dyDescent="0.3">
      <c r="A161">
        <v>231982</v>
      </c>
      <c r="B161" t="s">
        <v>734</v>
      </c>
      <c r="C161" t="s">
        <v>832</v>
      </c>
      <c r="D161" t="s">
        <v>775</v>
      </c>
      <c r="E161" s="465">
        <v>46417</v>
      </c>
      <c r="F161" s="465">
        <v>46430</v>
      </c>
      <c r="G161" t="s">
        <v>295</v>
      </c>
      <c r="H161" t="s">
        <v>297</v>
      </c>
      <c r="J161">
        <v>-1000</v>
      </c>
      <c r="K161">
        <v>-1000</v>
      </c>
      <c r="O161" t="s">
        <v>742</v>
      </c>
      <c r="Q161" t="s">
        <v>834</v>
      </c>
      <c r="R161">
        <v>0</v>
      </c>
    </row>
    <row r="162" spans="1:18" x14ac:dyDescent="0.3">
      <c r="A162">
        <v>249035</v>
      </c>
      <c r="B162" t="s">
        <v>734</v>
      </c>
      <c r="C162" t="s">
        <v>48</v>
      </c>
      <c r="D162" t="s">
        <v>775</v>
      </c>
      <c r="E162" s="465">
        <v>46417</v>
      </c>
      <c r="F162" s="465">
        <v>46438</v>
      </c>
      <c r="G162" t="s">
        <v>835</v>
      </c>
      <c r="H162" t="s">
        <v>48</v>
      </c>
      <c r="J162">
        <v>-15000</v>
      </c>
      <c r="K162">
        <v>-15000</v>
      </c>
      <c r="O162" t="s">
        <v>742</v>
      </c>
      <c r="Q162" t="s">
        <v>834</v>
      </c>
      <c r="R162">
        <v>0</v>
      </c>
    </row>
    <row r="163" spans="1:18" x14ac:dyDescent="0.3">
      <c r="A163">
        <v>224324</v>
      </c>
      <c r="B163" t="s">
        <v>734</v>
      </c>
      <c r="C163" t="s">
        <v>814</v>
      </c>
      <c r="D163" t="s">
        <v>775</v>
      </c>
      <c r="E163" s="465">
        <v>46401</v>
      </c>
      <c r="F163" s="465">
        <v>46407</v>
      </c>
      <c r="G163" t="s">
        <v>307</v>
      </c>
      <c r="H163" t="s">
        <v>312</v>
      </c>
      <c r="J163">
        <v>-2200</v>
      </c>
      <c r="K163">
        <v>-2200</v>
      </c>
      <c r="O163" t="s">
        <v>742</v>
      </c>
      <c r="Q163" t="s">
        <v>834</v>
      </c>
      <c r="R163">
        <v>0</v>
      </c>
    </row>
    <row r="164" spans="1:18" x14ac:dyDescent="0.3">
      <c r="A164">
        <v>147611</v>
      </c>
      <c r="B164" t="s">
        <v>734</v>
      </c>
      <c r="C164" t="s">
        <v>735</v>
      </c>
      <c r="E164" s="465">
        <v>46397</v>
      </c>
      <c r="F164" s="465">
        <v>46423</v>
      </c>
      <c r="G164" t="s">
        <v>255</v>
      </c>
      <c r="H164" t="s">
        <v>256</v>
      </c>
      <c r="I164" t="s">
        <v>737</v>
      </c>
      <c r="J164">
        <v>-140000</v>
      </c>
      <c r="K164">
        <v>-140000</v>
      </c>
      <c r="O164" t="s">
        <v>742</v>
      </c>
      <c r="Q164" t="s">
        <v>834</v>
      </c>
      <c r="R164">
        <v>0</v>
      </c>
    </row>
    <row r="165" spans="1:18" x14ac:dyDescent="0.3">
      <c r="A165">
        <v>248877</v>
      </c>
      <c r="B165" t="s">
        <v>734</v>
      </c>
      <c r="C165" t="s">
        <v>791</v>
      </c>
      <c r="D165" t="s">
        <v>775</v>
      </c>
      <c r="E165" s="465">
        <v>46394</v>
      </c>
      <c r="F165" s="465">
        <v>46433</v>
      </c>
      <c r="G165" t="s">
        <v>792</v>
      </c>
      <c r="H165" t="s">
        <v>793</v>
      </c>
      <c r="I165" t="s">
        <v>794</v>
      </c>
      <c r="J165">
        <v>-4500</v>
      </c>
      <c r="K165">
        <v>-4500</v>
      </c>
      <c r="O165" t="s">
        <v>742</v>
      </c>
      <c r="Q165" t="s">
        <v>834</v>
      </c>
      <c r="R165">
        <v>0</v>
      </c>
    </row>
    <row r="166" spans="1:18" x14ac:dyDescent="0.3">
      <c r="A166">
        <v>241783</v>
      </c>
      <c r="B166" t="s">
        <v>734</v>
      </c>
      <c r="C166" t="s">
        <v>812</v>
      </c>
      <c r="D166" t="s">
        <v>775</v>
      </c>
      <c r="E166" s="465">
        <v>46388</v>
      </c>
      <c r="F166" s="465">
        <v>46433</v>
      </c>
      <c r="G166" t="s">
        <v>792</v>
      </c>
      <c r="H166" t="s">
        <v>793</v>
      </c>
      <c r="I166" t="s">
        <v>810</v>
      </c>
      <c r="J166">
        <v>-2100</v>
      </c>
      <c r="K166">
        <v>-2100</v>
      </c>
      <c r="O166" t="s">
        <v>742</v>
      </c>
      <c r="Q166" t="s">
        <v>834</v>
      </c>
      <c r="R166">
        <v>0</v>
      </c>
    </row>
    <row r="167" spans="1:18" x14ac:dyDescent="0.3">
      <c r="A167">
        <v>223764</v>
      </c>
      <c r="B167" t="s">
        <v>734</v>
      </c>
      <c r="C167" t="s">
        <v>821</v>
      </c>
      <c r="D167" t="s">
        <v>775</v>
      </c>
      <c r="E167" s="465">
        <v>46388</v>
      </c>
      <c r="F167" s="465">
        <v>46428</v>
      </c>
      <c r="G167" t="s">
        <v>792</v>
      </c>
      <c r="H167" t="s">
        <v>793</v>
      </c>
      <c r="I167" t="s">
        <v>822</v>
      </c>
      <c r="J167">
        <v>-8000</v>
      </c>
      <c r="K167">
        <v>-8000</v>
      </c>
      <c r="M167" t="s">
        <v>823</v>
      </c>
      <c r="N167" t="s">
        <v>129</v>
      </c>
      <c r="O167" t="s">
        <v>742</v>
      </c>
      <c r="Q167" t="s">
        <v>834</v>
      </c>
      <c r="R167">
        <v>0</v>
      </c>
    </row>
    <row r="168" spans="1:18" x14ac:dyDescent="0.3">
      <c r="A168">
        <v>237232</v>
      </c>
      <c r="B168" t="s">
        <v>734</v>
      </c>
      <c r="C168" t="s">
        <v>806</v>
      </c>
      <c r="D168" t="s">
        <v>775</v>
      </c>
      <c r="E168" s="465">
        <v>46388</v>
      </c>
      <c r="F168" s="465">
        <v>46396</v>
      </c>
      <c r="G168" t="s">
        <v>784</v>
      </c>
      <c r="H168" t="s">
        <v>246</v>
      </c>
      <c r="I168" t="s">
        <v>807</v>
      </c>
      <c r="J168">
        <v>-750</v>
      </c>
      <c r="K168">
        <v>-750</v>
      </c>
      <c r="O168" t="s">
        <v>742</v>
      </c>
      <c r="Q168" t="s">
        <v>834</v>
      </c>
      <c r="R168">
        <v>0</v>
      </c>
    </row>
    <row r="169" spans="1:18" x14ac:dyDescent="0.3">
      <c r="A169">
        <v>240021</v>
      </c>
      <c r="B169" t="s">
        <v>734</v>
      </c>
      <c r="C169" t="s">
        <v>783</v>
      </c>
      <c r="D169" t="s">
        <v>775</v>
      </c>
      <c r="E169" s="465">
        <v>46388</v>
      </c>
      <c r="F169" s="465">
        <v>46381</v>
      </c>
      <c r="G169" t="s">
        <v>784</v>
      </c>
      <c r="H169" t="s">
        <v>238</v>
      </c>
      <c r="I169" t="s">
        <v>785</v>
      </c>
      <c r="J169">
        <v>-300</v>
      </c>
      <c r="K169">
        <v>-300</v>
      </c>
      <c r="O169" t="s">
        <v>742</v>
      </c>
      <c r="Q169" t="s">
        <v>834</v>
      </c>
      <c r="R169">
        <v>0</v>
      </c>
    </row>
    <row r="170" spans="1:18" x14ac:dyDescent="0.3">
      <c r="A170">
        <v>232183</v>
      </c>
      <c r="B170" t="s">
        <v>734</v>
      </c>
      <c r="C170" t="s">
        <v>818</v>
      </c>
      <c r="D170" t="s">
        <v>775</v>
      </c>
      <c r="E170" s="465">
        <v>46388</v>
      </c>
      <c r="F170" s="465">
        <v>46419</v>
      </c>
      <c r="G170" t="s">
        <v>792</v>
      </c>
      <c r="H170" t="s">
        <v>793</v>
      </c>
      <c r="I170" t="s">
        <v>819</v>
      </c>
      <c r="J170">
        <v>-3250</v>
      </c>
      <c r="K170">
        <v>-3250</v>
      </c>
      <c r="O170" t="s">
        <v>742</v>
      </c>
      <c r="Q170" t="s">
        <v>834</v>
      </c>
      <c r="R170">
        <v>0</v>
      </c>
    </row>
    <row r="171" spans="1:18" x14ac:dyDescent="0.3">
      <c r="A171">
        <v>227293</v>
      </c>
      <c r="B171" t="s">
        <v>734</v>
      </c>
      <c r="C171" t="s">
        <v>827</v>
      </c>
      <c r="D171" t="s">
        <v>775</v>
      </c>
      <c r="E171" s="465">
        <v>46388</v>
      </c>
      <c r="F171" s="465">
        <v>46419</v>
      </c>
      <c r="G171" t="s">
        <v>792</v>
      </c>
      <c r="H171" t="s">
        <v>793</v>
      </c>
      <c r="I171" t="s">
        <v>829</v>
      </c>
      <c r="J171">
        <v>-2000</v>
      </c>
      <c r="K171">
        <v>-2000</v>
      </c>
      <c r="O171" t="s">
        <v>742</v>
      </c>
      <c r="Q171" t="s">
        <v>834</v>
      </c>
      <c r="R171">
        <v>0</v>
      </c>
    </row>
    <row r="172" spans="1:18" x14ac:dyDescent="0.3">
      <c r="A172">
        <v>235543</v>
      </c>
      <c r="B172" t="s">
        <v>734</v>
      </c>
      <c r="C172" t="s">
        <v>804</v>
      </c>
      <c r="D172" t="s">
        <v>775</v>
      </c>
      <c r="E172" s="465">
        <v>46388</v>
      </c>
      <c r="F172" s="465">
        <v>46433</v>
      </c>
      <c r="G172" t="s">
        <v>792</v>
      </c>
      <c r="H172" t="s">
        <v>793</v>
      </c>
      <c r="I172" t="s">
        <v>811</v>
      </c>
      <c r="J172">
        <v>-2100</v>
      </c>
      <c r="K172">
        <v>-2100</v>
      </c>
      <c r="O172" t="s">
        <v>742</v>
      </c>
      <c r="Q172" t="s">
        <v>834</v>
      </c>
      <c r="R172">
        <v>0</v>
      </c>
    </row>
    <row r="173" spans="1:18" x14ac:dyDescent="0.3">
      <c r="A173">
        <v>238208</v>
      </c>
      <c r="B173" t="s">
        <v>734</v>
      </c>
      <c r="C173" t="s">
        <v>427</v>
      </c>
      <c r="D173" t="s">
        <v>775</v>
      </c>
      <c r="E173" s="465">
        <v>46388</v>
      </c>
      <c r="F173" s="465">
        <v>46406</v>
      </c>
      <c r="G173" t="s">
        <v>776</v>
      </c>
      <c r="H173" t="s">
        <v>205</v>
      </c>
      <c r="I173" t="s">
        <v>779</v>
      </c>
      <c r="J173">
        <v>-5000</v>
      </c>
      <c r="K173">
        <v>-5000</v>
      </c>
      <c r="O173" t="s">
        <v>742</v>
      </c>
      <c r="Q173" t="s">
        <v>834</v>
      </c>
      <c r="R173">
        <v>0</v>
      </c>
    </row>
    <row r="174" spans="1:18" x14ac:dyDescent="0.3">
      <c r="A174">
        <v>230527</v>
      </c>
      <c r="B174" t="s">
        <v>734</v>
      </c>
      <c r="C174" t="s">
        <v>824</v>
      </c>
      <c r="D174" t="s">
        <v>775</v>
      </c>
      <c r="E174" s="465">
        <v>46388</v>
      </c>
      <c r="F174" s="465">
        <v>46405</v>
      </c>
      <c r="G174" t="s">
        <v>825</v>
      </c>
      <c r="H174" t="s">
        <v>826</v>
      </c>
      <c r="J174">
        <v>-700</v>
      </c>
      <c r="K174">
        <v>-700</v>
      </c>
      <c r="O174" t="s">
        <v>742</v>
      </c>
      <c r="Q174" t="s">
        <v>834</v>
      </c>
      <c r="R174">
        <v>0</v>
      </c>
    </row>
    <row r="175" spans="1:18" x14ac:dyDescent="0.3">
      <c r="A175">
        <v>234165</v>
      </c>
      <c r="B175" t="s">
        <v>734</v>
      </c>
      <c r="C175" t="s">
        <v>795</v>
      </c>
      <c r="D175" t="s">
        <v>775</v>
      </c>
      <c r="E175" s="465">
        <v>46388</v>
      </c>
      <c r="F175" s="465">
        <v>46423</v>
      </c>
      <c r="G175" t="s">
        <v>787</v>
      </c>
      <c r="H175" t="s">
        <v>788</v>
      </c>
      <c r="I175" t="s">
        <v>796</v>
      </c>
      <c r="J175">
        <v>-40000</v>
      </c>
      <c r="K175">
        <v>-40000</v>
      </c>
      <c r="O175" t="s">
        <v>742</v>
      </c>
      <c r="Q175" t="s">
        <v>834</v>
      </c>
      <c r="R175">
        <v>0</v>
      </c>
    </row>
    <row r="176" spans="1:18" x14ac:dyDescent="0.3">
      <c r="A176">
        <v>232195</v>
      </c>
      <c r="B176" t="s">
        <v>734</v>
      </c>
      <c r="C176" t="s">
        <v>818</v>
      </c>
      <c r="D176" t="s">
        <v>775</v>
      </c>
      <c r="E176" s="465">
        <v>46388</v>
      </c>
      <c r="F176" s="465">
        <v>46433</v>
      </c>
      <c r="G176" t="s">
        <v>792</v>
      </c>
      <c r="H176" t="s">
        <v>793</v>
      </c>
      <c r="I176" t="s">
        <v>819</v>
      </c>
      <c r="J176">
        <v>-3250</v>
      </c>
      <c r="K176">
        <v>-3250</v>
      </c>
      <c r="O176" t="s">
        <v>742</v>
      </c>
      <c r="Q176" t="s">
        <v>834</v>
      </c>
      <c r="R176">
        <v>0</v>
      </c>
    </row>
    <row r="177" spans="1:18" x14ac:dyDescent="0.3">
      <c r="A177">
        <v>232256</v>
      </c>
      <c r="B177" t="s">
        <v>734</v>
      </c>
      <c r="C177" t="s">
        <v>816</v>
      </c>
      <c r="D177" t="s">
        <v>775</v>
      </c>
      <c r="E177" s="465">
        <v>46388</v>
      </c>
      <c r="F177" s="465">
        <v>46419</v>
      </c>
      <c r="G177" t="s">
        <v>792</v>
      </c>
      <c r="H177" t="s">
        <v>793</v>
      </c>
      <c r="I177" t="s">
        <v>817</v>
      </c>
      <c r="J177">
        <v>-2000</v>
      </c>
      <c r="K177">
        <v>-2000</v>
      </c>
      <c r="O177" t="s">
        <v>742</v>
      </c>
      <c r="Q177" t="s">
        <v>834</v>
      </c>
      <c r="R177">
        <v>0</v>
      </c>
    </row>
    <row r="178" spans="1:18" x14ac:dyDescent="0.3">
      <c r="A178">
        <v>227305</v>
      </c>
      <c r="B178" t="s">
        <v>734</v>
      </c>
      <c r="C178" t="s">
        <v>827</v>
      </c>
      <c r="D178" t="s">
        <v>775</v>
      </c>
      <c r="E178" s="465">
        <v>46388</v>
      </c>
      <c r="F178" s="465">
        <v>46433</v>
      </c>
      <c r="G178" t="s">
        <v>792</v>
      </c>
      <c r="H178" t="s">
        <v>793</v>
      </c>
      <c r="I178" t="s">
        <v>828</v>
      </c>
      <c r="J178">
        <v>-2000</v>
      </c>
      <c r="K178">
        <v>-2000</v>
      </c>
      <c r="O178" t="s">
        <v>742</v>
      </c>
      <c r="Q178" t="s">
        <v>834</v>
      </c>
      <c r="R178">
        <v>0</v>
      </c>
    </row>
    <row r="179" spans="1:18" x14ac:dyDescent="0.3">
      <c r="A179">
        <v>237256</v>
      </c>
      <c r="B179" t="s">
        <v>734</v>
      </c>
      <c r="C179" t="s">
        <v>797</v>
      </c>
      <c r="D179" t="s">
        <v>775</v>
      </c>
      <c r="E179" s="465">
        <v>46388</v>
      </c>
      <c r="F179" s="465">
        <v>46397</v>
      </c>
      <c r="G179" t="s">
        <v>784</v>
      </c>
      <c r="H179" t="s">
        <v>798</v>
      </c>
      <c r="J179">
        <v>-100</v>
      </c>
      <c r="K179">
        <v>-100</v>
      </c>
      <c r="O179" t="s">
        <v>742</v>
      </c>
      <c r="Q179" t="s">
        <v>834</v>
      </c>
      <c r="R179">
        <v>0</v>
      </c>
    </row>
    <row r="180" spans="1:18" x14ac:dyDescent="0.3">
      <c r="A180">
        <v>238224</v>
      </c>
      <c r="B180" t="s">
        <v>734</v>
      </c>
      <c r="C180" t="s">
        <v>780</v>
      </c>
      <c r="D180" t="s">
        <v>775</v>
      </c>
      <c r="E180" s="465">
        <v>46388</v>
      </c>
      <c r="F180" s="465">
        <v>46406</v>
      </c>
      <c r="G180" t="s">
        <v>776</v>
      </c>
      <c r="H180" t="s">
        <v>781</v>
      </c>
      <c r="J180">
        <v>-5000</v>
      </c>
      <c r="K180">
        <v>-5000</v>
      </c>
      <c r="O180" t="s">
        <v>742</v>
      </c>
      <c r="Q180" t="s">
        <v>834</v>
      </c>
      <c r="R180">
        <v>0</v>
      </c>
    </row>
    <row r="181" spans="1:18" x14ac:dyDescent="0.3">
      <c r="A181">
        <v>232268</v>
      </c>
      <c r="B181" t="s">
        <v>734</v>
      </c>
      <c r="C181" t="s">
        <v>816</v>
      </c>
      <c r="D181" t="s">
        <v>775</v>
      </c>
      <c r="E181" s="465">
        <v>46388</v>
      </c>
      <c r="F181" s="465">
        <v>46433</v>
      </c>
      <c r="G181" t="s">
        <v>792</v>
      </c>
      <c r="H181" t="s">
        <v>793</v>
      </c>
      <c r="I181" t="s">
        <v>817</v>
      </c>
      <c r="J181">
        <v>-2000</v>
      </c>
      <c r="K181">
        <v>-2000</v>
      </c>
      <c r="O181" t="s">
        <v>742</v>
      </c>
      <c r="Q181" t="s">
        <v>834</v>
      </c>
      <c r="R181">
        <v>0</v>
      </c>
    </row>
    <row r="182" spans="1:18" x14ac:dyDescent="0.3">
      <c r="A182">
        <v>233298</v>
      </c>
      <c r="B182" t="s">
        <v>734</v>
      </c>
      <c r="C182" t="s">
        <v>783</v>
      </c>
      <c r="D182" t="s">
        <v>775</v>
      </c>
      <c r="E182" s="465">
        <v>46388</v>
      </c>
      <c r="F182" s="465">
        <v>46381</v>
      </c>
      <c r="G182" t="s">
        <v>784</v>
      </c>
      <c r="H182" t="s">
        <v>238</v>
      </c>
      <c r="I182" t="s">
        <v>803</v>
      </c>
      <c r="J182">
        <v>-5000</v>
      </c>
      <c r="K182">
        <v>-5000</v>
      </c>
      <c r="O182" t="s">
        <v>742</v>
      </c>
      <c r="Q182" t="s">
        <v>834</v>
      </c>
      <c r="R182">
        <v>0</v>
      </c>
    </row>
    <row r="183" spans="1:18" x14ac:dyDescent="0.3">
      <c r="A183">
        <v>233314</v>
      </c>
      <c r="B183" t="s">
        <v>734</v>
      </c>
      <c r="C183" t="s">
        <v>783</v>
      </c>
      <c r="D183" t="s">
        <v>775</v>
      </c>
      <c r="E183" s="465">
        <v>46388</v>
      </c>
      <c r="F183" s="465">
        <v>46382</v>
      </c>
      <c r="G183" t="s">
        <v>784</v>
      </c>
      <c r="H183" t="s">
        <v>238</v>
      </c>
      <c r="I183" t="s">
        <v>800</v>
      </c>
      <c r="J183">
        <v>-6000</v>
      </c>
      <c r="K183">
        <v>-6000</v>
      </c>
      <c r="O183" t="s">
        <v>742</v>
      </c>
      <c r="Q183" t="s">
        <v>834</v>
      </c>
      <c r="R183">
        <v>0</v>
      </c>
    </row>
    <row r="184" spans="1:18" x14ac:dyDescent="0.3">
      <c r="A184">
        <v>241747</v>
      </c>
      <c r="B184" t="s">
        <v>734</v>
      </c>
      <c r="C184" t="s">
        <v>808</v>
      </c>
      <c r="D184" t="s">
        <v>775</v>
      </c>
      <c r="E184" s="465">
        <v>46388</v>
      </c>
      <c r="F184" s="465">
        <v>46419</v>
      </c>
      <c r="G184" t="s">
        <v>792</v>
      </c>
      <c r="H184" t="s">
        <v>793</v>
      </c>
      <c r="I184" t="s">
        <v>809</v>
      </c>
      <c r="J184">
        <v>-2100</v>
      </c>
      <c r="K184">
        <v>-2100</v>
      </c>
      <c r="O184" t="s">
        <v>742</v>
      </c>
      <c r="Q184" t="s">
        <v>834</v>
      </c>
      <c r="R184">
        <v>0</v>
      </c>
    </row>
    <row r="185" spans="1:18" x14ac:dyDescent="0.3">
      <c r="A185">
        <v>238192</v>
      </c>
      <c r="B185" t="s">
        <v>734</v>
      </c>
      <c r="C185" t="s">
        <v>428</v>
      </c>
      <c r="D185" t="s">
        <v>775</v>
      </c>
      <c r="E185" s="465">
        <v>46388</v>
      </c>
      <c r="F185" s="465">
        <v>46376</v>
      </c>
      <c r="G185" t="s">
        <v>776</v>
      </c>
      <c r="H185" t="s">
        <v>210</v>
      </c>
      <c r="I185" t="s">
        <v>777</v>
      </c>
      <c r="J185">
        <v>-34000</v>
      </c>
      <c r="K185">
        <v>-34000</v>
      </c>
      <c r="O185" t="s">
        <v>742</v>
      </c>
      <c r="Q185" t="s">
        <v>834</v>
      </c>
      <c r="R185">
        <v>0</v>
      </c>
    </row>
    <row r="186" spans="1:18" x14ac:dyDescent="0.3">
      <c r="A186">
        <v>241759</v>
      </c>
      <c r="B186" t="s">
        <v>734</v>
      </c>
      <c r="C186" t="s">
        <v>808</v>
      </c>
      <c r="D186" t="s">
        <v>775</v>
      </c>
      <c r="E186" s="465">
        <v>46388</v>
      </c>
      <c r="F186" s="465">
        <v>46433</v>
      </c>
      <c r="G186" t="s">
        <v>792</v>
      </c>
      <c r="H186" t="s">
        <v>793</v>
      </c>
      <c r="I186" t="s">
        <v>810</v>
      </c>
      <c r="J186">
        <v>-2100</v>
      </c>
      <c r="K186">
        <v>-2100</v>
      </c>
      <c r="O186" t="s">
        <v>742</v>
      </c>
      <c r="Q186" t="s">
        <v>834</v>
      </c>
      <c r="R186">
        <v>0</v>
      </c>
    </row>
    <row r="187" spans="1:18" x14ac:dyDescent="0.3">
      <c r="A187">
        <v>243372</v>
      </c>
      <c r="B187" t="s">
        <v>734</v>
      </c>
      <c r="C187" t="s">
        <v>786</v>
      </c>
      <c r="D187" t="s">
        <v>775</v>
      </c>
      <c r="E187" s="465">
        <v>46388</v>
      </c>
      <c r="F187" s="465">
        <v>46393</v>
      </c>
      <c r="G187" t="s">
        <v>787</v>
      </c>
      <c r="H187" t="s">
        <v>788</v>
      </c>
      <c r="I187" t="s">
        <v>789</v>
      </c>
      <c r="J187">
        <v>-805.7</v>
      </c>
      <c r="K187">
        <v>-805.7</v>
      </c>
      <c r="O187" t="s">
        <v>742</v>
      </c>
      <c r="Q187" t="s">
        <v>834</v>
      </c>
      <c r="R187">
        <v>0</v>
      </c>
    </row>
    <row r="188" spans="1:18" x14ac:dyDescent="0.3">
      <c r="A188">
        <v>235523</v>
      </c>
      <c r="B188" t="s">
        <v>734</v>
      </c>
      <c r="C188" t="s">
        <v>804</v>
      </c>
      <c r="D188" t="s">
        <v>775</v>
      </c>
      <c r="E188" s="465">
        <v>46388</v>
      </c>
      <c r="F188" s="465">
        <v>46419</v>
      </c>
      <c r="G188" t="s">
        <v>792</v>
      </c>
      <c r="H188" t="s">
        <v>793</v>
      </c>
      <c r="I188" t="s">
        <v>805</v>
      </c>
      <c r="J188">
        <v>-2100</v>
      </c>
      <c r="K188">
        <v>-2100</v>
      </c>
      <c r="O188" t="s">
        <v>742</v>
      </c>
      <c r="Q188" t="s">
        <v>834</v>
      </c>
      <c r="R188">
        <v>0</v>
      </c>
    </row>
    <row r="189" spans="1:18" x14ac:dyDescent="0.3">
      <c r="A189">
        <v>230539</v>
      </c>
      <c r="B189" t="s">
        <v>734</v>
      </c>
      <c r="C189" t="s">
        <v>824</v>
      </c>
      <c r="D189" t="s">
        <v>775</v>
      </c>
      <c r="E189" s="465">
        <v>46388</v>
      </c>
      <c r="F189" s="465">
        <v>46405</v>
      </c>
      <c r="G189" t="s">
        <v>825</v>
      </c>
      <c r="H189" t="s">
        <v>826</v>
      </c>
      <c r="J189">
        <v>-400</v>
      </c>
      <c r="K189">
        <v>-400</v>
      </c>
      <c r="O189" t="s">
        <v>742</v>
      </c>
      <c r="Q189" t="s">
        <v>834</v>
      </c>
      <c r="R189">
        <v>0</v>
      </c>
    </row>
    <row r="190" spans="1:18" x14ac:dyDescent="0.3">
      <c r="A190">
        <v>237186</v>
      </c>
      <c r="B190" t="s">
        <v>734</v>
      </c>
      <c r="C190" t="s">
        <v>801</v>
      </c>
      <c r="D190" t="s">
        <v>775</v>
      </c>
      <c r="E190" s="465">
        <v>46388</v>
      </c>
      <c r="F190" s="465">
        <v>46397</v>
      </c>
      <c r="G190" t="s">
        <v>784</v>
      </c>
      <c r="H190" t="s">
        <v>241</v>
      </c>
      <c r="I190" t="s">
        <v>802</v>
      </c>
      <c r="J190">
        <v>-1000</v>
      </c>
      <c r="K190">
        <v>-1000</v>
      </c>
      <c r="O190" t="s">
        <v>742</v>
      </c>
      <c r="Q190" t="s">
        <v>834</v>
      </c>
      <c r="R190">
        <v>0</v>
      </c>
    </row>
    <row r="191" spans="1:18" x14ac:dyDescent="0.3">
      <c r="A191">
        <v>241771</v>
      </c>
      <c r="B191" t="s">
        <v>734</v>
      </c>
      <c r="C191" t="s">
        <v>812</v>
      </c>
      <c r="D191" t="s">
        <v>775</v>
      </c>
      <c r="E191" s="465">
        <v>46388</v>
      </c>
      <c r="F191" s="465">
        <v>46419</v>
      </c>
      <c r="G191" t="s">
        <v>792</v>
      </c>
      <c r="H191" t="s">
        <v>793</v>
      </c>
      <c r="I191" t="s">
        <v>813</v>
      </c>
      <c r="J191">
        <v>-2100</v>
      </c>
      <c r="K191">
        <v>-2100</v>
      </c>
      <c r="O191" t="s">
        <v>742</v>
      </c>
      <c r="Q191" t="s">
        <v>834</v>
      </c>
      <c r="R191">
        <v>0</v>
      </c>
    </row>
    <row r="192" spans="1:18" x14ac:dyDescent="0.3">
      <c r="A192">
        <v>223694</v>
      </c>
      <c r="B192" t="s">
        <v>734</v>
      </c>
      <c r="C192" t="s">
        <v>49</v>
      </c>
      <c r="D192" t="s">
        <v>775</v>
      </c>
      <c r="E192" s="465">
        <v>46386</v>
      </c>
      <c r="F192" s="465">
        <v>46397</v>
      </c>
      <c r="G192" t="s">
        <v>835</v>
      </c>
      <c r="H192" t="s">
        <v>49</v>
      </c>
      <c r="J192">
        <v>-250</v>
      </c>
      <c r="K192">
        <v>-250</v>
      </c>
      <c r="O192" t="s">
        <v>742</v>
      </c>
      <c r="Q192" t="s">
        <v>468</v>
      </c>
      <c r="R192">
        <v>0</v>
      </c>
    </row>
    <row r="193" spans="1:18" x14ac:dyDescent="0.3">
      <c r="A193">
        <v>228288</v>
      </c>
      <c r="B193" t="s">
        <v>734</v>
      </c>
      <c r="C193" t="s">
        <v>830</v>
      </c>
      <c r="D193" t="s">
        <v>775</v>
      </c>
      <c r="E193" s="465">
        <v>46386</v>
      </c>
      <c r="F193" s="465">
        <v>46391</v>
      </c>
      <c r="G193" t="s">
        <v>263</v>
      </c>
      <c r="H193" t="s">
        <v>265</v>
      </c>
      <c r="J193">
        <v>-1500</v>
      </c>
      <c r="K193">
        <v>-1500</v>
      </c>
      <c r="O193" t="s">
        <v>742</v>
      </c>
      <c r="Q193" t="s">
        <v>468</v>
      </c>
      <c r="R193">
        <v>0</v>
      </c>
    </row>
    <row r="194" spans="1:18" x14ac:dyDescent="0.3">
      <c r="A194">
        <v>249034</v>
      </c>
      <c r="B194" t="s">
        <v>734</v>
      </c>
      <c r="C194" t="s">
        <v>48</v>
      </c>
      <c r="D194" t="s">
        <v>775</v>
      </c>
      <c r="E194" s="465">
        <v>46386</v>
      </c>
      <c r="F194" s="465">
        <v>46407</v>
      </c>
      <c r="G194" t="s">
        <v>835</v>
      </c>
      <c r="H194" t="s">
        <v>48</v>
      </c>
      <c r="J194">
        <v>-15000</v>
      </c>
      <c r="K194">
        <v>-15000</v>
      </c>
      <c r="O194" t="s">
        <v>742</v>
      </c>
      <c r="Q194" t="s">
        <v>468</v>
      </c>
      <c r="R194">
        <v>0</v>
      </c>
    </row>
    <row r="195" spans="1:18" x14ac:dyDescent="0.3">
      <c r="A195">
        <v>228997</v>
      </c>
      <c r="B195" t="s">
        <v>734</v>
      </c>
      <c r="C195" t="s">
        <v>836</v>
      </c>
      <c r="D195" t="s">
        <v>775</v>
      </c>
      <c r="E195" s="465">
        <v>46386</v>
      </c>
      <c r="F195" s="465">
        <v>46407</v>
      </c>
      <c r="G195" t="s">
        <v>837</v>
      </c>
      <c r="H195" t="s">
        <v>345</v>
      </c>
      <c r="J195">
        <v>-10000</v>
      </c>
      <c r="K195">
        <v>-10000</v>
      </c>
      <c r="O195" t="s">
        <v>742</v>
      </c>
      <c r="Q195" t="s">
        <v>468</v>
      </c>
      <c r="R195">
        <v>0</v>
      </c>
    </row>
    <row r="196" spans="1:18" x14ac:dyDescent="0.3">
      <c r="A196">
        <v>231981</v>
      </c>
      <c r="B196" t="s">
        <v>734</v>
      </c>
      <c r="C196" t="s">
        <v>832</v>
      </c>
      <c r="D196" t="s">
        <v>775</v>
      </c>
      <c r="E196" s="465">
        <v>46386</v>
      </c>
      <c r="F196" s="465">
        <v>46399</v>
      </c>
      <c r="G196" t="s">
        <v>295</v>
      </c>
      <c r="H196" t="s">
        <v>297</v>
      </c>
      <c r="J196">
        <v>-1000</v>
      </c>
      <c r="K196">
        <v>-1000</v>
      </c>
      <c r="O196" t="s">
        <v>742</v>
      </c>
      <c r="Q196" t="s">
        <v>468</v>
      </c>
      <c r="R196">
        <v>0</v>
      </c>
    </row>
    <row r="197" spans="1:18" x14ac:dyDescent="0.3">
      <c r="A197">
        <v>249042</v>
      </c>
      <c r="B197" t="s">
        <v>734</v>
      </c>
      <c r="C197" t="s">
        <v>428</v>
      </c>
      <c r="D197" t="s">
        <v>775</v>
      </c>
      <c r="E197" s="465">
        <v>46386</v>
      </c>
      <c r="F197" s="465">
        <v>46407</v>
      </c>
      <c r="G197" t="s">
        <v>833</v>
      </c>
      <c r="H197" t="s">
        <v>348</v>
      </c>
      <c r="J197">
        <v>-5000</v>
      </c>
      <c r="K197">
        <v>-5000</v>
      </c>
      <c r="O197" t="s">
        <v>742</v>
      </c>
      <c r="Q197" t="s">
        <v>468</v>
      </c>
      <c r="R197">
        <v>0</v>
      </c>
    </row>
    <row r="198" spans="1:18" x14ac:dyDescent="0.3">
      <c r="A198">
        <v>241344</v>
      </c>
      <c r="B198" t="s">
        <v>734</v>
      </c>
      <c r="C198" t="s">
        <v>838</v>
      </c>
      <c r="D198" t="s">
        <v>775</v>
      </c>
      <c r="E198" s="465">
        <v>46385</v>
      </c>
      <c r="F198" s="465">
        <v>46392</v>
      </c>
      <c r="G198" t="s">
        <v>255</v>
      </c>
      <c r="H198" t="s">
        <v>260</v>
      </c>
      <c r="I198" t="s">
        <v>839</v>
      </c>
      <c r="J198">
        <v>-506.88</v>
      </c>
      <c r="K198">
        <v>-506.88</v>
      </c>
      <c r="O198" t="s">
        <v>742</v>
      </c>
      <c r="Q198" t="s">
        <v>468</v>
      </c>
      <c r="R198">
        <v>0</v>
      </c>
    </row>
    <row r="199" spans="1:18" x14ac:dyDescent="0.3">
      <c r="A199">
        <v>238534</v>
      </c>
      <c r="B199" t="s">
        <v>734</v>
      </c>
      <c r="C199" t="s">
        <v>840</v>
      </c>
      <c r="D199" t="s">
        <v>775</v>
      </c>
      <c r="E199" s="465">
        <v>46371</v>
      </c>
      <c r="F199" s="465">
        <v>46384</v>
      </c>
      <c r="G199" t="s">
        <v>278</v>
      </c>
      <c r="H199" t="s">
        <v>283</v>
      </c>
      <c r="I199" t="s">
        <v>841</v>
      </c>
      <c r="J199">
        <v>-219</v>
      </c>
      <c r="K199">
        <v>-219</v>
      </c>
      <c r="O199" t="s">
        <v>742</v>
      </c>
      <c r="Q199" t="s">
        <v>468</v>
      </c>
      <c r="R199">
        <v>0</v>
      </c>
    </row>
    <row r="200" spans="1:18" x14ac:dyDescent="0.3">
      <c r="A200">
        <v>224323</v>
      </c>
      <c r="B200" t="s">
        <v>734</v>
      </c>
      <c r="C200" t="s">
        <v>814</v>
      </c>
      <c r="D200" t="s">
        <v>775</v>
      </c>
      <c r="E200" s="465">
        <v>46370</v>
      </c>
      <c r="F200" s="465">
        <v>46376</v>
      </c>
      <c r="G200" t="s">
        <v>307</v>
      </c>
      <c r="H200" t="s">
        <v>312</v>
      </c>
      <c r="J200">
        <v>-2200</v>
      </c>
      <c r="K200">
        <v>-2200</v>
      </c>
      <c r="O200" t="s">
        <v>742</v>
      </c>
      <c r="Q200" t="s">
        <v>468</v>
      </c>
      <c r="R200">
        <v>0</v>
      </c>
    </row>
    <row r="201" spans="1:18" x14ac:dyDescent="0.3">
      <c r="A201">
        <v>147610</v>
      </c>
      <c r="B201" t="s">
        <v>734</v>
      </c>
      <c r="C201" t="s">
        <v>735</v>
      </c>
      <c r="E201" s="465">
        <v>46366</v>
      </c>
      <c r="F201" s="465">
        <v>46392</v>
      </c>
      <c r="G201" t="s">
        <v>255</v>
      </c>
      <c r="H201" t="s">
        <v>256</v>
      </c>
      <c r="I201" t="s">
        <v>737</v>
      </c>
      <c r="J201">
        <v>-140000</v>
      </c>
      <c r="K201">
        <v>-140000</v>
      </c>
      <c r="O201" t="s">
        <v>742</v>
      </c>
      <c r="Q201" t="s">
        <v>468</v>
      </c>
      <c r="R201">
        <v>0</v>
      </c>
    </row>
    <row r="202" spans="1:18" x14ac:dyDescent="0.3">
      <c r="A202">
        <v>237456</v>
      </c>
      <c r="B202" t="s">
        <v>734</v>
      </c>
      <c r="C202" t="s">
        <v>842</v>
      </c>
      <c r="D202" t="s">
        <v>775</v>
      </c>
      <c r="E202" s="465">
        <v>46365</v>
      </c>
      <c r="F202" s="465">
        <v>46397</v>
      </c>
      <c r="G202" t="s">
        <v>278</v>
      </c>
      <c r="H202" t="s">
        <v>280</v>
      </c>
      <c r="J202">
        <v>-1000</v>
      </c>
      <c r="K202">
        <v>-1000</v>
      </c>
      <c r="O202" t="s">
        <v>742</v>
      </c>
      <c r="Q202" t="s">
        <v>468</v>
      </c>
      <c r="R202">
        <v>0</v>
      </c>
    </row>
    <row r="203" spans="1:18" x14ac:dyDescent="0.3">
      <c r="A203">
        <v>223350</v>
      </c>
      <c r="B203" t="s">
        <v>734</v>
      </c>
      <c r="C203" t="s">
        <v>843</v>
      </c>
      <c r="D203" t="s">
        <v>844</v>
      </c>
      <c r="E203" s="465">
        <v>46364</v>
      </c>
      <c r="F203" s="465">
        <v>46407</v>
      </c>
      <c r="G203" t="s">
        <v>833</v>
      </c>
      <c r="H203" t="s">
        <v>363</v>
      </c>
      <c r="I203" t="s">
        <v>845</v>
      </c>
      <c r="J203">
        <v>-4116.46</v>
      </c>
      <c r="K203">
        <v>-4116.46</v>
      </c>
      <c r="O203" t="s">
        <v>738</v>
      </c>
      <c r="Q203" t="s">
        <v>468</v>
      </c>
      <c r="R203">
        <v>0</v>
      </c>
    </row>
    <row r="204" spans="1:18" x14ac:dyDescent="0.3">
      <c r="A204">
        <v>248876</v>
      </c>
      <c r="B204" t="s">
        <v>734</v>
      </c>
      <c r="C204" t="s">
        <v>791</v>
      </c>
      <c r="D204" t="s">
        <v>775</v>
      </c>
      <c r="E204" s="465">
        <v>46363</v>
      </c>
      <c r="F204" s="465">
        <v>46402</v>
      </c>
      <c r="G204" t="s">
        <v>792</v>
      </c>
      <c r="H204" t="s">
        <v>793</v>
      </c>
      <c r="I204" t="s">
        <v>794</v>
      </c>
      <c r="J204">
        <v>-4500</v>
      </c>
      <c r="K204">
        <v>-4500</v>
      </c>
      <c r="O204" t="s">
        <v>742</v>
      </c>
      <c r="Q204" t="s">
        <v>468</v>
      </c>
      <c r="R204">
        <v>0</v>
      </c>
    </row>
    <row r="205" spans="1:18" x14ac:dyDescent="0.3">
      <c r="A205">
        <v>238207</v>
      </c>
      <c r="B205" t="s">
        <v>734</v>
      </c>
      <c r="C205" t="s">
        <v>427</v>
      </c>
      <c r="D205" t="s">
        <v>775</v>
      </c>
      <c r="E205" s="465">
        <v>46357</v>
      </c>
      <c r="F205" s="465">
        <v>46375</v>
      </c>
      <c r="G205" t="s">
        <v>776</v>
      </c>
      <c r="H205" t="s">
        <v>205</v>
      </c>
      <c r="I205" t="s">
        <v>779</v>
      </c>
      <c r="J205">
        <v>-5000</v>
      </c>
      <c r="K205">
        <v>-5000</v>
      </c>
      <c r="O205" t="s">
        <v>742</v>
      </c>
      <c r="Q205" t="s">
        <v>468</v>
      </c>
      <c r="R205">
        <v>0</v>
      </c>
    </row>
    <row r="206" spans="1:18" x14ac:dyDescent="0.3">
      <c r="A206">
        <v>238223</v>
      </c>
      <c r="B206" t="s">
        <v>734</v>
      </c>
      <c r="C206" t="s">
        <v>780</v>
      </c>
      <c r="D206" t="s">
        <v>775</v>
      </c>
      <c r="E206" s="465">
        <v>46357</v>
      </c>
      <c r="F206" s="465">
        <v>46375</v>
      </c>
      <c r="G206" t="s">
        <v>776</v>
      </c>
      <c r="H206" t="s">
        <v>781</v>
      </c>
      <c r="J206">
        <v>-5000</v>
      </c>
      <c r="K206">
        <v>-5000</v>
      </c>
      <c r="O206" t="s">
        <v>742</v>
      </c>
      <c r="Q206" t="s">
        <v>468</v>
      </c>
      <c r="R206">
        <v>0</v>
      </c>
    </row>
    <row r="207" spans="1:18" x14ac:dyDescent="0.3">
      <c r="A207">
        <v>223763</v>
      </c>
      <c r="B207" t="s">
        <v>734</v>
      </c>
      <c r="C207" t="s">
        <v>821</v>
      </c>
      <c r="D207" t="s">
        <v>775</v>
      </c>
      <c r="E207" s="465">
        <v>46357</v>
      </c>
      <c r="F207" s="465">
        <v>46397</v>
      </c>
      <c r="G207" t="s">
        <v>792</v>
      </c>
      <c r="H207" t="s">
        <v>793</v>
      </c>
      <c r="I207" t="s">
        <v>822</v>
      </c>
      <c r="J207">
        <v>-8000</v>
      </c>
      <c r="K207">
        <v>-8000</v>
      </c>
      <c r="M207" t="s">
        <v>823</v>
      </c>
      <c r="N207" t="s">
        <v>129</v>
      </c>
      <c r="O207" t="s">
        <v>742</v>
      </c>
      <c r="Q207" t="s">
        <v>468</v>
      </c>
      <c r="R207">
        <v>0</v>
      </c>
    </row>
    <row r="208" spans="1:18" x14ac:dyDescent="0.3">
      <c r="A208">
        <v>238191</v>
      </c>
      <c r="B208" t="s">
        <v>734</v>
      </c>
      <c r="C208" t="s">
        <v>428</v>
      </c>
      <c r="D208" t="s">
        <v>775</v>
      </c>
      <c r="E208" s="465">
        <v>46357</v>
      </c>
      <c r="F208" s="465">
        <v>46346</v>
      </c>
      <c r="G208" t="s">
        <v>776</v>
      </c>
      <c r="H208" t="s">
        <v>210</v>
      </c>
      <c r="I208" t="s">
        <v>777</v>
      </c>
      <c r="J208">
        <v>-34000</v>
      </c>
      <c r="K208">
        <v>-34000</v>
      </c>
      <c r="O208" t="s">
        <v>742</v>
      </c>
      <c r="Q208" t="s">
        <v>468</v>
      </c>
      <c r="R208">
        <v>0</v>
      </c>
    </row>
    <row r="209" spans="1:18" x14ac:dyDescent="0.3">
      <c r="A209">
        <v>243371</v>
      </c>
      <c r="B209" t="s">
        <v>734</v>
      </c>
      <c r="C209" t="s">
        <v>786</v>
      </c>
      <c r="D209" t="s">
        <v>775</v>
      </c>
      <c r="E209" s="465">
        <v>46357</v>
      </c>
      <c r="F209" s="465">
        <v>46362</v>
      </c>
      <c r="G209" t="s">
        <v>787</v>
      </c>
      <c r="H209" t="s">
        <v>788</v>
      </c>
      <c r="I209" t="s">
        <v>789</v>
      </c>
      <c r="J209">
        <v>-805.7</v>
      </c>
      <c r="K209">
        <v>-805.7</v>
      </c>
      <c r="O209" t="s">
        <v>742</v>
      </c>
      <c r="Q209" t="s">
        <v>468</v>
      </c>
      <c r="R209">
        <v>0</v>
      </c>
    </row>
    <row r="210" spans="1:18" x14ac:dyDescent="0.3">
      <c r="A210">
        <v>227292</v>
      </c>
      <c r="B210" t="s">
        <v>734</v>
      </c>
      <c r="C210" t="s">
        <v>827</v>
      </c>
      <c r="D210" t="s">
        <v>775</v>
      </c>
      <c r="E210" s="465">
        <v>46357</v>
      </c>
      <c r="F210" s="465">
        <v>46388</v>
      </c>
      <c r="G210" t="s">
        <v>792</v>
      </c>
      <c r="H210" t="s">
        <v>793</v>
      </c>
      <c r="I210" t="s">
        <v>829</v>
      </c>
      <c r="J210">
        <v>-2000</v>
      </c>
      <c r="K210">
        <v>-2000</v>
      </c>
      <c r="O210" t="s">
        <v>742</v>
      </c>
      <c r="Q210" t="s">
        <v>468</v>
      </c>
      <c r="R210">
        <v>0</v>
      </c>
    </row>
    <row r="211" spans="1:18" x14ac:dyDescent="0.3">
      <c r="A211">
        <v>199214</v>
      </c>
      <c r="B211" t="s">
        <v>734</v>
      </c>
      <c r="C211" t="s">
        <v>846</v>
      </c>
      <c r="D211" t="s">
        <v>775</v>
      </c>
      <c r="E211" s="465">
        <v>46357</v>
      </c>
      <c r="F211" s="465">
        <v>46388</v>
      </c>
      <c r="G211" t="s">
        <v>792</v>
      </c>
      <c r="H211" t="s">
        <v>793</v>
      </c>
      <c r="I211" t="s">
        <v>847</v>
      </c>
      <c r="J211">
        <v>-3300</v>
      </c>
      <c r="K211">
        <v>-3300</v>
      </c>
      <c r="M211" t="s">
        <v>848</v>
      </c>
      <c r="N211" t="s">
        <v>131</v>
      </c>
      <c r="O211" t="s">
        <v>742</v>
      </c>
      <c r="Q211" t="s">
        <v>468</v>
      </c>
      <c r="R211">
        <v>0</v>
      </c>
    </row>
    <row r="212" spans="1:18" x14ac:dyDescent="0.3">
      <c r="A212">
        <v>232255</v>
      </c>
      <c r="B212" t="s">
        <v>734</v>
      </c>
      <c r="C212" t="s">
        <v>816</v>
      </c>
      <c r="D212" t="s">
        <v>775</v>
      </c>
      <c r="E212" s="465">
        <v>46357</v>
      </c>
      <c r="F212" s="465">
        <v>46388</v>
      </c>
      <c r="G212" t="s">
        <v>792</v>
      </c>
      <c r="H212" t="s">
        <v>793</v>
      </c>
      <c r="I212" t="s">
        <v>817</v>
      </c>
      <c r="J212">
        <v>-2000</v>
      </c>
      <c r="K212">
        <v>-2000</v>
      </c>
      <c r="O212" t="s">
        <v>742</v>
      </c>
      <c r="Q212" t="s">
        <v>468</v>
      </c>
      <c r="R212">
        <v>0</v>
      </c>
    </row>
    <row r="213" spans="1:18" x14ac:dyDescent="0.3">
      <c r="A213">
        <v>241758</v>
      </c>
      <c r="B213" t="s">
        <v>734</v>
      </c>
      <c r="C213" t="s">
        <v>808</v>
      </c>
      <c r="D213" t="s">
        <v>775</v>
      </c>
      <c r="E213" s="465">
        <v>46357</v>
      </c>
      <c r="F213" s="465">
        <v>46402</v>
      </c>
      <c r="G213" t="s">
        <v>792</v>
      </c>
      <c r="H213" t="s">
        <v>793</v>
      </c>
      <c r="I213" t="s">
        <v>810</v>
      </c>
      <c r="J213">
        <v>-2100</v>
      </c>
      <c r="K213">
        <v>-2100</v>
      </c>
      <c r="O213" t="s">
        <v>742</v>
      </c>
      <c r="Q213" t="s">
        <v>468</v>
      </c>
      <c r="R213">
        <v>0</v>
      </c>
    </row>
    <row r="214" spans="1:18" x14ac:dyDescent="0.3">
      <c r="A214">
        <v>199780</v>
      </c>
      <c r="B214" t="s">
        <v>734</v>
      </c>
      <c r="C214" t="s">
        <v>849</v>
      </c>
      <c r="D214" t="s">
        <v>775</v>
      </c>
      <c r="E214" s="465">
        <v>46357</v>
      </c>
      <c r="F214" s="465">
        <v>46402</v>
      </c>
      <c r="G214" t="s">
        <v>792</v>
      </c>
      <c r="H214" t="s">
        <v>793</v>
      </c>
      <c r="I214" t="s">
        <v>850</v>
      </c>
      <c r="J214">
        <v>-3300</v>
      </c>
      <c r="K214">
        <v>-3300</v>
      </c>
      <c r="M214" t="s">
        <v>851</v>
      </c>
      <c r="N214" t="s">
        <v>130</v>
      </c>
      <c r="O214" t="s">
        <v>742</v>
      </c>
      <c r="Q214" t="s">
        <v>468</v>
      </c>
      <c r="R214">
        <v>0</v>
      </c>
    </row>
    <row r="215" spans="1:18" x14ac:dyDescent="0.3">
      <c r="A215">
        <v>241746</v>
      </c>
      <c r="B215" t="s">
        <v>734</v>
      </c>
      <c r="C215" t="s">
        <v>808</v>
      </c>
      <c r="D215" t="s">
        <v>775</v>
      </c>
      <c r="E215" s="465">
        <v>46357</v>
      </c>
      <c r="F215" s="465">
        <v>46388</v>
      </c>
      <c r="G215" t="s">
        <v>792</v>
      </c>
      <c r="H215" t="s">
        <v>793</v>
      </c>
      <c r="I215" t="s">
        <v>809</v>
      </c>
      <c r="J215">
        <v>-2100</v>
      </c>
      <c r="K215">
        <v>-2100</v>
      </c>
      <c r="O215" t="s">
        <v>742</v>
      </c>
      <c r="Q215" t="s">
        <v>468</v>
      </c>
      <c r="R215">
        <v>0</v>
      </c>
    </row>
    <row r="216" spans="1:18" x14ac:dyDescent="0.3">
      <c r="A216">
        <v>199768</v>
      </c>
      <c r="B216" t="s">
        <v>734</v>
      </c>
      <c r="C216" t="s">
        <v>849</v>
      </c>
      <c r="D216" t="s">
        <v>775</v>
      </c>
      <c r="E216" s="465">
        <v>46357</v>
      </c>
      <c r="F216" s="465">
        <v>46388</v>
      </c>
      <c r="G216" t="s">
        <v>792</v>
      </c>
      <c r="H216" t="s">
        <v>793</v>
      </c>
      <c r="I216" t="s">
        <v>822</v>
      </c>
      <c r="J216">
        <v>-3300</v>
      </c>
      <c r="K216">
        <v>-3300</v>
      </c>
      <c r="M216" t="s">
        <v>851</v>
      </c>
      <c r="N216" t="s">
        <v>130</v>
      </c>
      <c r="O216" t="s">
        <v>742</v>
      </c>
      <c r="Q216" t="s">
        <v>468</v>
      </c>
      <c r="R216">
        <v>0</v>
      </c>
    </row>
    <row r="217" spans="1:18" x14ac:dyDescent="0.3">
      <c r="A217">
        <v>199227</v>
      </c>
      <c r="B217" t="s">
        <v>734</v>
      </c>
      <c r="C217" t="s">
        <v>846</v>
      </c>
      <c r="D217" t="s">
        <v>775</v>
      </c>
      <c r="E217" s="465">
        <v>46357</v>
      </c>
      <c r="F217" s="465">
        <v>46402</v>
      </c>
      <c r="G217" t="s">
        <v>792</v>
      </c>
      <c r="H217" t="s">
        <v>793</v>
      </c>
      <c r="I217" t="s">
        <v>852</v>
      </c>
      <c r="J217">
        <v>-3300</v>
      </c>
      <c r="K217">
        <v>-3300</v>
      </c>
      <c r="M217" t="s">
        <v>848</v>
      </c>
      <c r="N217" t="s">
        <v>131</v>
      </c>
      <c r="O217" t="s">
        <v>742</v>
      </c>
      <c r="Q217" t="s">
        <v>468</v>
      </c>
      <c r="R217">
        <v>0</v>
      </c>
    </row>
    <row r="218" spans="1:18" x14ac:dyDescent="0.3">
      <c r="A218">
        <v>232182</v>
      </c>
      <c r="B218" t="s">
        <v>734</v>
      </c>
      <c r="C218" t="s">
        <v>818</v>
      </c>
      <c r="D218" t="s">
        <v>775</v>
      </c>
      <c r="E218" s="465">
        <v>46357</v>
      </c>
      <c r="F218" s="465">
        <v>46388</v>
      </c>
      <c r="G218" t="s">
        <v>792</v>
      </c>
      <c r="H218" t="s">
        <v>793</v>
      </c>
      <c r="I218" t="s">
        <v>819</v>
      </c>
      <c r="J218">
        <v>-3250</v>
      </c>
      <c r="K218">
        <v>-3250</v>
      </c>
      <c r="O218" t="s">
        <v>742</v>
      </c>
      <c r="Q218" t="s">
        <v>468</v>
      </c>
      <c r="R218">
        <v>0</v>
      </c>
    </row>
    <row r="219" spans="1:18" x14ac:dyDescent="0.3">
      <c r="A219">
        <v>232194</v>
      </c>
      <c r="B219" t="s">
        <v>734</v>
      </c>
      <c r="C219" t="s">
        <v>818</v>
      </c>
      <c r="D219" t="s">
        <v>775</v>
      </c>
      <c r="E219" s="465">
        <v>46357</v>
      </c>
      <c r="F219" s="465">
        <v>46402</v>
      </c>
      <c r="G219" t="s">
        <v>792</v>
      </c>
      <c r="H219" t="s">
        <v>793</v>
      </c>
      <c r="I219" t="s">
        <v>819</v>
      </c>
      <c r="J219">
        <v>-3250</v>
      </c>
      <c r="K219">
        <v>-3250</v>
      </c>
      <c r="O219" t="s">
        <v>742</v>
      </c>
      <c r="Q219" t="s">
        <v>468</v>
      </c>
      <c r="R219">
        <v>0</v>
      </c>
    </row>
    <row r="220" spans="1:18" x14ac:dyDescent="0.3">
      <c r="A220">
        <v>237231</v>
      </c>
      <c r="B220" t="s">
        <v>734</v>
      </c>
      <c r="C220" t="s">
        <v>806</v>
      </c>
      <c r="D220" t="s">
        <v>775</v>
      </c>
      <c r="E220" s="465">
        <v>46357</v>
      </c>
      <c r="F220" s="465">
        <v>46365</v>
      </c>
      <c r="G220" t="s">
        <v>784</v>
      </c>
      <c r="H220" t="s">
        <v>246</v>
      </c>
      <c r="I220" t="s">
        <v>807</v>
      </c>
      <c r="J220">
        <v>-750</v>
      </c>
      <c r="K220">
        <v>-750</v>
      </c>
      <c r="O220" t="s">
        <v>742</v>
      </c>
      <c r="Q220" t="s">
        <v>468</v>
      </c>
      <c r="R220">
        <v>0</v>
      </c>
    </row>
    <row r="221" spans="1:18" x14ac:dyDescent="0.3">
      <c r="A221">
        <v>227304</v>
      </c>
      <c r="B221" t="s">
        <v>734</v>
      </c>
      <c r="C221" t="s">
        <v>827</v>
      </c>
      <c r="D221" t="s">
        <v>775</v>
      </c>
      <c r="E221" s="465">
        <v>46357</v>
      </c>
      <c r="F221" s="465">
        <v>46402</v>
      </c>
      <c r="G221" t="s">
        <v>792</v>
      </c>
      <c r="H221" t="s">
        <v>793</v>
      </c>
      <c r="I221" t="s">
        <v>828</v>
      </c>
      <c r="J221">
        <v>-2000</v>
      </c>
      <c r="K221">
        <v>-2000</v>
      </c>
      <c r="O221" t="s">
        <v>742</v>
      </c>
      <c r="Q221" t="s">
        <v>468</v>
      </c>
      <c r="R221">
        <v>0</v>
      </c>
    </row>
    <row r="222" spans="1:18" x14ac:dyDescent="0.3">
      <c r="A222">
        <v>232267</v>
      </c>
      <c r="B222" t="s">
        <v>734</v>
      </c>
      <c r="C222" t="s">
        <v>816</v>
      </c>
      <c r="D222" t="s">
        <v>775</v>
      </c>
      <c r="E222" s="465">
        <v>46357</v>
      </c>
      <c r="F222" s="465">
        <v>46402</v>
      </c>
      <c r="G222" t="s">
        <v>792</v>
      </c>
      <c r="H222" t="s">
        <v>793</v>
      </c>
      <c r="I222" t="s">
        <v>817</v>
      </c>
      <c r="J222">
        <v>-2000</v>
      </c>
      <c r="K222">
        <v>-2000</v>
      </c>
      <c r="O222" t="s">
        <v>742</v>
      </c>
      <c r="Q222" t="s">
        <v>468</v>
      </c>
      <c r="R222">
        <v>0</v>
      </c>
    </row>
    <row r="223" spans="1:18" x14ac:dyDescent="0.3">
      <c r="A223">
        <v>233297</v>
      </c>
      <c r="B223" t="s">
        <v>734</v>
      </c>
      <c r="C223" t="s">
        <v>783</v>
      </c>
      <c r="D223" t="s">
        <v>775</v>
      </c>
      <c r="E223" s="465">
        <v>46357</v>
      </c>
      <c r="F223" s="465">
        <v>46351</v>
      </c>
      <c r="G223" t="s">
        <v>784</v>
      </c>
      <c r="H223" t="s">
        <v>238</v>
      </c>
      <c r="I223" t="s">
        <v>803</v>
      </c>
      <c r="J223">
        <v>-5000</v>
      </c>
      <c r="K223">
        <v>-5000</v>
      </c>
      <c r="O223" t="s">
        <v>742</v>
      </c>
      <c r="Q223" t="s">
        <v>468</v>
      </c>
      <c r="R223">
        <v>0</v>
      </c>
    </row>
    <row r="224" spans="1:18" x14ac:dyDescent="0.3">
      <c r="A224">
        <v>233313</v>
      </c>
      <c r="B224" t="s">
        <v>734</v>
      </c>
      <c r="C224" t="s">
        <v>783</v>
      </c>
      <c r="D224" t="s">
        <v>775</v>
      </c>
      <c r="E224" s="465">
        <v>46357</v>
      </c>
      <c r="F224" s="465">
        <v>46352</v>
      </c>
      <c r="G224" t="s">
        <v>784</v>
      </c>
      <c r="H224" t="s">
        <v>238</v>
      </c>
      <c r="I224" t="s">
        <v>800</v>
      </c>
      <c r="J224">
        <v>-6000</v>
      </c>
      <c r="K224">
        <v>-6000</v>
      </c>
      <c r="O224" t="s">
        <v>742</v>
      </c>
      <c r="Q224" t="s">
        <v>468</v>
      </c>
      <c r="R224">
        <v>0</v>
      </c>
    </row>
    <row r="225" spans="1:18" x14ac:dyDescent="0.3">
      <c r="A225">
        <v>240020</v>
      </c>
      <c r="B225" t="s">
        <v>734</v>
      </c>
      <c r="C225" t="s">
        <v>783</v>
      </c>
      <c r="D225" t="s">
        <v>775</v>
      </c>
      <c r="E225" s="465">
        <v>46357</v>
      </c>
      <c r="F225" s="465">
        <v>46351</v>
      </c>
      <c r="G225" t="s">
        <v>784</v>
      </c>
      <c r="H225" t="s">
        <v>238</v>
      </c>
      <c r="I225" t="s">
        <v>785</v>
      </c>
      <c r="J225">
        <v>-300</v>
      </c>
      <c r="K225">
        <v>-300</v>
      </c>
      <c r="O225" t="s">
        <v>742</v>
      </c>
      <c r="Q225" t="s">
        <v>468</v>
      </c>
      <c r="R225">
        <v>0</v>
      </c>
    </row>
    <row r="226" spans="1:18" x14ac:dyDescent="0.3">
      <c r="A226">
        <v>237185</v>
      </c>
      <c r="B226" t="s">
        <v>734</v>
      </c>
      <c r="C226" t="s">
        <v>801</v>
      </c>
      <c r="D226" t="s">
        <v>775</v>
      </c>
      <c r="E226" s="465">
        <v>46357</v>
      </c>
      <c r="F226" s="465">
        <v>46366</v>
      </c>
      <c r="G226" t="s">
        <v>784</v>
      </c>
      <c r="H226" t="s">
        <v>241</v>
      </c>
      <c r="I226" t="s">
        <v>802</v>
      </c>
      <c r="J226">
        <v>-1000</v>
      </c>
      <c r="K226">
        <v>-1000</v>
      </c>
      <c r="O226" t="s">
        <v>742</v>
      </c>
      <c r="Q226" t="s">
        <v>468</v>
      </c>
      <c r="R226">
        <v>0</v>
      </c>
    </row>
    <row r="227" spans="1:18" x14ac:dyDescent="0.3">
      <c r="A227">
        <v>234164</v>
      </c>
      <c r="B227" t="s">
        <v>734</v>
      </c>
      <c r="C227" t="s">
        <v>795</v>
      </c>
      <c r="D227" t="s">
        <v>775</v>
      </c>
      <c r="E227" s="465">
        <v>46357</v>
      </c>
      <c r="F227" s="465">
        <v>46392</v>
      </c>
      <c r="G227" t="s">
        <v>787</v>
      </c>
      <c r="H227" t="s">
        <v>788</v>
      </c>
      <c r="I227" t="s">
        <v>796</v>
      </c>
      <c r="J227">
        <v>-40000</v>
      </c>
      <c r="K227">
        <v>-40000</v>
      </c>
      <c r="O227" t="s">
        <v>742</v>
      </c>
      <c r="Q227" t="s">
        <v>468</v>
      </c>
      <c r="R227">
        <v>0</v>
      </c>
    </row>
    <row r="228" spans="1:18" x14ac:dyDescent="0.3">
      <c r="A228">
        <v>235542</v>
      </c>
      <c r="B228" t="s">
        <v>734</v>
      </c>
      <c r="C228" t="s">
        <v>804</v>
      </c>
      <c r="D228" t="s">
        <v>775</v>
      </c>
      <c r="E228" s="465">
        <v>46357</v>
      </c>
      <c r="F228" s="465">
        <v>46402</v>
      </c>
      <c r="G228" t="s">
        <v>792</v>
      </c>
      <c r="H228" t="s">
        <v>793</v>
      </c>
      <c r="I228" t="s">
        <v>811</v>
      </c>
      <c r="J228">
        <v>-2100</v>
      </c>
      <c r="K228">
        <v>-2100</v>
      </c>
      <c r="O228" t="s">
        <v>742</v>
      </c>
      <c r="Q228" t="s">
        <v>468</v>
      </c>
      <c r="R228">
        <v>0</v>
      </c>
    </row>
    <row r="229" spans="1:18" x14ac:dyDescent="0.3">
      <c r="A229">
        <v>235522</v>
      </c>
      <c r="B229" t="s">
        <v>734</v>
      </c>
      <c r="C229" t="s">
        <v>804</v>
      </c>
      <c r="D229" t="s">
        <v>775</v>
      </c>
      <c r="E229" s="465">
        <v>46357</v>
      </c>
      <c r="F229" s="465">
        <v>46388</v>
      </c>
      <c r="G229" t="s">
        <v>792</v>
      </c>
      <c r="H229" t="s">
        <v>793</v>
      </c>
      <c r="I229" t="s">
        <v>805</v>
      </c>
      <c r="J229">
        <v>-2100</v>
      </c>
      <c r="K229">
        <v>-2100</v>
      </c>
      <c r="O229" t="s">
        <v>742</v>
      </c>
      <c r="Q229" t="s">
        <v>468</v>
      </c>
      <c r="R229">
        <v>0</v>
      </c>
    </row>
    <row r="230" spans="1:18" x14ac:dyDescent="0.3">
      <c r="A230">
        <v>199842</v>
      </c>
      <c r="B230" t="s">
        <v>734</v>
      </c>
      <c r="C230" t="s">
        <v>853</v>
      </c>
      <c r="D230" t="s">
        <v>775</v>
      </c>
      <c r="E230" s="465">
        <v>46357</v>
      </c>
      <c r="F230" s="465">
        <v>46388</v>
      </c>
      <c r="G230" t="s">
        <v>792</v>
      </c>
      <c r="H230" t="s">
        <v>793</v>
      </c>
      <c r="I230" t="s">
        <v>822</v>
      </c>
      <c r="J230">
        <v>-2250</v>
      </c>
      <c r="K230">
        <v>-2250</v>
      </c>
      <c r="M230" t="s">
        <v>854</v>
      </c>
      <c r="N230" t="s">
        <v>138</v>
      </c>
      <c r="O230" t="s">
        <v>742</v>
      </c>
      <c r="Q230" t="s">
        <v>468</v>
      </c>
      <c r="R230">
        <v>0</v>
      </c>
    </row>
    <row r="231" spans="1:18" x14ac:dyDescent="0.3">
      <c r="A231">
        <v>230526</v>
      </c>
      <c r="B231" t="s">
        <v>734</v>
      </c>
      <c r="C231" t="s">
        <v>824</v>
      </c>
      <c r="D231" t="s">
        <v>775</v>
      </c>
      <c r="E231" s="465">
        <v>46357</v>
      </c>
      <c r="F231" s="465">
        <v>46374</v>
      </c>
      <c r="G231" t="s">
        <v>825</v>
      </c>
      <c r="H231" t="s">
        <v>826</v>
      </c>
      <c r="J231">
        <v>-700</v>
      </c>
      <c r="K231">
        <v>-700</v>
      </c>
      <c r="O231" t="s">
        <v>742</v>
      </c>
      <c r="Q231" t="s">
        <v>468</v>
      </c>
      <c r="R231">
        <v>0</v>
      </c>
    </row>
    <row r="232" spans="1:18" x14ac:dyDescent="0.3">
      <c r="A232">
        <v>199855</v>
      </c>
      <c r="B232" t="s">
        <v>734</v>
      </c>
      <c r="C232" t="s">
        <v>853</v>
      </c>
      <c r="D232" t="s">
        <v>775</v>
      </c>
      <c r="E232" s="465">
        <v>46357</v>
      </c>
      <c r="F232" s="465">
        <v>46402</v>
      </c>
      <c r="G232" t="s">
        <v>792</v>
      </c>
      <c r="H232" t="s">
        <v>793</v>
      </c>
      <c r="I232" t="s">
        <v>850</v>
      </c>
      <c r="J232">
        <v>-2250</v>
      </c>
      <c r="K232">
        <v>-2250</v>
      </c>
      <c r="M232" t="s">
        <v>854</v>
      </c>
      <c r="N232" t="s">
        <v>138</v>
      </c>
      <c r="O232" t="s">
        <v>742</v>
      </c>
      <c r="Q232" t="s">
        <v>468</v>
      </c>
      <c r="R232">
        <v>0</v>
      </c>
    </row>
    <row r="233" spans="1:18" x14ac:dyDescent="0.3">
      <c r="A233">
        <v>237255</v>
      </c>
      <c r="B233" t="s">
        <v>734</v>
      </c>
      <c r="C233" t="s">
        <v>797</v>
      </c>
      <c r="D233" t="s">
        <v>775</v>
      </c>
      <c r="E233" s="465">
        <v>46357</v>
      </c>
      <c r="F233" s="465">
        <v>46366</v>
      </c>
      <c r="G233" t="s">
        <v>784</v>
      </c>
      <c r="H233" t="s">
        <v>798</v>
      </c>
      <c r="J233">
        <v>-100</v>
      </c>
      <c r="K233">
        <v>-100</v>
      </c>
      <c r="O233" t="s">
        <v>742</v>
      </c>
      <c r="Q233" t="s">
        <v>468</v>
      </c>
      <c r="R233">
        <v>0</v>
      </c>
    </row>
    <row r="234" spans="1:18" x14ac:dyDescent="0.3">
      <c r="A234">
        <v>241782</v>
      </c>
      <c r="B234" t="s">
        <v>734</v>
      </c>
      <c r="C234" t="s">
        <v>812</v>
      </c>
      <c r="D234" t="s">
        <v>775</v>
      </c>
      <c r="E234" s="465">
        <v>46357</v>
      </c>
      <c r="F234" s="465">
        <v>46402</v>
      </c>
      <c r="G234" t="s">
        <v>792</v>
      </c>
      <c r="H234" t="s">
        <v>793</v>
      </c>
      <c r="I234" t="s">
        <v>810</v>
      </c>
      <c r="J234">
        <v>-2100</v>
      </c>
      <c r="K234">
        <v>-2100</v>
      </c>
      <c r="O234" t="s">
        <v>742</v>
      </c>
      <c r="Q234" t="s">
        <v>468</v>
      </c>
      <c r="R234">
        <v>0</v>
      </c>
    </row>
    <row r="235" spans="1:18" x14ac:dyDescent="0.3">
      <c r="A235">
        <v>200021</v>
      </c>
      <c r="B235" t="s">
        <v>734</v>
      </c>
      <c r="C235" t="s">
        <v>855</v>
      </c>
      <c r="D235" t="s">
        <v>775</v>
      </c>
      <c r="E235" s="465">
        <v>46357</v>
      </c>
      <c r="F235" s="465">
        <v>46402</v>
      </c>
      <c r="G235" t="s">
        <v>307</v>
      </c>
      <c r="H235" t="s">
        <v>313</v>
      </c>
      <c r="I235" t="s">
        <v>850</v>
      </c>
      <c r="J235">
        <v>-10000</v>
      </c>
      <c r="K235">
        <v>-10000</v>
      </c>
      <c r="O235" t="s">
        <v>742</v>
      </c>
      <c r="Q235" t="s">
        <v>468</v>
      </c>
      <c r="R235">
        <v>0</v>
      </c>
    </row>
    <row r="236" spans="1:18" x14ac:dyDescent="0.3">
      <c r="A236">
        <v>230538</v>
      </c>
      <c r="B236" t="s">
        <v>734</v>
      </c>
      <c r="C236" t="s">
        <v>824</v>
      </c>
      <c r="D236" t="s">
        <v>775</v>
      </c>
      <c r="E236" s="465">
        <v>46357</v>
      </c>
      <c r="F236" s="465">
        <v>46374</v>
      </c>
      <c r="G236" t="s">
        <v>825</v>
      </c>
      <c r="H236" t="s">
        <v>826</v>
      </c>
      <c r="J236">
        <v>-400</v>
      </c>
      <c r="K236">
        <v>-400</v>
      </c>
      <c r="O236" t="s">
        <v>742</v>
      </c>
      <c r="Q236" t="s">
        <v>468</v>
      </c>
      <c r="R236">
        <v>0</v>
      </c>
    </row>
    <row r="237" spans="1:18" x14ac:dyDescent="0.3">
      <c r="A237">
        <v>241770</v>
      </c>
      <c r="B237" t="s">
        <v>734</v>
      </c>
      <c r="C237" t="s">
        <v>812</v>
      </c>
      <c r="D237" t="s">
        <v>775</v>
      </c>
      <c r="E237" s="465">
        <v>46357</v>
      </c>
      <c r="F237" s="465">
        <v>46388</v>
      </c>
      <c r="G237" t="s">
        <v>792</v>
      </c>
      <c r="H237" t="s">
        <v>793</v>
      </c>
      <c r="I237" t="s">
        <v>813</v>
      </c>
      <c r="J237">
        <v>-2100</v>
      </c>
      <c r="K237">
        <v>-2100</v>
      </c>
      <c r="O237" t="s">
        <v>742</v>
      </c>
      <c r="Q237" t="s">
        <v>468</v>
      </c>
      <c r="R237">
        <v>0</v>
      </c>
    </row>
    <row r="238" spans="1:18" x14ac:dyDescent="0.3">
      <c r="A238">
        <v>249240</v>
      </c>
      <c r="B238" t="s">
        <v>734</v>
      </c>
      <c r="C238" t="s">
        <v>795</v>
      </c>
      <c r="D238" t="s">
        <v>775</v>
      </c>
      <c r="E238" s="465">
        <v>46357</v>
      </c>
      <c r="F238" s="465">
        <v>46376</v>
      </c>
      <c r="G238" t="s">
        <v>787</v>
      </c>
      <c r="H238" t="s">
        <v>788</v>
      </c>
      <c r="I238" t="s">
        <v>856</v>
      </c>
      <c r="J238">
        <v>-39000</v>
      </c>
      <c r="K238">
        <v>-39000</v>
      </c>
      <c r="O238" t="s">
        <v>742</v>
      </c>
      <c r="Q238" t="s">
        <v>468</v>
      </c>
      <c r="R238">
        <v>0</v>
      </c>
    </row>
    <row r="239" spans="1:18" x14ac:dyDescent="0.3">
      <c r="A239">
        <v>249033</v>
      </c>
      <c r="B239" t="s">
        <v>734</v>
      </c>
      <c r="C239" t="s">
        <v>48</v>
      </c>
      <c r="D239" t="s">
        <v>775</v>
      </c>
      <c r="E239" s="465">
        <v>46356</v>
      </c>
      <c r="F239" s="465">
        <v>46376</v>
      </c>
      <c r="G239" t="s">
        <v>835</v>
      </c>
      <c r="H239" t="s">
        <v>48</v>
      </c>
      <c r="J239">
        <v>-15000</v>
      </c>
      <c r="K239">
        <v>-15000</v>
      </c>
      <c r="O239" t="s">
        <v>742</v>
      </c>
      <c r="Q239" t="s">
        <v>467</v>
      </c>
      <c r="R239">
        <v>0</v>
      </c>
    </row>
    <row r="240" spans="1:18" x14ac:dyDescent="0.3">
      <c r="A240">
        <v>228287</v>
      </c>
      <c r="B240" t="s">
        <v>734</v>
      </c>
      <c r="C240" t="s">
        <v>830</v>
      </c>
      <c r="D240" t="s">
        <v>775</v>
      </c>
      <c r="E240" s="465">
        <v>46356</v>
      </c>
      <c r="F240" s="465">
        <v>46360</v>
      </c>
      <c r="G240" t="s">
        <v>263</v>
      </c>
      <c r="H240" t="s">
        <v>265</v>
      </c>
      <c r="J240">
        <v>-1500</v>
      </c>
      <c r="K240">
        <v>-1500</v>
      </c>
      <c r="O240" t="s">
        <v>742</v>
      </c>
      <c r="Q240" t="s">
        <v>467</v>
      </c>
      <c r="R240">
        <v>0</v>
      </c>
    </row>
    <row r="241" spans="1:18" x14ac:dyDescent="0.3">
      <c r="A241">
        <v>249041</v>
      </c>
      <c r="B241" t="s">
        <v>734</v>
      </c>
      <c r="C241" t="s">
        <v>428</v>
      </c>
      <c r="D241" t="s">
        <v>775</v>
      </c>
      <c r="E241" s="465">
        <v>46356</v>
      </c>
      <c r="F241" s="465">
        <v>46376</v>
      </c>
      <c r="G241" t="s">
        <v>833</v>
      </c>
      <c r="H241" t="s">
        <v>348</v>
      </c>
      <c r="J241">
        <v>-5000</v>
      </c>
      <c r="K241">
        <v>-5000</v>
      </c>
      <c r="O241" t="s">
        <v>742</v>
      </c>
      <c r="Q241" t="s">
        <v>467</v>
      </c>
      <c r="R241">
        <v>0</v>
      </c>
    </row>
    <row r="242" spans="1:18" x14ac:dyDescent="0.3">
      <c r="A242">
        <v>231980</v>
      </c>
      <c r="B242" t="s">
        <v>734</v>
      </c>
      <c r="C242" t="s">
        <v>832</v>
      </c>
      <c r="D242" t="s">
        <v>775</v>
      </c>
      <c r="E242" s="465">
        <v>46356</v>
      </c>
      <c r="F242" s="465">
        <v>46368</v>
      </c>
      <c r="G242" t="s">
        <v>295</v>
      </c>
      <c r="H242" t="s">
        <v>297</v>
      </c>
      <c r="J242">
        <v>-1000</v>
      </c>
      <c r="K242">
        <v>-1000</v>
      </c>
      <c r="O242" t="s">
        <v>742</v>
      </c>
      <c r="Q242" t="s">
        <v>467</v>
      </c>
      <c r="R242">
        <v>0</v>
      </c>
    </row>
    <row r="243" spans="1:18" x14ac:dyDescent="0.3">
      <c r="A243">
        <v>223693</v>
      </c>
      <c r="B243" t="s">
        <v>734</v>
      </c>
      <c r="C243" t="s">
        <v>49</v>
      </c>
      <c r="D243" t="s">
        <v>775</v>
      </c>
      <c r="E243" s="465">
        <v>46356</v>
      </c>
      <c r="F243" s="465">
        <v>46366</v>
      </c>
      <c r="G243" t="s">
        <v>835</v>
      </c>
      <c r="H243" t="s">
        <v>49</v>
      </c>
      <c r="J243">
        <v>-250</v>
      </c>
      <c r="K243">
        <v>-250</v>
      </c>
      <c r="O243" t="s">
        <v>742</v>
      </c>
      <c r="Q243" t="s">
        <v>467</v>
      </c>
      <c r="R243">
        <v>0</v>
      </c>
    </row>
    <row r="244" spans="1:18" x14ac:dyDescent="0.3">
      <c r="A244">
        <v>228996</v>
      </c>
      <c r="B244" t="s">
        <v>734</v>
      </c>
      <c r="C244" t="s">
        <v>836</v>
      </c>
      <c r="D244" t="s">
        <v>775</v>
      </c>
      <c r="E244" s="465">
        <v>46356</v>
      </c>
      <c r="F244" s="465">
        <v>46376</v>
      </c>
      <c r="G244" t="s">
        <v>837</v>
      </c>
      <c r="H244" t="s">
        <v>345</v>
      </c>
      <c r="J244">
        <v>-10000</v>
      </c>
      <c r="K244">
        <v>-10000</v>
      </c>
      <c r="O244" t="s">
        <v>742</v>
      </c>
      <c r="Q244" t="s">
        <v>467</v>
      </c>
      <c r="R244">
        <v>0</v>
      </c>
    </row>
    <row r="245" spans="1:18" x14ac:dyDescent="0.3">
      <c r="A245">
        <v>241343</v>
      </c>
      <c r="B245" t="s">
        <v>734</v>
      </c>
      <c r="C245" t="s">
        <v>838</v>
      </c>
      <c r="D245" t="s">
        <v>775</v>
      </c>
      <c r="E245" s="465">
        <v>46355</v>
      </c>
      <c r="F245" s="465">
        <v>46361</v>
      </c>
      <c r="G245" t="s">
        <v>255</v>
      </c>
      <c r="H245" t="s">
        <v>260</v>
      </c>
      <c r="I245" t="s">
        <v>839</v>
      </c>
      <c r="J245">
        <v>-506.88</v>
      </c>
      <c r="K245">
        <v>-506.88</v>
      </c>
      <c r="O245" t="s">
        <v>742</v>
      </c>
      <c r="Q245" t="s">
        <v>467</v>
      </c>
      <c r="R245">
        <v>0</v>
      </c>
    </row>
    <row r="246" spans="1:18" x14ac:dyDescent="0.3">
      <c r="A246">
        <v>238533</v>
      </c>
      <c r="B246" t="s">
        <v>734</v>
      </c>
      <c r="C246" t="s">
        <v>840</v>
      </c>
      <c r="D246" t="s">
        <v>775</v>
      </c>
      <c r="E246" s="465">
        <v>46341</v>
      </c>
      <c r="F246" s="465">
        <v>46354</v>
      </c>
      <c r="G246" t="s">
        <v>278</v>
      </c>
      <c r="H246" t="s">
        <v>283</v>
      </c>
      <c r="I246" t="s">
        <v>841</v>
      </c>
      <c r="J246">
        <v>-219</v>
      </c>
      <c r="K246">
        <v>-219</v>
      </c>
      <c r="O246" t="s">
        <v>742</v>
      </c>
      <c r="Q246" t="s">
        <v>467</v>
      </c>
      <c r="R246">
        <v>0</v>
      </c>
    </row>
    <row r="247" spans="1:18" x14ac:dyDescent="0.3">
      <c r="A247">
        <v>224322</v>
      </c>
      <c r="B247" t="s">
        <v>734</v>
      </c>
      <c r="C247" t="s">
        <v>814</v>
      </c>
      <c r="D247" t="s">
        <v>775</v>
      </c>
      <c r="E247" s="465">
        <v>46340</v>
      </c>
      <c r="F247" s="465">
        <v>46346</v>
      </c>
      <c r="G247" t="s">
        <v>307</v>
      </c>
      <c r="H247" t="s">
        <v>312</v>
      </c>
      <c r="J247">
        <v>-2200</v>
      </c>
      <c r="K247">
        <v>-2200</v>
      </c>
      <c r="O247" t="s">
        <v>742</v>
      </c>
      <c r="Q247" t="s">
        <v>467</v>
      </c>
      <c r="R247">
        <v>0</v>
      </c>
    </row>
    <row r="248" spans="1:18" x14ac:dyDescent="0.3">
      <c r="A248">
        <v>147609</v>
      </c>
      <c r="B248" t="s">
        <v>734</v>
      </c>
      <c r="C248" t="s">
        <v>735</v>
      </c>
      <c r="E248" s="465">
        <v>46336</v>
      </c>
      <c r="F248" s="465">
        <v>46361</v>
      </c>
      <c r="G248" t="s">
        <v>255</v>
      </c>
      <c r="H248" t="s">
        <v>256</v>
      </c>
      <c r="I248" t="s">
        <v>737</v>
      </c>
      <c r="J248">
        <v>-140000</v>
      </c>
      <c r="K248">
        <v>-140000</v>
      </c>
      <c r="O248" t="s">
        <v>742</v>
      </c>
      <c r="Q248" t="s">
        <v>467</v>
      </c>
      <c r="R248">
        <v>0</v>
      </c>
    </row>
    <row r="249" spans="1:18" x14ac:dyDescent="0.3">
      <c r="A249">
        <v>237455</v>
      </c>
      <c r="B249" t="s">
        <v>734</v>
      </c>
      <c r="C249" t="s">
        <v>842</v>
      </c>
      <c r="D249" t="s">
        <v>775</v>
      </c>
      <c r="E249" s="465">
        <v>46335</v>
      </c>
      <c r="F249" s="465">
        <v>46366</v>
      </c>
      <c r="G249" t="s">
        <v>278</v>
      </c>
      <c r="H249" t="s">
        <v>280</v>
      </c>
      <c r="J249">
        <v>-1000</v>
      </c>
      <c r="K249">
        <v>-1000</v>
      </c>
      <c r="O249" t="s">
        <v>742</v>
      </c>
      <c r="Q249" t="s">
        <v>467</v>
      </c>
      <c r="R249">
        <v>0</v>
      </c>
    </row>
    <row r="250" spans="1:18" x14ac:dyDescent="0.3">
      <c r="A250">
        <v>223349</v>
      </c>
      <c r="B250" t="s">
        <v>734</v>
      </c>
      <c r="C250" t="s">
        <v>843</v>
      </c>
      <c r="D250" t="s">
        <v>844</v>
      </c>
      <c r="E250" s="465">
        <v>46334</v>
      </c>
      <c r="F250" s="465">
        <v>46376</v>
      </c>
      <c r="G250" t="s">
        <v>833</v>
      </c>
      <c r="H250" t="s">
        <v>363</v>
      </c>
      <c r="I250" t="s">
        <v>845</v>
      </c>
      <c r="J250">
        <v>-4159.12</v>
      </c>
      <c r="K250">
        <v>-4159.12</v>
      </c>
      <c r="O250" t="s">
        <v>738</v>
      </c>
      <c r="Q250" t="s">
        <v>467</v>
      </c>
      <c r="R250">
        <v>0</v>
      </c>
    </row>
    <row r="251" spans="1:18" x14ac:dyDescent="0.3">
      <c r="A251">
        <v>248875</v>
      </c>
      <c r="B251" t="s">
        <v>734</v>
      </c>
      <c r="C251" t="s">
        <v>791</v>
      </c>
      <c r="D251" t="s">
        <v>775</v>
      </c>
      <c r="E251" s="465">
        <v>46333</v>
      </c>
      <c r="F251" s="465">
        <v>46371</v>
      </c>
      <c r="G251" t="s">
        <v>792</v>
      </c>
      <c r="H251" t="s">
        <v>793</v>
      </c>
      <c r="I251" t="s">
        <v>794</v>
      </c>
      <c r="J251">
        <v>-4500</v>
      </c>
      <c r="K251">
        <v>-4500</v>
      </c>
      <c r="O251" t="s">
        <v>742</v>
      </c>
      <c r="Q251" t="s">
        <v>467</v>
      </c>
      <c r="R251">
        <v>0</v>
      </c>
    </row>
    <row r="252" spans="1:18" x14ac:dyDescent="0.3">
      <c r="A252">
        <v>234163</v>
      </c>
      <c r="B252" t="s">
        <v>734</v>
      </c>
      <c r="C252" t="s">
        <v>795</v>
      </c>
      <c r="D252" t="s">
        <v>775</v>
      </c>
      <c r="E252" s="465">
        <v>46327</v>
      </c>
      <c r="F252" s="465">
        <v>46361</v>
      </c>
      <c r="G252" t="s">
        <v>787</v>
      </c>
      <c r="H252" t="s">
        <v>788</v>
      </c>
      <c r="I252" t="s">
        <v>796</v>
      </c>
      <c r="J252">
        <v>-40000</v>
      </c>
      <c r="K252">
        <v>-40000</v>
      </c>
      <c r="O252" t="s">
        <v>742</v>
      </c>
      <c r="Q252" t="s">
        <v>467</v>
      </c>
      <c r="R252">
        <v>0</v>
      </c>
    </row>
    <row r="253" spans="1:18" x14ac:dyDescent="0.3">
      <c r="A253">
        <v>237184</v>
      </c>
      <c r="B253" t="s">
        <v>734</v>
      </c>
      <c r="C253" t="s">
        <v>801</v>
      </c>
      <c r="D253" t="s">
        <v>775</v>
      </c>
      <c r="E253" s="465">
        <v>46327</v>
      </c>
      <c r="F253" s="465">
        <v>46336</v>
      </c>
      <c r="G253" t="s">
        <v>784</v>
      </c>
      <c r="H253" t="s">
        <v>241</v>
      </c>
      <c r="I253" t="s">
        <v>802</v>
      </c>
      <c r="J253">
        <v>-1000</v>
      </c>
      <c r="K253">
        <v>-1000</v>
      </c>
      <c r="O253" t="s">
        <v>742</v>
      </c>
      <c r="Q253" t="s">
        <v>467</v>
      </c>
      <c r="R253">
        <v>0</v>
      </c>
    </row>
    <row r="254" spans="1:18" x14ac:dyDescent="0.3">
      <c r="A254">
        <v>227303</v>
      </c>
      <c r="B254" t="s">
        <v>734</v>
      </c>
      <c r="C254" t="s">
        <v>827</v>
      </c>
      <c r="D254" t="s">
        <v>775</v>
      </c>
      <c r="E254" s="465">
        <v>46327</v>
      </c>
      <c r="F254" s="465">
        <v>46371</v>
      </c>
      <c r="G254" t="s">
        <v>792</v>
      </c>
      <c r="H254" t="s">
        <v>793</v>
      </c>
      <c r="I254" t="s">
        <v>828</v>
      </c>
      <c r="J254">
        <v>-2000</v>
      </c>
      <c r="K254">
        <v>-2000</v>
      </c>
      <c r="O254" t="s">
        <v>742</v>
      </c>
      <c r="Q254" t="s">
        <v>467</v>
      </c>
      <c r="R254">
        <v>0</v>
      </c>
    </row>
    <row r="255" spans="1:18" x14ac:dyDescent="0.3">
      <c r="A255">
        <v>227291</v>
      </c>
      <c r="B255" t="s">
        <v>734</v>
      </c>
      <c r="C255" t="s">
        <v>827</v>
      </c>
      <c r="D255" t="s">
        <v>775</v>
      </c>
      <c r="E255" s="465">
        <v>46327</v>
      </c>
      <c r="F255" s="465">
        <v>46357</v>
      </c>
      <c r="G255" t="s">
        <v>792</v>
      </c>
      <c r="H255" t="s">
        <v>793</v>
      </c>
      <c r="I255" t="s">
        <v>829</v>
      </c>
      <c r="J255">
        <v>-2000</v>
      </c>
      <c r="K255">
        <v>-2000</v>
      </c>
      <c r="O255" t="s">
        <v>742</v>
      </c>
      <c r="Q255" t="s">
        <v>467</v>
      </c>
      <c r="R255">
        <v>0</v>
      </c>
    </row>
    <row r="256" spans="1:18" x14ac:dyDescent="0.3">
      <c r="A256">
        <v>240019</v>
      </c>
      <c r="B256" t="s">
        <v>734</v>
      </c>
      <c r="C256" t="s">
        <v>783</v>
      </c>
      <c r="D256" t="s">
        <v>775</v>
      </c>
      <c r="E256" s="465">
        <v>46327</v>
      </c>
      <c r="F256" s="465">
        <v>46320</v>
      </c>
      <c r="G256" t="s">
        <v>784</v>
      </c>
      <c r="H256" t="s">
        <v>238</v>
      </c>
      <c r="I256" t="s">
        <v>785</v>
      </c>
      <c r="J256">
        <v>-300</v>
      </c>
      <c r="K256">
        <v>-300</v>
      </c>
      <c r="O256" t="s">
        <v>742</v>
      </c>
      <c r="Q256" t="s">
        <v>467</v>
      </c>
      <c r="R256">
        <v>0</v>
      </c>
    </row>
    <row r="257" spans="1:18" x14ac:dyDescent="0.3">
      <c r="A257">
        <v>241781</v>
      </c>
      <c r="B257" t="s">
        <v>734</v>
      </c>
      <c r="C257" t="s">
        <v>812</v>
      </c>
      <c r="D257" t="s">
        <v>775</v>
      </c>
      <c r="E257" s="465">
        <v>46327</v>
      </c>
      <c r="F257" s="465">
        <v>46371</v>
      </c>
      <c r="G257" t="s">
        <v>792</v>
      </c>
      <c r="H257" t="s">
        <v>793</v>
      </c>
      <c r="I257" t="s">
        <v>810</v>
      </c>
      <c r="J257">
        <v>-2100</v>
      </c>
      <c r="K257">
        <v>-2100</v>
      </c>
      <c r="O257" t="s">
        <v>742</v>
      </c>
      <c r="Q257" t="s">
        <v>467</v>
      </c>
      <c r="R257">
        <v>0</v>
      </c>
    </row>
    <row r="258" spans="1:18" x14ac:dyDescent="0.3">
      <c r="A258">
        <v>233312</v>
      </c>
      <c r="B258" t="s">
        <v>734</v>
      </c>
      <c r="C258" t="s">
        <v>783</v>
      </c>
      <c r="D258" t="s">
        <v>775</v>
      </c>
      <c r="E258" s="465">
        <v>46327</v>
      </c>
      <c r="F258" s="465">
        <v>46321</v>
      </c>
      <c r="G258" t="s">
        <v>784</v>
      </c>
      <c r="H258" t="s">
        <v>238</v>
      </c>
      <c r="I258" t="s">
        <v>800</v>
      </c>
      <c r="J258">
        <v>-6000</v>
      </c>
      <c r="K258">
        <v>-6000</v>
      </c>
      <c r="O258" t="s">
        <v>742</v>
      </c>
      <c r="Q258" t="s">
        <v>467</v>
      </c>
      <c r="R258">
        <v>0</v>
      </c>
    </row>
    <row r="259" spans="1:18" x14ac:dyDescent="0.3">
      <c r="A259">
        <v>235541</v>
      </c>
      <c r="B259" t="s">
        <v>734</v>
      </c>
      <c r="C259" t="s">
        <v>804</v>
      </c>
      <c r="D259" t="s">
        <v>775</v>
      </c>
      <c r="E259" s="465">
        <v>46327</v>
      </c>
      <c r="F259" s="465">
        <v>46371</v>
      </c>
      <c r="G259" t="s">
        <v>792</v>
      </c>
      <c r="H259" t="s">
        <v>793</v>
      </c>
      <c r="I259" t="s">
        <v>811</v>
      </c>
      <c r="J259">
        <v>-2100</v>
      </c>
      <c r="K259">
        <v>-2100</v>
      </c>
      <c r="O259" t="s">
        <v>742</v>
      </c>
      <c r="Q259" t="s">
        <v>467</v>
      </c>
      <c r="R259">
        <v>0</v>
      </c>
    </row>
    <row r="260" spans="1:18" x14ac:dyDescent="0.3">
      <c r="A260">
        <v>230525</v>
      </c>
      <c r="B260" t="s">
        <v>734</v>
      </c>
      <c r="C260" t="s">
        <v>824</v>
      </c>
      <c r="D260" t="s">
        <v>775</v>
      </c>
      <c r="E260" s="465">
        <v>46327</v>
      </c>
      <c r="F260" s="465">
        <v>46344</v>
      </c>
      <c r="G260" t="s">
        <v>825</v>
      </c>
      <c r="H260" t="s">
        <v>826</v>
      </c>
      <c r="J260">
        <v>-700</v>
      </c>
      <c r="K260">
        <v>-700</v>
      </c>
      <c r="O260" t="s">
        <v>742</v>
      </c>
      <c r="Q260" t="s">
        <v>467</v>
      </c>
      <c r="R260">
        <v>0</v>
      </c>
    </row>
    <row r="261" spans="1:18" x14ac:dyDescent="0.3">
      <c r="A261">
        <v>233296</v>
      </c>
      <c r="B261" t="s">
        <v>734</v>
      </c>
      <c r="C261" t="s">
        <v>783</v>
      </c>
      <c r="D261" t="s">
        <v>775</v>
      </c>
      <c r="E261" s="465">
        <v>46327</v>
      </c>
      <c r="F261" s="465">
        <v>46320</v>
      </c>
      <c r="G261" t="s">
        <v>784</v>
      </c>
      <c r="H261" t="s">
        <v>238</v>
      </c>
      <c r="I261" t="s">
        <v>803</v>
      </c>
      <c r="J261">
        <v>-5000</v>
      </c>
      <c r="K261">
        <v>-5000</v>
      </c>
      <c r="O261" t="s">
        <v>742</v>
      </c>
      <c r="Q261" t="s">
        <v>467</v>
      </c>
      <c r="R261">
        <v>0</v>
      </c>
    </row>
    <row r="262" spans="1:18" x14ac:dyDescent="0.3">
      <c r="A262">
        <v>232266</v>
      </c>
      <c r="B262" t="s">
        <v>734</v>
      </c>
      <c r="C262" t="s">
        <v>816</v>
      </c>
      <c r="D262" t="s">
        <v>775</v>
      </c>
      <c r="E262" s="465">
        <v>46327</v>
      </c>
      <c r="F262" s="465">
        <v>46371</v>
      </c>
      <c r="G262" t="s">
        <v>792</v>
      </c>
      <c r="H262" t="s">
        <v>793</v>
      </c>
      <c r="I262" t="s">
        <v>817</v>
      </c>
      <c r="J262">
        <v>-2000</v>
      </c>
      <c r="K262">
        <v>-2000</v>
      </c>
      <c r="O262" t="s">
        <v>742</v>
      </c>
      <c r="Q262" t="s">
        <v>467</v>
      </c>
      <c r="R262">
        <v>0</v>
      </c>
    </row>
    <row r="263" spans="1:18" x14ac:dyDescent="0.3">
      <c r="A263">
        <v>238190</v>
      </c>
      <c r="B263" t="s">
        <v>734</v>
      </c>
      <c r="C263" t="s">
        <v>428</v>
      </c>
      <c r="D263" t="s">
        <v>775</v>
      </c>
      <c r="E263" s="465">
        <v>46327</v>
      </c>
      <c r="F263" s="465">
        <v>46315</v>
      </c>
      <c r="G263" t="s">
        <v>776</v>
      </c>
      <c r="H263" t="s">
        <v>210</v>
      </c>
      <c r="I263" t="s">
        <v>777</v>
      </c>
      <c r="J263">
        <v>-34000</v>
      </c>
      <c r="K263">
        <v>-34000</v>
      </c>
      <c r="O263" t="s">
        <v>742</v>
      </c>
      <c r="Q263" t="s">
        <v>467</v>
      </c>
      <c r="R263">
        <v>0</v>
      </c>
    </row>
    <row r="264" spans="1:18" x14ac:dyDescent="0.3">
      <c r="A264">
        <v>237230</v>
      </c>
      <c r="B264" t="s">
        <v>734</v>
      </c>
      <c r="C264" t="s">
        <v>806</v>
      </c>
      <c r="D264" t="s">
        <v>775</v>
      </c>
      <c r="E264" s="465">
        <v>46327</v>
      </c>
      <c r="F264" s="465">
        <v>46335</v>
      </c>
      <c r="G264" t="s">
        <v>784</v>
      </c>
      <c r="H264" t="s">
        <v>246</v>
      </c>
      <c r="I264" t="s">
        <v>807</v>
      </c>
      <c r="J264">
        <v>-750</v>
      </c>
      <c r="K264">
        <v>-750</v>
      </c>
      <c r="O264" t="s">
        <v>742</v>
      </c>
      <c r="Q264" t="s">
        <v>467</v>
      </c>
      <c r="R264">
        <v>0</v>
      </c>
    </row>
    <row r="265" spans="1:18" x14ac:dyDescent="0.3">
      <c r="A265">
        <v>230537</v>
      </c>
      <c r="B265" t="s">
        <v>734</v>
      </c>
      <c r="C265" t="s">
        <v>824</v>
      </c>
      <c r="D265" t="s">
        <v>775</v>
      </c>
      <c r="E265" s="465">
        <v>46327</v>
      </c>
      <c r="F265" s="465">
        <v>46344</v>
      </c>
      <c r="G265" t="s">
        <v>825</v>
      </c>
      <c r="H265" t="s">
        <v>826</v>
      </c>
      <c r="J265">
        <v>-400</v>
      </c>
      <c r="K265">
        <v>-400</v>
      </c>
      <c r="O265" t="s">
        <v>742</v>
      </c>
      <c r="Q265" t="s">
        <v>467</v>
      </c>
      <c r="R265">
        <v>0</v>
      </c>
    </row>
    <row r="266" spans="1:18" x14ac:dyDescent="0.3">
      <c r="A266">
        <v>232254</v>
      </c>
      <c r="B266" t="s">
        <v>734</v>
      </c>
      <c r="C266" t="s">
        <v>816</v>
      </c>
      <c r="D266" t="s">
        <v>775</v>
      </c>
      <c r="E266" s="465">
        <v>46327</v>
      </c>
      <c r="F266" s="465">
        <v>46357</v>
      </c>
      <c r="G266" t="s">
        <v>792</v>
      </c>
      <c r="H266" t="s">
        <v>793</v>
      </c>
      <c r="I266" t="s">
        <v>817</v>
      </c>
      <c r="J266">
        <v>-2000</v>
      </c>
      <c r="K266">
        <v>-2000</v>
      </c>
      <c r="O266" t="s">
        <v>742</v>
      </c>
      <c r="Q266" t="s">
        <v>467</v>
      </c>
      <c r="R266">
        <v>0</v>
      </c>
    </row>
    <row r="267" spans="1:18" x14ac:dyDescent="0.3">
      <c r="A267">
        <v>232193</v>
      </c>
      <c r="B267" t="s">
        <v>734</v>
      </c>
      <c r="C267" t="s">
        <v>818</v>
      </c>
      <c r="D267" t="s">
        <v>775</v>
      </c>
      <c r="E267" s="465">
        <v>46327</v>
      </c>
      <c r="F267" s="465">
        <v>46371</v>
      </c>
      <c r="G267" t="s">
        <v>792</v>
      </c>
      <c r="H267" t="s">
        <v>793</v>
      </c>
      <c r="I267" t="s">
        <v>819</v>
      </c>
      <c r="J267">
        <v>-3250</v>
      </c>
      <c r="K267">
        <v>-3250</v>
      </c>
      <c r="O267" t="s">
        <v>742</v>
      </c>
      <c r="Q267" t="s">
        <v>467</v>
      </c>
      <c r="R267">
        <v>0</v>
      </c>
    </row>
    <row r="268" spans="1:18" x14ac:dyDescent="0.3">
      <c r="A268">
        <v>235521</v>
      </c>
      <c r="B268" t="s">
        <v>734</v>
      </c>
      <c r="C268" t="s">
        <v>804</v>
      </c>
      <c r="D268" t="s">
        <v>775</v>
      </c>
      <c r="E268" s="465">
        <v>46327</v>
      </c>
      <c r="F268" s="465">
        <v>46357</v>
      </c>
      <c r="G268" t="s">
        <v>792</v>
      </c>
      <c r="H268" t="s">
        <v>793</v>
      </c>
      <c r="I268" t="s">
        <v>805</v>
      </c>
      <c r="J268">
        <v>-2100</v>
      </c>
      <c r="K268">
        <v>-2100</v>
      </c>
      <c r="O268" t="s">
        <v>742</v>
      </c>
      <c r="Q268" t="s">
        <v>467</v>
      </c>
      <c r="R268">
        <v>0</v>
      </c>
    </row>
    <row r="269" spans="1:18" x14ac:dyDescent="0.3">
      <c r="A269">
        <v>232181</v>
      </c>
      <c r="B269" t="s">
        <v>734</v>
      </c>
      <c r="C269" t="s">
        <v>818</v>
      </c>
      <c r="D269" t="s">
        <v>775</v>
      </c>
      <c r="E269" s="465">
        <v>46327</v>
      </c>
      <c r="F269" s="465">
        <v>46357</v>
      </c>
      <c r="G269" t="s">
        <v>792</v>
      </c>
      <c r="H269" t="s">
        <v>793</v>
      </c>
      <c r="I269" t="s">
        <v>819</v>
      </c>
      <c r="J269">
        <v>-3250</v>
      </c>
      <c r="K269">
        <v>-3250</v>
      </c>
      <c r="O269" t="s">
        <v>742</v>
      </c>
      <c r="Q269" t="s">
        <v>467</v>
      </c>
      <c r="R269">
        <v>0</v>
      </c>
    </row>
    <row r="270" spans="1:18" x14ac:dyDescent="0.3">
      <c r="A270">
        <v>241769</v>
      </c>
      <c r="B270" t="s">
        <v>734</v>
      </c>
      <c r="C270" t="s">
        <v>812</v>
      </c>
      <c r="D270" t="s">
        <v>775</v>
      </c>
      <c r="E270" s="465">
        <v>46327</v>
      </c>
      <c r="F270" s="465">
        <v>46357</v>
      </c>
      <c r="G270" t="s">
        <v>792</v>
      </c>
      <c r="H270" t="s">
        <v>793</v>
      </c>
      <c r="I270" t="s">
        <v>813</v>
      </c>
      <c r="J270">
        <v>-2100</v>
      </c>
      <c r="K270">
        <v>-2100</v>
      </c>
      <c r="O270" t="s">
        <v>742</v>
      </c>
      <c r="Q270" t="s">
        <v>467</v>
      </c>
      <c r="R270">
        <v>0</v>
      </c>
    </row>
    <row r="271" spans="1:18" x14ac:dyDescent="0.3">
      <c r="A271">
        <v>223762</v>
      </c>
      <c r="B271" t="s">
        <v>734</v>
      </c>
      <c r="C271" t="s">
        <v>821</v>
      </c>
      <c r="D271" t="s">
        <v>775</v>
      </c>
      <c r="E271" s="465">
        <v>46327</v>
      </c>
      <c r="F271" s="465">
        <v>46366</v>
      </c>
      <c r="G271" t="s">
        <v>792</v>
      </c>
      <c r="H271" t="s">
        <v>793</v>
      </c>
      <c r="I271" t="s">
        <v>822</v>
      </c>
      <c r="J271">
        <v>-8000</v>
      </c>
      <c r="K271">
        <v>-8000</v>
      </c>
      <c r="M271" t="s">
        <v>823</v>
      </c>
      <c r="N271" t="s">
        <v>129</v>
      </c>
      <c r="O271" t="s">
        <v>742</v>
      </c>
      <c r="Q271" t="s">
        <v>467</v>
      </c>
      <c r="R271">
        <v>0</v>
      </c>
    </row>
    <row r="272" spans="1:18" x14ac:dyDescent="0.3">
      <c r="A272">
        <v>241745</v>
      </c>
      <c r="B272" t="s">
        <v>734</v>
      </c>
      <c r="C272" t="s">
        <v>808</v>
      </c>
      <c r="D272" t="s">
        <v>775</v>
      </c>
      <c r="E272" s="465">
        <v>46327</v>
      </c>
      <c r="F272" s="465">
        <v>46357</v>
      </c>
      <c r="G272" t="s">
        <v>792</v>
      </c>
      <c r="H272" t="s">
        <v>793</v>
      </c>
      <c r="I272" t="s">
        <v>809</v>
      </c>
      <c r="J272">
        <v>-2100</v>
      </c>
      <c r="K272">
        <v>-2100</v>
      </c>
      <c r="O272" t="s">
        <v>742</v>
      </c>
      <c r="Q272" t="s">
        <v>467</v>
      </c>
      <c r="R272">
        <v>0</v>
      </c>
    </row>
    <row r="273" spans="1:18" x14ac:dyDescent="0.3">
      <c r="A273">
        <v>237254</v>
      </c>
      <c r="B273" t="s">
        <v>734</v>
      </c>
      <c r="C273" t="s">
        <v>797</v>
      </c>
      <c r="D273" t="s">
        <v>775</v>
      </c>
      <c r="E273" s="465">
        <v>46327</v>
      </c>
      <c r="F273" s="465">
        <v>46336</v>
      </c>
      <c r="G273" t="s">
        <v>784</v>
      </c>
      <c r="H273" t="s">
        <v>798</v>
      </c>
      <c r="J273">
        <v>-100</v>
      </c>
      <c r="K273">
        <v>-100</v>
      </c>
      <c r="O273" t="s">
        <v>742</v>
      </c>
      <c r="Q273" t="s">
        <v>467</v>
      </c>
      <c r="R273">
        <v>0</v>
      </c>
    </row>
    <row r="274" spans="1:18" x14ac:dyDescent="0.3">
      <c r="A274">
        <v>241757</v>
      </c>
      <c r="B274" t="s">
        <v>734</v>
      </c>
      <c r="C274" t="s">
        <v>808</v>
      </c>
      <c r="D274" t="s">
        <v>775</v>
      </c>
      <c r="E274" s="465">
        <v>46327</v>
      </c>
      <c r="F274" s="465">
        <v>46371</v>
      </c>
      <c r="G274" t="s">
        <v>792</v>
      </c>
      <c r="H274" t="s">
        <v>793</v>
      </c>
      <c r="I274" t="s">
        <v>810</v>
      </c>
      <c r="J274">
        <v>-2100</v>
      </c>
      <c r="K274">
        <v>-2100</v>
      </c>
      <c r="O274" t="s">
        <v>742</v>
      </c>
      <c r="Q274" t="s">
        <v>467</v>
      </c>
      <c r="R274">
        <v>0</v>
      </c>
    </row>
    <row r="275" spans="1:18" x14ac:dyDescent="0.3">
      <c r="A275">
        <v>199767</v>
      </c>
      <c r="B275" t="s">
        <v>734</v>
      </c>
      <c r="C275" t="s">
        <v>849</v>
      </c>
      <c r="D275" t="s">
        <v>775</v>
      </c>
      <c r="E275" s="465">
        <v>46327</v>
      </c>
      <c r="F275" s="465">
        <v>46357</v>
      </c>
      <c r="G275" t="s">
        <v>792</v>
      </c>
      <c r="H275" t="s">
        <v>793</v>
      </c>
      <c r="I275" t="s">
        <v>822</v>
      </c>
      <c r="J275">
        <v>-3300</v>
      </c>
      <c r="K275">
        <v>-3300</v>
      </c>
      <c r="M275" t="s">
        <v>851</v>
      </c>
      <c r="N275" t="s">
        <v>130</v>
      </c>
      <c r="O275" t="s">
        <v>742</v>
      </c>
      <c r="Q275" t="s">
        <v>467</v>
      </c>
      <c r="R275">
        <v>0</v>
      </c>
    </row>
    <row r="276" spans="1:18" x14ac:dyDescent="0.3">
      <c r="A276">
        <v>238206</v>
      </c>
      <c r="B276" t="s">
        <v>734</v>
      </c>
      <c r="C276" t="s">
        <v>427</v>
      </c>
      <c r="D276" t="s">
        <v>775</v>
      </c>
      <c r="E276" s="465">
        <v>46327</v>
      </c>
      <c r="F276" s="465">
        <v>46345</v>
      </c>
      <c r="G276" t="s">
        <v>776</v>
      </c>
      <c r="H276" t="s">
        <v>205</v>
      </c>
      <c r="I276" t="s">
        <v>779</v>
      </c>
      <c r="J276">
        <v>-5000</v>
      </c>
      <c r="K276">
        <v>-5000</v>
      </c>
      <c r="O276" t="s">
        <v>742</v>
      </c>
      <c r="Q276" t="s">
        <v>467</v>
      </c>
      <c r="R276">
        <v>0</v>
      </c>
    </row>
    <row r="277" spans="1:18" x14ac:dyDescent="0.3">
      <c r="A277">
        <v>199779</v>
      </c>
      <c r="B277" t="s">
        <v>734</v>
      </c>
      <c r="C277" t="s">
        <v>849</v>
      </c>
      <c r="D277" t="s">
        <v>775</v>
      </c>
      <c r="E277" s="465">
        <v>46327</v>
      </c>
      <c r="F277" s="465">
        <v>46371</v>
      </c>
      <c r="G277" t="s">
        <v>792</v>
      </c>
      <c r="H277" t="s">
        <v>793</v>
      </c>
      <c r="I277" t="s">
        <v>850</v>
      </c>
      <c r="J277">
        <v>-3300</v>
      </c>
      <c r="K277">
        <v>-3300</v>
      </c>
      <c r="M277" t="s">
        <v>851</v>
      </c>
      <c r="N277" t="s">
        <v>130</v>
      </c>
      <c r="O277" t="s">
        <v>742</v>
      </c>
      <c r="Q277" t="s">
        <v>467</v>
      </c>
      <c r="R277">
        <v>0</v>
      </c>
    </row>
    <row r="278" spans="1:18" x14ac:dyDescent="0.3">
      <c r="A278">
        <v>199854</v>
      </c>
      <c r="B278" t="s">
        <v>734</v>
      </c>
      <c r="C278" t="s">
        <v>853</v>
      </c>
      <c r="D278" t="s">
        <v>775</v>
      </c>
      <c r="E278" s="465">
        <v>46327</v>
      </c>
      <c r="F278" s="465">
        <v>46371</v>
      </c>
      <c r="G278" t="s">
        <v>792</v>
      </c>
      <c r="H278" t="s">
        <v>793</v>
      </c>
      <c r="I278" t="s">
        <v>850</v>
      </c>
      <c r="J278">
        <v>-2250</v>
      </c>
      <c r="K278">
        <v>-2250</v>
      </c>
      <c r="M278" t="s">
        <v>854</v>
      </c>
      <c r="N278" t="s">
        <v>138</v>
      </c>
      <c r="O278" t="s">
        <v>742</v>
      </c>
      <c r="Q278" t="s">
        <v>467</v>
      </c>
      <c r="R278">
        <v>0</v>
      </c>
    </row>
    <row r="279" spans="1:18" x14ac:dyDescent="0.3">
      <c r="A279">
        <v>199841</v>
      </c>
      <c r="B279" t="s">
        <v>734</v>
      </c>
      <c r="C279" t="s">
        <v>853</v>
      </c>
      <c r="D279" t="s">
        <v>775</v>
      </c>
      <c r="E279" s="465">
        <v>46327</v>
      </c>
      <c r="F279" s="465">
        <v>46357</v>
      </c>
      <c r="G279" t="s">
        <v>792</v>
      </c>
      <c r="H279" t="s">
        <v>793</v>
      </c>
      <c r="I279" t="s">
        <v>822</v>
      </c>
      <c r="J279">
        <v>-2250</v>
      </c>
      <c r="K279">
        <v>-2250</v>
      </c>
      <c r="M279" t="s">
        <v>854</v>
      </c>
      <c r="N279" t="s">
        <v>138</v>
      </c>
      <c r="O279" t="s">
        <v>742</v>
      </c>
      <c r="Q279" t="s">
        <v>467</v>
      </c>
      <c r="R279">
        <v>0</v>
      </c>
    </row>
    <row r="280" spans="1:18" x14ac:dyDescent="0.3">
      <c r="A280">
        <v>243370</v>
      </c>
      <c r="B280" t="s">
        <v>734</v>
      </c>
      <c r="C280" t="s">
        <v>786</v>
      </c>
      <c r="D280" t="s">
        <v>775</v>
      </c>
      <c r="E280" s="465">
        <v>46327</v>
      </c>
      <c r="F280" s="465">
        <v>46332</v>
      </c>
      <c r="G280" t="s">
        <v>787</v>
      </c>
      <c r="H280" t="s">
        <v>788</v>
      </c>
      <c r="I280" t="s">
        <v>789</v>
      </c>
      <c r="J280">
        <v>-805.7</v>
      </c>
      <c r="K280">
        <v>-805.7</v>
      </c>
      <c r="O280" t="s">
        <v>742</v>
      </c>
      <c r="Q280" t="s">
        <v>467</v>
      </c>
      <c r="R280">
        <v>0</v>
      </c>
    </row>
    <row r="281" spans="1:18" x14ac:dyDescent="0.3">
      <c r="A281">
        <v>200020</v>
      </c>
      <c r="B281" t="s">
        <v>734</v>
      </c>
      <c r="C281" t="s">
        <v>855</v>
      </c>
      <c r="D281" t="s">
        <v>775</v>
      </c>
      <c r="E281" s="465">
        <v>46327</v>
      </c>
      <c r="F281" s="465">
        <v>46371</v>
      </c>
      <c r="G281" t="s">
        <v>307</v>
      </c>
      <c r="H281" t="s">
        <v>313</v>
      </c>
      <c r="I281" t="s">
        <v>850</v>
      </c>
      <c r="J281">
        <v>-10000</v>
      </c>
      <c r="K281">
        <v>-10000</v>
      </c>
      <c r="O281" t="s">
        <v>742</v>
      </c>
      <c r="Q281" t="s">
        <v>467</v>
      </c>
      <c r="R281">
        <v>0</v>
      </c>
    </row>
    <row r="282" spans="1:18" x14ac:dyDescent="0.3">
      <c r="A282">
        <v>199225</v>
      </c>
      <c r="B282" t="s">
        <v>734</v>
      </c>
      <c r="C282" t="s">
        <v>846</v>
      </c>
      <c r="D282" t="s">
        <v>775</v>
      </c>
      <c r="E282" s="465">
        <v>46327</v>
      </c>
      <c r="F282" s="465">
        <v>46371</v>
      </c>
      <c r="G282" t="s">
        <v>792</v>
      </c>
      <c r="H282" t="s">
        <v>793</v>
      </c>
      <c r="I282" t="s">
        <v>852</v>
      </c>
      <c r="J282">
        <v>-3300</v>
      </c>
      <c r="K282">
        <v>-3300</v>
      </c>
      <c r="M282" t="s">
        <v>848</v>
      </c>
      <c r="N282" t="s">
        <v>131</v>
      </c>
      <c r="O282" t="s">
        <v>742</v>
      </c>
      <c r="Q282" t="s">
        <v>467</v>
      </c>
      <c r="R282">
        <v>0</v>
      </c>
    </row>
    <row r="283" spans="1:18" x14ac:dyDescent="0.3">
      <c r="A283">
        <v>238222</v>
      </c>
      <c r="B283" t="s">
        <v>734</v>
      </c>
      <c r="C283" t="s">
        <v>780</v>
      </c>
      <c r="D283" t="s">
        <v>775</v>
      </c>
      <c r="E283" s="465">
        <v>46327</v>
      </c>
      <c r="F283" s="465">
        <v>46345</v>
      </c>
      <c r="G283" t="s">
        <v>776</v>
      </c>
      <c r="H283" t="s">
        <v>781</v>
      </c>
      <c r="J283">
        <v>-5000</v>
      </c>
      <c r="K283">
        <v>-5000</v>
      </c>
      <c r="O283" t="s">
        <v>742</v>
      </c>
      <c r="Q283" t="s">
        <v>467</v>
      </c>
      <c r="R283">
        <v>0</v>
      </c>
    </row>
    <row r="284" spans="1:18" x14ac:dyDescent="0.3">
      <c r="A284">
        <v>199213</v>
      </c>
      <c r="B284" t="s">
        <v>734</v>
      </c>
      <c r="C284" t="s">
        <v>846</v>
      </c>
      <c r="D284" t="s">
        <v>775</v>
      </c>
      <c r="E284" s="465">
        <v>46327</v>
      </c>
      <c r="F284" s="465">
        <v>46357</v>
      </c>
      <c r="G284" t="s">
        <v>792</v>
      </c>
      <c r="H284" t="s">
        <v>793</v>
      </c>
      <c r="I284" t="s">
        <v>847</v>
      </c>
      <c r="J284">
        <v>-3300</v>
      </c>
      <c r="K284">
        <v>-3300</v>
      </c>
      <c r="M284" t="s">
        <v>848</v>
      </c>
      <c r="N284" t="s">
        <v>131</v>
      </c>
      <c r="O284" t="s">
        <v>742</v>
      </c>
      <c r="Q284" t="s">
        <v>467</v>
      </c>
      <c r="R284">
        <v>0</v>
      </c>
    </row>
    <row r="285" spans="1:18" x14ac:dyDescent="0.3">
      <c r="A285">
        <v>249239</v>
      </c>
      <c r="B285" t="s">
        <v>734</v>
      </c>
      <c r="C285" t="s">
        <v>795</v>
      </c>
      <c r="D285" t="s">
        <v>775</v>
      </c>
      <c r="E285" s="465">
        <v>46327</v>
      </c>
      <c r="F285" s="465">
        <v>46346</v>
      </c>
      <c r="G285" t="s">
        <v>787</v>
      </c>
      <c r="H285" t="s">
        <v>788</v>
      </c>
      <c r="I285" t="s">
        <v>856</v>
      </c>
      <c r="J285">
        <v>-39000</v>
      </c>
      <c r="K285">
        <v>-39000</v>
      </c>
      <c r="O285" t="s">
        <v>742</v>
      </c>
      <c r="Q285" t="s">
        <v>467</v>
      </c>
      <c r="R285">
        <v>0</v>
      </c>
    </row>
    <row r="286" spans="1:18" x14ac:dyDescent="0.3">
      <c r="A286">
        <v>249040</v>
      </c>
      <c r="B286" t="s">
        <v>734</v>
      </c>
      <c r="C286" t="s">
        <v>428</v>
      </c>
      <c r="D286" t="s">
        <v>775</v>
      </c>
      <c r="E286" s="465">
        <v>46325</v>
      </c>
      <c r="F286" s="465">
        <v>46346</v>
      </c>
      <c r="G286" t="s">
        <v>833</v>
      </c>
      <c r="H286" t="s">
        <v>348</v>
      </c>
      <c r="J286">
        <v>-5000</v>
      </c>
      <c r="K286">
        <v>-5000</v>
      </c>
      <c r="O286" t="s">
        <v>742</v>
      </c>
      <c r="Q286" t="s">
        <v>466</v>
      </c>
      <c r="R286">
        <v>0</v>
      </c>
    </row>
    <row r="287" spans="1:18" x14ac:dyDescent="0.3">
      <c r="A287">
        <v>228995</v>
      </c>
      <c r="B287" t="s">
        <v>734</v>
      </c>
      <c r="C287" t="s">
        <v>836</v>
      </c>
      <c r="D287" t="s">
        <v>775</v>
      </c>
      <c r="E287" s="465">
        <v>46325</v>
      </c>
      <c r="F287" s="465">
        <v>46346</v>
      </c>
      <c r="G287" t="s">
        <v>837</v>
      </c>
      <c r="H287" t="s">
        <v>345</v>
      </c>
      <c r="J287">
        <v>-10000</v>
      </c>
      <c r="K287">
        <v>-10000</v>
      </c>
      <c r="O287" t="s">
        <v>742</v>
      </c>
      <c r="Q287" t="s">
        <v>466</v>
      </c>
      <c r="R287">
        <v>0</v>
      </c>
    </row>
    <row r="288" spans="1:18" x14ac:dyDescent="0.3">
      <c r="A288">
        <v>231979</v>
      </c>
      <c r="B288" t="s">
        <v>734</v>
      </c>
      <c r="C288" t="s">
        <v>832</v>
      </c>
      <c r="D288" t="s">
        <v>775</v>
      </c>
      <c r="E288" s="465">
        <v>46325</v>
      </c>
      <c r="F288" s="465">
        <v>46338</v>
      </c>
      <c r="G288" t="s">
        <v>295</v>
      </c>
      <c r="H288" t="s">
        <v>297</v>
      </c>
      <c r="J288">
        <v>-1000</v>
      </c>
      <c r="K288">
        <v>-1000</v>
      </c>
      <c r="O288" t="s">
        <v>742</v>
      </c>
      <c r="Q288" t="s">
        <v>466</v>
      </c>
      <c r="R288">
        <v>0</v>
      </c>
    </row>
    <row r="289" spans="1:18" x14ac:dyDescent="0.3">
      <c r="A289">
        <v>223692</v>
      </c>
      <c r="B289" t="s">
        <v>734</v>
      </c>
      <c r="C289" t="s">
        <v>49</v>
      </c>
      <c r="D289" t="s">
        <v>775</v>
      </c>
      <c r="E289" s="465">
        <v>46325</v>
      </c>
      <c r="F289" s="465">
        <v>46336</v>
      </c>
      <c r="G289" t="s">
        <v>835</v>
      </c>
      <c r="H289" t="s">
        <v>49</v>
      </c>
      <c r="J289">
        <v>-250</v>
      </c>
      <c r="K289">
        <v>-250</v>
      </c>
      <c r="O289" t="s">
        <v>742</v>
      </c>
      <c r="Q289" t="s">
        <v>466</v>
      </c>
      <c r="R289">
        <v>0</v>
      </c>
    </row>
    <row r="290" spans="1:18" x14ac:dyDescent="0.3">
      <c r="A290">
        <v>249032</v>
      </c>
      <c r="B290" t="s">
        <v>734</v>
      </c>
      <c r="C290" t="s">
        <v>48</v>
      </c>
      <c r="D290" t="s">
        <v>775</v>
      </c>
      <c r="E290" s="465">
        <v>46325</v>
      </c>
      <c r="F290" s="465">
        <v>46346</v>
      </c>
      <c r="G290" t="s">
        <v>835</v>
      </c>
      <c r="H290" t="s">
        <v>48</v>
      </c>
      <c r="J290">
        <v>-15000</v>
      </c>
      <c r="K290">
        <v>-15000</v>
      </c>
      <c r="O290" t="s">
        <v>742</v>
      </c>
      <c r="Q290" t="s">
        <v>466</v>
      </c>
      <c r="R290">
        <v>0</v>
      </c>
    </row>
    <row r="291" spans="1:18" x14ac:dyDescent="0.3">
      <c r="A291">
        <v>228286</v>
      </c>
      <c r="B291" t="s">
        <v>734</v>
      </c>
      <c r="C291" t="s">
        <v>830</v>
      </c>
      <c r="D291" t="s">
        <v>775</v>
      </c>
      <c r="E291" s="465">
        <v>46325</v>
      </c>
      <c r="F291" s="465">
        <v>46330</v>
      </c>
      <c r="G291" t="s">
        <v>263</v>
      </c>
      <c r="H291" t="s">
        <v>265</v>
      </c>
      <c r="J291">
        <v>-1500</v>
      </c>
      <c r="K291">
        <v>-1500</v>
      </c>
      <c r="O291" t="s">
        <v>742</v>
      </c>
      <c r="Q291" t="s">
        <v>466</v>
      </c>
      <c r="R291">
        <v>0</v>
      </c>
    </row>
    <row r="292" spans="1:18" x14ac:dyDescent="0.3">
      <c r="A292">
        <v>241342</v>
      </c>
      <c r="B292" t="s">
        <v>734</v>
      </c>
      <c r="C292" t="s">
        <v>838</v>
      </c>
      <c r="D292" t="s">
        <v>775</v>
      </c>
      <c r="E292" s="465">
        <v>46324</v>
      </c>
      <c r="F292" s="465">
        <v>46331</v>
      </c>
      <c r="G292" t="s">
        <v>255</v>
      </c>
      <c r="H292" t="s">
        <v>260</v>
      </c>
      <c r="I292" t="s">
        <v>839</v>
      </c>
      <c r="J292">
        <v>-506.88</v>
      </c>
      <c r="K292">
        <v>-506.88</v>
      </c>
      <c r="O292" t="s">
        <v>742</v>
      </c>
      <c r="Q292" t="s">
        <v>466</v>
      </c>
      <c r="R292">
        <v>0</v>
      </c>
    </row>
    <row r="293" spans="1:18" x14ac:dyDescent="0.3">
      <c r="A293">
        <v>238532</v>
      </c>
      <c r="B293" t="s">
        <v>734</v>
      </c>
      <c r="C293" t="s">
        <v>840</v>
      </c>
      <c r="D293" t="s">
        <v>775</v>
      </c>
      <c r="E293" s="465">
        <v>46310</v>
      </c>
      <c r="F293" s="465">
        <v>46323</v>
      </c>
      <c r="G293" t="s">
        <v>278</v>
      </c>
      <c r="H293" t="s">
        <v>283</v>
      </c>
      <c r="I293" t="s">
        <v>841</v>
      </c>
      <c r="J293">
        <v>-219</v>
      </c>
      <c r="K293">
        <v>-219</v>
      </c>
      <c r="O293" t="s">
        <v>742</v>
      </c>
      <c r="Q293" t="s">
        <v>466</v>
      </c>
      <c r="R293">
        <v>0</v>
      </c>
    </row>
    <row r="294" spans="1:18" x14ac:dyDescent="0.3">
      <c r="A294">
        <v>224321</v>
      </c>
      <c r="B294" t="s">
        <v>734</v>
      </c>
      <c r="C294" t="s">
        <v>814</v>
      </c>
      <c r="D294" t="s">
        <v>775</v>
      </c>
      <c r="E294" s="465">
        <v>46309</v>
      </c>
      <c r="F294" s="465">
        <v>46315</v>
      </c>
      <c r="G294" t="s">
        <v>307</v>
      </c>
      <c r="H294" t="s">
        <v>312</v>
      </c>
      <c r="J294">
        <v>-2200</v>
      </c>
      <c r="K294">
        <v>-2200</v>
      </c>
      <c r="O294" t="s">
        <v>742</v>
      </c>
      <c r="Q294" t="s">
        <v>466</v>
      </c>
      <c r="R294">
        <v>0</v>
      </c>
    </row>
    <row r="295" spans="1:18" x14ac:dyDescent="0.3">
      <c r="A295">
        <v>147608</v>
      </c>
      <c r="B295" t="s">
        <v>734</v>
      </c>
      <c r="C295" t="s">
        <v>735</v>
      </c>
      <c r="E295" s="465">
        <v>46305</v>
      </c>
      <c r="F295" s="465">
        <v>46331</v>
      </c>
      <c r="G295" t="s">
        <v>255</v>
      </c>
      <c r="H295" t="s">
        <v>256</v>
      </c>
      <c r="I295" t="s">
        <v>737</v>
      </c>
      <c r="J295">
        <v>-140000</v>
      </c>
      <c r="K295">
        <v>-140000</v>
      </c>
      <c r="O295" t="s">
        <v>742</v>
      </c>
      <c r="Q295" t="s">
        <v>466</v>
      </c>
      <c r="R295">
        <v>0</v>
      </c>
    </row>
    <row r="296" spans="1:18" x14ac:dyDescent="0.3">
      <c r="A296">
        <v>237454</v>
      </c>
      <c r="B296" t="s">
        <v>734</v>
      </c>
      <c r="C296" t="s">
        <v>842</v>
      </c>
      <c r="D296" t="s">
        <v>775</v>
      </c>
      <c r="E296" s="465">
        <v>46304</v>
      </c>
      <c r="F296" s="465">
        <v>46336</v>
      </c>
      <c r="G296" t="s">
        <v>278</v>
      </c>
      <c r="H296" t="s">
        <v>280</v>
      </c>
      <c r="J296">
        <v>-1000</v>
      </c>
      <c r="K296">
        <v>-1000</v>
      </c>
      <c r="O296" t="s">
        <v>742</v>
      </c>
      <c r="Q296" t="s">
        <v>466</v>
      </c>
      <c r="R296">
        <v>0</v>
      </c>
    </row>
    <row r="297" spans="1:18" x14ac:dyDescent="0.3">
      <c r="A297">
        <v>223348</v>
      </c>
      <c r="B297" t="s">
        <v>734</v>
      </c>
      <c r="C297" t="s">
        <v>843</v>
      </c>
      <c r="D297" t="s">
        <v>844</v>
      </c>
      <c r="E297" s="465">
        <v>46303</v>
      </c>
      <c r="F297" s="465">
        <v>46346</v>
      </c>
      <c r="G297" t="s">
        <v>833</v>
      </c>
      <c r="H297" t="s">
        <v>363</v>
      </c>
      <c r="I297" t="s">
        <v>845</v>
      </c>
      <c r="J297">
        <v>-4159.12</v>
      </c>
      <c r="K297">
        <v>-4159.12</v>
      </c>
      <c r="O297" t="s">
        <v>738</v>
      </c>
      <c r="Q297" t="s">
        <v>466</v>
      </c>
      <c r="R297">
        <v>0</v>
      </c>
    </row>
    <row r="298" spans="1:18" x14ac:dyDescent="0.3">
      <c r="A298">
        <v>248874</v>
      </c>
      <c r="B298" t="s">
        <v>734</v>
      </c>
      <c r="C298" t="s">
        <v>791</v>
      </c>
      <c r="D298" t="s">
        <v>775</v>
      </c>
      <c r="E298" s="465">
        <v>46302</v>
      </c>
      <c r="F298" s="465">
        <v>46341</v>
      </c>
      <c r="G298" t="s">
        <v>792</v>
      </c>
      <c r="H298" t="s">
        <v>793</v>
      </c>
      <c r="I298" t="s">
        <v>794</v>
      </c>
      <c r="J298">
        <v>-4500</v>
      </c>
      <c r="K298">
        <v>-4500</v>
      </c>
      <c r="O298" t="s">
        <v>742</v>
      </c>
      <c r="Q298" t="s">
        <v>466</v>
      </c>
      <c r="R298">
        <v>0</v>
      </c>
    </row>
    <row r="299" spans="1:18" x14ac:dyDescent="0.3">
      <c r="A299">
        <v>241744</v>
      </c>
      <c r="B299" t="s">
        <v>734</v>
      </c>
      <c r="C299" t="s">
        <v>808</v>
      </c>
      <c r="D299" t="s">
        <v>775</v>
      </c>
      <c r="E299" s="465">
        <v>46296</v>
      </c>
      <c r="F299" s="465">
        <v>46327</v>
      </c>
      <c r="G299" t="s">
        <v>792</v>
      </c>
      <c r="H299" t="s">
        <v>793</v>
      </c>
      <c r="I299" t="s">
        <v>809</v>
      </c>
      <c r="J299">
        <v>-2100</v>
      </c>
      <c r="K299">
        <v>-2100</v>
      </c>
      <c r="O299" t="s">
        <v>742</v>
      </c>
      <c r="Q299" t="s">
        <v>466</v>
      </c>
      <c r="R299">
        <v>0</v>
      </c>
    </row>
    <row r="300" spans="1:18" x14ac:dyDescent="0.3">
      <c r="A300">
        <v>227290</v>
      </c>
      <c r="B300" t="s">
        <v>734</v>
      </c>
      <c r="C300" t="s">
        <v>827</v>
      </c>
      <c r="D300" t="s">
        <v>775</v>
      </c>
      <c r="E300" s="465">
        <v>46296</v>
      </c>
      <c r="F300" s="465">
        <v>46327</v>
      </c>
      <c r="G300" t="s">
        <v>792</v>
      </c>
      <c r="H300" t="s">
        <v>793</v>
      </c>
      <c r="I300" t="s">
        <v>829</v>
      </c>
      <c r="J300">
        <v>-2000</v>
      </c>
      <c r="K300">
        <v>-2000</v>
      </c>
      <c r="O300" t="s">
        <v>742</v>
      </c>
      <c r="Q300" t="s">
        <v>466</v>
      </c>
      <c r="R300">
        <v>0</v>
      </c>
    </row>
    <row r="301" spans="1:18" x14ac:dyDescent="0.3">
      <c r="A301">
        <v>199778</v>
      </c>
      <c r="B301" t="s">
        <v>734</v>
      </c>
      <c r="C301" t="s">
        <v>849</v>
      </c>
      <c r="D301" t="s">
        <v>775</v>
      </c>
      <c r="E301" s="465">
        <v>46296</v>
      </c>
      <c r="F301" s="465">
        <v>46341</v>
      </c>
      <c r="G301" t="s">
        <v>792</v>
      </c>
      <c r="H301" t="s">
        <v>793</v>
      </c>
      <c r="I301" t="s">
        <v>850</v>
      </c>
      <c r="J301">
        <v>-3300</v>
      </c>
      <c r="K301">
        <v>-3300</v>
      </c>
      <c r="M301" t="s">
        <v>851</v>
      </c>
      <c r="N301" t="s">
        <v>130</v>
      </c>
      <c r="O301" t="s">
        <v>742</v>
      </c>
      <c r="Q301" t="s">
        <v>466</v>
      </c>
      <c r="R301">
        <v>0</v>
      </c>
    </row>
    <row r="302" spans="1:18" x14ac:dyDescent="0.3">
      <c r="A302">
        <v>237253</v>
      </c>
      <c r="B302" t="s">
        <v>734</v>
      </c>
      <c r="C302" t="s">
        <v>797</v>
      </c>
      <c r="D302" t="s">
        <v>775</v>
      </c>
      <c r="E302" s="465">
        <v>46296</v>
      </c>
      <c r="F302" s="465">
        <v>46305</v>
      </c>
      <c r="G302" t="s">
        <v>784</v>
      </c>
      <c r="H302" t="s">
        <v>798</v>
      </c>
      <c r="J302">
        <v>-100</v>
      </c>
      <c r="K302">
        <v>-100</v>
      </c>
      <c r="O302" t="s">
        <v>742</v>
      </c>
      <c r="Q302" t="s">
        <v>466</v>
      </c>
      <c r="R302">
        <v>0</v>
      </c>
    </row>
    <row r="303" spans="1:18" x14ac:dyDescent="0.3">
      <c r="A303">
        <v>241756</v>
      </c>
      <c r="B303" t="s">
        <v>734</v>
      </c>
      <c r="C303" t="s">
        <v>808</v>
      </c>
      <c r="D303" t="s">
        <v>775</v>
      </c>
      <c r="E303" s="465">
        <v>46296</v>
      </c>
      <c r="F303" s="465">
        <v>46341</v>
      </c>
      <c r="G303" t="s">
        <v>792</v>
      </c>
      <c r="H303" t="s">
        <v>793</v>
      </c>
      <c r="I303" t="s">
        <v>810</v>
      </c>
      <c r="J303">
        <v>-2100</v>
      </c>
      <c r="K303">
        <v>-2100</v>
      </c>
      <c r="O303" t="s">
        <v>742</v>
      </c>
      <c r="Q303" t="s">
        <v>466</v>
      </c>
      <c r="R303">
        <v>0</v>
      </c>
    </row>
    <row r="304" spans="1:18" x14ac:dyDescent="0.3">
      <c r="A304">
        <v>235540</v>
      </c>
      <c r="B304" t="s">
        <v>734</v>
      </c>
      <c r="C304" t="s">
        <v>804</v>
      </c>
      <c r="D304" t="s">
        <v>775</v>
      </c>
      <c r="E304" s="465">
        <v>46296</v>
      </c>
      <c r="F304" s="465">
        <v>46341</v>
      </c>
      <c r="G304" t="s">
        <v>792</v>
      </c>
      <c r="H304" t="s">
        <v>793</v>
      </c>
      <c r="I304" t="s">
        <v>811</v>
      </c>
      <c r="J304">
        <v>-2100</v>
      </c>
      <c r="K304">
        <v>-2100</v>
      </c>
      <c r="O304" t="s">
        <v>742</v>
      </c>
      <c r="Q304" t="s">
        <v>466</v>
      </c>
      <c r="R304">
        <v>0</v>
      </c>
    </row>
    <row r="305" spans="1:18" x14ac:dyDescent="0.3">
      <c r="A305">
        <v>199224</v>
      </c>
      <c r="B305" t="s">
        <v>734</v>
      </c>
      <c r="C305" t="s">
        <v>846</v>
      </c>
      <c r="D305" t="s">
        <v>775</v>
      </c>
      <c r="E305" s="465">
        <v>46296</v>
      </c>
      <c r="F305" s="465">
        <v>46341</v>
      </c>
      <c r="G305" t="s">
        <v>792</v>
      </c>
      <c r="H305" t="s">
        <v>793</v>
      </c>
      <c r="I305" t="s">
        <v>852</v>
      </c>
      <c r="J305">
        <v>-3300</v>
      </c>
      <c r="K305">
        <v>-3300</v>
      </c>
      <c r="M305" t="s">
        <v>848</v>
      </c>
      <c r="N305" t="s">
        <v>131</v>
      </c>
      <c r="O305" t="s">
        <v>742</v>
      </c>
      <c r="Q305" t="s">
        <v>466</v>
      </c>
      <c r="R305">
        <v>0</v>
      </c>
    </row>
    <row r="306" spans="1:18" x14ac:dyDescent="0.3">
      <c r="A306">
        <v>227302</v>
      </c>
      <c r="B306" t="s">
        <v>734</v>
      </c>
      <c r="C306" t="s">
        <v>827</v>
      </c>
      <c r="D306" t="s">
        <v>775</v>
      </c>
      <c r="E306" s="465">
        <v>46296</v>
      </c>
      <c r="F306" s="465">
        <v>46341</v>
      </c>
      <c r="G306" t="s">
        <v>792</v>
      </c>
      <c r="H306" t="s">
        <v>793</v>
      </c>
      <c r="I306" t="s">
        <v>828</v>
      </c>
      <c r="J306">
        <v>-2000</v>
      </c>
      <c r="K306">
        <v>-2000</v>
      </c>
      <c r="O306" t="s">
        <v>742</v>
      </c>
      <c r="Q306" t="s">
        <v>466</v>
      </c>
      <c r="R306">
        <v>0</v>
      </c>
    </row>
    <row r="307" spans="1:18" x14ac:dyDescent="0.3">
      <c r="A307">
        <v>233295</v>
      </c>
      <c r="B307" t="s">
        <v>734</v>
      </c>
      <c r="C307" t="s">
        <v>783</v>
      </c>
      <c r="D307" t="s">
        <v>775</v>
      </c>
      <c r="E307" s="465">
        <v>46296</v>
      </c>
      <c r="F307" s="465">
        <v>46290</v>
      </c>
      <c r="G307" t="s">
        <v>784</v>
      </c>
      <c r="H307" t="s">
        <v>238</v>
      </c>
      <c r="I307" t="s">
        <v>803</v>
      </c>
      <c r="J307">
        <v>-5000</v>
      </c>
      <c r="K307">
        <v>-5000</v>
      </c>
      <c r="O307" t="s">
        <v>742</v>
      </c>
      <c r="Q307" t="s">
        <v>466</v>
      </c>
      <c r="R307">
        <v>0</v>
      </c>
    </row>
    <row r="308" spans="1:18" x14ac:dyDescent="0.3">
      <c r="A308">
        <v>199766</v>
      </c>
      <c r="B308" t="s">
        <v>734</v>
      </c>
      <c r="C308" t="s">
        <v>849</v>
      </c>
      <c r="D308" t="s">
        <v>775</v>
      </c>
      <c r="E308" s="465">
        <v>46296</v>
      </c>
      <c r="F308" s="465">
        <v>46327</v>
      </c>
      <c r="G308" t="s">
        <v>792</v>
      </c>
      <c r="H308" t="s">
        <v>793</v>
      </c>
      <c r="I308" t="s">
        <v>822</v>
      </c>
      <c r="J308">
        <v>-3300</v>
      </c>
      <c r="K308">
        <v>-3300</v>
      </c>
      <c r="M308" t="s">
        <v>851</v>
      </c>
      <c r="N308" t="s">
        <v>130</v>
      </c>
      <c r="O308" t="s">
        <v>742</v>
      </c>
      <c r="Q308" t="s">
        <v>466</v>
      </c>
      <c r="R308">
        <v>0</v>
      </c>
    </row>
    <row r="309" spans="1:18" x14ac:dyDescent="0.3">
      <c r="A309">
        <v>234162</v>
      </c>
      <c r="B309" t="s">
        <v>734</v>
      </c>
      <c r="C309" t="s">
        <v>795</v>
      </c>
      <c r="D309" t="s">
        <v>775</v>
      </c>
      <c r="E309" s="465">
        <v>46296</v>
      </c>
      <c r="F309" s="465">
        <v>46331</v>
      </c>
      <c r="G309" t="s">
        <v>787</v>
      </c>
      <c r="H309" t="s">
        <v>788</v>
      </c>
      <c r="I309" t="s">
        <v>796</v>
      </c>
      <c r="J309">
        <v>-40000</v>
      </c>
      <c r="K309">
        <v>-40000</v>
      </c>
      <c r="O309" t="s">
        <v>742</v>
      </c>
      <c r="Q309" t="s">
        <v>466</v>
      </c>
      <c r="R309">
        <v>0</v>
      </c>
    </row>
    <row r="310" spans="1:18" x14ac:dyDescent="0.3">
      <c r="A310">
        <v>199840</v>
      </c>
      <c r="B310" t="s">
        <v>734</v>
      </c>
      <c r="C310" t="s">
        <v>853</v>
      </c>
      <c r="D310" t="s">
        <v>775</v>
      </c>
      <c r="E310" s="465">
        <v>46296</v>
      </c>
      <c r="F310" s="465">
        <v>46327</v>
      </c>
      <c r="G310" t="s">
        <v>792</v>
      </c>
      <c r="H310" t="s">
        <v>793</v>
      </c>
      <c r="I310" t="s">
        <v>822</v>
      </c>
      <c r="J310">
        <v>-2250</v>
      </c>
      <c r="K310">
        <v>-2250</v>
      </c>
      <c r="M310" t="s">
        <v>854</v>
      </c>
      <c r="N310" t="s">
        <v>138</v>
      </c>
      <c r="O310" t="s">
        <v>742</v>
      </c>
      <c r="Q310" t="s">
        <v>466</v>
      </c>
      <c r="R310">
        <v>0</v>
      </c>
    </row>
    <row r="311" spans="1:18" x14ac:dyDescent="0.3">
      <c r="A311">
        <v>237183</v>
      </c>
      <c r="B311" t="s">
        <v>734</v>
      </c>
      <c r="C311" t="s">
        <v>801</v>
      </c>
      <c r="D311" t="s">
        <v>775</v>
      </c>
      <c r="E311" s="465">
        <v>46296</v>
      </c>
      <c r="F311" s="465">
        <v>46305</v>
      </c>
      <c r="G311" t="s">
        <v>784</v>
      </c>
      <c r="H311" t="s">
        <v>241</v>
      </c>
      <c r="I311" t="s">
        <v>802</v>
      </c>
      <c r="J311">
        <v>-1000</v>
      </c>
      <c r="K311">
        <v>-1000</v>
      </c>
      <c r="O311" t="s">
        <v>742</v>
      </c>
      <c r="Q311" t="s">
        <v>466</v>
      </c>
      <c r="R311">
        <v>0</v>
      </c>
    </row>
    <row r="312" spans="1:18" x14ac:dyDescent="0.3">
      <c r="A312">
        <v>233311</v>
      </c>
      <c r="B312" t="s">
        <v>734</v>
      </c>
      <c r="C312" t="s">
        <v>783</v>
      </c>
      <c r="D312" t="s">
        <v>775</v>
      </c>
      <c r="E312" s="465">
        <v>46296</v>
      </c>
      <c r="F312" s="465">
        <v>46291</v>
      </c>
      <c r="G312" t="s">
        <v>784</v>
      </c>
      <c r="H312" t="s">
        <v>238</v>
      </c>
      <c r="I312" t="s">
        <v>800</v>
      </c>
      <c r="J312">
        <v>-6000</v>
      </c>
      <c r="K312">
        <v>-6000</v>
      </c>
      <c r="O312" t="s">
        <v>742</v>
      </c>
      <c r="Q312" t="s">
        <v>466</v>
      </c>
      <c r="R312">
        <v>0</v>
      </c>
    </row>
    <row r="313" spans="1:18" x14ac:dyDescent="0.3">
      <c r="A313">
        <v>240018</v>
      </c>
      <c r="B313" t="s">
        <v>734</v>
      </c>
      <c r="C313" t="s">
        <v>783</v>
      </c>
      <c r="D313" t="s">
        <v>775</v>
      </c>
      <c r="E313" s="465">
        <v>46296</v>
      </c>
      <c r="F313" s="465">
        <v>46290</v>
      </c>
      <c r="G313" t="s">
        <v>784</v>
      </c>
      <c r="H313" t="s">
        <v>238</v>
      </c>
      <c r="I313" t="s">
        <v>785</v>
      </c>
      <c r="J313">
        <v>-300</v>
      </c>
      <c r="K313">
        <v>-300</v>
      </c>
      <c r="O313" t="s">
        <v>742</v>
      </c>
      <c r="Q313" t="s">
        <v>466</v>
      </c>
      <c r="R313">
        <v>0</v>
      </c>
    </row>
    <row r="314" spans="1:18" x14ac:dyDescent="0.3">
      <c r="A314">
        <v>232253</v>
      </c>
      <c r="B314" t="s">
        <v>734</v>
      </c>
      <c r="C314" t="s">
        <v>816</v>
      </c>
      <c r="D314" t="s">
        <v>775</v>
      </c>
      <c r="E314" s="465">
        <v>46296</v>
      </c>
      <c r="F314" s="465">
        <v>46327</v>
      </c>
      <c r="G314" t="s">
        <v>792</v>
      </c>
      <c r="H314" t="s">
        <v>793</v>
      </c>
      <c r="I314" t="s">
        <v>817</v>
      </c>
      <c r="J314">
        <v>-2000</v>
      </c>
      <c r="K314">
        <v>-2000</v>
      </c>
      <c r="O314" t="s">
        <v>742</v>
      </c>
      <c r="Q314" t="s">
        <v>466</v>
      </c>
      <c r="R314">
        <v>0</v>
      </c>
    </row>
    <row r="315" spans="1:18" x14ac:dyDescent="0.3">
      <c r="A315">
        <v>199853</v>
      </c>
      <c r="B315" t="s">
        <v>734</v>
      </c>
      <c r="C315" t="s">
        <v>853</v>
      </c>
      <c r="D315" t="s">
        <v>775</v>
      </c>
      <c r="E315" s="465">
        <v>46296</v>
      </c>
      <c r="F315" s="465">
        <v>46341</v>
      </c>
      <c r="G315" t="s">
        <v>792</v>
      </c>
      <c r="H315" t="s">
        <v>793</v>
      </c>
      <c r="I315" t="s">
        <v>850</v>
      </c>
      <c r="J315">
        <v>-2250</v>
      </c>
      <c r="K315">
        <v>-2250</v>
      </c>
      <c r="M315" t="s">
        <v>854</v>
      </c>
      <c r="N315" t="s">
        <v>138</v>
      </c>
      <c r="O315" t="s">
        <v>742</v>
      </c>
      <c r="Q315" t="s">
        <v>466</v>
      </c>
      <c r="R315">
        <v>0</v>
      </c>
    </row>
    <row r="316" spans="1:18" x14ac:dyDescent="0.3">
      <c r="A316">
        <v>232265</v>
      </c>
      <c r="B316" t="s">
        <v>734</v>
      </c>
      <c r="C316" t="s">
        <v>816</v>
      </c>
      <c r="D316" t="s">
        <v>775</v>
      </c>
      <c r="E316" s="465">
        <v>46296</v>
      </c>
      <c r="F316" s="465">
        <v>46341</v>
      </c>
      <c r="G316" t="s">
        <v>792</v>
      </c>
      <c r="H316" t="s">
        <v>793</v>
      </c>
      <c r="I316" t="s">
        <v>817</v>
      </c>
      <c r="J316">
        <v>-2000</v>
      </c>
      <c r="K316">
        <v>-2000</v>
      </c>
      <c r="O316" t="s">
        <v>742</v>
      </c>
      <c r="Q316" t="s">
        <v>466</v>
      </c>
      <c r="R316">
        <v>0</v>
      </c>
    </row>
    <row r="317" spans="1:18" x14ac:dyDescent="0.3">
      <c r="A317">
        <v>241780</v>
      </c>
      <c r="B317" t="s">
        <v>734</v>
      </c>
      <c r="C317" t="s">
        <v>812</v>
      </c>
      <c r="D317" t="s">
        <v>775</v>
      </c>
      <c r="E317" s="465">
        <v>46296</v>
      </c>
      <c r="F317" s="465">
        <v>46341</v>
      </c>
      <c r="G317" t="s">
        <v>792</v>
      </c>
      <c r="H317" t="s">
        <v>793</v>
      </c>
      <c r="I317" t="s">
        <v>810</v>
      </c>
      <c r="J317">
        <v>-2100</v>
      </c>
      <c r="K317">
        <v>-2100</v>
      </c>
      <c r="O317" t="s">
        <v>742</v>
      </c>
      <c r="Q317" t="s">
        <v>466</v>
      </c>
      <c r="R317">
        <v>0</v>
      </c>
    </row>
    <row r="318" spans="1:18" x14ac:dyDescent="0.3">
      <c r="A318">
        <v>199212</v>
      </c>
      <c r="B318" t="s">
        <v>734</v>
      </c>
      <c r="C318" t="s">
        <v>846</v>
      </c>
      <c r="D318" t="s">
        <v>775</v>
      </c>
      <c r="E318" s="465">
        <v>46296</v>
      </c>
      <c r="F318" s="465">
        <v>46327</v>
      </c>
      <c r="G318" t="s">
        <v>792</v>
      </c>
      <c r="H318" t="s">
        <v>793</v>
      </c>
      <c r="I318" t="s">
        <v>847</v>
      </c>
      <c r="J318">
        <v>-3300</v>
      </c>
      <c r="K318">
        <v>-3300</v>
      </c>
      <c r="M318" t="s">
        <v>848</v>
      </c>
      <c r="N318" t="s">
        <v>131</v>
      </c>
      <c r="O318" t="s">
        <v>742</v>
      </c>
      <c r="Q318" t="s">
        <v>466</v>
      </c>
      <c r="R318">
        <v>0</v>
      </c>
    </row>
    <row r="319" spans="1:18" x14ac:dyDescent="0.3">
      <c r="A319">
        <v>238189</v>
      </c>
      <c r="B319" t="s">
        <v>734</v>
      </c>
      <c r="C319" t="s">
        <v>428</v>
      </c>
      <c r="D319" t="s">
        <v>775</v>
      </c>
      <c r="E319" s="465">
        <v>46296</v>
      </c>
      <c r="F319" s="465">
        <v>46285</v>
      </c>
      <c r="G319" t="s">
        <v>776</v>
      </c>
      <c r="H319" t="s">
        <v>210</v>
      </c>
      <c r="I319" t="s">
        <v>777</v>
      </c>
      <c r="J319">
        <v>-34000</v>
      </c>
      <c r="K319">
        <v>-34000</v>
      </c>
      <c r="O319" t="s">
        <v>742</v>
      </c>
      <c r="Q319" t="s">
        <v>466</v>
      </c>
      <c r="R319">
        <v>0</v>
      </c>
    </row>
    <row r="320" spans="1:18" x14ac:dyDescent="0.3">
      <c r="A320">
        <v>238221</v>
      </c>
      <c r="B320" t="s">
        <v>734</v>
      </c>
      <c r="C320" t="s">
        <v>780</v>
      </c>
      <c r="D320" t="s">
        <v>775</v>
      </c>
      <c r="E320" s="465">
        <v>46296</v>
      </c>
      <c r="F320" s="465">
        <v>46314</v>
      </c>
      <c r="G320" t="s">
        <v>776</v>
      </c>
      <c r="H320" t="s">
        <v>781</v>
      </c>
      <c r="J320">
        <v>-5000</v>
      </c>
      <c r="K320">
        <v>-5000</v>
      </c>
      <c r="O320" t="s">
        <v>742</v>
      </c>
      <c r="Q320" t="s">
        <v>466</v>
      </c>
      <c r="R320">
        <v>0</v>
      </c>
    </row>
    <row r="321" spans="1:18" x14ac:dyDescent="0.3">
      <c r="A321">
        <v>232192</v>
      </c>
      <c r="B321" t="s">
        <v>734</v>
      </c>
      <c r="C321" t="s">
        <v>818</v>
      </c>
      <c r="D321" t="s">
        <v>775</v>
      </c>
      <c r="E321" s="465">
        <v>46296</v>
      </c>
      <c r="F321" s="465">
        <v>46341</v>
      </c>
      <c r="G321" t="s">
        <v>792</v>
      </c>
      <c r="H321" t="s">
        <v>793</v>
      </c>
      <c r="I321" t="s">
        <v>819</v>
      </c>
      <c r="J321">
        <v>-3250</v>
      </c>
      <c r="K321">
        <v>-3250</v>
      </c>
      <c r="O321" t="s">
        <v>742</v>
      </c>
      <c r="Q321" t="s">
        <v>466</v>
      </c>
      <c r="R321">
        <v>0</v>
      </c>
    </row>
    <row r="322" spans="1:18" x14ac:dyDescent="0.3">
      <c r="A322">
        <v>230536</v>
      </c>
      <c r="B322" t="s">
        <v>734</v>
      </c>
      <c r="C322" t="s">
        <v>824</v>
      </c>
      <c r="D322" t="s">
        <v>775</v>
      </c>
      <c r="E322" s="465">
        <v>46296</v>
      </c>
      <c r="F322" s="465">
        <v>46313</v>
      </c>
      <c r="G322" t="s">
        <v>825</v>
      </c>
      <c r="H322" t="s">
        <v>826</v>
      </c>
      <c r="J322">
        <v>-400</v>
      </c>
      <c r="K322">
        <v>-400</v>
      </c>
      <c r="O322" t="s">
        <v>742</v>
      </c>
      <c r="Q322" t="s">
        <v>466</v>
      </c>
      <c r="R322">
        <v>0</v>
      </c>
    </row>
    <row r="323" spans="1:18" x14ac:dyDescent="0.3">
      <c r="A323">
        <v>232180</v>
      </c>
      <c r="B323" t="s">
        <v>734</v>
      </c>
      <c r="C323" t="s">
        <v>818</v>
      </c>
      <c r="D323" t="s">
        <v>775</v>
      </c>
      <c r="E323" s="465">
        <v>46296</v>
      </c>
      <c r="F323" s="465">
        <v>46327</v>
      </c>
      <c r="G323" t="s">
        <v>792</v>
      </c>
      <c r="H323" t="s">
        <v>793</v>
      </c>
      <c r="I323" t="s">
        <v>819</v>
      </c>
      <c r="J323">
        <v>-3250</v>
      </c>
      <c r="K323">
        <v>-3250</v>
      </c>
      <c r="O323" t="s">
        <v>742</v>
      </c>
      <c r="Q323" t="s">
        <v>466</v>
      </c>
      <c r="R323">
        <v>0</v>
      </c>
    </row>
    <row r="324" spans="1:18" x14ac:dyDescent="0.3">
      <c r="A324">
        <v>235520</v>
      </c>
      <c r="B324" t="s">
        <v>734</v>
      </c>
      <c r="C324" t="s">
        <v>804</v>
      </c>
      <c r="D324" t="s">
        <v>775</v>
      </c>
      <c r="E324" s="465">
        <v>46296</v>
      </c>
      <c r="F324" s="465">
        <v>46327</v>
      </c>
      <c r="G324" t="s">
        <v>792</v>
      </c>
      <c r="H324" t="s">
        <v>793</v>
      </c>
      <c r="I324" t="s">
        <v>805</v>
      </c>
      <c r="J324">
        <v>-2100</v>
      </c>
      <c r="K324">
        <v>-2100</v>
      </c>
      <c r="O324" t="s">
        <v>742</v>
      </c>
      <c r="Q324" t="s">
        <v>466</v>
      </c>
      <c r="R324">
        <v>0</v>
      </c>
    </row>
    <row r="325" spans="1:18" x14ac:dyDescent="0.3">
      <c r="A325">
        <v>223761</v>
      </c>
      <c r="B325" t="s">
        <v>734</v>
      </c>
      <c r="C325" t="s">
        <v>821</v>
      </c>
      <c r="D325" t="s">
        <v>775</v>
      </c>
      <c r="E325" s="465">
        <v>46296</v>
      </c>
      <c r="F325" s="465">
        <v>46336</v>
      </c>
      <c r="G325" t="s">
        <v>792</v>
      </c>
      <c r="H325" t="s">
        <v>793</v>
      </c>
      <c r="I325" t="s">
        <v>822</v>
      </c>
      <c r="J325">
        <v>-8000</v>
      </c>
      <c r="K325">
        <v>-8000</v>
      </c>
      <c r="M325" t="s">
        <v>823</v>
      </c>
      <c r="N325" t="s">
        <v>129</v>
      </c>
      <c r="O325" t="s">
        <v>742</v>
      </c>
      <c r="Q325" t="s">
        <v>466</v>
      </c>
      <c r="R325">
        <v>0</v>
      </c>
    </row>
    <row r="326" spans="1:18" x14ac:dyDescent="0.3">
      <c r="A326">
        <v>200019</v>
      </c>
      <c r="B326" t="s">
        <v>734</v>
      </c>
      <c r="C326" t="s">
        <v>855</v>
      </c>
      <c r="D326" t="s">
        <v>775</v>
      </c>
      <c r="E326" s="465">
        <v>46296</v>
      </c>
      <c r="F326" s="465">
        <v>46341</v>
      </c>
      <c r="G326" t="s">
        <v>307</v>
      </c>
      <c r="H326" t="s">
        <v>313</v>
      </c>
      <c r="I326" t="s">
        <v>850</v>
      </c>
      <c r="J326">
        <v>-10000</v>
      </c>
      <c r="K326">
        <v>-10000</v>
      </c>
      <c r="O326" t="s">
        <v>742</v>
      </c>
      <c r="Q326" t="s">
        <v>466</v>
      </c>
      <c r="R326">
        <v>0</v>
      </c>
    </row>
    <row r="327" spans="1:18" x14ac:dyDescent="0.3">
      <c r="A327">
        <v>238205</v>
      </c>
      <c r="B327" t="s">
        <v>734</v>
      </c>
      <c r="C327" t="s">
        <v>427</v>
      </c>
      <c r="D327" t="s">
        <v>775</v>
      </c>
      <c r="E327" s="465">
        <v>46296</v>
      </c>
      <c r="F327" s="465">
        <v>46314</v>
      </c>
      <c r="G327" t="s">
        <v>776</v>
      </c>
      <c r="H327" t="s">
        <v>205</v>
      </c>
      <c r="I327" t="s">
        <v>779</v>
      </c>
      <c r="J327">
        <v>-5000</v>
      </c>
      <c r="K327">
        <v>-5000</v>
      </c>
      <c r="O327" t="s">
        <v>742</v>
      </c>
      <c r="Q327" t="s">
        <v>466</v>
      </c>
      <c r="R327">
        <v>0</v>
      </c>
    </row>
    <row r="328" spans="1:18" x14ac:dyDescent="0.3">
      <c r="A328">
        <v>230524</v>
      </c>
      <c r="B328" t="s">
        <v>734</v>
      </c>
      <c r="C328" t="s">
        <v>824</v>
      </c>
      <c r="D328" t="s">
        <v>775</v>
      </c>
      <c r="E328" s="465">
        <v>46296</v>
      </c>
      <c r="F328" s="465">
        <v>46313</v>
      </c>
      <c r="G328" t="s">
        <v>825</v>
      </c>
      <c r="H328" t="s">
        <v>826</v>
      </c>
      <c r="J328">
        <v>-700</v>
      </c>
      <c r="K328">
        <v>-700</v>
      </c>
      <c r="O328" t="s">
        <v>742</v>
      </c>
      <c r="Q328" t="s">
        <v>466</v>
      </c>
      <c r="R328">
        <v>0</v>
      </c>
    </row>
    <row r="329" spans="1:18" x14ac:dyDescent="0.3">
      <c r="A329">
        <v>241768</v>
      </c>
      <c r="B329" t="s">
        <v>734</v>
      </c>
      <c r="C329" t="s">
        <v>812</v>
      </c>
      <c r="D329" t="s">
        <v>775</v>
      </c>
      <c r="E329" s="465">
        <v>46296</v>
      </c>
      <c r="F329" s="465">
        <v>46327</v>
      </c>
      <c r="G329" t="s">
        <v>792</v>
      </c>
      <c r="H329" t="s">
        <v>793</v>
      </c>
      <c r="I329" t="s">
        <v>813</v>
      </c>
      <c r="J329">
        <v>-2100</v>
      </c>
      <c r="K329">
        <v>-2100</v>
      </c>
      <c r="O329" t="s">
        <v>742</v>
      </c>
      <c r="Q329" t="s">
        <v>466</v>
      </c>
      <c r="R329">
        <v>0</v>
      </c>
    </row>
    <row r="330" spans="1:18" x14ac:dyDescent="0.3">
      <c r="A330">
        <v>243369</v>
      </c>
      <c r="B330" t="s">
        <v>734</v>
      </c>
      <c r="C330" t="s">
        <v>786</v>
      </c>
      <c r="D330" t="s">
        <v>775</v>
      </c>
      <c r="E330" s="465">
        <v>46296</v>
      </c>
      <c r="F330" s="465">
        <v>46301</v>
      </c>
      <c r="G330" t="s">
        <v>787</v>
      </c>
      <c r="H330" t="s">
        <v>788</v>
      </c>
      <c r="I330" t="s">
        <v>789</v>
      </c>
      <c r="J330">
        <v>-805.7</v>
      </c>
      <c r="K330">
        <v>-805.7</v>
      </c>
      <c r="O330" t="s">
        <v>742</v>
      </c>
      <c r="Q330" t="s">
        <v>466</v>
      </c>
      <c r="R330">
        <v>0</v>
      </c>
    </row>
    <row r="331" spans="1:18" x14ac:dyDescent="0.3">
      <c r="A331">
        <v>237229</v>
      </c>
      <c r="B331" t="s">
        <v>734</v>
      </c>
      <c r="C331" t="s">
        <v>806</v>
      </c>
      <c r="D331" t="s">
        <v>775</v>
      </c>
      <c r="E331" s="465">
        <v>46296</v>
      </c>
      <c r="F331" s="465">
        <v>46304</v>
      </c>
      <c r="G331" t="s">
        <v>784</v>
      </c>
      <c r="H331" t="s">
        <v>246</v>
      </c>
      <c r="I331" t="s">
        <v>807</v>
      </c>
      <c r="J331">
        <v>-750</v>
      </c>
      <c r="K331">
        <v>-750</v>
      </c>
      <c r="O331" t="s">
        <v>742</v>
      </c>
      <c r="Q331" t="s">
        <v>466</v>
      </c>
      <c r="R331">
        <v>0</v>
      </c>
    </row>
    <row r="332" spans="1:18" x14ac:dyDescent="0.3">
      <c r="A332">
        <v>249238</v>
      </c>
      <c r="B332" t="s">
        <v>734</v>
      </c>
      <c r="C332" t="s">
        <v>795</v>
      </c>
      <c r="D332" t="s">
        <v>775</v>
      </c>
      <c r="E332" s="465">
        <v>46296</v>
      </c>
      <c r="F332" s="465">
        <v>46315</v>
      </c>
      <c r="G332" t="s">
        <v>787</v>
      </c>
      <c r="H332" t="s">
        <v>788</v>
      </c>
      <c r="I332" t="s">
        <v>856</v>
      </c>
      <c r="J332">
        <v>-39000</v>
      </c>
      <c r="K332">
        <v>-39000</v>
      </c>
      <c r="O332" t="s">
        <v>742</v>
      </c>
      <c r="Q332" t="s">
        <v>466</v>
      </c>
      <c r="R332">
        <v>0</v>
      </c>
    </row>
    <row r="333" spans="1:18" x14ac:dyDescent="0.3">
      <c r="A333">
        <v>249031</v>
      </c>
      <c r="B333" t="s">
        <v>734</v>
      </c>
      <c r="C333" t="s">
        <v>48</v>
      </c>
      <c r="D333" t="s">
        <v>775</v>
      </c>
      <c r="E333" s="465">
        <v>46295</v>
      </c>
      <c r="F333" s="465">
        <v>46315</v>
      </c>
      <c r="G333" t="s">
        <v>835</v>
      </c>
      <c r="H333" t="s">
        <v>48</v>
      </c>
      <c r="J333">
        <v>-15000</v>
      </c>
      <c r="K333">
        <v>-15000</v>
      </c>
      <c r="O333" t="s">
        <v>742</v>
      </c>
      <c r="Q333" t="s">
        <v>465</v>
      </c>
      <c r="R333">
        <v>0</v>
      </c>
    </row>
    <row r="334" spans="1:18" x14ac:dyDescent="0.3">
      <c r="A334">
        <v>223691</v>
      </c>
      <c r="B334" t="s">
        <v>734</v>
      </c>
      <c r="C334" t="s">
        <v>49</v>
      </c>
      <c r="D334" t="s">
        <v>775</v>
      </c>
      <c r="E334" s="465">
        <v>46295</v>
      </c>
      <c r="F334" s="465">
        <v>46305</v>
      </c>
      <c r="G334" t="s">
        <v>835</v>
      </c>
      <c r="H334" t="s">
        <v>49</v>
      </c>
      <c r="J334">
        <v>-250</v>
      </c>
      <c r="K334">
        <v>-250</v>
      </c>
      <c r="O334" t="s">
        <v>742</v>
      </c>
      <c r="Q334" t="s">
        <v>465</v>
      </c>
      <c r="R334">
        <v>0</v>
      </c>
    </row>
    <row r="335" spans="1:18" x14ac:dyDescent="0.3">
      <c r="A335">
        <v>231978</v>
      </c>
      <c r="B335" t="s">
        <v>734</v>
      </c>
      <c r="C335" t="s">
        <v>832</v>
      </c>
      <c r="D335" t="s">
        <v>775</v>
      </c>
      <c r="E335" s="465">
        <v>46295</v>
      </c>
      <c r="F335" s="465">
        <v>46307</v>
      </c>
      <c r="G335" t="s">
        <v>295</v>
      </c>
      <c r="H335" t="s">
        <v>297</v>
      </c>
      <c r="J335">
        <v>-1000</v>
      </c>
      <c r="K335">
        <v>-1000</v>
      </c>
      <c r="O335" t="s">
        <v>742</v>
      </c>
      <c r="Q335" t="s">
        <v>465</v>
      </c>
      <c r="R335">
        <v>0</v>
      </c>
    </row>
    <row r="336" spans="1:18" x14ac:dyDescent="0.3">
      <c r="A336">
        <v>249039</v>
      </c>
      <c r="B336" t="s">
        <v>734</v>
      </c>
      <c r="C336" t="s">
        <v>428</v>
      </c>
      <c r="D336" t="s">
        <v>775</v>
      </c>
      <c r="E336" s="465">
        <v>46295</v>
      </c>
      <c r="F336" s="465">
        <v>46315</v>
      </c>
      <c r="G336" t="s">
        <v>833</v>
      </c>
      <c r="H336" t="s">
        <v>348</v>
      </c>
      <c r="J336">
        <v>-5000</v>
      </c>
      <c r="K336">
        <v>-5000</v>
      </c>
      <c r="O336" t="s">
        <v>742</v>
      </c>
      <c r="Q336" t="s">
        <v>465</v>
      </c>
      <c r="R336">
        <v>0</v>
      </c>
    </row>
    <row r="337" spans="1:18" x14ac:dyDescent="0.3">
      <c r="A337">
        <v>228994</v>
      </c>
      <c r="B337" t="s">
        <v>734</v>
      </c>
      <c r="C337" t="s">
        <v>836</v>
      </c>
      <c r="D337" t="s">
        <v>775</v>
      </c>
      <c r="E337" s="465">
        <v>46295</v>
      </c>
      <c r="F337" s="465">
        <v>46315</v>
      </c>
      <c r="G337" t="s">
        <v>837</v>
      </c>
      <c r="H337" t="s">
        <v>345</v>
      </c>
      <c r="J337">
        <v>-10000</v>
      </c>
      <c r="K337">
        <v>-10000</v>
      </c>
      <c r="O337" t="s">
        <v>742</v>
      </c>
      <c r="Q337" t="s">
        <v>465</v>
      </c>
      <c r="R337">
        <v>0</v>
      </c>
    </row>
    <row r="338" spans="1:18" x14ac:dyDescent="0.3">
      <c r="A338">
        <v>228285</v>
      </c>
      <c r="B338" t="s">
        <v>734</v>
      </c>
      <c r="C338" t="s">
        <v>830</v>
      </c>
      <c r="D338" t="s">
        <v>775</v>
      </c>
      <c r="E338" s="465">
        <v>46295</v>
      </c>
      <c r="F338" s="465">
        <v>46299</v>
      </c>
      <c r="G338" t="s">
        <v>263</v>
      </c>
      <c r="H338" t="s">
        <v>265</v>
      </c>
      <c r="J338">
        <v>-1500</v>
      </c>
      <c r="K338">
        <v>-1500</v>
      </c>
      <c r="O338" t="s">
        <v>742</v>
      </c>
      <c r="Q338" t="s">
        <v>465</v>
      </c>
      <c r="R338">
        <v>0</v>
      </c>
    </row>
    <row r="339" spans="1:18" x14ac:dyDescent="0.3">
      <c r="A339">
        <v>241341</v>
      </c>
      <c r="B339" t="s">
        <v>734</v>
      </c>
      <c r="C339" t="s">
        <v>838</v>
      </c>
      <c r="D339" t="s">
        <v>775</v>
      </c>
      <c r="E339" s="465">
        <v>46294</v>
      </c>
      <c r="F339" s="465">
        <v>46300</v>
      </c>
      <c r="G339" t="s">
        <v>255</v>
      </c>
      <c r="H339" t="s">
        <v>260</v>
      </c>
      <c r="I339" t="s">
        <v>839</v>
      </c>
      <c r="J339">
        <v>-506.88</v>
      </c>
      <c r="K339">
        <v>-506.88</v>
      </c>
      <c r="O339" t="s">
        <v>742</v>
      </c>
      <c r="Q339" t="s">
        <v>465</v>
      </c>
      <c r="R339">
        <v>0</v>
      </c>
    </row>
    <row r="340" spans="1:18" x14ac:dyDescent="0.3">
      <c r="A340">
        <v>238531</v>
      </c>
      <c r="B340" t="s">
        <v>734</v>
      </c>
      <c r="C340" t="s">
        <v>840</v>
      </c>
      <c r="D340" t="s">
        <v>775</v>
      </c>
      <c r="E340" s="465">
        <v>46280</v>
      </c>
      <c r="F340" s="465">
        <v>46293</v>
      </c>
      <c r="G340" t="s">
        <v>278</v>
      </c>
      <c r="H340" t="s">
        <v>283</v>
      </c>
      <c r="I340" t="s">
        <v>841</v>
      </c>
      <c r="J340">
        <v>-219</v>
      </c>
      <c r="K340">
        <v>-219</v>
      </c>
      <c r="O340" t="s">
        <v>742</v>
      </c>
      <c r="Q340" t="s">
        <v>465</v>
      </c>
      <c r="R340">
        <v>0</v>
      </c>
    </row>
    <row r="341" spans="1:18" x14ac:dyDescent="0.3">
      <c r="A341">
        <v>224320</v>
      </c>
      <c r="B341" t="s">
        <v>734</v>
      </c>
      <c r="C341" t="s">
        <v>814</v>
      </c>
      <c r="D341" t="s">
        <v>775</v>
      </c>
      <c r="E341" s="465">
        <v>46279</v>
      </c>
      <c r="F341" s="465">
        <v>46285</v>
      </c>
      <c r="G341" t="s">
        <v>307</v>
      </c>
      <c r="H341" t="s">
        <v>312</v>
      </c>
      <c r="J341">
        <v>-2200</v>
      </c>
      <c r="K341">
        <v>-2200</v>
      </c>
      <c r="O341" t="s">
        <v>742</v>
      </c>
      <c r="Q341" t="s">
        <v>465</v>
      </c>
      <c r="R341">
        <v>0</v>
      </c>
    </row>
    <row r="342" spans="1:18" x14ac:dyDescent="0.3">
      <c r="A342">
        <v>147607</v>
      </c>
      <c r="B342" t="s">
        <v>734</v>
      </c>
      <c r="C342" t="s">
        <v>735</v>
      </c>
      <c r="E342" s="465">
        <v>46275</v>
      </c>
      <c r="F342" s="465">
        <v>46300</v>
      </c>
      <c r="G342" t="s">
        <v>255</v>
      </c>
      <c r="H342" t="s">
        <v>256</v>
      </c>
      <c r="I342" t="s">
        <v>737</v>
      </c>
      <c r="J342">
        <v>-140000</v>
      </c>
      <c r="K342">
        <v>-140000</v>
      </c>
      <c r="O342" t="s">
        <v>742</v>
      </c>
      <c r="Q342" t="s">
        <v>465</v>
      </c>
      <c r="R342">
        <v>0</v>
      </c>
    </row>
    <row r="343" spans="1:18" x14ac:dyDescent="0.3">
      <c r="A343">
        <v>237453</v>
      </c>
      <c r="B343" t="s">
        <v>734</v>
      </c>
      <c r="C343" t="s">
        <v>842</v>
      </c>
      <c r="D343" t="s">
        <v>775</v>
      </c>
      <c r="E343" s="465">
        <v>46274</v>
      </c>
      <c r="F343" s="465">
        <v>46305</v>
      </c>
      <c r="G343" t="s">
        <v>278</v>
      </c>
      <c r="H343" t="s">
        <v>280</v>
      </c>
      <c r="J343">
        <v>-1000</v>
      </c>
      <c r="K343">
        <v>-1000</v>
      </c>
      <c r="O343" t="s">
        <v>742</v>
      </c>
      <c r="Q343" t="s">
        <v>465</v>
      </c>
      <c r="R343">
        <v>0</v>
      </c>
    </row>
    <row r="344" spans="1:18" x14ac:dyDescent="0.3">
      <c r="A344">
        <v>223347</v>
      </c>
      <c r="B344" t="s">
        <v>734</v>
      </c>
      <c r="C344" t="s">
        <v>843</v>
      </c>
      <c r="D344" t="s">
        <v>844</v>
      </c>
      <c r="E344" s="465">
        <v>46273</v>
      </c>
      <c r="F344" s="465">
        <v>46315</v>
      </c>
      <c r="G344" t="s">
        <v>833</v>
      </c>
      <c r="H344" t="s">
        <v>363</v>
      </c>
      <c r="I344" t="s">
        <v>845</v>
      </c>
      <c r="J344">
        <v>-4159.12</v>
      </c>
      <c r="K344">
        <v>-4159.12</v>
      </c>
      <c r="O344" t="s">
        <v>738</v>
      </c>
      <c r="Q344" t="s">
        <v>465</v>
      </c>
      <c r="R344">
        <v>0</v>
      </c>
    </row>
    <row r="345" spans="1:18" x14ac:dyDescent="0.3">
      <c r="A345">
        <v>248873</v>
      </c>
      <c r="B345" t="s">
        <v>734</v>
      </c>
      <c r="C345" t="s">
        <v>791</v>
      </c>
      <c r="D345" t="s">
        <v>775</v>
      </c>
      <c r="E345" s="465">
        <v>46272</v>
      </c>
      <c r="F345" s="465">
        <v>46310</v>
      </c>
      <c r="G345" t="s">
        <v>792</v>
      </c>
      <c r="H345" t="s">
        <v>793</v>
      </c>
      <c r="I345" t="s">
        <v>794</v>
      </c>
      <c r="J345">
        <v>-4500</v>
      </c>
      <c r="K345">
        <v>-4500</v>
      </c>
      <c r="O345" t="s">
        <v>742</v>
      </c>
      <c r="Q345" t="s">
        <v>465</v>
      </c>
      <c r="R345">
        <v>0</v>
      </c>
    </row>
    <row r="346" spans="1:18" x14ac:dyDescent="0.3">
      <c r="A346">
        <v>232191</v>
      </c>
      <c r="B346" t="s">
        <v>734</v>
      </c>
      <c r="C346" t="s">
        <v>818</v>
      </c>
      <c r="D346" t="s">
        <v>775</v>
      </c>
      <c r="E346" s="465">
        <v>46266</v>
      </c>
      <c r="F346" s="465">
        <v>46310</v>
      </c>
      <c r="G346" t="s">
        <v>792</v>
      </c>
      <c r="H346" t="s">
        <v>793</v>
      </c>
      <c r="I346" t="s">
        <v>819</v>
      </c>
      <c r="J346">
        <v>-3250</v>
      </c>
      <c r="K346">
        <v>-3250</v>
      </c>
      <c r="O346" t="s">
        <v>742</v>
      </c>
      <c r="Q346" t="s">
        <v>465</v>
      </c>
      <c r="R346">
        <v>0</v>
      </c>
    </row>
    <row r="347" spans="1:18" x14ac:dyDescent="0.3">
      <c r="A347">
        <v>233294</v>
      </c>
      <c r="B347" t="s">
        <v>734</v>
      </c>
      <c r="C347" t="s">
        <v>783</v>
      </c>
      <c r="D347" t="s">
        <v>775</v>
      </c>
      <c r="E347" s="465">
        <v>46266</v>
      </c>
      <c r="F347" s="465">
        <v>46259</v>
      </c>
      <c r="G347" t="s">
        <v>784</v>
      </c>
      <c r="H347" t="s">
        <v>238</v>
      </c>
      <c r="I347" t="s">
        <v>803</v>
      </c>
      <c r="J347">
        <v>-5000</v>
      </c>
      <c r="K347">
        <v>-5000</v>
      </c>
      <c r="O347" t="s">
        <v>742</v>
      </c>
      <c r="Q347" t="s">
        <v>465</v>
      </c>
      <c r="R347">
        <v>0</v>
      </c>
    </row>
    <row r="348" spans="1:18" x14ac:dyDescent="0.3">
      <c r="A348">
        <v>241767</v>
      </c>
      <c r="B348" t="s">
        <v>734</v>
      </c>
      <c r="C348" t="s">
        <v>812</v>
      </c>
      <c r="D348" t="s">
        <v>775</v>
      </c>
      <c r="E348" s="465">
        <v>46266</v>
      </c>
      <c r="F348" s="465">
        <v>46296</v>
      </c>
      <c r="G348" t="s">
        <v>792</v>
      </c>
      <c r="H348" t="s">
        <v>793</v>
      </c>
      <c r="I348" t="s">
        <v>813</v>
      </c>
      <c r="J348">
        <v>-2100</v>
      </c>
      <c r="K348">
        <v>-2100</v>
      </c>
      <c r="O348" t="s">
        <v>742</v>
      </c>
      <c r="Q348" t="s">
        <v>465</v>
      </c>
      <c r="R348">
        <v>0</v>
      </c>
    </row>
    <row r="349" spans="1:18" x14ac:dyDescent="0.3">
      <c r="A349">
        <v>200018</v>
      </c>
      <c r="B349" t="s">
        <v>734</v>
      </c>
      <c r="C349" t="s">
        <v>855</v>
      </c>
      <c r="D349" t="s">
        <v>775</v>
      </c>
      <c r="E349" s="465">
        <v>46266</v>
      </c>
      <c r="F349" s="465">
        <v>46310</v>
      </c>
      <c r="G349" t="s">
        <v>307</v>
      </c>
      <c r="H349" t="s">
        <v>313</v>
      </c>
      <c r="I349" t="s">
        <v>850</v>
      </c>
      <c r="J349">
        <v>-10000</v>
      </c>
      <c r="K349">
        <v>-10000</v>
      </c>
      <c r="O349" t="s">
        <v>742</v>
      </c>
      <c r="Q349" t="s">
        <v>465</v>
      </c>
      <c r="R349">
        <v>0</v>
      </c>
    </row>
    <row r="350" spans="1:18" x14ac:dyDescent="0.3">
      <c r="A350">
        <v>241755</v>
      </c>
      <c r="B350" t="s">
        <v>734</v>
      </c>
      <c r="C350" t="s">
        <v>808</v>
      </c>
      <c r="D350" t="s">
        <v>775</v>
      </c>
      <c r="E350" s="465">
        <v>46266</v>
      </c>
      <c r="F350" s="465">
        <v>46310</v>
      </c>
      <c r="G350" t="s">
        <v>792</v>
      </c>
      <c r="H350" t="s">
        <v>793</v>
      </c>
      <c r="I350" t="s">
        <v>810</v>
      </c>
      <c r="J350">
        <v>-2100</v>
      </c>
      <c r="K350">
        <v>-2100</v>
      </c>
      <c r="O350" t="s">
        <v>742</v>
      </c>
      <c r="Q350" t="s">
        <v>465</v>
      </c>
      <c r="R350">
        <v>0</v>
      </c>
    </row>
    <row r="351" spans="1:18" x14ac:dyDescent="0.3">
      <c r="A351">
        <v>237228</v>
      </c>
      <c r="B351" t="s">
        <v>734</v>
      </c>
      <c r="C351" t="s">
        <v>806</v>
      </c>
      <c r="D351" t="s">
        <v>775</v>
      </c>
      <c r="E351" s="465">
        <v>46266</v>
      </c>
      <c r="F351" s="465">
        <v>46274</v>
      </c>
      <c r="G351" t="s">
        <v>784</v>
      </c>
      <c r="H351" t="s">
        <v>246</v>
      </c>
      <c r="I351" t="s">
        <v>807</v>
      </c>
      <c r="J351">
        <v>-750</v>
      </c>
      <c r="K351">
        <v>-750</v>
      </c>
      <c r="O351" t="s">
        <v>742</v>
      </c>
      <c r="Q351" t="s">
        <v>465</v>
      </c>
      <c r="R351">
        <v>0</v>
      </c>
    </row>
    <row r="352" spans="1:18" x14ac:dyDescent="0.3">
      <c r="A352">
        <v>230523</v>
      </c>
      <c r="B352" t="s">
        <v>734</v>
      </c>
      <c r="C352" t="s">
        <v>824</v>
      </c>
      <c r="D352" t="s">
        <v>775</v>
      </c>
      <c r="E352" s="465">
        <v>46266</v>
      </c>
      <c r="F352" s="465">
        <v>46283</v>
      </c>
      <c r="G352" t="s">
        <v>825</v>
      </c>
      <c r="H352" t="s">
        <v>826</v>
      </c>
      <c r="J352">
        <v>-700</v>
      </c>
      <c r="K352">
        <v>-700</v>
      </c>
      <c r="O352" t="s">
        <v>742</v>
      </c>
      <c r="Q352" t="s">
        <v>465</v>
      </c>
      <c r="R352">
        <v>0</v>
      </c>
    </row>
    <row r="353" spans="1:18" x14ac:dyDescent="0.3">
      <c r="A353">
        <v>241779</v>
      </c>
      <c r="B353" t="s">
        <v>734</v>
      </c>
      <c r="C353" t="s">
        <v>812</v>
      </c>
      <c r="D353" t="s">
        <v>775</v>
      </c>
      <c r="E353" s="465">
        <v>46266</v>
      </c>
      <c r="F353" s="465">
        <v>46310</v>
      </c>
      <c r="G353" t="s">
        <v>792</v>
      </c>
      <c r="H353" t="s">
        <v>793</v>
      </c>
      <c r="I353" t="s">
        <v>810</v>
      </c>
      <c r="J353">
        <v>-2100</v>
      </c>
      <c r="K353">
        <v>-2100</v>
      </c>
      <c r="O353" t="s">
        <v>742</v>
      </c>
      <c r="Q353" t="s">
        <v>465</v>
      </c>
      <c r="R353">
        <v>0</v>
      </c>
    </row>
    <row r="354" spans="1:18" x14ac:dyDescent="0.3">
      <c r="A354">
        <v>199839</v>
      </c>
      <c r="B354" t="s">
        <v>734</v>
      </c>
      <c r="C354" t="s">
        <v>853</v>
      </c>
      <c r="D354" t="s">
        <v>775</v>
      </c>
      <c r="E354" s="465">
        <v>46266</v>
      </c>
      <c r="F354" s="465">
        <v>46296</v>
      </c>
      <c r="G354" t="s">
        <v>792</v>
      </c>
      <c r="H354" t="s">
        <v>793</v>
      </c>
      <c r="I354" t="s">
        <v>822</v>
      </c>
      <c r="J354">
        <v>-2250</v>
      </c>
      <c r="K354">
        <v>-2250</v>
      </c>
      <c r="M354" t="s">
        <v>854</v>
      </c>
      <c r="N354" t="s">
        <v>138</v>
      </c>
      <c r="O354" t="s">
        <v>742</v>
      </c>
      <c r="Q354" t="s">
        <v>465</v>
      </c>
      <c r="R354">
        <v>0</v>
      </c>
    </row>
    <row r="355" spans="1:18" x14ac:dyDescent="0.3">
      <c r="A355">
        <v>227301</v>
      </c>
      <c r="B355" t="s">
        <v>734</v>
      </c>
      <c r="C355" t="s">
        <v>827</v>
      </c>
      <c r="D355" t="s">
        <v>775</v>
      </c>
      <c r="E355" s="465">
        <v>46266</v>
      </c>
      <c r="F355" s="465">
        <v>46310</v>
      </c>
      <c r="G355" t="s">
        <v>792</v>
      </c>
      <c r="H355" t="s">
        <v>793</v>
      </c>
      <c r="I355" t="s">
        <v>828</v>
      </c>
      <c r="J355">
        <v>-2000</v>
      </c>
      <c r="K355">
        <v>-2000</v>
      </c>
      <c r="O355" t="s">
        <v>742</v>
      </c>
      <c r="Q355" t="s">
        <v>465</v>
      </c>
      <c r="R355">
        <v>0</v>
      </c>
    </row>
    <row r="356" spans="1:18" x14ac:dyDescent="0.3">
      <c r="A356">
        <v>237252</v>
      </c>
      <c r="B356" t="s">
        <v>734</v>
      </c>
      <c r="C356" t="s">
        <v>797</v>
      </c>
      <c r="D356" t="s">
        <v>775</v>
      </c>
      <c r="E356" s="465">
        <v>46266</v>
      </c>
      <c r="F356" s="465">
        <v>46275</v>
      </c>
      <c r="G356" t="s">
        <v>784</v>
      </c>
      <c r="H356" t="s">
        <v>798</v>
      </c>
      <c r="J356">
        <v>-100</v>
      </c>
      <c r="K356">
        <v>-100</v>
      </c>
      <c r="O356" t="s">
        <v>742</v>
      </c>
      <c r="Q356" t="s">
        <v>465</v>
      </c>
      <c r="R356">
        <v>0</v>
      </c>
    </row>
    <row r="357" spans="1:18" x14ac:dyDescent="0.3">
      <c r="A357">
        <v>240017</v>
      </c>
      <c r="B357" t="s">
        <v>734</v>
      </c>
      <c r="C357" t="s">
        <v>783</v>
      </c>
      <c r="D357" t="s">
        <v>775</v>
      </c>
      <c r="E357" s="465">
        <v>46266</v>
      </c>
      <c r="F357" s="465">
        <v>46259</v>
      </c>
      <c r="G357" t="s">
        <v>784</v>
      </c>
      <c r="H357" t="s">
        <v>238</v>
      </c>
      <c r="I357" t="s">
        <v>785</v>
      </c>
      <c r="J357">
        <v>-300</v>
      </c>
      <c r="K357">
        <v>-300</v>
      </c>
      <c r="O357" t="s">
        <v>742</v>
      </c>
      <c r="Q357" t="s">
        <v>465</v>
      </c>
      <c r="R357">
        <v>0</v>
      </c>
    </row>
    <row r="358" spans="1:18" x14ac:dyDescent="0.3">
      <c r="A358">
        <v>230535</v>
      </c>
      <c r="B358" t="s">
        <v>734</v>
      </c>
      <c r="C358" t="s">
        <v>824</v>
      </c>
      <c r="D358" t="s">
        <v>775</v>
      </c>
      <c r="E358" s="465">
        <v>46266</v>
      </c>
      <c r="F358" s="465">
        <v>46283</v>
      </c>
      <c r="G358" t="s">
        <v>825</v>
      </c>
      <c r="H358" t="s">
        <v>826</v>
      </c>
      <c r="J358">
        <v>-400</v>
      </c>
      <c r="K358">
        <v>-400</v>
      </c>
      <c r="O358" t="s">
        <v>742</v>
      </c>
      <c r="Q358" t="s">
        <v>465</v>
      </c>
      <c r="R358">
        <v>0</v>
      </c>
    </row>
    <row r="359" spans="1:18" x14ac:dyDescent="0.3">
      <c r="A359">
        <v>199852</v>
      </c>
      <c r="B359" t="s">
        <v>734</v>
      </c>
      <c r="C359" t="s">
        <v>853</v>
      </c>
      <c r="D359" t="s">
        <v>775</v>
      </c>
      <c r="E359" s="465">
        <v>46266</v>
      </c>
      <c r="F359" s="465">
        <v>46310</v>
      </c>
      <c r="G359" t="s">
        <v>792</v>
      </c>
      <c r="H359" t="s">
        <v>793</v>
      </c>
      <c r="I359" t="s">
        <v>850</v>
      </c>
      <c r="J359">
        <v>-2250</v>
      </c>
      <c r="K359">
        <v>-2250</v>
      </c>
      <c r="M359" t="s">
        <v>854</v>
      </c>
      <c r="N359" t="s">
        <v>138</v>
      </c>
      <c r="O359" t="s">
        <v>742</v>
      </c>
      <c r="Q359" t="s">
        <v>465</v>
      </c>
      <c r="R359">
        <v>0</v>
      </c>
    </row>
    <row r="360" spans="1:18" x14ac:dyDescent="0.3">
      <c r="A360">
        <v>232264</v>
      </c>
      <c r="B360" t="s">
        <v>734</v>
      </c>
      <c r="C360" t="s">
        <v>816</v>
      </c>
      <c r="D360" t="s">
        <v>775</v>
      </c>
      <c r="E360" s="465">
        <v>46266</v>
      </c>
      <c r="F360" s="465">
        <v>46310</v>
      </c>
      <c r="G360" t="s">
        <v>792</v>
      </c>
      <c r="H360" t="s">
        <v>793</v>
      </c>
      <c r="I360" t="s">
        <v>817</v>
      </c>
      <c r="J360">
        <v>-2000</v>
      </c>
      <c r="K360">
        <v>-2000</v>
      </c>
      <c r="O360" t="s">
        <v>742</v>
      </c>
      <c r="Q360" t="s">
        <v>465</v>
      </c>
      <c r="R360">
        <v>0</v>
      </c>
    </row>
    <row r="361" spans="1:18" x14ac:dyDescent="0.3">
      <c r="A361">
        <v>199765</v>
      </c>
      <c r="B361" t="s">
        <v>734</v>
      </c>
      <c r="C361" t="s">
        <v>849</v>
      </c>
      <c r="D361" t="s">
        <v>775</v>
      </c>
      <c r="E361" s="465">
        <v>46266</v>
      </c>
      <c r="F361" s="465">
        <v>46296</v>
      </c>
      <c r="G361" t="s">
        <v>792</v>
      </c>
      <c r="H361" t="s">
        <v>793</v>
      </c>
      <c r="I361" t="s">
        <v>822</v>
      </c>
      <c r="J361">
        <v>-3300</v>
      </c>
      <c r="K361">
        <v>-3300</v>
      </c>
      <c r="M361" t="s">
        <v>851</v>
      </c>
      <c r="N361" t="s">
        <v>130</v>
      </c>
      <c r="O361" t="s">
        <v>742</v>
      </c>
      <c r="Q361" t="s">
        <v>465</v>
      </c>
      <c r="R361">
        <v>0</v>
      </c>
    </row>
    <row r="362" spans="1:18" x14ac:dyDescent="0.3">
      <c r="A362">
        <v>232179</v>
      </c>
      <c r="B362" t="s">
        <v>734</v>
      </c>
      <c r="C362" t="s">
        <v>818</v>
      </c>
      <c r="D362" t="s">
        <v>775</v>
      </c>
      <c r="E362" s="465">
        <v>46266</v>
      </c>
      <c r="F362" s="465">
        <v>46296</v>
      </c>
      <c r="G362" t="s">
        <v>792</v>
      </c>
      <c r="H362" t="s">
        <v>793</v>
      </c>
      <c r="I362" t="s">
        <v>819</v>
      </c>
      <c r="J362">
        <v>-3250</v>
      </c>
      <c r="K362">
        <v>-3250</v>
      </c>
      <c r="O362" t="s">
        <v>742</v>
      </c>
      <c r="Q362" t="s">
        <v>465</v>
      </c>
      <c r="R362">
        <v>0</v>
      </c>
    </row>
    <row r="363" spans="1:18" x14ac:dyDescent="0.3">
      <c r="A363">
        <v>223760</v>
      </c>
      <c r="B363" t="s">
        <v>734</v>
      </c>
      <c r="C363" t="s">
        <v>821</v>
      </c>
      <c r="D363" t="s">
        <v>775</v>
      </c>
      <c r="E363" s="465">
        <v>46266</v>
      </c>
      <c r="F363" s="465">
        <v>46305</v>
      </c>
      <c r="G363" t="s">
        <v>792</v>
      </c>
      <c r="H363" t="s">
        <v>793</v>
      </c>
      <c r="I363" t="s">
        <v>822</v>
      </c>
      <c r="J363">
        <v>-8000</v>
      </c>
      <c r="K363">
        <v>-8000</v>
      </c>
      <c r="M363" t="s">
        <v>823</v>
      </c>
      <c r="N363" t="s">
        <v>129</v>
      </c>
      <c r="O363" t="s">
        <v>742</v>
      </c>
      <c r="Q363" t="s">
        <v>465</v>
      </c>
      <c r="R363">
        <v>0</v>
      </c>
    </row>
    <row r="364" spans="1:18" x14ac:dyDescent="0.3">
      <c r="A364">
        <v>243368</v>
      </c>
      <c r="B364" t="s">
        <v>734</v>
      </c>
      <c r="C364" t="s">
        <v>786</v>
      </c>
      <c r="D364" t="s">
        <v>775</v>
      </c>
      <c r="E364" s="465">
        <v>46266</v>
      </c>
      <c r="F364" s="465">
        <v>46271</v>
      </c>
      <c r="G364" t="s">
        <v>787</v>
      </c>
      <c r="H364" t="s">
        <v>788</v>
      </c>
      <c r="I364" t="s">
        <v>789</v>
      </c>
      <c r="J364">
        <v>-805.7</v>
      </c>
      <c r="K364">
        <v>-805.7</v>
      </c>
      <c r="O364" t="s">
        <v>742</v>
      </c>
      <c r="Q364" t="s">
        <v>465</v>
      </c>
      <c r="R364">
        <v>0</v>
      </c>
    </row>
    <row r="365" spans="1:18" x14ac:dyDescent="0.3">
      <c r="A365">
        <v>199223</v>
      </c>
      <c r="B365" t="s">
        <v>734</v>
      </c>
      <c r="C365" t="s">
        <v>846</v>
      </c>
      <c r="D365" t="s">
        <v>775</v>
      </c>
      <c r="E365" s="465">
        <v>46266</v>
      </c>
      <c r="F365" s="465">
        <v>46310</v>
      </c>
      <c r="G365" t="s">
        <v>792</v>
      </c>
      <c r="H365" t="s">
        <v>793</v>
      </c>
      <c r="I365" t="s">
        <v>852</v>
      </c>
      <c r="J365">
        <v>-3300</v>
      </c>
      <c r="K365">
        <v>-3300</v>
      </c>
      <c r="M365" t="s">
        <v>848</v>
      </c>
      <c r="N365" t="s">
        <v>131</v>
      </c>
      <c r="O365" t="s">
        <v>742</v>
      </c>
      <c r="Q365" t="s">
        <v>465</v>
      </c>
      <c r="R365">
        <v>0</v>
      </c>
    </row>
    <row r="366" spans="1:18" x14ac:dyDescent="0.3">
      <c r="A366">
        <v>199211</v>
      </c>
      <c r="B366" t="s">
        <v>734</v>
      </c>
      <c r="C366" t="s">
        <v>846</v>
      </c>
      <c r="D366" t="s">
        <v>775</v>
      </c>
      <c r="E366" s="465">
        <v>46266</v>
      </c>
      <c r="F366" s="465">
        <v>46296</v>
      </c>
      <c r="G366" t="s">
        <v>792</v>
      </c>
      <c r="H366" t="s">
        <v>793</v>
      </c>
      <c r="I366" t="s">
        <v>847</v>
      </c>
      <c r="J366">
        <v>-3300</v>
      </c>
      <c r="K366">
        <v>-3300</v>
      </c>
      <c r="M366" t="s">
        <v>848</v>
      </c>
      <c r="N366" t="s">
        <v>131</v>
      </c>
      <c r="O366" t="s">
        <v>742</v>
      </c>
      <c r="Q366" t="s">
        <v>465</v>
      </c>
      <c r="R366">
        <v>0</v>
      </c>
    </row>
    <row r="367" spans="1:18" x14ac:dyDescent="0.3">
      <c r="A367">
        <v>234161</v>
      </c>
      <c r="B367" t="s">
        <v>734</v>
      </c>
      <c r="C367" t="s">
        <v>795</v>
      </c>
      <c r="D367" t="s">
        <v>775</v>
      </c>
      <c r="E367" s="465">
        <v>46266</v>
      </c>
      <c r="F367" s="465">
        <v>46300</v>
      </c>
      <c r="G367" t="s">
        <v>787</v>
      </c>
      <c r="H367" t="s">
        <v>788</v>
      </c>
      <c r="I367" t="s">
        <v>796</v>
      </c>
      <c r="J367">
        <v>-40000</v>
      </c>
      <c r="K367">
        <v>-40000</v>
      </c>
      <c r="O367" t="s">
        <v>742</v>
      </c>
      <c r="Q367" t="s">
        <v>465</v>
      </c>
      <c r="R367">
        <v>0</v>
      </c>
    </row>
    <row r="368" spans="1:18" x14ac:dyDescent="0.3">
      <c r="A368">
        <v>237182</v>
      </c>
      <c r="B368" t="s">
        <v>734</v>
      </c>
      <c r="C368" t="s">
        <v>801</v>
      </c>
      <c r="D368" t="s">
        <v>775</v>
      </c>
      <c r="E368" s="465">
        <v>46266</v>
      </c>
      <c r="F368" s="465">
        <v>46275</v>
      </c>
      <c r="G368" t="s">
        <v>784</v>
      </c>
      <c r="H368" t="s">
        <v>241</v>
      </c>
      <c r="I368" t="s">
        <v>802</v>
      </c>
      <c r="J368">
        <v>-1000</v>
      </c>
      <c r="K368">
        <v>-1000</v>
      </c>
      <c r="O368" t="s">
        <v>742</v>
      </c>
      <c r="Q368" t="s">
        <v>465</v>
      </c>
      <c r="R368">
        <v>0</v>
      </c>
    </row>
    <row r="369" spans="1:18" x14ac:dyDescent="0.3">
      <c r="A369">
        <v>235519</v>
      </c>
      <c r="B369" t="s">
        <v>734</v>
      </c>
      <c r="C369" t="s">
        <v>804</v>
      </c>
      <c r="D369" t="s">
        <v>775</v>
      </c>
      <c r="E369" s="465">
        <v>46266</v>
      </c>
      <c r="F369" s="465">
        <v>46296</v>
      </c>
      <c r="G369" t="s">
        <v>792</v>
      </c>
      <c r="H369" t="s">
        <v>793</v>
      </c>
      <c r="I369" t="s">
        <v>805</v>
      </c>
      <c r="J369">
        <v>-2100</v>
      </c>
      <c r="K369">
        <v>-2100</v>
      </c>
      <c r="O369" t="s">
        <v>742</v>
      </c>
      <c r="Q369" t="s">
        <v>465</v>
      </c>
      <c r="R369">
        <v>0</v>
      </c>
    </row>
    <row r="370" spans="1:18" x14ac:dyDescent="0.3">
      <c r="A370">
        <v>233310</v>
      </c>
      <c r="B370" t="s">
        <v>734</v>
      </c>
      <c r="C370" t="s">
        <v>783</v>
      </c>
      <c r="D370" t="s">
        <v>775</v>
      </c>
      <c r="E370" s="465">
        <v>46266</v>
      </c>
      <c r="F370" s="465">
        <v>46260</v>
      </c>
      <c r="G370" t="s">
        <v>784</v>
      </c>
      <c r="H370" t="s">
        <v>238</v>
      </c>
      <c r="I370" t="s">
        <v>800</v>
      </c>
      <c r="J370">
        <v>-6000</v>
      </c>
      <c r="K370">
        <v>-6000</v>
      </c>
      <c r="O370" t="s">
        <v>742</v>
      </c>
      <c r="Q370" t="s">
        <v>465</v>
      </c>
      <c r="R370">
        <v>0</v>
      </c>
    </row>
    <row r="371" spans="1:18" x14ac:dyDescent="0.3">
      <c r="A371">
        <v>235538</v>
      </c>
      <c r="B371" t="s">
        <v>734</v>
      </c>
      <c r="C371" t="s">
        <v>804</v>
      </c>
      <c r="D371" t="s">
        <v>775</v>
      </c>
      <c r="E371" s="465">
        <v>46266</v>
      </c>
      <c r="F371" s="465">
        <v>46310</v>
      </c>
      <c r="G371" t="s">
        <v>792</v>
      </c>
      <c r="H371" t="s">
        <v>793</v>
      </c>
      <c r="I371" t="s">
        <v>811</v>
      </c>
      <c r="J371">
        <v>-2100</v>
      </c>
      <c r="K371">
        <v>-2100</v>
      </c>
      <c r="O371" t="s">
        <v>742</v>
      </c>
      <c r="Q371" t="s">
        <v>465</v>
      </c>
      <c r="R371">
        <v>0</v>
      </c>
    </row>
    <row r="372" spans="1:18" x14ac:dyDescent="0.3">
      <c r="A372">
        <v>238188</v>
      </c>
      <c r="B372" t="s">
        <v>734</v>
      </c>
      <c r="C372" t="s">
        <v>428</v>
      </c>
      <c r="D372" t="s">
        <v>775</v>
      </c>
      <c r="E372" s="465">
        <v>46266</v>
      </c>
      <c r="F372" s="465">
        <v>46254</v>
      </c>
      <c r="G372" t="s">
        <v>776</v>
      </c>
      <c r="H372" t="s">
        <v>210</v>
      </c>
      <c r="I372" t="s">
        <v>777</v>
      </c>
      <c r="J372">
        <v>-34000</v>
      </c>
      <c r="K372">
        <v>-34000</v>
      </c>
      <c r="O372" t="s">
        <v>742</v>
      </c>
      <c r="Q372" t="s">
        <v>465</v>
      </c>
      <c r="R372">
        <v>0</v>
      </c>
    </row>
    <row r="373" spans="1:18" x14ac:dyDescent="0.3">
      <c r="A373">
        <v>232252</v>
      </c>
      <c r="B373" t="s">
        <v>734</v>
      </c>
      <c r="C373" t="s">
        <v>816</v>
      </c>
      <c r="D373" t="s">
        <v>775</v>
      </c>
      <c r="E373" s="465">
        <v>46266</v>
      </c>
      <c r="F373" s="465">
        <v>46296</v>
      </c>
      <c r="G373" t="s">
        <v>792</v>
      </c>
      <c r="H373" t="s">
        <v>793</v>
      </c>
      <c r="I373" t="s">
        <v>817</v>
      </c>
      <c r="J373">
        <v>-2000</v>
      </c>
      <c r="K373">
        <v>-2000</v>
      </c>
      <c r="O373" t="s">
        <v>742</v>
      </c>
      <c r="Q373" t="s">
        <v>465</v>
      </c>
      <c r="R373">
        <v>0</v>
      </c>
    </row>
    <row r="374" spans="1:18" x14ac:dyDescent="0.3">
      <c r="A374">
        <v>238204</v>
      </c>
      <c r="B374" t="s">
        <v>734</v>
      </c>
      <c r="C374" t="s">
        <v>427</v>
      </c>
      <c r="D374" t="s">
        <v>775</v>
      </c>
      <c r="E374" s="465">
        <v>46266</v>
      </c>
      <c r="F374" s="465">
        <v>46284</v>
      </c>
      <c r="G374" t="s">
        <v>776</v>
      </c>
      <c r="H374" t="s">
        <v>205</v>
      </c>
      <c r="I374" t="s">
        <v>779</v>
      </c>
      <c r="J374">
        <v>-5000</v>
      </c>
      <c r="K374">
        <v>-5000</v>
      </c>
      <c r="O374" t="s">
        <v>742</v>
      </c>
      <c r="Q374" t="s">
        <v>465</v>
      </c>
      <c r="R374">
        <v>0</v>
      </c>
    </row>
    <row r="375" spans="1:18" x14ac:dyDescent="0.3">
      <c r="A375">
        <v>227289</v>
      </c>
      <c r="B375" t="s">
        <v>734</v>
      </c>
      <c r="C375" t="s">
        <v>827</v>
      </c>
      <c r="D375" t="s">
        <v>775</v>
      </c>
      <c r="E375" s="465">
        <v>46266</v>
      </c>
      <c r="F375" s="465">
        <v>46296</v>
      </c>
      <c r="G375" t="s">
        <v>792</v>
      </c>
      <c r="H375" t="s">
        <v>793</v>
      </c>
      <c r="I375" t="s">
        <v>829</v>
      </c>
      <c r="J375">
        <v>-2000</v>
      </c>
      <c r="K375">
        <v>-2000</v>
      </c>
      <c r="O375" t="s">
        <v>742</v>
      </c>
      <c r="Q375" t="s">
        <v>465</v>
      </c>
      <c r="R375">
        <v>0</v>
      </c>
    </row>
    <row r="376" spans="1:18" x14ac:dyDescent="0.3">
      <c r="A376">
        <v>241743</v>
      </c>
      <c r="B376" t="s">
        <v>734</v>
      </c>
      <c r="C376" t="s">
        <v>808</v>
      </c>
      <c r="D376" t="s">
        <v>775</v>
      </c>
      <c r="E376" s="465">
        <v>46266</v>
      </c>
      <c r="F376" s="465">
        <v>46296</v>
      </c>
      <c r="G376" t="s">
        <v>792</v>
      </c>
      <c r="H376" t="s">
        <v>793</v>
      </c>
      <c r="I376" t="s">
        <v>809</v>
      </c>
      <c r="J376">
        <v>-2100</v>
      </c>
      <c r="K376">
        <v>-2100</v>
      </c>
      <c r="O376" t="s">
        <v>742</v>
      </c>
      <c r="Q376" t="s">
        <v>465</v>
      </c>
      <c r="R376">
        <v>0</v>
      </c>
    </row>
    <row r="377" spans="1:18" x14ac:dyDescent="0.3">
      <c r="A377">
        <v>238220</v>
      </c>
      <c r="B377" t="s">
        <v>734</v>
      </c>
      <c r="C377" t="s">
        <v>780</v>
      </c>
      <c r="D377" t="s">
        <v>775</v>
      </c>
      <c r="E377" s="465">
        <v>46266</v>
      </c>
      <c r="F377" s="465">
        <v>46284</v>
      </c>
      <c r="G377" t="s">
        <v>776</v>
      </c>
      <c r="H377" t="s">
        <v>781</v>
      </c>
      <c r="J377">
        <v>-5000</v>
      </c>
      <c r="K377">
        <v>-5000</v>
      </c>
      <c r="O377" t="s">
        <v>742</v>
      </c>
      <c r="Q377" t="s">
        <v>465</v>
      </c>
      <c r="R377">
        <v>0</v>
      </c>
    </row>
    <row r="378" spans="1:18" x14ac:dyDescent="0.3">
      <c r="A378">
        <v>199777</v>
      </c>
      <c r="B378" t="s">
        <v>734</v>
      </c>
      <c r="C378" t="s">
        <v>849</v>
      </c>
      <c r="D378" t="s">
        <v>775</v>
      </c>
      <c r="E378" s="465">
        <v>46266</v>
      </c>
      <c r="F378" s="465">
        <v>46310</v>
      </c>
      <c r="G378" t="s">
        <v>792</v>
      </c>
      <c r="H378" t="s">
        <v>793</v>
      </c>
      <c r="I378" t="s">
        <v>850</v>
      </c>
      <c r="J378">
        <v>-3300</v>
      </c>
      <c r="K378">
        <v>-3300</v>
      </c>
      <c r="M378" t="s">
        <v>851</v>
      </c>
      <c r="N378" t="s">
        <v>130</v>
      </c>
      <c r="O378" t="s">
        <v>742</v>
      </c>
      <c r="Q378" t="s">
        <v>465</v>
      </c>
      <c r="R378">
        <v>0</v>
      </c>
    </row>
    <row r="379" spans="1:18" x14ac:dyDescent="0.3">
      <c r="A379">
        <v>249237</v>
      </c>
      <c r="B379" t="s">
        <v>734</v>
      </c>
      <c r="C379" t="s">
        <v>795</v>
      </c>
      <c r="D379" t="s">
        <v>775</v>
      </c>
      <c r="E379" s="465">
        <v>46266</v>
      </c>
      <c r="F379" s="465">
        <v>46285</v>
      </c>
      <c r="G379" t="s">
        <v>787</v>
      </c>
      <c r="H379" t="s">
        <v>788</v>
      </c>
      <c r="I379" t="s">
        <v>856</v>
      </c>
      <c r="J379">
        <v>-39000</v>
      </c>
      <c r="K379">
        <v>-39000</v>
      </c>
      <c r="O379" t="s">
        <v>742</v>
      </c>
      <c r="Q379" t="s">
        <v>465</v>
      </c>
      <c r="R379">
        <v>0</v>
      </c>
    </row>
    <row r="380" spans="1:18" x14ac:dyDescent="0.3">
      <c r="A380">
        <v>223690</v>
      </c>
      <c r="B380" t="s">
        <v>734</v>
      </c>
      <c r="C380" t="s">
        <v>49</v>
      </c>
      <c r="D380" t="s">
        <v>775</v>
      </c>
      <c r="E380" s="465">
        <v>46264</v>
      </c>
      <c r="F380" s="465">
        <v>46275</v>
      </c>
      <c r="G380" t="s">
        <v>835</v>
      </c>
      <c r="H380" t="s">
        <v>49</v>
      </c>
      <c r="J380">
        <v>-250</v>
      </c>
      <c r="K380">
        <v>-250</v>
      </c>
      <c r="O380" t="s">
        <v>742</v>
      </c>
      <c r="Q380" t="s">
        <v>464</v>
      </c>
      <c r="R380">
        <v>0</v>
      </c>
    </row>
    <row r="381" spans="1:18" x14ac:dyDescent="0.3">
      <c r="A381">
        <v>228284</v>
      </c>
      <c r="B381" t="s">
        <v>734</v>
      </c>
      <c r="C381" t="s">
        <v>830</v>
      </c>
      <c r="D381" t="s">
        <v>775</v>
      </c>
      <c r="E381" s="465">
        <v>46264</v>
      </c>
      <c r="F381" s="465">
        <v>46269</v>
      </c>
      <c r="G381" t="s">
        <v>263</v>
      </c>
      <c r="H381" t="s">
        <v>265</v>
      </c>
      <c r="J381">
        <v>-1500</v>
      </c>
      <c r="K381">
        <v>-1500</v>
      </c>
      <c r="O381" t="s">
        <v>742</v>
      </c>
      <c r="Q381" t="s">
        <v>464</v>
      </c>
      <c r="R381">
        <v>0</v>
      </c>
    </row>
    <row r="382" spans="1:18" x14ac:dyDescent="0.3">
      <c r="A382">
        <v>228993</v>
      </c>
      <c r="B382" t="s">
        <v>734</v>
      </c>
      <c r="C382" t="s">
        <v>836</v>
      </c>
      <c r="D382" t="s">
        <v>775</v>
      </c>
      <c r="E382" s="465">
        <v>46264</v>
      </c>
      <c r="F382" s="465">
        <v>46285</v>
      </c>
      <c r="G382" t="s">
        <v>837</v>
      </c>
      <c r="H382" t="s">
        <v>345</v>
      </c>
      <c r="J382">
        <v>-10000</v>
      </c>
      <c r="K382">
        <v>-10000</v>
      </c>
      <c r="O382" t="s">
        <v>742</v>
      </c>
      <c r="Q382" t="s">
        <v>464</v>
      </c>
      <c r="R382">
        <v>0</v>
      </c>
    </row>
    <row r="383" spans="1:18" x14ac:dyDescent="0.3">
      <c r="A383">
        <v>249038</v>
      </c>
      <c r="B383" t="s">
        <v>734</v>
      </c>
      <c r="C383" t="s">
        <v>428</v>
      </c>
      <c r="D383" t="s">
        <v>775</v>
      </c>
      <c r="E383" s="465">
        <v>46264</v>
      </c>
      <c r="F383" s="465">
        <v>46285</v>
      </c>
      <c r="G383" t="s">
        <v>833</v>
      </c>
      <c r="H383" t="s">
        <v>348</v>
      </c>
      <c r="J383">
        <v>-5000</v>
      </c>
      <c r="K383">
        <v>-5000</v>
      </c>
      <c r="O383" t="s">
        <v>742</v>
      </c>
      <c r="Q383" t="s">
        <v>464</v>
      </c>
      <c r="R383">
        <v>0</v>
      </c>
    </row>
    <row r="384" spans="1:18" x14ac:dyDescent="0.3">
      <c r="A384">
        <v>231977</v>
      </c>
      <c r="B384" t="s">
        <v>734</v>
      </c>
      <c r="C384" t="s">
        <v>832</v>
      </c>
      <c r="D384" t="s">
        <v>775</v>
      </c>
      <c r="E384" s="465">
        <v>46264</v>
      </c>
      <c r="F384" s="465">
        <v>46277</v>
      </c>
      <c r="G384" t="s">
        <v>295</v>
      </c>
      <c r="H384" t="s">
        <v>297</v>
      </c>
      <c r="J384">
        <v>-1000</v>
      </c>
      <c r="K384">
        <v>-1000</v>
      </c>
      <c r="O384" t="s">
        <v>742</v>
      </c>
      <c r="Q384" t="s">
        <v>464</v>
      </c>
      <c r="R384">
        <v>0</v>
      </c>
    </row>
    <row r="385" spans="1:18" x14ac:dyDescent="0.3">
      <c r="A385">
        <v>249030</v>
      </c>
      <c r="B385" t="s">
        <v>734</v>
      </c>
      <c r="C385" t="s">
        <v>48</v>
      </c>
      <c r="D385" t="s">
        <v>775</v>
      </c>
      <c r="E385" s="465">
        <v>46264</v>
      </c>
      <c r="F385" s="465">
        <v>46285</v>
      </c>
      <c r="G385" t="s">
        <v>835</v>
      </c>
      <c r="H385" t="s">
        <v>48</v>
      </c>
      <c r="J385">
        <v>-15000</v>
      </c>
      <c r="K385">
        <v>-15000</v>
      </c>
      <c r="O385" t="s">
        <v>742</v>
      </c>
      <c r="Q385" t="s">
        <v>464</v>
      </c>
      <c r="R385">
        <v>0</v>
      </c>
    </row>
    <row r="386" spans="1:18" x14ac:dyDescent="0.3">
      <c r="A386">
        <v>241340</v>
      </c>
      <c r="B386" t="s">
        <v>734</v>
      </c>
      <c r="C386" t="s">
        <v>838</v>
      </c>
      <c r="D386" t="s">
        <v>775</v>
      </c>
      <c r="E386" s="465">
        <v>46263</v>
      </c>
      <c r="F386" s="465">
        <v>46270</v>
      </c>
      <c r="G386" t="s">
        <v>255</v>
      </c>
      <c r="H386" t="s">
        <v>260</v>
      </c>
      <c r="I386" t="s">
        <v>839</v>
      </c>
      <c r="J386">
        <v>-506.88</v>
      </c>
      <c r="K386">
        <v>-506.88</v>
      </c>
      <c r="O386" t="s">
        <v>742</v>
      </c>
      <c r="Q386" t="s">
        <v>464</v>
      </c>
      <c r="R386">
        <v>0</v>
      </c>
    </row>
    <row r="387" spans="1:18" x14ac:dyDescent="0.3">
      <c r="A387">
        <v>238530</v>
      </c>
      <c r="B387" t="s">
        <v>734</v>
      </c>
      <c r="C387" t="s">
        <v>840</v>
      </c>
      <c r="D387" t="s">
        <v>775</v>
      </c>
      <c r="E387" s="465">
        <v>46249</v>
      </c>
      <c r="F387" s="465">
        <v>46262</v>
      </c>
      <c r="G387" t="s">
        <v>278</v>
      </c>
      <c r="H387" t="s">
        <v>283</v>
      </c>
      <c r="I387" t="s">
        <v>841</v>
      </c>
      <c r="J387">
        <v>-219</v>
      </c>
      <c r="K387">
        <v>-219</v>
      </c>
      <c r="O387" t="s">
        <v>742</v>
      </c>
      <c r="Q387" t="s">
        <v>464</v>
      </c>
      <c r="R387">
        <v>0</v>
      </c>
    </row>
    <row r="388" spans="1:18" x14ac:dyDescent="0.3">
      <c r="A388">
        <v>224319</v>
      </c>
      <c r="B388" t="s">
        <v>734</v>
      </c>
      <c r="C388" t="s">
        <v>814</v>
      </c>
      <c r="D388" t="s">
        <v>775</v>
      </c>
      <c r="E388" s="465">
        <v>46248</v>
      </c>
      <c r="F388" s="465">
        <v>46254</v>
      </c>
      <c r="G388" t="s">
        <v>307</v>
      </c>
      <c r="H388" t="s">
        <v>312</v>
      </c>
      <c r="J388">
        <v>-2200</v>
      </c>
      <c r="K388">
        <v>-2200</v>
      </c>
      <c r="O388" t="s">
        <v>742</v>
      </c>
      <c r="Q388" t="s">
        <v>464</v>
      </c>
      <c r="R388">
        <v>0</v>
      </c>
    </row>
    <row r="389" spans="1:18" x14ac:dyDescent="0.3">
      <c r="A389">
        <v>231065</v>
      </c>
      <c r="B389" t="s">
        <v>734</v>
      </c>
      <c r="C389" t="s">
        <v>857</v>
      </c>
      <c r="D389" t="s">
        <v>858</v>
      </c>
      <c r="E389" s="465">
        <v>46246</v>
      </c>
      <c r="F389" s="465">
        <v>46160</v>
      </c>
      <c r="G389" t="s">
        <v>833</v>
      </c>
      <c r="H389" t="s">
        <v>348</v>
      </c>
      <c r="I389" t="s">
        <v>859</v>
      </c>
      <c r="J389">
        <v>-89755.199999999997</v>
      </c>
      <c r="K389">
        <v>-89755.199999999997</v>
      </c>
      <c r="O389" t="s">
        <v>738</v>
      </c>
      <c r="P389" t="s">
        <v>860</v>
      </c>
      <c r="Q389" t="s">
        <v>464</v>
      </c>
      <c r="R389">
        <v>0</v>
      </c>
    </row>
    <row r="390" spans="1:18" x14ac:dyDescent="0.3">
      <c r="A390">
        <v>147606</v>
      </c>
      <c r="B390" t="s">
        <v>734</v>
      </c>
      <c r="C390" t="s">
        <v>735</v>
      </c>
      <c r="E390" s="465">
        <v>46244</v>
      </c>
      <c r="F390" s="465">
        <v>46270</v>
      </c>
      <c r="G390" t="s">
        <v>255</v>
      </c>
      <c r="H390" t="s">
        <v>256</v>
      </c>
      <c r="I390" t="s">
        <v>737</v>
      </c>
      <c r="J390">
        <v>-140000</v>
      </c>
      <c r="K390">
        <v>-140000</v>
      </c>
      <c r="O390" t="s">
        <v>742</v>
      </c>
      <c r="Q390" t="s">
        <v>464</v>
      </c>
      <c r="R390">
        <v>0</v>
      </c>
    </row>
    <row r="391" spans="1:18" x14ac:dyDescent="0.3">
      <c r="A391">
        <v>237452</v>
      </c>
      <c r="B391" t="s">
        <v>734</v>
      </c>
      <c r="C391" t="s">
        <v>842</v>
      </c>
      <c r="D391" t="s">
        <v>775</v>
      </c>
      <c r="E391" s="465">
        <v>46243</v>
      </c>
      <c r="F391" s="465">
        <v>46275</v>
      </c>
      <c r="G391" t="s">
        <v>278</v>
      </c>
      <c r="H391" t="s">
        <v>280</v>
      </c>
      <c r="J391">
        <v>-1000</v>
      </c>
      <c r="K391">
        <v>-1000</v>
      </c>
      <c r="O391" t="s">
        <v>742</v>
      </c>
      <c r="Q391" t="s">
        <v>464</v>
      </c>
      <c r="R391">
        <v>0</v>
      </c>
    </row>
    <row r="392" spans="1:18" x14ac:dyDescent="0.3">
      <c r="A392">
        <v>223346</v>
      </c>
      <c r="B392" t="s">
        <v>734</v>
      </c>
      <c r="C392" t="s">
        <v>843</v>
      </c>
      <c r="D392" t="s">
        <v>844</v>
      </c>
      <c r="E392" s="465">
        <v>46242</v>
      </c>
      <c r="F392" s="465">
        <v>46285</v>
      </c>
      <c r="G392" t="s">
        <v>833</v>
      </c>
      <c r="H392" t="s">
        <v>363</v>
      </c>
      <c r="I392" t="s">
        <v>845</v>
      </c>
      <c r="J392">
        <v>-4159.12</v>
      </c>
      <c r="K392">
        <v>-4159.12</v>
      </c>
      <c r="O392" t="s">
        <v>738</v>
      </c>
      <c r="Q392" t="s">
        <v>464</v>
      </c>
      <c r="R392">
        <v>0</v>
      </c>
    </row>
    <row r="393" spans="1:18" x14ac:dyDescent="0.3">
      <c r="A393">
        <v>248872</v>
      </c>
      <c r="B393" t="s">
        <v>734</v>
      </c>
      <c r="C393" t="s">
        <v>791</v>
      </c>
      <c r="D393" t="s">
        <v>775</v>
      </c>
      <c r="E393" s="465">
        <v>46241</v>
      </c>
      <c r="F393" s="465">
        <v>46280</v>
      </c>
      <c r="G393" t="s">
        <v>792</v>
      </c>
      <c r="H393" t="s">
        <v>793</v>
      </c>
      <c r="I393" t="s">
        <v>794</v>
      </c>
      <c r="J393">
        <v>-4500</v>
      </c>
      <c r="K393">
        <v>-4500</v>
      </c>
      <c r="O393" t="s">
        <v>742</v>
      </c>
      <c r="Q393" t="s">
        <v>464</v>
      </c>
      <c r="R393">
        <v>0</v>
      </c>
    </row>
    <row r="394" spans="1:18" x14ac:dyDescent="0.3">
      <c r="A394">
        <v>199764</v>
      </c>
      <c r="B394" t="s">
        <v>734</v>
      </c>
      <c r="C394" t="s">
        <v>849</v>
      </c>
      <c r="D394" t="s">
        <v>775</v>
      </c>
      <c r="E394" s="465">
        <v>46235</v>
      </c>
      <c r="F394" s="465">
        <v>46266</v>
      </c>
      <c r="G394" t="s">
        <v>792</v>
      </c>
      <c r="H394" t="s">
        <v>793</v>
      </c>
      <c r="I394" t="s">
        <v>822</v>
      </c>
      <c r="J394">
        <v>-3300</v>
      </c>
      <c r="K394">
        <v>-3300</v>
      </c>
      <c r="M394" t="s">
        <v>851</v>
      </c>
      <c r="N394" t="s">
        <v>130</v>
      </c>
      <c r="O394" t="s">
        <v>742</v>
      </c>
      <c r="Q394" t="s">
        <v>464</v>
      </c>
      <c r="R394">
        <v>0</v>
      </c>
    </row>
    <row r="395" spans="1:18" x14ac:dyDescent="0.3">
      <c r="A395">
        <v>241754</v>
      </c>
      <c r="B395" t="s">
        <v>734</v>
      </c>
      <c r="C395" t="s">
        <v>808</v>
      </c>
      <c r="D395" t="s">
        <v>775</v>
      </c>
      <c r="E395" s="465">
        <v>46235</v>
      </c>
      <c r="F395" s="465">
        <v>46280</v>
      </c>
      <c r="G395" t="s">
        <v>792</v>
      </c>
      <c r="H395" t="s">
        <v>793</v>
      </c>
      <c r="I395" t="s">
        <v>810</v>
      </c>
      <c r="J395">
        <v>-2100</v>
      </c>
      <c r="K395">
        <v>-2100</v>
      </c>
      <c r="O395" t="s">
        <v>742</v>
      </c>
      <c r="Q395" t="s">
        <v>464</v>
      </c>
      <c r="R395">
        <v>0</v>
      </c>
    </row>
    <row r="396" spans="1:18" x14ac:dyDescent="0.3">
      <c r="A396">
        <v>238203</v>
      </c>
      <c r="B396" t="s">
        <v>734</v>
      </c>
      <c r="C396" t="s">
        <v>427</v>
      </c>
      <c r="D396" t="s">
        <v>775</v>
      </c>
      <c r="E396" s="465">
        <v>46235</v>
      </c>
      <c r="F396" s="465">
        <v>46253</v>
      </c>
      <c r="G396" t="s">
        <v>776</v>
      </c>
      <c r="H396" t="s">
        <v>205</v>
      </c>
      <c r="I396" t="s">
        <v>779</v>
      </c>
      <c r="J396">
        <v>-5000</v>
      </c>
      <c r="K396">
        <v>-5000</v>
      </c>
      <c r="O396" t="s">
        <v>742</v>
      </c>
      <c r="Q396" t="s">
        <v>464</v>
      </c>
      <c r="R396">
        <v>0</v>
      </c>
    </row>
    <row r="397" spans="1:18" x14ac:dyDescent="0.3">
      <c r="A397">
        <v>199838</v>
      </c>
      <c r="B397" t="s">
        <v>734</v>
      </c>
      <c r="C397" t="s">
        <v>853</v>
      </c>
      <c r="D397" t="s">
        <v>775</v>
      </c>
      <c r="E397" s="465">
        <v>46235</v>
      </c>
      <c r="F397" s="465">
        <v>46266</v>
      </c>
      <c r="G397" t="s">
        <v>792</v>
      </c>
      <c r="H397" t="s">
        <v>793</v>
      </c>
      <c r="I397" t="s">
        <v>822</v>
      </c>
      <c r="J397">
        <v>-2250</v>
      </c>
      <c r="K397">
        <v>-2250</v>
      </c>
      <c r="M397" t="s">
        <v>854</v>
      </c>
      <c r="N397" t="s">
        <v>138</v>
      </c>
      <c r="O397" t="s">
        <v>742</v>
      </c>
      <c r="Q397" t="s">
        <v>464</v>
      </c>
      <c r="R397">
        <v>0</v>
      </c>
    </row>
    <row r="398" spans="1:18" x14ac:dyDescent="0.3">
      <c r="A398">
        <v>230522</v>
      </c>
      <c r="B398" t="s">
        <v>734</v>
      </c>
      <c r="C398" t="s">
        <v>824</v>
      </c>
      <c r="D398" t="s">
        <v>775</v>
      </c>
      <c r="E398" s="465">
        <v>46235</v>
      </c>
      <c r="F398" s="465">
        <v>46252</v>
      </c>
      <c r="G398" t="s">
        <v>825</v>
      </c>
      <c r="H398" t="s">
        <v>826</v>
      </c>
      <c r="J398">
        <v>-700</v>
      </c>
      <c r="K398">
        <v>-700</v>
      </c>
      <c r="O398" t="s">
        <v>742</v>
      </c>
      <c r="Q398" t="s">
        <v>464</v>
      </c>
      <c r="R398">
        <v>0</v>
      </c>
    </row>
    <row r="399" spans="1:18" x14ac:dyDescent="0.3">
      <c r="A399">
        <v>232190</v>
      </c>
      <c r="B399" t="s">
        <v>734</v>
      </c>
      <c r="C399" t="s">
        <v>818</v>
      </c>
      <c r="D399" t="s">
        <v>775</v>
      </c>
      <c r="E399" s="465">
        <v>46235</v>
      </c>
      <c r="F399" s="465">
        <v>46280</v>
      </c>
      <c r="G399" t="s">
        <v>792</v>
      </c>
      <c r="H399" t="s">
        <v>793</v>
      </c>
      <c r="I399" t="s">
        <v>819</v>
      </c>
      <c r="J399">
        <v>-3250</v>
      </c>
      <c r="K399">
        <v>-3250</v>
      </c>
      <c r="O399" t="s">
        <v>742</v>
      </c>
      <c r="Q399" t="s">
        <v>464</v>
      </c>
      <c r="R399">
        <v>0</v>
      </c>
    </row>
    <row r="400" spans="1:18" x14ac:dyDescent="0.3">
      <c r="A400">
        <v>199776</v>
      </c>
      <c r="B400" t="s">
        <v>734</v>
      </c>
      <c r="C400" t="s">
        <v>849</v>
      </c>
      <c r="D400" t="s">
        <v>775</v>
      </c>
      <c r="E400" s="465">
        <v>46235</v>
      </c>
      <c r="F400" s="465">
        <v>46280</v>
      </c>
      <c r="G400" t="s">
        <v>792</v>
      </c>
      <c r="H400" t="s">
        <v>793</v>
      </c>
      <c r="I400" t="s">
        <v>850</v>
      </c>
      <c r="J400">
        <v>-3300</v>
      </c>
      <c r="K400">
        <v>-3300</v>
      </c>
      <c r="M400" t="s">
        <v>851</v>
      </c>
      <c r="N400" t="s">
        <v>130</v>
      </c>
      <c r="O400" t="s">
        <v>742</v>
      </c>
      <c r="Q400" t="s">
        <v>464</v>
      </c>
      <c r="R400">
        <v>0</v>
      </c>
    </row>
    <row r="401" spans="1:18" x14ac:dyDescent="0.3">
      <c r="A401">
        <v>232251</v>
      </c>
      <c r="B401" t="s">
        <v>734</v>
      </c>
      <c r="C401" t="s">
        <v>816</v>
      </c>
      <c r="D401" t="s">
        <v>775</v>
      </c>
      <c r="E401" s="465">
        <v>46235</v>
      </c>
      <c r="F401" s="465">
        <v>46266</v>
      </c>
      <c r="G401" t="s">
        <v>792</v>
      </c>
      <c r="H401" t="s">
        <v>793</v>
      </c>
      <c r="I401" t="s">
        <v>817</v>
      </c>
      <c r="J401">
        <v>-2000</v>
      </c>
      <c r="K401">
        <v>-2000</v>
      </c>
      <c r="O401" t="s">
        <v>742</v>
      </c>
      <c r="Q401" t="s">
        <v>464</v>
      </c>
      <c r="R401">
        <v>0</v>
      </c>
    </row>
    <row r="402" spans="1:18" x14ac:dyDescent="0.3">
      <c r="A402">
        <v>241742</v>
      </c>
      <c r="B402" t="s">
        <v>734</v>
      </c>
      <c r="C402" t="s">
        <v>808</v>
      </c>
      <c r="D402" t="s">
        <v>775</v>
      </c>
      <c r="E402" s="465">
        <v>46235</v>
      </c>
      <c r="F402" s="465">
        <v>46266</v>
      </c>
      <c r="G402" t="s">
        <v>792</v>
      </c>
      <c r="H402" t="s">
        <v>793</v>
      </c>
      <c r="I402" t="s">
        <v>809</v>
      </c>
      <c r="J402">
        <v>-2100</v>
      </c>
      <c r="K402">
        <v>-2100</v>
      </c>
      <c r="O402" t="s">
        <v>742</v>
      </c>
      <c r="Q402" t="s">
        <v>464</v>
      </c>
      <c r="R402">
        <v>0</v>
      </c>
    </row>
    <row r="403" spans="1:18" x14ac:dyDescent="0.3">
      <c r="A403">
        <v>199851</v>
      </c>
      <c r="B403" t="s">
        <v>734</v>
      </c>
      <c r="C403" t="s">
        <v>853</v>
      </c>
      <c r="D403" t="s">
        <v>775</v>
      </c>
      <c r="E403" s="465">
        <v>46235</v>
      </c>
      <c r="F403" s="465">
        <v>46280</v>
      </c>
      <c r="G403" t="s">
        <v>792</v>
      </c>
      <c r="H403" t="s">
        <v>793</v>
      </c>
      <c r="I403" t="s">
        <v>850</v>
      </c>
      <c r="J403">
        <v>-2250</v>
      </c>
      <c r="K403">
        <v>-2250</v>
      </c>
      <c r="M403" t="s">
        <v>854</v>
      </c>
      <c r="N403" t="s">
        <v>138</v>
      </c>
      <c r="O403" t="s">
        <v>742</v>
      </c>
      <c r="Q403" t="s">
        <v>464</v>
      </c>
      <c r="R403">
        <v>0</v>
      </c>
    </row>
    <row r="404" spans="1:18" x14ac:dyDescent="0.3">
      <c r="A404">
        <v>232178</v>
      </c>
      <c r="B404" t="s">
        <v>734</v>
      </c>
      <c r="C404" t="s">
        <v>818</v>
      </c>
      <c r="D404" t="s">
        <v>775</v>
      </c>
      <c r="E404" s="465">
        <v>46235</v>
      </c>
      <c r="F404" s="465">
        <v>46266</v>
      </c>
      <c r="G404" t="s">
        <v>792</v>
      </c>
      <c r="H404" t="s">
        <v>793</v>
      </c>
      <c r="I404" t="s">
        <v>819</v>
      </c>
      <c r="J404">
        <v>-3250</v>
      </c>
      <c r="K404">
        <v>-3250</v>
      </c>
      <c r="O404" t="s">
        <v>742</v>
      </c>
      <c r="Q404" t="s">
        <v>464</v>
      </c>
      <c r="R404">
        <v>0</v>
      </c>
    </row>
    <row r="405" spans="1:18" x14ac:dyDescent="0.3">
      <c r="A405">
        <v>199210</v>
      </c>
      <c r="B405" t="s">
        <v>734</v>
      </c>
      <c r="C405" t="s">
        <v>846</v>
      </c>
      <c r="D405" t="s">
        <v>775</v>
      </c>
      <c r="E405" s="465">
        <v>46235</v>
      </c>
      <c r="F405" s="465">
        <v>46266</v>
      </c>
      <c r="G405" t="s">
        <v>792</v>
      </c>
      <c r="H405" t="s">
        <v>793</v>
      </c>
      <c r="I405" t="s">
        <v>847</v>
      </c>
      <c r="J405">
        <v>-3300</v>
      </c>
      <c r="K405">
        <v>-3300</v>
      </c>
      <c r="M405" t="s">
        <v>848</v>
      </c>
      <c r="N405" t="s">
        <v>131</v>
      </c>
      <c r="O405" t="s">
        <v>742</v>
      </c>
      <c r="Q405" t="s">
        <v>464</v>
      </c>
      <c r="R405">
        <v>0</v>
      </c>
    </row>
    <row r="406" spans="1:18" x14ac:dyDescent="0.3">
      <c r="A406">
        <v>232263</v>
      </c>
      <c r="B406" t="s">
        <v>734</v>
      </c>
      <c r="C406" t="s">
        <v>816</v>
      </c>
      <c r="D406" t="s">
        <v>775</v>
      </c>
      <c r="E406" s="465">
        <v>46235</v>
      </c>
      <c r="F406" s="465">
        <v>46280</v>
      </c>
      <c r="G406" t="s">
        <v>792</v>
      </c>
      <c r="H406" t="s">
        <v>793</v>
      </c>
      <c r="I406" t="s">
        <v>817</v>
      </c>
      <c r="J406">
        <v>-2000</v>
      </c>
      <c r="K406">
        <v>-2000</v>
      </c>
      <c r="O406" t="s">
        <v>742</v>
      </c>
      <c r="Q406" t="s">
        <v>464</v>
      </c>
      <c r="R406">
        <v>0</v>
      </c>
    </row>
    <row r="407" spans="1:18" x14ac:dyDescent="0.3">
      <c r="A407">
        <v>237251</v>
      </c>
      <c r="B407" t="s">
        <v>734</v>
      </c>
      <c r="C407" t="s">
        <v>797</v>
      </c>
      <c r="D407" t="s">
        <v>775</v>
      </c>
      <c r="E407" s="465">
        <v>46235</v>
      </c>
      <c r="F407" s="465">
        <v>46244</v>
      </c>
      <c r="G407" t="s">
        <v>784</v>
      </c>
      <c r="H407" t="s">
        <v>798</v>
      </c>
      <c r="J407">
        <v>-100</v>
      </c>
      <c r="K407">
        <v>-100</v>
      </c>
      <c r="O407" t="s">
        <v>742</v>
      </c>
      <c r="Q407" t="s">
        <v>464</v>
      </c>
      <c r="R407">
        <v>0</v>
      </c>
    </row>
    <row r="408" spans="1:18" x14ac:dyDescent="0.3">
      <c r="A408">
        <v>234160</v>
      </c>
      <c r="B408" t="s">
        <v>734</v>
      </c>
      <c r="C408" t="s">
        <v>795</v>
      </c>
      <c r="D408" t="s">
        <v>775</v>
      </c>
      <c r="E408" s="465">
        <v>46235</v>
      </c>
      <c r="F408" s="465">
        <v>46270</v>
      </c>
      <c r="G408" t="s">
        <v>787</v>
      </c>
      <c r="H408" t="s">
        <v>788</v>
      </c>
      <c r="I408" t="s">
        <v>796</v>
      </c>
      <c r="J408">
        <v>-40000</v>
      </c>
      <c r="K408">
        <v>-40000</v>
      </c>
      <c r="O408" t="s">
        <v>742</v>
      </c>
      <c r="Q408" t="s">
        <v>464</v>
      </c>
      <c r="R408">
        <v>0</v>
      </c>
    </row>
    <row r="409" spans="1:18" x14ac:dyDescent="0.3">
      <c r="A409">
        <v>241766</v>
      </c>
      <c r="B409" t="s">
        <v>734</v>
      </c>
      <c r="C409" t="s">
        <v>812</v>
      </c>
      <c r="D409" t="s">
        <v>775</v>
      </c>
      <c r="E409" s="465">
        <v>46235</v>
      </c>
      <c r="F409" s="465">
        <v>46266</v>
      </c>
      <c r="G409" t="s">
        <v>792</v>
      </c>
      <c r="H409" t="s">
        <v>793</v>
      </c>
      <c r="I409" t="s">
        <v>813</v>
      </c>
      <c r="J409">
        <v>-2100</v>
      </c>
      <c r="K409">
        <v>-2100</v>
      </c>
      <c r="O409" t="s">
        <v>742</v>
      </c>
      <c r="Q409" t="s">
        <v>464</v>
      </c>
      <c r="R409">
        <v>0</v>
      </c>
    </row>
    <row r="410" spans="1:18" x14ac:dyDescent="0.3">
      <c r="A410">
        <v>230534</v>
      </c>
      <c r="B410" t="s">
        <v>734</v>
      </c>
      <c r="C410" t="s">
        <v>824</v>
      </c>
      <c r="D410" t="s">
        <v>775</v>
      </c>
      <c r="E410" s="465">
        <v>46235</v>
      </c>
      <c r="F410" s="465">
        <v>46252</v>
      </c>
      <c r="G410" t="s">
        <v>825</v>
      </c>
      <c r="H410" t="s">
        <v>826</v>
      </c>
      <c r="J410">
        <v>-400</v>
      </c>
      <c r="K410">
        <v>-400</v>
      </c>
      <c r="O410" t="s">
        <v>742</v>
      </c>
      <c r="Q410" t="s">
        <v>464</v>
      </c>
      <c r="R410">
        <v>0</v>
      </c>
    </row>
    <row r="411" spans="1:18" x14ac:dyDescent="0.3">
      <c r="A411">
        <v>237181</v>
      </c>
      <c r="B411" t="s">
        <v>734</v>
      </c>
      <c r="C411" t="s">
        <v>801</v>
      </c>
      <c r="D411" t="s">
        <v>775</v>
      </c>
      <c r="E411" s="465">
        <v>46235</v>
      </c>
      <c r="F411" s="465">
        <v>46244</v>
      </c>
      <c r="G411" t="s">
        <v>784</v>
      </c>
      <c r="H411" t="s">
        <v>241</v>
      </c>
      <c r="I411" t="s">
        <v>802</v>
      </c>
      <c r="J411">
        <v>-1000</v>
      </c>
      <c r="K411">
        <v>-1000</v>
      </c>
      <c r="O411" t="s">
        <v>742</v>
      </c>
      <c r="Q411" t="s">
        <v>464</v>
      </c>
      <c r="R411">
        <v>0</v>
      </c>
    </row>
    <row r="412" spans="1:18" x14ac:dyDescent="0.3">
      <c r="A412">
        <v>199222</v>
      </c>
      <c r="B412" t="s">
        <v>734</v>
      </c>
      <c r="C412" t="s">
        <v>846</v>
      </c>
      <c r="D412" t="s">
        <v>775</v>
      </c>
      <c r="E412" s="465">
        <v>46235</v>
      </c>
      <c r="F412" s="465">
        <v>46280</v>
      </c>
      <c r="G412" t="s">
        <v>792</v>
      </c>
      <c r="H412" t="s">
        <v>793</v>
      </c>
      <c r="I412" t="s">
        <v>852</v>
      </c>
      <c r="J412">
        <v>-3300</v>
      </c>
      <c r="K412">
        <v>-3300</v>
      </c>
      <c r="M412" t="s">
        <v>848</v>
      </c>
      <c r="N412" t="s">
        <v>131</v>
      </c>
      <c r="O412" t="s">
        <v>742</v>
      </c>
      <c r="Q412" t="s">
        <v>464</v>
      </c>
      <c r="R412">
        <v>0</v>
      </c>
    </row>
    <row r="413" spans="1:18" x14ac:dyDescent="0.3">
      <c r="A413">
        <v>200017</v>
      </c>
      <c r="B413" t="s">
        <v>734</v>
      </c>
      <c r="C413" t="s">
        <v>855</v>
      </c>
      <c r="D413" t="s">
        <v>775</v>
      </c>
      <c r="E413" s="465">
        <v>46235</v>
      </c>
      <c r="F413" s="465">
        <v>46280</v>
      </c>
      <c r="G413" t="s">
        <v>307</v>
      </c>
      <c r="H413" t="s">
        <v>313</v>
      </c>
      <c r="I413" t="s">
        <v>850</v>
      </c>
      <c r="J413">
        <v>-10000</v>
      </c>
      <c r="K413">
        <v>-10000</v>
      </c>
      <c r="O413" t="s">
        <v>742</v>
      </c>
      <c r="Q413" t="s">
        <v>464</v>
      </c>
      <c r="R413">
        <v>0</v>
      </c>
    </row>
    <row r="414" spans="1:18" x14ac:dyDescent="0.3">
      <c r="A414">
        <v>241778</v>
      </c>
      <c r="B414" t="s">
        <v>734</v>
      </c>
      <c r="C414" t="s">
        <v>812</v>
      </c>
      <c r="D414" t="s">
        <v>775</v>
      </c>
      <c r="E414" s="465">
        <v>46235</v>
      </c>
      <c r="F414" s="465">
        <v>46280</v>
      </c>
      <c r="G414" t="s">
        <v>792</v>
      </c>
      <c r="H414" t="s">
        <v>793</v>
      </c>
      <c r="I414" t="s">
        <v>810</v>
      </c>
      <c r="J414">
        <v>-2100</v>
      </c>
      <c r="K414">
        <v>-2100</v>
      </c>
      <c r="O414" t="s">
        <v>742</v>
      </c>
      <c r="Q414" t="s">
        <v>464</v>
      </c>
      <c r="R414">
        <v>0</v>
      </c>
    </row>
    <row r="415" spans="1:18" x14ac:dyDescent="0.3">
      <c r="A415">
        <v>238219</v>
      </c>
      <c r="B415" t="s">
        <v>734</v>
      </c>
      <c r="C415" t="s">
        <v>780</v>
      </c>
      <c r="D415" t="s">
        <v>775</v>
      </c>
      <c r="E415" s="465">
        <v>46235</v>
      </c>
      <c r="F415" s="465">
        <v>46253</v>
      </c>
      <c r="G415" t="s">
        <v>776</v>
      </c>
      <c r="H415" t="s">
        <v>781</v>
      </c>
      <c r="J415">
        <v>-5000</v>
      </c>
      <c r="K415">
        <v>-5000</v>
      </c>
      <c r="O415" t="s">
        <v>742</v>
      </c>
      <c r="Q415" t="s">
        <v>464</v>
      </c>
      <c r="R415">
        <v>0</v>
      </c>
    </row>
    <row r="416" spans="1:18" x14ac:dyDescent="0.3">
      <c r="A416">
        <v>238187</v>
      </c>
      <c r="B416" t="s">
        <v>734</v>
      </c>
      <c r="C416" t="s">
        <v>428</v>
      </c>
      <c r="D416" t="s">
        <v>861</v>
      </c>
      <c r="E416" s="465">
        <v>46235</v>
      </c>
      <c r="F416" s="465">
        <v>46223</v>
      </c>
      <c r="G416" t="s">
        <v>776</v>
      </c>
      <c r="H416" t="s">
        <v>210</v>
      </c>
      <c r="I416" t="s">
        <v>862</v>
      </c>
      <c r="J416">
        <v>-11870.44</v>
      </c>
      <c r="K416">
        <v>-11870.44</v>
      </c>
      <c r="O416" t="s">
        <v>738</v>
      </c>
      <c r="P416" t="s">
        <v>863</v>
      </c>
      <c r="Q416" t="s">
        <v>464</v>
      </c>
      <c r="R416">
        <v>0</v>
      </c>
    </row>
    <row r="417" spans="1:18" x14ac:dyDescent="0.3">
      <c r="A417">
        <v>235518</v>
      </c>
      <c r="B417" t="s">
        <v>734</v>
      </c>
      <c r="C417" t="s">
        <v>804</v>
      </c>
      <c r="D417" t="s">
        <v>775</v>
      </c>
      <c r="E417" s="465">
        <v>46235</v>
      </c>
      <c r="F417" s="465">
        <v>46266</v>
      </c>
      <c r="G417" t="s">
        <v>792</v>
      </c>
      <c r="H417" t="s">
        <v>793</v>
      </c>
      <c r="I417" t="s">
        <v>805</v>
      </c>
      <c r="J417">
        <v>-2100</v>
      </c>
      <c r="K417">
        <v>-2100</v>
      </c>
      <c r="O417" t="s">
        <v>742</v>
      </c>
      <c r="Q417" t="s">
        <v>464</v>
      </c>
      <c r="R417">
        <v>0</v>
      </c>
    </row>
    <row r="418" spans="1:18" x14ac:dyDescent="0.3">
      <c r="A418">
        <v>223759</v>
      </c>
      <c r="B418" t="s">
        <v>734</v>
      </c>
      <c r="C418" t="s">
        <v>821</v>
      </c>
      <c r="D418" t="s">
        <v>775</v>
      </c>
      <c r="E418" s="465">
        <v>46235</v>
      </c>
      <c r="F418" s="465">
        <v>46275</v>
      </c>
      <c r="G418" t="s">
        <v>792</v>
      </c>
      <c r="H418" t="s">
        <v>793</v>
      </c>
      <c r="I418" t="s">
        <v>822</v>
      </c>
      <c r="J418">
        <v>-8000</v>
      </c>
      <c r="K418">
        <v>-8000</v>
      </c>
      <c r="M418" t="s">
        <v>823</v>
      </c>
      <c r="N418" t="s">
        <v>129</v>
      </c>
      <c r="O418" t="s">
        <v>742</v>
      </c>
      <c r="Q418" t="s">
        <v>464</v>
      </c>
      <c r="R418">
        <v>0</v>
      </c>
    </row>
    <row r="419" spans="1:18" x14ac:dyDescent="0.3">
      <c r="A419">
        <v>243367</v>
      </c>
      <c r="B419" t="s">
        <v>734</v>
      </c>
      <c r="C419" t="s">
        <v>786</v>
      </c>
      <c r="D419" t="s">
        <v>775</v>
      </c>
      <c r="E419" s="465">
        <v>46235</v>
      </c>
      <c r="F419" s="465">
        <v>46240</v>
      </c>
      <c r="G419" t="s">
        <v>787</v>
      </c>
      <c r="H419" t="s">
        <v>788</v>
      </c>
      <c r="I419" t="s">
        <v>789</v>
      </c>
      <c r="J419">
        <v>-805.7</v>
      </c>
      <c r="K419">
        <v>-805.7</v>
      </c>
      <c r="O419" t="s">
        <v>742</v>
      </c>
      <c r="Q419" t="s">
        <v>464</v>
      </c>
      <c r="R419">
        <v>0</v>
      </c>
    </row>
    <row r="420" spans="1:18" x14ac:dyDescent="0.3">
      <c r="A420">
        <v>235537</v>
      </c>
      <c r="B420" t="s">
        <v>734</v>
      </c>
      <c r="C420" t="s">
        <v>804</v>
      </c>
      <c r="D420" t="s">
        <v>775</v>
      </c>
      <c r="E420" s="465">
        <v>46235</v>
      </c>
      <c r="F420" s="465">
        <v>46280</v>
      </c>
      <c r="G420" t="s">
        <v>792</v>
      </c>
      <c r="H420" t="s">
        <v>793</v>
      </c>
      <c r="I420" t="s">
        <v>811</v>
      </c>
      <c r="J420">
        <v>-2100</v>
      </c>
      <c r="K420">
        <v>-2100</v>
      </c>
      <c r="O420" t="s">
        <v>742</v>
      </c>
      <c r="Q420" t="s">
        <v>464</v>
      </c>
      <c r="R420">
        <v>0</v>
      </c>
    </row>
    <row r="421" spans="1:18" x14ac:dyDescent="0.3">
      <c r="A421">
        <v>233309</v>
      </c>
      <c r="B421" t="s">
        <v>734</v>
      </c>
      <c r="C421" t="s">
        <v>783</v>
      </c>
      <c r="D421" t="s">
        <v>775</v>
      </c>
      <c r="E421" s="465">
        <v>46235</v>
      </c>
      <c r="F421" s="465">
        <v>46229</v>
      </c>
      <c r="G421" t="s">
        <v>784</v>
      </c>
      <c r="H421" t="s">
        <v>238</v>
      </c>
      <c r="I421" t="s">
        <v>800</v>
      </c>
      <c r="J421">
        <v>-6000</v>
      </c>
      <c r="K421">
        <v>-6000</v>
      </c>
      <c r="O421" t="s">
        <v>742</v>
      </c>
      <c r="Q421" t="s">
        <v>464</v>
      </c>
      <c r="R421">
        <v>0</v>
      </c>
    </row>
    <row r="422" spans="1:18" x14ac:dyDescent="0.3">
      <c r="A422">
        <v>227288</v>
      </c>
      <c r="B422" t="s">
        <v>734</v>
      </c>
      <c r="C422" t="s">
        <v>827</v>
      </c>
      <c r="D422" t="s">
        <v>775</v>
      </c>
      <c r="E422" s="465">
        <v>46235</v>
      </c>
      <c r="F422" s="465">
        <v>46266</v>
      </c>
      <c r="G422" t="s">
        <v>792</v>
      </c>
      <c r="H422" t="s">
        <v>793</v>
      </c>
      <c r="I422" t="s">
        <v>829</v>
      </c>
      <c r="J422">
        <v>-2000</v>
      </c>
      <c r="K422">
        <v>-2000</v>
      </c>
      <c r="O422" t="s">
        <v>742</v>
      </c>
      <c r="Q422" t="s">
        <v>464</v>
      </c>
      <c r="R422">
        <v>0</v>
      </c>
    </row>
    <row r="423" spans="1:18" x14ac:dyDescent="0.3">
      <c r="A423">
        <v>227300</v>
      </c>
      <c r="B423" t="s">
        <v>734</v>
      </c>
      <c r="C423" t="s">
        <v>827</v>
      </c>
      <c r="D423" t="s">
        <v>775</v>
      </c>
      <c r="E423" s="465">
        <v>46235</v>
      </c>
      <c r="F423" s="465">
        <v>46280</v>
      </c>
      <c r="G423" t="s">
        <v>792</v>
      </c>
      <c r="H423" t="s">
        <v>793</v>
      </c>
      <c r="I423" t="s">
        <v>828</v>
      </c>
      <c r="J423">
        <v>-2000</v>
      </c>
      <c r="K423">
        <v>-2000</v>
      </c>
      <c r="O423" t="s">
        <v>742</v>
      </c>
      <c r="Q423" t="s">
        <v>464</v>
      </c>
      <c r="R423">
        <v>0</v>
      </c>
    </row>
    <row r="424" spans="1:18" x14ac:dyDescent="0.3">
      <c r="A424">
        <v>233293</v>
      </c>
      <c r="B424" t="s">
        <v>734</v>
      </c>
      <c r="C424" t="s">
        <v>783</v>
      </c>
      <c r="D424" t="s">
        <v>775</v>
      </c>
      <c r="E424" s="465">
        <v>46235</v>
      </c>
      <c r="F424" s="465">
        <v>46228</v>
      </c>
      <c r="G424" t="s">
        <v>784</v>
      </c>
      <c r="H424" t="s">
        <v>238</v>
      </c>
      <c r="I424" t="s">
        <v>803</v>
      </c>
      <c r="J424">
        <v>-5000</v>
      </c>
      <c r="K424">
        <v>-5000</v>
      </c>
      <c r="O424" t="s">
        <v>742</v>
      </c>
      <c r="Q424" t="s">
        <v>464</v>
      </c>
      <c r="R424">
        <v>0</v>
      </c>
    </row>
    <row r="425" spans="1:18" x14ac:dyDescent="0.3">
      <c r="A425">
        <v>237227</v>
      </c>
      <c r="B425" t="s">
        <v>734</v>
      </c>
      <c r="C425" t="s">
        <v>806</v>
      </c>
      <c r="D425" t="s">
        <v>864</v>
      </c>
      <c r="E425" s="465">
        <v>46235</v>
      </c>
      <c r="F425" s="465">
        <v>46246</v>
      </c>
      <c r="G425" t="s">
        <v>784</v>
      </c>
      <c r="H425" t="s">
        <v>246</v>
      </c>
      <c r="I425" t="s">
        <v>807</v>
      </c>
      <c r="J425">
        <v>-1662.28</v>
      </c>
      <c r="K425">
        <v>-1662.28</v>
      </c>
      <c r="O425" t="s">
        <v>738</v>
      </c>
      <c r="Q425" t="s">
        <v>464</v>
      </c>
      <c r="R425">
        <v>0</v>
      </c>
    </row>
    <row r="426" spans="1:18" x14ac:dyDescent="0.3">
      <c r="A426">
        <v>240016</v>
      </c>
      <c r="B426" t="s">
        <v>734</v>
      </c>
      <c r="C426" t="s">
        <v>783</v>
      </c>
      <c r="D426" t="s">
        <v>775</v>
      </c>
      <c r="E426" s="465">
        <v>46235</v>
      </c>
      <c r="F426" s="465">
        <v>46228</v>
      </c>
      <c r="G426" t="s">
        <v>784</v>
      </c>
      <c r="H426" t="s">
        <v>238</v>
      </c>
      <c r="I426" t="s">
        <v>785</v>
      </c>
      <c r="J426">
        <v>-300</v>
      </c>
      <c r="K426">
        <v>-300</v>
      </c>
      <c r="O426" t="s">
        <v>742</v>
      </c>
      <c r="Q426" t="s">
        <v>464</v>
      </c>
      <c r="R426">
        <v>0</v>
      </c>
    </row>
    <row r="427" spans="1:18" x14ac:dyDescent="0.3">
      <c r="A427">
        <v>249236</v>
      </c>
      <c r="B427" t="s">
        <v>734</v>
      </c>
      <c r="C427" t="s">
        <v>795</v>
      </c>
      <c r="D427" t="s">
        <v>775</v>
      </c>
      <c r="E427" s="465">
        <v>46235</v>
      </c>
      <c r="F427" s="465">
        <v>46254</v>
      </c>
      <c r="G427" t="s">
        <v>787</v>
      </c>
      <c r="H427" t="s">
        <v>788</v>
      </c>
      <c r="I427" t="s">
        <v>856</v>
      </c>
      <c r="J427">
        <v>-39000</v>
      </c>
      <c r="K427">
        <v>-39000</v>
      </c>
      <c r="O427" t="s">
        <v>742</v>
      </c>
      <c r="Q427" t="s">
        <v>464</v>
      </c>
      <c r="R427">
        <v>0</v>
      </c>
    </row>
    <row r="428" spans="1:18" x14ac:dyDescent="0.3">
      <c r="A428">
        <v>231976</v>
      </c>
      <c r="B428" t="s">
        <v>734</v>
      </c>
      <c r="C428" t="s">
        <v>832</v>
      </c>
      <c r="D428" t="s">
        <v>775</v>
      </c>
      <c r="E428" s="465">
        <v>46233</v>
      </c>
      <c r="F428" s="465">
        <v>46246</v>
      </c>
      <c r="G428" t="s">
        <v>295</v>
      </c>
      <c r="H428" t="s">
        <v>297</v>
      </c>
      <c r="J428">
        <v>-1000</v>
      </c>
      <c r="K428">
        <v>-1000</v>
      </c>
      <c r="O428" t="s">
        <v>742</v>
      </c>
      <c r="Q428" t="s">
        <v>463</v>
      </c>
      <c r="R428">
        <v>0</v>
      </c>
    </row>
    <row r="429" spans="1:18" x14ac:dyDescent="0.3">
      <c r="A429">
        <v>249037</v>
      </c>
      <c r="B429" t="s">
        <v>734</v>
      </c>
      <c r="C429" t="s">
        <v>428</v>
      </c>
      <c r="D429" t="s">
        <v>775</v>
      </c>
      <c r="E429" s="465">
        <v>46233</v>
      </c>
      <c r="F429" s="465">
        <v>46254</v>
      </c>
      <c r="G429" t="s">
        <v>833</v>
      </c>
      <c r="H429" t="s">
        <v>348</v>
      </c>
      <c r="J429">
        <v>-5000</v>
      </c>
      <c r="K429">
        <v>-5000</v>
      </c>
      <c r="O429" t="s">
        <v>742</v>
      </c>
      <c r="Q429" t="s">
        <v>463</v>
      </c>
      <c r="R429">
        <v>0</v>
      </c>
    </row>
    <row r="430" spans="1:18" x14ac:dyDescent="0.3">
      <c r="A430">
        <v>249036</v>
      </c>
      <c r="B430" t="s">
        <v>734</v>
      </c>
      <c r="C430" t="s">
        <v>780</v>
      </c>
      <c r="D430" t="s">
        <v>775</v>
      </c>
      <c r="E430" s="465">
        <v>46233</v>
      </c>
      <c r="F430" s="465">
        <v>46254</v>
      </c>
      <c r="G430" t="s">
        <v>837</v>
      </c>
      <c r="H430" t="s">
        <v>780</v>
      </c>
      <c r="J430">
        <v>-1000</v>
      </c>
      <c r="K430">
        <v>-1000</v>
      </c>
      <c r="O430" t="s">
        <v>742</v>
      </c>
      <c r="Q430" t="s">
        <v>463</v>
      </c>
      <c r="R430">
        <v>0</v>
      </c>
    </row>
    <row r="431" spans="1:18" x14ac:dyDescent="0.3">
      <c r="A431">
        <v>249029</v>
      </c>
      <c r="B431" t="s">
        <v>734</v>
      </c>
      <c r="C431" t="s">
        <v>48</v>
      </c>
      <c r="D431" t="s">
        <v>775</v>
      </c>
      <c r="E431" s="465">
        <v>46233</v>
      </c>
      <c r="F431" s="465">
        <v>46254</v>
      </c>
      <c r="G431" t="s">
        <v>835</v>
      </c>
      <c r="H431" t="s">
        <v>48</v>
      </c>
      <c r="J431">
        <v>-15000</v>
      </c>
      <c r="K431">
        <v>-15000</v>
      </c>
      <c r="O431" t="s">
        <v>742</v>
      </c>
      <c r="Q431" t="s">
        <v>463</v>
      </c>
      <c r="R431">
        <v>0</v>
      </c>
    </row>
    <row r="432" spans="1:18" x14ac:dyDescent="0.3">
      <c r="A432">
        <v>223689</v>
      </c>
      <c r="B432" t="s">
        <v>734</v>
      </c>
      <c r="C432" t="s">
        <v>49</v>
      </c>
      <c r="D432" t="s">
        <v>775</v>
      </c>
      <c r="E432" s="465">
        <v>46233</v>
      </c>
      <c r="F432" s="465">
        <v>46244</v>
      </c>
      <c r="G432" t="s">
        <v>835</v>
      </c>
      <c r="H432" t="s">
        <v>49</v>
      </c>
      <c r="J432">
        <v>-250</v>
      </c>
      <c r="K432">
        <v>-250</v>
      </c>
      <c r="O432" t="s">
        <v>742</v>
      </c>
      <c r="Q432" t="s">
        <v>463</v>
      </c>
      <c r="R432">
        <v>0</v>
      </c>
    </row>
    <row r="433" spans="1:18" x14ac:dyDescent="0.3">
      <c r="A433">
        <v>228992</v>
      </c>
      <c r="B433" t="s">
        <v>734</v>
      </c>
      <c r="C433" t="s">
        <v>836</v>
      </c>
      <c r="D433" t="s">
        <v>775</v>
      </c>
      <c r="E433" s="465">
        <v>46233</v>
      </c>
      <c r="F433" s="465">
        <v>46254</v>
      </c>
      <c r="G433" t="s">
        <v>837</v>
      </c>
      <c r="H433" t="s">
        <v>345</v>
      </c>
      <c r="J433">
        <v>-10000</v>
      </c>
      <c r="K433">
        <v>-10000</v>
      </c>
      <c r="O433" t="s">
        <v>742</v>
      </c>
      <c r="Q433" t="s">
        <v>463</v>
      </c>
      <c r="R433">
        <v>0</v>
      </c>
    </row>
    <row r="434" spans="1:18" x14ac:dyDescent="0.3">
      <c r="A434">
        <v>228283</v>
      </c>
      <c r="B434" t="s">
        <v>734</v>
      </c>
      <c r="C434" t="s">
        <v>830</v>
      </c>
      <c r="D434" t="s">
        <v>775</v>
      </c>
      <c r="E434" s="465">
        <v>46233</v>
      </c>
      <c r="F434" s="465">
        <v>46238</v>
      </c>
      <c r="G434" t="s">
        <v>263</v>
      </c>
      <c r="H434" t="s">
        <v>265</v>
      </c>
      <c r="J434">
        <v>-1500</v>
      </c>
      <c r="K434">
        <v>-1500</v>
      </c>
      <c r="O434" t="s">
        <v>742</v>
      </c>
      <c r="Q434" t="s">
        <v>463</v>
      </c>
      <c r="R434">
        <v>0</v>
      </c>
    </row>
    <row r="435" spans="1:18" x14ac:dyDescent="0.3">
      <c r="A435">
        <v>241339</v>
      </c>
      <c r="B435" t="s">
        <v>734</v>
      </c>
      <c r="C435" t="s">
        <v>838</v>
      </c>
      <c r="D435" t="s">
        <v>775</v>
      </c>
      <c r="E435" s="465">
        <v>46232</v>
      </c>
      <c r="F435" s="465">
        <v>46239</v>
      </c>
      <c r="G435" t="s">
        <v>255</v>
      </c>
      <c r="H435" t="s">
        <v>260</v>
      </c>
      <c r="I435" t="s">
        <v>839</v>
      </c>
      <c r="J435">
        <v>-506.88</v>
      </c>
      <c r="K435">
        <v>-506.88</v>
      </c>
      <c r="O435" t="s">
        <v>742</v>
      </c>
      <c r="Q435" t="s">
        <v>463</v>
      </c>
      <c r="R435">
        <v>0</v>
      </c>
    </row>
    <row r="436" spans="1:18" x14ac:dyDescent="0.3">
      <c r="A436">
        <v>249664</v>
      </c>
      <c r="B436" t="s">
        <v>734</v>
      </c>
      <c r="C436" t="s">
        <v>865</v>
      </c>
      <c r="D436" t="s">
        <v>866</v>
      </c>
      <c r="E436" s="465">
        <v>46224</v>
      </c>
      <c r="F436" s="465">
        <v>46224</v>
      </c>
      <c r="G436" t="s">
        <v>833</v>
      </c>
      <c r="H436" t="s">
        <v>355</v>
      </c>
      <c r="I436" t="s">
        <v>867</v>
      </c>
      <c r="J436">
        <v>-3600</v>
      </c>
      <c r="K436">
        <v>-3600</v>
      </c>
      <c r="O436" t="s">
        <v>738</v>
      </c>
      <c r="Q436" t="s">
        <v>463</v>
      </c>
      <c r="R436">
        <v>0</v>
      </c>
    </row>
    <row r="437" spans="1:18" x14ac:dyDescent="0.3">
      <c r="A437">
        <v>249555</v>
      </c>
      <c r="B437" t="s">
        <v>734</v>
      </c>
      <c r="C437" t="s">
        <v>868</v>
      </c>
      <c r="D437" t="s">
        <v>869</v>
      </c>
      <c r="E437" s="465">
        <v>46223</v>
      </c>
      <c r="F437" s="465">
        <v>46224</v>
      </c>
      <c r="G437" t="s">
        <v>825</v>
      </c>
      <c r="H437" t="s">
        <v>870</v>
      </c>
      <c r="J437">
        <v>-115.98</v>
      </c>
      <c r="K437">
        <v>-115.98</v>
      </c>
      <c r="O437" t="s">
        <v>738</v>
      </c>
      <c r="P437" t="s">
        <v>863</v>
      </c>
      <c r="Q437" t="s">
        <v>463</v>
      </c>
      <c r="R437">
        <v>0</v>
      </c>
    </row>
    <row r="438" spans="1:18" x14ac:dyDescent="0.3">
      <c r="A438">
        <v>248663</v>
      </c>
      <c r="B438" t="s">
        <v>734</v>
      </c>
      <c r="C438" t="s">
        <v>824</v>
      </c>
      <c r="D438" t="s">
        <v>871</v>
      </c>
      <c r="E438" s="465">
        <v>46219</v>
      </c>
      <c r="F438" s="465">
        <v>46219</v>
      </c>
      <c r="G438" t="s">
        <v>825</v>
      </c>
      <c r="H438" t="s">
        <v>826</v>
      </c>
      <c r="J438">
        <v>-1.5</v>
      </c>
      <c r="K438">
        <v>-1.5</v>
      </c>
      <c r="O438" t="s">
        <v>738</v>
      </c>
      <c r="P438" t="s">
        <v>860</v>
      </c>
      <c r="Q438" t="s">
        <v>463</v>
      </c>
      <c r="R438">
        <v>0</v>
      </c>
    </row>
    <row r="439" spans="1:18" x14ac:dyDescent="0.3">
      <c r="A439">
        <v>248351</v>
      </c>
      <c r="B439" t="s">
        <v>734</v>
      </c>
      <c r="C439" t="s">
        <v>872</v>
      </c>
      <c r="D439" t="s">
        <v>873</v>
      </c>
      <c r="E439" s="465">
        <v>46219</v>
      </c>
      <c r="F439" s="465">
        <v>46233</v>
      </c>
      <c r="G439" t="s">
        <v>833</v>
      </c>
      <c r="H439" t="s">
        <v>352</v>
      </c>
      <c r="I439" t="s">
        <v>874</v>
      </c>
      <c r="J439">
        <v>-1370</v>
      </c>
      <c r="K439">
        <v>-1370</v>
      </c>
      <c r="O439" t="s">
        <v>738</v>
      </c>
      <c r="Q439" t="s">
        <v>463</v>
      </c>
      <c r="R439">
        <v>0</v>
      </c>
    </row>
    <row r="440" spans="1:18" x14ac:dyDescent="0.3">
      <c r="A440">
        <v>248660</v>
      </c>
      <c r="B440" t="s">
        <v>734</v>
      </c>
      <c r="C440" t="s">
        <v>824</v>
      </c>
      <c r="D440" t="s">
        <v>871</v>
      </c>
      <c r="E440" s="465">
        <v>46219</v>
      </c>
      <c r="F440" s="465">
        <v>46219</v>
      </c>
      <c r="G440" t="s">
        <v>825</v>
      </c>
      <c r="H440" t="s">
        <v>826</v>
      </c>
      <c r="J440">
        <v>-2</v>
      </c>
      <c r="K440">
        <v>-2</v>
      </c>
      <c r="O440" t="s">
        <v>738</v>
      </c>
      <c r="P440" t="s">
        <v>860</v>
      </c>
      <c r="Q440" t="s">
        <v>463</v>
      </c>
      <c r="R440">
        <v>0</v>
      </c>
    </row>
    <row r="441" spans="1:18" x14ac:dyDescent="0.3">
      <c r="A441">
        <v>248662</v>
      </c>
      <c r="B441" t="s">
        <v>734</v>
      </c>
      <c r="C441" t="s">
        <v>824</v>
      </c>
      <c r="D441" t="s">
        <v>871</v>
      </c>
      <c r="E441" s="465">
        <v>46218</v>
      </c>
      <c r="F441" s="465">
        <v>46218</v>
      </c>
      <c r="G441" t="s">
        <v>825</v>
      </c>
      <c r="H441" t="s">
        <v>826</v>
      </c>
      <c r="J441">
        <v>-4.5</v>
      </c>
      <c r="K441">
        <v>-4.5</v>
      </c>
      <c r="O441" t="s">
        <v>738</v>
      </c>
      <c r="P441" t="s">
        <v>860</v>
      </c>
      <c r="Q441" t="s">
        <v>463</v>
      </c>
      <c r="R441">
        <v>0</v>
      </c>
    </row>
    <row r="442" spans="1:18" x14ac:dyDescent="0.3">
      <c r="A442">
        <v>246840</v>
      </c>
      <c r="B442" t="s">
        <v>734</v>
      </c>
      <c r="C442" t="s">
        <v>875</v>
      </c>
      <c r="D442" t="s">
        <v>876</v>
      </c>
      <c r="E442" s="465">
        <v>46218</v>
      </c>
      <c r="F442" s="465">
        <v>46228</v>
      </c>
      <c r="G442" t="s">
        <v>278</v>
      </c>
      <c r="H442" t="s">
        <v>279</v>
      </c>
      <c r="I442" t="s">
        <v>877</v>
      </c>
      <c r="J442">
        <v>-45.39</v>
      </c>
      <c r="K442">
        <v>0</v>
      </c>
      <c r="O442" t="s">
        <v>738</v>
      </c>
      <c r="Q442" t="s">
        <v>463</v>
      </c>
      <c r="R442">
        <v>0</v>
      </c>
    </row>
    <row r="443" spans="1:18" x14ac:dyDescent="0.3">
      <c r="A443">
        <v>247837</v>
      </c>
      <c r="B443" t="s">
        <v>734</v>
      </c>
      <c r="C443" t="s">
        <v>878</v>
      </c>
      <c r="D443" t="s">
        <v>879</v>
      </c>
      <c r="E443" s="465">
        <v>46218</v>
      </c>
      <c r="F443" s="465">
        <v>46218</v>
      </c>
      <c r="G443" t="s">
        <v>880</v>
      </c>
      <c r="H443" t="s">
        <v>202</v>
      </c>
      <c r="I443" t="s">
        <v>881</v>
      </c>
      <c r="J443">
        <v>-400</v>
      </c>
      <c r="K443">
        <v>-400</v>
      </c>
      <c r="O443" t="s">
        <v>738</v>
      </c>
      <c r="P443" t="s">
        <v>860</v>
      </c>
      <c r="Q443" t="s">
        <v>463</v>
      </c>
      <c r="R443">
        <v>0</v>
      </c>
    </row>
    <row r="444" spans="1:18" x14ac:dyDescent="0.3">
      <c r="A444">
        <v>238529</v>
      </c>
      <c r="B444" t="s">
        <v>734</v>
      </c>
      <c r="C444" t="s">
        <v>840</v>
      </c>
      <c r="D444" t="s">
        <v>882</v>
      </c>
      <c r="E444" s="465">
        <v>46218</v>
      </c>
      <c r="F444" s="465">
        <v>46231</v>
      </c>
      <c r="G444" t="s">
        <v>278</v>
      </c>
      <c r="H444" t="s">
        <v>283</v>
      </c>
      <c r="I444" t="s">
        <v>841</v>
      </c>
      <c r="J444">
        <v>-219</v>
      </c>
      <c r="K444">
        <v>-219</v>
      </c>
      <c r="O444" t="s">
        <v>738</v>
      </c>
      <c r="Q444" t="s">
        <v>463</v>
      </c>
      <c r="R444">
        <v>0</v>
      </c>
    </row>
    <row r="445" spans="1:18" x14ac:dyDescent="0.3">
      <c r="A445">
        <v>248659</v>
      </c>
      <c r="B445" t="s">
        <v>734</v>
      </c>
      <c r="C445" t="s">
        <v>824</v>
      </c>
      <c r="D445" t="s">
        <v>871</v>
      </c>
      <c r="E445" s="465">
        <v>46218</v>
      </c>
      <c r="F445" s="465">
        <v>46218</v>
      </c>
      <c r="G445" t="s">
        <v>825</v>
      </c>
      <c r="H445" t="s">
        <v>826</v>
      </c>
      <c r="J445">
        <v>-3.5</v>
      </c>
      <c r="K445">
        <v>-3.5</v>
      </c>
      <c r="O445" t="s">
        <v>738</v>
      </c>
      <c r="P445" t="s">
        <v>860</v>
      </c>
      <c r="Q445" t="s">
        <v>463</v>
      </c>
      <c r="R445">
        <v>0</v>
      </c>
    </row>
    <row r="446" spans="1:18" x14ac:dyDescent="0.3">
      <c r="A446">
        <v>232028</v>
      </c>
      <c r="B446" t="s">
        <v>734</v>
      </c>
      <c r="C446" t="s">
        <v>883</v>
      </c>
      <c r="D446" t="s">
        <v>884</v>
      </c>
      <c r="E446" s="465">
        <v>46218</v>
      </c>
      <c r="F446" s="465">
        <v>46233</v>
      </c>
      <c r="G446" t="s">
        <v>833</v>
      </c>
      <c r="H446" t="s">
        <v>348</v>
      </c>
      <c r="I446" t="s">
        <v>885</v>
      </c>
      <c r="J446">
        <v>-2400</v>
      </c>
      <c r="K446">
        <v>-2400</v>
      </c>
      <c r="O446" t="s">
        <v>738</v>
      </c>
      <c r="Q446" t="s">
        <v>463</v>
      </c>
      <c r="R446">
        <v>0</v>
      </c>
    </row>
    <row r="447" spans="1:18" x14ac:dyDescent="0.3">
      <c r="A447">
        <v>248658</v>
      </c>
      <c r="B447" t="s">
        <v>734</v>
      </c>
      <c r="C447" t="s">
        <v>824</v>
      </c>
      <c r="D447" t="s">
        <v>871</v>
      </c>
      <c r="E447" s="465">
        <v>46217</v>
      </c>
      <c r="F447" s="465">
        <v>46217</v>
      </c>
      <c r="G447" t="s">
        <v>825</v>
      </c>
      <c r="H447" t="s">
        <v>826</v>
      </c>
      <c r="J447">
        <v>-3.5</v>
      </c>
      <c r="K447">
        <v>-3.5</v>
      </c>
      <c r="O447" t="s">
        <v>738</v>
      </c>
      <c r="P447" t="s">
        <v>860</v>
      </c>
      <c r="Q447" t="s">
        <v>463</v>
      </c>
      <c r="R447">
        <v>0</v>
      </c>
    </row>
    <row r="448" spans="1:18" x14ac:dyDescent="0.3">
      <c r="A448">
        <v>224318</v>
      </c>
      <c r="B448" t="s">
        <v>734</v>
      </c>
      <c r="C448" t="s">
        <v>814</v>
      </c>
      <c r="D448" t="s">
        <v>775</v>
      </c>
      <c r="E448" s="465">
        <v>46217</v>
      </c>
      <c r="F448" s="465">
        <v>46223</v>
      </c>
      <c r="G448" t="s">
        <v>307</v>
      </c>
      <c r="H448" t="s">
        <v>312</v>
      </c>
      <c r="J448">
        <v>-2200</v>
      </c>
      <c r="K448">
        <v>-2200</v>
      </c>
      <c r="O448" t="s">
        <v>742</v>
      </c>
      <c r="Q448" t="s">
        <v>463</v>
      </c>
      <c r="R448">
        <v>0</v>
      </c>
    </row>
    <row r="449" spans="1:18" x14ac:dyDescent="0.3">
      <c r="A449">
        <v>248661</v>
      </c>
      <c r="B449" t="s">
        <v>734</v>
      </c>
      <c r="C449" t="s">
        <v>824</v>
      </c>
      <c r="D449" t="s">
        <v>871</v>
      </c>
      <c r="E449" s="465">
        <v>46217</v>
      </c>
      <c r="F449" s="465">
        <v>46217</v>
      </c>
      <c r="G449" t="s">
        <v>825</v>
      </c>
      <c r="H449" t="s">
        <v>826</v>
      </c>
      <c r="J449">
        <v>-1.5</v>
      </c>
      <c r="K449">
        <v>-1.5</v>
      </c>
      <c r="O449" t="s">
        <v>738</v>
      </c>
      <c r="P449" t="s">
        <v>860</v>
      </c>
      <c r="Q449" t="s">
        <v>463</v>
      </c>
      <c r="R449">
        <v>0</v>
      </c>
    </row>
    <row r="450" spans="1:18" x14ac:dyDescent="0.3">
      <c r="A450">
        <v>249584</v>
      </c>
      <c r="B450" t="s">
        <v>734</v>
      </c>
      <c r="C450" t="s">
        <v>886</v>
      </c>
      <c r="D450" t="s">
        <v>887</v>
      </c>
      <c r="E450" s="465">
        <v>46217</v>
      </c>
      <c r="F450" s="465">
        <v>46231</v>
      </c>
      <c r="G450" t="s">
        <v>263</v>
      </c>
      <c r="H450" t="s">
        <v>271</v>
      </c>
      <c r="I450" t="s">
        <v>888</v>
      </c>
      <c r="J450">
        <v>-700</v>
      </c>
      <c r="K450">
        <v>-700</v>
      </c>
      <c r="O450" t="s">
        <v>738</v>
      </c>
      <c r="Q450" t="s">
        <v>463</v>
      </c>
      <c r="R450">
        <v>0</v>
      </c>
    </row>
    <row r="451" spans="1:18" x14ac:dyDescent="0.3">
      <c r="A451">
        <v>244678</v>
      </c>
      <c r="B451" t="s">
        <v>734</v>
      </c>
      <c r="C451" t="s">
        <v>889</v>
      </c>
      <c r="D451" t="s">
        <v>890</v>
      </c>
      <c r="E451" s="465">
        <v>46216</v>
      </c>
      <c r="F451" s="465">
        <v>46218</v>
      </c>
      <c r="G451" t="s">
        <v>295</v>
      </c>
      <c r="H451" t="s">
        <v>306</v>
      </c>
      <c r="I451" t="s">
        <v>891</v>
      </c>
      <c r="J451">
        <v>-378.1</v>
      </c>
      <c r="K451">
        <v>0</v>
      </c>
      <c r="O451" t="s">
        <v>738</v>
      </c>
      <c r="P451" t="s">
        <v>860</v>
      </c>
      <c r="Q451" t="s">
        <v>463</v>
      </c>
      <c r="R451">
        <v>0</v>
      </c>
    </row>
    <row r="452" spans="1:18" x14ac:dyDescent="0.3">
      <c r="A452">
        <v>244728</v>
      </c>
      <c r="B452" t="s">
        <v>734</v>
      </c>
      <c r="C452" t="s">
        <v>892</v>
      </c>
      <c r="D452" t="s">
        <v>893</v>
      </c>
      <c r="E452" s="465">
        <v>46216</v>
      </c>
      <c r="F452" s="465">
        <v>46216</v>
      </c>
      <c r="G452" t="s">
        <v>833</v>
      </c>
      <c r="H452" t="s">
        <v>355</v>
      </c>
      <c r="J452">
        <v>-745.35</v>
      </c>
      <c r="K452">
        <v>-745.35</v>
      </c>
      <c r="O452" t="s">
        <v>738</v>
      </c>
      <c r="P452" t="s">
        <v>860</v>
      </c>
      <c r="Q452" t="s">
        <v>463</v>
      </c>
      <c r="R452">
        <v>0</v>
      </c>
    </row>
    <row r="453" spans="1:18" x14ac:dyDescent="0.3">
      <c r="A453">
        <v>249008</v>
      </c>
      <c r="B453" t="s">
        <v>734</v>
      </c>
      <c r="C453" t="s">
        <v>894</v>
      </c>
      <c r="D453" t="s">
        <v>895</v>
      </c>
      <c r="E453" s="465">
        <v>46216</v>
      </c>
      <c r="F453" s="465">
        <v>46230</v>
      </c>
      <c r="G453" t="s">
        <v>880</v>
      </c>
      <c r="H453" t="s">
        <v>202</v>
      </c>
      <c r="I453" t="s">
        <v>896</v>
      </c>
      <c r="J453">
        <v>-1200</v>
      </c>
      <c r="K453">
        <v>-1200</v>
      </c>
      <c r="O453" t="s">
        <v>742</v>
      </c>
      <c r="Q453" t="s">
        <v>463</v>
      </c>
      <c r="R453">
        <v>0</v>
      </c>
    </row>
    <row r="454" spans="1:18" x14ac:dyDescent="0.3">
      <c r="A454">
        <v>244696</v>
      </c>
      <c r="B454" t="s">
        <v>734</v>
      </c>
      <c r="C454" t="s">
        <v>889</v>
      </c>
      <c r="D454" t="s">
        <v>897</v>
      </c>
      <c r="E454" s="465">
        <v>46216</v>
      </c>
      <c r="F454" s="465">
        <v>46218</v>
      </c>
      <c r="G454" t="s">
        <v>295</v>
      </c>
      <c r="H454" t="s">
        <v>306</v>
      </c>
      <c r="I454" t="s">
        <v>891</v>
      </c>
      <c r="J454">
        <v>-89.63</v>
      </c>
      <c r="K454">
        <v>0</v>
      </c>
      <c r="O454" t="s">
        <v>738</v>
      </c>
      <c r="P454" t="s">
        <v>860</v>
      </c>
      <c r="Q454" t="s">
        <v>463</v>
      </c>
      <c r="R454">
        <v>0</v>
      </c>
    </row>
    <row r="455" spans="1:18" x14ac:dyDescent="0.3">
      <c r="A455">
        <v>248655</v>
      </c>
      <c r="B455" t="s">
        <v>734</v>
      </c>
      <c r="C455" t="s">
        <v>824</v>
      </c>
      <c r="D455" t="s">
        <v>871</v>
      </c>
      <c r="E455" s="465">
        <v>46216</v>
      </c>
      <c r="F455" s="465">
        <v>46216</v>
      </c>
      <c r="G455" t="s">
        <v>825</v>
      </c>
      <c r="H455" t="s">
        <v>826</v>
      </c>
      <c r="J455">
        <v>-2.5</v>
      </c>
      <c r="K455">
        <v>-2.5</v>
      </c>
      <c r="O455" t="s">
        <v>738</v>
      </c>
      <c r="P455" t="s">
        <v>860</v>
      </c>
      <c r="Q455" t="s">
        <v>463</v>
      </c>
      <c r="R455">
        <v>0</v>
      </c>
    </row>
    <row r="456" spans="1:18" x14ac:dyDescent="0.3">
      <c r="A456">
        <v>231076</v>
      </c>
      <c r="B456" t="s">
        <v>734</v>
      </c>
      <c r="C456" t="s">
        <v>898</v>
      </c>
      <c r="D456" t="s">
        <v>899</v>
      </c>
      <c r="E456" s="465">
        <v>46215</v>
      </c>
      <c r="F456" s="465">
        <v>46231</v>
      </c>
      <c r="G456" t="s">
        <v>833</v>
      </c>
      <c r="H456" t="s">
        <v>348</v>
      </c>
      <c r="I456" t="s">
        <v>900</v>
      </c>
      <c r="J456">
        <v>-3879.91</v>
      </c>
      <c r="K456">
        <v>-3879.91</v>
      </c>
      <c r="O456" t="s">
        <v>742</v>
      </c>
      <c r="Q456" t="s">
        <v>463</v>
      </c>
      <c r="R456">
        <v>0</v>
      </c>
    </row>
    <row r="457" spans="1:18" x14ac:dyDescent="0.3">
      <c r="A457">
        <v>231064</v>
      </c>
      <c r="B457" t="s">
        <v>734</v>
      </c>
      <c r="C457" t="s">
        <v>857</v>
      </c>
      <c r="D457" t="s">
        <v>775</v>
      </c>
      <c r="E457" s="465">
        <v>46215</v>
      </c>
      <c r="F457" s="465">
        <v>46245</v>
      </c>
      <c r="G457" t="s">
        <v>833</v>
      </c>
      <c r="H457" t="s">
        <v>348</v>
      </c>
      <c r="I457" t="s">
        <v>859</v>
      </c>
      <c r="J457">
        <v>-44877.599999999999</v>
      </c>
      <c r="K457">
        <v>-44877.599999999999</v>
      </c>
      <c r="O457" t="s">
        <v>742</v>
      </c>
      <c r="Q457" t="s">
        <v>463</v>
      </c>
      <c r="R457">
        <v>0</v>
      </c>
    </row>
    <row r="458" spans="1:18" x14ac:dyDescent="0.3">
      <c r="A458">
        <v>231072</v>
      </c>
      <c r="B458" t="s">
        <v>734</v>
      </c>
      <c r="C458" t="s">
        <v>901</v>
      </c>
      <c r="D458" t="s">
        <v>902</v>
      </c>
      <c r="E458" s="465">
        <v>46215</v>
      </c>
      <c r="F458" s="465">
        <v>46226</v>
      </c>
      <c r="G458" t="s">
        <v>903</v>
      </c>
      <c r="H458" t="s">
        <v>290</v>
      </c>
      <c r="I458" t="s">
        <v>904</v>
      </c>
      <c r="J458">
        <v>-17155.86</v>
      </c>
      <c r="K458">
        <v>-17155.86</v>
      </c>
      <c r="O458" t="s">
        <v>742</v>
      </c>
      <c r="Q458" t="s">
        <v>463</v>
      </c>
      <c r="R458">
        <v>0</v>
      </c>
    </row>
    <row r="459" spans="1:18" x14ac:dyDescent="0.3">
      <c r="A459">
        <v>249009</v>
      </c>
      <c r="B459" t="s">
        <v>734</v>
      </c>
      <c r="C459" t="s">
        <v>905</v>
      </c>
      <c r="D459" t="s">
        <v>906</v>
      </c>
      <c r="E459" s="465">
        <v>46215</v>
      </c>
      <c r="F459" s="465">
        <v>46230</v>
      </c>
      <c r="G459" t="s">
        <v>880</v>
      </c>
      <c r="H459" t="s">
        <v>202</v>
      </c>
      <c r="I459" t="s">
        <v>907</v>
      </c>
      <c r="J459">
        <v>-1300</v>
      </c>
      <c r="K459">
        <v>-1300</v>
      </c>
      <c r="O459" t="s">
        <v>738</v>
      </c>
      <c r="Q459" t="s">
        <v>463</v>
      </c>
      <c r="R459">
        <v>0</v>
      </c>
    </row>
    <row r="460" spans="1:18" x14ac:dyDescent="0.3">
      <c r="A460">
        <v>244631</v>
      </c>
      <c r="B460" t="s">
        <v>734</v>
      </c>
      <c r="C460" t="s">
        <v>824</v>
      </c>
      <c r="D460" t="s">
        <v>871</v>
      </c>
      <c r="E460" s="465">
        <v>46213</v>
      </c>
      <c r="F460" s="465">
        <v>46213</v>
      </c>
      <c r="G460" t="s">
        <v>825</v>
      </c>
      <c r="H460" t="s">
        <v>826</v>
      </c>
      <c r="J460">
        <v>-1</v>
      </c>
      <c r="K460">
        <v>-1</v>
      </c>
      <c r="O460" t="s">
        <v>738</v>
      </c>
      <c r="P460" t="s">
        <v>860</v>
      </c>
      <c r="Q460" t="s">
        <v>463</v>
      </c>
      <c r="R460">
        <v>0</v>
      </c>
    </row>
    <row r="461" spans="1:18" x14ac:dyDescent="0.3">
      <c r="A461">
        <v>244633</v>
      </c>
      <c r="B461" t="s">
        <v>734</v>
      </c>
      <c r="C461" t="s">
        <v>824</v>
      </c>
      <c r="D461" t="s">
        <v>871</v>
      </c>
      <c r="E461" s="465">
        <v>46213</v>
      </c>
      <c r="F461" s="465">
        <v>46213</v>
      </c>
      <c r="G461" t="s">
        <v>825</v>
      </c>
      <c r="H461" t="s">
        <v>826</v>
      </c>
      <c r="J461">
        <v>-0.5</v>
      </c>
      <c r="K461">
        <v>-0.5</v>
      </c>
      <c r="O461" t="s">
        <v>738</v>
      </c>
      <c r="P461" t="s">
        <v>860</v>
      </c>
      <c r="Q461" t="s">
        <v>463</v>
      </c>
      <c r="R461">
        <v>0</v>
      </c>
    </row>
    <row r="462" spans="1:18" x14ac:dyDescent="0.3">
      <c r="A462">
        <v>249012</v>
      </c>
      <c r="B462" t="s">
        <v>734</v>
      </c>
      <c r="C462" t="s">
        <v>908</v>
      </c>
      <c r="D462" t="s">
        <v>909</v>
      </c>
      <c r="E462" s="465">
        <v>46213</v>
      </c>
      <c r="F462" s="465">
        <v>46234</v>
      </c>
      <c r="G462" t="s">
        <v>903</v>
      </c>
      <c r="H462" t="s">
        <v>288</v>
      </c>
      <c r="J462">
        <v>-431.51</v>
      </c>
      <c r="K462">
        <v>-431.51</v>
      </c>
      <c r="O462" t="s">
        <v>738</v>
      </c>
      <c r="Q462" t="s">
        <v>463</v>
      </c>
      <c r="R462">
        <v>0</v>
      </c>
    </row>
    <row r="463" spans="1:18" x14ac:dyDescent="0.3">
      <c r="A463">
        <v>249011</v>
      </c>
      <c r="B463" t="s">
        <v>734</v>
      </c>
      <c r="C463" t="s">
        <v>908</v>
      </c>
      <c r="D463" t="s">
        <v>910</v>
      </c>
      <c r="E463" s="465">
        <v>46213</v>
      </c>
      <c r="F463" s="465">
        <v>46234</v>
      </c>
      <c r="G463" t="s">
        <v>903</v>
      </c>
      <c r="H463" t="s">
        <v>288</v>
      </c>
      <c r="I463" t="s">
        <v>911</v>
      </c>
      <c r="J463">
        <v>-957.58</v>
      </c>
      <c r="K463">
        <v>-957.58</v>
      </c>
      <c r="O463" t="s">
        <v>738</v>
      </c>
      <c r="Q463" t="s">
        <v>463</v>
      </c>
      <c r="R463">
        <v>0</v>
      </c>
    </row>
    <row r="464" spans="1:18" x14ac:dyDescent="0.3">
      <c r="A464">
        <v>246872</v>
      </c>
      <c r="B464" t="s">
        <v>734</v>
      </c>
      <c r="C464" t="s">
        <v>912</v>
      </c>
      <c r="D464" t="s">
        <v>913</v>
      </c>
      <c r="E464" s="465">
        <v>46213</v>
      </c>
      <c r="F464" s="465">
        <v>46241</v>
      </c>
      <c r="G464" t="s">
        <v>914</v>
      </c>
      <c r="H464" t="s">
        <v>915</v>
      </c>
      <c r="J464">
        <v>-324.5</v>
      </c>
      <c r="K464">
        <v>-324.5</v>
      </c>
      <c r="O464" t="s">
        <v>738</v>
      </c>
      <c r="Q464" t="s">
        <v>463</v>
      </c>
      <c r="R464">
        <v>0</v>
      </c>
    </row>
    <row r="465" spans="1:18" x14ac:dyDescent="0.3">
      <c r="A465">
        <v>244406</v>
      </c>
      <c r="B465" t="s">
        <v>734</v>
      </c>
      <c r="C465" t="s">
        <v>916</v>
      </c>
      <c r="D465" t="s">
        <v>917</v>
      </c>
      <c r="E465" s="465">
        <v>46213</v>
      </c>
      <c r="F465" s="465">
        <v>46213</v>
      </c>
      <c r="G465" t="s">
        <v>833</v>
      </c>
      <c r="H465" t="s">
        <v>348</v>
      </c>
      <c r="I465" t="s">
        <v>918</v>
      </c>
      <c r="J465">
        <v>-11046.05</v>
      </c>
      <c r="K465">
        <v>-11046.05</v>
      </c>
      <c r="O465" t="s">
        <v>738</v>
      </c>
      <c r="P465" t="s">
        <v>860</v>
      </c>
      <c r="Q465" t="s">
        <v>463</v>
      </c>
      <c r="R465">
        <v>0</v>
      </c>
    </row>
    <row r="466" spans="1:18" x14ac:dyDescent="0.3">
      <c r="A466">
        <v>147605</v>
      </c>
      <c r="B466" t="s">
        <v>734</v>
      </c>
      <c r="C466" t="s">
        <v>735</v>
      </c>
      <c r="E466" s="465">
        <v>46213</v>
      </c>
      <c r="F466" s="465">
        <v>46239</v>
      </c>
      <c r="G466" t="s">
        <v>255</v>
      </c>
      <c r="H466" t="s">
        <v>256</v>
      </c>
      <c r="I466" t="s">
        <v>737</v>
      </c>
      <c r="J466">
        <v>-140000</v>
      </c>
      <c r="K466">
        <v>-140000</v>
      </c>
      <c r="O466" t="s">
        <v>742</v>
      </c>
      <c r="Q466" t="s">
        <v>463</v>
      </c>
      <c r="R466">
        <v>0</v>
      </c>
    </row>
    <row r="467" spans="1:18" x14ac:dyDescent="0.3">
      <c r="A467">
        <v>237451</v>
      </c>
      <c r="B467" t="s">
        <v>734</v>
      </c>
      <c r="C467" t="s">
        <v>842</v>
      </c>
      <c r="D467" t="s">
        <v>775</v>
      </c>
      <c r="E467" s="465">
        <v>46212</v>
      </c>
      <c r="F467" s="465">
        <v>46244</v>
      </c>
      <c r="G467" t="s">
        <v>278</v>
      </c>
      <c r="H467" t="s">
        <v>280</v>
      </c>
      <c r="J467">
        <v>-1000</v>
      </c>
      <c r="K467">
        <v>-1000</v>
      </c>
      <c r="O467" t="s">
        <v>742</v>
      </c>
      <c r="Q467" t="s">
        <v>463</v>
      </c>
      <c r="R467">
        <v>0</v>
      </c>
    </row>
    <row r="468" spans="1:18" x14ac:dyDescent="0.3">
      <c r="A468">
        <v>244228</v>
      </c>
      <c r="B468" t="s">
        <v>734</v>
      </c>
      <c r="C468" t="s">
        <v>814</v>
      </c>
      <c r="D468" t="s">
        <v>919</v>
      </c>
      <c r="E468" s="465">
        <v>46211</v>
      </c>
      <c r="F468" s="465">
        <v>46216</v>
      </c>
      <c r="G468" t="s">
        <v>307</v>
      </c>
      <c r="H468" t="s">
        <v>312</v>
      </c>
      <c r="I468" t="s">
        <v>920</v>
      </c>
      <c r="J468">
        <v>-2100</v>
      </c>
      <c r="K468">
        <v>-2100</v>
      </c>
      <c r="O468" t="s">
        <v>738</v>
      </c>
      <c r="P468" t="s">
        <v>860</v>
      </c>
      <c r="Q468" t="s">
        <v>463</v>
      </c>
      <c r="R468">
        <v>0</v>
      </c>
    </row>
    <row r="469" spans="1:18" x14ac:dyDescent="0.3">
      <c r="A469">
        <v>244174</v>
      </c>
      <c r="B469" t="s">
        <v>734</v>
      </c>
      <c r="C469" t="s">
        <v>921</v>
      </c>
      <c r="D469" t="s">
        <v>922</v>
      </c>
      <c r="E469" s="465">
        <v>46211</v>
      </c>
      <c r="F469" s="465">
        <v>46244</v>
      </c>
      <c r="G469" t="s">
        <v>263</v>
      </c>
      <c r="H469" t="s">
        <v>266</v>
      </c>
      <c r="J469">
        <v>-52.56</v>
      </c>
      <c r="K469">
        <v>-52.56</v>
      </c>
      <c r="O469" t="s">
        <v>738</v>
      </c>
      <c r="Q469" t="s">
        <v>463</v>
      </c>
      <c r="R469">
        <v>0</v>
      </c>
    </row>
    <row r="470" spans="1:18" x14ac:dyDescent="0.3">
      <c r="A470">
        <v>244148</v>
      </c>
      <c r="B470" t="s">
        <v>734</v>
      </c>
      <c r="C470" t="s">
        <v>923</v>
      </c>
      <c r="D470" t="s">
        <v>924</v>
      </c>
      <c r="E470" s="465">
        <v>46211</v>
      </c>
      <c r="F470" s="465">
        <v>46211</v>
      </c>
      <c r="G470" t="s">
        <v>833</v>
      </c>
      <c r="H470" t="s">
        <v>358</v>
      </c>
      <c r="I470" t="s">
        <v>925</v>
      </c>
      <c r="J470">
        <v>-5724.46</v>
      </c>
      <c r="K470">
        <v>-5724.46</v>
      </c>
      <c r="O470" t="s">
        <v>738</v>
      </c>
      <c r="P470" t="s">
        <v>860</v>
      </c>
      <c r="Q470" t="s">
        <v>463</v>
      </c>
      <c r="R470">
        <v>0</v>
      </c>
    </row>
    <row r="471" spans="1:18" x14ac:dyDescent="0.3">
      <c r="A471">
        <v>244159</v>
      </c>
      <c r="B471" t="s">
        <v>734</v>
      </c>
      <c r="C471" t="s">
        <v>872</v>
      </c>
      <c r="D471" t="s">
        <v>873</v>
      </c>
      <c r="E471" s="465">
        <v>46211</v>
      </c>
      <c r="F471" s="465">
        <v>46216</v>
      </c>
      <c r="G471" t="s">
        <v>833</v>
      </c>
      <c r="H471" t="s">
        <v>352</v>
      </c>
      <c r="I471" t="s">
        <v>926</v>
      </c>
      <c r="J471">
        <v>-3533.84</v>
      </c>
      <c r="K471">
        <v>-3533.84</v>
      </c>
      <c r="O471" t="s">
        <v>738</v>
      </c>
      <c r="P471" t="s">
        <v>927</v>
      </c>
      <c r="Q471" t="s">
        <v>463</v>
      </c>
      <c r="R471">
        <v>0</v>
      </c>
    </row>
    <row r="472" spans="1:18" x14ac:dyDescent="0.3">
      <c r="A472">
        <v>244389</v>
      </c>
      <c r="B472" t="s">
        <v>734</v>
      </c>
      <c r="C472" t="s">
        <v>928</v>
      </c>
      <c r="D472" t="s">
        <v>929</v>
      </c>
      <c r="E472" s="465">
        <v>46211</v>
      </c>
      <c r="F472" s="465">
        <v>46213</v>
      </c>
      <c r="G472" t="s">
        <v>833</v>
      </c>
      <c r="H472" t="s">
        <v>348</v>
      </c>
      <c r="I472" t="s">
        <v>930</v>
      </c>
      <c r="J472">
        <v>-3500</v>
      </c>
      <c r="K472">
        <v>-3500</v>
      </c>
      <c r="O472" t="s">
        <v>738</v>
      </c>
      <c r="P472" t="s">
        <v>860</v>
      </c>
      <c r="Q472" t="s">
        <v>463</v>
      </c>
      <c r="R472">
        <v>0</v>
      </c>
    </row>
    <row r="473" spans="1:18" x14ac:dyDescent="0.3">
      <c r="A473">
        <v>223345</v>
      </c>
      <c r="B473" t="s">
        <v>734</v>
      </c>
      <c r="C473" t="s">
        <v>843</v>
      </c>
      <c r="D473" t="s">
        <v>844</v>
      </c>
      <c r="E473" s="465">
        <v>46211</v>
      </c>
      <c r="F473" s="465">
        <v>46254</v>
      </c>
      <c r="G473" t="s">
        <v>833</v>
      </c>
      <c r="H473" t="s">
        <v>363</v>
      </c>
      <c r="I473" t="s">
        <v>845</v>
      </c>
      <c r="J473">
        <v>-4159.12</v>
      </c>
      <c r="K473">
        <v>-4159.12</v>
      </c>
      <c r="O473" t="s">
        <v>738</v>
      </c>
      <c r="Q473" t="s">
        <v>463</v>
      </c>
      <c r="R473">
        <v>0</v>
      </c>
    </row>
    <row r="474" spans="1:18" x14ac:dyDescent="0.3">
      <c r="A474">
        <v>248355</v>
      </c>
      <c r="B474" t="s">
        <v>734</v>
      </c>
      <c r="C474" t="s">
        <v>931</v>
      </c>
      <c r="D474" t="s">
        <v>932</v>
      </c>
      <c r="E474" s="465">
        <v>46210</v>
      </c>
      <c r="F474" s="465">
        <v>46224</v>
      </c>
      <c r="G474" t="s">
        <v>295</v>
      </c>
      <c r="H474" t="s">
        <v>306</v>
      </c>
      <c r="I474" t="s">
        <v>933</v>
      </c>
      <c r="J474">
        <v>-880</v>
      </c>
      <c r="K474">
        <v>-880</v>
      </c>
      <c r="O474" t="s">
        <v>738</v>
      </c>
      <c r="Q474" t="s">
        <v>463</v>
      </c>
      <c r="R474">
        <v>0</v>
      </c>
    </row>
    <row r="475" spans="1:18" x14ac:dyDescent="0.3">
      <c r="A475">
        <v>248871</v>
      </c>
      <c r="B475" t="s">
        <v>734</v>
      </c>
      <c r="C475" t="s">
        <v>791</v>
      </c>
      <c r="D475" t="s">
        <v>775</v>
      </c>
      <c r="E475" s="465">
        <v>46210</v>
      </c>
      <c r="F475" s="465">
        <v>46249</v>
      </c>
      <c r="G475" t="s">
        <v>792</v>
      </c>
      <c r="H475" t="s">
        <v>793</v>
      </c>
      <c r="I475" t="s">
        <v>794</v>
      </c>
      <c r="J475">
        <v>-4500</v>
      </c>
      <c r="K475">
        <v>-4500</v>
      </c>
      <c r="O475" t="s">
        <v>742</v>
      </c>
      <c r="Q475" t="s">
        <v>463</v>
      </c>
      <c r="R475">
        <v>0</v>
      </c>
    </row>
    <row r="476" spans="1:18" x14ac:dyDescent="0.3">
      <c r="A476">
        <v>243490</v>
      </c>
      <c r="B476" t="s">
        <v>734</v>
      </c>
      <c r="C476" t="s">
        <v>934</v>
      </c>
      <c r="D476" t="s">
        <v>935</v>
      </c>
      <c r="E476" s="465">
        <v>46210</v>
      </c>
      <c r="F476" s="465">
        <v>46219</v>
      </c>
      <c r="G476" t="s">
        <v>833</v>
      </c>
      <c r="H476" t="s">
        <v>357</v>
      </c>
      <c r="J476">
        <v>-165</v>
      </c>
      <c r="K476">
        <v>-165</v>
      </c>
      <c r="O476" t="s">
        <v>738</v>
      </c>
      <c r="Q476" t="s">
        <v>463</v>
      </c>
      <c r="R476">
        <v>0</v>
      </c>
    </row>
    <row r="477" spans="1:18" x14ac:dyDescent="0.3">
      <c r="A477">
        <v>244630</v>
      </c>
      <c r="B477" t="s">
        <v>734</v>
      </c>
      <c r="C477" t="s">
        <v>824</v>
      </c>
      <c r="D477" t="s">
        <v>871</v>
      </c>
      <c r="E477" s="465">
        <v>46210</v>
      </c>
      <c r="F477" s="465">
        <v>46210</v>
      </c>
      <c r="G477" t="s">
        <v>825</v>
      </c>
      <c r="H477" t="s">
        <v>826</v>
      </c>
      <c r="J477">
        <v>-2</v>
      </c>
      <c r="K477">
        <v>-2</v>
      </c>
      <c r="O477" t="s">
        <v>738</v>
      </c>
      <c r="P477" t="s">
        <v>860</v>
      </c>
      <c r="Q477" t="s">
        <v>463</v>
      </c>
      <c r="R477">
        <v>0</v>
      </c>
    </row>
    <row r="478" spans="1:18" x14ac:dyDescent="0.3">
      <c r="A478">
        <v>244632</v>
      </c>
      <c r="B478" t="s">
        <v>734</v>
      </c>
      <c r="C478" t="s">
        <v>824</v>
      </c>
      <c r="D478" t="s">
        <v>871</v>
      </c>
      <c r="E478" s="465">
        <v>46210</v>
      </c>
      <c r="F478" s="465">
        <v>46210</v>
      </c>
      <c r="G478" t="s">
        <v>825</v>
      </c>
      <c r="H478" t="s">
        <v>826</v>
      </c>
      <c r="J478">
        <v>-2</v>
      </c>
      <c r="K478">
        <v>-2</v>
      </c>
      <c r="O478" t="s">
        <v>738</v>
      </c>
      <c r="P478" t="s">
        <v>860</v>
      </c>
      <c r="Q478" t="s">
        <v>463</v>
      </c>
      <c r="R478">
        <v>0</v>
      </c>
    </row>
    <row r="479" spans="1:18" x14ac:dyDescent="0.3">
      <c r="A479">
        <v>244622</v>
      </c>
      <c r="B479" t="s">
        <v>734</v>
      </c>
      <c r="C479" t="s">
        <v>824</v>
      </c>
      <c r="D479" t="s">
        <v>871</v>
      </c>
      <c r="E479" s="465">
        <v>46209</v>
      </c>
      <c r="F479" s="465">
        <v>46209</v>
      </c>
      <c r="G479" t="s">
        <v>825</v>
      </c>
      <c r="H479" t="s">
        <v>826</v>
      </c>
      <c r="J479">
        <v>-9.5</v>
      </c>
      <c r="K479">
        <v>-9.5</v>
      </c>
      <c r="O479" t="s">
        <v>738</v>
      </c>
      <c r="P479" t="s">
        <v>860</v>
      </c>
      <c r="Q479" t="s">
        <v>463</v>
      </c>
      <c r="R479">
        <v>0</v>
      </c>
    </row>
    <row r="480" spans="1:18" x14ac:dyDescent="0.3">
      <c r="A480">
        <v>243446</v>
      </c>
      <c r="B480" t="s">
        <v>734</v>
      </c>
      <c r="C480" t="s">
        <v>936</v>
      </c>
      <c r="D480" t="s">
        <v>937</v>
      </c>
      <c r="E480" s="465">
        <v>46207</v>
      </c>
      <c r="F480" s="465">
        <v>46219</v>
      </c>
      <c r="G480" t="s">
        <v>833</v>
      </c>
      <c r="H480" t="s">
        <v>348</v>
      </c>
      <c r="I480" t="s">
        <v>938</v>
      </c>
      <c r="J480">
        <v>-299.5</v>
      </c>
      <c r="K480">
        <v>-299.5</v>
      </c>
      <c r="O480" t="s">
        <v>738</v>
      </c>
      <c r="Q480" t="s">
        <v>463</v>
      </c>
      <c r="R480">
        <v>0</v>
      </c>
    </row>
    <row r="481" spans="1:18" x14ac:dyDescent="0.3">
      <c r="A481">
        <v>242879</v>
      </c>
      <c r="B481" t="s">
        <v>734</v>
      </c>
      <c r="C481" t="s">
        <v>939</v>
      </c>
      <c r="D481" t="s">
        <v>873</v>
      </c>
      <c r="E481" s="465">
        <v>46206</v>
      </c>
      <c r="F481" s="465">
        <v>46278</v>
      </c>
      <c r="G481" t="s">
        <v>833</v>
      </c>
      <c r="H481" t="s">
        <v>349</v>
      </c>
      <c r="I481" t="s">
        <v>940</v>
      </c>
      <c r="J481">
        <v>-12000</v>
      </c>
      <c r="K481">
        <v>-12000</v>
      </c>
      <c r="O481" t="s">
        <v>738</v>
      </c>
      <c r="P481" t="s">
        <v>863</v>
      </c>
      <c r="Q481" t="s">
        <v>463</v>
      </c>
      <c r="R481">
        <v>0</v>
      </c>
    </row>
    <row r="482" spans="1:18" x14ac:dyDescent="0.3">
      <c r="A482">
        <v>242817</v>
      </c>
      <c r="B482" t="s">
        <v>734</v>
      </c>
      <c r="C482" t="s">
        <v>941</v>
      </c>
      <c r="D482" t="s">
        <v>942</v>
      </c>
      <c r="E482" s="465">
        <v>46206</v>
      </c>
      <c r="F482" s="465">
        <v>46220</v>
      </c>
      <c r="G482" t="s">
        <v>295</v>
      </c>
      <c r="H482" t="s">
        <v>306</v>
      </c>
      <c r="I482" t="s">
        <v>943</v>
      </c>
      <c r="J482">
        <v>-1824</v>
      </c>
      <c r="K482">
        <v>-1824</v>
      </c>
      <c r="O482" t="s">
        <v>738</v>
      </c>
      <c r="P482" t="s">
        <v>860</v>
      </c>
      <c r="Q482" t="s">
        <v>463</v>
      </c>
      <c r="R482">
        <v>0</v>
      </c>
    </row>
    <row r="483" spans="1:18" x14ac:dyDescent="0.3">
      <c r="A483">
        <v>243032</v>
      </c>
      <c r="B483" t="s">
        <v>734</v>
      </c>
      <c r="C483" t="s">
        <v>824</v>
      </c>
      <c r="D483" t="s">
        <v>871</v>
      </c>
      <c r="E483" s="465">
        <v>46206</v>
      </c>
      <c r="F483" s="465">
        <v>46206</v>
      </c>
      <c r="G483" t="s">
        <v>825</v>
      </c>
      <c r="H483" t="s">
        <v>826</v>
      </c>
      <c r="J483">
        <v>-1.5</v>
      </c>
      <c r="K483">
        <v>-1.5</v>
      </c>
      <c r="O483" t="s">
        <v>738</v>
      </c>
      <c r="P483" t="s">
        <v>860</v>
      </c>
      <c r="Q483" t="s">
        <v>463</v>
      </c>
      <c r="R483">
        <v>0</v>
      </c>
    </row>
    <row r="484" spans="1:18" x14ac:dyDescent="0.3">
      <c r="A484">
        <v>243067</v>
      </c>
      <c r="B484" t="s">
        <v>734</v>
      </c>
      <c r="C484" t="s">
        <v>842</v>
      </c>
      <c r="D484" t="s">
        <v>944</v>
      </c>
      <c r="E484" s="465">
        <v>46206</v>
      </c>
      <c r="F484" s="465">
        <v>46244</v>
      </c>
      <c r="G484" t="s">
        <v>278</v>
      </c>
      <c r="H484" t="s">
        <v>280</v>
      </c>
      <c r="J484">
        <v>-1000</v>
      </c>
      <c r="K484">
        <v>-1000</v>
      </c>
      <c r="O484" t="s">
        <v>738</v>
      </c>
      <c r="Q484" t="s">
        <v>463</v>
      </c>
      <c r="R484">
        <v>0</v>
      </c>
    </row>
    <row r="485" spans="1:18" x14ac:dyDescent="0.3">
      <c r="A485">
        <v>242667</v>
      </c>
      <c r="B485" t="s">
        <v>734</v>
      </c>
      <c r="C485" t="s">
        <v>945</v>
      </c>
      <c r="D485" t="s">
        <v>946</v>
      </c>
      <c r="E485" s="465">
        <v>46206</v>
      </c>
      <c r="F485" s="465">
        <v>46220</v>
      </c>
      <c r="G485" t="s">
        <v>833</v>
      </c>
      <c r="H485" t="s">
        <v>351</v>
      </c>
      <c r="I485" t="s">
        <v>947</v>
      </c>
      <c r="J485">
        <v>-13200</v>
      </c>
      <c r="K485">
        <v>-13200</v>
      </c>
      <c r="O485" t="s">
        <v>738</v>
      </c>
      <c r="P485" t="s">
        <v>863</v>
      </c>
      <c r="Q485" t="s">
        <v>463</v>
      </c>
      <c r="R485">
        <v>0</v>
      </c>
    </row>
    <row r="486" spans="1:18" x14ac:dyDescent="0.3">
      <c r="A486">
        <v>248555</v>
      </c>
      <c r="B486" t="s">
        <v>734</v>
      </c>
      <c r="C486" t="s">
        <v>941</v>
      </c>
      <c r="D486" t="s">
        <v>942</v>
      </c>
      <c r="E486" s="465">
        <v>46206</v>
      </c>
      <c r="F486" s="465">
        <v>46223</v>
      </c>
      <c r="G486" t="s">
        <v>295</v>
      </c>
      <c r="H486" t="s">
        <v>303</v>
      </c>
      <c r="J486">
        <v>-1824</v>
      </c>
      <c r="K486">
        <v>-1824</v>
      </c>
      <c r="O486" t="s">
        <v>738</v>
      </c>
      <c r="P486" t="s">
        <v>863</v>
      </c>
      <c r="Q486" t="s">
        <v>463</v>
      </c>
      <c r="R486">
        <v>0</v>
      </c>
    </row>
    <row r="487" spans="1:18" x14ac:dyDescent="0.3">
      <c r="A487">
        <v>243922</v>
      </c>
      <c r="B487" t="s">
        <v>734</v>
      </c>
      <c r="C487" t="s">
        <v>948</v>
      </c>
      <c r="D487" t="s">
        <v>949</v>
      </c>
      <c r="E487" s="465">
        <v>46205</v>
      </c>
      <c r="F487" s="465">
        <v>46211</v>
      </c>
      <c r="G487" t="s">
        <v>833</v>
      </c>
      <c r="H487" t="s">
        <v>348</v>
      </c>
      <c r="I487" t="s">
        <v>950</v>
      </c>
      <c r="J487">
        <v>-6085</v>
      </c>
      <c r="K487">
        <v>-6085</v>
      </c>
      <c r="O487" t="s">
        <v>738</v>
      </c>
      <c r="P487" t="s">
        <v>860</v>
      </c>
      <c r="Q487" t="s">
        <v>463</v>
      </c>
      <c r="R487">
        <v>0</v>
      </c>
    </row>
    <row r="488" spans="1:18" x14ac:dyDescent="0.3">
      <c r="A488">
        <v>248551</v>
      </c>
      <c r="B488" t="s">
        <v>734</v>
      </c>
      <c r="C488" t="s">
        <v>941</v>
      </c>
      <c r="D488" t="s">
        <v>951</v>
      </c>
      <c r="E488" s="465">
        <v>46205</v>
      </c>
      <c r="F488" s="465">
        <v>46221</v>
      </c>
      <c r="G488" t="s">
        <v>295</v>
      </c>
      <c r="H488" t="s">
        <v>303</v>
      </c>
      <c r="J488">
        <v>-1295</v>
      </c>
      <c r="K488">
        <v>-1295</v>
      </c>
      <c r="O488" t="s">
        <v>738</v>
      </c>
      <c r="P488" t="s">
        <v>863</v>
      </c>
      <c r="Q488" t="s">
        <v>463</v>
      </c>
      <c r="R488">
        <v>0</v>
      </c>
    </row>
    <row r="489" spans="1:18" x14ac:dyDescent="0.3">
      <c r="A489">
        <v>249142</v>
      </c>
      <c r="B489" t="s">
        <v>734</v>
      </c>
      <c r="C489" t="s">
        <v>952</v>
      </c>
      <c r="E489" s="465">
        <v>46204</v>
      </c>
      <c r="F489" s="465">
        <v>46223</v>
      </c>
      <c r="G489" t="s">
        <v>787</v>
      </c>
      <c r="H489" t="s">
        <v>788</v>
      </c>
      <c r="J489">
        <v>-828</v>
      </c>
      <c r="K489">
        <v>-828</v>
      </c>
      <c r="O489" t="s">
        <v>738</v>
      </c>
      <c r="P489" t="s">
        <v>863</v>
      </c>
      <c r="Q489" t="s">
        <v>463</v>
      </c>
      <c r="R489">
        <v>0</v>
      </c>
    </row>
    <row r="490" spans="1:18" x14ac:dyDescent="0.3">
      <c r="A490">
        <v>248679</v>
      </c>
      <c r="B490" t="s">
        <v>734</v>
      </c>
      <c r="C490" t="s">
        <v>953</v>
      </c>
      <c r="D490" t="s">
        <v>775</v>
      </c>
      <c r="E490" s="465">
        <v>46204</v>
      </c>
      <c r="F490" s="465">
        <v>46231</v>
      </c>
      <c r="G490" t="s">
        <v>784</v>
      </c>
      <c r="H490" t="s">
        <v>238</v>
      </c>
      <c r="I490" t="s">
        <v>954</v>
      </c>
      <c r="J490">
        <v>-600</v>
      </c>
      <c r="K490">
        <v>-600</v>
      </c>
      <c r="O490" t="s">
        <v>742</v>
      </c>
      <c r="Q490" t="s">
        <v>463</v>
      </c>
      <c r="R490">
        <v>0</v>
      </c>
    </row>
    <row r="491" spans="1:18" x14ac:dyDescent="0.3">
      <c r="A491">
        <v>249141</v>
      </c>
      <c r="B491" t="s">
        <v>734</v>
      </c>
      <c r="C491" t="s">
        <v>955</v>
      </c>
      <c r="E491" s="465">
        <v>46204</v>
      </c>
      <c r="F491" s="465">
        <v>46223</v>
      </c>
      <c r="G491" t="s">
        <v>787</v>
      </c>
      <c r="H491" t="s">
        <v>788</v>
      </c>
      <c r="J491">
        <v>-721.6</v>
      </c>
      <c r="K491">
        <v>-721.6</v>
      </c>
      <c r="O491" t="s">
        <v>738</v>
      </c>
      <c r="P491" t="s">
        <v>863</v>
      </c>
      <c r="Q491" t="s">
        <v>463</v>
      </c>
      <c r="R491">
        <v>0</v>
      </c>
    </row>
    <row r="492" spans="1:18" x14ac:dyDescent="0.3">
      <c r="A492">
        <v>249152</v>
      </c>
      <c r="B492" t="s">
        <v>734</v>
      </c>
      <c r="C492" t="s">
        <v>956</v>
      </c>
      <c r="E492" s="465">
        <v>46204</v>
      </c>
      <c r="F492" s="465">
        <v>46223</v>
      </c>
      <c r="G492" t="s">
        <v>787</v>
      </c>
      <c r="H492" t="s">
        <v>788</v>
      </c>
      <c r="J492">
        <v>-828</v>
      </c>
      <c r="K492">
        <v>-828</v>
      </c>
      <c r="O492" t="s">
        <v>738</v>
      </c>
      <c r="P492" t="s">
        <v>863</v>
      </c>
      <c r="Q492" t="s">
        <v>463</v>
      </c>
      <c r="R492">
        <v>0</v>
      </c>
    </row>
    <row r="493" spans="1:18" x14ac:dyDescent="0.3">
      <c r="A493">
        <v>249140</v>
      </c>
      <c r="B493" t="s">
        <v>734</v>
      </c>
      <c r="C493" t="s">
        <v>957</v>
      </c>
      <c r="E493" s="465">
        <v>46204</v>
      </c>
      <c r="F493" s="465">
        <v>46223</v>
      </c>
      <c r="G493" t="s">
        <v>787</v>
      </c>
      <c r="H493" t="s">
        <v>788</v>
      </c>
      <c r="J493">
        <v>-828</v>
      </c>
      <c r="K493">
        <v>-828</v>
      </c>
      <c r="O493" t="s">
        <v>738</v>
      </c>
      <c r="P493" t="s">
        <v>863</v>
      </c>
      <c r="Q493" t="s">
        <v>463</v>
      </c>
      <c r="R493">
        <v>0</v>
      </c>
    </row>
    <row r="494" spans="1:18" x14ac:dyDescent="0.3">
      <c r="A494">
        <v>249010</v>
      </c>
      <c r="B494" t="s">
        <v>734</v>
      </c>
      <c r="C494" t="s">
        <v>958</v>
      </c>
      <c r="D494" t="s">
        <v>959</v>
      </c>
      <c r="E494" s="465">
        <v>46204</v>
      </c>
      <c r="F494" s="465">
        <v>46226</v>
      </c>
      <c r="G494" t="s">
        <v>903</v>
      </c>
      <c r="H494" t="s">
        <v>291</v>
      </c>
      <c r="I494" t="s">
        <v>960</v>
      </c>
      <c r="J494">
        <v>-5798.59</v>
      </c>
      <c r="K494">
        <v>-5798.59</v>
      </c>
      <c r="O494" t="s">
        <v>742</v>
      </c>
      <c r="Q494" t="s">
        <v>463</v>
      </c>
      <c r="R494">
        <v>0</v>
      </c>
    </row>
    <row r="495" spans="1:18" x14ac:dyDescent="0.3">
      <c r="A495">
        <v>249143</v>
      </c>
      <c r="B495" t="s">
        <v>734</v>
      </c>
      <c r="C495" t="s">
        <v>961</v>
      </c>
      <c r="E495" s="465">
        <v>46204</v>
      </c>
      <c r="F495" s="465">
        <v>46223</v>
      </c>
      <c r="G495" t="s">
        <v>787</v>
      </c>
      <c r="H495" t="s">
        <v>788</v>
      </c>
      <c r="J495">
        <v>-721.6</v>
      </c>
      <c r="K495">
        <v>-721.6</v>
      </c>
      <c r="O495" t="s">
        <v>738</v>
      </c>
      <c r="P495" t="s">
        <v>863</v>
      </c>
      <c r="Q495" t="s">
        <v>463</v>
      </c>
      <c r="R495">
        <v>0</v>
      </c>
    </row>
    <row r="496" spans="1:18" x14ac:dyDescent="0.3">
      <c r="A496">
        <v>249139</v>
      </c>
      <c r="B496" t="s">
        <v>734</v>
      </c>
      <c r="C496" t="s">
        <v>962</v>
      </c>
      <c r="E496" s="465">
        <v>46204</v>
      </c>
      <c r="F496" s="465">
        <v>46223</v>
      </c>
      <c r="G496" t="s">
        <v>787</v>
      </c>
      <c r="H496" t="s">
        <v>788</v>
      </c>
      <c r="J496">
        <v>-721.6</v>
      </c>
      <c r="K496">
        <v>-721.6</v>
      </c>
      <c r="O496" t="s">
        <v>738</v>
      </c>
      <c r="P496" t="s">
        <v>863</v>
      </c>
      <c r="Q496" t="s">
        <v>463</v>
      </c>
      <c r="R496">
        <v>0</v>
      </c>
    </row>
    <row r="497" spans="1:18" x14ac:dyDescent="0.3">
      <c r="A497">
        <v>188674</v>
      </c>
      <c r="B497" t="s">
        <v>734</v>
      </c>
      <c r="C497" t="s">
        <v>963</v>
      </c>
      <c r="D497" t="s">
        <v>964</v>
      </c>
      <c r="E497" s="465">
        <v>46204</v>
      </c>
      <c r="F497" s="465">
        <v>46220</v>
      </c>
      <c r="G497" t="s">
        <v>833</v>
      </c>
      <c r="H497" t="s">
        <v>349</v>
      </c>
      <c r="I497" t="s">
        <v>965</v>
      </c>
      <c r="J497">
        <v>-17045</v>
      </c>
      <c r="K497">
        <v>-17045</v>
      </c>
      <c r="O497" t="s">
        <v>738</v>
      </c>
      <c r="Q497" t="s">
        <v>463</v>
      </c>
      <c r="R497">
        <v>0</v>
      </c>
    </row>
    <row r="498" spans="1:18" x14ac:dyDescent="0.3">
      <c r="A498">
        <v>248746</v>
      </c>
      <c r="B498" t="s">
        <v>734</v>
      </c>
      <c r="C498" t="s">
        <v>966</v>
      </c>
      <c r="D498" t="s">
        <v>967</v>
      </c>
      <c r="E498" s="465">
        <v>46204</v>
      </c>
      <c r="F498" s="465">
        <v>46220</v>
      </c>
      <c r="G498" t="s">
        <v>784</v>
      </c>
      <c r="H498" t="s">
        <v>238</v>
      </c>
      <c r="I498" t="s">
        <v>968</v>
      </c>
      <c r="J498">
        <v>-280.8</v>
      </c>
      <c r="K498">
        <v>-280.8</v>
      </c>
      <c r="O498" t="s">
        <v>738</v>
      </c>
      <c r="P498" t="s">
        <v>863</v>
      </c>
      <c r="Q498" t="s">
        <v>463</v>
      </c>
      <c r="R498">
        <v>0</v>
      </c>
    </row>
    <row r="499" spans="1:18" x14ac:dyDescent="0.3">
      <c r="A499">
        <v>248745</v>
      </c>
      <c r="B499" t="s">
        <v>734</v>
      </c>
      <c r="C499" t="s">
        <v>969</v>
      </c>
      <c r="D499" t="s">
        <v>967</v>
      </c>
      <c r="E499" s="465">
        <v>46204</v>
      </c>
      <c r="F499" s="465">
        <v>46220</v>
      </c>
      <c r="G499" t="s">
        <v>784</v>
      </c>
      <c r="H499" t="s">
        <v>238</v>
      </c>
      <c r="I499" t="s">
        <v>968</v>
      </c>
      <c r="J499">
        <v>-280.8</v>
      </c>
      <c r="K499">
        <v>-280.8</v>
      </c>
      <c r="O499" t="s">
        <v>738</v>
      </c>
      <c r="P499" t="s">
        <v>863</v>
      </c>
      <c r="Q499" t="s">
        <v>463</v>
      </c>
      <c r="R499">
        <v>0</v>
      </c>
    </row>
    <row r="500" spans="1:18" x14ac:dyDescent="0.3">
      <c r="A500">
        <v>248743</v>
      </c>
      <c r="B500" t="s">
        <v>734</v>
      </c>
      <c r="C500" t="s">
        <v>970</v>
      </c>
      <c r="D500" t="s">
        <v>971</v>
      </c>
      <c r="E500" s="465">
        <v>46204</v>
      </c>
      <c r="F500" s="465">
        <v>46230</v>
      </c>
      <c r="G500" t="s">
        <v>833</v>
      </c>
      <c r="H500" t="s">
        <v>349</v>
      </c>
      <c r="I500" t="s">
        <v>972</v>
      </c>
      <c r="J500">
        <v>-10306.52</v>
      </c>
      <c r="K500">
        <v>-10306.52</v>
      </c>
      <c r="O500" t="s">
        <v>742</v>
      </c>
      <c r="Q500" t="s">
        <v>463</v>
      </c>
      <c r="R500">
        <v>0</v>
      </c>
    </row>
    <row r="501" spans="1:18" x14ac:dyDescent="0.3">
      <c r="A501">
        <v>249150</v>
      </c>
      <c r="B501" t="s">
        <v>734</v>
      </c>
      <c r="C501" t="s">
        <v>973</v>
      </c>
      <c r="E501" s="465">
        <v>46204</v>
      </c>
      <c r="F501" s="465">
        <v>46223</v>
      </c>
      <c r="G501" t="s">
        <v>787</v>
      </c>
      <c r="H501" t="s">
        <v>788</v>
      </c>
      <c r="J501">
        <v>-721.6</v>
      </c>
      <c r="K501">
        <v>-721.6</v>
      </c>
      <c r="O501" t="s">
        <v>738</v>
      </c>
      <c r="P501" t="s">
        <v>863</v>
      </c>
      <c r="Q501" t="s">
        <v>463</v>
      </c>
      <c r="R501">
        <v>0</v>
      </c>
    </row>
    <row r="502" spans="1:18" x14ac:dyDescent="0.3">
      <c r="A502">
        <v>249149</v>
      </c>
      <c r="B502" t="s">
        <v>734</v>
      </c>
      <c r="C502" t="s">
        <v>974</v>
      </c>
      <c r="E502" s="465">
        <v>46204</v>
      </c>
      <c r="F502" s="465">
        <v>46223</v>
      </c>
      <c r="G502" t="s">
        <v>787</v>
      </c>
      <c r="H502" t="s">
        <v>788</v>
      </c>
      <c r="J502">
        <v>-828</v>
      </c>
      <c r="K502">
        <v>-828</v>
      </c>
      <c r="O502" t="s">
        <v>738</v>
      </c>
      <c r="P502" t="s">
        <v>863</v>
      </c>
      <c r="Q502" t="s">
        <v>463</v>
      </c>
      <c r="R502">
        <v>0</v>
      </c>
    </row>
    <row r="503" spans="1:18" x14ac:dyDescent="0.3">
      <c r="A503">
        <v>248685</v>
      </c>
      <c r="B503" t="s">
        <v>734</v>
      </c>
      <c r="C503" t="s">
        <v>975</v>
      </c>
      <c r="D503" t="s">
        <v>775</v>
      </c>
      <c r="E503" s="465">
        <v>46204</v>
      </c>
      <c r="F503" s="465">
        <v>46231</v>
      </c>
      <c r="G503" t="s">
        <v>784</v>
      </c>
      <c r="H503" t="s">
        <v>238</v>
      </c>
      <c r="I503" t="s">
        <v>954</v>
      </c>
      <c r="J503">
        <v>-600</v>
      </c>
      <c r="K503">
        <v>-600</v>
      </c>
      <c r="O503" t="s">
        <v>742</v>
      </c>
      <c r="Q503" t="s">
        <v>463</v>
      </c>
      <c r="R503">
        <v>0</v>
      </c>
    </row>
    <row r="504" spans="1:18" x14ac:dyDescent="0.3">
      <c r="A504">
        <v>249148</v>
      </c>
      <c r="B504" t="s">
        <v>734</v>
      </c>
      <c r="C504" t="s">
        <v>976</v>
      </c>
      <c r="E504" s="465">
        <v>46204</v>
      </c>
      <c r="F504" s="465">
        <v>46223</v>
      </c>
      <c r="G504" t="s">
        <v>787</v>
      </c>
      <c r="H504" t="s">
        <v>788</v>
      </c>
      <c r="J504">
        <v>-721.6</v>
      </c>
      <c r="K504">
        <v>-721.6</v>
      </c>
      <c r="O504" t="s">
        <v>738</v>
      </c>
      <c r="P504" t="s">
        <v>863</v>
      </c>
      <c r="Q504" t="s">
        <v>463</v>
      </c>
      <c r="R504">
        <v>0</v>
      </c>
    </row>
    <row r="505" spans="1:18" x14ac:dyDescent="0.3">
      <c r="A505">
        <v>249151</v>
      </c>
      <c r="B505" t="s">
        <v>734</v>
      </c>
      <c r="C505" t="s">
        <v>977</v>
      </c>
      <c r="E505" s="465">
        <v>46204</v>
      </c>
      <c r="F505" s="465">
        <v>46223</v>
      </c>
      <c r="G505" t="s">
        <v>787</v>
      </c>
      <c r="H505" t="s">
        <v>788</v>
      </c>
      <c r="J505">
        <v>-828</v>
      </c>
      <c r="K505">
        <v>-828</v>
      </c>
      <c r="O505" t="s">
        <v>738</v>
      </c>
      <c r="P505" t="s">
        <v>863</v>
      </c>
      <c r="Q505" t="s">
        <v>463</v>
      </c>
      <c r="R505">
        <v>0</v>
      </c>
    </row>
    <row r="506" spans="1:18" x14ac:dyDescent="0.3">
      <c r="A506">
        <v>237226</v>
      </c>
      <c r="B506" t="s">
        <v>734</v>
      </c>
      <c r="C506" t="s">
        <v>806</v>
      </c>
      <c r="D506" t="s">
        <v>978</v>
      </c>
      <c r="E506" s="465">
        <v>46204</v>
      </c>
      <c r="F506" s="465">
        <v>46225</v>
      </c>
      <c r="G506" t="s">
        <v>784</v>
      </c>
      <c r="H506" t="s">
        <v>246</v>
      </c>
      <c r="I506" t="s">
        <v>807</v>
      </c>
      <c r="J506">
        <v>-3137.8</v>
      </c>
      <c r="K506">
        <v>-3137.8</v>
      </c>
      <c r="O506" t="s">
        <v>738</v>
      </c>
      <c r="P506" t="s">
        <v>927</v>
      </c>
      <c r="Q506" t="s">
        <v>463</v>
      </c>
      <c r="R506">
        <v>0</v>
      </c>
    </row>
    <row r="507" spans="1:18" x14ac:dyDescent="0.3">
      <c r="A507">
        <v>196105</v>
      </c>
      <c r="B507" t="s">
        <v>734</v>
      </c>
      <c r="C507" t="s">
        <v>783</v>
      </c>
      <c r="D507" t="s">
        <v>979</v>
      </c>
      <c r="E507" s="465">
        <v>46204</v>
      </c>
      <c r="F507" s="465">
        <v>46202</v>
      </c>
      <c r="G507" t="s">
        <v>784</v>
      </c>
      <c r="H507" t="s">
        <v>238</v>
      </c>
      <c r="I507" t="s">
        <v>980</v>
      </c>
      <c r="J507">
        <v>-242.68</v>
      </c>
      <c r="K507">
        <v>-242.68</v>
      </c>
      <c r="O507" t="s">
        <v>738</v>
      </c>
      <c r="P507" t="s">
        <v>860</v>
      </c>
      <c r="Q507" t="s">
        <v>463</v>
      </c>
      <c r="R507">
        <v>0</v>
      </c>
    </row>
    <row r="508" spans="1:18" x14ac:dyDescent="0.3">
      <c r="A508">
        <v>233292</v>
      </c>
      <c r="B508" t="s">
        <v>734</v>
      </c>
      <c r="C508" t="s">
        <v>783</v>
      </c>
      <c r="D508" t="s">
        <v>981</v>
      </c>
      <c r="E508" s="465">
        <v>46204</v>
      </c>
      <c r="F508" s="465">
        <v>46198</v>
      </c>
      <c r="G508" t="s">
        <v>784</v>
      </c>
      <c r="H508" t="s">
        <v>238</v>
      </c>
      <c r="I508" t="s">
        <v>803</v>
      </c>
      <c r="J508">
        <v>-3614.98</v>
      </c>
      <c r="K508">
        <v>-3614.98</v>
      </c>
      <c r="O508" t="s">
        <v>738</v>
      </c>
      <c r="P508" t="s">
        <v>860</v>
      </c>
      <c r="Q508" t="s">
        <v>463</v>
      </c>
      <c r="R508">
        <v>0</v>
      </c>
    </row>
    <row r="509" spans="1:18" x14ac:dyDescent="0.3">
      <c r="A509">
        <v>249144</v>
      </c>
      <c r="B509" t="s">
        <v>734</v>
      </c>
      <c r="C509" t="s">
        <v>982</v>
      </c>
      <c r="E509" s="465">
        <v>46204</v>
      </c>
      <c r="F509" s="465">
        <v>46223</v>
      </c>
      <c r="G509" t="s">
        <v>787</v>
      </c>
      <c r="H509" t="s">
        <v>788</v>
      </c>
      <c r="J509">
        <v>-1148.8</v>
      </c>
      <c r="K509">
        <v>-1148.8</v>
      </c>
      <c r="O509" t="s">
        <v>738</v>
      </c>
      <c r="P509" t="s">
        <v>863</v>
      </c>
      <c r="Q509" t="s">
        <v>463</v>
      </c>
      <c r="R509">
        <v>0</v>
      </c>
    </row>
    <row r="510" spans="1:18" x14ac:dyDescent="0.3">
      <c r="A510">
        <v>249147</v>
      </c>
      <c r="B510" t="s">
        <v>734</v>
      </c>
      <c r="C510" t="s">
        <v>983</v>
      </c>
      <c r="E510" s="465">
        <v>46204</v>
      </c>
      <c r="F510" s="465">
        <v>46223</v>
      </c>
      <c r="G510" t="s">
        <v>787</v>
      </c>
      <c r="H510" t="s">
        <v>788</v>
      </c>
      <c r="J510">
        <v>-828</v>
      </c>
      <c r="K510">
        <v>-828</v>
      </c>
      <c r="O510" t="s">
        <v>738</v>
      </c>
      <c r="P510" t="s">
        <v>863</v>
      </c>
      <c r="Q510" t="s">
        <v>463</v>
      </c>
      <c r="R510">
        <v>0</v>
      </c>
    </row>
    <row r="511" spans="1:18" x14ac:dyDescent="0.3">
      <c r="A511">
        <v>248684</v>
      </c>
      <c r="B511" t="s">
        <v>734</v>
      </c>
      <c r="C511" t="s">
        <v>984</v>
      </c>
      <c r="D511" t="s">
        <v>775</v>
      </c>
      <c r="E511" s="465">
        <v>46204</v>
      </c>
      <c r="F511" s="465">
        <v>46231</v>
      </c>
      <c r="G511" t="s">
        <v>784</v>
      </c>
      <c r="H511" t="s">
        <v>238</v>
      </c>
      <c r="I511" t="s">
        <v>954</v>
      </c>
      <c r="J511">
        <v>-600</v>
      </c>
      <c r="K511">
        <v>-600</v>
      </c>
      <c r="O511" t="s">
        <v>742</v>
      </c>
      <c r="Q511" t="s">
        <v>463</v>
      </c>
      <c r="R511">
        <v>0</v>
      </c>
    </row>
    <row r="512" spans="1:18" x14ac:dyDescent="0.3">
      <c r="A512">
        <v>233308</v>
      </c>
      <c r="B512" t="s">
        <v>734</v>
      </c>
      <c r="C512" t="s">
        <v>783</v>
      </c>
      <c r="D512" t="s">
        <v>985</v>
      </c>
      <c r="E512" s="465">
        <v>46204</v>
      </c>
      <c r="F512" s="465">
        <v>46202</v>
      </c>
      <c r="G512" t="s">
        <v>784</v>
      </c>
      <c r="H512" t="s">
        <v>238</v>
      </c>
      <c r="I512" t="s">
        <v>800</v>
      </c>
      <c r="J512">
        <v>-15666.22</v>
      </c>
      <c r="K512">
        <v>-15666.22</v>
      </c>
      <c r="O512" t="s">
        <v>738</v>
      </c>
      <c r="P512" t="s">
        <v>860</v>
      </c>
      <c r="Q512" t="s">
        <v>463</v>
      </c>
      <c r="R512">
        <v>0</v>
      </c>
    </row>
    <row r="513" spans="1:18" x14ac:dyDescent="0.3">
      <c r="A513">
        <v>232250</v>
      </c>
      <c r="B513" t="s">
        <v>734</v>
      </c>
      <c r="C513" t="s">
        <v>816</v>
      </c>
      <c r="D513" t="s">
        <v>775</v>
      </c>
      <c r="E513" s="465">
        <v>46204</v>
      </c>
      <c r="F513" s="465">
        <v>46235</v>
      </c>
      <c r="G513" t="s">
        <v>792</v>
      </c>
      <c r="H513" t="s">
        <v>793</v>
      </c>
      <c r="I513" t="s">
        <v>817</v>
      </c>
      <c r="J513">
        <v>-2000</v>
      </c>
      <c r="K513">
        <v>-2000</v>
      </c>
      <c r="O513" t="s">
        <v>742</v>
      </c>
      <c r="Q513" t="s">
        <v>463</v>
      </c>
      <c r="R513">
        <v>0</v>
      </c>
    </row>
    <row r="514" spans="1:18" x14ac:dyDescent="0.3">
      <c r="A514">
        <v>248680</v>
      </c>
      <c r="B514" t="s">
        <v>734</v>
      </c>
      <c r="C514" t="s">
        <v>986</v>
      </c>
      <c r="D514" t="s">
        <v>775</v>
      </c>
      <c r="E514" s="465">
        <v>46204</v>
      </c>
      <c r="F514" s="465">
        <v>46231</v>
      </c>
      <c r="G514" t="s">
        <v>784</v>
      </c>
      <c r="H514" t="s">
        <v>238</v>
      </c>
      <c r="I514" t="s">
        <v>954</v>
      </c>
      <c r="J514">
        <v>-600</v>
      </c>
      <c r="K514">
        <v>-600</v>
      </c>
      <c r="O514" t="s">
        <v>742</v>
      </c>
      <c r="Q514" t="s">
        <v>463</v>
      </c>
      <c r="R514">
        <v>0</v>
      </c>
    </row>
    <row r="515" spans="1:18" x14ac:dyDescent="0.3">
      <c r="A515">
        <v>232262</v>
      </c>
      <c r="B515" t="s">
        <v>734</v>
      </c>
      <c r="C515" t="s">
        <v>816</v>
      </c>
      <c r="D515" t="s">
        <v>775</v>
      </c>
      <c r="E515" s="465">
        <v>46204</v>
      </c>
      <c r="F515" s="465">
        <v>46249</v>
      </c>
      <c r="G515" t="s">
        <v>792</v>
      </c>
      <c r="H515" t="s">
        <v>793</v>
      </c>
      <c r="I515" t="s">
        <v>817</v>
      </c>
      <c r="J515">
        <v>-2000</v>
      </c>
      <c r="K515">
        <v>-2000</v>
      </c>
      <c r="O515" t="s">
        <v>742</v>
      </c>
      <c r="Q515" t="s">
        <v>463</v>
      </c>
      <c r="R515">
        <v>0</v>
      </c>
    </row>
    <row r="516" spans="1:18" x14ac:dyDescent="0.3">
      <c r="A516">
        <v>249146</v>
      </c>
      <c r="B516" t="s">
        <v>734</v>
      </c>
      <c r="C516" t="s">
        <v>987</v>
      </c>
      <c r="E516" s="465">
        <v>46204</v>
      </c>
      <c r="F516" s="465">
        <v>46223</v>
      </c>
      <c r="G516" t="s">
        <v>787</v>
      </c>
      <c r="H516" t="s">
        <v>788</v>
      </c>
      <c r="J516">
        <v>-828</v>
      </c>
      <c r="K516">
        <v>-828</v>
      </c>
      <c r="O516" t="s">
        <v>738</v>
      </c>
      <c r="P516" t="s">
        <v>863</v>
      </c>
      <c r="Q516" t="s">
        <v>463</v>
      </c>
      <c r="R516">
        <v>0</v>
      </c>
    </row>
    <row r="517" spans="1:18" x14ac:dyDescent="0.3">
      <c r="A517">
        <v>249137</v>
      </c>
      <c r="B517" t="s">
        <v>734</v>
      </c>
      <c r="C517" t="s">
        <v>988</v>
      </c>
      <c r="E517" s="465">
        <v>46204</v>
      </c>
      <c r="F517" s="465">
        <v>46223</v>
      </c>
      <c r="G517" t="s">
        <v>787</v>
      </c>
      <c r="H517" t="s">
        <v>788</v>
      </c>
      <c r="J517">
        <v>-1027.57</v>
      </c>
      <c r="K517">
        <v>-1027.57</v>
      </c>
      <c r="O517" t="s">
        <v>738</v>
      </c>
      <c r="P517" t="s">
        <v>863</v>
      </c>
      <c r="Q517" t="s">
        <v>463</v>
      </c>
      <c r="R517">
        <v>0</v>
      </c>
    </row>
    <row r="518" spans="1:18" x14ac:dyDescent="0.3">
      <c r="A518">
        <v>249138</v>
      </c>
      <c r="B518" t="s">
        <v>734</v>
      </c>
      <c r="C518" t="s">
        <v>989</v>
      </c>
      <c r="E518" s="465">
        <v>46204</v>
      </c>
      <c r="F518" s="465">
        <v>46223</v>
      </c>
      <c r="G518" t="s">
        <v>787</v>
      </c>
      <c r="H518" t="s">
        <v>788</v>
      </c>
      <c r="J518">
        <v>-828</v>
      </c>
      <c r="K518">
        <v>-828</v>
      </c>
      <c r="O518" t="s">
        <v>738</v>
      </c>
      <c r="P518" t="s">
        <v>863</v>
      </c>
      <c r="Q518" t="s">
        <v>463</v>
      </c>
      <c r="R518">
        <v>0</v>
      </c>
    </row>
    <row r="519" spans="1:18" x14ac:dyDescent="0.3">
      <c r="A519">
        <v>249145</v>
      </c>
      <c r="B519" t="s">
        <v>734</v>
      </c>
      <c r="C519" t="s">
        <v>990</v>
      </c>
      <c r="E519" s="465">
        <v>46204</v>
      </c>
      <c r="F519" s="465">
        <v>46223</v>
      </c>
      <c r="G519" t="s">
        <v>787</v>
      </c>
      <c r="H519" t="s">
        <v>788</v>
      </c>
      <c r="J519">
        <v>-828</v>
      </c>
      <c r="K519">
        <v>-828</v>
      </c>
      <c r="O519" t="s">
        <v>738</v>
      </c>
      <c r="P519" t="s">
        <v>863</v>
      </c>
      <c r="Q519" t="s">
        <v>463</v>
      </c>
      <c r="R519">
        <v>0</v>
      </c>
    </row>
    <row r="520" spans="1:18" x14ac:dyDescent="0.3">
      <c r="A520">
        <v>249162</v>
      </c>
      <c r="B520" t="s">
        <v>734</v>
      </c>
      <c r="C520" t="s">
        <v>991</v>
      </c>
      <c r="E520" s="465">
        <v>46204</v>
      </c>
      <c r="F520" s="465">
        <v>46223</v>
      </c>
      <c r="G520" t="s">
        <v>787</v>
      </c>
      <c r="H520" t="s">
        <v>788</v>
      </c>
      <c r="J520">
        <v>-828</v>
      </c>
      <c r="K520">
        <v>-828</v>
      </c>
      <c r="O520" t="s">
        <v>738</v>
      </c>
      <c r="P520" t="s">
        <v>863</v>
      </c>
      <c r="Q520" t="s">
        <v>463</v>
      </c>
      <c r="R520">
        <v>0</v>
      </c>
    </row>
    <row r="521" spans="1:18" x14ac:dyDescent="0.3">
      <c r="A521">
        <v>242133</v>
      </c>
      <c r="B521" t="s">
        <v>734</v>
      </c>
      <c r="C521" t="s">
        <v>987</v>
      </c>
      <c r="D521" t="s">
        <v>992</v>
      </c>
      <c r="E521" s="465">
        <v>46204</v>
      </c>
      <c r="F521" s="465">
        <v>46209</v>
      </c>
      <c r="G521" t="s">
        <v>784</v>
      </c>
      <c r="H521" t="s">
        <v>238</v>
      </c>
      <c r="I521" t="s">
        <v>993</v>
      </c>
      <c r="J521">
        <v>-553.12</v>
      </c>
      <c r="K521">
        <v>-553.12</v>
      </c>
      <c r="O521" t="s">
        <v>738</v>
      </c>
      <c r="P521" t="s">
        <v>860</v>
      </c>
      <c r="Q521" t="s">
        <v>463</v>
      </c>
      <c r="R521">
        <v>0</v>
      </c>
    </row>
    <row r="522" spans="1:18" x14ac:dyDescent="0.3">
      <c r="A522">
        <v>242132</v>
      </c>
      <c r="B522" t="s">
        <v>734</v>
      </c>
      <c r="C522" t="s">
        <v>786</v>
      </c>
      <c r="D522" t="s">
        <v>994</v>
      </c>
      <c r="E522" s="465">
        <v>46204</v>
      </c>
      <c r="F522" s="465">
        <v>46209</v>
      </c>
      <c r="G522" t="s">
        <v>784</v>
      </c>
      <c r="H522" t="s">
        <v>238</v>
      </c>
      <c r="I522" t="s">
        <v>993</v>
      </c>
      <c r="J522">
        <v>-588.64</v>
      </c>
      <c r="K522">
        <v>-588.64</v>
      </c>
      <c r="O522" t="s">
        <v>738</v>
      </c>
      <c r="P522" t="s">
        <v>860</v>
      </c>
      <c r="Q522" t="s">
        <v>463</v>
      </c>
      <c r="R522">
        <v>0</v>
      </c>
    </row>
    <row r="523" spans="1:18" x14ac:dyDescent="0.3">
      <c r="A523">
        <v>242131</v>
      </c>
      <c r="B523" t="s">
        <v>734</v>
      </c>
      <c r="C523" t="s">
        <v>995</v>
      </c>
      <c r="D523" t="s">
        <v>996</v>
      </c>
      <c r="E523" s="465">
        <v>46204</v>
      </c>
      <c r="F523" s="465">
        <v>46209</v>
      </c>
      <c r="G523" t="s">
        <v>784</v>
      </c>
      <c r="H523" t="s">
        <v>238</v>
      </c>
      <c r="I523" t="s">
        <v>993</v>
      </c>
      <c r="J523">
        <v>-416</v>
      </c>
      <c r="K523">
        <v>-416</v>
      </c>
      <c r="O523" t="s">
        <v>738</v>
      </c>
      <c r="P523" t="s">
        <v>860</v>
      </c>
      <c r="Q523" t="s">
        <v>463</v>
      </c>
      <c r="R523">
        <v>0</v>
      </c>
    </row>
    <row r="524" spans="1:18" x14ac:dyDescent="0.3">
      <c r="A524">
        <v>242130</v>
      </c>
      <c r="B524" t="s">
        <v>734</v>
      </c>
      <c r="C524" t="s">
        <v>997</v>
      </c>
      <c r="D524" t="s">
        <v>998</v>
      </c>
      <c r="E524" s="465">
        <v>46204</v>
      </c>
      <c r="F524" s="465">
        <v>46210</v>
      </c>
      <c r="G524" t="s">
        <v>784</v>
      </c>
      <c r="H524" t="s">
        <v>238</v>
      </c>
      <c r="I524" t="s">
        <v>999</v>
      </c>
      <c r="J524">
        <v>-556.4</v>
      </c>
      <c r="K524">
        <v>-556.4</v>
      </c>
      <c r="O524" t="s">
        <v>738</v>
      </c>
      <c r="P524" t="s">
        <v>860</v>
      </c>
      <c r="Q524" t="s">
        <v>463</v>
      </c>
      <c r="R524">
        <v>0</v>
      </c>
    </row>
    <row r="525" spans="1:18" x14ac:dyDescent="0.3">
      <c r="A525">
        <v>242129</v>
      </c>
      <c r="B525" t="s">
        <v>734</v>
      </c>
      <c r="C525" t="s">
        <v>1000</v>
      </c>
      <c r="D525" t="s">
        <v>1001</v>
      </c>
      <c r="E525" s="465">
        <v>46204</v>
      </c>
      <c r="F525" s="465">
        <v>46210</v>
      </c>
      <c r="G525" t="s">
        <v>784</v>
      </c>
      <c r="H525" t="s">
        <v>238</v>
      </c>
      <c r="I525" t="s">
        <v>993</v>
      </c>
      <c r="J525">
        <v>-837.68</v>
      </c>
      <c r="K525">
        <v>-837.68</v>
      </c>
      <c r="O525" t="s">
        <v>738</v>
      </c>
      <c r="P525" t="s">
        <v>860</v>
      </c>
      <c r="Q525" t="s">
        <v>463</v>
      </c>
      <c r="R525">
        <v>0</v>
      </c>
    </row>
    <row r="526" spans="1:18" x14ac:dyDescent="0.3">
      <c r="A526">
        <v>227287</v>
      </c>
      <c r="B526" t="s">
        <v>734</v>
      </c>
      <c r="C526" t="s">
        <v>827</v>
      </c>
      <c r="D526" t="s">
        <v>775</v>
      </c>
      <c r="E526" s="465">
        <v>46204</v>
      </c>
      <c r="F526" s="465">
        <v>46235</v>
      </c>
      <c r="G526" t="s">
        <v>792</v>
      </c>
      <c r="H526" t="s">
        <v>793</v>
      </c>
      <c r="I526" t="s">
        <v>829</v>
      </c>
      <c r="J526">
        <v>-2000</v>
      </c>
      <c r="K526">
        <v>-2000</v>
      </c>
      <c r="O526" t="s">
        <v>742</v>
      </c>
      <c r="Q526" t="s">
        <v>463</v>
      </c>
      <c r="R526">
        <v>0</v>
      </c>
    </row>
    <row r="527" spans="1:18" x14ac:dyDescent="0.3">
      <c r="A527">
        <v>249163</v>
      </c>
      <c r="B527" t="s">
        <v>734</v>
      </c>
      <c r="C527" t="s">
        <v>1002</v>
      </c>
      <c r="E527" s="465">
        <v>46204</v>
      </c>
      <c r="F527" s="465">
        <v>46223</v>
      </c>
      <c r="G527" t="s">
        <v>787</v>
      </c>
      <c r="H527" t="s">
        <v>788</v>
      </c>
      <c r="J527">
        <v>-828</v>
      </c>
      <c r="K527">
        <v>-828</v>
      </c>
      <c r="O527" t="s">
        <v>738</v>
      </c>
      <c r="P527" t="s">
        <v>863</v>
      </c>
      <c r="Q527" t="s">
        <v>463</v>
      </c>
      <c r="R527">
        <v>0</v>
      </c>
    </row>
    <row r="528" spans="1:18" x14ac:dyDescent="0.3">
      <c r="A528">
        <v>227299</v>
      </c>
      <c r="B528" t="s">
        <v>734</v>
      </c>
      <c r="C528" t="s">
        <v>827</v>
      </c>
      <c r="D528" t="s">
        <v>775</v>
      </c>
      <c r="E528" s="465">
        <v>46204</v>
      </c>
      <c r="F528" s="465">
        <v>46249</v>
      </c>
      <c r="G528" t="s">
        <v>792</v>
      </c>
      <c r="H528" t="s">
        <v>793</v>
      </c>
      <c r="I528" t="s">
        <v>828</v>
      </c>
      <c r="J528">
        <v>-2000</v>
      </c>
      <c r="K528">
        <v>-2000</v>
      </c>
      <c r="O528" t="s">
        <v>742</v>
      </c>
      <c r="Q528" t="s">
        <v>463</v>
      </c>
      <c r="R528">
        <v>0</v>
      </c>
    </row>
    <row r="529" spans="1:18" x14ac:dyDescent="0.3">
      <c r="A529">
        <v>242289</v>
      </c>
      <c r="B529" t="s">
        <v>734</v>
      </c>
      <c r="C529" t="s">
        <v>1003</v>
      </c>
      <c r="D529" t="s">
        <v>1004</v>
      </c>
      <c r="E529" s="465">
        <v>46204</v>
      </c>
      <c r="F529" s="465">
        <v>46206</v>
      </c>
      <c r="G529" t="s">
        <v>833</v>
      </c>
      <c r="H529" t="s">
        <v>351</v>
      </c>
      <c r="I529" t="s">
        <v>1005</v>
      </c>
      <c r="J529">
        <v>-4028.85</v>
      </c>
      <c r="K529">
        <v>-4028.85</v>
      </c>
      <c r="O529" t="s">
        <v>738</v>
      </c>
      <c r="P529" t="s">
        <v>860</v>
      </c>
      <c r="Q529" t="s">
        <v>463</v>
      </c>
      <c r="R529">
        <v>0</v>
      </c>
    </row>
    <row r="530" spans="1:18" x14ac:dyDescent="0.3">
      <c r="A530">
        <v>249161</v>
      </c>
      <c r="B530" t="s">
        <v>734</v>
      </c>
      <c r="C530" t="s">
        <v>1006</v>
      </c>
      <c r="E530" s="465">
        <v>46204</v>
      </c>
      <c r="F530" s="465">
        <v>46223</v>
      </c>
      <c r="G530" t="s">
        <v>787</v>
      </c>
      <c r="H530" t="s">
        <v>788</v>
      </c>
      <c r="J530">
        <v>-828</v>
      </c>
      <c r="K530">
        <v>-828</v>
      </c>
      <c r="O530" t="s">
        <v>738</v>
      </c>
      <c r="P530" t="s">
        <v>863</v>
      </c>
      <c r="Q530" t="s">
        <v>463</v>
      </c>
      <c r="R530">
        <v>0</v>
      </c>
    </row>
    <row r="531" spans="1:18" x14ac:dyDescent="0.3">
      <c r="A531">
        <v>249160</v>
      </c>
      <c r="B531" t="s">
        <v>734</v>
      </c>
      <c r="C531" t="s">
        <v>1007</v>
      </c>
      <c r="E531" s="465">
        <v>46204</v>
      </c>
      <c r="F531" s="465">
        <v>46223</v>
      </c>
      <c r="G531" t="s">
        <v>787</v>
      </c>
      <c r="H531" t="s">
        <v>788</v>
      </c>
      <c r="J531">
        <v>-828</v>
      </c>
      <c r="K531">
        <v>-828</v>
      </c>
      <c r="O531" t="s">
        <v>738</v>
      </c>
      <c r="P531" t="s">
        <v>863</v>
      </c>
      <c r="Q531" t="s">
        <v>463</v>
      </c>
      <c r="R531">
        <v>0</v>
      </c>
    </row>
    <row r="532" spans="1:18" x14ac:dyDescent="0.3">
      <c r="A532">
        <v>249159</v>
      </c>
      <c r="B532" t="s">
        <v>734</v>
      </c>
      <c r="C532" t="s">
        <v>1008</v>
      </c>
      <c r="E532" s="465">
        <v>46204</v>
      </c>
      <c r="F532" s="465">
        <v>46223</v>
      </c>
      <c r="G532" t="s">
        <v>787</v>
      </c>
      <c r="H532" t="s">
        <v>788</v>
      </c>
      <c r="J532">
        <v>-828</v>
      </c>
      <c r="K532">
        <v>-828</v>
      </c>
      <c r="O532" t="s">
        <v>738</v>
      </c>
      <c r="P532" t="s">
        <v>863</v>
      </c>
      <c r="Q532" t="s">
        <v>463</v>
      </c>
      <c r="R532">
        <v>0</v>
      </c>
    </row>
    <row r="533" spans="1:18" x14ac:dyDescent="0.3">
      <c r="A533">
        <v>242050</v>
      </c>
      <c r="B533" t="s">
        <v>734</v>
      </c>
      <c r="C533" t="s">
        <v>1009</v>
      </c>
      <c r="D533" t="s">
        <v>1010</v>
      </c>
      <c r="E533" s="465">
        <v>46204</v>
      </c>
      <c r="F533" s="465">
        <v>46209</v>
      </c>
      <c r="G533" t="s">
        <v>833</v>
      </c>
      <c r="H533" t="s">
        <v>355</v>
      </c>
      <c r="I533" t="s">
        <v>1011</v>
      </c>
      <c r="J533">
        <v>-14000</v>
      </c>
      <c r="K533">
        <v>-14000</v>
      </c>
      <c r="O533" t="s">
        <v>738</v>
      </c>
      <c r="P533" t="s">
        <v>863</v>
      </c>
      <c r="Q533" t="s">
        <v>463</v>
      </c>
      <c r="R533">
        <v>0</v>
      </c>
    </row>
    <row r="534" spans="1:18" x14ac:dyDescent="0.3">
      <c r="A534">
        <v>241939</v>
      </c>
      <c r="B534" t="s">
        <v>734</v>
      </c>
      <c r="C534" t="s">
        <v>1012</v>
      </c>
      <c r="D534" t="s">
        <v>1013</v>
      </c>
      <c r="E534" s="465">
        <v>46204</v>
      </c>
      <c r="F534" s="465">
        <v>46218</v>
      </c>
      <c r="G534" t="s">
        <v>307</v>
      </c>
      <c r="H534" t="s">
        <v>315</v>
      </c>
      <c r="I534" t="s">
        <v>1014</v>
      </c>
      <c r="J534">
        <v>-10070</v>
      </c>
      <c r="K534">
        <v>-10070</v>
      </c>
      <c r="O534" t="s">
        <v>738</v>
      </c>
      <c r="P534" t="s">
        <v>860</v>
      </c>
      <c r="Q534" t="s">
        <v>463</v>
      </c>
      <c r="R534">
        <v>0</v>
      </c>
    </row>
    <row r="535" spans="1:18" x14ac:dyDescent="0.3">
      <c r="A535">
        <v>241933</v>
      </c>
      <c r="B535" t="s">
        <v>734</v>
      </c>
      <c r="C535" t="s">
        <v>1012</v>
      </c>
      <c r="D535" t="s">
        <v>1015</v>
      </c>
      <c r="E535" s="465">
        <v>46204</v>
      </c>
      <c r="F535" s="465">
        <v>46218</v>
      </c>
      <c r="G535" t="s">
        <v>307</v>
      </c>
      <c r="H535" t="s">
        <v>315</v>
      </c>
      <c r="I535" t="s">
        <v>1016</v>
      </c>
      <c r="J535">
        <v>-3420</v>
      </c>
      <c r="K535">
        <v>-3420</v>
      </c>
      <c r="O535" t="s">
        <v>738</v>
      </c>
      <c r="P535" t="s">
        <v>860</v>
      </c>
      <c r="Q535" t="s">
        <v>463</v>
      </c>
      <c r="R535">
        <v>0</v>
      </c>
    </row>
    <row r="536" spans="1:18" x14ac:dyDescent="0.3">
      <c r="A536">
        <v>241924</v>
      </c>
      <c r="B536" t="s">
        <v>734</v>
      </c>
      <c r="C536" t="s">
        <v>1012</v>
      </c>
      <c r="D536" t="s">
        <v>1017</v>
      </c>
      <c r="E536" s="465">
        <v>46204</v>
      </c>
      <c r="F536" s="465">
        <v>46218</v>
      </c>
      <c r="G536" t="s">
        <v>307</v>
      </c>
      <c r="H536" t="s">
        <v>315</v>
      </c>
      <c r="I536" t="s">
        <v>1018</v>
      </c>
      <c r="J536">
        <v>-3800</v>
      </c>
      <c r="K536">
        <v>-3800</v>
      </c>
      <c r="O536" t="s">
        <v>738</v>
      </c>
      <c r="P536" t="s">
        <v>860</v>
      </c>
      <c r="Q536" t="s">
        <v>463</v>
      </c>
      <c r="R536">
        <v>0</v>
      </c>
    </row>
    <row r="537" spans="1:18" x14ac:dyDescent="0.3">
      <c r="A537">
        <v>241919</v>
      </c>
      <c r="B537" t="s">
        <v>734</v>
      </c>
      <c r="C537" t="s">
        <v>1012</v>
      </c>
      <c r="D537" t="s">
        <v>1019</v>
      </c>
      <c r="E537" s="465">
        <v>46204</v>
      </c>
      <c r="F537" s="465">
        <v>46218</v>
      </c>
      <c r="G537" t="s">
        <v>307</v>
      </c>
      <c r="H537" t="s">
        <v>315</v>
      </c>
      <c r="I537" t="s">
        <v>1020</v>
      </c>
      <c r="J537">
        <v>-3800</v>
      </c>
      <c r="K537">
        <v>-3800</v>
      </c>
      <c r="O537" t="s">
        <v>738</v>
      </c>
      <c r="P537" t="s">
        <v>860</v>
      </c>
      <c r="Q537" t="s">
        <v>463</v>
      </c>
      <c r="R537">
        <v>0</v>
      </c>
    </row>
    <row r="538" spans="1:18" x14ac:dyDescent="0.3">
      <c r="A538">
        <v>249166</v>
      </c>
      <c r="B538" t="s">
        <v>734</v>
      </c>
      <c r="C538" t="s">
        <v>1021</v>
      </c>
      <c r="E538" s="465">
        <v>46204</v>
      </c>
      <c r="F538" s="465">
        <v>46223</v>
      </c>
      <c r="G538" t="s">
        <v>787</v>
      </c>
      <c r="H538" t="s">
        <v>788</v>
      </c>
      <c r="J538">
        <v>-721.6</v>
      </c>
      <c r="K538">
        <v>-721.6</v>
      </c>
      <c r="O538" t="s">
        <v>738</v>
      </c>
      <c r="P538" t="s">
        <v>863</v>
      </c>
      <c r="Q538" t="s">
        <v>463</v>
      </c>
      <c r="R538">
        <v>0</v>
      </c>
    </row>
    <row r="539" spans="1:18" x14ac:dyDescent="0.3">
      <c r="A539">
        <v>223758</v>
      </c>
      <c r="B539" t="s">
        <v>734</v>
      </c>
      <c r="C539" t="s">
        <v>821</v>
      </c>
      <c r="D539" t="s">
        <v>775</v>
      </c>
      <c r="E539" s="465">
        <v>46204</v>
      </c>
      <c r="F539" s="465">
        <v>46244</v>
      </c>
      <c r="G539" t="s">
        <v>792</v>
      </c>
      <c r="H539" t="s">
        <v>793</v>
      </c>
      <c r="I539" t="s">
        <v>822</v>
      </c>
      <c r="J539">
        <v>-8000</v>
      </c>
      <c r="K539">
        <v>-8000</v>
      </c>
      <c r="M539" t="s">
        <v>823</v>
      </c>
      <c r="N539" t="s">
        <v>129</v>
      </c>
      <c r="O539" t="s">
        <v>742</v>
      </c>
      <c r="Q539" t="s">
        <v>463</v>
      </c>
      <c r="R539">
        <v>0</v>
      </c>
    </row>
    <row r="540" spans="1:18" x14ac:dyDescent="0.3">
      <c r="A540">
        <v>243366</v>
      </c>
      <c r="B540" t="s">
        <v>734</v>
      </c>
      <c r="C540" t="s">
        <v>786</v>
      </c>
      <c r="D540" t="s">
        <v>1022</v>
      </c>
      <c r="E540" s="465">
        <v>46204</v>
      </c>
      <c r="F540" s="465">
        <v>46209</v>
      </c>
      <c r="G540" t="s">
        <v>787</v>
      </c>
      <c r="H540" t="s">
        <v>788</v>
      </c>
      <c r="I540" t="s">
        <v>789</v>
      </c>
      <c r="J540">
        <v>-805.7</v>
      </c>
      <c r="K540">
        <v>-805.7</v>
      </c>
      <c r="O540" t="s">
        <v>738</v>
      </c>
      <c r="P540" t="s">
        <v>860</v>
      </c>
      <c r="Q540" t="s">
        <v>463</v>
      </c>
      <c r="R540">
        <v>0</v>
      </c>
    </row>
    <row r="541" spans="1:18" x14ac:dyDescent="0.3">
      <c r="A541">
        <v>235517</v>
      </c>
      <c r="B541" t="s">
        <v>734</v>
      </c>
      <c r="C541" t="s">
        <v>804</v>
      </c>
      <c r="D541" t="s">
        <v>775</v>
      </c>
      <c r="E541" s="465">
        <v>46204</v>
      </c>
      <c r="F541" s="465">
        <v>46235</v>
      </c>
      <c r="G541" t="s">
        <v>792</v>
      </c>
      <c r="H541" t="s">
        <v>793</v>
      </c>
      <c r="I541" t="s">
        <v>805</v>
      </c>
      <c r="J541">
        <v>-2100</v>
      </c>
      <c r="K541">
        <v>-2100</v>
      </c>
      <c r="O541" t="s">
        <v>742</v>
      </c>
      <c r="Q541" t="s">
        <v>463</v>
      </c>
      <c r="R541">
        <v>0</v>
      </c>
    </row>
    <row r="542" spans="1:18" x14ac:dyDescent="0.3">
      <c r="A542">
        <v>243033</v>
      </c>
      <c r="B542" t="s">
        <v>734</v>
      </c>
      <c r="C542" t="s">
        <v>824</v>
      </c>
      <c r="D542" t="s">
        <v>871</v>
      </c>
      <c r="E542" s="465">
        <v>46204</v>
      </c>
      <c r="F542" s="465">
        <v>46204</v>
      </c>
      <c r="G542" t="s">
        <v>825</v>
      </c>
      <c r="H542" t="s">
        <v>826</v>
      </c>
      <c r="J542">
        <v>-2.5</v>
      </c>
      <c r="K542">
        <v>-2.5</v>
      </c>
      <c r="O542" t="s">
        <v>738</v>
      </c>
      <c r="P542" t="s">
        <v>860</v>
      </c>
      <c r="Q542" t="s">
        <v>463</v>
      </c>
      <c r="R542">
        <v>0</v>
      </c>
    </row>
    <row r="543" spans="1:18" x14ac:dyDescent="0.3">
      <c r="A543">
        <v>249168</v>
      </c>
      <c r="B543" t="s">
        <v>734</v>
      </c>
      <c r="C543" t="s">
        <v>1000</v>
      </c>
      <c r="E543" s="465">
        <v>46204</v>
      </c>
      <c r="F543" s="465">
        <v>46223</v>
      </c>
      <c r="G543" t="s">
        <v>787</v>
      </c>
      <c r="H543" t="s">
        <v>788</v>
      </c>
      <c r="J543">
        <v>-721.6</v>
      </c>
      <c r="K543">
        <v>-721.6</v>
      </c>
      <c r="O543" t="s">
        <v>738</v>
      </c>
      <c r="P543" t="s">
        <v>863</v>
      </c>
      <c r="Q543" t="s">
        <v>463</v>
      </c>
      <c r="R543">
        <v>0</v>
      </c>
    </row>
    <row r="544" spans="1:18" x14ac:dyDescent="0.3">
      <c r="A544">
        <v>243434</v>
      </c>
      <c r="B544" t="s">
        <v>734</v>
      </c>
      <c r="C544" t="s">
        <v>1023</v>
      </c>
      <c r="D544" t="s">
        <v>1024</v>
      </c>
      <c r="E544" s="465">
        <v>46204</v>
      </c>
      <c r="F544" s="465">
        <v>46213</v>
      </c>
      <c r="G544" t="s">
        <v>776</v>
      </c>
      <c r="H544" t="s">
        <v>224</v>
      </c>
      <c r="I544" t="s">
        <v>1025</v>
      </c>
      <c r="J544">
        <v>-357.45</v>
      </c>
      <c r="K544">
        <v>-357.45</v>
      </c>
      <c r="O544" t="s">
        <v>738</v>
      </c>
      <c r="P544" t="s">
        <v>860</v>
      </c>
      <c r="Q544" t="s">
        <v>463</v>
      </c>
      <c r="R544">
        <v>0</v>
      </c>
    </row>
    <row r="545" spans="1:18" x14ac:dyDescent="0.3">
      <c r="A545">
        <v>243031</v>
      </c>
      <c r="B545" t="s">
        <v>734</v>
      </c>
      <c r="C545" t="s">
        <v>824</v>
      </c>
      <c r="D545" t="s">
        <v>871</v>
      </c>
      <c r="E545" s="465">
        <v>46204</v>
      </c>
      <c r="F545" s="465">
        <v>46204</v>
      </c>
      <c r="G545" t="s">
        <v>825</v>
      </c>
      <c r="H545" t="s">
        <v>826</v>
      </c>
      <c r="J545">
        <v>-1</v>
      </c>
      <c r="K545">
        <v>-1</v>
      </c>
      <c r="O545" t="s">
        <v>738</v>
      </c>
      <c r="P545" t="s">
        <v>860</v>
      </c>
      <c r="Q545" t="s">
        <v>463</v>
      </c>
      <c r="R545">
        <v>0</v>
      </c>
    </row>
    <row r="546" spans="1:18" x14ac:dyDescent="0.3">
      <c r="A546">
        <v>249167</v>
      </c>
      <c r="B546" t="s">
        <v>734</v>
      </c>
      <c r="C546" t="s">
        <v>1026</v>
      </c>
      <c r="E546" s="465">
        <v>46204</v>
      </c>
      <c r="F546" s="465">
        <v>46223</v>
      </c>
      <c r="G546" t="s">
        <v>787</v>
      </c>
      <c r="H546" t="s">
        <v>788</v>
      </c>
      <c r="J546">
        <v>-721.6</v>
      </c>
      <c r="K546">
        <v>-721.6</v>
      </c>
      <c r="O546" t="s">
        <v>738</v>
      </c>
      <c r="P546" t="s">
        <v>863</v>
      </c>
      <c r="Q546" t="s">
        <v>463</v>
      </c>
      <c r="R546">
        <v>0</v>
      </c>
    </row>
    <row r="547" spans="1:18" x14ac:dyDescent="0.3">
      <c r="A547">
        <v>199209</v>
      </c>
      <c r="B547" t="s">
        <v>734</v>
      </c>
      <c r="C547" t="s">
        <v>846</v>
      </c>
      <c r="D547" t="s">
        <v>775</v>
      </c>
      <c r="E547" s="465">
        <v>46204</v>
      </c>
      <c r="F547" s="465">
        <v>46235</v>
      </c>
      <c r="G547" t="s">
        <v>792</v>
      </c>
      <c r="H547" t="s">
        <v>793</v>
      </c>
      <c r="I547" t="s">
        <v>847</v>
      </c>
      <c r="J547">
        <v>-3300</v>
      </c>
      <c r="K547">
        <v>-3300</v>
      </c>
      <c r="M547" t="s">
        <v>848</v>
      </c>
      <c r="N547" t="s">
        <v>131</v>
      </c>
      <c r="O547" t="s">
        <v>742</v>
      </c>
      <c r="Q547" t="s">
        <v>463</v>
      </c>
      <c r="R547">
        <v>0</v>
      </c>
    </row>
    <row r="548" spans="1:18" x14ac:dyDescent="0.3">
      <c r="A548">
        <v>249165</v>
      </c>
      <c r="B548" t="s">
        <v>734</v>
      </c>
      <c r="C548" t="s">
        <v>1027</v>
      </c>
      <c r="E548" s="465">
        <v>46204</v>
      </c>
      <c r="F548" s="465">
        <v>46223</v>
      </c>
      <c r="G548" t="s">
        <v>787</v>
      </c>
      <c r="H548" t="s">
        <v>788</v>
      </c>
      <c r="J548">
        <v>-828</v>
      </c>
      <c r="K548">
        <v>-828</v>
      </c>
      <c r="O548" t="s">
        <v>738</v>
      </c>
      <c r="P548" t="s">
        <v>863</v>
      </c>
      <c r="Q548" t="s">
        <v>463</v>
      </c>
      <c r="R548">
        <v>0</v>
      </c>
    </row>
    <row r="549" spans="1:18" x14ac:dyDescent="0.3">
      <c r="A549">
        <v>249164</v>
      </c>
      <c r="B549" t="s">
        <v>734</v>
      </c>
      <c r="C549" t="s">
        <v>1028</v>
      </c>
      <c r="E549" s="465">
        <v>46204</v>
      </c>
      <c r="F549" s="465">
        <v>46223</v>
      </c>
      <c r="G549" t="s">
        <v>787</v>
      </c>
      <c r="H549" t="s">
        <v>788</v>
      </c>
      <c r="J549">
        <v>-828</v>
      </c>
      <c r="K549">
        <v>-828</v>
      </c>
      <c r="O549" t="s">
        <v>738</v>
      </c>
      <c r="P549" t="s">
        <v>863</v>
      </c>
      <c r="Q549" t="s">
        <v>463</v>
      </c>
      <c r="R549">
        <v>0</v>
      </c>
    </row>
    <row r="550" spans="1:18" x14ac:dyDescent="0.3">
      <c r="A550">
        <v>235536</v>
      </c>
      <c r="B550" t="s">
        <v>734</v>
      </c>
      <c r="C550" t="s">
        <v>804</v>
      </c>
      <c r="D550" t="s">
        <v>775</v>
      </c>
      <c r="E550" s="465">
        <v>46204</v>
      </c>
      <c r="F550" s="465">
        <v>46249</v>
      </c>
      <c r="G550" t="s">
        <v>792</v>
      </c>
      <c r="H550" t="s">
        <v>793</v>
      </c>
      <c r="I550" t="s">
        <v>811</v>
      </c>
      <c r="J550">
        <v>-2100</v>
      </c>
      <c r="K550">
        <v>-2100</v>
      </c>
      <c r="O550" t="s">
        <v>742</v>
      </c>
      <c r="Q550" t="s">
        <v>463</v>
      </c>
      <c r="R550">
        <v>0</v>
      </c>
    </row>
    <row r="551" spans="1:18" x14ac:dyDescent="0.3">
      <c r="A551">
        <v>242505</v>
      </c>
      <c r="B551" t="s">
        <v>734</v>
      </c>
      <c r="C551" t="s">
        <v>1029</v>
      </c>
      <c r="D551" t="s">
        <v>1030</v>
      </c>
      <c r="E551" s="465">
        <v>46204</v>
      </c>
      <c r="F551" s="465">
        <v>46217</v>
      </c>
      <c r="G551" t="s">
        <v>784</v>
      </c>
      <c r="H551" t="s">
        <v>238</v>
      </c>
      <c r="I551" t="s">
        <v>1031</v>
      </c>
      <c r="J551">
        <v>-492.2</v>
      </c>
      <c r="K551">
        <v>-492.2</v>
      </c>
      <c r="O551" t="s">
        <v>738</v>
      </c>
      <c r="P551" t="s">
        <v>860</v>
      </c>
      <c r="Q551" t="s">
        <v>463</v>
      </c>
      <c r="R551">
        <v>0</v>
      </c>
    </row>
    <row r="552" spans="1:18" x14ac:dyDescent="0.3">
      <c r="A552">
        <v>242504</v>
      </c>
      <c r="B552" t="s">
        <v>734</v>
      </c>
      <c r="C552" t="s">
        <v>1032</v>
      </c>
      <c r="D552" t="s">
        <v>1030</v>
      </c>
      <c r="E552" s="465">
        <v>46204</v>
      </c>
      <c r="F552" s="465">
        <v>46217</v>
      </c>
      <c r="G552" t="s">
        <v>784</v>
      </c>
      <c r="H552" t="s">
        <v>238</v>
      </c>
      <c r="I552" t="s">
        <v>1031</v>
      </c>
      <c r="J552">
        <v>-492.2</v>
      </c>
      <c r="K552">
        <v>-492.2</v>
      </c>
      <c r="O552" t="s">
        <v>738</v>
      </c>
      <c r="P552" t="s">
        <v>860</v>
      </c>
      <c r="Q552" t="s">
        <v>463</v>
      </c>
      <c r="R552">
        <v>0</v>
      </c>
    </row>
    <row r="553" spans="1:18" x14ac:dyDescent="0.3">
      <c r="A553">
        <v>242503</v>
      </c>
      <c r="B553" t="s">
        <v>734</v>
      </c>
      <c r="C553" t="s">
        <v>1033</v>
      </c>
      <c r="D553" t="s">
        <v>1030</v>
      </c>
      <c r="E553" s="465">
        <v>46204</v>
      </c>
      <c r="F553" s="465">
        <v>46217</v>
      </c>
      <c r="G553" t="s">
        <v>784</v>
      </c>
      <c r="H553" t="s">
        <v>238</v>
      </c>
      <c r="I553" t="s">
        <v>1031</v>
      </c>
      <c r="J553">
        <v>-492.2</v>
      </c>
      <c r="K553">
        <v>-492.2</v>
      </c>
      <c r="O553" t="s">
        <v>738</v>
      </c>
      <c r="P553" t="s">
        <v>860</v>
      </c>
      <c r="Q553" t="s">
        <v>463</v>
      </c>
      <c r="R553">
        <v>0</v>
      </c>
    </row>
    <row r="554" spans="1:18" x14ac:dyDescent="0.3">
      <c r="A554">
        <v>242478</v>
      </c>
      <c r="B554" t="s">
        <v>734</v>
      </c>
      <c r="C554" t="s">
        <v>969</v>
      </c>
      <c r="D554" t="s">
        <v>1034</v>
      </c>
      <c r="E554" s="465">
        <v>46204</v>
      </c>
      <c r="F554" s="465">
        <v>46209</v>
      </c>
      <c r="G554" t="s">
        <v>784</v>
      </c>
      <c r="H554" t="s">
        <v>238</v>
      </c>
      <c r="I554" t="s">
        <v>999</v>
      </c>
      <c r="J554">
        <v>-307.83999999999997</v>
      </c>
      <c r="K554">
        <v>-307.83999999999997</v>
      </c>
      <c r="O554" t="s">
        <v>738</v>
      </c>
      <c r="P554" t="s">
        <v>860</v>
      </c>
      <c r="Q554" t="s">
        <v>463</v>
      </c>
      <c r="R554">
        <v>0</v>
      </c>
    </row>
    <row r="555" spans="1:18" x14ac:dyDescent="0.3">
      <c r="A555">
        <v>242458</v>
      </c>
      <c r="B555" t="s">
        <v>734</v>
      </c>
      <c r="C555" t="s">
        <v>1035</v>
      </c>
      <c r="D555" t="s">
        <v>1036</v>
      </c>
      <c r="E555" s="465">
        <v>46204</v>
      </c>
      <c r="F555" s="465">
        <v>46206</v>
      </c>
      <c r="G555" t="s">
        <v>833</v>
      </c>
      <c r="H555" t="s">
        <v>348</v>
      </c>
      <c r="I555" t="s">
        <v>1037</v>
      </c>
      <c r="J555">
        <v>-4400</v>
      </c>
      <c r="K555">
        <v>-4400</v>
      </c>
      <c r="O555" t="s">
        <v>738</v>
      </c>
      <c r="P555" t="s">
        <v>927</v>
      </c>
      <c r="Q555" t="s">
        <v>463</v>
      </c>
      <c r="R555">
        <v>0</v>
      </c>
    </row>
    <row r="556" spans="1:18" x14ac:dyDescent="0.3">
      <c r="A556">
        <v>241741</v>
      </c>
      <c r="B556" t="s">
        <v>734</v>
      </c>
      <c r="C556" t="s">
        <v>808</v>
      </c>
      <c r="D556" t="s">
        <v>775</v>
      </c>
      <c r="E556" s="465">
        <v>46204</v>
      </c>
      <c r="F556" s="465">
        <v>46235</v>
      </c>
      <c r="G556" t="s">
        <v>792</v>
      </c>
      <c r="H556" t="s">
        <v>793</v>
      </c>
      <c r="I556" t="s">
        <v>809</v>
      </c>
      <c r="J556">
        <v>-2100</v>
      </c>
      <c r="K556">
        <v>-2100</v>
      </c>
      <c r="O556" t="s">
        <v>742</v>
      </c>
      <c r="Q556" t="s">
        <v>463</v>
      </c>
      <c r="R556">
        <v>0</v>
      </c>
    </row>
    <row r="557" spans="1:18" x14ac:dyDescent="0.3">
      <c r="A557">
        <v>200016</v>
      </c>
      <c r="B557" t="s">
        <v>734</v>
      </c>
      <c r="C557" t="s">
        <v>855</v>
      </c>
      <c r="D557" t="s">
        <v>775</v>
      </c>
      <c r="E557" s="465">
        <v>46204</v>
      </c>
      <c r="F557" s="465">
        <v>46249</v>
      </c>
      <c r="G557" t="s">
        <v>307</v>
      </c>
      <c r="H557" t="s">
        <v>313</v>
      </c>
      <c r="I557" t="s">
        <v>850</v>
      </c>
      <c r="J557">
        <v>-10000</v>
      </c>
      <c r="K557">
        <v>-10000</v>
      </c>
      <c r="O557" t="s">
        <v>742</v>
      </c>
      <c r="Q557" t="s">
        <v>463</v>
      </c>
      <c r="R557">
        <v>0</v>
      </c>
    </row>
    <row r="558" spans="1:18" x14ac:dyDescent="0.3">
      <c r="A558">
        <v>249154</v>
      </c>
      <c r="B558" t="s">
        <v>734</v>
      </c>
      <c r="C558" t="s">
        <v>1038</v>
      </c>
      <c r="E558" s="465">
        <v>46204</v>
      </c>
      <c r="F558" s="465">
        <v>46223</v>
      </c>
      <c r="G558" t="s">
        <v>787</v>
      </c>
      <c r="H558" t="s">
        <v>788</v>
      </c>
      <c r="J558">
        <v>-828</v>
      </c>
      <c r="K558">
        <v>-828</v>
      </c>
      <c r="O558" t="s">
        <v>738</v>
      </c>
      <c r="P558" t="s">
        <v>863</v>
      </c>
      <c r="Q558" t="s">
        <v>463</v>
      </c>
      <c r="R558">
        <v>0</v>
      </c>
    </row>
    <row r="559" spans="1:18" x14ac:dyDescent="0.3">
      <c r="A559">
        <v>241765</v>
      </c>
      <c r="B559" t="s">
        <v>734</v>
      </c>
      <c r="C559" t="s">
        <v>812</v>
      </c>
      <c r="D559" t="s">
        <v>775</v>
      </c>
      <c r="E559" s="465">
        <v>46204</v>
      </c>
      <c r="F559" s="465">
        <v>46235</v>
      </c>
      <c r="G559" t="s">
        <v>792</v>
      </c>
      <c r="H559" t="s">
        <v>793</v>
      </c>
      <c r="I559" t="s">
        <v>813</v>
      </c>
      <c r="J559">
        <v>-2100</v>
      </c>
      <c r="K559">
        <v>-2100</v>
      </c>
      <c r="O559" t="s">
        <v>742</v>
      </c>
      <c r="Q559" t="s">
        <v>463</v>
      </c>
      <c r="R559">
        <v>0</v>
      </c>
    </row>
    <row r="560" spans="1:18" x14ac:dyDescent="0.3">
      <c r="A560">
        <v>199850</v>
      </c>
      <c r="B560" t="s">
        <v>734</v>
      </c>
      <c r="C560" t="s">
        <v>853</v>
      </c>
      <c r="D560" t="s">
        <v>775</v>
      </c>
      <c r="E560" s="465">
        <v>46204</v>
      </c>
      <c r="F560" s="465">
        <v>46249</v>
      </c>
      <c r="G560" t="s">
        <v>792</v>
      </c>
      <c r="H560" t="s">
        <v>793</v>
      </c>
      <c r="I560" t="s">
        <v>850</v>
      </c>
      <c r="J560">
        <v>-2250</v>
      </c>
      <c r="K560">
        <v>-2250</v>
      </c>
      <c r="M560" t="s">
        <v>854</v>
      </c>
      <c r="N560" t="s">
        <v>138</v>
      </c>
      <c r="O560" t="s">
        <v>742</v>
      </c>
      <c r="Q560" t="s">
        <v>463</v>
      </c>
      <c r="R560">
        <v>0</v>
      </c>
    </row>
    <row r="561" spans="1:18" x14ac:dyDescent="0.3">
      <c r="A561">
        <v>241753</v>
      </c>
      <c r="B561" t="s">
        <v>734</v>
      </c>
      <c r="C561" t="s">
        <v>808</v>
      </c>
      <c r="D561" t="s">
        <v>775</v>
      </c>
      <c r="E561" s="465">
        <v>46204</v>
      </c>
      <c r="F561" s="465">
        <v>46249</v>
      </c>
      <c r="G561" t="s">
        <v>792</v>
      </c>
      <c r="H561" t="s">
        <v>793</v>
      </c>
      <c r="I561" t="s">
        <v>810</v>
      </c>
      <c r="J561">
        <v>-2100</v>
      </c>
      <c r="K561">
        <v>-2100</v>
      </c>
      <c r="O561" t="s">
        <v>742</v>
      </c>
      <c r="Q561" t="s">
        <v>463</v>
      </c>
      <c r="R561">
        <v>0</v>
      </c>
    </row>
    <row r="562" spans="1:18" x14ac:dyDescent="0.3">
      <c r="A562">
        <v>238202</v>
      </c>
      <c r="B562" t="s">
        <v>734</v>
      </c>
      <c r="C562" t="s">
        <v>427</v>
      </c>
      <c r="D562" t="s">
        <v>1039</v>
      </c>
      <c r="E562" s="465">
        <v>46204</v>
      </c>
      <c r="F562" s="465">
        <v>46218</v>
      </c>
      <c r="G562" t="s">
        <v>776</v>
      </c>
      <c r="H562" t="s">
        <v>205</v>
      </c>
      <c r="I562" t="s">
        <v>779</v>
      </c>
      <c r="J562">
        <v>-11169.43</v>
      </c>
      <c r="K562">
        <v>-11169.43</v>
      </c>
      <c r="O562" t="s">
        <v>738</v>
      </c>
      <c r="P562" t="s">
        <v>860</v>
      </c>
      <c r="Q562" t="s">
        <v>463</v>
      </c>
      <c r="R562">
        <v>0</v>
      </c>
    </row>
    <row r="563" spans="1:18" x14ac:dyDescent="0.3">
      <c r="A563">
        <v>199837</v>
      </c>
      <c r="B563" t="s">
        <v>734</v>
      </c>
      <c r="C563" t="s">
        <v>853</v>
      </c>
      <c r="D563" t="s">
        <v>775</v>
      </c>
      <c r="E563" s="465">
        <v>46204</v>
      </c>
      <c r="F563" s="465">
        <v>46235</v>
      </c>
      <c r="G563" t="s">
        <v>792</v>
      </c>
      <c r="H563" t="s">
        <v>793</v>
      </c>
      <c r="I563" t="s">
        <v>822</v>
      </c>
      <c r="J563">
        <v>-2250</v>
      </c>
      <c r="K563">
        <v>-2250</v>
      </c>
      <c r="M563" t="s">
        <v>854</v>
      </c>
      <c r="N563" t="s">
        <v>138</v>
      </c>
      <c r="O563" t="s">
        <v>742</v>
      </c>
      <c r="Q563" t="s">
        <v>463</v>
      </c>
      <c r="R563">
        <v>0</v>
      </c>
    </row>
    <row r="564" spans="1:18" x14ac:dyDescent="0.3">
      <c r="A564">
        <v>199775</v>
      </c>
      <c r="B564" t="s">
        <v>734</v>
      </c>
      <c r="C564" t="s">
        <v>849</v>
      </c>
      <c r="D564" t="s">
        <v>775</v>
      </c>
      <c r="E564" s="465">
        <v>46204</v>
      </c>
      <c r="F564" s="465">
        <v>46249</v>
      </c>
      <c r="G564" t="s">
        <v>792</v>
      </c>
      <c r="H564" t="s">
        <v>793</v>
      </c>
      <c r="I564" t="s">
        <v>850</v>
      </c>
      <c r="J564">
        <v>-3300</v>
      </c>
      <c r="K564">
        <v>-3300</v>
      </c>
      <c r="M564" t="s">
        <v>851</v>
      </c>
      <c r="N564" t="s">
        <v>130</v>
      </c>
      <c r="O564" t="s">
        <v>742</v>
      </c>
      <c r="Q564" t="s">
        <v>463</v>
      </c>
      <c r="R564">
        <v>0</v>
      </c>
    </row>
    <row r="565" spans="1:18" x14ac:dyDescent="0.3">
      <c r="A565">
        <v>249158</v>
      </c>
      <c r="B565" t="s">
        <v>734</v>
      </c>
      <c r="C565" t="s">
        <v>1040</v>
      </c>
      <c r="E565" s="465">
        <v>46204</v>
      </c>
      <c r="F565" s="465">
        <v>46223</v>
      </c>
      <c r="G565" t="s">
        <v>787</v>
      </c>
      <c r="H565" t="s">
        <v>788</v>
      </c>
      <c r="J565">
        <v>-828</v>
      </c>
      <c r="K565">
        <v>-828</v>
      </c>
      <c r="O565" t="s">
        <v>738</v>
      </c>
      <c r="P565" t="s">
        <v>863</v>
      </c>
      <c r="Q565" t="s">
        <v>463</v>
      </c>
      <c r="R565">
        <v>0</v>
      </c>
    </row>
    <row r="566" spans="1:18" x14ac:dyDescent="0.3">
      <c r="A566">
        <v>249153</v>
      </c>
      <c r="B566" t="s">
        <v>734</v>
      </c>
      <c r="C566" t="s">
        <v>1041</v>
      </c>
      <c r="E566" s="465">
        <v>46204</v>
      </c>
      <c r="F566" s="465">
        <v>46223</v>
      </c>
      <c r="G566" t="s">
        <v>787</v>
      </c>
      <c r="H566" t="s">
        <v>788</v>
      </c>
      <c r="J566">
        <v>-944.02</v>
      </c>
      <c r="K566">
        <v>-944.02</v>
      </c>
      <c r="O566" t="s">
        <v>738</v>
      </c>
      <c r="P566" t="s">
        <v>863</v>
      </c>
      <c r="Q566" t="s">
        <v>463</v>
      </c>
      <c r="R566">
        <v>0</v>
      </c>
    </row>
    <row r="567" spans="1:18" x14ac:dyDescent="0.3">
      <c r="A567">
        <v>199763</v>
      </c>
      <c r="B567" t="s">
        <v>734</v>
      </c>
      <c r="C567" t="s">
        <v>849</v>
      </c>
      <c r="D567" t="s">
        <v>775</v>
      </c>
      <c r="E567" s="465">
        <v>46204</v>
      </c>
      <c r="F567" s="465">
        <v>46235</v>
      </c>
      <c r="G567" t="s">
        <v>792</v>
      </c>
      <c r="H567" t="s">
        <v>793</v>
      </c>
      <c r="I567" t="s">
        <v>822</v>
      </c>
      <c r="J567">
        <v>-3300</v>
      </c>
      <c r="K567">
        <v>-3300</v>
      </c>
      <c r="M567" t="s">
        <v>851</v>
      </c>
      <c r="N567" t="s">
        <v>130</v>
      </c>
      <c r="O567" t="s">
        <v>742</v>
      </c>
      <c r="Q567" t="s">
        <v>463</v>
      </c>
      <c r="R567">
        <v>0</v>
      </c>
    </row>
    <row r="568" spans="1:18" x14ac:dyDescent="0.3">
      <c r="A568">
        <v>234159</v>
      </c>
      <c r="B568" t="s">
        <v>734</v>
      </c>
      <c r="C568" t="s">
        <v>795</v>
      </c>
      <c r="D568" t="s">
        <v>775</v>
      </c>
      <c r="E568" s="465">
        <v>46204</v>
      </c>
      <c r="F568" s="465">
        <v>46239</v>
      </c>
      <c r="G568" t="s">
        <v>787</v>
      </c>
      <c r="H568" t="s">
        <v>788</v>
      </c>
      <c r="I568" t="s">
        <v>796</v>
      </c>
      <c r="J568">
        <v>-40000</v>
      </c>
      <c r="K568">
        <v>-40000</v>
      </c>
      <c r="O568" t="s">
        <v>742</v>
      </c>
      <c r="Q568" t="s">
        <v>463</v>
      </c>
      <c r="R568">
        <v>0</v>
      </c>
    </row>
    <row r="569" spans="1:18" x14ac:dyDescent="0.3">
      <c r="A569">
        <v>235561</v>
      </c>
      <c r="B569" t="s">
        <v>734</v>
      </c>
      <c r="C569" t="s">
        <v>1042</v>
      </c>
      <c r="D569" t="s">
        <v>1043</v>
      </c>
      <c r="E569" s="465">
        <v>46204</v>
      </c>
      <c r="F569" s="465">
        <v>46225</v>
      </c>
      <c r="G569" t="s">
        <v>792</v>
      </c>
      <c r="H569" t="s">
        <v>793</v>
      </c>
      <c r="I569" t="s">
        <v>1044</v>
      </c>
      <c r="J569">
        <v>-7166.58</v>
      </c>
      <c r="K569">
        <v>-7166.58</v>
      </c>
      <c r="O569" t="s">
        <v>738</v>
      </c>
      <c r="P569" t="s">
        <v>863</v>
      </c>
      <c r="Q569" t="s">
        <v>463</v>
      </c>
      <c r="R569">
        <v>0</v>
      </c>
    </row>
    <row r="570" spans="1:18" x14ac:dyDescent="0.3">
      <c r="A570">
        <v>237180</v>
      </c>
      <c r="B570" t="s">
        <v>734</v>
      </c>
      <c r="C570" t="s">
        <v>801</v>
      </c>
      <c r="D570" t="s">
        <v>1045</v>
      </c>
      <c r="E570" s="465">
        <v>46204</v>
      </c>
      <c r="F570" s="465">
        <v>46217</v>
      </c>
      <c r="G570" t="s">
        <v>784</v>
      </c>
      <c r="H570" t="s">
        <v>241</v>
      </c>
      <c r="I570" t="s">
        <v>802</v>
      </c>
      <c r="J570">
        <v>-470.9</v>
      </c>
      <c r="K570">
        <v>-470.9</v>
      </c>
      <c r="O570" t="s">
        <v>738</v>
      </c>
      <c r="P570" t="s">
        <v>860</v>
      </c>
      <c r="Q570" t="s">
        <v>463</v>
      </c>
      <c r="R570">
        <v>0</v>
      </c>
    </row>
    <row r="571" spans="1:18" x14ac:dyDescent="0.3">
      <c r="A571">
        <v>232177</v>
      </c>
      <c r="B571" t="s">
        <v>734</v>
      </c>
      <c r="C571" t="s">
        <v>818</v>
      </c>
      <c r="D571" t="s">
        <v>775</v>
      </c>
      <c r="E571" s="465">
        <v>46204</v>
      </c>
      <c r="F571" s="465">
        <v>46235</v>
      </c>
      <c r="G571" t="s">
        <v>792</v>
      </c>
      <c r="H571" t="s">
        <v>793</v>
      </c>
      <c r="I571" t="s">
        <v>819</v>
      </c>
      <c r="J571">
        <v>-3250</v>
      </c>
      <c r="K571">
        <v>-3250</v>
      </c>
      <c r="O571" t="s">
        <v>742</v>
      </c>
      <c r="Q571" t="s">
        <v>463</v>
      </c>
      <c r="R571">
        <v>0</v>
      </c>
    </row>
    <row r="572" spans="1:18" x14ac:dyDescent="0.3">
      <c r="A572">
        <v>199221</v>
      </c>
      <c r="B572" t="s">
        <v>734</v>
      </c>
      <c r="C572" t="s">
        <v>846</v>
      </c>
      <c r="D572" t="s">
        <v>775</v>
      </c>
      <c r="E572" s="465">
        <v>46204</v>
      </c>
      <c r="F572" s="465">
        <v>46249</v>
      </c>
      <c r="G572" t="s">
        <v>792</v>
      </c>
      <c r="H572" t="s">
        <v>793</v>
      </c>
      <c r="I572" t="s">
        <v>852</v>
      </c>
      <c r="J572">
        <v>-3300</v>
      </c>
      <c r="K572">
        <v>-3300</v>
      </c>
      <c r="M572" t="s">
        <v>848</v>
      </c>
      <c r="N572" t="s">
        <v>131</v>
      </c>
      <c r="O572" t="s">
        <v>742</v>
      </c>
      <c r="Q572" t="s">
        <v>463</v>
      </c>
      <c r="R572">
        <v>0</v>
      </c>
    </row>
    <row r="573" spans="1:18" x14ac:dyDescent="0.3">
      <c r="A573">
        <v>232189</v>
      </c>
      <c r="B573" t="s">
        <v>734</v>
      </c>
      <c r="C573" t="s">
        <v>818</v>
      </c>
      <c r="D573" t="s">
        <v>775</v>
      </c>
      <c r="E573" s="465">
        <v>46204</v>
      </c>
      <c r="F573" s="465">
        <v>46249</v>
      </c>
      <c r="G573" t="s">
        <v>792</v>
      </c>
      <c r="H573" t="s">
        <v>793</v>
      </c>
      <c r="I573" t="s">
        <v>819</v>
      </c>
      <c r="J573">
        <v>-3250</v>
      </c>
      <c r="K573">
        <v>-3250</v>
      </c>
      <c r="O573" t="s">
        <v>742</v>
      </c>
      <c r="Q573" t="s">
        <v>463</v>
      </c>
      <c r="R573">
        <v>0</v>
      </c>
    </row>
    <row r="574" spans="1:18" x14ac:dyDescent="0.3">
      <c r="A574">
        <v>230533</v>
      </c>
      <c r="B574" t="s">
        <v>734</v>
      </c>
      <c r="C574" t="s">
        <v>824</v>
      </c>
      <c r="D574" t="s">
        <v>775</v>
      </c>
      <c r="E574" s="465">
        <v>46204</v>
      </c>
      <c r="F574" s="465">
        <v>46221</v>
      </c>
      <c r="G574" t="s">
        <v>825</v>
      </c>
      <c r="H574" t="s">
        <v>826</v>
      </c>
      <c r="J574">
        <v>-400</v>
      </c>
      <c r="K574">
        <v>-400</v>
      </c>
      <c r="O574" t="s">
        <v>742</v>
      </c>
      <c r="Q574" t="s">
        <v>463</v>
      </c>
      <c r="R574">
        <v>0</v>
      </c>
    </row>
    <row r="575" spans="1:18" x14ac:dyDescent="0.3">
      <c r="A575">
        <v>241917</v>
      </c>
      <c r="B575" t="s">
        <v>734</v>
      </c>
      <c r="C575" t="s">
        <v>1012</v>
      </c>
      <c r="D575" t="s">
        <v>1046</v>
      </c>
      <c r="E575" s="465">
        <v>46204</v>
      </c>
      <c r="F575" s="465">
        <v>46218</v>
      </c>
      <c r="G575" t="s">
        <v>307</v>
      </c>
      <c r="H575" t="s">
        <v>315</v>
      </c>
      <c r="I575" t="s">
        <v>1047</v>
      </c>
      <c r="J575">
        <v>-3800</v>
      </c>
      <c r="K575">
        <v>-3800</v>
      </c>
      <c r="O575" t="s">
        <v>738</v>
      </c>
      <c r="P575" t="s">
        <v>860</v>
      </c>
      <c r="Q575" t="s">
        <v>463</v>
      </c>
      <c r="R575">
        <v>0</v>
      </c>
    </row>
    <row r="576" spans="1:18" x14ac:dyDescent="0.3">
      <c r="A576">
        <v>244399</v>
      </c>
      <c r="B576" t="s">
        <v>734</v>
      </c>
      <c r="C576" t="s">
        <v>1023</v>
      </c>
      <c r="D576" t="s">
        <v>1048</v>
      </c>
      <c r="E576" s="465">
        <v>46204</v>
      </c>
      <c r="F576" s="465">
        <v>46213</v>
      </c>
      <c r="G576" t="s">
        <v>776</v>
      </c>
      <c r="H576" t="s">
        <v>226</v>
      </c>
      <c r="J576">
        <v>-16.579999999999998</v>
      </c>
      <c r="K576">
        <v>-16.579999999999998</v>
      </c>
      <c r="O576" t="s">
        <v>738</v>
      </c>
      <c r="P576" t="s">
        <v>860</v>
      </c>
      <c r="Q576" t="s">
        <v>463</v>
      </c>
      <c r="R576">
        <v>0</v>
      </c>
    </row>
    <row r="577" spans="1:18" x14ac:dyDescent="0.3">
      <c r="A577">
        <v>249157</v>
      </c>
      <c r="B577" t="s">
        <v>734</v>
      </c>
      <c r="C577" t="s">
        <v>969</v>
      </c>
      <c r="E577" s="465">
        <v>46204</v>
      </c>
      <c r="F577" s="465">
        <v>46223</v>
      </c>
      <c r="G577" t="s">
        <v>787</v>
      </c>
      <c r="H577" t="s">
        <v>788</v>
      </c>
      <c r="J577">
        <v>-828</v>
      </c>
      <c r="K577">
        <v>-828</v>
      </c>
      <c r="O577" t="s">
        <v>738</v>
      </c>
      <c r="P577" t="s">
        <v>863</v>
      </c>
      <c r="Q577" t="s">
        <v>463</v>
      </c>
      <c r="R577">
        <v>0</v>
      </c>
    </row>
    <row r="578" spans="1:18" x14ac:dyDescent="0.3">
      <c r="A578">
        <v>249156</v>
      </c>
      <c r="B578" t="s">
        <v>734</v>
      </c>
      <c r="C578" t="s">
        <v>1049</v>
      </c>
      <c r="E578" s="465">
        <v>46204</v>
      </c>
      <c r="F578" s="465">
        <v>46223</v>
      </c>
      <c r="G578" t="s">
        <v>787</v>
      </c>
      <c r="H578" t="s">
        <v>788</v>
      </c>
      <c r="J578">
        <v>-828</v>
      </c>
      <c r="K578">
        <v>-828</v>
      </c>
      <c r="O578" t="s">
        <v>738</v>
      </c>
      <c r="P578" t="s">
        <v>863</v>
      </c>
      <c r="Q578" t="s">
        <v>463</v>
      </c>
      <c r="R578">
        <v>0</v>
      </c>
    </row>
    <row r="579" spans="1:18" x14ac:dyDescent="0.3">
      <c r="A579">
        <v>249155</v>
      </c>
      <c r="B579" t="s">
        <v>734</v>
      </c>
      <c r="C579" t="s">
        <v>966</v>
      </c>
      <c r="E579" s="465">
        <v>46204</v>
      </c>
      <c r="F579" s="465">
        <v>46223</v>
      </c>
      <c r="G579" t="s">
        <v>787</v>
      </c>
      <c r="H579" t="s">
        <v>788</v>
      </c>
      <c r="J579">
        <v>-828</v>
      </c>
      <c r="K579">
        <v>-828</v>
      </c>
      <c r="O579" t="s">
        <v>738</v>
      </c>
      <c r="P579" t="s">
        <v>863</v>
      </c>
      <c r="Q579" t="s">
        <v>463</v>
      </c>
      <c r="R579">
        <v>0</v>
      </c>
    </row>
    <row r="580" spans="1:18" x14ac:dyDescent="0.3">
      <c r="A580">
        <v>245856</v>
      </c>
      <c r="B580" t="s">
        <v>734</v>
      </c>
      <c r="C580" t="s">
        <v>1050</v>
      </c>
      <c r="D580" t="s">
        <v>1051</v>
      </c>
      <c r="E580" s="465">
        <v>46204</v>
      </c>
      <c r="F580" s="465">
        <v>46219</v>
      </c>
      <c r="G580" t="s">
        <v>776</v>
      </c>
      <c r="H580" t="s">
        <v>224</v>
      </c>
      <c r="I580" t="s">
        <v>1052</v>
      </c>
      <c r="J580">
        <v>-2774.37</v>
      </c>
      <c r="K580">
        <v>-2774.37</v>
      </c>
      <c r="O580" t="s">
        <v>738</v>
      </c>
      <c r="P580" t="s">
        <v>860</v>
      </c>
      <c r="Q580" t="s">
        <v>463</v>
      </c>
      <c r="R580">
        <v>0</v>
      </c>
    </row>
    <row r="581" spans="1:18" x14ac:dyDescent="0.3">
      <c r="A581">
        <v>245857</v>
      </c>
      <c r="B581" t="s">
        <v>734</v>
      </c>
      <c r="C581" t="s">
        <v>1050</v>
      </c>
      <c r="D581" t="s">
        <v>1053</v>
      </c>
      <c r="E581" s="465">
        <v>46204</v>
      </c>
      <c r="F581" s="465">
        <v>46219</v>
      </c>
      <c r="G581" t="s">
        <v>776</v>
      </c>
      <c r="H581" t="s">
        <v>226</v>
      </c>
      <c r="I581" t="s">
        <v>1054</v>
      </c>
      <c r="J581">
        <v>-183.14</v>
      </c>
      <c r="K581">
        <v>-183.14</v>
      </c>
      <c r="O581" t="s">
        <v>738</v>
      </c>
      <c r="P581" t="s">
        <v>860</v>
      </c>
      <c r="Q581" t="s">
        <v>463</v>
      </c>
      <c r="R581">
        <v>0</v>
      </c>
    </row>
    <row r="582" spans="1:18" x14ac:dyDescent="0.3">
      <c r="A582">
        <v>246520</v>
      </c>
      <c r="B582" t="s">
        <v>734</v>
      </c>
      <c r="C582" t="s">
        <v>1055</v>
      </c>
      <c r="D582" t="s">
        <v>1056</v>
      </c>
      <c r="E582" s="465">
        <v>46204</v>
      </c>
      <c r="F582" s="465">
        <v>46218</v>
      </c>
      <c r="G582" t="s">
        <v>784</v>
      </c>
      <c r="H582" t="s">
        <v>238</v>
      </c>
      <c r="I582" t="s">
        <v>1057</v>
      </c>
      <c r="J582">
        <v>-553.12</v>
      </c>
      <c r="K582">
        <v>-553.12</v>
      </c>
      <c r="O582" t="s">
        <v>738</v>
      </c>
      <c r="P582" t="s">
        <v>860</v>
      </c>
      <c r="Q582" t="s">
        <v>463</v>
      </c>
      <c r="R582">
        <v>0</v>
      </c>
    </row>
    <row r="583" spans="1:18" x14ac:dyDescent="0.3">
      <c r="A583">
        <v>241777</v>
      </c>
      <c r="B583" t="s">
        <v>734</v>
      </c>
      <c r="C583" t="s">
        <v>812</v>
      </c>
      <c r="D583" t="s">
        <v>775</v>
      </c>
      <c r="E583" s="465">
        <v>46204</v>
      </c>
      <c r="F583" s="465">
        <v>46249</v>
      </c>
      <c r="G583" t="s">
        <v>792</v>
      </c>
      <c r="H583" t="s">
        <v>793</v>
      </c>
      <c r="I583" t="s">
        <v>810</v>
      </c>
      <c r="J583">
        <v>-2100</v>
      </c>
      <c r="K583">
        <v>-2100</v>
      </c>
      <c r="O583" t="s">
        <v>742</v>
      </c>
      <c r="Q583" t="s">
        <v>463</v>
      </c>
      <c r="R583">
        <v>0</v>
      </c>
    </row>
    <row r="584" spans="1:18" x14ac:dyDescent="0.3">
      <c r="A584">
        <v>246533</v>
      </c>
      <c r="B584" t="s">
        <v>734</v>
      </c>
      <c r="C584" t="s">
        <v>1040</v>
      </c>
      <c r="D584" t="s">
        <v>1058</v>
      </c>
      <c r="E584" s="465">
        <v>46204</v>
      </c>
      <c r="F584" s="465">
        <v>46224</v>
      </c>
      <c r="G584" t="s">
        <v>784</v>
      </c>
      <c r="H584" t="s">
        <v>238</v>
      </c>
      <c r="I584" t="s">
        <v>1059</v>
      </c>
      <c r="J584">
        <v>-770</v>
      </c>
      <c r="K584">
        <v>-770</v>
      </c>
      <c r="O584" t="s">
        <v>738</v>
      </c>
      <c r="P584" t="s">
        <v>863</v>
      </c>
      <c r="Q584" t="s">
        <v>463</v>
      </c>
      <c r="R584">
        <v>0</v>
      </c>
    </row>
    <row r="585" spans="1:18" x14ac:dyDescent="0.3">
      <c r="A585">
        <v>246743</v>
      </c>
      <c r="B585" t="s">
        <v>734</v>
      </c>
      <c r="C585" t="s">
        <v>1060</v>
      </c>
      <c r="D585" t="s">
        <v>775</v>
      </c>
      <c r="E585" s="465">
        <v>46204</v>
      </c>
      <c r="F585" s="465">
        <v>46226</v>
      </c>
      <c r="G585" t="s">
        <v>784</v>
      </c>
      <c r="H585" t="s">
        <v>238</v>
      </c>
      <c r="J585">
        <v>-600</v>
      </c>
      <c r="K585">
        <v>-600</v>
      </c>
      <c r="O585" t="s">
        <v>742</v>
      </c>
      <c r="Q585" t="s">
        <v>463</v>
      </c>
      <c r="R585">
        <v>0</v>
      </c>
    </row>
    <row r="586" spans="1:18" x14ac:dyDescent="0.3">
      <c r="A586">
        <v>230521</v>
      </c>
      <c r="B586" t="s">
        <v>734</v>
      </c>
      <c r="C586" t="s">
        <v>824</v>
      </c>
      <c r="D586" t="s">
        <v>775</v>
      </c>
      <c r="E586" s="465">
        <v>46204</v>
      </c>
      <c r="F586" s="465">
        <v>46221</v>
      </c>
      <c r="G586" t="s">
        <v>825</v>
      </c>
      <c r="H586" t="s">
        <v>826</v>
      </c>
      <c r="J586">
        <v>-700</v>
      </c>
      <c r="K586">
        <v>-700</v>
      </c>
      <c r="O586" t="s">
        <v>742</v>
      </c>
      <c r="Q586" t="s">
        <v>463</v>
      </c>
      <c r="R586">
        <v>0</v>
      </c>
    </row>
    <row r="587" spans="1:18" x14ac:dyDescent="0.3">
      <c r="A587">
        <v>246744</v>
      </c>
      <c r="B587" t="s">
        <v>734</v>
      </c>
      <c r="C587" t="s">
        <v>1061</v>
      </c>
      <c r="D587" t="s">
        <v>775</v>
      </c>
      <c r="E587" s="465">
        <v>46204</v>
      </c>
      <c r="F587" s="465">
        <v>46230</v>
      </c>
      <c r="G587" t="s">
        <v>784</v>
      </c>
      <c r="H587" t="s">
        <v>238</v>
      </c>
      <c r="J587">
        <v>-600</v>
      </c>
      <c r="K587">
        <v>-600</v>
      </c>
      <c r="O587" t="s">
        <v>742</v>
      </c>
      <c r="Q587" t="s">
        <v>463</v>
      </c>
      <c r="R587">
        <v>0</v>
      </c>
    </row>
    <row r="588" spans="1:18" x14ac:dyDescent="0.3">
      <c r="A588">
        <v>246747</v>
      </c>
      <c r="B588" t="s">
        <v>734</v>
      </c>
      <c r="C588" t="s">
        <v>1062</v>
      </c>
      <c r="D588" t="s">
        <v>775</v>
      </c>
      <c r="E588" s="465">
        <v>46204</v>
      </c>
      <c r="F588" s="465">
        <v>46223</v>
      </c>
      <c r="G588" t="s">
        <v>784</v>
      </c>
      <c r="H588" t="s">
        <v>238</v>
      </c>
      <c r="J588">
        <v>-600</v>
      </c>
      <c r="K588">
        <v>-600</v>
      </c>
      <c r="O588" t="s">
        <v>742</v>
      </c>
      <c r="Q588" t="s">
        <v>463</v>
      </c>
      <c r="R588">
        <v>0</v>
      </c>
    </row>
    <row r="589" spans="1:18" x14ac:dyDescent="0.3">
      <c r="A589">
        <v>246748</v>
      </c>
      <c r="B589" t="s">
        <v>734</v>
      </c>
      <c r="C589" t="s">
        <v>1063</v>
      </c>
      <c r="D589" t="s">
        <v>775</v>
      </c>
      <c r="E589" s="465">
        <v>46204</v>
      </c>
      <c r="F589" s="465">
        <v>46223</v>
      </c>
      <c r="G589" t="s">
        <v>784</v>
      </c>
      <c r="H589" t="s">
        <v>238</v>
      </c>
      <c r="J589">
        <v>-600</v>
      </c>
      <c r="K589">
        <v>-600</v>
      </c>
      <c r="O589" t="s">
        <v>742</v>
      </c>
      <c r="Q589" t="s">
        <v>463</v>
      </c>
      <c r="R589">
        <v>0</v>
      </c>
    </row>
    <row r="590" spans="1:18" x14ac:dyDescent="0.3">
      <c r="A590">
        <v>246749</v>
      </c>
      <c r="B590" t="s">
        <v>734</v>
      </c>
      <c r="C590" t="s">
        <v>1064</v>
      </c>
      <c r="D590" t="s">
        <v>775</v>
      </c>
      <c r="E590" s="465">
        <v>46204</v>
      </c>
      <c r="F590" s="465">
        <v>46223</v>
      </c>
      <c r="G590" t="s">
        <v>784</v>
      </c>
      <c r="H590" t="s">
        <v>238</v>
      </c>
      <c r="J590">
        <v>-600</v>
      </c>
      <c r="K590">
        <v>-600</v>
      </c>
      <c r="O590" t="s">
        <v>742</v>
      </c>
      <c r="Q590" t="s">
        <v>463</v>
      </c>
      <c r="R590">
        <v>0</v>
      </c>
    </row>
    <row r="591" spans="1:18" x14ac:dyDescent="0.3">
      <c r="A591">
        <v>248337</v>
      </c>
      <c r="B591" t="s">
        <v>734</v>
      </c>
      <c r="C591" t="s">
        <v>1065</v>
      </c>
      <c r="D591" t="s">
        <v>1066</v>
      </c>
      <c r="E591" s="465">
        <v>46204</v>
      </c>
      <c r="F591" s="465">
        <v>46224</v>
      </c>
      <c r="G591" t="s">
        <v>1067</v>
      </c>
      <c r="H591" t="s">
        <v>292</v>
      </c>
      <c r="I591" t="s">
        <v>1068</v>
      </c>
      <c r="J591">
        <v>-2000</v>
      </c>
      <c r="K591">
        <v>-2000</v>
      </c>
      <c r="O591" t="s">
        <v>738</v>
      </c>
      <c r="P591" t="s">
        <v>863</v>
      </c>
      <c r="Q591" t="s">
        <v>463</v>
      </c>
      <c r="R591">
        <v>0</v>
      </c>
    </row>
    <row r="592" spans="1:18" x14ac:dyDescent="0.3">
      <c r="A592">
        <v>249184</v>
      </c>
      <c r="B592" t="s">
        <v>734</v>
      </c>
      <c r="C592" t="s">
        <v>1069</v>
      </c>
      <c r="E592" s="465">
        <v>46204</v>
      </c>
      <c r="F592" s="465">
        <v>46223</v>
      </c>
      <c r="G592" t="s">
        <v>787</v>
      </c>
      <c r="H592" t="s">
        <v>788</v>
      </c>
      <c r="J592">
        <v>-721.6</v>
      </c>
      <c r="K592">
        <v>-721.6</v>
      </c>
      <c r="O592" t="s">
        <v>738</v>
      </c>
      <c r="P592" t="s">
        <v>863</v>
      </c>
      <c r="Q592" t="s">
        <v>463</v>
      </c>
      <c r="R592">
        <v>0</v>
      </c>
    </row>
    <row r="593" spans="1:18" x14ac:dyDescent="0.3">
      <c r="A593">
        <v>249417</v>
      </c>
      <c r="B593" t="s">
        <v>734</v>
      </c>
      <c r="C593" t="s">
        <v>1070</v>
      </c>
      <c r="D593" t="s">
        <v>775</v>
      </c>
      <c r="E593" s="465">
        <v>46204</v>
      </c>
      <c r="F593" s="465">
        <v>46232</v>
      </c>
      <c r="G593" t="s">
        <v>784</v>
      </c>
      <c r="H593" t="s">
        <v>238</v>
      </c>
      <c r="I593" t="s">
        <v>1071</v>
      </c>
      <c r="J593">
        <v>-600</v>
      </c>
      <c r="K593">
        <v>-600</v>
      </c>
      <c r="O593" t="s">
        <v>742</v>
      </c>
      <c r="Q593" t="s">
        <v>463</v>
      </c>
      <c r="R593">
        <v>0</v>
      </c>
    </row>
    <row r="594" spans="1:18" x14ac:dyDescent="0.3">
      <c r="A594">
        <v>249416</v>
      </c>
      <c r="B594" t="s">
        <v>734</v>
      </c>
      <c r="C594" t="s">
        <v>1072</v>
      </c>
      <c r="D594" t="s">
        <v>775</v>
      </c>
      <c r="E594" s="465">
        <v>46204</v>
      </c>
      <c r="F594" s="465">
        <v>46232</v>
      </c>
      <c r="G594" t="s">
        <v>784</v>
      </c>
      <c r="H594" t="s">
        <v>238</v>
      </c>
      <c r="I594" t="s">
        <v>1071</v>
      </c>
      <c r="J594">
        <v>-600</v>
      </c>
      <c r="K594">
        <v>-600</v>
      </c>
      <c r="O594" t="s">
        <v>742</v>
      </c>
      <c r="Q594" t="s">
        <v>463</v>
      </c>
      <c r="R594">
        <v>0</v>
      </c>
    </row>
    <row r="595" spans="1:18" x14ac:dyDescent="0.3">
      <c r="A595">
        <v>249414</v>
      </c>
      <c r="B595" t="s">
        <v>734</v>
      </c>
      <c r="C595" t="s">
        <v>1073</v>
      </c>
      <c r="D595" t="s">
        <v>775</v>
      </c>
      <c r="E595" s="465">
        <v>46204</v>
      </c>
      <c r="F595" s="465">
        <v>46232</v>
      </c>
      <c r="G595" t="s">
        <v>784</v>
      </c>
      <c r="H595" t="s">
        <v>238</v>
      </c>
      <c r="I595" t="s">
        <v>1071</v>
      </c>
      <c r="J595">
        <v>-600</v>
      </c>
      <c r="K595">
        <v>-600</v>
      </c>
      <c r="O595" t="s">
        <v>742</v>
      </c>
      <c r="Q595" t="s">
        <v>463</v>
      </c>
      <c r="R595">
        <v>0</v>
      </c>
    </row>
    <row r="596" spans="1:18" x14ac:dyDescent="0.3">
      <c r="A596">
        <v>249412</v>
      </c>
      <c r="B596" t="s">
        <v>734</v>
      </c>
      <c r="C596" t="s">
        <v>1074</v>
      </c>
      <c r="D596" t="s">
        <v>775</v>
      </c>
      <c r="E596" s="465">
        <v>46204</v>
      </c>
      <c r="F596" s="465">
        <v>46232</v>
      </c>
      <c r="G596" t="s">
        <v>784</v>
      </c>
      <c r="H596" t="s">
        <v>238</v>
      </c>
      <c r="I596" t="s">
        <v>1071</v>
      </c>
      <c r="J596">
        <v>-600</v>
      </c>
      <c r="K596">
        <v>-600</v>
      </c>
      <c r="O596" t="s">
        <v>742</v>
      </c>
      <c r="Q596" t="s">
        <v>463</v>
      </c>
      <c r="R596">
        <v>0</v>
      </c>
    </row>
    <row r="597" spans="1:18" x14ac:dyDescent="0.3">
      <c r="A597">
        <v>249411</v>
      </c>
      <c r="B597" t="s">
        <v>734</v>
      </c>
      <c r="C597" t="s">
        <v>1075</v>
      </c>
      <c r="D597" t="s">
        <v>775</v>
      </c>
      <c r="E597" s="465">
        <v>46204</v>
      </c>
      <c r="F597" s="465">
        <v>46232</v>
      </c>
      <c r="G597" t="s">
        <v>784</v>
      </c>
      <c r="H597" t="s">
        <v>238</v>
      </c>
      <c r="I597" t="s">
        <v>1071</v>
      </c>
      <c r="J597">
        <v>-600</v>
      </c>
      <c r="K597">
        <v>-600</v>
      </c>
      <c r="O597" t="s">
        <v>742</v>
      </c>
      <c r="Q597" t="s">
        <v>463</v>
      </c>
      <c r="R597">
        <v>0</v>
      </c>
    </row>
    <row r="598" spans="1:18" x14ac:dyDescent="0.3">
      <c r="A598">
        <v>249409</v>
      </c>
      <c r="B598" t="s">
        <v>734</v>
      </c>
      <c r="C598" t="s">
        <v>1076</v>
      </c>
      <c r="D598" t="s">
        <v>775</v>
      </c>
      <c r="E598" s="465">
        <v>46204</v>
      </c>
      <c r="F598" s="465">
        <v>46232</v>
      </c>
      <c r="G598" t="s">
        <v>784</v>
      </c>
      <c r="H598" t="s">
        <v>238</v>
      </c>
      <c r="I598" t="s">
        <v>1071</v>
      </c>
      <c r="J598">
        <v>-600</v>
      </c>
      <c r="K598">
        <v>-600</v>
      </c>
      <c r="O598" t="s">
        <v>742</v>
      </c>
      <c r="Q598" t="s">
        <v>463</v>
      </c>
      <c r="R598">
        <v>0</v>
      </c>
    </row>
    <row r="599" spans="1:18" x14ac:dyDescent="0.3">
      <c r="A599">
        <v>249408</v>
      </c>
      <c r="B599" t="s">
        <v>734</v>
      </c>
      <c r="C599" t="s">
        <v>1077</v>
      </c>
      <c r="D599" t="s">
        <v>775</v>
      </c>
      <c r="E599" s="465">
        <v>46204</v>
      </c>
      <c r="F599" s="465">
        <v>46232</v>
      </c>
      <c r="G599" t="s">
        <v>784</v>
      </c>
      <c r="H599" t="s">
        <v>238</v>
      </c>
      <c r="I599" t="s">
        <v>1071</v>
      </c>
      <c r="J599">
        <v>-600</v>
      </c>
      <c r="K599">
        <v>-600</v>
      </c>
      <c r="O599" t="s">
        <v>742</v>
      </c>
      <c r="Q599" t="s">
        <v>463</v>
      </c>
      <c r="R599">
        <v>0</v>
      </c>
    </row>
    <row r="600" spans="1:18" x14ac:dyDescent="0.3">
      <c r="A600">
        <v>249169</v>
      </c>
      <c r="B600" t="s">
        <v>734</v>
      </c>
      <c r="C600" t="s">
        <v>1078</v>
      </c>
      <c r="E600" s="465">
        <v>46204</v>
      </c>
      <c r="F600" s="465">
        <v>46223</v>
      </c>
      <c r="G600" t="s">
        <v>787</v>
      </c>
      <c r="H600" t="s">
        <v>788</v>
      </c>
      <c r="J600">
        <v>-828</v>
      </c>
      <c r="K600">
        <v>-828</v>
      </c>
      <c r="O600" t="s">
        <v>738</v>
      </c>
      <c r="P600" t="s">
        <v>863</v>
      </c>
      <c r="Q600" t="s">
        <v>463</v>
      </c>
      <c r="R600">
        <v>0</v>
      </c>
    </row>
    <row r="601" spans="1:18" x14ac:dyDescent="0.3">
      <c r="A601">
        <v>249183</v>
      </c>
      <c r="B601" t="s">
        <v>734</v>
      </c>
      <c r="C601" t="s">
        <v>1079</v>
      </c>
      <c r="E601" s="465">
        <v>46204</v>
      </c>
      <c r="F601" s="465">
        <v>46223</v>
      </c>
      <c r="G601" t="s">
        <v>787</v>
      </c>
      <c r="H601" t="s">
        <v>788</v>
      </c>
      <c r="J601">
        <v>-721.6</v>
      </c>
      <c r="K601">
        <v>-721.6</v>
      </c>
      <c r="O601" t="s">
        <v>738</v>
      </c>
      <c r="P601" t="s">
        <v>863</v>
      </c>
      <c r="Q601" t="s">
        <v>463</v>
      </c>
      <c r="R601">
        <v>0</v>
      </c>
    </row>
    <row r="602" spans="1:18" x14ac:dyDescent="0.3">
      <c r="A602">
        <v>249182</v>
      </c>
      <c r="B602" t="s">
        <v>734</v>
      </c>
      <c r="C602" t="s">
        <v>1080</v>
      </c>
      <c r="E602" s="465">
        <v>46204</v>
      </c>
      <c r="F602" s="465">
        <v>46223</v>
      </c>
      <c r="G602" t="s">
        <v>787</v>
      </c>
      <c r="H602" t="s">
        <v>788</v>
      </c>
      <c r="J602">
        <v>-721.6</v>
      </c>
      <c r="K602">
        <v>-721.6</v>
      </c>
      <c r="O602" t="s">
        <v>738</v>
      </c>
      <c r="P602" t="s">
        <v>863</v>
      </c>
      <c r="Q602" t="s">
        <v>463</v>
      </c>
      <c r="R602">
        <v>0</v>
      </c>
    </row>
    <row r="603" spans="1:18" x14ac:dyDescent="0.3">
      <c r="A603">
        <v>249181</v>
      </c>
      <c r="B603" t="s">
        <v>734</v>
      </c>
      <c r="C603" t="s">
        <v>1081</v>
      </c>
      <c r="E603" s="465">
        <v>46204</v>
      </c>
      <c r="F603" s="465">
        <v>46223</v>
      </c>
      <c r="G603" t="s">
        <v>787</v>
      </c>
      <c r="H603" t="s">
        <v>788</v>
      </c>
      <c r="J603">
        <v>-721.6</v>
      </c>
      <c r="K603">
        <v>-721.6</v>
      </c>
      <c r="O603" t="s">
        <v>738</v>
      </c>
      <c r="P603" t="s">
        <v>863</v>
      </c>
      <c r="Q603" t="s">
        <v>463</v>
      </c>
      <c r="R603">
        <v>0</v>
      </c>
    </row>
    <row r="604" spans="1:18" x14ac:dyDescent="0.3">
      <c r="A604">
        <v>249180</v>
      </c>
      <c r="B604" t="s">
        <v>734</v>
      </c>
      <c r="C604" t="s">
        <v>1082</v>
      </c>
      <c r="E604" s="465">
        <v>46204</v>
      </c>
      <c r="F604" s="465">
        <v>46223</v>
      </c>
      <c r="G604" t="s">
        <v>787</v>
      </c>
      <c r="H604" t="s">
        <v>788</v>
      </c>
      <c r="J604">
        <v>-721.6</v>
      </c>
      <c r="K604">
        <v>-721.6</v>
      </c>
      <c r="O604" t="s">
        <v>738</v>
      </c>
      <c r="P604" t="s">
        <v>863</v>
      </c>
      <c r="Q604" t="s">
        <v>463</v>
      </c>
      <c r="R604">
        <v>0</v>
      </c>
    </row>
    <row r="605" spans="1:18" x14ac:dyDescent="0.3">
      <c r="A605">
        <v>249179</v>
      </c>
      <c r="B605" t="s">
        <v>734</v>
      </c>
      <c r="C605" t="s">
        <v>1083</v>
      </c>
      <c r="E605" s="465">
        <v>46204</v>
      </c>
      <c r="F605" s="465">
        <v>46223</v>
      </c>
      <c r="G605" t="s">
        <v>787</v>
      </c>
      <c r="H605" t="s">
        <v>788</v>
      </c>
      <c r="J605">
        <v>-721.6</v>
      </c>
      <c r="K605">
        <v>-721.6</v>
      </c>
      <c r="O605" t="s">
        <v>738</v>
      </c>
      <c r="P605" t="s">
        <v>863</v>
      </c>
      <c r="Q605" t="s">
        <v>463</v>
      </c>
      <c r="R605">
        <v>0</v>
      </c>
    </row>
    <row r="606" spans="1:18" x14ac:dyDescent="0.3">
      <c r="A606">
        <v>249178</v>
      </c>
      <c r="B606" t="s">
        <v>734</v>
      </c>
      <c r="C606" t="s">
        <v>1084</v>
      </c>
      <c r="E606" s="465">
        <v>46204</v>
      </c>
      <c r="F606" s="465">
        <v>46223</v>
      </c>
      <c r="G606" t="s">
        <v>787</v>
      </c>
      <c r="H606" t="s">
        <v>788</v>
      </c>
      <c r="J606">
        <v>-721.6</v>
      </c>
      <c r="K606">
        <v>-721.6</v>
      </c>
      <c r="O606" t="s">
        <v>738</v>
      </c>
      <c r="P606" t="s">
        <v>863</v>
      </c>
      <c r="Q606" t="s">
        <v>463</v>
      </c>
      <c r="R606">
        <v>0</v>
      </c>
    </row>
    <row r="607" spans="1:18" x14ac:dyDescent="0.3">
      <c r="A607">
        <v>249177</v>
      </c>
      <c r="B607" t="s">
        <v>734</v>
      </c>
      <c r="C607" t="s">
        <v>1085</v>
      </c>
      <c r="E607" s="465">
        <v>46204</v>
      </c>
      <c r="F607" s="465">
        <v>46223</v>
      </c>
      <c r="G607" t="s">
        <v>787</v>
      </c>
      <c r="H607" t="s">
        <v>788</v>
      </c>
      <c r="J607">
        <v>-721.6</v>
      </c>
      <c r="K607">
        <v>-721.6</v>
      </c>
      <c r="O607" t="s">
        <v>738</v>
      </c>
      <c r="P607" t="s">
        <v>863</v>
      </c>
      <c r="Q607" t="s">
        <v>463</v>
      </c>
      <c r="R607">
        <v>0</v>
      </c>
    </row>
    <row r="608" spans="1:18" x14ac:dyDescent="0.3">
      <c r="A608">
        <v>249176</v>
      </c>
      <c r="B608" t="s">
        <v>734</v>
      </c>
      <c r="C608" t="s">
        <v>1086</v>
      </c>
      <c r="E608" s="465">
        <v>46204</v>
      </c>
      <c r="F608" s="465">
        <v>46223</v>
      </c>
      <c r="G608" t="s">
        <v>787</v>
      </c>
      <c r="H608" t="s">
        <v>788</v>
      </c>
      <c r="J608">
        <v>-828</v>
      </c>
      <c r="K608">
        <v>-828</v>
      </c>
      <c r="O608" t="s">
        <v>738</v>
      </c>
      <c r="P608" t="s">
        <v>863</v>
      </c>
      <c r="Q608" t="s">
        <v>463</v>
      </c>
      <c r="R608">
        <v>0</v>
      </c>
    </row>
    <row r="609" spans="1:18" x14ac:dyDescent="0.3">
      <c r="A609">
        <v>249175</v>
      </c>
      <c r="B609" t="s">
        <v>734</v>
      </c>
      <c r="C609" t="s">
        <v>1055</v>
      </c>
      <c r="E609" s="465">
        <v>46204</v>
      </c>
      <c r="F609" s="465">
        <v>46223</v>
      </c>
      <c r="G609" t="s">
        <v>787</v>
      </c>
      <c r="H609" t="s">
        <v>788</v>
      </c>
      <c r="J609">
        <v>-828</v>
      </c>
      <c r="K609">
        <v>-828</v>
      </c>
      <c r="O609" t="s">
        <v>738</v>
      </c>
      <c r="P609" t="s">
        <v>863</v>
      </c>
      <c r="Q609" t="s">
        <v>463</v>
      </c>
      <c r="R609">
        <v>0</v>
      </c>
    </row>
    <row r="610" spans="1:18" x14ac:dyDescent="0.3">
      <c r="A610">
        <v>249174</v>
      </c>
      <c r="B610" t="s">
        <v>734</v>
      </c>
      <c r="C610" t="s">
        <v>1087</v>
      </c>
      <c r="E610" s="465">
        <v>46204</v>
      </c>
      <c r="F610" s="465">
        <v>46223</v>
      </c>
      <c r="G610" t="s">
        <v>787</v>
      </c>
      <c r="H610" t="s">
        <v>788</v>
      </c>
      <c r="J610">
        <v>-828</v>
      </c>
      <c r="K610">
        <v>-828</v>
      </c>
      <c r="O610" t="s">
        <v>738</v>
      </c>
      <c r="P610" t="s">
        <v>863</v>
      </c>
      <c r="Q610" t="s">
        <v>463</v>
      </c>
      <c r="R610">
        <v>0</v>
      </c>
    </row>
    <row r="611" spans="1:18" x14ac:dyDescent="0.3">
      <c r="A611">
        <v>249173</v>
      </c>
      <c r="B611" t="s">
        <v>734</v>
      </c>
      <c r="C611" t="s">
        <v>1088</v>
      </c>
      <c r="E611" s="465">
        <v>46204</v>
      </c>
      <c r="F611" s="465">
        <v>46223</v>
      </c>
      <c r="G611" t="s">
        <v>787</v>
      </c>
      <c r="H611" t="s">
        <v>788</v>
      </c>
      <c r="J611">
        <v>-828</v>
      </c>
      <c r="K611">
        <v>-828</v>
      </c>
      <c r="O611" t="s">
        <v>738</v>
      </c>
      <c r="P611" t="s">
        <v>863</v>
      </c>
      <c r="Q611" t="s">
        <v>463</v>
      </c>
      <c r="R611">
        <v>0</v>
      </c>
    </row>
    <row r="612" spans="1:18" x14ac:dyDescent="0.3">
      <c r="A612">
        <v>249172</v>
      </c>
      <c r="B612" t="s">
        <v>734</v>
      </c>
      <c r="C612" t="s">
        <v>1089</v>
      </c>
      <c r="E612" s="465">
        <v>46204</v>
      </c>
      <c r="F612" s="465">
        <v>46223</v>
      </c>
      <c r="G612" t="s">
        <v>787</v>
      </c>
      <c r="H612" t="s">
        <v>788</v>
      </c>
      <c r="J612">
        <v>-1226.8</v>
      </c>
      <c r="K612">
        <v>-1226.8</v>
      </c>
      <c r="O612" t="s">
        <v>738</v>
      </c>
      <c r="P612" t="s">
        <v>863</v>
      </c>
      <c r="Q612" t="s">
        <v>463</v>
      </c>
      <c r="R612">
        <v>0</v>
      </c>
    </row>
    <row r="613" spans="1:18" x14ac:dyDescent="0.3">
      <c r="A613">
        <v>249171</v>
      </c>
      <c r="B613" t="s">
        <v>734</v>
      </c>
      <c r="C613" t="s">
        <v>1090</v>
      </c>
      <c r="E613" s="465">
        <v>46204</v>
      </c>
      <c r="F613" s="465">
        <v>46223</v>
      </c>
      <c r="G613" t="s">
        <v>787</v>
      </c>
      <c r="H613" t="s">
        <v>788</v>
      </c>
      <c r="J613">
        <v>-828</v>
      </c>
      <c r="K613">
        <v>-828</v>
      </c>
      <c r="O613" t="s">
        <v>738</v>
      </c>
      <c r="P613" t="s">
        <v>863</v>
      </c>
      <c r="Q613" t="s">
        <v>463</v>
      </c>
      <c r="R613">
        <v>0</v>
      </c>
    </row>
    <row r="614" spans="1:18" x14ac:dyDescent="0.3">
      <c r="A614">
        <v>249170</v>
      </c>
      <c r="B614" t="s">
        <v>734</v>
      </c>
      <c r="C614" t="s">
        <v>1091</v>
      </c>
      <c r="E614" s="465">
        <v>46204</v>
      </c>
      <c r="F614" s="465">
        <v>46223</v>
      </c>
      <c r="G614" t="s">
        <v>787</v>
      </c>
      <c r="H614" t="s">
        <v>788</v>
      </c>
      <c r="J614">
        <v>-828</v>
      </c>
      <c r="K614">
        <v>-828</v>
      </c>
      <c r="O614" t="s">
        <v>738</v>
      </c>
      <c r="P614" t="s">
        <v>863</v>
      </c>
      <c r="Q614" t="s">
        <v>463</v>
      </c>
      <c r="R614">
        <v>0</v>
      </c>
    </row>
    <row r="615" spans="1:18" x14ac:dyDescent="0.3">
      <c r="A615">
        <v>237250</v>
      </c>
      <c r="B615" t="s">
        <v>734</v>
      </c>
      <c r="C615" t="s">
        <v>797</v>
      </c>
      <c r="D615" t="s">
        <v>775</v>
      </c>
      <c r="E615" s="465">
        <v>46203</v>
      </c>
      <c r="F615" s="465">
        <v>46213</v>
      </c>
      <c r="G615" t="s">
        <v>784</v>
      </c>
      <c r="H615" t="s">
        <v>798</v>
      </c>
      <c r="J615">
        <v>-100</v>
      </c>
      <c r="K615">
        <v>-100</v>
      </c>
      <c r="O615" t="s">
        <v>742</v>
      </c>
      <c r="Q615" t="s">
        <v>462</v>
      </c>
      <c r="R615">
        <v>0</v>
      </c>
    </row>
    <row r="616" spans="1:18" x14ac:dyDescent="0.3">
      <c r="A616">
        <v>223688</v>
      </c>
      <c r="B616" t="s">
        <v>734</v>
      </c>
      <c r="C616" t="s">
        <v>49</v>
      </c>
      <c r="D616" t="s">
        <v>1092</v>
      </c>
      <c r="E616" s="465">
        <v>46203</v>
      </c>
      <c r="F616" s="465">
        <v>46213</v>
      </c>
      <c r="G616" t="s">
        <v>833</v>
      </c>
      <c r="H616" t="s">
        <v>349</v>
      </c>
      <c r="J616">
        <v>-5528.47</v>
      </c>
      <c r="K616">
        <v>-5528.47</v>
      </c>
      <c r="O616" t="s">
        <v>738</v>
      </c>
      <c r="P616" t="s">
        <v>860</v>
      </c>
      <c r="Q616" t="s">
        <v>462</v>
      </c>
      <c r="R616">
        <v>0</v>
      </c>
    </row>
    <row r="617" spans="1:18" x14ac:dyDescent="0.3">
      <c r="A617">
        <v>244288</v>
      </c>
      <c r="B617" t="s">
        <v>734</v>
      </c>
      <c r="C617" t="s">
        <v>818</v>
      </c>
      <c r="D617" t="s">
        <v>1093</v>
      </c>
      <c r="E617" s="465">
        <v>46203</v>
      </c>
      <c r="F617" s="465">
        <v>46228</v>
      </c>
      <c r="G617" t="s">
        <v>1094</v>
      </c>
      <c r="H617" t="s">
        <v>112</v>
      </c>
      <c r="I617" t="s">
        <v>1095</v>
      </c>
      <c r="J617">
        <v>-1500</v>
      </c>
      <c r="K617">
        <v>-1500</v>
      </c>
      <c r="O617" t="s">
        <v>738</v>
      </c>
      <c r="Q617" t="s">
        <v>462</v>
      </c>
      <c r="R617">
        <v>0</v>
      </c>
    </row>
    <row r="618" spans="1:18" x14ac:dyDescent="0.3">
      <c r="A618">
        <v>244289</v>
      </c>
      <c r="B618" t="s">
        <v>734</v>
      </c>
      <c r="C618" t="s">
        <v>827</v>
      </c>
      <c r="D618" t="s">
        <v>1093</v>
      </c>
      <c r="E618" s="465">
        <v>46203</v>
      </c>
      <c r="F618" s="465">
        <v>46228</v>
      </c>
      <c r="G618" t="s">
        <v>1094</v>
      </c>
      <c r="H618" t="s">
        <v>112</v>
      </c>
      <c r="I618" t="s">
        <v>1095</v>
      </c>
      <c r="J618">
        <v>-1500</v>
      </c>
      <c r="K618">
        <v>-1500</v>
      </c>
      <c r="O618" t="s">
        <v>738</v>
      </c>
      <c r="Q618" t="s">
        <v>462</v>
      </c>
      <c r="R618">
        <v>0</v>
      </c>
    </row>
    <row r="619" spans="1:18" x14ac:dyDescent="0.3">
      <c r="A619">
        <v>244290</v>
      </c>
      <c r="B619" t="s">
        <v>734</v>
      </c>
      <c r="C619" t="s">
        <v>849</v>
      </c>
      <c r="D619" t="s">
        <v>1096</v>
      </c>
      <c r="E619" s="465">
        <v>46203</v>
      </c>
      <c r="F619" s="465">
        <v>46228</v>
      </c>
      <c r="G619" t="s">
        <v>1094</v>
      </c>
      <c r="H619" t="s">
        <v>112</v>
      </c>
      <c r="I619" t="s">
        <v>1095</v>
      </c>
      <c r="J619">
        <v>-6496</v>
      </c>
      <c r="K619">
        <v>-6496</v>
      </c>
      <c r="M619" t="s">
        <v>851</v>
      </c>
      <c r="N619" t="s">
        <v>130</v>
      </c>
      <c r="O619" t="s">
        <v>738</v>
      </c>
      <c r="Q619" t="s">
        <v>462</v>
      </c>
      <c r="R619">
        <v>0</v>
      </c>
    </row>
    <row r="620" spans="1:18" x14ac:dyDescent="0.3">
      <c r="A620">
        <v>241882</v>
      </c>
      <c r="B620" t="s">
        <v>734</v>
      </c>
      <c r="C620" t="s">
        <v>1097</v>
      </c>
      <c r="D620" t="s">
        <v>462</v>
      </c>
      <c r="E620" s="465">
        <v>46203</v>
      </c>
      <c r="F620" s="465">
        <v>46213</v>
      </c>
      <c r="G620" t="s">
        <v>255</v>
      </c>
      <c r="H620" t="s">
        <v>262</v>
      </c>
      <c r="I620" t="s">
        <v>1098</v>
      </c>
      <c r="J620">
        <v>-236.35</v>
      </c>
      <c r="K620">
        <v>-236.35</v>
      </c>
      <c r="O620" t="s">
        <v>738</v>
      </c>
      <c r="P620" t="s">
        <v>860</v>
      </c>
      <c r="Q620" t="s">
        <v>462</v>
      </c>
      <c r="R620">
        <v>0</v>
      </c>
    </row>
    <row r="621" spans="1:18" x14ac:dyDescent="0.3">
      <c r="A621">
        <v>228282</v>
      </c>
      <c r="B621" t="s">
        <v>734</v>
      </c>
      <c r="C621" t="s">
        <v>830</v>
      </c>
      <c r="D621" t="s">
        <v>1099</v>
      </c>
      <c r="E621" s="465">
        <v>46203</v>
      </c>
      <c r="F621" s="465">
        <v>46209</v>
      </c>
      <c r="G621" t="s">
        <v>263</v>
      </c>
      <c r="H621" t="s">
        <v>265</v>
      </c>
      <c r="I621" t="s">
        <v>1100</v>
      </c>
      <c r="J621">
        <v>-2127.59</v>
      </c>
      <c r="K621">
        <v>-2127.59</v>
      </c>
      <c r="O621" t="s">
        <v>738</v>
      </c>
      <c r="P621" t="s">
        <v>860</v>
      </c>
      <c r="Q621" t="s">
        <v>462</v>
      </c>
      <c r="R621">
        <v>0</v>
      </c>
    </row>
    <row r="622" spans="1:18" x14ac:dyDescent="0.3">
      <c r="A622">
        <v>228991</v>
      </c>
      <c r="B622" t="s">
        <v>734</v>
      </c>
      <c r="C622" t="s">
        <v>836</v>
      </c>
      <c r="D622" t="s">
        <v>1092</v>
      </c>
      <c r="E622" s="465">
        <v>46203</v>
      </c>
      <c r="F622" s="465">
        <v>46223</v>
      </c>
      <c r="G622" t="s">
        <v>833</v>
      </c>
      <c r="H622" t="s">
        <v>348</v>
      </c>
      <c r="J622">
        <v>-2320.35</v>
      </c>
      <c r="K622">
        <v>-2320.35</v>
      </c>
      <c r="O622" t="s">
        <v>738</v>
      </c>
      <c r="Q622" t="s">
        <v>462</v>
      </c>
      <c r="R622">
        <v>0</v>
      </c>
    </row>
    <row r="623" spans="1:18" x14ac:dyDescent="0.3">
      <c r="A623">
        <v>244287</v>
      </c>
      <c r="B623" t="s">
        <v>734</v>
      </c>
      <c r="C623" t="s">
        <v>816</v>
      </c>
      <c r="D623" t="s">
        <v>1093</v>
      </c>
      <c r="E623" s="465">
        <v>46203</v>
      </c>
      <c r="F623" s="465">
        <v>46228</v>
      </c>
      <c r="G623" t="s">
        <v>1094</v>
      </c>
      <c r="H623" t="s">
        <v>112</v>
      </c>
      <c r="I623" t="s">
        <v>1095</v>
      </c>
      <c r="J623">
        <v>-1500</v>
      </c>
      <c r="K623">
        <v>-1500</v>
      </c>
      <c r="O623" t="s">
        <v>738</v>
      </c>
      <c r="Q623" t="s">
        <v>462</v>
      </c>
      <c r="R623">
        <v>0</v>
      </c>
    </row>
    <row r="624" spans="1:18" x14ac:dyDescent="0.3">
      <c r="A624">
        <v>244286</v>
      </c>
      <c r="B624" t="s">
        <v>734</v>
      </c>
      <c r="C624" t="s">
        <v>846</v>
      </c>
      <c r="D624" t="s">
        <v>1093</v>
      </c>
      <c r="E624" s="465">
        <v>46203</v>
      </c>
      <c r="F624" s="465">
        <v>46228</v>
      </c>
      <c r="G624" t="s">
        <v>1094</v>
      </c>
      <c r="H624" t="s">
        <v>112</v>
      </c>
      <c r="I624" t="s">
        <v>1095</v>
      </c>
      <c r="J624">
        <v>-6496</v>
      </c>
      <c r="K624">
        <v>-6496</v>
      </c>
      <c r="M624" t="s">
        <v>848</v>
      </c>
      <c r="N624" t="s">
        <v>131</v>
      </c>
      <c r="O624" t="s">
        <v>738</v>
      </c>
      <c r="Q624" t="s">
        <v>462</v>
      </c>
      <c r="R624">
        <v>0</v>
      </c>
    </row>
    <row r="625" spans="1:18" x14ac:dyDescent="0.3">
      <c r="A625">
        <v>242110</v>
      </c>
      <c r="B625" t="s">
        <v>734</v>
      </c>
      <c r="C625" t="s">
        <v>1097</v>
      </c>
      <c r="D625" t="s">
        <v>462</v>
      </c>
      <c r="E625" s="465">
        <v>46203</v>
      </c>
      <c r="F625" s="465">
        <v>46213</v>
      </c>
      <c r="G625" t="s">
        <v>255</v>
      </c>
      <c r="H625" t="s">
        <v>262</v>
      </c>
      <c r="I625" t="s">
        <v>1101</v>
      </c>
      <c r="J625">
        <v>-236.35</v>
      </c>
      <c r="K625">
        <v>-236.35</v>
      </c>
      <c r="O625" t="s">
        <v>738</v>
      </c>
      <c r="P625" t="s">
        <v>860</v>
      </c>
      <c r="Q625" t="s">
        <v>462</v>
      </c>
      <c r="R625">
        <v>0</v>
      </c>
    </row>
    <row r="626" spans="1:18" x14ac:dyDescent="0.3">
      <c r="A626">
        <v>244285</v>
      </c>
      <c r="B626" t="s">
        <v>734</v>
      </c>
      <c r="C626" t="s">
        <v>808</v>
      </c>
      <c r="D626" t="s">
        <v>1093</v>
      </c>
      <c r="E626" s="465">
        <v>46203</v>
      </c>
      <c r="F626" s="465">
        <v>46228</v>
      </c>
      <c r="G626" t="s">
        <v>1094</v>
      </c>
      <c r="H626" t="s">
        <v>112</v>
      </c>
      <c r="I626" t="s">
        <v>1095</v>
      </c>
      <c r="J626">
        <v>-1500</v>
      </c>
      <c r="K626">
        <v>-1500</v>
      </c>
      <c r="O626" t="s">
        <v>738</v>
      </c>
      <c r="Q626" t="s">
        <v>462</v>
      </c>
      <c r="R626">
        <v>0</v>
      </c>
    </row>
    <row r="627" spans="1:18" x14ac:dyDescent="0.3">
      <c r="A627">
        <v>244284</v>
      </c>
      <c r="B627" t="s">
        <v>734</v>
      </c>
      <c r="C627" t="s">
        <v>1102</v>
      </c>
      <c r="D627" t="s">
        <v>1093</v>
      </c>
      <c r="E627" s="465">
        <v>46203</v>
      </c>
      <c r="F627" s="465">
        <v>46228</v>
      </c>
      <c r="G627" t="s">
        <v>1094</v>
      </c>
      <c r="H627" t="s">
        <v>112</v>
      </c>
      <c r="I627" t="s">
        <v>1095</v>
      </c>
      <c r="J627">
        <v>-1500</v>
      </c>
      <c r="K627">
        <v>-1500</v>
      </c>
      <c r="M627" t="s">
        <v>1103</v>
      </c>
      <c r="N627" t="s">
        <v>134</v>
      </c>
      <c r="O627" t="s">
        <v>738</v>
      </c>
      <c r="Q627" t="s">
        <v>462</v>
      </c>
      <c r="R627">
        <v>0</v>
      </c>
    </row>
    <row r="628" spans="1:18" x14ac:dyDescent="0.3">
      <c r="A628">
        <v>244283</v>
      </c>
      <c r="B628" t="s">
        <v>734</v>
      </c>
      <c r="C628" t="s">
        <v>804</v>
      </c>
      <c r="D628" t="s">
        <v>1093</v>
      </c>
      <c r="E628" s="465">
        <v>46203</v>
      </c>
      <c r="F628" s="465">
        <v>46228</v>
      </c>
      <c r="G628" t="s">
        <v>1094</v>
      </c>
      <c r="H628" t="s">
        <v>112</v>
      </c>
      <c r="I628" t="s">
        <v>1095</v>
      </c>
      <c r="J628">
        <v>-1500</v>
      </c>
      <c r="K628">
        <v>-1500</v>
      </c>
      <c r="O628" t="s">
        <v>738</v>
      </c>
      <c r="Q628" t="s">
        <v>462</v>
      </c>
      <c r="R628">
        <v>0</v>
      </c>
    </row>
    <row r="629" spans="1:18" x14ac:dyDescent="0.3">
      <c r="A629">
        <v>243030</v>
      </c>
      <c r="B629" t="s">
        <v>734</v>
      </c>
      <c r="C629" t="s">
        <v>824</v>
      </c>
      <c r="D629" t="s">
        <v>871</v>
      </c>
      <c r="E629" s="465">
        <v>46203</v>
      </c>
      <c r="F629" s="465">
        <v>46203</v>
      </c>
      <c r="G629" t="s">
        <v>825</v>
      </c>
      <c r="H629" t="s">
        <v>826</v>
      </c>
      <c r="J629">
        <v>-1</v>
      </c>
      <c r="K629">
        <v>-1</v>
      </c>
      <c r="O629" t="s">
        <v>738</v>
      </c>
      <c r="P629" t="s">
        <v>860</v>
      </c>
      <c r="Q629" t="s">
        <v>462</v>
      </c>
      <c r="R629">
        <v>0</v>
      </c>
    </row>
    <row r="630" spans="1:18" x14ac:dyDescent="0.3">
      <c r="A630">
        <v>243029</v>
      </c>
      <c r="B630" t="s">
        <v>734</v>
      </c>
      <c r="C630" t="s">
        <v>824</v>
      </c>
      <c r="D630" t="s">
        <v>871</v>
      </c>
      <c r="E630" s="465">
        <v>46203</v>
      </c>
      <c r="F630" s="465">
        <v>46203</v>
      </c>
      <c r="G630" t="s">
        <v>825</v>
      </c>
      <c r="H630" t="s">
        <v>826</v>
      </c>
      <c r="J630">
        <v>-1</v>
      </c>
      <c r="K630">
        <v>-1</v>
      </c>
      <c r="O630" t="s">
        <v>738</v>
      </c>
      <c r="P630" t="s">
        <v>860</v>
      </c>
      <c r="Q630" t="s">
        <v>462</v>
      </c>
      <c r="R630">
        <v>0</v>
      </c>
    </row>
    <row r="631" spans="1:18" x14ac:dyDescent="0.3">
      <c r="A631">
        <v>249051</v>
      </c>
      <c r="B631" t="s">
        <v>734</v>
      </c>
      <c r="C631" t="s">
        <v>780</v>
      </c>
      <c r="D631" t="s">
        <v>1092</v>
      </c>
      <c r="E631" s="465">
        <v>46203</v>
      </c>
      <c r="F631" s="465">
        <v>46223</v>
      </c>
      <c r="G631" t="s">
        <v>784</v>
      </c>
      <c r="H631" t="s">
        <v>246</v>
      </c>
      <c r="J631">
        <v>-47.78</v>
      </c>
      <c r="K631">
        <v>-47.78</v>
      </c>
      <c r="O631" t="s">
        <v>738</v>
      </c>
      <c r="Q631" t="s">
        <v>462</v>
      </c>
      <c r="R631">
        <v>0</v>
      </c>
    </row>
    <row r="632" spans="1:18" x14ac:dyDescent="0.3">
      <c r="A632">
        <v>241337</v>
      </c>
      <c r="B632" t="s">
        <v>734</v>
      </c>
      <c r="C632" t="s">
        <v>735</v>
      </c>
      <c r="D632" t="s">
        <v>1104</v>
      </c>
      <c r="E632" s="465">
        <v>46202</v>
      </c>
      <c r="F632" s="465">
        <v>46208</v>
      </c>
      <c r="G632" t="s">
        <v>255</v>
      </c>
      <c r="H632" t="s">
        <v>260</v>
      </c>
      <c r="J632">
        <v>-506.88</v>
      </c>
      <c r="K632">
        <v>-558.07000000000005</v>
      </c>
      <c r="O632" t="s">
        <v>738</v>
      </c>
      <c r="P632" t="s">
        <v>860</v>
      </c>
      <c r="Q632" t="s">
        <v>462</v>
      </c>
      <c r="R632">
        <v>0</v>
      </c>
    </row>
    <row r="633" spans="1:18" x14ac:dyDescent="0.3">
      <c r="A633">
        <v>242786</v>
      </c>
      <c r="B633" t="s">
        <v>734</v>
      </c>
      <c r="C633" t="s">
        <v>824</v>
      </c>
      <c r="D633" t="s">
        <v>871</v>
      </c>
      <c r="E633" s="465">
        <v>46202</v>
      </c>
      <c r="F633" s="465">
        <v>46202</v>
      </c>
      <c r="G633" t="s">
        <v>825</v>
      </c>
      <c r="H633" t="s">
        <v>826</v>
      </c>
      <c r="J633">
        <v>-1</v>
      </c>
      <c r="K633">
        <v>-1</v>
      </c>
      <c r="O633" t="s">
        <v>738</v>
      </c>
      <c r="P633" t="s">
        <v>860</v>
      </c>
      <c r="Q633" t="s">
        <v>462</v>
      </c>
      <c r="R633">
        <v>0</v>
      </c>
    </row>
    <row r="634" spans="1:18" x14ac:dyDescent="0.3">
      <c r="A634">
        <v>242788</v>
      </c>
      <c r="B634" t="s">
        <v>734</v>
      </c>
      <c r="C634" t="s">
        <v>824</v>
      </c>
      <c r="D634" t="s">
        <v>871</v>
      </c>
      <c r="E634" s="465">
        <v>46202</v>
      </c>
      <c r="F634" s="465">
        <v>46202</v>
      </c>
      <c r="G634" t="s">
        <v>825</v>
      </c>
      <c r="H634" t="s">
        <v>826</v>
      </c>
      <c r="J634">
        <v>-0.5</v>
      </c>
      <c r="K634">
        <v>-0.5</v>
      </c>
      <c r="O634" t="s">
        <v>738</v>
      </c>
      <c r="P634" t="s">
        <v>860</v>
      </c>
      <c r="Q634" t="s">
        <v>462</v>
      </c>
      <c r="R634">
        <v>0</v>
      </c>
    </row>
    <row r="635" spans="1:18" x14ac:dyDescent="0.3">
      <c r="A635">
        <v>207290</v>
      </c>
      <c r="B635" t="s">
        <v>734</v>
      </c>
      <c r="C635" t="s">
        <v>428</v>
      </c>
      <c r="D635" t="s">
        <v>1092</v>
      </c>
      <c r="E635" s="465">
        <v>46201</v>
      </c>
      <c r="F635" s="465">
        <v>46223</v>
      </c>
      <c r="G635" t="s">
        <v>833</v>
      </c>
      <c r="H635" t="s">
        <v>349</v>
      </c>
      <c r="I635" t="s">
        <v>1105</v>
      </c>
      <c r="J635">
        <v>-8173</v>
      </c>
      <c r="K635">
        <v>-8173</v>
      </c>
      <c r="O635" t="s">
        <v>738</v>
      </c>
      <c r="P635" t="s">
        <v>863</v>
      </c>
      <c r="Q635" t="s">
        <v>462</v>
      </c>
      <c r="R635">
        <v>0</v>
      </c>
    </row>
    <row r="636" spans="1:18" x14ac:dyDescent="0.3">
      <c r="A636">
        <v>226860</v>
      </c>
      <c r="B636" t="s">
        <v>734</v>
      </c>
      <c r="C636" t="s">
        <v>883</v>
      </c>
      <c r="D636" t="s">
        <v>1106</v>
      </c>
      <c r="E636" s="465">
        <v>46200</v>
      </c>
      <c r="F636" s="465">
        <v>46143</v>
      </c>
      <c r="G636" t="s">
        <v>833</v>
      </c>
      <c r="H636" t="s">
        <v>348</v>
      </c>
      <c r="I636" t="s">
        <v>1107</v>
      </c>
      <c r="J636">
        <v>-19000</v>
      </c>
      <c r="K636">
        <v>-19000</v>
      </c>
      <c r="O636" t="s">
        <v>738</v>
      </c>
      <c r="P636" t="s">
        <v>860</v>
      </c>
      <c r="Q636" t="s">
        <v>462</v>
      </c>
      <c r="R636">
        <v>0</v>
      </c>
    </row>
    <row r="637" spans="1:18" x14ac:dyDescent="0.3">
      <c r="A637">
        <v>242755</v>
      </c>
      <c r="B637" t="s">
        <v>734</v>
      </c>
      <c r="C637" t="s">
        <v>824</v>
      </c>
      <c r="D637" t="s">
        <v>871</v>
      </c>
      <c r="E637" s="465">
        <v>46199</v>
      </c>
      <c r="F637" s="465">
        <v>46199</v>
      </c>
      <c r="G637" t="s">
        <v>825</v>
      </c>
      <c r="H637" t="s">
        <v>826</v>
      </c>
      <c r="J637">
        <v>-1</v>
      </c>
      <c r="K637">
        <v>-1</v>
      </c>
      <c r="O637" t="s">
        <v>738</v>
      </c>
      <c r="P637" t="s">
        <v>860</v>
      </c>
      <c r="Q637" t="s">
        <v>462</v>
      </c>
      <c r="R637">
        <v>0</v>
      </c>
    </row>
    <row r="638" spans="1:18" x14ac:dyDescent="0.3">
      <c r="A638">
        <v>242759</v>
      </c>
      <c r="B638" t="s">
        <v>734</v>
      </c>
      <c r="C638" t="s">
        <v>824</v>
      </c>
      <c r="D638" t="s">
        <v>871</v>
      </c>
      <c r="E638" s="465">
        <v>46199</v>
      </c>
      <c r="F638" s="465">
        <v>46199</v>
      </c>
      <c r="G638" t="s">
        <v>825</v>
      </c>
      <c r="H638" t="s">
        <v>826</v>
      </c>
      <c r="J638">
        <v>-0.5</v>
      </c>
      <c r="K638">
        <v>-0.5</v>
      </c>
      <c r="O638" t="s">
        <v>738</v>
      </c>
      <c r="P638" t="s">
        <v>860</v>
      </c>
      <c r="Q638" t="s">
        <v>462</v>
      </c>
      <c r="R638">
        <v>0</v>
      </c>
    </row>
    <row r="639" spans="1:18" x14ac:dyDescent="0.3">
      <c r="A639">
        <v>240984</v>
      </c>
      <c r="B639" t="s">
        <v>734</v>
      </c>
      <c r="C639" t="s">
        <v>1108</v>
      </c>
      <c r="D639" t="s">
        <v>1109</v>
      </c>
      <c r="E639" s="465">
        <v>46198</v>
      </c>
      <c r="F639" s="465">
        <v>46198</v>
      </c>
      <c r="G639" t="s">
        <v>307</v>
      </c>
      <c r="H639" t="s">
        <v>311</v>
      </c>
      <c r="J639">
        <v>-185</v>
      </c>
      <c r="K639">
        <v>-185</v>
      </c>
      <c r="O639" t="s">
        <v>738</v>
      </c>
      <c r="P639" t="s">
        <v>860</v>
      </c>
      <c r="Q639" t="s">
        <v>462</v>
      </c>
      <c r="R639">
        <v>0</v>
      </c>
    </row>
    <row r="640" spans="1:18" x14ac:dyDescent="0.3">
      <c r="A640">
        <v>241171</v>
      </c>
      <c r="B640" t="s">
        <v>734</v>
      </c>
      <c r="C640" t="s">
        <v>824</v>
      </c>
      <c r="D640" t="s">
        <v>871</v>
      </c>
      <c r="E640" s="465">
        <v>46198</v>
      </c>
      <c r="F640" s="465">
        <v>46198</v>
      </c>
      <c r="G640" t="s">
        <v>825</v>
      </c>
      <c r="H640" t="s">
        <v>826</v>
      </c>
      <c r="J640">
        <v>-3</v>
      </c>
      <c r="K640">
        <v>-3</v>
      </c>
      <c r="O640" t="s">
        <v>738</v>
      </c>
      <c r="P640" t="s">
        <v>860</v>
      </c>
      <c r="Q640" t="s">
        <v>462</v>
      </c>
      <c r="R640">
        <v>0</v>
      </c>
    </row>
    <row r="641" spans="1:18" x14ac:dyDescent="0.3">
      <c r="A641">
        <v>241193</v>
      </c>
      <c r="B641" t="s">
        <v>734</v>
      </c>
      <c r="C641" t="s">
        <v>824</v>
      </c>
      <c r="D641" t="s">
        <v>871</v>
      </c>
      <c r="E641" s="465">
        <v>46198</v>
      </c>
      <c r="F641" s="465">
        <v>46198</v>
      </c>
      <c r="G641" t="s">
        <v>825</v>
      </c>
      <c r="H641" t="s">
        <v>826</v>
      </c>
      <c r="J641">
        <v>-3</v>
      </c>
      <c r="K641">
        <v>-3</v>
      </c>
      <c r="O641" t="s">
        <v>738</v>
      </c>
      <c r="P641" t="s">
        <v>860</v>
      </c>
      <c r="Q641" t="s">
        <v>462</v>
      </c>
      <c r="R641">
        <v>0</v>
      </c>
    </row>
    <row r="642" spans="1:18" x14ac:dyDescent="0.3">
      <c r="A642">
        <v>241191</v>
      </c>
      <c r="B642" t="s">
        <v>734</v>
      </c>
      <c r="C642" t="s">
        <v>824</v>
      </c>
      <c r="D642" t="s">
        <v>871</v>
      </c>
      <c r="E642" s="465">
        <v>46197</v>
      </c>
      <c r="F642" s="465">
        <v>46197</v>
      </c>
      <c r="G642" t="s">
        <v>825</v>
      </c>
      <c r="H642" t="s">
        <v>826</v>
      </c>
      <c r="J642">
        <v>-1</v>
      </c>
      <c r="K642">
        <v>-1</v>
      </c>
      <c r="O642" t="s">
        <v>738</v>
      </c>
      <c r="P642" t="s">
        <v>860</v>
      </c>
      <c r="Q642" t="s">
        <v>462</v>
      </c>
      <c r="R642">
        <v>0</v>
      </c>
    </row>
    <row r="643" spans="1:18" x14ac:dyDescent="0.3">
      <c r="A643">
        <v>241403</v>
      </c>
      <c r="B643" t="s">
        <v>734</v>
      </c>
      <c r="C643" t="s">
        <v>1110</v>
      </c>
      <c r="D643" t="s">
        <v>1111</v>
      </c>
      <c r="E643" s="465">
        <v>46197</v>
      </c>
      <c r="F643" s="465">
        <v>46203</v>
      </c>
      <c r="G643" t="s">
        <v>833</v>
      </c>
      <c r="H643" t="s">
        <v>348</v>
      </c>
      <c r="J643">
        <v>-1980</v>
      </c>
      <c r="K643">
        <v>-1980</v>
      </c>
      <c r="O643" t="s">
        <v>738</v>
      </c>
      <c r="P643" t="s">
        <v>863</v>
      </c>
      <c r="Q643" t="s">
        <v>462</v>
      </c>
      <c r="R643">
        <v>0</v>
      </c>
    </row>
    <row r="644" spans="1:18" x14ac:dyDescent="0.3">
      <c r="A644">
        <v>226881</v>
      </c>
      <c r="B644" t="s">
        <v>734</v>
      </c>
      <c r="C644" t="s">
        <v>1112</v>
      </c>
      <c r="D644" t="s">
        <v>1113</v>
      </c>
      <c r="E644" s="465">
        <v>46196</v>
      </c>
      <c r="F644" s="465">
        <v>46206</v>
      </c>
      <c r="G644" t="s">
        <v>833</v>
      </c>
      <c r="H644" t="s">
        <v>348</v>
      </c>
      <c r="I644" t="s">
        <v>1114</v>
      </c>
      <c r="J644">
        <v>-34000</v>
      </c>
      <c r="K644">
        <v>-34000</v>
      </c>
      <c r="O644" t="s">
        <v>738</v>
      </c>
      <c r="Q644" t="s">
        <v>462</v>
      </c>
      <c r="R644">
        <v>0</v>
      </c>
    </row>
    <row r="645" spans="1:18" x14ac:dyDescent="0.3">
      <c r="A645">
        <v>231975</v>
      </c>
      <c r="B645" t="s">
        <v>734</v>
      </c>
      <c r="C645" t="s">
        <v>832</v>
      </c>
      <c r="D645" t="s">
        <v>1115</v>
      </c>
      <c r="E645" s="465">
        <v>46196</v>
      </c>
      <c r="F645" s="465">
        <v>46215</v>
      </c>
      <c r="G645" t="s">
        <v>295</v>
      </c>
      <c r="H645" t="s">
        <v>297</v>
      </c>
      <c r="J645">
        <v>-1000</v>
      </c>
      <c r="K645">
        <v>-1000</v>
      </c>
      <c r="O645" t="s">
        <v>738</v>
      </c>
      <c r="P645" t="s">
        <v>860</v>
      </c>
      <c r="Q645" t="s">
        <v>462</v>
      </c>
      <c r="R645">
        <v>0</v>
      </c>
    </row>
    <row r="646" spans="1:18" x14ac:dyDescent="0.3">
      <c r="A646">
        <v>240366</v>
      </c>
      <c r="B646" t="s">
        <v>734</v>
      </c>
      <c r="C646" t="s">
        <v>928</v>
      </c>
      <c r="D646" t="s">
        <v>1116</v>
      </c>
      <c r="E646" s="465">
        <v>46196</v>
      </c>
      <c r="F646" s="465">
        <v>46208</v>
      </c>
      <c r="G646" t="s">
        <v>833</v>
      </c>
      <c r="H646" t="s">
        <v>348</v>
      </c>
      <c r="I646" t="s">
        <v>1117</v>
      </c>
      <c r="J646">
        <v>-17800</v>
      </c>
      <c r="K646">
        <v>-17800</v>
      </c>
      <c r="O646" t="s">
        <v>738</v>
      </c>
      <c r="Q646" t="s">
        <v>462</v>
      </c>
      <c r="R646">
        <v>0</v>
      </c>
    </row>
    <row r="647" spans="1:18" x14ac:dyDescent="0.3">
      <c r="A647">
        <v>241188</v>
      </c>
      <c r="B647" t="s">
        <v>734</v>
      </c>
      <c r="C647" t="s">
        <v>824</v>
      </c>
      <c r="D647" t="s">
        <v>871</v>
      </c>
      <c r="E647" s="465">
        <v>46196</v>
      </c>
      <c r="F647" s="465">
        <v>46196</v>
      </c>
      <c r="G647" t="s">
        <v>825</v>
      </c>
      <c r="H647" t="s">
        <v>826</v>
      </c>
      <c r="J647">
        <v>-1.5</v>
      </c>
      <c r="K647">
        <v>-1.5</v>
      </c>
      <c r="O647" t="s">
        <v>738</v>
      </c>
      <c r="P647" t="s">
        <v>860</v>
      </c>
      <c r="Q647" t="s">
        <v>462</v>
      </c>
      <c r="R647">
        <v>0</v>
      </c>
    </row>
    <row r="648" spans="1:18" x14ac:dyDescent="0.3">
      <c r="A648">
        <v>241169</v>
      </c>
      <c r="B648" t="s">
        <v>734</v>
      </c>
      <c r="C648" t="s">
        <v>824</v>
      </c>
      <c r="D648" t="s">
        <v>871</v>
      </c>
      <c r="E648" s="465">
        <v>46196</v>
      </c>
      <c r="F648" s="465">
        <v>46196</v>
      </c>
      <c r="G648" t="s">
        <v>825</v>
      </c>
      <c r="H648" t="s">
        <v>826</v>
      </c>
      <c r="J648">
        <v>-1.5</v>
      </c>
      <c r="K648">
        <v>-1.5</v>
      </c>
      <c r="O648" t="s">
        <v>738</v>
      </c>
      <c r="P648" t="s">
        <v>860</v>
      </c>
      <c r="Q648" t="s">
        <v>462</v>
      </c>
      <c r="R648">
        <v>0</v>
      </c>
    </row>
    <row r="649" spans="1:18" x14ac:dyDescent="0.3">
      <c r="A649">
        <v>241026</v>
      </c>
      <c r="B649" t="s">
        <v>734</v>
      </c>
      <c r="C649" t="s">
        <v>1118</v>
      </c>
      <c r="D649" t="s">
        <v>1119</v>
      </c>
      <c r="E649" s="465">
        <v>46196</v>
      </c>
      <c r="F649" s="465">
        <v>46210</v>
      </c>
      <c r="G649" t="s">
        <v>833</v>
      </c>
      <c r="H649" t="s">
        <v>348</v>
      </c>
      <c r="J649">
        <v>-2300</v>
      </c>
      <c r="K649">
        <v>-2300</v>
      </c>
      <c r="O649" t="s">
        <v>738</v>
      </c>
      <c r="P649" t="s">
        <v>860</v>
      </c>
      <c r="Q649" t="s">
        <v>462</v>
      </c>
      <c r="R649">
        <v>0</v>
      </c>
    </row>
    <row r="650" spans="1:18" x14ac:dyDescent="0.3">
      <c r="A650">
        <v>240459</v>
      </c>
      <c r="B650" t="s">
        <v>734</v>
      </c>
      <c r="C650" t="s">
        <v>1120</v>
      </c>
      <c r="D650" t="s">
        <v>873</v>
      </c>
      <c r="E650" s="465">
        <v>46196</v>
      </c>
      <c r="F650" s="465">
        <v>46203</v>
      </c>
      <c r="G650" t="s">
        <v>833</v>
      </c>
      <c r="H650" t="s">
        <v>349</v>
      </c>
      <c r="I650" t="s">
        <v>1121</v>
      </c>
      <c r="J650">
        <v>-3180.53</v>
      </c>
      <c r="K650">
        <v>-3180.53</v>
      </c>
      <c r="O650" t="s">
        <v>738</v>
      </c>
      <c r="P650" t="s">
        <v>860</v>
      </c>
      <c r="Q650" t="s">
        <v>462</v>
      </c>
      <c r="R650">
        <v>0</v>
      </c>
    </row>
    <row r="651" spans="1:18" x14ac:dyDescent="0.3">
      <c r="A651">
        <v>240985</v>
      </c>
      <c r="B651" t="s">
        <v>734</v>
      </c>
      <c r="C651" t="s">
        <v>824</v>
      </c>
      <c r="D651" t="s">
        <v>871</v>
      </c>
      <c r="E651" s="465">
        <v>46195</v>
      </c>
      <c r="F651" s="465">
        <v>46195</v>
      </c>
      <c r="G651" t="s">
        <v>825</v>
      </c>
      <c r="H651" t="s">
        <v>826</v>
      </c>
      <c r="J651">
        <v>-0.5</v>
      </c>
      <c r="K651">
        <v>-0.5</v>
      </c>
      <c r="O651" t="s">
        <v>738</v>
      </c>
      <c r="P651" t="s">
        <v>860</v>
      </c>
      <c r="Q651" t="s">
        <v>462</v>
      </c>
      <c r="R651">
        <v>0</v>
      </c>
    </row>
    <row r="652" spans="1:18" x14ac:dyDescent="0.3">
      <c r="A652">
        <v>240206</v>
      </c>
      <c r="B652" t="s">
        <v>734</v>
      </c>
      <c r="C652" t="s">
        <v>1122</v>
      </c>
      <c r="D652" t="s">
        <v>1123</v>
      </c>
      <c r="E652" s="465">
        <v>46195</v>
      </c>
      <c r="F652" s="465">
        <v>46209</v>
      </c>
      <c r="G652" t="s">
        <v>295</v>
      </c>
      <c r="H652" t="s">
        <v>306</v>
      </c>
      <c r="I652" t="s">
        <v>1124</v>
      </c>
      <c r="J652">
        <v>-358.58</v>
      </c>
      <c r="K652">
        <v>0</v>
      </c>
      <c r="O652" t="s">
        <v>738</v>
      </c>
      <c r="P652" t="s">
        <v>860</v>
      </c>
      <c r="Q652" t="s">
        <v>462</v>
      </c>
      <c r="R652">
        <v>0</v>
      </c>
    </row>
    <row r="653" spans="1:18" x14ac:dyDescent="0.3">
      <c r="A653">
        <v>240978</v>
      </c>
      <c r="B653" t="s">
        <v>734</v>
      </c>
      <c r="C653" t="s">
        <v>824</v>
      </c>
      <c r="D653" t="s">
        <v>871</v>
      </c>
      <c r="E653" s="465">
        <v>46195</v>
      </c>
      <c r="F653" s="465">
        <v>46195</v>
      </c>
      <c r="G653" t="s">
        <v>825</v>
      </c>
      <c r="H653" t="s">
        <v>826</v>
      </c>
      <c r="J653">
        <v>-1</v>
      </c>
      <c r="K653">
        <v>-1</v>
      </c>
      <c r="O653" t="s">
        <v>738</v>
      </c>
      <c r="P653" t="s">
        <v>860</v>
      </c>
      <c r="Q653" t="s">
        <v>462</v>
      </c>
      <c r="R653">
        <v>0</v>
      </c>
    </row>
    <row r="654" spans="1:18" x14ac:dyDescent="0.3">
      <c r="A654">
        <v>240074</v>
      </c>
      <c r="B654" t="s">
        <v>734</v>
      </c>
      <c r="C654" t="s">
        <v>824</v>
      </c>
      <c r="D654" t="s">
        <v>871</v>
      </c>
      <c r="E654" s="465">
        <v>46193</v>
      </c>
      <c r="F654" s="465">
        <v>46161</v>
      </c>
      <c r="G654" t="s">
        <v>825</v>
      </c>
      <c r="H654" t="s">
        <v>826</v>
      </c>
      <c r="J654">
        <v>-2.5</v>
      </c>
      <c r="K654">
        <v>-2.5</v>
      </c>
      <c r="O654" t="s">
        <v>738</v>
      </c>
      <c r="P654" t="s">
        <v>860</v>
      </c>
      <c r="Q654" t="s">
        <v>462</v>
      </c>
      <c r="R654">
        <v>0</v>
      </c>
    </row>
    <row r="655" spans="1:18" x14ac:dyDescent="0.3">
      <c r="A655">
        <v>240073</v>
      </c>
      <c r="B655" t="s">
        <v>734</v>
      </c>
      <c r="C655" t="s">
        <v>824</v>
      </c>
      <c r="D655" t="s">
        <v>871</v>
      </c>
      <c r="E655" s="465">
        <v>46193</v>
      </c>
      <c r="F655" s="465">
        <v>46150</v>
      </c>
      <c r="G655" t="s">
        <v>825</v>
      </c>
      <c r="H655" t="s">
        <v>826</v>
      </c>
      <c r="J655">
        <v>-1.5</v>
      </c>
      <c r="K655">
        <v>-1.5</v>
      </c>
      <c r="O655" t="s">
        <v>738</v>
      </c>
      <c r="P655" t="s">
        <v>860</v>
      </c>
      <c r="Q655" t="s">
        <v>462</v>
      </c>
      <c r="R655">
        <v>0</v>
      </c>
    </row>
    <row r="656" spans="1:18" x14ac:dyDescent="0.3">
      <c r="A656">
        <v>240277</v>
      </c>
      <c r="B656" t="s">
        <v>734</v>
      </c>
      <c r="C656" t="s">
        <v>875</v>
      </c>
      <c r="D656" t="s">
        <v>876</v>
      </c>
      <c r="E656" s="465">
        <v>46193</v>
      </c>
      <c r="F656" s="465">
        <v>46198</v>
      </c>
      <c r="G656" t="s">
        <v>278</v>
      </c>
      <c r="H656" t="s">
        <v>279</v>
      </c>
      <c r="I656" t="s">
        <v>1125</v>
      </c>
      <c r="J656">
        <v>-79.98</v>
      </c>
      <c r="K656">
        <v>0</v>
      </c>
      <c r="O656" t="s">
        <v>738</v>
      </c>
      <c r="P656" t="s">
        <v>860</v>
      </c>
      <c r="Q656" t="s">
        <v>462</v>
      </c>
      <c r="R656">
        <v>0</v>
      </c>
    </row>
    <row r="657" spans="1:18" x14ac:dyDescent="0.3">
      <c r="A657">
        <v>240075</v>
      </c>
      <c r="B657" t="s">
        <v>734</v>
      </c>
      <c r="C657" t="s">
        <v>824</v>
      </c>
      <c r="D657" t="s">
        <v>871</v>
      </c>
      <c r="E657" s="465">
        <v>46192</v>
      </c>
      <c r="F657" s="465">
        <v>46163</v>
      </c>
      <c r="G657" t="s">
        <v>825</v>
      </c>
      <c r="H657" t="s">
        <v>826</v>
      </c>
      <c r="J657">
        <v>-0.5</v>
      </c>
      <c r="K657">
        <v>-0.5</v>
      </c>
      <c r="O657" t="s">
        <v>738</v>
      </c>
      <c r="P657" t="s">
        <v>860</v>
      </c>
      <c r="Q657" t="s">
        <v>462</v>
      </c>
      <c r="R657">
        <v>0</v>
      </c>
    </row>
    <row r="658" spans="1:18" x14ac:dyDescent="0.3">
      <c r="A658">
        <v>240370</v>
      </c>
      <c r="B658" t="s">
        <v>734</v>
      </c>
      <c r="C658" t="s">
        <v>824</v>
      </c>
      <c r="D658" t="s">
        <v>871</v>
      </c>
      <c r="E658" s="465">
        <v>46191</v>
      </c>
      <c r="F658" s="465">
        <v>46191</v>
      </c>
      <c r="G658" t="s">
        <v>825</v>
      </c>
      <c r="H658" t="s">
        <v>826</v>
      </c>
      <c r="J658">
        <v>-15.5</v>
      </c>
      <c r="K658">
        <v>-15.5</v>
      </c>
      <c r="O658" t="s">
        <v>738</v>
      </c>
      <c r="P658" t="s">
        <v>860</v>
      </c>
      <c r="Q658" t="s">
        <v>462</v>
      </c>
      <c r="R658">
        <v>0</v>
      </c>
    </row>
    <row r="659" spans="1:18" x14ac:dyDescent="0.3">
      <c r="A659">
        <v>240369</v>
      </c>
      <c r="B659" t="s">
        <v>734</v>
      </c>
      <c r="C659" t="s">
        <v>824</v>
      </c>
      <c r="D659" t="s">
        <v>871</v>
      </c>
      <c r="E659" s="465">
        <v>46191</v>
      </c>
      <c r="F659" s="465">
        <v>46191</v>
      </c>
      <c r="G659" t="s">
        <v>825</v>
      </c>
      <c r="H659" t="s">
        <v>826</v>
      </c>
      <c r="J659">
        <v>-2</v>
      </c>
      <c r="K659">
        <v>-2</v>
      </c>
      <c r="O659" t="s">
        <v>738</v>
      </c>
      <c r="P659" t="s">
        <v>860</v>
      </c>
      <c r="Q659" t="s">
        <v>462</v>
      </c>
      <c r="R659">
        <v>0</v>
      </c>
    </row>
    <row r="660" spans="1:18" x14ac:dyDescent="0.3">
      <c r="A660">
        <v>239607</v>
      </c>
      <c r="B660" t="s">
        <v>734</v>
      </c>
      <c r="C660" t="s">
        <v>824</v>
      </c>
      <c r="D660" t="s">
        <v>871</v>
      </c>
      <c r="E660" s="465">
        <v>46190</v>
      </c>
      <c r="F660" s="465">
        <v>46190</v>
      </c>
      <c r="G660" t="s">
        <v>825</v>
      </c>
      <c r="H660" t="s">
        <v>826</v>
      </c>
      <c r="J660">
        <v>-0.5</v>
      </c>
      <c r="K660">
        <v>-0.5</v>
      </c>
      <c r="O660" t="s">
        <v>738</v>
      </c>
      <c r="P660" t="s">
        <v>860</v>
      </c>
      <c r="Q660" t="s">
        <v>462</v>
      </c>
      <c r="R660">
        <v>0</v>
      </c>
    </row>
    <row r="661" spans="1:18" x14ac:dyDescent="0.3">
      <c r="A661">
        <v>239609</v>
      </c>
      <c r="B661" t="s">
        <v>734</v>
      </c>
      <c r="C661" t="s">
        <v>824</v>
      </c>
      <c r="D661" t="s">
        <v>871</v>
      </c>
      <c r="E661" s="465">
        <v>46190</v>
      </c>
      <c r="F661" s="465">
        <v>46190</v>
      </c>
      <c r="G661" t="s">
        <v>825</v>
      </c>
      <c r="H661" t="s">
        <v>826</v>
      </c>
      <c r="J661">
        <v>-0.5</v>
      </c>
      <c r="K661">
        <v>-0.5</v>
      </c>
      <c r="O661" t="s">
        <v>738</v>
      </c>
      <c r="P661" t="s">
        <v>860</v>
      </c>
      <c r="Q661" t="s">
        <v>462</v>
      </c>
      <c r="R661">
        <v>0</v>
      </c>
    </row>
    <row r="662" spans="1:18" x14ac:dyDescent="0.3">
      <c r="A662">
        <v>238828</v>
      </c>
      <c r="B662" t="s">
        <v>734</v>
      </c>
      <c r="C662" t="s">
        <v>1126</v>
      </c>
      <c r="D662" t="s">
        <v>1127</v>
      </c>
      <c r="E662" s="465">
        <v>46189</v>
      </c>
      <c r="F662" s="465">
        <v>46192</v>
      </c>
      <c r="G662" t="s">
        <v>307</v>
      </c>
      <c r="H662" t="s">
        <v>309</v>
      </c>
      <c r="I662" t="s">
        <v>1128</v>
      </c>
      <c r="J662">
        <v>-1233.1199999999999</v>
      </c>
      <c r="K662">
        <v>-1304.6099999999999</v>
      </c>
      <c r="O662" t="s">
        <v>738</v>
      </c>
      <c r="P662" t="s">
        <v>860</v>
      </c>
      <c r="Q662" t="s">
        <v>462</v>
      </c>
      <c r="R662">
        <v>0</v>
      </c>
    </row>
    <row r="663" spans="1:18" x14ac:dyDescent="0.3">
      <c r="A663">
        <v>238831</v>
      </c>
      <c r="B663" t="s">
        <v>734</v>
      </c>
      <c r="C663" t="s">
        <v>1129</v>
      </c>
      <c r="D663" t="s">
        <v>1130</v>
      </c>
      <c r="E663" s="465">
        <v>46189</v>
      </c>
      <c r="F663" s="465">
        <v>46190</v>
      </c>
      <c r="G663" t="s">
        <v>833</v>
      </c>
      <c r="H663" t="s">
        <v>348</v>
      </c>
      <c r="I663" t="s">
        <v>1131</v>
      </c>
      <c r="J663">
        <v>-6461.71</v>
      </c>
      <c r="K663">
        <v>-6461.71</v>
      </c>
      <c r="O663" t="s">
        <v>738</v>
      </c>
      <c r="P663" t="s">
        <v>860</v>
      </c>
      <c r="Q663" t="s">
        <v>462</v>
      </c>
      <c r="R663">
        <v>0</v>
      </c>
    </row>
    <row r="664" spans="1:18" x14ac:dyDescent="0.3">
      <c r="A664">
        <v>238809</v>
      </c>
      <c r="B664" t="s">
        <v>734</v>
      </c>
      <c r="C664" t="s">
        <v>1126</v>
      </c>
      <c r="D664" t="s">
        <v>1132</v>
      </c>
      <c r="E664" s="465">
        <v>46189</v>
      </c>
      <c r="F664" s="465">
        <v>46192</v>
      </c>
      <c r="G664" t="s">
        <v>307</v>
      </c>
      <c r="H664" t="s">
        <v>309</v>
      </c>
      <c r="I664" t="s">
        <v>1133</v>
      </c>
      <c r="J664">
        <v>-605.91</v>
      </c>
      <c r="K664">
        <v>-641.04</v>
      </c>
      <c r="O664" t="s">
        <v>738</v>
      </c>
      <c r="P664" t="s">
        <v>860</v>
      </c>
      <c r="Q664" t="s">
        <v>462</v>
      </c>
      <c r="R664">
        <v>0</v>
      </c>
    </row>
    <row r="665" spans="1:18" x14ac:dyDescent="0.3">
      <c r="A665">
        <v>239739</v>
      </c>
      <c r="B665" t="s">
        <v>734</v>
      </c>
      <c r="C665" t="s">
        <v>824</v>
      </c>
      <c r="D665" t="s">
        <v>871</v>
      </c>
      <c r="E665" s="465">
        <v>46189</v>
      </c>
      <c r="F665" s="465">
        <v>46189</v>
      </c>
      <c r="G665" t="s">
        <v>825</v>
      </c>
      <c r="H665" t="s">
        <v>826</v>
      </c>
      <c r="J665">
        <v>-0.5</v>
      </c>
      <c r="K665">
        <v>-0.5</v>
      </c>
      <c r="O665" t="s">
        <v>738</v>
      </c>
      <c r="P665" t="s">
        <v>860</v>
      </c>
      <c r="Q665" t="s">
        <v>462</v>
      </c>
      <c r="R665">
        <v>0</v>
      </c>
    </row>
    <row r="666" spans="1:18" x14ac:dyDescent="0.3">
      <c r="A666">
        <v>239601</v>
      </c>
      <c r="B666" t="s">
        <v>734</v>
      </c>
      <c r="C666" t="s">
        <v>824</v>
      </c>
      <c r="D666" t="s">
        <v>871</v>
      </c>
      <c r="E666" s="465">
        <v>46188</v>
      </c>
      <c r="F666" s="465">
        <v>46188</v>
      </c>
      <c r="G666" t="s">
        <v>825</v>
      </c>
      <c r="H666" t="s">
        <v>826</v>
      </c>
      <c r="J666">
        <v>-2.5</v>
      </c>
      <c r="K666">
        <v>-2.5</v>
      </c>
      <c r="O666" t="s">
        <v>738</v>
      </c>
      <c r="P666" t="s">
        <v>860</v>
      </c>
      <c r="Q666" t="s">
        <v>462</v>
      </c>
      <c r="R666">
        <v>0</v>
      </c>
    </row>
    <row r="667" spans="1:18" x14ac:dyDescent="0.3">
      <c r="A667">
        <v>239598</v>
      </c>
      <c r="B667" t="s">
        <v>734</v>
      </c>
      <c r="C667" t="s">
        <v>824</v>
      </c>
      <c r="D667" t="s">
        <v>871</v>
      </c>
      <c r="E667" s="465">
        <v>46188</v>
      </c>
      <c r="F667" s="465">
        <v>46188</v>
      </c>
      <c r="G667" t="s">
        <v>825</v>
      </c>
      <c r="H667" t="s">
        <v>826</v>
      </c>
      <c r="J667">
        <v>-2.5</v>
      </c>
      <c r="K667">
        <v>-2.5</v>
      </c>
      <c r="O667" t="s">
        <v>738</v>
      </c>
      <c r="P667" t="s">
        <v>860</v>
      </c>
      <c r="Q667" t="s">
        <v>462</v>
      </c>
      <c r="R667">
        <v>0</v>
      </c>
    </row>
    <row r="668" spans="1:18" x14ac:dyDescent="0.3">
      <c r="A668">
        <v>240123</v>
      </c>
      <c r="B668" t="s">
        <v>734</v>
      </c>
      <c r="C668" t="s">
        <v>1134</v>
      </c>
      <c r="D668" t="s">
        <v>1135</v>
      </c>
      <c r="E668" s="465">
        <v>46188</v>
      </c>
      <c r="F668" s="465">
        <v>46209</v>
      </c>
      <c r="G668" t="s">
        <v>833</v>
      </c>
      <c r="H668" t="s">
        <v>352</v>
      </c>
      <c r="I668" t="s">
        <v>1136</v>
      </c>
      <c r="J668">
        <v>-10000</v>
      </c>
      <c r="K668">
        <v>-10000</v>
      </c>
      <c r="O668" t="s">
        <v>738</v>
      </c>
      <c r="Q668" t="s">
        <v>462</v>
      </c>
      <c r="R668">
        <v>0</v>
      </c>
    </row>
    <row r="669" spans="1:18" x14ac:dyDescent="0.3">
      <c r="A669">
        <v>232027</v>
      </c>
      <c r="B669" t="s">
        <v>734</v>
      </c>
      <c r="C669" t="s">
        <v>883</v>
      </c>
      <c r="D669" t="s">
        <v>1137</v>
      </c>
      <c r="E669" s="465">
        <v>46188</v>
      </c>
      <c r="F669" s="465">
        <v>46202</v>
      </c>
      <c r="G669" t="s">
        <v>833</v>
      </c>
      <c r="H669" t="s">
        <v>348</v>
      </c>
      <c r="I669" t="s">
        <v>1138</v>
      </c>
      <c r="J669">
        <v>-2400</v>
      </c>
      <c r="K669">
        <v>-2400</v>
      </c>
      <c r="O669" t="s">
        <v>738</v>
      </c>
      <c r="P669" t="s">
        <v>860</v>
      </c>
      <c r="Q669" t="s">
        <v>462</v>
      </c>
      <c r="R669">
        <v>0</v>
      </c>
    </row>
    <row r="670" spans="1:18" x14ac:dyDescent="0.3">
      <c r="A670">
        <v>238569</v>
      </c>
      <c r="B670" t="s">
        <v>734</v>
      </c>
      <c r="C670" t="s">
        <v>1139</v>
      </c>
      <c r="D670" t="s">
        <v>1140</v>
      </c>
      <c r="E670" s="465">
        <v>46188</v>
      </c>
      <c r="F670" s="465">
        <v>46195</v>
      </c>
      <c r="G670" t="s">
        <v>833</v>
      </c>
      <c r="H670" t="s">
        <v>348</v>
      </c>
      <c r="I670" t="s">
        <v>1141</v>
      </c>
      <c r="J670">
        <v>-50000</v>
      </c>
      <c r="K670">
        <v>-50000</v>
      </c>
      <c r="O670" t="s">
        <v>738</v>
      </c>
      <c r="P670" t="s">
        <v>860</v>
      </c>
      <c r="Q670" t="s">
        <v>462</v>
      </c>
      <c r="R670">
        <v>0</v>
      </c>
    </row>
    <row r="671" spans="1:18" x14ac:dyDescent="0.3">
      <c r="A671">
        <v>238528</v>
      </c>
      <c r="B671" t="s">
        <v>734</v>
      </c>
      <c r="C671" t="s">
        <v>840</v>
      </c>
      <c r="D671" t="s">
        <v>1142</v>
      </c>
      <c r="E671" s="465">
        <v>46188</v>
      </c>
      <c r="F671" s="465">
        <v>46201</v>
      </c>
      <c r="G671" t="s">
        <v>278</v>
      </c>
      <c r="H671" t="s">
        <v>283</v>
      </c>
      <c r="I671" t="s">
        <v>841</v>
      </c>
      <c r="J671">
        <v>-219</v>
      </c>
      <c r="K671">
        <v>-223.52</v>
      </c>
      <c r="O671" t="s">
        <v>738</v>
      </c>
      <c r="P671" t="s">
        <v>860</v>
      </c>
      <c r="Q671" t="s">
        <v>462</v>
      </c>
      <c r="R671">
        <v>0</v>
      </c>
    </row>
    <row r="672" spans="1:18" x14ac:dyDescent="0.3">
      <c r="A672">
        <v>224317</v>
      </c>
      <c r="B672" t="s">
        <v>734</v>
      </c>
      <c r="C672" t="s">
        <v>814</v>
      </c>
      <c r="D672" t="s">
        <v>1143</v>
      </c>
      <c r="E672" s="465">
        <v>46187</v>
      </c>
      <c r="F672" s="465">
        <v>46183</v>
      </c>
      <c r="G672" t="s">
        <v>307</v>
      </c>
      <c r="H672" t="s">
        <v>312</v>
      </c>
      <c r="J672">
        <v>-2100</v>
      </c>
      <c r="K672">
        <v>-2100</v>
      </c>
      <c r="O672" t="s">
        <v>738</v>
      </c>
      <c r="P672" t="s">
        <v>860</v>
      </c>
      <c r="Q672" t="s">
        <v>462</v>
      </c>
      <c r="R672">
        <v>0</v>
      </c>
    </row>
    <row r="673" spans="1:18" x14ac:dyDescent="0.3">
      <c r="A673">
        <v>231063</v>
      </c>
      <c r="B673" t="s">
        <v>734</v>
      </c>
      <c r="C673" t="s">
        <v>857</v>
      </c>
      <c r="D673" t="s">
        <v>1144</v>
      </c>
      <c r="E673" s="465">
        <v>46185</v>
      </c>
      <c r="F673" s="465">
        <v>46214</v>
      </c>
      <c r="G673" t="s">
        <v>833</v>
      </c>
      <c r="H673" t="s">
        <v>348</v>
      </c>
      <c r="I673" t="s">
        <v>1145</v>
      </c>
      <c r="J673">
        <v>-44877.599999999999</v>
      </c>
      <c r="K673">
        <v>-44877.599999999999</v>
      </c>
      <c r="O673" t="s">
        <v>738</v>
      </c>
      <c r="Q673" t="s">
        <v>462</v>
      </c>
      <c r="R673">
        <v>0</v>
      </c>
    </row>
    <row r="674" spans="1:18" x14ac:dyDescent="0.3">
      <c r="A674">
        <v>238216</v>
      </c>
      <c r="B674" t="s">
        <v>734</v>
      </c>
      <c r="C674" t="s">
        <v>1139</v>
      </c>
      <c r="D674" t="s">
        <v>1146</v>
      </c>
      <c r="E674" s="465">
        <v>46185</v>
      </c>
      <c r="F674" s="465">
        <v>46188</v>
      </c>
      <c r="G674" t="s">
        <v>833</v>
      </c>
      <c r="H674" t="s">
        <v>348</v>
      </c>
      <c r="J674">
        <v>-399999.42</v>
      </c>
      <c r="K674">
        <v>-399999.42</v>
      </c>
      <c r="O674" t="s">
        <v>738</v>
      </c>
      <c r="P674" t="s">
        <v>927</v>
      </c>
      <c r="Q674" t="s">
        <v>462</v>
      </c>
      <c r="R674">
        <v>0</v>
      </c>
    </row>
    <row r="675" spans="1:18" x14ac:dyDescent="0.3">
      <c r="A675">
        <v>238859</v>
      </c>
      <c r="B675" t="s">
        <v>734</v>
      </c>
      <c r="C675" t="s">
        <v>824</v>
      </c>
      <c r="D675" t="s">
        <v>871</v>
      </c>
      <c r="E675" s="465">
        <v>46185</v>
      </c>
      <c r="F675" s="465">
        <v>46185</v>
      </c>
      <c r="G675" t="s">
        <v>825</v>
      </c>
      <c r="H675" t="s">
        <v>826</v>
      </c>
      <c r="J675">
        <v>-1</v>
      </c>
      <c r="K675">
        <v>-1</v>
      </c>
      <c r="O675" t="s">
        <v>738</v>
      </c>
      <c r="P675" t="s">
        <v>860</v>
      </c>
      <c r="Q675" t="s">
        <v>462</v>
      </c>
      <c r="R675">
        <v>0</v>
      </c>
    </row>
    <row r="676" spans="1:18" x14ac:dyDescent="0.3">
      <c r="A676">
        <v>231075</v>
      </c>
      <c r="B676" t="s">
        <v>734</v>
      </c>
      <c r="C676" t="s">
        <v>898</v>
      </c>
      <c r="D676" t="s">
        <v>899</v>
      </c>
      <c r="E676" s="465">
        <v>46185</v>
      </c>
      <c r="F676" s="465">
        <v>46203</v>
      </c>
      <c r="G676" t="s">
        <v>833</v>
      </c>
      <c r="H676" t="s">
        <v>348</v>
      </c>
      <c r="I676" t="s">
        <v>900</v>
      </c>
      <c r="J676">
        <v>-3878.76</v>
      </c>
      <c r="K676">
        <v>-3885.22</v>
      </c>
      <c r="O676" t="s">
        <v>738</v>
      </c>
      <c r="P676" t="s">
        <v>860</v>
      </c>
      <c r="Q676" t="s">
        <v>462</v>
      </c>
      <c r="R676">
        <v>0</v>
      </c>
    </row>
    <row r="677" spans="1:18" x14ac:dyDescent="0.3">
      <c r="A677">
        <v>231071</v>
      </c>
      <c r="B677" t="s">
        <v>734</v>
      </c>
      <c r="C677" t="s">
        <v>901</v>
      </c>
      <c r="D677" t="s">
        <v>902</v>
      </c>
      <c r="E677" s="465">
        <v>46185</v>
      </c>
      <c r="F677" s="465">
        <v>46198</v>
      </c>
      <c r="G677" t="s">
        <v>903</v>
      </c>
      <c r="H677" t="s">
        <v>290</v>
      </c>
      <c r="I677" t="s">
        <v>904</v>
      </c>
      <c r="J677">
        <v>-17155.86</v>
      </c>
      <c r="K677">
        <v>-17155.86</v>
      </c>
      <c r="O677" t="s">
        <v>738</v>
      </c>
      <c r="Q677" t="s">
        <v>462</v>
      </c>
      <c r="R677">
        <v>0</v>
      </c>
    </row>
    <row r="678" spans="1:18" x14ac:dyDescent="0.3">
      <c r="A678">
        <v>231067</v>
      </c>
      <c r="B678" t="s">
        <v>734</v>
      </c>
      <c r="C678" t="s">
        <v>948</v>
      </c>
      <c r="D678" t="s">
        <v>775</v>
      </c>
      <c r="E678" s="465">
        <v>46185</v>
      </c>
      <c r="F678" s="465">
        <v>46179</v>
      </c>
      <c r="G678" t="s">
        <v>903</v>
      </c>
      <c r="H678" t="s">
        <v>288</v>
      </c>
      <c r="I678" t="s">
        <v>1147</v>
      </c>
      <c r="J678">
        <v>-2400</v>
      </c>
      <c r="K678">
        <v>-2400</v>
      </c>
      <c r="O678" t="s">
        <v>742</v>
      </c>
      <c r="Q678" t="s">
        <v>462</v>
      </c>
      <c r="R678">
        <v>0</v>
      </c>
    </row>
    <row r="679" spans="1:18" x14ac:dyDescent="0.3">
      <c r="A679">
        <v>238103</v>
      </c>
      <c r="B679" t="s">
        <v>734</v>
      </c>
      <c r="C679" t="s">
        <v>889</v>
      </c>
      <c r="D679" t="s">
        <v>1148</v>
      </c>
      <c r="E679" s="465">
        <v>46184</v>
      </c>
      <c r="F679" s="465">
        <v>46188</v>
      </c>
      <c r="G679" t="s">
        <v>295</v>
      </c>
      <c r="H679" t="s">
        <v>306</v>
      </c>
      <c r="I679" t="s">
        <v>891</v>
      </c>
      <c r="J679">
        <v>-378.1</v>
      </c>
      <c r="K679">
        <v>0</v>
      </c>
      <c r="O679" t="s">
        <v>738</v>
      </c>
      <c r="P679" t="s">
        <v>860</v>
      </c>
      <c r="Q679" t="s">
        <v>462</v>
      </c>
      <c r="R679">
        <v>0</v>
      </c>
    </row>
    <row r="680" spans="1:18" x14ac:dyDescent="0.3">
      <c r="A680">
        <v>238808</v>
      </c>
      <c r="B680" t="s">
        <v>734</v>
      </c>
      <c r="C680" t="s">
        <v>1149</v>
      </c>
      <c r="D680" t="s">
        <v>1150</v>
      </c>
      <c r="E680" s="465">
        <v>46184</v>
      </c>
      <c r="F680" s="465">
        <v>46214</v>
      </c>
      <c r="G680" t="s">
        <v>833</v>
      </c>
      <c r="H680" t="s">
        <v>348</v>
      </c>
      <c r="I680" t="s">
        <v>1151</v>
      </c>
      <c r="J680">
        <v>-25000</v>
      </c>
      <c r="K680">
        <v>-25000</v>
      </c>
      <c r="O680" t="s">
        <v>738</v>
      </c>
      <c r="P680" t="s">
        <v>860</v>
      </c>
      <c r="Q680" t="s">
        <v>462</v>
      </c>
      <c r="R680">
        <v>0</v>
      </c>
    </row>
    <row r="681" spans="1:18" x14ac:dyDescent="0.3">
      <c r="A681">
        <v>238523</v>
      </c>
      <c r="B681" t="s">
        <v>734</v>
      </c>
      <c r="C681" t="s">
        <v>824</v>
      </c>
      <c r="D681" t="s">
        <v>1152</v>
      </c>
      <c r="E681" s="465">
        <v>46184</v>
      </c>
      <c r="F681" s="465">
        <v>46184</v>
      </c>
      <c r="G681" t="s">
        <v>825</v>
      </c>
      <c r="H681" t="s">
        <v>826</v>
      </c>
      <c r="J681">
        <v>-2</v>
      </c>
      <c r="K681">
        <v>-2</v>
      </c>
      <c r="O681" t="s">
        <v>738</v>
      </c>
      <c r="P681" t="s">
        <v>860</v>
      </c>
      <c r="Q681" t="s">
        <v>462</v>
      </c>
      <c r="R681">
        <v>0</v>
      </c>
    </row>
    <row r="682" spans="1:18" x14ac:dyDescent="0.3">
      <c r="A682">
        <v>237890</v>
      </c>
      <c r="B682" t="s">
        <v>734</v>
      </c>
      <c r="C682" t="s">
        <v>1153</v>
      </c>
      <c r="D682" t="s">
        <v>1154</v>
      </c>
      <c r="E682" s="465">
        <v>46184</v>
      </c>
      <c r="F682" s="465">
        <v>46185</v>
      </c>
      <c r="G682" t="s">
        <v>1067</v>
      </c>
      <c r="H682" t="s">
        <v>292</v>
      </c>
      <c r="I682" t="s">
        <v>1155</v>
      </c>
      <c r="J682">
        <v>-308.67</v>
      </c>
      <c r="K682">
        <v>0</v>
      </c>
      <c r="O682" t="s">
        <v>738</v>
      </c>
      <c r="P682" t="s">
        <v>860</v>
      </c>
      <c r="Q682" t="s">
        <v>462</v>
      </c>
      <c r="R682">
        <v>0</v>
      </c>
    </row>
    <row r="683" spans="1:18" x14ac:dyDescent="0.3">
      <c r="A683">
        <v>238704</v>
      </c>
      <c r="B683" t="s">
        <v>734</v>
      </c>
      <c r="C683" t="s">
        <v>1156</v>
      </c>
      <c r="D683" t="s">
        <v>1157</v>
      </c>
      <c r="E683" s="465">
        <v>46183</v>
      </c>
      <c r="F683" s="465">
        <v>46189</v>
      </c>
      <c r="G683" t="s">
        <v>833</v>
      </c>
      <c r="H683" t="s">
        <v>348</v>
      </c>
      <c r="I683" t="s">
        <v>1158</v>
      </c>
      <c r="J683">
        <v>-1725</v>
      </c>
      <c r="K683">
        <v>-1725</v>
      </c>
      <c r="O683" t="s">
        <v>738</v>
      </c>
      <c r="P683" t="s">
        <v>860</v>
      </c>
      <c r="Q683" t="s">
        <v>462</v>
      </c>
      <c r="R683">
        <v>0</v>
      </c>
    </row>
    <row r="684" spans="1:18" x14ac:dyDescent="0.3">
      <c r="A684">
        <v>238705</v>
      </c>
      <c r="B684" t="s">
        <v>734</v>
      </c>
      <c r="C684" t="s">
        <v>1156</v>
      </c>
      <c r="D684" t="s">
        <v>1159</v>
      </c>
      <c r="E684" s="465">
        <v>46183</v>
      </c>
      <c r="F684" s="465">
        <v>46189</v>
      </c>
      <c r="G684" t="s">
        <v>833</v>
      </c>
      <c r="H684" t="s">
        <v>348</v>
      </c>
      <c r="I684" t="s">
        <v>1160</v>
      </c>
      <c r="J684">
        <v>-1725</v>
      </c>
      <c r="K684">
        <v>-1725</v>
      </c>
      <c r="O684" t="s">
        <v>738</v>
      </c>
      <c r="P684" t="s">
        <v>860</v>
      </c>
      <c r="Q684" t="s">
        <v>462</v>
      </c>
      <c r="R684">
        <v>0</v>
      </c>
    </row>
    <row r="685" spans="1:18" x14ac:dyDescent="0.3">
      <c r="A685">
        <v>238055</v>
      </c>
      <c r="B685" t="s">
        <v>734</v>
      </c>
      <c r="C685" t="s">
        <v>824</v>
      </c>
      <c r="D685" t="s">
        <v>871</v>
      </c>
      <c r="E685" s="465">
        <v>46183</v>
      </c>
      <c r="F685" s="465">
        <v>46183</v>
      </c>
      <c r="G685" t="s">
        <v>825</v>
      </c>
      <c r="H685" t="s">
        <v>826</v>
      </c>
      <c r="J685">
        <v>-2.5</v>
      </c>
      <c r="K685">
        <v>-2.5</v>
      </c>
      <c r="O685" t="s">
        <v>738</v>
      </c>
      <c r="P685" t="s">
        <v>860</v>
      </c>
      <c r="Q685" t="s">
        <v>462</v>
      </c>
      <c r="R685">
        <v>0</v>
      </c>
    </row>
    <row r="686" spans="1:18" x14ac:dyDescent="0.3">
      <c r="A686">
        <v>238053</v>
      </c>
      <c r="B686" t="s">
        <v>734</v>
      </c>
      <c r="C686" t="s">
        <v>824</v>
      </c>
      <c r="D686" t="s">
        <v>871</v>
      </c>
      <c r="E686" s="465">
        <v>46183</v>
      </c>
      <c r="F686" s="465">
        <v>46183</v>
      </c>
      <c r="G686" t="s">
        <v>825</v>
      </c>
      <c r="H686" t="s">
        <v>826</v>
      </c>
      <c r="J686">
        <v>-2</v>
      </c>
      <c r="K686">
        <v>-2</v>
      </c>
      <c r="O686" t="s">
        <v>738</v>
      </c>
      <c r="P686" t="s">
        <v>860</v>
      </c>
      <c r="Q686" t="s">
        <v>462</v>
      </c>
      <c r="R686">
        <v>0</v>
      </c>
    </row>
    <row r="687" spans="1:18" x14ac:dyDescent="0.3">
      <c r="A687">
        <v>147604</v>
      </c>
      <c r="B687" t="s">
        <v>734</v>
      </c>
      <c r="C687" t="s">
        <v>735</v>
      </c>
      <c r="D687" t="s">
        <v>1161</v>
      </c>
      <c r="E687" s="465">
        <v>46183</v>
      </c>
      <c r="F687" s="465">
        <v>46208</v>
      </c>
      <c r="G687" t="s">
        <v>255</v>
      </c>
      <c r="H687" t="s">
        <v>256</v>
      </c>
      <c r="I687" t="s">
        <v>737</v>
      </c>
      <c r="J687">
        <v>-140000</v>
      </c>
      <c r="K687">
        <v>-140000</v>
      </c>
      <c r="O687" t="s">
        <v>738</v>
      </c>
      <c r="P687" t="s">
        <v>860</v>
      </c>
      <c r="Q687" t="s">
        <v>462</v>
      </c>
      <c r="R687">
        <v>0</v>
      </c>
    </row>
    <row r="688" spans="1:18" x14ac:dyDescent="0.3">
      <c r="A688">
        <v>237605</v>
      </c>
      <c r="B688" t="s">
        <v>734</v>
      </c>
      <c r="C688" t="s">
        <v>1162</v>
      </c>
      <c r="D688" t="s">
        <v>1163</v>
      </c>
      <c r="E688" s="465">
        <v>46183</v>
      </c>
      <c r="F688" s="465">
        <v>46198</v>
      </c>
      <c r="G688" t="s">
        <v>833</v>
      </c>
      <c r="H688" t="s">
        <v>351</v>
      </c>
      <c r="I688" t="s">
        <v>1164</v>
      </c>
      <c r="J688">
        <v>-10787</v>
      </c>
      <c r="K688">
        <v>-10787</v>
      </c>
      <c r="O688" t="s">
        <v>738</v>
      </c>
      <c r="P688" t="s">
        <v>860</v>
      </c>
      <c r="Q688" t="s">
        <v>462</v>
      </c>
      <c r="R688">
        <v>0</v>
      </c>
    </row>
    <row r="689" spans="1:18" x14ac:dyDescent="0.3">
      <c r="A689">
        <v>237680</v>
      </c>
      <c r="B689" t="s">
        <v>734</v>
      </c>
      <c r="C689" t="s">
        <v>1165</v>
      </c>
      <c r="D689" t="s">
        <v>1166</v>
      </c>
      <c r="E689" s="465">
        <v>46182</v>
      </c>
      <c r="F689" s="465">
        <v>46197</v>
      </c>
      <c r="G689" t="s">
        <v>833</v>
      </c>
      <c r="H689" t="s">
        <v>349</v>
      </c>
      <c r="I689" t="s">
        <v>1167</v>
      </c>
      <c r="J689">
        <v>-35915.339999999997</v>
      </c>
      <c r="K689">
        <v>-35915.339999999997</v>
      </c>
      <c r="O689" t="s">
        <v>738</v>
      </c>
      <c r="P689" t="s">
        <v>927</v>
      </c>
      <c r="Q689" t="s">
        <v>462</v>
      </c>
      <c r="R689">
        <v>0</v>
      </c>
    </row>
    <row r="690" spans="1:18" x14ac:dyDescent="0.3">
      <c r="A690">
        <v>237785</v>
      </c>
      <c r="B690" t="s">
        <v>734</v>
      </c>
      <c r="C690" t="s">
        <v>824</v>
      </c>
      <c r="D690" t="s">
        <v>871</v>
      </c>
      <c r="E690" s="465">
        <v>46182</v>
      </c>
      <c r="F690" s="465">
        <v>46182</v>
      </c>
      <c r="G690" t="s">
        <v>825</v>
      </c>
      <c r="H690" t="s">
        <v>826</v>
      </c>
      <c r="J690">
        <v>-1.5</v>
      </c>
      <c r="K690">
        <v>-1.5</v>
      </c>
      <c r="O690" t="s">
        <v>738</v>
      </c>
      <c r="P690" t="s">
        <v>860</v>
      </c>
      <c r="Q690" t="s">
        <v>462</v>
      </c>
      <c r="R690">
        <v>0</v>
      </c>
    </row>
    <row r="691" spans="1:18" x14ac:dyDescent="0.3">
      <c r="A691">
        <v>237450</v>
      </c>
      <c r="B691" t="s">
        <v>734</v>
      </c>
      <c r="C691" t="s">
        <v>842</v>
      </c>
      <c r="D691" t="s">
        <v>1168</v>
      </c>
      <c r="E691" s="465">
        <v>46182</v>
      </c>
      <c r="F691" s="465">
        <v>46213</v>
      </c>
      <c r="G691" t="s">
        <v>833</v>
      </c>
      <c r="H691" t="s">
        <v>354</v>
      </c>
      <c r="I691" t="s">
        <v>1169</v>
      </c>
      <c r="J691">
        <v>-1000</v>
      </c>
      <c r="K691">
        <v>-1000</v>
      </c>
      <c r="O691" t="s">
        <v>738</v>
      </c>
      <c r="P691" t="s">
        <v>860</v>
      </c>
      <c r="Q691" t="s">
        <v>462</v>
      </c>
      <c r="R691">
        <v>0</v>
      </c>
    </row>
    <row r="692" spans="1:18" x14ac:dyDescent="0.3">
      <c r="A692">
        <v>237527</v>
      </c>
      <c r="B692" t="s">
        <v>734</v>
      </c>
      <c r="C692" t="s">
        <v>889</v>
      </c>
      <c r="D692" t="s">
        <v>1170</v>
      </c>
      <c r="E692" s="465">
        <v>46182</v>
      </c>
      <c r="F692" s="465">
        <v>46188</v>
      </c>
      <c r="G692" t="s">
        <v>295</v>
      </c>
      <c r="H692" t="s">
        <v>306</v>
      </c>
      <c r="I692" t="s">
        <v>891</v>
      </c>
      <c r="J692">
        <v>-89.63</v>
      </c>
      <c r="K692">
        <v>0</v>
      </c>
      <c r="O692" t="s">
        <v>738</v>
      </c>
      <c r="P692" t="s">
        <v>860</v>
      </c>
      <c r="Q692" t="s">
        <v>462</v>
      </c>
      <c r="R692">
        <v>0</v>
      </c>
    </row>
    <row r="693" spans="1:18" x14ac:dyDescent="0.3">
      <c r="A693">
        <v>237651</v>
      </c>
      <c r="B693" t="s">
        <v>734</v>
      </c>
      <c r="C693" t="s">
        <v>824</v>
      </c>
      <c r="D693" t="s">
        <v>871</v>
      </c>
      <c r="E693" s="465">
        <v>46181</v>
      </c>
      <c r="F693" s="465">
        <v>46181</v>
      </c>
      <c r="G693" t="s">
        <v>825</v>
      </c>
      <c r="H693" t="s">
        <v>826</v>
      </c>
      <c r="J693">
        <v>-1</v>
      </c>
      <c r="K693">
        <v>-1</v>
      </c>
      <c r="O693" t="s">
        <v>738</v>
      </c>
      <c r="P693" t="s">
        <v>860</v>
      </c>
      <c r="Q693" t="s">
        <v>462</v>
      </c>
      <c r="R693">
        <v>0</v>
      </c>
    </row>
    <row r="694" spans="1:18" x14ac:dyDescent="0.3">
      <c r="A694">
        <v>223344</v>
      </c>
      <c r="B694" t="s">
        <v>734</v>
      </c>
      <c r="C694" t="s">
        <v>843</v>
      </c>
      <c r="D694" t="s">
        <v>844</v>
      </c>
      <c r="E694" s="465">
        <v>46181</v>
      </c>
      <c r="F694" s="465">
        <v>46223</v>
      </c>
      <c r="G694" t="s">
        <v>833</v>
      </c>
      <c r="H694" t="s">
        <v>363</v>
      </c>
      <c r="I694" t="s">
        <v>845</v>
      </c>
      <c r="J694">
        <v>-4159.12</v>
      </c>
      <c r="K694">
        <v>-4159.12</v>
      </c>
      <c r="O694" t="s">
        <v>738</v>
      </c>
      <c r="Q694" t="s">
        <v>462</v>
      </c>
      <c r="R694">
        <v>0</v>
      </c>
    </row>
    <row r="695" spans="1:18" x14ac:dyDescent="0.3">
      <c r="A695">
        <v>237626</v>
      </c>
      <c r="B695" t="s">
        <v>734</v>
      </c>
      <c r="C695" t="s">
        <v>824</v>
      </c>
      <c r="D695" t="s">
        <v>871</v>
      </c>
      <c r="E695" s="465">
        <v>46181</v>
      </c>
      <c r="F695" s="465">
        <v>46181</v>
      </c>
      <c r="G695" t="s">
        <v>825</v>
      </c>
      <c r="H695" t="s">
        <v>826</v>
      </c>
      <c r="J695">
        <v>-2</v>
      </c>
      <c r="K695">
        <v>-2</v>
      </c>
      <c r="O695" t="s">
        <v>738</v>
      </c>
      <c r="P695" t="s">
        <v>860</v>
      </c>
      <c r="Q695" t="s">
        <v>462</v>
      </c>
      <c r="R695">
        <v>0</v>
      </c>
    </row>
    <row r="696" spans="1:18" x14ac:dyDescent="0.3">
      <c r="A696">
        <v>237333</v>
      </c>
      <c r="B696" t="s">
        <v>734</v>
      </c>
      <c r="C696" t="s">
        <v>1171</v>
      </c>
      <c r="D696" t="s">
        <v>1172</v>
      </c>
      <c r="E696" s="465">
        <v>46181</v>
      </c>
      <c r="F696" s="465">
        <v>46188</v>
      </c>
      <c r="G696" t="s">
        <v>833</v>
      </c>
      <c r="H696" t="s">
        <v>349</v>
      </c>
      <c r="I696" t="s">
        <v>1173</v>
      </c>
      <c r="J696">
        <v>-2130.3000000000002</v>
      </c>
      <c r="K696">
        <v>-2130.3000000000002</v>
      </c>
      <c r="O696" t="s">
        <v>738</v>
      </c>
      <c r="P696" t="s">
        <v>860</v>
      </c>
      <c r="Q696" t="s">
        <v>462</v>
      </c>
      <c r="R696">
        <v>0</v>
      </c>
    </row>
    <row r="697" spans="1:18" x14ac:dyDescent="0.3">
      <c r="A697">
        <v>237293</v>
      </c>
      <c r="B697" t="s">
        <v>734</v>
      </c>
      <c r="C697" t="s">
        <v>1174</v>
      </c>
      <c r="D697" t="s">
        <v>775</v>
      </c>
      <c r="E697" s="465">
        <v>46181</v>
      </c>
      <c r="F697" s="465">
        <v>46215</v>
      </c>
      <c r="G697" t="s">
        <v>833</v>
      </c>
      <c r="H697" t="s">
        <v>351</v>
      </c>
      <c r="I697" t="s">
        <v>1175</v>
      </c>
      <c r="J697">
        <v>-123000</v>
      </c>
      <c r="K697">
        <v>-123000</v>
      </c>
      <c r="O697" t="s">
        <v>742</v>
      </c>
      <c r="Q697" t="s">
        <v>462</v>
      </c>
      <c r="R697">
        <v>0</v>
      </c>
    </row>
    <row r="698" spans="1:18" x14ac:dyDescent="0.3">
      <c r="A698">
        <v>237178</v>
      </c>
      <c r="B698" t="s">
        <v>734</v>
      </c>
      <c r="C698" t="s">
        <v>1176</v>
      </c>
      <c r="D698" t="s">
        <v>873</v>
      </c>
      <c r="E698" s="465">
        <v>46181</v>
      </c>
      <c r="F698" s="465">
        <v>46191</v>
      </c>
      <c r="G698" t="s">
        <v>833</v>
      </c>
      <c r="H698" t="s">
        <v>348</v>
      </c>
      <c r="I698" t="s">
        <v>1177</v>
      </c>
      <c r="J698">
        <v>-24000</v>
      </c>
      <c r="K698">
        <v>-24000</v>
      </c>
      <c r="O698" t="s">
        <v>738</v>
      </c>
      <c r="P698" t="s">
        <v>860</v>
      </c>
      <c r="Q698" t="s">
        <v>462</v>
      </c>
      <c r="R698">
        <v>0</v>
      </c>
    </row>
    <row r="699" spans="1:18" x14ac:dyDescent="0.3">
      <c r="A699">
        <v>237653</v>
      </c>
      <c r="B699" t="s">
        <v>734</v>
      </c>
      <c r="C699" t="s">
        <v>1178</v>
      </c>
      <c r="D699" t="s">
        <v>1179</v>
      </c>
      <c r="E699" s="465">
        <v>46178</v>
      </c>
      <c r="F699" s="465">
        <v>46188</v>
      </c>
      <c r="G699" t="s">
        <v>784</v>
      </c>
      <c r="H699" t="s">
        <v>251</v>
      </c>
      <c r="I699" t="s">
        <v>1180</v>
      </c>
      <c r="J699">
        <v>-1181.58</v>
      </c>
      <c r="K699">
        <v>-1181.58</v>
      </c>
      <c r="O699" t="s">
        <v>738</v>
      </c>
      <c r="P699" t="s">
        <v>860</v>
      </c>
      <c r="Q699" t="s">
        <v>462</v>
      </c>
      <c r="R699">
        <v>0</v>
      </c>
    </row>
    <row r="700" spans="1:18" x14ac:dyDescent="0.3">
      <c r="A700">
        <v>238248</v>
      </c>
      <c r="B700" t="s">
        <v>734</v>
      </c>
      <c r="C700" t="s">
        <v>1181</v>
      </c>
      <c r="D700" t="s">
        <v>1182</v>
      </c>
      <c r="E700" s="465">
        <v>46178</v>
      </c>
      <c r="F700" s="465">
        <v>46193</v>
      </c>
      <c r="G700" t="s">
        <v>833</v>
      </c>
      <c r="H700" t="s">
        <v>355</v>
      </c>
      <c r="I700" t="s">
        <v>1183</v>
      </c>
      <c r="J700">
        <v>-6000</v>
      </c>
      <c r="K700">
        <v>-6000</v>
      </c>
      <c r="M700" t="s">
        <v>1184</v>
      </c>
      <c r="N700" t="s">
        <v>1184</v>
      </c>
      <c r="O700" t="s">
        <v>738</v>
      </c>
      <c r="P700" t="s">
        <v>860</v>
      </c>
      <c r="Q700" t="s">
        <v>462</v>
      </c>
      <c r="R700">
        <v>0</v>
      </c>
    </row>
    <row r="701" spans="1:18" x14ac:dyDescent="0.3">
      <c r="A701">
        <v>237595</v>
      </c>
      <c r="B701" t="s">
        <v>734</v>
      </c>
      <c r="C701" t="s">
        <v>824</v>
      </c>
      <c r="D701" t="s">
        <v>871</v>
      </c>
      <c r="E701" s="465">
        <v>46178</v>
      </c>
      <c r="F701" s="465">
        <v>46178</v>
      </c>
      <c r="G701" t="s">
        <v>825</v>
      </c>
      <c r="H701" t="s">
        <v>826</v>
      </c>
      <c r="J701">
        <v>-16.5</v>
      </c>
      <c r="K701">
        <v>-16.5</v>
      </c>
      <c r="O701" t="s">
        <v>738</v>
      </c>
      <c r="P701" t="s">
        <v>860</v>
      </c>
      <c r="Q701" t="s">
        <v>462</v>
      </c>
      <c r="R701">
        <v>0</v>
      </c>
    </row>
    <row r="702" spans="1:18" x14ac:dyDescent="0.3">
      <c r="A702">
        <v>237596</v>
      </c>
      <c r="B702" t="s">
        <v>734</v>
      </c>
      <c r="C702" t="s">
        <v>824</v>
      </c>
      <c r="D702" t="s">
        <v>871</v>
      </c>
      <c r="E702" s="465">
        <v>46178</v>
      </c>
      <c r="F702" s="465">
        <v>46178</v>
      </c>
      <c r="G702" t="s">
        <v>825</v>
      </c>
      <c r="H702" t="s">
        <v>826</v>
      </c>
      <c r="J702">
        <v>-2.5</v>
      </c>
      <c r="K702">
        <v>-2.5</v>
      </c>
      <c r="O702" t="s">
        <v>738</v>
      </c>
      <c r="P702" t="s">
        <v>860</v>
      </c>
      <c r="Q702" t="s">
        <v>462</v>
      </c>
      <c r="R702">
        <v>0</v>
      </c>
    </row>
    <row r="703" spans="1:18" x14ac:dyDescent="0.3">
      <c r="A703">
        <v>237329</v>
      </c>
      <c r="B703" t="s">
        <v>734</v>
      </c>
      <c r="C703" t="s">
        <v>824</v>
      </c>
      <c r="D703" t="s">
        <v>871</v>
      </c>
      <c r="E703" s="465">
        <v>46176</v>
      </c>
      <c r="F703" s="465">
        <v>46176</v>
      </c>
      <c r="G703" t="s">
        <v>825</v>
      </c>
      <c r="H703" t="s">
        <v>826</v>
      </c>
      <c r="J703">
        <v>-0.5</v>
      </c>
      <c r="K703">
        <v>-0.5</v>
      </c>
      <c r="O703" t="s">
        <v>738</v>
      </c>
      <c r="P703" t="s">
        <v>860</v>
      </c>
      <c r="Q703" t="s">
        <v>462</v>
      </c>
      <c r="R703">
        <v>0</v>
      </c>
    </row>
    <row r="704" spans="1:18" x14ac:dyDescent="0.3">
      <c r="A704">
        <v>237330</v>
      </c>
      <c r="B704" t="s">
        <v>734</v>
      </c>
      <c r="C704" t="s">
        <v>824</v>
      </c>
      <c r="D704" t="s">
        <v>871</v>
      </c>
      <c r="E704" s="465">
        <v>46176</v>
      </c>
      <c r="F704" s="465">
        <v>46176</v>
      </c>
      <c r="G704" t="s">
        <v>825</v>
      </c>
      <c r="H704" t="s">
        <v>826</v>
      </c>
      <c r="J704">
        <v>-0.5</v>
      </c>
      <c r="K704">
        <v>-0.5</v>
      </c>
      <c r="O704" t="s">
        <v>738</v>
      </c>
      <c r="P704" t="s">
        <v>860</v>
      </c>
      <c r="Q704" t="s">
        <v>462</v>
      </c>
      <c r="R704">
        <v>0</v>
      </c>
    </row>
    <row r="705" spans="1:18" x14ac:dyDescent="0.3">
      <c r="A705">
        <v>236503</v>
      </c>
      <c r="B705" t="s">
        <v>734</v>
      </c>
      <c r="C705" t="s">
        <v>1185</v>
      </c>
      <c r="D705" t="s">
        <v>1186</v>
      </c>
      <c r="E705" s="465">
        <v>46176</v>
      </c>
      <c r="F705" s="465">
        <v>46176</v>
      </c>
      <c r="G705" t="s">
        <v>833</v>
      </c>
      <c r="H705" t="s">
        <v>348</v>
      </c>
      <c r="I705" t="s">
        <v>1187</v>
      </c>
      <c r="J705">
        <v>-39500</v>
      </c>
      <c r="K705">
        <v>-39500</v>
      </c>
      <c r="O705" t="s">
        <v>738</v>
      </c>
      <c r="P705" t="s">
        <v>927</v>
      </c>
      <c r="Q705" t="s">
        <v>462</v>
      </c>
      <c r="R705">
        <v>0</v>
      </c>
    </row>
    <row r="706" spans="1:18" x14ac:dyDescent="0.3">
      <c r="A706">
        <v>221362</v>
      </c>
      <c r="B706" t="s">
        <v>734</v>
      </c>
      <c r="C706" t="s">
        <v>883</v>
      </c>
      <c r="D706" t="s">
        <v>1188</v>
      </c>
      <c r="E706" s="465">
        <v>46175</v>
      </c>
      <c r="F706" s="465">
        <v>46191</v>
      </c>
      <c r="G706" t="s">
        <v>833</v>
      </c>
      <c r="H706" t="s">
        <v>348</v>
      </c>
      <c r="I706" t="s">
        <v>1189</v>
      </c>
      <c r="J706">
        <v>-3125</v>
      </c>
      <c r="K706">
        <v>-3125</v>
      </c>
      <c r="O706" t="s">
        <v>738</v>
      </c>
      <c r="P706" t="s">
        <v>860</v>
      </c>
      <c r="Q706" t="s">
        <v>462</v>
      </c>
      <c r="R706">
        <v>0</v>
      </c>
    </row>
    <row r="707" spans="1:18" x14ac:dyDescent="0.3">
      <c r="A707">
        <v>236219</v>
      </c>
      <c r="B707" t="s">
        <v>734</v>
      </c>
      <c r="C707" t="s">
        <v>824</v>
      </c>
      <c r="D707" t="s">
        <v>871</v>
      </c>
      <c r="E707" s="465">
        <v>46175</v>
      </c>
      <c r="F707" s="465">
        <v>46175</v>
      </c>
      <c r="G707" t="s">
        <v>825</v>
      </c>
      <c r="H707" t="s">
        <v>826</v>
      </c>
      <c r="J707">
        <v>-1</v>
      </c>
      <c r="K707">
        <v>-1</v>
      </c>
      <c r="O707" t="s">
        <v>738</v>
      </c>
      <c r="P707" t="s">
        <v>860</v>
      </c>
      <c r="Q707" t="s">
        <v>462</v>
      </c>
      <c r="R707">
        <v>0</v>
      </c>
    </row>
    <row r="708" spans="1:18" x14ac:dyDescent="0.3">
      <c r="A708">
        <v>243150</v>
      </c>
      <c r="B708" t="s">
        <v>734</v>
      </c>
      <c r="C708" t="s">
        <v>974</v>
      </c>
      <c r="E708" s="465">
        <v>46174</v>
      </c>
      <c r="F708" s="465">
        <v>46209</v>
      </c>
      <c r="G708" t="s">
        <v>787</v>
      </c>
      <c r="H708" t="s">
        <v>788</v>
      </c>
      <c r="J708">
        <v>-2626.46</v>
      </c>
      <c r="K708">
        <v>-2626.46</v>
      </c>
      <c r="O708" t="s">
        <v>738</v>
      </c>
      <c r="P708" t="s">
        <v>860</v>
      </c>
      <c r="Q708" t="s">
        <v>462</v>
      </c>
      <c r="R708">
        <v>0</v>
      </c>
    </row>
    <row r="709" spans="1:18" x14ac:dyDescent="0.3">
      <c r="A709">
        <v>243151</v>
      </c>
      <c r="B709" t="s">
        <v>734</v>
      </c>
      <c r="C709" t="s">
        <v>973</v>
      </c>
      <c r="E709" s="465">
        <v>46174</v>
      </c>
      <c r="F709" s="465">
        <v>46209</v>
      </c>
      <c r="G709" t="s">
        <v>787</v>
      </c>
      <c r="H709" t="s">
        <v>788</v>
      </c>
      <c r="J709">
        <v>-1868.42</v>
      </c>
      <c r="K709">
        <v>-1868.42</v>
      </c>
      <c r="O709" t="s">
        <v>738</v>
      </c>
      <c r="P709" t="s">
        <v>860</v>
      </c>
      <c r="Q709" t="s">
        <v>462</v>
      </c>
      <c r="R709">
        <v>0</v>
      </c>
    </row>
    <row r="710" spans="1:18" x14ac:dyDescent="0.3">
      <c r="A710">
        <v>243146</v>
      </c>
      <c r="B710" t="s">
        <v>734</v>
      </c>
      <c r="C710" t="s">
        <v>983</v>
      </c>
      <c r="E710" s="465">
        <v>46174</v>
      </c>
      <c r="F710" s="465">
        <v>46209</v>
      </c>
      <c r="G710" t="s">
        <v>787</v>
      </c>
      <c r="H710" t="s">
        <v>788</v>
      </c>
      <c r="J710">
        <v>-2423.12</v>
      </c>
      <c r="K710">
        <v>-2423.12</v>
      </c>
      <c r="O710" t="s">
        <v>738</v>
      </c>
      <c r="P710" t="s">
        <v>860</v>
      </c>
      <c r="Q710" t="s">
        <v>462</v>
      </c>
      <c r="R710">
        <v>0</v>
      </c>
    </row>
    <row r="711" spans="1:18" x14ac:dyDescent="0.3">
      <c r="A711">
        <v>243149</v>
      </c>
      <c r="B711" t="s">
        <v>734</v>
      </c>
      <c r="C711" t="s">
        <v>976</v>
      </c>
      <c r="E711" s="465">
        <v>46174</v>
      </c>
      <c r="F711" s="465">
        <v>46209</v>
      </c>
      <c r="G711" t="s">
        <v>787</v>
      </c>
      <c r="H711" t="s">
        <v>788</v>
      </c>
      <c r="J711">
        <v>-1855.66</v>
      </c>
      <c r="K711">
        <v>-1855.66</v>
      </c>
      <c r="O711" t="s">
        <v>738</v>
      </c>
      <c r="P711" t="s">
        <v>860</v>
      </c>
      <c r="Q711" t="s">
        <v>462</v>
      </c>
      <c r="R711">
        <v>0</v>
      </c>
    </row>
    <row r="712" spans="1:18" x14ac:dyDescent="0.3">
      <c r="A712">
        <v>243148</v>
      </c>
      <c r="B712" t="s">
        <v>734</v>
      </c>
      <c r="C712" t="s">
        <v>1089</v>
      </c>
      <c r="E712" s="465">
        <v>46174</v>
      </c>
      <c r="F712" s="465">
        <v>46209</v>
      </c>
      <c r="G712" t="s">
        <v>787</v>
      </c>
      <c r="H712" t="s">
        <v>788</v>
      </c>
      <c r="J712">
        <v>-86.97</v>
      </c>
      <c r="K712">
        <v>-86.97</v>
      </c>
      <c r="O712" t="s">
        <v>738</v>
      </c>
      <c r="P712" t="s">
        <v>860</v>
      </c>
      <c r="Q712" t="s">
        <v>462</v>
      </c>
      <c r="R712">
        <v>0</v>
      </c>
    </row>
    <row r="713" spans="1:18" x14ac:dyDescent="0.3">
      <c r="A713">
        <v>243147</v>
      </c>
      <c r="B713" t="s">
        <v>734</v>
      </c>
      <c r="C713" t="s">
        <v>1091</v>
      </c>
      <c r="E713" s="465">
        <v>46174</v>
      </c>
      <c r="F713" s="465">
        <v>46209</v>
      </c>
      <c r="G713" t="s">
        <v>787</v>
      </c>
      <c r="H713" t="s">
        <v>788</v>
      </c>
      <c r="J713">
        <v>-2772.22</v>
      </c>
      <c r="K713">
        <v>-2772.22</v>
      </c>
      <c r="O713" t="s">
        <v>738</v>
      </c>
      <c r="P713" t="s">
        <v>860</v>
      </c>
      <c r="Q713" t="s">
        <v>462</v>
      </c>
      <c r="R713">
        <v>0</v>
      </c>
    </row>
    <row r="714" spans="1:18" x14ac:dyDescent="0.3">
      <c r="A714">
        <v>243158</v>
      </c>
      <c r="B714" t="s">
        <v>734</v>
      </c>
      <c r="C714" t="s">
        <v>1038</v>
      </c>
      <c r="E714" s="465">
        <v>46174</v>
      </c>
      <c r="F714" s="465">
        <v>46209</v>
      </c>
      <c r="G714" t="s">
        <v>787</v>
      </c>
      <c r="H714" t="s">
        <v>788</v>
      </c>
      <c r="J714">
        <v>-2939.55</v>
      </c>
      <c r="K714">
        <v>-2939.55</v>
      </c>
      <c r="O714" t="s">
        <v>738</v>
      </c>
      <c r="P714" t="s">
        <v>860</v>
      </c>
      <c r="Q714" t="s">
        <v>462</v>
      </c>
      <c r="R714">
        <v>0</v>
      </c>
    </row>
    <row r="715" spans="1:18" x14ac:dyDescent="0.3">
      <c r="A715">
        <v>238201</v>
      </c>
      <c r="B715" t="s">
        <v>734</v>
      </c>
      <c r="C715" t="s">
        <v>427</v>
      </c>
      <c r="D715" t="s">
        <v>1190</v>
      </c>
      <c r="E715" s="465">
        <v>46174</v>
      </c>
      <c r="F715" s="465">
        <v>46192</v>
      </c>
      <c r="G715" t="s">
        <v>776</v>
      </c>
      <c r="H715" t="s">
        <v>205</v>
      </c>
      <c r="I715" t="s">
        <v>1191</v>
      </c>
      <c r="J715">
        <v>-4783.0200000000004</v>
      </c>
      <c r="K715">
        <v>-5046.37</v>
      </c>
      <c r="O715" t="s">
        <v>738</v>
      </c>
      <c r="P715" t="s">
        <v>860</v>
      </c>
      <c r="Q715" t="s">
        <v>462</v>
      </c>
      <c r="R715">
        <v>0</v>
      </c>
    </row>
    <row r="716" spans="1:18" x14ac:dyDescent="0.3">
      <c r="A716">
        <v>243152</v>
      </c>
      <c r="B716" t="s">
        <v>734</v>
      </c>
      <c r="C716" t="s">
        <v>977</v>
      </c>
      <c r="E716" s="465">
        <v>46174</v>
      </c>
      <c r="F716" s="465">
        <v>46209</v>
      </c>
      <c r="G716" t="s">
        <v>787</v>
      </c>
      <c r="H716" t="s">
        <v>788</v>
      </c>
      <c r="J716">
        <v>-2808.43</v>
      </c>
      <c r="K716">
        <v>-2808.43</v>
      </c>
      <c r="O716" t="s">
        <v>738</v>
      </c>
      <c r="P716" t="s">
        <v>860</v>
      </c>
      <c r="Q716" t="s">
        <v>462</v>
      </c>
      <c r="R716">
        <v>0</v>
      </c>
    </row>
    <row r="717" spans="1:18" x14ac:dyDescent="0.3">
      <c r="A717">
        <v>243153</v>
      </c>
      <c r="B717" t="s">
        <v>734</v>
      </c>
      <c r="C717" t="s">
        <v>956</v>
      </c>
      <c r="E717" s="465">
        <v>46174</v>
      </c>
      <c r="F717" s="465">
        <v>46209</v>
      </c>
      <c r="G717" t="s">
        <v>787</v>
      </c>
      <c r="H717" t="s">
        <v>788</v>
      </c>
      <c r="J717">
        <v>-2596.9899999999998</v>
      </c>
      <c r="K717">
        <v>-2596.9899999999998</v>
      </c>
      <c r="O717" t="s">
        <v>738</v>
      </c>
      <c r="P717" t="s">
        <v>860</v>
      </c>
      <c r="Q717" t="s">
        <v>462</v>
      </c>
      <c r="R717">
        <v>0</v>
      </c>
    </row>
    <row r="718" spans="1:18" x14ac:dyDescent="0.3">
      <c r="A718">
        <v>243154</v>
      </c>
      <c r="B718" t="s">
        <v>734</v>
      </c>
      <c r="C718" t="s">
        <v>1041</v>
      </c>
      <c r="E718" s="465">
        <v>46174</v>
      </c>
      <c r="F718" s="465">
        <v>46209</v>
      </c>
      <c r="G718" t="s">
        <v>787</v>
      </c>
      <c r="H718" t="s">
        <v>788</v>
      </c>
      <c r="J718">
        <v>-2284.1799999999998</v>
      </c>
      <c r="K718">
        <v>-2284.1799999999998</v>
      </c>
      <c r="O718" t="s">
        <v>738</v>
      </c>
      <c r="P718" t="s">
        <v>860</v>
      </c>
      <c r="Q718" t="s">
        <v>462</v>
      </c>
      <c r="R718">
        <v>0</v>
      </c>
    </row>
    <row r="719" spans="1:18" x14ac:dyDescent="0.3">
      <c r="A719">
        <v>243155</v>
      </c>
      <c r="B719" t="s">
        <v>734</v>
      </c>
      <c r="C719" t="s">
        <v>1088</v>
      </c>
      <c r="E719" s="465">
        <v>46174</v>
      </c>
      <c r="F719" s="465">
        <v>46209</v>
      </c>
      <c r="G719" t="s">
        <v>787</v>
      </c>
      <c r="H719" t="s">
        <v>788</v>
      </c>
      <c r="J719">
        <v>-2604.69</v>
      </c>
      <c r="K719">
        <v>-2604.69</v>
      </c>
      <c r="O719" t="s">
        <v>738</v>
      </c>
      <c r="P719" t="s">
        <v>860</v>
      </c>
      <c r="Q719" t="s">
        <v>462</v>
      </c>
      <c r="R719">
        <v>0</v>
      </c>
    </row>
    <row r="720" spans="1:18" x14ac:dyDescent="0.3">
      <c r="A720">
        <v>243156</v>
      </c>
      <c r="B720" t="s">
        <v>734</v>
      </c>
      <c r="C720" t="s">
        <v>1085</v>
      </c>
      <c r="E720" s="465">
        <v>46174</v>
      </c>
      <c r="F720" s="465">
        <v>46209</v>
      </c>
      <c r="G720" t="s">
        <v>787</v>
      </c>
      <c r="H720" t="s">
        <v>788</v>
      </c>
      <c r="J720">
        <v>-2759.88</v>
      </c>
      <c r="K720">
        <v>-2759.88</v>
      </c>
      <c r="O720" t="s">
        <v>738</v>
      </c>
      <c r="P720" t="s">
        <v>860</v>
      </c>
      <c r="Q720" t="s">
        <v>462</v>
      </c>
      <c r="R720">
        <v>0</v>
      </c>
    </row>
    <row r="721" spans="1:18" x14ac:dyDescent="0.3">
      <c r="A721">
        <v>243157</v>
      </c>
      <c r="B721" t="s">
        <v>734</v>
      </c>
      <c r="C721" t="s">
        <v>1084</v>
      </c>
      <c r="E721" s="465">
        <v>46174</v>
      </c>
      <c r="F721" s="465">
        <v>46209</v>
      </c>
      <c r="G721" t="s">
        <v>787</v>
      </c>
      <c r="H721" t="s">
        <v>788</v>
      </c>
      <c r="J721">
        <v>-0.01</v>
      </c>
      <c r="K721">
        <v>-0.01</v>
      </c>
      <c r="O721" t="s">
        <v>738</v>
      </c>
      <c r="P721" t="s">
        <v>860</v>
      </c>
      <c r="Q721" t="s">
        <v>462</v>
      </c>
      <c r="R721">
        <v>0</v>
      </c>
    </row>
    <row r="722" spans="1:18" x14ac:dyDescent="0.3">
      <c r="A722">
        <v>243163</v>
      </c>
      <c r="B722" t="s">
        <v>734</v>
      </c>
      <c r="C722" t="s">
        <v>1083</v>
      </c>
      <c r="E722" s="465">
        <v>46174</v>
      </c>
      <c r="F722" s="465">
        <v>46209</v>
      </c>
      <c r="G722" t="s">
        <v>787</v>
      </c>
      <c r="H722" t="s">
        <v>788</v>
      </c>
      <c r="J722">
        <v>-1969.79</v>
      </c>
      <c r="K722">
        <v>-1969.79</v>
      </c>
      <c r="O722" t="s">
        <v>738</v>
      </c>
      <c r="P722" t="s">
        <v>860</v>
      </c>
      <c r="Q722" t="s">
        <v>462</v>
      </c>
      <c r="R722">
        <v>0</v>
      </c>
    </row>
    <row r="723" spans="1:18" x14ac:dyDescent="0.3">
      <c r="A723">
        <v>243145</v>
      </c>
      <c r="B723" t="s">
        <v>734</v>
      </c>
      <c r="C723" t="s">
        <v>987</v>
      </c>
      <c r="E723" s="465">
        <v>46174</v>
      </c>
      <c r="F723" s="465">
        <v>46209</v>
      </c>
      <c r="G723" t="s">
        <v>787</v>
      </c>
      <c r="H723" t="s">
        <v>788</v>
      </c>
      <c r="J723">
        <v>-2475.2399999999998</v>
      </c>
      <c r="K723">
        <v>-2475.2399999999998</v>
      </c>
      <c r="O723" t="s">
        <v>738</v>
      </c>
      <c r="P723" t="s">
        <v>860</v>
      </c>
      <c r="Q723" t="s">
        <v>462</v>
      </c>
      <c r="R723">
        <v>0</v>
      </c>
    </row>
    <row r="724" spans="1:18" x14ac:dyDescent="0.3">
      <c r="A724">
        <v>243144</v>
      </c>
      <c r="B724" t="s">
        <v>734</v>
      </c>
      <c r="C724" t="s">
        <v>990</v>
      </c>
      <c r="E724" s="465">
        <v>46174</v>
      </c>
      <c r="F724" s="465">
        <v>46209</v>
      </c>
      <c r="G724" t="s">
        <v>787</v>
      </c>
      <c r="H724" t="s">
        <v>788</v>
      </c>
      <c r="J724">
        <v>-2642.8</v>
      </c>
      <c r="K724">
        <v>-2642.8</v>
      </c>
      <c r="O724" t="s">
        <v>738</v>
      </c>
      <c r="P724" t="s">
        <v>860</v>
      </c>
      <c r="Q724" t="s">
        <v>462</v>
      </c>
      <c r="R724">
        <v>0</v>
      </c>
    </row>
    <row r="725" spans="1:18" x14ac:dyDescent="0.3">
      <c r="A725">
        <v>243143</v>
      </c>
      <c r="B725" t="s">
        <v>734</v>
      </c>
      <c r="C725" t="s">
        <v>982</v>
      </c>
      <c r="E725" s="465">
        <v>46174</v>
      </c>
      <c r="F725" s="465">
        <v>46209</v>
      </c>
      <c r="G725" t="s">
        <v>787</v>
      </c>
      <c r="H725" t="s">
        <v>788</v>
      </c>
      <c r="J725">
        <v>-1651.16</v>
      </c>
      <c r="K725">
        <v>-1651.16</v>
      </c>
      <c r="O725" t="s">
        <v>738</v>
      </c>
      <c r="P725" t="s">
        <v>860</v>
      </c>
      <c r="Q725" t="s">
        <v>462</v>
      </c>
      <c r="R725">
        <v>0</v>
      </c>
    </row>
    <row r="726" spans="1:18" x14ac:dyDescent="0.3">
      <c r="A726">
        <v>243142</v>
      </c>
      <c r="B726" t="s">
        <v>734</v>
      </c>
      <c r="C726" t="s">
        <v>1090</v>
      </c>
      <c r="E726" s="465">
        <v>46174</v>
      </c>
      <c r="F726" s="465">
        <v>46209</v>
      </c>
      <c r="G726" t="s">
        <v>787</v>
      </c>
      <c r="H726" t="s">
        <v>788</v>
      </c>
      <c r="J726">
        <v>-2508.81</v>
      </c>
      <c r="K726">
        <v>-2508.81</v>
      </c>
      <c r="O726" t="s">
        <v>738</v>
      </c>
      <c r="P726" t="s">
        <v>860</v>
      </c>
      <c r="Q726" t="s">
        <v>462</v>
      </c>
      <c r="R726">
        <v>0</v>
      </c>
    </row>
    <row r="727" spans="1:18" x14ac:dyDescent="0.3">
      <c r="A727">
        <v>243141</v>
      </c>
      <c r="B727" t="s">
        <v>734</v>
      </c>
      <c r="C727" t="s">
        <v>961</v>
      </c>
      <c r="E727" s="465">
        <v>46174</v>
      </c>
      <c r="F727" s="465">
        <v>46209</v>
      </c>
      <c r="G727" t="s">
        <v>787</v>
      </c>
      <c r="H727" t="s">
        <v>788</v>
      </c>
      <c r="J727">
        <v>-1960.57</v>
      </c>
      <c r="K727">
        <v>-1960.57</v>
      </c>
      <c r="O727" t="s">
        <v>738</v>
      </c>
      <c r="P727" t="s">
        <v>860</v>
      </c>
      <c r="Q727" t="s">
        <v>462</v>
      </c>
      <c r="R727">
        <v>0</v>
      </c>
    </row>
    <row r="728" spans="1:18" x14ac:dyDescent="0.3">
      <c r="A728">
        <v>243140</v>
      </c>
      <c r="B728" t="s">
        <v>734</v>
      </c>
      <c r="C728" t="s">
        <v>952</v>
      </c>
      <c r="E728" s="465">
        <v>46174</v>
      </c>
      <c r="F728" s="465">
        <v>46209</v>
      </c>
      <c r="G728" t="s">
        <v>787</v>
      </c>
      <c r="H728" t="s">
        <v>788</v>
      </c>
      <c r="J728">
        <v>-2765.31</v>
      </c>
      <c r="K728">
        <v>-2765.31</v>
      </c>
      <c r="O728" t="s">
        <v>738</v>
      </c>
      <c r="P728" t="s">
        <v>860</v>
      </c>
      <c r="Q728" t="s">
        <v>462</v>
      </c>
      <c r="R728">
        <v>0</v>
      </c>
    </row>
    <row r="729" spans="1:18" x14ac:dyDescent="0.3">
      <c r="A729">
        <v>243139</v>
      </c>
      <c r="B729" t="s">
        <v>734</v>
      </c>
      <c r="C729" t="s">
        <v>955</v>
      </c>
      <c r="E729" s="465">
        <v>46174</v>
      </c>
      <c r="F729" s="465">
        <v>46209</v>
      </c>
      <c r="G729" t="s">
        <v>787</v>
      </c>
      <c r="H729" t="s">
        <v>788</v>
      </c>
      <c r="J729">
        <v>-1807.29</v>
      </c>
      <c r="K729">
        <v>-1807.29</v>
      </c>
      <c r="O729" t="s">
        <v>738</v>
      </c>
      <c r="P729" t="s">
        <v>860</v>
      </c>
      <c r="Q729" t="s">
        <v>462</v>
      </c>
      <c r="R729">
        <v>0</v>
      </c>
    </row>
    <row r="730" spans="1:18" x14ac:dyDescent="0.3">
      <c r="A730">
        <v>243138</v>
      </c>
      <c r="B730" t="s">
        <v>734</v>
      </c>
      <c r="C730" t="s">
        <v>957</v>
      </c>
      <c r="E730" s="465">
        <v>46174</v>
      </c>
      <c r="F730" s="465">
        <v>46209</v>
      </c>
      <c r="G730" t="s">
        <v>787</v>
      </c>
      <c r="H730" t="s">
        <v>788</v>
      </c>
      <c r="J730">
        <v>-2423.12</v>
      </c>
      <c r="K730">
        <v>-2423.12</v>
      </c>
      <c r="O730" t="s">
        <v>738</v>
      </c>
      <c r="P730" t="s">
        <v>860</v>
      </c>
      <c r="Q730" t="s">
        <v>462</v>
      </c>
      <c r="R730">
        <v>0</v>
      </c>
    </row>
    <row r="731" spans="1:18" x14ac:dyDescent="0.3">
      <c r="A731">
        <v>238185</v>
      </c>
      <c r="B731" t="s">
        <v>734</v>
      </c>
      <c r="C731" t="s">
        <v>428</v>
      </c>
      <c r="D731" t="s">
        <v>1192</v>
      </c>
      <c r="E731" s="465">
        <v>46174</v>
      </c>
      <c r="F731" s="465">
        <v>46192</v>
      </c>
      <c r="G731" t="s">
        <v>776</v>
      </c>
      <c r="H731" t="s">
        <v>210</v>
      </c>
      <c r="I731" t="s">
        <v>1193</v>
      </c>
      <c r="J731">
        <v>-4519.53</v>
      </c>
      <c r="K731">
        <v>-4549.3500000000004</v>
      </c>
      <c r="O731" t="s">
        <v>738</v>
      </c>
      <c r="P731" t="s">
        <v>860</v>
      </c>
      <c r="Q731" t="s">
        <v>462</v>
      </c>
      <c r="R731">
        <v>0</v>
      </c>
    </row>
    <row r="732" spans="1:18" x14ac:dyDescent="0.3">
      <c r="A732">
        <v>238182</v>
      </c>
      <c r="B732" t="s">
        <v>734</v>
      </c>
      <c r="C732" t="s">
        <v>783</v>
      </c>
      <c r="D732" t="s">
        <v>1194</v>
      </c>
      <c r="E732" s="465">
        <v>46174</v>
      </c>
      <c r="F732" s="465">
        <v>46188</v>
      </c>
      <c r="G732" t="s">
        <v>784</v>
      </c>
      <c r="H732" t="s">
        <v>238</v>
      </c>
      <c r="I732" t="s">
        <v>1195</v>
      </c>
      <c r="J732">
        <v>-544.36</v>
      </c>
      <c r="K732">
        <v>-544.36</v>
      </c>
      <c r="O732" t="s">
        <v>738</v>
      </c>
      <c r="P732" t="s">
        <v>860</v>
      </c>
      <c r="Q732" t="s">
        <v>462</v>
      </c>
      <c r="R732">
        <v>0</v>
      </c>
    </row>
    <row r="733" spans="1:18" x14ac:dyDescent="0.3">
      <c r="A733">
        <v>238025</v>
      </c>
      <c r="B733" t="s">
        <v>734</v>
      </c>
      <c r="C733" t="s">
        <v>1040</v>
      </c>
      <c r="D733" t="s">
        <v>1196</v>
      </c>
      <c r="E733" s="465">
        <v>46174</v>
      </c>
      <c r="F733" s="465">
        <v>46185</v>
      </c>
      <c r="G733" t="s">
        <v>784</v>
      </c>
      <c r="H733" t="s">
        <v>238</v>
      </c>
      <c r="I733" t="s">
        <v>1197</v>
      </c>
      <c r="J733">
        <v>-275</v>
      </c>
      <c r="K733">
        <v>-275</v>
      </c>
      <c r="O733" t="s">
        <v>738</v>
      </c>
      <c r="P733" t="s">
        <v>860</v>
      </c>
      <c r="Q733" t="s">
        <v>462</v>
      </c>
      <c r="R733">
        <v>0</v>
      </c>
    </row>
    <row r="734" spans="1:18" x14ac:dyDescent="0.3">
      <c r="A734">
        <v>238022</v>
      </c>
      <c r="B734" t="s">
        <v>734</v>
      </c>
      <c r="C734" t="s">
        <v>783</v>
      </c>
      <c r="D734" t="s">
        <v>1198</v>
      </c>
      <c r="E734" s="465">
        <v>46174</v>
      </c>
      <c r="F734" s="465">
        <v>46185</v>
      </c>
      <c r="G734" t="s">
        <v>784</v>
      </c>
      <c r="H734" t="s">
        <v>238</v>
      </c>
      <c r="I734" t="s">
        <v>1199</v>
      </c>
      <c r="J734">
        <v>-544.36</v>
      </c>
      <c r="K734">
        <v>-544.36</v>
      </c>
      <c r="O734" t="s">
        <v>738</v>
      </c>
      <c r="P734" t="s">
        <v>860</v>
      </c>
      <c r="Q734" t="s">
        <v>462</v>
      </c>
      <c r="R734">
        <v>0</v>
      </c>
    </row>
    <row r="735" spans="1:18" x14ac:dyDescent="0.3">
      <c r="A735">
        <v>237900</v>
      </c>
      <c r="B735" t="s">
        <v>734</v>
      </c>
      <c r="C735" t="s">
        <v>1200</v>
      </c>
      <c r="D735" t="s">
        <v>1201</v>
      </c>
      <c r="E735" s="465">
        <v>46174</v>
      </c>
      <c r="F735" s="465">
        <v>46185</v>
      </c>
      <c r="G735" t="s">
        <v>784</v>
      </c>
      <c r="H735" t="s">
        <v>238</v>
      </c>
      <c r="I735" t="s">
        <v>1202</v>
      </c>
      <c r="J735">
        <v>-193.2</v>
      </c>
      <c r="K735">
        <v>-193.2</v>
      </c>
      <c r="O735" t="s">
        <v>738</v>
      </c>
      <c r="P735" t="s">
        <v>860</v>
      </c>
      <c r="Q735" t="s">
        <v>462</v>
      </c>
      <c r="R735">
        <v>0</v>
      </c>
    </row>
    <row r="736" spans="1:18" x14ac:dyDescent="0.3">
      <c r="A736">
        <v>239240</v>
      </c>
      <c r="B736" t="s">
        <v>734</v>
      </c>
      <c r="C736" t="s">
        <v>1088</v>
      </c>
      <c r="E736" s="465">
        <v>46174</v>
      </c>
      <c r="F736" s="465">
        <v>46192</v>
      </c>
      <c r="G736" t="s">
        <v>787</v>
      </c>
      <c r="H736" t="s">
        <v>788</v>
      </c>
      <c r="J736">
        <v>-828</v>
      </c>
      <c r="K736">
        <v>-828</v>
      </c>
      <c r="O736" t="s">
        <v>738</v>
      </c>
      <c r="P736" t="s">
        <v>860</v>
      </c>
      <c r="Q736" t="s">
        <v>462</v>
      </c>
      <c r="R736">
        <v>0</v>
      </c>
    </row>
    <row r="737" spans="1:18" x14ac:dyDescent="0.3">
      <c r="A737">
        <v>243137</v>
      </c>
      <c r="B737" t="s">
        <v>734</v>
      </c>
      <c r="C737" t="s">
        <v>962</v>
      </c>
      <c r="E737" s="465">
        <v>46174</v>
      </c>
      <c r="F737" s="465">
        <v>46209</v>
      </c>
      <c r="G737" t="s">
        <v>787</v>
      </c>
      <c r="H737" t="s">
        <v>788</v>
      </c>
      <c r="J737">
        <v>-1862.16</v>
      </c>
      <c r="K737">
        <v>-1862.16</v>
      </c>
      <c r="O737" t="s">
        <v>738</v>
      </c>
      <c r="P737" t="s">
        <v>860</v>
      </c>
      <c r="Q737" t="s">
        <v>462</v>
      </c>
      <c r="R737">
        <v>0</v>
      </c>
    </row>
    <row r="738" spans="1:18" x14ac:dyDescent="0.3">
      <c r="A738">
        <v>243136</v>
      </c>
      <c r="B738" t="s">
        <v>734</v>
      </c>
      <c r="C738" t="s">
        <v>989</v>
      </c>
      <c r="E738" s="465">
        <v>46174</v>
      </c>
      <c r="F738" s="465">
        <v>46209</v>
      </c>
      <c r="G738" t="s">
        <v>787</v>
      </c>
      <c r="H738" t="s">
        <v>788</v>
      </c>
      <c r="J738">
        <v>-2076.5500000000002</v>
      </c>
      <c r="K738">
        <v>-2076.5500000000002</v>
      </c>
      <c r="O738" t="s">
        <v>738</v>
      </c>
      <c r="P738" t="s">
        <v>860</v>
      </c>
      <c r="Q738" t="s">
        <v>462</v>
      </c>
      <c r="R738">
        <v>0</v>
      </c>
    </row>
    <row r="739" spans="1:18" x14ac:dyDescent="0.3">
      <c r="A739">
        <v>239227</v>
      </c>
      <c r="B739" t="s">
        <v>734</v>
      </c>
      <c r="C739" t="s">
        <v>990</v>
      </c>
      <c r="E739" s="465">
        <v>46174</v>
      </c>
      <c r="F739" s="465">
        <v>46192</v>
      </c>
      <c r="G739" t="s">
        <v>787</v>
      </c>
      <c r="H739" t="s">
        <v>788</v>
      </c>
      <c r="J739">
        <v>-828</v>
      </c>
      <c r="K739">
        <v>-828</v>
      </c>
      <c r="O739" t="s">
        <v>738</v>
      </c>
      <c r="P739" t="s">
        <v>860</v>
      </c>
      <c r="Q739" t="s">
        <v>462</v>
      </c>
      <c r="R739">
        <v>0</v>
      </c>
    </row>
    <row r="740" spans="1:18" x14ac:dyDescent="0.3">
      <c r="A740">
        <v>238803</v>
      </c>
      <c r="B740" t="s">
        <v>734</v>
      </c>
      <c r="C740" t="s">
        <v>1203</v>
      </c>
      <c r="D740" t="s">
        <v>1204</v>
      </c>
      <c r="E740" s="465">
        <v>46174</v>
      </c>
      <c r="F740" s="465">
        <v>46189</v>
      </c>
      <c r="G740" t="s">
        <v>278</v>
      </c>
      <c r="H740" t="s">
        <v>285</v>
      </c>
      <c r="J740">
        <v>-349</v>
      </c>
      <c r="K740">
        <v>-349</v>
      </c>
      <c r="O740" t="s">
        <v>738</v>
      </c>
      <c r="P740" t="s">
        <v>860</v>
      </c>
      <c r="Q740" t="s">
        <v>462</v>
      </c>
      <c r="R740">
        <v>0</v>
      </c>
    </row>
    <row r="741" spans="1:18" x14ac:dyDescent="0.3">
      <c r="A741">
        <v>200015</v>
      </c>
      <c r="B741" t="s">
        <v>734</v>
      </c>
      <c r="C741" t="s">
        <v>855</v>
      </c>
      <c r="D741" t="s">
        <v>1205</v>
      </c>
      <c r="E741" s="465">
        <v>46174</v>
      </c>
      <c r="F741" s="465">
        <v>46218</v>
      </c>
      <c r="G741" t="s">
        <v>307</v>
      </c>
      <c r="H741" t="s">
        <v>313</v>
      </c>
      <c r="I741" t="s">
        <v>850</v>
      </c>
      <c r="J741">
        <v>-10000</v>
      </c>
      <c r="K741">
        <v>-10000</v>
      </c>
      <c r="O741" t="s">
        <v>738</v>
      </c>
      <c r="P741" t="s">
        <v>860</v>
      </c>
      <c r="Q741" t="s">
        <v>462</v>
      </c>
      <c r="R741">
        <v>0</v>
      </c>
    </row>
    <row r="742" spans="1:18" x14ac:dyDescent="0.3">
      <c r="A742">
        <v>199762</v>
      </c>
      <c r="B742" t="s">
        <v>734</v>
      </c>
      <c r="C742" t="s">
        <v>849</v>
      </c>
      <c r="D742" t="s">
        <v>1206</v>
      </c>
      <c r="E742" s="465">
        <v>46174</v>
      </c>
      <c r="F742" s="465">
        <v>46204</v>
      </c>
      <c r="G742" t="s">
        <v>792</v>
      </c>
      <c r="H742" t="s">
        <v>793</v>
      </c>
      <c r="I742" t="s">
        <v>1207</v>
      </c>
      <c r="J742">
        <v>-3300</v>
      </c>
      <c r="K742">
        <v>-3300</v>
      </c>
      <c r="M742" t="s">
        <v>851</v>
      </c>
      <c r="N742" t="s">
        <v>130</v>
      </c>
      <c r="O742" t="s">
        <v>738</v>
      </c>
      <c r="P742" t="s">
        <v>860</v>
      </c>
      <c r="Q742" t="s">
        <v>462</v>
      </c>
      <c r="R742">
        <v>0</v>
      </c>
    </row>
    <row r="743" spans="1:18" x14ac:dyDescent="0.3">
      <c r="A743">
        <v>188673</v>
      </c>
      <c r="B743" t="s">
        <v>734</v>
      </c>
      <c r="C743" t="s">
        <v>963</v>
      </c>
      <c r="D743" t="s">
        <v>1208</v>
      </c>
      <c r="E743" s="465">
        <v>46174</v>
      </c>
      <c r="F743" s="465">
        <v>46188</v>
      </c>
      <c r="G743" t="s">
        <v>833</v>
      </c>
      <c r="H743" t="s">
        <v>349</v>
      </c>
      <c r="I743" t="s">
        <v>1209</v>
      </c>
      <c r="J743">
        <v>-17045</v>
      </c>
      <c r="K743">
        <v>-17045</v>
      </c>
      <c r="O743" t="s">
        <v>738</v>
      </c>
      <c r="P743" t="s">
        <v>860</v>
      </c>
      <c r="Q743" t="s">
        <v>462</v>
      </c>
      <c r="R743">
        <v>0</v>
      </c>
    </row>
    <row r="744" spans="1:18" x14ac:dyDescent="0.3">
      <c r="A744">
        <v>239216</v>
      </c>
      <c r="B744" t="s">
        <v>734</v>
      </c>
      <c r="C744" t="s">
        <v>1200</v>
      </c>
      <c r="D744" t="s">
        <v>1210</v>
      </c>
      <c r="E744" s="465">
        <v>46174</v>
      </c>
      <c r="F744" s="465">
        <v>46196</v>
      </c>
      <c r="G744" t="s">
        <v>776</v>
      </c>
      <c r="H744" t="s">
        <v>224</v>
      </c>
      <c r="I744" t="s">
        <v>1211</v>
      </c>
      <c r="J744">
        <v>-1420.89</v>
      </c>
      <c r="K744">
        <v>-1420.89</v>
      </c>
      <c r="O744" t="s">
        <v>738</v>
      </c>
      <c r="P744" t="s">
        <v>860</v>
      </c>
      <c r="Q744" t="s">
        <v>462</v>
      </c>
      <c r="R744">
        <v>0</v>
      </c>
    </row>
    <row r="745" spans="1:18" x14ac:dyDescent="0.3">
      <c r="A745">
        <v>239219</v>
      </c>
      <c r="B745" t="s">
        <v>734</v>
      </c>
      <c r="C745" t="s">
        <v>989</v>
      </c>
      <c r="E745" s="465">
        <v>46174</v>
      </c>
      <c r="F745" s="465">
        <v>46192</v>
      </c>
      <c r="G745" t="s">
        <v>787</v>
      </c>
      <c r="H745" t="s">
        <v>788</v>
      </c>
      <c r="J745">
        <v>-828</v>
      </c>
      <c r="K745">
        <v>-828</v>
      </c>
      <c r="O745" t="s">
        <v>738</v>
      </c>
      <c r="P745" t="s">
        <v>860</v>
      </c>
      <c r="Q745" t="s">
        <v>462</v>
      </c>
      <c r="R745">
        <v>0</v>
      </c>
    </row>
    <row r="746" spans="1:18" x14ac:dyDescent="0.3">
      <c r="A746">
        <v>239220</v>
      </c>
      <c r="B746" t="s">
        <v>734</v>
      </c>
      <c r="C746" t="s">
        <v>962</v>
      </c>
      <c r="E746" s="465">
        <v>46174</v>
      </c>
      <c r="F746" s="465">
        <v>46192</v>
      </c>
      <c r="G746" t="s">
        <v>787</v>
      </c>
      <c r="H746" t="s">
        <v>788</v>
      </c>
      <c r="J746">
        <v>-721.6</v>
      </c>
      <c r="K746">
        <v>-721.6</v>
      </c>
      <c r="O746" t="s">
        <v>738</v>
      </c>
      <c r="P746" t="s">
        <v>860</v>
      </c>
      <c r="Q746" t="s">
        <v>462</v>
      </c>
      <c r="R746">
        <v>0</v>
      </c>
    </row>
    <row r="747" spans="1:18" x14ac:dyDescent="0.3">
      <c r="A747">
        <v>239221</v>
      </c>
      <c r="B747" t="s">
        <v>734</v>
      </c>
      <c r="C747" t="s">
        <v>957</v>
      </c>
      <c r="E747" s="465">
        <v>46174</v>
      </c>
      <c r="F747" s="465">
        <v>46192</v>
      </c>
      <c r="G747" t="s">
        <v>787</v>
      </c>
      <c r="H747" t="s">
        <v>788</v>
      </c>
      <c r="J747">
        <v>-828</v>
      </c>
      <c r="K747">
        <v>-828</v>
      </c>
      <c r="O747" t="s">
        <v>738</v>
      </c>
      <c r="P747" t="s">
        <v>860</v>
      </c>
      <c r="Q747" t="s">
        <v>462</v>
      </c>
      <c r="R747">
        <v>0</v>
      </c>
    </row>
    <row r="748" spans="1:18" x14ac:dyDescent="0.3">
      <c r="A748">
        <v>239222</v>
      </c>
      <c r="B748" t="s">
        <v>734</v>
      </c>
      <c r="C748" t="s">
        <v>955</v>
      </c>
      <c r="E748" s="465">
        <v>46174</v>
      </c>
      <c r="F748" s="465">
        <v>46192</v>
      </c>
      <c r="G748" t="s">
        <v>787</v>
      </c>
      <c r="H748" t="s">
        <v>788</v>
      </c>
      <c r="J748">
        <v>-721.6</v>
      </c>
      <c r="K748">
        <v>-721.6</v>
      </c>
      <c r="O748" t="s">
        <v>738</v>
      </c>
      <c r="P748" t="s">
        <v>860</v>
      </c>
      <c r="Q748" t="s">
        <v>462</v>
      </c>
      <c r="R748">
        <v>0</v>
      </c>
    </row>
    <row r="749" spans="1:18" x14ac:dyDescent="0.3">
      <c r="A749">
        <v>239223</v>
      </c>
      <c r="B749" t="s">
        <v>734</v>
      </c>
      <c r="C749" t="s">
        <v>952</v>
      </c>
      <c r="E749" s="465">
        <v>46174</v>
      </c>
      <c r="F749" s="465">
        <v>46192</v>
      </c>
      <c r="G749" t="s">
        <v>787</v>
      </c>
      <c r="H749" t="s">
        <v>788</v>
      </c>
      <c r="J749">
        <v>-828</v>
      </c>
      <c r="K749">
        <v>-828</v>
      </c>
      <c r="O749" t="s">
        <v>738</v>
      </c>
      <c r="P749" t="s">
        <v>860</v>
      </c>
      <c r="Q749" t="s">
        <v>462</v>
      </c>
      <c r="R749">
        <v>0</v>
      </c>
    </row>
    <row r="750" spans="1:18" x14ac:dyDescent="0.3">
      <c r="A750">
        <v>239224</v>
      </c>
      <c r="B750" t="s">
        <v>734</v>
      </c>
      <c r="C750" t="s">
        <v>961</v>
      </c>
      <c r="E750" s="465">
        <v>46174</v>
      </c>
      <c r="F750" s="465">
        <v>46192</v>
      </c>
      <c r="G750" t="s">
        <v>787</v>
      </c>
      <c r="H750" t="s">
        <v>788</v>
      </c>
      <c r="J750">
        <v>-721.6</v>
      </c>
      <c r="K750">
        <v>-721.6</v>
      </c>
      <c r="O750" t="s">
        <v>738</v>
      </c>
      <c r="P750" t="s">
        <v>860</v>
      </c>
      <c r="Q750" t="s">
        <v>462</v>
      </c>
      <c r="R750">
        <v>0</v>
      </c>
    </row>
    <row r="751" spans="1:18" x14ac:dyDescent="0.3">
      <c r="A751">
        <v>239225</v>
      </c>
      <c r="B751" t="s">
        <v>734</v>
      </c>
      <c r="C751" t="s">
        <v>1090</v>
      </c>
      <c r="E751" s="465">
        <v>46174</v>
      </c>
      <c r="F751" s="465">
        <v>46192</v>
      </c>
      <c r="G751" t="s">
        <v>787</v>
      </c>
      <c r="H751" t="s">
        <v>788</v>
      </c>
      <c r="J751">
        <v>-828</v>
      </c>
      <c r="K751">
        <v>-828</v>
      </c>
      <c r="O751" t="s">
        <v>738</v>
      </c>
      <c r="P751" t="s">
        <v>860</v>
      </c>
      <c r="Q751" t="s">
        <v>462</v>
      </c>
      <c r="R751">
        <v>0</v>
      </c>
    </row>
    <row r="752" spans="1:18" x14ac:dyDescent="0.3">
      <c r="A752">
        <v>239226</v>
      </c>
      <c r="B752" t="s">
        <v>734</v>
      </c>
      <c r="C752" t="s">
        <v>982</v>
      </c>
      <c r="E752" s="465">
        <v>46174</v>
      </c>
      <c r="F752" s="465">
        <v>46192</v>
      </c>
      <c r="G752" t="s">
        <v>787</v>
      </c>
      <c r="H752" t="s">
        <v>788</v>
      </c>
      <c r="J752">
        <v>-1148.8</v>
      </c>
      <c r="K752">
        <v>-1148.8</v>
      </c>
      <c r="O752" t="s">
        <v>738</v>
      </c>
      <c r="P752" t="s">
        <v>860</v>
      </c>
      <c r="Q752" t="s">
        <v>462</v>
      </c>
      <c r="R752">
        <v>0</v>
      </c>
    </row>
    <row r="753" spans="1:18" x14ac:dyDescent="0.3">
      <c r="A753">
        <v>238802</v>
      </c>
      <c r="B753" t="s">
        <v>734</v>
      </c>
      <c r="C753" t="s">
        <v>1212</v>
      </c>
      <c r="D753" t="s">
        <v>1213</v>
      </c>
      <c r="E753" s="465">
        <v>46174</v>
      </c>
      <c r="F753" s="465">
        <v>46195</v>
      </c>
      <c r="G753" t="s">
        <v>784</v>
      </c>
      <c r="H753" t="s">
        <v>238</v>
      </c>
      <c r="I753" t="s">
        <v>1214</v>
      </c>
      <c r="J753">
        <v>-151.19999999999999</v>
      </c>
      <c r="K753">
        <v>-151.19999999999999</v>
      </c>
      <c r="O753" t="s">
        <v>738</v>
      </c>
      <c r="P753" t="s">
        <v>860</v>
      </c>
      <c r="Q753" t="s">
        <v>462</v>
      </c>
      <c r="R753">
        <v>0</v>
      </c>
    </row>
    <row r="754" spans="1:18" x14ac:dyDescent="0.3">
      <c r="A754">
        <v>239228</v>
      </c>
      <c r="B754" t="s">
        <v>734</v>
      </c>
      <c r="C754" t="s">
        <v>987</v>
      </c>
      <c r="E754" s="465">
        <v>46174</v>
      </c>
      <c r="F754" s="465">
        <v>46192</v>
      </c>
      <c r="G754" t="s">
        <v>787</v>
      </c>
      <c r="H754" t="s">
        <v>788</v>
      </c>
      <c r="J754">
        <v>-828</v>
      </c>
      <c r="K754">
        <v>-828</v>
      </c>
      <c r="O754" t="s">
        <v>738</v>
      </c>
      <c r="P754" t="s">
        <v>860</v>
      </c>
      <c r="Q754" t="s">
        <v>462</v>
      </c>
      <c r="R754">
        <v>0</v>
      </c>
    </row>
    <row r="755" spans="1:18" x14ac:dyDescent="0.3">
      <c r="A755">
        <v>239229</v>
      </c>
      <c r="B755" t="s">
        <v>734</v>
      </c>
      <c r="C755" t="s">
        <v>983</v>
      </c>
      <c r="E755" s="465">
        <v>46174</v>
      </c>
      <c r="F755" s="465">
        <v>46192</v>
      </c>
      <c r="G755" t="s">
        <v>787</v>
      </c>
      <c r="H755" t="s">
        <v>788</v>
      </c>
      <c r="J755">
        <v>-828</v>
      </c>
      <c r="K755">
        <v>-828</v>
      </c>
      <c r="O755" t="s">
        <v>738</v>
      </c>
      <c r="P755" t="s">
        <v>860</v>
      </c>
      <c r="Q755" t="s">
        <v>462</v>
      </c>
      <c r="R755">
        <v>0</v>
      </c>
    </row>
    <row r="756" spans="1:18" x14ac:dyDescent="0.3">
      <c r="A756">
        <v>239230</v>
      </c>
      <c r="B756" t="s">
        <v>734</v>
      </c>
      <c r="C756" t="s">
        <v>1091</v>
      </c>
      <c r="E756" s="465">
        <v>46174</v>
      </c>
      <c r="F756" s="465">
        <v>46192</v>
      </c>
      <c r="G756" t="s">
        <v>787</v>
      </c>
      <c r="H756" t="s">
        <v>788</v>
      </c>
      <c r="J756">
        <v>-828</v>
      </c>
      <c r="K756">
        <v>-828</v>
      </c>
      <c r="O756" t="s">
        <v>738</v>
      </c>
      <c r="P756" t="s">
        <v>860</v>
      </c>
      <c r="Q756" t="s">
        <v>462</v>
      </c>
      <c r="R756">
        <v>0</v>
      </c>
    </row>
    <row r="757" spans="1:18" x14ac:dyDescent="0.3">
      <c r="A757">
        <v>239231</v>
      </c>
      <c r="B757" t="s">
        <v>734</v>
      </c>
      <c r="C757" t="s">
        <v>1089</v>
      </c>
      <c r="E757" s="465">
        <v>46174</v>
      </c>
      <c r="F757" s="465">
        <v>46192</v>
      </c>
      <c r="G757" t="s">
        <v>787</v>
      </c>
      <c r="H757" t="s">
        <v>788</v>
      </c>
      <c r="J757">
        <v>-1226.8</v>
      </c>
      <c r="K757">
        <v>-1226.8</v>
      </c>
      <c r="O757" t="s">
        <v>738</v>
      </c>
      <c r="P757" t="s">
        <v>860</v>
      </c>
      <c r="Q757" t="s">
        <v>462</v>
      </c>
      <c r="R757">
        <v>0</v>
      </c>
    </row>
    <row r="758" spans="1:18" x14ac:dyDescent="0.3">
      <c r="A758">
        <v>239232</v>
      </c>
      <c r="B758" t="s">
        <v>734</v>
      </c>
      <c r="C758" t="s">
        <v>976</v>
      </c>
      <c r="E758" s="465">
        <v>46174</v>
      </c>
      <c r="F758" s="465">
        <v>46192</v>
      </c>
      <c r="G758" t="s">
        <v>787</v>
      </c>
      <c r="H758" t="s">
        <v>788</v>
      </c>
      <c r="J758">
        <v>-721.6</v>
      </c>
      <c r="K758">
        <v>-721.6</v>
      </c>
      <c r="O758" t="s">
        <v>738</v>
      </c>
      <c r="P758" t="s">
        <v>860</v>
      </c>
      <c r="Q758" t="s">
        <v>462</v>
      </c>
      <c r="R758">
        <v>0</v>
      </c>
    </row>
    <row r="759" spans="1:18" x14ac:dyDescent="0.3">
      <c r="A759">
        <v>239233</v>
      </c>
      <c r="B759" t="s">
        <v>734</v>
      </c>
      <c r="C759" t="s">
        <v>974</v>
      </c>
      <c r="E759" s="465">
        <v>46174</v>
      </c>
      <c r="F759" s="465">
        <v>46192</v>
      </c>
      <c r="G759" t="s">
        <v>787</v>
      </c>
      <c r="H759" t="s">
        <v>788</v>
      </c>
      <c r="J759">
        <v>-828</v>
      </c>
      <c r="K759">
        <v>-828</v>
      </c>
      <c r="O759" t="s">
        <v>738</v>
      </c>
      <c r="P759" t="s">
        <v>860</v>
      </c>
      <c r="Q759" t="s">
        <v>462</v>
      </c>
      <c r="R759">
        <v>0</v>
      </c>
    </row>
    <row r="760" spans="1:18" x14ac:dyDescent="0.3">
      <c r="A760">
        <v>239234</v>
      </c>
      <c r="B760" t="s">
        <v>734</v>
      </c>
      <c r="C760" t="s">
        <v>973</v>
      </c>
      <c r="E760" s="465">
        <v>46174</v>
      </c>
      <c r="F760" s="465">
        <v>46192</v>
      </c>
      <c r="G760" t="s">
        <v>787</v>
      </c>
      <c r="H760" t="s">
        <v>788</v>
      </c>
      <c r="J760">
        <v>-721.6</v>
      </c>
      <c r="K760">
        <v>-721.6</v>
      </c>
      <c r="O760" t="s">
        <v>738</v>
      </c>
      <c r="P760" t="s">
        <v>860</v>
      </c>
      <c r="Q760" t="s">
        <v>462</v>
      </c>
      <c r="R760">
        <v>0</v>
      </c>
    </row>
    <row r="761" spans="1:18" x14ac:dyDescent="0.3">
      <c r="A761">
        <v>239235</v>
      </c>
      <c r="B761" t="s">
        <v>734</v>
      </c>
      <c r="C761" t="s">
        <v>977</v>
      </c>
      <c r="E761" s="465">
        <v>46174</v>
      </c>
      <c r="F761" s="465">
        <v>46192</v>
      </c>
      <c r="G761" t="s">
        <v>787</v>
      </c>
      <c r="H761" t="s">
        <v>788</v>
      </c>
      <c r="J761">
        <v>-828</v>
      </c>
      <c r="K761">
        <v>-828</v>
      </c>
      <c r="O761" t="s">
        <v>738</v>
      </c>
      <c r="P761" t="s">
        <v>860</v>
      </c>
      <c r="Q761" t="s">
        <v>462</v>
      </c>
      <c r="R761">
        <v>0</v>
      </c>
    </row>
    <row r="762" spans="1:18" x14ac:dyDescent="0.3">
      <c r="A762">
        <v>239236</v>
      </c>
      <c r="B762" t="s">
        <v>734</v>
      </c>
      <c r="C762" t="s">
        <v>956</v>
      </c>
      <c r="E762" s="465">
        <v>46174</v>
      </c>
      <c r="F762" s="465">
        <v>46192</v>
      </c>
      <c r="G762" t="s">
        <v>787</v>
      </c>
      <c r="H762" t="s">
        <v>788</v>
      </c>
      <c r="J762">
        <v>-828</v>
      </c>
      <c r="K762">
        <v>-828</v>
      </c>
      <c r="O762" t="s">
        <v>738</v>
      </c>
      <c r="P762" t="s">
        <v>860</v>
      </c>
      <c r="Q762" t="s">
        <v>462</v>
      </c>
      <c r="R762">
        <v>0</v>
      </c>
    </row>
    <row r="763" spans="1:18" x14ac:dyDescent="0.3">
      <c r="A763">
        <v>239237</v>
      </c>
      <c r="B763" t="s">
        <v>734</v>
      </c>
      <c r="C763" t="s">
        <v>1026</v>
      </c>
      <c r="E763" s="465">
        <v>46174</v>
      </c>
      <c r="F763" s="465">
        <v>46192</v>
      </c>
      <c r="G763" t="s">
        <v>787</v>
      </c>
      <c r="H763" t="s">
        <v>788</v>
      </c>
      <c r="J763">
        <v>-721.6</v>
      </c>
      <c r="K763">
        <v>-721.6</v>
      </c>
      <c r="O763" t="s">
        <v>738</v>
      </c>
      <c r="P763" t="s">
        <v>860</v>
      </c>
      <c r="Q763" t="s">
        <v>462</v>
      </c>
      <c r="R763">
        <v>0</v>
      </c>
    </row>
    <row r="764" spans="1:18" x14ac:dyDescent="0.3">
      <c r="A764">
        <v>239238</v>
      </c>
      <c r="B764" t="s">
        <v>734</v>
      </c>
      <c r="C764" t="s">
        <v>1041</v>
      </c>
      <c r="E764" s="465">
        <v>46174</v>
      </c>
      <c r="F764" s="465">
        <v>46192</v>
      </c>
      <c r="G764" t="s">
        <v>787</v>
      </c>
      <c r="H764" t="s">
        <v>788</v>
      </c>
      <c r="J764">
        <v>-944.02</v>
      </c>
      <c r="K764">
        <v>-944.02</v>
      </c>
      <c r="O764" t="s">
        <v>738</v>
      </c>
      <c r="P764" t="s">
        <v>860</v>
      </c>
      <c r="Q764" t="s">
        <v>462</v>
      </c>
      <c r="R764">
        <v>0</v>
      </c>
    </row>
    <row r="765" spans="1:18" x14ac:dyDescent="0.3">
      <c r="A765">
        <v>235516</v>
      </c>
      <c r="B765" t="s">
        <v>734</v>
      </c>
      <c r="C765" t="s">
        <v>804</v>
      </c>
      <c r="D765" t="s">
        <v>1215</v>
      </c>
      <c r="E765" s="465">
        <v>46174</v>
      </c>
      <c r="F765" s="465">
        <v>46204</v>
      </c>
      <c r="G765" t="s">
        <v>792</v>
      </c>
      <c r="H765" t="s">
        <v>793</v>
      </c>
      <c r="I765" t="s">
        <v>805</v>
      </c>
      <c r="J765">
        <v>-2100</v>
      </c>
      <c r="K765">
        <v>-2100</v>
      </c>
      <c r="O765" t="s">
        <v>738</v>
      </c>
      <c r="P765" t="s">
        <v>860</v>
      </c>
      <c r="Q765" t="s">
        <v>462</v>
      </c>
      <c r="R765">
        <v>0</v>
      </c>
    </row>
    <row r="766" spans="1:18" x14ac:dyDescent="0.3">
      <c r="A766">
        <v>243173</v>
      </c>
      <c r="B766" t="s">
        <v>734</v>
      </c>
      <c r="C766" t="s">
        <v>1216</v>
      </c>
      <c r="E766" s="465">
        <v>46174</v>
      </c>
      <c r="F766" s="465">
        <v>46209</v>
      </c>
      <c r="G766" t="s">
        <v>787</v>
      </c>
      <c r="H766" t="s">
        <v>788</v>
      </c>
      <c r="J766">
        <v>-601.46</v>
      </c>
      <c r="K766">
        <v>-601.46</v>
      </c>
      <c r="O766" t="s">
        <v>738</v>
      </c>
      <c r="P766" t="s">
        <v>860</v>
      </c>
      <c r="Q766" t="s">
        <v>462</v>
      </c>
      <c r="R766">
        <v>0</v>
      </c>
    </row>
    <row r="767" spans="1:18" x14ac:dyDescent="0.3">
      <c r="A767">
        <v>243160</v>
      </c>
      <c r="B767" t="s">
        <v>734</v>
      </c>
      <c r="C767" t="s">
        <v>1080</v>
      </c>
      <c r="E767" s="465">
        <v>46174</v>
      </c>
      <c r="F767" s="465">
        <v>46209</v>
      </c>
      <c r="G767" t="s">
        <v>787</v>
      </c>
      <c r="H767" t="s">
        <v>788</v>
      </c>
      <c r="J767">
        <v>-2340.64</v>
      </c>
      <c r="K767">
        <v>-2340.64</v>
      </c>
      <c r="O767" t="s">
        <v>738</v>
      </c>
      <c r="P767" t="s">
        <v>860</v>
      </c>
      <c r="Q767" t="s">
        <v>462</v>
      </c>
      <c r="R767">
        <v>0</v>
      </c>
    </row>
    <row r="768" spans="1:18" x14ac:dyDescent="0.3">
      <c r="A768">
        <v>243161</v>
      </c>
      <c r="B768" t="s">
        <v>734</v>
      </c>
      <c r="C768" t="s">
        <v>1055</v>
      </c>
      <c r="E768" s="465">
        <v>46174</v>
      </c>
      <c r="F768" s="465">
        <v>46209</v>
      </c>
      <c r="G768" t="s">
        <v>787</v>
      </c>
      <c r="H768" t="s">
        <v>788</v>
      </c>
      <c r="J768">
        <v>-1244.06</v>
      </c>
      <c r="K768">
        <v>-1244.06</v>
      </c>
      <c r="O768" t="s">
        <v>738</v>
      </c>
      <c r="P768" t="s">
        <v>860</v>
      </c>
      <c r="Q768" t="s">
        <v>462</v>
      </c>
      <c r="R768">
        <v>0</v>
      </c>
    </row>
    <row r="769" spans="1:18" x14ac:dyDescent="0.3">
      <c r="A769">
        <v>243162</v>
      </c>
      <c r="B769" t="s">
        <v>734</v>
      </c>
      <c r="C769" t="s">
        <v>1078</v>
      </c>
      <c r="E769" s="465">
        <v>46174</v>
      </c>
      <c r="F769" s="465">
        <v>46209</v>
      </c>
      <c r="G769" t="s">
        <v>787</v>
      </c>
      <c r="H769" t="s">
        <v>788</v>
      </c>
      <c r="J769">
        <v>-2417.12</v>
      </c>
      <c r="K769">
        <v>-2417.12</v>
      </c>
      <c r="O769" t="s">
        <v>738</v>
      </c>
      <c r="P769" t="s">
        <v>860</v>
      </c>
      <c r="Q769" t="s">
        <v>462</v>
      </c>
      <c r="R769">
        <v>0</v>
      </c>
    </row>
    <row r="770" spans="1:18" x14ac:dyDescent="0.3">
      <c r="A770">
        <v>239239</v>
      </c>
      <c r="B770" t="s">
        <v>734</v>
      </c>
      <c r="C770" t="s">
        <v>1027</v>
      </c>
      <c r="E770" s="465">
        <v>46174</v>
      </c>
      <c r="F770" s="465">
        <v>46192</v>
      </c>
      <c r="G770" t="s">
        <v>787</v>
      </c>
      <c r="H770" t="s">
        <v>788</v>
      </c>
      <c r="J770">
        <v>-828</v>
      </c>
      <c r="K770">
        <v>-828</v>
      </c>
      <c r="O770" t="s">
        <v>738</v>
      </c>
      <c r="P770" t="s">
        <v>860</v>
      </c>
      <c r="Q770" t="s">
        <v>462</v>
      </c>
      <c r="R770">
        <v>0</v>
      </c>
    </row>
    <row r="771" spans="1:18" x14ac:dyDescent="0.3">
      <c r="A771">
        <v>243164</v>
      </c>
      <c r="B771" t="s">
        <v>734</v>
      </c>
      <c r="C771" t="s">
        <v>966</v>
      </c>
      <c r="E771" s="465">
        <v>46174</v>
      </c>
      <c r="F771" s="465">
        <v>46209</v>
      </c>
      <c r="G771" t="s">
        <v>787</v>
      </c>
      <c r="H771" t="s">
        <v>788</v>
      </c>
      <c r="J771">
        <v>-2939.83</v>
      </c>
      <c r="K771">
        <v>-2939.83</v>
      </c>
      <c r="O771" t="s">
        <v>738</v>
      </c>
      <c r="P771" t="s">
        <v>860</v>
      </c>
      <c r="Q771" t="s">
        <v>462</v>
      </c>
      <c r="R771">
        <v>0</v>
      </c>
    </row>
    <row r="772" spans="1:18" x14ac:dyDescent="0.3">
      <c r="A772">
        <v>243165</v>
      </c>
      <c r="B772" t="s">
        <v>734</v>
      </c>
      <c r="C772" t="s">
        <v>1049</v>
      </c>
      <c r="E772" s="465">
        <v>46174</v>
      </c>
      <c r="F772" s="465">
        <v>46209</v>
      </c>
      <c r="G772" t="s">
        <v>787</v>
      </c>
      <c r="H772" t="s">
        <v>788</v>
      </c>
      <c r="J772">
        <v>-2988.11</v>
      </c>
      <c r="K772">
        <v>-2988.11</v>
      </c>
      <c r="O772" t="s">
        <v>738</v>
      </c>
      <c r="P772" t="s">
        <v>860</v>
      </c>
      <c r="Q772" t="s">
        <v>462</v>
      </c>
      <c r="R772">
        <v>0</v>
      </c>
    </row>
    <row r="773" spans="1:18" x14ac:dyDescent="0.3">
      <c r="A773">
        <v>243166</v>
      </c>
      <c r="B773" t="s">
        <v>734</v>
      </c>
      <c r="C773" t="s">
        <v>1081</v>
      </c>
      <c r="E773" s="465">
        <v>46174</v>
      </c>
      <c r="F773" s="465">
        <v>46209</v>
      </c>
      <c r="G773" t="s">
        <v>787</v>
      </c>
      <c r="H773" t="s">
        <v>788</v>
      </c>
      <c r="J773">
        <v>-2291.1</v>
      </c>
      <c r="K773">
        <v>-2291.1</v>
      </c>
      <c r="O773" t="s">
        <v>738</v>
      </c>
      <c r="P773" t="s">
        <v>860</v>
      </c>
      <c r="Q773" t="s">
        <v>462</v>
      </c>
      <c r="R773">
        <v>0</v>
      </c>
    </row>
    <row r="774" spans="1:18" x14ac:dyDescent="0.3">
      <c r="A774">
        <v>243167</v>
      </c>
      <c r="B774" t="s">
        <v>734</v>
      </c>
      <c r="C774" t="s">
        <v>1086</v>
      </c>
      <c r="E774" s="465">
        <v>46174</v>
      </c>
      <c r="F774" s="465">
        <v>46209</v>
      </c>
      <c r="G774" t="s">
        <v>787</v>
      </c>
      <c r="H774" t="s">
        <v>788</v>
      </c>
      <c r="J774">
        <v>-2703.1</v>
      </c>
      <c r="K774">
        <v>-2703.1</v>
      </c>
      <c r="O774" t="s">
        <v>738</v>
      </c>
      <c r="P774" t="s">
        <v>860</v>
      </c>
      <c r="Q774" t="s">
        <v>462</v>
      </c>
      <c r="R774">
        <v>0</v>
      </c>
    </row>
    <row r="775" spans="1:18" x14ac:dyDescent="0.3">
      <c r="A775">
        <v>243168</v>
      </c>
      <c r="B775" t="s">
        <v>734</v>
      </c>
      <c r="C775" t="s">
        <v>969</v>
      </c>
      <c r="E775" s="465">
        <v>46174</v>
      </c>
      <c r="F775" s="465">
        <v>46209</v>
      </c>
      <c r="G775" t="s">
        <v>787</v>
      </c>
      <c r="H775" t="s">
        <v>788</v>
      </c>
      <c r="J775">
        <v>-2754.58</v>
      </c>
      <c r="K775">
        <v>-2754.58</v>
      </c>
      <c r="O775" t="s">
        <v>738</v>
      </c>
      <c r="P775" t="s">
        <v>860</v>
      </c>
      <c r="Q775" t="s">
        <v>462</v>
      </c>
      <c r="R775">
        <v>0</v>
      </c>
    </row>
    <row r="776" spans="1:18" x14ac:dyDescent="0.3">
      <c r="A776">
        <v>243169</v>
      </c>
      <c r="B776" t="s">
        <v>734</v>
      </c>
      <c r="C776" t="s">
        <v>1040</v>
      </c>
      <c r="E776" s="465">
        <v>46174</v>
      </c>
      <c r="F776" s="465">
        <v>46209</v>
      </c>
      <c r="G776" t="s">
        <v>787</v>
      </c>
      <c r="H776" t="s">
        <v>788</v>
      </c>
      <c r="J776">
        <v>-2471.5500000000002</v>
      </c>
      <c r="K776">
        <v>-2471.5500000000002</v>
      </c>
      <c r="O776" t="s">
        <v>738</v>
      </c>
      <c r="P776" t="s">
        <v>860</v>
      </c>
      <c r="Q776" t="s">
        <v>462</v>
      </c>
      <c r="R776">
        <v>0</v>
      </c>
    </row>
    <row r="777" spans="1:18" x14ac:dyDescent="0.3">
      <c r="A777">
        <v>243170</v>
      </c>
      <c r="B777" t="s">
        <v>734</v>
      </c>
      <c r="C777" t="s">
        <v>1008</v>
      </c>
      <c r="E777" s="465">
        <v>46174</v>
      </c>
      <c r="F777" s="465">
        <v>46209</v>
      </c>
      <c r="G777" t="s">
        <v>787</v>
      </c>
      <c r="H777" t="s">
        <v>788</v>
      </c>
      <c r="J777">
        <v>-2597.2399999999998</v>
      </c>
      <c r="K777">
        <v>-2597.2399999999998</v>
      </c>
      <c r="O777" t="s">
        <v>738</v>
      </c>
      <c r="P777" t="s">
        <v>860</v>
      </c>
      <c r="Q777" t="s">
        <v>462</v>
      </c>
      <c r="R777">
        <v>0</v>
      </c>
    </row>
    <row r="778" spans="1:18" x14ac:dyDescent="0.3">
      <c r="A778">
        <v>243171</v>
      </c>
      <c r="B778" t="s">
        <v>734</v>
      </c>
      <c r="C778" t="s">
        <v>1087</v>
      </c>
      <c r="E778" s="465">
        <v>46174</v>
      </c>
      <c r="F778" s="465">
        <v>46209</v>
      </c>
      <c r="G778" t="s">
        <v>787</v>
      </c>
      <c r="H778" t="s">
        <v>788</v>
      </c>
      <c r="J778">
        <v>-2929.5</v>
      </c>
      <c r="K778">
        <v>-2929.5</v>
      </c>
      <c r="O778" t="s">
        <v>738</v>
      </c>
      <c r="P778" t="s">
        <v>860</v>
      </c>
      <c r="Q778" t="s">
        <v>462</v>
      </c>
      <c r="R778">
        <v>0</v>
      </c>
    </row>
    <row r="779" spans="1:18" x14ac:dyDescent="0.3">
      <c r="A779">
        <v>243172</v>
      </c>
      <c r="B779" t="s">
        <v>734</v>
      </c>
      <c r="C779" t="s">
        <v>1007</v>
      </c>
      <c r="E779" s="465">
        <v>46174</v>
      </c>
      <c r="F779" s="465">
        <v>46209</v>
      </c>
      <c r="G779" t="s">
        <v>787</v>
      </c>
      <c r="H779" t="s">
        <v>788</v>
      </c>
      <c r="J779">
        <v>-2553.2800000000002</v>
      </c>
      <c r="K779">
        <v>-2553.2800000000002</v>
      </c>
      <c r="O779" t="s">
        <v>738</v>
      </c>
      <c r="P779" t="s">
        <v>860</v>
      </c>
      <c r="Q779" t="s">
        <v>462</v>
      </c>
      <c r="R779">
        <v>0</v>
      </c>
    </row>
    <row r="780" spans="1:18" x14ac:dyDescent="0.3">
      <c r="A780">
        <v>243159</v>
      </c>
      <c r="B780" t="s">
        <v>734</v>
      </c>
      <c r="C780" t="s">
        <v>1082</v>
      </c>
      <c r="E780" s="465">
        <v>46174</v>
      </c>
      <c r="F780" s="465">
        <v>46209</v>
      </c>
      <c r="G780" t="s">
        <v>787</v>
      </c>
      <c r="H780" t="s">
        <v>788</v>
      </c>
      <c r="J780">
        <v>-2359.5500000000002</v>
      </c>
      <c r="K780">
        <v>-2359.5500000000002</v>
      </c>
      <c r="O780" t="s">
        <v>738</v>
      </c>
      <c r="P780" t="s">
        <v>860</v>
      </c>
      <c r="Q780" t="s">
        <v>462</v>
      </c>
      <c r="R780">
        <v>0</v>
      </c>
    </row>
    <row r="781" spans="1:18" x14ac:dyDescent="0.3">
      <c r="A781">
        <v>243174</v>
      </c>
      <c r="B781" t="s">
        <v>734</v>
      </c>
      <c r="C781" t="s">
        <v>1006</v>
      </c>
      <c r="E781" s="465">
        <v>46174</v>
      </c>
      <c r="F781" s="465">
        <v>46209</v>
      </c>
      <c r="G781" t="s">
        <v>787</v>
      </c>
      <c r="H781" t="s">
        <v>788</v>
      </c>
      <c r="J781">
        <v>-1783.21</v>
      </c>
      <c r="K781">
        <v>-1783.21</v>
      </c>
      <c r="O781" t="s">
        <v>738</v>
      </c>
      <c r="P781" t="s">
        <v>860</v>
      </c>
      <c r="Q781" t="s">
        <v>462</v>
      </c>
      <c r="R781">
        <v>0</v>
      </c>
    </row>
    <row r="782" spans="1:18" x14ac:dyDescent="0.3">
      <c r="A782">
        <v>243175</v>
      </c>
      <c r="B782" t="s">
        <v>734</v>
      </c>
      <c r="C782" t="s">
        <v>1050</v>
      </c>
      <c r="E782" s="465">
        <v>46174</v>
      </c>
      <c r="F782" s="465">
        <v>46209</v>
      </c>
      <c r="G782" t="s">
        <v>787</v>
      </c>
      <c r="H782" t="s">
        <v>788</v>
      </c>
      <c r="J782">
        <v>-1773.31</v>
      </c>
      <c r="K782">
        <v>-1773.31</v>
      </c>
      <c r="O782" t="s">
        <v>738</v>
      </c>
      <c r="P782" t="s">
        <v>860</v>
      </c>
      <c r="Q782" t="s">
        <v>462</v>
      </c>
      <c r="R782">
        <v>0</v>
      </c>
    </row>
    <row r="783" spans="1:18" x14ac:dyDescent="0.3">
      <c r="A783">
        <v>243176</v>
      </c>
      <c r="B783" t="s">
        <v>734</v>
      </c>
      <c r="C783" t="s">
        <v>991</v>
      </c>
      <c r="E783" s="465">
        <v>46174</v>
      </c>
      <c r="F783" s="465">
        <v>46209</v>
      </c>
      <c r="G783" t="s">
        <v>787</v>
      </c>
      <c r="H783" t="s">
        <v>788</v>
      </c>
      <c r="J783">
        <v>-1786.19</v>
      </c>
      <c r="K783">
        <v>-1786.19</v>
      </c>
      <c r="O783" t="s">
        <v>738</v>
      </c>
      <c r="P783" t="s">
        <v>860</v>
      </c>
      <c r="Q783" t="s">
        <v>462</v>
      </c>
      <c r="R783">
        <v>0</v>
      </c>
    </row>
    <row r="784" spans="1:18" x14ac:dyDescent="0.3">
      <c r="A784">
        <v>243177</v>
      </c>
      <c r="B784" t="s">
        <v>734</v>
      </c>
      <c r="C784" t="s">
        <v>1079</v>
      </c>
      <c r="E784" s="465">
        <v>46174</v>
      </c>
      <c r="F784" s="465">
        <v>46209</v>
      </c>
      <c r="G784" t="s">
        <v>787</v>
      </c>
      <c r="H784" t="s">
        <v>788</v>
      </c>
      <c r="J784">
        <v>-1474.33</v>
      </c>
      <c r="K784">
        <v>-1474.33</v>
      </c>
      <c r="O784" t="s">
        <v>738</v>
      </c>
      <c r="P784" t="s">
        <v>860</v>
      </c>
      <c r="Q784" t="s">
        <v>462</v>
      </c>
      <c r="R784">
        <v>0</v>
      </c>
    </row>
    <row r="785" spans="1:18" x14ac:dyDescent="0.3">
      <c r="A785">
        <v>243178</v>
      </c>
      <c r="B785" t="s">
        <v>734</v>
      </c>
      <c r="C785" t="s">
        <v>1069</v>
      </c>
      <c r="E785" s="465">
        <v>46174</v>
      </c>
      <c r="F785" s="465">
        <v>46209</v>
      </c>
      <c r="G785" t="s">
        <v>787</v>
      </c>
      <c r="H785" t="s">
        <v>788</v>
      </c>
      <c r="J785">
        <v>-724.27</v>
      </c>
      <c r="K785">
        <v>-724.27</v>
      </c>
      <c r="O785" t="s">
        <v>738</v>
      </c>
      <c r="P785" t="s">
        <v>860</v>
      </c>
      <c r="Q785" t="s">
        <v>462</v>
      </c>
      <c r="R785">
        <v>0</v>
      </c>
    </row>
    <row r="786" spans="1:18" x14ac:dyDescent="0.3">
      <c r="A786">
        <v>243179</v>
      </c>
      <c r="B786" t="s">
        <v>734</v>
      </c>
      <c r="C786" t="s">
        <v>1002</v>
      </c>
      <c r="E786" s="465">
        <v>46174</v>
      </c>
      <c r="F786" s="465">
        <v>46209</v>
      </c>
      <c r="G786" t="s">
        <v>787</v>
      </c>
      <c r="H786" t="s">
        <v>788</v>
      </c>
      <c r="J786">
        <v>-990.11</v>
      </c>
      <c r="K786">
        <v>-990.11</v>
      </c>
      <c r="O786" t="s">
        <v>738</v>
      </c>
      <c r="P786" t="s">
        <v>860</v>
      </c>
      <c r="Q786" t="s">
        <v>462</v>
      </c>
      <c r="R786">
        <v>0</v>
      </c>
    </row>
    <row r="787" spans="1:18" x14ac:dyDescent="0.3">
      <c r="A787">
        <v>243180</v>
      </c>
      <c r="B787" t="s">
        <v>734</v>
      </c>
      <c r="C787" t="s">
        <v>1028</v>
      </c>
      <c r="E787" s="465">
        <v>46174</v>
      </c>
      <c r="F787" s="465">
        <v>46209</v>
      </c>
      <c r="G787" t="s">
        <v>787</v>
      </c>
      <c r="H787" t="s">
        <v>788</v>
      </c>
      <c r="J787">
        <v>-2379.61</v>
      </c>
      <c r="K787">
        <v>-2379.61</v>
      </c>
      <c r="O787" t="s">
        <v>738</v>
      </c>
      <c r="P787" t="s">
        <v>860</v>
      </c>
      <c r="Q787" t="s">
        <v>462</v>
      </c>
      <c r="R787">
        <v>0</v>
      </c>
    </row>
    <row r="788" spans="1:18" x14ac:dyDescent="0.3">
      <c r="A788">
        <v>243181</v>
      </c>
      <c r="B788" t="s">
        <v>734</v>
      </c>
      <c r="C788" t="s">
        <v>1027</v>
      </c>
      <c r="E788" s="465">
        <v>46174</v>
      </c>
      <c r="F788" s="465">
        <v>46209</v>
      </c>
      <c r="G788" t="s">
        <v>787</v>
      </c>
      <c r="H788" t="s">
        <v>788</v>
      </c>
      <c r="J788">
        <v>-1000.77</v>
      </c>
      <c r="K788">
        <v>-1000.77</v>
      </c>
      <c r="O788" t="s">
        <v>738</v>
      </c>
      <c r="P788" t="s">
        <v>860</v>
      </c>
      <c r="Q788" t="s">
        <v>462</v>
      </c>
      <c r="R788">
        <v>0</v>
      </c>
    </row>
    <row r="789" spans="1:18" x14ac:dyDescent="0.3">
      <c r="A789">
        <v>243182</v>
      </c>
      <c r="B789" t="s">
        <v>734</v>
      </c>
      <c r="C789" t="s">
        <v>1021</v>
      </c>
      <c r="E789" s="465">
        <v>46174</v>
      </c>
      <c r="F789" s="465">
        <v>46209</v>
      </c>
      <c r="G789" t="s">
        <v>787</v>
      </c>
      <c r="H789" t="s">
        <v>788</v>
      </c>
      <c r="J789">
        <v>-713.42</v>
      </c>
      <c r="K789">
        <v>-713.42</v>
      </c>
      <c r="O789" t="s">
        <v>738</v>
      </c>
      <c r="P789" t="s">
        <v>860</v>
      </c>
      <c r="Q789" t="s">
        <v>462</v>
      </c>
      <c r="R789">
        <v>0</v>
      </c>
    </row>
    <row r="790" spans="1:18" x14ac:dyDescent="0.3">
      <c r="A790">
        <v>243183</v>
      </c>
      <c r="B790" t="s">
        <v>734</v>
      </c>
      <c r="C790" t="s">
        <v>1026</v>
      </c>
      <c r="E790" s="465">
        <v>46174</v>
      </c>
      <c r="F790" s="465">
        <v>46209</v>
      </c>
      <c r="G790" t="s">
        <v>787</v>
      </c>
      <c r="H790" t="s">
        <v>788</v>
      </c>
      <c r="J790">
        <v>-2331.71</v>
      </c>
      <c r="K790">
        <v>-2331.71</v>
      </c>
      <c r="O790" t="s">
        <v>738</v>
      </c>
      <c r="P790" t="s">
        <v>860</v>
      </c>
      <c r="Q790" t="s">
        <v>462</v>
      </c>
      <c r="R790">
        <v>0</v>
      </c>
    </row>
    <row r="791" spans="1:18" x14ac:dyDescent="0.3">
      <c r="A791">
        <v>243184</v>
      </c>
      <c r="B791" t="s">
        <v>734</v>
      </c>
      <c r="C791" t="s">
        <v>1000</v>
      </c>
      <c r="E791" s="465">
        <v>46174</v>
      </c>
      <c r="F791" s="465">
        <v>46209</v>
      </c>
      <c r="G791" t="s">
        <v>787</v>
      </c>
      <c r="H791" t="s">
        <v>788</v>
      </c>
      <c r="J791">
        <v>-1338.59</v>
      </c>
      <c r="K791">
        <v>-1338.59</v>
      </c>
      <c r="O791" t="s">
        <v>738</v>
      </c>
      <c r="P791" t="s">
        <v>860</v>
      </c>
      <c r="Q791" t="s">
        <v>462</v>
      </c>
      <c r="R791">
        <v>0</v>
      </c>
    </row>
    <row r="792" spans="1:18" x14ac:dyDescent="0.3">
      <c r="A792">
        <v>238800</v>
      </c>
      <c r="B792" t="s">
        <v>734</v>
      </c>
      <c r="C792" t="s">
        <v>1217</v>
      </c>
      <c r="D792" t="s">
        <v>1218</v>
      </c>
      <c r="E792" s="465">
        <v>46174</v>
      </c>
      <c r="F792" s="465">
        <v>46195</v>
      </c>
      <c r="G792" t="s">
        <v>784</v>
      </c>
      <c r="H792" t="s">
        <v>238</v>
      </c>
      <c r="I792" t="s">
        <v>1219</v>
      </c>
      <c r="J792">
        <v>-205.52</v>
      </c>
      <c r="K792">
        <v>-205.52</v>
      </c>
      <c r="O792" t="s">
        <v>738</v>
      </c>
      <c r="P792" t="s">
        <v>860</v>
      </c>
      <c r="Q792" t="s">
        <v>462</v>
      </c>
      <c r="R792">
        <v>0</v>
      </c>
    </row>
    <row r="793" spans="1:18" x14ac:dyDescent="0.3">
      <c r="A793">
        <v>239245</v>
      </c>
      <c r="B793" t="s">
        <v>734</v>
      </c>
      <c r="C793" t="s">
        <v>1008</v>
      </c>
      <c r="E793" s="465">
        <v>46174</v>
      </c>
      <c r="F793" s="465">
        <v>46192</v>
      </c>
      <c r="G793" t="s">
        <v>787</v>
      </c>
      <c r="H793" t="s">
        <v>788</v>
      </c>
      <c r="J793">
        <v>-828</v>
      </c>
      <c r="K793">
        <v>-828</v>
      </c>
      <c r="O793" t="s">
        <v>738</v>
      </c>
      <c r="P793" t="s">
        <v>860</v>
      </c>
      <c r="Q793" t="s">
        <v>462</v>
      </c>
      <c r="R793">
        <v>0</v>
      </c>
    </row>
    <row r="794" spans="1:18" x14ac:dyDescent="0.3">
      <c r="A794">
        <v>240289</v>
      </c>
      <c r="B794" t="s">
        <v>734</v>
      </c>
      <c r="C794" t="s">
        <v>1220</v>
      </c>
      <c r="D794" t="s">
        <v>1221</v>
      </c>
      <c r="E794" s="465">
        <v>46174</v>
      </c>
      <c r="F794" s="465">
        <v>46198</v>
      </c>
      <c r="G794" t="s">
        <v>776</v>
      </c>
      <c r="H794" t="s">
        <v>224</v>
      </c>
      <c r="I794" t="s">
        <v>1222</v>
      </c>
      <c r="J794">
        <v>0</v>
      </c>
      <c r="K794">
        <v>0</v>
      </c>
      <c r="O794" t="s">
        <v>738</v>
      </c>
      <c r="P794" t="s">
        <v>860</v>
      </c>
      <c r="Q794" t="s">
        <v>462</v>
      </c>
      <c r="R794">
        <v>0</v>
      </c>
    </row>
    <row r="795" spans="1:18" x14ac:dyDescent="0.3">
      <c r="A795">
        <v>233291</v>
      </c>
      <c r="B795" t="s">
        <v>734</v>
      </c>
      <c r="C795" t="s">
        <v>783</v>
      </c>
      <c r="D795" t="s">
        <v>1223</v>
      </c>
      <c r="E795" s="465">
        <v>46174</v>
      </c>
      <c r="F795" s="465">
        <v>46169</v>
      </c>
      <c r="G795" t="s">
        <v>784</v>
      </c>
      <c r="H795" t="s">
        <v>238</v>
      </c>
      <c r="I795" t="s">
        <v>803</v>
      </c>
      <c r="J795">
        <v>-2014.18</v>
      </c>
      <c r="K795">
        <v>-2014.18</v>
      </c>
      <c r="O795" t="s">
        <v>738</v>
      </c>
      <c r="P795" t="s">
        <v>860</v>
      </c>
      <c r="Q795" t="s">
        <v>462</v>
      </c>
      <c r="R795">
        <v>0</v>
      </c>
    </row>
    <row r="796" spans="1:18" x14ac:dyDescent="0.3">
      <c r="A796">
        <v>237225</v>
      </c>
      <c r="B796" t="s">
        <v>734</v>
      </c>
      <c r="C796" t="s">
        <v>806</v>
      </c>
      <c r="D796" t="s">
        <v>1224</v>
      </c>
      <c r="E796" s="465">
        <v>46174</v>
      </c>
      <c r="F796" s="465">
        <v>46191</v>
      </c>
      <c r="G796" t="s">
        <v>784</v>
      </c>
      <c r="H796" t="s">
        <v>246</v>
      </c>
      <c r="I796" t="s">
        <v>807</v>
      </c>
      <c r="J796">
        <v>-644.19000000000005</v>
      </c>
      <c r="K796">
        <v>-644.19000000000005</v>
      </c>
      <c r="O796" t="s">
        <v>738</v>
      </c>
      <c r="P796" t="s">
        <v>860</v>
      </c>
      <c r="Q796" t="s">
        <v>462</v>
      </c>
      <c r="R796">
        <v>0</v>
      </c>
    </row>
    <row r="797" spans="1:18" x14ac:dyDescent="0.3">
      <c r="A797">
        <v>233307</v>
      </c>
      <c r="B797" t="s">
        <v>734</v>
      </c>
      <c r="C797" t="s">
        <v>783</v>
      </c>
      <c r="D797" t="s">
        <v>1225</v>
      </c>
      <c r="E797" s="465">
        <v>46174</v>
      </c>
      <c r="F797" s="465">
        <v>46170</v>
      </c>
      <c r="G797" t="s">
        <v>784</v>
      </c>
      <c r="H797" t="s">
        <v>238</v>
      </c>
      <c r="I797" t="s">
        <v>800</v>
      </c>
      <c r="J797">
        <v>-9643.57</v>
      </c>
      <c r="K797">
        <v>-9643.57</v>
      </c>
      <c r="O797" t="s">
        <v>738</v>
      </c>
      <c r="P797" t="s">
        <v>860</v>
      </c>
      <c r="Q797" t="s">
        <v>462</v>
      </c>
      <c r="R797">
        <v>0</v>
      </c>
    </row>
    <row r="798" spans="1:18" x14ac:dyDescent="0.3">
      <c r="A798">
        <v>240288</v>
      </c>
      <c r="B798" t="s">
        <v>734</v>
      </c>
      <c r="C798" t="s">
        <v>1226</v>
      </c>
      <c r="D798" t="s">
        <v>1221</v>
      </c>
      <c r="E798" s="465">
        <v>46174</v>
      </c>
      <c r="F798" s="465">
        <v>46198</v>
      </c>
      <c r="G798" t="s">
        <v>776</v>
      </c>
      <c r="H798" t="s">
        <v>224</v>
      </c>
      <c r="I798" t="s">
        <v>1227</v>
      </c>
      <c r="J798">
        <v>0</v>
      </c>
      <c r="K798">
        <v>0</v>
      </c>
      <c r="O798" t="s">
        <v>738</v>
      </c>
      <c r="P798" t="s">
        <v>860</v>
      </c>
      <c r="Q798" t="s">
        <v>462</v>
      </c>
      <c r="R798">
        <v>0</v>
      </c>
    </row>
    <row r="799" spans="1:18" x14ac:dyDescent="0.3">
      <c r="A799">
        <v>239878</v>
      </c>
      <c r="B799" t="s">
        <v>734</v>
      </c>
      <c r="C799" t="s">
        <v>1002</v>
      </c>
      <c r="D799" t="s">
        <v>1228</v>
      </c>
      <c r="E799" s="465">
        <v>46174</v>
      </c>
      <c r="F799" s="465">
        <v>46210</v>
      </c>
      <c r="G799" t="s">
        <v>784</v>
      </c>
      <c r="H799" t="s">
        <v>238</v>
      </c>
      <c r="I799" t="s">
        <v>1229</v>
      </c>
      <c r="J799">
        <v>-487.76</v>
      </c>
      <c r="K799">
        <v>-487.76</v>
      </c>
      <c r="O799" t="s">
        <v>738</v>
      </c>
      <c r="P799" t="s">
        <v>860</v>
      </c>
      <c r="Q799" t="s">
        <v>462</v>
      </c>
      <c r="R799">
        <v>0</v>
      </c>
    </row>
    <row r="800" spans="1:18" x14ac:dyDescent="0.3">
      <c r="A800">
        <v>239752</v>
      </c>
      <c r="B800" t="s">
        <v>734</v>
      </c>
      <c r="C800" t="s">
        <v>849</v>
      </c>
      <c r="D800" t="s">
        <v>1230</v>
      </c>
      <c r="E800" s="465">
        <v>46174</v>
      </c>
      <c r="F800" s="465">
        <v>46199</v>
      </c>
      <c r="G800" t="s">
        <v>1094</v>
      </c>
      <c r="H800" t="s">
        <v>112</v>
      </c>
      <c r="I800" t="s">
        <v>1231</v>
      </c>
      <c r="J800">
        <v>-4114.13</v>
      </c>
      <c r="K800">
        <v>-4114.13</v>
      </c>
      <c r="M800" t="s">
        <v>851</v>
      </c>
      <c r="N800" t="s">
        <v>130</v>
      </c>
      <c r="O800" t="s">
        <v>738</v>
      </c>
      <c r="P800" t="s">
        <v>860</v>
      </c>
      <c r="Q800" t="s">
        <v>462</v>
      </c>
      <c r="R800">
        <v>0</v>
      </c>
    </row>
    <row r="801" spans="1:18" x14ac:dyDescent="0.3">
      <c r="A801">
        <v>239395</v>
      </c>
      <c r="B801" t="s">
        <v>734</v>
      </c>
      <c r="C801" t="s">
        <v>1232</v>
      </c>
      <c r="D801" t="s">
        <v>1233</v>
      </c>
      <c r="E801" s="465">
        <v>46174</v>
      </c>
      <c r="F801" s="465">
        <v>46198</v>
      </c>
      <c r="G801" t="s">
        <v>776</v>
      </c>
      <c r="H801" t="s">
        <v>224</v>
      </c>
      <c r="I801" t="s">
        <v>1234</v>
      </c>
      <c r="J801">
        <v>-38.270000000000003</v>
      </c>
      <c r="K801">
        <v>-38.270000000000003</v>
      </c>
      <c r="O801" t="s">
        <v>738</v>
      </c>
      <c r="P801" t="s">
        <v>860</v>
      </c>
      <c r="Q801" t="s">
        <v>462</v>
      </c>
      <c r="R801">
        <v>0</v>
      </c>
    </row>
    <row r="802" spans="1:18" x14ac:dyDescent="0.3">
      <c r="A802">
        <v>239261</v>
      </c>
      <c r="B802" t="s">
        <v>734</v>
      </c>
      <c r="C802" t="s">
        <v>1235</v>
      </c>
      <c r="D802" t="s">
        <v>1236</v>
      </c>
      <c r="E802" s="465">
        <v>46174</v>
      </c>
      <c r="F802" s="465">
        <v>46190</v>
      </c>
      <c r="G802" t="s">
        <v>833</v>
      </c>
      <c r="H802" t="s">
        <v>355</v>
      </c>
      <c r="I802" t="s">
        <v>1237</v>
      </c>
      <c r="J802">
        <v>-22968</v>
      </c>
      <c r="K802">
        <v>-22968</v>
      </c>
      <c r="O802" t="s">
        <v>738</v>
      </c>
      <c r="P802" t="s">
        <v>860</v>
      </c>
      <c r="Q802" t="s">
        <v>462</v>
      </c>
      <c r="R802">
        <v>0</v>
      </c>
    </row>
    <row r="803" spans="1:18" x14ac:dyDescent="0.3">
      <c r="A803">
        <v>239249</v>
      </c>
      <c r="B803" t="s">
        <v>734</v>
      </c>
      <c r="C803" t="s">
        <v>1216</v>
      </c>
      <c r="E803" s="465">
        <v>46174</v>
      </c>
      <c r="F803" s="465">
        <v>46192</v>
      </c>
      <c r="G803" t="s">
        <v>787</v>
      </c>
      <c r="H803" t="s">
        <v>788</v>
      </c>
      <c r="J803">
        <v>-828</v>
      </c>
      <c r="K803">
        <v>-828</v>
      </c>
      <c r="O803" t="s">
        <v>738</v>
      </c>
      <c r="P803" t="s">
        <v>860</v>
      </c>
      <c r="Q803" t="s">
        <v>462</v>
      </c>
      <c r="R803">
        <v>0</v>
      </c>
    </row>
    <row r="804" spans="1:18" x14ac:dyDescent="0.3">
      <c r="A804">
        <v>239248</v>
      </c>
      <c r="B804" t="s">
        <v>734</v>
      </c>
      <c r="C804" t="s">
        <v>1007</v>
      </c>
      <c r="E804" s="465">
        <v>46174</v>
      </c>
      <c r="F804" s="465">
        <v>46192</v>
      </c>
      <c r="G804" t="s">
        <v>787</v>
      </c>
      <c r="H804" t="s">
        <v>788</v>
      </c>
      <c r="J804">
        <v>-828</v>
      </c>
      <c r="K804">
        <v>-828</v>
      </c>
      <c r="O804" t="s">
        <v>738</v>
      </c>
      <c r="P804" t="s">
        <v>860</v>
      </c>
      <c r="Q804" t="s">
        <v>462</v>
      </c>
      <c r="R804">
        <v>0</v>
      </c>
    </row>
    <row r="805" spans="1:18" x14ac:dyDescent="0.3">
      <c r="A805">
        <v>239247</v>
      </c>
      <c r="B805" t="s">
        <v>734</v>
      </c>
      <c r="C805" t="s">
        <v>1087</v>
      </c>
      <c r="E805" s="465">
        <v>46174</v>
      </c>
      <c r="F805" s="465">
        <v>46192</v>
      </c>
      <c r="G805" t="s">
        <v>787</v>
      </c>
      <c r="H805" t="s">
        <v>788</v>
      </c>
      <c r="J805">
        <v>-828</v>
      </c>
      <c r="K805">
        <v>-828</v>
      </c>
      <c r="O805" t="s">
        <v>738</v>
      </c>
      <c r="P805" t="s">
        <v>860</v>
      </c>
      <c r="Q805" t="s">
        <v>462</v>
      </c>
      <c r="R805">
        <v>0</v>
      </c>
    </row>
    <row r="806" spans="1:18" x14ac:dyDescent="0.3">
      <c r="A806">
        <v>239246</v>
      </c>
      <c r="B806" t="s">
        <v>734</v>
      </c>
      <c r="C806" t="s">
        <v>1232</v>
      </c>
      <c r="E806" s="465">
        <v>46174</v>
      </c>
      <c r="F806" s="465">
        <v>46192</v>
      </c>
      <c r="G806" t="s">
        <v>787</v>
      </c>
      <c r="H806" t="s">
        <v>788</v>
      </c>
      <c r="J806">
        <v>-828</v>
      </c>
      <c r="K806">
        <v>-828</v>
      </c>
      <c r="O806" t="s">
        <v>738</v>
      </c>
      <c r="P806" t="s">
        <v>860</v>
      </c>
      <c r="Q806" t="s">
        <v>462</v>
      </c>
      <c r="R806">
        <v>0</v>
      </c>
    </row>
    <row r="807" spans="1:18" x14ac:dyDescent="0.3">
      <c r="A807">
        <v>223757</v>
      </c>
      <c r="B807" t="s">
        <v>734</v>
      </c>
      <c r="C807" t="s">
        <v>821</v>
      </c>
      <c r="D807" t="s">
        <v>1238</v>
      </c>
      <c r="E807" s="465">
        <v>46174</v>
      </c>
      <c r="F807" s="465">
        <v>46218</v>
      </c>
      <c r="G807" t="s">
        <v>792</v>
      </c>
      <c r="H807" t="s">
        <v>793</v>
      </c>
      <c r="I807" t="s">
        <v>822</v>
      </c>
      <c r="J807">
        <v>-8000</v>
      </c>
      <c r="K807">
        <v>-8000</v>
      </c>
      <c r="M807" t="s">
        <v>823</v>
      </c>
      <c r="N807" t="s">
        <v>129</v>
      </c>
      <c r="O807" t="s">
        <v>738</v>
      </c>
      <c r="P807" t="s">
        <v>860</v>
      </c>
      <c r="Q807" t="s">
        <v>462</v>
      </c>
      <c r="R807">
        <v>0</v>
      </c>
    </row>
    <row r="808" spans="1:18" x14ac:dyDescent="0.3">
      <c r="A808">
        <v>237179</v>
      </c>
      <c r="B808" t="s">
        <v>734</v>
      </c>
      <c r="C808" t="s">
        <v>801</v>
      </c>
      <c r="D808" t="s">
        <v>1239</v>
      </c>
      <c r="E808" s="465">
        <v>46174</v>
      </c>
      <c r="F808" s="465">
        <v>46183</v>
      </c>
      <c r="G808" t="s">
        <v>784</v>
      </c>
      <c r="H808" t="s">
        <v>241</v>
      </c>
      <c r="I808" t="s">
        <v>802</v>
      </c>
      <c r="J808">
        <v>-470.9</v>
      </c>
      <c r="K808">
        <v>-470.9</v>
      </c>
      <c r="O808" t="s">
        <v>738</v>
      </c>
      <c r="P808" t="s">
        <v>860</v>
      </c>
      <c r="Q808" t="s">
        <v>462</v>
      </c>
      <c r="R808">
        <v>0</v>
      </c>
    </row>
    <row r="809" spans="1:18" x14ac:dyDescent="0.3">
      <c r="A809">
        <v>234632</v>
      </c>
      <c r="B809" t="s">
        <v>734</v>
      </c>
      <c r="C809" t="s">
        <v>783</v>
      </c>
      <c r="D809" t="s">
        <v>1240</v>
      </c>
      <c r="E809" s="465">
        <v>46174</v>
      </c>
      <c r="F809" s="465">
        <v>46176</v>
      </c>
      <c r="G809" t="s">
        <v>784</v>
      </c>
      <c r="H809" t="s">
        <v>238</v>
      </c>
      <c r="I809" t="s">
        <v>1241</v>
      </c>
      <c r="J809">
        <v>-1351.2</v>
      </c>
      <c r="K809">
        <v>-1351.2</v>
      </c>
      <c r="O809" t="s">
        <v>738</v>
      </c>
      <c r="P809" t="s">
        <v>860</v>
      </c>
      <c r="Q809" t="s">
        <v>462</v>
      </c>
      <c r="R809">
        <v>0</v>
      </c>
    </row>
    <row r="810" spans="1:18" x14ac:dyDescent="0.3">
      <c r="A810">
        <v>235560</v>
      </c>
      <c r="B810" t="s">
        <v>734</v>
      </c>
      <c r="C810" t="s">
        <v>1042</v>
      </c>
      <c r="D810" t="s">
        <v>873</v>
      </c>
      <c r="E810" s="465">
        <v>46174</v>
      </c>
      <c r="F810" s="465">
        <v>46219</v>
      </c>
      <c r="G810" t="s">
        <v>792</v>
      </c>
      <c r="H810" t="s">
        <v>793</v>
      </c>
      <c r="I810" t="s">
        <v>1242</v>
      </c>
      <c r="J810">
        <v>-5000</v>
      </c>
      <c r="K810">
        <v>-5000</v>
      </c>
      <c r="O810" t="s">
        <v>738</v>
      </c>
      <c r="P810" t="s">
        <v>860</v>
      </c>
      <c r="Q810" t="s">
        <v>462</v>
      </c>
      <c r="R810">
        <v>0</v>
      </c>
    </row>
    <row r="811" spans="1:18" x14ac:dyDescent="0.3">
      <c r="A811">
        <v>235572</v>
      </c>
      <c r="B811" t="s">
        <v>734</v>
      </c>
      <c r="C811" t="s">
        <v>1200</v>
      </c>
      <c r="D811" t="s">
        <v>1201</v>
      </c>
      <c r="E811" s="465">
        <v>46174</v>
      </c>
      <c r="F811" s="465">
        <v>46176</v>
      </c>
      <c r="G811" t="s">
        <v>784</v>
      </c>
      <c r="H811" t="s">
        <v>238</v>
      </c>
      <c r="I811" t="s">
        <v>1243</v>
      </c>
      <c r="J811">
        <v>-193.2</v>
      </c>
      <c r="K811">
        <v>-193.2</v>
      </c>
      <c r="O811" t="s">
        <v>738</v>
      </c>
      <c r="P811" t="s">
        <v>860</v>
      </c>
      <c r="Q811" t="s">
        <v>462</v>
      </c>
      <c r="R811">
        <v>0</v>
      </c>
    </row>
    <row r="812" spans="1:18" x14ac:dyDescent="0.3">
      <c r="A812">
        <v>235585</v>
      </c>
      <c r="B812" t="s">
        <v>734</v>
      </c>
      <c r="C812" t="s">
        <v>868</v>
      </c>
      <c r="D812" t="s">
        <v>1244</v>
      </c>
      <c r="E812" s="465">
        <v>46174</v>
      </c>
      <c r="F812" s="465">
        <v>46175</v>
      </c>
      <c r="G812" t="s">
        <v>825</v>
      </c>
      <c r="H812" t="s">
        <v>870</v>
      </c>
      <c r="J812">
        <v>-38.659999999999997</v>
      </c>
      <c r="K812">
        <v>-38.659999999999997</v>
      </c>
      <c r="O812" t="s">
        <v>738</v>
      </c>
      <c r="P812" t="s">
        <v>860</v>
      </c>
      <c r="Q812" t="s">
        <v>462</v>
      </c>
      <c r="R812">
        <v>0</v>
      </c>
    </row>
    <row r="813" spans="1:18" x14ac:dyDescent="0.3">
      <c r="A813">
        <v>239242</v>
      </c>
      <c r="B813" t="s">
        <v>734</v>
      </c>
      <c r="C813" t="s">
        <v>1028</v>
      </c>
      <c r="E813" s="465">
        <v>46174</v>
      </c>
      <c r="F813" s="465">
        <v>46192</v>
      </c>
      <c r="G813" t="s">
        <v>787</v>
      </c>
      <c r="H813" t="s">
        <v>788</v>
      </c>
      <c r="J813">
        <v>-828</v>
      </c>
      <c r="K813">
        <v>-828</v>
      </c>
      <c r="O813" t="s">
        <v>738</v>
      </c>
      <c r="P813" t="s">
        <v>860</v>
      </c>
      <c r="Q813" t="s">
        <v>462</v>
      </c>
      <c r="R813">
        <v>0</v>
      </c>
    </row>
    <row r="814" spans="1:18" x14ac:dyDescent="0.3">
      <c r="A814">
        <v>239241</v>
      </c>
      <c r="B814" t="s">
        <v>734</v>
      </c>
      <c r="C814" t="s">
        <v>1055</v>
      </c>
      <c r="E814" s="465">
        <v>46174</v>
      </c>
      <c r="F814" s="465">
        <v>46192</v>
      </c>
      <c r="G814" t="s">
        <v>787</v>
      </c>
      <c r="H814" t="s">
        <v>788</v>
      </c>
      <c r="J814">
        <v>-828</v>
      </c>
      <c r="K814">
        <v>-828</v>
      </c>
      <c r="O814" t="s">
        <v>738</v>
      </c>
      <c r="P814" t="s">
        <v>860</v>
      </c>
      <c r="Q814" t="s">
        <v>462</v>
      </c>
      <c r="R814">
        <v>0</v>
      </c>
    </row>
    <row r="815" spans="1:18" x14ac:dyDescent="0.3">
      <c r="A815">
        <v>235678</v>
      </c>
      <c r="B815" t="s">
        <v>734</v>
      </c>
      <c r="C815" t="s">
        <v>1086</v>
      </c>
      <c r="D815" t="s">
        <v>1245</v>
      </c>
      <c r="E815" s="465">
        <v>46174</v>
      </c>
      <c r="F815" s="465">
        <v>46181</v>
      </c>
      <c r="G815" t="s">
        <v>784</v>
      </c>
      <c r="H815" t="s">
        <v>238</v>
      </c>
      <c r="I815" t="s">
        <v>1219</v>
      </c>
      <c r="J815">
        <v>-450.24</v>
      </c>
      <c r="K815">
        <v>-450.24</v>
      </c>
      <c r="O815" t="s">
        <v>738</v>
      </c>
      <c r="P815" t="s">
        <v>860</v>
      </c>
      <c r="Q815" t="s">
        <v>462</v>
      </c>
      <c r="R815">
        <v>0</v>
      </c>
    </row>
    <row r="816" spans="1:18" x14ac:dyDescent="0.3">
      <c r="A816">
        <v>235680</v>
      </c>
      <c r="B816" t="s">
        <v>734</v>
      </c>
      <c r="C816" t="s">
        <v>1246</v>
      </c>
      <c r="D816" t="s">
        <v>1247</v>
      </c>
      <c r="E816" s="465">
        <v>46174</v>
      </c>
      <c r="F816" s="465">
        <v>46181</v>
      </c>
      <c r="G816" t="s">
        <v>784</v>
      </c>
      <c r="H816" t="s">
        <v>238</v>
      </c>
      <c r="I816" t="s">
        <v>1248</v>
      </c>
      <c r="J816">
        <v>-381.6</v>
      </c>
      <c r="K816">
        <v>-381.6</v>
      </c>
      <c r="O816" t="s">
        <v>738</v>
      </c>
      <c r="P816" t="s">
        <v>860</v>
      </c>
      <c r="Q816" t="s">
        <v>462</v>
      </c>
      <c r="R816">
        <v>0</v>
      </c>
    </row>
    <row r="817" spans="1:18" x14ac:dyDescent="0.3">
      <c r="A817">
        <v>235685</v>
      </c>
      <c r="B817" t="s">
        <v>734</v>
      </c>
      <c r="C817" t="s">
        <v>786</v>
      </c>
      <c r="D817" t="s">
        <v>1245</v>
      </c>
      <c r="E817" s="465">
        <v>46174</v>
      </c>
      <c r="F817" s="465">
        <v>46181</v>
      </c>
      <c r="G817" t="s">
        <v>784</v>
      </c>
      <c r="H817" t="s">
        <v>238</v>
      </c>
      <c r="I817" t="s">
        <v>1219</v>
      </c>
      <c r="J817">
        <v>-450.24</v>
      </c>
      <c r="K817">
        <v>-450.24</v>
      </c>
      <c r="O817" t="s">
        <v>738</v>
      </c>
      <c r="P817" t="s">
        <v>860</v>
      </c>
      <c r="Q817" t="s">
        <v>462</v>
      </c>
      <c r="R817">
        <v>0</v>
      </c>
    </row>
    <row r="818" spans="1:18" x14ac:dyDescent="0.3">
      <c r="A818">
        <v>235687</v>
      </c>
      <c r="B818" t="s">
        <v>734</v>
      </c>
      <c r="C818" t="s">
        <v>1249</v>
      </c>
      <c r="D818" t="s">
        <v>1245</v>
      </c>
      <c r="E818" s="465">
        <v>46174</v>
      </c>
      <c r="F818" s="465">
        <v>46181</v>
      </c>
      <c r="G818" t="s">
        <v>784</v>
      </c>
      <c r="H818" t="s">
        <v>238</v>
      </c>
      <c r="I818" t="s">
        <v>1219</v>
      </c>
      <c r="J818">
        <v>-450.24</v>
      </c>
      <c r="K818">
        <v>-450.24</v>
      </c>
      <c r="O818" t="s">
        <v>738</v>
      </c>
      <c r="P818" t="s">
        <v>860</v>
      </c>
      <c r="Q818" t="s">
        <v>462</v>
      </c>
      <c r="R818">
        <v>0</v>
      </c>
    </row>
    <row r="819" spans="1:18" x14ac:dyDescent="0.3">
      <c r="A819">
        <v>235906</v>
      </c>
      <c r="B819" t="s">
        <v>734</v>
      </c>
      <c r="C819" t="s">
        <v>824</v>
      </c>
      <c r="D819" t="s">
        <v>871</v>
      </c>
      <c r="E819" s="465">
        <v>46174</v>
      </c>
      <c r="F819" s="465">
        <v>46174</v>
      </c>
      <c r="G819" t="s">
        <v>825</v>
      </c>
      <c r="H819" t="s">
        <v>826</v>
      </c>
      <c r="J819">
        <v>-3.5</v>
      </c>
      <c r="K819">
        <v>-3.5</v>
      </c>
      <c r="O819" t="s">
        <v>738</v>
      </c>
      <c r="P819" t="s">
        <v>860</v>
      </c>
      <c r="Q819" t="s">
        <v>462</v>
      </c>
      <c r="R819">
        <v>0</v>
      </c>
    </row>
    <row r="820" spans="1:18" x14ac:dyDescent="0.3">
      <c r="A820">
        <v>235908</v>
      </c>
      <c r="B820" t="s">
        <v>734</v>
      </c>
      <c r="C820" t="s">
        <v>824</v>
      </c>
      <c r="D820" t="s">
        <v>871</v>
      </c>
      <c r="E820" s="465">
        <v>46174</v>
      </c>
      <c r="F820" s="465">
        <v>46174</v>
      </c>
      <c r="G820" t="s">
        <v>825</v>
      </c>
      <c r="H820" t="s">
        <v>826</v>
      </c>
      <c r="J820">
        <v>-1.5</v>
      </c>
      <c r="K820">
        <v>-1.5</v>
      </c>
      <c r="O820" t="s">
        <v>738</v>
      </c>
      <c r="P820" t="s">
        <v>860</v>
      </c>
      <c r="Q820" t="s">
        <v>462</v>
      </c>
      <c r="R820">
        <v>0</v>
      </c>
    </row>
    <row r="821" spans="1:18" x14ac:dyDescent="0.3">
      <c r="A821">
        <v>241043</v>
      </c>
      <c r="B821" t="s">
        <v>734</v>
      </c>
      <c r="C821" t="s">
        <v>941</v>
      </c>
      <c r="D821" t="s">
        <v>1250</v>
      </c>
      <c r="E821" s="465">
        <v>46174</v>
      </c>
      <c r="F821" s="465">
        <v>46202</v>
      </c>
      <c r="G821" t="s">
        <v>833</v>
      </c>
      <c r="H821" t="s">
        <v>355</v>
      </c>
      <c r="I821" t="s">
        <v>1251</v>
      </c>
      <c r="J821">
        <v>-4680</v>
      </c>
      <c r="K821">
        <v>-4680</v>
      </c>
      <c r="O821" t="s">
        <v>738</v>
      </c>
      <c r="P821" t="s">
        <v>860</v>
      </c>
      <c r="Q821" t="s">
        <v>462</v>
      </c>
      <c r="R821">
        <v>0</v>
      </c>
    </row>
    <row r="822" spans="1:18" x14ac:dyDescent="0.3">
      <c r="A822">
        <v>237267</v>
      </c>
      <c r="B822" t="s">
        <v>734</v>
      </c>
      <c r="C822" t="s">
        <v>1080</v>
      </c>
      <c r="D822" t="s">
        <v>1252</v>
      </c>
      <c r="E822" s="465">
        <v>46174</v>
      </c>
      <c r="F822" s="465">
        <v>46184</v>
      </c>
      <c r="G822" t="s">
        <v>784</v>
      </c>
      <c r="H822" t="s">
        <v>238</v>
      </c>
      <c r="I822" t="s">
        <v>1219</v>
      </c>
      <c r="J822">
        <v>-431.48</v>
      </c>
      <c r="K822">
        <v>-431.48</v>
      </c>
      <c r="O822" t="s">
        <v>738</v>
      </c>
      <c r="P822" t="s">
        <v>860</v>
      </c>
      <c r="Q822" t="s">
        <v>462</v>
      </c>
      <c r="R822">
        <v>0</v>
      </c>
    </row>
    <row r="823" spans="1:18" x14ac:dyDescent="0.3">
      <c r="A823">
        <v>237266</v>
      </c>
      <c r="B823" t="s">
        <v>734</v>
      </c>
      <c r="C823" t="s">
        <v>1081</v>
      </c>
      <c r="D823" t="s">
        <v>1253</v>
      </c>
      <c r="E823" s="465">
        <v>46174</v>
      </c>
      <c r="F823" s="465">
        <v>46183</v>
      </c>
      <c r="G823" t="s">
        <v>784</v>
      </c>
      <c r="H823" t="s">
        <v>238</v>
      </c>
      <c r="I823" t="s">
        <v>1219</v>
      </c>
      <c r="J823">
        <v>-492.2</v>
      </c>
      <c r="K823">
        <v>-492.2</v>
      </c>
      <c r="O823" t="s">
        <v>738</v>
      </c>
      <c r="P823" t="s">
        <v>860</v>
      </c>
      <c r="Q823" t="s">
        <v>462</v>
      </c>
      <c r="R823">
        <v>0</v>
      </c>
    </row>
    <row r="824" spans="1:18" x14ac:dyDescent="0.3">
      <c r="A824">
        <v>237264</v>
      </c>
      <c r="B824" t="s">
        <v>734</v>
      </c>
      <c r="C824" t="s">
        <v>1082</v>
      </c>
      <c r="D824" t="s">
        <v>1254</v>
      </c>
      <c r="E824" s="465">
        <v>46174</v>
      </c>
      <c r="F824" s="465">
        <v>46183</v>
      </c>
      <c r="G824" t="s">
        <v>784</v>
      </c>
      <c r="H824" t="s">
        <v>238</v>
      </c>
      <c r="I824" t="s">
        <v>1255</v>
      </c>
      <c r="J824">
        <v>-524.4</v>
      </c>
      <c r="K824">
        <v>-524.4</v>
      </c>
      <c r="O824" t="s">
        <v>738</v>
      </c>
      <c r="P824" t="s">
        <v>860</v>
      </c>
      <c r="Q824" t="s">
        <v>462</v>
      </c>
      <c r="R824">
        <v>0</v>
      </c>
    </row>
    <row r="825" spans="1:18" x14ac:dyDescent="0.3">
      <c r="A825">
        <v>237263</v>
      </c>
      <c r="B825" t="s">
        <v>734</v>
      </c>
      <c r="C825" t="s">
        <v>1049</v>
      </c>
      <c r="D825" t="s">
        <v>1256</v>
      </c>
      <c r="E825" s="465">
        <v>46174</v>
      </c>
      <c r="F825" s="465">
        <v>46183</v>
      </c>
      <c r="G825" t="s">
        <v>784</v>
      </c>
      <c r="H825" t="s">
        <v>238</v>
      </c>
      <c r="I825" t="s">
        <v>1255</v>
      </c>
      <c r="J825">
        <v>-529</v>
      </c>
      <c r="K825">
        <v>-529</v>
      </c>
      <c r="O825" t="s">
        <v>738</v>
      </c>
      <c r="P825" t="s">
        <v>860</v>
      </c>
      <c r="Q825" t="s">
        <v>462</v>
      </c>
      <c r="R825">
        <v>0</v>
      </c>
    </row>
    <row r="826" spans="1:18" x14ac:dyDescent="0.3">
      <c r="A826">
        <v>237262</v>
      </c>
      <c r="B826" t="s">
        <v>734</v>
      </c>
      <c r="C826" t="s">
        <v>966</v>
      </c>
      <c r="D826" t="s">
        <v>1257</v>
      </c>
      <c r="E826" s="465">
        <v>46174</v>
      </c>
      <c r="F826" s="465">
        <v>46183</v>
      </c>
      <c r="G826" t="s">
        <v>784</v>
      </c>
      <c r="H826" t="s">
        <v>238</v>
      </c>
      <c r="I826" t="s">
        <v>1258</v>
      </c>
      <c r="J826">
        <v>-524.4</v>
      </c>
      <c r="K826">
        <v>-524.4</v>
      </c>
      <c r="O826" t="s">
        <v>738</v>
      </c>
      <c r="P826" t="s">
        <v>860</v>
      </c>
      <c r="Q826" t="s">
        <v>462</v>
      </c>
      <c r="R826">
        <v>0</v>
      </c>
    </row>
    <row r="827" spans="1:18" x14ac:dyDescent="0.3">
      <c r="A827">
        <v>227286</v>
      </c>
      <c r="B827" t="s">
        <v>734</v>
      </c>
      <c r="C827" t="s">
        <v>827</v>
      </c>
      <c r="D827" t="s">
        <v>1259</v>
      </c>
      <c r="E827" s="465">
        <v>46174</v>
      </c>
      <c r="F827" s="465">
        <v>46204</v>
      </c>
      <c r="G827" t="s">
        <v>792</v>
      </c>
      <c r="H827" t="s">
        <v>793</v>
      </c>
      <c r="I827" t="s">
        <v>829</v>
      </c>
      <c r="J827">
        <v>-2000</v>
      </c>
      <c r="K827">
        <v>-2000</v>
      </c>
      <c r="O827" t="s">
        <v>738</v>
      </c>
      <c r="P827" t="s">
        <v>860</v>
      </c>
      <c r="Q827" t="s">
        <v>462</v>
      </c>
      <c r="R827">
        <v>0</v>
      </c>
    </row>
    <row r="828" spans="1:18" x14ac:dyDescent="0.3">
      <c r="A828">
        <v>227298</v>
      </c>
      <c r="B828" t="s">
        <v>734</v>
      </c>
      <c r="C828" t="s">
        <v>827</v>
      </c>
      <c r="D828" t="s">
        <v>1259</v>
      </c>
      <c r="E828" s="465">
        <v>46174</v>
      </c>
      <c r="F828" s="465">
        <v>46218</v>
      </c>
      <c r="G828" t="s">
        <v>792</v>
      </c>
      <c r="H828" t="s">
        <v>793</v>
      </c>
      <c r="I828" t="s">
        <v>828</v>
      </c>
      <c r="J828">
        <v>-2000</v>
      </c>
      <c r="K828">
        <v>-2000</v>
      </c>
      <c r="O828" t="s">
        <v>738</v>
      </c>
      <c r="P828" t="s">
        <v>860</v>
      </c>
      <c r="Q828" t="s">
        <v>462</v>
      </c>
      <c r="R828">
        <v>0</v>
      </c>
    </row>
    <row r="829" spans="1:18" x14ac:dyDescent="0.3">
      <c r="A829">
        <v>235535</v>
      </c>
      <c r="B829" t="s">
        <v>734</v>
      </c>
      <c r="C829" t="s">
        <v>804</v>
      </c>
      <c r="D829" t="s">
        <v>1215</v>
      </c>
      <c r="E829" s="465">
        <v>46174</v>
      </c>
      <c r="F829" s="465">
        <v>46218</v>
      </c>
      <c r="G829" t="s">
        <v>792</v>
      </c>
      <c r="H829" t="s">
        <v>793</v>
      </c>
      <c r="I829" t="s">
        <v>811</v>
      </c>
      <c r="J829">
        <v>-2100</v>
      </c>
      <c r="K829">
        <v>-2100</v>
      </c>
      <c r="O829" t="s">
        <v>738</v>
      </c>
      <c r="P829" t="s">
        <v>860</v>
      </c>
      <c r="Q829" t="s">
        <v>462</v>
      </c>
      <c r="R829">
        <v>0</v>
      </c>
    </row>
    <row r="830" spans="1:18" x14ac:dyDescent="0.3">
      <c r="A830">
        <v>241776</v>
      </c>
      <c r="B830" t="s">
        <v>734</v>
      </c>
      <c r="C830" t="s">
        <v>812</v>
      </c>
      <c r="D830" t="s">
        <v>1215</v>
      </c>
      <c r="E830" s="465">
        <v>46174</v>
      </c>
      <c r="F830" s="465">
        <v>46218</v>
      </c>
      <c r="G830" t="s">
        <v>792</v>
      </c>
      <c r="H830" t="s">
        <v>793</v>
      </c>
      <c r="I830" t="s">
        <v>810</v>
      </c>
      <c r="J830">
        <v>-1400</v>
      </c>
      <c r="K830">
        <v>-1400</v>
      </c>
      <c r="O830" t="s">
        <v>738</v>
      </c>
      <c r="P830" t="s">
        <v>860</v>
      </c>
      <c r="Q830" t="s">
        <v>462</v>
      </c>
      <c r="R830">
        <v>0</v>
      </c>
    </row>
    <row r="831" spans="1:18" x14ac:dyDescent="0.3">
      <c r="A831">
        <v>230520</v>
      </c>
      <c r="B831" t="s">
        <v>734</v>
      </c>
      <c r="C831" t="s">
        <v>824</v>
      </c>
      <c r="D831" t="s">
        <v>1260</v>
      </c>
      <c r="E831" s="465">
        <v>46174</v>
      </c>
      <c r="F831" s="465">
        <v>46191</v>
      </c>
      <c r="G831" t="s">
        <v>825</v>
      </c>
      <c r="H831" t="s">
        <v>826</v>
      </c>
      <c r="J831">
        <v>-700</v>
      </c>
      <c r="K831">
        <v>-700</v>
      </c>
      <c r="O831" t="s">
        <v>738</v>
      </c>
      <c r="P831" t="s">
        <v>860</v>
      </c>
      <c r="Q831" t="s">
        <v>462</v>
      </c>
      <c r="R831">
        <v>0</v>
      </c>
    </row>
    <row r="832" spans="1:18" x14ac:dyDescent="0.3">
      <c r="A832">
        <v>230532</v>
      </c>
      <c r="B832" t="s">
        <v>734</v>
      </c>
      <c r="C832" t="s">
        <v>824</v>
      </c>
      <c r="D832" t="s">
        <v>1261</v>
      </c>
      <c r="E832" s="465">
        <v>46174</v>
      </c>
      <c r="F832" s="465">
        <v>46191</v>
      </c>
      <c r="G832" t="s">
        <v>825</v>
      </c>
      <c r="H832" t="s">
        <v>826</v>
      </c>
      <c r="J832">
        <v>-400</v>
      </c>
      <c r="K832">
        <v>-400</v>
      </c>
      <c r="O832" t="s">
        <v>738</v>
      </c>
      <c r="P832" t="s">
        <v>860</v>
      </c>
      <c r="Q832" t="s">
        <v>462</v>
      </c>
      <c r="R832">
        <v>0</v>
      </c>
    </row>
    <row r="833" spans="1:18" x14ac:dyDescent="0.3">
      <c r="A833">
        <v>239243</v>
      </c>
      <c r="B833" t="s">
        <v>734</v>
      </c>
      <c r="C833" t="s">
        <v>969</v>
      </c>
      <c r="E833" s="465">
        <v>46174</v>
      </c>
      <c r="F833" s="465">
        <v>46192</v>
      </c>
      <c r="G833" t="s">
        <v>787</v>
      </c>
      <c r="H833" t="s">
        <v>788</v>
      </c>
      <c r="J833">
        <v>-828</v>
      </c>
      <c r="K833">
        <v>-828</v>
      </c>
      <c r="O833" t="s">
        <v>738</v>
      </c>
      <c r="P833" t="s">
        <v>860</v>
      </c>
      <c r="Q833" t="s">
        <v>462</v>
      </c>
      <c r="R833">
        <v>0</v>
      </c>
    </row>
    <row r="834" spans="1:18" x14ac:dyDescent="0.3">
      <c r="A834">
        <v>241752</v>
      </c>
      <c r="B834" t="s">
        <v>734</v>
      </c>
      <c r="C834" t="s">
        <v>808</v>
      </c>
      <c r="D834" t="s">
        <v>1215</v>
      </c>
      <c r="E834" s="465">
        <v>46174</v>
      </c>
      <c r="F834" s="465">
        <v>46218</v>
      </c>
      <c r="G834" t="s">
        <v>792</v>
      </c>
      <c r="H834" t="s">
        <v>793</v>
      </c>
      <c r="I834" t="s">
        <v>810</v>
      </c>
      <c r="J834">
        <v>-2100</v>
      </c>
      <c r="K834">
        <v>-2100</v>
      </c>
      <c r="O834" t="s">
        <v>738</v>
      </c>
      <c r="P834" t="s">
        <v>860</v>
      </c>
      <c r="Q834" t="s">
        <v>462</v>
      </c>
      <c r="R834">
        <v>0</v>
      </c>
    </row>
    <row r="835" spans="1:18" x14ac:dyDescent="0.3">
      <c r="A835">
        <v>241764</v>
      </c>
      <c r="B835" t="s">
        <v>734</v>
      </c>
      <c r="C835" t="s">
        <v>812</v>
      </c>
      <c r="D835" t="s">
        <v>1215</v>
      </c>
      <c r="E835" s="465">
        <v>46174</v>
      </c>
      <c r="F835" s="465">
        <v>46204</v>
      </c>
      <c r="G835" t="s">
        <v>792</v>
      </c>
      <c r="H835" t="s">
        <v>793</v>
      </c>
      <c r="I835" t="s">
        <v>813</v>
      </c>
      <c r="J835">
        <v>-1400</v>
      </c>
      <c r="K835">
        <v>-1400</v>
      </c>
      <c r="O835" t="s">
        <v>738</v>
      </c>
      <c r="P835" t="s">
        <v>860</v>
      </c>
      <c r="Q835" t="s">
        <v>462</v>
      </c>
      <c r="R835">
        <v>0</v>
      </c>
    </row>
    <row r="836" spans="1:18" x14ac:dyDescent="0.3">
      <c r="A836">
        <v>240874</v>
      </c>
      <c r="B836" t="s">
        <v>734</v>
      </c>
      <c r="C836" t="s">
        <v>1262</v>
      </c>
      <c r="D836" t="s">
        <v>1263</v>
      </c>
      <c r="E836" s="465">
        <v>46174</v>
      </c>
      <c r="F836" s="465">
        <v>46198</v>
      </c>
      <c r="G836" t="s">
        <v>263</v>
      </c>
      <c r="H836" t="s">
        <v>264</v>
      </c>
      <c r="J836">
        <v>-402.94</v>
      </c>
      <c r="K836">
        <v>-402.94</v>
      </c>
      <c r="O836" t="s">
        <v>738</v>
      </c>
      <c r="P836" t="s">
        <v>860</v>
      </c>
      <c r="Q836" t="s">
        <v>462</v>
      </c>
      <c r="R836">
        <v>0</v>
      </c>
    </row>
    <row r="837" spans="1:18" x14ac:dyDescent="0.3">
      <c r="A837">
        <v>232261</v>
      </c>
      <c r="B837" t="s">
        <v>734</v>
      </c>
      <c r="C837" t="s">
        <v>816</v>
      </c>
      <c r="D837" t="s">
        <v>1264</v>
      </c>
      <c r="E837" s="465">
        <v>46174</v>
      </c>
      <c r="F837" s="465">
        <v>46218</v>
      </c>
      <c r="G837" t="s">
        <v>792</v>
      </c>
      <c r="H837" t="s">
        <v>793</v>
      </c>
      <c r="I837" t="s">
        <v>817</v>
      </c>
      <c r="J837">
        <v>-2000</v>
      </c>
      <c r="K837">
        <v>-2000</v>
      </c>
      <c r="O837" t="s">
        <v>738</v>
      </c>
      <c r="P837" t="s">
        <v>860</v>
      </c>
      <c r="Q837" t="s">
        <v>462</v>
      </c>
      <c r="R837">
        <v>0</v>
      </c>
    </row>
    <row r="838" spans="1:18" x14ac:dyDescent="0.3">
      <c r="A838">
        <v>232249</v>
      </c>
      <c r="B838" t="s">
        <v>734</v>
      </c>
      <c r="C838" t="s">
        <v>816</v>
      </c>
      <c r="D838" t="s">
        <v>1264</v>
      </c>
      <c r="E838" s="465">
        <v>46174</v>
      </c>
      <c r="F838" s="465">
        <v>46204</v>
      </c>
      <c r="G838" t="s">
        <v>792</v>
      </c>
      <c r="H838" t="s">
        <v>793</v>
      </c>
      <c r="I838" t="s">
        <v>817</v>
      </c>
      <c r="J838">
        <v>-2000</v>
      </c>
      <c r="K838">
        <v>-2000</v>
      </c>
      <c r="O838" t="s">
        <v>738</v>
      </c>
      <c r="P838" t="s">
        <v>860</v>
      </c>
      <c r="Q838" t="s">
        <v>462</v>
      </c>
      <c r="R838">
        <v>0</v>
      </c>
    </row>
    <row r="839" spans="1:18" x14ac:dyDescent="0.3">
      <c r="A839">
        <v>232188</v>
      </c>
      <c r="B839" t="s">
        <v>734</v>
      </c>
      <c r="C839" t="s">
        <v>818</v>
      </c>
      <c r="D839" t="s">
        <v>1159</v>
      </c>
      <c r="E839" s="465">
        <v>46174</v>
      </c>
      <c r="F839" s="465">
        <v>46218</v>
      </c>
      <c r="G839" t="s">
        <v>792</v>
      </c>
      <c r="H839" t="s">
        <v>793</v>
      </c>
      <c r="I839" t="s">
        <v>819</v>
      </c>
      <c r="J839">
        <v>-3250</v>
      </c>
      <c r="K839">
        <v>-3250</v>
      </c>
      <c r="O839" t="s">
        <v>738</v>
      </c>
      <c r="P839" t="s">
        <v>860</v>
      </c>
      <c r="Q839" t="s">
        <v>462</v>
      </c>
      <c r="R839">
        <v>0</v>
      </c>
    </row>
    <row r="840" spans="1:18" x14ac:dyDescent="0.3">
      <c r="A840">
        <v>232176</v>
      </c>
      <c r="B840" t="s">
        <v>734</v>
      </c>
      <c r="C840" t="s">
        <v>818</v>
      </c>
      <c r="D840" t="s">
        <v>1159</v>
      </c>
      <c r="E840" s="465">
        <v>46174</v>
      </c>
      <c r="F840" s="465">
        <v>46204</v>
      </c>
      <c r="G840" t="s">
        <v>792</v>
      </c>
      <c r="H840" t="s">
        <v>793</v>
      </c>
      <c r="I840" t="s">
        <v>819</v>
      </c>
      <c r="J840">
        <v>-3250</v>
      </c>
      <c r="K840">
        <v>-3250</v>
      </c>
      <c r="O840" t="s">
        <v>738</v>
      </c>
      <c r="P840" t="s">
        <v>860</v>
      </c>
      <c r="Q840" t="s">
        <v>462</v>
      </c>
      <c r="R840">
        <v>0</v>
      </c>
    </row>
    <row r="841" spans="1:18" x14ac:dyDescent="0.3">
      <c r="A841">
        <v>241627</v>
      </c>
      <c r="B841" t="s">
        <v>734</v>
      </c>
      <c r="C841" t="s">
        <v>1265</v>
      </c>
      <c r="D841" t="s">
        <v>1266</v>
      </c>
      <c r="E841" s="465">
        <v>46174</v>
      </c>
      <c r="F841" s="465">
        <v>46204</v>
      </c>
      <c r="G841" t="s">
        <v>833</v>
      </c>
      <c r="H841" t="s">
        <v>348</v>
      </c>
      <c r="I841" t="s">
        <v>1267</v>
      </c>
      <c r="J841">
        <v>-13950</v>
      </c>
      <c r="K841">
        <v>-13950</v>
      </c>
      <c r="O841" t="s">
        <v>738</v>
      </c>
      <c r="P841" t="s">
        <v>860</v>
      </c>
      <c r="Q841" t="s">
        <v>462</v>
      </c>
      <c r="R841">
        <v>0</v>
      </c>
    </row>
    <row r="842" spans="1:18" x14ac:dyDescent="0.3">
      <c r="A842">
        <v>239244</v>
      </c>
      <c r="B842" t="s">
        <v>734</v>
      </c>
      <c r="C842" t="s">
        <v>1040</v>
      </c>
      <c r="E842" s="465">
        <v>46174</v>
      </c>
      <c r="F842" s="465">
        <v>46192</v>
      </c>
      <c r="G842" t="s">
        <v>787</v>
      </c>
      <c r="H842" t="s">
        <v>788</v>
      </c>
      <c r="J842">
        <v>-828</v>
      </c>
      <c r="K842">
        <v>-828</v>
      </c>
      <c r="O842" t="s">
        <v>738</v>
      </c>
      <c r="P842" t="s">
        <v>860</v>
      </c>
      <c r="Q842" t="s">
        <v>462</v>
      </c>
      <c r="R842">
        <v>0</v>
      </c>
    </row>
    <row r="843" spans="1:18" x14ac:dyDescent="0.3">
      <c r="A843">
        <v>241740</v>
      </c>
      <c r="B843" t="s">
        <v>734</v>
      </c>
      <c r="C843" t="s">
        <v>808</v>
      </c>
      <c r="D843" t="s">
        <v>1215</v>
      </c>
      <c r="E843" s="465">
        <v>46174</v>
      </c>
      <c r="F843" s="465">
        <v>46204</v>
      </c>
      <c r="G843" t="s">
        <v>792</v>
      </c>
      <c r="H843" t="s">
        <v>793</v>
      </c>
      <c r="I843" t="s">
        <v>809</v>
      </c>
      <c r="J843">
        <v>-2100</v>
      </c>
      <c r="K843">
        <v>-2100</v>
      </c>
      <c r="O843" t="s">
        <v>738</v>
      </c>
      <c r="P843" t="s">
        <v>860</v>
      </c>
      <c r="Q843" t="s">
        <v>462</v>
      </c>
      <c r="R843">
        <v>0</v>
      </c>
    </row>
    <row r="844" spans="1:18" x14ac:dyDescent="0.3">
      <c r="A844">
        <v>237242</v>
      </c>
      <c r="B844" t="s">
        <v>734</v>
      </c>
      <c r="C844" t="s">
        <v>1038</v>
      </c>
      <c r="D844" t="s">
        <v>1252</v>
      </c>
      <c r="E844" s="465">
        <v>46174</v>
      </c>
      <c r="F844" s="465">
        <v>46183</v>
      </c>
      <c r="G844" t="s">
        <v>784</v>
      </c>
      <c r="H844" t="s">
        <v>238</v>
      </c>
      <c r="I844" t="s">
        <v>1268</v>
      </c>
      <c r="J844">
        <v>-431.48</v>
      </c>
      <c r="K844">
        <v>-431.48</v>
      </c>
      <c r="O844" t="s">
        <v>738</v>
      </c>
      <c r="P844" t="s">
        <v>860</v>
      </c>
      <c r="Q844" t="s">
        <v>462</v>
      </c>
      <c r="R844">
        <v>0</v>
      </c>
    </row>
    <row r="845" spans="1:18" x14ac:dyDescent="0.3">
      <c r="A845">
        <v>237249</v>
      </c>
      <c r="B845" t="s">
        <v>734</v>
      </c>
      <c r="C845" t="s">
        <v>797</v>
      </c>
      <c r="D845" t="s">
        <v>775</v>
      </c>
      <c r="E845" s="465">
        <v>46174</v>
      </c>
      <c r="F845" s="465">
        <v>46183</v>
      </c>
      <c r="G845" t="s">
        <v>784</v>
      </c>
      <c r="H845" t="s">
        <v>798</v>
      </c>
      <c r="J845">
        <v>-100</v>
      </c>
      <c r="K845">
        <v>-100</v>
      </c>
      <c r="O845" t="s">
        <v>742</v>
      </c>
      <c r="Q845" t="s">
        <v>462</v>
      </c>
      <c r="R845">
        <v>0</v>
      </c>
    </row>
    <row r="846" spans="1:18" x14ac:dyDescent="0.3">
      <c r="A846">
        <v>237132</v>
      </c>
      <c r="B846" t="s">
        <v>734</v>
      </c>
      <c r="C846" t="s">
        <v>961</v>
      </c>
      <c r="E846" s="465">
        <v>46172</v>
      </c>
      <c r="F846" s="465">
        <v>46178</v>
      </c>
      <c r="G846" t="s">
        <v>787</v>
      </c>
      <c r="H846" t="s">
        <v>788</v>
      </c>
      <c r="J846">
        <v>-1874.69</v>
      </c>
      <c r="K846">
        <v>-1874.69</v>
      </c>
      <c r="O846" t="s">
        <v>738</v>
      </c>
      <c r="P846" t="s">
        <v>860</v>
      </c>
      <c r="Q846" t="s">
        <v>461</v>
      </c>
      <c r="R846">
        <v>0</v>
      </c>
    </row>
    <row r="847" spans="1:18" x14ac:dyDescent="0.3">
      <c r="A847">
        <v>237131</v>
      </c>
      <c r="B847" t="s">
        <v>734</v>
      </c>
      <c r="C847" t="s">
        <v>952</v>
      </c>
      <c r="E847" s="465">
        <v>46172</v>
      </c>
      <c r="F847" s="465">
        <v>46178</v>
      </c>
      <c r="G847" t="s">
        <v>787</v>
      </c>
      <c r="H847" t="s">
        <v>788</v>
      </c>
      <c r="J847">
        <v>-2372.5500000000002</v>
      </c>
      <c r="K847">
        <v>-2372.5500000000002</v>
      </c>
      <c r="O847" t="s">
        <v>738</v>
      </c>
      <c r="P847" t="s">
        <v>860</v>
      </c>
      <c r="Q847" t="s">
        <v>461</v>
      </c>
      <c r="R847">
        <v>0</v>
      </c>
    </row>
    <row r="848" spans="1:18" x14ac:dyDescent="0.3">
      <c r="A848">
        <v>237130</v>
      </c>
      <c r="B848" t="s">
        <v>734</v>
      </c>
      <c r="C848" t="s">
        <v>1028</v>
      </c>
      <c r="E848" s="465">
        <v>46172</v>
      </c>
      <c r="F848" s="465">
        <v>46178</v>
      </c>
      <c r="G848" t="s">
        <v>787</v>
      </c>
      <c r="H848" t="s">
        <v>788</v>
      </c>
      <c r="J848">
        <v>-2212.8200000000002</v>
      </c>
      <c r="K848">
        <v>-2212.8200000000002</v>
      </c>
      <c r="O848" t="s">
        <v>738</v>
      </c>
      <c r="P848" t="s">
        <v>860</v>
      </c>
      <c r="Q848" t="s">
        <v>461</v>
      </c>
      <c r="R848">
        <v>0</v>
      </c>
    </row>
    <row r="849" spans="1:18" x14ac:dyDescent="0.3">
      <c r="A849">
        <v>237129</v>
      </c>
      <c r="B849" t="s">
        <v>734</v>
      </c>
      <c r="C849" t="s">
        <v>1008</v>
      </c>
      <c r="E849" s="465">
        <v>46172</v>
      </c>
      <c r="F849" s="465">
        <v>46178</v>
      </c>
      <c r="G849" t="s">
        <v>787</v>
      </c>
      <c r="H849" t="s">
        <v>788</v>
      </c>
      <c r="J849">
        <v>-2291.29</v>
      </c>
      <c r="K849">
        <v>-2291.29</v>
      </c>
      <c r="O849" t="s">
        <v>738</v>
      </c>
      <c r="P849" t="s">
        <v>860</v>
      </c>
      <c r="Q849" t="s">
        <v>461</v>
      </c>
      <c r="R849">
        <v>0</v>
      </c>
    </row>
    <row r="850" spans="1:18" x14ac:dyDescent="0.3">
      <c r="A850">
        <v>237128</v>
      </c>
      <c r="B850" t="s">
        <v>734</v>
      </c>
      <c r="C850" t="s">
        <v>969</v>
      </c>
      <c r="E850" s="465">
        <v>46172</v>
      </c>
      <c r="F850" s="465">
        <v>46178</v>
      </c>
      <c r="G850" t="s">
        <v>787</v>
      </c>
      <c r="H850" t="s">
        <v>788</v>
      </c>
      <c r="J850">
        <v>-2254.1799999999998</v>
      </c>
      <c r="K850">
        <v>-2254.1799999999998</v>
      </c>
      <c r="O850" t="s">
        <v>738</v>
      </c>
      <c r="P850" t="s">
        <v>860</v>
      </c>
      <c r="Q850" t="s">
        <v>461</v>
      </c>
      <c r="R850">
        <v>0</v>
      </c>
    </row>
    <row r="851" spans="1:18" x14ac:dyDescent="0.3">
      <c r="A851">
        <v>237127</v>
      </c>
      <c r="B851" t="s">
        <v>734</v>
      </c>
      <c r="C851" t="s">
        <v>955</v>
      </c>
      <c r="E851" s="465">
        <v>46172</v>
      </c>
      <c r="F851" s="465">
        <v>46178</v>
      </c>
      <c r="G851" t="s">
        <v>787</v>
      </c>
      <c r="H851" t="s">
        <v>788</v>
      </c>
      <c r="J851">
        <v>-1703.04</v>
      </c>
      <c r="K851">
        <v>-1703.04</v>
      </c>
      <c r="O851" t="s">
        <v>738</v>
      </c>
      <c r="P851" t="s">
        <v>860</v>
      </c>
      <c r="Q851" t="s">
        <v>461</v>
      </c>
      <c r="R851">
        <v>0</v>
      </c>
    </row>
    <row r="852" spans="1:18" x14ac:dyDescent="0.3">
      <c r="A852">
        <v>237126</v>
      </c>
      <c r="B852" t="s">
        <v>734</v>
      </c>
      <c r="C852" t="s">
        <v>957</v>
      </c>
      <c r="E852" s="465">
        <v>46172</v>
      </c>
      <c r="F852" s="465">
        <v>46178</v>
      </c>
      <c r="G852" t="s">
        <v>787</v>
      </c>
      <c r="H852" t="s">
        <v>788</v>
      </c>
      <c r="J852">
        <v>-2234.35</v>
      </c>
      <c r="K852">
        <v>-2234.35</v>
      </c>
      <c r="O852" t="s">
        <v>738</v>
      </c>
      <c r="P852" t="s">
        <v>860</v>
      </c>
      <c r="Q852" t="s">
        <v>461</v>
      </c>
      <c r="R852">
        <v>0</v>
      </c>
    </row>
    <row r="853" spans="1:18" x14ac:dyDescent="0.3">
      <c r="A853">
        <v>237125</v>
      </c>
      <c r="B853" t="s">
        <v>734</v>
      </c>
      <c r="C853" t="s">
        <v>962</v>
      </c>
      <c r="E853" s="465">
        <v>46172</v>
      </c>
      <c r="F853" s="465">
        <v>46178</v>
      </c>
      <c r="G853" t="s">
        <v>787</v>
      </c>
      <c r="H853" t="s">
        <v>788</v>
      </c>
      <c r="J853">
        <v>-1519.08</v>
      </c>
      <c r="K853">
        <v>-1519.08</v>
      </c>
      <c r="O853" t="s">
        <v>738</v>
      </c>
      <c r="P853" t="s">
        <v>860</v>
      </c>
      <c r="Q853" t="s">
        <v>461</v>
      </c>
      <c r="R853">
        <v>0</v>
      </c>
    </row>
    <row r="854" spans="1:18" x14ac:dyDescent="0.3">
      <c r="A854">
        <v>237124</v>
      </c>
      <c r="B854" t="s">
        <v>734</v>
      </c>
      <c r="C854" t="s">
        <v>989</v>
      </c>
      <c r="E854" s="465">
        <v>46172</v>
      </c>
      <c r="F854" s="465">
        <v>46178</v>
      </c>
      <c r="G854" t="s">
        <v>787</v>
      </c>
      <c r="H854" t="s">
        <v>788</v>
      </c>
      <c r="J854">
        <v>-1842.75</v>
      </c>
      <c r="K854">
        <v>-1842.75</v>
      </c>
      <c r="O854" t="s">
        <v>738</v>
      </c>
      <c r="P854" t="s">
        <v>860</v>
      </c>
      <c r="Q854" t="s">
        <v>461</v>
      </c>
      <c r="R854">
        <v>0</v>
      </c>
    </row>
    <row r="855" spans="1:18" x14ac:dyDescent="0.3">
      <c r="A855">
        <v>237123</v>
      </c>
      <c r="B855" t="s">
        <v>734</v>
      </c>
      <c r="C855" t="s">
        <v>1226</v>
      </c>
      <c r="E855" s="465">
        <v>46172</v>
      </c>
      <c r="F855" s="465">
        <v>46178</v>
      </c>
      <c r="G855" t="s">
        <v>787</v>
      </c>
      <c r="H855" t="s">
        <v>788</v>
      </c>
      <c r="J855">
        <v>-157.75</v>
      </c>
      <c r="K855">
        <v>-157.75</v>
      </c>
      <c r="O855" t="s">
        <v>738</v>
      </c>
      <c r="P855" t="s">
        <v>860</v>
      </c>
      <c r="Q855" t="s">
        <v>461</v>
      </c>
      <c r="R855">
        <v>0</v>
      </c>
    </row>
    <row r="856" spans="1:18" x14ac:dyDescent="0.3">
      <c r="A856">
        <v>237144</v>
      </c>
      <c r="B856" t="s">
        <v>734</v>
      </c>
      <c r="C856" t="s">
        <v>973</v>
      </c>
      <c r="E856" s="465">
        <v>46172</v>
      </c>
      <c r="F856" s="465">
        <v>46178</v>
      </c>
      <c r="G856" t="s">
        <v>787</v>
      </c>
      <c r="H856" t="s">
        <v>788</v>
      </c>
      <c r="J856">
        <v>-813.17</v>
      </c>
      <c r="K856">
        <v>-813.17</v>
      </c>
      <c r="O856" t="s">
        <v>738</v>
      </c>
      <c r="P856" t="s">
        <v>860</v>
      </c>
      <c r="Q856" t="s">
        <v>461</v>
      </c>
      <c r="R856">
        <v>0</v>
      </c>
    </row>
    <row r="857" spans="1:18" x14ac:dyDescent="0.3">
      <c r="A857">
        <v>235399</v>
      </c>
      <c r="B857" t="s">
        <v>734</v>
      </c>
      <c r="C857" t="s">
        <v>842</v>
      </c>
      <c r="D857" t="s">
        <v>1269</v>
      </c>
      <c r="E857" s="465">
        <v>46172</v>
      </c>
      <c r="F857" s="465">
        <v>46192</v>
      </c>
      <c r="G857" t="s">
        <v>833</v>
      </c>
      <c r="H857" t="s">
        <v>354</v>
      </c>
      <c r="I857" t="s">
        <v>1270</v>
      </c>
      <c r="J857">
        <v>-1000</v>
      </c>
      <c r="K857">
        <v>-1000</v>
      </c>
      <c r="O857" t="s">
        <v>738</v>
      </c>
      <c r="P857" t="s">
        <v>860</v>
      </c>
      <c r="Q857" t="s">
        <v>461</v>
      </c>
      <c r="R857">
        <v>0</v>
      </c>
    </row>
    <row r="858" spans="1:18" x14ac:dyDescent="0.3">
      <c r="A858">
        <v>237134</v>
      </c>
      <c r="B858" t="s">
        <v>734</v>
      </c>
      <c r="C858" t="s">
        <v>1040</v>
      </c>
      <c r="E858" s="465">
        <v>46172</v>
      </c>
      <c r="F858" s="465">
        <v>46178</v>
      </c>
      <c r="G858" t="s">
        <v>787</v>
      </c>
      <c r="H858" t="s">
        <v>788</v>
      </c>
      <c r="J858">
        <v>-2200.2600000000002</v>
      </c>
      <c r="K858">
        <v>-2200.2600000000002</v>
      </c>
      <c r="O858" t="s">
        <v>738</v>
      </c>
      <c r="P858" t="s">
        <v>860</v>
      </c>
      <c r="Q858" t="s">
        <v>461</v>
      </c>
      <c r="R858">
        <v>0</v>
      </c>
    </row>
    <row r="859" spans="1:18" x14ac:dyDescent="0.3">
      <c r="A859">
        <v>228281</v>
      </c>
      <c r="B859" t="s">
        <v>734</v>
      </c>
      <c r="C859" t="s">
        <v>830</v>
      </c>
      <c r="D859" t="s">
        <v>1271</v>
      </c>
      <c r="E859" s="465">
        <v>46172</v>
      </c>
      <c r="F859" s="465">
        <v>46178</v>
      </c>
      <c r="G859" t="s">
        <v>263</v>
      </c>
      <c r="H859" t="s">
        <v>265</v>
      </c>
      <c r="J859">
        <v>-1438.03</v>
      </c>
      <c r="K859">
        <v>-1438.03</v>
      </c>
      <c r="O859" t="s">
        <v>738</v>
      </c>
      <c r="P859" t="s">
        <v>860</v>
      </c>
      <c r="Q859" t="s">
        <v>461</v>
      </c>
      <c r="R859">
        <v>0</v>
      </c>
    </row>
    <row r="860" spans="1:18" x14ac:dyDescent="0.3">
      <c r="A860">
        <v>231974</v>
      </c>
      <c r="B860" t="s">
        <v>734</v>
      </c>
      <c r="C860" t="s">
        <v>832</v>
      </c>
      <c r="D860" t="s">
        <v>1272</v>
      </c>
      <c r="E860" s="465">
        <v>46172</v>
      </c>
      <c r="F860" s="465">
        <v>46185</v>
      </c>
      <c r="G860" t="s">
        <v>295</v>
      </c>
      <c r="H860" t="s">
        <v>297</v>
      </c>
      <c r="J860">
        <v>-1000</v>
      </c>
      <c r="K860">
        <v>-1000</v>
      </c>
      <c r="O860" t="s">
        <v>738</v>
      </c>
      <c r="P860" t="s">
        <v>860</v>
      </c>
      <c r="Q860" t="s">
        <v>461</v>
      </c>
      <c r="R860">
        <v>0</v>
      </c>
    </row>
    <row r="861" spans="1:18" x14ac:dyDescent="0.3">
      <c r="A861">
        <v>237155</v>
      </c>
      <c r="B861" t="s">
        <v>734</v>
      </c>
      <c r="C861" t="s">
        <v>1055</v>
      </c>
      <c r="E861" s="465">
        <v>46172</v>
      </c>
      <c r="F861" s="465">
        <v>46178</v>
      </c>
      <c r="G861" t="s">
        <v>787</v>
      </c>
      <c r="H861" t="s">
        <v>788</v>
      </c>
      <c r="J861">
        <v>-1199.3800000000001</v>
      </c>
      <c r="K861">
        <v>-1199.3800000000001</v>
      </c>
      <c r="O861" t="s">
        <v>738</v>
      </c>
      <c r="P861" t="s">
        <v>860</v>
      </c>
      <c r="Q861" t="s">
        <v>461</v>
      </c>
      <c r="R861">
        <v>0</v>
      </c>
    </row>
    <row r="862" spans="1:18" x14ac:dyDescent="0.3">
      <c r="A862">
        <v>237154</v>
      </c>
      <c r="B862" t="s">
        <v>734</v>
      </c>
      <c r="C862" t="s">
        <v>1087</v>
      </c>
      <c r="E862" s="465">
        <v>46172</v>
      </c>
      <c r="F862" s="465">
        <v>46178</v>
      </c>
      <c r="G862" t="s">
        <v>787</v>
      </c>
      <c r="H862" t="s">
        <v>788</v>
      </c>
      <c r="J862">
        <v>-1256.3800000000001</v>
      </c>
      <c r="K862">
        <v>-1256.3800000000001</v>
      </c>
      <c r="O862" t="s">
        <v>738</v>
      </c>
      <c r="P862" t="s">
        <v>860</v>
      </c>
      <c r="Q862" t="s">
        <v>461</v>
      </c>
      <c r="R862">
        <v>0</v>
      </c>
    </row>
    <row r="863" spans="1:18" x14ac:dyDescent="0.3">
      <c r="A863">
        <v>237153</v>
      </c>
      <c r="B863" t="s">
        <v>734</v>
      </c>
      <c r="C863" t="s">
        <v>1088</v>
      </c>
      <c r="E863" s="465">
        <v>46172</v>
      </c>
      <c r="F863" s="465">
        <v>46178</v>
      </c>
      <c r="G863" t="s">
        <v>787</v>
      </c>
      <c r="H863" t="s">
        <v>788</v>
      </c>
      <c r="J863">
        <v>-1956.32</v>
      </c>
      <c r="K863">
        <v>-1956.32</v>
      </c>
      <c r="O863" t="s">
        <v>738</v>
      </c>
      <c r="P863" t="s">
        <v>860</v>
      </c>
      <c r="Q863" t="s">
        <v>461</v>
      </c>
      <c r="R863">
        <v>0</v>
      </c>
    </row>
    <row r="864" spans="1:18" x14ac:dyDescent="0.3">
      <c r="A864">
        <v>237152</v>
      </c>
      <c r="B864" t="s">
        <v>734</v>
      </c>
      <c r="C864" t="s">
        <v>1027</v>
      </c>
      <c r="E864" s="465">
        <v>46172</v>
      </c>
      <c r="F864" s="465">
        <v>46178</v>
      </c>
      <c r="G864" t="s">
        <v>787</v>
      </c>
      <c r="H864" t="s">
        <v>788</v>
      </c>
      <c r="J864">
        <v>-1909.67</v>
      </c>
      <c r="K864">
        <v>-1909.67</v>
      </c>
      <c r="O864" t="s">
        <v>738</v>
      </c>
      <c r="P864" t="s">
        <v>860</v>
      </c>
      <c r="Q864" t="s">
        <v>461</v>
      </c>
      <c r="R864">
        <v>0</v>
      </c>
    </row>
    <row r="865" spans="1:18" x14ac:dyDescent="0.3">
      <c r="A865">
        <v>237151</v>
      </c>
      <c r="B865" t="s">
        <v>734</v>
      </c>
      <c r="C865" t="s">
        <v>1216</v>
      </c>
      <c r="E865" s="465">
        <v>46172</v>
      </c>
      <c r="F865" s="465">
        <v>46178</v>
      </c>
      <c r="G865" t="s">
        <v>787</v>
      </c>
      <c r="H865" t="s">
        <v>788</v>
      </c>
      <c r="J865">
        <v>-1256.3800000000001</v>
      </c>
      <c r="K865">
        <v>-1256.3800000000001</v>
      </c>
      <c r="O865" t="s">
        <v>738</v>
      </c>
      <c r="P865" t="s">
        <v>860</v>
      </c>
      <c r="Q865" t="s">
        <v>461</v>
      </c>
      <c r="R865">
        <v>0</v>
      </c>
    </row>
    <row r="866" spans="1:18" x14ac:dyDescent="0.3">
      <c r="A866">
        <v>237150</v>
      </c>
      <c r="B866" t="s">
        <v>734</v>
      </c>
      <c r="C866" t="s">
        <v>1041</v>
      </c>
      <c r="E866" s="465">
        <v>46172</v>
      </c>
      <c r="F866" s="465">
        <v>46178</v>
      </c>
      <c r="G866" t="s">
        <v>787</v>
      </c>
      <c r="H866" t="s">
        <v>788</v>
      </c>
      <c r="J866">
        <v>-1237.3699999999999</v>
      </c>
      <c r="K866">
        <v>-1237.3699999999999</v>
      </c>
      <c r="O866" t="s">
        <v>738</v>
      </c>
      <c r="P866" t="s">
        <v>860</v>
      </c>
      <c r="Q866" t="s">
        <v>461</v>
      </c>
      <c r="R866">
        <v>0</v>
      </c>
    </row>
    <row r="867" spans="1:18" x14ac:dyDescent="0.3">
      <c r="A867">
        <v>237149</v>
      </c>
      <c r="B867" t="s">
        <v>734</v>
      </c>
      <c r="C867" t="s">
        <v>1200</v>
      </c>
      <c r="E867" s="465">
        <v>46172</v>
      </c>
      <c r="F867" s="465">
        <v>46178</v>
      </c>
      <c r="G867" t="s">
        <v>787</v>
      </c>
      <c r="H867" t="s">
        <v>788</v>
      </c>
      <c r="J867">
        <v>-1056.6199999999999</v>
      </c>
      <c r="K867">
        <v>-1056.6199999999999</v>
      </c>
      <c r="O867" t="s">
        <v>738</v>
      </c>
      <c r="P867" t="s">
        <v>860</v>
      </c>
      <c r="Q867" t="s">
        <v>461</v>
      </c>
      <c r="R867">
        <v>0</v>
      </c>
    </row>
    <row r="868" spans="1:18" x14ac:dyDescent="0.3">
      <c r="A868">
        <v>237148</v>
      </c>
      <c r="B868" t="s">
        <v>734</v>
      </c>
      <c r="C868" t="s">
        <v>1026</v>
      </c>
      <c r="E868" s="465">
        <v>46172</v>
      </c>
      <c r="F868" s="465">
        <v>46178</v>
      </c>
      <c r="G868" t="s">
        <v>787</v>
      </c>
      <c r="H868" t="s">
        <v>788</v>
      </c>
      <c r="J868">
        <v>-845.64</v>
      </c>
      <c r="K868">
        <v>-845.64</v>
      </c>
      <c r="O868" t="s">
        <v>738</v>
      </c>
      <c r="P868" t="s">
        <v>860</v>
      </c>
      <c r="Q868" t="s">
        <v>461</v>
      </c>
      <c r="R868">
        <v>0</v>
      </c>
    </row>
    <row r="869" spans="1:18" x14ac:dyDescent="0.3">
      <c r="A869">
        <v>237147</v>
      </c>
      <c r="B869" t="s">
        <v>734</v>
      </c>
      <c r="C869" t="s">
        <v>1232</v>
      </c>
      <c r="E869" s="465">
        <v>46172</v>
      </c>
      <c r="F869" s="465">
        <v>46178</v>
      </c>
      <c r="G869" t="s">
        <v>787</v>
      </c>
      <c r="H869" t="s">
        <v>788</v>
      </c>
      <c r="J869">
        <v>-1281.1400000000001</v>
      </c>
      <c r="K869">
        <v>-1281.1400000000001</v>
      </c>
      <c r="O869" t="s">
        <v>738</v>
      </c>
      <c r="P869" t="s">
        <v>860</v>
      </c>
      <c r="Q869" t="s">
        <v>461</v>
      </c>
      <c r="R869">
        <v>0</v>
      </c>
    </row>
    <row r="870" spans="1:18" x14ac:dyDescent="0.3">
      <c r="A870">
        <v>237146</v>
      </c>
      <c r="B870" t="s">
        <v>734</v>
      </c>
      <c r="C870" t="s">
        <v>956</v>
      </c>
      <c r="E870" s="465">
        <v>46172</v>
      </c>
      <c r="F870" s="465">
        <v>46178</v>
      </c>
      <c r="G870" t="s">
        <v>787</v>
      </c>
      <c r="H870" t="s">
        <v>788</v>
      </c>
      <c r="J870">
        <v>-1256.3800000000001</v>
      </c>
      <c r="K870">
        <v>-1256.3800000000001</v>
      </c>
      <c r="O870" t="s">
        <v>738</v>
      </c>
      <c r="P870" t="s">
        <v>860</v>
      </c>
      <c r="Q870" t="s">
        <v>461</v>
      </c>
      <c r="R870">
        <v>0</v>
      </c>
    </row>
    <row r="871" spans="1:18" x14ac:dyDescent="0.3">
      <c r="A871">
        <v>237145</v>
      </c>
      <c r="B871" t="s">
        <v>734</v>
      </c>
      <c r="C871" t="s">
        <v>977</v>
      </c>
      <c r="E871" s="465">
        <v>46172</v>
      </c>
      <c r="F871" s="465">
        <v>46178</v>
      </c>
      <c r="G871" t="s">
        <v>787</v>
      </c>
      <c r="H871" t="s">
        <v>788</v>
      </c>
      <c r="J871">
        <v>-2035.29</v>
      </c>
      <c r="K871">
        <v>-2035.29</v>
      </c>
      <c r="O871" t="s">
        <v>738</v>
      </c>
      <c r="P871" t="s">
        <v>860</v>
      </c>
      <c r="Q871" t="s">
        <v>461</v>
      </c>
      <c r="R871">
        <v>0</v>
      </c>
    </row>
    <row r="872" spans="1:18" x14ac:dyDescent="0.3">
      <c r="A872">
        <v>223687</v>
      </c>
      <c r="B872" t="s">
        <v>734</v>
      </c>
      <c r="C872" t="s">
        <v>49</v>
      </c>
      <c r="D872" t="s">
        <v>1273</v>
      </c>
      <c r="E872" s="465">
        <v>46172</v>
      </c>
      <c r="F872" s="465">
        <v>46183</v>
      </c>
      <c r="G872" t="s">
        <v>833</v>
      </c>
      <c r="H872" t="s">
        <v>348</v>
      </c>
      <c r="I872" t="s">
        <v>1274</v>
      </c>
      <c r="J872">
        <v>-2975.2</v>
      </c>
      <c r="K872">
        <v>-2975.2</v>
      </c>
      <c r="O872" t="s">
        <v>738</v>
      </c>
      <c r="P872" t="s">
        <v>860</v>
      </c>
      <c r="Q872" t="s">
        <v>461</v>
      </c>
      <c r="R872">
        <v>0</v>
      </c>
    </row>
    <row r="873" spans="1:18" x14ac:dyDescent="0.3">
      <c r="A873">
        <v>237143</v>
      </c>
      <c r="B873" t="s">
        <v>734</v>
      </c>
      <c r="C873" t="s">
        <v>974</v>
      </c>
      <c r="E873" s="465">
        <v>46172</v>
      </c>
      <c r="F873" s="465">
        <v>46178</v>
      </c>
      <c r="G873" t="s">
        <v>787</v>
      </c>
      <c r="H873" t="s">
        <v>788</v>
      </c>
      <c r="J873">
        <v>-1941.78</v>
      </c>
      <c r="K873">
        <v>-1941.78</v>
      </c>
      <c r="O873" t="s">
        <v>738</v>
      </c>
      <c r="P873" t="s">
        <v>860</v>
      </c>
      <c r="Q873" t="s">
        <v>461</v>
      </c>
      <c r="R873">
        <v>0</v>
      </c>
    </row>
    <row r="874" spans="1:18" x14ac:dyDescent="0.3">
      <c r="A874">
        <v>237142</v>
      </c>
      <c r="B874" t="s">
        <v>734</v>
      </c>
      <c r="C874" t="s">
        <v>976</v>
      </c>
      <c r="E874" s="465">
        <v>46172</v>
      </c>
      <c r="F874" s="465">
        <v>46178</v>
      </c>
      <c r="G874" t="s">
        <v>787</v>
      </c>
      <c r="H874" t="s">
        <v>788</v>
      </c>
      <c r="J874">
        <v>-987.01</v>
      </c>
      <c r="K874">
        <v>-987.01</v>
      </c>
      <c r="O874" t="s">
        <v>738</v>
      </c>
      <c r="P874" t="s">
        <v>860</v>
      </c>
      <c r="Q874" t="s">
        <v>461</v>
      </c>
      <c r="R874">
        <v>0</v>
      </c>
    </row>
    <row r="875" spans="1:18" x14ac:dyDescent="0.3">
      <c r="A875">
        <v>237141</v>
      </c>
      <c r="B875" t="s">
        <v>734</v>
      </c>
      <c r="C875" t="s">
        <v>1089</v>
      </c>
      <c r="E875" s="465">
        <v>46172</v>
      </c>
      <c r="F875" s="465">
        <v>46178</v>
      </c>
      <c r="G875" t="s">
        <v>787</v>
      </c>
      <c r="H875" t="s">
        <v>788</v>
      </c>
      <c r="J875">
        <v>-2389.9</v>
      </c>
      <c r="K875">
        <v>-2389.9</v>
      </c>
      <c r="O875" t="s">
        <v>738</v>
      </c>
      <c r="P875" t="s">
        <v>860</v>
      </c>
      <c r="Q875" t="s">
        <v>461</v>
      </c>
      <c r="R875">
        <v>0</v>
      </c>
    </row>
    <row r="876" spans="1:18" x14ac:dyDescent="0.3">
      <c r="A876">
        <v>237140</v>
      </c>
      <c r="B876" t="s">
        <v>734</v>
      </c>
      <c r="C876" t="s">
        <v>1091</v>
      </c>
      <c r="E876" s="465">
        <v>46172</v>
      </c>
      <c r="F876" s="465">
        <v>46178</v>
      </c>
      <c r="G876" t="s">
        <v>787</v>
      </c>
      <c r="H876" t="s">
        <v>788</v>
      </c>
      <c r="J876">
        <v>-2352.23</v>
      </c>
      <c r="K876">
        <v>-2352.23</v>
      </c>
      <c r="O876" t="s">
        <v>738</v>
      </c>
      <c r="P876" t="s">
        <v>860</v>
      </c>
      <c r="Q876" t="s">
        <v>461</v>
      </c>
      <c r="R876">
        <v>0</v>
      </c>
    </row>
    <row r="877" spans="1:18" x14ac:dyDescent="0.3">
      <c r="A877">
        <v>237139</v>
      </c>
      <c r="B877" t="s">
        <v>734</v>
      </c>
      <c r="C877" t="s">
        <v>1007</v>
      </c>
      <c r="E877" s="465">
        <v>46172</v>
      </c>
      <c r="F877" s="465">
        <v>46178</v>
      </c>
      <c r="G877" t="s">
        <v>787</v>
      </c>
      <c r="H877" t="s">
        <v>788</v>
      </c>
      <c r="J877">
        <v>-1036.3599999999999</v>
      </c>
      <c r="K877">
        <v>-1036.3599999999999</v>
      </c>
      <c r="O877" t="s">
        <v>738</v>
      </c>
      <c r="P877" t="s">
        <v>860</v>
      </c>
      <c r="Q877" t="s">
        <v>461</v>
      </c>
      <c r="R877">
        <v>0</v>
      </c>
    </row>
    <row r="878" spans="1:18" x14ac:dyDescent="0.3">
      <c r="A878">
        <v>237138</v>
      </c>
      <c r="B878" t="s">
        <v>734</v>
      </c>
      <c r="C878" t="s">
        <v>987</v>
      </c>
      <c r="E878" s="465">
        <v>46172</v>
      </c>
      <c r="F878" s="465">
        <v>46178</v>
      </c>
      <c r="G878" t="s">
        <v>787</v>
      </c>
      <c r="H878" t="s">
        <v>788</v>
      </c>
      <c r="J878">
        <v>-1256.3800000000001</v>
      </c>
      <c r="K878">
        <v>-1256.3800000000001</v>
      </c>
      <c r="O878" t="s">
        <v>738</v>
      </c>
      <c r="P878" t="s">
        <v>860</v>
      </c>
      <c r="Q878" t="s">
        <v>461</v>
      </c>
      <c r="R878">
        <v>0</v>
      </c>
    </row>
    <row r="879" spans="1:18" x14ac:dyDescent="0.3">
      <c r="A879">
        <v>237137</v>
      </c>
      <c r="B879" t="s">
        <v>734</v>
      </c>
      <c r="C879" t="s">
        <v>990</v>
      </c>
      <c r="E879" s="465">
        <v>46172</v>
      </c>
      <c r="F879" s="465">
        <v>46178</v>
      </c>
      <c r="G879" t="s">
        <v>787</v>
      </c>
      <c r="H879" t="s">
        <v>788</v>
      </c>
      <c r="J879">
        <v>-1256.3800000000001</v>
      </c>
      <c r="K879">
        <v>-1256.3800000000001</v>
      </c>
      <c r="O879" t="s">
        <v>738</v>
      </c>
      <c r="P879" t="s">
        <v>860</v>
      </c>
      <c r="Q879" t="s">
        <v>461</v>
      </c>
      <c r="R879">
        <v>0</v>
      </c>
    </row>
    <row r="880" spans="1:18" x14ac:dyDescent="0.3">
      <c r="A880">
        <v>237133</v>
      </c>
      <c r="B880" t="s">
        <v>734</v>
      </c>
      <c r="C880" t="s">
        <v>1090</v>
      </c>
      <c r="E880" s="465">
        <v>46172</v>
      </c>
      <c r="F880" s="465">
        <v>46178</v>
      </c>
      <c r="G880" t="s">
        <v>787</v>
      </c>
      <c r="H880" t="s">
        <v>788</v>
      </c>
      <c r="J880">
        <v>-2277.91</v>
      </c>
      <c r="K880">
        <v>-2277.91</v>
      </c>
      <c r="O880" t="s">
        <v>738</v>
      </c>
      <c r="P880" t="s">
        <v>860</v>
      </c>
      <c r="Q880" t="s">
        <v>461</v>
      </c>
      <c r="R880">
        <v>0</v>
      </c>
    </row>
    <row r="881" spans="1:18" x14ac:dyDescent="0.3">
      <c r="A881">
        <v>237135</v>
      </c>
      <c r="B881" t="s">
        <v>734</v>
      </c>
      <c r="C881" t="s">
        <v>983</v>
      </c>
      <c r="E881" s="465">
        <v>46172</v>
      </c>
      <c r="F881" s="465">
        <v>46178</v>
      </c>
      <c r="G881" t="s">
        <v>787</v>
      </c>
      <c r="H881" t="s">
        <v>788</v>
      </c>
      <c r="J881">
        <v>-2329.4</v>
      </c>
      <c r="K881">
        <v>-2329.4</v>
      </c>
      <c r="O881" t="s">
        <v>738</v>
      </c>
      <c r="P881" t="s">
        <v>860</v>
      </c>
      <c r="Q881" t="s">
        <v>461</v>
      </c>
      <c r="R881">
        <v>0</v>
      </c>
    </row>
    <row r="882" spans="1:18" x14ac:dyDescent="0.3">
      <c r="A882">
        <v>237136</v>
      </c>
      <c r="B882" t="s">
        <v>734</v>
      </c>
      <c r="C882" t="s">
        <v>982</v>
      </c>
      <c r="E882" s="465">
        <v>46172</v>
      </c>
      <c r="F882" s="465">
        <v>46178</v>
      </c>
      <c r="G882" t="s">
        <v>787</v>
      </c>
      <c r="H882" t="s">
        <v>788</v>
      </c>
      <c r="J882">
        <v>-1694.59</v>
      </c>
      <c r="K882">
        <v>-1694.59</v>
      </c>
      <c r="O882" t="s">
        <v>738</v>
      </c>
      <c r="P882" t="s">
        <v>860</v>
      </c>
      <c r="Q882" t="s">
        <v>461</v>
      </c>
      <c r="R882">
        <v>0</v>
      </c>
    </row>
    <row r="883" spans="1:18" x14ac:dyDescent="0.3">
      <c r="A883">
        <v>235749</v>
      </c>
      <c r="B883" t="s">
        <v>734</v>
      </c>
      <c r="C883" t="s">
        <v>824</v>
      </c>
      <c r="E883" s="465">
        <v>46171</v>
      </c>
      <c r="F883" s="465">
        <v>46171</v>
      </c>
      <c r="G883" t="s">
        <v>825</v>
      </c>
      <c r="H883" t="s">
        <v>826</v>
      </c>
      <c r="J883">
        <v>-0.5</v>
      </c>
      <c r="K883">
        <v>-0.5</v>
      </c>
      <c r="O883" t="s">
        <v>738</v>
      </c>
      <c r="P883" t="s">
        <v>860</v>
      </c>
      <c r="Q883" t="s">
        <v>461</v>
      </c>
      <c r="R883">
        <v>0</v>
      </c>
    </row>
    <row r="884" spans="1:18" x14ac:dyDescent="0.3">
      <c r="A884">
        <v>235402</v>
      </c>
      <c r="B884" t="s">
        <v>734</v>
      </c>
      <c r="C884" t="s">
        <v>1171</v>
      </c>
      <c r="D884" t="s">
        <v>1275</v>
      </c>
      <c r="E884" s="465">
        <v>46171</v>
      </c>
      <c r="F884" s="465">
        <v>46174</v>
      </c>
      <c r="G884" t="s">
        <v>833</v>
      </c>
      <c r="H884" t="s">
        <v>349</v>
      </c>
      <c r="I884" t="s">
        <v>1276</v>
      </c>
      <c r="J884">
        <v>-5139.45</v>
      </c>
      <c r="K884">
        <v>-5139.45</v>
      </c>
      <c r="O884" t="s">
        <v>738</v>
      </c>
      <c r="P884" t="s">
        <v>860</v>
      </c>
      <c r="Q884" t="s">
        <v>461</v>
      </c>
      <c r="R884">
        <v>0</v>
      </c>
    </row>
    <row r="885" spans="1:18" x14ac:dyDescent="0.3">
      <c r="A885">
        <v>235401</v>
      </c>
      <c r="B885" t="s">
        <v>734</v>
      </c>
      <c r="C885" t="s">
        <v>1171</v>
      </c>
      <c r="D885" t="s">
        <v>1277</v>
      </c>
      <c r="E885" s="465">
        <v>46171</v>
      </c>
      <c r="F885" s="465">
        <v>46174</v>
      </c>
      <c r="G885" t="s">
        <v>833</v>
      </c>
      <c r="H885" t="s">
        <v>349</v>
      </c>
      <c r="I885" t="s">
        <v>1278</v>
      </c>
      <c r="J885">
        <v>-1721.78</v>
      </c>
      <c r="K885">
        <v>-1721.78</v>
      </c>
      <c r="O885" t="s">
        <v>738</v>
      </c>
      <c r="P885" t="s">
        <v>860</v>
      </c>
      <c r="Q885" t="s">
        <v>461</v>
      </c>
      <c r="R885">
        <v>0</v>
      </c>
    </row>
    <row r="886" spans="1:18" x14ac:dyDescent="0.3">
      <c r="A886">
        <v>235400</v>
      </c>
      <c r="B886" t="s">
        <v>734</v>
      </c>
      <c r="C886" t="s">
        <v>1171</v>
      </c>
      <c r="D886" t="s">
        <v>1279</v>
      </c>
      <c r="E886" s="465">
        <v>46171</v>
      </c>
      <c r="F886" s="465">
        <v>46174</v>
      </c>
      <c r="G886" t="s">
        <v>833</v>
      </c>
      <c r="H886" t="s">
        <v>350</v>
      </c>
      <c r="I886" t="s">
        <v>1280</v>
      </c>
      <c r="J886">
        <v>-208.15</v>
      </c>
      <c r="K886">
        <v>-237.98</v>
      </c>
      <c r="O886" t="s">
        <v>738</v>
      </c>
      <c r="P886" t="s">
        <v>860</v>
      </c>
      <c r="Q886" t="s">
        <v>461</v>
      </c>
      <c r="R886">
        <v>0</v>
      </c>
    </row>
    <row r="887" spans="1:18" x14ac:dyDescent="0.3">
      <c r="A887">
        <v>217082</v>
      </c>
      <c r="B887" t="s">
        <v>734</v>
      </c>
      <c r="C887" t="s">
        <v>780</v>
      </c>
      <c r="D887" t="s">
        <v>1273</v>
      </c>
      <c r="E887" s="465">
        <v>46170</v>
      </c>
      <c r="F887" s="465">
        <v>46192</v>
      </c>
      <c r="G887" t="s">
        <v>833</v>
      </c>
      <c r="H887" t="s">
        <v>348</v>
      </c>
      <c r="I887" t="s">
        <v>1281</v>
      </c>
      <c r="J887">
        <v>-748.5</v>
      </c>
      <c r="K887">
        <v>-748.5</v>
      </c>
      <c r="O887" t="s">
        <v>738</v>
      </c>
      <c r="P887" t="s">
        <v>860</v>
      </c>
      <c r="Q887" t="s">
        <v>461</v>
      </c>
      <c r="R887">
        <v>0</v>
      </c>
    </row>
    <row r="888" spans="1:18" x14ac:dyDescent="0.3">
      <c r="A888">
        <v>217078</v>
      </c>
      <c r="B888" t="s">
        <v>734</v>
      </c>
      <c r="C888" t="s">
        <v>428</v>
      </c>
      <c r="D888" t="s">
        <v>1273</v>
      </c>
      <c r="E888" s="465">
        <v>46170</v>
      </c>
      <c r="F888" s="465">
        <v>46192</v>
      </c>
      <c r="G888" t="s">
        <v>833</v>
      </c>
      <c r="H888" t="s">
        <v>348</v>
      </c>
      <c r="I888" t="s">
        <v>1282</v>
      </c>
      <c r="J888">
        <v>-2552</v>
      </c>
      <c r="K888">
        <v>-2552</v>
      </c>
      <c r="O888" t="s">
        <v>738</v>
      </c>
      <c r="P888" t="s">
        <v>860</v>
      </c>
      <c r="Q888" t="s">
        <v>461</v>
      </c>
      <c r="R888">
        <v>0</v>
      </c>
    </row>
    <row r="889" spans="1:18" x14ac:dyDescent="0.3">
      <c r="A889">
        <v>234908</v>
      </c>
      <c r="B889" t="s">
        <v>734</v>
      </c>
      <c r="C889" t="s">
        <v>840</v>
      </c>
      <c r="D889" t="s">
        <v>1283</v>
      </c>
      <c r="E889" s="465">
        <v>46169</v>
      </c>
      <c r="F889" s="465">
        <v>46174</v>
      </c>
      <c r="G889" t="s">
        <v>833</v>
      </c>
      <c r="H889" t="s">
        <v>354</v>
      </c>
      <c r="I889" t="s">
        <v>1284</v>
      </c>
      <c r="J889">
        <v>-219</v>
      </c>
      <c r="K889">
        <v>-219</v>
      </c>
      <c r="O889" t="s">
        <v>738</v>
      </c>
      <c r="P889" t="s">
        <v>860</v>
      </c>
      <c r="Q889" t="s">
        <v>461</v>
      </c>
      <c r="R889">
        <v>0</v>
      </c>
    </row>
    <row r="890" spans="1:18" x14ac:dyDescent="0.3">
      <c r="A890">
        <v>235001</v>
      </c>
      <c r="B890" t="s">
        <v>734</v>
      </c>
      <c r="C890" t="s">
        <v>824</v>
      </c>
      <c r="D890" t="s">
        <v>871</v>
      </c>
      <c r="E890" s="465">
        <v>46169</v>
      </c>
      <c r="F890" s="465">
        <v>46169</v>
      </c>
      <c r="G890" t="s">
        <v>825</v>
      </c>
      <c r="H890" t="s">
        <v>826</v>
      </c>
      <c r="J890">
        <v>-1</v>
      </c>
      <c r="K890">
        <v>-1</v>
      </c>
      <c r="O890" t="s">
        <v>738</v>
      </c>
      <c r="P890" t="s">
        <v>860</v>
      </c>
      <c r="Q890" t="s">
        <v>461</v>
      </c>
      <c r="R890">
        <v>0</v>
      </c>
    </row>
    <row r="891" spans="1:18" x14ac:dyDescent="0.3">
      <c r="A891">
        <v>235028</v>
      </c>
      <c r="B891" t="s">
        <v>734</v>
      </c>
      <c r="C891" t="s">
        <v>824</v>
      </c>
      <c r="D891" t="s">
        <v>1285</v>
      </c>
      <c r="E891" s="465">
        <v>46169</v>
      </c>
      <c r="F891" s="465">
        <v>46169</v>
      </c>
      <c r="G891" t="s">
        <v>825</v>
      </c>
      <c r="H891" t="s">
        <v>826</v>
      </c>
      <c r="J891">
        <v>-2.5</v>
      </c>
      <c r="K891">
        <v>-2.5</v>
      </c>
      <c r="O891" t="s">
        <v>738</v>
      </c>
      <c r="P891" t="s">
        <v>860</v>
      </c>
      <c r="Q891" t="s">
        <v>461</v>
      </c>
      <c r="R891">
        <v>0</v>
      </c>
    </row>
    <row r="892" spans="1:18" x14ac:dyDescent="0.3">
      <c r="A892">
        <v>226859</v>
      </c>
      <c r="B892" t="s">
        <v>734</v>
      </c>
      <c r="C892" t="s">
        <v>883</v>
      </c>
      <c r="D892" t="s">
        <v>1286</v>
      </c>
      <c r="E892" s="465">
        <v>46169</v>
      </c>
      <c r="F892" s="465">
        <v>46174</v>
      </c>
      <c r="G892" t="s">
        <v>833</v>
      </c>
      <c r="H892" t="s">
        <v>348</v>
      </c>
      <c r="I892" t="s">
        <v>1107</v>
      </c>
      <c r="J892">
        <v>-9500</v>
      </c>
      <c r="K892">
        <v>-9500</v>
      </c>
      <c r="O892" t="s">
        <v>738</v>
      </c>
      <c r="P892" t="s">
        <v>860</v>
      </c>
      <c r="Q892" t="s">
        <v>461</v>
      </c>
      <c r="R892">
        <v>0</v>
      </c>
    </row>
    <row r="893" spans="1:18" x14ac:dyDescent="0.3">
      <c r="A893">
        <v>234850</v>
      </c>
      <c r="B893" t="s">
        <v>734</v>
      </c>
      <c r="C893" t="s">
        <v>824</v>
      </c>
      <c r="E893" s="465">
        <v>46168</v>
      </c>
      <c r="F893" s="465">
        <v>46168</v>
      </c>
      <c r="G893" t="s">
        <v>825</v>
      </c>
      <c r="H893" t="s">
        <v>826</v>
      </c>
      <c r="J893">
        <v>-1</v>
      </c>
      <c r="K893">
        <v>-1</v>
      </c>
      <c r="O893" t="s">
        <v>738</v>
      </c>
      <c r="P893" t="s">
        <v>860</v>
      </c>
      <c r="Q893" t="s">
        <v>461</v>
      </c>
      <c r="R893">
        <v>0</v>
      </c>
    </row>
    <row r="894" spans="1:18" x14ac:dyDescent="0.3">
      <c r="A894">
        <v>234198</v>
      </c>
      <c r="B894" t="s">
        <v>734</v>
      </c>
      <c r="C894" t="s">
        <v>1287</v>
      </c>
      <c r="D894" t="s">
        <v>1288</v>
      </c>
      <c r="E894" s="465">
        <v>46168</v>
      </c>
      <c r="F894" s="465">
        <v>46183</v>
      </c>
      <c r="G894" t="s">
        <v>784</v>
      </c>
      <c r="H894" t="s">
        <v>251</v>
      </c>
      <c r="I894" t="s">
        <v>1289</v>
      </c>
      <c r="J894">
        <v>-1783</v>
      </c>
      <c r="K894">
        <v>-1783</v>
      </c>
      <c r="O894" t="s">
        <v>738</v>
      </c>
      <c r="P894" t="s">
        <v>860</v>
      </c>
      <c r="Q894" t="s">
        <v>461</v>
      </c>
      <c r="R894">
        <v>0</v>
      </c>
    </row>
    <row r="895" spans="1:18" x14ac:dyDescent="0.3">
      <c r="A895">
        <v>234943</v>
      </c>
      <c r="B895" t="s">
        <v>734</v>
      </c>
      <c r="C895" t="s">
        <v>824</v>
      </c>
      <c r="D895" t="s">
        <v>871</v>
      </c>
      <c r="E895" s="465">
        <v>46168</v>
      </c>
      <c r="F895" s="465">
        <v>46168</v>
      </c>
      <c r="G895" t="s">
        <v>825</v>
      </c>
      <c r="H895" t="s">
        <v>826</v>
      </c>
      <c r="J895">
        <v>-2.5</v>
      </c>
      <c r="K895">
        <v>-2.5</v>
      </c>
      <c r="O895" t="s">
        <v>738</v>
      </c>
      <c r="P895" t="s">
        <v>860</v>
      </c>
      <c r="Q895" t="s">
        <v>461</v>
      </c>
      <c r="R895">
        <v>0</v>
      </c>
    </row>
    <row r="896" spans="1:18" x14ac:dyDescent="0.3">
      <c r="A896">
        <v>234107</v>
      </c>
      <c r="B896" t="s">
        <v>734</v>
      </c>
      <c r="C896" t="s">
        <v>1290</v>
      </c>
      <c r="D896" t="s">
        <v>1291</v>
      </c>
      <c r="E896" s="465">
        <v>46168</v>
      </c>
      <c r="F896" s="465">
        <v>46168</v>
      </c>
      <c r="G896" t="s">
        <v>784</v>
      </c>
      <c r="H896" t="s">
        <v>251</v>
      </c>
      <c r="I896" t="s">
        <v>1292</v>
      </c>
      <c r="J896">
        <v>-284</v>
      </c>
      <c r="K896">
        <v>-284</v>
      </c>
      <c r="O896" t="s">
        <v>738</v>
      </c>
      <c r="P896" t="s">
        <v>860</v>
      </c>
      <c r="Q896" t="s">
        <v>461</v>
      </c>
      <c r="R896">
        <v>0</v>
      </c>
    </row>
    <row r="897" spans="1:18" x14ac:dyDescent="0.3">
      <c r="A897">
        <v>234202</v>
      </c>
      <c r="B897" t="s">
        <v>734</v>
      </c>
      <c r="C897" t="s">
        <v>735</v>
      </c>
      <c r="D897" t="s">
        <v>1293</v>
      </c>
      <c r="E897" s="465">
        <v>46167</v>
      </c>
      <c r="F897" s="465">
        <v>46178</v>
      </c>
      <c r="G897" t="s">
        <v>255</v>
      </c>
      <c r="H897" t="s">
        <v>260</v>
      </c>
      <c r="I897" t="s">
        <v>1294</v>
      </c>
      <c r="J897">
        <v>-506.88</v>
      </c>
      <c r="K897">
        <v>-506.88</v>
      </c>
      <c r="O897" t="s">
        <v>738</v>
      </c>
      <c r="P897" t="s">
        <v>860</v>
      </c>
      <c r="Q897" t="s">
        <v>461</v>
      </c>
      <c r="R897">
        <v>0</v>
      </c>
    </row>
    <row r="898" spans="1:18" x14ac:dyDescent="0.3">
      <c r="A898">
        <v>234191</v>
      </c>
      <c r="B898" t="s">
        <v>734</v>
      </c>
      <c r="C898" t="s">
        <v>824</v>
      </c>
      <c r="E898" s="465">
        <v>46167</v>
      </c>
      <c r="F898" s="465">
        <v>46167</v>
      </c>
      <c r="G898" t="s">
        <v>825</v>
      </c>
      <c r="H898" t="s">
        <v>826</v>
      </c>
      <c r="J898">
        <v>-2</v>
      </c>
      <c r="K898">
        <v>-2</v>
      </c>
      <c r="O898" t="s">
        <v>738</v>
      </c>
      <c r="P898" t="s">
        <v>860</v>
      </c>
      <c r="Q898" t="s">
        <v>461</v>
      </c>
      <c r="R898">
        <v>0</v>
      </c>
    </row>
    <row r="899" spans="1:18" x14ac:dyDescent="0.3">
      <c r="A899">
        <v>234284</v>
      </c>
      <c r="B899" t="s">
        <v>734</v>
      </c>
      <c r="C899" t="s">
        <v>934</v>
      </c>
      <c r="D899" t="s">
        <v>1295</v>
      </c>
      <c r="E899" s="465">
        <v>46166</v>
      </c>
      <c r="F899" s="465">
        <v>46177</v>
      </c>
      <c r="G899" t="s">
        <v>833</v>
      </c>
      <c r="H899" t="s">
        <v>348</v>
      </c>
      <c r="I899" t="s">
        <v>1296</v>
      </c>
      <c r="J899">
        <v>-308</v>
      </c>
      <c r="K899">
        <v>-308</v>
      </c>
      <c r="O899" t="s">
        <v>738</v>
      </c>
      <c r="P899" t="s">
        <v>860</v>
      </c>
      <c r="Q899" t="s">
        <v>461</v>
      </c>
      <c r="R899">
        <v>0</v>
      </c>
    </row>
    <row r="900" spans="1:18" x14ac:dyDescent="0.3">
      <c r="A900">
        <v>233629</v>
      </c>
      <c r="B900" t="s">
        <v>734</v>
      </c>
      <c r="C900" t="s">
        <v>1297</v>
      </c>
      <c r="D900" t="s">
        <v>1298</v>
      </c>
      <c r="E900" s="465">
        <v>46164</v>
      </c>
      <c r="F900" s="465">
        <v>46177</v>
      </c>
      <c r="G900" t="s">
        <v>295</v>
      </c>
      <c r="H900" t="s">
        <v>296</v>
      </c>
      <c r="J900">
        <v>-12000</v>
      </c>
      <c r="K900">
        <v>-12000</v>
      </c>
      <c r="M900" t="s">
        <v>1299</v>
      </c>
      <c r="N900" t="s">
        <v>1300</v>
      </c>
      <c r="O900" t="s">
        <v>738</v>
      </c>
      <c r="Q900" t="s">
        <v>461</v>
      </c>
      <c r="R900">
        <v>0</v>
      </c>
    </row>
    <row r="901" spans="1:18" x14ac:dyDescent="0.3">
      <c r="A901">
        <v>234924</v>
      </c>
      <c r="B901" t="s">
        <v>734</v>
      </c>
      <c r="C901" t="s">
        <v>1301</v>
      </c>
      <c r="D901" t="s">
        <v>1302</v>
      </c>
      <c r="E901" s="465">
        <v>46164</v>
      </c>
      <c r="F901" s="465">
        <v>46178</v>
      </c>
      <c r="G901" t="s">
        <v>833</v>
      </c>
      <c r="H901" t="s">
        <v>349</v>
      </c>
      <c r="I901" t="s">
        <v>1303</v>
      </c>
      <c r="J901">
        <v>-2300</v>
      </c>
      <c r="K901">
        <v>-2300</v>
      </c>
      <c r="O901" t="s">
        <v>738</v>
      </c>
      <c r="P901" t="s">
        <v>860</v>
      </c>
      <c r="Q901" t="s">
        <v>461</v>
      </c>
      <c r="R901">
        <v>0</v>
      </c>
    </row>
    <row r="902" spans="1:18" x14ac:dyDescent="0.3">
      <c r="A902">
        <v>233617</v>
      </c>
      <c r="B902" t="s">
        <v>734</v>
      </c>
      <c r="C902" t="s">
        <v>1304</v>
      </c>
      <c r="D902" t="s">
        <v>1096</v>
      </c>
      <c r="E902" s="465">
        <v>46164</v>
      </c>
      <c r="F902" s="465">
        <v>46167</v>
      </c>
      <c r="G902" t="s">
        <v>833</v>
      </c>
      <c r="H902" t="s">
        <v>356</v>
      </c>
      <c r="I902" t="s">
        <v>1305</v>
      </c>
      <c r="J902">
        <v>-10000</v>
      </c>
      <c r="K902">
        <v>-10000</v>
      </c>
      <c r="O902" t="s">
        <v>738</v>
      </c>
      <c r="P902" t="s">
        <v>860</v>
      </c>
      <c r="Q902" t="s">
        <v>461</v>
      </c>
      <c r="R902">
        <v>0</v>
      </c>
    </row>
    <row r="903" spans="1:18" x14ac:dyDescent="0.3">
      <c r="A903">
        <v>234058</v>
      </c>
      <c r="B903" t="s">
        <v>734</v>
      </c>
      <c r="C903" t="s">
        <v>824</v>
      </c>
      <c r="E903" s="465">
        <v>46164</v>
      </c>
      <c r="F903" s="465">
        <v>46164</v>
      </c>
      <c r="G903" t="s">
        <v>825</v>
      </c>
      <c r="H903" t="s">
        <v>826</v>
      </c>
      <c r="J903">
        <v>-3.5</v>
      </c>
      <c r="K903">
        <v>-3.5</v>
      </c>
      <c r="O903" t="s">
        <v>738</v>
      </c>
      <c r="P903" t="s">
        <v>860</v>
      </c>
      <c r="Q903" t="s">
        <v>461</v>
      </c>
      <c r="R903">
        <v>0</v>
      </c>
    </row>
    <row r="904" spans="1:18" x14ac:dyDescent="0.3">
      <c r="A904">
        <v>234057</v>
      </c>
      <c r="B904" t="s">
        <v>734</v>
      </c>
      <c r="C904" t="s">
        <v>824</v>
      </c>
      <c r="E904" s="465">
        <v>46164</v>
      </c>
      <c r="F904" s="465">
        <v>46164</v>
      </c>
      <c r="G904" t="s">
        <v>825</v>
      </c>
      <c r="H904" t="s">
        <v>826</v>
      </c>
      <c r="J904">
        <v>-1</v>
      </c>
      <c r="K904">
        <v>-1</v>
      </c>
      <c r="O904" t="s">
        <v>738</v>
      </c>
      <c r="P904" t="s">
        <v>860</v>
      </c>
      <c r="Q904" t="s">
        <v>461</v>
      </c>
      <c r="R904">
        <v>0</v>
      </c>
    </row>
    <row r="905" spans="1:18" x14ac:dyDescent="0.3">
      <c r="A905">
        <v>233619</v>
      </c>
      <c r="B905" t="s">
        <v>734</v>
      </c>
      <c r="C905" t="s">
        <v>1304</v>
      </c>
      <c r="D905" t="s">
        <v>1306</v>
      </c>
      <c r="E905" s="465">
        <v>46164</v>
      </c>
      <c r="F905" s="465">
        <v>46167</v>
      </c>
      <c r="G905" t="s">
        <v>833</v>
      </c>
      <c r="H905" t="s">
        <v>356</v>
      </c>
      <c r="I905" t="s">
        <v>1307</v>
      </c>
      <c r="J905">
        <v>-25434</v>
      </c>
      <c r="K905">
        <v>-25434</v>
      </c>
      <c r="O905" t="s">
        <v>738</v>
      </c>
      <c r="P905" t="s">
        <v>860</v>
      </c>
      <c r="Q905" t="s">
        <v>461</v>
      </c>
      <c r="R905">
        <v>0</v>
      </c>
    </row>
    <row r="906" spans="1:18" x14ac:dyDescent="0.3">
      <c r="A906">
        <v>233672</v>
      </c>
      <c r="B906" t="s">
        <v>734</v>
      </c>
      <c r="C906" t="s">
        <v>1301</v>
      </c>
      <c r="D906" t="s">
        <v>887</v>
      </c>
      <c r="E906" s="465">
        <v>46164</v>
      </c>
      <c r="F906" s="465">
        <v>46174</v>
      </c>
      <c r="G906" t="s">
        <v>833</v>
      </c>
      <c r="H906" t="s">
        <v>349</v>
      </c>
      <c r="I906" t="s">
        <v>1308</v>
      </c>
      <c r="J906">
        <v>-6200</v>
      </c>
      <c r="K906">
        <v>-6200</v>
      </c>
      <c r="O906" t="s">
        <v>738</v>
      </c>
      <c r="P906" t="s">
        <v>860</v>
      </c>
      <c r="Q906" t="s">
        <v>461</v>
      </c>
      <c r="R906">
        <v>0</v>
      </c>
    </row>
    <row r="907" spans="1:18" x14ac:dyDescent="0.3">
      <c r="A907">
        <v>233200</v>
      </c>
      <c r="B907" t="s">
        <v>734</v>
      </c>
      <c r="C907" t="s">
        <v>1129</v>
      </c>
      <c r="D907" t="s">
        <v>1309</v>
      </c>
      <c r="E907" s="465">
        <v>46163</v>
      </c>
      <c r="F907" s="465">
        <v>46164</v>
      </c>
      <c r="G907" t="s">
        <v>833</v>
      </c>
      <c r="H907" t="s">
        <v>350</v>
      </c>
      <c r="I907" t="s">
        <v>1310</v>
      </c>
      <c r="J907">
        <v>-45532.29</v>
      </c>
      <c r="K907">
        <v>-45532.29</v>
      </c>
      <c r="O907" t="s">
        <v>738</v>
      </c>
      <c r="P907" t="s">
        <v>860</v>
      </c>
      <c r="Q907" t="s">
        <v>461</v>
      </c>
      <c r="R907">
        <v>0</v>
      </c>
    </row>
    <row r="908" spans="1:18" x14ac:dyDescent="0.3">
      <c r="A908">
        <v>233483</v>
      </c>
      <c r="B908" t="s">
        <v>734</v>
      </c>
      <c r="C908" t="s">
        <v>824</v>
      </c>
      <c r="E908" s="465">
        <v>46163</v>
      </c>
      <c r="F908" s="465">
        <v>46163</v>
      </c>
      <c r="G908" t="s">
        <v>825</v>
      </c>
      <c r="H908" t="s">
        <v>826</v>
      </c>
      <c r="I908" t="s">
        <v>1311</v>
      </c>
      <c r="J908">
        <v>-1.5</v>
      </c>
      <c r="K908">
        <v>-1.5</v>
      </c>
      <c r="O908" t="s">
        <v>738</v>
      </c>
      <c r="P908" t="s">
        <v>860</v>
      </c>
      <c r="Q908" t="s">
        <v>461</v>
      </c>
      <c r="R908">
        <v>0</v>
      </c>
    </row>
    <row r="909" spans="1:18" x14ac:dyDescent="0.3">
      <c r="A909">
        <v>233384</v>
      </c>
      <c r="B909" t="s">
        <v>734</v>
      </c>
      <c r="C909" t="s">
        <v>1312</v>
      </c>
      <c r="D909" t="s">
        <v>1313</v>
      </c>
      <c r="E909" s="465">
        <v>46163</v>
      </c>
      <c r="F909" s="465">
        <v>46185</v>
      </c>
      <c r="G909" t="s">
        <v>833</v>
      </c>
      <c r="H909" t="s">
        <v>349</v>
      </c>
      <c r="I909" t="s">
        <v>1314</v>
      </c>
      <c r="J909">
        <v>-19500</v>
      </c>
      <c r="K909">
        <v>-19500</v>
      </c>
      <c r="O909" t="s">
        <v>738</v>
      </c>
      <c r="P909" t="s">
        <v>927</v>
      </c>
      <c r="Q909" t="s">
        <v>461</v>
      </c>
      <c r="R909">
        <v>0</v>
      </c>
    </row>
    <row r="910" spans="1:18" x14ac:dyDescent="0.3">
      <c r="A910">
        <v>233390</v>
      </c>
      <c r="B910" t="s">
        <v>734</v>
      </c>
      <c r="C910" t="s">
        <v>1315</v>
      </c>
      <c r="D910" t="s">
        <v>1316</v>
      </c>
      <c r="E910" s="465">
        <v>46163</v>
      </c>
      <c r="F910" s="465">
        <v>46168</v>
      </c>
      <c r="G910" t="s">
        <v>833</v>
      </c>
      <c r="H910" t="s">
        <v>349</v>
      </c>
      <c r="I910" t="s">
        <v>1317</v>
      </c>
      <c r="J910">
        <v>-7588</v>
      </c>
      <c r="K910">
        <v>-7588</v>
      </c>
      <c r="O910" t="s">
        <v>738</v>
      </c>
      <c r="P910" t="s">
        <v>927</v>
      </c>
      <c r="Q910" t="s">
        <v>461</v>
      </c>
      <c r="R910">
        <v>0</v>
      </c>
    </row>
    <row r="911" spans="1:18" x14ac:dyDescent="0.3">
      <c r="A911">
        <v>233196</v>
      </c>
      <c r="B911" t="s">
        <v>734</v>
      </c>
      <c r="C911" t="s">
        <v>824</v>
      </c>
      <c r="E911" s="465">
        <v>46162</v>
      </c>
      <c r="F911" s="465">
        <v>46162</v>
      </c>
      <c r="G911" t="s">
        <v>825</v>
      </c>
      <c r="H911" t="s">
        <v>826</v>
      </c>
      <c r="I911" t="s">
        <v>1318</v>
      </c>
      <c r="J911">
        <v>-2</v>
      </c>
      <c r="K911">
        <v>-2</v>
      </c>
      <c r="O911" t="s">
        <v>738</v>
      </c>
      <c r="P911" t="s">
        <v>860</v>
      </c>
      <c r="Q911" t="s">
        <v>461</v>
      </c>
      <c r="R911">
        <v>0</v>
      </c>
    </row>
    <row r="912" spans="1:18" x14ac:dyDescent="0.3">
      <c r="A912">
        <v>234876</v>
      </c>
      <c r="B912" t="s">
        <v>734</v>
      </c>
      <c r="C912" t="s">
        <v>1319</v>
      </c>
      <c r="D912" t="s">
        <v>1320</v>
      </c>
      <c r="E912" s="465">
        <v>46162</v>
      </c>
      <c r="F912" s="465">
        <v>46197</v>
      </c>
      <c r="G912" t="s">
        <v>833</v>
      </c>
      <c r="H912" t="s">
        <v>349</v>
      </c>
      <c r="I912" t="s">
        <v>1321</v>
      </c>
      <c r="J912">
        <v>-1097.6199999999999</v>
      </c>
      <c r="K912">
        <v>-1097.6199999999999</v>
      </c>
      <c r="O912" t="s">
        <v>738</v>
      </c>
      <c r="P912" t="s">
        <v>860</v>
      </c>
      <c r="Q912" t="s">
        <v>461</v>
      </c>
      <c r="R912">
        <v>0</v>
      </c>
    </row>
    <row r="913" spans="1:18" x14ac:dyDescent="0.3">
      <c r="A913">
        <v>233487</v>
      </c>
      <c r="B913" t="s">
        <v>734</v>
      </c>
      <c r="C913" t="s">
        <v>824</v>
      </c>
      <c r="E913" s="465">
        <v>46161</v>
      </c>
      <c r="F913" s="465">
        <v>46161</v>
      </c>
      <c r="G913" t="s">
        <v>825</v>
      </c>
      <c r="H913" t="s">
        <v>826</v>
      </c>
      <c r="I913" t="s">
        <v>1318</v>
      </c>
      <c r="J913">
        <v>-1</v>
      </c>
      <c r="K913">
        <v>-1</v>
      </c>
      <c r="O913" t="s">
        <v>738</v>
      </c>
      <c r="P913" t="s">
        <v>860</v>
      </c>
      <c r="Q913" t="s">
        <v>461</v>
      </c>
      <c r="R913">
        <v>0</v>
      </c>
    </row>
    <row r="914" spans="1:18" x14ac:dyDescent="0.3">
      <c r="A914">
        <v>232643</v>
      </c>
      <c r="B914" t="s">
        <v>734</v>
      </c>
      <c r="C914" t="s">
        <v>1322</v>
      </c>
      <c r="D914" t="s">
        <v>1323</v>
      </c>
      <c r="E914" s="465">
        <v>46161</v>
      </c>
      <c r="F914" s="465">
        <v>46179</v>
      </c>
      <c r="G914" t="s">
        <v>833</v>
      </c>
      <c r="H914" t="s">
        <v>350</v>
      </c>
      <c r="I914" t="s">
        <v>1324</v>
      </c>
      <c r="J914">
        <v>-1468.12</v>
      </c>
      <c r="K914">
        <v>-1468.12</v>
      </c>
      <c r="O914" t="s">
        <v>738</v>
      </c>
      <c r="P914" t="s">
        <v>860</v>
      </c>
      <c r="Q914" t="s">
        <v>461</v>
      </c>
      <c r="R914">
        <v>0</v>
      </c>
    </row>
    <row r="915" spans="1:18" x14ac:dyDescent="0.3">
      <c r="A915">
        <v>232488</v>
      </c>
      <c r="B915" t="s">
        <v>734</v>
      </c>
      <c r="C915" t="s">
        <v>824</v>
      </c>
      <c r="E915" s="465">
        <v>46160</v>
      </c>
      <c r="F915" s="465">
        <v>46160</v>
      </c>
      <c r="G915" t="s">
        <v>825</v>
      </c>
      <c r="H915" t="s">
        <v>826</v>
      </c>
      <c r="I915" t="s">
        <v>1318</v>
      </c>
      <c r="J915">
        <v>-1</v>
      </c>
      <c r="K915">
        <v>-1</v>
      </c>
      <c r="O915" t="s">
        <v>738</v>
      </c>
      <c r="P915" t="s">
        <v>860</v>
      </c>
      <c r="Q915" t="s">
        <v>461</v>
      </c>
      <c r="R915">
        <v>0</v>
      </c>
    </row>
    <row r="916" spans="1:18" x14ac:dyDescent="0.3">
      <c r="A916">
        <v>232492</v>
      </c>
      <c r="B916" t="s">
        <v>734</v>
      </c>
      <c r="C916" t="s">
        <v>824</v>
      </c>
      <c r="E916" s="465">
        <v>46160</v>
      </c>
      <c r="F916" s="465">
        <v>46160</v>
      </c>
      <c r="G916" t="s">
        <v>825</v>
      </c>
      <c r="H916" t="s">
        <v>826</v>
      </c>
      <c r="I916" t="s">
        <v>1318</v>
      </c>
      <c r="J916">
        <v>-6.5</v>
      </c>
      <c r="K916">
        <v>-6.5</v>
      </c>
      <c r="O916" t="s">
        <v>738</v>
      </c>
      <c r="P916" t="s">
        <v>860</v>
      </c>
      <c r="Q916" t="s">
        <v>461</v>
      </c>
      <c r="R916">
        <v>0</v>
      </c>
    </row>
    <row r="917" spans="1:18" x14ac:dyDescent="0.3">
      <c r="A917">
        <v>231863</v>
      </c>
      <c r="B917" t="s">
        <v>734</v>
      </c>
      <c r="C917" t="s">
        <v>1325</v>
      </c>
      <c r="D917" t="s">
        <v>736</v>
      </c>
      <c r="E917" s="465">
        <v>46157</v>
      </c>
      <c r="F917" s="465">
        <v>46160</v>
      </c>
      <c r="G917" t="s">
        <v>833</v>
      </c>
      <c r="H917" t="s">
        <v>350</v>
      </c>
      <c r="I917" t="s">
        <v>1326</v>
      </c>
      <c r="J917">
        <v>-14000</v>
      </c>
      <c r="K917">
        <v>-14000</v>
      </c>
      <c r="O917" t="s">
        <v>738</v>
      </c>
      <c r="Q917" t="s">
        <v>461</v>
      </c>
      <c r="R917">
        <v>0</v>
      </c>
    </row>
    <row r="918" spans="1:18" x14ac:dyDescent="0.3">
      <c r="A918">
        <v>232033</v>
      </c>
      <c r="B918" t="s">
        <v>734</v>
      </c>
      <c r="C918" t="s">
        <v>1134</v>
      </c>
      <c r="D918" t="s">
        <v>1327</v>
      </c>
      <c r="E918" s="465">
        <v>46157</v>
      </c>
      <c r="F918" s="465">
        <v>46177</v>
      </c>
      <c r="G918" t="s">
        <v>833</v>
      </c>
      <c r="H918" t="s">
        <v>352</v>
      </c>
      <c r="J918">
        <v>-10000</v>
      </c>
      <c r="K918">
        <v>-10000</v>
      </c>
      <c r="O918" t="s">
        <v>738</v>
      </c>
      <c r="Q918" t="s">
        <v>461</v>
      </c>
      <c r="R918">
        <v>0</v>
      </c>
    </row>
    <row r="919" spans="1:18" x14ac:dyDescent="0.3">
      <c r="A919">
        <v>232286</v>
      </c>
      <c r="B919" t="s">
        <v>734</v>
      </c>
      <c r="C919" t="s">
        <v>824</v>
      </c>
      <c r="E919" s="465">
        <v>46157</v>
      </c>
      <c r="F919" s="465">
        <v>46157</v>
      </c>
      <c r="G919" t="s">
        <v>825</v>
      </c>
      <c r="H919" t="s">
        <v>826</v>
      </c>
      <c r="I919" t="s">
        <v>1318</v>
      </c>
      <c r="J919">
        <v>-1.5</v>
      </c>
      <c r="K919">
        <v>-1.5</v>
      </c>
      <c r="O919" t="s">
        <v>738</v>
      </c>
      <c r="P919" t="s">
        <v>860</v>
      </c>
      <c r="Q919" t="s">
        <v>461</v>
      </c>
      <c r="R919">
        <v>0</v>
      </c>
    </row>
    <row r="920" spans="1:18" x14ac:dyDescent="0.3">
      <c r="A920">
        <v>232026</v>
      </c>
      <c r="B920" t="s">
        <v>734</v>
      </c>
      <c r="C920" t="s">
        <v>883</v>
      </c>
      <c r="D920" t="s">
        <v>1328</v>
      </c>
      <c r="E920" s="465">
        <v>46157</v>
      </c>
      <c r="F920" s="465">
        <v>46171</v>
      </c>
      <c r="G920" t="s">
        <v>833</v>
      </c>
      <c r="H920" t="s">
        <v>348</v>
      </c>
      <c r="I920" t="s">
        <v>1138</v>
      </c>
      <c r="J920">
        <v>-4800</v>
      </c>
      <c r="K920">
        <v>-4800</v>
      </c>
      <c r="O920" t="s">
        <v>738</v>
      </c>
      <c r="P920" t="s">
        <v>860</v>
      </c>
      <c r="Q920" t="s">
        <v>461</v>
      </c>
      <c r="R920">
        <v>0</v>
      </c>
    </row>
    <row r="921" spans="1:18" x14ac:dyDescent="0.3">
      <c r="A921">
        <v>231764</v>
      </c>
      <c r="B921" t="s">
        <v>734</v>
      </c>
      <c r="C921" t="s">
        <v>1329</v>
      </c>
      <c r="D921" t="s">
        <v>1330</v>
      </c>
      <c r="E921" s="465">
        <v>46156</v>
      </c>
      <c r="F921" s="465">
        <v>46164</v>
      </c>
      <c r="G921" t="s">
        <v>833</v>
      </c>
      <c r="H921" t="s">
        <v>349</v>
      </c>
      <c r="I921" t="s">
        <v>1331</v>
      </c>
      <c r="J921">
        <v>-9000</v>
      </c>
      <c r="K921">
        <v>-9000</v>
      </c>
      <c r="O921" t="s">
        <v>738</v>
      </c>
      <c r="Q921" t="s">
        <v>461</v>
      </c>
      <c r="R921">
        <v>0</v>
      </c>
    </row>
    <row r="922" spans="1:18" x14ac:dyDescent="0.3">
      <c r="A922">
        <v>231763</v>
      </c>
      <c r="B922" t="s">
        <v>734</v>
      </c>
      <c r="C922" t="s">
        <v>1332</v>
      </c>
      <c r="D922" t="s">
        <v>736</v>
      </c>
      <c r="E922" s="465">
        <v>46156</v>
      </c>
      <c r="F922" s="465">
        <v>46160</v>
      </c>
      <c r="G922" t="s">
        <v>833</v>
      </c>
      <c r="H922" t="s">
        <v>350</v>
      </c>
      <c r="I922" t="s">
        <v>1333</v>
      </c>
      <c r="J922">
        <v>-7838.5</v>
      </c>
      <c r="K922">
        <v>-7838.5</v>
      </c>
      <c r="O922" t="s">
        <v>738</v>
      </c>
      <c r="P922" t="s">
        <v>860</v>
      </c>
      <c r="Q922" t="s">
        <v>461</v>
      </c>
      <c r="R922">
        <v>0</v>
      </c>
    </row>
    <row r="923" spans="1:18" x14ac:dyDescent="0.3">
      <c r="A923">
        <v>231760</v>
      </c>
      <c r="B923" t="s">
        <v>734</v>
      </c>
      <c r="C923" t="s">
        <v>1334</v>
      </c>
      <c r="D923" t="s">
        <v>1335</v>
      </c>
      <c r="E923" s="465">
        <v>46156</v>
      </c>
      <c r="F923" s="465">
        <v>46161</v>
      </c>
      <c r="G923" t="s">
        <v>833</v>
      </c>
      <c r="H923" t="s">
        <v>350</v>
      </c>
      <c r="I923" t="s">
        <v>1336</v>
      </c>
      <c r="J923">
        <v>-41771.4</v>
      </c>
      <c r="K923">
        <v>-41771.4</v>
      </c>
      <c r="O923" t="s">
        <v>738</v>
      </c>
      <c r="P923" t="s">
        <v>860</v>
      </c>
      <c r="Q923" t="s">
        <v>461</v>
      </c>
      <c r="R923">
        <v>0</v>
      </c>
    </row>
    <row r="924" spans="1:18" x14ac:dyDescent="0.3">
      <c r="A924">
        <v>231782</v>
      </c>
      <c r="B924" t="s">
        <v>734</v>
      </c>
      <c r="C924" t="s">
        <v>824</v>
      </c>
      <c r="E924" s="465">
        <v>46156</v>
      </c>
      <c r="F924" s="465">
        <v>46156</v>
      </c>
      <c r="G924" t="s">
        <v>825</v>
      </c>
      <c r="H924" t="s">
        <v>826</v>
      </c>
      <c r="I924" t="s">
        <v>1318</v>
      </c>
      <c r="J924">
        <v>-2.5</v>
      </c>
      <c r="K924">
        <v>-2.5</v>
      </c>
      <c r="O924" t="s">
        <v>738</v>
      </c>
      <c r="P924" t="s">
        <v>860</v>
      </c>
      <c r="Q924" t="s">
        <v>461</v>
      </c>
      <c r="R924">
        <v>0</v>
      </c>
    </row>
    <row r="925" spans="1:18" x14ac:dyDescent="0.3">
      <c r="A925">
        <v>231420</v>
      </c>
      <c r="B925" t="s">
        <v>734</v>
      </c>
      <c r="C925" t="s">
        <v>1337</v>
      </c>
      <c r="D925" t="s">
        <v>1338</v>
      </c>
      <c r="E925" s="465">
        <v>46156</v>
      </c>
      <c r="F925" s="465">
        <v>46180</v>
      </c>
      <c r="G925" t="s">
        <v>833</v>
      </c>
      <c r="H925" t="s">
        <v>348</v>
      </c>
      <c r="J925">
        <v>-11204</v>
      </c>
      <c r="K925">
        <v>-11204</v>
      </c>
      <c r="O925" t="s">
        <v>738</v>
      </c>
      <c r="P925" t="s">
        <v>860</v>
      </c>
      <c r="Q925" t="s">
        <v>461</v>
      </c>
      <c r="R925">
        <v>0</v>
      </c>
    </row>
    <row r="926" spans="1:18" x14ac:dyDescent="0.3">
      <c r="A926">
        <v>231396</v>
      </c>
      <c r="B926" t="s">
        <v>734</v>
      </c>
      <c r="C926" t="s">
        <v>824</v>
      </c>
      <c r="E926" s="465">
        <v>46155</v>
      </c>
      <c r="F926" s="465">
        <v>46155</v>
      </c>
      <c r="G926" t="s">
        <v>825</v>
      </c>
      <c r="H926" t="s">
        <v>826</v>
      </c>
      <c r="I926" t="s">
        <v>1318</v>
      </c>
      <c r="J926">
        <v>-0.5</v>
      </c>
      <c r="K926">
        <v>-0.5</v>
      </c>
      <c r="O926" t="s">
        <v>738</v>
      </c>
      <c r="P926" t="s">
        <v>860</v>
      </c>
      <c r="Q926" t="s">
        <v>461</v>
      </c>
      <c r="R926">
        <v>0</v>
      </c>
    </row>
    <row r="927" spans="1:18" x14ac:dyDescent="0.3">
      <c r="A927">
        <v>231084</v>
      </c>
      <c r="B927" t="s">
        <v>734</v>
      </c>
      <c r="C927" t="s">
        <v>1339</v>
      </c>
      <c r="D927" t="s">
        <v>1340</v>
      </c>
      <c r="E927" s="465">
        <v>46154</v>
      </c>
      <c r="F927" s="465">
        <v>46174</v>
      </c>
      <c r="G927" t="s">
        <v>833</v>
      </c>
      <c r="H927" t="s">
        <v>348</v>
      </c>
      <c r="I927" t="s">
        <v>1341</v>
      </c>
      <c r="J927">
        <v>-22000</v>
      </c>
      <c r="K927">
        <v>-22000</v>
      </c>
      <c r="O927" t="s">
        <v>738</v>
      </c>
      <c r="P927" t="s">
        <v>860</v>
      </c>
      <c r="Q927" t="s">
        <v>461</v>
      </c>
      <c r="R927">
        <v>0</v>
      </c>
    </row>
    <row r="928" spans="1:18" x14ac:dyDescent="0.3">
      <c r="A928">
        <v>231003</v>
      </c>
      <c r="B928" t="s">
        <v>734</v>
      </c>
      <c r="C928" t="s">
        <v>889</v>
      </c>
      <c r="D928" t="s">
        <v>1342</v>
      </c>
      <c r="E928" s="465">
        <v>46154</v>
      </c>
      <c r="F928" s="465">
        <v>46157</v>
      </c>
      <c r="G928" t="s">
        <v>295</v>
      </c>
      <c r="H928" t="s">
        <v>306</v>
      </c>
      <c r="I928" t="s">
        <v>1343</v>
      </c>
      <c r="J928">
        <v>-378.55</v>
      </c>
      <c r="K928">
        <v>0</v>
      </c>
      <c r="O928" t="s">
        <v>738</v>
      </c>
      <c r="P928" t="s">
        <v>860</v>
      </c>
      <c r="Q928" t="s">
        <v>461</v>
      </c>
      <c r="R928">
        <v>0</v>
      </c>
    </row>
    <row r="929" spans="1:18" x14ac:dyDescent="0.3">
      <c r="A929">
        <v>231031</v>
      </c>
      <c r="B929" t="s">
        <v>734</v>
      </c>
      <c r="C929" t="s">
        <v>889</v>
      </c>
      <c r="D929" t="s">
        <v>1344</v>
      </c>
      <c r="E929" s="465">
        <v>46154</v>
      </c>
      <c r="F929" s="465">
        <v>46157</v>
      </c>
      <c r="G929" t="s">
        <v>295</v>
      </c>
      <c r="H929" t="s">
        <v>306</v>
      </c>
      <c r="I929" t="s">
        <v>1343</v>
      </c>
      <c r="J929">
        <v>-89.74</v>
      </c>
      <c r="K929">
        <v>0</v>
      </c>
      <c r="O929" t="s">
        <v>738</v>
      </c>
      <c r="P929" t="s">
        <v>860</v>
      </c>
      <c r="Q929" t="s">
        <v>461</v>
      </c>
      <c r="R929">
        <v>0</v>
      </c>
    </row>
    <row r="930" spans="1:18" x14ac:dyDescent="0.3">
      <c r="A930">
        <v>231049</v>
      </c>
      <c r="B930" t="s">
        <v>734</v>
      </c>
      <c r="C930" t="s">
        <v>875</v>
      </c>
      <c r="D930" t="s">
        <v>873</v>
      </c>
      <c r="E930" s="465">
        <v>46154</v>
      </c>
      <c r="F930" s="465">
        <v>46167</v>
      </c>
      <c r="G930" t="s">
        <v>278</v>
      </c>
      <c r="H930" t="s">
        <v>279</v>
      </c>
      <c r="I930" t="s">
        <v>1345</v>
      </c>
      <c r="J930">
        <v>-39.99</v>
      </c>
      <c r="K930">
        <v>0</v>
      </c>
      <c r="O930" t="s">
        <v>738</v>
      </c>
      <c r="P930" t="s">
        <v>860</v>
      </c>
      <c r="Q930" t="s">
        <v>461</v>
      </c>
      <c r="R930">
        <v>0</v>
      </c>
    </row>
    <row r="931" spans="1:18" x14ac:dyDescent="0.3">
      <c r="A931">
        <v>231060</v>
      </c>
      <c r="B931" t="s">
        <v>734</v>
      </c>
      <c r="C931" t="s">
        <v>1337</v>
      </c>
      <c r="D931" t="s">
        <v>1346</v>
      </c>
      <c r="E931" s="465">
        <v>46154</v>
      </c>
      <c r="F931" s="465">
        <v>46155</v>
      </c>
      <c r="G931" t="s">
        <v>833</v>
      </c>
      <c r="H931" t="s">
        <v>348</v>
      </c>
      <c r="I931" t="s">
        <v>1347</v>
      </c>
      <c r="J931">
        <v>-25530</v>
      </c>
      <c r="K931">
        <v>-25530</v>
      </c>
      <c r="O931" t="s">
        <v>738</v>
      </c>
      <c r="Q931" t="s">
        <v>461</v>
      </c>
      <c r="R931">
        <v>0</v>
      </c>
    </row>
    <row r="932" spans="1:18" x14ac:dyDescent="0.3">
      <c r="A932">
        <v>231062</v>
      </c>
      <c r="B932" t="s">
        <v>734</v>
      </c>
      <c r="C932" t="s">
        <v>857</v>
      </c>
      <c r="D932" t="s">
        <v>1348</v>
      </c>
      <c r="E932" s="465">
        <v>46154</v>
      </c>
      <c r="F932" s="465">
        <v>46184</v>
      </c>
      <c r="G932" t="s">
        <v>833</v>
      </c>
      <c r="H932" t="s">
        <v>348</v>
      </c>
      <c r="I932" t="s">
        <v>859</v>
      </c>
      <c r="J932">
        <v>-44877.599999999999</v>
      </c>
      <c r="K932">
        <v>-44877.599999999999</v>
      </c>
      <c r="O932" t="s">
        <v>738</v>
      </c>
      <c r="P932" t="s">
        <v>860</v>
      </c>
      <c r="Q932" t="s">
        <v>461</v>
      </c>
      <c r="R932">
        <v>0</v>
      </c>
    </row>
    <row r="933" spans="1:18" x14ac:dyDescent="0.3">
      <c r="A933">
        <v>231066</v>
      </c>
      <c r="B933" t="s">
        <v>734</v>
      </c>
      <c r="C933" t="s">
        <v>948</v>
      </c>
      <c r="D933" t="s">
        <v>1349</v>
      </c>
      <c r="E933" s="465">
        <v>46154</v>
      </c>
      <c r="F933" s="465">
        <v>46156</v>
      </c>
      <c r="G933" t="s">
        <v>833</v>
      </c>
      <c r="H933" t="s">
        <v>349</v>
      </c>
      <c r="I933" t="s">
        <v>1350</v>
      </c>
      <c r="J933">
        <v>-2400</v>
      </c>
      <c r="K933">
        <v>-2400</v>
      </c>
      <c r="O933" t="s">
        <v>738</v>
      </c>
      <c r="P933" t="s">
        <v>860</v>
      </c>
      <c r="Q933" t="s">
        <v>461</v>
      </c>
      <c r="R933">
        <v>0</v>
      </c>
    </row>
    <row r="934" spans="1:18" x14ac:dyDescent="0.3">
      <c r="A934">
        <v>231070</v>
      </c>
      <c r="B934" t="s">
        <v>734</v>
      </c>
      <c r="C934" t="s">
        <v>901</v>
      </c>
      <c r="D934" t="s">
        <v>902</v>
      </c>
      <c r="E934" s="465">
        <v>46154</v>
      </c>
      <c r="F934" s="465">
        <v>46170</v>
      </c>
      <c r="G934" t="s">
        <v>833</v>
      </c>
      <c r="H934" t="s">
        <v>349</v>
      </c>
      <c r="I934" t="s">
        <v>1351</v>
      </c>
      <c r="J934">
        <v>-17155.87</v>
      </c>
      <c r="K934">
        <v>-17155.87</v>
      </c>
      <c r="O934" t="s">
        <v>738</v>
      </c>
      <c r="P934" t="s">
        <v>860</v>
      </c>
      <c r="Q934" t="s">
        <v>461</v>
      </c>
      <c r="R934">
        <v>0</v>
      </c>
    </row>
    <row r="935" spans="1:18" x14ac:dyDescent="0.3">
      <c r="A935">
        <v>231074</v>
      </c>
      <c r="B935" t="s">
        <v>734</v>
      </c>
      <c r="C935" t="s">
        <v>898</v>
      </c>
      <c r="D935" t="s">
        <v>899</v>
      </c>
      <c r="E935" s="465">
        <v>46154</v>
      </c>
      <c r="F935" s="465">
        <v>46175</v>
      </c>
      <c r="G935" t="s">
        <v>833</v>
      </c>
      <c r="H935" t="s">
        <v>348</v>
      </c>
      <c r="I935" t="s">
        <v>900</v>
      </c>
      <c r="J935">
        <v>-3954.4</v>
      </c>
      <c r="K935">
        <v>-3954.4</v>
      </c>
      <c r="O935" t="s">
        <v>738</v>
      </c>
      <c r="P935" t="s">
        <v>860</v>
      </c>
      <c r="Q935" t="s">
        <v>461</v>
      </c>
      <c r="R935">
        <v>0</v>
      </c>
    </row>
    <row r="936" spans="1:18" x14ac:dyDescent="0.3">
      <c r="A936">
        <v>230866</v>
      </c>
      <c r="B936" t="s">
        <v>734</v>
      </c>
      <c r="C936" t="s">
        <v>824</v>
      </c>
      <c r="E936" s="465">
        <v>46153</v>
      </c>
      <c r="F936" s="465">
        <v>46153</v>
      </c>
      <c r="G936" t="s">
        <v>825</v>
      </c>
      <c r="H936" t="s">
        <v>826</v>
      </c>
      <c r="I936" t="s">
        <v>1352</v>
      </c>
      <c r="J936">
        <v>-2.5</v>
      </c>
      <c r="K936">
        <v>-2.5</v>
      </c>
      <c r="O936" t="s">
        <v>738</v>
      </c>
      <c r="P936" t="s">
        <v>860</v>
      </c>
      <c r="Q936" t="s">
        <v>461</v>
      </c>
      <c r="R936">
        <v>0</v>
      </c>
    </row>
    <row r="937" spans="1:18" x14ac:dyDescent="0.3">
      <c r="A937">
        <v>147603</v>
      </c>
      <c r="B937" t="s">
        <v>734</v>
      </c>
      <c r="C937" t="s">
        <v>735</v>
      </c>
      <c r="D937" t="s">
        <v>1353</v>
      </c>
      <c r="E937" s="465">
        <v>46152</v>
      </c>
      <c r="F937" s="465">
        <v>46192</v>
      </c>
      <c r="G937" t="s">
        <v>255</v>
      </c>
      <c r="H937" t="s">
        <v>256</v>
      </c>
      <c r="I937" t="s">
        <v>1354</v>
      </c>
      <c r="J937">
        <v>-140000</v>
      </c>
      <c r="K937">
        <v>-140000</v>
      </c>
      <c r="O937" t="s">
        <v>738</v>
      </c>
      <c r="P937" t="s">
        <v>860</v>
      </c>
      <c r="Q937" t="s">
        <v>461</v>
      </c>
      <c r="R937">
        <v>0</v>
      </c>
    </row>
    <row r="938" spans="1:18" x14ac:dyDescent="0.3">
      <c r="A938">
        <v>237539</v>
      </c>
      <c r="B938" t="s">
        <v>734</v>
      </c>
      <c r="C938" t="s">
        <v>1355</v>
      </c>
      <c r="D938" t="s">
        <v>1356</v>
      </c>
      <c r="E938" s="465">
        <v>46151</v>
      </c>
      <c r="F938" s="465">
        <v>46196</v>
      </c>
      <c r="G938" t="s">
        <v>307</v>
      </c>
      <c r="H938" t="s">
        <v>309</v>
      </c>
      <c r="I938" t="s">
        <v>1357</v>
      </c>
      <c r="J938">
        <v>-1500</v>
      </c>
      <c r="K938">
        <v>-1500</v>
      </c>
      <c r="O938" t="s">
        <v>738</v>
      </c>
      <c r="P938" t="s">
        <v>860</v>
      </c>
      <c r="Q938" t="s">
        <v>461</v>
      </c>
      <c r="R938">
        <v>0</v>
      </c>
    </row>
    <row r="939" spans="1:18" x14ac:dyDescent="0.3">
      <c r="A939">
        <v>223343</v>
      </c>
      <c r="B939" t="s">
        <v>734</v>
      </c>
      <c r="C939" t="s">
        <v>843</v>
      </c>
      <c r="D939" t="s">
        <v>844</v>
      </c>
      <c r="E939" s="465">
        <v>46150</v>
      </c>
      <c r="F939" s="465">
        <v>46193</v>
      </c>
      <c r="G939" t="s">
        <v>833</v>
      </c>
      <c r="H939" t="s">
        <v>363</v>
      </c>
      <c r="I939" t="s">
        <v>845</v>
      </c>
      <c r="J939">
        <v>-4159.12</v>
      </c>
      <c r="K939">
        <v>-4159.12</v>
      </c>
      <c r="O939" t="s">
        <v>738</v>
      </c>
      <c r="P939" t="s">
        <v>860</v>
      </c>
      <c r="Q939" t="s">
        <v>461</v>
      </c>
      <c r="R939">
        <v>0</v>
      </c>
    </row>
    <row r="940" spans="1:18" x14ac:dyDescent="0.3">
      <c r="A940">
        <v>230286</v>
      </c>
      <c r="B940" t="s">
        <v>734</v>
      </c>
      <c r="C940" t="s">
        <v>1358</v>
      </c>
      <c r="D940" t="s">
        <v>1359</v>
      </c>
      <c r="E940" s="465">
        <v>46149</v>
      </c>
      <c r="F940" s="465">
        <v>46160</v>
      </c>
      <c r="G940" t="s">
        <v>833</v>
      </c>
      <c r="H940" t="s">
        <v>351</v>
      </c>
      <c r="I940" t="s">
        <v>1360</v>
      </c>
      <c r="J940">
        <v>-43638</v>
      </c>
      <c r="K940">
        <v>-43638</v>
      </c>
      <c r="O940" t="s">
        <v>738</v>
      </c>
      <c r="Q940" t="s">
        <v>461</v>
      </c>
      <c r="R940">
        <v>0</v>
      </c>
    </row>
    <row r="941" spans="1:18" x14ac:dyDescent="0.3">
      <c r="A941">
        <v>230374</v>
      </c>
      <c r="B941" t="s">
        <v>734</v>
      </c>
      <c r="C941" t="s">
        <v>824</v>
      </c>
      <c r="E941" s="465">
        <v>46149</v>
      </c>
      <c r="F941" s="465">
        <v>46149</v>
      </c>
      <c r="G941" t="s">
        <v>825</v>
      </c>
      <c r="H941" t="s">
        <v>826</v>
      </c>
      <c r="I941" t="s">
        <v>1361</v>
      </c>
      <c r="J941">
        <v>-2</v>
      </c>
      <c r="K941">
        <v>-2</v>
      </c>
      <c r="O941" t="s">
        <v>738</v>
      </c>
      <c r="P941" t="s">
        <v>860</v>
      </c>
      <c r="Q941" t="s">
        <v>461</v>
      </c>
      <c r="R941">
        <v>0</v>
      </c>
    </row>
    <row r="942" spans="1:18" x14ac:dyDescent="0.3">
      <c r="A942">
        <v>230372</v>
      </c>
      <c r="B942" t="s">
        <v>734</v>
      </c>
      <c r="C942" t="s">
        <v>824</v>
      </c>
      <c r="E942" s="465">
        <v>46149</v>
      </c>
      <c r="F942" s="465">
        <v>46149</v>
      </c>
      <c r="G942" t="s">
        <v>825</v>
      </c>
      <c r="H942" t="s">
        <v>826</v>
      </c>
      <c r="I942" t="s">
        <v>1318</v>
      </c>
      <c r="J942">
        <v>-1.5</v>
      </c>
      <c r="K942">
        <v>-1.5</v>
      </c>
      <c r="O942" t="s">
        <v>738</v>
      </c>
      <c r="P942" t="s">
        <v>860</v>
      </c>
      <c r="Q942" t="s">
        <v>461</v>
      </c>
      <c r="R942">
        <v>0</v>
      </c>
    </row>
    <row r="943" spans="1:18" x14ac:dyDescent="0.3">
      <c r="A943">
        <v>230276</v>
      </c>
      <c r="B943" t="s">
        <v>734</v>
      </c>
      <c r="C943" t="s">
        <v>1362</v>
      </c>
      <c r="D943" t="s">
        <v>1363</v>
      </c>
      <c r="E943" s="465">
        <v>46149</v>
      </c>
      <c r="F943" s="465">
        <v>46156</v>
      </c>
      <c r="G943" t="s">
        <v>833</v>
      </c>
      <c r="H943" t="s">
        <v>348</v>
      </c>
      <c r="I943" t="s">
        <v>1364</v>
      </c>
      <c r="J943">
        <v>-22300</v>
      </c>
      <c r="K943">
        <v>-22300</v>
      </c>
      <c r="O943" t="s">
        <v>738</v>
      </c>
      <c r="P943" t="s">
        <v>860</v>
      </c>
      <c r="Q943" t="s">
        <v>461</v>
      </c>
      <c r="R943">
        <v>0</v>
      </c>
    </row>
    <row r="944" spans="1:18" x14ac:dyDescent="0.3">
      <c r="A944">
        <v>230270</v>
      </c>
      <c r="B944" t="s">
        <v>734</v>
      </c>
      <c r="C944" t="s">
        <v>1365</v>
      </c>
      <c r="D944" t="s">
        <v>1366</v>
      </c>
      <c r="E944" s="465">
        <v>46149</v>
      </c>
      <c r="F944" s="465">
        <v>46150</v>
      </c>
      <c r="G944" t="s">
        <v>833</v>
      </c>
      <c r="H944" t="s">
        <v>348</v>
      </c>
      <c r="I944" t="s">
        <v>1367</v>
      </c>
      <c r="J944">
        <v>-17848</v>
      </c>
      <c r="K944">
        <v>-17848</v>
      </c>
      <c r="O944" t="s">
        <v>738</v>
      </c>
      <c r="P944" t="s">
        <v>927</v>
      </c>
      <c r="Q944" t="s">
        <v>461</v>
      </c>
      <c r="R944">
        <v>0</v>
      </c>
    </row>
    <row r="945" spans="1:18" x14ac:dyDescent="0.3">
      <c r="A945">
        <v>229957</v>
      </c>
      <c r="B945" t="s">
        <v>734</v>
      </c>
      <c r="C945" t="s">
        <v>883</v>
      </c>
      <c r="D945" t="s">
        <v>1368</v>
      </c>
      <c r="E945" s="465">
        <v>46149</v>
      </c>
      <c r="F945" s="465">
        <v>46163</v>
      </c>
      <c r="G945" t="s">
        <v>833</v>
      </c>
      <c r="H945" t="s">
        <v>348</v>
      </c>
      <c r="I945" t="s">
        <v>1369</v>
      </c>
      <c r="J945">
        <v>-14700</v>
      </c>
      <c r="K945">
        <v>-14700</v>
      </c>
      <c r="O945" t="s">
        <v>738</v>
      </c>
      <c r="P945" t="s">
        <v>927</v>
      </c>
      <c r="Q945" t="s">
        <v>461</v>
      </c>
      <c r="R945">
        <v>0</v>
      </c>
    </row>
    <row r="946" spans="1:18" x14ac:dyDescent="0.3">
      <c r="A946">
        <v>230556</v>
      </c>
      <c r="B946" t="s">
        <v>734</v>
      </c>
      <c r="C946" t="s">
        <v>824</v>
      </c>
      <c r="E946" s="465">
        <v>46148</v>
      </c>
      <c r="F946" s="465">
        <v>46148</v>
      </c>
      <c r="G946" t="s">
        <v>825</v>
      </c>
      <c r="H946" t="s">
        <v>826</v>
      </c>
      <c r="I946" t="s">
        <v>1318</v>
      </c>
      <c r="J946">
        <v>-0.5</v>
      </c>
      <c r="K946">
        <v>-0.5</v>
      </c>
      <c r="O946" t="s">
        <v>738</v>
      </c>
      <c r="P946" t="s">
        <v>860</v>
      </c>
      <c r="Q946" t="s">
        <v>461</v>
      </c>
      <c r="R946">
        <v>0</v>
      </c>
    </row>
    <row r="947" spans="1:18" x14ac:dyDescent="0.3">
      <c r="A947">
        <v>229101</v>
      </c>
      <c r="B947" t="s">
        <v>734</v>
      </c>
      <c r="C947" t="s">
        <v>824</v>
      </c>
      <c r="E947" s="465">
        <v>46147</v>
      </c>
      <c r="F947" s="465">
        <v>46147</v>
      </c>
      <c r="G947" t="s">
        <v>825</v>
      </c>
      <c r="H947" t="s">
        <v>826</v>
      </c>
      <c r="I947" t="s">
        <v>1318</v>
      </c>
      <c r="J947">
        <v>-0.5</v>
      </c>
      <c r="K947">
        <v>-0.5</v>
      </c>
      <c r="O947" t="s">
        <v>738</v>
      </c>
      <c r="P947" t="s">
        <v>860</v>
      </c>
      <c r="Q947" t="s">
        <v>461</v>
      </c>
      <c r="R947">
        <v>0</v>
      </c>
    </row>
    <row r="948" spans="1:18" x14ac:dyDescent="0.3">
      <c r="A948">
        <v>228730</v>
      </c>
      <c r="B948" t="s">
        <v>734</v>
      </c>
      <c r="C948" t="s">
        <v>824</v>
      </c>
      <c r="E948" s="465">
        <v>46146</v>
      </c>
      <c r="F948" s="465">
        <v>46146</v>
      </c>
      <c r="G948" t="s">
        <v>825</v>
      </c>
      <c r="H948" t="s">
        <v>826</v>
      </c>
      <c r="I948" t="s">
        <v>1318</v>
      </c>
      <c r="J948">
        <v>-2</v>
      </c>
      <c r="K948">
        <v>-2</v>
      </c>
      <c r="O948" t="s">
        <v>738</v>
      </c>
      <c r="P948" t="s">
        <v>860</v>
      </c>
      <c r="Q948" t="s">
        <v>461</v>
      </c>
      <c r="R948">
        <v>0</v>
      </c>
    </row>
    <row r="949" spans="1:18" x14ac:dyDescent="0.3">
      <c r="A949">
        <v>228291</v>
      </c>
      <c r="B949" t="s">
        <v>734</v>
      </c>
      <c r="C949" t="s">
        <v>1370</v>
      </c>
      <c r="D949" t="s">
        <v>1371</v>
      </c>
      <c r="E949" s="465">
        <v>46145</v>
      </c>
      <c r="F949" s="465">
        <v>46147</v>
      </c>
      <c r="G949" t="s">
        <v>833</v>
      </c>
      <c r="H949" t="s">
        <v>351</v>
      </c>
      <c r="I949" t="s">
        <v>1372</v>
      </c>
      <c r="J949">
        <v>-4500</v>
      </c>
      <c r="K949">
        <v>-4500</v>
      </c>
      <c r="O949" t="s">
        <v>738</v>
      </c>
      <c r="P949" t="s">
        <v>860</v>
      </c>
      <c r="Q949" t="s">
        <v>461</v>
      </c>
      <c r="R949">
        <v>0</v>
      </c>
    </row>
    <row r="950" spans="1:18" x14ac:dyDescent="0.3">
      <c r="A950">
        <v>221361</v>
      </c>
      <c r="B950" t="s">
        <v>734</v>
      </c>
      <c r="C950" t="s">
        <v>883</v>
      </c>
      <c r="D950" t="s">
        <v>1373</v>
      </c>
      <c r="E950" s="465">
        <v>46144</v>
      </c>
      <c r="F950" s="465">
        <v>46158</v>
      </c>
      <c r="G950" t="s">
        <v>833</v>
      </c>
      <c r="H950" t="s">
        <v>348</v>
      </c>
      <c r="I950" t="s">
        <v>1374</v>
      </c>
      <c r="J950">
        <v>-3125</v>
      </c>
      <c r="K950">
        <v>-3125</v>
      </c>
      <c r="O950" t="s">
        <v>738</v>
      </c>
      <c r="P950" t="s">
        <v>860</v>
      </c>
      <c r="Q950" t="s">
        <v>461</v>
      </c>
      <c r="R950">
        <v>0</v>
      </c>
    </row>
    <row r="951" spans="1:18" x14ac:dyDescent="0.3">
      <c r="A951">
        <v>221582</v>
      </c>
      <c r="B951" t="s">
        <v>734</v>
      </c>
      <c r="C951" t="s">
        <v>1134</v>
      </c>
      <c r="D951" t="s">
        <v>736</v>
      </c>
      <c r="E951" s="465">
        <v>46144</v>
      </c>
      <c r="F951" s="465">
        <v>46162</v>
      </c>
      <c r="G951" t="s">
        <v>833</v>
      </c>
      <c r="H951" t="s">
        <v>349</v>
      </c>
      <c r="I951" t="s">
        <v>1375</v>
      </c>
      <c r="J951">
        <v>-89600</v>
      </c>
      <c r="K951">
        <v>-89600</v>
      </c>
      <c r="O951" t="s">
        <v>738</v>
      </c>
      <c r="Q951" t="s">
        <v>461</v>
      </c>
      <c r="R951">
        <v>0</v>
      </c>
    </row>
    <row r="952" spans="1:18" x14ac:dyDescent="0.3">
      <c r="A952">
        <v>231822</v>
      </c>
      <c r="B952" t="s">
        <v>734</v>
      </c>
      <c r="C952" t="s">
        <v>1008</v>
      </c>
      <c r="D952" t="s">
        <v>1376</v>
      </c>
      <c r="E952" s="465">
        <v>46143</v>
      </c>
      <c r="F952" s="465">
        <v>46160</v>
      </c>
      <c r="G952" t="s">
        <v>784</v>
      </c>
      <c r="H952" t="s">
        <v>238</v>
      </c>
      <c r="I952" t="s">
        <v>1377</v>
      </c>
      <c r="J952">
        <v>-131.32</v>
      </c>
      <c r="K952">
        <v>-131.32</v>
      </c>
      <c r="O952" t="s">
        <v>738</v>
      </c>
      <c r="P952" t="s">
        <v>860</v>
      </c>
      <c r="Q952" t="s">
        <v>461</v>
      </c>
      <c r="R952">
        <v>0</v>
      </c>
    </row>
    <row r="953" spans="1:18" x14ac:dyDescent="0.3">
      <c r="A953">
        <v>231824</v>
      </c>
      <c r="B953" t="s">
        <v>734</v>
      </c>
      <c r="C953" t="s">
        <v>1378</v>
      </c>
      <c r="D953" t="s">
        <v>1379</v>
      </c>
      <c r="E953" s="465">
        <v>46143</v>
      </c>
      <c r="F953" s="465">
        <v>46161</v>
      </c>
      <c r="G953" t="s">
        <v>784</v>
      </c>
      <c r="H953" t="s">
        <v>238</v>
      </c>
      <c r="I953" t="s">
        <v>1380</v>
      </c>
      <c r="J953">
        <v>-75.599999999999994</v>
      </c>
      <c r="K953">
        <v>-75.599999999999994</v>
      </c>
      <c r="O953" t="s">
        <v>738</v>
      </c>
      <c r="P953" t="s">
        <v>860</v>
      </c>
      <c r="Q953" t="s">
        <v>461</v>
      </c>
      <c r="R953">
        <v>0</v>
      </c>
    </row>
    <row r="954" spans="1:18" x14ac:dyDescent="0.3">
      <c r="A954">
        <v>231826</v>
      </c>
      <c r="B954" t="s">
        <v>734</v>
      </c>
      <c r="C954" t="s">
        <v>1090</v>
      </c>
      <c r="D954" t="s">
        <v>1376</v>
      </c>
      <c r="E954" s="465">
        <v>46143</v>
      </c>
      <c r="F954" s="465">
        <v>46162</v>
      </c>
      <c r="G954" t="s">
        <v>784</v>
      </c>
      <c r="H954" t="s">
        <v>238</v>
      </c>
      <c r="I954" t="s">
        <v>1380</v>
      </c>
      <c r="J954">
        <v>-131.32</v>
      </c>
      <c r="K954">
        <v>-131.32</v>
      </c>
      <c r="O954" t="s">
        <v>738</v>
      </c>
      <c r="P954" t="s">
        <v>860</v>
      </c>
      <c r="Q954" t="s">
        <v>461</v>
      </c>
      <c r="R954">
        <v>0</v>
      </c>
    </row>
    <row r="955" spans="1:18" x14ac:dyDescent="0.3">
      <c r="A955">
        <v>231836</v>
      </c>
      <c r="B955" t="s">
        <v>734</v>
      </c>
      <c r="C955" t="s">
        <v>969</v>
      </c>
      <c r="D955" t="s">
        <v>1381</v>
      </c>
      <c r="E955" s="465">
        <v>46143</v>
      </c>
      <c r="F955" s="465">
        <v>46160</v>
      </c>
      <c r="G955" t="s">
        <v>784</v>
      </c>
      <c r="H955" t="s">
        <v>238</v>
      </c>
      <c r="I955" t="s">
        <v>1377</v>
      </c>
      <c r="J955">
        <v>-74.2</v>
      </c>
      <c r="K955">
        <v>-74.2</v>
      </c>
      <c r="O955" t="s">
        <v>738</v>
      </c>
      <c r="P955" t="s">
        <v>860</v>
      </c>
      <c r="Q955" t="s">
        <v>461</v>
      </c>
      <c r="R955">
        <v>0</v>
      </c>
    </row>
    <row r="956" spans="1:18" x14ac:dyDescent="0.3">
      <c r="A956">
        <v>231827</v>
      </c>
      <c r="B956" t="s">
        <v>734</v>
      </c>
      <c r="C956" t="s">
        <v>957</v>
      </c>
      <c r="D956" t="s">
        <v>1382</v>
      </c>
      <c r="E956" s="465">
        <v>46143</v>
      </c>
      <c r="F956" s="465">
        <v>46160</v>
      </c>
      <c r="G956" t="s">
        <v>784</v>
      </c>
      <c r="H956" t="s">
        <v>238</v>
      </c>
      <c r="I956" t="s">
        <v>1380</v>
      </c>
      <c r="J956">
        <v>-75.599999999999994</v>
      </c>
      <c r="K956">
        <v>-75.599999999999994</v>
      </c>
      <c r="O956" t="s">
        <v>738</v>
      </c>
      <c r="P956" t="s">
        <v>860</v>
      </c>
      <c r="Q956" t="s">
        <v>461</v>
      </c>
      <c r="R956">
        <v>0</v>
      </c>
    </row>
    <row r="957" spans="1:18" x14ac:dyDescent="0.3">
      <c r="A957">
        <v>235593</v>
      </c>
      <c r="B957" t="s">
        <v>734</v>
      </c>
      <c r="C957" t="s">
        <v>808</v>
      </c>
      <c r="D957" t="s">
        <v>1383</v>
      </c>
      <c r="E957" s="465">
        <v>46143</v>
      </c>
      <c r="F957" s="465">
        <v>46188</v>
      </c>
      <c r="G957" t="s">
        <v>792</v>
      </c>
      <c r="H957" t="s">
        <v>793</v>
      </c>
      <c r="I957" t="s">
        <v>1384</v>
      </c>
      <c r="J957">
        <v>-980</v>
      </c>
      <c r="K957">
        <v>-980</v>
      </c>
      <c r="O957" t="s">
        <v>738</v>
      </c>
      <c r="P957" t="s">
        <v>860</v>
      </c>
      <c r="Q957" t="s">
        <v>461</v>
      </c>
      <c r="R957">
        <v>0</v>
      </c>
    </row>
    <row r="958" spans="1:18" x14ac:dyDescent="0.3">
      <c r="A958">
        <v>231821</v>
      </c>
      <c r="B958" t="s">
        <v>734</v>
      </c>
      <c r="C958" t="s">
        <v>783</v>
      </c>
      <c r="D958" t="s">
        <v>1385</v>
      </c>
      <c r="E958" s="465">
        <v>46143</v>
      </c>
      <c r="F958" s="465">
        <v>46162</v>
      </c>
      <c r="G958" t="s">
        <v>784</v>
      </c>
      <c r="H958" t="s">
        <v>238</v>
      </c>
      <c r="I958" t="s">
        <v>1386</v>
      </c>
      <c r="J958">
        <v>-1925.32</v>
      </c>
      <c r="K958">
        <v>-1925.32</v>
      </c>
      <c r="O958" t="s">
        <v>738</v>
      </c>
      <c r="P958" t="s">
        <v>860</v>
      </c>
      <c r="Q958" t="s">
        <v>461</v>
      </c>
      <c r="R958">
        <v>0</v>
      </c>
    </row>
    <row r="959" spans="1:18" x14ac:dyDescent="0.3">
      <c r="A959">
        <v>231673</v>
      </c>
      <c r="B959" t="s">
        <v>734</v>
      </c>
      <c r="C959" t="s">
        <v>952</v>
      </c>
      <c r="D959" t="s">
        <v>1387</v>
      </c>
      <c r="E959" s="465">
        <v>46143</v>
      </c>
      <c r="F959" s="465">
        <v>46160</v>
      </c>
      <c r="G959" t="s">
        <v>784</v>
      </c>
      <c r="H959" t="s">
        <v>238</v>
      </c>
      <c r="I959" t="s">
        <v>1377</v>
      </c>
      <c r="J959">
        <v>-131.32</v>
      </c>
      <c r="K959">
        <v>-131.32</v>
      </c>
      <c r="O959" t="s">
        <v>738</v>
      </c>
      <c r="P959" t="s">
        <v>860</v>
      </c>
      <c r="Q959" t="s">
        <v>461</v>
      </c>
      <c r="R959">
        <v>0</v>
      </c>
    </row>
    <row r="960" spans="1:18" x14ac:dyDescent="0.3">
      <c r="A960">
        <v>230531</v>
      </c>
      <c r="B960" t="s">
        <v>734</v>
      </c>
      <c r="C960" t="s">
        <v>824</v>
      </c>
      <c r="D960" t="s">
        <v>1388</v>
      </c>
      <c r="E960" s="465">
        <v>46143</v>
      </c>
      <c r="F960" s="465">
        <v>46160</v>
      </c>
      <c r="G960" t="s">
        <v>825</v>
      </c>
      <c r="H960" t="s">
        <v>826</v>
      </c>
      <c r="J960">
        <v>-400</v>
      </c>
      <c r="K960">
        <v>-400</v>
      </c>
      <c r="O960" t="s">
        <v>738</v>
      </c>
      <c r="P960" t="s">
        <v>860</v>
      </c>
      <c r="Q960" t="s">
        <v>461</v>
      </c>
      <c r="R960">
        <v>0</v>
      </c>
    </row>
    <row r="961" spans="1:18" x14ac:dyDescent="0.3">
      <c r="A961">
        <v>230519</v>
      </c>
      <c r="B961" t="s">
        <v>734</v>
      </c>
      <c r="C961" t="s">
        <v>824</v>
      </c>
      <c r="D961" t="s">
        <v>1389</v>
      </c>
      <c r="E961" s="465">
        <v>46143</v>
      </c>
      <c r="F961" s="465">
        <v>46160</v>
      </c>
      <c r="G961" t="s">
        <v>825</v>
      </c>
      <c r="H961" t="s">
        <v>826</v>
      </c>
      <c r="J961">
        <v>-700</v>
      </c>
      <c r="K961">
        <v>-700</v>
      </c>
      <c r="O961" t="s">
        <v>738</v>
      </c>
      <c r="P961" t="s">
        <v>860</v>
      </c>
      <c r="Q961" t="s">
        <v>461</v>
      </c>
      <c r="R961">
        <v>0</v>
      </c>
    </row>
    <row r="962" spans="1:18" x14ac:dyDescent="0.3">
      <c r="A962">
        <v>227297</v>
      </c>
      <c r="B962" t="s">
        <v>734</v>
      </c>
      <c r="C962" t="s">
        <v>827</v>
      </c>
      <c r="D962" t="s">
        <v>1390</v>
      </c>
      <c r="E962" s="465">
        <v>46143</v>
      </c>
      <c r="F962" s="465">
        <v>46188</v>
      </c>
      <c r="G962" t="s">
        <v>792</v>
      </c>
      <c r="H962" t="s">
        <v>793</v>
      </c>
      <c r="I962" t="s">
        <v>828</v>
      </c>
      <c r="J962">
        <v>-2000</v>
      </c>
      <c r="K962">
        <v>-2000</v>
      </c>
      <c r="O962" t="s">
        <v>738</v>
      </c>
      <c r="P962" t="s">
        <v>860</v>
      </c>
      <c r="Q962" t="s">
        <v>461</v>
      </c>
      <c r="R962">
        <v>0</v>
      </c>
    </row>
    <row r="963" spans="1:18" x14ac:dyDescent="0.3">
      <c r="A963">
        <v>227285</v>
      </c>
      <c r="B963" t="s">
        <v>734</v>
      </c>
      <c r="C963" t="s">
        <v>827</v>
      </c>
      <c r="D963" t="s">
        <v>1390</v>
      </c>
      <c r="E963" s="465">
        <v>46143</v>
      </c>
      <c r="F963" s="465">
        <v>46174</v>
      </c>
      <c r="G963" t="s">
        <v>792</v>
      </c>
      <c r="H963" t="s">
        <v>793</v>
      </c>
      <c r="I963" t="s">
        <v>829</v>
      </c>
      <c r="J963">
        <v>-2000</v>
      </c>
      <c r="K963">
        <v>-2000</v>
      </c>
      <c r="O963" t="s">
        <v>738</v>
      </c>
      <c r="P963" t="s">
        <v>860</v>
      </c>
      <c r="Q963" t="s">
        <v>461</v>
      </c>
      <c r="R963">
        <v>0</v>
      </c>
    </row>
    <row r="964" spans="1:18" x14ac:dyDescent="0.3">
      <c r="A964">
        <v>224316</v>
      </c>
      <c r="B964" t="s">
        <v>734</v>
      </c>
      <c r="C964" t="s">
        <v>814</v>
      </c>
      <c r="D964" t="s">
        <v>1391</v>
      </c>
      <c r="E964" s="465">
        <v>46143</v>
      </c>
      <c r="F964" s="465">
        <v>46152</v>
      </c>
      <c r="G964" t="s">
        <v>307</v>
      </c>
      <c r="H964" t="s">
        <v>312</v>
      </c>
      <c r="J964">
        <v>-2100</v>
      </c>
      <c r="K964">
        <v>-2100</v>
      </c>
      <c r="O964" t="s">
        <v>738</v>
      </c>
      <c r="P964" t="s">
        <v>860</v>
      </c>
      <c r="Q964" t="s">
        <v>461</v>
      </c>
      <c r="R964">
        <v>0</v>
      </c>
    </row>
    <row r="965" spans="1:18" x14ac:dyDescent="0.3">
      <c r="A965">
        <v>188672</v>
      </c>
      <c r="B965" t="s">
        <v>734</v>
      </c>
      <c r="C965" t="s">
        <v>963</v>
      </c>
      <c r="D965" t="s">
        <v>1208</v>
      </c>
      <c r="E965" s="465">
        <v>46143</v>
      </c>
      <c r="F965" s="465">
        <v>46157</v>
      </c>
      <c r="G965" t="s">
        <v>833</v>
      </c>
      <c r="H965" t="s">
        <v>349</v>
      </c>
      <c r="I965" t="s">
        <v>1392</v>
      </c>
      <c r="J965">
        <v>-17045</v>
      </c>
      <c r="K965">
        <v>-17045</v>
      </c>
      <c r="O965" t="s">
        <v>738</v>
      </c>
      <c r="P965" t="s">
        <v>860</v>
      </c>
      <c r="Q965" t="s">
        <v>461</v>
      </c>
      <c r="R965">
        <v>0</v>
      </c>
    </row>
    <row r="966" spans="1:18" x14ac:dyDescent="0.3">
      <c r="A966">
        <v>200014</v>
      </c>
      <c r="B966" t="s">
        <v>734</v>
      </c>
      <c r="C966" t="s">
        <v>855</v>
      </c>
      <c r="D966" t="s">
        <v>1393</v>
      </c>
      <c r="E966" s="465">
        <v>46143</v>
      </c>
      <c r="F966" s="465">
        <v>46188</v>
      </c>
      <c r="G966" t="s">
        <v>307</v>
      </c>
      <c r="H966" t="s">
        <v>313</v>
      </c>
      <c r="I966" t="s">
        <v>850</v>
      </c>
      <c r="J966">
        <v>-10000</v>
      </c>
      <c r="K966">
        <v>-10000</v>
      </c>
      <c r="O966" t="s">
        <v>738</v>
      </c>
      <c r="P966" t="s">
        <v>860</v>
      </c>
      <c r="Q966" t="s">
        <v>461</v>
      </c>
      <c r="R966">
        <v>0</v>
      </c>
    </row>
    <row r="967" spans="1:18" x14ac:dyDescent="0.3">
      <c r="A967">
        <v>221411</v>
      </c>
      <c r="B967" t="s">
        <v>734</v>
      </c>
      <c r="C967" t="s">
        <v>1102</v>
      </c>
      <c r="D967" t="s">
        <v>873</v>
      </c>
      <c r="E967" s="465">
        <v>46143</v>
      </c>
      <c r="F967" s="465">
        <v>46174</v>
      </c>
      <c r="G967" t="s">
        <v>792</v>
      </c>
      <c r="H967" t="s">
        <v>793</v>
      </c>
      <c r="I967" t="s">
        <v>1394</v>
      </c>
      <c r="J967">
        <v>-2000</v>
      </c>
      <c r="K967">
        <v>-2000</v>
      </c>
      <c r="M967" t="s">
        <v>1103</v>
      </c>
      <c r="N967" t="s">
        <v>134</v>
      </c>
      <c r="O967" t="s">
        <v>738</v>
      </c>
      <c r="P967" t="s">
        <v>860</v>
      </c>
      <c r="Q967" t="s">
        <v>461</v>
      </c>
      <c r="R967">
        <v>0</v>
      </c>
    </row>
    <row r="968" spans="1:18" x14ac:dyDescent="0.3">
      <c r="A968">
        <v>221396</v>
      </c>
      <c r="B968" t="s">
        <v>734</v>
      </c>
      <c r="C968" t="s">
        <v>1102</v>
      </c>
      <c r="D968" t="s">
        <v>873</v>
      </c>
      <c r="E968" s="465">
        <v>46143</v>
      </c>
      <c r="F968" s="465">
        <v>46188</v>
      </c>
      <c r="G968" t="s">
        <v>792</v>
      </c>
      <c r="H968" t="s">
        <v>793</v>
      </c>
      <c r="I968" t="s">
        <v>1395</v>
      </c>
      <c r="J968">
        <v>-2000</v>
      </c>
      <c r="K968">
        <v>-2000</v>
      </c>
      <c r="M968" t="s">
        <v>1103</v>
      </c>
      <c r="N968" t="s">
        <v>134</v>
      </c>
      <c r="O968" t="s">
        <v>738</v>
      </c>
      <c r="P968" t="s">
        <v>860</v>
      </c>
      <c r="Q968" t="s">
        <v>461</v>
      </c>
      <c r="R968">
        <v>0</v>
      </c>
    </row>
    <row r="969" spans="1:18" x14ac:dyDescent="0.3">
      <c r="A969">
        <v>233395</v>
      </c>
      <c r="B969" t="s">
        <v>734</v>
      </c>
      <c r="C969" t="s">
        <v>1232</v>
      </c>
      <c r="D969" t="s">
        <v>1396</v>
      </c>
      <c r="E969" s="465">
        <v>46143</v>
      </c>
      <c r="F969" s="465">
        <v>46169</v>
      </c>
      <c r="G969" t="s">
        <v>784</v>
      </c>
      <c r="H969" t="s">
        <v>238</v>
      </c>
      <c r="I969" t="s">
        <v>1397</v>
      </c>
      <c r="J969">
        <v>-118.8</v>
      </c>
      <c r="K969">
        <v>-118.8</v>
      </c>
      <c r="O969" t="s">
        <v>738</v>
      </c>
      <c r="P969" t="s">
        <v>860</v>
      </c>
      <c r="Q969" t="s">
        <v>461</v>
      </c>
      <c r="R969">
        <v>0</v>
      </c>
    </row>
    <row r="970" spans="1:18" x14ac:dyDescent="0.3">
      <c r="A970">
        <v>232481</v>
      </c>
      <c r="B970" t="s">
        <v>734</v>
      </c>
      <c r="C970" t="s">
        <v>816</v>
      </c>
      <c r="D970" t="s">
        <v>1010</v>
      </c>
      <c r="E970" s="465">
        <v>46143</v>
      </c>
      <c r="F970" s="465">
        <v>46198</v>
      </c>
      <c r="G970" t="s">
        <v>1094</v>
      </c>
      <c r="H970" t="s">
        <v>112</v>
      </c>
      <c r="I970" t="s">
        <v>1398</v>
      </c>
      <c r="J970">
        <v>-500</v>
      </c>
      <c r="K970">
        <v>-500</v>
      </c>
      <c r="O970" t="s">
        <v>738</v>
      </c>
      <c r="P970" t="s">
        <v>860</v>
      </c>
      <c r="Q970" t="s">
        <v>461</v>
      </c>
      <c r="R970">
        <v>0</v>
      </c>
    </row>
    <row r="971" spans="1:18" x14ac:dyDescent="0.3">
      <c r="A971">
        <v>233334</v>
      </c>
      <c r="B971" t="s">
        <v>734</v>
      </c>
      <c r="C971" t="s">
        <v>827</v>
      </c>
      <c r="D971" t="s">
        <v>1399</v>
      </c>
      <c r="E971" s="465">
        <v>46143</v>
      </c>
      <c r="F971" s="465">
        <v>46167</v>
      </c>
      <c r="G971" t="s">
        <v>1094</v>
      </c>
      <c r="H971" t="s">
        <v>112</v>
      </c>
      <c r="I971" t="s">
        <v>1400</v>
      </c>
      <c r="J971">
        <v>-1500</v>
      </c>
      <c r="K971">
        <v>-1500</v>
      </c>
      <c r="O971" t="s">
        <v>738</v>
      </c>
      <c r="P971" t="s">
        <v>860</v>
      </c>
      <c r="Q971" t="s">
        <v>461</v>
      </c>
      <c r="R971">
        <v>0</v>
      </c>
    </row>
    <row r="972" spans="1:18" x14ac:dyDescent="0.3">
      <c r="A972">
        <v>233335</v>
      </c>
      <c r="B972" t="s">
        <v>734</v>
      </c>
      <c r="C972" t="s">
        <v>1102</v>
      </c>
      <c r="D972" t="s">
        <v>1401</v>
      </c>
      <c r="E972" s="465">
        <v>46143</v>
      </c>
      <c r="F972" s="465">
        <v>46167</v>
      </c>
      <c r="G972" t="s">
        <v>1094</v>
      </c>
      <c r="H972" t="s">
        <v>112</v>
      </c>
      <c r="I972" t="s">
        <v>1400</v>
      </c>
      <c r="J972">
        <v>-1500</v>
      </c>
      <c r="K972">
        <v>-1500</v>
      </c>
      <c r="M972" t="s">
        <v>1103</v>
      </c>
      <c r="N972" t="s">
        <v>134</v>
      </c>
      <c r="O972" t="s">
        <v>738</v>
      </c>
      <c r="P972" t="s">
        <v>860</v>
      </c>
      <c r="Q972" t="s">
        <v>461</v>
      </c>
      <c r="R972">
        <v>0</v>
      </c>
    </row>
    <row r="973" spans="1:18" x14ac:dyDescent="0.3">
      <c r="A973">
        <v>233350</v>
      </c>
      <c r="B973" t="s">
        <v>734</v>
      </c>
      <c r="C973" t="s">
        <v>1055</v>
      </c>
      <c r="D973" t="s">
        <v>1402</v>
      </c>
      <c r="E973" s="465">
        <v>46143</v>
      </c>
      <c r="F973" s="465">
        <v>46164</v>
      </c>
      <c r="G973" t="s">
        <v>784</v>
      </c>
      <c r="H973" t="s">
        <v>238</v>
      </c>
      <c r="I973" t="s">
        <v>1403</v>
      </c>
      <c r="J973">
        <v>-225.12</v>
      </c>
      <c r="K973">
        <v>-225.12</v>
      </c>
      <c r="O973" t="s">
        <v>738</v>
      </c>
      <c r="P973" t="s">
        <v>860</v>
      </c>
      <c r="Q973" t="s">
        <v>461</v>
      </c>
      <c r="R973">
        <v>0</v>
      </c>
    </row>
    <row r="974" spans="1:18" x14ac:dyDescent="0.3">
      <c r="A974">
        <v>233351</v>
      </c>
      <c r="B974" t="s">
        <v>734</v>
      </c>
      <c r="C974" t="s">
        <v>987</v>
      </c>
      <c r="D974" t="s">
        <v>1402</v>
      </c>
      <c r="E974" s="465">
        <v>46143</v>
      </c>
      <c r="F974" s="465">
        <v>46164</v>
      </c>
      <c r="G974" t="s">
        <v>784</v>
      </c>
      <c r="H974" t="s">
        <v>238</v>
      </c>
      <c r="I974" t="s">
        <v>1404</v>
      </c>
      <c r="J974">
        <v>-225.12</v>
      </c>
      <c r="K974">
        <v>-225.12</v>
      </c>
      <c r="O974" t="s">
        <v>738</v>
      </c>
      <c r="P974" t="s">
        <v>860</v>
      </c>
      <c r="Q974" t="s">
        <v>461</v>
      </c>
      <c r="R974">
        <v>0</v>
      </c>
    </row>
    <row r="975" spans="1:18" x14ac:dyDescent="0.3">
      <c r="A975">
        <v>233386</v>
      </c>
      <c r="B975" t="s">
        <v>734</v>
      </c>
      <c r="C975" t="s">
        <v>956</v>
      </c>
      <c r="D975" t="s">
        <v>1402</v>
      </c>
      <c r="E975" s="465">
        <v>46143</v>
      </c>
      <c r="F975" s="465">
        <v>46164</v>
      </c>
      <c r="G975" t="s">
        <v>784</v>
      </c>
      <c r="H975" t="s">
        <v>238</v>
      </c>
      <c r="I975" t="s">
        <v>1405</v>
      </c>
      <c r="J975">
        <v>-225.12</v>
      </c>
      <c r="K975">
        <v>-225.12</v>
      </c>
      <c r="O975" t="s">
        <v>738</v>
      </c>
      <c r="P975" t="s">
        <v>860</v>
      </c>
      <c r="Q975" t="s">
        <v>461</v>
      </c>
      <c r="R975">
        <v>0</v>
      </c>
    </row>
    <row r="976" spans="1:18" x14ac:dyDescent="0.3">
      <c r="A976">
        <v>233387</v>
      </c>
      <c r="B976" t="s">
        <v>734</v>
      </c>
      <c r="C976" t="s">
        <v>1023</v>
      </c>
      <c r="D976" t="s">
        <v>1402</v>
      </c>
      <c r="E976" s="465">
        <v>46143</v>
      </c>
      <c r="F976" s="465">
        <v>46164</v>
      </c>
      <c r="G976" t="s">
        <v>784</v>
      </c>
      <c r="H976" t="s">
        <v>238</v>
      </c>
      <c r="I976" t="s">
        <v>1406</v>
      </c>
      <c r="J976">
        <v>-225.12</v>
      </c>
      <c r="K976">
        <v>-225.12</v>
      </c>
      <c r="O976" t="s">
        <v>738</v>
      </c>
      <c r="P976" t="s">
        <v>860</v>
      </c>
      <c r="Q976" t="s">
        <v>461</v>
      </c>
      <c r="R976">
        <v>0</v>
      </c>
    </row>
    <row r="977" spans="1:18" x14ac:dyDescent="0.3">
      <c r="A977">
        <v>233388</v>
      </c>
      <c r="B977" t="s">
        <v>734</v>
      </c>
      <c r="C977" t="s">
        <v>1407</v>
      </c>
      <c r="D977" t="s">
        <v>1402</v>
      </c>
      <c r="E977" s="465">
        <v>46143</v>
      </c>
      <c r="F977" s="465">
        <v>46164</v>
      </c>
      <c r="G977" t="s">
        <v>784</v>
      </c>
      <c r="H977" t="s">
        <v>238</v>
      </c>
      <c r="I977" t="s">
        <v>1408</v>
      </c>
      <c r="J977">
        <v>-225.12</v>
      </c>
      <c r="K977">
        <v>-225.12</v>
      </c>
      <c r="O977" t="s">
        <v>738</v>
      </c>
      <c r="P977" t="s">
        <v>860</v>
      </c>
      <c r="Q977" t="s">
        <v>461</v>
      </c>
      <c r="R977">
        <v>0</v>
      </c>
    </row>
    <row r="978" spans="1:18" x14ac:dyDescent="0.3">
      <c r="A978">
        <v>233389</v>
      </c>
      <c r="B978" t="s">
        <v>734</v>
      </c>
      <c r="C978" t="s">
        <v>1041</v>
      </c>
      <c r="D978" t="s">
        <v>1409</v>
      </c>
      <c r="E978" s="465">
        <v>46143</v>
      </c>
      <c r="F978" s="465">
        <v>46168</v>
      </c>
      <c r="G978" t="s">
        <v>784</v>
      </c>
      <c r="H978" t="s">
        <v>238</v>
      </c>
      <c r="I978" t="s">
        <v>1380</v>
      </c>
      <c r="J978">
        <v>-116.6</v>
      </c>
      <c r="K978">
        <v>-116.6</v>
      </c>
      <c r="O978" t="s">
        <v>738</v>
      </c>
      <c r="P978" t="s">
        <v>860</v>
      </c>
      <c r="Q978" t="s">
        <v>461</v>
      </c>
      <c r="R978">
        <v>0</v>
      </c>
    </row>
    <row r="979" spans="1:18" x14ac:dyDescent="0.3">
      <c r="A979">
        <v>233391</v>
      </c>
      <c r="B979" t="s">
        <v>734</v>
      </c>
      <c r="C979" t="s">
        <v>976</v>
      </c>
      <c r="D979" t="s">
        <v>1402</v>
      </c>
      <c r="E979" s="465">
        <v>46143</v>
      </c>
      <c r="F979" s="465">
        <v>46168</v>
      </c>
      <c r="G979" t="s">
        <v>784</v>
      </c>
      <c r="H979" t="s">
        <v>238</v>
      </c>
      <c r="I979" t="s">
        <v>1397</v>
      </c>
      <c r="J979">
        <v>-225.12</v>
      </c>
      <c r="K979">
        <v>-225.12</v>
      </c>
      <c r="O979" t="s">
        <v>738</v>
      </c>
      <c r="P979" t="s">
        <v>860</v>
      </c>
      <c r="Q979" t="s">
        <v>461</v>
      </c>
      <c r="R979">
        <v>0</v>
      </c>
    </row>
    <row r="980" spans="1:18" x14ac:dyDescent="0.3">
      <c r="A980">
        <v>233393</v>
      </c>
      <c r="B980" t="s">
        <v>734</v>
      </c>
      <c r="C980" t="s">
        <v>1410</v>
      </c>
      <c r="D980" t="s">
        <v>1411</v>
      </c>
      <c r="E980" s="465">
        <v>46143</v>
      </c>
      <c r="F980" s="465">
        <v>46169</v>
      </c>
      <c r="G980" t="s">
        <v>784</v>
      </c>
      <c r="H980" t="s">
        <v>238</v>
      </c>
      <c r="I980" t="s">
        <v>1412</v>
      </c>
      <c r="J980">
        <v>-225.12</v>
      </c>
      <c r="K980">
        <v>-225.12</v>
      </c>
      <c r="O980" t="s">
        <v>738</v>
      </c>
      <c r="P980" t="s">
        <v>860</v>
      </c>
      <c r="Q980" t="s">
        <v>461</v>
      </c>
      <c r="R980">
        <v>0</v>
      </c>
    </row>
    <row r="981" spans="1:18" x14ac:dyDescent="0.3">
      <c r="A981">
        <v>233394</v>
      </c>
      <c r="B981" t="s">
        <v>734</v>
      </c>
      <c r="C981" t="s">
        <v>1087</v>
      </c>
      <c r="D981" t="s">
        <v>1413</v>
      </c>
      <c r="E981" s="465">
        <v>46143</v>
      </c>
      <c r="F981" s="465">
        <v>46169</v>
      </c>
      <c r="G981" t="s">
        <v>784</v>
      </c>
      <c r="H981" t="s">
        <v>238</v>
      </c>
      <c r="I981" t="s">
        <v>1380</v>
      </c>
      <c r="J981">
        <v>-206.36</v>
      </c>
      <c r="K981">
        <v>-206.36</v>
      </c>
      <c r="O981" t="s">
        <v>738</v>
      </c>
      <c r="P981" t="s">
        <v>860</v>
      </c>
      <c r="Q981" t="s">
        <v>461</v>
      </c>
      <c r="R981">
        <v>0</v>
      </c>
    </row>
    <row r="982" spans="1:18" x14ac:dyDescent="0.3">
      <c r="A982">
        <v>231843</v>
      </c>
      <c r="B982" t="s">
        <v>734</v>
      </c>
      <c r="C982" t="s">
        <v>1040</v>
      </c>
      <c r="D982" t="s">
        <v>1414</v>
      </c>
      <c r="E982" s="465">
        <v>46143</v>
      </c>
      <c r="F982" s="465">
        <v>46163</v>
      </c>
      <c r="G982" t="s">
        <v>784</v>
      </c>
      <c r="H982" t="s">
        <v>238</v>
      </c>
      <c r="I982" t="s">
        <v>1380</v>
      </c>
      <c r="J982">
        <v>-414.2</v>
      </c>
      <c r="K982">
        <v>-414.2</v>
      </c>
      <c r="O982" t="s">
        <v>738</v>
      </c>
      <c r="P982" t="s">
        <v>860</v>
      </c>
      <c r="Q982" t="s">
        <v>461</v>
      </c>
      <c r="R982">
        <v>0</v>
      </c>
    </row>
    <row r="983" spans="1:18" x14ac:dyDescent="0.3">
      <c r="A983">
        <v>233447</v>
      </c>
      <c r="B983" t="s">
        <v>734</v>
      </c>
      <c r="C983" t="s">
        <v>982</v>
      </c>
      <c r="E983" s="465">
        <v>46143</v>
      </c>
      <c r="F983" s="465">
        <v>46162</v>
      </c>
      <c r="G983" t="s">
        <v>787</v>
      </c>
      <c r="H983" t="s">
        <v>788</v>
      </c>
      <c r="J983">
        <v>-944.02</v>
      </c>
      <c r="K983">
        <v>-944.02</v>
      </c>
      <c r="O983" t="s">
        <v>738</v>
      </c>
      <c r="P983" t="s">
        <v>860</v>
      </c>
      <c r="Q983" t="s">
        <v>461</v>
      </c>
      <c r="R983">
        <v>0</v>
      </c>
    </row>
    <row r="984" spans="1:18" x14ac:dyDescent="0.3">
      <c r="A984">
        <v>233499</v>
      </c>
      <c r="B984" t="s">
        <v>734</v>
      </c>
      <c r="C984" t="s">
        <v>955</v>
      </c>
      <c r="D984" t="s">
        <v>1415</v>
      </c>
      <c r="E984" s="465">
        <v>46143</v>
      </c>
      <c r="F984" s="465">
        <v>46164</v>
      </c>
      <c r="G984" t="s">
        <v>784</v>
      </c>
      <c r="H984" t="s">
        <v>238</v>
      </c>
      <c r="I984" t="s">
        <v>1416</v>
      </c>
      <c r="J984">
        <v>-337.68</v>
      </c>
      <c r="K984">
        <v>-337.68</v>
      </c>
      <c r="O984" t="s">
        <v>738</v>
      </c>
      <c r="P984" t="s">
        <v>860</v>
      </c>
      <c r="Q984" t="s">
        <v>461</v>
      </c>
      <c r="R984">
        <v>0</v>
      </c>
    </row>
    <row r="985" spans="1:18" x14ac:dyDescent="0.3">
      <c r="A985">
        <v>233532</v>
      </c>
      <c r="B985" t="s">
        <v>734</v>
      </c>
      <c r="C985" t="s">
        <v>973</v>
      </c>
      <c r="D985" t="s">
        <v>1417</v>
      </c>
      <c r="E985" s="465">
        <v>46143</v>
      </c>
      <c r="F985" s="465">
        <v>46169</v>
      </c>
      <c r="G985" t="s">
        <v>784</v>
      </c>
      <c r="H985" t="s">
        <v>238</v>
      </c>
      <c r="I985" t="s">
        <v>1418</v>
      </c>
      <c r="J985">
        <v>-97.2</v>
      </c>
      <c r="K985">
        <v>-97.2</v>
      </c>
      <c r="O985" t="s">
        <v>738</v>
      </c>
      <c r="P985" t="s">
        <v>860</v>
      </c>
      <c r="Q985" t="s">
        <v>461</v>
      </c>
      <c r="R985">
        <v>0</v>
      </c>
    </row>
    <row r="986" spans="1:18" x14ac:dyDescent="0.3">
      <c r="A986">
        <v>233533</v>
      </c>
      <c r="B986" t="s">
        <v>734</v>
      </c>
      <c r="C986" t="s">
        <v>1419</v>
      </c>
      <c r="D986" t="s">
        <v>1420</v>
      </c>
      <c r="E986" s="465">
        <v>46143</v>
      </c>
      <c r="F986" s="465">
        <v>46164</v>
      </c>
      <c r="G986" t="s">
        <v>784</v>
      </c>
      <c r="H986" t="s">
        <v>238</v>
      </c>
      <c r="I986" t="s">
        <v>1421</v>
      </c>
      <c r="J986">
        <v>-165.2</v>
      </c>
      <c r="K986">
        <v>-165.2</v>
      </c>
      <c r="O986" t="s">
        <v>738</v>
      </c>
      <c r="P986" t="s">
        <v>860</v>
      </c>
      <c r="Q986" t="s">
        <v>461</v>
      </c>
      <c r="R986">
        <v>0</v>
      </c>
    </row>
    <row r="987" spans="1:18" x14ac:dyDescent="0.3">
      <c r="A987">
        <v>233542</v>
      </c>
      <c r="B987" t="s">
        <v>734</v>
      </c>
      <c r="C987" t="s">
        <v>1200</v>
      </c>
      <c r="D987" t="s">
        <v>1422</v>
      </c>
      <c r="E987" s="465">
        <v>46143</v>
      </c>
      <c r="F987" s="465">
        <v>46169</v>
      </c>
      <c r="G987" t="s">
        <v>784</v>
      </c>
      <c r="H987" t="s">
        <v>238</v>
      </c>
      <c r="I987" t="s">
        <v>1380</v>
      </c>
      <c r="J987">
        <v>-221.4</v>
      </c>
      <c r="K987">
        <v>-221.4</v>
      </c>
      <c r="O987" t="s">
        <v>738</v>
      </c>
      <c r="P987" t="s">
        <v>860</v>
      </c>
      <c r="Q987" t="s">
        <v>461</v>
      </c>
      <c r="R987">
        <v>0</v>
      </c>
    </row>
    <row r="988" spans="1:18" x14ac:dyDescent="0.3">
      <c r="A988">
        <v>233682</v>
      </c>
      <c r="B988" t="s">
        <v>734</v>
      </c>
      <c r="C988" t="s">
        <v>1007</v>
      </c>
      <c r="D988" t="s">
        <v>1423</v>
      </c>
      <c r="E988" s="465">
        <v>46143</v>
      </c>
      <c r="F988" s="465">
        <v>46168</v>
      </c>
      <c r="G988" t="s">
        <v>784</v>
      </c>
      <c r="H988" t="s">
        <v>238</v>
      </c>
      <c r="I988" t="s">
        <v>1380</v>
      </c>
      <c r="J988">
        <v>-97.2</v>
      </c>
      <c r="K988">
        <v>-97.2</v>
      </c>
      <c r="O988" t="s">
        <v>738</v>
      </c>
      <c r="P988" t="s">
        <v>860</v>
      </c>
      <c r="Q988" t="s">
        <v>461</v>
      </c>
      <c r="R988">
        <v>0</v>
      </c>
    </row>
    <row r="989" spans="1:18" x14ac:dyDescent="0.3">
      <c r="A989">
        <v>233934</v>
      </c>
      <c r="B989" t="s">
        <v>734</v>
      </c>
      <c r="C989" t="s">
        <v>846</v>
      </c>
      <c r="D989" t="s">
        <v>1144</v>
      </c>
      <c r="E989" s="465">
        <v>46143</v>
      </c>
      <c r="F989" s="465">
        <v>46198</v>
      </c>
      <c r="G989" t="s">
        <v>1094</v>
      </c>
      <c r="H989" t="s">
        <v>112</v>
      </c>
      <c r="I989" t="s">
        <v>1424</v>
      </c>
      <c r="J989">
        <v>-3607.88</v>
      </c>
      <c r="K989">
        <v>-3607.88</v>
      </c>
      <c r="M989" t="s">
        <v>848</v>
      </c>
      <c r="N989" t="s">
        <v>131</v>
      </c>
      <c r="O989" t="s">
        <v>738</v>
      </c>
      <c r="P989" t="s">
        <v>860</v>
      </c>
      <c r="Q989" t="s">
        <v>461</v>
      </c>
      <c r="R989">
        <v>0</v>
      </c>
    </row>
    <row r="990" spans="1:18" x14ac:dyDescent="0.3">
      <c r="A990">
        <v>234033</v>
      </c>
      <c r="B990" t="s">
        <v>734</v>
      </c>
      <c r="C990" t="s">
        <v>808</v>
      </c>
      <c r="D990" t="s">
        <v>1010</v>
      </c>
      <c r="E990" s="465">
        <v>46143</v>
      </c>
      <c r="F990" s="465">
        <v>46198</v>
      </c>
      <c r="G990" t="s">
        <v>1094</v>
      </c>
      <c r="H990" t="s">
        <v>112</v>
      </c>
      <c r="I990" t="s">
        <v>1400</v>
      </c>
      <c r="J990">
        <v>-350</v>
      </c>
      <c r="K990">
        <v>-350</v>
      </c>
      <c r="O990" t="s">
        <v>738</v>
      </c>
      <c r="P990" t="s">
        <v>860</v>
      </c>
      <c r="Q990" t="s">
        <v>461</v>
      </c>
      <c r="R990">
        <v>0</v>
      </c>
    </row>
    <row r="991" spans="1:18" x14ac:dyDescent="0.3">
      <c r="A991">
        <v>234035</v>
      </c>
      <c r="B991" t="s">
        <v>734</v>
      </c>
      <c r="C991" t="s">
        <v>804</v>
      </c>
      <c r="D991" t="s">
        <v>1383</v>
      </c>
      <c r="E991" s="465">
        <v>46143</v>
      </c>
      <c r="F991" s="465">
        <v>46198</v>
      </c>
      <c r="G991" t="s">
        <v>1094</v>
      </c>
      <c r="H991" t="s">
        <v>112</v>
      </c>
      <c r="I991" t="s">
        <v>1400</v>
      </c>
      <c r="J991">
        <v>-350</v>
      </c>
      <c r="K991">
        <v>-350</v>
      </c>
      <c r="O991" t="s">
        <v>738</v>
      </c>
      <c r="P991" t="s">
        <v>860</v>
      </c>
      <c r="Q991" t="s">
        <v>461</v>
      </c>
      <c r="R991">
        <v>0</v>
      </c>
    </row>
    <row r="992" spans="1:18" x14ac:dyDescent="0.3">
      <c r="A992">
        <v>234074</v>
      </c>
      <c r="B992" t="s">
        <v>734</v>
      </c>
      <c r="C992" t="s">
        <v>1425</v>
      </c>
      <c r="D992" t="s">
        <v>1306</v>
      </c>
      <c r="E992" s="465">
        <v>46143</v>
      </c>
      <c r="F992" s="465">
        <v>46174</v>
      </c>
      <c r="G992" t="s">
        <v>1094</v>
      </c>
      <c r="H992" t="s">
        <v>112</v>
      </c>
      <c r="I992" t="s">
        <v>1426</v>
      </c>
      <c r="J992">
        <v>-2000</v>
      </c>
      <c r="K992">
        <v>-2000</v>
      </c>
      <c r="M992" t="s">
        <v>851</v>
      </c>
      <c r="N992" t="s">
        <v>130</v>
      </c>
      <c r="O992" t="s">
        <v>738</v>
      </c>
      <c r="P992" t="s">
        <v>860</v>
      </c>
      <c r="Q992" t="s">
        <v>461</v>
      </c>
      <c r="R992">
        <v>0</v>
      </c>
    </row>
    <row r="993" spans="1:18" x14ac:dyDescent="0.3">
      <c r="A993">
        <v>234075</v>
      </c>
      <c r="B993" t="s">
        <v>734</v>
      </c>
      <c r="C993" t="s">
        <v>846</v>
      </c>
      <c r="D993" t="s">
        <v>1427</v>
      </c>
      <c r="E993" s="465">
        <v>46143</v>
      </c>
      <c r="F993" s="465">
        <v>46174</v>
      </c>
      <c r="G993" t="s">
        <v>1094</v>
      </c>
      <c r="H993" t="s">
        <v>112</v>
      </c>
      <c r="I993" t="s">
        <v>1428</v>
      </c>
      <c r="J993">
        <v>-2000</v>
      </c>
      <c r="K993">
        <v>-2000</v>
      </c>
      <c r="M993" t="s">
        <v>848</v>
      </c>
      <c r="N993" t="s">
        <v>131</v>
      </c>
      <c r="O993" t="s">
        <v>738</v>
      </c>
      <c r="P993" t="s">
        <v>860</v>
      </c>
      <c r="Q993" t="s">
        <v>461</v>
      </c>
      <c r="R993">
        <v>0</v>
      </c>
    </row>
    <row r="994" spans="1:18" x14ac:dyDescent="0.3">
      <c r="A994">
        <v>235592</v>
      </c>
      <c r="B994" t="s">
        <v>734</v>
      </c>
      <c r="C994" t="s">
        <v>804</v>
      </c>
      <c r="D994" t="s">
        <v>873</v>
      </c>
      <c r="E994" s="465">
        <v>46143</v>
      </c>
      <c r="F994" s="465">
        <v>46188</v>
      </c>
      <c r="G994" t="s">
        <v>792</v>
      </c>
      <c r="H994" t="s">
        <v>793</v>
      </c>
      <c r="I994" t="s">
        <v>1429</v>
      </c>
      <c r="J994">
        <v>-980</v>
      </c>
      <c r="K994">
        <v>-980</v>
      </c>
      <c r="O994" t="s">
        <v>738</v>
      </c>
      <c r="P994" t="s">
        <v>860</v>
      </c>
      <c r="Q994" t="s">
        <v>461</v>
      </c>
      <c r="R994">
        <v>0</v>
      </c>
    </row>
    <row r="995" spans="1:18" x14ac:dyDescent="0.3">
      <c r="A995">
        <v>231842</v>
      </c>
      <c r="B995" t="s">
        <v>734</v>
      </c>
      <c r="C995" t="s">
        <v>961</v>
      </c>
      <c r="D995" t="s">
        <v>1382</v>
      </c>
      <c r="E995" s="465">
        <v>46143</v>
      </c>
      <c r="F995" s="465">
        <v>46160</v>
      </c>
      <c r="G995" t="s">
        <v>784</v>
      </c>
      <c r="H995" t="s">
        <v>238</v>
      </c>
      <c r="I995" t="s">
        <v>1380</v>
      </c>
      <c r="J995">
        <v>-75.599999999999994</v>
      </c>
      <c r="K995">
        <v>-75.599999999999994</v>
      </c>
      <c r="O995" t="s">
        <v>738</v>
      </c>
      <c r="P995" t="s">
        <v>860</v>
      </c>
      <c r="Q995" t="s">
        <v>461</v>
      </c>
      <c r="R995">
        <v>0</v>
      </c>
    </row>
    <row r="996" spans="1:18" x14ac:dyDescent="0.3">
      <c r="A996">
        <v>232053</v>
      </c>
      <c r="B996" t="s">
        <v>734</v>
      </c>
      <c r="C996" t="s">
        <v>1419</v>
      </c>
      <c r="D996" t="s">
        <v>1420</v>
      </c>
      <c r="E996" s="465">
        <v>46143</v>
      </c>
      <c r="F996" s="465">
        <v>46160</v>
      </c>
      <c r="G996" t="s">
        <v>784</v>
      </c>
      <c r="H996" t="s">
        <v>238</v>
      </c>
      <c r="I996" t="s">
        <v>1408</v>
      </c>
      <c r="J996">
        <v>-165.2</v>
      </c>
      <c r="K996">
        <v>-165.2</v>
      </c>
      <c r="O996" t="s">
        <v>738</v>
      </c>
      <c r="P996" t="s">
        <v>860</v>
      </c>
      <c r="Q996" t="s">
        <v>461</v>
      </c>
      <c r="R996">
        <v>0</v>
      </c>
    </row>
    <row r="997" spans="1:18" x14ac:dyDescent="0.3">
      <c r="A997">
        <v>232052</v>
      </c>
      <c r="B997" t="s">
        <v>734</v>
      </c>
      <c r="C997" t="s">
        <v>974</v>
      </c>
      <c r="D997" t="s">
        <v>1430</v>
      </c>
      <c r="E997" s="465">
        <v>46143</v>
      </c>
      <c r="F997" s="465">
        <v>46160</v>
      </c>
      <c r="G997" t="s">
        <v>784</v>
      </c>
      <c r="H997" t="s">
        <v>238</v>
      </c>
      <c r="I997" t="s">
        <v>1408</v>
      </c>
      <c r="J997">
        <v>-139.86000000000001</v>
      </c>
      <c r="K997">
        <v>-139.86000000000001</v>
      </c>
      <c r="O997" t="s">
        <v>738</v>
      </c>
      <c r="P997" t="s">
        <v>860</v>
      </c>
      <c r="Q997" t="s">
        <v>461</v>
      </c>
      <c r="R997">
        <v>0</v>
      </c>
    </row>
    <row r="998" spans="1:18" x14ac:dyDescent="0.3">
      <c r="A998">
        <v>232051</v>
      </c>
      <c r="B998" t="s">
        <v>734</v>
      </c>
      <c r="C998" t="s">
        <v>1088</v>
      </c>
      <c r="D998" t="s">
        <v>1430</v>
      </c>
      <c r="E998" s="465">
        <v>46143</v>
      </c>
      <c r="F998" s="465">
        <v>46160</v>
      </c>
      <c r="G998" t="s">
        <v>784</v>
      </c>
      <c r="H998" t="s">
        <v>238</v>
      </c>
      <c r="I998" t="s">
        <v>1431</v>
      </c>
      <c r="J998">
        <v>-139.86000000000001</v>
      </c>
      <c r="K998">
        <v>-139.86000000000001</v>
      </c>
      <c r="O998" t="s">
        <v>738</v>
      </c>
      <c r="P998" t="s">
        <v>860</v>
      </c>
      <c r="Q998" t="s">
        <v>461</v>
      </c>
      <c r="R998">
        <v>0</v>
      </c>
    </row>
    <row r="999" spans="1:18" x14ac:dyDescent="0.3">
      <c r="A999">
        <v>231849</v>
      </c>
      <c r="B999" t="s">
        <v>734</v>
      </c>
      <c r="C999" t="s">
        <v>783</v>
      </c>
      <c r="D999" t="s">
        <v>1432</v>
      </c>
      <c r="E999" s="465">
        <v>46143</v>
      </c>
      <c r="F999" s="465">
        <v>46162</v>
      </c>
      <c r="G999" t="s">
        <v>784</v>
      </c>
      <c r="H999" t="s">
        <v>238</v>
      </c>
      <c r="I999" t="s">
        <v>1433</v>
      </c>
      <c r="J999">
        <v>-537.91999999999996</v>
      </c>
      <c r="K999">
        <v>-537.91999999999996</v>
      </c>
      <c r="O999" t="s">
        <v>738</v>
      </c>
      <c r="P999" t="s">
        <v>860</v>
      </c>
      <c r="Q999" t="s">
        <v>461</v>
      </c>
      <c r="R999">
        <v>0</v>
      </c>
    </row>
    <row r="1000" spans="1:18" x14ac:dyDescent="0.3">
      <c r="A1000">
        <v>231848</v>
      </c>
      <c r="B1000" t="s">
        <v>734</v>
      </c>
      <c r="C1000" t="s">
        <v>1091</v>
      </c>
      <c r="D1000" t="s">
        <v>1376</v>
      </c>
      <c r="E1000" s="465">
        <v>46143</v>
      </c>
      <c r="F1000" s="465">
        <v>46160</v>
      </c>
      <c r="G1000" t="s">
        <v>784</v>
      </c>
      <c r="H1000" t="s">
        <v>238</v>
      </c>
      <c r="I1000" t="s">
        <v>1380</v>
      </c>
      <c r="J1000">
        <v>-131.32</v>
      </c>
      <c r="K1000">
        <v>-131.32</v>
      </c>
      <c r="O1000" t="s">
        <v>738</v>
      </c>
      <c r="P1000" t="s">
        <v>860</v>
      </c>
      <c r="Q1000" t="s">
        <v>461</v>
      </c>
      <c r="R1000">
        <v>0</v>
      </c>
    </row>
    <row r="1001" spans="1:18" x14ac:dyDescent="0.3">
      <c r="A1001">
        <v>232480</v>
      </c>
      <c r="B1001" t="s">
        <v>734</v>
      </c>
      <c r="C1001" t="s">
        <v>818</v>
      </c>
      <c r="D1001" t="s">
        <v>1434</v>
      </c>
      <c r="E1001" s="465">
        <v>46143</v>
      </c>
      <c r="F1001" s="465">
        <v>46198</v>
      </c>
      <c r="G1001" t="s">
        <v>1094</v>
      </c>
      <c r="H1001" t="s">
        <v>112</v>
      </c>
      <c r="I1001" t="s">
        <v>1398</v>
      </c>
      <c r="J1001">
        <v>-1500</v>
      </c>
      <c r="K1001">
        <v>-1500</v>
      </c>
      <c r="O1001" t="s">
        <v>738</v>
      </c>
      <c r="P1001" t="s">
        <v>860</v>
      </c>
      <c r="Q1001" t="s">
        <v>461</v>
      </c>
      <c r="R1001">
        <v>0</v>
      </c>
    </row>
    <row r="1002" spans="1:18" x14ac:dyDescent="0.3">
      <c r="A1002">
        <v>231985</v>
      </c>
      <c r="B1002" t="s">
        <v>734</v>
      </c>
      <c r="C1002" t="s">
        <v>832</v>
      </c>
      <c r="D1002" t="s">
        <v>1435</v>
      </c>
      <c r="E1002" s="465">
        <v>46143</v>
      </c>
      <c r="F1002" s="465">
        <v>46167</v>
      </c>
      <c r="G1002" t="s">
        <v>295</v>
      </c>
      <c r="H1002" t="s">
        <v>297</v>
      </c>
      <c r="I1002" t="s">
        <v>1436</v>
      </c>
      <c r="J1002">
        <v>-1000</v>
      </c>
      <c r="K1002">
        <v>-1000</v>
      </c>
      <c r="O1002" t="s">
        <v>738</v>
      </c>
      <c r="P1002" t="s">
        <v>860</v>
      </c>
      <c r="Q1002" t="s">
        <v>461</v>
      </c>
      <c r="R1002">
        <v>0</v>
      </c>
    </row>
    <row r="1003" spans="1:18" x14ac:dyDescent="0.3">
      <c r="A1003">
        <v>232048</v>
      </c>
      <c r="B1003" t="s">
        <v>734</v>
      </c>
      <c r="C1003" t="s">
        <v>989</v>
      </c>
      <c r="D1003" t="s">
        <v>1376</v>
      </c>
      <c r="E1003" s="465">
        <v>46143</v>
      </c>
      <c r="F1003" s="465">
        <v>46160</v>
      </c>
      <c r="G1003" t="s">
        <v>784</v>
      </c>
      <c r="H1003" t="s">
        <v>238</v>
      </c>
      <c r="I1003" t="s">
        <v>1377</v>
      </c>
      <c r="J1003">
        <v>-131.32</v>
      </c>
      <c r="K1003">
        <v>-131.32</v>
      </c>
      <c r="O1003" t="s">
        <v>738</v>
      </c>
      <c r="P1003" t="s">
        <v>860</v>
      </c>
      <c r="Q1003" t="s">
        <v>461</v>
      </c>
      <c r="R1003">
        <v>0</v>
      </c>
    </row>
    <row r="1004" spans="1:18" x14ac:dyDescent="0.3">
      <c r="A1004">
        <v>232050</v>
      </c>
      <c r="B1004" t="s">
        <v>734</v>
      </c>
      <c r="C1004" t="s">
        <v>962</v>
      </c>
      <c r="D1004" t="s">
        <v>1376</v>
      </c>
      <c r="E1004" s="465">
        <v>46143</v>
      </c>
      <c r="F1004" s="465">
        <v>46160</v>
      </c>
      <c r="G1004" t="s">
        <v>784</v>
      </c>
      <c r="H1004" t="s">
        <v>238</v>
      </c>
      <c r="I1004" t="s">
        <v>1377</v>
      </c>
      <c r="J1004">
        <v>-131.32</v>
      </c>
      <c r="K1004">
        <v>-131.32</v>
      </c>
      <c r="O1004" t="s">
        <v>738</v>
      </c>
      <c r="P1004" t="s">
        <v>860</v>
      </c>
      <c r="Q1004" t="s">
        <v>461</v>
      </c>
      <c r="R1004">
        <v>0</v>
      </c>
    </row>
    <row r="1005" spans="1:18" x14ac:dyDescent="0.3">
      <c r="A1005">
        <v>231846</v>
      </c>
      <c r="B1005" t="s">
        <v>734</v>
      </c>
      <c r="C1005" t="s">
        <v>955</v>
      </c>
      <c r="D1005" t="s">
        <v>1376</v>
      </c>
      <c r="E1005" s="465">
        <v>46143</v>
      </c>
      <c r="F1005" s="465">
        <v>46162</v>
      </c>
      <c r="G1005" t="s">
        <v>784</v>
      </c>
      <c r="H1005" t="s">
        <v>238</v>
      </c>
      <c r="I1005" t="s">
        <v>1377</v>
      </c>
      <c r="J1005">
        <v>-131.32</v>
      </c>
      <c r="K1005">
        <v>-131.32</v>
      </c>
      <c r="O1005" t="s">
        <v>738</v>
      </c>
      <c r="P1005" t="s">
        <v>860</v>
      </c>
      <c r="Q1005" t="s">
        <v>461</v>
      </c>
      <c r="R1005">
        <v>0</v>
      </c>
    </row>
    <row r="1006" spans="1:18" x14ac:dyDescent="0.3">
      <c r="A1006">
        <v>232054</v>
      </c>
      <c r="B1006" t="s">
        <v>734</v>
      </c>
      <c r="C1006" t="s">
        <v>1226</v>
      </c>
      <c r="D1006" t="s">
        <v>1382</v>
      </c>
      <c r="E1006" s="465">
        <v>46143</v>
      </c>
      <c r="F1006" s="465">
        <v>46160</v>
      </c>
      <c r="G1006" t="s">
        <v>784</v>
      </c>
      <c r="H1006" t="s">
        <v>238</v>
      </c>
      <c r="I1006" t="s">
        <v>1408</v>
      </c>
      <c r="J1006">
        <v>-75.599999999999994</v>
      </c>
      <c r="K1006">
        <v>-75.599999999999994</v>
      </c>
      <c r="O1006" t="s">
        <v>738</v>
      </c>
      <c r="P1006" t="s">
        <v>860</v>
      </c>
      <c r="Q1006" t="s">
        <v>461</v>
      </c>
      <c r="R1006">
        <v>0</v>
      </c>
    </row>
    <row r="1007" spans="1:18" x14ac:dyDescent="0.3">
      <c r="A1007">
        <v>232055</v>
      </c>
      <c r="B1007" t="s">
        <v>734</v>
      </c>
      <c r="C1007" t="s">
        <v>977</v>
      </c>
      <c r="D1007" t="s">
        <v>1430</v>
      </c>
      <c r="E1007" s="465">
        <v>46143</v>
      </c>
      <c r="F1007" s="465">
        <v>46160</v>
      </c>
      <c r="G1007" t="s">
        <v>784</v>
      </c>
      <c r="H1007" t="s">
        <v>238</v>
      </c>
      <c r="I1007" t="s">
        <v>1431</v>
      </c>
      <c r="J1007">
        <v>-139.86000000000001</v>
      </c>
      <c r="K1007">
        <v>-139.86000000000001</v>
      </c>
      <c r="O1007" t="s">
        <v>738</v>
      </c>
      <c r="P1007" t="s">
        <v>860</v>
      </c>
      <c r="Q1007" t="s">
        <v>461</v>
      </c>
      <c r="R1007">
        <v>0</v>
      </c>
    </row>
    <row r="1008" spans="1:18" x14ac:dyDescent="0.3">
      <c r="A1008">
        <v>232056</v>
      </c>
      <c r="B1008" t="s">
        <v>734</v>
      </c>
      <c r="C1008" t="s">
        <v>1027</v>
      </c>
      <c r="D1008" t="s">
        <v>1437</v>
      </c>
      <c r="E1008" s="465">
        <v>46143</v>
      </c>
      <c r="F1008" s="465">
        <v>46160</v>
      </c>
      <c r="G1008" t="s">
        <v>784</v>
      </c>
      <c r="H1008" t="s">
        <v>238</v>
      </c>
      <c r="I1008" t="s">
        <v>1377</v>
      </c>
      <c r="J1008">
        <v>-144.9</v>
      </c>
      <c r="K1008">
        <v>-144.9</v>
      </c>
      <c r="O1008" t="s">
        <v>738</v>
      </c>
      <c r="P1008" t="s">
        <v>860</v>
      </c>
      <c r="Q1008" t="s">
        <v>461</v>
      </c>
      <c r="R1008">
        <v>0</v>
      </c>
    </row>
    <row r="1009" spans="1:18" x14ac:dyDescent="0.3">
      <c r="A1009">
        <v>232175</v>
      </c>
      <c r="B1009" t="s">
        <v>734</v>
      </c>
      <c r="C1009" t="s">
        <v>818</v>
      </c>
      <c r="D1009" t="s">
        <v>1096</v>
      </c>
      <c r="E1009" s="465">
        <v>46143</v>
      </c>
      <c r="F1009" s="465">
        <v>46174</v>
      </c>
      <c r="G1009" t="s">
        <v>792</v>
      </c>
      <c r="H1009" t="s">
        <v>793</v>
      </c>
      <c r="I1009" t="s">
        <v>819</v>
      </c>
      <c r="J1009">
        <v>-2925</v>
      </c>
      <c r="K1009">
        <v>-2925</v>
      </c>
      <c r="O1009" t="s">
        <v>738</v>
      </c>
      <c r="P1009" t="s">
        <v>860</v>
      </c>
      <c r="Q1009" t="s">
        <v>461</v>
      </c>
      <c r="R1009">
        <v>0</v>
      </c>
    </row>
    <row r="1010" spans="1:18" x14ac:dyDescent="0.3">
      <c r="A1010">
        <v>232187</v>
      </c>
      <c r="B1010" t="s">
        <v>734</v>
      </c>
      <c r="C1010" t="s">
        <v>818</v>
      </c>
      <c r="D1010" t="s">
        <v>1096</v>
      </c>
      <c r="E1010" s="465">
        <v>46143</v>
      </c>
      <c r="F1010" s="465">
        <v>46188</v>
      </c>
      <c r="G1010" t="s">
        <v>792</v>
      </c>
      <c r="H1010" t="s">
        <v>793</v>
      </c>
      <c r="I1010" t="s">
        <v>819</v>
      </c>
      <c r="J1010">
        <v>-2925</v>
      </c>
      <c r="K1010">
        <v>-2925</v>
      </c>
      <c r="O1010" t="s">
        <v>738</v>
      </c>
      <c r="P1010" t="s">
        <v>860</v>
      </c>
      <c r="Q1010" t="s">
        <v>461</v>
      </c>
      <c r="R1010">
        <v>0</v>
      </c>
    </row>
    <row r="1011" spans="1:18" x14ac:dyDescent="0.3">
      <c r="A1011">
        <v>232248</v>
      </c>
      <c r="B1011" t="s">
        <v>734</v>
      </c>
      <c r="C1011" t="s">
        <v>816</v>
      </c>
      <c r="D1011" t="s">
        <v>1215</v>
      </c>
      <c r="E1011" s="465">
        <v>46143</v>
      </c>
      <c r="F1011" s="465">
        <v>46190</v>
      </c>
      <c r="G1011" t="s">
        <v>792</v>
      </c>
      <c r="H1011" t="s">
        <v>793</v>
      </c>
      <c r="I1011" t="s">
        <v>817</v>
      </c>
      <c r="J1011">
        <v>-1333.33</v>
      </c>
      <c r="K1011">
        <v>-1333.33</v>
      </c>
      <c r="O1011" t="s">
        <v>738</v>
      </c>
      <c r="P1011" t="s">
        <v>860</v>
      </c>
      <c r="Q1011" t="s">
        <v>461</v>
      </c>
      <c r="R1011">
        <v>0</v>
      </c>
    </row>
    <row r="1012" spans="1:18" x14ac:dyDescent="0.3">
      <c r="A1012">
        <v>232317</v>
      </c>
      <c r="B1012" t="s">
        <v>734</v>
      </c>
      <c r="C1012" t="s">
        <v>1438</v>
      </c>
      <c r="D1012" t="s">
        <v>1376</v>
      </c>
      <c r="E1012" s="465">
        <v>46143</v>
      </c>
      <c r="F1012" s="465">
        <v>46162</v>
      </c>
      <c r="G1012" t="s">
        <v>784</v>
      </c>
      <c r="H1012" t="s">
        <v>238</v>
      </c>
      <c r="I1012" t="s">
        <v>1439</v>
      </c>
      <c r="J1012">
        <v>-131.32</v>
      </c>
      <c r="K1012">
        <v>-131.32</v>
      </c>
      <c r="O1012" t="s">
        <v>738</v>
      </c>
      <c r="P1012" t="s">
        <v>860</v>
      </c>
      <c r="Q1012" t="s">
        <v>461</v>
      </c>
      <c r="R1012">
        <v>0</v>
      </c>
    </row>
    <row r="1013" spans="1:18" x14ac:dyDescent="0.3">
      <c r="A1013">
        <v>232478</v>
      </c>
      <c r="B1013" t="s">
        <v>734</v>
      </c>
      <c r="C1013" t="s">
        <v>1102</v>
      </c>
      <c r="D1013" t="s">
        <v>1010</v>
      </c>
      <c r="E1013" s="465">
        <v>46143</v>
      </c>
      <c r="F1013" s="465">
        <v>46202</v>
      </c>
      <c r="G1013" t="s">
        <v>1094</v>
      </c>
      <c r="H1013" t="s">
        <v>112</v>
      </c>
      <c r="I1013" t="s">
        <v>1440</v>
      </c>
      <c r="J1013">
        <v>-1500</v>
      </c>
      <c r="K1013">
        <v>-1500</v>
      </c>
      <c r="M1013" t="s">
        <v>1103</v>
      </c>
      <c r="N1013" t="s">
        <v>134</v>
      </c>
      <c r="O1013" t="s">
        <v>738</v>
      </c>
      <c r="P1013" t="s">
        <v>860</v>
      </c>
      <c r="Q1013" t="s">
        <v>461</v>
      </c>
      <c r="R1013">
        <v>0</v>
      </c>
    </row>
    <row r="1014" spans="1:18" x14ac:dyDescent="0.3">
      <c r="A1014">
        <v>232479</v>
      </c>
      <c r="B1014" t="s">
        <v>734</v>
      </c>
      <c r="C1014" t="s">
        <v>827</v>
      </c>
      <c r="D1014" t="s">
        <v>1441</v>
      </c>
      <c r="E1014" s="465">
        <v>46143</v>
      </c>
      <c r="F1014" s="465">
        <v>46198</v>
      </c>
      <c r="G1014" t="s">
        <v>1094</v>
      </c>
      <c r="H1014" t="s">
        <v>112</v>
      </c>
      <c r="I1014" t="s">
        <v>1440</v>
      </c>
      <c r="J1014">
        <v>-1500</v>
      </c>
      <c r="K1014">
        <v>-1500</v>
      </c>
      <c r="O1014" t="s">
        <v>738</v>
      </c>
      <c r="P1014" t="s">
        <v>860</v>
      </c>
      <c r="Q1014" t="s">
        <v>461</v>
      </c>
      <c r="R1014">
        <v>0</v>
      </c>
    </row>
    <row r="1015" spans="1:18" x14ac:dyDescent="0.3">
      <c r="A1015">
        <v>223686</v>
      </c>
      <c r="B1015" t="s">
        <v>734</v>
      </c>
      <c r="C1015" t="s">
        <v>49</v>
      </c>
      <c r="D1015" t="s">
        <v>1442</v>
      </c>
      <c r="E1015" s="465">
        <v>46142</v>
      </c>
      <c r="F1015" s="465">
        <v>46153</v>
      </c>
      <c r="G1015" t="s">
        <v>835</v>
      </c>
      <c r="H1015" t="s">
        <v>49</v>
      </c>
      <c r="I1015" t="s">
        <v>1443</v>
      </c>
      <c r="J1015">
        <v>-400</v>
      </c>
      <c r="K1015">
        <v>-400</v>
      </c>
      <c r="O1015" t="s">
        <v>738</v>
      </c>
      <c r="P1015" t="s">
        <v>860</v>
      </c>
      <c r="Q1015" t="s">
        <v>460</v>
      </c>
      <c r="R1015">
        <v>0</v>
      </c>
    </row>
    <row r="1016" spans="1:18" x14ac:dyDescent="0.3">
      <c r="A1016">
        <v>228279</v>
      </c>
      <c r="B1016" t="s">
        <v>734</v>
      </c>
      <c r="C1016" t="s">
        <v>1444</v>
      </c>
      <c r="D1016" t="s">
        <v>1182</v>
      </c>
      <c r="E1016" s="465">
        <v>46142</v>
      </c>
      <c r="F1016" s="465">
        <v>46145</v>
      </c>
      <c r="G1016" t="s">
        <v>833</v>
      </c>
      <c r="H1016" t="s">
        <v>351</v>
      </c>
      <c r="I1016" t="s">
        <v>1445</v>
      </c>
      <c r="J1016">
        <v>-3000</v>
      </c>
      <c r="K1016">
        <v>-3000</v>
      </c>
      <c r="O1016" t="s">
        <v>738</v>
      </c>
      <c r="P1016" t="s">
        <v>860</v>
      </c>
      <c r="Q1016" t="s">
        <v>460</v>
      </c>
      <c r="R1016">
        <v>0</v>
      </c>
    </row>
    <row r="1017" spans="1:18" x14ac:dyDescent="0.3">
      <c r="A1017">
        <v>228989</v>
      </c>
      <c r="B1017" t="s">
        <v>734</v>
      </c>
      <c r="C1017" t="s">
        <v>836</v>
      </c>
      <c r="D1017" t="s">
        <v>1442</v>
      </c>
      <c r="E1017" s="465">
        <v>46142</v>
      </c>
      <c r="F1017" s="465">
        <v>46162</v>
      </c>
      <c r="G1017" t="s">
        <v>833</v>
      </c>
      <c r="H1017" t="s">
        <v>348</v>
      </c>
      <c r="I1017" t="s">
        <v>1446</v>
      </c>
      <c r="J1017">
        <v>-3454.22</v>
      </c>
      <c r="K1017">
        <v>-3465.61</v>
      </c>
      <c r="O1017" t="s">
        <v>738</v>
      </c>
      <c r="P1017" t="s">
        <v>860</v>
      </c>
      <c r="Q1017" t="s">
        <v>460</v>
      </c>
      <c r="R1017">
        <v>0</v>
      </c>
    </row>
    <row r="1018" spans="1:18" x14ac:dyDescent="0.3">
      <c r="A1018">
        <v>228390</v>
      </c>
      <c r="B1018" t="s">
        <v>734</v>
      </c>
      <c r="C1018" t="s">
        <v>824</v>
      </c>
      <c r="E1018" s="465">
        <v>46142</v>
      </c>
      <c r="F1018" s="465">
        <v>46142</v>
      </c>
      <c r="G1018" t="s">
        <v>825</v>
      </c>
      <c r="H1018" t="s">
        <v>826</v>
      </c>
      <c r="I1018" t="s">
        <v>1447</v>
      </c>
      <c r="J1018">
        <v>-1</v>
      </c>
      <c r="K1018">
        <v>-1</v>
      </c>
      <c r="O1018" t="s">
        <v>738</v>
      </c>
      <c r="P1018" t="s">
        <v>860</v>
      </c>
      <c r="Q1018" t="s">
        <v>460</v>
      </c>
      <c r="R1018">
        <v>0</v>
      </c>
    </row>
    <row r="1019" spans="1:18" x14ac:dyDescent="0.3">
      <c r="A1019">
        <v>228280</v>
      </c>
      <c r="B1019" t="s">
        <v>734</v>
      </c>
      <c r="C1019" t="s">
        <v>1448</v>
      </c>
      <c r="D1019" t="s">
        <v>1449</v>
      </c>
      <c r="E1019" s="465">
        <v>46142</v>
      </c>
      <c r="F1019" s="465">
        <v>46145</v>
      </c>
      <c r="G1019" t="s">
        <v>833</v>
      </c>
      <c r="H1019" t="s">
        <v>351</v>
      </c>
      <c r="I1019" t="s">
        <v>1450</v>
      </c>
      <c r="J1019">
        <v>-195</v>
      </c>
      <c r="K1019">
        <v>-195</v>
      </c>
      <c r="O1019" t="s">
        <v>738</v>
      </c>
      <c r="P1019" t="s">
        <v>860</v>
      </c>
      <c r="Q1019" t="s">
        <v>460</v>
      </c>
      <c r="R1019">
        <v>0</v>
      </c>
    </row>
    <row r="1020" spans="1:18" x14ac:dyDescent="0.3">
      <c r="A1020">
        <v>227680</v>
      </c>
      <c r="B1020" t="s">
        <v>734</v>
      </c>
      <c r="C1020" t="s">
        <v>1162</v>
      </c>
      <c r="D1020" t="s">
        <v>1451</v>
      </c>
      <c r="E1020" s="465">
        <v>46141</v>
      </c>
      <c r="F1020" s="465">
        <v>46152</v>
      </c>
      <c r="G1020" t="s">
        <v>833</v>
      </c>
      <c r="H1020" t="s">
        <v>351</v>
      </c>
      <c r="I1020" t="s">
        <v>1452</v>
      </c>
      <c r="J1020">
        <v>-66000</v>
      </c>
      <c r="K1020">
        <v>-66000</v>
      </c>
      <c r="O1020" t="s">
        <v>738</v>
      </c>
      <c r="P1020" t="s">
        <v>860</v>
      </c>
      <c r="Q1020" t="s">
        <v>460</v>
      </c>
      <c r="R1020">
        <v>0</v>
      </c>
    </row>
    <row r="1021" spans="1:18" x14ac:dyDescent="0.3">
      <c r="A1021">
        <v>227713</v>
      </c>
      <c r="B1021" t="s">
        <v>734</v>
      </c>
      <c r="C1021" t="s">
        <v>1453</v>
      </c>
      <c r="D1021" t="s">
        <v>873</v>
      </c>
      <c r="E1021" s="465">
        <v>46141</v>
      </c>
      <c r="F1021" s="465">
        <v>46147</v>
      </c>
      <c r="G1021" t="s">
        <v>833</v>
      </c>
      <c r="H1021" t="s">
        <v>349</v>
      </c>
      <c r="I1021" t="s">
        <v>1454</v>
      </c>
      <c r="J1021">
        <v>-2400</v>
      </c>
      <c r="K1021">
        <v>-2400</v>
      </c>
      <c r="O1021" t="s">
        <v>738</v>
      </c>
      <c r="P1021" t="s">
        <v>860</v>
      </c>
      <c r="Q1021" t="s">
        <v>460</v>
      </c>
      <c r="R1021">
        <v>0</v>
      </c>
    </row>
    <row r="1022" spans="1:18" x14ac:dyDescent="0.3">
      <c r="A1022">
        <v>227931</v>
      </c>
      <c r="B1022" t="s">
        <v>734</v>
      </c>
      <c r="C1022" t="s">
        <v>824</v>
      </c>
      <c r="E1022" s="465">
        <v>46141</v>
      </c>
      <c r="F1022" s="465">
        <v>46141</v>
      </c>
      <c r="G1022" t="s">
        <v>825</v>
      </c>
      <c r="H1022" t="s">
        <v>826</v>
      </c>
      <c r="I1022" t="s">
        <v>1318</v>
      </c>
      <c r="J1022">
        <v>-0.5</v>
      </c>
      <c r="K1022">
        <v>-0.5</v>
      </c>
      <c r="O1022" t="s">
        <v>738</v>
      </c>
      <c r="P1022" t="s">
        <v>860</v>
      </c>
      <c r="Q1022" t="s">
        <v>460</v>
      </c>
      <c r="R1022">
        <v>0</v>
      </c>
    </row>
    <row r="1023" spans="1:18" x14ac:dyDescent="0.3">
      <c r="A1023">
        <v>227694</v>
      </c>
      <c r="B1023" t="s">
        <v>734</v>
      </c>
      <c r="C1023" t="s">
        <v>1455</v>
      </c>
      <c r="D1023" t="s">
        <v>736</v>
      </c>
      <c r="E1023" s="465">
        <v>46141</v>
      </c>
      <c r="F1023" s="465">
        <v>46155</v>
      </c>
      <c r="G1023" t="s">
        <v>833</v>
      </c>
      <c r="H1023" t="s">
        <v>349</v>
      </c>
      <c r="I1023" t="s">
        <v>1456</v>
      </c>
      <c r="J1023">
        <v>-124000</v>
      </c>
      <c r="K1023">
        <v>-124000</v>
      </c>
      <c r="O1023" t="s">
        <v>738</v>
      </c>
      <c r="P1023" t="s">
        <v>927</v>
      </c>
      <c r="Q1023" t="s">
        <v>460</v>
      </c>
      <c r="R1023">
        <v>0</v>
      </c>
    </row>
    <row r="1024" spans="1:18" x14ac:dyDescent="0.3">
      <c r="A1024">
        <v>227326</v>
      </c>
      <c r="B1024" t="s">
        <v>734</v>
      </c>
      <c r="C1024" t="s">
        <v>824</v>
      </c>
      <c r="E1024" s="465">
        <v>46140</v>
      </c>
      <c r="F1024" s="465">
        <v>46140</v>
      </c>
      <c r="G1024" t="s">
        <v>825</v>
      </c>
      <c r="H1024" t="s">
        <v>826</v>
      </c>
      <c r="I1024" t="s">
        <v>1457</v>
      </c>
      <c r="J1024">
        <v>-0.5</v>
      </c>
      <c r="K1024">
        <v>-0.5</v>
      </c>
      <c r="O1024" t="s">
        <v>738</v>
      </c>
      <c r="P1024" t="s">
        <v>860</v>
      </c>
      <c r="Q1024" t="s">
        <v>460</v>
      </c>
      <c r="R1024">
        <v>0</v>
      </c>
    </row>
    <row r="1025" spans="1:18" x14ac:dyDescent="0.3">
      <c r="A1025">
        <v>227158</v>
      </c>
      <c r="B1025" t="s">
        <v>734</v>
      </c>
      <c r="C1025" t="s">
        <v>1458</v>
      </c>
      <c r="D1025" t="s">
        <v>1459</v>
      </c>
      <c r="E1025" s="465">
        <v>46140</v>
      </c>
      <c r="F1025" s="465">
        <v>46153</v>
      </c>
      <c r="G1025" t="s">
        <v>833</v>
      </c>
      <c r="H1025" t="s">
        <v>351</v>
      </c>
      <c r="I1025" t="s">
        <v>1460</v>
      </c>
      <c r="J1025">
        <v>-26349.599999999999</v>
      </c>
      <c r="K1025">
        <v>-26349.599999999999</v>
      </c>
      <c r="O1025" t="s">
        <v>738</v>
      </c>
      <c r="P1025" t="s">
        <v>860</v>
      </c>
      <c r="Q1025" t="s">
        <v>460</v>
      </c>
      <c r="R1025">
        <v>0</v>
      </c>
    </row>
    <row r="1026" spans="1:18" x14ac:dyDescent="0.3">
      <c r="A1026">
        <v>217077</v>
      </c>
      <c r="B1026" t="s">
        <v>734</v>
      </c>
      <c r="C1026" t="s">
        <v>428</v>
      </c>
      <c r="D1026" t="s">
        <v>1442</v>
      </c>
      <c r="E1026" s="465">
        <v>46140</v>
      </c>
      <c r="F1026" s="465">
        <v>46162</v>
      </c>
      <c r="G1026" t="s">
        <v>833</v>
      </c>
      <c r="H1026" t="s">
        <v>348</v>
      </c>
      <c r="I1026" t="s">
        <v>1461</v>
      </c>
      <c r="J1026">
        <v>-12786.03</v>
      </c>
      <c r="K1026">
        <v>-12786.03</v>
      </c>
      <c r="O1026" t="s">
        <v>738</v>
      </c>
      <c r="P1026" t="s">
        <v>860</v>
      </c>
      <c r="Q1026" t="s">
        <v>460</v>
      </c>
      <c r="R1026">
        <v>0</v>
      </c>
    </row>
    <row r="1027" spans="1:18" x14ac:dyDescent="0.3">
      <c r="A1027">
        <v>226858</v>
      </c>
      <c r="B1027" t="s">
        <v>734</v>
      </c>
      <c r="C1027" t="s">
        <v>883</v>
      </c>
      <c r="D1027" t="s">
        <v>1462</v>
      </c>
      <c r="E1027" s="465">
        <v>46139</v>
      </c>
      <c r="F1027" s="465">
        <v>46204</v>
      </c>
      <c r="G1027" t="s">
        <v>833</v>
      </c>
      <c r="H1027" t="s">
        <v>348</v>
      </c>
      <c r="I1027" t="s">
        <v>1107</v>
      </c>
      <c r="J1027">
        <v>-9500</v>
      </c>
      <c r="K1027">
        <v>-9500</v>
      </c>
      <c r="O1027" t="s">
        <v>738</v>
      </c>
      <c r="P1027" t="s">
        <v>860</v>
      </c>
      <c r="Q1027" t="s">
        <v>460</v>
      </c>
      <c r="R1027">
        <v>0</v>
      </c>
    </row>
    <row r="1028" spans="1:18" x14ac:dyDescent="0.3">
      <c r="A1028">
        <v>226873</v>
      </c>
      <c r="B1028" t="s">
        <v>734</v>
      </c>
      <c r="C1028" t="s">
        <v>1463</v>
      </c>
      <c r="D1028" t="s">
        <v>1464</v>
      </c>
      <c r="E1028" s="465">
        <v>46139</v>
      </c>
      <c r="F1028" s="465">
        <v>46162</v>
      </c>
      <c r="G1028" t="s">
        <v>833</v>
      </c>
      <c r="H1028" t="s">
        <v>348</v>
      </c>
      <c r="I1028" t="s">
        <v>1465</v>
      </c>
      <c r="J1028">
        <v>-21684.2</v>
      </c>
      <c r="K1028">
        <v>-21684.2</v>
      </c>
      <c r="O1028" t="s">
        <v>738</v>
      </c>
      <c r="P1028" t="s">
        <v>927</v>
      </c>
      <c r="Q1028" t="s">
        <v>460</v>
      </c>
      <c r="R1028">
        <v>0</v>
      </c>
    </row>
    <row r="1029" spans="1:18" x14ac:dyDescent="0.3">
      <c r="A1029">
        <v>226880</v>
      </c>
      <c r="B1029" t="s">
        <v>734</v>
      </c>
      <c r="C1029" t="s">
        <v>1112</v>
      </c>
      <c r="D1029" t="s">
        <v>1113</v>
      </c>
      <c r="E1029" s="465">
        <v>46139</v>
      </c>
      <c r="F1029" s="465">
        <v>46150</v>
      </c>
      <c r="G1029" t="s">
        <v>833</v>
      </c>
      <c r="H1029" t="s">
        <v>348</v>
      </c>
      <c r="I1029" t="s">
        <v>1466</v>
      </c>
      <c r="J1029">
        <v>-34000</v>
      </c>
      <c r="K1029">
        <v>-34000</v>
      </c>
      <c r="O1029" t="s">
        <v>738</v>
      </c>
      <c r="P1029" t="s">
        <v>860</v>
      </c>
      <c r="Q1029" t="s">
        <v>460</v>
      </c>
      <c r="R1029">
        <v>0</v>
      </c>
    </row>
    <row r="1030" spans="1:18" x14ac:dyDescent="0.3">
      <c r="A1030">
        <v>226973</v>
      </c>
      <c r="B1030" t="s">
        <v>734</v>
      </c>
      <c r="C1030" t="s">
        <v>824</v>
      </c>
      <c r="E1030" s="465">
        <v>46139</v>
      </c>
      <c r="F1030" s="465">
        <v>46139</v>
      </c>
      <c r="G1030" t="s">
        <v>825</v>
      </c>
      <c r="H1030" t="s">
        <v>826</v>
      </c>
      <c r="I1030" t="s">
        <v>1318</v>
      </c>
      <c r="J1030">
        <v>-2</v>
      </c>
      <c r="K1030">
        <v>-2</v>
      </c>
      <c r="O1030" t="s">
        <v>738</v>
      </c>
      <c r="P1030" t="s">
        <v>860</v>
      </c>
      <c r="Q1030" t="s">
        <v>460</v>
      </c>
      <c r="R1030">
        <v>0</v>
      </c>
    </row>
    <row r="1031" spans="1:18" x14ac:dyDescent="0.3">
      <c r="A1031">
        <v>226638</v>
      </c>
      <c r="B1031" t="s">
        <v>734</v>
      </c>
      <c r="C1031" t="s">
        <v>1467</v>
      </c>
      <c r="D1031" t="s">
        <v>1468</v>
      </c>
      <c r="E1031" s="465">
        <v>46136</v>
      </c>
      <c r="F1031" s="465">
        <v>46139</v>
      </c>
      <c r="G1031" t="s">
        <v>833</v>
      </c>
      <c r="H1031" t="s">
        <v>349</v>
      </c>
      <c r="I1031" t="s">
        <v>1469</v>
      </c>
      <c r="J1031">
        <v>-205000</v>
      </c>
      <c r="K1031">
        <v>-205000</v>
      </c>
      <c r="O1031" t="s">
        <v>738</v>
      </c>
      <c r="Q1031" t="s">
        <v>460</v>
      </c>
      <c r="R1031">
        <v>0</v>
      </c>
    </row>
    <row r="1032" spans="1:18" x14ac:dyDescent="0.3">
      <c r="A1032">
        <v>226645</v>
      </c>
      <c r="B1032" t="s">
        <v>734</v>
      </c>
      <c r="C1032" t="s">
        <v>1470</v>
      </c>
      <c r="D1032" t="s">
        <v>1471</v>
      </c>
      <c r="E1032" s="465">
        <v>46136</v>
      </c>
      <c r="F1032" s="465">
        <v>46139</v>
      </c>
      <c r="G1032" t="s">
        <v>833</v>
      </c>
      <c r="H1032" t="s">
        <v>349</v>
      </c>
      <c r="I1032" t="s">
        <v>1472</v>
      </c>
      <c r="J1032">
        <v>-42840</v>
      </c>
      <c r="K1032">
        <v>-42840</v>
      </c>
      <c r="O1032" t="s">
        <v>738</v>
      </c>
      <c r="Q1032" t="s">
        <v>460</v>
      </c>
      <c r="R1032">
        <v>0</v>
      </c>
    </row>
    <row r="1033" spans="1:18" x14ac:dyDescent="0.3">
      <c r="A1033">
        <v>231732</v>
      </c>
      <c r="B1033" t="s">
        <v>734</v>
      </c>
      <c r="C1033" t="s">
        <v>1473</v>
      </c>
      <c r="E1033" s="465">
        <v>46135</v>
      </c>
      <c r="F1033" s="465">
        <v>46135</v>
      </c>
      <c r="G1033" t="s">
        <v>825</v>
      </c>
      <c r="H1033" t="s">
        <v>826</v>
      </c>
      <c r="I1033" t="s">
        <v>1474</v>
      </c>
      <c r="J1033">
        <v>-79.900000000000006</v>
      </c>
      <c r="K1033">
        <v>-79.900000000000006</v>
      </c>
      <c r="O1033" t="s">
        <v>738</v>
      </c>
      <c r="P1033" t="s">
        <v>860</v>
      </c>
      <c r="Q1033" t="s">
        <v>460</v>
      </c>
      <c r="R1033">
        <v>0</v>
      </c>
    </row>
    <row r="1034" spans="1:18" x14ac:dyDescent="0.3">
      <c r="A1034">
        <v>226165</v>
      </c>
      <c r="B1034" t="s">
        <v>734</v>
      </c>
      <c r="C1034" t="s">
        <v>824</v>
      </c>
      <c r="E1034" s="465">
        <v>46134</v>
      </c>
      <c r="F1034" s="465">
        <v>46134</v>
      </c>
      <c r="G1034" t="s">
        <v>825</v>
      </c>
      <c r="H1034" t="s">
        <v>826</v>
      </c>
      <c r="I1034" t="s">
        <v>1457</v>
      </c>
      <c r="J1034">
        <v>-1</v>
      </c>
      <c r="K1034">
        <v>-1</v>
      </c>
      <c r="O1034" t="s">
        <v>738</v>
      </c>
      <c r="P1034" t="s">
        <v>860</v>
      </c>
      <c r="Q1034" t="s">
        <v>460</v>
      </c>
      <c r="R1034">
        <v>0</v>
      </c>
    </row>
    <row r="1035" spans="1:18" x14ac:dyDescent="0.3">
      <c r="A1035">
        <v>225937</v>
      </c>
      <c r="B1035" t="s">
        <v>734</v>
      </c>
      <c r="C1035" t="s">
        <v>824</v>
      </c>
      <c r="E1035" s="465">
        <v>46132</v>
      </c>
      <c r="F1035" s="465">
        <v>46132</v>
      </c>
      <c r="G1035" t="s">
        <v>825</v>
      </c>
      <c r="H1035" t="s">
        <v>826</v>
      </c>
      <c r="I1035" t="s">
        <v>1475</v>
      </c>
      <c r="J1035">
        <v>-0.5</v>
      </c>
      <c r="K1035">
        <v>-0.5</v>
      </c>
      <c r="O1035" t="s">
        <v>738</v>
      </c>
      <c r="P1035" t="s">
        <v>860</v>
      </c>
      <c r="Q1035" t="s">
        <v>460</v>
      </c>
      <c r="R1035">
        <v>0</v>
      </c>
    </row>
    <row r="1036" spans="1:18" x14ac:dyDescent="0.3">
      <c r="A1036">
        <v>225440</v>
      </c>
      <c r="B1036" t="s">
        <v>734</v>
      </c>
      <c r="C1036" t="s">
        <v>1476</v>
      </c>
      <c r="D1036" t="s">
        <v>1477</v>
      </c>
      <c r="E1036" s="465">
        <v>46129</v>
      </c>
      <c r="F1036" s="465">
        <v>46135</v>
      </c>
      <c r="G1036" t="s">
        <v>833</v>
      </c>
      <c r="H1036" t="s">
        <v>349</v>
      </c>
      <c r="I1036" t="s">
        <v>1478</v>
      </c>
      <c r="J1036">
        <v>-1035</v>
      </c>
      <c r="K1036">
        <v>-1035</v>
      </c>
      <c r="O1036" t="s">
        <v>738</v>
      </c>
      <c r="P1036" t="s">
        <v>860</v>
      </c>
      <c r="Q1036" t="s">
        <v>460</v>
      </c>
      <c r="R1036">
        <v>0</v>
      </c>
    </row>
    <row r="1037" spans="1:18" x14ac:dyDescent="0.3">
      <c r="A1037">
        <v>231718</v>
      </c>
      <c r="B1037" t="s">
        <v>734</v>
      </c>
      <c r="C1037" t="s">
        <v>824</v>
      </c>
      <c r="E1037" s="465">
        <v>46129</v>
      </c>
      <c r="F1037" s="465">
        <v>46129</v>
      </c>
      <c r="G1037" t="s">
        <v>825</v>
      </c>
      <c r="H1037" t="s">
        <v>826</v>
      </c>
      <c r="I1037" t="s">
        <v>1311</v>
      </c>
      <c r="J1037">
        <v>-0.5</v>
      </c>
      <c r="K1037">
        <v>-0.5</v>
      </c>
      <c r="O1037" t="s">
        <v>738</v>
      </c>
      <c r="P1037" t="s">
        <v>860</v>
      </c>
      <c r="Q1037" t="s">
        <v>460</v>
      </c>
      <c r="R1037">
        <v>0</v>
      </c>
    </row>
    <row r="1038" spans="1:18" x14ac:dyDescent="0.3">
      <c r="A1038">
        <v>225600</v>
      </c>
      <c r="B1038" t="s">
        <v>734</v>
      </c>
      <c r="C1038" t="s">
        <v>836</v>
      </c>
      <c r="D1038" t="s">
        <v>1479</v>
      </c>
      <c r="E1038" s="465">
        <v>46129</v>
      </c>
      <c r="F1038" s="465">
        <v>46132</v>
      </c>
      <c r="G1038" t="s">
        <v>833</v>
      </c>
      <c r="H1038" t="s">
        <v>348</v>
      </c>
      <c r="I1038" t="s">
        <v>1480</v>
      </c>
      <c r="J1038">
        <v>-13571.25</v>
      </c>
      <c r="K1038">
        <v>-13571.25</v>
      </c>
      <c r="O1038" t="s">
        <v>738</v>
      </c>
      <c r="P1038" t="s">
        <v>860</v>
      </c>
      <c r="Q1038" t="s">
        <v>460</v>
      </c>
      <c r="R1038">
        <v>0</v>
      </c>
    </row>
    <row r="1039" spans="1:18" x14ac:dyDescent="0.3">
      <c r="A1039">
        <v>225061</v>
      </c>
      <c r="B1039" t="s">
        <v>734</v>
      </c>
      <c r="C1039" t="s">
        <v>824</v>
      </c>
      <c r="E1039" s="465">
        <v>46128</v>
      </c>
      <c r="F1039" s="465">
        <v>46128</v>
      </c>
      <c r="G1039" t="s">
        <v>825</v>
      </c>
      <c r="H1039" t="s">
        <v>826</v>
      </c>
      <c r="I1039" t="s">
        <v>1481</v>
      </c>
      <c r="J1039">
        <v>-2</v>
      </c>
      <c r="K1039">
        <v>-2</v>
      </c>
      <c r="O1039" t="s">
        <v>738</v>
      </c>
      <c r="P1039" t="s">
        <v>860</v>
      </c>
      <c r="Q1039" t="s">
        <v>460</v>
      </c>
      <c r="R1039">
        <v>0</v>
      </c>
    </row>
    <row r="1040" spans="1:18" x14ac:dyDescent="0.3">
      <c r="A1040">
        <v>224766</v>
      </c>
      <c r="B1040" t="s">
        <v>734</v>
      </c>
      <c r="C1040" t="s">
        <v>1337</v>
      </c>
      <c r="D1040" t="s">
        <v>1482</v>
      </c>
      <c r="E1040" s="465">
        <v>46128</v>
      </c>
      <c r="F1040" s="465">
        <v>46142</v>
      </c>
      <c r="G1040" t="s">
        <v>833</v>
      </c>
      <c r="H1040" t="s">
        <v>348</v>
      </c>
      <c r="I1040" t="s">
        <v>1483</v>
      </c>
      <c r="J1040">
        <v>-24495</v>
      </c>
      <c r="K1040">
        <v>-24495</v>
      </c>
      <c r="O1040" t="s">
        <v>738</v>
      </c>
      <c r="Q1040" t="s">
        <v>460</v>
      </c>
      <c r="R1040">
        <v>0</v>
      </c>
    </row>
    <row r="1041" spans="1:18" x14ac:dyDescent="0.3">
      <c r="A1041">
        <v>224640</v>
      </c>
      <c r="B1041" t="s">
        <v>734</v>
      </c>
      <c r="C1041" t="s">
        <v>1484</v>
      </c>
      <c r="D1041" t="s">
        <v>1485</v>
      </c>
      <c r="E1041" s="465">
        <v>46127</v>
      </c>
      <c r="F1041" s="465">
        <v>46128</v>
      </c>
      <c r="G1041" t="s">
        <v>833</v>
      </c>
      <c r="H1041" t="s">
        <v>351</v>
      </c>
      <c r="I1041" t="s">
        <v>1486</v>
      </c>
      <c r="J1041">
        <v>-62670.66</v>
      </c>
      <c r="K1041">
        <v>-62670.66</v>
      </c>
      <c r="O1041" t="s">
        <v>738</v>
      </c>
      <c r="Q1041" t="s">
        <v>460</v>
      </c>
      <c r="R1041">
        <v>0</v>
      </c>
    </row>
    <row r="1042" spans="1:18" x14ac:dyDescent="0.3">
      <c r="A1042">
        <v>224662</v>
      </c>
      <c r="B1042" t="s">
        <v>734</v>
      </c>
      <c r="C1042" t="s">
        <v>1487</v>
      </c>
      <c r="D1042" t="s">
        <v>1488</v>
      </c>
      <c r="E1042" s="465">
        <v>46127</v>
      </c>
      <c r="F1042" s="465">
        <v>46139</v>
      </c>
      <c r="G1042" t="s">
        <v>833</v>
      </c>
      <c r="H1042" t="s">
        <v>348</v>
      </c>
      <c r="I1042" t="s">
        <v>1489</v>
      </c>
      <c r="J1042">
        <v>-140457.82999999999</v>
      </c>
      <c r="K1042">
        <v>-140457.82999999999</v>
      </c>
      <c r="O1042" t="s">
        <v>738</v>
      </c>
      <c r="P1042" t="s">
        <v>927</v>
      </c>
      <c r="Q1042" t="s">
        <v>460</v>
      </c>
      <c r="R1042">
        <v>0</v>
      </c>
    </row>
    <row r="1043" spans="1:18" x14ac:dyDescent="0.3">
      <c r="A1043">
        <v>224617</v>
      </c>
      <c r="B1043" t="s">
        <v>734</v>
      </c>
      <c r="C1043" t="s">
        <v>824</v>
      </c>
      <c r="E1043" s="465">
        <v>46126</v>
      </c>
      <c r="F1043" s="465">
        <v>46126</v>
      </c>
      <c r="G1043" t="s">
        <v>825</v>
      </c>
      <c r="H1043" t="s">
        <v>826</v>
      </c>
      <c r="I1043" t="s">
        <v>1457</v>
      </c>
      <c r="J1043">
        <v>-0.5</v>
      </c>
      <c r="K1043">
        <v>-0.5</v>
      </c>
      <c r="O1043" t="s">
        <v>738</v>
      </c>
      <c r="P1043" t="s">
        <v>860</v>
      </c>
      <c r="Q1043" t="s">
        <v>460</v>
      </c>
      <c r="R1043">
        <v>0</v>
      </c>
    </row>
    <row r="1044" spans="1:18" x14ac:dyDescent="0.3">
      <c r="A1044">
        <v>223050</v>
      </c>
      <c r="B1044" t="s">
        <v>734</v>
      </c>
      <c r="C1044" t="s">
        <v>1490</v>
      </c>
      <c r="D1044" t="s">
        <v>1491</v>
      </c>
      <c r="E1044" s="465">
        <v>46126</v>
      </c>
      <c r="F1044" s="465">
        <v>46189</v>
      </c>
      <c r="G1044" t="s">
        <v>833</v>
      </c>
      <c r="H1044" t="s">
        <v>354</v>
      </c>
      <c r="I1044" t="s">
        <v>1492</v>
      </c>
      <c r="J1044">
        <v>-12825</v>
      </c>
      <c r="K1044">
        <v>-12825</v>
      </c>
      <c r="O1044" t="s">
        <v>738</v>
      </c>
      <c r="P1044" t="s">
        <v>860</v>
      </c>
      <c r="Q1044" t="s">
        <v>460</v>
      </c>
      <c r="R1044">
        <v>0</v>
      </c>
    </row>
    <row r="1045" spans="1:18" x14ac:dyDescent="0.3">
      <c r="A1045">
        <v>224315</v>
      </c>
      <c r="B1045" t="s">
        <v>734</v>
      </c>
      <c r="C1045" t="s">
        <v>814</v>
      </c>
      <c r="D1045" t="s">
        <v>1493</v>
      </c>
      <c r="E1045" s="465">
        <v>46126</v>
      </c>
      <c r="F1045" s="465">
        <v>46132</v>
      </c>
      <c r="G1045" t="s">
        <v>307</v>
      </c>
      <c r="H1045" t="s">
        <v>312</v>
      </c>
      <c r="J1045">
        <v>-2100</v>
      </c>
      <c r="K1045">
        <v>-2100</v>
      </c>
      <c r="O1045" t="s">
        <v>738</v>
      </c>
      <c r="P1045" t="s">
        <v>860</v>
      </c>
      <c r="Q1045" t="s">
        <v>460</v>
      </c>
      <c r="R1045">
        <v>0</v>
      </c>
    </row>
    <row r="1046" spans="1:18" x14ac:dyDescent="0.3">
      <c r="A1046">
        <v>224341</v>
      </c>
      <c r="B1046" t="s">
        <v>734</v>
      </c>
      <c r="C1046" t="s">
        <v>1009</v>
      </c>
      <c r="D1046" t="s">
        <v>1383</v>
      </c>
      <c r="E1046" s="465">
        <v>46126</v>
      </c>
      <c r="F1046" s="465">
        <v>46141</v>
      </c>
      <c r="G1046" t="s">
        <v>833</v>
      </c>
      <c r="H1046" t="s">
        <v>351</v>
      </c>
      <c r="I1046" t="s">
        <v>1494</v>
      </c>
      <c r="J1046">
        <v>-14000</v>
      </c>
      <c r="K1046">
        <v>-14000</v>
      </c>
      <c r="O1046" t="s">
        <v>738</v>
      </c>
      <c r="P1046" t="s">
        <v>860</v>
      </c>
      <c r="Q1046" t="s">
        <v>460</v>
      </c>
      <c r="R1046">
        <v>0</v>
      </c>
    </row>
    <row r="1047" spans="1:18" x14ac:dyDescent="0.3">
      <c r="A1047">
        <v>224339</v>
      </c>
      <c r="B1047" t="s">
        <v>734</v>
      </c>
      <c r="C1047" t="s">
        <v>1495</v>
      </c>
      <c r="D1047" t="s">
        <v>1496</v>
      </c>
      <c r="E1047" s="465">
        <v>46126</v>
      </c>
      <c r="F1047" s="465">
        <v>46142</v>
      </c>
      <c r="G1047" t="s">
        <v>833</v>
      </c>
      <c r="H1047" t="s">
        <v>351</v>
      </c>
      <c r="I1047" t="s">
        <v>1497</v>
      </c>
      <c r="J1047">
        <v>-102500</v>
      </c>
      <c r="K1047">
        <v>-102500</v>
      </c>
      <c r="O1047" t="s">
        <v>738</v>
      </c>
      <c r="P1047" t="s">
        <v>927</v>
      </c>
      <c r="Q1047" t="s">
        <v>460</v>
      </c>
      <c r="R1047">
        <v>0</v>
      </c>
    </row>
    <row r="1048" spans="1:18" x14ac:dyDescent="0.3">
      <c r="A1048">
        <v>231717</v>
      </c>
      <c r="B1048" t="s">
        <v>734</v>
      </c>
      <c r="C1048" t="s">
        <v>1473</v>
      </c>
      <c r="E1048" s="465">
        <v>46122</v>
      </c>
      <c r="F1048" s="465">
        <v>46122</v>
      </c>
      <c r="G1048" t="s">
        <v>825</v>
      </c>
      <c r="H1048" t="s">
        <v>826</v>
      </c>
      <c r="I1048" t="s">
        <v>1498</v>
      </c>
      <c r="J1048">
        <v>-45</v>
      </c>
      <c r="K1048">
        <v>-45</v>
      </c>
      <c r="O1048" t="s">
        <v>738</v>
      </c>
      <c r="P1048" t="s">
        <v>860</v>
      </c>
      <c r="Q1048" t="s">
        <v>460</v>
      </c>
      <c r="R1048">
        <v>0</v>
      </c>
    </row>
    <row r="1049" spans="1:18" x14ac:dyDescent="0.3">
      <c r="A1049">
        <v>147602</v>
      </c>
      <c r="B1049" t="s">
        <v>734</v>
      </c>
      <c r="C1049" t="s">
        <v>735</v>
      </c>
      <c r="D1049" t="s">
        <v>1499</v>
      </c>
      <c r="E1049" s="465">
        <v>46122</v>
      </c>
      <c r="F1049" s="465">
        <v>46147</v>
      </c>
      <c r="G1049" t="s">
        <v>255</v>
      </c>
      <c r="H1049" t="s">
        <v>256</v>
      </c>
      <c r="I1049" t="s">
        <v>1354</v>
      </c>
      <c r="J1049">
        <v>-140000</v>
      </c>
      <c r="K1049">
        <v>-140000</v>
      </c>
      <c r="O1049" t="s">
        <v>738</v>
      </c>
      <c r="P1049" t="s">
        <v>860</v>
      </c>
      <c r="Q1049" t="s">
        <v>460</v>
      </c>
      <c r="R1049">
        <v>0</v>
      </c>
    </row>
    <row r="1050" spans="1:18" x14ac:dyDescent="0.3">
      <c r="A1050">
        <v>223789</v>
      </c>
      <c r="B1050" t="s">
        <v>734</v>
      </c>
      <c r="C1050" t="s">
        <v>824</v>
      </c>
      <c r="E1050" s="465">
        <v>46121</v>
      </c>
      <c r="F1050" s="465">
        <v>46121</v>
      </c>
      <c r="G1050" t="s">
        <v>825</v>
      </c>
      <c r="H1050" t="s">
        <v>826</v>
      </c>
      <c r="I1050" t="s">
        <v>1500</v>
      </c>
      <c r="J1050">
        <v>-1</v>
      </c>
      <c r="K1050">
        <v>-1</v>
      </c>
      <c r="O1050" t="s">
        <v>738</v>
      </c>
      <c r="P1050" t="s">
        <v>860</v>
      </c>
      <c r="Q1050" t="s">
        <v>460</v>
      </c>
      <c r="R1050">
        <v>0</v>
      </c>
    </row>
    <row r="1051" spans="1:18" x14ac:dyDescent="0.3">
      <c r="A1051">
        <v>223342</v>
      </c>
      <c r="B1051" t="s">
        <v>734</v>
      </c>
      <c r="C1051" t="s">
        <v>843</v>
      </c>
      <c r="D1051" t="s">
        <v>844</v>
      </c>
      <c r="E1051" s="465">
        <v>46120</v>
      </c>
      <c r="F1051" s="465">
        <v>46162</v>
      </c>
      <c r="G1051" t="s">
        <v>833</v>
      </c>
      <c r="H1051" t="s">
        <v>363</v>
      </c>
      <c r="I1051" t="s">
        <v>845</v>
      </c>
      <c r="J1051">
        <v>-4159.12</v>
      </c>
      <c r="K1051">
        <v>-4159.12</v>
      </c>
      <c r="O1051" t="s">
        <v>738</v>
      </c>
      <c r="P1051" t="s">
        <v>860</v>
      </c>
      <c r="Q1051" t="s">
        <v>460</v>
      </c>
      <c r="R1051">
        <v>0</v>
      </c>
    </row>
    <row r="1052" spans="1:18" x14ac:dyDescent="0.3">
      <c r="A1052">
        <v>231714</v>
      </c>
      <c r="B1052" t="s">
        <v>734</v>
      </c>
      <c r="C1052" t="s">
        <v>824</v>
      </c>
      <c r="E1052" s="465">
        <v>46120</v>
      </c>
      <c r="F1052" s="465">
        <v>46120</v>
      </c>
      <c r="G1052" t="s">
        <v>825</v>
      </c>
      <c r="H1052" t="s">
        <v>826</v>
      </c>
      <c r="I1052" t="s">
        <v>1318</v>
      </c>
      <c r="J1052">
        <v>-0.5</v>
      </c>
      <c r="K1052">
        <v>-0.5</v>
      </c>
      <c r="O1052" t="s">
        <v>738</v>
      </c>
      <c r="P1052" t="s">
        <v>860</v>
      </c>
      <c r="Q1052" t="s">
        <v>460</v>
      </c>
      <c r="R1052">
        <v>0</v>
      </c>
    </row>
    <row r="1053" spans="1:18" x14ac:dyDescent="0.3">
      <c r="A1053">
        <v>223337</v>
      </c>
      <c r="B1053" t="s">
        <v>734</v>
      </c>
      <c r="C1053" t="s">
        <v>843</v>
      </c>
      <c r="D1053" t="s">
        <v>844</v>
      </c>
      <c r="E1053" s="465">
        <v>46120</v>
      </c>
      <c r="F1053" s="465">
        <v>46132</v>
      </c>
      <c r="G1053" t="s">
        <v>833</v>
      </c>
      <c r="H1053" t="s">
        <v>363</v>
      </c>
      <c r="I1053" t="s">
        <v>1501</v>
      </c>
      <c r="J1053">
        <v>-33550</v>
      </c>
      <c r="K1053">
        <v>-33550</v>
      </c>
      <c r="O1053" t="s">
        <v>738</v>
      </c>
      <c r="P1053" t="s">
        <v>860</v>
      </c>
      <c r="Q1053" t="s">
        <v>460</v>
      </c>
      <c r="R1053">
        <v>0</v>
      </c>
    </row>
    <row r="1054" spans="1:18" x14ac:dyDescent="0.3">
      <c r="A1054">
        <v>223049</v>
      </c>
      <c r="B1054" t="s">
        <v>734</v>
      </c>
      <c r="C1054" t="s">
        <v>1490</v>
      </c>
      <c r="D1054" t="s">
        <v>1502</v>
      </c>
      <c r="E1054" s="465">
        <v>46119</v>
      </c>
      <c r="F1054" s="465">
        <v>46127</v>
      </c>
      <c r="G1054" t="s">
        <v>833</v>
      </c>
      <c r="H1054" t="s">
        <v>354</v>
      </c>
      <c r="I1054" t="s">
        <v>1503</v>
      </c>
      <c r="J1054">
        <v>-13500</v>
      </c>
      <c r="K1054">
        <v>-12825</v>
      </c>
      <c r="O1054" t="s">
        <v>738</v>
      </c>
      <c r="P1054" t="s">
        <v>860</v>
      </c>
      <c r="Q1054" t="s">
        <v>460</v>
      </c>
      <c r="R1054">
        <v>0</v>
      </c>
    </row>
    <row r="1055" spans="1:18" x14ac:dyDescent="0.3">
      <c r="A1055">
        <v>231759</v>
      </c>
      <c r="B1055" t="s">
        <v>734</v>
      </c>
      <c r="C1055" t="s">
        <v>824</v>
      </c>
      <c r="E1055" s="465">
        <v>46119</v>
      </c>
      <c r="F1055" s="465">
        <v>46119</v>
      </c>
      <c r="G1055" t="s">
        <v>825</v>
      </c>
      <c r="H1055" t="s">
        <v>826</v>
      </c>
      <c r="I1055" t="s">
        <v>1318</v>
      </c>
      <c r="J1055">
        <v>-0.5</v>
      </c>
      <c r="K1055">
        <v>-0.5</v>
      </c>
      <c r="O1055" t="s">
        <v>738</v>
      </c>
      <c r="P1055" t="s">
        <v>860</v>
      </c>
      <c r="Q1055" t="s">
        <v>460</v>
      </c>
      <c r="R1055">
        <v>0</v>
      </c>
    </row>
    <row r="1056" spans="1:18" x14ac:dyDescent="0.3">
      <c r="A1056">
        <v>223070</v>
      </c>
      <c r="B1056" t="s">
        <v>734</v>
      </c>
      <c r="C1056" t="s">
        <v>1504</v>
      </c>
      <c r="D1056" t="s">
        <v>1505</v>
      </c>
      <c r="E1056" s="465">
        <v>46119</v>
      </c>
      <c r="F1056" s="465">
        <v>46121</v>
      </c>
      <c r="G1056" t="s">
        <v>833</v>
      </c>
      <c r="H1056" t="s">
        <v>348</v>
      </c>
      <c r="I1056" t="s">
        <v>1506</v>
      </c>
      <c r="J1056">
        <v>-3000</v>
      </c>
      <c r="K1056">
        <v>-3000</v>
      </c>
      <c r="O1056" t="s">
        <v>738</v>
      </c>
      <c r="P1056" t="s">
        <v>860</v>
      </c>
      <c r="Q1056" t="s">
        <v>460</v>
      </c>
      <c r="R1056">
        <v>0</v>
      </c>
    </row>
    <row r="1057" spans="1:18" x14ac:dyDescent="0.3">
      <c r="A1057">
        <v>222419</v>
      </c>
      <c r="B1057" t="s">
        <v>734</v>
      </c>
      <c r="C1057" t="s">
        <v>889</v>
      </c>
      <c r="D1057" t="s">
        <v>1507</v>
      </c>
      <c r="E1057" s="465">
        <v>46118</v>
      </c>
      <c r="F1057" s="465">
        <v>46127</v>
      </c>
      <c r="G1057" t="s">
        <v>295</v>
      </c>
      <c r="H1057" t="s">
        <v>306</v>
      </c>
      <c r="I1057" t="s">
        <v>1508</v>
      </c>
      <c r="J1057">
        <v>-349.05</v>
      </c>
      <c r="K1057">
        <v>0</v>
      </c>
      <c r="O1057" t="s">
        <v>738</v>
      </c>
      <c r="P1057" t="s">
        <v>860</v>
      </c>
      <c r="Q1057" t="s">
        <v>460</v>
      </c>
      <c r="R1057">
        <v>0</v>
      </c>
    </row>
    <row r="1058" spans="1:18" x14ac:dyDescent="0.3">
      <c r="A1058">
        <v>222399</v>
      </c>
      <c r="B1058" t="s">
        <v>734</v>
      </c>
      <c r="C1058" t="s">
        <v>889</v>
      </c>
      <c r="D1058" t="s">
        <v>1509</v>
      </c>
      <c r="E1058" s="465">
        <v>46118</v>
      </c>
      <c r="F1058" s="465">
        <v>46127</v>
      </c>
      <c r="G1058" t="s">
        <v>295</v>
      </c>
      <c r="H1058" t="s">
        <v>306</v>
      </c>
      <c r="I1058" t="s">
        <v>1508</v>
      </c>
      <c r="J1058">
        <v>-82.74</v>
      </c>
      <c r="K1058">
        <v>0</v>
      </c>
      <c r="O1058" t="s">
        <v>738</v>
      </c>
      <c r="P1058" t="s">
        <v>860</v>
      </c>
      <c r="Q1058" t="s">
        <v>460</v>
      </c>
      <c r="R1058">
        <v>0</v>
      </c>
    </row>
    <row r="1059" spans="1:18" x14ac:dyDescent="0.3">
      <c r="A1059">
        <v>222692</v>
      </c>
      <c r="B1059" t="s">
        <v>734</v>
      </c>
      <c r="C1059" t="s">
        <v>824</v>
      </c>
      <c r="E1059" s="465">
        <v>46114</v>
      </c>
      <c r="F1059" s="465">
        <v>46114</v>
      </c>
      <c r="G1059" t="s">
        <v>825</v>
      </c>
      <c r="H1059" t="s">
        <v>826</v>
      </c>
      <c r="J1059">
        <v>-0.5</v>
      </c>
      <c r="K1059">
        <v>-0.5</v>
      </c>
      <c r="O1059" t="s">
        <v>738</v>
      </c>
      <c r="P1059" t="s">
        <v>860</v>
      </c>
      <c r="Q1059" t="s">
        <v>460</v>
      </c>
      <c r="R1059">
        <v>0</v>
      </c>
    </row>
    <row r="1060" spans="1:18" x14ac:dyDescent="0.3">
      <c r="A1060">
        <v>221360</v>
      </c>
      <c r="B1060" t="s">
        <v>734</v>
      </c>
      <c r="C1060" t="s">
        <v>883</v>
      </c>
      <c r="D1060" t="s">
        <v>1510</v>
      </c>
      <c r="E1060" s="465">
        <v>46114</v>
      </c>
      <c r="F1060" s="465">
        <v>46128</v>
      </c>
      <c r="G1060" t="s">
        <v>833</v>
      </c>
      <c r="H1060" t="s">
        <v>348</v>
      </c>
      <c r="I1060" t="s">
        <v>1511</v>
      </c>
      <c r="J1060">
        <v>-6250</v>
      </c>
      <c r="K1060">
        <v>-6250</v>
      </c>
      <c r="O1060" t="s">
        <v>738</v>
      </c>
      <c r="P1060" t="s">
        <v>860</v>
      </c>
      <c r="Q1060" t="s">
        <v>460</v>
      </c>
      <c r="R1060">
        <v>0</v>
      </c>
    </row>
    <row r="1061" spans="1:18" x14ac:dyDescent="0.3">
      <c r="A1061">
        <v>221581</v>
      </c>
      <c r="B1061" t="s">
        <v>734</v>
      </c>
      <c r="C1061" t="s">
        <v>1134</v>
      </c>
      <c r="D1061" t="s">
        <v>1512</v>
      </c>
      <c r="E1061" s="465">
        <v>46114</v>
      </c>
      <c r="F1061" s="465">
        <v>46118</v>
      </c>
      <c r="G1061" t="s">
        <v>833</v>
      </c>
      <c r="H1061" t="s">
        <v>349</v>
      </c>
      <c r="I1061" t="s">
        <v>1513</v>
      </c>
      <c r="J1061">
        <v>-38400</v>
      </c>
      <c r="K1061">
        <v>-34176</v>
      </c>
      <c r="O1061" t="s">
        <v>738</v>
      </c>
      <c r="P1061" t="s">
        <v>860</v>
      </c>
      <c r="Q1061" t="s">
        <v>460</v>
      </c>
      <c r="R1061">
        <v>0</v>
      </c>
    </row>
    <row r="1062" spans="1:18" x14ac:dyDescent="0.3">
      <c r="A1062">
        <v>221454</v>
      </c>
      <c r="B1062" t="s">
        <v>734</v>
      </c>
      <c r="C1062" t="s">
        <v>1514</v>
      </c>
      <c r="D1062" t="s">
        <v>1515</v>
      </c>
      <c r="E1062" s="465">
        <v>46114</v>
      </c>
      <c r="F1062" s="465">
        <v>46126</v>
      </c>
      <c r="G1062" t="s">
        <v>833</v>
      </c>
      <c r="H1062" t="s">
        <v>355</v>
      </c>
      <c r="I1062" t="s">
        <v>1516</v>
      </c>
      <c r="J1062">
        <v>-10710</v>
      </c>
      <c r="K1062">
        <v>-10710</v>
      </c>
      <c r="O1062" t="s">
        <v>738</v>
      </c>
      <c r="P1062" t="s">
        <v>860</v>
      </c>
      <c r="Q1062" t="s">
        <v>460</v>
      </c>
      <c r="R1062">
        <v>0</v>
      </c>
    </row>
    <row r="1063" spans="1:18" x14ac:dyDescent="0.3">
      <c r="A1063">
        <v>221181</v>
      </c>
      <c r="B1063" t="s">
        <v>734</v>
      </c>
      <c r="C1063" t="s">
        <v>1517</v>
      </c>
      <c r="D1063" t="s">
        <v>1518</v>
      </c>
      <c r="E1063" s="465">
        <v>46113</v>
      </c>
      <c r="F1063" s="465">
        <v>46114</v>
      </c>
      <c r="G1063" t="s">
        <v>307</v>
      </c>
      <c r="H1063" t="s">
        <v>310</v>
      </c>
      <c r="I1063" t="s">
        <v>1519</v>
      </c>
      <c r="J1063">
        <v>-219</v>
      </c>
      <c r="K1063">
        <v>-219</v>
      </c>
      <c r="O1063" t="s">
        <v>738</v>
      </c>
      <c r="P1063" t="s">
        <v>860</v>
      </c>
      <c r="Q1063" t="s">
        <v>460</v>
      </c>
      <c r="R1063">
        <v>0</v>
      </c>
    </row>
    <row r="1064" spans="1:18" x14ac:dyDescent="0.3">
      <c r="A1064">
        <v>221395</v>
      </c>
      <c r="B1064" t="s">
        <v>734</v>
      </c>
      <c r="C1064" t="s">
        <v>1102</v>
      </c>
      <c r="D1064" t="s">
        <v>1520</v>
      </c>
      <c r="E1064" s="465">
        <v>46113</v>
      </c>
      <c r="F1064" s="465">
        <v>46157</v>
      </c>
      <c r="G1064" t="s">
        <v>792</v>
      </c>
      <c r="H1064" t="s">
        <v>793</v>
      </c>
      <c r="I1064" t="s">
        <v>1395</v>
      </c>
      <c r="J1064">
        <v>-1933.33</v>
      </c>
      <c r="K1064">
        <v>-1933.33</v>
      </c>
      <c r="M1064" t="s">
        <v>1103</v>
      </c>
      <c r="N1064" t="s">
        <v>134</v>
      </c>
      <c r="O1064" t="s">
        <v>738</v>
      </c>
      <c r="P1064" t="s">
        <v>860</v>
      </c>
      <c r="Q1064" t="s">
        <v>460</v>
      </c>
      <c r="R1064">
        <v>0</v>
      </c>
    </row>
    <row r="1065" spans="1:18" x14ac:dyDescent="0.3">
      <c r="A1065">
        <v>221201</v>
      </c>
      <c r="B1065" t="s">
        <v>734</v>
      </c>
      <c r="C1065" t="s">
        <v>1521</v>
      </c>
      <c r="D1065" t="s">
        <v>1383</v>
      </c>
      <c r="E1065" s="465">
        <v>46113</v>
      </c>
      <c r="F1065" s="465">
        <v>46114</v>
      </c>
      <c r="G1065" t="s">
        <v>833</v>
      </c>
      <c r="H1065" t="s">
        <v>348</v>
      </c>
      <c r="I1065" t="s">
        <v>1522</v>
      </c>
      <c r="J1065">
        <v>-30843.72</v>
      </c>
      <c r="K1065">
        <v>-30843.72</v>
      </c>
      <c r="O1065" t="s">
        <v>738</v>
      </c>
      <c r="Q1065" t="s">
        <v>460</v>
      </c>
      <c r="R1065">
        <v>0</v>
      </c>
    </row>
    <row r="1066" spans="1:18" x14ac:dyDescent="0.3">
      <c r="A1066">
        <v>215491</v>
      </c>
      <c r="B1066" t="s">
        <v>734</v>
      </c>
      <c r="C1066" t="s">
        <v>830</v>
      </c>
      <c r="D1066" t="s">
        <v>1523</v>
      </c>
      <c r="E1066" s="465">
        <v>46113</v>
      </c>
      <c r="F1066" s="465">
        <v>46146</v>
      </c>
      <c r="G1066" t="s">
        <v>263</v>
      </c>
      <c r="H1066" t="s">
        <v>265</v>
      </c>
      <c r="J1066">
        <v>-1221.55</v>
      </c>
      <c r="K1066">
        <v>-1221.55</v>
      </c>
      <c r="O1066" t="s">
        <v>738</v>
      </c>
      <c r="P1066" t="s">
        <v>860</v>
      </c>
      <c r="Q1066" t="s">
        <v>460</v>
      </c>
      <c r="R1066">
        <v>0</v>
      </c>
    </row>
    <row r="1067" spans="1:18" x14ac:dyDescent="0.3">
      <c r="A1067">
        <v>215317</v>
      </c>
      <c r="B1067" t="s">
        <v>734</v>
      </c>
      <c r="C1067" t="s">
        <v>824</v>
      </c>
      <c r="D1067" t="s">
        <v>1524</v>
      </c>
      <c r="E1067" s="465">
        <v>46113</v>
      </c>
      <c r="F1067" s="465">
        <v>46130</v>
      </c>
      <c r="G1067" t="s">
        <v>825</v>
      </c>
      <c r="H1067" t="s">
        <v>826</v>
      </c>
      <c r="J1067">
        <v>-700</v>
      </c>
      <c r="K1067">
        <v>-700</v>
      </c>
      <c r="O1067" t="s">
        <v>738</v>
      </c>
      <c r="P1067" t="s">
        <v>860</v>
      </c>
      <c r="Q1067" t="s">
        <v>460</v>
      </c>
      <c r="R1067">
        <v>0</v>
      </c>
    </row>
    <row r="1068" spans="1:18" x14ac:dyDescent="0.3">
      <c r="A1068">
        <v>188671</v>
      </c>
      <c r="B1068" t="s">
        <v>734</v>
      </c>
      <c r="C1068" t="s">
        <v>963</v>
      </c>
      <c r="D1068" t="s">
        <v>1208</v>
      </c>
      <c r="E1068" s="465">
        <v>46113</v>
      </c>
      <c r="F1068" s="465">
        <v>46127</v>
      </c>
      <c r="G1068" t="s">
        <v>833</v>
      </c>
      <c r="H1068" t="s">
        <v>349</v>
      </c>
      <c r="I1068" t="s">
        <v>1525</v>
      </c>
      <c r="J1068">
        <v>-17045</v>
      </c>
      <c r="K1068">
        <v>-17045</v>
      </c>
      <c r="O1068" t="s">
        <v>738</v>
      </c>
      <c r="P1068" t="s">
        <v>860</v>
      </c>
      <c r="Q1068" t="s">
        <v>460</v>
      </c>
      <c r="R1068">
        <v>0</v>
      </c>
    </row>
    <row r="1069" spans="1:18" x14ac:dyDescent="0.3">
      <c r="A1069">
        <v>200013</v>
      </c>
      <c r="B1069" t="s">
        <v>734</v>
      </c>
      <c r="C1069" t="s">
        <v>855</v>
      </c>
      <c r="D1069" t="s">
        <v>1159</v>
      </c>
      <c r="E1069" s="465">
        <v>46113</v>
      </c>
      <c r="F1069" s="465">
        <v>46157</v>
      </c>
      <c r="G1069" t="s">
        <v>307</v>
      </c>
      <c r="H1069" t="s">
        <v>313</v>
      </c>
      <c r="I1069" t="s">
        <v>850</v>
      </c>
      <c r="J1069">
        <v>-10000</v>
      </c>
      <c r="K1069">
        <v>-10000</v>
      </c>
      <c r="O1069" t="s">
        <v>738</v>
      </c>
      <c r="P1069" t="s">
        <v>860</v>
      </c>
      <c r="Q1069" t="s">
        <v>460</v>
      </c>
      <c r="R1069">
        <v>0</v>
      </c>
    </row>
    <row r="1070" spans="1:18" x14ac:dyDescent="0.3">
      <c r="A1070">
        <v>221204</v>
      </c>
      <c r="B1070" t="s">
        <v>734</v>
      </c>
      <c r="C1070" t="s">
        <v>1526</v>
      </c>
      <c r="D1070" t="s">
        <v>1527</v>
      </c>
      <c r="E1070" s="465">
        <v>46113</v>
      </c>
      <c r="F1070" s="465">
        <v>46122</v>
      </c>
      <c r="G1070" t="s">
        <v>833</v>
      </c>
      <c r="H1070" t="s">
        <v>348</v>
      </c>
      <c r="I1070" t="s">
        <v>1528</v>
      </c>
      <c r="J1070">
        <v>-2933.41</v>
      </c>
      <c r="K1070">
        <v>-3017.03</v>
      </c>
      <c r="O1070" t="s">
        <v>738</v>
      </c>
      <c r="P1070" t="s">
        <v>860</v>
      </c>
      <c r="Q1070" t="s">
        <v>460</v>
      </c>
      <c r="R1070">
        <v>0</v>
      </c>
    </row>
    <row r="1071" spans="1:18" x14ac:dyDescent="0.3">
      <c r="A1071">
        <v>221205</v>
      </c>
      <c r="B1071" t="s">
        <v>734</v>
      </c>
      <c r="C1071" t="s">
        <v>1529</v>
      </c>
      <c r="D1071" t="s">
        <v>1530</v>
      </c>
      <c r="E1071" s="465">
        <v>46113</v>
      </c>
      <c r="F1071" s="465">
        <v>46135</v>
      </c>
      <c r="G1071" t="s">
        <v>833</v>
      </c>
      <c r="H1071" t="s">
        <v>351</v>
      </c>
      <c r="I1071" t="s">
        <v>1531</v>
      </c>
      <c r="J1071">
        <v>-111000</v>
      </c>
      <c r="K1071">
        <v>-111000</v>
      </c>
      <c r="O1071" t="s">
        <v>738</v>
      </c>
      <c r="P1071" t="s">
        <v>927</v>
      </c>
      <c r="Q1071" t="s">
        <v>460</v>
      </c>
      <c r="R1071">
        <v>0</v>
      </c>
    </row>
    <row r="1072" spans="1:18" x14ac:dyDescent="0.3">
      <c r="A1072">
        <v>223007</v>
      </c>
      <c r="B1072" t="s">
        <v>734</v>
      </c>
      <c r="C1072" t="s">
        <v>1532</v>
      </c>
      <c r="D1072" t="s">
        <v>1533</v>
      </c>
      <c r="E1072" s="465">
        <v>46113</v>
      </c>
      <c r="F1072" s="465">
        <v>46122</v>
      </c>
      <c r="G1072" t="s">
        <v>307</v>
      </c>
      <c r="H1072" t="s">
        <v>308</v>
      </c>
      <c r="I1072" t="s">
        <v>1534</v>
      </c>
      <c r="J1072">
        <v>-510.6</v>
      </c>
      <c r="K1072">
        <v>-510.6</v>
      </c>
      <c r="O1072" t="s">
        <v>738</v>
      </c>
      <c r="P1072" t="s">
        <v>860</v>
      </c>
      <c r="Q1072" t="s">
        <v>460</v>
      </c>
      <c r="R1072">
        <v>0</v>
      </c>
    </row>
    <row r="1073" spans="1:18" x14ac:dyDescent="0.3">
      <c r="A1073">
        <v>225430</v>
      </c>
      <c r="B1073" t="s">
        <v>734</v>
      </c>
      <c r="C1073" t="s">
        <v>1134</v>
      </c>
      <c r="D1073" t="s">
        <v>1535</v>
      </c>
      <c r="E1073" s="465">
        <v>46113</v>
      </c>
      <c r="F1073" s="465">
        <v>46149</v>
      </c>
      <c r="G1073" t="s">
        <v>833</v>
      </c>
      <c r="H1073" t="s">
        <v>352</v>
      </c>
      <c r="I1073" t="s">
        <v>1536</v>
      </c>
      <c r="J1073">
        <v>-10000</v>
      </c>
      <c r="K1073">
        <v>-10000</v>
      </c>
      <c r="O1073" t="s">
        <v>738</v>
      </c>
      <c r="P1073" t="s">
        <v>860</v>
      </c>
      <c r="Q1073" t="s">
        <v>460</v>
      </c>
      <c r="R1073">
        <v>0</v>
      </c>
    </row>
    <row r="1074" spans="1:18" x14ac:dyDescent="0.3">
      <c r="A1074">
        <v>221203</v>
      </c>
      <c r="B1074" t="s">
        <v>734</v>
      </c>
      <c r="C1074" t="s">
        <v>898</v>
      </c>
      <c r="D1074" t="s">
        <v>1537</v>
      </c>
      <c r="E1074" s="465">
        <v>46113</v>
      </c>
      <c r="F1074" s="465">
        <v>46133</v>
      </c>
      <c r="G1074" t="s">
        <v>833</v>
      </c>
      <c r="H1074" t="s">
        <v>348</v>
      </c>
      <c r="I1074" t="s">
        <v>1538</v>
      </c>
      <c r="J1074">
        <v>-54330.61</v>
      </c>
      <c r="K1074">
        <v>-54330.61</v>
      </c>
      <c r="O1074" t="s">
        <v>738</v>
      </c>
      <c r="P1074" t="s">
        <v>927</v>
      </c>
      <c r="Q1074" t="s">
        <v>460</v>
      </c>
      <c r="R1074">
        <v>0</v>
      </c>
    </row>
    <row r="1075" spans="1:18" x14ac:dyDescent="0.3">
      <c r="A1075">
        <v>227284</v>
      </c>
      <c r="B1075" t="s">
        <v>734</v>
      </c>
      <c r="C1075" t="s">
        <v>827</v>
      </c>
      <c r="D1075" t="s">
        <v>1539</v>
      </c>
      <c r="E1075" s="465">
        <v>46113</v>
      </c>
      <c r="F1075" s="465">
        <v>46146</v>
      </c>
      <c r="G1075" t="s">
        <v>792</v>
      </c>
      <c r="H1075" t="s">
        <v>793</v>
      </c>
      <c r="I1075" t="s">
        <v>1540</v>
      </c>
      <c r="J1075">
        <v>-2266.66</v>
      </c>
      <c r="K1075">
        <v>-2266.66</v>
      </c>
      <c r="O1075" t="s">
        <v>738</v>
      </c>
      <c r="P1075" t="s">
        <v>860</v>
      </c>
      <c r="Q1075" t="s">
        <v>460</v>
      </c>
      <c r="R1075">
        <v>0</v>
      </c>
    </row>
    <row r="1076" spans="1:18" x14ac:dyDescent="0.3">
      <c r="A1076">
        <v>221595</v>
      </c>
      <c r="B1076" t="s">
        <v>734</v>
      </c>
      <c r="C1076" t="s">
        <v>824</v>
      </c>
      <c r="E1076" s="465">
        <v>46113</v>
      </c>
      <c r="F1076" s="465">
        <v>46113</v>
      </c>
      <c r="G1076" t="s">
        <v>825</v>
      </c>
      <c r="H1076" t="s">
        <v>826</v>
      </c>
      <c r="J1076">
        <v>-1</v>
      </c>
      <c r="K1076">
        <v>-1</v>
      </c>
      <c r="O1076" t="s">
        <v>738</v>
      </c>
      <c r="P1076" t="s">
        <v>860</v>
      </c>
      <c r="Q1076" t="s">
        <v>460</v>
      </c>
      <c r="R1076">
        <v>0</v>
      </c>
    </row>
    <row r="1077" spans="1:18" x14ac:dyDescent="0.3">
      <c r="A1077">
        <v>221424</v>
      </c>
      <c r="B1077" t="s">
        <v>734</v>
      </c>
      <c r="C1077" t="s">
        <v>1541</v>
      </c>
      <c r="D1077" t="s">
        <v>1111</v>
      </c>
      <c r="E1077" s="465">
        <v>46113</v>
      </c>
      <c r="F1077" s="465">
        <v>46146</v>
      </c>
      <c r="G1077" t="s">
        <v>792</v>
      </c>
      <c r="H1077" t="s">
        <v>793</v>
      </c>
      <c r="I1077" t="s">
        <v>1542</v>
      </c>
      <c r="J1077">
        <v>-3683.22</v>
      </c>
      <c r="K1077">
        <v>-3683.22</v>
      </c>
      <c r="O1077" t="s">
        <v>738</v>
      </c>
      <c r="P1077" t="s">
        <v>860</v>
      </c>
      <c r="Q1077" t="s">
        <v>460</v>
      </c>
      <c r="R1077">
        <v>0</v>
      </c>
    </row>
    <row r="1078" spans="1:18" x14ac:dyDescent="0.3">
      <c r="A1078">
        <v>221410</v>
      </c>
      <c r="B1078" t="s">
        <v>734</v>
      </c>
      <c r="C1078" t="s">
        <v>1102</v>
      </c>
      <c r="D1078" t="s">
        <v>1520</v>
      </c>
      <c r="E1078" s="465">
        <v>46113</v>
      </c>
      <c r="F1078" s="465">
        <v>46150</v>
      </c>
      <c r="G1078" t="s">
        <v>792</v>
      </c>
      <c r="H1078" t="s">
        <v>793</v>
      </c>
      <c r="I1078" t="s">
        <v>1394</v>
      </c>
      <c r="J1078">
        <v>-1933.33</v>
      </c>
      <c r="K1078">
        <v>-1933.33</v>
      </c>
      <c r="M1078" t="s">
        <v>1103</v>
      </c>
      <c r="N1078" t="s">
        <v>134</v>
      </c>
      <c r="O1078" t="s">
        <v>738</v>
      </c>
      <c r="P1078" t="s">
        <v>860</v>
      </c>
      <c r="Q1078" t="s">
        <v>460</v>
      </c>
      <c r="R1078">
        <v>0</v>
      </c>
    </row>
    <row r="1079" spans="1:18" x14ac:dyDescent="0.3">
      <c r="A1079">
        <v>190585</v>
      </c>
      <c r="B1079" t="s">
        <v>734</v>
      </c>
      <c r="C1079" t="s">
        <v>49</v>
      </c>
      <c r="D1079" t="s">
        <v>1479</v>
      </c>
      <c r="E1079" s="465">
        <v>46111</v>
      </c>
      <c r="F1079" s="465">
        <v>46122</v>
      </c>
      <c r="G1079" t="s">
        <v>833</v>
      </c>
      <c r="H1079" t="s">
        <v>348</v>
      </c>
      <c r="I1079" t="s">
        <v>1543</v>
      </c>
      <c r="J1079">
        <v>-203.4</v>
      </c>
      <c r="K1079">
        <v>-203.4</v>
      </c>
      <c r="O1079" t="s">
        <v>738</v>
      </c>
      <c r="P1079" t="s">
        <v>860</v>
      </c>
      <c r="Q1079" t="s">
        <v>459</v>
      </c>
      <c r="R1079">
        <v>0</v>
      </c>
    </row>
    <row r="1080" spans="1:18" x14ac:dyDescent="0.3">
      <c r="A1080">
        <v>205023</v>
      </c>
      <c r="B1080" t="s">
        <v>734</v>
      </c>
      <c r="C1080" t="s">
        <v>1174</v>
      </c>
      <c r="D1080" t="s">
        <v>1544</v>
      </c>
      <c r="E1080" s="465">
        <v>46111</v>
      </c>
      <c r="F1080" s="465">
        <v>46111</v>
      </c>
      <c r="G1080" t="s">
        <v>833</v>
      </c>
      <c r="H1080" t="s">
        <v>351</v>
      </c>
      <c r="I1080" t="s">
        <v>1545</v>
      </c>
      <c r="J1080">
        <v>-60000</v>
      </c>
      <c r="K1080">
        <v>-60000</v>
      </c>
      <c r="O1080" t="s">
        <v>738</v>
      </c>
      <c r="P1080" t="s">
        <v>860</v>
      </c>
      <c r="Q1080" t="s">
        <v>459</v>
      </c>
      <c r="R1080">
        <v>0</v>
      </c>
    </row>
    <row r="1081" spans="1:18" x14ac:dyDescent="0.3">
      <c r="A1081">
        <v>220769</v>
      </c>
      <c r="B1081" t="s">
        <v>734</v>
      </c>
      <c r="C1081" t="s">
        <v>824</v>
      </c>
      <c r="E1081" s="465">
        <v>46111</v>
      </c>
      <c r="F1081" s="465">
        <v>46111</v>
      </c>
      <c r="G1081" t="s">
        <v>825</v>
      </c>
      <c r="H1081" t="s">
        <v>826</v>
      </c>
      <c r="J1081">
        <v>-0.5</v>
      </c>
      <c r="K1081">
        <v>-0.5</v>
      </c>
      <c r="O1081" t="s">
        <v>738</v>
      </c>
      <c r="P1081" t="s">
        <v>860</v>
      </c>
      <c r="Q1081" t="s">
        <v>459</v>
      </c>
      <c r="R1081">
        <v>0</v>
      </c>
    </row>
    <row r="1082" spans="1:18" x14ac:dyDescent="0.3">
      <c r="A1082">
        <v>217076</v>
      </c>
      <c r="B1082" t="s">
        <v>734</v>
      </c>
      <c r="C1082" t="s">
        <v>428</v>
      </c>
      <c r="D1082" t="s">
        <v>1479</v>
      </c>
      <c r="E1082" s="465">
        <v>46109</v>
      </c>
      <c r="F1082" s="465">
        <v>46132</v>
      </c>
      <c r="G1082" t="s">
        <v>833</v>
      </c>
      <c r="H1082" t="s">
        <v>348</v>
      </c>
      <c r="I1082" t="s">
        <v>1546</v>
      </c>
      <c r="J1082">
        <v>-4015</v>
      </c>
      <c r="K1082">
        <v>-4015</v>
      </c>
      <c r="O1082" t="s">
        <v>738</v>
      </c>
      <c r="P1082" t="s">
        <v>860</v>
      </c>
      <c r="Q1082" t="s">
        <v>459</v>
      </c>
      <c r="R1082">
        <v>0</v>
      </c>
    </row>
    <row r="1083" spans="1:18" x14ac:dyDescent="0.3">
      <c r="A1083">
        <v>217080</v>
      </c>
      <c r="B1083" t="s">
        <v>734</v>
      </c>
      <c r="C1083" t="s">
        <v>780</v>
      </c>
      <c r="D1083" t="s">
        <v>1479</v>
      </c>
      <c r="E1083" s="465">
        <v>46109</v>
      </c>
      <c r="F1083" s="465">
        <v>46132</v>
      </c>
      <c r="G1083" t="s">
        <v>833</v>
      </c>
      <c r="H1083" t="s">
        <v>348</v>
      </c>
      <c r="I1083" t="s">
        <v>1547</v>
      </c>
      <c r="J1083">
        <v>-180</v>
      </c>
      <c r="K1083">
        <v>-180</v>
      </c>
      <c r="O1083" t="s">
        <v>738</v>
      </c>
      <c r="P1083" t="s">
        <v>860</v>
      </c>
      <c r="Q1083" t="s">
        <v>459</v>
      </c>
      <c r="R1083">
        <v>0</v>
      </c>
    </row>
    <row r="1084" spans="1:18" x14ac:dyDescent="0.3">
      <c r="A1084">
        <v>205025</v>
      </c>
      <c r="B1084" t="s">
        <v>734</v>
      </c>
      <c r="C1084" t="s">
        <v>1174</v>
      </c>
      <c r="D1084" t="s">
        <v>1548</v>
      </c>
      <c r="E1084" s="465">
        <v>46108</v>
      </c>
      <c r="F1084" s="465">
        <v>46182</v>
      </c>
      <c r="G1084" t="s">
        <v>833</v>
      </c>
      <c r="H1084" t="s">
        <v>351</v>
      </c>
      <c r="I1084" t="s">
        <v>1549</v>
      </c>
      <c r="J1084">
        <v>-124500</v>
      </c>
      <c r="K1084">
        <v>-124500</v>
      </c>
      <c r="O1084" t="s">
        <v>738</v>
      </c>
      <c r="P1084" t="s">
        <v>927</v>
      </c>
      <c r="Q1084" t="s">
        <v>459</v>
      </c>
      <c r="R1084">
        <v>0</v>
      </c>
    </row>
    <row r="1085" spans="1:18" x14ac:dyDescent="0.3">
      <c r="A1085">
        <v>219625</v>
      </c>
      <c r="B1085" t="s">
        <v>734</v>
      </c>
      <c r="C1085" t="s">
        <v>1550</v>
      </c>
      <c r="D1085" t="s">
        <v>1551</v>
      </c>
      <c r="E1085" s="465">
        <v>46106</v>
      </c>
      <c r="F1085" s="465">
        <v>46111</v>
      </c>
      <c r="G1085" t="s">
        <v>833</v>
      </c>
      <c r="H1085" t="s">
        <v>349</v>
      </c>
      <c r="I1085" t="s">
        <v>1552</v>
      </c>
      <c r="J1085">
        <v>-31912.75</v>
      </c>
      <c r="K1085">
        <v>-31912.75</v>
      </c>
      <c r="O1085" t="s">
        <v>738</v>
      </c>
      <c r="P1085" t="s">
        <v>860</v>
      </c>
      <c r="Q1085" t="s">
        <v>459</v>
      </c>
      <c r="R1085">
        <v>0</v>
      </c>
    </row>
    <row r="1086" spans="1:18" x14ac:dyDescent="0.3">
      <c r="A1086">
        <v>219628</v>
      </c>
      <c r="B1086" t="s">
        <v>734</v>
      </c>
      <c r="C1086" t="s">
        <v>1550</v>
      </c>
      <c r="D1086" t="s">
        <v>736</v>
      </c>
      <c r="E1086" s="465">
        <v>46106</v>
      </c>
      <c r="F1086" s="465">
        <v>46198</v>
      </c>
      <c r="G1086" t="s">
        <v>833</v>
      </c>
      <c r="H1086" t="s">
        <v>349</v>
      </c>
      <c r="I1086" t="s">
        <v>1553</v>
      </c>
      <c r="J1086">
        <v>-6382.55</v>
      </c>
      <c r="K1086">
        <v>-6382.55</v>
      </c>
      <c r="O1086" t="s">
        <v>738</v>
      </c>
      <c r="P1086" t="s">
        <v>860</v>
      </c>
      <c r="Q1086" t="s">
        <v>459</v>
      </c>
      <c r="R1086">
        <v>0</v>
      </c>
    </row>
    <row r="1087" spans="1:18" x14ac:dyDescent="0.3">
      <c r="A1087">
        <v>219627</v>
      </c>
      <c r="B1087" t="s">
        <v>734</v>
      </c>
      <c r="C1087" t="s">
        <v>1550</v>
      </c>
      <c r="D1087" t="s">
        <v>1338</v>
      </c>
      <c r="E1087" s="465">
        <v>46106</v>
      </c>
      <c r="F1087" s="465">
        <v>46169</v>
      </c>
      <c r="G1087" t="s">
        <v>833</v>
      </c>
      <c r="H1087" t="s">
        <v>349</v>
      </c>
      <c r="I1087" t="s">
        <v>1552</v>
      </c>
      <c r="J1087">
        <v>-6382.55</v>
      </c>
      <c r="K1087">
        <v>-6382.55</v>
      </c>
      <c r="O1087" t="s">
        <v>738</v>
      </c>
      <c r="P1087" t="s">
        <v>860</v>
      </c>
      <c r="Q1087" t="s">
        <v>459</v>
      </c>
      <c r="R1087">
        <v>0</v>
      </c>
    </row>
    <row r="1088" spans="1:18" x14ac:dyDescent="0.3">
      <c r="A1088">
        <v>219629</v>
      </c>
      <c r="B1088" t="s">
        <v>734</v>
      </c>
      <c r="C1088" t="s">
        <v>1550</v>
      </c>
      <c r="D1088" t="s">
        <v>736</v>
      </c>
      <c r="E1088" s="465">
        <v>46106</v>
      </c>
      <c r="F1088" s="465">
        <v>46228</v>
      </c>
      <c r="G1088" t="s">
        <v>833</v>
      </c>
      <c r="H1088" t="s">
        <v>349</v>
      </c>
      <c r="I1088" t="s">
        <v>1553</v>
      </c>
      <c r="J1088">
        <v>-6382.55</v>
      </c>
      <c r="K1088">
        <v>-6382.55</v>
      </c>
      <c r="O1088" t="s">
        <v>742</v>
      </c>
      <c r="Q1088" t="s">
        <v>459</v>
      </c>
      <c r="R1088">
        <v>0</v>
      </c>
    </row>
    <row r="1089" spans="1:18" x14ac:dyDescent="0.3">
      <c r="A1089">
        <v>219630</v>
      </c>
      <c r="B1089" t="s">
        <v>734</v>
      </c>
      <c r="C1089" t="s">
        <v>1550</v>
      </c>
      <c r="D1089" t="s">
        <v>736</v>
      </c>
      <c r="E1089" s="465">
        <v>46106</v>
      </c>
      <c r="F1089" s="465">
        <v>46259</v>
      </c>
      <c r="G1089" t="s">
        <v>833</v>
      </c>
      <c r="H1089" t="s">
        <v>349</v>
      </c>
      <c r="I1089" t="s">
        <v>1553</v>
      </c>
      <c r="J1089">
        <v>-6382.55</v>
      </c>
      <c r="K1089">
        <v>-6382.55</v>
      </c>
      <c r="O1089" t="s">
        <v>742</v>
      </c>
      <c r="Q1089" t="s">
        <v>459</v>
      </c>
      <c r="R1089">
        <v>0</v>
      </c>
    </row>
    <row r="1090" spans="1:18" x14ac:dyDescent="0.3">
      <c r="A1090">
        <v>219626</v>
      </c>
      <c r="B1090" t="s">
        <v>734</v>
      </c>
      <c r="C1090" t="s">
        <v>1550</v>
      </c>
      <c r="D1090" t="s">
        <v>1554</v>
      </c>
      <c r="E1090" s="465">
        <v>46106</v>
      </c>
      <c r="F1090" s="465">
        <v>46137</v>
      </c>
      <c r="G1090" t="s">
        <v>833</v>
      </c>
      <c r="H1090" t="s">
        <v>349</v>
      </c>
      <c r="I1090" t="s">
        <v>1552</v>
      </c>
      <c r="J1090">
        <v>-6382.55</v>
      </c>
      <c r="K1090">
        <v>-6382.55</v>
      </c>
      <c r="O1090" t="s">
        <v>738</v>
      </c>
      <c r="P1090" t="s">
        <v>860</v>
      </c>
      <c r="Q1090" t="s">
        <v>459</v>
      </c>
      <c r="R1090">
        <v>0</v>
      </c>
    </row>
    <row r="1091" spans="1:18" x14ac:dyDescent="0.3">
      <c r="A1091">
        <v>219900</v>
      </c>
      <c r="B1091" t="s">
        <v>734</v>
      </c>
      <c r="C1091" t="s">
        <v>824</v>
      </c>
      <c r="E1091" s="465">
        <v>46106</v>
      </c>
      <c r="F1091" s="465">
        <v>46106</v>
      </c>
      <c r="G1091" t="s">
        <v>825</v>
      </c>
      <c r="H1091" t="s">
        <v>826</v>
      </c>
      <c r="J1091">
        <v>-1</v>
      </c>
      <c r="K1091">
        <v>-1</v>
      </c>
      <c r="O1091" t="s">
        <v>738</v>
      </c>
      <c r="P1091" t="s">
        <v>860</v>
      </c>
      <c r="Q1091" t="s">
        <v>459</v>
      </c>
      <c r="R1091">
        <v>0</v>
      </c>
    </row>
    <row r="1092" spans="1:18" x14ac:dyDescent="0.3">
      <c r="A1092">
        <v>219183</v>
      </c>
      <c r="B1092" t="s">
        <v>734</v>
      </c>
      <c r="C1092" t="s">
        <v>1504</v>
      </c>
      <c r="D1092" t="s">
        <v>1555</v>
      </c>
      <c r="E1092" s="465">
        <v>46105</v>
      </c>
      <c r="F1092" s="465">
        <v>46108</v>
      </c>
      <c r="G1092" t="s">
        <v>833</v>
      </c>
      <c r="H1092" t="s">
        <v>348</v>
      </c>
      <c r="I1092" t="s">
        <v>1556</v>
      </c>
      <c r="J1092">
        <v>-2500</v>
      </c>
      <c r="K1092">
        <v>-2500</v>
      </c>
      <c r="O1092" t="s">
        <v>738</v>
      </c>
      <c r="P1092" t="s">
        <v>860</v>
      </c>
      <c r="Q1092" t="s">
        <v>459</v>
      </c>
      <c r="R1092">
        <v>0</v>
      </c>
    </row>
    <row r="1093" spans="1:18" x14ac:dyDescent="0.3">
      <c r="A1093">
        <v>219908</v>
      </c>
      <c r="B1093" t="s">
        <v>734</v>
      </c>
      <c r="C1093" t="s">
        <v>824</v>
      </c>
      <c r="E1093" s="465">
        <v>46105</v>
      </c>
      <c r="F1093" s="465">
        <v>46105</v>
      </c>
      <c r="G1093" t="s">
        <v>825</v>
      </c>
      <c r="H1093" t="s">
        <v>826</v>
      </c>
      <c r="J1093">
        <v>-0.5</v>
      </c>
      <c r="K1093">
        <v>-0.5</v>
      </c>
      <c r="O1093" t="s">
        <v>738</v>
      </c>
      <c r="P1093" t="s">
        <v>860</v>
      </c>
      <c r="Q1093" t="s">
        <v>459</v>
      </c>
      <c r="R1093">
        <v>0</v>
      </c>
    </row>
    <row r="1094" spans="1:18" x14ac:dyDescent="0.3">
      <c r="A1094">
        <v>219182</v>
      </c>
      <c r="B1094" t="s">
        <v>734</v>
      </c>
      <c r="C1094" t="s">
        <v>1557</v>
      </c>
      <c r="D1094" t="s">
        <v>1558</v>
      </c>
      <c r="E1094" s="465">
        <v>46105</v>
      </c>
      <c r="F1094" s="465">
        <v>46127</v>
      </c>
      <c r="G1094" t="s">
        <v>833</v>
      </c>
      <c r="H1094" t="s">
        <v>348</v>
      </c>
      <c r="I1094" t="s">
        <v>1559</v>
      </c>
      <c r="J1094">
        <v>-53840.32</v>
      </c>
      <c r="K1094">
        <v>-53840.32</v>
      </c>
      <c r="O1094" t="s">
        <v>738</v>
      </c>
      <c r="Q1094" t="s">
        <v>459</v>
      </c>
      <c r="R1094">
        <v>0</v>
      </c>
    </row>
    <row r="1095" spans="1:18" x14ac:dyDescent="0.3">
      <c r="A1095">
        <v>219143</v>
      </c>
      <c r="B1095" t="s">
        <v>734</v>
      </c>
      <c r="C1095" t="s">
        <v>1134</v>
      </c>
      <c r="D1095" t="s">
        <v>1560</v>
      </c>
      <c r="E1095" s="465">
        <v>46105</v>
      </c>
      <c r="F1095" s="465">
        <v>46115</v>
      </c>
      <c r="G1095" t="s">
        <v>833</v>
      </c>
      <c r="H1095" t="s">
        <v>352</v>
      </c>
      <c r="J1095">
        <v>-10000</v>
      </c>
      <c r="K1095">
        <v>-10000</v>
      </c>
      <c r="O1095" t="s">
        <v>738</v>
      </c>
      <c r="Q1095" t="s">
        <v>459</v>
      </c>
      <c r="R1095">
        <v>0</v>
      </c>
    </row>
    <row r="1096" spans="1:18" x14ac:dyDescent="0.3">
      <c r="A1096">
        <v>218865</v>
      </c>
      <c r="B1096" t="s">
        <v>734</v>
      </c>
      <c r="C1096" t="s">
        <v>824</v>
      </c>
      <c r="E1096" s="465">
        <v>46101</v>
      </c>
      <c r="F1096" s="465">
        <v>46101</v>
      </c>
      <c r="G1096" t="s">
        <v>825</v>
      </c>
      <c r="H1096" t="s">
        <v>826</v>
      </c>
      <c r="J1096">
        <v>-1.5</v>
      </c>
      <c r="K1096">
        <v>-1.5</v>
      </c>
      <c r="O1096" t="s">
        <v>738</v>
      </c>
      <c r="P1096" t="s">
        <v>860</v>
      </c>
      <c r="Q1096" t="s">
        <v>459</v>
      </c>
      <c r="R1096">
        <v>0</v>
      </c>
    </row>
    <row r="1097" spans="1:18" x14ac:dyDescent="0.3">
      <c r="A1097">
        <v>218107</v>
      </c>
      <c r="B1097" t="s">
        <v>734</v>
      </c>
      <c r="C1097" t="s">
        <v>1561</v>
      </c>
      <c r="D1097" t="s">
        <v>1562</v>
      </c>
      <c r="E1097" s="465">
        <v>46100</v>
      </c>
      <c r="F1097" s="465">
        <v>46101</v>
      </c>
      <c r="G1097" t="s">
        <v>833</v>
      </c>
      <c r="H1097" t="s">
        <v>348</v>
      </c>
      <c r="I1097" t="s">
        <v>1563</v>
      </c>
      <c r="J1097">
        <v>-19238.150000000001</v>
      </c>
      <c r="K1097">
        <v>-19238.150000000001</v>
      </c>
      <c r="O1097" t="s">
        <v>738</v>
      </c>
      <c r="P1097" t="s">
        <v>860</v>
      </c>
      <c r="Q1097" t="s">
        <v>459</v>
      </c>
      <c r="R1097">
        <v>0</v>
      </c>
    </row>
    <row r="1098" spans="1:18" x14ac:dyDescent="0.3">
      <c r="A1098">
        <v>218474</v>
      </c>
      <c r="B1098" t="s">
        <v>734</v>
      </c>
      <c r="C1098" t="s">
        <v>1564</v>
      </c>
      <c r="D1098" t="s">
        <v>1565</v>
      </c>
      <c r="E1098" s="465">
        <v>46100</v>
      </c>
      <c r="F1098" s="465">
        <v>46114</v>
      </c>
      <c r="G1098" t="s">
        <v>833</v>
      </c>
      <c r="H1098" t="s">
        <v>348</v>
      </c>
      <c r="I1098" t="s">
        <v>1566</v>
      </c>
      <c r="J1098">
        <v>-12000</v>
      </c>
      <c r="K1098">
        <v>-11262</v>
      </c>
      <c r="O1098" t="s">
        <v>738</v>
      </c>
      <c r="Q1098" t="s">
        <v>459</v>
      </c>
      <c r="R1098">
        <v>0</v>
      </c>
    </row>
    <row r="1099" spans="1:18" x14ac:dyDescent="0.3">
      <c r="A1099">
        <v>218019</v>
      </c>
      <c r="B1099" t="s">
        <v>734</v>
      </c>
      <c r="C1099" t="s">
        <v>824</v>
      </c>
      <c r="E1099" s="465">
        <v>46099</v>
      </c>
      <c r="F1099" s="465">
        <v>46099</v>
      </c>
      <c r="G1099" t="s">
        <v>825</v>
      </c>
      <c r="H1099" t="s">
        <v>826</v>
      </c>
      <c r="J1099">
        <v>-0.5</v>
      </c>
      <c r="K1099">
        <v>-0.5</v>
      </c>
      <c r="O1099" t="s">
        <v>738</v>
      </c>
      <c r="P1099" t="s">
        <v>860</v>
      </c>
      <c r="Q1099" t="s">
        <v>459</v>
      </c>
      <c r="R1099">
        <v>0</v>
      </c>
    </row>
    <row r="1100" spans="1:18" x14ac:dyDescent="0.3">
      <c r="A1100">
        <v>217600</v>
      </c>
      <c r="B1100" t="s">
        <v>734</v>
      </c>
      <c r="C1100" t="s">
        <v>889</v>
      </c>
      <c r="D1100" t="s">
        <v>1567</v>
      </c>
      <c r="E1100" s="465">
        <v>46098</v>
      </c>
      <c r="F1100" s="465">
        <v>46099</v>
      </c>
      <c r="G1100" t="s">
        <v>295</v>
      </c>
      <c r="H1100" t="s">
        <v>306</v>
      </c>
      <c r="I1100" t="s">
        <v>1508</v>
      </c>
      <c r="J1100">
        <v>-84.45</v>
      </c>
      <c r="K1100">
        <v>0</v>
      </c>
      <c r="O1100" t="s">
        <v>738</v>
      </c>
      <c r="P1100" t="s">
        <v>860</v>
      </c>
      <c r="Q1100" t="s">
        <v>459</v>
      </c>
      <c r="R1100">
        <v>0</v>
      </c>
    </row>
    <row r="1101" spans="1:18" x14ac:dyDescent="0.3">
      <c r="A1101">
        <v>217631</v>
      </c>
      <c r="B1101" t="s">
        <v>734</v>
      </c>
      <c r="C1101" t="s">
        <v>889</v>
      </c>
      <c r="D1101" t="s">
        <v>1568</v>
      </c>
      <c r="E1101" s="465">
        <v>46098</v>
      </c>
      <c r="F1101" s="465">
        <v>46099</v>
      </c>
      <c r="G1101" t="s">
        <v>295</v>
      </c>
      <c r="H1101" t="s">
        <v>306</v>
      </c>
      <c r="I1101" t="s">
        <v>1508</v>
      </c>
      <c r="J1101">
        <v>-356.26</v>
      </c>
      <c r="K1101">
        <v>0</v>
      </c>
      <c r="O1101" t="s">
        <v>738</v>
      </c>
      <c r="P1101" t="s">
        <v>860</v>
      </c>
      <c r="Q1101" t="s">
        <v>459</v>
      </c>
      <c r="R1101">
        <v>0</v>
      </c>
    </row>
    <row r="1102" spans="1:18" x14ac:dyDescent="0.3">
      <c r="A1102">
        <v>217391</v>
      </c>
      <c r="B1102" t="s">
        <v>734</v>
      </c>
      <c r="C1102" t="s">
        <v>824</v>
      </c>
      <c r="E1102" s="465">
        <v>46097</v>
      </c>
      <c r="F1102" s="465">
        <v>46097</v>
      </c>
      <c r="G1102" t="s">
        <v>825</v>
      </c>
      <c r="H1102" t="s">
        <v>826</v>
      </c>
      <c r="J1102">
        <v>-1</v>
      </c>
      <c r="K1102">
        <v>-1</v>
      </c>
      <c r="O1102" t="s">
        <v>738</v>
      </c>
      <c r="P1102" t="s">
        <v>860</v>
      </c>
      <c r="Q1102" t="s">
        <v>459</v>
      </c>
      <c r="R1102">
        <v>0</v>
      </c>
    </row>
    <row r="1103" spans="1:18" x14ac:dyDescent="0.3">
      <c r="A1103">
        <v>216915</v>
      </c>
      <c r="B1103" t="s">
        <v>734</v>
      </c>
      <c r="C1103" t="s">
        <v>1120</v>
      </c>
      <c r="D1103" t="s">
        <v>1569</v>
      </c>
      <c r="E1103" s="465">
        <v>46094</v>
      </c>
      <c r="F1103" s="465">
        <v>46107</v>
      </c>
      <c r="G1103" t="s">
        <v>833</v>
      </c>
      <c r="H1103" t="s">
        <v>349</v>
      </c>
      <c r="I1103" t="s">
        <v>1570</v>
      </c>
      <c r="J1103">
        <v>-5414.92</v>
      </c>
      <c r="K1103">
        <v>-5414.92</v>
      </c>
      <c r="O1103" t="s">
        <v>738</v>
      </c>
      <c r="P1103" t="s">
        <v>860</v>
      </c>
      <c r="Q1103" t="s">
        <v>459</v>
      </c>
      <c r="R1103">
        <v>0</v>
      </c>
    </row>
    <row r="1104" spans="1:18" x14ac:dyDescent="0.3">
      <c r="A1104">
        <v>216908</v>
      </c>
      <c r="B1104" t="s">
        <v>734</v>
      </c>
      <c r="C1104" t="s">
        <v>1571</v>
      </c>
      <c r="D1104" t="s">
        <v>1572</v>
      </c>
      <c r="E1104" s="465">
        <v>46094</v>
      </c>
      <c r="F1104" s="465">
        <v>46106</v>
      </c>
      <c r="G1104" t="s">
        <v>833</v>
      </c>
      <c r="H1104" t="s">
        <v>349</v>
      </c>
      <c r="I1104" t="s">
        <v>1573</v>
      </c>
      <c r="J1104">
        <v>-23515.4</v>
      </c>
      <c r="K1104">
        <v>-23515.4</v>
      </c>
      <c r="O1104" t="s">
        <v>738</v>
      </c>
      <c r="P1104" t="s">
        <v>860</v>
      </c>
      <c r="Q1104" t="s">
        <v>459</v>
      </c>
      <c r="R1104">
        <v>0</v>
      </c>
    </row>
    <row r="1105" spans="1:18" x14ac:dyDescent="0.3">
      <c r="A1105">
        <v>216926</v>
      </c>
      <c r="B1105" t="s">
        <v>734</v>
      </c>
      <c r="C1105" t="s">
        <v>1171</v>
      </c>
      <c r="D1105" t="s">
        <v>1574</v>
      </c>
      <c r="E1105" s="465">
        <v>46094</v>
      </c>
      <c r="F1105" s="465">
        <v>46106</v>
      </c>
      <c r="G1105" t="s">
        <v>833</v>
      </c>
      <c r="H1105" t="s">
        <v>349</v>
      </c>
      <c r="I1105" t="s">
        <v>1575</v>
      </c>
      <c r="J1105">
        <v>-10000</v>
      </c>
      <c r="K1105">
        <v>-9968.7199999999993</v>
      </c>
      <c r="O1105" t="s">
        <v>738</v>
      </c>
      <c r="P1105" t="s">
        <v>860</v>
      </c>
      <c r="Q1105" t="s">
        <v>459</v>
      </c>
      <c r="R1105">
        <v>0</v>
      </c>
    </row>
    <row r="1106" spans="1:18" x14ac:dyDescent="0.3">
      <c r="A1106">
        <v>216160</v>
      </c>
      <c r="B1106" t="s">
        <v>734</v>
      </c>
      <c r="C1106" t="s">
        <v>1235</v>
      </c>
      <c r="D1106" t="s">
        <v>1576</v>
      </c>
      <c r="E1106" s="465">
        <v>46093</v>
      </c>
      <c r="F1106" s="465">
        <v>46104</v>
      </c>
      <c r="G1106" t="s">
        <v>833</v>
      </c>
      <c r="H1106" t="s">
        <v>355</v>
      </c>
      <c r="I1106" t="s">
        <v>1577</v>
      </c>
      <c r="J1106">
        <v>-15312</v>
      </c>
      <c r="K1106">
        <v>-15312</v>
      </c>
      <c r="O1106" t="s">
        <v>738</v>
      </c>
      <c r="P1106" t="s">
        <v>860</v>
      </c>
      <c r="Q1106" t="s">
        <v>459</v>
      </c>
      <c r="R1106">
        <v>0</v>
      </c>
    </row>
    <row r="1107" spans="1:18" x14ac:dyDescent="0.3">
      <c r="A1107">
        <v>217129</v>
      </c>
      <c r="B1107" t="s">
        <v>734</v>
      </c>
      <c r="C1107" t="s">
        <v>824</v>
      </c>
      <c r="E1107" s="465">
        <v>46093</v>
      </c>
      <c r="F1107" s="465">
        <v>46093</v>
      </c>
      <c r="G1107" t="s">
        <v>825</v>
      </c>
      <c r="H1107" t="s">
        <v>826</v>
      </c>
      <c r="J1107">
        <v>-0.5</v>
      </c>
      <c r="K1107">
        <v>-0.5</v>
      </c>
      <c r="O1107" t="s">
        <v>738</v>
      </c>
      <c r="P1107" t="s">
        <v>860</v>
      </c>
      <c r="Q1107" t="s">
        <v>459</v>
      </c>
      <c r="R1107">
        <v>0</v>
      </c>
    </row>
    <row r="1108" spans="1:18" x14ac:dyDescent="0.3">
      <c r="A1108">
        <v>215933</v>
      </c>
      <c r="B1108" t="s">
        <v>734</v>
      </c>
      <c r="C1108" t="s">
        <v>824</v>
      </c>
      <c r="E1108" s="465">
        <v>46091</v>
      </c>
      <c r="F1108" s="465">
        <v>46091</v>
      </c>
      <c r="G1108" t="s">
        <v>825</v>
      </c>
      <c r="H1108" t="s">
        <v>826</v>
      </c>
      <c r="J1108">
        <v>-1.5</v>
      </c>
      <c r="K1108">
        <v>-1.5</v>
      </c>
      <c r="O1108" t="s">
        <v>738</v>
      </c>
      <c r="P1108" t="s">
        <v>860</v>
      </c>
      <c r="Q1108" t="s">
        <v>459</v>
      </c>
      <c r="R1108">
        <v>0</v>
      </c>
    </row>
    <row r="1109" spans="1:18" x14ac:dyDescent="0.3">
      <c r="A1109">
        <v>215643</v>
      </c>
      <c r="B1109" t="s">
        <v>734</v>
      </c>
      <c r="C1109" t="s">
        <v>1578</v>
      </c>
      <c r="D1109" t="s">
        <v>1579</v>
      </c>
      <c r="E1109" s="465">
        <v>46091</v>
      </c>
      <c r="F1109" s="465">
        <v>46107</v>
      </c>
      <c r="G1109" t="s">
        <v>833</v>
      </c>
      <c r="H1109" t="s">
        <v>351</v>
      </c>
      <c r="I1109" t="s">
        <v>1580</v>
      </c>
      <c r="J1109">
        <v>-128835</v>
      </c>
      <c r="K1109">
        <v>-128835</v>
      </c>
      <c r="O1109" t="s">
        <v>738</v>
      </c>
      <c r="P1109" t="s">
        <v>927</v>
      </c>
      <c r="Q1109" t="s">
        <v>459</v>
      </c>
      <c r="R1109">
        <v>0</v>
      </c>
    </row>
    <row r="1110" spans="1:18" x14ac:dyDescent="0.3">
      <c r="A1110">
        <v>147601</v>
      </c>
      <c r="B1110" t="s">
        <v>734</v>
      </c>
      <c r="C1110" t="s">
        <v>735</v>
      </c>
      <c r="E1110" s="465">
        <v>46091</v>
      </c>
      <c r="F1110" s="465">
        <v>46117</v>
      </c>
      <c r="G1110" t="s">
        <v>255</v>
      </c>
      <c r="H1110" t="s">
        <v>256</v>
      </c>
      <c r="I1110" t="s">
        <v>737</v>
      </c>
      <c r="J1110">
        <v>-140000</v>
      </c>
      <c r="K1110">
        <v>-140000</v>
      </c>
      <c r="O1110" t="s">
        <v>742</v>
      </c>
      <c r="Q1110" t="s">
        <v>459</v>
      </c>
      <c r="R1110">
        <v>0</v>
      </c>
    </row>
    <row r="1111" spans="1:18" x14ac:dyDescent="0.3">
      <c r="A1111">
        <v>215929</v>
      </c>
      <c r="B1111" t="s">
        <v>734</v>
      </c>
      <c r="C1111" t="s">
        <v>824</v>
      </c>
      <c r="E1111" s="465">
        <v>46090</v>
      </c>
      <c r="F1111" s="465">
        <v>46090</v>
      </c>
      <c r="G1111" t="s">
        <v>825</v>
      </c>
      <c r="H1111" t="s">
        <v>826</v>
      </c>
      <c r="J1111">
        <v>-0.5</v>
      </c>
      <c r="K1111">
        <v>-0.5</v>
      </c>
      <c r="O1111" t="s">
        <v>738</v>
      </c>
      <c r="P1111" t="s">
        <v>860</v>
      </c>
      <c r="Q1111" t="s">
        <v>459</v>
      </c>
      <c r="R1111">
        <v>0</v>
      </c>
    </row>
    <row r="1112" spans="1:18" x14ac:dyDescent="0.3">
      <c r="A1112">
        <v>213418</v>
      </c>
      <c r="B1112" t="s">
        <v>734</v>
      </c>
      <c r="C1112" t="s">
        <v>824</v>
      </c>
      <c r="E1112" s="465">
        <v>46084</v>
      </c>
      <c r="F1112" s="465">
        <v>46084</v>
      </c>
      <c r="G1112" t="s">
        <v>825</v>
      </c>
      <c r="H1112" t="s">
        <v>826</v>
      </c>
      <c r="J1112">
        <v>-0.5</v>
      </c>
      <c r="K1112">
        <v>-0.5</v>
      </c>
      <c r="O1112" t="s">
        <v>738</v>
      </c>
      <c r="P1112" t="s">
        <v>860</v>
      </c>
      <c r="Q1112" t="s">
        <v>459</v>
      </c>
      <c r="R1112">
        <v>0</v>
      </c>
    </row>
    <row r="1113" spans="1:18" x14ac:dyDescent="0.3">
      <c r="A1113">
        <v>213415</v>
      </c>
      <c r="B1113" t="s">
        <v>734</v>
      </c>
      <c r="C1113" t="s">
        <v>824</v>
      </c>
      <c r="E1113" s="465">
        <v>46083</v>
      </c>
      <c r="F1113" s="465">
        <v>46083</v>
      </c>
      <c r="G1113" t="s">
        <v>825</v>
      </c>
      <c r="H1113" t="s">
        <v>826</v>
      </c>
      <c r="J1113">
        <v>-0.5</v>
      </c>
      <c r="K1113">
        <v>-0.5</v>
      </c>
      <c r="O1113" t="s">
        <v>738</v>
      </c>
      <c r="P1113" t="s">
        <v>860</v>
      </c>
      <c r="Q1113" t="s">
        <v>459</v>
      </c>
      <c r="R1113">
        <v>0</v>
      </c>
    </row>
    <row r="1114" spans="1:18" x14ac:dyDescent="0.3">
      <c r="A1114">
        <v>200012</v>
      </c>
      <c r="B1114" t="s">
        <v>734</v>
      </c>
      <c r="C1114" t="s">
        <v>855</v>
      </c>
      <c r="D1114" t="s">
        <v>1144</v>
      </c>
      <c r="E1114" s="465">
        <v>46082</v>
      </c>
      <c r="F1114" s="465">
        <v>46127</v>
      </c>
      <c r="G1114" t="s">
        <v>307</v>
      </c>
      <c r="H1114" t="s">
        <v>313</v>
      </c>
      <c r="I1114" t="s">
        <v>850</v>
      </c>
      <c r="J1114">
        <v>-10000</v>
      </c>
      <c r="K1114">
        <v>-10000</v>
      </c>
      <c r="O1114" t="s">
        <v>738</v>
      </c>
      <c r="P1114" t="s">
        <v>860</v>
      </c>
      <c r="Q1114" t="s">
        <v>459</v>
      </c>
      <c r="R1114">
        <v>0</v>
      </c>
    </row>
    <row r="1115" spans="1:18" x14ac:dyDescent="0.3">
      <c r="A1115">
        <v>188670</v>
      </c>
      <c r="B1115" t="s">
        <v>734</v>
      </c>
      <c r="C1115" t="s">
        <v>963</v>
      </c>
      <c r="D1115" t="s">
        <v>1581</v>
      </c>
      <c r="E1115" s="465">
        <v>46082</v>
      </c>
      <c r="F1115" s="465">
        <v>46096</v>
      </c>
      <c r="G1115" t="s">
        <v>833</v>
      </c>
      <c r="H1115" t="s">
        <v>349</v>
      </c>
      <c r="I1115" t="s">
        <v>1582</v>
      </c>
      <c r="J1115">
        <v>-17045</v>
      </c>
      <c r="K1115">
        <v>-17045</v>
      </c>
      <c r="O1115" t="s">
        <v>738</v>
      </c>
      <c r="P1115" t="s">
        <v>860</v>
      </c>
      <c r="Q1115" t="s">
        <v>459</v>
      </c>
      <c r="R1115">
        <v>0</v>
      </c>
    </row>
    <row r="1116" spans="1:18" x14ac:dyDescent="0.3">
      <c r="A1116">
        <v>222657</v>
      </c>
      <c r="B1116" t="s">
        <v>734</v>
      </c>
      <c r="C1116" t="s">
        <v>1425</v>
      </c>
      <c r="D1116" t="s">
        <v>1205</v>
      </c>
      <c r="E1116" s="465">
        <v>46082</v>
      </c>
      <c r="F1116" s="465">
        <v>46139</v>
      </c>
      <c r="G1116" t="s">
        <v>1094</v>
      </c>
      <c r="H1116" t="s">
        <v>112</v>
      </c>
      <c r="I1116" t="s">
        <v>1583</v>
      </c>
      <c r="J1116">
        <v>-2000</v>
      </c>
      <c r="K1116">
        <v>-2000</v>
      </c>
      <c r="M1116" t="s">
        <v>851</v>
      </c>
      <c r="N1116" t="s">
        <v>130</v>
      </c>
      <c r="O1116" t="s">
        <v>738</v>
      </c>
      <c r="P1116" t="s">
        <v>860</v>
      </c>
      <c r="Q1116" t="s">
        <v>459</v>
      </c>
      <c r="R1116">
        <v>0</v>
      </c>
    </row>
    <row r="1117" spans="1:18" x14ac:dyDescent="0.3">
      <c r="A1117">
        <v>188614</v>
      </c>
      <c r="B1117" t="s">
        <v>734</v>
      </c>
      <c r="C1117" t="s">
        <v>814</v>
      </c>
      <c r="D1117" t="s">
        <v>736</v>
      </c>
      <c r="E1117" s="465">
        <v>46082</v>
      </c>
      <c r="F1117" s="465">
        <v>46091</v>
      </c>
      <c r="G1117" t="s">
        <v>307</v>
      </c>
      <c r="H1117" t="s">
        <v>312</v>
      </c>
      <c r="J1117">
        <v>-2100</v>
      </c>
      <c r="K1117">
        <v>-2100</v>
      </c>
      <c r="O1117" t="s">
        <v>738</v>
      </c>
      <c r="P1117" t="s">
        <v>860</v>
      </c>
      <c r="Q1117" t="s">
        <v>459</v>
      </c>
      <c r="R1117">
        <v>0</v>
      </c>
    </row>
    <row r="1118" spans="1:18" x14ac:dyDescent="0.3">
      <c r="A1118">
        <v>210774</v>
      </c>
      <c r="B1118" t="s">
        <v>734</v>
      </c>
      <c r="C1118" t="s">
        <v>883</v>
      </c>
      <c r="D1118" t="s">
        <v>1584</v>
      </c>
      <c r="E1118" s="465">
        <v>46082</v>
      </c>
      <c r="F1118" s="465">
        <v>46091</v>
      </c>
      <c r="G1118" t="s">
        <v>833</v>
      </c>
      <c r="H1118" t="s">
        <v>348</v>
      </c>
      <c r="I1118" t="s">
        <v>1585</v>
      </c>
      <c r="J1118">
        <v>-195000</v>
      </c>
      <c r="K1118">
        <v>-195000</v>
      </c>
      <c r="O1118" t="s">
        <v>738</v>
      </c>
      <c r="P1118" t="s">
        <v>860</v>
      </c>
      <c r="Q1118" t="s">
        <v>459</v>
      </c>
      <c r="R1118">
        <v>0</v>
      </c>
    </row>
    <row r="1119" spans="1:18" x14ac:dyDescent="0.3">
      <c r="A1119">
        <v>210775</v>
      </c>
      <c r="B1119" t="s">
        <v>734</v>
      </c>
      <c r="C1119" t="s">
        <v>883</v>
      </c>
      <c r="D1119" t="s">
        <v>1586</v>
      </c>
      <c r="E1119" s="465">
        <v>46082</v>
      </c>
      <c r="F1119" s="465">
        <v>46122</v>
      </c>
      <c r="G1119" t="s">
        <v>833</v>
      </c>
      <c r="H1119" t="s">
        <v>348</v>
      </c>
      <c r="I1119" t="s">
        <v>1587</v>
      </c>
      <c r="J1119">
        <v>-97500</v>
      </c>
      <c r="K1119">
        <v>-97500</v>
      </c>
      <c r="O1119" t="s">
        <v>738</v>
      </c>
      <c r="P1119" t="s">
        <v>860</v>
      </c>
      <c r="Q1119" t="s">
        <v>459</v>
      </c>
      <c r="R1119">
        <v>0</v>
      </c>
    </row>
    <row r="1120" spans="1:18" x14ac:dyDescent="0.3">
      <c r="A1120">
        <v>210776</v>
      </c>
      <c r="B1120" t="s">
        <v>734</v>
      </c>
      <c r="C1120" t="s">
        <v>883</v>
      </c>
      <c r="D1120" t="s">
        <v>1588</v>
      </c>
      <c r="E1120" s="465">
        <v>46082</v>
      </c>
      <c r="F1120" s="465">
        <v>46152</v>
      </c>
      <c r="G1120" t="s">
        <v>833</v>
      </c>
      <c r="H1120" t="s">
        <v>348</v>
      </c>
      <c r="I1120" t="s">
        <v>1589</v>
      </c>
      <c r="J1120">
        <v>-97500</v>
      </c>
      <c r="K1120">
        <v>-97500</v>
      </c>
      <c r="O1120" t="s">
        <v>738</v>
      </c>
      <c r="P1120" t="s">
        <v>860</v>
      </c>
      <c r="Q1120" t="s">
        <v>459</v>
      </c>
      <c r="R1120">
        <v>0</v>
      </c>
    </row>
    <row r="1121" spans="1:18" x14ac:dyDescent="0.3">
      <c r="A1121">
        <v>218108</v>
      </c>
      <c r="B1121" t="s">
        <v>734</v>
      </c>
      <c r="C1121" t="s">
        <v>1532</v>
      </c>
      <c r="D1121" t="s">
        <v>1590</v>
      </c>
      <c r="E1121" s="465">
        <v>46082</v>
      </c>
      <c r="F1121" s="465">
        <v>46104</v>
      </c>
      <c r="G1121" t="s">
        <v>307</v>
      </c>
      <c r="H1121" t="s">
        <v>308</v>
      </c>
      <c r="I1121" t="s">
        <v>1591</v>
      </c>
      <c r="J1121">
        <v>-1200</v>
      </c>
      <c r="K1121">
        <v>-1200</v>
      </c>
      <c r="O1121" t="s">
        <v>738</v>
      </c>
      <c r="P1121" t="s">
        <v>860</v>
      </c>
      <c r="Q1121" t="s">
        <v>459</v>
      </c>
      <c r="R1121">
        <v>0</v>
      </c>
    </row>
    <row r="1122" spans="1:18" x14ac:dyDescent="0.3">
      <c r="A1122">
        <v>188818</v>
      </c>
      <c r="B1122" t="s">
        <v>734</v>
      </c>
      <c r="C1122" t="s">
        <v>1262</v>
      </c>
      <c r="D1122" t="s">
        <v>736</v>
      </c>
      <c r="E1122" s="465">
        <v>46082</v>
      </c>
      <c r="F1122" s="465">
        <v>46100</v>
      </c>
      <c r="G1122" t="s">
        <v>263</v>
      </c>
      <c r="H1122" t="s">
        <v>264</v>
      </c>
      <c r="J1122">
        <v>-15000</v>
      </c>
      <c r="K1122">
        <v>-15000</v>
      </c>
      <c r="O1122" t="s">
        <v>738</v>
      </c>
      <c r="Q1122" t="s">
        <v>459</v>
      </c>
      <c r="R1122">
        <v>0</v>
      </c>
    </row>
    <row r="1123" spans="1:18" x14ac:dyDescent="0.3">
      <c r="A1123">
        <v>214031</v>
      </c>
      <c r="B1123" t="s">
        <v>734</v>
      </c>
      <c r="C1123" t="s">
        <v>1529</v>
      </c>
      <c r="D1123" t="s">
        <v>1592</v>
      </c>
      <c r="E1123" s="465">
        <v>46082</v>
      </c>
      <c r="F1123" s="465">
        <v>46098</v>
      </c>
      <c r="G1123" t="s">
        <v>833</v>
      </c>
      <c r="H1123" t="s">
        <v>351</v>
      </c>
      <c r="I1123" t="s">
        <v>1593</v>
      </c>
      <c r="J1123">
        <v>-95000</v>
      </c>
      <c r="K1123">
        <v>-95000</v>
      </c>
      <c r="O1123" t="s">
        <v>738</v>
      </c>
      <c r="P1123" t="s">
        <v>927</v>
      </c>
      <c r="Q1123" t="s">
        <v>459</v>
      </c>
      <c r="R1123">
        <v>0</v>
      </c>
    </row>
    <row r="1124" spans="1:18" x14ac:dyDescent="0.3">
      <c r="A1124">
        <v>215632</v>
      </c>
      <c r="B1124" t="s">
        <v>734</v>
      </c>
      <c r="C1124" t="s">
        <v>1594</v>
      </c>
      <c r="D1124" t="s">
        <v>736</v>
      </c>
      <c r="E1124" s="465">
        <v>46082</v>
      </c>
      <c r="F1124" s="465">
        <v>46097</v>
      </c>
      <c r="G1124" t="s">
        <v>833</v>
      </c>
      <c r="H1124" t="s">
        <v>352</v>
      </c>
      <c r="J1124">
        <v>-1000</v>
      </c>
      <c r="K1124">
        <v>-1000</v>
      </c>
      <c r="O1124" t="s">
        <v>742</v>
      </c>
      <c r="Q1124" t="s">
        <v>459</v>
      </c>
      <c r="R1124">
        <v>0</v>
      </c>
    </row>
    <row r="1125" spans="1:18" x14ac:dyDescent="0.3">
      <c r="A1125">
        <v>222654</v>
      </c>
      <c r="B1125" t="s">
        <v>734</v>
      </c>
      <c r="C1125" t="s">
        <v>846</v>
      </c>
      <c r="D1125" t="s">
        <v>906</v>
      </c>
      <c r="E1125" s="465">
        <v>46082</v>
      </c>
      <c r="F1125" s="465">
        <v>46139</v>
      </c>
      <c r="G1125" t="s">
        <v>1094</v>
      </c>
      <c r="H1125" t="s">
        <v>112</v>
      </c>
      <c r="I1125" t="s">
        <v>1595</v>
      </c>
      <c r="J1125">
        <v>-2000</v>
      </c>
      <c r="K1125">
        <v>-2000</v>
      </c>
      <c r="M1125" t="s">
        <v>848</v>
      </c>
      <c r="N1125" t="s">
        <v>131</v>
      </c>
      <c r="O1125" t="s">
        <v>738</v>
      </c>
      <c r="P1125" t="s">
        <v>860</v>
      </c>
      <c r="Q1125" t="s">
        <v>459</v>
      </c>
      <c r="R1125">
        <v>0</v>
      </c>
    </row>
    <row r="1126" spans="1:18" x14ac:dyDescent="0.3">
      <c r="A1126">
        <v>215316</v>
      </c>
      <c r="B1126" t="s">
        <v>734</v>
      </c>
      <c r="C1126" t="s">
        <v>824</v>
      </c>
      <c r="D1126" t="s">
        <v>1596</v>
      </c>
      <c r="E1126" s="465">
        <v>46082</v>
      </c>
      <c r="F1126" s="465">
        <v>46099</v>
      </c>
      <c r="G1126" t="s">
        <v>825</v>
      </c>
      <c r="H1126" t="s">
        <v>826</v>
      </c>
      <c r="J1126">
        <v>-700</v>
      </c>
      <c r="K1126">
        <v>-700</v>
      </c>
      <c r="O1126" t="s">
        <v>738</v>
      </c>
      <c r="P1126" t="s">
        <v>860</v>
      </c>
      <c r="Q1126" t="s">
        <v>459</v>
      </c>
      <c r="R1126">
        <v>0</v>
      </c>
    </row>
    <row r="1127" spans="1:18" x14ac:dyDescent="0.3">
      <c r="A1127">
        <v>198069</v>
      </c>
      <c r="B1127" t="s">
        <v>734</v>
      </c>
      <c r="C1127" t="s">
        <v>830</v>
      </c>
      <c r="D1127" t="s">
        <v>1597</v>
      </c>
      <c r="E1127" s="465">
        <v>46082</v>
      </c>
      <c r="F1127" s="465">
        <v>46118</v>
      </c>
      <c r="G1127" t="s">
        <v>263</v>
      </c>
      <c r="H1127" t="s">
        <v>265</v>
      </c>
      <c r="J1127">
        <v>-1007.85</v>
      </c>
      <c r="K1127">
        <v>-1007.85</v>
      </c>
      <c r="O1127" t="s">
        <v>738</v>
      </c>
      <c r="P1127" t="s">
        <v>860</v>
      </c>
      <c r="Q1127" t="s">
        <v>459</v>
      </c>
      <c r="R1127">
        <v>0</v>
      </c>
    </row>
    <row r="1128" spans="1:18" x14ac:dyDescent="0.3">
      <c r="A1128">
        <v>219347</v>
      </c>
      <c r="B1128" t="s">
        <v>734</v>
      </c>
      <c r="C1128" t="s">
        <v>49</v>
      </c>
      <c r="D1128" t="s">
        <v>1598</v>
      </c>
      <c r="E1128" s="465">
        <v>46081</v>
      </c>
      <c r="F1128" s="465">
        <v>46111</v>
      </c>
      <c r="G1128" t="s">
        <v>833</v>
      </c>
      <c r="H1128" t="s">
        <v>348</v>
      </c>
      <c r="I1128" t="s">
        <v>1599</v>
      </c>
      <c r="J1128">
        <v>-337.16</v>
      </c>
      <c r="K1128">
        <v>-337.16</v>
      </c>
      <c r="O1128" t="s">
        <v>738</v>
      </c>
      <c r="P1128" t="s">
        <v>860</v>
      </c>
      <c r="Q1128" t="s">
        <v>458</v>
      </c>
      <c r="R1128">
        <v>0</v>
      </c>
    </row>
    <row r="1129" spans="1:18" x14ac:dyDescent="0.3">
      <c r="A1129">
        <v>217075</v>
      </c>
      <c r="B1129" t="s">
        <v>734</v>
      </c>
      <c r="C1129" t="s">
        <v>428</v>
      </c>
      <c r="D1129" t="s">
        <v>1598</v>
      </c>
      <c r="E1129" s="465">
        <v>46081</v>
      </c>
      <c r="F1129" s="465">
        <v>46101</v>
      </c>
      <c r="G1129" t="s">
        <v>833</v>
      </c>
      <c r="H1129" t="s">
        <v>348</v>
      </c>
      <c r="I1129" t="s">
        <v>1282</v>
      </c>
      <c r="J1129">
        <v>-34361</v>
      </c>
      <c r="K1129">
        <v>-34361</v>
      </c>
      <c r="O1129" t="s">
        <v>738</v>
      </c>
      <c r="P1129" t="s">
        <v>860</v>
      </c>
      <c r="Q1129" t="s">
        <v>458</v>
      </c>
      <c r="R1129">
        <v>0</v>
      </c>
    </row>
    <row r="1130" spans="1:18" x14ac:dyDescent="0.3">
      <c r="A1130">
        <v>217079</v>
      </c>
      <c r="B1130" t="s">
        <v>734</v>
      </c>
      <c r="C1130" t="s">
        <v>780</v>
      </c>
      <c r="D1130" t="s">
        <v>1598</v>
      </c>
      <c r="E1130" s="465">
        <v>46081</v>
      </c>
      <c r="F1130" s="465">
        <v>46101</v>
      </c>
      <c r="G1130" t="s">
        <v>833</v>
      </c>
      <c r="H1130" t="s">
        <v>348</v>
      </c>
      <c r="I1130" t="s">
        <v>1600</v>
      </c>
      <c r="J1130">
        <v>-5308.2</v>
      </c>
      <c r="K1130">
        <v>-5308.2</v>
      </c>
      <c r="O1130" t="s">
        <v>738</v>
      </c>
      <c r="P1130" t="s">
        <v>860</v>
      </c>
      <c r="Q1130" t="s">
        <v>458</v>
      </c>
      <c r="R1130">
        <v>0</v>
      </c>
    </row>
    <row r="1131" spans="1:18" x14ac:dyDescent="0.3">
      <c r="A1131">
        <v>211058</v>
      </c>
      <c r="B1131" t="s">
        <v>734</v>
      </c>
      <c r="C1131" t="s">
        <v>1601</v>
      </c>
      <c r="D1131" t="s">
        <v>1602</v>
      </c>
      <c r="E1131" s="465">
        <v>46078</v>
      </c>
      <c r="F1131" s="465">
        <v>46083</v>
      </c>
      <c r="G1131" t="s">
        <v>278</v>
      </c>
      <c r="H1131" t="s">
        <v>283</v>
      </c>
      <c r="J1131">
        <v>-329.9</v>
      </c>
      <c r="K1131">
        <v>-329.9</v>
      </c>
      <c r="O1131" t="s">
        <v>738</v>
      </c>
      <c r="P1131" t="s">
        <v>860</v>
      </c>
      <c r="Q1131" t="s">
        <v>458</v>
      </c>
      <c r="R1131">
        <v>0</v>
      </c>
    </row>
    <row r="1132" spans="1:18" x14ac:dyDescent="0.3">
      <c r="A1132">
        <v>212717</v>
      </c>
      <c r="B1132" t="s">
        <v>734</v>
      </c>
      <c r="C1132" t="s">
        <v>1532</v>
      </c>
      <c r="D1132" t="s">
        <v>1603</v>
      </c>
      <c r="E1132" s="465">
        <v>46078</v>
      </c>
      <c r="F1132" s="465">
        <v>46122</v>
      </c>
      <c r="G1132" t="s">
        <v>307</v>
      </c>
      <c r="H1132" t="s">
        <v>308</v>
      </c>
      <c r="I1132" t="s">
        <v>1604</v>
      </c>
      <c r="J1132">
        <v>-510.6</v>
      </c>
      <c r="K1132">
        <v>-510.6</v>
      </c>
      <c r="O1132" t="s">
        <v>738</v>
      </c>
      <c r="Q1132" t="s">
        <v>458</v>
      </c>
      <c r="R1132">
        <v>0</v>
      </c>
    </row>
    <row r="1133" spans="1:18" x14ac:dyDescent="0.3">
      <c r="A1133">
        <v>210819</v>
      </c>
      <c r="B1133" t="s">
        <v>734</v>
      </c>
      <c r="C1133" t="s">
        <v>1594</v>
      </c>
      <c r="D1133" t="s">
        <v>1605</v>
      </c>
      <c r="E1133" s="465">
        <v>46077</v>
      </c>
      <c r="F1133" s="465">
        <v>46091</v>
      </c>
      <c r="G1133" t="s">
        <v>833</v>
      </c>
      <c r="H1133" t="s">
        <v>352</v>
      </c>
      <c r="I1133" t="s">
        <v>1606</v>
      </c>
      <c r="J1133">
        <v>-1000</v>
      </c>
      <c r="K1133">
        <v>-1000</v>
      </c>
      <c r="O1133" t="s">
        <v>738</v>
      </c>
      <c r="P1133" t="s">
        <v>860</v>
      </c>
      <c r="Q1133" t="s">
        <v>458</v>
      </c>
      <c r="R1133">
        <v>0</v>
      </c>
    </row>
    <row r="1134" spans="1:18" x14ac:dyDescent="0.3">
      <c r="A1134">
        <v>211631</v>
      </c>
      <c r="B1134" t="s">
        <v>734</v>
      </c>
      <c r="C1134" t="s">
        <v>824</v>
      </c>
      <c r="E1134" s="465">
        <v>46077</v>
      </c>
      <c r="F1134" s="465">
        <v>46077</v>
      </c>
      <c r="G1134" t="s">
        <v>825</v>
      </c>
      <c r="H1134" t="s">
        <v>826</v>
      </c>
      <c r="J1134">
        <v>-2.5</v>
      </c>
      <c r="K1134">
        <v>-2.5</v>
      </c>
      <c r="O1134" t="s">
        <v>738</v>
      </c>
      <c r="P1134" t="s">
        <v>860</v>
      </c>
      <c r="Q1134" t="s">
        <v>458</v>
      </c>
      <c r="R1134">
        <v>0</v>
      </c>
    </row>
    <row r="1135" spans="1:18" x14ac:dyDescent="0.3">
      <c r="A1135">
        <v>209498</v>
      </c>
      <c r="B1135" t="s">
        <v>734</v>
      </c>
      <c r="C1135" t="s">
        <v>824</v>
      </c>
      <c r="E1135" s="465">
        <v>46071</v>
      </c>
      <c r="F1135" s="465">
        <v>46071</v>
      </c>
      <c r="G1135" t="s">
        <v>825</v>
      </c>
      <c r="H1135" t="s">
        <v>826</v>
      </c>
      <c r="J1135">
        <v>-1</v>
      </c>
      <c r="K1135">
        <v>-1</v>
      </c>
      <c r="O1135" t="s">
        <v>738</v>
      </c>
      <c r="P1135" t="s">
        <v>860</v>
      </c>
      <c r="Q1135" t="s">
        <v>458</v>
      </c>
      <c r="R1135">
        <v>0</v>
      </c>
    </row>
    <row r="1136" spans="1:18" x14ac:dyDescent="0.3">
      <c r="A1136">
        <v>193664</v>
      </c>
      <c r="B1136" t="s">
        <v>734</v>
      </c>
      <c r="C1136" t="s">
        <v>1012</v>
      </c>
      <c r="D1136" t="s">
        <v>1607</v>
      </c>
      <c r="E1136" s="465">
        <v>46069</v>
      </c>
      <c r="F1136" s="465">
        <v>46101</v>
      </c>
      <c r="G1136" t="s">
        <v>307</v>
      </c>
      <c r="H1136" t="s">
        <v>315</v>
      </c>
      <c r="I1136" t="s">
        <v>1608</v>
      </c>
      <c r="J1136">
        <v>-3040</v>
      </c>
      <c r="K1136">
        <v>-3040</v>
      </c>
      <c r="O1136" t="s">
        <v>738</v>
      </c>
      <c r="P1136" t="s">
        <v>860</v>
      </c>
      <c r="Q1136" t="s">
        <v>458</v>
      </c>
      <c r="R1136">
        <v>0</v>
      </c>
    </row>
    <row r="1137" spans="1:18" x14ac:dyDescent="0.3">
      <c r="A1137">
        <v>208143</v>
      </c>
      <c r="B1137" t="s">
        <v>734</v>
      </c>
      <c r="C1137" t="s">
        <v>824</v>
      </c>
      <c r="E1137" s="465">
        <v>46066</v>
      </c>
      <c r="F1137" s="465">
        <v>46066</v>
      </c>
      <c r="G1137" t="s">
        <v>825</v>
      </c>
      <c r="H1137" t="s">
        <v>826</v>
      </c>
      <c r="J1137">
        <v>-0.5</v>
      </c>
      <c r="K1137">
        <v>-0.5</v>
      </c>
      <c r="O1137" t="s">
        <v>738</v>
      </c>
      <c r="P1137" t="s">
        <v>860</v>
      </c>
      <c r="Q1137" t="s">
        <v>458</v>
      </c>
      <c r="R1137">
        <v>0</v>
      </c>
    </row>
    <row r="1138" spans="1:18" x14ac:dyDescent="0.3">
      <c r="A1138">
        <v>206972</v>
      </c>
      <c r="B1138" t="s">
        <v>734</v>
      </c>
      <c r="C1138" t="s">
        <v>1476</v>
      </c>
      <c r="D1138" t="s">
        <v>1609</v>
      </c>
      <c r="E1138" s="465">
        <v>46066</v>
      </c>
      <c r="F1138" s="465">
        <v>46079</v>
      </c>
      <c r="G1138" t="s">
        <v>833</v>
      </c>
      <c r="H1138" t="s">
        <v>349</v>
      </c>
      <c r="I1138" t="s">
        <v>1610</v>
      </c>
      <c r="J1138">
        <v>-41690</v>
      </c>
      <c r="K1138">
        <v>-41690</v>
      </c>
      <c r="O1138" t="s">
        <v>738</v>
      </c>
      <c r="Q1138" t="s">
        <v>458</v>
      </c>
      <c r="R1138">
        <v>0</v>
      </c>
    </row>
    <row r="1139" spans="1:18" x14ac:dyDescent="0.3">
      <c r="A1139">
        <v>147600</v>
      </c>
      <c r="B1139" t="s">
        <v>734</v>
      </c>
      <c r="C1139" t="s">
        <v>735</v>
      </c>
      <c r="D1139" t="s">
        <v>1611</v>
      </c>
      <c r="E1139" s="465">
        <v>46063</v>
      </c>
      <c r="F1139" s="465">
        <v>46086</v>
      </c>
      <c r="G1139" t="s">
        <v>255</v>
      </c>
      <c r="H1139" t="s">
        <v>256</v>
      </c>
      <c r="I1139" t="s">
        <v>737</v>
      </c>
      <c r="J1139">
        <v>-95000</v>
      </c>
      <c r="K1139">
        <v>-95000</v>
      </c>
      <c r="O1139" t="s">
        <v>738</v>
      </c>
      <c r="P1139" t="s">
        <v>860</v>
      </c>
      <c r="Q1139" t="s">
        <v>458</v>
      </c>
      <c r="R1139">
        <v>0</v>
      </c>
    </row>
    <row r="1140" spans="1:18" x14ac:dyDescent="0.3">
      <c r="A1140">
        <v>206579</v>
      </c>
      <c r="B1140" t="s">
        <v>734</v>
      </c>
      <c r="C1140" t="s">
        <v>824</v>
      </c>
      <c r="E1140" s="465">
        <v>46063</v>
      </c>
      <c r="F1140" s="465">
        <v>46063</v>
      </c>
      <c r="G1140" t="s">
        <v>825</v>
      </c>
      <c r="H1140" t="s">
        <v>826</v>
      </c>
      <c r="J1140">
        <v>-3</v>
      </c>
      <c r="K1140">
        <v>-3</v>
      </c>
      <c r="O1140" t="s">
        <v>738</v>
      </c>
      <c r="P1140" t="s">
        <v>860</v>
      </c>
      <c r="Q1140" t="s">
        <v>458</v>
      </c>
      <c r="R1140">
        <v>0</v>
      </c>
    </row>
    <row r="1141" spans="1:18" x14ac:dyDescent="0.3">
      <c r="A1141">
        <v>206578</v>
      </c>
      <c r="B1141" t="s">
        <v>734</v>
      </c>
      <c r="C1141" t="s">
        <v>824</v>
      </c>
      <c r="E1141" s="465">
        <v>46062</v>
      </c>
      <c r="F1141" s="465">
        <v>46062</v>
      </c>
      <c r="G1141" t="s">
        <v>825</v>
      </c>
      <c r="H1141" t="s">
        <v>826</v>
      </c>
      <c r="J1141">
        <v>-0.5</v>
      </c>
      <c r="K1141">
        <v>-0.5</v>
      </c>
      <c r="O1141" t="s">
        <v>738</v>
      </c>
      <c r="P1141" t="s">
        <v>860</v>
      </c>
      <c r="Q1141" t="s">
        <v>458</v>
      </c>
      <c r="R1141">
        <v>0</v>
      </c>
    </row>
    <row r="1142" spans="1:18" x14ac:dyDescent="0.3">
      <c r="A1142">
        <v>205215</v>
      </c>
      <c r="B1142" t="s">
        <v>734</v>
      </c>
      <c r="C1142" t="s">
        <v>1532</v>
      </c>
      <c r="D1142" t="s">
        <v>1612</v>
      </c>
      <c r="E1142" s="465">
        <v>46059</v>
      </c>
      <c r="F1142" s="465">
        <v>46104</v>
      </c>
      <c r="G1142" t="s">
        <v>307</v>
      </c>
      <c r="H1142" t="s">
        <v>308</v>
      </c>
      <c r="I1142" t="s">
        <v>1613</v>
      </c>
      <c r="J1142">
        <v>-1500</v>
      </c>
      <c r="K1142">
        <v>-1500</v>
      </c>
      <c r="O1142" t="s">
        <v>738</v>
      </c>
      <c r="P1142" t="s">
        <v>860</v>
      </c>
      <c r="Q1142" t="s">
        <v>458</v>
      </c>
      <c r="R1142">
        <v>0</v>
      </c>
    </row>
    <row r="1143" spans="1:18" x14ac:dyDescent="0.3">
      <c r="A1143">
        <v>205101</v>
      </c>
      <c r="B1143" t="s">
        <v>734</v>
      </c>
      <c r="C1143" t="s">
        <v>824</v>
      </c>
      <c r="E1143" s="465">
        <v>46057</v>
      </c>
      <c r="F1143" s="465">
        <v>46057</v>
      </c>
      <c r="G1143" t="s">
        <v>825</v>
      </c>
      <c r="H1143" t="s">
        <v>826</v>
      </c>
      <c r="J1143">
        <v>-0.5</v>
      </c>
      <c r="K1143">
        <v>-0.5</v>
      </c>
      <c r="O1143" t="s">
        <v>738</v>
      </c>
      <c r="P1143" t="s">
        <v>860</v>
      </c>
      <c r="Q1143" t="s">
        <v>458</v>
      </c>
      <c r="R1143">
        <v>0</v>
      </c>
    </row>
    <row r="1144" spans="1:18" x14ac:dyDescent="0.3">
      <c r="A1144">
        <v>188817</v>
      </c>
      <c r="B1144" t="s">
        <v>734</v>
      </c>
      <c r="C1144" t="s">
        <v>1262</v>
      </c>
      <c r="D1144" t="s">
        <v>736</v>
      </c>
      <c r="E1144" s="465">
        <v>46054</v>
      </c>
      <c r="F1144" s="465">
        <v>46072</v>
      </c>
      <c r="G1144" t="s">
        <v>263</v>
      </c>
      <c r="H1144" t="s">
        <v>264</v>
      </c>
      <c r="J1144">
        <v>-15000</v>
      </c>
      <c r="K1144">
        <v>-15000</v>
      </c>
      <c r="O1144" t="s">
        <v>738</v>
      </c>
      <c r="Q1144" t="s">
        <v>458</v>
      </c>
      <c r="R1144">
        <v>0</v>
      </c>
    </row>
    <row r="1145" spans="1:18" x14ac:dyDescent="0.3">
      <c r="A1145">
        <v>193663</v>
      </c>
      <c r="B1145" t="s">
        <v>734</v>
      </c>
      <c r="C1145" t="s">
        <v>1012</v>
      </c>
      <c r="D1145" t="s">
        <v>1046</v>
      </c>
      <c r="E1145" s="465">
        <v>46054</v>
      </c>
      <c r="F1145" s="465">
        <v>46101</v>
      </c>
      <c r="G1145" t="s">
        <v>307</v>
      </c>
      <c r="H1145" t="s">
        <v>315</v>
      </c>
      <c r="I1145" t="s">
        <v>1614</v>
      </c>
      <c r="J1145">
        <v>-3800</v>
      </c>
      <c r="K1145">
        <v>-3800</v>
      </c>
      <c r="O1145" t="s">
        <v>738</v>
      </c>
      <c r="P1145" t="s">
        <v>860</v>
      </c>
      <c r="Q1145" t="s">
        <v>458</v>
      </c>
      <c r="R1145">
        <v>0</v>
      </c>
    </row>
    <row r="1146" spans="1:18" x14ac:dyDescent="0.3">
      <c r="A1146">
        <v>198068</v>
      </c>
      <c r="B1146" t="s">
        <v>734</v>
      </c>
      <c r="C1146" t="s">
        <v>830</v>
      </c>
      <c r="D1146" t="s">
        <v>1615</v>
      </c>
      <c r="E1146" s="465">
        <v>46054</v>
      </c>
      <c r="F1146" s="465">
        <v>46085</v>
      </c>
      <c r="G1146" t="s">
        <v>263</v>
      </c>
      <c r="H1146" t="s">
        <v>265</v>
      </c>
      <c r="J1146">
        <v>-851.01</v>
      </c>
      <c r="K1146">
        <v>-851.01</v>
      </c>
      <c r="O1146" t="s">
        <v>738</v>
      </c>
      <c r="P1146" t="s">
        <v>860</v>
      </c>
      <c r="Q1146" t="s">
        <v>458</v>
      </c>
      <c r="R1146">
        <v>0</v>
      </c>
    </row>
    <row r="1147" spans="1:18" x14ac:dyDescent="0.3">
      <c r="A1147">
        <v>188669</v>
      </c>
      <c r="B1147" t="s">
        <v>734</v>
      </c>
      <c r="C1147" t="s">
        <v>963</v>
      </c>
      <c r="D1147" t="s">
        <v>1616</v>
      </c>
      <c r="E1147" s="465">
        <v>46054</v>
      </c>
      <c r="F1147" s="465">
        <v>46083</v>
      </c>
      <c r="G1147" t="s">
        <v>833</v>
      </c>
      <c r="H1147" t="s">
        <v>349</v>
      </c>
      <c r="I1147" t="s">
        <v>1617</v>
      </c>
      <c r="J1147">
        <v>-17045</v>
      </c>
      <c r="K1147">
        <v>-17045</v>
      </c>
      <c r="O1147" t="s">
        <v>738</v>
      </c>
      <c r="P1147" t="s">
        <v>860</v>
      </c>
      <c r="Q1147" t="s">
        <v>458</v>
      </c>
      <c r="R1147">
        <v>0</v>
      </c>
    </row>
    <row r="1148" spans="1:18" x14ac:dyDescent="0.3">
      <c r="A1148">
        <v>188613</v>
      </c>
      <c r="B1148" t="s">
        <v>734</v>
      </c>
      <c r="C1148" t="s">
        <v>814</v>
      </c>
      <c r="D1148" t="s">
        <v>1618</v>
      </c>
      <c r="E1148" s="465">
        <v>46054</v>
      </c>
      <c r="F1148" s="465">
        <v>46063</v>
      </c>
      <c r="G1148" t="s">
        <v>307</v>
      </c>
      <c r="H1148" t="s">
        <v>312</v>
      </c>
      <c r="J1148">
        <v>-2100</v>
      </c>
      <c r="K1148">
        <v>-2100</v>
      </c>
      <c r="O1148" t="s">
        <v>738</v>
      </c>
      <c r="P1148" t="s">
        <v>860</v>
      </c>
      <c r="Q1148" t="s">
        <v>458</v>
      </c>
      <c r="R1148">
        <v>0</v>
      </c>
    </row>
    <row r="1149" spans="1:18" x14ac:dyDescent="0.3">
      <c r="A1149">
        <v>175657</v>
      </c>
      <c r="B1149" t="s">
        <v>734</v>
      </c>
      <c r="C1149" t="s">
        <v>824</v>
      </c>
      <c r="D1149" t="s">
        <v>1619</v>
      </c>
      <c r="E1149" s="465">
        <v>46054</v>
      </c>
      <c r="F1149" s="465">
        <v>46071</v>
      </c>
      <c r="G1149" t="s">
        <v>825</v>
      </c>
      <c r="H1149" t="s">
        <v>826</v>
      </c>
      <c r="I1149" t="s">
        <v>1620</v>
      </c>
      <c r="J1149">
        <v>-400</v>
      </c>
      <c r="K1149">
        <v>-700</v>
      </c>
      <c r="O1149" t="s">
        <v>738</v>
      </c>
      <c r="P1149" t="s">
        <v>860</v>
      </c>
      <c r="Q1149" t="s">
        <v>458</v>
      </c>
      <c r="R1149">
        <v>0</v>
      </c>
    </row>
    <row r="1150" spans="1:18" x14ac:dyDescent="0.3">
      <c r="A1150">
        <v>200011</v>
      </c>
      <c r="B1150" t="s">
        <v>734</v>
      </c>
      <c r="C1150" t="s">
        <v>855</v>
      </c>
      <c r="D1150" t="s">
        <v>1434</v>
      </c>
      <c r="E1150" s="465">
        <v>46054</v>
      </c>
      <c r="F1150" s="465">
        <v>46099</v>
      </c>
      <c r="G1150" t="s">
        <v>307</v>
      </c>
      <c r="H1150" t="s">
        <v>313</v>
      </c>
      <c r="I1150" t="s">
        <v>850</v>
      </c>
      <c r="J1150">
        <v>-10000</v>
      </c>
      <c r="K1150">
        <v>-10000</v>
      </c>
      <c r="O1150" t="s">
        <v>738</v>
      </c>
      <c r="P1150" t="s">
        <v>860</v>
      </c>
      <c r="Q1150" t="s">
        <v>458</v>
      </c>
      <c r="R1150">
        <v>0</v>
      </c>
    </row>
    <row r="1151" spans="1:18" x14ac:dyDescent="0.3">
      <c r="A1151">
        <v>198388</v>
      </c>
      <c r="B1151" t="s">
        <v>734</v>
      </c>
      <c r="C1151" t="s">
        <v>1621</v>
      </c>
      <c r="D1151" t="s">
        <v>1622</v>
      </c>
      <c r="E1151" s="465">
        <v>46054</v>
      </c>
      <c r="F1151" s="465">
        <v>46101</v>
      </c>
      <c r="G1151" t="s">
        <v>833</v>
      </c>
      <c r="H1151" t="s">
        <v>349</v>
      </c>
      <c r="I1151" t="s">
        <v>1623</v>
      </c>
      <c r="J1151">
        <v>-27250</v>
      </c>
      <c r="K1151">
        <v>-27250</v>
      </c>
      <c r="O1151" t="s">
        <v>738</v>
      </c>
      <c r="P1151" t="s">
        <v>860</v>
      </c>
      <c r="Q1151" t="s">
        <v>458</v>
      </c>
      <c r="R1151">
        <v>0</v>
      </c>
    </row>
    <row r="1152" spans="1:18" x14ac:dyDescent="0.3">
      <c r="A1152">
        <v>210737</v>
      </c>
      <c r="B1152" t="s">
        <v>734</v>
      </c>
      <c r="C1152" t="s">
        <v>1594</v>
      </c>
      <c r="D1152" t="s">
        <v>1624</v>
      </c>
      <c r="E1152" s="465">
        <v>46054</v>
      </c>
      <c r="F1152" s="465">
        <v>46085</v>
      </c>
      <c r="G1152" t="s">
        <v>833</v>
      </c>
      <c r="H1152" t="s">
        <v>352</v>
      </c>
      <c r="J1152">
        <v>-864.4</v>
      </c>
      <c r="K1152">
        <v>-864.4</v>
      </c>
      <c r="O1152" t="s">
        <v>738</v>
      </c>
      <c r="P1152" t="s">
        <v>860</v>
      </c>
      <c r="Q1152" t="s">
        <v>458</v>
      </c>
      <c r="R1152">
        <v>0</v>
      </c>
    </row>
    <row r="1153" spans="1:18" x14ac:dyDescent="0.3">
      <c r="A1153">
        <v>214218</v>
      </c>
      <c r="B1153" t="s">
        <v>734</v>
      </c>
      <c r="C1153" t="s">
        <v>846</v>
      </c>
      <c r="D1153" t="s">
        <v>1264</v>
      </c>
      <c r="E1153" s="465">
        <v>46054</v>
      </c>
      <c r="F1153" s="465">
        <v>46106</v>
      </c>
      <c r="G1153" t="s">
        <v>1094</v>
      </c>
      <c r="H1153" t="s">
        <v>112</v>
      </c>
      <c r="I1153" t="s">
        <v>1625</v>
      </c>
      <c r="J1153">
        <v>-2000</v>
      </c>
      <c r="K1153">
        <v>-2000</v>
      </c>
      <c r="M1153" t="s">
        <v>848</v>
      </c>
      <c r="N1153" t="s">
        <v>131</v>
      </c>
      <c r="O1153" t="s">
        <v>738</v>
      </c>
      <c r="P1153" t="s">
        <v>860</v>
      </c>
      <c r="Q1153" t="s">
        <v>458</v>
      </c>
      <c r="R1153">
        <v>0</v>
      </c>
    </row>
    <row r="1154" spans="1:18" x14ac:dyDescent="0.3">
      <c r="A1154">
        <v>211288</v>
      </c>
      <c r="B1154" t="s">
        <v>734</v>
      </c>
      <c r="C1154" t="s">
        <v>889</v>
      </c>
      <c r="D1154" t="s">
        <v>1626</v>
      </c>
      <c r="E1154" s="465">
        <v>46054</v>
      </c>
      <c r="F1154" s="465">
        <v>46093</v>
      </c>
      <c r="G1154" t="s">
        <v>295</v>
      </c>
      <c r="H1154" t="s">
        <v>306</v>
      </c>
      <c r="I1154" t="s">
        <v>1508</v>
      </c>
      <c r="J1154">
        <v>-82.74</v>
      </c>
      <c r="K1154">
        <v>0</v>
      </c>
      <c r="O1154" t="s">
        <v>738</v>
      </c>
      <c r="P1154" t="s">
        <v>860</v>
      </c>
      <c r="Q1154" t="s">
        <v>458</v>
      </c>
      <c r="R1154">
        <v>0</v>
      </c>
    </row>
    <row r="1155" spans="1:18" x14ac:dyDescent="0.3">
      <c r="A1155">
        <v>211318</v>
      </c>
      <c r="B1155" t="s">
        <v>734</v>
      </c>
      <c r="C1155" t="s">
        <v>889</v>
      </c>
      <c r="D1155" t="s">
        <v>1627</v>
      </c>
      <c r="E1155" s="465">
        <v>46054</v>
      </c>
      <c r="F1155" s="465">
        <v>46093</v>
      </c>
      <c r="G1155" t="s">
        <v>295</v>
      </c>
      <c r="H1155" t="s">
        <v>306</v>
      </c>
      <c r="I1155" t="s">
        <v>1508</v>
      </c>
      <c r="J1155">
        <v>-349.05</v>
      </c>
      <c r="K1155">
        <v>0</v>
      </c>
      <c r="O1155" t="s">
        <v>738</v>
      </c>
      <c r="P1155" t="s">
        <v>860</v>
      </c>
      <c r="Q1155" t="s">
        <v>458</v>
      </c>
      <c r="R1155">
        <v>0</v>
      </c>
    </row>
    <row r="1156" spans="1:18" x14ac:dyDescent="0.3">
      <c r="A1156">
        <v>205022</v>
      </c>
      <c r="B1156" t="s">
        <v>734</v>
      </c>
      <c r="C1156" t="s">
        <v>1174</v>
      </c>
      <c r="D1156" t="s">
        <v>736</v>
      </c>
      <c r="E1156" s="465">
        <v>46054</v>
      </c>
      <c r="F1156" s="465">
        <v>46077</v>
      </c>
      <c r="G1156" t="s">
        <v>833</v>
      </c>
      <c r="H1156" t="s">
        <v>351</v>
      </c>
      <c r="I1156" t="s">
        <v>1628</v>
      </c>
      <c r="J1156">
        <v>-148000</v>
      </c>
      <c r="K1156">
        <v>-148000</v>
      </c>
      <c r="O1156" t="s">
        <v>738</v>
      </c>
      <c r="P1156" t="s">
        <v>860</v>
      </c>
      <c r="Q1156" t="s">
        <v>458</v>
      </c>
      <c r="R1156">
        <v>0</v>
      </c>
    </row>
    <row r="1157" spans="1:18" x14ac:dyDescent="0.3">
      <c r="A1157">
        <v>205018</v>
      </c>
      <c r="B1157" t="s">
        <v>734</v>
      </c>
      <c r="C1157" t="s">
        <v>1174</v>
      </c>
      <c r="D1157" t="s">
        <v>736</v>
      </c>
      <c r="E1157" s="465">
        <v>46054</v>
      </c>
      <c r="F1157" s="465">
        <v>46062</v>
      </c>
      <c r="G1157" t="s">
        <v>833</v>
      </c>
      <c r="H1157" t="s">
        <v>351</v>
      </c>
      <c r="I1157" t="s">
        <v>1629</v>
      </c>
      <c r="J1157">
        <v>-209500</v>
      </c>
      <c r="K1157">
        <v>-209500</v>
      </c>
      <c r="O1157" t="s">
        <v>738</v>
      </c>
      <c r="P1157" t="s">
        <v>860</v>
      </c>
      <c r="Q1157" t="s">
        <v>458</v>
      </c>
      <c r="R1157">
        <v>0</v>
      </c>
    </row>
    <row r="1158" spans="1:18" x14ac:dyDescent="0.3">
      <c r="A1158">
        <v>211530</v>
      </c>
      <c r="B1158" t="s">
        <v>734</v>
      </c>
      <c r="C1158" t="s">
        <v>889</v>
      </c>
      <c r="D1158" t="s">
        <v>1630</v>
      </c>
      <c r="E1158" s="465">
        <v>46054</v>
      </c>
      <c r="F1158" s="465">
        <v>46200</v>
      </c>
      <c r="G1158" t="s">
        <v>295</v>
      </c>
      <c r="H1158" t="s">
        <v>306</v>
      </c>
      <c r="I1158" t="s">
        <v>1508</v>
      </c>
      <c r="J1158">
        <v>-322.89999999999998</v>
      </c>
      <c r="K1158">
        <v>0</v>
      </c>
      <c r="O1158" t="s">
        <v>738</v>
      </c>
      <c r="P1158" t="s">
        <v>860</v>
      </c>
      <c r="Q1158" t="s">
        <v>458</v>
      </c>
      <c r="R1158">
        <v>0</v>
      </c>
    </row>
    <row r="1159" spans="1:18" x14ac:dyDescent="0.3">
      <c r="A1159">
        <v>214022</v>
      </c>
      <c r="B1159" t="s">
        <v>734</v>
      </c>
      <c r="C1159" t="s">
        <v>1425</v>
      </c>
      <c r="D1159" t="s">
        <v>1631</v>
      </c>
      <c r="E1159" s="465">
        <v>46054</v>
      </c>
      <c r="F1159" s="465">
        <v>46106</v>
      </c>
      <c r="G1159" t="s">
        <v>1094</v>
      </c>
      <c r="H1159" t="s">
        <v>112</v>
      </c>
      <c r="I1159" t="s">
        <v>1632</v>
      </c>
      <c r="J1159">
        <v>-2000</v>
      </c>
      <c r="K1159">
        <v>-2000</v>
      </c>
      <c r="M1159" t="s">
        <v>851</v>
      </c>
      <c r="N1159" t="s">
        <v>130</v>
      </c>
      <c r="O1159" t="s">
        <v>738</v>
      </c>
      <c r="P1159" t="s">
        <v>860</v>
      </c>
      <c r="Q1159" t="s">
        <v>458</v>
      </c>
      <c r="R1159">
        <v>0</v>
      </c>
    </row>
    <row r="1160" spans="1:18" x14ac:dyDescent="0.3">
      <c r="A1160">
        <v>207984</v>
      </c>
      <c r="B1160" t="s">
        <v>734</v>
      </c>
      <c r="C1160" t="s">
        <v>428</v>
      </c>
      <c r="D1160" t="s">
        <v>1633</v>
      </c>
      <c r="E1160" s="465">
        <v>46052</v>
      </c>
      <c r="F1160" s="465">
        <v>46073</v>
      </c>
      <c r="G1160" t="s">
        <v>833</v>
      </c>
      <c r="H1160" t="s">
        <v>348</v>
      </c>
      <c r="I1160" t="s">
        <v>1634</v>
      </c>
      <c r="J1160">
        <v>-6755.65</v>
      </c>
      <c r="K1160">
        <v>-6755.65</v>
      </c>
      <c r="O1160" t="s">
        <v>738</v>
      </c>
      <c r="P1160" t="s">
        <v>860</v>
      </c>
      <c r="Q1160" t="s">
        <v>457</v>
      </c>
      <c r="R1160">
        <v>0</v>
      </c>
    </row>
    <row r="1161" spans="1:18" x14ac:dyDescent="0.3">
      <c r="A1161">
        <v>205072</v>
      </c>
      <c r="B1161" t="s">
        <v>734</v>
      </c>
      <c r="C1161" t="s">
        <v>824</v>
      </c>
      <c r="E1161" s="465">
        <v>46052</v>
      </c>
      <c r="F1161" s="465">
        <v>46052</v>
      </c>
      <c r="G1161" t="s">
        <v>825</v>
      </c>
      <c r="H1161" t="s">
        <v>826</v>
      </c>
      <c r="J1161">
        <v>-0.5</v>
      </c>
      <c r="K1161">
        <v>-0.5</v>
      </c>
      <c r="O1161" t="s">
        <v>738</v>
      </c>
      <c r="P1161" t="s">
        <v>860</v>
      </c>
      <c r="Q1161" t="s">
        <v>457</v>
      </c>
      <c r="R1161">
        <v>0</v>
      </c>
    </row>
    <row r="1162" spans="1:18" x14ac:dyDescent="0.3">
      <c r="A1162">
        <v>197682</v>
      </c>
      <c r="B1162" t="s">
        <v>734</v>
      </c>
      <c r="C1162" t="s">
        <v>836</v>
      </c>
      <c r="D1162" t="s">
        <v>1633</v>
      </c>
      <c r="E1162" s="465">
        <v>46052</v>
      </c>
      <c r="F1162" s="465">
        <v>46073</v>
      </c>
      <c r="G1162" t="s">
        <v>307</v>
      </c>
      <c r="H1162" t="s">
        <v>308</v>
      </c>
      <c r="I1162" t="s">
        <v>1635</v>
      </c>
      <c r="J1162">
        <v>-255.75</v>
      </c>
      <c r="K1162">
        <v>-255.75</v>
      </c>
      <c r="O1162" t="s">
        <v>738</v>
      </c>
      <c r="P1162" t="s">
        <v>860</v>
      </c>
      <c r="Q1162" t="s">
        <v>457</v>
      </c>
      <c r="R1162">
        <v>0</v>
      </c>
    </row>
    <row r="1163" spans="1:18" x14ac:dyDescent="0.3">
      <c r="A1163">
        <v>202164</v>
      </c>
      <c r="B1163" t="s">
        <v>734</v>
      </c>
      <c r="C1163" t="s">
        <v>824</v>
      </c>
      <c r="E1163" s="465">
        <v>46050</v>
      </c>
      <c r="F1163" s="465">
        <v>46050</v>
      </c>
      <c r="G1163" t="s">
        <v>825</v>
      </c>
      <c r="H1163" t="s">
        <v>826</v>
      </c>
      <c r="J1163">
        <v>-0.5</v>
      </c>
      <c r="K1163">
        <v>-0.5</v>
      </c>
      <c r="O1163" t="s">
        <v>738</v>
      </c>
      <c r="P1163" t="s">
        <v>860</v>
      </c>
      <c r="Q1163" t="s">
        <v>457</v>
      </c>
      <c r="R1163">
        <v>0</v>
      </c>
    </row>
    <row r="1164" spans="1:18" x14ac:dyDescent="0.3">
      <c r="A1164">
        <v>198628</v>
      </c>
      <c r="B1164" t="s">
        <v>734</v>
      </c>
      <c r="C1164" t="s">
        <v>824</v>
      </c>
      <c r="E1164" s="465">
        <v>46048</v>
      </c>
      <c r="F1164" s="465">
        <v>46048</v>
      </c>
      <c r="G1164" t="s">
        <v>825</v>
      </c>
      <c r="H1164" t="s">
        <v>826</v>
      </c>
      <c r="J1164">
        <v>-1</v>
      </c>
      <c r="K1164">
        <v>-1</v>
      </c>
      <c r="O1164" t="s">
        <v>738</v>
      </c>
      <c r="P1164" t="s">
        <v>860</v>
      </c>
      <c r="Q1164" t="s">
        <v>457</v>
      </c>
      <c r="R1164">
        <v>0</v>
      </c>
    </row>
    <row r="1165" spans="1:18" x14ac:dyDescent="0.3">
      <c r="A1165">
        <v>197014</v>
      </c>
      <c r="B1165" t="s">
        <v>734</v>
      </c>
      <c r="C1165" t="s">
        <v>1532</v>
      </c>
      <c r="D1165" t="s">
        <v>1636</v>
      </c>
      <c r="E1165" s="465">
        <v>46045</v>
      </c>
      <c r="F1165" s="465">
        <v>46052</v>
      </c>
      <c r="G1165" t="s">
        <v>307</v>
      </c>
      <c r="H1165" t="s">
        <v>308</v>
      </c>
      <c r="I1165" t="s">
        <v>1637</v>
      </c>
      <c r="J1165">
        <v>-2000</v>
      </c>
      <c r="K1165">
        <v>-2042.4</v>
      </c>
      <c r="O1165" t="s">
        <v>738</v>
      </c>
      <c r="P1165" t="s">
        <v>860</v>
      </c>
      <c r="Q1165" t="s">
        <v>457</v>
      </c>
      <c r="R1165">
        <v>0</v>
      </c>
    </row>
    <row r="1166" spans="1:18" x14ac:dyDescent="0.3">
      <c r="A1166">
        <v>196982</v>
      </c>
      <c r="B1166" t="s">
        <v>734</v>
      </c>
      <c r="C1166" t="s">
        <v>824</v>
      </c>
      <c r="E1166" s="465">
        <v>46044</v>
      </c>
      <c r="F1166" s="465">
        <v>46044</v>
      </c>
      <c r="G1166" t="s">
        <v>825</v>
      </c>
      <c r="H1166" t="s">
        <v>826</v>
      </c>
      <c r="J1166">
        <v>-0.5</v>
      </c>
      <c r="K1166">
        <v>-0.5</v>
      </c>
      <c r="O1166" t="s">
        <v>738</v>
      </c>
      <c r="P1166" t="s">
        <v>860</v>
      </c>
      <c r="Q1166" t="s">
        <v>457</v>
      </c>
      <c r="R1166">
        <v>0</v>
      </c>
    </row>
    <row r="1167" spans="1:18" x14ac:dyDescent="0.3">
      <c r="A1167">
        <v>194173</v>
      </c>
      <c r="B1167" t="s">
        <v>734</v>
      </c>
      <c r="C1167" t="s">
        <v>824</v>
      </c>
      <c r="E1167" s="465">
        <v>46041</v>
      </c>
      <c r="F1167" s="465">
        <v>46041</v>
      </c>
      <c r="G1167" t="s">
        <v>825</v>
      </c>
      <c r="H1167" t="s">
        <v>826</v>
      </c>
      <c r="J1167">
        <v>-2</v>
      </c>
      <c r="K1167">
        <v>-2</v>
      </c>
      <c r="O1167" t="s">
        <v>738</v>
      </c>
      <c r="P1167" t="s">
        <v>860</v>
      </c>
      <c r="Q1167" t="s">
        <v>457</v>
      </c>
      <c r="R1167">
        <v>0</v>
      </c>
    </row>
    <row r="1168" spans="1:18" x14ac:dyDescent="0.3">
      <c r="A1168">
        <v>193662</v>
      </c>
      <c r="B1168" t="s">
        <v>734</v>
      </c>
      <c r="C1168" t="s">
        <v>1012</v>
      </c>
      <c r="D1168" t="s">
        <v>736</v>
      </c>
      <c r="E1168" s="465">
        <v>46038</v>
      </c>
      <c r="F1168" s="465">
        <v>46058</v>
      </c>
      <c r="G1168" t="s">
        <v>307</v>
      </c>
      <c r="H1168" t="s">
        <v>315</v>
      </c>
      <c r="I1168" t="s">
        <v>1638</v>
      </c>
      <c r="J1168">
        <v>-4500</v>
      </c>
      <c r="K1168">
        <v>-4500</v>
      </c>
      <c r="O1168" t="s">
        <v>742</v>
      </c>
      <c r="Q1168" t="s">
        <v>457</v>
      </c>
      <c r="R1168">
        <v>0</v>
      </c>
    </row>
    <row r="1169" spans="1:18" x14ac:dyDescent="0.3">
      <c r="A1169">
        <v>210752</v>
      </c>
      <c r="B1169" t="s">
        <v>734</v>
      </c>
      <c r="C1169" t="s">
        <v>1134</v>
      </c>
      <c r="D1169" t="s">
        <v>1639</v>
      </c>
      <c r="E1169" s="465">
        <v>46037</v>
      </c>
      <c r="F1169" s="465">
        <v>46107</v>
      </c>
      <c r="G1169" t="s">
        <v>833</v>
      </c>
      <c r="H1169" t="s">
        <v>352</v>
      </c>
      <c r="I1169" t="s">
        <v>1640</v>
      </c>
      <c r="J1169">
        <v>-10000</v>
      </c>
      <c r="K1169">
        <v>-10000</v>
      </c>
      <c r="O1169" t="s">
        <v>738</v>
      </c>
      <c r="Q1169" t="s">
        <v>457</v>
      </c>
      <c r="R1169">
        <v>0</v>
      </c>
    </row>
    <row r="1170" spans="1:18" x14ac:dyDescent="0.3">
      <c r="A1170">
        <v>194161</v>
      </c>
      <c r="B1170" t="s">
        <v>734</v>
      </c>
      <c r="C1170" t="s">
        <v>824</v>
      </c>
      <c r="E1170" s="465">
        <v>46037</v>
      </c>
      <c r="F1170" s="465">
        <v>46037</v>
      </c>
      <c r="G1170" t="s">
        <v>825</v>
      </c>
      <c r="H1170" t="s">
        <v>826</v>
      </c>
      <c r="J1170">
        <v>-1</v>
      </c>
      <c r="K1170">
        <v>-1</v>
      </c>
      <c r="O1170" t="s">
        <v>738</v>
      </c>
      <c r="P1170" t="s">
        <v>860</v>
      </c>
      <c r="Q1170" t="s">
        <v>457</v>
      </c>
      <c r="R1170">
        <v>0</v>
      </c>
    </row>
    <row r="1171" spans="1:18" x14ac:dyDescent="0.3">
      <c r="A1171">
        <v>193492</v>
      </c>
      <c r="B1171" t="s">
        <v>734</v>
      </c>
      <c r="C1171" t="s">
        <v>824</v>
      </c>
      <c r="E1171" s="465">
        <v>46036</v>
      </c>
      <c r="F1171" s="465">
        <v>46036</v>
      </c>
      <c r="G1171" t="s">
        <v>825</v>
      </c>
      <c r="H1171" t="s">
        <v>826</v>
      </c>
      <c r="J1171">
        <v>-0.5</v>
      </c>
      <c r="K1171">
        <v>-0.5</v>
      </c>
      <c r="O1171" t="s">
        <v>738</v>
      </c>
      <c r="P1171" t="s">
        <v>860</v>
      </c>
      <c r="Q1171" t="s">
        <v>457</v>
      </c>
      <c r="R1171">
        <v>0</v>
      </c>
    </row>
    <row r="1172" spans="1:18" x14ac:dyDescent="0.3">
      <c r="A1172">
        <v>147599</v>
      </c>
      <c r="B1172" t="s">
        <v>734</v>
      </c>
      <c r="C1172" t="s">
        <v>735</v>
      </c>
      <c r="D1172" t="s">
        <v>1641</v>
      </c>
      <c r="E1172" s="465">
        <v>46032</v>
      </c>
      <c r="F1172" s="465">
        <v>46058</v>
      </c>
      <c r="G1172" t="s">
        <v>255</v>
      </c>
      <c r="H1172" t="s">
        <v>256</v>
      </c>
      <c r="I1172" t="s">
        <v>1642</v>
      </c>
      <c r="J1172">
        <v>-99354.83</v>
      </c>
      <c r="K1172">
        <v>0</v>
      </c>
      <c r="O1172" t="s">
        <v>738</v>
      </c>
      <c r="P1172" t="s">
        <v>860</v>
      </c>
      <c r="Q1172" t="s">
        <v>457</v>
      </c>
      <c r="R1172">
        <v>0</v>
      </c>
    </row>
    <row r="1173" spans="1:18" x14ac:dyDescent="0.3">
      <c r="A1173">
        <v>188946</v>
      </c>
      <c r="B1173" t="s">
        <v>734</v>
      </c>
      <c r="C1173" t="s">
        <v>824</v>
      </c>
      <c r="E1173" s="465">
        <v>46024</v>
      </c>
      <c r="F1173" s="465">
        <v>46024</v>
      </c>
      <c r="G1173" t="s">
        <v>825</v>
      </c>
      <c r="H1173" t="s">
        <v>826</v>
      </c>
      <c r="J1173">
        <v>-1</v>
      </c>
      <c r="K1173">
        <v>-1</v>
      </c>
      <c r="O1173" t="s">
        <v>738</v>
      </c>
      <c r="P1173" t="s">
        <v>860</v>
      </c>
      <c r="Q1173" t="s">
        <v>457</v>
      </c>
      <c r="R1173">
        <v>0</v>
      </c>
    </row>
    <row r="1174" spans="1:18" x14ac:dyDescent="0.3">
      <c r="A1174">
        <v>188604</v>
      </c>
      <c r="B1174" t="s">
        <v>734</v>
      </c>
      <c r="C1174" t="s">
        <v>814</v>
      </c>
      <c r="D1174" t="s">
        <v>1643</v>
      </c>
      <c r="E1174" s="465">
        <v>46024</v>
      </c>
      <c r="F1174" s="465">
        <v>46041</v>
      </c>
      <c r="G1174" t="s">
        <v>307</v>
      </c>
      <c r="H1174" t="s">
        <v>312</v>
      </c>
      <c r="J1174">
        <v>-2100</v>
      </c>
      <c r="K1174">
        <v>-2100</v>
      </c>
      <c r="O1174" t="s">
        <v>738</v>
      </c>
      <c r="P1174" t="s">
        <v>860</v>
      </c>
      <c r="Q1174" t="s">
        <v>457</v>
      </c>
      <c r="R1174">
        <v>0</v>
      </c>
    </row>
    <row r="1175" spans="1:18" x14ac:dyDescent="0.3">
      <c r="A1175">
        <v>210754</v>
      </c>
      <c r="B1175" t="s">
        <v>734</v>
      </c>
      <c r="C1175" t="s">
        <v>1134</v>
      </c>
      <c r="D1175" t="s">
        <v>1644</v>
      </c>
      <c r="E1175" s="465">
        <v>46023</v>
      </c>
      <c r="F1175" s="465">
        <v>46122</v>
      </c>
      <c r="G1175" t="s">
        <v>833</v>
      </c>
      <c r="H1175" t="s">
        <v>352</v>
      </c>
      <c r="I1175" t="s">
        <v>1645</v>
      </c>
      <c r="J1175">
        <v>-21500</v>
      </c>
      <c r="K1175">
        <v>-21500</v>
      </c>
      <c r="O1175" t="s">
        <v>738</v>
      </c>
      <c r="P1175" t="s">
        <v>860</v>
      </c>
      <c r="Q1175" t="s">
        <v>457</v>
      </c>
      <c r="R1175">
        <v>0</v>
      </c>
    </row>
    <row r="1176" spans="1:18" x14ac:dyDescent="0.3">
      <c r="A1176">
        <v>188668</v>
      </c>
      <c r="B1176" t="s">
        <v>734</v>
      </c>
      <c r="C1176" t="s">
        <v>963</v>
      </c>
      <c r="D1176" t="s">
        <v>1646</v>
      </c>
      <c r="E1176" s="465">
        <v>46023</v>
      </c>
      <c r="F1176" s="465">
        <v>46071</v>
      </c>
      <c r="G1176" t="s">
        <v>833</v>
      </c>
      <c r="H1176" t="s">
        <v>349</v>
      </c>
      <c r="I1176" t="s">
        <v>1647</v>
      </c>
      <c r="J1176">
        <v>-43830</v>
      </c>
      <c r="K1176">
        <v>-43830</v>
      </c>
      <c r="O1176" t="s">
        <v>738</v>
      </c>
      <c r="P1176" t="s">
        <v>860</v>
      </c>
      <c r="Q1176" t="s">
        <v>457</v>
      </c>
      <c r="R1176">
        <v>0</v>
      </c>
    </row>
    <row r="1177" spans="1:18" x14ac:dyDescent="0.3">
      <c r="A1177">
        <v>210753</v>
      </c>
      <c r="B1177" t="s">
        <v>734</v>
      </c>
      <c r="C1177" t="s">
        <v>1134</v>
      </c>
      <c r="D1177" t="s">
        <v>1648</v>
      </c>
      <c r="E1177" s="465">
        <v>46023</v>
      </c>
      <c r="F1177" s="465">
        <v>46122</v>
      </c>
      <c r="G1177" t="s">
        <v>833</v>
      </c>
      <c r="H1177" t="s">
        <v>352</v>
      </c>
      <c r="I1177" t="s">
        <v>1649</v>
      </c>
      <c r="J1177">
        <v>-10000</v>
      </c>
      <c r="K1177">
        <v>-10000</v>
      </c>
      <c r="O1177" t="s">
        <v>738</v>
      </c>
      <c r="Q1177" t="s">
        <v>457</v>
      </c>
      <c r="R1177">
        <v>0</v>
      </c>
    </row>
    <row r="1178" spans="1:18" x14ac:dyDescent="0.3">
      <c r="A1178">
        <v>175656</v>
      </c>
      <c r="B1178" t="s">
        <v>734</v>
      </c>
      <c r="C1178" t="s">
        <v>824</v>
      </c>
      <c r="D1178" t="s">
        <v>1650</v>
      </c>
      <c r="E1178" s="465">
        <v>46023</v>
      </c>
      <c r="F1178" s="465">
        <v>46040</v>
      </c>
      <c r="G1178" t="s">
        <v>825</v>
      </c>
      <c r="H1178" t="s">
        <v>826</v>
      </c>
      <c r="I1178" t="s">
        <v>1651</v>
      </c>
      <c r="J1178">
        <v>-700</v>
      </c>
      <c r="K1178">
        <v>-700</v>
      </c>
      <c r="O1178" t="s">
        <v>738</v>
      </c>
      <c r="P1178" t="s">
        <v>860</v>
      </c>
      <c r="Q1178" t="s">
        <v>457</v>
      </c>
      <c r="R1178">
        <v>0</v>
      </c>
    </row>
    <row r="1179" spans="1:18" x14ac:dyDescent="0.3">
      <c r="A1179">
        <v>198375</v>
      </c>
      <c r="B1179" t="s">
        <v>734</v>
      </c>
      <c r="C1179" t="s">
        <v>1621</v>
      </c>
      <c r="D1179" t="s">
        <v>1652</v>
      </c>
      <c r="E1179" s="465">
        <v>46023</v>
      </c>
      <c r="F1179" s="465">
        <v>46086</v>
      </c>
      <c r="G1179" t="s">
        <v>833</v>
      </c>
      <c r="H1179" t="s">
        <v>349</v>
      </c>
      <c r="I1179" t="s">
        <v>1653</v>
      </c>
      <c r="J1179">
        <v>-27250</v>
      </c>
      <c r="K1179">
        <v>-27250</v>
      </c>
      <c r="O1179" t="s">
        <v>738</v>
      </c>
      <c r="P1179" t="s">
        <v>860</v>
      </c>
      <c r="Q1179" t="s">
        <v>457</v>
      </c>
      <c r="R1179">
        <v>0</v>
      </c>
    </row>
    <row r="1180" spans="1:18" x14ac:dyDescent="0.3">
      <c r="A1180">
        <v>205772</v>
      </c>
      <c r="B1180" t="s">
        <v>734</v>
      </c>
      <c r="C1180" t="s">
        <v>846</v>
      </c>
      <c r="D1180" t="s">
        <v>1157</v>
      </c>
      <c r="E1180" s="465">
        <v>46023</v>
      </c>
      <c r="F1180" s="465">
        <v>46078</v>
      </c>
      <c r="G1180" t="s">
        <v>1094</v>
      </c>
      <c r="H1180" t="s">
        <v>112</v>
      </c>
      <c r="I1180" t="s">
        <v>1654</v>
      </c>
      <c r="J1180">
        <v>-2000</v>
      </c>
      <c r="K1180">
        <v>-2000</v>
      </c>
      <c r="M1180" t="s">
        <v>848</v>
      </c>
      <c r="N1180" t="s">
        <v>131</v>
      </c>
      <c r="O1180" t="s">
        <v>738</v>
      </c>
      <c r="P1180" t="s">
        <v>860</v>
      </c>
      <c r="Q1180" t="s">
        <v>457</v>
      </c>
      <c r="R1180">
        <v>0</v>
      </c>
    </row>
    <row r="1181" spans="1:18" x14ac:dyDescent="0.3">
      <c r="A1181">
        <v>198329</v>
      </c>
      <c r="B1181" t="s">
        <v>734</v>
      </c>
      <c r="C1181" t="s">
        <v>1621</v>
      </c>
      <c r="D1181" t="s">
        <v>1655</v>
      </c>
      <c r="E1181" s="465">
        <v>46023</v>
      </c>
      <c r="F1181" s="465">
        <v>46077</v>
      </c>
      <c r="G1181" t="s">
        <v>833</v>
      </c>
      <c r="H1181" t="s">
        <v>349</v>
      </c>
      <c r="I1181" t="s">
        <v>1656</v>
      </c>
      <c r="J1181">
        <v>-54500</v>
      </c>
      <c r="K1181">
        <v>-54500</v>
      </c>
      <c r="O1181" t="s">
        <v>738</v>
      </c>
      <c r="P1181" t="s">
        <v>860</v>
      </c>
      <c r="Q1181" t="s">
        <v>457</v>
      </c>
      <c r="R1181">
        <v>0</v>
      </c>
    </row>
    <row r="1182" spans="1:18" x14ac:dyDescent="0.3">
      <c r="A1182">
        <v>200010</v>
      </c>
      <c r="B1182" t="s">
        <v>734</v>
      </c>
      <c r="C1182" t="s">
        <v>855</v>
      </c>
      <c r="D1182" t="s">
        <v>1348</v>
      </c>
      <c r="E1182" s="465">
        <v>46023</v>
      </c>
      <c r="F1182" s="465">
        <v>46068</v>
      </c>
      <c r="G1182" t="s">
        <v>307</v>
      </c>
      <c r="H1182" t="s">
        <v>313</v>
      </c>
      <c r="I1182" t="s">
        <v>850</v>
      </c>
      <c r="J1182">
        <v>-10000</v>
      </c>
      <c r="K1182">
        <v>-10000</v>
      </c>
      <c r="O1182" t="s">
        <v>738</v>
      </c>
      <c r="P1182" t="s">
        <v>860</v>
      </c>
      <c r="Q1182" t="s">
        <v>457</v>
      </c>
      <c r="R1182">
        <v>0</v>
      </c>
    </row>
    <row r="1183" spans="1:18" x14ac:dyDescent="0.3">
      <c r="A1183">
        <v>193665</v>
      </c>
      <c r="B1183" t="s">
        <v>734</v>
      </c>
      <c r="C1183" t="s">
        <v>830</v>
      </c>
      <c r="D1183" t="s">
        <v>1657</v>
      </c>
      <c r="E1183" s="465">
        <v>46023</v>
      </c>
      <c r="F1183" s="465">
        <v>46057</v>
      </c>
      <c r="G1183" t="s">
        <v>263</v>
      </c>
      <c r="H1183" t="s">
        <v>265</v>
      </c>
      <c r="I1183" t="s">
        <v>1658</v>
      </c>
      <c r="J1183">
        <v>-743.01</v>
      </c>
      <c r="K1183">
        <v>-743.01</v>
      </c>
      <c r="O1183" t="s">
        <v>738</v>
      </c>
      <c r="P1183" t="s">
        <v>860</v>
      </c>
      <c r="Q1183" t="s">
        <v>457</v>
      </c>
      <c r="R1183">
        <v>0</v>
      </c>
    </row>
    <row r="1184" spans="1:18" x14ac:dyDescent="0.3">
      <c r="A1184">
        <v>193661</v>
      </c>
      <c r="B1184" t="s">
        <v>734</v>
      </c>
      <c r="C1184" t="s">
        <v>1012</v>
      </c>
      <c r="D1184" t="s">
        <v>736</v>
      </c>
      <c r="E1184" s="465">
        <v>46023</v>
      </c>
      <c r="F1184" s="465">
        <v>46042</v>
      </c>
      <c r="G1184" t="s">
        <v>307</v>
      </c>
      <c r="H1184" t="s">
        <v>315</v>
      </c>
      <c r="I1184" t="s">
        <v>1659</v>
      </c>
      <c r="J1184">
        <v>-4500</v>
      </c>
      <c r="K1184">
        <v>-4500</v>
      </c>
      <c r="O1184" t="s">
        <v>742</v>
      </c>
      <c r="Q1184" t="s">
        <v>457</v>
      </c>
      <c r="R1184">
        <v>0</v>
      </c>
    </row>
    <row r="1185" spans="1:18" x14ac:dyDescent="0.3">
      <c r="A1185">
        <v>188816</v>
      </c>
      <c r="B1185" t="s">
        <v>734</v>
      </c>
      <c r="C1185" t="s">
        <v>1262</v>
      </c>
      <c r="D1185" t="s">
        <v>736</v>
      </c>
      <c r="E1185" s="465">
        <v>46023</v>
      </c>
      <c r="F1185" s="465">
        <v>46041</v>
      </c>
      <c r="G1185" t="s">
        <v>263</v>
      </c>
      <c r="H1185" t="s">
        <v>264</v>
      </c>
      <c r="J1185">
        <v>-15000</v>
      </c>
      <c r="K1185">
        <v>-15000</v>
      </c>
      <c r="O1185" t="s">
        <v>738</v>
      </c>
      <c r="Q1185" t="s">
        <v>457</v>
      </c>
      <c r="R1185">
        <v>0</v>
      </c>
    </row>
    <row r="1186" spans="1:18" x14ac:dyDescent="0.3">
      <c r="A1186">
        <v>205771</v>
      </c>
      <c r="B1186" t="s">
        <v>734</v>
      </c>
      <c r="C1186" t="s">
        <v>1425</v>
      </c>
      <c r="D1186" t="s">
        <v>1215</v>
      </c>
      <c r="E1186" s="465">
        <v>46023</v>
      </c>
      <c r="F1186" s="465">
        <v>46078</v>
      </c>
      <c r="G1186" t="s">
        <v>1094</v>
      </c>
      <c r="H1186" t="s">
        <v>112</v>
      </c>
      <c r="I1186" t="s">
        <v>1654</v>
      </c>
      <c r="J1186">
        <v>-2000</v>
      </c>
      <c r="K1186">
        <v>-2000</v>
      </c>
      <c r="M1186" t="s">
        <v>851</v>
      </c>
      <c r="N1186" t="s">
        <v>130</v>
      </c>
      <c r="O1186" t="s">
        <v>738</v>
      </c>
      <c r="P1186" t="s">
        <v>860</v>
      </c>
      <c r="Q1186" t="s">
        <v>457</v>
      </c>
      <c r="R1186">
        <v>0</v>
      </c>
    </row>
    <row r="1187" spans="1:18" x14ac:dyDescent="0.3">
      <c r="A1187">
        <v>187399</v>
      </c>
      <c r="B1187" t="s">
        <v>734</v>
      </c>
      <c r="C1187" t="s">
        <v>824</v>
      </c>
      <c r="E1187" s="465">
        <v>46021</v>
      </c>
      <c r="F1187" s="465">
        <v>46021</v>
      </c>
      <c r="G1187" t="s">
        <v>825</v>
      </c>
      <c r="H1187" t="s">
        <v>826</v>
      </c>
      <c r="J1187">
        <v>-0.5</v>
      </c>
      <c r="K1187">
        <v>-0.5</v>
      </c>
      <c r="O1187" t="s">
        <v>738</v>
      </c>
      <c r="P1187" t="s">
        <v>860</v>
      </c>
      <c r="Q1187" t="s">
        <v>456</v>
      </c>
      <c r="R1187">
        <v>0</v>
      </c>
    </row>
    <row r="1188" spans="1:18" x14ac:dyDescent="0.3">
      <c r="A1188">
        <v>193923</v>
      </c>
      <c r="B1188" t="s">
        <v>734</v>
      </c>
      <c r="C1188" t="s">
        <v>836</v>
      </c>
      <c r="D1188" t="s">
        <v>1660</v>
      </c>
      <c r="E1188" s="465">
        <v>46021</v>
      </c>
      <c r="F1188" s="465">
        <v>46042</v>
      </c>
      <c r="G1188" t="s">
        <v>833</v>
      </c>
      <c r="H1188" t="s">
        <v>348</v>
      </c>
      <c r="I1188" t="s">
        <v>1661</v>
      </c>
      <c r="J1188">
        <v>-441.75</v>
      </c>
      <c r="K1188">
        <v>-441.75</v>
      </c>
      <c r="O1188" t="s">
        <v>738</v>
      </c>
      <c r="P1188" t="s">
        <v>860</v>
      </c>
      <c r="Q1188" t="s">
        <v>456</v>
      </c>
      <c r="R1188">
        <v>0</v>
      </c>
    </row>
    <row r="1189" spans="1:18" x14ac:dyDescent="0.3">
      <c r="A1189">
        <v>193922</v>
      </c>
      <c r="B1189" t="s">
        <v>734</v>
      </c>
      <c r="C1189" t="s">
        <v>780</v>
      </c>
      <c r="D1189" t="s">
        <v>1660</v>
      </c>
      <c r="E1189" s="465">
        <v>46021</v>
      </c>
      <c r="F1189" s="465">
        <v>46042</v>
      </c>
      <c r="G1189" t="s">
        <v>833</v>
      </c>
      <c r="H1189" t="s">
        <v>348</v>
      </c>
      <c r="I1189" t="s">
        <v>1662</v>
      </c>
      <c r="J1189">
        <v>-441.75</v>
      </c>
      <c r="K1189">
        <v>-441.75</v>
      </c>
      <c r="O1189" t="s">
        <v>738</v>
      </c>
      <c r="P1189" t="s">
        <v>860</v>
      </c>
      <c r="Q1189" t="s">
        <v>456</v>
      </c>
      <c r="R1189">
        <v>0</v>
      </c>
    </row>
    <row r="1190" spans="1:18" x14ac:dyDescent="0.3">
      <c r="A1190">
        <v>186860</v>
      </c>
      <c r="B1190" t="s">
        <v>734</v>
      </c>
      <c r="C1190" t="s">
        <v>824</v>
      </c>
      <c r="E1190" s="465">
        <v>46017</v>
      </c>
      <c r="F1190" s="465">
        <v>46017</v>
      </c>
      <c r="G1190" t="s">
        <v>825</v>
      </c>
      <c r="H1190" t="s">
        <v>826</v>
      </c>
      <c r="J1190">
        <v>-1</v>
      </c>
      <c r="K1190">
        <v>-1</v>
      </c>
      <c r="O1190" t="s">
        <v>738</v>
      </c>
      <c r="P1190" t="s">
        <v>860</v>
      </c>
      <c r="Q1190" t="s">
        <v>456</v>
      </c>
      <c r="R1190">
        <v>0</v>
      </c>
    </row>
    <row r="1191" spans="1:18" x14ac:dyDescent="0.3">
      <c r="A1191">
        <v>185447</v>
      </c>
      <c r="B1191" t="s">
        <v>734</v>
      </c>
      <c r="C1191" t="s">
        <v>1139</v>
      </c>
      <c r="D1191" t="s">
        <v>1338</v>
      </c>
      <c r="E1191" s="465">
        <v>46014</v>
      </c>
      <c r="F1191" s="465">
        <v>46142</v>
      </c>
      <c r="G1191" t="s">
        <v>833</v>
      </c>
      <c r="H1191" t="s">
        <v>348</v>
      </c>
      <c r="I1191" t="s">
        <v>1663</v>
      </c>
      <c r="J1191">
        <v>-291595.98</v>
      </c>
      <c r="K1191">
        <v>-290954.25</v>
      </c>
      <c r="O1191" t="s">
        <v>738</v>
      </c>
      <c r="P1191" t="s">
        <v>860</v>
      </c>
      <c r="Q1191" t="s">
        <v>456</v>
      </c>
      <c r="R1191">
        <v>0</v>
      </c>
    </row>
    <row r="1192" spans="1:18" x14ac:dyDescent="0.3">
      <c r="A1192">
        <v>185446</v>
      </c>
      <c r="B1192" t="s">
        <v>734</v>
      </c>
      <c r="C1192" t="s">
        <v>1139</v>
      </c>
      <c r="D1192" t="s">
        <v>1664</v>
      </c>
      <c r="E1192" s="465">
        <v>46014</v>
      </c>
      <c r="F1192" s="465">
        <v>46132</v>
      </c>
      <c r="G1192" t="s">
        <v>833</v>
      </c>
      <c r="H1192" t="s">
        <v>348</v>
      </c>
      <c r="I1192" t="s">
        <v>1665</v>
      </c>
      <c r="J1192">
        <v>-291595.98</v>
      </c>
      <c r="K1192">
        <v>-291595.96000000002</v>
      </c>
      <c r="O1192" t="s">
        <v>738</v>
      </c>
      <c r="P1192" t="s">
        <v>860</v>
      </c>
      <c r="Q1192" t="s">
        <v>456</v>
      </c>
      <c r="R1192">
        <v>0</v>
      </c>
    </row>
    <row r="1193" spans="1:18" x14ac:dyDescent="0.3">
      <c r="A1193">
        <v>185449</v>
      </c>
      <c r="B1193" t="s">
        <v>734</v>
      </c>
      <c r="C1193" t="s">
        <v>1139</v>
      </c>
      <c r="D1193" t="s">
        <v>1666</v>
      </c>
      <c r="E1193" s="465">
        <v>46014</v>
      </c>
      <c r="F1193" s="465">
        <v>46157</v>
      </c>
      <c r="G1193" t="s">
        <v>833</v>
      </c>
      <c r="H1193" t="s">
        <v>348</v>
      </c>
      <c r="I1193" t="s">
        <v>1667</v>
      </c>
      <c r="J1193">
        <v>-291512.84999999998</v>
      </c>
      <c r="K1193">
        <v>-291512.84999999998</v>
      </c>
      <c r="O1193" t="s">
        <v>738</v>
      </c>
      <c r="P1193" t="s">
        <v>860</v>
      </c>
      <c r="Q1193" t="s">
        <v>456</v>
      </c>
      <c r="R1193">
        <v>0</v>
      </c>
    </row>
    <row r="1194" spans="1:18" x14ac:dyDescent="0.3">
      <c r="A1194">
        <v>185450</v>
      </c>
      <c r="B1194" t="s">
        <v>734</v>
      </c>
      <c r="C1194" t="s">
        <v>1139</v>
      </c>
      <c r="D1194" t="s">
        <v>1668</v>
      </c>
      <c r="E1194" s="465">
        <v>46014</v>
      </c>
      <c r="F1194" s="465">
        <v>46174</v>
      </c>
      <c r="G1194" t="s">
        <v>833</v>
      </c>
      <c r="H1194" t="s">
        <v>348</v>
      </c>
      <c r="I1194" t="s">
        <v>1669</v>
      </c>
      <c r="J1194">
        <v>-243079.8</v>
      </c>
      <c r="K1194">
        <v>-243079.8</v>
      </c>
      <c r="O1194" t="s">
        <v>738</v>
      </c>
      <c r="P1194" t="s">
        <v>860</v>
      </c>
      <c r="Q1194" t="s">
        <v>456</v>
      </c>
      <c r="R1194">
        <v>0</v>
      </c>
    </row>
    <row r="1195" spans="1:18" x14ac:dyDescent="0.3">
      <c r="A1195">
        <v>185452</v>
      </c>
      <c r="B1195" t="s">
        <v>734</v>
      </c>
      <c r="C1195" t="s">
        <v>1139</v>
      </c>
      <c r="D1195" t="s">
        <v>736</v>
      </c>
      <c r="E1195" s="465">
        <v>46014</v>
      </c>
      <c r="F1195" s="465">
        <v>46242</v>
      </c>
      <c r="G1195" t="s">
        <v>833</v>
      </c>
      <c r="H1195" t="s">
        <v>348</v>
      </c>
      <c r="I1195" t="s">
        <v>1670</v>
      </c>
      <c r="J1195">
        <v>-242996.65</v>
      </c>
      <c r="K1195">
        <v>-242996.65</v>
      </c>
      <c r="O1195" t="s">
        <v>738</v>
      </c>
      <c r="Q1195" t="s">
        <v>456</v>
      </c>
      <c r="R1195">
        <v>0</v>
      </c>
    </row>
    <row r="1196" spans="1:18" x14ac:dyDescent="0.3">
      <c r="A1196">
        <v>186861</v>
      </c>
      <c r="B1196" t="s">
        <v>734</v>
      </c>
      <c r="C1196" t="s">
        <v>824</v>
      </c>
      <c r="E1196" s="465">
        <v>46014</v>
      </c>
      <c r="F1196" s="465">
        <v>46014</v>
      </c>
      <c r="G1196" t="s">
        <v>825</v>
      </c>
      <c r="H1196" t="s">
        <v>826</v>
      </c>
      <c r="J1196">
        <v>-0.5</v>
      </c>
      <c r="K1196">
        <v>-0.5</v>
      </c>
      <c r="O1196" t="s">
        <v>738</v>
      </c>
      <c r="P1196" t="s">
        <v>860</v>
      </c>
      <c r="Q1196" t="s">
        <v>456</v>
      </c>
      <c r="R1196">
        <v>0</v>
      </c>
    </row>
    <row r="1197" spans="1:18" x14ac:dyDescent="0.3">
      <c r="A1197">
        <v>185998</v>
      </c>
      <c r="B1197" t="s">
        <v>734</v>
      </c>
      <c r="C1197" t="s">
        <v>824</v>
      </c>
      <c r="E1197" s="465">
        <v>46013</v>
      </c>
      <c r="F1197" s="465">
        <v>46013</v>
      </c>
      <c r="G1197" t="s">
        <v>825</v>
      </c>
      <c r="H1197" t="s">
        <v>826</v>
      </c>
      <c r="J1197">
        <v>-1</v>
      </c>
      <c r="K1197">
        <v>-1</v>
      </c>
      <c r="O1197" t="s">
        <v>738</v>
      </c>
      <c r="P1197" t="s">
        <v>860</v>
      </c>
      <c r="Q1197" t="s">
        <v>456</v>
      </c>
      <c r="R1197">
        <v>0</v>
      </c>
    </row>
    <row r="1198" spans="1:18" x14ac:dyDescent="0.3">
      <c r="A1198">
        <v>185388</v>
      </c>
      <c r="B1198" t="s">
        <v>734</v>
      </c>
      <c r="C1198" t="s">
        <v>1139</v>
      </c>
      <c r="D1198" t="s">
        <v>736</v>
      </c>
      <c r="E1198" s="465">
        <v>46013</v>
      </c>
      <c r="F1198" s="465">
        <v>46101</v>
      </c>
      <c r="G1198" t="s">
        <v>833</v>
      </c>
      <c r="H1198" t="s">
        <v>348</v>
      </c>
      <c r="I1198" t="s">
        <v>1671</v>
      </c>
      <c r="J1198">
        <v>-291595.98</v>
      </c>
      <c r="K1198">
        <v>-291595.98</v>
      </c>
      <c r="O1198" t="s">
        <v>738</v>
      </c>
      <c r="P1198" t="s">
        <v>860</v>
      </c>
      <c r="Q1198" t="s">
        <v>456</v>
      </c>
      <c r="R1198">
        <v>0</v>
      </c>
    </row>
    <row r="1199" spans="1:18" x14ac:dyDescent="0.3">
      <c r="A1199">
        <v>185387</v>
      </c>
      <c r="B1199" t="s">
        <v>734</v>
      </c>
      <c r="C1199" t="s">
        <v>1139</v>
      </c>
      <c r="D1199" t="s">
        <v>1383</v>
      </c>
      <c r="E1199" s="465">
        <v>46013</v>
      </c>
      <c r="F1199" s="465">
        <v>46090</v>
      </c>
      <c r="G1199" t="s">
        <v>833</v>
      </c>
      <c r="H1199" t="s">
        <v>348</v>
      </c>
      <c r="I1199" t="s">
        <v>1672</v>
      </c>
      <c r="J1199">
        <v>-287370.01</v>
      </c>
      <c r="K1199">
        <v>-287370.01</v>
      </c>
      <c r="O1199" t="s">
        <v>738</v>
      </c>
      <c r="P1199" t="s">
        <v>860</v>
      </c>
      <c r="Q1199" t="s">
        <v>456</v>
      </c>
      <c r="R1199">
        <v>0</v>
      </c>
    </row>
    <row r="1200" spans="1:18" x14ac:dyDescent="0.3">
      <c r="A1200">
        <v>185385</v>
      </c>
      <c r="B1200" t="s">
        <v>734</v>
      </c>
      <c r="C1200" t="s">
        <v>1139</v>
      </c>
      <c r="D1200" t="s">
        <v>736</v>
      </c>
      <c r="E1200" s="465">
        <v>46013</v>
      </c>
      <c r="F1200" s="465">
        <v>46020</v>
      </c>
      <c r="G1200" t="s">
        <v>833</v>
      </c>
      <c r="H1200" t="s">
        <v>348</v>
      </c>
      <c r="I1200" t="s">
        <v>1673</v>
      </c>
      <c r="J1200">
        <v>-485993.3</v>
      </c>
      <c r="K1200">
        <v>-485993.3</v>
      </c>
      <c r="O1200" t="s">
        <v>738</v>
      </c>
      <c r="P1200" t="s">
        <v>860</v>
      </c>
      <c r="Q1200" t="s">
        <v>456</v>
      </c>
      <c r="R1200">
        <v>0</v>
      </c>
    </row>
    <row r="1201" spans="1:18" x14ac:dyDescent="0.3">
      <c r="A1201">
        <v>185093</v>
      </c>
      <c r="B1201" t="s">
        <v>734</v>
      </c>
      <c r="C1201" t="s">
        <v>1262</v>
      </c>
      <c r="D1201" t="s">
        <v>1674</v>
      </c>
      <c r="E1201" s="465">
        <v>46010</v>
      </c>
      <c r="F1201" s="465">
        <v>46010</v>
      </c>
      <c r="G1201" t="s">
        <v>263</v>
      </c>
      <c r="H1201" t="s">
        <v>264</v>
      </c>
      <c r="J1201">
        <v>-13280.07</v>
      </c>
      <c r="K1201">
        <v>-13280.07</v>
      </c>
      <c r="O1201" t="s">
        <v>738</v>
      </c>
      <c r="P1201" t="s">
        <v>860</v>
      </c>
      <c r="Q1201" t="s">
        <v>456</v>
      </c>
      <c r="R1201">
        <v>0</v>
      </c>
    </row>
    <row r="1202" spans="1:18" x14ac:dyDescent="0.3">
      <c r="A1202">
        <v>184398</v>
      </c>
      <c r="B1202" t="s">
        <v>734</v>
      </c>
      <c r="C1202" t="s">
        <v>1134</v>
      </c>
      <c r="D1202" t="s">
        <v>1675</v>
      </c>
      <c r="E1202" s="465">
        <v>46009</v>
      </c>
      <c r="F1202" s="465">
        <v>46035</v>
      </c>
      <c r="G1202" t="s">
        <v>833</v>
      </c>
      <c r="H1202" t="s">
        <v>352</v>
      </c>
      <c r="I1202" t="s">
        <v>1676</v>
      </c>
      <c r="J1202">
        <v>-21500</v>
      </c>
      <c r="K1202">
        <v>-21500</v>
      </c>
      <c r="O1202" t="s">
        <v>738</v>
      </c>
      <c r="P1202" t="s">
        <v>860</v>
      </c>
      <c r="Q1202" t="s">
        <v>456</v>
      </c>
      <c r="R1202">
        <v>0</v>
      </c>
    </row>
    <row r="1203" spans="1:18" x14ac:dyDescent="0.3">
      <c r="A1203">
        <v>184390</v>
      </c>
      <c r="B1203" t="s">
        <v>734</v>
      </c>
      <c r="C1203" t="s">
        <v>1134</v>
      </c>
      <c r="D1203" t="s">
        <v>1677</v>
      </c>
      <c r="E1203" s="465">
        <v>46009</v>
      </c>
      <c r="F1203" s="465">
        <v>46097</v>
      </c>
      <c r="G1203" t="s">
        <v>833</v>
      </c>
      <c r="H1203" t="s">
        <v>352</v>
      </c>
      <c r="I1203" t="s">
        <v>1678</v>
      </c>
      <c r="J1203">
        <v>-6774.19</v>
      </c>
      <c r="K1203">
        <v>-6774.19</v>
      </c>
      <c r="O1203" t="s">
        <v>738</v>
      </c>
      <c r="P1203" t="s">
        <v>860</v>
      </c>
      <c r="Q1203" t="s">
        <v>456</v>
      </c>
      <c r="R1203">
        <v>0</v>
      </c>
    </row>
    <row r="1204" spans="1:18" x14ac:dyDescent="0.3">
      <c r="A1204">
        <v>184519</v>
      </c>
      <c r="B1204" t="s">
        <v>734</v>
      </c>
      <c r="C1204" t="s">
        <v>824</v>
      </c>
      <c r="E1204" s="465">
        <v>46008</v>
      </c>
      <c r="F1204" s="465">
        <v>46008</v>
      </c>
      <c r="G1204" t="s">
        <v>825</v>
      </c>
      <c r="H1204" t="s">
        <v>826</v>
      </c>
      <c r="J1204">
        <v>-0.5</v>
      </c>
      <c r="K1204">
        <v>-0.5</v>
      </c>
      <c r="O1204" t="s">
        <v>738</v>
      </c>
      <c r="P1204" t="s">
        <v>860</v>
      </c>
      <c r="Q1204" t="s">
        <v>456</v>
      </c>
      <c r="R1204">
        <v>0</v>
      </c>
    </row>
    <row r="1205" spans="1:18" x14ac:dyDescent="0.3">
      <c r="A1205">
        <v>193660</v>
      </c>
      <c r="B1205" t="s">
        <v>734</v>
      </c>
      <c r="C1205" t="s">
        <v>1012</v>
      </c>
      <c r="D1205" t="s">
        <v>1286</v>
      </c>
      <c r="E1205" s="465">
        <v>46007</v>
      </c>
      <c r="F1205" s="465">
        <v>46073</v>
      </c>
      <c r="G1205" t="s">
        <v>307</v>
      </c>
      <c r="H1205" t="s">
        <v>315</v>
      </c>
      <c r="I1205" t="s">
        <v>1679</v>
      </c>
      <c r="J1205">
        <v>-4750</v>
      </c>
      <c r="K1205">
        <v>-4750</v>
      </c>
      <c r="O1205" t="s">
        <v>738</v>
      </c>
      <c r="P1205" t="s">
        <v>860</v>
      </c>
      <c r="Q1205" t="s">
        <v>456</v>
      </c>
      <c r="R1205">
        <v>0</v>
      </c>
    </row>
    <row r="1206" spans="1:18" x14ac:dyDescent="0.3">
      <c r="A1206">
        <v>183720</v>
      </c>
      <c r="B1206" t="s">
        <v>734</v>
      </c>
      <c r="C1206" t="s">
        <v>830</v>
      </c>
      <c r="D1206" t="s">
        <v>1680</v>
      </c>
      <c r="E1206" s="465">
        <v>46007</v>
      </c>
      <c r="F1206" s="465">
        <v>46027</v>
      </c>
      <c r="G1206" t="s">
        <v>263</v>
      </c>
      <c r="H1206" t="s">
        <v>265</v>
      </c>
      <c r="J1206">
        <v>-1063.0899999999999</v>
      </c>
      <c r="K1206">
        <v>-1063.0899999999999</v>
      </c>
      <c r="O1206" t="s">
        <v>738</v>
      </c>
      <c r="P1206" t="s">
        <v>860</v>
      </c>
      <c r="Q1206" t="s">
        <v>456</v>
      </c>
      <c r="R1206">
        <v>0</v>
      </c>
    </row>
    <row r="1207" spans="1:18" x14ac:dyDescent="0.3">
      <c r="A1207">
        <v>184025</v>
      </c>
      <c r="B1207" t="s">
        <v>734</v>
      </c>
      <c r="C1207" t="s">
        <v>1473</v>
      </c>
      <c r="E1207" s="465">
        <v>46007</v>
      </c>
      <c r="F1207" s="465">
        <v>46007</v>
      </c>
      <c r="G1207" t="s">
        <v>825</v>
      </c>
      <c r="H1207" t="s">
        <v>826</v>
      </c>
      <c r="J1207">
        <v>-80.3</v>
      </c>
      <c r="K1207">
        <v>-80.3</v>
      </c>
      <c r="O1207" t="s">
        <v>738</v>
      </c>
      <c r="P1207" t="s">
        <v>860</v>
      </c>
      <c r="Q1207" t="s">
        <v>456</v>
      </c>
      <c r="R1207">
        <v>0</v>
      </c>
    </row>
    <row r="1208" spans="1:18" x14ac:dyDescent="0.3">
      <c r="A1208">
        <v>184007</v>
      </c>
      <c r="B1208" t="s">
        <v>734</v>
      </c>
      <c r="C1208" t="s">
        <v>824</v>
      </c>
      <c r="E1208" s="465">
        <v>46006</v>
      </c>
      <c r="F1208" s="465">
        <v>46006</v>
      </c>
      <c r="G1208" t="s">
        <v>825</v>
      </c>
      <c r="H1208" t="s">
        <v>826</v>
      </c>
      <c r="J1208">
        <v>-0.5</v>
      </c>
      <c r="K1208">
        <v>-0.5</v>
      </c>
      <c r="O1208" t="s">
        <v>738</v>
      </c>
      <c r="P1208" t="s">
        <v>860</v>
      </c>
      <c r="Q1208" t="s">
        <v>456</v>
      </c>
      <c r="R1208">
        <v>0</v>
      </c>
    </row>
    <row r="1209" spans="1:18" x14ac:dyDescent="0.3">
      <c r="A1209">
        <v>182770</v>
      </c>
      <c r="B1209" t="s">
        <v>734</v>
      </c>
      <c r="C1209" t="s">
        <v>1564</v>
      </c>
      <c r="D1209" t="s">
        <v>1681</v>
      </c>
      <c r="E1209" s="465">
        <v>46002</v>
      </c>
      <c r="F1209" s="465">
        <v>46044</v>
      </c>
      <c r="G1209" t="s">
        <v>833</v>
      </c>
      <c r="H1209" t="s">
        <v>352</v>
      </c>
      <c r="I1209" t="s">
        <v>1682</v>
      </c>
      <c r="J1209">
        <v>-5500</v>
      </c>
      <c r="K1209">
        <v>-5161.75</v>
      </c>
      <c r="O1209" t="s">
        <v>738</v>
      </c>
      <c r="P1209" t="s">
        <v>860</v>
      </c>
      <c r="Q1209" t="s">
        <v>456</v>
      </c>
      <c r="R1209">
        <v>0</v>
      </c>
    </row>
    <row r="1210" spans="1:18" x14ac:dyDescent="0.3">
      <c r="A1210">
        <v>182764</v>
      </c>
      <c r="B1210" t="s">
        <v>734</v>
      </c>
      <c r="C1210" t="s">
        <v>1564</v>
      </c>
      <c r="D1210" t="s">
        <v>736</v>
      </c>
      <c r="E1210" s="465">
        <v>46002</v>
      </c>
      <c r="F1210" s="465">
        <v>46013</v>
      </c>
      <c r="G1210" t="s">
        <v>833</v>
      </c>
      <c r="H1210" t="s">
        <v>352</v>
      </c>
      <c r="I1210" t="s">
        <v>1683</v>
      </c>
      <c r="J1210">
        <v>-5500</v>
      </c>
      <c r="K1210">
        <v>-5161.75</v>
      </c>
      <c r="O1210" t="s">
        <v>738</v>
      </c>
      <c r="P1210" t="s">
        <v>860</v>
      </c>
      <c r="Q1210" t="s">
        <v>456</v>
      </c>
      <c r="R1210">
        <v>0</v>
      </c>
    </row>
    <row r="1211" spans="1:18" x14ac:dyDescent="0.3">
      <c r="A1211">
        <v>182762</v>
      </c>
      <c r="B1211" t="s">
        <v>734</v>
      </c>
      <c r="C1211" t="s">
        <v>1564</v>
      </c>
      <c r="D1211" t="s">
        <v>736</v>
      </c>
      <c r="E1211" s="465">
        <v>46002</v>
      </c>
      <c r="F1211" s="465">
        <v>46013</v>
      </c>
      <c r="G1211" t="s">
        <v>833</v>
      </c>
      <c r="H1211" t="s">
        <v>352</v>
      </c>
      <c r="I1211" t="s">
        <v>1684</v>
      </c>
      <c r="J1211">
        <v>-4000</v>
      </c>
      <c r="K1211">
        <v>-3754</v>
      </c>
      <c r="O1211" t="s">
        <v>738</v>
      </c>
      <c r="P1211" t="s">
        <v>860</v>
      </c>
      <c r="Q1211" t="s">
        <v>456</v>
      </c>
      <c r="R1211">
        <v>0</v>
      </c>
    </row>
    <row r="1212" spans="1:18" x14ac:dyDescent="0.3">
      <c r="A1212">
        <v>184009</v>
      </c>
      <c r="B1212" t="s">
        <v>734</v>
      </c>
      <c r="C1212" t="s">
        <v>824</v>
      </c>
      <c r="E1212" s="465">
        <v>46001</v>
      </c>
      <c r="F1212" s="465">
        <v>46001</v>
      </c>
      <c r="G1212" t="s">
        <v>825</v>
      </c>
      <c r="H1212" t="s">
        <v>826</v>
      </c>
      <c r="J1212">
        <v>-2.5</v>
      </c>
      <c r="K1212">
        <v>-2.5</v>
      </c>
      <c r="O1212" t="s">
        <v>738</v>
      </c>
      <c r="P1212" t="s">
        <v>860</v>
      </c>
      <c r="Q1212" t="s">
        <v>456</v>
      </c>
      <c r="R1212">
        <v>0</v>
      </c>
    </row>
    <row r="1213" spans="1:18" x14ac:dyDescent="0.3">
      <c r="A1213">
        <v>187405</v>
      </c>
      <c r="B1213" t="s">
        <v>734</v>
      </c>
      <c r="C1213" t="s">
        <v>1473</v>
      </c>
      <c r="E1213" s="465">
        <v>46001</v>
      </c>
      <c r="F1213" s="465">
        <v>46001</v>
      </c>
      <c r="G1213" t="s">
        <v>825</v>
      </c>
      <c r="H1213" t="s">
        <v>826</v>
      </c>
      <c r="J1213">
        <v>-44.6</v>
      </c>
      <c r="K1213">
        <v>-44.6</v>
      </c>
      <c r="O1213" t="s">
        <v>738</v>
      </c>
      <c r="P1213" t="s">
        <v>860</v>
      </c>
      <c r="Q1213" t="s">
        <v>456</v>
      </c>
      <c r="R1213">
        <v>0</v>
      </c>
    </row>
    <row r="1214" spans="1:18" x14ac:dyDescent="0.3">
      <c r="A1214">
        <v>179286</v>
      </c>
      <c r="B1214" t="s">
        <v>734</v>
      </c>
      <c r="C1214" t="s">
        <v>1685</v>
      </c>
      <c r="D1214" t="s">
        <v>1686</v>
      </c>
      <c r="E1214" s="465">
        <v>46001</v>
      </c>
      <c r="F1214" s="465">
        <v>46059</v>
      </c>
      <c r="G1214" t="s">
        <v>833</v>
      </c>
      <c r="H1214" t="s">
        <v>348</v>
      </c>
      <c r="I1214" t="s">
        <v>1687</v>
      </c>
      <c r="J1214">
        <v>-15000</v>
      </c>
      <c r="K1214">
        <v>-15000</v>
      </c>
      <c r="O1214" t="s">
        <v>738</v>
      </c>
      <c r="P1214" t="s">
        <v>860</v>
      </c>
      <c r="Q1214" t="s">
        <v>456</v>
      </c>
      <c r="R1214">
        <v>0</v>
      </c>
    </row>
    <row r="1215" spans="1:18" x14ac:dyDescent="0.3">
      <c r="A1215">
        <v>147598</v>
      </c>
      <c r="B1215" t="s">
        <v>734</v>
      </c>
      <c r="C1215" t="s">
        <v>735</v>
      </c>
      <c r="E1215" s="465">
        <v>46001</v>
      </c>
      <c r="F1215" s="465">
        <v>46027</v>
      </c>
      <c r="G1215" t="s">
        <v>255</v>
      </c>
      <c r="H1215" t="s">
        <v>256</v>
      </c>
      <c r="I1215" t="s">
        <v>1688</v>
      </c>
      <c r="J1215">
        <v>-140000</v>
      </c>
      <c r="K1215">
        <v>0</v>
      </c>
      <c r="O1215" t="s">
        <v>738</v>
      </c>
      <c r="P1215" t="s">
        <v>860</v>
      </c>
      <c r="Q1215" t="s">
        <v>456</v>
      </c>
      <c r="R1215">
        <v>0</v>
      </c>
    </row>
    <row r="1216" spans="1:18" x14ac:dyDescent="0.3">
      <c r="A1216">
        <v>182461</v>
      </c>
      <c r="B1216" t="s">
        <v>734</v>
      </c>
      <c r="C1216" t="s">
        <v>824</v>
      </c>
      <c r="E1216" s="465">
        <v>46000</v>
      </c>
      <c r="F1216" s="465">
        <v>46000</v>
      </c>
      <c r="G1216" t="s">
        <v>825</v>
      </c>
      <c r="H1216" t="s">
        <v>826</v>
      </c>
      <c r="J1216">
        <v>-0.5</v>
      </c>
      <c r="K1216">
        <v>-0.5</v>
      </c>
      <c r="O1216" t="s">
        <v>738</v>
      </c>
      <c r="P1216" t="s">
        <v>860</v>
      </c>
      <c r="Q1216" t="s">
        <v>456</v>
      </c>
      <c r="R1216">
        <v>0</v>
      </c>
    </row>
    <row r="1217" spans="1:18" x14ac:dyDescent="0.3">
      <c r="A1217">
        <v>180985</v>
      </c>
      <c r="B1217" t="s">
        <v>734</v>
      </c>
      <c r="C1217" t="s">
        <v>830</v>
      </c>
      <c r="D1217" t="s">
        <v>1689</v>
      </c>
      <c r="E1217" s="465">
        <v>45995</v>
      </c>
      <c r="F1217" s="465">
        <v>45995</v>
      </c>
      <c r="G1217" t="s">
        <v>263</v>
      </c>
      <c r="H1217" t="s">
        <v>265</v>
      </c>
      <c r="J1217">
        <v>-1108.92</v>
      </c>
      <c r="K1217">
        <v>-1108.92</v>
      </c>
      <c r="O1217" t="s">
        <v>738</v>
      </c>
      <c r="P1217" t="s">
        <v>860</v>
      </c>
      <c r="Q1217" t="s">
        <v>456</v>
      </c>
      <c r="R1217">
        <v>0</v>
      </c>
    </row>
    <row r="1218" spans="1:18" x14ac:dyDescent="0.3">
      <c r="A1218">
        <v>193659</v>
      </c>
      <c r="B1218" t="s">
        <v>734</v>
      </c>
      <c r="C1218" t="s">
        <v>1012</v>
      </c>
      <c r="D1218" t="s">
        <v>1584</v>
      </c>
      <c r="E1218" s="465">
        <v>45992</v>
      </c>
      <c r="F1218" s="465">
        <v>46066</v>
      </c>
      <c r="G1218" t="s">
        <v>307</v>
      </c>
      <c r="H1218" t="s">
        <v>315</v>
      </c>
      <c r="I1218" t="s">
        <v>1690</v>
      </c>
      <c r="J1218">
        <v>-3610</v>
      </c>
      <c r="K1218">
        <v>-3610</v>
      </c>
      <c r="O1218" t="s">
        <v>738</v>
      </c>
      <c r="P1218" t="s">
        <v>860</v>
      </c>
      <c r="Q1218" t="s">
        <v>456</v>
      </c>
      <c r="R1218">
        <v>0</v>
      </c>
    </row>
    <row r="1219" spans="1:18" x14ac:dyDescent="0.3">
      <c r="A1219">
        <v>187097</v>
      </c>
      <c r="B1219" t="s">
        <v>734</v>
      </c>
      <c r="C1219" t="s">
        <v>855</v>
      </c>
      <c r="D1219" t="s">
        <v>1206</v>
      </c>
      <c r="E1219" s="465">
        <v>45992</v>
      </c>
      <c r="F1219" s="465">
        <v>46037</v>
      </c>
      <c r="G1219" t="s">
        <v>307</v>
      </c>
      <c r="H1219" t="s">
        <v>313</v>
      </c>
      <c r="I1219" t="s">
        <v>456</v>
      </c>
      <c r="J1219">
        <v>-10000</v>
      </c>
      <c r="K1219">
        <v>-10000</v>
      </c>
      <c r="O1219" t="s">
        <v>738</v>
      </c>
      <c r="P1219" t="s">
        <v>860</v>
      </c>
      <c r="Q1219" t="s">
        <v>456</v>
      </c>
      <c r="R1219">
        <v>0</v>
      </c>
    </row>
    <row r="1220" spans="1:18" x14ac:dyDescent="0.3">
      <c r="A1220">
        <v>175653</v>
      </c>
      <c r="B1220" t="s">
        <v>734</v>
      </c>
      <c r="C1220" t="s">
        <v>824</v>
      </c>
      <c r="D1220" t="s">
        <v>1691</v>
      </c>
      <c r="E1220" s="465">
        <v>45992</v>
      </c>
      <c r="F1220" s="465">
        <v>46009</v>
      </c>
      <c r="G1220" t="s">
        <v>825</v>
      </c>
      <c r="H1220" t="s">
        <v>826</v>
      </c>
      <c r="I1220" t="s">
        <v>1692</v>
      </c>
      <c r="J1220">
        <v>-700</v>
      </c>
      <c r="K1220">
        <v>-700</v>
      </c>
      <c r="O1220" t="s">
        <v>738</v>
      </c>
      <c r="P1220" t="s">
        <v>860</v>
      </c>
      <c r="Q1220" t="s">
        <v>456</v>
      </c>
      <c r="R1220">
        <v>0</v>
      </c>
    </row>
    <row r="1221" spans="1:18" x14ac:dyDescent="0.3">
      <c r="A1221">
        <v>189324</v>
      </c>
      <c r="B1221" t="s">
        <v>734</v>
      </c>
      <c r="C1221" t="s">
        <v>1425</v>
      </c>
      <c r="D1221" t="s">
        <v>1427</v>
      </c>
      <c r="E1221" s="465">
        <v>45992</v>
      </c>
      <c r="F1221" s="465">
        <v>46047</v>
      </c>
      <c r="G1221" t="s">
        <v>1094</v>
      </c>
      <c r="H1221" t="s">
        <v>112</v>
      </c>
      <c r="I1221" t="s">
        <v>1693</v>
      </c>
      <c r="J1221">
        <v>-2000</v>
      </c>
      <c r="K1221">
        <v>-2000</v>
      </c>
      <c r="M1221" t="s">
        <v>851</v>
      </c>
      <c r="N1221" t="s">
        <v>130</v>
      </c>
      <c r="O1221" t="s">
        <v>738</v>
      </c>
      <c r="P1221" t="s">
        <v>860</v>
      </c>
      <c r="Q1221" t="s">
        <v>456</v>
      </c>
      <c r="R1221">
        <v>0</v>
      </c>
    </row>
    <row r="1222" spans="1:18" x14ac:dyDescent="0.3">
      <c r="A1222">
        <v>189325</v>
      </c>
      <c r="B1222" t="s">
        <v>734</v>
      </c>
      <c r="C1222" t="s">
        <v>846</v>
      </c>
      <c r="D1222" t="s">
        <v>1694</v>
      </c>
      <c r="E1222" s="465">
        <v>45992</v>
      </c>
      <c r="F1222" s="465">
        <v>46047</v>
      </c>
      <c r="G1222" t="s">
        <v>1094</v>
      </c>
      <c r="H1222" t="s">
        <v>112</v>
      </c>
      <c r="I1222" t="s">
        <v>1693</v>
      </c>
      <c r="J1222">
        <v>-2000</v>
      </c>
      <c r="K1222">
        <v>-2000</v>
      </c>
      <c r="M1222" t="s">
        <v>848</v>
      </c>
      <c r="N1222" t="s">
        <v>131</v>
      </c>
      <c r="O1222" t="s">
        <v>738</v>
      </c>
      <c r="P1222" t="s">
        <v>860</v>
      </c>
      <c r="Q1222" t="s">
        <v>456</v>
      </c>
      <c r="R1222">
        <v>0</v>
      </c>
    </row>
    <row r="1223" spans="1:18" x14ac:dyDescent="0.3">
      <c r="A1223">
        <v>179219</v>
      </c>
      <c r="B1223" t="s">
        <v>734</v>
      </c>
      <c r="C1223" t="s">
        <v>814</v>
      </c>
      <c r="D1223" t="s">
        <v>1695</v>
      </c>
      <c r="E1223" s="465">
        <v>45992</v>
      </c>
      <c r="F1223" s="465">
        <v>46001</v>
      </c>
      <c r="G1223" t="s">
        <v>307</v>
      </c>
      <c r="H1223" t="s">
        <v>312</v>
      </c>
      <c r="I1223" t="s">
        <v>1696</v>
      </c>
      <c r="J1223">
        <v>-2100</v>
      </c>
      <c r="K1223">
        <v>-2100</v>
      </c>
      <c r="O1223" t="s">
        <v>738</v>
      </c>
      <c r="P1223" t="s">
        <v>860</v>
      </c>
      <c r="Q1223" t="s">
        <v>456</v>
      </c>
      <c r="R1223">
        <v>0</v>
      </c>
    </row>
    <row r="1224" spans="1:18" x14ac:dyDescent="0.3">
      <c r="A1224">
        <v>179265</v>
      </c>
      <c r="B1224" t="s">
        <v>734</v>
      </c>
      <c r="C1224" t="s">
        <v>923</v>
      </c>
      <c r="D1224" t="s">
        <v>1697</v>
      </c>
      <c r="E1224" s="465">
        <v>45992</v>
      </c>
      <c r="F1224" s="465">
        <v>46009</v>
      </c>
      <c r="G1224" t="s">
        <v>833</v>
      </c>
      <c r="H1224" t="s">
        <v>358</v>
      </c>
      <c r="I1224" t="s">
        <v>1698</v>
      </c>
      <c r="J1224">
        <v>-2395.39</v>
      </c>
      <c r="K1224">
        <v>-2395.39</v>
      </c>
      <c r="O1224" t="s">
        <v>738</v>
      </c>
      <c r="P1224" t="s">
        <v>860</v>
      </c>
      <c r="Q1224" t="s">
        <v>456</v>
      </c>
      <c r="R1224">
        <v>0</v>
      </c>
    </row>
    <row r="1225" spans="1:18" x14ac:dyDescent="0.3">
      <c r="A1225">
        <v>179280</v>
      </c>
      <c r="B1225" t="s">
        <v>734</v>
      </c>
      <c r="C1225" t="s">
        <v>1685</v>
      </c>
      <c r="D1225" t="s">
        <v>1699</v>
      </c>
      <c r="E1225" s="465">
        <v>45992</v>
      </c>
      <c r="F1225" s="465">
        <v>46001</v>
      </c>
      <c r="G1225" t="s">
        <v>833</v>
      </c>
      <c r="H1225" t="s">
        <v>348</v>
      </c>
      <c r="I1225" t="s">
        <v>1700</v>
      </c>
      <c r="J1225">
        <v>-20000</v>
      </c>
      <c r="K1225">
        <v>-20000</v>
      </c>
      <c r="O1225" t="s">
        <v>738</v>
      </c>
      <c r="P1225" t="s">
        <v>860</v>
      </c>
      <c r="Q1225" t="s">
        <v>456</v>
      </c>
      <c r="R1225">
        <v>0</v>
      </c>
    </row>
    <row r="1226" spans="1:18" x14ac:dyDescent="0.3">
      <c r="A1226">
        <v>179284</v>
      </c>
      <c r="B1226" t="s">
        <v>734</v>
      </c>
      <c r="C1226" t="s">
        <v>1685</v>
      </c>
      <c r="D1226" t="s">
        <v>1701</v>
      </c>
      <c r="E1226" s="465">
        <v>45992</v>
      </c>
      <c r="F1226" s="465">
        <v>46021</v>
      </c>
      <c r="G1226" t="s">
        <v>833</v>
      </c>
      <c r="H1226" t="s">
        <v>348</v>
      </c>
      <c r="I1226" t="s">
        <v>1702</v>
      </c>
      <c r="J1226">
        <v>-15000</v>
      </c>
      <c r="K1226">
        <v>-15000</v>
      </c>
      <c r="O1226" t="s">
        <v>738</v>
      </c>
      <c r="P1226" t="s">
        <v>860</v>
      </c>
      <c r="Q1226" t="s">
        <v>456</v>
      </c>
      <c r="R1226">
        <v>0</v>
      </c>
    </row>
    <row r="1227" spans="1:18" x14ac:dyDescent="0.3">
      <c r="A1227">
        <v>179287</v>
      </c>
      <c r="B1227" t="s">
        <v>734</v>
      </c>
      <c r="C1227" t="s">
        <v>1685</v>
      </c>
      <c r="D1227" t="s">
        <v>1703</v>
      </c>
      <c r="E1227" s="465">
        <v>45992</v>
      </c>
      <c r="F1227" s="465">
        <v>46101</v>
      </c>
      <c r="G1227" t="s">
        <v>833</v>
      </c>
      <c r="H1227" t="s">
        <v>348</v>
      </c>
      <c r="I1227" t="s">
        <v>1704</v>
      </c>
      <c r="J1227">
        <v>-20000</v>
      </c>
      <c r="K1227">
        <v>-20000</v>
      </c>
      <c r="O1227" t="s">
        <v>738</v>
      </c>
      <c r="Q1227" t="s">
        <v>456</v>
      </c>
      <c r="R1227">
        <v>0</v>
      </c>
    </row>
    <row r="1228" spans="1:18" x14ac:dyDescent="0.3">
      <c r="A1228">
        <v>179853</v>
      </c>
      <c r="B1228" t="s">
        <v>734</v>
      </c>
      <c r="C1228" t="s">
        <v>824</v>
      </c>
      <c r="E1228" s="465">
        <v>45992</v>
      </c>
      <c r="F1228" s="465">
        <v>45992</v>
      </c>
      <c r="G1228" t="s">
        <v>825</v>
      </c>
      <c r="H1228" t="s">
        <v>826</v>
      </c>
      <c r="J1228">
        <v>-1</v>
      </c>
      <c r="K1228">
        <v>-1</v>
      </c>
      <c r="O1228" t="s">
        <v>738</v>
      </c>
      <c r="P1228" t="s">
        <v>860</v>
      </c>
      <c r="Q1228" t="s">
        <v>456</v>
      </c>
      <c r="R12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67"/>
  <sheetViews>
    <sheetView workbookViewId="0"/>
  </sheetViews>
  <sheetFormatPr defaultRowHeight="14.4" x14ac:dyDescent="0.3"/>
  <sheetData>
    <row r="1" spans="1:17" x14ac:dyDescent="0.3">
      <c r="A1" t="s">
        <v>718</v>
      </c>
      <c r="B1" t="s">
        <v>711</v>
      </c>
      <c r="C1" t="s">
        <v>712</v>
      </c>
      <c r="D1" t="s">
        <v>719</v>
      </c>
      <c r="E1" t="s">
        <v>720</v>
      </c>
      <c r="F1" t="s">
        <v>721</v>
      </c>
      <c r="G1" t="s">
        <v>1705</v>
      </c>
      <c r="H1" t="s">
        <v>722</v>
      </c>
      <c r="I1" t="s">
        <v>727</v>
      </c>
      <c r="J1" t="s">
        <v>1706</v>
      </c>
      <c r="K1" t="s">
        <v>1707</v>
      </c>
      <c r="L1" t="s">
        <v>1708</v>
      </c>
      <c r="M1" t="s">
        <v>1709</v>
      </c>
      <c r="N1" t="s">
        <v>1710</v>
      </c>
      <c r="O1" t="s">
        <v>1711</v>
      </c>
      <c r="P1" t="s">
        <v>1712</v>
      </c>
      <c r="Q1" t="s">
        <v>551</v>
      </c>
    </row>
    <row r="2" spans="1:17" x14ac:dyDescent="0.3">
      <c r="A2">
        <v>249734</v>
      </c>
      <c r="B2">
        <v>173</v>
      </c>
      <c r="C2" t="s">
        <v>734</v>
      </c>
      <c r="D2" t="s">
        <v>1713</v>
      </c>
      <c r="E2" t="s">
        <v>1714</v>
      </c>
      <c r="F2" s="465">
        <v>46205</v>
      </c>
      <c r="G2" s="465">
        <v>46205</v>
      </c>
      <c r="H2" s="465">
        <v>46224</v>
      </c>
      <c r="I2">
        <v>0</v>
      </c>
      <c r="J2">
        <v>1520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463</v>
      </c>
    </row>
    <row r="3" spans="1:17" x14ac:dyDescent="0.3">
      <c r="A3">
        <v>249732</v>
      </c>
      <c r="B3">
        <v>173</v>
      </c>
      <c r="C3" t="s">
        <v>734</v>
      </c>
      <c r="D3" t="s">
        <v>1715</v>
      </c>
      <c r="E3" t="s">
        <v>1716</v>
      </c>
      <c r="F3" s="465">
        <v>46204</v>
      </c>
      <c r="G3" s="465">
        <v>46206</v>
      </c>
      <c r="H3" s="465">
        <v>46224</v>
      </c>
      <c r="I3">
        <v>0</v>
      </c>
      <c r="J3">
        <v>5361.6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463</v>
      </c>
    </row>
    <row r="4" spans="1:17" x14ac:dyDescent="0.3">
      <c r="A4">
        <v>249730</v>
      </c>
      <c r="B4">
        <v>173</v>
      </c>
      <c r="C4" t="s">
        <v>734</v>
      </c>
      <c r="D4" t="s">
        <v>1717</v>
      </c>
      <c r="E4" t="s">
        <v>1718</v>
      </c>
      <c r="F4" s="465">
        <v>46204</v>
      </c>
      <c r="G4" s="465">
        <v>46206</v>
      </c>
      <c r="H4" s="465">
        <v>46224</v>
      </c>
      <c r="I4">
        <v>0</v>
      </c>
      <c r="J4">
        <v>1416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463</v>
      </c>
    </row>
    <row r="5" spans="1:17" x14ac:dyDescent="0.3">
      <c r="A5">
        <v>249729</v>
      </c>
      <c r="B5">
        <v>173</v>
      </c>
      <c r="C5" t="s">
        <v>734</v>
      </c>
      <c r="D5" t="s">
        <v>1719</v>
      </c>
      <c r="E5" t="s">
        <v>1720</v>
      </c>
      <c r="F5" s="465">
        <v>46206</v>
      </c>
      <c r="G5" s="465">
        <v>46209</v>
      </c>
      <c r="H5" s="465">
        <v>46236</v>
      </c>
      <c r="I5">
        <v>690</v>
      </c>
      <c r="J5">
        <v>690</v>
      </c>
      <c r="K5">
        <v>690</v>
      </c>
      <c r="L5">
        <v>0</v>
      </c>
      <c r="M5">
        <v>0</v>
      </c>
      <c r="N5">
        <v>0</v>
      </c>
      <c r="O5">
        <v>0</v>
      </c>
      <c r="P5">
        <v>0</v>
      </c>
      <c r="Q5" t="s">
        <v>463</v>
      </c>
    </row>
    <row r="6" spans="1:17" x14ac:dyDescent="0.3">
      <c r="A6">
        <v>249726</v>
      </c>
      <c r="B6">
        <v>173</v>
      </c>
      <c r="C6" t="s">
        <v>734</v>
      </c>
      <c r="D6" t="s">
        <v>1721</v>
      </c>
      <c r="E6" t="s">
        <v>1722</v>
      </c>
      <c r="F6" s="465">
        <v>46213</v>
      </c>
      <c r="G6" s="465">
        <v>46213</v>
      </c>
      <c r="H6" s="465">
        <v>46239</v>
      </c>
      <c r="I6">
        <v>1079.7</v>
      </c>
      <c r="J6">
        <v>1079.7</v>
      </c>
      <c r="K6">
        <v>1079.7</v>
      </c>
      <c r="L6">
        <v>0</v>
      </c>
      <c r="M6">
        <v>0</v>
      </c>
      <c r="N6">
        <v>0</v>
      </c>
      <c r="O6">
        <v>0</v>
      </c>
      <c r="P6">
        <v>0</v>
      </c>
      <c r="Q6" t="s">
        <v>463</v>
      </c>
    </row>
    <row r="7" spans="1:17" x14ac:dyDescent="0.3">
      <c r="A7">
        <v>249725</v>
      </c>
      <c r="B7">
        <v>173</v>
      </c>
      <c r="C7" t="s">
        <v>734</v>
      </c>
      <c r="D7" t="s">
        <v>1723</v>
      </c>
      <c r="E7" t="s">
        <v>1724</v>
      </c>
      <c r="F7" s="465">
        <v>46211</v>
      </c>
      <c r="G7" s="465">
        <v>46213</v>
      </c>
      <c r="H7" s="465">
        <v>46244</v>
      </c>
      <c r="I7">
        <v>162.9</v>
      </c>
      <c r="J7">
        <v>162.9</v>
      </c>
      <c r="K7">
        <v>0</v>
      </c>
      <c r="L7">
        <v>0</v>
      </c>
      <c r="M7">
        <v>162.9</v>
      </c>
      <c r="N7">
        <v>0</v>
      </c>
      <c r="O7">
        <v>0</v>
      </c>
      <c r="P7">
        <v>0</v>
      </c>
      <c r="Q7" t="s">
        <v>463</v>
      </c>
    </row>
    <row r="8" spans="1:17" x14ac:dyDescent="0.3">
      <c r="A8">
        <v>249723</v>
      </c>
      <c r="B8">
        <v>173</v>
      </c>
      <c r="C8" t="s">
        <v>734</v>
      </c>
      <c r="D8" t="s">
        <v>1723</v>
      </c>
      <c r="E8" t="s">
        <v>1725</v>
      </c>
      <c r="F8" s="465">
        <v>46211</v>
      </c>
      <c r="G8" s="465">
        <v>46213</v>
      </c>
      <c r="H8" s="465">
        <v>46244</v>
      </c>
      <c r="I8">
        <v>977.4</v>
      </c>
      <c r="J8">
        <v>1629</v>
      </c>
      <c r="K8">
        <v>0</v>
      </c>
      <c r="L8">
        <v>0</v>
      </c>
      <c r="M8">
        <v>977.4</v>
      </c>
      <c r="N8">
        <v>0</v>
      </c>
      <c r="O8">
        <v>0</v>
      </c>
      <c r="P8">
        <v>0</v>
      </c>
      <c r="Q8" t="s">
        <v>463</v>
      </c>
    </row>
    <row r="9" spans="1:17" x14ac:dyDescent="0.3">
      <c r="A9">
        <v>249720</v>
      </c>
      <c r="B9">
        <v>173</v>
      </c>
      <c r="C9" t="s">
        <v>734</v>
      </c>
      <c r="D9" t="s">
        <v>1726</v>
      </c>
      <c r="E9" t="s">
        <v>1727</v>
      </c>
      <c r="F9" s="465">
        <v>46210</v>
      </c>
      <c r="G9" s="465">
        <v>46213</v>
      </c>
      <c r="H9" s="465">
        <v>46244</v>
      </c>
      <c r="I9">
        <v>132.4</v>
      </c>
      <c r="J9">
        <v>132.4</v>
      </c>
      <c r="K9">
        <v>132.4</v>
      </c>
      <c r="L9">
        <v>0</v>
      </c>
      <c r="M9">
        <v>0</v>
      </c>
      <c r="N9">
        <v>0</v>
      </c>
      <c r="O9">
        <v>0</v>
      </c>
      <c r="P9">
        <v>0</v>
      </c>
      <c r="Q9" t="s">
        <v>463</v>
      </c>
    </row>
    <row r="10" spans="1:17" x14ac:dyDescent="0.3">
      <c r="A10">
        <v>249718</v>
      </c>
      <c r="B10">
        <v>173</v>
      </c>
      <c r="C10" t="s">
        <v>734</v>
      </c>
      <c r="D10" t="s">
        <v>1728</v>
      </c>
      <c r="E10" t="s">
        <v>1729</v>
      </c>
      <c r="F10" s="465">
        <v>46204</v>
      </c>
      <c r="G10" s="465">
        <v>46213</v>
      </c>
      <c r="H10" s="465">
        <v>46232</v>
      </c>
      <c r="I10">
        <v>239.8</v>
      </c>
      <c r="J10">
        <v>159.80000000000001</v>
      </c>
      <c r="K10">
        <v>0</v>
      </c>
      <c r="L10">
        <v>0</v>
      </c>
      <c r="M10">
        <v>0</v>
      </c>
      <c r="N10">
        <v>0</v>
      </c>
      <c r="O10">
        <v>239.8</v>
      </c>
      <c r="P10">
        <v>0</v>
      </c>
      <c r="Q10" t="s">
        <v>463</v>
      </c>
    </row>
    <row r="11" spans="1:17" x14ac:dyDescent="0.3">
      <c r="A11">
        <v>249715</v>
      </c>
      <c r="B11">
        <v>173</v>
      </c>
      <c r="C11" t="s">
        <v>734</v>
      </c>
      <c r="D11" t="s">
        <v>912</v>
      </c>
      <c r="E11" t="s">
        <v>1730</v>
      </c>
      <c r="F11" s="465">
        <v>46211</v>
      </c>
      <c r="G11" s="465">
        <v>46213</v>
      </c>
      <c r="H11" s="465">
        <v>46239</v>
      </c>
      <c r="I11">
        <v>199.36</v>
      </c>
      <c r="J11">
        <v>199.36</v>
      </c>
      <c r="K11">
        <v>199.36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463</v>
      </c>
    </row>
    <row r="12" spans="1:17" x14ac:dyDescent="0.3">
      <c r="A12">
        <v>249714</v>
      </c>
      <c r="B12">
        <v>173</v>
      </c>
      <c r="C12" t="s">
        <v>734</v>
      </c>
      <c r="D12" t="s">
        <v>1731</v>
      </c>
      <c r="E12" t="s">
        <v>1732</v>
      </c>
      <c r="F12" s="465">
        <v>46210</v>
      </c>
      <c r="G12" s="465">
        <v>46213</v>
      </c>
      <c r="H12" s="465">
        <v>46231</v>
      </c>
      <c r="I12">
        <v>7200.99</v>
      </c>
      <c r="J12">
        <v>7200.99</v>
      </c>
      <c r="K12">
        <v>7200.99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463</v>
      </c>
    </row>
    <row r="13" spans="1:17" x14ac:dyDescent="0.3">
      <c r="A13">
        <v>249711</v>
      </c>
      <c r="B13">
        <v>173</v>
      </c>
      <c r="C13" t="s">
        <v>734</v>
      </c>
      <c r="D13" t="s">
        <v>1733</v>
      </c>
      <c r="E13" t="s">
        <v>882</v>
      </c>
      <c r="F13" s="465">
        <v>46211</v>
      </c>
      <c r="G13" s="465">
        <v>46213</v>
      </c>
      <c r="H13" s="465">
        <v>46239</v>
      </c>
      <c r="I13">
        <v>2037.76</v>
      </c>
      <c r="J13">
        <v>2037.76</v>
      </c>
      <c r="K13">
        <v>2037.76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463</v>
      </c>
    </row>
    <row r="14" spans="1:17" x14ac:dyDescent="0.3">
      <c r="A14">
        <v>249709</v>
      </c>
      <c r="B14">
        <v>173</v>
      </c>
      <c r="C14" t="s">
        <v>734</v>
      </c>
      <c r="D14" t="s">
        <v>1734</v>
      </c>
      <c r="E14" t="s">
        <v>1735</v>
      </c>
      <c r="F14" s="465">
        <v>46211</v>
      </c>
      <c r="G14" s="465">
        <v>46213</v>
      </c>
      <c r="H14" s="465">
        <v>46239</v>
      </c>
      <c r="I14">
        <v>1980</v>
      </c>
      <c r="J14">
        <v>1980</v>
      </c>
      <c r="K14">
        <v>0</v>
      </c>
      <c r="L14">
        <v>0</v>
      </c>
      <c r="M14">
        <v>1980</v>
      </c>
      <c r="N14">
        <v>0</v>
      </c>
      <c r="O14">
        <v>0</v>
      </c>
      <c r="P14">
        <v>0</v>
      </c>
      <c r="Q14" t="s">
        <v>463</v>
      </c>
    </row>
    <row r="15" spans="1:17" x14ac:dyDescent="0.3">
      <c r="A15">
        <v>249707</v>
      </c>
      <c r="B15">
        <v>173</v>
      </c>
      <c r="C15" t="s">
        <v>734</v>
      </c>
      <c r="D15" t="s">
        <v>1723</v>
      </c>
      <c r="E15" t="s">
        <v>1736</v>
      </c>
      <c r="F15" s="465">
        <v>46218</v>
      </c>
      <c r="G15" s="465">
        <v>46219</v>
      </c>
      <c r="H15" s="465">
        <v>46251</v>
      </c>
      <c r="I15">
        <v>1553.7</v>
      </c>
      <c r="J15">
        <v>1140.3</v>
      </c>
      <c r="K15">
        <v>0</v>
      </c>
      <c r="L15">
        <v>0</v>
      </c>
      <c r="M15">
        <v>1553.7</v>
      </c>
      <c r="N15">
        <v>0</v>
      </c>
      <c r="O15">
        <v>0</v>
      </c>
      <c r="P15">
        <v>0</v>
      </c>
      <c r="Q15" t="s">
        <v>463</v>
      </c>
    </row>
    <row r="16" spans="1:17" x14ac:dyDescent="0.3">
      <c r="A16">
        <v>249706</v>
      </c>
      <c r="B16">
        <v>173</v>
      </c>
      <c r="C16" t="s">
        <v>734</v>
      </c>
      <c r="D16" t="s">
        <v>1737</v>
      </c>
      <c r="E16" t="s">
        <v>1738</v>
      </c>
      <c r="F16" s="465">
        <v>46218</v>
      </c>
      <c r="G16" s="465">
        <v>46219</v>
      </c>
      <c r="H16" s="465">
        <v>46246</v>
      </c>
      <c r="I16">
        <v>539.28</v>
      </c>
      <c r="J16">
        <v>539.28</v>
      </c>
      <c r="K16">
        <v>539.28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463</v>
      </c>
    </row>
    <row r="17" spans="1:17" x14ac:dyDescent="0.3">
      <c r="A17">
        <v>249703</v>
      </c>
      <c r="B17">
        <v>173</v>
      </c>
      <c r="C17" t="s">
        <v>734</v>
      </c>
      <c r="D17" t="s">
        <v>1733</v>
      </c>
      <c r="E17" t="s">
        <v>1739</v>
      </c>
      <c r="F17" s="465">
        <v>46217</v>
      </c>
      <c r="G17" s="465">
        <v>46219</v>
      </c>
      <c r="H17" s="465">
        <v>46245</v>
      </c>
      <c r="I17">
        <v>222</v>
      </c>
      <c r="J17">
        <v>222</v>
      </c>
      <c r="K17">
        <v>222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463</v>
      </c>
    </row>
    <row r="18" spans="1:17" x14ac:dyDescent="0.3">
      <c r="A18">
        <v>249692</v>
      </c>
      <c r="B18">
        <v>173</v>
      </c>
      <c r="C18" t="s">
        <v>734</v>
      </c>
      <c r="D18" t="s">
        <v>1334</v>
      </c>
      <c r="E18" t="s">
        <v>1740</v>
      </c>
      <c r="F18" s="465">
        <v>46204</v>
      </c>
      <c r="G18" s="465">
        <v>46200</v>
      </c>
      <c r="H18" s="465">
        <v>46224</v>
      </c>
      <c r="I18">
        <v>756.58</v>
      </c>
      <c r="J18">
        <v>689.44</v>
      </c>
      <c r="K18">
        <v>0</v>
      </c>
      <c r="L18">
        <v>0</v>
      </c>
      <c r="M18">
        <v>0</v>
      </c>
      <c r="N18">
        <v>0</v>
      </c>
      <c r="O18">
        <v>756.58</v>
      </c>
      <c r="P18">
        <v>0</v>
      </c>
      <c r="Q18" t="s">
        <v>462</v>
      </c>
    </row>
    <row r="19" spans="1:17" x14ac:dyDescent="0.3">
      <c r="A19">
        <v>249690</v>
      </c>
      <c r="B19">
        <v>173</v>
      </c>
      <c r="C19" t="s">
        <v>734</v>
      </c>
      <c r="D19" t="s">
        <v>1171</v>
      </c>
      <c r="E19" t="s">
        <v>1741</v>
      </c>
      <c r="F19" s="465">
        <v>46204</v>
      </c>
      <c r="G19" s="465">
        <v>46203</v>
      </c>
      <c r="H19" s="465">
        <v>46224</v>
      </c>
      <c r="I19">
        <v>1000</v>
      </c>
      <c r="J19">
        <v>1000</v>
      </c>
      <c r="K19">
        <v>0</v>
      </c>
      <c r="L19">
        <v>0</v>
      </c>
      <c r="M19">
        <v>0</v>
      </c>
      <c r="N19">
        <v>0</v>
      </c>
      <c r="O19">
        <v>1000</v>
      </c>
      <c r="P19">
        <v>0</v>
      </c>
      <c r="Q19" t="s">
        <v>462</v>
      </c>
    </row>
    <row r="20" spans="1:17" x14ac:dyDescent="0.3">
      <c r="A20">
        <v>249687</v>
      </c>
      <c r="B20">
        <v>173</v>
      </c>
      <c r="C20" t="s">
        <v>734</v>
      </c>
      <c r="D20" t="s">
        <v>1717</v>
      </c>
      <c r="E20" t="s">
        <v>1742</v>
      </c>
      <c r="F20" s="465">
        <v>46204</v>
      </c>
      <c r="G20" s="465">
        <v>46206</v>
      </c>
      <c r="H20" s="465">
        <v>46240</v>
      </c>
      <c r="I20">
        <v>4332</v>
      </c>
      <c r="J20">
        <v>4332</v>
      </c>
      <c r="K20">
        <v>0</v>
      </c>
      <c r="L20">
        <v>4332</v>
      </c>
      <c r="M20">
        <v>0</v>
      </c>
      <c r="N20">
        <v>0</v>
      </c>
      <c r="O20">
        <v>0</v>
      </c>
      <c r="P20">
        <v>0</v>
      </c>
      <c r="Q20" t="s">
        <v>463</v>
      </c>
    </row>
    <row r="21" spans="1:17" x14ac:dyDescent="0.3">
      <c r="A21">
        <v>249681</v>
      </c>
      <c r="B21">
        <v>173</v>
      </c>
      <c r="C21" t="s">
        <v>734</v>
      </c>
      <c r="D21" t="s">
        <v>912</v>
      </c>
      <c r="E21" t="s">
        <v>1743</v>
      </c>
      <c r="F21" s="465">
        <v>46207</v>
      </c>
      <c r="G21" s="465">
        <v>46209</v>
      </c>
      <c r="H21" s="465">
        <v>46235</v>
      </c>
      <c r="I21">
        <v>284.91000000000003</v>
      </c>
      <c r="J21">
        <v>284.91000000000003</v>
      </c>
      <c r="K21">
        <v>284.91000000000003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463</v>
      </c>
    </row>
    <row r="22" spans="1:17" x14ac:dyDescent="0.3">
      <c r="A22">
        <v>249679</v>
      </c>
      <c r="B22">
        <v>173</v>
      </c>
      <c r="C22" t="s">
        <v>734</v>
      </c>
      <c r="D22" t="s">
        <v>1744</v>
      </c>
      <c r="E22" t="s">
        <v>1745</v>
      </c>
      <c r="F22" s="465">
        <v>46206</v>
      </c>
      <c r="G22" s="465">
        <v>46207</v>
      </c>
      <c r="H22" s="465">
        <v>46235</v>
      </c>
      <c r="I22">
        <v>14542.4</v>
      </c>
      <c r="J22">
        <v>14542.4</v>
      </c>
      <c r="K22">
        <v>0</v>
      </c>
      <c r="L22">
        <v>14542.4</v>
      </c>
      <c r="M22">
        <v>0</v>
      </c>
      <c r="N22">
        <v>0</v>
      </c>
      <c r="O22">
        <v>0</v>
      </c>
      <c r="P22">
        <v>0</v>
      </c>
      <c r="Q22" t="s">
        <v>463</v>
      </c>
    </row>
    <row r="23" spans="1:17" x14ac:dyDescent="0.3">
      <c r="A23">
        <v>249676</v>
      </c>
      <c r="B23">
        <v>173</v>
      </c>
      <c r="C23" t="s">
        <v>734</v>
      </c>
      <c r="D23" t="s">
        <v>1746</v>
      </c>
      <c r="E23" t="s">
        <v>1747</v>
      </c>
      <c r="F23" s="465">
        <v>46218</v>
      </c>
      <c r="G23" s="465">
        <v>46219</v>
      </c>
      <c r="H23" s="465">
        <v>46248</v>
      </c>
      <c r="I23">
        <v>404</v>
      </c>
      <c r="J23">
        <v>404</v>
      </c>
      <c r="K23">
        <v>404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463</v>
      </c>
    </row>
    <row r="24" spans="1:17" x14ac:dyDescent="0.3">
      <c r="A24">
        <v>249674</v>
      </c>
      <c r="B24">
        <v>173</v>
      </c>
      <c r="C24" t="s">
        <v>734</v>
      </c>
      <c r="D24" t="s">
        <v>1723</v>
      </c>
      <c r="E24" t="s">
        <v>1748</v>
      </c>
      <c r="F24" s="465">
        <v>46204</v>
      </c>
      <c r="G24" s="465">
        <v>46206</v>
      </c>
      <c r="H24" s="465">
        <v>46237</v>
      </c>
      <c r="I24">
        <v>3886.6</v>
      </c>
      <c r="J24">
        <v>3886.6</v>
      </c>
      <c r="K24">
        <v>0</v>
      </c>
      <c r="L24">
        <v>0</v>
      </c>
      <c r="M24">
        <v>3886.6</v>
      </c>
      <c r="N24">
        <v>0</v>
      </c>
      <c r="O24">
        <v>0</v>
      </c>
      <c r="P24">
        <v>0</v>
      </c>
      <c r="Q24" t="s">
        <v>463</v>
      </c>
    </row>
    <row r="25" spans="1:17" x14ac:dyDescent="0.3">
      <c r="A25">
        <v>249672</v>
      </c>
      <c r="B25">
        <v>173</v>
      </c>
      <c r="C25" t="s">
        <v>734</v>
      </c>
      <c r="D25" t="s">
        <v>1749</v>
      </c>
      <c r="E25" t="s">
        <v>1750</v>
      </c>
      <c r="F25" s="465">
        <v>46207</v>
      </c>
      <c r="G25" s="465">
        <v>46209</v>
      </c>
      <c r="H25" s="465">
        <v>46239</v>
      </c>
      <c r="I25">
        <v>3862.4</v>
      </c>
      <c r="J25">
        <v>24621.8</v>
      </c>
      <c r="K25">
        <v>0</v>
      </c>
      <c r="L25">
        <v>3862.4</v>
      </c>
      <c r="M25">
        <v>0</v>
      </c>
      <c r="N25">
        <v>0</v>
      </c>
      <c r="O25">
        <v>0</v>
      </c>
      <c r="P25">
        <v>0</v>
      </c>
      <c r="Q25" t="s">
        <v>463</v>
      </c>
    </row>
    <row r="26" spans="1:17" x14ac:dyDescent="0.3">
      <c r="A26">
        <v>249263</v>
      </c>
      <c r="B26">
        <v>173</v>
      </c>
      <c r="C26" t="s">
        <v>734</v>
      </c>
      <c r="D26" t="s">
        <v>1751</v>
      </c>
      <c r="E26" t="s">
        <v>1752</v>
      </c>
      <c r="F26" s="465">
        <v>46219</v>
      </c>
      <c r="G26" s="465">
        <v>46220</v>
      </c>
      <c r="H26" s="465">
        <v>46247</v>
      </c>
      <c r="I26">
        <v>16001.99</v>
      </c>
      <c r="J26">
        <v>16001.99</v>
      </c>
      <c r="K26">
        <v>0</v>
      </c>
      <c r="L26">
        <v>0</v>
      </c>
      <c r="M26">
        <v>0</v>
      </c>
      <c r="N26">
        <v>0</v>
      </c>
      <c r="O26">
        <v>14805.99</v>
      </c>
      <c r="P26">
        <v>0</v>
      </c>
      <c r="Q26" t="s">
        <v>463</v>
      </c>
    </row>
    <row r="27" spans="1:17" x14ac:dyDescent="0.3">
      <c r="A27">
        <v>249262</v>
      </c>
      <c r="B27">
        <v>173</v>
      </c>
      <c r="C27" t="s">
        <v>734</v>
      </c>
      <c r="D27" t="s">
        <v>912</v>
      </c>
      <c r="E27" t="s">
        <v>1753</v>
      </c>
      <c r="F27" s="465">
        <v>46219</v>
      </c>
      <c r="G27" s="465">
        <v>46220</v>
      </c>
      <c r="H27" s="465">
        <v>46247</v>
      </c>
      <c r="I27">
        <v>121.6</v>
      </c>
      <c r="J27">
        <v>2071.6</v>
      </c>
      <c r="K27">
        <v>121.6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463</v>
      </c>
    </row>
    <row r="28" spans="1:17" x14ac:dyDescent="0.3">
      <c r="A28">
        <v>249260</v>
      </c>
      <c r="B28">
        <v>173</v>
      </c>
      <c r="C28" t="s">
        <v>734</v>
      </c>
      <c r="D28" t="s">
        <v>912</v>
      </c>
      <c r="E28" t="s">
        <v>1754</v>
      </c>
      <c r="F28" s="465">
        <v>46219</v>
      </c>
      <c r="G28" s="465">
        <v>46220</v>
      </c>
      <c r="H28" s="465">
        <v>46247</v>
      </c>
      <c r="I28">
        <v>1950</v>
      </c>
      <c r="J28">
        <v>2071.6</v>
      </c>
      <c r="K28">
        <v>1950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463</v>
      </c>
    </row>
    <row r="29" spans="1:17" x14ac:dyDescent="0.3">
      <c r="A29">
        <v>249257</v>
      </c>
      <c r="B29">
        <v>173</v>
      </c>
      <c r="C29" t="s">
        <v>734</v>
      </c>
      <c r="D29" t="s">
        <v>1755</v>
      </c>
      <c r="E29" t="s">
        <v>1756</v>
      </c>
      <c r="F29" s="465">
        <v>46219</v>
      </c>
      <c r="G29" s="465">
        <v>46220</v>
      </c>
      <c r="H29" s="465">
        <v>46234</v>
      </c>
      <c r="I29">
        <v>875</v>
      </c>
      <c r="J29">
        <v>875</v>
      </c>
      <c r="K29">
        <v>0</v>
      </c>
      <c r="L29">
        <v>0</v>
      </c>
      <c r="M29">
        <v>0</v>
      </c>
      <c r="N29">
        <v>0</v>
      </c>
      <c r="O29">
        <v>0</v>
      </c>
      <c r="P29">
        <v>875</v>
      </c>
      <c r="Q29" t="s">
        <v>463</v>
      </c>
    </row>
    <row r="30" spans="1:17" x14ac:dyDescent="0.3">
      <c r="A30">
        <v>249256</v>
      </c>
      <c r="B30">
        <v>173</v>
      </c>
      <c r="C30" t="s">
        <v>734</v>
      </c>
      <c r="D30" t="s">
        <v>1755</v>
      </c>
      <c r="E30" t="s">
        <v>1757</v>
      </c>
      <c r="F30" s="465">
        <v>46219</v>
      </c>
      <c r="G30" s="465">
        <v>46220</v>
      </c>
      <c r="H30" s="465">
        <v>46233</v>
      </c>
      <c r="I30">
        <v>1453.45</v>
      </c>
      <c r="J30">
        <v>1453.45</v>
      </c>
      <c r="K30">
        <v>0</v>
      </c>
      <c r="L30">
        <v>0</v>
      </c>
      <c r="M30">
        <v>791.45</v>
      </c>
      <c r="N30">
        <v>0</v>
      </c>
      <c r="O30">
        <v>135</v>
      </c>
      <c r="P30">
        <v>41.2</v>
      </c>
      <c r="Q30" t="s">
        <v>463</v>
      </c>
    </row>
    <row r="31" spans="1:17" x14ac:dyDescent="0.3">
      <c r="A31">
        <v>249254</v>
      </c>
      <c r="B31">
        <v>173</v>
      </c>
      <c r="C31" t="s">
        <v>734</v>
      </c>
      <c r="D31" t="s">
        <v>1758</v>
      </c>
      <c r="E31" t="s">
        <v>1759</v>
      </c>
      <c r="F31" s="465">
        <v>46216</v>
      </c>
      <c r="G31" s="465">
        <v>46219</v>
      </c>
      <c r="H31" s="465">
        <v>46246</v>
      </c>
      <c r="I31">
        <v>2555.7199999999998</v>
      </c>
      <c r="J31">
        <v>2555.7199999999998</v>
      </c>
      <c r="K31">
        <v>0</v>
      </c>
      <c r="L31">
        <v>0</v>
      </c>
      <c r="M31">
        <v>0</v>
      </c>
      <c r="N31">
        <v>0</v>
      </c>
      <c r="O31">
        <v>2555.7199999999998</v>
      </c>
      <c r="P31">
        <v>0</v>
      </c>
      <c r="Q31" t="s">
        <v>463</v>
      </c>
    </row>
    <row r="32" spans="1:17" x14ac:dyDescent="0.3">
      <c r="A32">
        <v>249249</v>
      </c>
      <c r="B32">
        <v>173</v>
      </c>
      <c r="C32" t="s">
        <v>734</v>
      </c>
      <c r="D32" t="s">
        <v>1760</v>
      </c>
      <c r="E32" t="s">
        <v>1761</v>
      </c>
      <c r="F32" s="465">
        <v>46218</v>
      </c>
      <c r="G32" s="465">
        <v>46219</v>
      </c>
      <c r="H32" s="465">
        <v>46233</v>
      </c>
      <c r="I32">
        <v>2666.48</v>
      </c>
      <c r="J32">
        <v>1658.7</v>
      </c>
      <c r="K32">
        <v>2666.48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463</v>
      </c>
    </row>
    <row r="33" spans="1:17" x14ac:dyDescent="0.3">
      <c r="A33">
        <v>249028</v>
      </c>
      <c r="B33">
        <v>173</v>
      </c>
      <c r="C33" t="s">
        <v>734</v>
      </c>
      <c r="D33" t="s">
        <v>1731</v>
      </c>
      <c r="E33" t="s">
        <v>1762</v>
      </c>
      <c r="F33" s="465">
        <v>46217</v>
      </c>
      <c r="G33" s="465">
        <v>46219</v>
      </c>
      <c r="H33" s="465">
        <v>46245</v>
      </c>
      <c r="I33">
        <v>4902.8</v>
      </c>
      <c r="J33">
        <v>4902.8</v>
      </c>
      <c r="K33">
        <v>4902.8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463</v>
      </c>
    </row>
    <row r="34" spans="1:17" x14ac:dyDescent="0.3">
      <c r="A34">
        <v>249027</v>
      </c>
      <c r="B34">
        <v>173</v>
      </c>
      <c r="C34" t="s">
        <v>734</v>
      </c>
      <c r="D34" t="s">
        <v>1763</v>
      </c>
      <c r="E34" t="s">
        <v>1764</v>
      </c>
      <c r="F34" s="465">
        <v>46216</v>
      </c>
      <c r="G34" s="465">
        <v>46219</v>
      </c>
      <c r="H34" s="465">
        <v>46244</v>
      </c>
      <c r="I34">
        <v>465</v>
      </c>
      <c r="J34">
        <v>465</v>
      </c>
      <c r="K34">
        <v>465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463</v>
      </c>
    </row>
    <row r="35" spans="1:17" x14ac:dyDescent="0.3">
      <c r="A35">
        <v>249026</v>
      </c>
      <c r="B35">
        <v>173</v>
      </c>
      <c r="C35" t="s">
        <v>734</v>
      </c>
      <c r="D35" t="s">
        <v>1737</v>
      </c>
      <c r="E35" t="s">
        <v>1765</v>
      </c>
      <c r="F35" s="465">
        <v>46219</v>
      </c>
      <c r="G35" s="465">
        <v>46219</v>
      </c>
      <c r="H35" s="465">
        <v>46247</v>
      </c>
      <c r="I35">
        <v>639.6</v>
      </c>
      <c r="J35">
        <v>639.6</v>
      </c>
      <c r="K35">
        <v>639.6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463</v>
      </c>
    </row>
    <row r="36" spans="1:17" x14ac:dyDescent="0.3">
      <c r="A36">
        <v>249025</v>
      </c>
      <c r="B36">
        <v>173</v>
      </c>
      <c r="C36" t="s">
        <v>734</v>
      </c>
      <c r="D36" t="s">
        <v>1766</v>
      </c>
      <c r="E36" t="s">
        <v>1767</v>
      </c>
      <c r="F36" s="465">
        <v>46217</v>
      </c>
      <c r="G36" s="465">
        <v>46219</v>
      </c>
      <c r="H36" s="465">
        <v>46246</v>
      </c>
      <c r="I36">
        <v>531</v>
      </c>
      <c r="J36">
        <v>531</v>
      </c>
      <c r="K36">
        <v>531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463</v>
      </c>
    </row>
    <row r="37" spans="1:17" x14ac:dyDescent="0.3">
      <c r="A37">
        <v>249024</v>
      </c>
      <c r="B37">
        <v>173</v>
      </c>
      <c r="C37" t="s">
        <v>734</v>
      </c>
      <c r="D37" t="s">
        <v>1766</v>
      </c>
      <c r="E37" t="s">
        <v>1768</v>
      </c>
      <c r="F37" s="465">
        <v>46217</v>
      </c>
      <c r="G37" s="465">
        <v>46219</v>
      </c>
      <c r="H37" s="465">
        <v>46246</v>
      </c>
      <c r="I37">
        <v>592.5</v>
      </c>
      <c r="J37">
        <v>592.5</v>
      </c>
      <c r="K37">
        <v>592.5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463</v>
      </c>
    </row>
    <row r="38" spans="1:17" x14ac:dyDescent="0.3">
      <c r="A38">
        <v>249023</v>
      </c>
      <c r="B38">
        <v>173</v>
      </c>
      <c r="C38" t="s">
        <v>734</v>
      </c>
      <c r="D38" t="s">
        <v>1746</v>
      </c>
      <c r="E38" t="s">
        <v>1769</v>
      </c>
      <c r="F38" s="465">
        <v>46217</v>
      </c>
      <c r="G38" s="465">
        <v>46219</v>
      </c>
      <c r="H38" s="465">
        <v>46245</v>
      </c>
      <c r="I38">
        <v>202.16</v>
      </c>
      <c r="J38">
        <v>202.16</v>
      </c>
      <c r="K38">
        <v>202.16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463</v>
      </c>
    </row>
    <row r="39" spans="1:17" x14ac:dyDescent="0.3">
      <c r="A39">
        <v>249022</v>
      </c>
      <c r="B39">
        <v>173</v>
      </c>
      <c r="C39" t="s">
        <v>734</v>
      </c>
      <c r="D39" t="s">
        <v>1770</v>
      </c>
      <c r="E39" t="s">
        <v>1771</v>
      </c>
      <c r="F39" s="465">
        <v>46218</v>
      </c>
      <c r="G39" s="465">
        <v>46219</v>
      </c>
      <c r="H39" s="465">
        <v>46233</v>
      </c>
      <c r="I39">
        <v>1248</v>
      </c>
      <c r="J39">
        <v>1248</v>
      </c>
      <c r="K39">
        <v>1248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463</v>
      </c>
    </row>
    <row r="40" spans="1:17" x14ac:dyDescent="0.3">
      <c r="A40">
        <v>249021</v>
      </c>
      <c r="B40">
        <v>173</v>
      </c>
      <c r="C40" t="s">
        <v>734</v>
      </c>
      <c r="D40" t="s">
        <v>1772</v>
      </c>
      <c r="E40" t="s">
        <v>1773</v>
      </c>
      <c r="F40" s="465">
        <v>46217</v>
      </c>
      <c r="G40" s="465">
        <v>46219</v>
      </c>
      <c r="H40" s="465">
        <v>46231</v>
      </c>
      <c r="I40">
        <v>4013.64</v>
      </c>
      <c r="J40">
        <v>4013.64</v>
      </c>
      <c r="K40">
        <v>4013.64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463</v>
      </c>
    </row>
    <row r="41" spans="1:17" x14ac:dyDescent="0.3">
      <c r="A41">
        <v>249020</v>
      </c>
      <c r="B41">
        <v>173</v>
      </c>
      <c r="C41" t="s">
        <v>734</v>
      </c>
      <c r="D41" t="s">
        <v>912</v>
      </c>
      <c r="E41" t="s">
        <v>1774</v>
      </c>
      <c r="F41" s="465">
        <v>46217</v>
      </c>
      <c r="G41" s="465">
        <v>46219</v>
      </c>
      <c r="H41" s="465">
        <v>46245</v>
      </c>
      <c r="I41">
        <v>100.74</v>
      </c>
      <c r="J41">
        <v>100.74</v>
      </c>
      <c r="K41">
        <v>100.74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463</v>
      </c>
    </row>
    <row r="42" spans="1:17" x14ac:dyDescent="0.3">
      <c r="A42">
        <v>249019</v>
      </c>
      <c r="B42">
        <v>173</v>
      </c>
      <c r="C42" t="s">
        <v>734</v>
      </c>
      <c r="D42" t="s">
        <v>1775</v>
      </c>
      <c r="E42" t="s">
        <v>1776</v>
      </c>
      <c r="F42" s="465">
        <v>46217</v>
      </c>
      <c r="G42" s="465">
        <v>46219</v>
      </c>
      <c r="H42" s="465">
        <v>46245</v>
      </c>
      <c r="I42">
        <v>197.6</v>
      </c>
      <c r="J42">
        <v>197.6</v>
      </c>
      <c r="K42">
        <v>197.6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463</v>
      </c>
    </row>
    <row r="43" spans="1:17" x14ac:dyDescent="0.3">
      <c r="A43">
        <v>249018</v>
      </c>
      <c r="B43">
        <v>173</v>
      </c>
      <c r="C43" t="s">
        <v>734</v>
      </c>
      <c r="D43" t="s">
        <v>1763</v>
      </c>
      <c r="E43" t="s">
        <v>1777</v>
      </c>
      <c r="F43" s="465">
        <v>46217</v>
      </c>
      <c r="G43" s="465">
        <v>46219</v>
      </c>
      <c r="H43" s="465">
        <v>46245</v>
      </c>
      <c r="I43">
        <v>472.5</v>
      </c>
      <c r="J43">
        <v>472.5</v>
      </c>
      <c r="K43">
        <v>472.5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463</v>
      </c>
    </row>
    <row r="44" spans="1:17" x14ac:dyDescent="0.3">
      <c r="A44">
        <v>249017</v>
      </c>
      <c r="B44">
        <v>173</v>
      </c>
      <c r="C44" t="s">
        <v>734</v>
      </c>
      <c r="D44" t="s">
        <v>1778</v>
      </c>
      <c r="E44" t="s">
        <v>1779</v>
      </c>
      <c r="F44" s="465">
        <v>46218</v>
      </c>
      <c r="G44" s="465">
        <v>46219</v>
      </c>
      <c r="H44" s="465">
        <v>46239</v>
      </c>
      <c r="I44">
        <v>533.94000000000005</v>
      </c>
      <c r="J44">
        <v>533.94000000000005</v>
      </c>
      <c r="K44">
        <v>533.94000000000005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463</v>
      </c>
    </row>
    <row r="45" spans="1:17" x14ac:dyDescent="0.3">
      <c r="A45">
        <v>249016</v>
      </c>
      <c r="B45">
        <v>173</v>
      </c>
      <c r="C45" t="s">
        <v>734</v>
      </c>
      <c r="D45" t="s">
        <v>1780</v>
      </c>
      <c r="E45" t="s">
        <v>1781</v>
      </c>
      <c r="F45" s="465">
        <v>46222</v>
      </c>
      <c r="G45" s="465">
        <v>46219</v>
      </c>
      <c r="H45" s="465">
        <v>46234</v>
      </c>
      <c r="I45">
        <v>987.89</v>
      </c>
      <c r="J45">
        <v>987.89</v>
      </c>
      <c r="K45">
        <v>987.89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463</v>
      </c>
    </row>
    <row r="46" spans="1:17" x14ac:dyDescent="0.3">
      <c r="A46">
        <v>249015</v>
      </c>
      <c r="B46">
        <v>173</v>
      </c>
      <c r="C46" t="s">
        <v>734</v>
      </c>
      <c r="D46" t="s">
        <v>1782</v>
      </c>
      <c r="E46" t="s">
        <v>1783</v>
      </c>
      <c r="F46" s="465">
        <v>46217</v>
      </c>
      <c r="G46" s="465">
        <v>46219</v>
      </c>
      <c r="H46" s="465">
        <v>46245</v>
      </c>
      <c r="I46">
        <v>499</v>
      </c>
      <c r="J46">
        <v>499</v>
      </c>
      <c r="K46">
        <v>499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463</v>
      </c>
    </row>
    <row r="47" spans="1:17" x14ac:dyDescent="0.3">
      <c r="A47">
        <v>249014</v>
      </c>
      <c r="B47">
        <v>173</v>
      </c>
      <c r="C47" t="s">
        <v>734</v>
      </c>
      <c r="D47" t="s">
        <v>1784</v>
      </c>
      <c r="E47" t="s">
        <v>1785</v>
      </c>
      <c r="F47" s="465">
        <v>46217</v>
      </c>
      <c r="G47" s="465">
        <v>46219</v>
      </c>
      <c r="H47" s="465">
        <v>46231</v>
      </c>
      <c r="I47">
        <v>768</v>
      </c>
      <c r="J47">
        <v>768</v>
      </c>
      <c r="K47">
        <v>768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463</v>
      </c>
    </row>
    <row r="48" spans="1:17" x14ac:dyDescent="0.3">
      <c r="A48">
        <v>249013</v>
      </c>
      <c r="B48">
        <v>173</v>
      </c>
      <c r="C48" t="s">
        <v>734</v>
      </c>
      <c r="D48" t="s">
        <v>1721</v>
      </c>
      <c r="E48" t="s">
        <v>1786</v>
      </c>
      <c r="F48" s="465">
        <v>46218</v>
      </c>
      <c r="G48" s="465">
        <v>46219</v>
      </c>
      <c r="H48" s="465">
        <v>46248</v>
      </c>
      <c r="I48">
        <v>856.8</v>
      </c>
      <c r="J48">
        <v>856.8</v>
      </c>
      <c r="K48">
        <v>856.8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463</v>
      </c>
    </row>
    <row r="49" spans="1:17" x14ac:dyDescent="0.3">
      <c r="A49">
        <v>248781</v>
      </c>
      <c r="B49">
        <v>173</v>
      </c>
      <c r="C49" t="s">
        <v>734</v>
      </c>
      <c r="D49" t="s">
        <v>1760</v>
      </c>
      <c r="E49" t="s">
        <v>1761</v>
      </c>
      <c r="F49" s="465">
        <v>46218</v>
      </c>
      <c r="G49" s="465">
        <v>46219</v>
      </c>
      <c r="H49" s="465">
        <v>46233</v>
      </c>
      <c r="I49">
        <v>1007.78</v>
      </c>
      <c r="J49">
        <v>1007.78</v>
      </c>
      <c r="K49">
        <v>1007.78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463</v>
      </c>
    </row>
    <row r="50" spans="1:17" x14ac:dyDescent="0.3">
      <c r="A50">
        <v>248780</v>
      </c>
      <c r="B50">
        <v>173</v>
      </c>
      <c r="C50" t="s">
        <v>734</v>
      </c>
      <c r="D50" t="s">
        <v>1726</v>
      </c>
      <c r="E50" t="s">
        <v>1787</v>
      </c>
      <c r="F50" s="465">
        <v>46215</v>
      </c>
      <c r="G50" s="465">
        <v>46219</v>
      </c>
      <c r="H50" s="465">
        <v>46251</v>
      </c>
      <c r="I50">
        <v>266.60000000000002</v>
      </c>
      <c r="J50">
        <v>266.60000000000002</v>
      </c>
      <c r="K50">
        <v>266.60000000000002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463</v>
      </c>
    </row>
    <row r="51" spans="1:17" x14ac:dyDescent="0.3">
      <c r="A51">
        <v>248778</v>
      </c>
      <c r="B51">
        <v>173</v>
      </c>
      <c r="C51" t="s">
        <v>734</v>
      </c>
      <c r="D51" t="s">
        <v>1788</v>
      </c>
      <c r="E51" t="s">
        <v>1789</v>
      </c>
      <c r="F51" s="465">
        <v>46216</v>
      </c>
      <c r="H51" s="465">
        <v>46237</v>
      </c>
      <c r="I51">
        <v>4929.2299999999996</v>
      </c>
      <c r="J51">
        <v>4929.2299999999996</v>
      </c>
      <c r="K51">
        <v>4929.2299999999996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463</v>
      </c>
    </row>
    <row r="52" spans="1:17" x14ac:dyDescent="0.3">
      <c r="A52">
        <v>248777</v>
      </c>
      <c r="B52">
        <v>173</v>
      </c>
      <c r="C52" t="s">
        <v>734</v>
      </c>
      <c r="D52" t="s">
        <v>1733</v>
      </c>
      <c r="E52" t="s">
        <v>1790</v>
      </c>
      <c r="F52" s="465">
        <v>46217</v>
      </c>
      <c r="G52" s="465">
        <v>46219</v>
      </c>
      <c r="H52" s="465">
        <v>46245</v>
      </c>
      <c r="I52">
        <v>1595.59</v>
      </c>
      <c r="J52">
        <v>1595.59</v>
      </c>
      <c r="K52">
        <v>1595.59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463</v>
      </c>
    </row>
    <row r="53" spans="1:17" x14ac:dyDescent="0.3">
      <c r="A53">
        <v>248775</v>
      </c>
      <c r="B53">
        <v>173</v>
      </c>
      <c r="C53" t="s">
        <v>734</v>
      </c>
      <c r="D53" t="s">
        <v>1733</v>
      </c>
      <c r="E53" t="s">
        <v>1791</v>
      </c>
      <c r="F53" s="465">
        <v>46217</v>
      </c>
      <c r="G53" s="465">
        <v>46219</v>
      </c>
      <c r="H53" s="465">
        <v>46245</v>
      </c>
      <c r="I53">
        <v>899.4</v>
      </c>
      <c r="J53">
        <v>899.4</v>
      </c>
      <c r="K53">
        <v>899.4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463</v>
      </c>
    </row>
    <row r="54" spans="1:17" x14ac:dyDescent="0.3">
      <c r="A54">
        <v>248689</v>
      </c>
      <c r="B54">
        <v>173</v>
      </c>
      <c r="C54" t="s">
        <v>734</v>
      </c>
      <c r="D54" t="s">
        <v>1733</v>
      </c>
      <c r="E54" t="s">
        <v>1792</v>
      </c>
      <c r="F54" s="465">
        <v>46217</v>
      </c>
      <c r="G54" s="465">
        <v>46219</v>
      </c>
      <c r="H54" s="465">
        <v>46245</v>
      </c>
      <c r="I54">
        <v>4142</v>
      </c>
      <c r="J54">
        <v>4142</v>
      </c>
      <c r="K54">
        <v>4142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463</v>
      </c>
    </row>
    <row r="55" spans="1:17" x14ac:dyDescent="0.3">
      <c r="A55">
        <v>248688</v>
      </c>
      <c r="B55">
        <v>173</v>
      </c>
      <c r="C55" t="s">
        <v>734</v>
      </c>
      <c r="D55" t="s">
        <v>1721</v>
      </c>
      <c r="E55" t="s">
        <v>1793</v>
      </c>
      <c r="F55" s="465">
        <v>46217</v>
      </c>
      <c r="G55" s="465">
        <v>46219</v>
      </c>
      <c r="H55" s="465">
        <v>46246</v>
      </c>
      <c r="I55">
        <v>1113.44</v>
      </c>
      <c r="J55">
        <v>1113.44</v>
      </c>
      <c r="K55">
        <v>1113.44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463</v>
      </c>
    </row>
    <row r="56" spans="1:17" x14ac:dyDescent="0.3">
      <c r="A56">
        <v>248683</v>
      </c>
      <c r="B56">
        <v>173</v>
      </c>
      <c r="C56" t="s">
        <v>734</v>
      </c>
      <c r="D56" t="s">
        <v>1794</v>
      </c>
      <c r="E56" t="s">
        <v>1795</v>
      </c>
      <c r="F56" s="465">
        <v>46216</v>
      </c>
      <c r="G56" s="465">
        <v>46219</v>
      </c>
      <c r="H56" s="465">
        <v>46230</v>
      </c>
      <c r="I56">
        <v>994.6</v>
      </c>
      <c r="J56">
        <v>994.6</v>
      </c>
      <c r="K56">
        <v>994.6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463</v>
      </c>
    </row>
    <row r="57" spans="1:17" x14ac:dyDescent="0.3">
      <c r="A57">
        <v>248678</v>
      </c>
      <c r="B57">
        <v>173</v>
      </c>
      <c r="C57" t="s">
        <v>734</v>
      </c>
      <c r="D57" t="s">
        <v>1796</v>
      </c>
      <c r="E57" t="s">
        <v>1797</v>
      </c>
      <c r="F57" s="465">
        <v>46217</v>
      </c>
      <c r="G57" s="465">
        <v>46219</v>
      </c>
      <c r="H57" s="465">
        <v>46238</v>
      </c>
      <c r="I57">
        <v>2424.4</v>
      </c>
      <c r="J57">
        <v>2414.4</v>
      </c>
      <c r="K57">
        <v>2424.4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463</v>
      </c>
    </row>
    <row r="58" spans="1:17" x14ac:dyDescent="0.3">
      <c r="A58">
        <v>248676</v>
      </c>
      <c r="B58">
        <v>173</v>
      </c>
      <c r="C58" t="s">
        <v>734</v>
      </c>
      <c r="D58" t="s">
        <v>1798</v>
      </c>
      <c r="E58" t="s">
        <v>1799</v>
      </c>
      <c r="F58" s="465">
        <v>46217</v>
      </c>
      <c r="G58" s="465">
        <v>46219</v>
      </c>
      <c r="H58" s="465">
        <v>46238</v>
      </c>
      <c r="I58">
        <v>1982</v>
      </c>
      <c r="J58">
        <v>1982</v>
      </c>
      <c r="K58">
        <v>1982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463</v>
      </c>
    </row>
    <row r="59" spans="1:17" x14ac:dyDescent="0.3">
      <c r="A59">
        <v>248626</v>
      </c>
      <c r="B59">
        <v>173</v>
      </c>
      <c r="C59" t="s">
        <v>734</v>
      </c>
      <c r="D59" t="s">
        <v>1755</v>
      </c>
      <c r="E59" t="s">
        <v>1800</v>
      </c>
      <c r="F59" s="465">
        <v>46213</v>
      </c>
      <c r="G59" s="465">
        <v>46219</v>
      </c>
      <c r="H59" s="465">
        <v>46227</v>
      </c>
      <c r="I59">
        <v>930.8</v>
      </c>
      <c r="J59">
        <v>875</v>
      </c>
      <c r="K59">
        <v>0</v>
      </c>
      <c r="L59">
        <v>0</v>
      </c>
      <c r="M59">
        <v>0</v>
      </c>
      <c r="N59">
        <v>0</v>
      </c>
      <c r="O59">
        <v>0</v>
      </c>
      <c r="P59">
        <v>930.8</v>
      </c>
      <c r="Q59" t="s">
        <v>463</v>
      </c>
    </row>
    <row r="60" spans="1:17" x14ac:dyDescent="0.3">
      <c r="A60">
        <v>248625</v>
      </c>
      <c r="B60">
        <v>173</v>
      </c>
      <c r="C60" t="s">
        <v>734</v>
      </c>
      <c r="D60" t="s">
        <v>1755</v>
      </c>
      <c r="E60" t="s">
        <v>1013</v>
      </c>
      <c r="F60" s="465">
        <v>46206</v>
      </c>
      <c r="G60" s="465">
        <v>46219</v>
      </c>
      <c r="H60" s="465">
        <v>46227</v>
      </c>
      <c r="I60">
        <v>5204.54</v>
      </c>
      <c r="J60">
        <v>5204.54</v>
      </c>
      <c r="K60">
        <v>0</v>
      </c>
      <c r="L60">
        <v>0</v>
      </c>
      <c r="M60">
        <v>3730.15</v>
      </c>
      <c r="N60">
        <v>76.3</v>
      </c>
      <c r="O60">
        <v>1365.6</v>
      </c>
      <c r="P60">
        <v>32.49</v>
      </c>
      <c r="Q60" t="s">
        <v>463</v>
      </c>
    </row>
    <row r="61" spans="1:17" x14ac:dyDescent="0.3">
      <c r="A61">
        <v>248624</v>
      </c>
      <c r="B61">
        <v>173</v>
      </c>
      <c r="C61" t="s">
        <v>734</v>
      </c>
      <c r="D61" t="s">
        <v>1755</v>
      </c>
      <c r="E61" t="s">
        <v>1801</v>
      </c>
      <c r="F61" s="465">
        <v>46206</v>
      </c>
      <c r="G61" s="465">
        <v>46219</v>
      </c>
      <c r="H61" s="465">
        <v>46235</v>
      </c>
      <c r="I61">
        <v>6916.46</v>
      </c>
      <c r="J61">
        <v>6916.54</v>
      </c>
      <c r="K61">
        <v>0</v>
      </c>
      <c r="L61">
        <v>0</v>
      </c>
      <c r="M61">
        <v>6260.66</v>
      </c>
      <c r="N61">
        <v>141.69999999999999</v>
      </c>
      <c r="O61">
        <v>330</v>
      </c>
      <c r="P61">
        <v>184.11</v>
      </c>
      <c r="Q61" t="s">
        <v>463</v>
      </c>
    </row>
    <row r="62" spans="1:17" x14ac:dyDescent="0.3">
      <c r="A62">
        <v>248623</v>
      </c>
      <c r="B62">
        <v>173</v>
      </c>
      <c r="C62" t="s">
        <v>734</v>
      </c>
      <c r="D62" t="s">
        <v>912</v>
      </c>
      <c r="E62" t="s">
        <v>1802</v>
      </c>
      <c r="F62" s="465">
        <v>46217</v>
      </c>
      <c r="G62" s="465">
        <v>46219</v>
      </c>
      <c r="H62" s="465">
        <v>46245</v>
      </c>
      <c r="I62">
        <v>50.52</v>
      </c>
      <c r="J62">
        <v>50.52</v>
      </c>
      <c r="K62">
        <v>50.52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463</v>
      </c>
    </row>
    <row r="63" spans="1:17" x14ac:dyDescent="0.3">
      <c r="A63">
        <v>248622</v>
      </c>
      <c r="B63">
        <v>173</v>
      </c>
      <c r="C63" t="s">
        <v>734</v>
      </c>
      <c r="D63" t="s">
        <v>1803</v>
      </c>
      <c r="E63" t="s">
        <v>1804</v>
      </c>
      <c r="F63" s="465">
        <v>46218</v>
      </c>
      <c r="G63" s="465">
        <v>46219</v>
      </c>
      <c r="H63" s="465">
        <v>46246</v>
      </c>
      <c r="I63">
        <v>630</v>
      </c>
      <c r="J63">
        <v>630</v>
      </c>
      <c r="K63">
        <v>630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463</v>
      </c>
    </row>
    <row r="64" spans="1:17" x14ac:dyDescent="0.3">
      <c r="A64">
        <v>248621</v>
      </c>
      <c r="B64">
        <v>173</v>
      </c>
      <c r="C64" t="s">
        <v>734</v>
      </c>
      <c r="D64" t="s">
        <v>1778</v>
      </c>
      <c r="E64" t="s">
        <v>1805</v>
      </c>
      <c r="F64" s="465">
        <v>46219</v>
      </c>
      <c r="G64" s="465">
        <v>46219</v>
      </c>
      <c r="H64" s="465">
        <v>46240</v>
      </c>
      <c r="I64">
        <v>941.7</v>
      </c>
      <c r="J64">
        <v>939.7</v>
      </c>
      <c r="K64">
        <v>941.7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463</v>
      </c>
    </row>
    <row r="65" spans="1:17" x14ac:dyDescent="0.3">
      <c r="A65">
        <v>248619</v>
      </c>
      <c r="B65">
        <v>173</v>
      </c>
      <c r="C65" t="s">
        <v>734</v>
      </c>
      <c r="D65" t="s">
        <v>1778</v>
      </c>
      <c r="E65" t="s">
        <v>1806</v>
      </c>
      <c r="F65" s="465">
        <v>46219</v>
      </c>
      <c r="G65" s="465">
        <v>46219</v>
      </c>
      <c r="H65" s="465">
        <v>46247</v>
      </c>
      <c r="I65">
        <v>4074.2</v>
      </c>
      <c r="J65">
        <v>4072.2</v>
      </c>
      <c r="K65">
        <v>4074.2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463</v>
      </c>
    </row>
    <row r="66" spans="1:17" x14ac:dyDescent="0.3">
      <c r="A66">
        <v>248617</v>
      </c>
      <c r="B66">
        <v>173</v>
      </c>
      <c r="C66" t="s">
        <v>734</v>
      </c>
      <c r="D66" t="s">
        <v>1726</v>
      </c>
      <c r="E66" t="s">
        <v>1807</v>
      </c>
      <c r="F66" s="465">
        <v>46218</v>
      </c>
      <c r="G66" s="465">
        <v>46219</v>
      </c>
      <c r="H66" s="465">
        <v>46253</v>
      </c>
      <c r="I66">
        <v>1172</v>
      </c>
      <c r="J66">
        <v>1172</v>
      </c>
      <c r="K66">
        <v>1172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463</v>
      </c>
    </row>
    <row r="67" spans="1:17" x14ac:dyDescent="0.3">
      <c r="A67">
        <v>248616</v>
      </c>
      <c r="B67">
        <v>173</v>
      </c>
      <c r="C67" t="s">
        <v>734</v>
      </c>
      <c r="D67" t="s">
        <v>1778</v>
      </c>
      <c r="E67" t="s">
        <v>1808</v>
      </c>
      <c r="F67" s="465">
        <v>46217</v>
      </c>
      <c r="G67" s="465">
        <v>46217</v>
      </c>
      <c r="H67" s="465">
        <v>46238</v>
      </c>
      <c r="I67">
        <v>558.67999999999995</v>
      </c>
      <c r="J67">
        <v>558.67999999999995</v>
      </c>
      <c r="K67">
        <v>558.67999999999995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463</v>
      </c>
    </row>
    <row r="68" spans="1:17" x14ac:dyDescent="0.3">
      <c r="A68">
        <v>248614</v>
      </c>
      <c r="B68">
        <v>173</v>
      </c>
      <c r="C68" t="s">
        <v>734</v>
      </c>
      <c r="D68" t="s">
        <v>1775</v>
      </c>
      <c r="E68" t="s">
        <v>1809</v>
      </c>
      <c r="F68" s="465">
        <v>46216</v>
      </c>
      <c r="G68" s="465">
        <v>46217</v>
      </c>
      <c r="H68" s="465">
        <v>46244</v>
      </c>
      <c r="I68">
        <v>389.35</v>
      </c>
      <c r="J68">
        <v>389.35</v>
      </c>
      <c r="K68">
        <v>389.35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463</v>
      </c>
    </row>
    <row r="69" spans="1:17" x14ac:dyDescent="0.3">
      <c r="A69">
        <v>248611</v>
      </c>
      <c r="B69">
        <v>173</v>
      </c>
      <c r="C69" t="s">
        <v>734</v>
      </c>
      <c r="D69" t="s">
        <v>912</v>
      </c>
      <c r="E69" t="s">
        <v>1810</v>
      </c>
      <c r="F69" s="465">
        <v>46216</v>
      </c>
      <c r="G69" s="465">
        <v>46217</v>
      </c>
      <c r="H69" s="465">
        <v>46244</v>
      </c>
      <c r="I69">
        <v>560.69000000000005</v>
      </c>
      <c r="J69">
        <v>560.67999999999995</v>
      </c>
      <c r="K69">
        <v>560.69000000000005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463</v>
      </c>
    </row>
    <row r="70" spans="1:17" x14ac:dyDescent="0.3">
      <c r="A70">
        <v>248609</v>
      </c>
      <c r="B70">
        <v>173</v>
      </c>
      <c r="C70" t="s">
        <v>734</v>
      </c>
      <c r="D70" t="s">
        <v>1811</v>
      </c>
      <c r="E70" t="s">
        <v>1812</v>
      </c>
      <c r="F70" s="465">
        <v>46216</v>
      </c>
      <c r="G70" s="465">
        <v>46217</v>
      </c>
      <c r="H70" s="465">
        <v>46227</v>
      </c>
      <c r="I70">
        <v>694</v>
      </c>
      <c r="J70">
        <v>694</v>
      </c>
      <c r="K70">
        <v>694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463</v>
      </c>
    </row>
    <row r="71" spans="1:17" x14ac:dyDescent="0.3">
      <c r="A71">
        <v>248607</v>
      </c>
      <c r="B71">
        <v>173</v>
      </c>
      <c r="C71" t="s">
        <v>734</v>
      </c>
      <c r="D71" t="s">
        <v>1749</v>
      </c>
      <c r="E71" t="s">
        <v>1813</v>
      </c>
      <c r="F71" s="465">
        <v>46216</v>
      </c>
      <c r="G71" s="465">
        <v>46217</v>
      </c>
      <c r="H71" s="465">
        <v>46247</v>
      </c>
      <c r="I71">
        <v>1661.54</v>
      </c>
      <c r="J71">
        <v>1079.3499999999999</v>
      </c>
      <c r="K71">
        <v>0</v>
      </c>
      <c r="L71">
        <v>1661.54</v>
      </c>
      <c r="M71">
        <v>0</v>
      </c>
      <c r="N71">
        <v>0</v>
      </c>
      <c r="O71">
        <v>0</v>
      </c>
      <c r="P71">
        <v>0</v>
      </c>
      <c r="Q71" t="s">
        <v>463</v>
      </c>
    </row>
    <row r="72" spans="1:17" x14ac:dyDescent="0.3">
      <c r="A72">
        <v>248604</v>
      </c>
      <c r="B72">
        <v>173</v>
      </c>
      <c r="C72" t="s">
        <v>734</v>
      </c>
      <c r="D72" t="s">
        <v>1758</v>
      </c>
      <c r="E72" t="s">
        <v>1814</v>
      </c>
      <c r="F72" s="465">
        <v>46211</v>
      </c>
      <c r="G72" s="465">
        <v>46217</v>
      </c>
      <c r="H72" s="465">
        <v>46243</v>
      </c>
      <c r="I72">
        <v>4170.3500000000004</v>
      </c>
      <c r="J72">
        <v>4170.0200000000004</v>
      </c>
      <c r="K72">
        <v>0</v>
      </c>
      <c r="L72">
        <v>0</v>
      </c>
      <c r="M72">
        <v>0</v>
      </c>
      <c r="N72">
        <v>0</v>
      </c>
      <c r="O72">
        <v>4170.3500000000004</v>
      </c>
      <c r="P72">
        <v>0</v>
      </c>
      <c r="Q72" t="s">
        <v>463</v>
      </c>
    </row>
    <row r="73" spans="1:17" x14ac:dyDescent="0.3">
      <c r="A73">
        <v>248339</v>
      </c>
      <c r="B73">
        <v>173</v>
      </c>
      <c r="C73" t="s">
        <v>734</v>
      </c>
      <c r="D73" t="s">
        <v>1815</v>
      </c>
      <c r="E73" t="s">
        <v>1816</v>
      </c>
      <c r="F73" s="465">
        <v>46204</v>
      </c>
      <c r="G73" s="465">
        <v>46216</v>
      </c>
      <c r="H73" s="465">
        <v>46219</v>
      </c>
      <c r="I73">
        <v>2730</v>
      </c>
      <c r="J73">
        <v>2730</v>
      </c>
      <c r="K73">
        <v>0</v>
      </c>
      <c r="L73">
        <v>0</v>
      </c>
      <c r="M73">
        <v>0</v>
      </c>
      <c r="N73">
        <v>0</v>
      </c>
      <c r="O73">
        <v>2730</v>
      </c>
      <c r="P73">
        <v>0</v>
      </c>
      <c r="Q73" t="s">
        <v>463</v>
      </c>
    </row>
    <row r="74" spans="1:17" x14ac:dyDescent="0.3">
      <c r="A74">
        <v>248029</v>
      </c>
      <c r="B74">
        <v>173</v>
      </c>
      <c r="C74" t="s">
        <v>734</v>
      </c>
      <c r="D74" t="s">
        <v>1784</v>
      </c>
      <c r="E74" t="s">
        <v>1817</v>
      </c>
      <c r="F74" s="465">
        <v>46213</v>
      </c>
      <c r="G74" s="465">
        <v>46216</v>
      </c>
      <c r="H74" s="465">
        <v>46227</v>
      </c>
      <c r="I74">
        <v>1152</v>
      </c>
      <c r="J74">
        <v>1152</v>
      </c>
      <c r="K74">
        <v>1152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463</v>
      </c>
    </row>
    <row r="75" spans="1:17" x14ac:dyDescent="0.3">
      <c r="A75">
        <v>246564</v>
      </c>
      <c r="B75">
        <v>173</v>
      </c>
      <c r="C75" t="s">
        <v>734</v>
      </c>
      <c r="D75" t="s">
        <v>1734</v>
      </c>
      <c r="E75" t="s">
        <v>1818</v>
      </c>
      <c r="F75" s="465">
        <v>46213</v>
      </c>
      <c r="G75" s="465">
        <v>46216</v>
      </c>
      <c r="H75" s="465">
        <v>46248</v>
      </c>
      <c r="I75">
        <v>5940</v>
      </c>
      <c r="J75">
        <v>5940</v>
      </c>
      <c r="K75">
        <v>0</v>
      </c>
      <c r="L75">
        <v>0</v>
      </c>
      <c r="M75">
        <v>5940</v>
      </c>
      <c r="N75">
        <v>0</v>
      </c>
      <c r="O75">
        <v>0</v>
      </c>
      <c r="P75">
        <v>0</v>
      </c>
      <c r="Q75" t="s">
        <v>463</v>
      </c>
    </row>
    <row r="76" spans="1:17" x14ac:dyDescent="0.3">
      <c r="A76">
        <v>246563</v>
      </c>
      <c r="B76">
        <v>173</v>
      </c>
      <c r="C76" t="s">
        <v>734</v>
      </c>
      <c r="D76" t="s">
        <v>1819</v>
      </c>
      <c r="E76" t="s">
        <v>1820</v>
      </c>
      <c r="F76" s="465">
        <v>46216</v>
      </c>
      <c r="G76" s="465">
        <v>46216</v>
      </c>
      <c r="H76" s="465">
        <v>46244</v>
      </c>
      <c r="I76">
        <v>5295</v>
      </c>
      <c r="J76">
        <v>5295</v>
      </c>
      <c r="K76">
        <v>0</v>
      </c>
      <c r="L76">
        <v>0</v>
      </c>
      <c r="M76">
        <v>0</v>
      </c>
      <c r="N76">
        <v>0</v>
      </c>
      <c r="O76">
        <v>5295</v>
      </c>
      <c r="P76">
        <v>0</v>
      </c>
      <c r="Q76" t="s">
        <v>463</v>
      </c>
    </row>
    <row r="77" spans="1:17" x14ac:dyDescent="0.3">
      <c r="A77">
        <v>246555</v>
      </c>
      <c r="B77">
        <v>173</v>
      </c>
      <c r="C77" t="s">
        <v>734</v>
      </c>
      <c r="D77" t="s">
        <v>1821</v>
      </c>
      <c r="E77" t="s">
        <v>1822</v>
      </c>
      <c r="F77" s="465">
        <v>46206</v>
      </c>
      <c r="G77" s="465">
        <v>46216</v>
      </c>
      <c r="H77" s="465">
        <v>46237</v>
      </c>
      <c r="I77">
        <v>21981.22</v>
      </c>
      <c r="J77">
        <v>20678.2</v>
      </c>
      <c r="K77">
        <v>0</v>
      </c>
      <c r="L77">
        <v>20135.87</v>
      </c>
      <c r="M77">
        <v>671.61</v>
      </c>
      <c r="N77">
        <v>0</v>
      </c>
      <c r="O77">
        <v>0</v>
      </c>
      <c r="P77">
        <v>0</v>
      </c>
      <c r="Q77" t="s">
        <v>463</v>
      </c>
    </row>
    <row r="78" spans="1:17" x14ac:dyDescent="0.3">
      <c r="A78">
        <v>246504</v>
      </c>
      <c r="B78">
        <v>173</v>
      </c>
      <c r="C78" t="s">
        <v>734</v>
      </c>
      <c r="D78" t="s">
        <v>1766</v>
      </c>
      <c r="E78" t="s">
        <v>1823</v>
      </c>
      <c r="F78" s="465">
        <v>46213</v>
      </c>
      <c r="G78" s="465">
        <v>46216</v>
      </c>
      <c r="H78" s="465">
        <v>46241</v>
      </c>
      <c r="I78">
        <v>2212.1799999999998</v>
      </c>
      <c r="J78">
        <v>2312.5</v>
      </c>
      <c r="K78">
        <v>2212.1799999999998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463</v>
      </c>
    </row>
    <row r="79" spans="1:17" x14ac:dyDescent="0.3">
      <c r="A79">
        <v>246424</v>
      </c>
      <c r="B79">
        <v>173</v>
      </c>
      <c r="C79" t="s">
        <v>734</v>
      </c>
      <c r="D79" t="s">
        <v>1766</v>
      </c>
      <c r="E79" t="s">
        <v>1824</v>
      </c>
      <c r="F79" s="465">
        <v>46204</v>
      </c>
      <c r="G79" s="465">
        <v>46200</v>
      </c>
      <c r="H79" s="465">
        <v>46227</v>
      </c>
      <c r="I79">
        <v>880.7</v>
      </c>
      <c r="J79">
        <v>880.7</v>
      </c>
      <c r="K79">
        <v>880.7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462</v>
      </c>
    </row>
    <row r="80" spans="1:17" x14ac:dyDescent="0.3">
      <c r="A80">
        <v>246402</v>
      </c>
      <c r="B80">
        <v>173</v>
      </c>
      <c r="C80" t="s">
        <v>734</v>
      </c>
      <c r="D80" t="s">
        <v>1775</v>
      </c>
      <c r="E80" t="s">
        <v>1825</v>
      </c>
      <c r="F80" s="465">
        <v>46213</v>
      </c>
      <c r="G80" s="465">
        <v>46216</v>
      </c>
      <c r="H80" s="465">
        <v>46241</v>
      </c>
      <c r="I80">
        <v>370</v>
      </c>
      <c r="J80">
        <v>370</v>
      </c>
      <c r="K80">
        <v>370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463</v>
      </c>
    </row>
    <row r="81" spans="1:17" x14ac:dyDescent="0.3">
      <c r="A81">
        <v>246363</v>
      </c>
      <c r="B81">
        <v>173</v>
      </c>
      <c r="C81" t="s">
        <v>734</v>
      </c>
      <c r="D81" t="s">
        <v>1749</v>
      </c>
      <c r="E81" t="s">
        <v>1826</v>
      </c>
      <c r="F81" s="465">
        <v>46213</v>
      </c>
      <c r="G81" s="465">
        <v>46216</v>
      </c>
      <c r="H81" s="465">
        <v>46244</v>
      </c>
      <c r="I81">
        <v>789.95</v>
      </c>
      <c r="J81">
        <v>596.4</v>
      </c>
      <c r="K81">
        <v>0</v>
      </c>
      <c r="L81">
        <v>789.95</v>
      </c>
      <c r="M81">
        <v>0</v>
      </c>
      <c r="N81">
        <v>0</v>
      </c>
      <c r="O81">
        <v>0</v>
      </c>
      <c r="P81">
        <v>0</v>
      </c>
      <c r="Q81" t="s">
        <v>463</v>
      </c>
    </row>
    <row r="82" spans="1:17" x14ac:dyDescent="0.3">
      <c r="A82">
        <v>246348</v>
      </c>
      <c r="B82">
        <v>173</v>
      </c>
      <c r="C82" t="s">
        <v>734</v>
      </c>
      <c r="D82" t="s">
        <v>1746</v>
      </c>
      <c r="E82" t="s">
        <v>1827</v>
      </c>
      <c r="F82" s="465">
        <v>46213</v>
      </c>
      <c r="G82" s="465">
        <v>46216</v>
      </c>
      <c r="H82" s="465">
        <v>46241</v>
      </c>
      <c r="I82">
        <v>177.4</v>
      </c>
      <c r="J82">
        <v>177.4</v>
      </c>
      <c r="K82">
        <v>177.4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463</v>
      </c>
    </row>
    <row r="83" spans="1:17" x14ac:dyDescent="0.3">
      <c r="A83">
        <v>246284</v>
      </c>
      <c r="B83">
        <v>173</v>
      </c>
      <c r="C83" t="s">
        <v>734</v>
      </c>
      <c r="D83" t="s">
        <v>1746</v>
      </c>
      <c r="E83" t="s">
        <v>1828</v>
      </c>
      <c r="F83" s="465">
        <v>46213</v>
      </c>
      <c r="G83" s="465">
        <v>46216</v>
      </c>
      <c r="H83" s="465">
        <v>46241</v>
      </c>
      <c r="I83">
        <v>783.14</v>
      </c>
      <c r="J83">
        <v>783.14</v>
      </c>
      <c r="K83">
        <v>783.14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463</v>
      </c>
    </row>
    <row r="84" spans="1:17" x14ac:dyDescent="0.3">
      <c r="A84">
        <v>246273</v>
      </c>
      <c r="B84">
        <v>173</v>
      </c>
      <c r="C84" t="s">
        <v>734</v>
      </c>
      <c r="D84" t="s">
        <v>1731</v>
      </c>
      <c r="E84" t="s">
        <v>1829</v>
      </c>
      <c r="F84" s="465">
        <v>46213</v>
      </c>
      <c r="G84" s="465">
        <v>46216</v>
      </c>
      <c r="H84" s="465">
        <v>46241</v>
      </c>
      <c r="I84">
        <v>2549.8000000000002</v>
      </c>
      <c r="J84">
        <v>2549.8000000000002</v>
      </c>
      <c r="K84">
        <v>2549.8000000000002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463</v>
      </c>
    </row>
    <row r="85" spans="1:17" x14ac:dyDescent="0.3">
      <c r="A85">
        <v>246244</v>
      </c>
      <c r="B85">
        <v>173</v>
      </c>
      <c r="C85" t="s">
        <v>734</v>
      </c>
      <c r="D85" t="s">
        <v>1763</v>
      </c>
      <c r="E85" t="s">
        <v>1830</v>
      </c>
      <c r="F85" s="465">
        <v>46213</v>
      </c>
      <c r="G85" s="465">
        <v>46216</v>
      </c>
      <c r="H85" s="465">
        <v>46241</v>
      </c>
      <c r="I85">
        <v>376.5</v>
      </c>
      <c r="J85">
        <v>376.5</v>
      </c>
      <c r="K85">
        <v>376.5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463</v>
      </c>
    </row>
    <row r="86" spans="1:17" x14ac:dyDescent="0.3">
      <c r="A86">
        <v>246226</v>
      </c>
      <c r="B86">
        <v>173</v>
      </c>
      <c r="C86" t="s">
        <v>734</v>
      </c>
      <c r="D86" t="s">
        <v>1778</v>
      </c>
      <c r="E86" t="s">
        <v>1831</v>
      </c>
      <c r="F86" s="465">
        <v>46213</v>
      </c>
      <c r="G86" s="465">
        <v>46216</v>
      </c>
      <c r="H86" s="465">
        <v>46234</v>
      </c>
      <c r="I86">
        <v>679.14</v>
      </c>
      <c r="J86">
        <v>677.14</v>
      </c>
      <c r="K86">
        <v>679.14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463</v>
      </c>
    </row>
    <row r="87" spans="1:17" x14ac:dyDescent="0.3">
      <c r="A87">
        <v>246217</v>
      </c>
      <c r="B87">
        <v>173</v>
      </c>
      <c r="C87" t="s">
        <v>734</v>
      </c>
      <c r="D87" t="s">
        <v>1778</v>
      </c>
      <c r="E87" t="s">
        <v>1832</v>
      </c>
      <c r="F87" s="465">
        <v>46213</v>
      </c>
      <c r="G87" s="465">
        <v>46216</v>
      </c>
      <c r="H87" s="465">
        <v>46241</v>
      </c>
      <c r="I87">
        <v>458.18</v>
      </c>
      <c r="J87">
        <v>449.28</v>
      </c>
      <c r="K87">
        <v>458.18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463</v>
      </c>
    </row>
    <row r="88" spans="1:17" x14ac:dyDescent="0.3">
      <c r="A88">
        <v>246209</v>
      </c>
      <c r="B88">
        <v>173</v>
      </c>
      <c r="C88" t="s">
        <v>734</v>
      </c>
      <c r="D88" t="s">
        <v>912</v>
      </c>
      <c r="E88" t="s">
        <v>1833</v>
      </c>
      <c r="F88" s="465">
        <v>46214</v>
      </c>
      <c r="G88" s="465">
        <v>46216</v>
      </c>
      <c r="H88" s="465">
        <v>46242</v>
      </c>
      <c r="I88">
        <v>138</v>
      </c>
      <c r="J88">
        <v>462.5</v>
      </c>
      <c r="K88">
        <v>138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463</v>
      </c>
    </row>
    <row r="89" spans="1:17" x14ac:dyDescent="0.3">
      <c r="A89">
        <v>246190</v>
      </c>
      <c r="B89">
        <v>173</v>
      </c>
      <c r="C89" t="s">
        <v>734</v>
      </c>
      <c r="D89" t="s">
        <v>1834</v>
      </c>
      <c r="E89" t="s">
        <v>1835</v>
      </c>
      <c r="F89" s="465">
        <v>46216</v>
      </c>
      <c r="G89" s="465">
        <v>46216</v>
      </c>
      <c r="H89" s="465">
        <v>46230</v>
      </c>
      <c r="I89">
        <v>2454.9</v>
      </c>
      <c r="J89">
        <v>2454.9</v>
      </c>
      <c r="K89">
        <v>2454.9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463</v>
      </c>
    </row>
    <row r="90" spans="1:17" x14ac:dyDescent="0.3">
      <c r="A90">
        <v>244556</v>
      </c>
      <c r="B90">
        <v>173</v>
      </c>
      <c r="C90" t="s">
        <v>734</v>
      </c>
      <c r="D90" t="s">
        <v>1746</v>
      </c>
      <c r="E90" t="s">
        <v>1836</v>
      </c>
      <c r="F90" s="465">
        <v>46204</v>
      </c>
      <c r="G90" s="465">
        <v>46203</v>
      </c>
      <c r="H90" s="465">
        <v>46231</v>
      </c>
      <c r="I90">
        <v>1475</v>
      </c>
      <c r="J90">
        <v>1475</v>
      </c>
      <c r="K90">
        <v>1475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462</v>
      </c>
    </row>
    <row r="91" spans="1:17" x14ac:dyDescent="0.3">
      <c r="A91">
        <v>244555</v>
      </c>
      <c r="B91">
        <v>173</v>
      </c>
      <c r="C91" t="s">
        <v>734</v>
      </c>
      <c r="D91" t="s">
        <v>1746</v>
      </c>
      <c r="E91" t="s">
        <v>1837</v>
      </c>
      <c r="F91" s="465">
        <v>46204</v>
      </c>
      <c r="G91" s="465">
        <v>46203</v>
      </c>
      <c r="H91" s="465">
        <v>46227</v>
      </c>
      <c r="I91">
        <v>228.7</v>
      </c>
      <c r="J91">
        <v>228.7</v>
      </c>
      <c r="K91">
        <v>228.7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462</v>
      </c>
    </row>
    <row r="92" spans="1:17" x14ac:dyDescent="0.3">
      <c r="A92">
        <v>244552</v>
      </c>
      <c r="B92">
        <v>173</v>
      </c>
      <c r="C92" t="s">
        <v>734</v>
      </c>
      <c r="D92" t="s">
        <v>1746</v>
      </c>
      <c r="E92" t="s">
        <v>1838</v>
      </c>
      <c r="F92" s="465">
        <v>46204</v>
      </c>
      <c r="G92" s="465">
        <v>46203</v>
      </c>
      <c r="H92" s="465">
        <v>46231</v>
      </c>
      <c r="I92">
        <v>6439.4</v>
      </c>
      <c r="J92">
        <v>6439.4</v>
      </c>
      <c r="K92">
        <v>0</v>
      </c>
      <c r="L92">
        <v>6439.4</v>
      </c>
      <c r="M92">
        <v>0</v>
      </c>
      <c r="N92">
        <v>0</v>
      </c>
      <c r="O92">
        <v>0</v>
      </c>
      <c r="P92">
        <v>0</v>
      </c>
      <c r="Q92" t="s">
        <v>462</v>
      </c>
    </row>
    <row r="93" spans="1:17" x14ac:dyDescent="0.3">
      <c r="A93">
        <v>244548</v>
      </c>
      <c r="B93">
        <v>173</v>
      </c>
      <c r="C93" t="s">
        <v>734</v>
      </c>
      <c r="D93" t="s">
        <v>1746</v>
      </c>
      <c r="E93" t="s">
        <v>1839</v>
      </c>
      <c r="F93" s="465">
        <v>46204</v>
      </c>
      <c r="G93" s="465">
        <v>46200</v>
      </c>
      <c r="H93" s="465">
        <v>46226</v>
      </c>
      <c r="I93">
        <v>5235.8999999999996</v>
      </c>
      <c r="J93">
        <v>5235.8999999999996</v>
      </c>
      <c r="K93">
        <v>4416.5</v>
      </c>
      <c r="L93">
        <v>819.4</v>
      </c>
      <c r="M93">
        <v>0</v>
      </c>
      <c r="N93">
        <v>0</v>
      </c>
      <c r="O93">
        <v>0</v>
      </c>
      <c r="P93">
        <v>0</v>
      </c>
      <c r="Q93" t="s">
        <v>462</v>
      </c>
    </row>
    <row r="94" spans="1:17" x14ac:dyDescent="0.3">
      <c r="A94">
        <v>244544</v>
      </c>
      <c r="B94">
        <v>173</v>
      </c>
      <c r="C94" t="s">
        <v>734</v>
      </c>
      <c r="D94" t="s">
        <v>1746</v>
      </c>
      <c r="E94" t="s">
        <v>1840</v>
      </c>
      <c r="F94" s="465">
        <v>46204</v>
      </c>
      <c r="G94" s="465">
        <v>46200</v>
      </c>
      <c r="H94" s="465">
        <v>46227</v>
      </c>
      <c r="I94">
        <v>1769</v>
      </c>
      <c r="J94">
        <v>1769</v>
      </c>
      <c r="K94">
        <v>1769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462</v>
      </c>
    </row>
    <row r="95" spans="1:17" x14ac:dyDescent="0.3">
      <c r="A95">
        <v>244539</v>
      </c>
      <c r="B95">
        <v>173</v>
      </c>
      <c r="C95" t="s">
        <v>734</v>
      </c>
      <c r="D95" t="s">
        <v>1746</v>
      </c>
      <c r="E95" t="s">
        <v>1841</v>
      </c>
      <c r="F95" s="465">
        <v>46204</v>
      </c>
      <c r="G95" s="465">
        <v>46200</v>
      </c>
      <c r="H95" s="465">
        <v>46227</v>
      </c>
      <c r="I95">
        <v>2969</v>
      </c>
      <c r="J95">
        <v>2969</v>
      </c>
      <c r="K95">
        <v>2969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462</v>
      </c>
    </row>
    <row r="96" spans="1:17" x14ac:dyDescent="0.3">
      <c r="A96">
        <v>244530</v>
      </c>
      <c r="B96">
        <v>173</v>
      </c>
      <c r="C96" t="s">
        <v>734</v>
      </c>
      <c r="D96" t="s">
        <v>1746</v>
      </c>
      <c r="E96" t="s">
        <v>1842</v>
      </c>
      <c r="F96" s="465">
        <v>46205</v>
      </c>
      <c r="G96" s="465">
        <v>46211</v>
      </c>
      <c r="H96" s="465">
        <v>46234</v>
      </c>
      <c r="I96">
        <v>19443.77</v>
      </c>
      <c r="J96">
        <v>19443.77</v>
      </c>
      <c r="K96">
        <v>0</v>
      </c>
      <c r="L96">
        <v>19443.77</v>
      </c>
      <c r="M96">
        <v>0</v>
      </c>
      <c r="N96">
        <v>0</v>
      </c>
      <c r="O96">
        <v>0</v>
      </c>
      <c r="P96">
        <v>0</v>
      </c>
      <c r="Q96" t="s">
        <v>463</v>
      </c>
    </row>
    <row r="97" spans="1:17" x14ac:dyDescent="0.3">
      <c r="A97">
        <v>244522</v>
      </c>
      <c r="B97">
        <v>173</v>
      </c>
      <c r="C97" t="s">
        <v>734</v>
      </c>
      <c r="D97" t="s">
        <v>1778</v>
      </c>
      <c r="E97" t="s">
        <v>1843</v>
      </c>
      <c r="F97" s="465">
        <v>46204</v>
      </c>
      <c r="G97" s="465">
        <v>46200</v>
      </c>
      <c r="H97" s="465">
        <v>46226</v>
      </c>
      <c r="I97">
        <v>11215.28</v>
      </c>
      <c r="J97">
        <v>9937.3799999999992</v>
      </c>
      <c r="K97">
        <v>11215.28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462</v>
      </c>
    </row>
    <row r="98" spans="1:17" x14ac:dyDescent="0.3">
      <c r="A98">
        <v>244516</v>
      </c>
      <c r="B98">
        <v>173</v>
      </c>
      <c r="C98" t="s">
        <v>734</v>
      </c>
      <c r="D98" t="s">
        <v>1734</v>
      </c>
      <c r="E98" t="s">
        <v>1844</v>
      </c>
      <c r="F98" s="465">
        <v>46205</v>
      </c>
      <c r="G98" s="465">
        <v>46213</v>
      </c>
      <c r="H98" s="465">
        <v>46230</v>
      </c>
      <c r="I98">
        <v>4940</v>
      </c>
      <c r="J98">
        <v>4940</v>
      </c>
      <c r="K98">
        <v>0</v>
      </c>
      <c r="L98">
        <v>0</v>
      </c>
      <c r="M98">
        <v>4940</v>
      </c>
      <c r="N98">
        <v>0</v>
      </c>
      <c r="O98">
        <v>0</v>
      </c>
      <c r="P98">
        <v>0</v>
      </c>
      <c r="Q98" t="s">
        <v>463</v>
      </c>
    </row>
    <row r="99" spans="1:17" x14ac:dyDescent="0.3">
      <c r="A99">
        <v>244499</v>
      </c>
      <c r="B99">
        <v>173</v>
      </c>
      <c r="C99" t="s">
        <v>734</v>
      </c>
      <c r="D99" t="s">
        <v>1821</v>
      </c>
      <c r="E99" t="s">
        <v>1845</v>
      </c>
      <c r="F99" s="465">
        <v>46204</v>
      </c>
      <c r="G99" s="465">
        <v>46206</v>
      </c>
      <c r="H99" s="465">
        <v>46234</v>
      </c>
      <c r="I99">
        <v>1900.9</v>
      </c>
      <c r="J99">
        <v>1784.88</v>
      </c>
      <c r="K99">
        <v>0</v>
      </c>
      <c r="L99">
        <v>1900.9</v>
      </c>
      <c r="M99">
        <v>0</v>
      </c>
      <c r="N99">
        <v>0</v>
      </c>
      <c r="O99">
        <v>0</v>
      </c>
      <c r="P99">
        <v>0</v>
      </c>
      <c r="Q99" t="s">
        <v>463</v>
      </c>
    </row>
    <row r="100" spans="1:17" x14ac:dyDescent="0.3">
      <c r="A100">
        <v>244489</v>
      </c>
      <c r="B100">
        <v>173</v>
      </c>
      <c r="C100" t="s">
        <v>734</v>
      </c>
      <c r="D100" t="s">
        <v>1749</v>
      </c>
      <c r="E100" t="s">
        <v>1846</v>
      </c>
      <c r="F100" s="465">
        <v>46204</v>
      </c>
      <c r="G100" s="465">
        <v>46209</v>
      </c>
      <c r="H100" s="465">
        <v>46234</v>
      </c>
      <c r="I100">
        <v>7519.55</v>
      </c>
      <c r="J100">
        <v>5856.7</v>
      </c>
      <c r="K100">
        <v>0</v>
      </c>
      <c r="L100">
        <v>7519.55</v>
      </c>
      <c r="M100">
        <v>0</v>
      </c>
      <c r="N100">
        <v>0</v>
      </c>
      <c r="O100">
        <v>0</v>
      </c>
      <c r="P100">
        <v>0</v>
      </c>
      <c r="Q100" t="s">
        <v>463</v>
      </c>
    </row>
    <row r="101" spans="1:17" x14ac:dyDescent="0.3">
      <c r="A101">
        <v>244486</v>
      </c>
      <c r="B101">
        <v>173</v>
      </c>
      <c r="C101" t="s">
        <v>734</v>
      </c>
      <c r="D101" t="s">
        <v>1847</v>
      </c>
      <c r="E101" t="s">
        <v>1848</v>
      </c>
      <c r="F101" s="465">
        <v>46205</v>
      </c>
      <c r="G101" s="465">
        <v>46209</v>
      </c>
      <c r="H101" s="465">
        <v>46226</v>
      </c>
      <c r="I101">
        <v>1521.93</v>
      </c>
      <c r="J101">
        <v>1521.93</v>
      </c>
      <c r="K101">
        <v>0</v>
      </c>
      <c r="L101">
        <v>0</v>
      </c>
      <c r="M101">
        <v>0</v>
      </c>
      <c r="N101">
        <v>0</v>
      </c>
      <c r="O101">
        <v>1426.8</v>
      </c>
      <c r="P101">
        <v>0</v>
      </c>
      <c r="Q101" t="s">
        <v>463</v>
      </c>
    </row>
    <row r="102" spans="1:17" x14ac:dyDescent="0.3">
      <c r="A102">
        <v>244483</v>
      </c>
      <c r="B102">
        <v>173</v>
      </c>
      <c r="C102" t="s">
        <v>734</v>
      </c>
      <c r="D102" t="s">
        <v>1731</v>
      </c>
      <c r="E102" t="s">
        <v>1849</v>
      </c>
      <c r="F102" s="465">
        <v>46204</v>
      </c>
      <c r="G102" s="465">
        <v>46206</v>
      </c>
      <c r="H102" s="465">
        <v>46224</v>
      </c>
      <c r="I102">
        <v>10842.2</v>
      </c>
      <c r="J102">
        <v>10842.2</v>
      </c>
      <c r="K102">
        <v>10842.2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463</v>
      </c>
    </row>
    <row r="103" spans="1:17" x14ac:dyDescent="0.3">
      <c r="A103">
        <v>244479</v>
      </c>
      <c r="B103">
        <v>173</v>
      </c>
      <c r="C103" t="s">
        <v>734</v>
      </c>
      <c r="D103" t="s">
        <v>1778</v>
      </c>
      <c r="E103" t="s">
        <v>1850</v>
      </c>
      <c r="F103" s="465">
        <v>46206</v>
      </c>
      <c r="G103" s="465">
        <v>46207</v>
      </c>
      <c r="H103" s="465">
        <v>46227</v>
      </c>
      <c r="I103">
        <v>333.38</v>
      </c>
      <c r="J103">
        <v>333.38</v>
      </c>
      <c r="K103">
        <v>333.38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463</v>
      </c>
    </row>
    <row r="104" spans="1:17" x14ac:dyDescent="0.3">
      <c r="A104">
        <v>244474</v>
      </c>
      <c r="B104">
        <v>173</v>
      </c>
      <c r="C104" t="s">
        <v>734</v>
      </c>
      <c r="D104" t="s">
        <v>1851</v>
      </c>
      <c r="E104" t="s">
        <v>1852</v>
      </c>
      <c r="F104" s="465">
        <v>46206</v>
      </c>
      <c r="G104" s="465">
        <v>46207</v>
      </c>
      <c r="H104" s="465">
        <v>46230</v>
      </c>
      <c r="I104">
        <v>1950</v>
      </c>
      <c r="J104">
        <v>1950</v>
      </c>
      <c r="K104">
        <v>1950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463</v>
      </c>
    </row>
    <row r="105" spans="1:17" x14ac:dyDescent="0.3">
      <c r="A105">
        <v>244458</v>
      </c>
      <c r="B105">
        <v>173</v>
      </c>
      <c r="C105" t="s">
        <v>734</v>
      </c>
      <c r="D105" t="s">
        <v>1733</v>
      </c>
      <c r="E105" t="s">
        <v>1853</v>
      </c>
      <c r="F105" s="465">
        <v>46204</v>
      </c>
      <c r="G105" s="465">
        <v>46205</v>
      </c>
      <c r="H105" s="465">
        <v>46232</v>
      </c>
      <c r="I105">
        <v>4621.7</v>
      </c>
      <c r="J105">
        <v>6724.43</v>
      </c>
      <c r="K105">
        <v>4621.7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463</v>
      </c>
    </row>
    <row r="106" spans="1:17" x14ac:dyDescent="0.3">
      <c r="A106">
        <v>244457</v>
      </c>
      <c r="B106">
        <v>173</v>
      </c>
      <c r="C106" t="s">
        <v>734</v>
      </c>
      <c r="D106" t="s">
        <v>1854</v>
      </c>
      <c r="E106" t="s">
        <v>1855</v>
      </c>
      <c r="F106" s="465">
        <v>46204</v>
      </c>
      <c r="G106" s="465">
        <v>46205</v>
      </c>
      <c r="H106" s="465">
        <v>46226</v>
      </c>
      <c r="I106">
        <v>133.78</v>
      </c>
      <c r="J106">
        <v>133.78</v>
      </c>
      <c r="K106">
        <v>133.78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463</v>
      </c>
    </row>
    <row r="107" spans="1:17" x14ac:dyDescent="0.3">
      <c r="A107">
        <v>244454</v>
      </c>
      <c r="B107">
        <v>173</v>
      </c>
      <c r="C107" t="s">
        <v>734</v>
      </c>
      <c r="D107" t="s">
        <v>1856</v>
      </c>
      <c r="E107" t="s">
        <v>1857</v>
      </c>
      <c r="F107" s="465">
        <v>46204</v>
      </c>
      <c r="G107" s="465">
        <v>46205</v>
      </c>
      <c r="H107" s="465">
        <v>46231</v>
      </c>
      <c r="I107">
        <v>28646</v>
      </c>
      <c r="J107">
        <v>28646.13</v>
      </c>
      <c r="K107">
        <v>0</v>
      </c>
      <c r="L107">
        <v>28646</v>
      </c>
      <c r="M107">
        <v>0</v>
      </c>
      <c r="N107">
        <v>0</v>
      </c>
      <c r="O107">
        <v>0</v>
      </c>
      <c r="P107">
        <v>0</v>
      </c>
      <c r="Q107" t="s">
        <v>463</v>
      </c>
    </row>
    <row r="108" spans="1:17" x14ac:dyDescent="0.3">
      <c r="A108">
        <v>244450</v>
      </c>
      <c r="B108">
        <v>173</v>
      </c>
      <c r="C108" t="s">
        <v>734</v>
      </c>
      <c r="D108" t="s">
        <v>1715</v>
      </c>
      <c r="E108" t="s">
        <v>1858</v>
      </c>
      <c r="F108" s="465">
        <v>46204</v>
      </c>
      <c r="G108" s="465">
        <v>46206</v>
      </c>
      <c r="H108" s="465">
        <v>46231</v>
      </c>
      <c r="I108">
        <v>3721.2</v>
      </c>
      <c r="J108">
        <v>3721.2</v>
      </c>
      <c r="K108">
        <v>0</v>
      </c>
      <c r="L108">
        <v>3721.2</v>
      </c>
      <c r="M108">
        <v>0</v>
      </c>
      <c r="N108">
        <v>0</v>
      </c>
      <c r="O108">
        <v>0</v>
      </c>
      <c r="P108">
        <v>0</v>
      </c>
      <c r="Q108" t="s">
        <v>463</v>
      </c>
    </row>
    <row r="109" spans="1:17" x14ac:dyDescent="0.3">
      <c r="A109">
        <v>244449</v>
      </c>
      <c r="B109">
        <v>173</v>
      </c>
      <c r="C109" t="s">
        <v>734</v>
      </c>
      <c r="D109" t="s">
        <v>1859</v>
      </c>
      <c r="E109" t="s">
        <v>1860</v>
      </c>
      <c r="F109" s="465">
        <v>46204</v>
      </c>
      <c r="G109" s="465">
        <v>46206</v>
      </c>
      <c r="H109" s="465">
        <v>46225</v>
      </c>
      <c r="I109">
        <v>14307</v>
      </c>
      <c r="J109">
        <v>14307</v>
      </c>
      <c r="K109">
        <v>0</v>
      </c>
      <c r="L109">
        <v>14307</v>
      </c>
      <c r="M109">
        <v>0</v>
      </c>
      <c r="N109">
        <v>0</v>
      </c>
      <c r="O109">
        <v>0</v>
      </c>
      <c r="P109">
        <v>0</v>
      </c>
      <c r="Q109" t="s">
        <v>463</v>
      </c>
    </row>
    <row r="110" spans="1:17" x14ac:dyDescent="0.3">
      <c r="A110">
        <v>244439</v>
      </c>
      <c r="B110">
        <v>173</v>
      </c>
      <c r="C110" t="s">
        <v>734</v>
      </c>
      <c r="D110" t="s">
        <v>1766</v>
      </c>
      <c r="E110" t="s">
        <v>1861</v>
      </c>
      <c r="F110" s="465">
        <v>46204</v>
      </c>
      <c r="G110" s="465">
        <v>46206</v>
      </c>
      <c r="H110" s="465">
        <v>46232</v>
      </c>
      <c r="I110">
        <v>1804.41</v>
      </c>
      <c r="J110">
        <v>1804.32</v>
      </c>
      <c r="K110">
        <v>1804.41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463</v>
      </c>
    </row>
    <row r="111" spans="1:17" x14ac:dyDescent="0.3">
      <c r="A111">
        <v>244435</v>
      </c>
      <c r="B111">
        <v>173</v>
      </c>
      <c r="C111" t="s">
        <v>734</v>
      </c>
      <c r="D111" t="s">
        <v>1862</v>
      </c>
      <c r="E111" t="s">
        <v>1863</v>
      </c>
      <c r="F111" s="465">
        <v>46205</v>
      </c>
      <c r="G111" s="465">
        <v>46209</v>
      </c>
      <c r="H111" s="465">
        <v>46233</v>
      </c>
      <c r="I111">
        <v>1594.6</v>
      </c>
      <c r="J111">
        <v>16480.2</v>
      </c>
      <c r="K111">
        <v>0</v>
      </c>
      <c r="L111">
        <v>1594.6</v>
      </c>
      <c r="M111">
        <v>0</v>
      </c>
      <c r="N111">
        <v>0</v>
      </c>
      <c r="O111">
        <v>0</v>
      </c>
      <c r="P111">
        <v>0</v>
      </c>
      <c r="Q111" t="s">
        <v>463</v>
      </c>
    </row>
    <row r="112" spans="1:17" x14ac:dyDescent="0.3">
      <c r="A112">
        <v>244434</v>
      </c>
      <c r="B112">
        <v>173</v>
      </c>
      <c r="C112" t="s">
        <v>734</v>
      </c>
      <c r="D112" t="s">
        <v>1763</v>
      </c>
      <c r="E112" t="s">
        <v>1864</v>
      </c>
      <c r="F112" s="465">
        <v>46205</v>
      </c>
      <c r="G112" s="465">
        <v>46206</v>
      </c>
      <c r="H112" s="465">
        <v>46233</v>
      </c>
      <c r="I112">
        <v>3025.95</v>
      </c>
      <c r="J112">
        <v>3025.95</v>
      </c>
      <c r="K112">
        <v>3025.95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463</v>
      </c>
    </row>
    <row r="113" spans="1:17" x14ac:dyDescent="0.3">
      <c r="A113">
        <v>244432</v>
      </c>
      <c r="B113">
        <v>173</v>
      </c>
      <c r="C113" t="s">
        <v>734</v>
      </c>
      <c r="D113" t="s">
        <v>1719</v>
      </c>
      <c r="E113" t="s">
        <v>1865</v>
      </c>
      <c r="F113" s="465">
        <v>46204</v>
      </c>
      <c r="G113" s="465">
        <v>46206</v>
      </c>
      <c r="H113" s="465">
        <v>46234</v>
      </c>
      <c r="I113">
        <v>390</v>
      </c>
      <c r="J113">
        <v>390</v>
      </c>
      <c r="K113">
        <v>0</v>
      </c>
      <c r="L113">
        <v>390</v>
      </c>
      <c r="M113">
        <v>0</v>
      </c>
      <c r="N113">
        <v>0</v>
      </c>
      <c r="O113">
        <v>0</v>
      </c>
      <c r="P113">
        <v>0</v>
      </c>
      <c r="Q113" t="s">
        <v>463</v>
      </c>
    </row>
    <row r="114" spans="1:17" x14ac:dyDescent="0.3">
      <c r="A114">
        <v>244429</v>
      </c>
      <c r="B114">
        <v>173</v>
      </c>
      <c r="C114" t="s">
        <v>734</v>
      </c>
      <c r="D114" t="s">
        <v>1866</v>
      </c>
      <c r="E114" t="s">
        <v>1867</v>
      </c>
      <c r="F114" s="465">
        <v>46205</v>
      </c>
      <c r="G114" s="465">
        <v>46206</v>
      </c>
      <c r="H114" s="465">
        <v>46233</v>
      </c>
      <c r="I114">
        <v>1575.6</v>
      </c>
      <c r="J114">
        <v>1575.6</v>
      </c>
      <c r="K114">
        <v>1575.6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463</v>
      </c>
    </row>
    <row r="115" spans="1:17" x14ac:dyDescent="0.3">
      <c r="A115">
        <v>244427</v>
      </c>
      <c r="B115">
        <v>173</v>
      </c>
      <c r="C115" t="s">
        <v>734</v>
      </c>
      <c r="D115" t="s">
        <v>1778</v>
      </c>
      <c r="E115" t="s">
        <v>1868</v>
      </c>
      <c r="F115" s="465">
        <v>46207</v>
      </c>
      <c r="G115" s="465">
        <v>46209</v>
      </c>
      <c r="H115" s="465">
        <v>46228</v>
      </c>
      <c r="I115">
        <v>600</v>
      </c>
      <c r="J115">
        <v>598</v>
      </c>
      <c r="K115">
        <v>600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463</v>
      </c>
    </row>
    <row r="116" spans="1:17" x14ac:dyDescent="0.3">
      <c r="A116">
        <v>244425</v>
      </c>
      <c r="B116">
        <v>173</v>
      </c>
      <c r="C116" t="s">
        <v>734</v>
      </c>
      <c r="D116" t="s">
        <v>1782</v>
      </c>
      <c r="E116" t="s">
        <v>1869</v>
      </c>
      <c r="F116" s="465">
        <v>46204</v>
      </c>
      <c r="G116" s="465">
        <v>46200</v>
      </c>
      <c r="H116" s="465">
        <v>46225</v>
      </c>
      <c r="I116">
        <v>2693.1</v>
      </c>
      <c r="J116">
        <v>2693.1</v>
      </c>
      <c r="K116">
        <v>2023.5</v>
      </c>
      <c r="L116">
        <v>669.6</v>
      </c>
      <c r="M116">
        <v>0</v>
      </c>
      <c r="N116">
        <v>0</v>
      </c>
      <c r="O116">
        <v>0</v>
      </c>
      <c r="P116">
        <v>0</v>
      </c>
      <c r="Q116" t="s">
        <v>462</v>
      </c>
    </row>
    <row r="117" spans="1:17" x14ac:dyDescent="0.3">
      <c r="A117">
        <v>244423</v>
      </c>
      <c r="B117">
        <v>173</v>
      </c>
      <c r="C117" t="s">
        <v>734</v>
      </c>
      <c r="D117" t="s">
        <v>1870</v>
      </c>
      <c r="E117" t="s">
        <v>1871</v>
      </c>
      <c r="F117" s="465">
        <v>46204</v>
      </c>
      <c r="G117" s="465">
        <v>46200</v>
      </c>
      <c r="H117" s="465">
        <v>46227</v>
      </c>
      <c r="I117">
        <v>3116.42</v>
      </c>
      <c r="J117">
        <v>3116.42</v>
      </c>
      <c r="K117">
        <v>3116.42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462</v>
      </c>
    </row>
    <row r="118" spans="1:17" x14ac:dyDescent="0.3">
      <c r="A118">
        <v>244420</v>
      </c>
      <c r="B118">
        <v>173</v>
      </c>
      <c r="C118" t="s">
        <v>734</v>
      </c>
      <c r="D118" t="s">
        <v>1726</v>
      </c>
      <c r="E118" t="s">
        <v>1872</v>
      </c>
      <c r="F118" s="465">
        <v>46204</v>
      </c>
      <c r="G118" s="465">
        <v>46200</v>
      </c>
      <c r="H118" s="465">
        <v>46232</v>
      </c>
      <c r="I118">
        <v>4384.75</v>
      </c>
      <c r="J118">
        <v>3345.3</v>
      </c>
      <c r="K118">
        <v>4384.75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462</v>
      </c>
    </row>
    <row r="119" spans="1:17" x14ac:dyDescent="0.3">
      <c r="A119">
        <v>244387</v>
      </c>
      <c r="B119">
        <v>173</v>
      </c>
      <c r="C119" t="s">
        <v>734</v>
      </c>
      <c r="D119" t="s">
        <v>1803</v>
      </c>
      <c r="E119" t="s">
        <v>1873</v>
      </c>
      <c r="F119" s="465">
        <v>46204</v>
      </c>
      <c r="G119" s="465">
        <v>46200</v>
      </c>
      <c r="H119" s="465">
        <v>46226</v>
      </c>
      <c r="I119">
        <v>1251.3</v>
      </c>
      <c r="J119">
        <v>1251.3</v>
      </c>
      <c r="K119">
        <v>1251.3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462</v>
      </c>
    </row>
    <row r="120" spans="1:17" x14ac:dyDescent="0.3">
      <c r="A120">
        <v>244386</v>
      </c>
      <c r="B120">
        <v>173</v>
      </c>
      <c r="C120" t="s">
        <v>734</v>
      </c>
      <c r="D120" t="s">
        <v>1874</v>
      </c>
      <c r="E120" t="s">
        <v>1875</v>
      </c>
      <c r="F120" s="465">
        <v>46204</v>
      </c>
      <c r="G120" s="465">
        <v>46203</v>
      </c>
      <c r="H120" s="465">
        <v>46231</v>
      </c>
      <c r="I120">
        <v>4694</v>
      </c>
      <c r="J120">
        <v>4240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4694</v>
      </c>
      <c r="Q120" t="s">
        <v>462</v>
      </c>
    </row>
    <row r="121" spans="1:17" x14ac:dyDescent="0.3">
      <c r="A121">
        <v>244380</v>
      </c>
      <c r="B121">
        <v>173</v>
      </c>
      <c r="C121" t="s">
        <v>734</v>
      </c>
      <c r="D121" t="s">
        <v>1763</v>
      </c>
      <c r="E121" t="s">
        <v>1876</v>
      </c>
      <c r="F121" s="465">
        <v>46209</v>
      </c>
      <c r="G121" s="465">
        <v>46211</v>
      </c>
      <c r="H121" s="465">
        <v>46237</v>
      </c>
      <c r="I121">
        <v>5228</v>
      </c>
      <c r="J121">
        <v>5228</v>
      </c>
      <c r="K121">
        <v>5228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463</v>
      </c>
    </row>
    <row r="122" spans="1:17" x14ac:dyDescent="0.3">
      <c r="A122">
        <v>244378</v>
      </c>
      <c r="B122">
        <v>173</v>
      </c>
      <c r="C122" t="s">
        <v>734</v>
      </c>
      <c r="D122" t="s">
        <v>1877</v>
      </c>
      <c r="E122" t="s">
        <v>1878</v>
      </c>
      <c r="F122" s="465">
        <v>46209</v>
      </c>
      <c r="G122" s="465">
        <v>46211</v>
      </c>
      <c r="H122" s="465">
        <v>46237</v>
      </c>
      <c r="I122">
        <v>2400</v>
      </c>
      <c r="J122">
        <v>2400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463</v>
      </c>
    </row>
    <row r="123" spans="1:17" x14ac:dyDescent="0.3">
      <c r="A123">
        <v>244376</v>
      </c>
      <c r="B123">
        <v>173</v>
      </c>
      <c r="C123" t="s">
        <v>734</v>
      </c>
      <c r="D123" t="s">
        <v>1772</v>
      </c>
      <c r="E123" t="s">
        <v>1879</v>
      </c>
      <c r="F123" s="465">
        <v>46210</v>
      </c>
      <c r="G123" s="465">
        <v>46211</v>
      </c>
      <c r="H123" s="465">
        <v>46224</v>
      </c>
      <c r="I123">
        <v>3270.6</v>
      </c>
      <c r="J123">
        <v>3270.6</v>
      </c>
      <c r="K123">
        <v>3270.6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463</v>
      </c>
    </row>
    <row r="124" spans="1:17" x14ac:dyDescent="0.3">
      <c r="A124">
        <v>244375</v>
      </c>
      <c r="B124">
        <v>173</v>
      </c>
      <c r="C124" t="s">
        <v>734</v>
      </c>
      <c r="D124" t="s">
        <v>1847</v>
      </c>
      <c r="E124" t="s">
        <v>1880</v>
      </c>
      <c r="F124" s="465">
        <v>46209</v>
      </c>
      <c r="G124" s="465">
        <v>46211</v>
      </c>
      <c r="H124" s="465">
        <v>46230</v>
      </c>
      <c r="I124">
        <v>564.96</v>
      </c>
      <c r="J124">
        <v>564.96</v>
      </c>
      <c r="K124">
        <v>0</v>
      </c>
      <c r="L124">
        <v>0</v>
      </c>
      <c r="M124">
        <v>0</v>
      </c>
      <c r="N124">
        <v>0</v>
      </c>
      <c r="O124">
        <v>564.96</v>
      </c>
      <c r="P124">
        <v>0</v>
      </c>
      <c r="Q124" t="s">
        <v>463</v>
      </c>
    </row>
    <row r="125" spans="1:17" x14ac:dyDescent="0.3">
      <c r="A125">
        <v>244247</v>
      </c>
      <c r="B125">
        <v>173</v>
      </c>
      <c r="C125" t="s">
        <v>734</v>
      </c>
      <c r="D125" t="s">
        <v>1881</v>
      </c>
      <c r="E125" t="s">
        <v>1882</v>
      </c>
      <c r="F125" s="465">
        <v>46209</v>
      </c>
      <c r="G125" s="465">
        <v>46211</v>
      </c>
      <c r="H125" s="465">
        <v>46231</v>
      </c>
      <c r="I125">
        <v>1609.59</v>
      </c>
      <c r="J125">
        <v>1609.59</v>
      </c>
      <c r="K125">
        <v>0</v>
      </c>
      <c r="L125">
        <v>0</v>
      </c>
      <c r="M125">
        <v>433.09</v>
      </c>
      <c r="N125">
        <v>0</v>
      </c>
      <c r="O125">
        <v>0</v>
      </c>
      <c r="P125">
        <v>1176.5</v>
      </c>
      <c r="Q125" t="s">
        <v>463</v>
      </c>
    </row>
    <row r="126" spans="1:17" x14ac:dyDescent="0.3">
      <c r="A126">
        <v>244144</v>
      </c>
      <c r="B126">
        <v>173</v>
      </c>
      <c r="C126" t="s">
        <v>734</v>
      </c>
      <c r="D126" t="s">
        <v>1883</v>
      </c>
      <c r="E126" t="s">
        <v>1884</v>
      </c>
      <c r="F126" s="465">
        <v>46211</v>
      </c>
      <c r="G126" s="465">
        <v>46211</v>
      </c>
      <c r="H126" s="465">
        <v>46224</v>
      </c>
      <c r="I126">
        <v>1696.48</v>
      </c>
      <c r="J126">
        <v>1696.48</v>
      </c>
      <c r="K126">
        <v>0</v>
      </c>
      <c r="L126">
        <v>0</v>
      </c>
      <c r="M126">
        <v>0</v>
      </c>
      <c r="N126">
        <v>1696.48</v>
      </c>
      <c r="O126">
        <v>0</v>
      </c>
      <c r="P126">
        <v>0</v>
      </c>
      <c r="Q126" t="s">
        <v>463</v>
      </c>
    </row>
    <row r="127" spans="1:17" x14ac:dyDescent="0.3">
      <c r="A127">
        <v>244140</v>
      </c>
      <c r="B127">
        <v>173</v>
      </c>
      <c r="C127" t="s">
        <v>734</v>
      </c>
      <c r="D127" t="s">
        <v>1770</v>
      </c>
      <c r="E127" t="s">
        <v>1885</v>
      </c>
      <c r="F127" s="465">
        <v>46210</v>
      </c>
      <c r="G127" s="465">
        <v>46211</v>
      </c>
      <c r="H127" s="465">
        <v>46225</v>
      </c>
      <c r="I127">
        <v>1370.2</v>
      </c>
      <c r="J127">
        <v>1370.2</v>
      </c>
      <c r="K127">
        <v>1370.2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463</v>
      </c>
    </row>
    <row r="128" spans="1:17" x14ac:dyDescent="0.3">
      <c r="A128">
        <v>244114</v>
      </c>
      <c r="B128">
        <v>173</v>
      </c>
      <c r="C128" t="s">
        <v>734</v>
      </c>
      <c r="D128" t="s">
        <v>1886</v>
      </c>
      <c r="E128" t="s">
        <v>1887</v>
      </c>
      <c r="F128" s="465">
        <v>46211</v>
      </c>
      <c r="G128" s="465">
        <v>46211</v>
      </c>
      <c r="H128" s="465">
        <v>46217</v>
      </c>
      <c r="I128">
        <v>690</v>
      </c>
      <c r="J128">
        <v>690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690</v>
      </c>
      <c r="Q128" t="s">
        <v>463</v>
      </c>
    </row>
    <row r="129" spans="1:17" x14ac:dyDescent="0.3">
      <c r="A129">
        <v>244076</v>
      </c>
      <c r="B129">
        <v>173</v>
      </c>
      <c r="C129" t="s">
        <v>734</v>
      </c>
      <c r="D129" t="s">
        <v>1755</v>
      </c>
      <c r="E129" t="s">
        <v>1888</v>
      </c>
      <c r="F129" s="465">
        <v>46206</v>
      </c>
      <c r="G129" s="465">
        <v>46211</v>
      </c>
      <c r="H129" s="465">
        <v>46220</v>
      </c>
      <c r="I129">
        <v>2509.9</v>
      </c>
      <c r="J129">
        <v>2169.9</v>
      </c>
      <c r="K129">
        <v>277.61</v>
      </c>
      <c r="L129">
        <v>0</v>
      </c>
      <c r="M129">
        <v>0</v>
      </c>
      <c r="N129">
        <v>0</v>
      </c>
      <c r="O129">
        <v>675.16</v>
      </c>
      <c r="P129">
        <v>1542.68</v>
      </c>
      <c r="Q129" t="s">
        <v>463</v>
      </c>
    </row>
    <row r="130" spans="1:17" x14ac:dyDescent="0.3">
      <c r="A130">
        <v>244070</v>
      </c>
      <c r="B130">
        <v>173</v>
      </c>
      <c r="C130" t="s">
        <v>734</v>
      </c>
      <c r="D130" t="s">
        <v>1755</v>
      </c>
      <c r="E130" t="s">
        <v>1889</v>
      </c>
      <c r="F130" s="465">
        <v>46224</v>
      </c>
      <c r="G130" s="465">
        <v>46211</v>
      </c>
      <c r="H130" s="465">
        <v>46224</v>
      </c>
      <c r="I130">
        <v>574</v>
      </c>
      <c r="J130">
        <v>574</v>
      </c>
      <c r="K130">
        <v>0</v>
      </c>
      <c r="L130">
        <v>0</v>
      </c>
      <c r="M130">
        <v>574</v>
      </c>
      <c r="N130">
        <v>0</v>
      </c>
      <c r="O130">
        <v>0</v>
      </c>
      <c r="P130">
        <v>0</v>
      </c>
      <c r="Q130" t="s">
        <v>463</v>
      </c>
    </row>
    <row r="131" spans="1:17" x14ac:dyDescent="0.3">
      <c r="A131">
        <v>243485</v>
      </c>
      <c r="B131">
        <v>173</v>
      </c>
      <c r="C131" t="s">
        <v>734</v>
      </c>
      <c r="D131" t="s">
        <v>1763</v>
      </c>
      <c r="E131" t="s">
        <v>1890</v>
      </c>
      <c r="F131" s="465">
        <v>46206</v>
      </c>
      <c r="G131" s="465">
        <v>46207</v>
      </c>
      <c r="H131" s="465">
        <v>46234</v>
      </c>
      <c r="I131">
        <v>837.5</v>
      </c>
      <c r="J131">
        <v>837.5</v>
      </c>
      <c r="K131">
        <v>837.5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463</v>
      </c>
    </row>
    <row r="132" spans="1:17" x14ac:dyDescent="0.3">
      <c r="A132">
        <v>243484</v>
      </c>
      <c r="B132">
        <v>173</v>
      </c>
      <c r="C132" t="s">
        <v>734</v>
      </c>
      <c r="D132" t="s">
        <v>1763</v>
      </c>
      <c r="E132" t="s">
        <v>1891</v>
      </c>
      <c r="F132" s="465">
        <v>46206</v>
      </c>
      <c r="G132" s="465">
        <v>46209</v>
      </c>
      <c r="H132" s="465">
        <v>46234</v>
      </c>
      <c r="I132">
        <v>551.79999999999995</v>
      </c>
      <c r="J132">
        <v>551.79999999999995</v>
      </c>
      <c r="K132">
        <v>551.79999999999995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463</v>
      </c>
    </row>
    <row r="133" spans="1:17" x14ac:dyDescent="0.3">
      <c r="A133">
        <v>243483</v>
      </c>
      <c r="B133">
        <v>173</v>
      </c>
      <c r="C133" t="s">
        <v>734</v>
      </c>
      <c r="D133" t="s">
        <v>912</v>
      </c>
      <c r="E133" t="s">
        <v>1892</v>
      </c>
      <c r="F133" s="465">
        <v>46206</v>
      </c>
      <c r="G133" s="465">
        <v>46207</v>
      </c>
      <c r="H133" s="465">
        <v>46234</v>
      </c>
      <c r="I133">
        <v>126.72</v>
      </c>
      <c r="J133">
        <v>126.72</v>
      </c>
      <c r="K133">
        <v>126.72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463</v>
      </c>
    </row>
    <row r="134" spans="1:17" x14ac:dyDescent="0.3">
      <c r="A134">
        <v>243478</v>
      </c>
      <c r="B134">
        <v>173</v>
      </c>
      <c r="C134" t="s">
        <v>734</v>
      </c>
      <c r="D134" t="s">
        <v>1733</v>
      </c>
      <c r="E134" t="s">
        <v>1893</v>
      </c>
      <c r="F134" s="465">
        <v>46205</v>
      </c>
      <c r="G134" s="465">
        <v>46205</v>
      </c>
      <c r="H134" s="465">
        <v>46233</v>
      </c>
      <c r="I134">
        <v>449.7</v>
      </c>
      <c r="J134">
        <v>449.7</v>
      </c>
      <c r="K134">
        <v>449.7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463</v>
      </c>
    </row>
    <row r="135" spans="1:17" x14ac:dyDescent="0.3">
      <c r="A135">
        <v>243475</v>
      </c>
      <c r="B135">
        <v>173</v>
      </c>
      <c r="C135" t="s">
        <v>734</v>
      </c>
      <c r="D135" t="s">
        <v>1803</v>
      </c>
      <c r="E135" t="s">
        <v>1894</v>
      </c>
      <c r="F135" s="465">
        <v>46203</v>
      </c>
      <c r="G135" s="465">
        <v>46206</v>
      </c>
      <c r="H135" s="465">
        <v>46231</v>
      </c>
      <c r="I135">
        <v>476.7</v>
      </c>
      <c r="J135">
        <v>476.7</v>
      </c>
      <c r="K135">
        <v>476.7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463</v>
      </c>
    </row>
    <row r="136" spans="1:17" x14ac:dyDescent="0.3">
      <c r="A136">
        <v>243454</v>
      </c>
      <c r="B136">
        <v>173</v>
      </c>
      <c r="C136" t="s">
        <v>734</v>
      </c>
      <c r="D136" t="s">
        <v>1746</v>
      </c>
      <c r="E136" t="s">
        <v>1895</v>
      </c>
      <c r="F136" s="465">
        <v>46206</v>
      </c>
      <c r="G136" s="465">
        <v>46209</v>
      </c>
      <c r="H136" s="465">
        <v>46234</v>
      </c>
      <c r="I136">
        <v>327.26</v>
      </c>
      <c r="J136">
        <v>55.8</v>
      </c>
      <c r="K136">
        <v>327.26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463</v>
      </c>
    </row>
    <row r="137" spans="1:17" x14ac:dyDescent="0.3">
      <c r="A137">
        <v>243453</v>
      </c>
      <c r="B137">
        <v>173</v>
      </c>
      <c r="C137" t="s">
        <v>734</v>
      </c>
      <c r="D137" t="s">
        <v>1760</v>
      </c>
      <c r="E137" t="s">
        <v>1896</v>
      </c>
      <c r="F137" s="465">
        <v>46204</v>
      </c>
      <c r="G137" s="465">
        <v>46205</v>
      </c>
      <c r="H137" s="465">
        <v>46219</v>
      </c>
      <c r="I137">
        <v>2897.8</v>
      </c>
      <c r="J137">
        <v>2897.8</v>
      </c>
      <c r="K137">
        <v>2897.8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463</v>
      </c>
    </row>
    <row r="138" spans="1:17" x14ac:dyDescent="0.3">
      <c r="A138">
        <v>243450</v>
      </c>
      <c r="B138">
        <v>173</v>
      </c>
      <c r="C138" t="s">
        <v>734</v>
      </c>
      <c r="D138" t="s">
        <v>1847</v>
      </c>
      <c r="E138" t="s">
        <v>1897</v>
      </c>
      <c r="F138" s="465">
        <v>46199</v>
      </c>
      <c r="G138" s="465">
        <v>46205</v>
      </c>
      <c r="H138" s="465">
        <v>46220</v>
      </c>
      <c r="I138">
        <v>1285.5</v>
      </c>
      <c r="J138">
        <v>1285.5</v>
      </c>
      <c r="K138">
        <v>0</v>
      </c>
      <c r="L138">
        <v>0</v>
      </c>
      <c r="M138">
        <v>1285.5</v>
      </c>
      <c r="N138">
        <v>0</v>
      </c>
      <c r="O138">
        <v>0</v>
      </c>
      <c r="P138">
        <v>0</v>
      </c>
      <c r="Q138" t="s">
        <v>463</v>
      </c>
    </row>
    <row r="139" spans="1:17" x14ac:dyDescent="0.3">
      <c r="A139">
        <v>243449</v>
      </c>
      <c r="B139">
        <v>173</v>
      </c>
      <c r="C139" t="s">
        <v>734</v>
      </c>
      <c r="D139" t="s">
        <v>1780</v>
      </c>
      <c r="E139" t="s">
        <v>1898</v>
      </c>
      <c r="F139" s="465">
        <v>46203</v>
      </c>
      <c r="G139" s="465">
        <v>46206</v>
      </c>
      <c r="H139" s="465">
        <v>46219</v>
      </c>
      <c r="I139">
        <v>1790.42</v>
      </c>
      <c r="J139">
        <v>1790.42</v>
      </c>
      <c r="K139">
        <v>1790.42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463</v>
      </c>
    </row>
    <row r="140" spans="1:17" x14ac:dyDescent="0.3">
      <c r="A140">
        <v>243417</v>
      </c>
      <c r="B140">
        <v>173</v>
      </c>
      <c r="C140" t="s">
        <v>734</v>
      </c>
      <c r="D140" t="s">
        <v>1772</v>
      </c>
      <c r="E140" t="s">
        <v>1899</v>
      </c>
      <c r="F140" s="465">
        <v>46205</v>
      </c>
      <c r="G140" s="465">
        <v>46206</v>
      </c>
      <c r="H140" s="465">
        <v>46219</v>
      </c>
      <c r="I140">
        <v>780.98</v>
      </c>
      <c r="J140">
        <v>780.97</v>
      </c>
      <c r="K140">
        <v>780.98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463</v>
      </c>
    </row>
    <row r="141" spans="1:17" x14ac:dyDescent="0.3">
      <c r="A141">
        <v>243416</v>
      </c>
      <c r="B141">
        <v>173</v>
      </c>
      <c r="C141" t="s">
        <v>734</v>
      </c>
      <c r="D141" t="s">
        <v>1796</v>
      </c>
      <c r="E141" t="s">
        <v>1900</v>
      </c>
      <c r="F141" s="465">
        <v>46204</v>
      </c>
      <c r="G141" s="465">
        <v>46205</v>
      </c>
      <c r="H141" s="465">
        <v>46218</v>
      </c>
      <c r="I141">
        <v>19859.599999999999</v>
      </c>
      <c r="J141">
        <v>19849.599999999999</v>
      </c>
      <c r="K141">
        <v>19859.599999999999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463</v>
      </c>
    </row>
    <row r="142" spans="1:17" x14ac:dyDescent="0.3">
      <c r="A142">
        <v>243412</v>
      </c>
      <c r="B142">
        <v>173</v>
      </c>
      <c r="C142" t="s">
        <v>734</v>
      </c>
      <c r="D142" t="s">
        <v>1772</v>
      </c>
      <c r="E142" t="s">
        <v>1901</v>
      </c>
      <c r="F142" s="465">
        <v>46203</v>
      </c>
      <c r="G142" s="465">
        <v>46206</v>
      </c>
      <c r="H142" s="465">
        <v>46217</v>
      </c>
      <c r="I142">
        <v>7250.58</v>
      </c>
      <c r="J142">
        <v>7250.58</v>
      </c>
      <c r="K142">
        <v>7250.58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463</v>
      </c>
    </row>
    <row r="143" spans="1:17" x14ac:dyDescent="0.3">
      <c r="A143">
        <v>243409</v>
      </c>
      <c r="B143">
        <v>173</v>
      </c>
      <c r="C143" t="s">
        <v>734</v>
      </c>
      <c r="D143" t="s">
        <v>1902</v>
      </c>
      <c r="E143" t="s">
        <v>1903</v>
      </c>
      <c r="F143" s="465">
        <v>46199</v>
      </c>
      <c r="G143" s="465">
        <v>46200</v>
      </c>
      <c r="H143" s="465">
        <v>46213</v>
      </c>
      <c r="I143">
        <v>1275.5999999999999</v>
      </c>
      <c r="J143">
        <v>1275.5999999999999</v>
      </c>
      <c r="K143">
        <v>1275.5999999999999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462</v>
      </c>
    </row>
    <row r="144" spans="1:17" x14ac:dyDescent="0.3">
      <c r="A144">
        <v>243405</v>
      </c>
      <c r="B144">
        <v>173</v>
      </c>
      <c r="C144" t="s">
        <v>734</v>
      </c>
      <c r="D144" t="s">
        <v>1847</v>
      </c>
      <c r="E144" t="s">
        <v>1904</v>
      </c>
      <c r="F144" s="465">
        <v>46197</v>
      </c>
      <c r="G144" s="465">
        <v>46200</v>
      </c>
      <c r="H144" s="465">
        <v>46218</v>
      </c>
      <c r="I144">
        <v>210.24</v>
      </c>
      <c r="J144">
        <v>190.24</v>
      </c>
      <c r="K144">
        <v>0</v>
      </c>
      <c r="L144">
        <v>0</v>
      </c>
      <c r="M144">
        <v>0</v>
      </c>
      <c r="N144">
        <v>0</v>
      </c>
      <c r="O144">
        <v>210.24</v>
      </c>
      <c r="P144">
        <v>0</v>
      </c>
      <c r="Q144" t="s">
        <v>462</v>
      </c>
    </row>
    <row r="145" spans="1:17" x14ac:dyDescent="0.3">
      <c r="A145">
        <v>243402</v>
      </c>
      <c r="B145">
        <v>173</v>
      </c>
      <c r="C145" t="s">
        <v>734</v>
      </c>
      <c r="D145" t="s">
        <v>1905</v>
      </c>
      <c r="E145" t="s">
        <v>1906</v>
      </c>
      <c r="F145" s="465">
        <v>46198</v>
      </c>
      <c r="G145" s="465">
        <v>46200</v>
      </c>
      <c r="H145" s="465">
        <v>46219</v>
      </c>
      <c r="I145">
        <v>7481.8</v>
      </c>
      <c r="J145">
        <v>7482</v>
      </c>
      <c r="K145">
        <v>7481.8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462</v>
      </c>
    </row>
    <row r="146" spans="1:17" x14ac:dyDescent="0.3">
      <c r="A146">
        <v>243401</v>
      </c>
      <c r="B146">
        <v>173</v>
      </c>
      <c r="C146" t="s">
        <v>734</v>
      </c>
      <c r="D146" t="s">
        <v>1794</v>
      </c>
      <c r="E146" t="s">
        <v>1907</v>
      </c>
      <c r="F146" s="465">
        <v>46197</v>
      </c>
      <c r="G146" s="465">
        <v>46200</v>
      </c>
      <c r="H146" s="465">
        <v>46218</v>
      </c>
      <c r="I146">
        <v>2003.4</v>
      </c>
      <c r="J146">
        <v>2003.4</v>
      </c>
      <c r="K146">
        <v>2003.4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462</v>
      </c>
    </row>
    <row r="147" spans="1:17" x14ac:dyDescent="0.3">
      <c r="A147">
        <v>242954</v>
      </c>
      <c r="B147">
        <v>173</v>
      </c>
      <c r="C147" t="s">
        <v>734</v>
      </c>
      <c r="D147" t="s">
        <v>1721</v>
      </c>
      <c r="E147" t="s">
        <v>1908</v>
      </c>
      <c r="F147" s="465">
        <v>46203</v>
      </c>
      <c r="G147" s="465">
        <v>46203</v>
      </c>
      <c r="H147" s="465">
        <v>46217</v>
      </c>
      <c r="I147">
        <v>7225.6</v>
      </c>
      <c r="J147">
        <v>7222</v>
      </c>
      <c r="K147">
        <v>7225.6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462</v>
      </c>
    </row>
    <row r="148" spans="1:17" x14ac:dyDescent="0.3">
      <c r="A148">
        <v>242953</v>
      </c>
      <c r="B148">
        <v>173</v>
      </c>
      <c r="C148" t="s">
        <v>734</v>
      </c>
      <c r="D148" t="s">
        <v>1909</v>
      </c>
      <c r="E148" t="s">
        <v>1910</v>
      </c>
      <c r="F148" s="465">
        <v>46202</v>
      </c>
      <c r="G148" s="465">
        <v>46203</v>
      </c>
      <c r="H148" s="465">
        <v>46231</v>
      </c>
      <c r="I148">
        <v>2000</v>
      </c>
      <c r="J148">
        <v>2000</v>
      </c>
      <c r="K148">
        <v>0</v>
      </c>
      <c r="L148">
        <v>0</v>
      </c>
      <c r="M148">
        <v>2000</v>
      </c>
      <c r="N148">
        <v>0</v>
      </c>
      <c r="O148">
        <v>0</v>
      </c>
      <c r="P148">
        <v>0</v>
      </c>
      <c r="Q148" t="s">
        <v>462</v>
      </c>
    </row>
    <row r="149" spans="1:17" x14ac:dyDescent="0.3">
      <c r="A149">
        <v>242944</v>
      </c>
      <c r="B149">
        <v>173</v>
      </c>
      <c r="C149" t="s">
        <v>734</v>
      </c>
      <c r="D149" t="s">
        <v>1770</v>
      </c>
      <c r="E149" t="s">
        <v>1911</v>
      </c>
      <c r="F149" s="465">
        <v>46203</v>
      </c>
      <c r="G149" s="465">
        <v>46203</v>
      </c>
      <c r="H149" s="465">
        <v>46218</v>
      </c>
      <c r="I149">
        <v>2714.5</v>
      </c>
      <c r="J149">
        <v>2714.5</v>
      </c>
      <c r="K149">
        <v>2714.5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462</v>
      </c>
    </row>
    <row r="150" spans="1:17" x14ac:dyDescent="0.3">
      <c r="A150">
        <v>242939</v>
      </c>
      <c r="B150">
        <v>173</v>
      </c>
      <c r="C150" t="s">
        <v>734</v>
      </c>
      <c r="D150" t="s">
        <v>1772</v>
      </c>
      <c r="E150" t="s">
        <v>1912</v>
      </c>
      <c r="F150" s="465">
        <v>46202</v>
      </c>
      <c r="G150" s="465">
        <v>46203</v>
      </c>
      <c r="H150" s="465">
        <v>46216</v>
      </c>
      <c r="I150">
        <v>1686.32</v>
      </c>
      <c r="J150">
        <v>1686.31</v>
      </c>
      <c r="K150">
        <v>1686.32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462</v>
      </c>
    </row>
    <row r="151" spans="1:17" x14ac:dyDescent="0.3">
      <c r="A151">
        <v>242935</v>
      </c>
      <c r="B151">
        <v>173</v>
      </c>
      <c r="C151" t="s">
        <v>734</v>
      </c>
      <c r="D151" t="s">
        <v>1913</v>
      </c>
      <c r="E151" t="s">
        <v>1914</v>
      </c>
      <c r="F151" s="465">
        <v>46199</v>
      </c>
      <c r="G151" s="465">
        <v>46203</v>
      </c>
      <c r="H151" s="465">
        <v>46213</v>
      </c>
      <c r="I151">
        <v>4298</v>
      </c>
      <c r="J151">
        <v>4298</v>
      </c>
      <c r="K151">
        <v>4298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462</v>
      </c>
    </row>
    <row r="152" spans="1:17" x14ac:dyDescent="0.3">
      <c r="A152">
        <v>242929</v>
      </c>
      <c r="B152">
        <v>173</v>
      </c>
      <c r="C152" t="s">
        <v>734</v>
      </c>
      <c r="D152" t="s">
        <v>1915</v>
      </c>
      <c r="E152" t="s">
        <v>1916</v>
      </c>
      <c r="F152" s="465">
        <v>46198</v>
      </c>
      <c r="G152" s="465">
        <v>46200</v>
      </c>
      <c r="H152" s="465">
        <v>46212</v>
      </c>
      <c r="I152">
        <v>499</v>
      </c>
      <c r="J152">
        <v>474</v>
      </c>
      <c r="K152">
        <v>499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462</v>
      </c>
    </row>
    <row r="153" spans="1:17" x14ac:dyDescent="0.3">
      <c r="A153">
        <v>242904</v>
      </c>
      <c r="B153">
        <v>173</v>
      </c>
      <c r="C153" t="s">
        <v>734</v>
      </c>
      <c r="D153" t="s">
        <v>1744</v>
      </c>
      <c r="E153" t="s">
        <v>1917</v>
      </c>
      <c r="F153" s="465">
        <v>46203</v>
      </c>
      <c r="G153" s="465">
        <v>46203</v>
      </c>
      <c r="H153" s="465">
        <v>46206</v>
      </c>
      <c r="I153">
        <v>0</v>
      </c>
      <c r="J153">
        <v>613.20000000000005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462</v>
      </c>
    </row>
    <row r="154" spans="1:17" x14ac:dyDescent="0.3">
      <c r="A154">
        <v>240871</v>
      </c>
      <c r="B154">
        <v>173</v>
      </c>
      <c r="C154" t="s">
        <v>734</v>
      </c>
      <c r="D154" t="s">
        <v>1918</v>
      </c>
      <c r="E154" t="s">
        <v>1919</v>
      </c>
      <c r="F154" s="465">
        <v>46174</v>
      </c>
      <c r="G154" s="465">
        <v>46175</v>
      </c>
      <c r="H154" s="465">
        <v>46198</v>
      </c>
      <c r="I154">
        <v>679.89</v>
      </c>
      <c r="J154">
        <v>679.89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462</v>
      </c>
    </row>
    <row r="155" spans="1:17" x14ac:dyDescent="0.3">
      <c r="A155">
        <v>240585</v>
      </c>
      <c r="B155">
        <v>173</v>
      </c>
      <c r="C155" t="s">
        <v>734</v>
      </c>
      <c r="D155" t="s">
        <v>1734</v>
      </c>
      <c r="E155" t="s">
        <v>1920</v>
      </c>
      <c r="F155" s="465">
        <v>46188</v>
      </c>
      <c r="G155" s="465">
        <v>46195</v>
      </c>
      <c r="H155" s="465">
        <v>46216</v>
      </c>
      <c r="I155">
        <v>1976</v>
      </c>
      <c r="J155">
        <v>1976</v>
      </c>
      <c r="K155">
        <v>0</v>
      </c>
      <c r="L155">
        <v>0</v>
      </c>
      <c r="M155">
        <v>1976</v>
      </c>
      <c r="N155">
        <v>0</v>
      </c>
      <c r="O155">
        <v>0</v>
      </c>
      <c r="P155">
        <v>0</v>
      </c>
      <c r="Q155" t="s">
        <v>462</v>
      </c>
    </row>
    <row r="156" spans="1:17" x14ac:dyDescent="0.3">
      <c r="A156">
        <v>240577</v>
      </c>
      <c r="B156">
        <v>173</v>
      </c>
      <c r="C156" t="s">
        <v>734</v>
      </c>
      <c r="D156" t="s">
        <v>1749</v>
      </c>
      <c r="E156" t="s">
        <v>1921</v>
      </c>
      <c r="F156" s="465">
        <v>46191</v>
      </c>
      <c r="G156" s="465">
        <v>46195</v>
      </c>
      <c r="H156" s="465">
        <v>46223</v>
      </c>
      <c r="I156">
        <v>33811.550000000003</v>
      </c>
      <c r="J156">
        <v>24631.599999999999</v>
      </c>
      <c r="K156">
        <v>0</v>
      </c>
      <c r="L156">
        <v>33811.550000000003</v>
      </c>
      <c r="M156">
        <v>0</v>
      </c>
      <c r="N156">
        <v>0</v>
      </c>
      <c r="O156">
        <v>0</v>
      </c>
      <c r="P156">
        <v>0</v>
      </c>
      <c r="Q156" t="s">
        <v>462</v>
      </c>
    </row>
    <row r="157" spans="1:17" x14ac:dyDescent="0.3">
      <c r="A157">
        <v>240374</v>
      </c>
      <c r="B157">
        <v>173</v>
      </c>
      <c r="C157" t="s">
        <v>734</v>
      </c>
      <c r="D157" t="s">
        <v>1758</v>
      </c>
      <c r="E157" t="s">
        <v>1922</v>
      </c>
      <c r="F157" s="465">
        <v>46188</v>
      </c>
      <c r="G157" s="465">
        <v>46195</v>
      </c>
      <c r="H157" s="465">
        <v>46219</v>
      </c>
      <c r="I157">
        <v>2612</v>
      </c>
      <c r="J157">
        <v>2612</v>
      </c>
      <c r="K157">
        <v>0</v>
      </c>
      <c r="L157">
        <v>0</v>
      </c>
      <c r="M157">
        <v>0</v>
      </c>
      <c r="N157">
        <v>0</v>
      </c>
      <c r="O157">
        <v>2612</v>
      </c>
      <c r="P157">
        <v>0</v>
      </c>
      <c r="Q157" t="s">
        <v>462</v>
      </c>
    </row>
    <row r="158" spans="1:17" x14ac:dyDescent="0.3">
      <c r="A158">
        <v>240326</v>
      </c>
      <c r="B158">
        <v>173</v>
      </c>
      <c r="C158" t="s">
        <v>734</v>
      </c>
      <c r="D158" t="s">
        <v>1751</v>
      </c>
      <c r="E158" t="s">
        <v>1140</v>
      </c>
      <c r="F158" s="465">
        <v>46191</v>
      </c>
      <c r="G158" s="465">
        <v>46192</v>
      </c>
      <c r="H158" s="465">
        <v>46219</v>
      </c>
      <c r="I158">
        <v>33010.31</v>
      </c>
      <c r="J158">
        <v>32533.21</v>
      </c>
      <c r="K158">
        <v>0</v>
      </c>
      <c r="L158">
        <v>0</v>
      </c>
      <c r="M158">
        <v>2309.17</v>
      </c>
      <c r="N158">
        <v>0</v>
      </c>
      <c r="O158">
        <v>30701.14</v>
      </c>
      <c r="P158">
        <v>0</v>
      </c>
      <c r="Q158" t="s">
        <v>462</v>
      </c>
    </row>
    <row r="159" spans="1:17" x14ac:dyDescent="0.3">
      <c r="A159">
        <v>240317</v>
      </c>
      <c r="B159">
        <v>173</v>
      </c>
      <c r="C159" t="s">
        <v>734</v>
      </c>
      <c r="D159" t="s">
        <v>1847</v>
      </c>
      <c r="E159" t="s">
        <v>1923</v>
      </c>
      <c r="F159" s="465">
        <v>46191</v>
      </c>
      <c r="G159" s="465">
        <v>46192</v>
      </c>
      <c r="H159" s="465">
        <v>46212</v>
      </c>
      <c r="I159">
        <v>262.52</v>
      </c>
      <c r="J159">
        <v>242.52</v>
      </c>
      <c r="K159">
        <v>0</v>
      </c>
      <c r="L159">
        <v>0</v>
      </c>
      <c r="M159">
        <v>0</v>
      </c>
      <c r="N159">
        <v>0</v>
      </c>
      <c r="O159">
        <v>262.52</v>
      </c>
      <c r="P159">
        <v>0</v>
      </c>
      <c r="Q159" t="s">
        <v>462</v>
      </c>
    </row>
    <row r="160" spans="1:17" x14ac:dyDescent="0.3">
      <c r="A160">
        <v>238060</v>
      </c>
      <c r="B160">
        <v>173</v>
      </c>
      <c r="C160" t="s">
        <v>734</v>
      </c>
      <c r="D160" t="s">
        <v>1877</v>
      </c>
      <c r="E160" t="s">
        <v>1924</v>
      </c>
      <c r="F160" s="465">
        <v>46176</v>
      </c>
      <c r="G160" s="465">
        <v>46184</v>
      </c>
      <c r="H160" s="465">
        <v>46204</v>
      </c>
      <c r="I160">
        <v>2900</v>
      </c>
      <c r="J160">
        <v>2900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462</v>
      </c>
    </row>
    <row r="161" spans="1:17" x14ac:dyDescent="0.3">
      <c r="A161">
        <v>237164</v>
      </c>
      <c r="B161">
        <v>173</v>
      </c>
      <c r="C161" t="s">
        <v>734</v>
      </c>
      <c r="D161" t="s">
        <v>1322</v>
      </c>
      <c r="E161" t="s">
        <v>1925</v>
      </c>
      <c r="F161" s="465">
        <v>46161</v>
      </c>
      <c r="G161" s="465">
        <v>46175</v>
      </c>
      <c r="H161" s="465">
        <v>46191</v>
      </c>
      <c r="I161">
        <v>17923.830000000002</v>
      </c>
      <c r="J161">
        <v>17919.28</v>
      </c>
      <c r="K161">
        <v>0</v>
      </c>
      <c r="L161">
        <v>0</v>
      </c>
      <c r="M161">
        <v>0</v>
      </c>
      <c r="N161">
        <v>0</v>
      </c>
      <c r="O161">
        <v>17923.830000000002</v>
      </c>
      <c r="P161">
        <v>0</v>
      </c>
      <c r="Q161" t="s">
        <v>462</v>
      </c>
    </row>
    <row r="162" spans="1:17" x14ac:dyDescent="0.3">
      <c r="A162">
        <v>237163</v>
      </c>
      <c r="B162">
        <v>173</v>
      </c>
      <c r="C162" t="s">
        <v>734</v>
      </c>
      <c r="D162" t="s">
        <v>1322</v>
      </c>
      <c r="E162" t="s">
        <v>1926</v>
      </c>
      <c r="F162" s="465">
        <v>46168</v>
      </c>
      <c r="G162" s="465">
        <v>46171</v>
      </c>
      <c r="H162" s="465">
        <v>46198</v>
      </c>
      <c r="I162">
        <v>5806.38</v>
      </c>
      <c r="J162">
        <v>6507.26</v>
      </c>
      <c r="K162">
        <v>957.09</v>
      </c>
      <c r="L162">
        <v>0</v>
      </c>
      <c r="M162">
        <v>0</v>
      </c>
      <c r="N162">
        <v>0</v>
      </c>
      <c r="O162">
        <v>4849.29</v>
      </c>
      <c r="P162">
        <v>0</v>
      </c>
      <c r="Q162" t="s">
        <v>461</v>
      </c>
    </row>
    <row r="163" spans="1:17" x14ac:dyDescent="0.3">
      <c r="A163">
        <v>235609</v>
      </c>
      <c r="B163">
        <v>173</v>
      </c>
      <c r="C163" t="s">
        <v>734</v>
      </c>
      <c r="D163" t="s">
        <v>1927</v>
      </c>
      <c r="E163" t="s">
        <v>1928</v>
      </c>
      <c r="F163" s="465">
        <v>46154</v>
      </c>
      <c r="G163" s="465">
        <v>46171</v>
      </c>
      <c r="H163" s="465">
        <v>46182</v>
      </c>
      <c r="I163">
        <v>4707.4399999999996</v>
      </c>
      <c r="J163">
        <v>11586.72</v>
      </c>
      <c r="K163">
        <v>0</v>
      </c>
      <c r="L163">
        <v>0</v>
      </c>
      <c r="M163">
        <v>0</v>
      </c>
      <c r="N163">
        <v>0</v>
      </c>
      <c r="O163">
        <v>4707.4399999999996</v>
      </c>
      <c r="P163">
        <v>0</v>
      </c>
      <c r="Q163" t="s">
        <v>461</v>
      </c>
    </row>
    <row r="164" spans="1:17" x14ac:dyDescent="0.3">
      <c r="A164">
        <v>235598</v>
      </c>
      <c r="B164">
        <v>173</v>
      </c>
      <c r="C164" t="s">
        <v>734</v>
      </c>
      <c r="D164" t="s">
        <v>1929</v>
      </c>
      <c r="E164" t="s">
        <v>1930</v>
      </c>
      <c r="F164" s="465">
        <v>46153</v>
      </c>
      <c r="G164" s="465">
        <v>46171</v>
      </c>
      <c r="H164" s="465">
        <v>46202</v>
      </c>
      <c r="I164">
        <v>11398.63</v>
      </c>
      <c r="J164">
        <v>10386</v>
      </c>
      <c r="K164">
        <v>0</v>
      </c>
      <c r="L164">
        <v>0</v>
      </c>
      <c r="M164">
        <v>0</v>
      </c>
      <c r="N164">
        <v>0</v>
      </c>
      <c r="O164">
        <v>11398.63</v>
      </c>
      <c r="P164">
        <v>0</v>
      </c>
      <c r="Q164" t="s">
        <v>461</v>
      </c>
    </row>
    <row r="165" spans="1:17" x14ac:dyDescent="0.3">
      <c r="A165">
        <v>235597</v>
      </c>
      <c r="B165">
        <v>173</v>
      </c>
      <c r="C165" t="s">
        <v>734</v>
      </c>
      <c r="D165" t="s">
        <v>1819</v>
      </c>
      <c r="E165" t="s">
        <v>1931</v>
      </c>
      <c r="F165" s="465">
        <v>46168</v>
      </c>
      <c r="G165" s="465">
        <v>46171</v>
      </c>
      <c r="H165" s="465">
        <v>46196</v>
      </c>
      <c r="I165">
        <v>9310.92</v>
      </c>
      <c r="J165">
        <v>9310.92</v>
      </c>
      <c r="K165">
        <v>0</v>
      </c>
      <c r="L165">
        <v>0</v>
      </c>
      <c r="M165">
        <v>0</v>
      </c>
      <c r="N165">
        <v>0</v>
      </c>
      <c r="O165">
        <v>9310.92</v>
      </c>
      <c r="P165">
        <v>0</v>
      </c>
      <c r="Q165" t="s">
        <v>461</v>
      </c>
    </row>
    <row r="166" spans="1:17" x14ac:dyDescent="0.3">
      <c r="A166">
        <v>235584</v>
      </c>
      <c r="B166">
        <v>173</v>
      </c>
      <c r="C166" t="s">
        <v>734</v>
      </c>
      <c r="D166" t="s">
        <v>1927</v>
      </c>
      <c r="E166" t="s">
        <v>1932</v>
      </c>
      <c r="F166" s="465">
        <v>46155</v>
      </c>
      <c r="G166" s="465">
        <v>46171</v>
      </c>
      <c r="H166" s="465">
        <v>46177</v>
      </c>
      <c r="I166">
        <v>345.12</v>
      </c>
      <c r="J166">
        <v>345.12</v>
      </c>
      <c r="K166">
        <v>0</v>
      </c>
      <c r="L166">
        <v>0</v>
      </c>
      <c r="M166">
        <v>0</v>
      </c>
      <c r="N166">
        <v>0</v>
      </c>
      <c r="O166">
        <v>345.12</v>
      </c>
      <c r="P166">
        <v>0</v>
      </c>
      <c r="Q166" t="s">
        <v>461</v>
      </c>
    </row>
    <row r="167" spans="1:17" x14ac:dyDescent="0.3">
      <c r="A167">
        <v>235582</v>
      </c>
      <c r="B167">
        <v>173</v>
      </c>
      <c r="C167" t="s">
        <v>734</v>
      </c>
      <c r="D167" t="s">
        <v>1933</v>
      </c>
      <c r="E167" t="s">
        <v>1934</v>
      </c>
      <c r="F167" s="465">
        <v>46155</v>
      </c>
      <c r="G167" s="465">
        <v>46171</v>
      </c>
      <c r="H167" s="465">
        <v>46183</v>
      </c>
      <c r="I167">
        <v>3851.85</v>
      </c>
      <c r="J167">
        <v>3516.39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3851.85</v>
      </c>
      <c r="Q167" t="s">
        <v>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4.4" x14ac:dyDescent="0.3"/>
  <sheetData>
    <row r="1" spans="1:8" x14ac:dyDescent="0.3">
      <c r="A1" t="s">
        <v>711</v>
      </c>
      <c r="B1" t="s">
        <v>712</v>
      </c>
      <c r="C1" t="s">
        <v>713</v>
      </c>
      <c r="D1" t="s">
        <v>551</v>
      </c>
      <c r="E1" t="s">
        <v>714</v>
      </c>
      <c r="F1" t="s">
        <v>715</v>
      </c>
      <c r="G1" t="s">
        <v>716</v>
      </c>
      <c r="H1" t="s">
        <v>717</v>
      </c>
    </row>
    <row r="2" spans="1:8" x14ac:dyDescent="0.3">
      <c r="A2">
        <v>173</v>
      </c>
      <c r="B2" t="s">
        <v>734</v>
      </c>
      <c r="C2" s="465">
        <v>46223</v>
      </c>
      <c r="D2" t="s">
        <v>1935</v>
      </c>
      <c r="E2" t="s">
        <v>1936</v>
      </c>
      <c r="F2">
        <v>8027.8</v>
      </c>
      <c r="G2">
        <v>211.14</v>
      </c>
      <c r="H2">
        <v>7816.66</v>
      </c>
    </row>
    <row r="3" spans="1:8" x14ac:dyDescent="0.3">
      <c r="A3">
        <v>173</v>
      </c>
      <c r="B3" t="s">
        <v>734</v>
      </c>
      <c r="C3" s="465">
        <v>46223</v>
      </c>
      <c r="D3" t="s">
        <v>1935</v>
      </c>
      <c r="E3" t="s">
        <v>20</v>
      </c>
      <c r="F3">
        <v>2504.9699999999998</v>
      </c>
      <c r="G3">
        <v>0</v>
      </c>
      <c r="H3">
        <v>2504.9699999999998</v>
      </c>
    </row>
    <row r="4" spans="1:8" x14ac:dyDescent="0.3">
      <c r="A4">
        <v>173</v>
      </c>
      <c r="B4" t="s">
        <v>734</v>
      </c>
      <c r="C4" s="465">
        <v>46223</v>
      </c>
      <c r="D4" t="s">
        <v>1935</v>
      </c>
      <c r="E4" t="s">
        <v>1937</v>
      </c>
      <c r="F4">
        <v>12193</v>
      </c>
      <c r="G4">
        <v>735</v>
      </c>
      <c r="H4">
        <v>11458</v>
      </c>
    </row>
    <row r="5" spans="1:8" x14ac:dyDescent="0.3">
      <c r="A5">
        <v>173</v>
      </c>
      <c r="B5" t="s">
        <v>734</v>
      </c>
      <c r="C5" s="465">
        <v>46222</v>
      </c>
      <c r="D5" t="s">
        <v>1935</v>
      </c>
      <c r="E5" t="s">
        <v>1937</v>
      </c>
      <c r="F5">
        <v>22037</v>
      </c>
      <c r="G5">
        <v>626.70000000000005</v>
      </c>
      <c r="H5">
        <v>21410.3</v>
      </c>
    </row>
    <row r="6" spans="1:8" x14ac:dyDescent="0.3">
      <c r="A6">
        <v>173</v>
      </c>
      <c r="B6" t="s">
        <v>734</v>
      </c>
      <c r="C6" s="465">
        <v>46222</v>
      </c>
      <c r="D6" t="s">
        <v>1935</v>
      </c>
      <c r="E6" t="s">
        <v>1936</v>
      </c>
      <c r="F6">
        <v>27775</v>
      </c>
      <c r="G6">
        <v>613.11</v>
      </c>
      <c r="H6">
        <v>27161.89</v>
      </c>
    </row>
    <row r="7" spans="1:8" x14ac:dyDescent="0.3">
      <c r="A7">
        <v>173</v>
      </c>
      <c r="B7" t="s">
        <v>734</v>
      </c>
      <c r="C7" s="465">
        <v>46222</v>
      </c>
      <c r="D7" t="s">
        <v>1935</v>
      </c>
      <c r="E7" t="s">
        <v>1938</v>
      </c>
      <c r="F7">
        <v>4140</v>
      </c>
      <c r="G7">
        <v>12</v>
      </c>
      <c r="H7">
        <v>4128</v>
      </c>
    </row>
    <row r="8" spans="1:8" x14ac:dyDescent="0.3">
      <c r="A8">
        <v>173</v>
      </c>
      <c r="B8" t="s">
        <v>734</v>
      </c>
      <c r="C8" s="465">
        <v>46222</v>
      </c>
      <c r="D8" t="s">
        <v>1935</v>
      </c>
      <c r="E8" t="s">
        <v>20</v>
      </c>
      <c r="F8">
        <v>6509.96</v>
      </c>
      <c r="G8">
        <v>0</v>
      </c>
      <c r="H8">
        <v>6509.96</v>
      </c>
    </row>
    <row r="9" spans="1:8" x14ac:dyDescent="0.3">
      <c r="A9">
        <v>173</v>
      </c>
      <c r="B9" t="s">
        <v>734</v>
      </c>
      <c r="C9" s="465">
        <v>46221</v>
      </c>
      <c r="D9" t="s">
        <v>1935</v>
      </c>
      <c r="E9" t="s">
        <v>1937</v>
      </c>
      <c r="F9">
        <v>34708</v>
      </c>
      <c r="G9">
        <v>4541.1000000000004</v>
      </c>
      <c r="H9">
        <v>30166.9</v>
      </c>
    </row>
    <row r="10" spans="1:8" x14ac:dyDescent="0.3">
      <c r="A10">
        <v>173</v>
      </c>
      <c r="B10" t="s">
        <v>734</v>
      </c>
      <c r="C10" s="465">
        <v>46221</v>
      </c>
      <c r="D10" t="s">
        <v>1935</v>
      </c>
      <c r="E10" t="s">
        <v>1936</v>
      </c>
      <c r="F10">
        <v>44714.7</v>
      </c>
      <c r="G10">
        <v>3188.91</v>
      </c>
      <c r="H10">
        <v>41525.79</v>
      </c>
    </row>
    <row r="11" spans="1:8" x14ac:dyDescent="0.3">
      <c r="A11">
        <v>173</v>
      </c>
      <c r="B11" t="s">
        <v>734</v>
      </c>
      <c r="C11" s="465">
        <v>46221</v>
      </c>
      <c r="D11" t="s">
        <v>1935</v>
      </c>
      <c r="E11" t="s">
        <v>1938</v>
      </c>
      <c r="F11">
        <v>6100</v>
      </c>
      <c r="G11">
        <v>15</v>
      </c>
      <c r="H11">
        <v>6085</v>
      </c>
    </row>
    <row r="12" spans="1:8" x14ac:dyDescent="0.3">
      <c r="A12">
        <v>173</v>
      </c>
      <c r="B12" t="s">
        <v>734</v>
      </c>
      <c r="C12" s="465">
        <v>46221</v>
      </c>
      <c r="D12" t="s">
        <v>1935</v>
      </c>
      <c r="E12" t="s">
        <v>20</v>
      </c>
      <c r="F12">
        <v>9913.98</v>
      </c>
      <c r="G12">
        <v>0</v>
      </c>
      <c r="H12">
        <v>9913.98</v>
      </c>
    </row>
    <row r="13" spans="1:8" x14ac:dyDescent="0.3">
      <c r="A13">
        <v>173</v>
      </c>
      <c r="B13" t="s">
        <v>734</v>
      </c>
      <c r="C13" s="465">
        <v>46220</v>
      </c>
      <c r="D13" t="s">
        <v>1935</v>
      </c>
      <c r="E13" t="s">
        <v>1938</v>
      </c>
      <c r="F13">
        <v>2280</v>
      </c>
      <c r="G13">
        <v>0</v>
      </c>
      <c r="H13">
        <v>2280</v>
      </c>
    </row>
    <row r="14" spans="1:8" x14ac:dyDescent="0.3">
      <c r="A14">
        <v>173</v>
      </c>
      <c r="B14" t="s">
        <v>734</v>
      </c>
      <c r="C14" s="465">
        <v>46220</v>
      </c>
      <c r="D14" t="s">
        <v>1935</v>
      </c>
      <c r="F14">
        <v>0</v>
      </c>
      <c r="G14">
        <v>0</v>
      </c>
      <c r="H14">
        <v>0</v>
      </c>
    </row>
    <row r="15" spans="1:8" x14ac:dyDescent="0.3">
      <c r="A15">
        <v>173</v>
      </c>
      <c r="B15" t="s">
        <v>734</v>
      </c>
      <c r="C15" s="465">
        <v>46220</v>
      </c>
      <c r="D15" t="s">
        <v>1935</v>
      </c>
      <c r="E15" t="s">
        <v>1936</v>
      </c>
      <c r="F15">
        <v>51519.3</v>
      </c>
      <c r="G15">
        <v>4429.71</v>
      </c>
      <c r="H15">
        <v>47089.59</v>
      </c>
    </row>
    <row r="16" spans="1:8" x14ac:dyDescent="0.3">
      <c r="A16">
        <v>173</v>
      </c>
      <c r="B16" t="s">
        <v>734</v>
      </c>
      <c r="C16" s="465">
        <v>46220</v>
      </c>
      <c r="D16" t="s">
        <v>1935</v>
      </c>
      <c r="E16" t="s">
        <v>1937</v>
      </c>
      <c r="F16">
        <v>34792</v>
      </c>
      <c r="G16">
        <v>3416.26</v>
      </c>
      <c r="H16">
        <v>31375.74</v>
      </c>
    </row>
    <row r="17" spans="1:8" x14ac:dyDescent="0.3">
      <c r="A17">
        <v>173</v>
      </c>
      <c r="B17" t="s">
        <v>734</v>
      </c>
      <c r="C17" s="465">
        <v>46220</v>
      </c>
      <c r="D17" t="s">
        <v>1935</v>
      </c>
      <c r="E17" t="s">
        <v>20</v>
      </c>
      <c r="F17">
        <v>10451.35</v>
      </c>
      <c r="G17">
        <v>0</v>
      </c>
      <c r="H17">
        <v>10451.35</v>
      </c>
    </row>
    <row r="18" spans="1:8" x14ac:dyDescent="0.3">
      <c r="A18">
        <v>173</v>
      </c>
      <c r="B18" t="s">
        <v>734</v>
      </c>
      <c r="C18" s="465">
        <v>46217</v>
      </c>
      <c r="D18" t="s">
        <v>1935</v>
      </c>
      <c r="E18" t="s">
        <v>1937</v>
      </c>
      <c r="F18">
        <v>7492</v>
      </c>
      <c r="G18">
        <v>6944.6</v>
      </c>
      <c r="H18">
        <v>547.4</v>
      </c>
    </row>
    <row r="19" spans="1:8" x14ac:dyDescent="0.3">
      <c r="A19">
        <v>173</v>
      </c>
      <c r="B19" t="s">
        <v>734</v>
      </c>
      <c r="C19" s="465">
        <v>46217</v>
      </c>
      <c r="D19" t="s">
        <v>1935</v>
      </c>
      <c r="E19" t="s">
        <v>1936</v>
      </c>
      <c r="F19">
        <v>2080.6999999999998</v>
      </c>
      <c r="G19">
        <v>1875.35</v>
      </c>
      <c r="H19">
        <v>205.35</v>
      </c>
    </row>
    <row r="20" spans="1:8" x14ac:dyDescent="0.3">
      <c r="A20">
        <v>173</v>
      </c>
      <c r="B20" t="s">
        <v>734</v>
      </c>
      <c r="C20" s="465">
        <v>46217</v>
      </c>
      <c r="D20" t="s">
        <v>1935</v>
      </c>
      <c r="F20">
        <v>0</v>
      </c>
      <c r="G20">
        <v>0</v>
      </c>
      <c r="H20">
        <v>0</v>
      </c>
    </row>
    <row r="21" spans="1:8" x14ac:dyDescent="0.3">
      <c r="A21">
        <v>173</v>
      </c>
      <c r="B21" t="s">
        <v>734</v>
      </c>
      <c r="C21" s="465">
        <v>46217</v>
      </c>
      <c r="D21" t="s">
        <v>1935</v>
      </c>
      <c r="E21" t="s">
        <v>20</v>
      </c>
      <c r="F21">
        <v>10.46</v>
      </c>
      <c r="G21">
        <v>0</v>
      </c>
      <c r="H21">
        <v>10.46</v>
      </c>
    </row>
    <row r="22" spans="1:8" x14ac:dyDescent="0.3">
      <c r="A22">
        <v>173</v>
      </c>
      <c r="B22" t="s">
        <v>734</v>
      </c>
      <c r="C22" s="465">
        <v>46216</v>
      </c>
      <c r="D22" t="s">
        <v>1935</v>
      </c>
      <c r="E22" t="s">
        <v>1936</v>
      </c>
      <c r="F22">
        <v>9</v>
      </c>
      <c r="G22">
        <v>9</v>
      </c>
      <c r="H22">
        <v>0</v>
      </c>
    </row>
    <row r="23" spans="1:8" x14ac:dyDescent="0.3">
      <c r="A23">
        <v>173</v>
      </c>
      <c r="B23" t="s">
        <v>734</v>
      </c>
      <c r="C23" s="465">
        <v>46216</v>
      </c>
      <c r="D23" t="s">
        <v>1935</v>
      </c>
      <c r="E23" t="s">
        <v>1937</v>
      </c>
      <c r="F23">
        <v>246</v>
      </c>
      <c r="G23">
        <v>121.4</v>
      </c>
      <c r="H23">
        <v>124.6</v>
      </c>
    </row>
    <row r="24" spans="1:8" x14ac:dyDescent="0.3">
      <c r="A24">
        <v>173</v>
      </c>
      <c r="B24" t="s">
        <v>734</v>
      </c>
      <c r="C24" s="465">
        <v>46214</v>
      </c>
      <c r="D24" t="s">
        <v>1935</v>
      </c>
      <c r="E24" t="s">
        <v>1936</v>
      </c>
      <c r="F24">
        <v>3501.2</v>
      </c>
      <c r="G24">
        <v>3412.65</v>
      </c>
      <c r="H24">
        <v>88.55</v>
      </c>
    </row>
    <row r="25" spans="1:8" x14ac:dyDescent="0.3">
      <c r="A25">
        <v>173</v>
      </c>
      <c r="B25" t="s">
        <v>734</v>
      </c>
      <c r="C25" s="465">
        <v>46214</v>
      </c>
      <c r="D25" t="s">
        <v>1935</v>
      </c>
      <c r="E25" t="s">
        <v>1937</v>
      </c>
      <c r="F25">
        <v>9300</v>
      </c>
      <c r="G25">
        <v>9263.6</v>
      </c>
      <c r="H25">
        <v>36.4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"/>
  <sheetViews>
    <sheetView workbookViewId="0"/>
  </sheetViews>
  <sheetFormatPr defaultRowHeight="14.4" x14ac:dyDescent="0.3"/>
  <sheetData>
    <row r="1" spans="1:22" x14ac:dyDescent="0.3">
      <c r="A1" t="s">
        <v>1939</v>
      </c>
      <c r="B1" t="s">
        <v>547</v>
      </c>
      <c r="C1" t="s">
        <v>1940</v>
      </c>
      <c r="D1" t="s">
        <v>1941</v>
      </c>
      <c r="E1" t="s">
        <v>1942</v>
      </c>
      <c r="F1" t="s">
        <v>1943</v>
      </c>
      <c r="G1" t="s">
        <v>1944</v>
      </c>
      <c r="H1" t="s">
        <v>1945</v>
      </c>
      <c r="I1" t="s">
        <v>1946</v>
      </c>
      <c r="J1" t="s">
        <v>1947</v>
      </c>
      <c r="K1" t="s">
        <v>1948</v>
      </c>
      <c r="L1" t="s">
        <v>1949</v>
      </c>
      <c r="M1" t="s">
        <v>1950</v>
      </c>
      <c r="N1" t="s">
        <v>1951</v>
      </c>
      <c r="O1" t="s">
        <v>1952</v>
      </c>
      <c r="P1" t="s">
        <v>1953</v>
      </c>
      <c r="Q1" t="s">
        <v>1954</v>
      </c>
      <c r="R1" t="s">
        <v>1955</v>
      </c>
      <c r="S1" t="s">
        <v>1956</v>
      </c>
      <c r="T1" t="s">
        <v>1957</v>
      </c>
      <c r="U1" t="s">
        <v>1958</v>
      </c>
      <c r="V1" t="s">
        <v>1959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2"/>
  <sheetViews>
    <sheetView workbookViewId="0"/>
  </sheetViews>
  <sheetFormatPr defaultRowHeight="14.4" x14ac:dyDescent="0.3"/>
  <sheetData>
    <row r="1" spans="1:29" x14ac:dyDescent="0.3">
      <c r="A1" t="s">
        <v>547</v>
      </c>
      <c r="B1" t="s">
        <v>1960</v>
      </c>
      <c r="C1" t="s">
        <v>1942</v>
      </c>
      <c r="D1" t="s">
        <v>713</v>
      </c>
      <c r="E1" t="s">
        <v>1961</v>
      </c>
      <c r="F1" t="s">
        <v>1962</v>
      </c>
      <c r="G1" t="s">
        <v>1945</v>
      </c>
      <c r="H1" t="s">
        <v>1949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1969</v>
      </c>
      <c r="P1" t="s">
        <v>1970</v>
      </c>
      <c r="Q1" t="s">
        <v>1971</v>
      </c>
      <c r="R1" t="s">
        <v>1972</v>
      </c>
      <c r="S1" t="s">
        <v>1973</v>
      </c>
      <c r="T1" t="s">
        <v>1974</v>
      </c>
      <c r="U1" t="s">
        <v>1975</v>
      </c>
      <c r="V1" t="s">
        <v>1976</v>
      </c>
      <c r="W1" t="s">
        <v>1977</v>
      </c>
      <c r="X1" t="s">
        <v>1978</v>
      </c>
      <c r="Y1" t="s">
        <v>722</v>
      </c>
      <c r="Z1" t="s">
        <v>732</v>
      </c>
      <c r="AA1" t="s">
        <v>1705</v>
      </c>
      <c r="AB1" t="s">
        <v>1979</v>
      </c>
      <c r="AC1" t="s">
        <v>1980</v>
      </c>
    </row>
    <row r="2" spans="1:29" x14ac:dyDescent="0.3">
      <c r="A2" t="s">
        <v>734</v>
      </c>
      <c r="B2">
        <v>2093</v>
      </c>
      <c r="C2">
        <v>3765</v>
      </c>
      <c r="D2" s="466">
        <v>46226</v>
      </c>
      <c r="E2" t="s">
        <v>1981</v>
      </c>
      <c r="F2" t="s">
        <v>1982</v>
      </c>
      <c r="G2" t="s">
        <v>1983</v>
      </c>
      <c r="H2">
        <v>40350</v>
      </c>
      <c r="I2">
        <v>40350</v>
      </c>
      <c r="J2">
        <v>23359.5</v>
      </c>
      <c r="K2">
        <v>3490.5</v>
      </c>
      <c r="L2">
        <v>0</v>
      </c>
      <c r="M2">
        <v>0</v>
      </c>
      <c r="N2">
        <v>0</v>
      </c>
      <c r="O2">
        <v>13500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466">
        <v>46223</v>
      </c>
      <c r="AB2" t="s">
        <v>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3"/>
  <sheetViews>
    <sheetView workbookViewId="0"/>
  </sheetViews>
  <sheetFormatPr defaultRowHeight="14.4" x14ac:dyDescent="0.3"/>
  <sheetData>
    <row r="1" spans="1:13" x14ac:dyDescent="0.3">
      <c r="A1" t="s">
        <v>1984</v>
      </c>
      <c r="B1" t="s">
        <v>1985</v>
      </c>
      <c r="C1" t="s">
        <v>1986</v>
      </c>
      <c r="D1" t="s">
        <v>1987</v>
      </c>
      <c r="E1" t="s">
        <v>1988</v>
      </c>
      <c r="F1" t="s">
        <v>1989</v>
      </c>
      <c r="G1" t="s">
        <v>1990</v>
      </c>
      <c r="H1" t="s">
        <v>1991</v>
      </c>
      <c r="I1" t="s">
        <v>1992</v>
      </c>
      <c r="J1" t="s">
        <v>1993</v>
      </c>
      <c r="K1" t="s">
        <v>551</v>
      </c>
      <c r="L1" t="s">
        <v>1994</v>
      </c>
      <c r="M1" t="s">
        <v>1995</v>
      </c>
    </row>
    <row r="2" spans="1:13" x14ac:dyDescent="0.3">
      <c r="A2">
        <v>173</v>
      </c>
      <c r="B2" t="s">
        <v>1996</v>
      </c>
      <c r="C2">
        <v>800031</v>
      </c>
      <c r="D2" t="s">
        <v>952</v>
      </c>
      <c r="E2" t="s">
        <v>1997</v>
      </c>
      <c r="F2">
        <v>2003</v>
      </c>
      <c r="G2" t="s">
        <v>1094</v>
      </c>
      <c r="H2" t="s">
        <v>1998</v>
      </c>
      <c r="I2">
        <v>0</v>
      </c>
      <c r="J2">
        <v>1050</v>
      </c>
      <c r="K2" t="s">
        <v>461</v>
      </c>
      <c r="L2" s="466">
        <v>46178.666666666657</v>
      </c>
    </row>
    <row r="3" spans="1:13" x14ac:dyDescent="0.3">
      <c r="A3">
        <v>173</v>
      </c>
      <c r="B3" t="s">
        <v>1996</v>
      </c>
      <c r="C3">
        <v>800031</v>
      </c>
      <c r="D3" t="s">
        <v>952</v>
      </c>
      <c r="E3" t="s">
        <v>1997</v>
      </c>
      <c r="F3">
        <v>2003</v>
      </c>
      <c r="G3" t="s">
        <v>1094</v>
      </c>
      <c r="H3" t="s">
        <v>1998</v>
      </c>
      <c r="I3">
        <v>0</v>
      </c>
      <c r="J3">
        <v>1500</v>
      </c>
      <c r="K3" t="s">
        <v>462</v>
      </c>
      <c r="L3" s="466">
        <v>46209.446527777778</v>
      </c>
    </row>
    <row r="4" spans="1:13" x14ac:dyDescent="0.3">
      <c r="A4">
        <v>173</v>
      </c>
      <c r="B4" t="s">
        <v>1996</v>
      </c>
      <c r="C4">
        <v>800047</v>
      </c>
      <c r="D4" t="s">
        <v>962</v>
      </c>
      <c r="E4" t="s">
        <v>1999</v>
      </c>
      <c r="F4">
        <v>2003</v>
      </c>
      <c r="G4" t="s">
        <v>1094</v>
      </c>
      <c r="H4" t="s">
        <v>1998</v>
      </c>
      <c r="I4">
        <v>0</v>
      </c>
      <c r="J4">
        <v>600</v>
      </c>
      <c r="K4" t="s">
        <v>461</v>
      </c>
      <c r="L4" s="466">
        <v>46178.667361111111</v>
      </c>
    </row>
    <row r="5" spans="1:13" x14ac:dyDescent="0.3">
      <c r="A5">
        <v>173</v>
      </c>
      <c r="B5" t="s">
        <v>1996</v>
      </c>
      <c r="C5">
        <v>800047</v>
      </c>
      <c r="D5" t="s">
        <v>962</v>
      </c>
      <c r="E5" t="s">
        <v>1999</v>
      </c>
      <c r="F5">
        <v>2003</v>
      </c>
      <c r="G5" t="s">
        <v>1094</v>
      </c>
      <c r="H5" t="s">
        <v>1998</v>
      </c>
      <c r="I5">
        <v>0</v>
      </c>
      <c r="J5">
        <v>966.67</v>
      </c>
      <c r="K5" t="s">
        <v>462</v>
      </c>
      <c r="L5" s="466">
        <v>46209.447222222218</v>
      </c>
    </row>
    <row r="6" spans="1:13" x14ac:dyDescent="0.3">
      <c r="A6">
        <v>173</v>
      </c>
      <c r="B6" t="s">
        <v>1996</v>
      </c>
      <c r="C6">
        <v>800045</v>
      </c>
      <c r="D6" t="s">
        <v>989</v>
      </c>
      <c r="E6" t="s">
        <v>2000</v>
      </c>
      <c r="F6">
        <v>2003</v>
      </c>
      <c r="G6" t="s">
        <v>1094</v>
      </c>
      <c r="H6" t="s">
        <v>1998</v>
      </c>
      <c r="I6">
        <v>0</v>
      </c>
      <c r="J6">
        <v>1000</v>
      </c>
      <c r="K6" t="s">
        <v>462</v>
      </c>
      <c r="L6" s="466">
        <v>46209.447222222218</v>
      </c>
    </row>
    <row r="7" spans="1:13" x14ac:dyDescent="0.3">
      <c r="A7">
        <v>173</v>
      </c>
      <c r="B7" t="s">
        <v>1996</v>
      </c>
      <c r="C7">
        <v>800045</v>
      </c>
      <c r="D7" t="s">
        <v>989</v>
      </c>
      <c r="E7" t="s">
        <v>2000</v>
      </c>
      <c r="F7">
        <v>2003</v>
      </c>
      <c r="G7" t="s">
        <v>1094</v>
      </c>
      <c r="H7" t="s">
        <v>1998</v>
      </c>
      <c r="I7">
        <v>0</v>
      </c>
      <c r="J7">
        <v>700</v>
      </c>
      <c r="K7" t="s">
        <v>461</v>
      </c>
      <c r="L7" s="466">
        <v>46178.667361111111</v>
      </c>
    </row>
    <row r="8" spans="1:13" x14ac:dyDescent="0.3">
      <c r="A8">
        <v>173</v>
      </c>
      <c r="B8" t="s">
        <v>1996</v>
      </c>
      <c r="C8">
        <v>800038</v>
      </c>
      <c r="D8" t="s">
        <v>1008</v>
      </c>
      <c r="E8" t="s">
        <v>2001</v>
      </c>
      <c r="F8">
        <v>2003</v>
      </c>
      <c r="G8" t="s">
        <v>1094</v>
      </c>
      <c r="H8" t="s">
        <v>1998</v>
      </c>
      <c r="I8">
        <v>0</v>
      </c>
      <c r="J8">
        <v>1500</v>
      </c>
      <c r="K8" t="s">
        <v>462</v>
      </c>
      <c r="L8" s="466">
        <v>46209.446527777778</v>
      </c>
    </row>
    <row r="9" spans="1:13" x14ac:dyDescent="0.3">
      <c r="A9">
        <v>173</v>
      </c>
      <c r="B9" t="s">
        <v>1996</v>
      </c>
      <c r="C9">
        <v>800038</v>
      </c>
      <c r="D9" t="s">
        <v>1008</v>
      </c>
      <c r="E9" t="s">
        <v>2001</v>
      </c>
      <c r="F9">
        <v>2003</v>
      </c>
      <c r="G9" t="s">
        <v>1094</v>
      </c>
      <c r="H9" t="s">
        <v>1998</v>
      </c>
      <c r="I9">
        <v>0</v>
      </c>
      <c r="J9">
        <v>1050</v>
      </c>
      <c r="K9" t="s">
        <v>461</v>
      </c>
      <c r="L9" s="466">
        <v>46178.666666666657</v>
      </c>
    </row>
    <row r="10" spans="1:13" x14ac:dyDescent="0.3">
      <c r="A10">
        <v>173</v>
      </c>
      <c r="B10" t="s">
        <v>1996</v>
      </c>
      <c r="C10">
        <v>755</v>
      </c>
      <c r="D10" t="s">
        <v>988</v>
      </c>
      <c r="E10" t="s">
        <v>2002</v>
      </c>
      <c r="F10">
        <v>2003</v>
      </c>
      <c r="G10" t="s">
        <v>1094</v>
      </c>
      <c r="H10" t="s">
        <v>1998</v>
      </c>
      <c r="I10">
        <v>0</v>
      </c>
      <c r="J10">
        <v>1140</v>
      </c>
      <c r="K10" t="s">
        <v>462</v>
      </c>
      <c r="L10" s="466">
        <v>46209.448611111111</v>
      </c>
    </row>
    <row r="11" spans="1:13" x14ac:dyDescent="0.3">
      <c r="A11">
        <v>173</v>
      </c>
      <c r="B11" t="s">
        <v>1996</v>
      </c>
      <c r="C11">
        <v>755</v>
      </c>
      <c r="D11" t="s">
        <v>988</v>
      </c>
      <c r="E11" t="s">
        <v>2002</v>
      </c>
      <c r="F11">
        <v>2003</v>
      </c>
      <c r="G11" t="s">
        <v>1094</v>
      </c>
      <c r="H11" t="s">
        <v>1998</v>
      </c>
      <c r="I11">
        <v>0</v>
      </c>
      <c r="J11">
        <v>1760</v>
      </c>
      <c r="K11" t="s">
        <v>461</v>
      </c>
      <c r="L11" s="466">
        <v>46178.668055555558</v>
      </c>
    </row>
    <row r="12" spans="1:13" x14ac:dyDescent="0.3">
      <c r="A12">
        <v>173</v>
      </c>
      <c r="B12" t="s">
        <v>1996</v>
      </c>
      <c r="C12">
        <v>800071</v>
      </c>
      <c r="D12" t="s">
        <v>1049</v>
      </c>
      <c r="E12" t="s">
        <v>2003</v>
      </c>
      <c r="F12">
        <v>2003</v>
      </c>
      <c r="G12" t="s">
        <v>1094</v>
      </c>
      <c r="H12" t="s">
        <v>1998</v>
      </c>
      <c r="I12">
        <v>0</v>
      </c>
      <c r="J12">
        <v>1350</v>
      </c>
      <c r="K12" t="s">
        <v>462</v>
      </c>
      <c r="L12" s="466">
        <v>46209.447916666657</v>
      </c>
    </row>
    <row r="13" spans="1:13" x14ac:dyDescent="0.3">
      <c r="A13">
        <v>173</v>
      </c>
      <c r="B13" t="s">
        <v>1996</v>
      </c>
      <c r="C13">
        <v>800039</v>
      </c>
      <c r="D13" t="s">
        <v>983</v>
      </c>
      <c r="E13" t="s">
        <v>2004</v>
      </c>
      <c r="F13">
        <v>2003</v>
      </c>
      <c r="G13" t="s">
        <v>1094</v>
      </c>
      <c r="H13" t="s">
        <v>1998</v>
      </c>
      <c r="I13">
        <v>0</v>
      </c>
      <c r="J13">
        <v>1500</v>
      </c>
      <c r="K13" t="s">
        <v>462</v>
      </c>
      <c r="L13" s="466">
        <v>46209.446527777778</v>
      </c>
    </row>
    <row r="14" spans="1:13" x14ac:dyDescent="0.3">
      <c r="A14">
        <v>173</v>
      </c>
      <c r="B14" t="s">
        <v>1996</v>
      </c>
      <c r="C14">
        <v>800039</v>
      </c>
      <c r="D14" t="s">
        <v>983</v>
      </c>
      <c r="E14" t="s">
        <v>2004</v>
      </c>
      <c r="F14">
        <v>2003</v>
      </c>
      <c r="G14" t="s">
        <v>1094</v>
      </c>
      <c r="H14" t="s">
        <v>1998</v>
      </c>
      <c r="I14">
        <v>0</v>
      </c>
      <c r="J14">
        <v>1050</v>
      </c>
      <c r="K14" t="s">
        <v>461</v>
      </c>
      <c r="L14" s="466">
        <v>46178.666666666657</v>
      </c>
    </row>
    <row r="15" spans="1:13" x14ac:dyDescent="0.3">
      <c r="A15">
        <v>173</v>
      </c>
      <c r="B15" t="s">
        <v>1996</v>
      </c>
      <c r="C15">
        <v>800072</v>
      </c>
      <c r="D15" t="s">
        <v>1082</v>
      </c>
      <c r="E15" t="s">
        <v>2005</v>
      </c>
      <c r="F15">
        <v>2003</v>
      </c>
      <c r="G15" t="s">
        <v>1094</v>
      </c>
      <c r="H15" t="s">
        <v>1998</v>
      </c>
      <c r="I15">
        <v>0</v>
      </c>
      <c r="J15">
        <v>900</v>
      </c>
      <c r="K15" t="s">
        <v>462</v>
      </c>
      <c r="L15" s="466">
        <v>46209.447916666657</v>
      </c>
    </row>
    <row r="16" spans="1:13" x14ac:dyDescent="0.3">
      <c r="A16">
        <v>173</v>
      </c>
      <c r="B16" t="s">
        <v>1996</v>
      </c>
      <c r="C16">
        <v>800077</v>
      </c>
      <c r="D16" t="s">
        <v>1006</v>
      </c>
      <c r="E16" t="s">
        <v>2006</v>
      </c>
      <c r="F16">
        <v>2003</v>
      </c>
      <c r="G16" t="s">
        <v>1094</v>
      </c>
      <c r="H16" t="s">
        <v>1998</v>
      </c>
      <c r="I16">
        <v>0</v>
      </c>
      <c r="J16">
        <v>750</v>
      </c>
      <c r="K16" t="s">
        <v>462</v>
      </c>
      <c r="L16" s="466">
        <v>46209.448611111111</v>
      </c>
    </row>
    <row r="17" spans="1:12" x14ac:dyDescent="0.3">
      <c r="A17">
        <v>173</v>
      </c>
      <c r="B17" t="s">
        <v>1996</v>
      </c>
      <c r="C17">
        <v>800070</v>
      </c>
      <c r="D17" t="s">
        <v>1038</v>
      </c>
      <c r="E17" t="s">
        <v>2007</v>
      </c>
      <c r="F17">
        <v>2003</v>
      </c>
      <c r="G17" t="s">
        <v>1094</v>
      </c>
      <c r="H17" t="s">
        <v>1998</v>
      </c>
      <c r="I17">
        <v>0</v>
      </c>
      <c r="J17">
        <v>1250</v>
      </c>
      <c r="K17" t="s">
        <v>462</v>
      </c>
      <c r="L17" s="466">
        <v>46209.447916666657</v>
      </c>
    </row>
    <row r="18" spans="1:12" x14ac:dyDescent="0.3">
      <c r="A18">
        <v>173</v>
      </c>
      <c r="B18" t="s">
        <v>1996</v>
      </c>
      <c r="C18">
        <v>800057</v>
      </c>
      <c r="D18" t="s">
        <v>1055</v>
      </c>
      <c r="E18" t="s">
        <v>2008</v>
      </c>
      <c r="F18">
        <v>2003</v>
      </c>
      <c r="G18" t="s">
        <v>1094</v>
      </c>
      <c r="H18" t="s">
        <v>1998</v>
      </c>
      <c r="I18">
        <v>0</v>
      </c>
      <c r="J18">
        <v>900</v>
      </c>
      <c r="K18" t="s">
        <v>462</v>
      </c>
      <c r="L18" s="466">
        <v>46209.447222222218</v>
      </c>
    </row>
    <row r="19" spans="1:12" x14ac:dyDescent="0.3">
      <c r="A19">
        <v>173</v>
      </c>
      <c r="B19" t="s">
        <v>1996</v>
      </c>
      <c r="C19">
        <v>800057</v>
      </c>
      <c r="D19" t="s">
        <v>1055</v>
      </c>
      <c r="E19" t="s">
        <v>2008</v>
      </c>
      <c r="F19">
        <v>2003</v>
      </c>
      <c r="G19" t="s">
        <v>1094</v>
      </c>
      <c r="H19" t="s">
        <v>1998</v>
      </c>
      <c r="I19">
        <v>0</v>
      </c>
      <c r="J19">
        <v>600</v>
      </c>
      <c r="K19" t="s">
        <v>461</v>
      </c>
      <c r="L19" s="466">
        <v>46178.667361111111</v>
      </c>
    </row>
    <row r="20" spans="1:12" x14ac:dyDescent="0.3">
      <c r="A20">
        <v>173</v>
      </c>
      <c r="B20" t="s">
        <v>1996</v>
      </c>
      <c r="C20">
        <v>800053</v>
      </c>
      <c r="D20" t="s">
        <v>1232</v>
      </c>
      <c r="E20" t="s">
        <v>2009</v>
      </c>
      <c r="F20">
        <v>2003</v>
      </c>
      <c r="G20" t="s">
        <v>1094</v>
      </c>
      <c r="H20" t="s">
        <v>2010</v>
      </c>
      <c r="I20">
        <v>0</v>
      </c>
      <c r="J20">
        <v>550</v>
      </c>
      <c r="K20" t="s">
        <v>462</v>
      </c>
      <c r="L20" s="466">
        <v>46197.505555555559</v>
      </c>
    </row>
    <row r="21" spans="1:12" x14ac:dyDescent="0.3">
      <c r="A21">
        <v>173</v>
      </c>
      <c r="B21" t="s">
        <v>1996</v>
      </c>
      <c r="C21">
        <v>800053</v>
      </c>
      <c r="D21" t="s">
        <v>1232</v>
      </c>
      <c r="E21" t="s">
        <v>2009</v>
      </c>
      <c r="F21">
        <v>2003</v>
      </c>
      <c r="G21" t="s">
        <v>1094</v>
      </c>
      <c r="H21" t="s">
        <v>1998</v>
      </c>
      <c r="I21">
        <v>0</v>
      </c>
      <c r="J21">
        <v>600</v>
      </c>
      <c r="K21" t="s">
        <v>461</v>
      </c>
      <c r="L21" s="466">
        <v>46178.667361111111</v>
      </c>
    </row>
    <row r="22" spans="1:12" x14ac:dyDescent="0.3">
      <c r="A22">
        <v>173</v>
      </c>
      <c r="B22" t="s">
        <v>1996</v>
      </c>
      <c r="C22">
        <v>800051</v>
      </c>
      <c r="D22" t="s">
        <v>1216</v>
      </c>
      <c r="E22" t="s">
        <v>2011</v>
      </c>
      <c r="F22">
        <v>2003</v>
      </c>
      <c r="G22" t="s">
        <v>1094</v>
      </c>
      <c r="H22" t="s">
        <v>1998</v>
      </c>
      <c r="I22">
        <v>0</v>
      </c>
      <c r="J22">
        <v>600</v>
      </c>
      <c r="K22" t="s">
        <v>461</v>
      </c>
      <c r="L22" s="466">
        <v>46178.667361111111</v>
      </c>
    </row>
    <row r="23" spans="1:12" x14ac:dyDescent="0.3">
      <c r="A23">
        <v>173</v>
      </c>
      <c r="B23" t="s">
        <v>1996</v>
      </c>
      <c r="C23">
        <v>800051</v>
      </c>
      <c r="D23" t="s">
        <v>1216</v>
      </c>
      <c r="E23" t="s">
        <v>2011</v>
      </c>
      <c r="F23">
        <v>2003</v>
      </c>
      <c r="G23" t="s">
        <v>1094</v>
      </c>
      <c r="H23" t="s">
        <v>1998</v>
      </c>
      <c r="I23">
        <v>0</v>
      </c>
      <c r="J23">
        <v>650</v>
      </c>
      <c r="K23" t="s">
        <v>462</v>
      </c>
      <c r="L23" s="466">
        <v>46209.447222222218</v>
      </c>
    </row>
    <row r="24" spans="1:12" x14ac:dyDescent="0.3">
      <c r="A24">
        <v>173</v>
      </c>
      <c r="B24" t="s">
        <v>1996</v>
      </c>
      <c r="C24">
        <v>800049</v>
      </c>
      <c r="D24" t="s">
        <v>990</v>
      </c>
      <c r="E24" t="s">
        <v>2012</v>
      </c>
      <c r="F24">
        <v>2003</v>
      </c>
      <c r="G24" t="s">
        <v>1094</v>
      </c>
      <c r="H24" t="s">
        <v>1998</v>
      </c>
      <c r="I24">
        <v>0</v>
      </c>
      <c r="J24">
        <v>1500</v>
      </c>
      <c r="K24" t="s">
        <v>462</v>
      </c>
      <c r="L24" s="466">
        <v>46209.447222222218</v>
      </c>
    </row>
    <row r="25" spans="1:12" x14ac:dyDescent="0.3">
      <c r="A25">
        <v>173</v>
      </c>
      <c r="B25" t="s">
        <v>1996</v>
      </c>
      <c r="C25">
        <v>800049</v>
      </c>
      <c r="D25" t="s">
        <v>990</v>
      </c>
      <c r="E25" t="s">
        <v>2012</v>
      </c>
      <c r="F25">
        <v>2003</v>
      </c>
      <c r="G25" t="s">
        <v>1094</v>
      </c>
      <c r="H25" t="s">
        <v>1998</v>
      </c>
      <c r="I25">
        <v>0</v>
      </c>
      <c r="J25">
        <v>600</v>
      </c>
      <c r="K25" t="s">
        <v>461</v>
      </c>
      <c r="L25" s="466">
        <v>46178.667361111111</v>
      </c>
    </row>
    <row r="26" spans="1:12" x14ac:dyDescent="0.3">
      <c r="A26">
        <v>173</v>
      </c>
      <c r="B26" t="s">
        <v>1996</v>
      </c>
      <c r="C26">
        <v>800060</v>
      </c>
      <c r="D26" t="s">
        <v>1200</v>
      </c>
      <c r="E26" t="s">
        <v>2013</v>
      </c>
      <c r="F26">
        <v>2003</v>
      </c>
      <c r="G26" t="s">
        <v>1094</v>
      </c>
      <c r="H26" t="s">
        <v>2010</v>
      </c>
      <c r="I26">
        <v>0</v>
      </c>
      <c r="J26">
        <v>700</v>
      </c>
      <c r="K26" t="s">
        <v>462</v>
      </c>
      <c r="L26" s="466">
        <v>46196.40902777778</v>
      </c>
    </row>
    <row r="27" spans="1:12" x14ac:dyDescent="0.3">
      <c r="A27">
        <v>173</v>
      </c>
      <c r="B27" t="s">
        <v>1996</v>
      </c>
      <c r="C27">
        <v>800060</v>
      </c>
      <c r="D27" t="s">
        <v>1200</v>
      </c>
      <c r="E27" t="s">
        <v>2013</v>
      </c>
      <c r="F27">
        <v>2003</v>
      </c>
      <c r="G27" t="s">
        <v>1094</v>
      </c>
      <c r="H27" t="s">
        <v>1998</v>
      </c>
      <c r="I27">
        <v>0</v>
      </c>
      <c r="J27">
        <v>500</v>
      </c>
      <c r="K27" t="s">
        <v>461</v>
      </c>
      <c r="L27" s="466">
        <v>46178.668055555558</v>
      </c>
    </row>
    <row r="28" spans="1:12" x14ac:dyDescent="0.3">
      <c r="A28">
        <v>173</v>
      </c>
      <c r="B28" t="s">
        <v>1996</v>
      </c>
      <c r="C28">
        <v>800046</v>
      </c>
      <c r="D28" t="s">
        <v>1027</v>
      </c>
      <c r="E28" t="s">
        <v>2014</v>
      </c>
      <c r="F28">
        <v>2003</v>
      </c>
      <c r="G28" t="s">
        <v>1094</v>
      </c>
      <c r="H28" t="s">
        <v>1998</v>
      </c>
      <c r="I28">
        <v>0</v>
      </c>
      <c r="J28">
        <v>950</v>
      </c>
      <c r="K28" t="s">
        <v>462</v>
      </c>
      <c r="L28" s="466">
        <v>46209.447222222218</v>
      </c>
    </row>
    <row r="29" spans="1:12" x14ac:dyDescent="0.3">
      <c r="A29">
        <v>173</v>
      </c>
      <c r="B29" t="s">
        <v>1996</v>
      </c>
      <c r="C29">
        <v>800046</v>
      </c>
      <c r="D29" t="s">
        <v>1027</v>
      </c>
      <c r="E29" t="s">
        <v>2014</v>
      </c>
      <c r="F29">
        <v>2003</v>
      </c>
      <c r="G29" t="s">
        <v>1094</v>
      </c>
      <c r="H29" t="s">
        <v>1998</v>
      </c>
      <c r="I29">
        <v>0</v>
      </c>
      <c r="J29">
        <v>900</v>
      </c>
      <c r="K29" t="s">
        <v>461</v>
      </c>
      <c r="L29" s="466">
        <v>46178.667361111111</v>
      </c>
    </row>
    <row r="30" spans="1:12" x14ac:dyDescent="0.3">
      <c r="A30">
        <v>173</v>
      </c>
      <c r="B30" t="s">
        <v>1996</v>
      </c>
      <c r="C30">
        <v>800035</v>
      </c>
      <c r="D30" t="s">
        <v>1090</v>
      </c>
      <c r="E30" t="s">
        <v>2015</v>
      </c>
      <c r="F30">
        <v>2003</v>
      </c>
      <c r="G30" t="s">
        <v>1094</v>
      </c>
      <c r="H30" t="s">
        <v>1998</v>
      </c>
      <c r="I30">
        <v>0</v>
      </c>
      <c r="J30">
        <v>1050</v>
      </c>
      <c r="K30" t="s">
        <v>461</v>
      </c>
      <c r="L30" s="466">
        <v>46178.666666666657</v>
      </c>
    </row>
    <row r="31" spans="1:12" x14ac:dyDescent="0.3">
      <c r="A31">
        <v>173</v>
      </c>
      <c r="B31" t="s">
        <v>1996</v>
      </c>
      <c r="C31">
        <v>800035</v>
      </c>
      <c r="D31" t="s">
        <v>1090</v>
      </c>
      <c r="E31" t="s">
        <v>2015</v>
      </c>
      <c r="F31">
        <v>2003</v>
      </c>
      <c r="G31" t="s">
        <v>1094</v>
      </c>
      <c r="H31" t="s">
        <v>1998</v>
      </c>
      <c r="I31">
        <v>0</v>
      </c>
      <c r="J31">
        <v>1500</v>
      </c>
      <c r="K31" t="s">
        <v>462</v>
      </c>
      <c r="L31" s="466">
        <v>46209.446527777778</v>
      </c>
    </row>
    <row r="32" spans="1:12" x14ac:dyDescent="0.3">
      <c r="A32">
        <v>173</v>
      </c>
      <c r="B32" t="s">
        <v>1996</v>
      </c>
      <c r="C32">
        <v>800065</v>
      </c>
      <c r="D32" t="s">
        <v>1085</v>
      </c>
      <c r="E32" t="s">
        <v>2016</v>
      </c>
      <c r="F32">
        <v>2003</v>
      </c>
      <c r="G32" t="s">
        <v>1094</v>
      </c>
      <c r="H32" t="s">
        <v>1998</v>
      </c>
      <c r="I32">
        <v>0</v>
      </c>
      <c r="J32">
        <v>966.67</v>
      </c>
      <c r="K32" t="s">
        <v>462</v>
      </c>
      <c r="L32" s="466">
        <v>46209.447916666657</v>
      </c>
    </row>
    <row r="33" spans="1:12" x14ac:dyDescent="0.3">
      <c r="A33">
        <v>173</v>
      </c>
      <c r="B33" t="s">
        <v>1996</v>
      </c>
      <c r="C33">
        <v>800044</v>
      </c>
      <c r="D33" t="s">
        <v>1088</v>
      </c>
      <c r="E33" t="s">
        <v>2017</v>
      </c>
      <c r="F33">
        <v>2003</v>
      </c>
      <c r="G33" t="s">
        <v>1094</v>
      </c>
      <c r="H33" t="s">
        <v>1998</v>
      </c>
      <c r="I33">
        <v>0</v>
      </c>
      <c r="J33">
        <v>1500</v>
      </c>
      <c r="K33" t="s">
        <v>462</v>
      </c>
      <c r="L33" s="466">
        <v>46209.447222222218</v>
      </c>
    </row>
    <row r="34" spans="1:12" x14ac:dyDescent="0.3">
      <c r="A34">
        <v>173</v>
      </c>
      <c r="B34" t="s">
        <v>1996</v>
      </c>
      <c r="C34">
        <v>800044</v>
      </c>
      <c r="D34" t="s">
        <v>1088</v>
      </c>
      <c r="E34" t="s">
        <v>2017</v>
      </c>
      <c r="F34">
        <v>2003</v>
      </c>
      <c r="G34" t="s">
        <v>1094</v>
      </c>
      <c r="H34" t="s">
        <v>1998</v>
      </c>
      <c r="I34">
        <v>0</v>
      </c>
      <c r="J34">
        <v>900</v>
      </c>
      <c r="K34" t="s">
        <v>461</v>
      </c>
      <c r="L34" s="466">
        <v>46178.667361111111</v>
      </c>
    </row>
    <row r="35" spans="1:12" x14ac:dyDescent="0.3">
      <c r="A35">
        <v>173</v>
      </c>
      <c r="B35" t="s">
        <v>1996</v>
      </c>
      <c r="C35">
        <v>800050</v>
      </c>
      <c r="D35" t="s">
        <v>1041</v>
      </c>
      <c r="E35" t="s">
        <v>2018</v>
      </c>
      <c r="F35">
        <v>2003</v>
      </c>
      <c r="G35" t="s">
        <v>1094</v>
      </c>
      <c r="H35" t="s">
        <v>1998</v>
      </c>
      <c r="I35">
        <v>0</v>
      </c>
      <c r="J35">
        <v>1200</v>
      </c>
      <c r="K35" t="s">
        <v>462</v>
      </c>
      <c r="L35" s="466">
        <v>46209.447222222218</v>
      </c>
    </row>
    <row r="36" spans="1:12" x14ac:dyDescent="0.3">
      <c r="A36">
        <v>173</v>
      </c>
      <c r="B36" t="s">
        <v>1996</v>
      </c>
      <c r="C36">
        <v>800050</v>
      </c>
      <c r="D36" t="s">
        <v>1041</v>
      </c>
      <c r="E36" t="s">
        <v>2018</v>
      </c>
      <c r="F36">
        <v>2003</v>
      </c>
      <c r="G36" t="s">
        <v>1094</v>
      </c>
      <c r="H36" t="s">
        <v>1998</v>
      </c>
      <c r="I36">
        <v>0</v>
      </c>
      <c r="J36">
        <v>480</v>
      </c>
      <c r="K36" t="s">
        <v>461</v>
      </c>
      <c r="L36" s="466">
        <v>46178.667361111111</v>
      </c>
    </row>
    <row r="37" spans="1:12" x14ac:dyDescent="0.3">
      <c r="A37">
        <v>173</v>
      </c>
      <c r="B37" t="s">
        <v>1996</v>
      </c>
      <c r="C37">
        <v>800083</v>
      </c>
      <c r="D37" t="s">
        <v>1021</v>
      </c>
      <c r="E37" t="s">
        <v>2019</v>
      </c>
      <c r="F37">
        <v>2003</v>
      </c>
      <c r="G37" t="s">
        <v>1094</v>
      </c>
      <c r="H37" t="s">
        <v>1998</v>
      </c>
      <c r="I37">
        <v>0</v>
      </c>
      <c r="J37">
        <v>266.67</v>
      </c>
      <c r="K37" t="s">
        <v>462</v>
      </c>
      <c r="L37" s="466">
        <v>46209.448611111111</v>
      </c>
    </row>
    <row r="38" spans="1:12" x14ac:dyDescent="0.3">
      <c r="A38">
        <v>173</v>
      </c>
      <c r="B38" t="s">
        <v>1996</v>
      </c>
      <c r="C38">
        <v>800058</v>
      </c>
      <c r="D38" t="s">
        <v>987</v>
      </c>
      <c r="E38" t="s">
        <v>2020</v>
      </c>
      <c r="F38">
        <v>2003</v>
      </c>
      <c r="G38" t="s">
        <v>1094</v>
      </c>
      <c r="H38" t="s">
        <v>1998</v>
      </c>
      <c r="I38">
        <v>0</v>
      </c>
      <c r="J38">
        <v>600</v>
      </c>
      <c r="K38" t="s">
        <v>461</v>
      </c>
      <c r="L38" s="466">
        <v>46178.667361111111</v>
      </c>
    </row>
    <row r="39" spans="1:12" x14ac:dyDescent="0.3">
      <c r="A39">
        <v>173</v>
      </c>
      <c r="B39" t="s">
        <v>1996</v>
      </c>
      <c r="C39">
        <v>800058</v>
      </c>
      <c r="D39" t="s">
        <v>987</v>
      </c>
      <c r="E39" t="s">
        <v>2020</v>
      </c>
      <c r="F39">
        <v>2003</v>
      </c>
      <c r="G39" t="s">
        <v>1094</v>
      </c>
      <c r="H39" t="s">
        <v>1998</v>
      </c>
      <c r="I39">
        <v>0</v>
      </c>
      <c r="J39">
        <v>1400</v>
      </c>
      <c r="K39" t="s">
        <v>462</v>
      </c>
      <c r="L39" s="466">
        <v>46209.447222222218</v>
      </c>
    </row>
    <row r="40" spans="1:12" x14ac:dyDescent="0.3">
      <c r="A40">
        <v>173</v>
      </c>
      <c r="B40" t="s">
        <v>1996</v>
      </c>
      <c r="C40">
        <v>800052</v>
      </c>
      <c r="D40" t="s">
        <v>956</v>
      </c>
      <c r="E40" t="s">
        <v>2021</v>
      </c>
      <c r="F40">
        <v>2003</v>
      </c>
      <c r="G40" t="s">
        <v>1094</v>
      </c>
      <c r="H40" t="s">
        <v>1998</v>
      </c>
      <c r="I40">
        <v>0</v>
      </c>
      <c r="J40">
        <v>1500</v>
      </c>
      <c r="K40" t="s">
        <v>462</v>
      </c>
      <c r="L40" s="466">
        <v>46209.447222222218</v>
      </c>
    </row>
    <row r="41" spans="1:12" x14ac:dyDescent="0.3">
      <c r="A41">
        <v>173</v>
      </c>
      <c r="B41" t="s">
        <v>1996</v>
      </c>
      <c r="C41">
        <v>800052</v>
      </c>
      <c r="D41" t="s">
        <v>956</v>
      </c>
      <c r="E41" t="s">
        <v>2021</v>
      </c>
      <c r="F41">
        <v>2003</v>
      </c>
      <c r="G41" t="s">
        <v>1094</v>
      </c>
      <c r="H41" t="s">
        <v>1998</v>
      </c>
      <c r="I41">
        <v>0</v>
      </c>
      <c r="J41">
        <v>600</v>
      </c>
      <c r="K41" t="s">
        <v>461</v>
      </c>
      <c r="L41" s="466">
        <v>46178.667361111111</v>
      </c>
    </row>
    <row r="42" spans="1:12" x14ac:dyDescent="0.3">
      <c r="A42">
        <v>173</v>
      </c>
      <c r="B42" t="s">
        <v>1996</v>
      </c>
      <c r="C42">
        <v>800032</v>
      </c>
      <c r="D42" t="s">
        <v>957</v>
      </c>
      <c r="E42" t="s">
        <v>2022</v>
      </c>
      <c r="F42">
        <v>2003</v>
      </c>
      <c r="G42" t="s">
        <v>1094</v>
      </c>
      <c r="H42" t="s">
        <v>1998</v>
      </c>
      <c r="I42">
        <v>0</v>
      </c>
      <c r="J42">
        <v>1050</v>
      </c>
      <c r="K42" t="s">
        <v>461</v>
      </c>
      <c r="L42" s="466">
        <v>46178.666666666657</v>
      </c>
    </row>
    <row r="43" spans="1:12" x14ac:dyDescent="0.3">
      <c r="A43">
        <v>173</v>
      </c>
      <c r="B43" t="s">
        <v>1996</v>
      </c>
      <c r="C43">
        <v>800032</v>
      </c>
      <c r="D43" t="s">
        <v>957</v>
      </c>
      <c r="E43" t="s">
        <v>2022</v>
      </c>
      <c r="F43">
        <v>2003</v>
      </c>
      <c r="G43" t="s">
        <v>1094</v>
      </c>
      <c r="H43" t="s">
        <v>1998</v>
      </c>
      <c r="I43">
        <v>0</v>
      </c>
      <c r="J43">
        <v>1500</v>
      </c>
      <c r="K43" t="s">
        <v>462</v>
      </c>
      <c r="L43" s="466">
        <v>46209.446527777778</v>
      </c>
    </row>
    <row r="44" spans="1:12" x14ac:dyDescent="0.3">
      <c r="A44">
        <v>173</v>
      </c>
      <c r="B44" t="s">
        <v>1996</v>
      </c>
      <c r="C44">
        <v>800078</v>
      </c>
      <c r="D44" t="s">
        <v>1079</v>
      </c>
      <c r="E44" t="s">
        <v>2023</v>
      </c>
      <c r="F44">
        <v>2003</v>
      </c>
      <c r="G44" t="s">
        <v>1094</v>
      </c>
      <c r="H44" t="s">
        <v>1998</v>
      </c>
      <c r="I44">
        <v>0</v>
      </c>
      <c r="J44">
        <v>533.33000000000004</v>
      </c>
      <c r="K44" t="s">
        <v>462</v>
      </c>
      <c r="L44" s="466">
        <v>46209.448611111111</v>
      </c>
    </row>
    <row r="45" spans="1:12" x14ac:dyDescent="0.3">
      <c r="A45">
        <v>173</v>
      </c>
      <c r="B45" t="s">
        <v>1996</v>
      </c>
      <c r="C45">
        <v>800048</v>
      </c>
      <c r="D45" t="s">
        <v>977</v>
      </c>
      <c r="E45" t="s">
        <v>2024</v>
      </c>
      <c r="F45">
        <v>2003</v>
      </c>
      <c r="G45" t="s">
        <v>1094</v>
      </c>
      <c r="H45" t="s">
        <v>1998</v>
      </c>
      <c r="I45">
        <v>0</v>
      </c>
      <c r="J45">
        <v>1500</v>
      </c>
      <c r="K45" t="s">
        <v>462</v>
      </c>
      <c r="L45" s="466">
        <v>46209.447222222218</v>
      </c>
    </row>
    <row r="46" spans="1:12" x14ac:dyDescent="0.3">
      <c r="A46">
        <v>173</v>
      </c>
      <c r="B46" t="s">
        <v>1996</v>
      </c>
      <c r="C46">
        <v>800048</v>
      </c>
      <c r="D46" t="s">
        <v>977</v>
      </c>
      <c r="E46" t="s">
        <v>2024</v>
      </c>
      <c r="F46">
        <v>2003</v>
      </c>
      <c r="G46" t="s">
        <v>1094</v>
      </c>
      <c r="H46" t="s">
        <v>1998</v>
      </c>
      <c r="I46">
        <v>0</v>
      </c>
      <c r="J46">
        <v>900</v>
      </c>
      <c r="K46" t="s">
        <v>461</v>
      </c>
      <c r="L46" s="466">
        <v>46178.667361111111</v>
      </c>
    </row>
    <row r="47" spans="1:12" x14ac:dyDescent="0.3">
      <c r="A47">
        <v>173</v>
      </c>
      <c r="B47" t="s">
        <v>1996</v>
      </c>
      <c r="C47">
        <v>800040</v>
      </c>
      <c r="D47" t="s">
        <v>982</v>
      </c>
      <c r="E47" t="s">
        <v>2025</v>
      </c>
      <c r="F47">
        <v>2003</v>
      </c>
      <c r="G47" t="s">
        <v>1094</v>
      </c>
      <c r="H47" t="s">
        <v>1998</v>
      </c>
      <c r="I47">
        <v>0</v>
      </c>
      <c r="J47">
        <v>240</v>
      </c>
      <c r="K47" t="s">
        <v>462</v>
      </c>
      <c r="L47" s="466">
        <v>46209.445833333331</v>
      </c>
    </row>
    <row r="48" spans="1:12" x14ac:dyDescent="0.3">
      <c r="A48">
        <v>173</v>
      </c>
      <c r="B48" t="s">
        <v>1996</v>
      </c>
      <c r="C48">
        <v>800036</v>
      </c>
      <c r="D48" t="s">
        <v>969</v>
      </c>
      <c r="E48" t="s">
        <v>2026</v>
      </c>
      <c r="F48">
        <v>2003</v>
      </c>
      <c r="G48" t="s">
        <v>1094</v>
      </c>
      <c r="H48" t="s">
        <v>1998</v>
      </c>
      <c r="I48">
        <v>0</v>
      </c>
      <c r="J48">
        <v>1500</v>
      </c>
      <c r="K48" t="s">
        <v>462</v>
      </c>
      <c r="L48" s="466">
        <v>46209.446527777778</v>
      </c>
    </row>
    <row r="49" spans="1:12" x14ac:dyDescent="0.3">
      <c r="A49">
        <v>173</v>
      </c>
      <c r="B49" t="s">
        <v>1996</v>
      </c>
      <c r="C49">
        <v>800036</v>
      </c>
      <c r="D49" t="s">
        <v>969</v>
      </c>
      <c r="E49" t="s">
        <v>2026</v>
      </c>
      <c r="F49">
        <v>2003</v>
      </c>
      <c r="G49" t="s">
        <v>1094</v>
      </c>
      <c r="H49" t="s">
        <v>1998</v>
      </c>
      <c r="I49">
        <v>0</v>
      </c>
      <c r="J49">
        <v>1050</v>
      </c>
      <c r="K49" t="s">
        <v>461</v>
      </c>
      <c r="L49" s="466">
        <v>46178.666666666657</v>
      </c>
    </row>
    <row r="50" spans="1:12" x14ac:dyDescent="0.3">
      <c r="A50">
        <v>173</v>
      </c>
      <c r="B50" t="s">
        <v>1996</v>
      </c>
      <c r="C50">
        <v>800061</v>
      </c>
      <c r="D50" t="s">
        <v>1007</v>
      </c>
      <c r="E50" t="s">
        <v>2027</v>
      </c>
      <c r="F50">
        <v>2003</v>
      </c>
      <c r="G50" t="s">
        <v>1094</v>
      </c>
      <c r="H50" t="s">
        <v>1998</v>
      </c>
      <c r="I50">
        <v>0</v>
      </c>
      <c r="J50">
        <v>1500</v>
      </c>
      <c r="K50" t="s">
        <v>462</v>
      </c>
      <c r="L50" s="466">
        <v>46209.447222222218</v>
      </c>
    </row>
    <row r="51" spans="1:12" x14ac:dyDescent="0.3">
      <c r="A51">
        <v>173</v>
      </c>
      <c r="B51" t="s">
        <v>1996</v>
      </c>
      <c r="C51">
        <v>800061</v>
      </c>
      <c r="D51" t="s">
        <v>1007</v>
      </c>
      <c r="E51" t="s">
        <v>2027</v>
      </c>
      <c r="F51">
        <v>2003</v>
      </c>
      <c r="G51" t="s">
        <v>1094</v>
      </c>
      <c r="H51" t="s">
        <v>1998</v>
      </c>
      <c r="I51">
        <v>0</v>
      </c>
      <c r="J51">
        <v>500</v>
      </c>
      <c r="K51" t="s">
        <v>461</v>
      </c>
      <c r="L51" s="466">
        <v>46178.668055555558</v>
      </c>
    </row>
    <row r="52" spans="1:12" x14ac:dyDescent="0.3">
      <c r="A52">
        <v>173</v>
      </c>
      <c r="B52" t="s">
        <v>1996</v>
      </c>
      <c r="C52">
        <v>800074</v>
      </c>
      <c r="D52" t="s">
        <v>1080</v>
      </c>
      <c r="E52" t="s">
        <v>2028</v>
      </c>
      <c r="F52">
        <v>2003</v>
      </c>
      <c r="G52" t="s">
        <v>1094</v>
      </c>
      <c r="H52" t="s">
        <v>1998</v>
      </c>
      <c r="I52">
        <v>0</v>
      </c>
      <c r="J52">
        <v>900</v>
      </c>
      <c r="K52" t="s">
        <v>462</v>
      </c>
      <c r="L52" s="466">
        <v>46209.447916666657</v>
      </c>
    </row>
    <row r="53" spans="1:12" x14ac:dyDescent="0.3">
      <c r="A53">
        <v>173</v>
      </c>
      <c r="B53" t="s">
        <v>1996</v>
      </c>
      <c r="C53">
        <v>800033</v>
      </c>
      <c r="D53" t="s">
        <v>961</v>
      </c>
      <c r="E53" t="s">
        <v>2029</v>
      </c>
      <c r="F53">
        <v>2003</v>
      </c>
      <c r="G53" t="s">
        <v>1094</v>
      </c>
      <c r="H53" t="s">
        <v>1998</v>
      </c>
      <c r="I53">
        <v>0</v>
      </c>
      <c r="J53">
        <v>700</v>
      </c>
      <c r="K53" t="s">
        <v>461</v>
      </c>
      <c r="L53" s="466">
        <v>46178.666666666657</v>
      </c>
    </row>
    <row r="54" spans="1:12" x14ac:dyDescent="0.3">
      <c r="A54">
        <v>173</v>
      </c>
      <c r="B54" t="s">
        <v>1996</v>
      </c>
      <c r="C54">
        <v>800033</v>
      </c>
      <c r="D54" t="s">
        <v>961</v>
      </c>
      <c r="E54" t="s">
        <v>2029</v>
      </c>
      <c r="F54">
        <v>2003</v>
      </c>
      <c r="G54" t="s">
        <v>1094</v>
      </c>
      <c r="H54" t="s">
        <v>1998</v>
      </c>
      <c r="I54">
        <v>0</v>
      </c>
      <c r="J54">
        <v>966.67</v>
      </c>
      <c r="K54" t="s">
        <v>462</v>
      </c>
      <c r="L54" s="466">
        <v>46209.446527777778</v>
      </c>
    </row>
    <row r="55" spans="1:12" x14ac:dyDescent="0.3">
      <c r="A55">
        <v>173</v>
      </c>
      <c r="B55" t="s">
        <v>1996</v>
      </c>
      <c r="C55">
        <v>800041</v>
      </c>
      <c r="D55" t="s">
        <v>1089</v>
      </c>
      <c r="E55" t="s">
        <v>2030</v>
      </c>
      <c r="F55">
        <v>2003</v>
      </c>
      <c r="G55" t="s">
        <v>1094</v>
      </c>
      <c r="H55" t="s">
        <v>1998</v>
      </c>
      <c r="I55">
        <v>0</v>
      </c>
      <c r="J55">
        <v>600</v>
      </c>
      <c r="K55" t="s">
        <v>462</v>
      </c>
      <c r="L55" s="466">
        <v>46209.446527777778</v>
      </c>
    </row>
    <row r="56" spans="1:12" x14ac:dyDescent="0.3">
      <c r="A56">
        <v>173</v>
      </c>
      <c r="B56" t="s">
        <v>1996</v>
      </c>
      <c r="C56">
        <v>800041</v>
      </c>
      <c r="D56" t="s">
        <v>1089</v>
      </c>
      <c r="E56" t="s">
        <v>2030</v>
      </c>
      <c r="F56">
        <v>2003</v>
      </c>
      <c r="G56" t="s">
        <v>1094</v>
      </c>
      <c r="H56" t="s">
        <v>1998</v>
      </c>
      <c r="I56">
        <v>0</v>
      </c>
      <c r="J56">
        <v>900</v>
      </c>
      <c r="K56" t="s">
        <v>461</v>
      </c>
      <c r="L56" s="466">
        <v>46178.666666666657</v>
      </c>
    </row>
    <row r="57" spans="1:12" x14ac:dyDescent="0.3">
      <c r="A57">
        <v>173</v>
      </c>
      <c r="B57" t="s">
        <v>1996</v>
      </c>
      <c r="C57">
        <v>800037</v>
      </c>
      <c r="D57" t="s">
        <v>1040</v>
      </c>
      <c r="E57" t="s">
        <v>2031</v>
      </c>
      <c r="F57">
        <v>2003</v>
      </c>
      <c r="G57" t="s">
        <v>1094</v>
      </c>
      <c r="H57" t="s">
        <v>1998</v>
      </c>
      <c r="I57">
        <v>0</v>
      </c>
      <c r="J57">
        <v>1500</v>
      </c>
      <c r="K57" t="s">
        <v>462</v>
      </c>
      <c r="L57" s="466">
        <v>46209.446527777778</v>
      </c>
    </row>
    <row r="58" spans="1:12" x14ac:dyDescent="0.3">
      <c r="A58">
        <v>173</v>
      </c>
      <c r="B58" t="s">
        <v>1996</v>
      </c>
      <c r="C58">
        <v>800037</v>
      </c>
      <c r="D58" t="s">
        <v>1040</v>
      </c>
      <c r="E58" t="s">
        <v>2031</v>
      </c>
      <c r="F58">
        <v>2003</v>
      </c>
      <c r="G58" t="s">
        <v>1094</v>
      </c>
      <c r="H58" t="s">
        <v>1998</v>
      </c>
      <c r="I58">
        <v>0</v>
      </c>
      <c r="J58">
        <v>1000</v>
      </c>
      <c r="K58" t="s">
        <v>461</v>
      </c>
      <c r="L58" s="466">
        <v>46178.666666666657</v>
      </c>
    </row>
    <row r="59" spans="1:12" x14ac:dyDescent="0.3">
      <c r="A59">
        <v>173</v>
      </c>
      <c r="B59" t="s">
        <v>1996</v>
      </c>
      <c r="C59">
        <v>800034</v>
      </c>
      <c r="D59" t="s">
        <v>955</v>
      </c>
      <c r="E59" t="s">
        <v>2032</v>
      </c>
      <c r="F59">
        <v>2003</v>
      </c>
      <c r="G59" t="s">
        <v>1094</v>
      </c>
      <c r="H59" t="s">
        <v>1998</v>
      </c>
      <c r="I59">
        <v>0</v>
      </c>
      <c r="J59">
        <v>933.33</v>
      </c>
      <c r="K59" t="s">
        <v>462</v>
      </c>
      <c r="L59" s="466">
        <v>46209.446527777778</v>
      </c>
    </row>
    <row r="60" spans="1:12" x14ac:dyDescent="0.3">
      <c r="A60">
        <v>173</v>
      </c>
      <c r="B60" t="s">
        <v>1996</v>
      </c>
      <c r="C60">
        <v>800034</v>
      </c>
      <c r="D60" t="s">
        <v>955</v>
      </c>
      <c r="E60" t="s">
        <v>2032</v>
      </c>
      <c r="F60">
        <v>2003</v>
      </c>
      <c r="G60" t="s">
        <v>1094</v>
      </c>
      <c r="H60" t="s">
        <v>1998</v>
      </c>
      <c r="I60">
        <v>0</v>
      </c>
      <c r="J60">
        <v>633.33000000000004</v>
      </c>
      <c r="K60" t="s">
        <v>461</v>
      </c>
      <c r="L60" s="466">
        <v>46178.666666666657</v>
      </c>
    </row>
    <row r="61" spans="1:12" x14ac:dyDescent="0.3">
      <c r="A61">
        <v>173</v>
      </c>
      <c r="B61" t="s">
        <v>1996</v>
      </c>
      <c r="C61">
        <v>800066</v>
      </c>
      <c r="D61" t="s">
        <v>1078</v>
      </c>
      <c r="E61" t="s">
        <v>2033</v>
      </c>
      <c r="F61">
        <v>2003</v>
      </c>
      <c r="G61" t="s">
        <v>1094</v>
      </c>
      <c r="H61" t="s">
        <v>1998</v>
      </c>
      <c r="I61">
        <v>0</v>
      </c>
      <c r="J61">
        <v>1050</v>
      </c>
      <c r="K61" t="s">
        <v>462</v>
      </c>
      <c r="L61" s="466">
        <v>46209.453472222223</v>
      </c>
    </row>
    <row r="62" spans="1:12" x14ac:dyDescent="0.3">
      <c r="A62">
        <v>173</v>
      </c>
      <c r="B62" t="s">
        <v>1996</v>
      </c>
      <c r="C62">
        <v>800076</v>
      </c>
      <c r="D62" t="s">
        <v>991</v>
      </c>
      <c r="E62" t="s">
        <v>2034</v>
      </c>
      <c r="F62">
        <v>2003</v>
      </c>
      <c r="G62" t="s">
        <v>1094</v>
      </c>
      <c r="H62" t="s">
        <v>1998</v>
      </c>
      <c r="I62">
        <v>0</v>
      </c>
      <c r="J62">
        <v>800</v>
      </c>
      <c r="K62" t="s">
        <v>462</v>
      </c>
      <c r="L62" s="466">
        <v>46209.447916666657</v>
      </c>
    </row>
    <row r="63" spans="1:12" x14ac:dyDescent="0.3">
      <c r="A63">
        <v>173</v>
      </c>
      <c r="B63" t="s">
        <v>1996</v>
      </c>
      <c r="C63">
        <v>800082</v>
      </c>
      <c r="D63" t="s">
        <v>1069</v>
      </c>
      <c r="E63" t="s">
        <v>2035</v>
      </c>
      <c r="F63">
        <v>2003</v>
      </c>
      <c r="G63" t="s">
        <v>1094</v>
      </c>
      <c r="H63" t="s">
        <v>1998</v>
      </c>
      <c r="I63">
        <v>0</v>
      </c>
      <c r="J63">
        <v>266.67</v>
      </c>
      <c r="K63" t="s">
        <v>462</v>
      </c>
      <c r="L63" s="466">
        <v>46209.448611111111</v>
      </c>
    </row>
    <row r="64" spans="1:12" x14ac:dyDescent="0.3">
      <c r="A64">
        <v>173</v>
      </c>
      <c r="B64" t="s">
        <v>1996</v>
      </c>
      <c r="C64">
        <v>800062</v>
      </c>
      <c r="D64" t="s">
        <v>973</v>
      </c>
      <c r="E64" t="s">
        <v>2036</v>
      </c>
      <c r="F64">
        <v>2003</v>
      </c>
      <c r="G64" t="s">
        <v>1094</v>
      </c>
      <c r="H64" t="s">
        <v>1998</v>
      </c>
      <c r="I64">
        <v>0</v>
      </c>
      <c r="J64">
        <v>333.33</v>
      </c>
      <c r="K64" t="s">
        <v>461</v>
      </c>
      <c r="L64" s="466">
        <v>46178.668055555558</v>
      </c>
    </row>
    <row r="65" spans="1:12" x14ac:dyDescent="0.3">
      <c r="A65">
        <v>173</v>
      </c>
      <c r="B65" t="s">
        <v>1996</v>
      </c>
      <c r="C65">
        <v>800062</v>
      </c>
      <c r="D65" t="s">
        <v>973</v>
      </c>
      <c r="E65" t="s">
        <v>2036</v>
      </c>
      <c r="F65">
        <v>2003</v>
      </c>
      <c r="G65" t="s">
        <v>1094</v>
      </c>
      <c r="H65" t="s">
        <v>1998</v>
      </c>
      <c r="I65">
        <v>0</v>
      </c>
      <c r="J65">
        <v>1000</v>
      </c>
      <c r="K65" t="s">
        <v>462</v>
      </c>
      <c r="L65" s="466">
        <v>46209.447916666657</v>
      </c>
    </row>
    <row r="66" spans="1:12" x14ac:dyDescent="0.3">
      <c r="A66">
        <v>173</v>
      </c>
      <c r="B66" t="s">
        <v>1996</v>
      </c>
      <c r="C66">
        <v>800069</v>
      </c>
      <c r="D66" t="s">
        <v>966</v>
      </c>
      <c r="E66" t="s">
        <v>2037</v>
      </c>
      <c r="F66">
        <v>2003</v>
      </c>
      <c r="G66" t="s">
        <v>1094</v>
      </c>
      <c r="H66" t="s">
        <v>1998</v>
      </c>
      <c r="I66">
        <v>0</v>
      </c>
      <c r="J66">
        <v>1350</v>
      </c>
      <c r="K66" t="s">
        <v>462</v>
      </c>
      <c r="L66" s="466">
        <v>46209.447916666657</v>
      </c>
    </row>
    <row r="67" spans="1:12" x14ac:dyDescent="0.3">
      <c r="A67">
        <v>173</v>
      </c>
      <c r="B67" t="s">
        <v>1996</v>
      </c>
      <c r="C67">
        <v>800055</v>
      </c>
      <c r="D67" t="s">
        <v>1087</v>
      </c>
      <c r="E67" t="s">
        <v>2038</v>
      </c>
      <c r="F67">
        <v>2003</v>
      </c>
      <c r="G67" t="s">
        <v>1094</v>
      </c>
      <c r="H67" t="s">
        <v>1998</v>
      </c>
      <c r="I67">
        <v>0</v>
      </c>
      <c r="J67">
        <v>600</v>
      </c>
      <c r="K67" t="s">
        <v>461</v>
      </c>
      <c r="L67" s="466">
        <v>46178.667361111111</v>
      </c>
    </row>
    <row r="68" spans="1:12" x14ac:dyDescent="0.3">
      <c r="A68">
        <v>173</v>
      </c>
      <c r="B68" t="s">
        <v>1996</v>
      </c>
      <c r="C68">
        <v>800055</v>
      </c>
      <c r="D68" t="s">
        <v>1087</v>
      </c>
      <c r="E68" t="s">
        <v>2038</v>
      </c>
      <c r="F68">
        <v>2003</v>
      </c>
      <c r="G68" t="s">
        <v>1094</v>
      </c>
      <c r="H68" t="s">
        <v>1998</v>
      </c>
      <c r="I68">
        <v>0</v>
      </c>
      <c r="J68">
        <v>1500</v>
      </c>
      <c r="K68" t="s">
        <v>462</v>
      </c>
      <c r="L68" s="466">
        <v>46209.447222222218</v>
      </c>
    </row>
    <row r="69" spans="1:12" x14ac:dyDescent="0.3">
      <c r="A69">
        <v>173</v>
      </c>
      <c r="B69" t="s">
        <v>1996</v>
      </c>
      <c r="C69">
        <v>800080</v>
      </c>
      <c r="D69" t="s">
        <v>1050</v>
      </c>
      <c r="E69" t="s">
        <v>2039</v>
      </c>
      <c r="F69">
        <v>2003</v>
      </c>
      <c r="G69" t="s">
        <v>1094</v>
      </c>
      <c r="H69" t="s">
        <v>1998</v>
      </c>
      <c r="I69">
        <v>0</v>
      </c>
      <c r="J69">
        <v>600</v>
      </c>
      <c r="K69" t="s">
        <v>462</v>
      </c>
      <c r="L69" s="466">
        <v>46209.448611111111</v>
      </c>
    </row>
    <row r="70" spans="1:12" x14ac:dyDescent="0.3">
      <c r="A70">
        <v>173</v>
      </c>
      <c r="B70" t="s">
        <v>1996</v>
      </c>
      <c r="C70">
        <v>800043</v>
      </c>
      <c r="D70" t="s">
        <v>974</v>
      </c>
      <c r="E70" t="s">
        <v>2040</v>
      </c>
      <c r="F70">
        <v>2003</v>
      </c>
      <c r="G70" t="s">
        <v>1094</v>
      </c>
      <c r="H70" t="s">
        <v>1998</v>
      </c>
      <c r="I70">
        <v>0</v>
      </c>
      <c r="J70">
        <v>900</v>
      </c>
      <c r="K70" t="s">
        <v>461</v>
      </c>
      <c r="L70" s="466">
        <v>46178.667361111111</v>
      </c>
    </row>
    <row r="71" spans="1:12" x14ac:dyDescent="0.3">
      <c r="A71">
        <v>173</v>
      </c>
      <c r="B71" t="s">
        <v>1996</v>
      </c>
      <c r="C71">
        <v>800043</v>
      </c>
      <c r="D71" t="s">
        <v>974</v>
      </c>
      <c r="E71" t="s">
        <v>2040</v>
      </c>
      <c r="F71">
        <v>2003</v>
      </c>
      <c r="G71" t="s">
        <v>1094</v>
      </c>
      <c r="H71" t="s">
        <v>1998</v>
      </c>
      <c r="I71">
        <v>0</v>
      </c>
      <c r="J71">
        <v>1500</v>
      </c>
      <c r="K71" t="s">
        <v>462</v>
      </c>
      <c r="L71" s="466">
        <v>46209.446527777778</v>
      </c>
    </row>
    <row r="72" spans="1:12" x14ac:dyDescent="0.3">
      <c r="A72">
        <v>173</v>
      </c>
      <c r="B72" t="s">
        <v>1996</v>
      </c>
      <c r="C72">
        <v>800073</v>
      </c>
      <c r="D72" t="s">
        <v>1081</v>
      </c>
      <c r="E72" t="s">
        <v>2041</v>
      </c>
      <c r="F72">
        <v>2003</v>
      </c>
      <c r="G72" t="s">
        <v>1094</v>
      </c>
      <c r="H72" t="s">
        <v>1998</v>
      </c>
      <c r="I72">
        <v>0</v>
      </c>
      <c r="J72">
        <v>866.67</v>
      </c>
      <c r="K72" t="s">
        <v>462</v>
      </c>
      <c r="L72" s="466">
        <v>46209.447916666657</v>
      </c>
    </row>
    <row r="73" spans="1:12" x14ac:dyDescent="0.3">
      <c r="A73">
        <v>173</v>
      </c>
      <c r="B73" t="s">
        <v>1996</v>
      </c>
      <c r="C73">
        <v>800081</v>
      </c>
      <c r="D73" t="s">
        <v>1002</v>
      </c>
      <c r="E73" t="s">
        <v>2042</v>
      </c>
      <c r="F73">
        <v>2003</v>
      </c>
      <c r="G73" t="s">
        <v>1094</v>
      </c>
      <c r="H73" t="s">
        <v>1998</v>
      </c>
      <c r="I73">
        <v>0</v>
      </c>
      <c r="J73">
        <v>450</v>
      </c>
      <c r="K73" t="s">
        <v>462</v>
      </c>
      <c r="L73" s="466">
        <v>46209.448611111111</v>
      </c>
    </row>
    <row r="74" spans="1:12" x14ac:dyDescent="0.3">
      <c r="A74">
        <v>173</v>
      </c>
      <c r="B74" t="s">
        <v>1996</v>
      </c>
      <c r="C74">
        <v>800059</v>
      </c>
      <c r="D74" t="s">
        <v>1026</v>
      </c>
      <c r="E74" t="s">
        <v>2043</v>
      </c>
      <c r="F74">
        <v>2003</v>
      </c>
      <c r="G74" t="s">
        <v>1094</v>
      </c>
      <c r="H74" t="s">
        <v>1998</v>
      </c>
      <c r="I74">
        <v>0</v>
      </c>
      <c r="J74">
        <v>333.33</v>
      </c>
      <c r="K74" t="s">
        <v>461</v>
      </c>
      <c r="L74" s="466">
        <v>46178.667361111111</v>
      </c>
    </row>
    <row r="75" spans="1:12" x14ac:dyDescent="0.3">
      <c r="A75">
        <v>173</v>
      </c>
      <c r="B75" t="s">
        <v>1996</v>
      </c>
      <c r="C75">
        <v>800059</v>
      </c>
      <c r="D75" t="s">
        <v>1026</v>
      </c>
      <c r="E75" t="s">
        <v>2043</v>
      </c>
      <c r="F75">
        <v>2003</v>
      </c>
      <c r="G75" t="s">
        <v>1094</v>
      </c>
      <c r="H75" t="s">
        <v>1998</v>
      </c>
      <c r="I75">
        <v>0</v>
      </c>
      <c r="J75">
        <v>1000</v>
      </c>
      <c r="K75" t="s">
        <v>462</v>
      </c>
      <c r="L75" s="466">
        <v>46209.447222222218</v>
      </c>
    </row>
    <row r="76" spans="1:12" x14ac:dyDescent="0.3">
      <c r="A76">
        <v>173</v>
      </c>
      <c r="B76" t="s">
        <v>1996</v>
      </c>
      <c r="C76">
        <v>800079</v>
      </c>
      <c r="D76" t="s">
        <v>1000</v>
      </c>
      <c r="E76" t="s">
        <v>2044</v>
      </c>
      <c r="F76">
        <v>2003</v>
      </c>
      <c r="G76" t="s">
        <v>1094</v>
      </c>
      <c r="H76" t="s">
        <v>1998</v>
      </c>
      <c r="I76">
        <v>0</v>
      </c>
      <c r="J76">
        <v>433.33</v>
      </c>
      <c r="K76" t="s">
        <v>462</v>
      </c>
      <c r="L76" s="466">
        <v>46209.448611111111</v>
      </c>
    </row>
    <row r="77" spans="1:12" x14ac:dyDescent="0.3">
      <c r="A77">
        <v>173</v>
      </c>
      <c r="B77" t="s">
        <v>1996</v>
      </c>
      <c r="C77">
        <v>800068</v>
      </c>
      <c r="D77" t="s">
        <v>1083</v>
      </c>
      <c r="E77" t="s">
        <v>2045</v>
      </c>
      <c r="F77">
        <v>2003</v>
      </c>
      <c r="G77" t="s">
        <v>1094</v>
      </c>
      <c r="H77" t="s">
        <v>1998</v>
      </c>
      <c r="I77">
        <v>0</v>
      </c>
      <c r="J77">
        <v>800</v>
      </c>
      <c r="K77" t="s">
        <v>462</v>
      </c>
      <c r="L77" s="466">
        <v>46209.447916666657</v>
      </c>
    </row>
    <row r="78" spans="1:12" x14ac:dyDescent="0.3">
      <c r="A78">
        <v>173</v>
      </c>
      <c r="B78" t="s">
        <v>1996</v>
      </c>
      <c r="C78">
        <v>800030</v>
      </c>
      <c r="D78" t="s">
        <v>1028</v>
      </c>
      <c r="E78" t="s">
        <v>2046</v>
      </c>
      <c r="F78">
        <v>2003</v>
      </c>
      <c r="G78" t="s">
        <v>1094</v>
      </c>
      <c r="H78" t="s">
        <v>1998</v>
      </c>
      <c r="I78">
        <v>0</v>
      </c>
      <c r="J78">
        <v>1000</v>
      </c>
      <c r="K78" t="s">
        <v>461</v>
      </c>
      <c r="L78" s="466">
        <v>46178.666666666657</v>
      </c>
    </row>
    <row r="79" spans="1:12" x14ac:dyDescent="0.3">
      <c r="A79">
        <v>173</v>
      </c>
      <c r="B79" t="s">
        <v>1996</v>
      </c>
      <c r="C79">
        <v>800030</v>
      </c>
      <c r="D79" t="s">
        <v>1028</v>
      </c>
      <c r="E79" t="s">
        <v>2046</v>
      </c>
      <c r="F79">
        <v>2003</v>
      </c>
      <c r="G79" t="s">
        <v>1094</v>
      </c>
      <c r="H79" t="s">
        <v>1998</v>
      </c>
      <c r="I79">
        <v>0</v>
      </c>
      <c r="J79">
        <v>1400</v>
      </c>
      <c r="K79" t="s">
        <v>462</v>
      </c>
      <c r="L79" s="466">
        <v>46209.446527777778</v>
      </c>
    </row>
    <row r="80" spans="1:12" x14ac:dyDescent="0.3">
      <c r="A80">
        <v>173</v>
      </c>
      <c r="B80" t="s">
        <v>1996</v>
      </c>
      <c r="C80">
        <v>800056</v>
      </c>
      <c r="D80" t="s">
        <v>976</v>
      </c>
      <c r="E80" t="s">
        <v>2047</v>
      </c>
      <c r="F80">
        <v>2003</v>
      </c>
      <c r="G80" t="s">
        <v>1094</v>
      </c>
      <c r="H80" t="s">
        <v>1998</v>
      </c>
      <c r="I80">
        <v>0</v>
      </c>
      <c r="J80">
        <v>933.33</v>
      </c>
      <c r="K80" t="s">
        <v>462</v>
      </c>
      <c r="L80" s="466">
        <v>46209.447222222218</v>
      </c>
    </row>
    <row r="81" spans="1:12" x14ac:dyDescent="0.3">
      <c r="A81">
        <v>173</v>
      </c>
      <c r="B81" t="s">
        <v>1996</v>
      </c>
      <c r="C81">
        <v>800056</v>
      </c>
      <c r="D81" t="s">
        <v>976</v>
      </c>
      <c r="E81" t="s">
        <v>2047</v>
      </c>
      <c r="F81">
        <v>2003</v>
      </c>
      <c r="G81" t="s">
        <v>1094</v>
      </c>
      <c r="H81" t="s">
        <v>1998</v>
      </c>
      <c r="I81">
        <v>0</v>
      </c>
      <c r="J81">
        <v>400</v>
      </c>
      <c r="K81" t="s">
        <v>461</v>
      </c>
      <c r="L81" s="466">
        <v>46178.667361111111</v>
      </c>
    </row>
    <row r="82" spans="1:12" x14ac:dyDescent="0.3">
      <c r="A82">
        <v>173</v>
      </c>
      <c r="B82" t="s">
        <v>1996</v>
      </c>
      <c r="C82">
        <v>800029</v>
      </c>
      <c r="D82" t="s">
        <v>1091</v>
      </c>
      <c r="E82" t="s">
        <v>2048</v>
      </c>
      <c r="F82">
        <v>2003</v>
      </c>
      <c r="G82" t="s">
        <v>1094</v>
      </c>
      <c r="H82" t="s">
        <v>1998</v>
      </c>
      <c r="I82">
        <v>0</v>
      </c>
      <c r="J82">
        <v>1500</v>
      </c>
      <c r="K82" t="s">
        <v>462</v>
      </c>
      <c r="L82" s="466">
        <v>46209.446527777778</v>
      </c>
    </row>
    <row r="83" spans="1:12" x14ac:dyDescent="0.3">
      <c r="A83">
        <v>173</v>
      </c>
      <c r="B83" t="s">
        <v>1996</v>
      </c>
      <c r="C83">
        <v>800029</v>
      </c>
      <c r="D83" t="s">
        <v>1091</v>
      </c>
      <c r="E83" t="s">
        <v>2048</v>
      </c>
      <c r="F83">
        <v>2003</v>
      </c>
      <c r="G83" t="s">
        <v>1094</v>
      </c>
      <c r="H83" t="s">
        <v>1998</v>
      </c>
      <c r="I83">
        <v>0</v>
      </c>
      <c r="J83">
        <v>1050</v>
      </c>
      <c r="K83" t="s">
        <v>461</v>
      </c>
      <c r="L83" s="466">
        <v>46178.666666666657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t="s">
        <v>2049</v>
      </c>
      <c r="B1" t="s">
        <v>548</v>
      </c>
      <c r="C1" t="s">
        <v>714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  <c r="I1" t="s">
        <v>2055</v>
      </c>
      <c r="J1" t="s">
        <v>2056</v>
      </c>
      <c r="K1" t="s">
        <v>2057</v>
      </c>
      <c r="L1" t="s">
        <v>551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/>
  </sheetViews>
  <sheetFormatPr defaultRowHeight="14.4" x14ac:dyDescent="0.3"/>
  <sheetData>
    <row r="1" spans="1:10" x14ac:dyDescent="0.3">
      <c r="A1" t="s">
        <v>547</v>
      </c>
      <c r="B1" t="s">
        <v>548</v>
      </c>
      <c r="C1" t="s">
        <v>2058</v>
      </c>
      <c r="D1" t="s">
        <v>2059</v>
      </c>
      <c r="E1" t="s">
        <v>2060</v>
      </c>
      <c r="F1" t="s">
        <v>2061</v>
      </c>
      <c r="G1" t="s">
        <v>2062</v>
      </c>
      <c r="H1" t="s">
        <v>2063</v>
      </c>
      <c r="I1" t="s">
        <v>714</v>
      </c>
      <c r="J1" t="s">
        <v>551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"/>
  <sheetViews>
    <sheetView workbookViewId="0"/>
  </sheetViews>
  <sheetFormatPr defaultRowHeight="14.4" x14ac:dyDescent="0.3"/>
  <sheetData>
    <row r="1" spans="1:19" x14ac:dyDescent="0.3">
      <c r="A1" t="s">
        <v>2064</v>
      </c>
      <c r="B1" t="s">
        <v>2065</v>
      </c>
      <c r="C1" t="s">
        <v>2066</v>
      </c>
      <c r="D1" t="s">
        <v>719</v>
      </c>
      <c r="E1" t="s">
        <v>720</v>
      </c>
      <c r="F1" t="s">
        <v>2067</v>
      </c>
      <c r="G1" t="s">
        <v>2068</v>
      </c>
      <c r="H1" t="s">
        <v>726</v>
      </c>
      <c r="I1" t="s">
        <v>2069</v>
      </c>
      <c r="J1" t="s">
        <v>2070</v>
      </c>
      <c r="K1" t="s">
        <v>2071</v>
      </c>
      <c r="L1" t="s">
        <v>721</v>
      </c>
      <c r="M1" t="s">
        <v>722</v>
      </c>
      <c r="N1" t="s">
        <v>727</v>
      </c>
      <c r="O1" t="s">
        <v>732</v>
      </c>
      <c r="P1" t="s">
        <v>2072</v>
      </c>
      <c r="Q1" t="s">
        <v>2073</v>
      </c>
      <c r="R1" t="s">
        <v>2074</v>
      </c>
      <c r="S1" t="s">
        <v>2075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"/>
  <sheetViews>
    <sheetView workbookViewId="0"/>
  </sheetViews>
  <sheetFormatPr defaultRowHeight="14.4" x14ac:dyDescent="0.3"/>
  <sheetData>
    <row r="1" spans="1:9" x14ac:dyDescent="0.3">
      <c r="A1" t="s">
        <v>2076</v>
      </c>
      <c r="B1" t="s">
        <v>711</v>
      </c>
      <c r="C1" t="s">
        <v>2077</v>
      </c>
      <c r="D1" t="s">
        <v>712</v>
      </c>
      <c r="E1" t="s">
        <v>2078</v>
      </c>
      <c r="F1" t="s">
        <v>2079</v>
      </c>
      <c r="G1" t="s">
        <v>2080</v>
      </c>
      <c r="H1" t="s">
        <v>2081</v>
      </c>
      <c r="I1" t="s">
        <v>551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55"/>
  <sheetViews>
    <sheetView workbookViewId="0"/>
  </sheetViews>
  <sheetFormatPr defaultRowHeight="14.4" x14ac:dyDescent="0.3"/>
  <sheetData>
    <row r="1" spans="1:15" x14ac:dyDescent="0.3">
      <c r="A1" t="s">
        <v>718</v>
      </c>
      <c r="B1" t="s">
        <v>711</v>
      </c>
      <c r="C1" t="s">
        <v>712</v>
      </c>
      <c r="D1" t="s">
        <v>719</v>
      </c>
      <c r="E1" t="s">
        <v>720</v>
      </c>
      <c r="F1" t="s">
        <v>721</v>
      </c>
      <c r="G1" t="s">
        <v>2082</v>
      </c>
      <c r="H1" t="s">
        <v>2083</v>
      </c>
      <c r="I1" t="s">
        <v>2084</v>
      </c>
      <c r="J1" t="s">
        <v>2080</v>
      </c>
      <c r="K1" t="s">
        <v>2081</v>
      </c>
      <c r="L1" t="s">
        <v>2085</v>
      </c>
      <c r="M1" t="s">
        <v>2086</v>
      </c>
      <c r="N1" t="s">
        <v>725</v>
      </c>
      <c r="O1" t="s">
        <v>551</v>
      </c>
    </row>
    <row r="2" spans="1:15" x14ac:dyDescent="0.3">
      <c r="A2">
        <v>249734</v>
      </c>
      <c r="B2">
        <v>173</v>
      </c>
      <c r="C2" t="s">
        <v>734</v>
      </c>
      <c r="D2" t="s">
        <v>1713</v>
      </c>
      <c r="E2" t="s">
        <v>1714</v>
      </c>
      <c r="F2" s="465">
        <v>46205</v>
      </c>
      <c r="G2">
        <v>28573</v>
      </c>
      <c r="H2" t="s">
        <v>2087</v>
      </c>
      <c r="I2" t="s">
        <v>2088</v>
      </c>
      <c r="J2">
        <v>50</v>
      </c>
      <c r="K2" t="s">
        <v>2089</v>
      </c>
      <c r="L2">
        <v>1520</v>
      </c>
      <c r="M2">
        <v>30.4</v>
      </c>
      <c r="N2" t="s">
        <v>2090</v>
      </c>
      <c r="O2" t="s">
        <v>463</v>
      </c>
    </row>
    <row r="3" spans="1:15" x14ac:dyDescent="0.3">
      <c r="A3">
        <v>249732</v>
      </c>
      <c r="B3">
        <v>173</v>
      </c>
      <c r="C3" t="s">
        <v>734</v>
      </c>
      <c r="D3" t="s">
        <v>1715</v>
      </c>
      <c r="E3" t="s">
        <v>1716</v>
      </c>
      <c r="F3" s="465">
        <v>46204</v>
      </c>
      <c r="G3">
        <v>18493</v>
      </c>
      <c r="H3" t="s">
        <v>2091</v>
      </c>
      <c r="I3" t="s">
        <v>2088</v>
      </c>
      <c r="J3">
        <v>12</v>
      </c>
      <c r="K3" t="s">
        <v>2092</v>
      </c>
      <c r="L3">
        <v>838.8</v>
      </c>
      <c r="M3">
        <v>69.900000000000006</v>
      </c>
      <c r="N3" t="s">
        <v>2090</v>
      </c>
      <c r="O3" t="s">
        <v>463</v>
      </c>
    </row>
    <row r="4" spans="1:15" x14ac:dyDescent="0.3">
      <c r="A4">
        <v>249732</v>
      </c>
      <c r="B4">
        <v>173</v>
      </c>
      <c r="C4" t="s">
        <v>734</v>
      </c>
      <c r="D4" t="s">
        <v>1715</v>
      </c>
      <c r="E4" t="s">
        <v>1716</v>
      </c>
      <c r="F4" s="465">
        <v>46204</v>
      </c>
      <c r="G4">
        <v>18491</v>
      </c>
      <c r="H4" t="s">
        <v>2093</v>
      </c>
      <c r="I4" t="s">
        <v>2088</v>
      </c>
      <c r="J4">
        <v>12</v>
      </c>
      <c r="K4" t="s">
        <v>2092</v>
      </c>
      <c r="L4">
        <v>406.8</v>
      </c>
      <c r="M4">
        <v>33.9</v>
      </c>
      <c r="N4" t="s">
        <v>2090</v>
      </c>
      <c r="O4" t="s">
        <v>463</v>
      </c>
    </row>
    <row r="5" spans="1:15" x14ac:dyDescent="0.3">
      <c r="A5">
        <v>249732</v>
      </c>
      <c r="B5">
        <v>173</v>
      </c>
      <c r="C5" t="s">
        <v>734</v>
      </c>
      <c r="D5" t="s">
        <v>1715</v>
      </c>
      <c r="E5" t="s">
        <v>1716</v>
      </c>
      <c r="F5" s="465">
        <v>46204</v>
      </c>
      <c r="G5">
        <v>18475</v>
      </c>
      <c r="H5" t="s">
        <v>2094</v>
      </c>
      <c r="I5" t="s">
        <v>2088</v>
      </c>
      <c r="J5">
        <v>96</v>
      </c>
      <c r="K5" t="s">
        <v>2092</v>
      </c>
      <c r="L5">
        <v>3158.4</v>
      </c>
      <c r="M5">
        <v>32.9</v>
      </c>
      <c r="N5" t="s">
        <v>2090</v>
      </c>
      <c r="O5" t="s">
        <v>463</v>
      </c>
    </row>
    <row r="6" spans="1:15" x14ac:dyDescent="0.3">
      <c r="A6">
        <v>249732</v>
      </c>
      <c r="B6">
        <v>173</v>
      </c>
      <c r="C6" t="s">
        <v>734</v>
      </c>
      <c r="D6" t="s">
        <v>1715</v>
      </c>
      <c r="E6" t="s">
        <v>1716</v>
      </c>
      <c r="F6" s="465">
        <v>46204</v>
      </c>
      <c r="G6">
        <v>18477</v>
      </c>
      <c r="H6" t="s">
        <v>2095</v>
      </c>
      <c r="I6" t="s">
        <v>2088</v>
      </c>
      <c r="J6">
        <v>24</v>
      </c>
      <c r="K6" t="s">
        <v>2092</v>
      </c>
      <c r="L6">
        <v>957.6</v>
      </c>
      <c r="M6">
        <v>39.9</v>
      </c>
      <c r="N6" t="s">
        <v>2090</v>
      </c>
      <c r="O6" t="s">
        <v>463</v>
      </c>
    </row>
    <row r="7" spans="1:15" x14ac:dyDescent="0.3">
      <c r="A7">
        <v>249730</v>
      </c>
      <c r="B7">
        <v>173</v>
      </c>
      <c r="C7" t="s">
        <v>734</v>
      </c>
      <c r="D7" t="s">
        <v>1717</v>
      </c>
      <c r="E7" t="s">
        <v>1718</v>
      </c>
      <c r="F7" s="465">
        <v>46204</v>
      </c>
      <c r="G7">
        <v>17958</v>
      </c>
      <c r="H7" t="s">
        <v>2096</v>
      </c>
      <c r="I7" t="s">
        <v>2088</v>
      </c>
      <c r="J7">
        <v>50</v>
      </c>
      <c r="K7" t="s">
        <v>2089</v>
      </c>
      <c r="L7">
        <v>690</v>
      </c>
      <c r="M7">
        <v>13.8</v>
      </c>
      <c r="N7" t="s">
        <v>2097</v>
      </c>
      <c r="O7" t="s">
        <v>463</v>
      </c>
    </row>
    <row r="8" spans="1:15" x14ac:dyDescent="0.3">
      <c r="A8">
        <v>249730</v>
      </c>
      <c r="B8">
        <v>173</v>
      </c>
      <c r="C8" t="s">
        <v>734</v>
      </c>
      <c r="D8" t="s">
        <v>1717</v>
      </c>
      <c r="E8" t="s">
        <v>1718</v>
      </c>
      <c r="F8" s="465">
        <v>46204</v>
      </c>
      <c r="G8">
        <v>17950</v>
      </c>
      <c r="H8" t="s">
        <v>2098</v>
      </c>
      <c r="I8" t="s">
        <v>2088</v>
      </c>
      <c r="J8">
        <v>50</v>
      </c>
      <c r="K8" t="s">
        <v>2089</v>
      </c>
      <c r="L8">
        <v>726</v>
      </c>
      <c r="M8">
        <v>14.52</v>
      </c>
      <c r="N8" t="s">
        <v>2097</v>
      </c>
      <c r="O8" t="s">
        <v>463</v>
      </c>
    </row>
    <row r="9" spans="1:15" x14ac:dyDescent="0.3">
      <c r="A9">
        <v>249729</v>
      </c>
      <c r="B9">
        <v>173</v>
      </c>
      <c r="C9" t="s">
        <v>734</v>
      </c>
      <c r="D9" t="s">
        <v>1719</v>
      </c>
      <c r="E9" t="s">
        <v>1720</v>
      </c>
      <c r="F9" s="465">
        <v>46206</v>
      </c>
      <c r="G9">
        <v>19892</v>
      </c>
      <c r="H9" t="s">
        <v>2099</v>
      </c>
      <c r="I9" t="s">
        <v>2100</v>
      </c>
      <c r="J9">
        <v>5</v>
      </c>
      <c r="K9" t="s">
        <v>2101</v>
      </c>
      <c r="L9">
        <v>690</v>
      </c>
      <c r="M9">
        <v>138</v>
      </c>
      <c r="O9" t="s">
        <v>463</v>
      </c>
    </row>
    <row r="10" spans="1:15" x14ac:dyDescent="0.3">
      <c r="A10">
        <v>249726</v>
      </c>
      <c r="B10">
        <v>173</v>
      </c>
      <c r="C10" t="s">
        <v>734</v>
      </c>
      <c r="D10" t="s">
        <v>1721</v>
      </c>
      <c r="E10" t="s">
        <v>1722</v>
      </c>
      <c r="F10" s="465">
        <v>46213</v>
      </c>
      <c r="G10">
        <v>24403</v>
      </c>
      <c r="H10" t="s">
        <v>2102</v>
      </c>
      <c r="I10" t="s">
        <v>2100</v>
      </c>
      <c r="J10">
        <v>30</v>
      </c>
      <c r="K10" t="s">
        <v>2101</v>
      </c>
      <c r="L10">
        <v>360</v>
      </c>
      <c r="M10">
        <v>12</v>
      </c>
      <c r="O10" t="s">
        <v>463</v>
      </c>
    </row>
    <row r="11" spans="1:15" x14ac:dyDescent="0.3">
      <c r="A11">
        <v>249726</v>
      </c>
      <c r="B11">
        <v>173</v>
      </c>
      <c r="C11" t="s">
        <v>734</v>
      </c>
      <c r="D11" t="s">
        <v>1721</v>
      </c>
      <c r="E11" t="s">
        <v>1722</v>
      </c>
      <c r="F11" s="465">
        <v>46213</v>
      </c>
      <c r="G11">
        <v>18666</v>
      </c>
      <c r="H11" t="s">
        <v>2103</v>
      </c>
      <c r="I11" t="s">
        <v>2100</v>
      </c>
      <c r="J11">
        <v>30</v>
      </c>
      <c r="K11" t="s">
        <v>2101</v>
      </c>
      <c r="L11">
        <v>719.7</v>
      </c>
      <c r="M11">
        <v>23.99</v>
      </c>
      <c r="O11" t="s">
        <v>463</v>
      </c>
    </row>
    <row r="12" spans="1:15" x14ac:dyDescent="0.3">
      <c r="A12">
        <v>249725</v>
      </c>
      <c r="B12">
        <v>173</v>
      </c>
      <c r="C12" t="s">
        <v>734</v>
      </c>
      <c r="D12" t="s">
        <v>1723</v>
      </c>
      <c r="E12" t="s">
        <v>1724</v>
      </c>
      <c r="F12" s="465">
        <v>46211</v>
      </c>
      <c r="G12">
        <v>17384</v>
      </c>
      <c r="H12" t="s">
        <v>2104</v>
      </c>
      <c r="I12" t="s">
        <v>2105</v>
      </c>
      <c r="J12">
        <v>1</v>
      </c>
      <c r="K12" t="s">
        <v>2089</v>
      </c>
      <c r="L12">
        <v>162.9</v>
      </c>
      <c r="M12">
        <v>162.9</v>
      </c>
      <c r="O12" t="s">
        <v>463</v>
      </c>
    </row>
    <row r="13" spans="1:15" x14ac:dyDescent="0.3">
      <c r="A13">
        <v>249723</v>
      </c>
      <c r="B13">
        <v>173</v>
      </c>
      <c r="C13" t="s">
        <v>734</v>
      </c>
      <c r="D13" t="s">
        <v>1723</v>
      </c>
      <c r="E13" t="s">
        <v>1725</v>
      </c>
      <c r="F13" s="465">
        <v>46211</v>
      </c>
      <c r="G13">
        <v>21433</v>
      </c>
      <c r="H13" t="s">
        <v>2106</v>
      </c>
      <c r="I13" t="s">
        <v>2105</v>
      </c>
      <c r="J13">
        <v>10</v>
      </c>
      <c r="K13" t="s">
        <v>2089</v>
      </c>
      <c r="L13">
        <v>1629</v>
      </c>
      <c r="M13">
        <v>162.9</v>
      </c>
      <c r="O13" t="s">
        <v>463</v>
      </c>
    </row>
    <row r="14" spans="1:15" x14ac:dyDescent="0.3">
      <c r="A14">
        <v>249720</v>
      </c>
      <c r="B14">
        <v>173</v>
      </c>
      <c r="C14" t="s">
        <v>734</v>
      </c>
      <c r="D14" t="s">
        <v>1726</v>
      </c>
      <c r="E14" t="s">
        <v>1727</v>
      </c>
      <c r="F14" s="465">
        <v>46210</v>
      </c>
      <c r="G14">
        <v>28626</v>
      </c>
      <c r="H14" t="s">
        <v>2107</v>
      </c>
      <c r="I14" t="s">
        <v>2100</v>
      </c>
      <c r="J14">
        <v>2</v>
      </c>
      <c r="K14" t="s">
        <v>2108</v>
      </c>
      <c r="L14">
        <v>132.4</v>
      </c>
      <c r="M14">
        <v>66.2</v>
      </c>
      <c r="O14" t="s">
        <v>463</v>
      </c>
    </row>
    <row r="15" spans="1:15" x14ac:dyDescent="0.3">
      <c r="A15">
        <v>249718</v>
      </c>
      <c r="B15">
        <v>173</v>
      </c>
      <c r="C15" t="s">
        <v>734</v>
      </c>
      <c r="D15" t="s">
        <v>1728</v>
      </c>
      <c r="E15" t="s">
        <v>1729</v>
      </c>
      <c r="F15" s="465">
        <v>46204</v>
      </c>
      <c r="G15">
        <v>30002</v>
      </c>
      <c r="H15" t="s">
        <v>2109</v>
      </c>
      <c r="I15" t="s">
        <v>2110</v>
      </c>
      <c r="J15">
        <v>2</v>
      </c>
      <c r="K15" t="s">
        <v>2111</v>
      </c>
      <c r="L15">
        <v>159.80000000000001</v>
      </c>
      <c r="M15">
        <v>79.900000000000006</v>
      </c>
      <c r="O15" t="s">
        <v>463</v>
      </c>
    </row>
    <row r="16" spans="1:15" x14ac:dyDescent="0.3">
      <c r="A16">
        <v>249715</v>
      </c>
      <c r="B16">
        <v>173</v>
      </c>
      <c r="C16" t="s">
        <v>734</v>
      </c>
      <c r="D16" t="s">
        <v>912</v>
      </c>
      <c r="E16" t="s">
        <v>1730</v>
      </c>
      <c r="F16" s="465">
        <v>46211</v>
      </c>
      <c r="G16">
        <v>19574</v>
      </c>
      <c r="H16" t="s">
        <v>2112</v>
      </c>
      <c r="I16" t="s">
        <v>2100</v>
      </c>
      <c r="J16">
        <v>1.6</v>
      </c>
      <c r="K16" t="s">
        <v>2101</v>
      </c>
      <c r="L16">
        <v>70.66</v>
      </c>
      <c r="M16">
        <v>44.162500000000001</v>
      </c>
      <c r="O16" t="s">
        <v>463</v>
      </c>
    </row>
    <row r="17" spans="1:15" x14ac:dyDescent="0.3">
      <c r="A17">
        <v>249715</v>
      </c>
      <c r="B17">
        <v>173</v>
      </c>
      <c r="C17" t="s">
        <v>734</v>
      </c>
      <c r="D17" t="s">
        <v>912</v>
      </c>
      <c r="E17" t="s">
        <v>1730</v>
      </c>
      <c r="F17" s="465">
        <v>46211</v>
      </c>
      <c r="G17">
        <v>19565</v>
      </c>
      <c r="H17" t="s">
        <v>2113</v>
      </c>
      <c r="I17" t="s">
        <v>2100</v>
      </c>
      <c r="J17">
        <v>2</v>
      </c>
      <c r="K17" t="s">
        <v>2101</v>
      </c>
      <c r="L17">
        <v>96.6</v>
      </c>
      <c r="M17">
        <v>48.3</v>
      </c>
      <c r="O17" t="s">
        <v>463</v>
      </c>
    </row>
    <row r="18" spans="1:15" x14ac:dyDescent="0.3">
      <c r="A18">
        <v>249715</v>
      </c>
      <c r="B18">
        <v>173</v>
      </c>
      <c r="C18" t="s">
        <v>734</v>
      </c>
      <c r="D18" t="s">
        <v>912</v>
      </c>
      <c r="E18" t="s">
        <v>1730</v>
      </c>
      <c r="F18" s="465">
        <v>46211</v>
      </c>
      <c r="G18">
        <v>19634</v>
      </c>
      <c r="H18" t="s">
        <v>2114</v>
      </c>
      <c r="I18" t="s">
        <v>2100</v>
      </c>
      <c r="J18">
        <v>5</v>
      </c>
      <c r="K18" t="s">
        <v>2101</v>
      </c>
      <c r="L18">
        <v>32.1</v>
      </c>
      <c r="M18">
        <v>6.42</v>
      </c>
      <c r="O18" t="s">
        <v>463</v>
      </c>
    </row>
    <row r="19" spans="1:15" x14ac:dyDescent="0.3">
      <c r="A19">
        <v>249714</v>
      </c>
      <c r="B19">
        <v>173</v>
      </c>
      <c r="C19" t="s">
        <v>734</v>
      </c>
      <c r="D19" t="s">
        <v>1731</v>
      </c>
      <c r="E19" t="s">
        <v>1732</v>
      </c>
      <c r="F19" s="465">
        <v>46210</v>
      </c>
      <c r="G19">
        <v>25777</v>
      </c>
      <c r="H19" t="s">
        <v>2115</v>
      </c>
      <c r="I19" t="s">
        <v>2100</v>
      </c>
      <c r="J19">
        <v>80.099999999999994</v>
      </c>
      <c r="K19" t="s">
        <v>2101</v>
      </c>
      <c r="L19">
        <v>7200.99</v>
      </c>
      <c r="M19">
        <v>89.9</v>
      </c>
      <c r="O19" t="s">
        <v>463</v>
      </c>
    </row>
    <row r="20" spans="1:15" x14ac:dyDescent="0.3">
      <c r="A20">
        <v>249711</v>
      </c>
      <c r="B20">
        <v>173</v>
      </c>
      <c r="C20" t="s">
        <v>734</v>
      </c>
      <c r="D20" t="s">
        <v>1733</v>
      </c>
      <c r="E20" t="s">
        <v>882</v>
      </c>
      <c r="F20" s="465">
        <v>46211</v>
      </c>
      <c r="G20">
        <v>22813</v>
      </c>
      <c r="H20" t="s">
        <v>2116</v>
      </c>
      <c r="I20" t="s">
        <v>2100</v>
      </c>
      <c r="J20">
        <v>51.2</v>
      </c>
      <c r="K20" t="s">
        <v>2101</v>
      </c>
      <c r="L20">
        <v>2037.76</v>
      </c>
      <c r="M20">
        <v>39.799999999999997</v>
      </c>
      <c r="O20" t="s">
        <v>463</v>
      </c>
    </row>
    <row r="21" spans="1:15" x14ac:dyDescent="0.3">
      <c r="A21">
        <v>249709</v>
      </c>
      <c r="B21">
        <v>173</v>
      </c>
      <c r="C21" t="s">
        <v>734</v>
      </c>
      <c r="D21" t="s">
        <v>1734</v>
      </c>
      <c r="E21" t="s">
        <v>1735</v>
      </c>
      <c r="F21" s="465">
        <v>46211</v>
      </c>
      <c r="G21">
        <v>28663</v>
      </c>
      <c r="H21" t="s">
        <v>2117</v>
      </c>
      <c r="I21" t="s">
        <v>2105</v>
      </c>
      <c r="J21">
        <v>10</v>
      </c>
      <c r="K21" t="s">
        <v>2118</v>
      </c>
      <c r="L21">
        <v>1980</v>
      </c>
      <c r="M21">
        <v>198</v>
      </c>
      <c r="O21" t="s">
        <v>463</v>
      </c>
    </row>
    <row r="22" spans="1:15" x14ac:dyDescent="0.3">
      <c r="A22">
        <v>249707</v>
      </c>
      <c r="B22">
        <v>173</v>
      </c>
      <c r="C22" t="s">
        <v>734</v>
      </c>
      <c r="D22" t="s">
        <v>1723</v>
      </c>
      <c r="E22" t="s">
        <v>1736</v>
      </c>
      <c r="F22" s="465">
        <v>46218</v>
      </c>
      <c r="G22">
        <v>24586</v>
      </c>
      <c r="H22" t="s">
        <v>2119</v>
      </c>
      <c r="I22" t="s">
        <v>2105</v>
      </c>
      <c r="J22">
        <v>4</v>
      </c>
      <c r="K22" t="s">
        <v>2089</v>
      </c>
      <c r="L22">
        <v>651.6</v>
      </c>
      <c r="M22">
        <v>162.9</v>
      </c>
      <c r="O22" t="s">
        <v>463</v>
      </c>
    </row>
    <row r="23" spans="1:15" x14ac:dyDescent="0.3">
      <c r="A23">
        <v>249707</v>
      </c>
      <c r="B23">
        <v>173</v>
      </c>
      <c r="C23" t="s">
        <v>734</v>
      </c>
      <c r="D23" t="s">
        <v>1723</v>
      </c>
      <c r="E23" t="s">
        <v>1736</v>
      </c>
      <c r="F23" s="465">
        <v>46218</v>
      </c>
      <c r="G23">
        <v>17384</v>
      </c>
      <c r="H23" t="s">
        <v>2104</v>
      </c>
      <c r="I23" t="s">
        <v>2105</v>
      </c>
      <c r="J23">
        <v>3</v>
      </c>
      <c r="K23" t="s">
        <v>2089</v>
      </c>
      <c r="L23">
        <v>488.7</v>
      </c>
      <c r="M23">
        <v>162.9</v>
      </c>
      <c r="O23" t="s">
        <v>463</v>
      </c>
    </row>
    <row r="24" spans="1:15" x14ac:dyDescent="0.3">
      <c r="A24">
        <v>249706</v>
      </c>
      <c r="B24">
        <v>173</v>
      </c>
      <c r="C24" t="s">
        <v>734</v>
      </c>
      <c r="D24" t="s">
        <v>1737</v>
      </c>
      <c r="E24" t="s">
        <v>1738</v>
      </c>
      <c r="F24" s="465">
        <v>46218</v>
      </c>
      <c r="G24">
        <v>24040</v>
      </c>
      <c r="H24" t="s">
        <v>2120</v>
      </c>
      <c r="I24" t="s">
        <v>2100</v>
      </c>
      <c r="J24">
        <v>7</v>
      </c>
      <c r="K24" t="s">
        <v>2101</v>
      </c>
      <c r="L24">
        <v>539.28</v>
      </c>
      <c r="M24">
        <v>77.040000000000006</v>
      </c>
      <c r="O24" t="s">
        <v>463</v>
      </c>
    </row>
    <row r="25" spans="1:15" x14ac:dyDescent="0.3">
      <c r="A25">
        <v>249703</v>
      </c>
      <c r="B25">
        <v>173</v>
      </c>
      <c r="C25" t="s">
        <v>734</v>
      </c>
      <c r="D25" t="s">
        <v>1733</v>
      </c>
      <c r="E25" t="s">
        <v>1739</v>
      </c>
      <c r="F25" s="465">
        <v>46217</v>
      </c>
      <c r="G25">
        <v>18972</v>
      </c>
      <c r="H25" t="s">
        <v>2121</v>
      </c>
      <c r="I25" t="s">
        <v>2100</v>
      </c>
      <c r="J25">
        <v>30</v>
      </c>
      <c r="K25" t="s">
        <v>2101</v>
      </c>
      <c r="L25">
        <v>222</v>
      </c>
      <c r="M25">
        <v>7.4</v>
      </c>
      <c r="O25" t="s">
        <v>463</v>
      </c>
    </row>
    <row r="26" spans="1:15" x14ac:dyDescent="0.3">
      <c r="A26">
        <v>249692</v>
      </c>
      <c r="B26">
        <v>173</v>
      </c>
      <c r="C26" t="s">
        <v>734</v>
      </c>
      <c r="D26" t="s">
        <v>1334</v>
      </c>
      <c r="E26" t="s">
        <v>1740</v>
      </c>
      <c r="F26" s="465">
        <v>46204</v>
      </c>
      <c r="G26">
        <v>29255</v>
      </c>
      <c r="H26" t="s">
        <v>2122</v>
      </c>
      <c r="I26" t="s">
        <v>2110</v>
      </c>
      <c r="J26">
        <v>16</v>
      </c>
      <c r="K26" t="s">
        <v>2111</v>
      </c>
      <c r="L26">
        <v>689.44</v>
      </c>
      <c r="M26">
        <v>43.09</v>
      </c>
      <c r="N26" t="s">
        <v>2123</v>
      </c>
      <c r="O26" t="s">
        <v>463</v>
      </c>
    </row>
    <row r="27" spans="1:15" x14ac:dyDescent="0.3">
      <c r="A27">
        <v>249690</v>
      </c>
      <c r="B27">
        <v>173</v>
      </c>
      <c r="C27" t="s">
        <v>734</v>
      </c>
      <c r="D27" t="s">
        <v>1171</v>
      </c>
      <c r="E27" t="s">
        <v>1741</v>
      </c>
      <c r="F27" s="465">
        <v>46204</v>
      </c>
      <c r="G27">
        <v>27226</v>
      </c>
      <c r="H27" t="s">
        <v>2124</v>
      </c>
      <c r="I27" t="s">
        <v>2110</v>
      </c>
      <c r="J27">
        <v>5</v>
      </c>
      <c r="K27" t="s">
        <v>2111</v>
      </c>
      <c r="L27">
        <v>1000</v>
      </c>
      <c r="M27">
        <v>200</v>
      </c>
      <c r="N27" t="s">
        <v>2125</v>
      </c>
      <c r="O27" t="s">
        <v>463</v>
      </c>
    </row>
    <row r="28" spans="1:15" x14ac:dyDescent="0.3">
      <c r="A28">
        <v>249687</v>
      </c>
      <c r="B28">
        <v>173</v>
      </c>
      <c r="C28" t="s">
        <v>734</v>
      </c>
      <c r="D28" t="s">
        <v>1717</v>
      </c>
      <c r="E28" t="s">
        <v>1742</v>
      </c>
      <c r="F28" s="465">
        <v>46204</v>
      </c>
      <c r="G28">
        <v>17958</v>
      </c>
      <c r="H28" t="s">
        <v>2096</v>
      </c>
      <c r="I28" t="s">
        <v>2088</v>
      </c>
      <c r="J28">
        <v>100</v>
      </c>
      <c r="K28" t="s">
        <v>2089</v>
      </c>
      <c r="L28">
        <v>1380</v>
      </c>
      <c r="M28">
        <v>13.8</v>
      </c>
      <c r="O28" t="s">
        <v>463</v>
      </c>
    </row>
    <row r="29" spans="1:15" x14ac:dyDescent="0.3">
      <c r="A29">
        <v>249687</v>
      </c>
      <c r="B29">
        <v>173</v>
      </c>
      <c r="C29" t="s">
        <v>734</v>
      </c>
      <c r="D29" t="s">
        <v>1717</v>
      </c>
      <c r="E29" t="s">
        <v>1742</v>
      </c>
      <c r="F29" s="465">
        <v>46204</v>
      </c>
      <c r="G29">
        <v>17950</v>
      </c>
      <c r="H29" t="s">
        <v>2098</v>
      </c>
      <c r="I29" t="s">
        <v>2088</v>
      </c>
      <c r="J29">
        <v>100</v>
      </c>
      <c r="K29" t="s">
        <v>2089</v>
      </c>
      <c r="L29">
        <v>1452</v>
      </c>
      <c r="M29">
        <v>14.52</v>
      </c>
      <c r="O29" t="s">
        <v>463</v>
      </c>
    </row>
    <row r="30" spans="1:15" x14ac:dyDescent="0.3">
      <c r="A30">
        <v>249687</v>
      </c>
      <c r="B30">
        <v>173</v>
      </c>
      <c r="C30" t="s">
        <v>734</v>
      </c>
      <c r="D30" t="s">
        <v>1717</v>
      </c>
      <c r="E30" t="s">
        <v>1742</v>
      </c>
      <c r="F30" s="465">
        <v>46204</v>
      </c>
      <c r="G30">
        <v>24543</v>
      </c>
      <c r="H30" t="s">
        <v>2126</v>
      </c>
      <c r="I30" t="s">
        <v>2088</v>
      </c>
      <c r="J30">
        <v>50</v>
      </c>
      <c r="K30" t="s">
        <v>2118</v>
      </c>
      <c r="L30">
        <v>1500</v>
      </c>
      <c r="M30">
        <v>30</v>
      </c>
      <c r="O30" t="s">
        <v>463</v>
      </c>
    </row>
    <row r="31" spans="1:15" x14ac:dyDescent="0.3">
      <c r="A31">
        <v>249681</v>
      </c>
      <c r="B31">
        <v>173</v>
      </c>
      <c r="C31" t="s">
        <v>734</v>
      </c>
      <c r="D31" t="s">
        <v>912</v>
      </c>
      <c r="E31" t="s">
        <v>1743</v>
      </c>
      <c r="F31" s="465">
        <v>46207</v>
      </c>
      <c r="G31">
        <v>19787</v>
      </c>
      <c r="H31" t="s">
        <v>2127</v>
      </c>
      <c r="I31" t="s">
        <v>2100</v>
      </c>
      <c r="J31">
        <v>15.5</v>
      </c>
      <c r="K31" t="s">
        <v>2101</v>
      </c>
      <c r="L31">
        <v>83.39</v>
      </c>
      <c r="M31">
        <v>5.38</v>
      </c>
      <c r="O31" t="s">
        <v>463</v>
      </c>
    </row>
    <row r="32" spans="1:15" x14ac:dyDescent="0.3">
      <c r="A32">
        <v>249681</v>
      </c>
      <c r="B32">
        <v>173</v>
      </c>
      <c r="C32" t="s">
        <v>734</v>
      </c>
      <c r="D32" t="s">
        <v>912</v>
      </c>
      <c r="E32" t="s">
        <v>1743</v>
      </c>
      <c r="F32" s="465">
        <v>46207</v>
      </c>
      <c r="G32">
        <v>23346</v>
      </c>
      <c r="H32" t="s">
        <v>2128</v>
      </c>
      <c r="I32" t="s">
        <v>2100</v>
      </c>
      <c r="J32">
        <v>10</v>
      </c>
      <c r="K32" t="s">
        <v>2101</v>
      </c>
      <c r="L32">
        <v>76.099999999999994</v>
      </c>
      <c r="M32">
        <v>7.61</v>
      </c>
      <c r="O32" t="s">
        <v>463</v>
      </c>
    </row>
    <row r="33" spans="1:15" x14ac:dyDescent="0.3">
      <c r="A33">
        <v>249681</v>
      </c>
      <c r="B33">
        <v>173</v>
      </c>
      <c r="C33" t="s">
        <v>734</v>
      </c>
      <c r="D33" t="s">
        <v>912</v>
      </c>
      <c r="E33" t="s">
        <v>1743</v>
      </c>
      <c r="F33" s="465">
        <v>46207</v>
      </c>
      <c r="G33">
        <v>19788</v>
      </c>
      <c r="H33" t="s">
        <v>2129</v>
      </c>
      <c r="I33" t="s">
        <v>2100</v>
      </c>
      <c r="J33">
        <v>5.2</v>
      </c>
      <c r="K33" t="s">
        <v>2101</v>
      </c>
      <c r="L33">
        <v>18.62</v>
      </c>
      <c r="M33">
        <v>3.5807690000000001</v>
      </c>
      <c r="O33" t="s">
        <v>463</v>
      </c>
    </row>
    <row r="34" spans="1:15" x14ac:dyDescent="0.3">
      <c r="A34">
        <v>249681</v>
      </c>
      <c r="B34">
        <v>173</v>
      </c>
      <c r="C34" t="s">
        <v>734</v>
      </c>
      <c r="D34" t="s">
        <v>912</v>
      </c>
      <c r="E34" t="s">
        <v>1743</v>
      </c>
      <c r="F34" s="465">
        <v>46207</v>
      </c>
      <c r="G34">
        <v>19642</v>
      </c>
      <c r="H34" t="s">
        <v>2130</v>
      </c>
      <c r="I34" t="s">
        <v>2100</v>
      </c>
      <c r="J34">
        <v>20</v>
      </c>
      <c r="K34" t="s">
        <v>2101</v>
      </c>
      <c r="L34">
        <v>106.8</v>
      </c>
      <c r="M34">
        <v>5.34</v>
      </c>
      <c r="O34" t="s">
        <v>463</v>
      </c>
    </row>
    <row r="35" spans="1:15" x14ac:dyDescent="0.3">
      <c r="A35">
        <v>249679</v>
      </c>
      <c r="B35">
        <v>173</v>
      </c>
      <c r="C35" t="s">
        <v>734</v>
      </c>
      <c r="D35" t="s">
        <v>1744</v>
      </c>
      <c r="E35" t="s">
        <v>1745</v>
      </c>
      <c r="F35" s="465">
        <v>46206</v>
      </c>
      <c r="G35">
        <v>18327</v>
      </c>
      <c r="H35" t="s">
        <v>2131</v>
      </c>
      <c r="I35" t="s">
        <v>2088</v>
      </c>
      <c r="J35">
        <v>1</v>
      </c>
      <c r="K35" t="s">
        <v>2092</v>
      </c>
      <c r="L35">
        <v>96</v>
      </c>
      <c r="M35">
        <v>96</v>
      </c>
      <c r="O35" t="s">
        <v>463</v>
      </c>
    </row>
    <row r="36" spans="1:15" x14ac:dyDescent="0.3">
      <c r="A36">
        <v>249679</v>
      </c>
      <c r="B36">
        <v>173</v>
      </c>
      <c r="C36" t="s">
        <v>734</v>
      </c>
      <c r="D36" t="s">
        <v>1744</v>
      </c>
      <c r="E36" t="s">
        <v>1745</v>
      </c>
      <c r="F36" s="465">
        <v>46206</v>
      </c>
      <c r="G36">
        <v>18040</v>
      </c>
      <c r="H36" t="s">
        <v>2132</v>
      </c>
      <c r="I36" t="s">
        <v>2088</v>
      </c>
      <c r="J36">
        <v>36</v>
      </c>
      <c r="K36" t="s">
        <v>2092</v>
      </c>
      <c r="L36">
        <v>2919.24</v>
      </c>
      <c r="M36">
        <v>81.09</v>
      </c>
      <c r="O36" t="s">
        <v>463</v>
      </c>
    </row>
    <row r="37" spans="1:15" x14ac:dyDescent="0.3">
      <c r="A37">
        <v>249679</v>
      </c>
      <c r="B37">
        <v>173</v>
      </c>
      <c r="C37" t="s">
        <v>734</v>
      </c>
      <c r="D37" t="s">
        <v>1744</v>
      </c>
      <c r="E37" t="s">
        <v>1745</v>
      </c>
      <c r="F37" s="465">
        <v>46206</v>
      </c>
      <c r="G37">
        <v>18042</v>
      </c>
      <c r="H37" t="s">
        <v>2133</v>
      </c>
      <c r="I37" t="s">
        <v>2088</v>
      </c>
      <c r="J37">
        <v>36</v>
      </c>
      <c r="K37" t="s">
        <v>2092</v>
      </c>
      <c r="L37">
        <v>2663.28</v>
      </c>
      <c r="M37">
        <v>73.98</v>
      </c>
      <c r="O37" t="s">
        <v>463</v>
      </c>
    </row>
    <row r="38" spans="1:15" x14ac:dyDescent="0.3">
      <c r="A38">
        <v>249679</v>
      </c>
      <c r="B38">
        <v>173</v>
      </c>
      <c r="C38" t="s">
        <v>734</v>
      </c>
      <c r="D38" t="s">
        <v>1744</v>
      </c>
      <c r="E38" t="s">
        <v>1745</v>
      </c>
      <c r="F38" s="465">
        <v>46206</v>
      </c>
      <c r="G38">
        <v>18049</v>
      </c>
      <c r="H38" t="s">
        <v>2134</v>
      </c>
      <c r="I38" t="s">
        <v>2088</v>
      </c>
      <c r="J38">
        <v>12</v>
      </c>
      <c r="K38" t="s">
        <v>2092</v>
      </c>
      <c r="L38">
        <v>3803.88</v>
      </c>
      <c r="M38">
        <v>316.99</v>
      </c>
      <c r="O38" t="s">
        <v>463</v>
      </c>
    </row>
    <row r="39" spans="1:15" x14ac:dyDescent="0.3">
      <c r="A39">
        <v>249679</v>
      </c>
      <c r="B39">
        <v>173</v>
      </c>
      <c r="C39" t="s">
        <v>734</v>
      </c>
      <c r="D39" t="s">
        <v>1744</v>
      </c>
      <c r="E39" t="s">
        <v>1745</v>
      </c>
      <c r="F39" s="465">
        <v>46206</v>
      </c>
      <c r="G39">
        <v>18050</v>
      </c>
      <c r="H39" t="s">
        <v>2135</v>
      </c>
      <c r="I39" t="s">
        <v>2088</v>
      </c>
      <c r="J39">
        <v>12</v>
      </c>
      <c r="K39" t="s">
        <v>2111</v>
      </c>
      <c r="L39">
        <v>4776</v>
      </c>
      <c r="M39">
        <v>398</v>
      </c>
      <c r="O39" t="s">
        <v>463</v>
      </c>
    </row>
    <row r="40" spans="1:15" x14ac:dyDescent="0.3">
      <c r="A40">
        <v>249679</v>
      </c>
      <c r="B40">
        <v>173</v>
      </c>
      <c r="C40" t="s">
        <v>734</v>
      </c>
      <c r="D40" t="s">
        <v>1744</v>
      </c>
      <c r="E40" t="s">
        <v>1745</v>
      </c>
      <c r="F40" s="465">
        <v>46206</v>
      </c>
      <c r="G40">
        <v>18268</v>
      </c>
      <c r="H40" t="s">
        <v>2136</v>
      </c>
      <c r="I40" t="s">
        <v>2088</v>
      </c>
      <c r="J40">
        <v>4</v>
      </c>
      <c r="K40" t="s">
        <v>2092</v>
      </c>
      <c r="L40">
        <v>284</v>
      </c>
      <c r="M40">
        <v>71</v>
      </c>
      <c r="O40" t="s">
        <v>463</v>
      </c>
    </row>
    <row r="41" spans="1:15" x14ac:dyDescent="0.3">
      <c r="A41">
        <v>249676</v>
      </c>
      <c r="B41">
        <v>173</v>
      </c>
      <c r="C41" t="s">
        <v>734</v>
      </c>
      <c r="D41" t="s">
        <v>1746</v>
      </c>
      <c r="E41" t="s">
        <v>1747</v>
      </c>
      <c r="F41" s="465">
        <v>46218</v>
      </c>
      <c r="G41">
        <v>20429</v>
      </c>
      <c r="H41" t="s">
        <v>2137</v>
      </c>
      <c r="I41" t="s">
        <v>2100</v>
      </c>
      <c r="J41">
        <v>20</v>
      </c>
      <c r="K41" t="s">
        <v>2111</v>
      </c>
      <c r="L41">
        <v>404</v>
      </c>
      <c r="M41">
        <v>20.2</v>
      </c>
      <c r="O41" t="s">
        <v>463</v>
      </c>
    </row>
    <row r="42" spans="1:15" x14ac:dyDescent="0.3">
      <c r="A42">
        <v>249674</v>
      </c>
      <c r="B42">
        <v>173</v>
      </c>
      <c r="C42" t="s">
        <v>734</v>
      </c>
      <c r="D42" t="s">
        <v>1723</v>
      </c>
      <c r="E42" t="s">
        <v>1748</v>
      </c>
      <c r="F42" s="465">
        <v>46204</v>
      </c>
      <c r="G42">
        <v>17384</v>
      </c>
      <c r="H42" t="s">
        <v>2104</v>
      </c>
      <c r="I42" t="s">
        <v>2105</v>
      </c>
      <c r="J42">
        <v>4</v>
      </c>
      <c r="K42" t="s">
        <v>2089</v>
      </c>
      <c r="L42">
        <v>651.6</v>
      </c>
      <c r="M42">
        <v>162.9</v>
      </c>
      <c r="N42" t="s">
        <v>2138</v>
      </c>
      <c r="O42" t="s">
        <v>463</v>
      </c>
    </row>
    <row r="43" spans="1:15" x14ac:dyDescent="0.3">
      <c r="A43">
        <v>249674</v>
      </c>
      <c r="B43">
        <v>173</v>
      </c>
      <c r="C43" t="s">
        <v>734</v>
      </c>
      <c r="D43" t="s">
        <v>1723</v>
      </c>
      <c r="E43" t="s">
        <v>1748</v>
      </c>
      <c r="F43" s="465">
        <v>46204</v>
      </c>
      <c r="G43">
        <v>17573</v>
      </c>
      <c r="H43" t="s">
        <v>2139</v>
      </c>
      <c r="I43" t="s">
        <v>2105</v>
      </c>
      <c r="J43">
        <v>4</v>
      </c>
      <c r="K43" t="s">
        <v>2118</v>
      </c>
      <c r="L43">
        <v>299.60000000000002</v>
      </c>
      <c r="M43">
        <v>74.900000000000006</v>
      </c>
      <c r="N43" t="s">
        <v>2138</v>
      </c>
      <c r="O43" t="s">
        <v>463</v>
      </c>
    </row>
    <row r="44" spans="1:15" x14ac:dyDescent="0.3">
      <c r="A44">
        <v>249674</v>
      </c>
      <c r="B44">
        <v>173</v>
      </c>
      <c r="C44" t="s">
        <v>734</v>
      </c>
      <c r="D44" t="s">
        <v>1723</v>
      </c>
      <c r="E44" t="s">
        <v>1748</v>
      </c>
      <c r="F44" s="465">
        <v>46204</v>
      </c>
      <c r="G44">
        <v>21423</v>
      </c>
      <c r="H44" t="s">
        <v>2140</v>
      </c>
      <c r="I44" t="s">
        <v>2105</v>
      </c>
      <c r="J44">
        <v>20</v>
      </c>
      <c r="K44" t="s">
        <v>2141</v>
      </c>
      <c r="L44">
        <v>662</v>
      </c>
      <c r="M44">
        <v>33.1</v>
      </c>
      <c r="N44" t="s">
        <v>2138</v>
      </c>
      <c r="O44" t="s">
        <v>463</v>
      </c>
    </row>
    <row r="45" spans="1:15" x14ac:dyDescent="0.3">
      <c r="A45">
        <v>249674</v>
      </c>
      <c r="B45">
        <v>173</v>
      </c>
      <c r="C45" t="s">
        <v>734</v>
      </c>
      <c r="D45" t="s">
        <v>1723</v>
      </c>
      <c r="E45" t="s">
        <v>1748</v>
      </c>
      <c r="F45" s="465">
        <v>46204</v>
      </c>
      <c r="G45">
        <v>21432</v>
      </c>
      <c r="H45" t="s">
        <v>2142</v>
      </c>
      <c r="I45" t="s">
        <v>2105</v>
      </c>
      <c r="J45">
        <v>5</v>
      </c>
      <c r="K45" t="s">
        <v>2089</v>
      </c>
      <c r="L45">
        <v>814.5</v>
      </c>
      <c r="M45">
        <v>162.9</v>
      </c>
      <c r="N45" t="s">
        <v>2138</v>
      </c>
      <c r="O45" t="s">
        <v>463</v>
      </c>
    </row>
    <row r="46" spans="1:15" x14ac:dyDescent="0.3">
      <c r="A46">
        <v>249674</v>
      </c>
      <c r="B46">
        <v>173</v>
      </c>
      <c r="C46" t="s">
        <v>734</v>
      </c>
      <c r="D46" t="s">
        <v>1723</v>
      </c>
      <c r="E46" t="s">
        <v>1748</v>
      </c>
      <c r="F46" s="465">
        <v>46204</v>
      </c>
      <c r="G46">
        <v>17565</v>
      </c>
      <c r="H46" t="s">
        <v>2143</v>
      </c>
      <c r="I46" t="s">
        <v>2105</v>
      </c>
      <c r="J46">
        <v>4</v>
      </c>
      <c r="K46" t="s">
        <v>2111</v>
      </c>
      <c r="L46">
        <v>436.4</v>
      </c>
      <c r="M46">
        <v>109.1</v>
      </c>
      <c r="N46" t="s">
        <v>2138</v>
      </c>
      <c r="O46" t="s">
        <v>463</v>
      </c>
    </row>
    <row r="47" spans="1:15" x14ac:dyDescent="0.3">
      <c r="A47">
        <v>249674</v>
      </c>
      <c r="B47">
        <v>173</v>
      </c>
      <c r="C47" t="s">
        <v>734</v>
      </c>
      <c r="D47" t="s">
        <v>1723</v>
      </c>
      <c r="E47" t="s">
        <v>1748</v>
      </c>
      <c r="F47" s="465">
        <v>46204</v>
      </c>
      <c r="G47">
        <v>17373</v>
      </c>
      <c r="H47" t="s">
        <v>2144</v>
      </c>
      <c r="I47" t="s">
        <v>2105</v>
      </c>
      <c r="J47">
        <v>10</v>
      </c>
      <c r="K47" t="s">
        <v>2141</v>
      </c>
      <c r="L47">
        <v>208</v>
      </c>
      <c r="M47">
        <v>20.8</v>
      </c>
      <c r="N47" t="s">
        <v>2138</v>
      </c>
      <c r="O47" t="s">
        <v>463</v>
      </c>
    </row>
    <row r="48" spans="1:15" x14ac:dyDescent="0.3">
      <c r="A48">
        <v>249674</v>
      </c>
      <c r="B48">
        <v>173</v>
      </c>
      <c r="C48" t="s">
        <v>734</v>
      </c>
      <c r="D48" t="s">
        <v>1723</v>
      </c>
      <c r="E48" t="s">
        <v>1748</v>
      </c>
      <c r="F48" s="465">
        <v>46204</v>
      </c>
      <c r="G48">
        <v>17401</v>
      </c>
      <c r="H48" t="s">
        <v>2145</v>
      </c>
      <c r="I48" t="s">
        <v>2105</v>
      </c>
      <c r="J48">
        <v>5</v>
      </c>
      <c r="K48" t="s">
        <v>2089</v>
      </c>
      <c r="L48">
        <v>814.5</v>
      </c>
      <c r="M48">
        <v>162.9</v>
      </c>
      <c r="N48" t="s">
        <v>2138</v>
      </c>
      <c r="O48" t="s">
        <v>463</v>
      </c>
    </row>
    <row r="49" spans="1:15" x14ac:dyDescent="0.3">
      <c r="A49">
        <v>249672</v>
      </c>
      <c r="B49">
        <v>173</v>
      </c>
      <c r="C49" t="s">
        <v>734</v>
      </c>
      <c r="D49" t="s">
        <v>1749</v>
      </c>
      <c r="E49" t="s">
        <v>1750</v>
      </c>
      <c r="F49" s="465">
        <v>46207</v>
      </c>
      <c r="G49">
        <v>18636</v>
      </c>
      <c r="H49" t="s">
        <v>2146</v>
      </c>
      <c r="I49" t="s">
        <v>2088</v>
      </c>
      <c r="J49">
        <v>70</v>
      </c>
      <c r="K49" t="s">
        <v>2147</v>
      </c>
      <c r="L49">
        <v>24621.8</v>
      </c>
      <c r="M49">
        <v>351.74</v>
      </c>
      <c r="O49" t="s">
        <v>463</v>
      </c>
    </row>
    <row r="50" spans="1:15" x14ac:dyDescent="0.3">
      <c r="A50">
        <v>249263</v>
      </c>
      <c r="B50">
        <v>173</v>
      </c>
      <c r="C50" t="s">
        <v>734</v>
      </c>
      <c r="D50" t="s">
        <v>1751</v>
      </c>
      <c r="E50" t="s">
        <v>1752</v>
      </c>
      <c r="F50" s="465">
        <v>46219</v>
      </c>
      <c r="G50">
        <v>25002</v>
      </c>
      <c r="H50" t="s">
        <v>2148</v>
      </c>
      <c r="I50" t="s">
        <v>2110</v>
      </c>
      <c r="J50">
        <v>70</v>
      </c>
      <c r="K50" t="s">
        <v>2108</v>
      </c>
      <c r="L50">
        <v>1366.4</v>
      </c>
      <c r="M50">
        <v>19.52</v>
      </c>
      <c r="O50" t="s">
        <v>463</v>
      </c>
    </row>
    <row r="51" spans="1:15" x14ac:dyDescent="0.3">
      <c r="A51">
        <v>249263</v>
      </c>
      <c r="B51">
        <v>173</v>
      </c>
      <c r="C51" t="s">
        <v>734</v>
      </c>
      <c r="D51" t="s">
        <v>1751</v>
      </c>
      <c r="E51" t="s">
        <v>1752</v>
      </c>
      <c r="F51" s="465">
        <v>46219</v>
      </c>
      <c r="G51">
        <v>24718</v>
      </c>
      <c r="H51" t="s">
        <v>2149</v>
      </c>
      <c r="I51" t="s">
        <v>2110</v>
      </c>
      <c r="J51">
        <v>2</v>
      </c>
      <c r="K51" t="s">
        <v>2108</v>
      </c>
      <c r="L51">
        <v>12.24</v>
      </c>
      <c r="M51">
        <v>6.12</v>
      </c>
      <c r="O51" t="s">
        <v>463</v>
      </c>
    </row>
    <row r="52" spans="1:15" x14ac:dyDescent="0.3">
      <c r="A52">
        <v>249263</v>
      </c>
      <c r="B52">
        <v>173</v>
      </c>
      <c r="C52" t="s">
        <v>734</v>
      </c>
      <c r="D52" t="s">
        <v>1751</v>
      </c>
      <c r="E52" t="s">
        <v>1752</v>
      </c>
      <c r="F52" s="465">
        <v>46219</v>
      </c>
      <c r="G52">
        <v>26455</v>
      </c>
      <c r="H52" t="s">
        <v>2150</v>
      </c>
      <c r="I52" t="s">
        <v>2110</v>
      </c>
      <c r="J52">
        <v>30</v>
      </c>
      <c r="K52" t="s">
        <v>2111</v>
      </c>
      <c r="L52">
        <v>405</v>
      </c>
      <c r="M52">
        <v>13.5</v>
      </c>
      <c r="O52" t="s">
        <v>463</v>
      </c>
    </row>
    <row r="53" spans="1:15" x14ac:dyDescent="0.3">
      <c r="A53">
        <v>249263</v>
      </c>
      <c r="B53">
        <v>173</v>
      </c>
      <c r="C53" t="s">
        <v>734</v>
      </c>
      <c r="D53" t="s">
        <v>1751</v>
      </c>
      <c r="E53" t="s">
        <v>1752</v>
      </c>
      <c r="F53" s="465">
        <v>46219</v>
      </c>
      <c r="G53">
        <v>24730</v>
      </c>
      <c r="H53" t="s">
        <v>2151</v>
      </c>
      <c r="I53" t="s">
        <v>2110</v>
      </c>
      <c r="J53">
        <v>3</v>
      </c>
      <c r="K53" t="s">
        <v>2108</v>
      </c>
      <c r="L53">
        <v>102.54</v>
      </c>
      <c r="M53">
        <v>34.18</v>
      </c>
      <c r="O53" t="s">
        <v>463</v>
      </c>
    </row>
    <row r="54" spans="1:15" x14ac:dyDescent="0.3">
      <c r="A54">
        <v>249263</v>
      </c>
      <c r="B54">
        <v>173</v>
      </c>
      <c r="C54" t="s">
        <v>734</v>
      </c>
      <c r="D54" t="s">
        <v>1751</v>
      </c>
      <c r="E54" t="s">
        <v>1752</v>
      </c>
      <c r="F54" s="465">
        <v>46219</v>
      </c>
      <c r="G54">
        <v>26818</v>
      </c>
      <c r="H54" t="s">
        <v>2152</v>
      </c>
      <c r="I54" t="s">
        <v>2110</v>
      </c>
      <c r="J54">
        <v>6</v>
      </c>
      <c r="K54" t="s">
        <v>2111</v>
      </c>
      <c r="L54">
        <v>107.46</v>
      </c>
      <c r="M54">
        <v>17.91</v>
      </c>
      <c r="O54" t="s">
        <v>463</v>
      </c>
    </row>
    <row r="55" spans="1:15" x14ac:dyDescent="0.3">
      <c r="A55">
        <v>249263</v>
      </c>
      <c r="B55">
        <v>173</v>
      </c>
      <c r="C55" t="s">
        <v>734</v>
      </c>
      <c r="D55" t="s">
        <v>1751</v>
      </c>
      <c r="E55" t="s">
        <v>1752</v>
      </c>
      <c r="F55" s="465">
        <v>46219</v>
      </c>
      <c r="G55">
        <v>28183</v>
      </c>
      <c r="H55" t="s">
        <v>2153</v>
      </c>
      <c r="I55" t="s">
        <v>2110</v>
      </c>
      <c r="J55">
        <v>30</v>
      </c>
      <c r="K55" t="s">
        <v>2111</v>
      </c>
      <c r="L55">
        <v>1596</v>
      </c>
      <c r="M55">
        <v>53.2</v>
      </c>
      <c r="O55" t="s">
        <v>463</v>
      </c>
    </row>
    <row r="56" spans="1:15" x14ac:dyDescent="0.3">
      <c r="A56">
        <v>249263</v>
      </c>
      <c r="B56">
        <v>173</v>
      </c>
      <c r="C56" t="s">
        <v>734</v>
      </c>
      <c r="D56" t="s">
        <v>1751</v>
      </c>
      <c r="E56" t="s">
        <v>1752</v>
      </c>
      <c r="F56" s="465">
        <v>46219</v>
      </c>
      <c r="G56">
        <v>27600</v>
      </c>
      <c r="H56" t="s">
        <v>2154</v>
      </c>
      <c r="I56" t="s">
        <v>2110</v>
      </c>
      <c r="J56">
        <v>6</v>
      </c>
      <c r="K56" t="s">
        <v>2111</v>
      </c>
      <c r="L56">
        <v>192.36</v>
      </c>
      <c r="M56">
        <v>32.06</v>
      </c>
      <c r="O56" t="s">
        <v>463</v>
      </c>
    </row>
    <row r="57" spans="1:15" x14ac:dyDescent="0.3">
      <c r="A57">
        <v>249263</v>
      </c>
      <c r="B57">
        <v>173</v>
      </c>
      <c r="C57" t="s">
        <v>734</v>
      </c>
      <c r="D57" t="s">
        <v>1751</v>
      </c>
      <c r="E57" t="s">
        <v>1752</v>
      </c>
      <c r="F57" s="465">
        <v>46219</v>
      </c>
      <c r="G57">
        <v>26932</v>
      </c>
      <c r="H57" t="s">
        <v>2155</v>
      </c>
      <c r="I57" t="s">
        <v>2110</v>
      </c>
      <c r="J57">
        <v>30</v>
      </c>
      <c r="K57" t="s">
        <v>2089</v>
      </c>
      <c r="L57">
        <v>1003.8</v>
      </c>
      <c r="M57">
        <v>33.46</v>
      </c>
      <c r="O57" t="s">
        <v>463</v>
      </c>
    </row>
    <row r="58" spans="1:15" x14ac:dyDescent="0.3">
      <c r="A58">
        <v>249263</v>
      </c>
      <c r="B58">
        <v>173</v>
      </c>
      <c r="C58" t="s">
        <v>734</v>
      </c>
      <c r="D58" t="s">
        <v>1751</v>
      </c>
      <c r="E58" t="s">
        <v>1752</v>
      </c>
      <c r="F58" s="465">
        <v>46219</v>
      </c>
      <c r="G58">
        <v>28195</v>
      </c>
      <c r="H58" t="s">
        <v>2156</v>
      </c>
      <c r="I58" t="s">
        <v>2110</v>
      </c>
      <c r="J58">
        <v>6</v>
      </c>
      <c r="K58" t="s">
        <v>2111</v>
      </c>
      <c r="L58">
        <v>183.96</v>
      </c>
      <c r="M58">
        <v>30.66</v>
      </c>
      <c r="O58" t="s">
        <v>463</v>
      </c>
    </row>
    <row r="59" spans="1:15" x14ac:dyDescent="0.3">
      <c r="A59">
        <v>249263</v>
      </c>
      <c r="B59">
        <v>173</v>
      </c>
      <c r="C59" t="s">
        <v>734</v>
      </c>
      <c r="D59" t="s">
        <v>1751</v>
      </c>
      <c r="E59" t="s">
        <v>1752</v>
      </c>
      <c r="F59" s="465">
        <v>46219</v>
      </c>
      <c r="G59">
        <v>27464</v>
      </c>
      <c r="H59" t="s">
        <v>2157</v>
      </c>
      <c r="I59" t="s">
        <v>2110</v>
      </c>
      <c r="J59">
        <v>6</v>
      </c>
      <c r="K59" t="s">
        <v>2111</v>
      </c>
      <c r="L59">
        <v>339.48</v>
      </c>
      <c r="M59">
        <v>56.58</v>
      </c>
      <c r="O59" t="s">
        <v>463</v>
      </c>
    </row>
    <row r="60" spans="1:15" x14ac:dyDescent="0.3">
      <c r="A60">
        <v>249263</v>
      </c>
      <c r="B60">
        <v>173</v>
      </c>
      <c r="C60" t="s">
        <v>734</v>
      </c>
      <c r="D60" t="s">
        <v>1751</v>
      </c>
      <c r="E60" t="s">
        <v>1752</v>
      </c>
      <c r="F60" s="465">
        <v>46219</v>
      </c>
      <c r="G60">
        <v>28613</v>
      </c>
      <c r="H60" t="s">
        <v>2158</v>
      </c>
      <c r="I60" t="s">
        <v>2110</v>
      </c>
      <c r="J60">
        <v>2</v>
      </c>
      <c r="K60" t="s">
        <v>2159</v>
      </c>
      <c r="L60">
        <v>39.94</v>
      </c>
      <c r="M60">
        <v>19.97</v>
      </c>
      <c r="O60" t="s">
        <v>463</v>
      </c>
    </row>
    <row r="61" spans="1:15" x14ac:dyDescent="0.3">
      <c r="A61">
        <v>249263</v>
      </c>
      <c r="B61">
        <v>173</v>
      </c>
      <c r="C61" t="s">
        <v>734</v>
      </c>
      <c r="D61" t="s">
        <v>1751</v>
      </c>
      <c r="E61" t="s">
        <v>1752</v>
      </c>
      <c r="F61" s="465">
        <v>46219</v>
      </c>
      <c r="G61">
        <v>28191</v>
      </c>
      <c r="H61" t="s">
        <v>2160</v>
      </c>
      <c r="I61" t="s">
        <v>2110</v>
      </c>
      <c r="J61">
        <v>10</v>
      </c>
      <c r="K61" t="s">
        <v>2111</v>
      </c>
      <c r="L61">
        <v>64.5</v>
      </c>
      <c r="M61">
        <v>6.45</v>
      </c>
      <c r="O61" t="s">
        <v>463</v>
      </c>
    </row>
    <row r="62" spans="1:15" x14ac:dyDescent="0.3">
      <c r="A62">
        <v>249263</v>
      </c>
      <c r="B62">
        <v>173</v>
      </c>
      <c r="C62" t="s">
        <v>734</v>
      </c>
      <c r="D62" t="s">
        <v>1751</v>
      </c>
      <c r="E62" t="s">
        <v>1752</v>
      </c>
      <c r="F62" s="465">
        <v>46219</v>
      </c>
      <c r="G62">
        <v>27926</v>
      </c>
      <c r="H62" t="s">
        <v>2161</v>
      </c>
      <c r="I62" t="s">
        <v>2110</v>
      </c>
      <c r="J62">
        <v>2</v>
      </c>
      <c r="K62" t="s">
        <v>2111</v>
      </c>
      <c r="L62">
        <v>35.1</v>
      </c>
      <c r="M62">
        <v>17.55</v>
      </c>
      <c r="O62" t="s">
        <v>463</v>
      </c>
    </row>
    <row r="63" spans="1:15" x14ac:dyDescent="0.3">
      <c r="A63">
        <v>249263</v>
      </c>
      <c r="B63">
        <v>173</v>
      </c>
      <c r="C63" t="s">
        <v>734</v>
      </c>
      <c r="D63" t="s">
        <v>1751</v>
      </c>
      <c r="E63" t="s">
        <v>1752</v>
      </c>
      <c r="F63" s="465">
        <v>46219</v>
      </c>
      <c r="G63">
        <v>28194</v>
      </c>
      <c r="H63" t="s">
        <v>2162</v>
      </c>
      <c r="I63" t="s">
        <v>2110</v>
      </c>
      <c r="J63">
        <v>2</v>
      </c>
      <c r="K63" t="s">
        <v>2111</v>
      </c>
      <c r="L63">
        <v>59.36</v>
      </c>
      <c r="M63">
        <v>29.68</v>
      </c>
      <c r="O63" t="s">
        <v>463</v>
      </c>
    </row>
    <row r="64" spans="1:15" x14ac:dyDescent="0.3">
      <c r="A64">
        <v>249263</v>
      </c>
      <c r="B64">
        <v>173</v>
      </c>
      <c r="C64" t="s">
        <v>734</v>
      </c>
      <c r="D64" t="s">
        <v>1751</v>
      </c>
      <c r="E64" t="s">
        <v>1752</v>
      </c>
      <c r="F64" s="465">
        <v>46219</v>
      </c>
      <c r="G64">
        <v>26614</v>
      </c>
      <c r="H64" t="s">
        <v>2163</v>
      </c>
      <c r="I64" t="s">
        <v>2110</v>
      </c>
      <c r="J64">
        <v>7</v>
      </c>
      <c r="K64" t="s">
        <v>2111</v>
      </c>
      <c r="L64">
        <v>659.05</v>
      </c>
      <c r="M64">
        <v>94.15</v>
      </c>
      <c r="O64" t="s">
        <v>463</v>
      </c>
    </row>
    <row r="65" spans="1:15" x14ac:dyDescent="0.3">
      <c r="A65">
        <v>249263</v>
      </c>
      <c r="B65">
        <v>173</v>
      </c>
      <c r="C65" t="s">
        <v>734</v>
      </c>
      <c r="D65" t="s">
        <v>1751</v>
      </c>
      <c r="E65" t="s">
        <v>1752</v>
      </c>
      <c r="F65" s="465">
        <v>46219</v>
      </c>
      <c r="G65">
        <v>27928</v>
      </c>
      <c r="H65" t="s">
        <v>2164</v>
      </c>
      <c r="I65" t="s">
        <v>2110</v>
      </c>
      <c r="J65">
        <v>2</v>
      </c>
      <c r="K65" t="s">
        <v>2111</v>
      </c>
      <c r="L65">
        <v>179.76</v>
      </c>
      <c r="M65">
        <v>89.88</v>
      </c>
      <c r="O65" t="s">
        <v>463</v>
      </c>
    </row>
    <row r="66" spans="1:15" x14ac:dyDescent="0.3">
      <c r="A66">
        <v>249263</v>
      </c>
      <c r="B66">
        <v>173</v>
      </c>
      <c r="C66" t="s">
        <v>734</v>
      </c>
      <c r="D66" t="s">
        <v>1751</v>
      </c>
      <c r="E66" t="s">
        <v>1752</v>
      </c>
      <c r="F66" s="465">
        <v>46219</v>
      </c>
      <c r="G66">
        <v>29036</v>
      </c>
      <c r="H66" t="s">
        <v>2165</v>
      </c>
      <c r="I66" t="s">
        <v>2110</v>
      </c>
      <c r="J66">
        <v>8</v>
      </c>
      <c r="K66" t="s">
        <v>2111</v>
      </c>
      <c r="L66">
        <v>167.36</v>
      </c>
      <c r="M66">
        <v>20.92</v>
      </c>
      <c r="O66" t="s">
        <v>463</v>
      </c>
    </row>
    <row r="67" spans="1:15" x14ac:dyDescent="0.3">
      <c r="A67">
        <v>249263</v>
      </c>
      <c r="B67">
        <v>173</v>
      </c>
      <c r="C67" t="s">
        <v>734</v>
      </c>
      <c r="D67" t="s">
        <v>1751</v>
      </c>
      <c r="E67" t="s">
        <v>1752</v>
      </c>
      <c r="F67" s="465">
        <v>46219</v>
      </c>
      <c r="G67">
        <v>27602</v>
      </c>
      <c r="H67" t="s">
        <v>2166</v>
      </c>
      <c r="I67" t="s">
        <v>2110</v>
      </c>
      <c r="J67">
        <v>2</v>
      </c>
      <c r="K67" t="s">
        <v>2111</v>
      </c>
      <c r="L67">
        <v>34.840000000000003</v>
      </c>
      <c r="M67">
        <v>17.420000000000002</v>
      </c>
      <c r="O67" t="s">
        <v>463</v>
      </c>
    </row>
    <row r="68" spans="1:15" x14ac:dyDescent="0.3">
      <c r="A68">
        <v>249263</v>
      </c>
      <c r="B68">
        <v>173</v>
      </c>
      <c r="C68" t="s">
        <v>734</v>
      </c>
      <c r="D68" t="s">
        <v>1751</v>
      </c>
      <c r="E68" t="s">
        <v>1752</v>
      </c>
      <c r="F68" s="465">
        <v>46219</v>
      </c>
      <c r="G68">
        <v>27235</v>
      </c>
      <c r="H68" t="s">
        <v>2167</v>
      </c>
      <c r="I68" t="s">
        <v>2110</v>
      </c>
      <c r="J68">
        <v>8</v>
      </c>
      <c r="K68" t="s">
        <v>2111</v>
      </c>
      <c r="L68">
        <v>189.2</v>
      </c>
      <c r="M68">
        <v>23.65</v>
      </c>
      <c r="O68" t="s">
        <v>463</v>
      </c>
    </row>
    <row r="69" spans="1:15" x14ac:dyDescent="0.3">
      <c r="A69">
        <v>249263</v>
      </c>
      <c r="B69">
        <v>173</v>
      </c>
      <c r="C69" t="s">
        <v>734</v>
      </c>
      <c r="D69" t="s">
        <v>1751</v>
      </c>
      <c r="E69" t="s">
        <v>1752</v>
      </c>
      <c r="F69" s="465">
        <v>46219</v>
      </c>
      <c r="G69">
        <v>26957</v>
      </c>
      <c r="H69" t="s">
        <v>2168</v>
      </c>
      <c r="I69" t="s">
        <v>2110</v>
      </c>
      <c r="J69">
        <v>15</v>
      </c>
      <c r="K69" t="s">
        <v>2111</v>
      </c>
      <c r="L69">
        <v>1242</v>
      </c>
      <c r="M69">
        <v>82.8</v>
      </c>
      <c r="O69" t="s">
        <v>463</v>
      </c>
    </row>
    <row r="70" spans="1:15" x14ac:dyDescent="0.3">
      <c r="A70">
        <v>249263</v>
      </c>
      <c r="B70">
        <v>173</v>
      </c>
      <c r="C70" t="s">
        <v>734</v>
      </c>
      <c r="D70" t="s">
        <v>1751</v>
      </c>
      <c r="E70" t="s">
        <v>1752</v>
      </c>
      <c r="F70" s="465">
        <v>46219</v>
      </c>
      <c r="G70">
        <v>27460</v>
      </c>
      <c r="H70" t="s">
        <v>2169</v>
      </c>
      <c r="I70" t="s">
        <v>2110</v>
      </c>
      <c r="J70">
        <v>40</v>
      </c>
      <c r="K70" t="s">
        <v>2111</v>
      </c>
      <c r="L70">
        <v>1596</v>
      </c>
      <c r="M70">
        <v>39.9</v>
      </c>
      <c r="O70" t="s">
        <v>463</v>
      </c>
    </row>
    <row r="71" spans="1:15" x14ac:dyDescent="0.3">
      <c r="A71">
        <v>249263</v>
      </c>
      <c r="B71">
        <v>173</v>
      </c>
      <c r="C71" t="s">
        <v>734</v>
      </c>
      <c r="D71" t="s">
        <v>1751</v>
      </c>
      <c r="E71" t="s">
        <v>1752</v>
      </c>
      <c r="F71" s="465">
        <v>46219</v>
      </c>
      <c r="G71">
        <v>29702</v>
      </c>
      <c r="H71" t="s">
        <v>2170</v>
      </c>
      <c r="I71" t="s">
        <v>2110</v>
      </c>
      <c r="J71">
        <v>8</v>
      </c>
      <c r="K71" t="s">
        <v>2089</v>
      </c>
      <c r="L71">
        <v>4271.04</v>
      </c>
      <c r="M71">
        <v>533.88</v>
      </c>
      <c r="O71" t="s">
        <v>463</v>
      </c>
    </row>
    <row r="72" spans="1:15" x14ac:dyDescent="0.3">
      <c r="A72">
        <v>249263</v>
      </c>
      <c r="B72">
        <v>173</v>
      </c>
      <c r="C72" t="s">
        <v>734</v>
      </c>
      <c r="D72" t="s">
        <v>1751</v>
      </c>
      <c r="E72" t="s">
        <v>1752</v>
      </c>
      <c r="F72" s="465">
        <v>46219</v>
      </c>
      <c r="G72">
        <v>28965</v>
      </c>
      <c r="H72" t="s">
        <v>2171</v>
      </c>
      <c r="J72">
        <v>10</v>
      </c>
      <c r="K72" t="s">
        <v>2111</v>
      </c>
      <c r="L72">
        <v>1196</v>
      </c>
      <c r="M72">
        <v>119.6</v>
      </c>
      <c r="O72" t="s">
        <v>463</v>
      </c>
    </row>
    <row r="73" spans="1:15" x14ac:dyDescent="0.3">
      <c r="A73">
        <v>249263</v>
      </c>
      <c r="B73">
        <v>173</v>
      </c>
      <c r="C73" t="s">
        <v>734</v>
      </c>
      <c r="D73" t="s">
        <v>1751</v>
      </c>
      <c r="E73" t="s">
        <v>1752</v>
      </c>
      <c r="F73" s="465">
        <v>46219</v>
      </c>
      <c r="G73">
        <v>28008</v>
      </c>
      <c r="H73" t="s">
        <v>2172</v>
      </c>
      <c r="I73" t="s">
        <v>2110</v>
      </c>
      <c r="J73">
        <v>20</v>
      </c>
      <c r="K73" t="s">
        <v>2111</v>
      </c>
      <c r="L73">
        <v>931.6</v>
      </c>
      <c r="M73">
        <v>46.58</v>
      </c>
      <c r="O73" t="s">
        <v>463</v>
      </c>
    </row>
    <row r="74" spans="1:15" x14ac:dyDescent="0.3">
      <c r="A74">
        <v>249263</v>
      </c>
      <c r="B74">
        <v>173</v>
      </c>
      <c r="C74" t="s">
        <v>734</v>
      </c>
      <c r="D74" t="s">
        <v>1751</v>
      </c>
      <c r="E74" t="s">
        <v>1752</v>
      </c>
      <c r="F74" s="465">
        <v>46219</v>
      </c>
      <c r="G74">
        <v>29824</v>
      </c>
      <c r="H74" t="s">
        <v>2173</v>
      </c>
      <c r="I74" t="s">
        <v>2110</v>
      </c>
      <c r="J74">
        <v>6</v>
      </c>
      <c r="K74" t="s">
        <v>2111</v>
      </c>
      <c r="L74">
        <v>27</v>
      </c>
      <c r="M74">
        <v>4.5</v>
      </c>
      <c r="O74" t="s">
        <v>463</v>
      </c>
    </row>
    <row r="75" spans="1:15" x14ac:dyDescent="0.3">
      <c r="A75">
        <v>249262</v>
      </c>
      <c r="B75">
        <v>173</v>
      </c>
      <c r="C75" t="s">
        <v>734</v>
      </c>
      <c r="D75" t="s">
        <v>912</v>
      </c>
      <c r="E75" t="s">
        <v>1753</v>
      </c>
      <c r="F75" s="465">
        <v>46219</v>
      </c>
      <c r="G75">
        <v>29205</v>
      </c>
      <c r="H75" t="s">
        <v>2174</v>
      </c>
      <c r="I75" t="s">
        <v>2100</v>
      </c>
      <c r="J75">
        <v>250</v>
      </c>
      <c r="K75" t="s">
        <v>2101</v>
      </c>
      <c r="L75">
        <v>1950</v>
      </c>
      <c r="M75">
        <v>7.8</v>
      </c>
      <c r="O75" t="s">
        <v>463</v>
      </c>
    </row>
    <row r="76" spans="1:15" x14ac:dyDescent="0.3">
      <c r="A76">
        <v>249262</v>
      </c>
      <c r="B76">
        <v>173</v>
      </c>
      <c r="C76" t="s">
        <v>734</v>
      </c>
      <c r="D76" t="s">
        <v>912</v>
      </c>
      <c r="E76" t="s">
        <v>1753</v>
      </c>
      <c r="F76" s="465">
        <v>46219</v>
      </c>
      <c r="G76">
        <v>23359</v>
      </c>
      <c r="H76" t="s">
        <v>2175</v>
      </c>
      <c r="I76" t="s">
        <v>2100</v>
      </c>
      <c r="J76">
        <v>40</v>
      </c>
      <c r="K76" t="s">
        <v>2101</v>
      </c>
      <c r="L76">
        <v>121.6</v>
      </c>
      <c r="M76">
        <v>3.04</v>
      </c>
      <c r="O76" t="s">
        <v>463</v>
      </c>
    </row>
    <row r="77" spans="1:15" x14ac:dyDescent="0.3">
      <c r="A77">
        <v>249260</v>
      </c>
      <c r="B77">
        <v>173</v>
      </c>
      <c r="C77" t="s">
        <v>734</v>
      </c>
      <c r="D77" t="s">
        <v>912</v>
      </c>
      <c r="E77" t="s">
        <v>1754</v>
      </c>
      <c r="F77" s="465">
        <v>46219</v>
      </c>
      <c r="G77">
        <v>29205</v>
      </c>
      <c r="H77" t="s">
        <v>2174</v>
      </c>
      <c r="I77" t="s">
        <v>2100</v>
      </c>
      <c r="J77">
        <v>250</v>
      </c>
      <c r="K77" t="s">
        <v>2101</v>
      </c>
      <c r="L77">
        <v>1950</v>
      </c>
      <c r="M77">
        <v>7.8</v>
      </c>
      <c r="O77" t="s">
        <v>463</v>
      </c>
    </row>
    <row r="78" spans="1:15" x14ac:dyDescent="0.3">
      <c r="A78">
        <v>249260</v>
      </c>
      <c r="B78">
        <v>173</v>
      </c>
      <c r="C78" t="s">
        <v>734</v>
      </c>
      <c r="D78" t="s">
        <v>912</v>
      </c>
      <c r="E78" t="s">
        <v>1754</v>
      </c>
      <c r="F78" s="465">
        <v>46219</v>
      </c>
      <c r="G78">
        <v>23359</v>
      </c>
      <c r="H78" t="s">
        <v>2175</v>
      </c>
      <c r="I78" t="s">
        <v>2100</v>
      </c>
      <c r="J78">
        <v>40</v>
      </c>
      <c r="K78" t="s">
        <v>2101</v>
      </c>
      <c r="L78">
        <v>121.6</v>
      </c>
      <c r="M78">
        <v>3.04</v>
      </c>
      <c r="O78" t="s">
        <v>463</v>
      </c>
    </row>
    <row r="79" spans="1:15" x14ac:dyDescent="0.3">
      <c r="A79">
        <v>249257</v>
      </c>
      <c r="B79">
        <v>173</v>
      </c>
      <c r="C79" t="s">
        <v>734</v>
      </c>
      <c r="D79" t="s">
        <v>1755</v>
      </c>
      <c r="E79" t="s">
        <v>1756</v>
      </c>
      <c r="F79" s="465">
        <v>46219</v>
      </c>
      <c r="G79">
        <v>29723</v>
      </c>
      <c r="H79" t="s">
        <v>2176</v>
      </c>
      <c r="I79" t="s">
        <v>2177</v>
      </c>
      <c r="J79">
        <v>5</v>
      </c>
      <c r="K79" t="s">
        <v>2089</v>
      </c>
      <c r="L79">
        <v>875</v>
      </c>
      <c r="M79">
        <v>175</v>
      </c>
      <c r="O79" t="s">
        <v>463</v>
      </c>
    </row>
    <row r="80" spans="1:15" x14ac:dyDescent="0.3">
      <c r="A80">
        <v>249256</v>
      </c>
      <c r="B80">
        <v>173</v>
      </c>
      <c r="C80" t="s">
        <v>734</v>
      </c>
      <c r="D80" t="s">
        <v>1755</v>
      </c>
      <c r="E80" t="s">
        <v>1757</v>
      </c>
      <c r="F80" s="465">
        <v>46219</v>
      </c>
      <c r="G80">
        <v>17314</v>
      </c>
      <c r="H80" t="s">
        <v>2178</v>
      </c>
      <c r="I80" t="s">
        <v>2105</v>
      </c>
      <c r="J80">
        <v>5</v>
      </c>
      <c r="K80" t="s">
        <v>2179</v>
      </c>
      <c r="L80">
        <v>29.45</v>
      </c>
      <c r="M80">
        <v>5.89</v>
      </c>
      <c r="O80" t="s">
        <v>463</v>
      </c>
    </row>
    <row r="81" spans="1:15" x14ac:dyDescent="0.3">
      <c r="A81">
        <v>249256</v>
      </c>
      <c r="B81">
        <v>173</v>
      </c>
      <c r="C81" t="s">
        <v>734</v>
      </c>
      <c r="D81" t="s">
        <v>1755</v>
      </c>
      <c r="E81" t="s">
        <v>1757</v>
      </c>
      <c r="F81" s="465">
        <v>46219</v>
      </c>
      <c r="G81">
        <v>17496</v>
      </c>
      <c r="H81" t="s">
        <v>2180</v>
      </c>
      <c r="I81" t="s">
        <v>2110</v>
      </c>
      <c r="J81">
        <v>5</v>
      </c>
      <c r="K81" t="s">
        <v>2118</v>
      </c>
      <c r="L81">
        <v>135</v>
      </c>
      <c r="M81">
        <v>27</v>
      </c>
      <c r="O81" t="s">
        <v>463</v>
      </c>
    </row>
    <row r="82" spans="1:15" x14ac:dyDescent="0.3">
      <c r="A82">
        <v>249256</v>
      </c>
      <c r="B82">
        <v>173</v>
      </c>
      <c r="C82" t="s">
        <v>734</v>
      </c>
      <c r="D82" t="s">
        <v>1755</v>
      </c>
      <c r="E82" t="s">
        <v>1757</v>
      </c>
      <c r="F82" s="465">
        <v>46219</v>
      </c>
      <c r="G82">
        <v>17405</v>
      </c>
      <c r="H82" t="s">
        <v>2181</v>
      </c>
      <c r="I82" t="s">
        <v>2105</v>
      </c>
      <c r="J82">
        <v>4</v>
      </c>
      <c r="K82" t="s">
        <v>2111</v>
      </c>
      <c r="L82">
        <v>56</v>
      </c>
      <c r="M82">
        <v>14</v>
      </c>
      <c r="O82" t="s">
        <v>463</v>
      </c>
    </row>
    <row r="83" spans="1:15" x14ac:dyDescent="0.3">
      <c r="A83">
        <v>249256</v>
      </c>
      <c r="B83">
        <v>173</v>
      </c>
      <c r="C83" t="s">
        <v>734</v>
      </c>
      <c r="D83" t="s">
        <v>1755</v>
      </c>
      <c r="E83" t="s">
        <v>1757</v>
      </c>
      <c r="F83" s="465">
        <v>46219</v>
      </c>
      <c r="G83">
        <v>28879</v>
      </c>
      <c r="H83" t="s">
        <v>2182</v>
      </c>
      <c r="J83">
        <v>10</v>
      </c>
      <c r="K83" t="s">
        <v>2118</v>
      </c>
      <c r="L83">
        <v>485.8</v>
      </c>
      <c r="M83">
        <v>48.58</v>
      </c>
      <c r="O83" t="s">
        <v>463</v>
      </c>
    </row>
    <row r="84" spans="1:15" x14ac:dyDescent="0.3">
      <c r="A84">
        <v>249256</v>
      </c>
      <c r="B84">
        <v>173</v>
      </c>
      <c r="C84" t="s">
        <v>734</v>
      </c>
      <c r="D84" t="s">
        <v>1755</v>
      </c>
      <c r="E84" t="s">
        <v>1757</v>
      </c>
      <c r="F84" s="465">
        <v>46219</v>
      </c>
      <c r="G84">
        <v>17019</v>
      </c>
      <c r="H84" t="s">
        <v>2183</v>
      </c>
      <c r="I84" t="s">
        <v>2105</v>
      </c>
      <c r="J84">
        <v>10</v>
      </c>
      <c r="K84" t="s">
        <v>2111</v>
      </c>
      <c r="L84">
        <v>30</v>
      </c>
      <c r="M84">
        <v>3</v>
      </c>
      <c r="O84" t="s">
        <v>463</v>
      </c>
    </row>
    <row r="85" spans="1:15" x14ac:dyDescent="0.3">
      <c r="A85">
        <v>249256</v>
      </c>
      <c r="B85">
        <v>173</v>
      </c>
      <c r="C85" t="s">
        <v>734</v>
      </c>
      <c r="D85" t="s">
        <v>1755</v>
      </c>
      <c r="E85" t="s">
        <v>1757</v>
      </c>
      <c r="F85" s="465">
        <v>46219</v>
      </c>
      <c r="G85">
        <v>17488</v>
      </c>
      <c r="H85" t="s">
        <v>2184</v>
      </c>
      <c r="I85" t="s">
        <v>2105</v>
      </c>
      <c r="J85">
        <v>20</v>
      </c>
      <c r="K85" t="s">
        <v>2118</v>
      </c>
      <c r="L85">
        <v>540</v>
      </c>
      <c r="M85">
        <v>27</v>
      </c>
      <c r="O85" t="s">
        <v>463</v>
      </c>
    </row>
    <row r="86" spans="1:15" x14ac:dyDescent="0.3">
      <c r="A86">
        <v>249256</v>
      </c>
      <c r="B86">
        <v>173</v>
      </c>
      <c r="C86" t="s">
        <v>734</v>
      </c>
      <c r="D86" t="s">
        <v>1755</v>
      </c>
      <c r="E86" t="s">
        <v>1757</v>
      </c>
      <c r="F86" s="465">
        <v>46219</v>
      </c>
      <c r="G86">
        <v>27843</v>
      </c>
      <c r="H86" t="s">
        <v>2185</v>
      </c>
      <c r="I86" t="s">
        <v>2177</v>
      </c>
      <c r="J86">
        <v>5</v>
      </c>
      <c r="K86" t="s">
        <v>2089</v>
      </c>
      <c r="L86">
        <v>41.2</v>
      </c>
      <c r="M86">
        <v>8.24</v>
      </c>
      <c r="O86" t="s">
        <v>463</v>
      </c>
    </row>
    <row r="87" spans="1:15" x14ac:dyDescent="0.3">
      <c r="A87">
        <v>249256</v>
      </c>
      <c r="B87">
        <v>173</v>
      </c>
      <c r="C87" t="s">
        <v>734</v>
      </c>
      <c r="D87" t="s">
        <v>1755</v>
      </c>
      <c r="E87" t="s">
        <v>1757</v>
      </c>
      <c r="F87" s="465">
        <v>46219</v>
      </c>
      <c r="G87">
        <v>17383</v>
      </c>
      <c r="H87" t="s">
        <v>2186</v>
      </c>
      <c r="I87" t="s">
        <v>2105</v>
      </c>
      <c r="J87">
        <v>1</v>
      </c>
      <c r="K87" t="s">
        <v>2111</v>
      </c>
      <c r="L87">
        <v>55</v>
      </c>
      <c r="M87">
        <v>55</v>
      </c>
      <c r="O87" t="s">
        <v>463</v>
      </c>
    </row>
    <row r="88" spans="1:15" x14ac:dyDescent="0.3">
      <c r="A88">
        <v>249256</v>
      </c>
      <c r="B88">
        <v>173</v>
      </c>
      <c r="C88" t="s">
        <v>734</v>
      </c>
      <c r="D88" t="s">
        <v>1755</v>
      </c>
      <c r="E88" t="s">
        <v>1757</v>
      </c>
      <c r="F88" s="465">
        <v>46219</v>
      </c>
      <c r="G88">
        <v>17404</v>
      </c>
      <c r="H88" t="s">
        <v>2187</v>
      </c>
      <c r="I88" t="s">
        <v>2105</v>
      </c>
      <c r="J88">
        <v>3</v>
      </c>
      <c r="K88" t="s">
        <v>2111</v>
      </c>
      <c r="L88">
        <v>81</v>
      </c>
      <c r="M88">
        <v>27</v>
      </c>
      <c r="O88" t="s">
        <v>463</v>
      </c>
    </row>
    <row r="89" spans="1:15" x14ac:dyDescent="0.3">
      <c r="A89">
        <v>249254</v>
      </c>
      <c r="B89">
        <v>173</v>
      </c>
      <c r="C89" t="s">
        <v>734</v>
      </c>
      <c r="D89" t="s">
        <v>1758</v>
      </c>
      <c r="E89" t="s">
        <v>1759</v>
      </c>
      <c r="F89" s="465">
        <v>46216</v>
      </c>
      <c r="G89">
        <v>27826</v>
      </c>
      <c r="H89" t="s">
        <v>2188</v>
      </c>
      <c r="I89" t="s">
        <v>2110</v>
      </c>
      <c r="J89">
        <v>20</v>
      </c>
      <c r="K89" t="s">
        <v>2111</v>
      </c>
      <c r="L89">
        <v>1220</v>
      </c>
      <c r="M89">
        <v>61</v>
      </c>
      <c r="O89" t="s">
        <v>463</v>
      </c>
    </row>
    <row r="90" spans="1:15" x14ac:dyDescent="0.3">
      <c r="A90">
        <v>249254</v>
      </c>
      <c r="B90">
        <v>173</v>
      </c>
      <c r="C90" t="s">
        <v>734</v>
      </c>
      <c r="D90" t="s">
        <v>1758</v>
      </c>
      <c r="E90" t="s">
        <v>1759</v>
      </c>
      <c r="F90" s="465">
        <v>46216</v>
      </c>
      <c r="G90">
        <v>29885</v>
      </c>
      <c r="H90" t="s">
        <v>2189</v>
      </c>
      <c r="I90" t="s">
        <v>2110</v>
      </c>
      <c r="J90">
        <v>4</v>
      </c>
      <c r="K90" t="s">
        <v>2111</v>
      </c>
      <c r="L90">
        <v>1091.92</v>
      </c>
      <c r="M90">
        <v>272.98</v>
      </c>
      <c r="O90" t="s">
        <v>463</v>
      </c>
    </row>
    <row r="91" spans="1:15" x14ac:dyDescent="0.3">
      <c r="A91">
        <v>249254</v>
      </c>
      <c r="B91">
        <v>173</v>
      </c>
      <c r="C91" t="s">
        <v>734</v>
      </c>
      <c r="D91" t="s">
        <v>1758</v>
      </c>
      <c r="E91" t="s">
        <v>1759</v>
      </c>
      <c r="F91" s="465">
        <v>46216</v>
      </c>
      <c r="G91">
        <v>28008</v>
      </c>
      <c r="H91" t="s">
        <v>2172</v>
      </c>
      <c r="I91" t="s">
        <v>2110</v>
      </c>
      <c r="J91">
        <v>20</v>
      </c>
      <c r="K91" t="s">
        <v>2111</v>
      </c>
      <c r="L91">
        <v>243.8</v>
      </c>
      <c r="M91">
        <v>12.19</v>
      </c>
      <c r="O91" t="s">
        <v>463</v>
      </c>
    </row>
    <row r="92" spans="1:15" x14ac:dyDescent="0.3">
      <c r="A92">
        <v>249249</v>
      </c>
      <c r="B92">
        <v>173</v>
      </c>
      <c r="C92" t="s">
        <v>734</v>
      </c>
      <c r="D92" t="s">
        <v>1760</v>
      </c>
      <c r="E92" t="s">
        <v>1761</v>
      </c>
      <c r="F92" s="465">
        <v>46218</v>
      </c>
      <c r="G92">
        <v>26679</v>
      </c>
      <c r="H92" t="s">
        <v>2190</v>
      </c>
      <c r="I92" t="s">
        <v>2100</v>
      </c>
      <c r="J92">
        <v>55.48</v>
      </c>
      <c r="K92" t="s">
        <v>2101</v>
      </c>
      <c r="L92">
        <v>1658.7</v>
      </c>
      <c r="M92">
        <v>29.897259999999999</v>
      </c>
      <c r="O92" t="s">
        <v>463</v>
      </c>
    </row>
    <row r="93" spans="1:15" x14ac:dyDescent="0.3">
      <c r="A93">
        <v>249028</v>
      </c>
      <c r="B93">
        <v>173</v>
      </c>
      <c r="C93" t="s">
        <v>734</v>
      </c>
      <c r="D93" t="s">
        <v>1731</v>
      </c>
      <c r="E93" t="s">
        <v>1762</v>
      </c>
      <c r="F93" s="465">
        <v>46217</v>
      </c>
      <c r="G93">
        <v>27901</v>
      </c>
      <c r="H93" t="s">
        <v>2191</v>
      </c>
      <c r="I93" t="s">
        <v>2100</v>
      </c>
      <c r="J93">
        <v>41.2</v>
      </c>
      <c r="K93" t="s">
        <v>2101</v>
      </c>
      <c r="L93">
        <v>4902.8</v>
      </c>
      <c r="M93">
        <v>119</v>
      </c>
      <c r="O93" t="s">
        <v>463</v>
      </c>
    </row>
    <row r="94" spans="1:15" x14ac:dyDescent="0.3">
      <c r="A94">
        <v>249027</v>
      </c>
      <c r="B94">
        <v>173</v>
      </c>
      <c r="C94" t="s">
        <v>734</v>
      </c>
      <c r="D94" t="s">
        <v>1763</v>
      </c>
      <c r="E94" t="s">
        <v>1764</v>
      </c>
      <c r="F94" s="465">
        <v>46216</v>
      </c>
      <c r="G94">
        <v>23113</v>
      </c>
      <c r="H94" t="s">
        <v>2192</v>
      </c>
      <c r="I94" t="s">
        <v>2100</v>
      </c>
      <c r="J94">
        <v>5</v>
      </c>
      <c r="K94" t="s">
        <v>2101</v>
      </c>
      <c r="L94">
        <v>32.5</v>
      </c>
      <c r="M94">
        <v>6.5</v>
      </c>
      <c r="O94" t="s">
        <v>463</v>
      </c>
    </row>
    <row r="95" spans="1:15" x14ac:dyDescent="0.3">
      <c r="A95">
        <v>249027</v>
      </c>
      <c r="B95">
        <v>173</v>
      </c>
      <c r="C95" t="s">
        <v>734</v>
      </c>
      <c r="D95" t="s">
        <v>1763</v>
      </c>
      <c r="E95" t="s">
        <v>1764</v>
      </c>
      <c r="F95" s="465">
        <v>46216</v>
      </c>
      <c r="G95">
        <v>19570</v>
      </c>
      <c r="H95" t="s">
        <v>2193</v>
      </c>
      <c r="I95" t="s">
        <v>2100</v>
      </c>
      <c r="J95">
        <v>5</v>
      </c>
      <c r="K95" t="s">
        <v>2101</v>
      </c>
      <c r="L95">
        <v>140</v>
      </c>
      <c r="M95">
        <v>28</v>
      </c>
      <c r="O95" t="s">
        <v>463</v>
      </c>
    </row>
    <row r="96" spans="1:15" x14ac:dyDescent="0.3">
      <c r="A96">
        <v>249027</v>
      </c>
      <c r="B96">
        <v>173</v>
      </c>
      <c r="C96" t="s">
        <v>734</v>
      </c>
      <c r="D96" t="s">
        <v>1763</v>
      </c>
      <c r="E96" t="s">
        <v>1764</v>
      </c>
      <c r="F96" s="465">
        <v>46216</v>
      </c>
      <c r="G96">
        <v>23390</v>
      </c>
      <c r="H96" t="s">
        <v>2194</v>
      </c>
      <c r="I96" t="s">
        <v>2100</v>
      </c>
      <c r="J96">
        <v>4</v>
      </c>
      <c r="K96" t="s">
        <v>2101</v>
      </c>
      <c r="L96">
        <v>34</v>
      </c>
      <c r="M96">
        <v>8.5</v>
      </c>
      <c r="O96" t="s">
        <v>463</v>
      </c>
    </row>
    <row r="97" spans="1:15" x14ac:dyDescent="0.3">
      <c r="A97">
        <v>249027</v>
      </c>
      <c r="B97">
        <v>173</v>
      </c>
      <c r="C97" t="s">
        <v>734</v>
      </c>
      <c r="D97" t="s">
        <v>1763</v>
      </c>
      <c r="E97" t="s">
        <v>1764</v>
      </c>
      <c r="F97" s="465">
        <v>46216</v>
      </c>
      <c r="G97">
        <v>19617</v>
      </c>
      <c r="H97" t="s">
        <v>2195</v>
      </c>
      <c r="I97" t="s">
        <v>2100</v>
      </c>
      <c r="J97">
        <v>2</v>
      </c>
      <c r="K97" t="s">
        <v>2101</v>
      </c>
      <c r="L97">
        <v>28</v>
      </c>
      <c r="M97">
        <v>14</v>
      </c>
      <c r="O97" t="s">
        <v>463</v>
      </c>
    </row>
    <row r="98" spans="1:15" x14ac:dyDescent="0.3">
      <c r="A98">
        <v>249027</v>
      </c>
      <c r="B98">
        <v>173</v>
      </c>
      <c r="C98" t="s">
        <v>734</v>
      </c>
      <c r="D98" t="s">
        <v>1763</v>
      </c>
      <c r="E98" t="s">
        <v>1764</v>
      </c>
      <c r="F98" s="465">
        <v>46216</v>
      </c>
      <c r="G98">
        <v>19647</v>
      </c>
      <c r="H98" t="s">
        <v>2196</v>
      </c>
      <c r="I98" t="s">
        <v>2100</v>
      </c>
      <c r="J98">
        <v>6</v>
      </c>
      <c r="K98" t="s">
        <v>2101</v>
      </c>
      <c r="L98">
        <v>66</v>
      </c>
      <c r="M98">
        <v>11</v>
      </c>
      <c r="O98" t="s">
        <v>463</v>
      </c>
    </row>
    <row r="99" spans="1:15" x14ac:dyDescent="0.3">
      <c r="A99">
        <v>249027</v>
      </c>
      <c r="B99">
        <v>173</v>
      </c>
      <c r="C99" t="s">
        <v>734</v>
      </c>
      <c r="D99" t="s">
        <v>1763</v>
      </c>
      <c r="E99" t="s">
        <v>1764</v>
      </c>
      <c r="F99" s="465">
        <v>46216</v>
      </c>
      <c r="G99">
        <v>19506</v>
      </c>
      <c r="H99" t="s">
        <v>2197</v>
      </c>
      <c r="I99" t="s">
        <v>2100</v>
      </c>
      <c r="J99">
        <v>0.5</v>
      </c>
      <c r="K99" t="s">
        <v>2101</v>
      </c>
      <c r="L99">
        <v>22.5</v>
      </c>
      <c r="M99">
        <v>45</v>
      </c>
      <c r="O99" t="s">
        <v>463</v>
      </c>
    </row>
    <row r="100" spans="1:15" x14ac:dyDescent="0.3">
      <c r="A100">
        <v>249027</v>
      </c>
      <c r="B100">
        <v>173</v>
      </c>
      <c r="C100" t="s">
        <v>734</v>
      </c>
      <c r="D100" t="s">
        <v>1763</v>
      </c>
      <c r="E100" t="s">
        <v>1764</v>
      </c>
      <c r="F100" s="465">
        <v>46216</v>
      </c>
      <c r="G100">
        <v>23195</v>
      </c>
      <c r="H100" t="s">
        <v>2198</v>
      </c>
      <c r="I100" t="s">
        <v>2100</v>
      </c>
      <c r="J100">
        <v>2</v>
      </c>
      <c r="K100" t="s">
        <v>2101</v>
      </c>
      <c r="L100">
        <v>24</v>
      </c>
      <c r="M100">
        <v>12</v>
      </c>
      <c r="O100" t="s">
        <v>463</v>
      </c>
    </row>
    <row r="101" spans="1:15" x14ac:dyDescent="0.3">
      <c r="A101">
        <v>249027</v>
      </c>
      <c r="B101">
        <v>173</v>
      </c>
      <c r="C101" t="s">
        <v>734</v>
      </c>
      <c r="D101" t="s">
        <v>1763</v>
      </c>
      <c r="E101" t="s">
        <v>1764</v>
      </c>
      <c r="F101" s="465">
        <v>46216</v>
      </c>
      <c r="G101">
        <v>19488</v>
      </c>
      <c r="H101" t="s">
        <v>2199</v>
      </c>
      <c r="I101" t="s">
        <v>2100</v>
      </c>
      <c r="J101">
        <v>2</v>
      </c>
      <c r="K101" t="s">
        <v>2101</v>
      </c>
      <c r="L101">
        <v>28</v>
      </c>
      <c r="M101">
        <v>14</v>
      </c>
      <c r="O101" t="s">
        <v>463</v>
      </c>
    </row>
    <row r="102" spans="1:15" x14ac:dyDescent="0.3">
      <c r="A102">
        <v>249027</v>
      </c>
      <c r="B102">
        <v>173</v>
      </c>
      <c r="C102" t="s">
        <v>734</v>
      </c>
      <c r="D102" t="s">
        <v>1763</v>
      </c>
      <c r="E102" t="s">
        <v>1764</v>
      </c>
      <c r="F102" s="465">
        <v>46216</v>
      </c>
      <c r="G102">
        <v>28524</v>
      </c>
      <c r="H102" t="s">
        <v>2200</v>
      </c>
      <c r="I102" t="s">
        <v>2100</v>
      </c>
      <c r="J102">
        <v>0.5</v>
      </c>
      <c r="K102" t="s">
        <v>2101</v>
      </c>
      <c r="L102">
        <v>45</v>
      </c>
      <c r="M102">
        <v>90</v>
      </c>
      <c r="O102" t="s">
        <v>463</v>
      </c>
    </row>
    <row r="103" spans="1:15" x14ac:dyDescent="0.3">
      <c r="A103">
        <v>249027</v>
      </c>
      <c r="B103">
        <v>173</v>
      </c>
      <c r="C103" t="s">
        <v>734</v>
      </c>
      <c r="D103" t="s">
        <v>1763</v>
      </c>
      <c r="E103" t="s">
        <v>1764</v>
      </c>
      <c r="F103" s="465">
        <v>46216</v>
      </c>
      <c r="G103">
        <v>23346</v>
      </c>
      <c r="H103" t="s">
        <v>2128</v>
      </c>
      <c r="I103" t="s">
        <v>2100</v>
      </c>
      <c r="J103">
        <v>5</v>
      </c>
      <c r="K103" t="s">
        <v>2101</v>
      </c>
      <c r="L103">
        <v>45</v>
      </c>
      <c r="M103">
        <v>9</v>
      </c>
      <c r="O103" t="s">
        <v>463</v>
      </c>
    </row>
    <row r="104" spans="1:15" x14ac:dyDescent="0.3">
      <c r="A104">
        <v>249026</v>
      </c>
      <c r="B104">
        <v>173</v>
      </c>
      <c r="C104" t="s">
        <v>734</v>
      </c>
      <c r="D104" t="s">
        <v>1737</v>
      </c>
      <c r="E104" t="s">
        <v>1765</v>
      </c>
      <c r="F104" s="465">
        <v>46219</v>
      </c>
      <c r="G104">
        <v>20234</v>
      </c>
      <c r="H104" t="s">
        <v>2201</v>
      </c>
      <c r="I104" t="s">
        <v>2100</v>
      </c>
      <c r="J104">
        <v>40</v>
      </c>
      <c r="K104" t="s">
        <v>2101</v>
      </c>
      <c r="L104">
        <v>639.6</v>
      </c>
      <c r="M104">
        <v>15.99</v>
      </c>
      <c r="O104" t="s">
        <v>463</v>
      </c>
    </row>
    <row r="105" spans="1:15" x14ac:dyDescent="0.3">
      <c r="A105">
        <v>249025</v>
      </c>
      <c r="B105">
        <v>173</v>
      </c>
      <c r="C105" t="s">
        <v>734</v>
      </c>
      <c r="D105" t="s">
        <v>1766</v>
      </c>
      <c r="E105" t="s">
        <v>1767</v>
      </c>
      <c r="F105" s="465">
        <v>46217</v>
      </c>
      <c r="G105">
        <v>19306</v>
      </c>
      <c r="H105" t="s">
        <v>2202</v>
      </c>
      <c r="I105" t="s">
        <v>2100</v>
      </c>
      <c r="J105">
        <v>30</v>
      </c>
      <c r="K105" t="s">
        <v>2203</v>
      </c>
      <c r="L105">
        <v>531</v>
      </c>
      <c r="M105">
        <v>17.7</v>
      </c>
      <c r="O105" t="s">
        <v>463</v>
      </c>
    </row>
    <row r="106" spans="1:15" x14ac:dyDescent="0.3">
      <c r="A106">
        <v>249024</v>
      </c>
      <c r="B106">
        <v>173</v>
      </c>
      <c r="C106" t="s">
        <v>734</v>
      </c>
      <c r="D106" t="s">
        <v>1766</v>
      </c>
      <c r="E106" t="s">
        <v>1768</v>
      </c>
      <c r="F106" s="465">
        <v>46217</v>
      </c>
      <c r="G106">
        <v>20501</v>
      </c>
      <c r="H106" t="s">
        <v>2204</v>
      </c>
      <c r="I106" t="s">
        <v>2100</v>
      </c>
      <c r="J106">
        <v>30</v>
      </c>
      <c r="K106" t="s">
        <v>2101</v>
      </c>
      <c r="L106">
        <v>592.5</v>
      </c>
      <c r="M106">
        <v>19.75</v>
      </c>
      <c r="O106" t="s">
        <v>463</v>
      </c>
    </row>
    <row r="107" spans="1:15" x14ac:dyDescent="0.3">
      <c r="A107">
        <v>249023</v>
      </c>
      <c r="B107">
        <v>173</v>
      </c>
      <c r="C107" t="s">
        <v>734</v>
      </c>
      <c r="D107" t="s">
        <v>1746</v>
      </c>
      <c r="E107" t="s">
        <v>1769</v>
      </c>
      <c r="F107" s="465">
        <v>46217</v>
      </c>
      <c r="G107">
        <v>20231</v>
      </c>
      <c r="H107" t="s">
        <v>2205</v>
      </c>
      <c r="I107" t="s">
        <v>2100</v>
      </c>
      <c r="J107">
        <v>3</v>
      </c>
      <c r="K107" t="s">
        <v>2089</v>
      </c>
      <c r="L107">
        <v>49.26</v>
      </c>
      <c r="M107">
        <v>16.420000000000002</v>
      </c>
      <c r="O107" t="s">
        <v>463</v>
      </c>
    </row>
    <row r="108" spans="1:15" x14ac:dyDescent="0.3">
      <c r="A108">
        <v>249023</v>
      </c>
      <c r="B108">
        <v>173</v>
      </c>
      <c r="C108" t="s">
        <v>734</v>
      </c>
      <c r="D108" t="s">
        <v>1746</v>
      </c>
      <c r="E108" t="s">
        <v>1769</v>
      </c>
      <c r="F108" s="465">
        <v>46217</v>
      </c>
      <c r="G108">
        <v>25017</v>
      </c>
      <c r="H108" t="s">
        <v>2206</v>
      </c>
      <c r="I108" t="s">
        <v>2100</v>
      </c>
      <c r="J108">
        <v>10</v>
      </c>
      <c r="K108" t="s">
        <v>2089</v>
      </c>
      <c r="L108">
        <v>88</v>
      </c>
      <c r="M108">
        <v>8.8000000000000007</v>
      </c>
      <c r="O108" t="s">
        <v>463</v>
      </c>
    </row>
    <row r="109" spans="1:15" x14ac:dyDescent="0.3">
      <c r="A109">
        <v>249023</v>
      </c>
      <c r="B109">
        <v>173</v>
      </c>
      <c r="C109" t="s">
        <v>734</v>
      </c>
      <c r="D109" t="s">
        <v>1746</v>
      </c>
      <c r="E109" t="s">
        <v>1769</v>
      </c>
      <c r="F109" s="465">
        <v>46217</v>
      </c>
      <c r="G109">
        <v>28086</v>
      </c>
      <c r="H109" t="s">
        <v>2207</v>
      </c>
      <c r="I109" t="s">
        <v>2100</v>
      </c>
      <c r="J109">
        <v>1</v>
      </c>
      <c r="K109" t="s">
        <v>2101</v>
      </c>
      <c r="L109">
        <v>64.900000000000006</v>
      </c>
      <c r="M109">
        <v>64.900000000000006</v>
      </c>
      <c r="O109" t="s">
        <v>463</v>
      </c>
    </row>
    <row r="110" spans="1:15" x14ac:dyDescent="0.3">
      <c r="A110">
        <v>249022</v>
      </c>
      <c r="B110">
        <v>173</v>
      </c>
      <c r="C110" t="s">
        <v>734</v>
      </c>
      <c r="D110" t="s">
        <v>1770</v>
      </c>
      <c r="E110" t="s">
        <v>1771</v>
      </c>
      <c r="F110" s="465">
        <v>46218</v>
      </c>
      <c r="G110">
        <v>18720</v>
      </c>
      <c r="H110" t="s">
        <v>2208</v>
      </c>
      <c r="I110" t="s">
        <v>2100</v>
      </c>
      <c r="J110">
        <v>16</v>
      </c>
      <c r="K110" t="s">
        <v>2101</v>
      </c>
      <c r="L110">
        <v>1248</v>
      </c>
      <c r="M110">
        <v>78</v>
      </c>
      <c r="O110" t="s">
        <v>463</v>
      </c>
    </row>
    <row r="111" spans="1:15" x14ac:dyDescent="0.3">
      <c r="A111">
        <v>249021</v>
      </c>
      <c r="B111">
        <v>173</v>
      </c>
      <c r="C111" t="s">
        <v>734</v>
      </c>
      <c r="D111" t="s">
        <v>1772</v>
      </c>
      <c r="E111" t="s">
        <v>1773</v>
      </c>
      <c r="F111" s="465">
        <v>46217</v>
      </c>
      <c r="G111">
        <v>25130</v>
      </c>
      <c r="H111" t="s">
        <v>2209</v>
      </c>
      <c r="I111" t="s">
        <v>2100</v>
      </c>
      <c r="J111">
        <v>111.49</v>
      </c>
      <c r="K111" t="s">
        <v>2101</v>
      </c>
      <c r="L111">
        <v>4013.64</v>
      </c>
      <c r="M111">
        <v>36</v>
      </c>
      <c r="O111" t="s">
        <v>463</v>
      </c>
    </row>
    <row r="112" spans="1:15" x14ac:dyDescent="0.3">
      <c r="A112">
        <v>249020</v>
      </c>
      <c r="B112">
        <v>173</v>
      </c>
      <c r="C112" t="s">
        <v>734</v>
      </c>
      <c r="D112" t="s">
        <v>912</v>
      </c>
      <c r="E112" t="s">
        <v>1774</v>
      </c>
      <c r="F112" s="465">
        <v>46217</v>
      </c>
      <c r="G112">
        <v>19653</v>
      </c>
      <c r="H112" t="s">
        <v>2210</v>
      </c>
      <c r="I112" t="s">
        <v>2100</v>
      </c>
      <c r="J112">
        <v>2</v>
      </c>
      <c r="K112" t="s">
        <v>2101</v>
      </c>
      <c r="L112">
        <v>44.16</v>
      </c>
      <c r="M112">
        <v>22.08</v>
      </c>
      <c r="O112" t="s">
        <v>463</v>
      </c>
    </row>
    <row r="113" spans="1:15" x14ac:dyDescent="0.3">
      <c r="A113">
        <v>249020</v>
      </c>
      <c r="B113">
        <v>173</v>
      </c>
      <c r="C113" t="s">
        <v>734</v>
      </c>
      <c r="D113" t="s">
        <v>912</v>
      </c>
      <c r="E113" t="s">
        <v>1774</v>
      </c>
      <c r="F113" s="465">
        <v>46217</v>
      </c>
      <c r="G113">
        <v>19583</v>
      </c>
      <c r="H113" t="s">
        <v>2211</v>
      </c>
      <c r="I113" t="s">
        <v>2100</v>
      </c>
      <c r="J113">
        <v>1</v>
      </c>
      <c r="K113" t="s">
        <v>2101</v>
      </c>
      <c r="L113">
        <v>56.58</v>
      </c>
      <c r="M113">
        <v>56.58</v>
      </c>
      <c r="O113" t="s">
        <v>463</v>
      </c>
    </row>
    <row r="114" spans="1:15" x14ac:dyDescent="0.3">
      <c r="A114">
        <v>249019</v>
      </c>
      <c r="B114">
        <v>173</v>
      </c>
      <c r="C114" t="s">
        <v>734</v>
      </c>
      <c r="D114" t="s">
        <v>1775</v>
      </c>
      <c r="E114" t="s">
        <v>1776</v>
      </c>
      <c r="F114" s="465">
        <v>46217</v>
      </c>
      <c r="G114">
        <v>24509</v>
      </c>
      <c r="H114" t="s">
        <v>2212</v>
      </c>
      <c r="I114" t="s">
        <v>2100</v>
      </c>
      <c r="J114">
        <v>40</v>
      </c>
      <c r="K114" t="s">
        <v>2101</v>
      </c>
      <c r="L114">
        <v>197.6</v>
      </c>
      <c r="M114">
        <v>4.9400000000000004</v>
      </c>
      <c r="O114" t="s">
        <v>463</v>
      </c>
    </row>
    <row r="115" spans="1:15" x14ac:dyDescent="0.3">
      <c r="A115">
        <v>249018</v>
      </c>
      <c r="B115">
        <v>173</v>
      </c>
      <c r="C115" t="s">
        <v>734</v>
      </c>
      <c r="D115" t="s">
        <v>1763</v>
      </c>
      <c r="E115" t="s">
        <v>1777</v>
      </c>
      <c r="F115" s="465">
        <v>46217</v>
      </c>
      <c r="G115">
        <v>19476</v>
      </c>
      <c r="H115" t="s">
        <v>2213</v>
      </c>
      <c r="I115" t="s">
        <v>2100</v>
      </c>
      <c r="J115">
        <v>2</v>
      </c>
      <c r="K115" t="s">
        <v>2101</v>
      </c>
      <c r="L115">
        <v>120</v>
      </c>
      <c r="M115">
        <v>60</v>
      </c>
      <c r="O115" t="s">
        <v>463</v>
      </c>
    </row>
    <row r="116" spans="1:15" x14ac:dyDescent="0.3">
      <c r="A116">
        <v>249018</v>
      </c>
      <c r="B116">
        <v>173</v>
      </c>
      <c r="C116" t="s">
        <v>734</v>
      </c>
      <c r="D116" t="s">
        <v>1763</v>
      </c>
      <c r="E116" t="s">
        <v>1777</v>
      </c>
      <c r="F116" s="465">
        <v>46217</v>
      </c>
      <c r="G116">
        <v>19623</v>
      </c>
      <c r="H116" t="s">
        <v>2214</v>
      </c>
      <c r="I116" t="s">
        <v>2100</v>
      </c>
      <c r="J116">
        <v>30</v>
      </c>
      <c r="K116" t="s">
        <v>2101</v>
      </c>
      <c r="L116">
        <v>207</v>
      </c>
      <c r="M116">
        <v>6.9</v>
      </c>
      <c r="O116" t="s">
        <v>463</v>
      </c>
    </row>
    <row r="117" spans="1:15" x14ac:dyDescent="0.3">
      <c r="A117">
        <v>249018</v>
      </c>
      <c r="B117">
        <v>173</v>
      </c>
      <c r="C117" t="s">
        <v>734</v>
      </c>
      <c r="D117" t="s">
        <v>1763</v>
      </c>
      <c r="E117" t="s">
        <v>1777</v>
      </c>
      <c r="F117" s="465">
        <v>46217</v>
      </c>
      <c r="G117">
        <v>19788</v>
      </c>
      <c r="H117" t="s">
        <v>2129</v>
      </c>
      <c r="I117" t="s">
        <v>2100</v>
      </c>
      <c r="J117">
        <v>8</v>
      </c>
      <c r="K117" t="s">
        <v>2101</v>
      </c>
      <c r="L117">
        <v>56</v>
      </c>
      <c r="M117">
        <v>7</v>
      </c>
      <c r="O117" t="s">
        <v>463</v>
      </c>
    </row>
    <row r="118" spans="1:15" x14ac:dyDescent="0.3">
      <c r="A118">
        <v>249018</v>
      </c>
      <c r="B118">
        <v>173</v>
      </c>
      <c r="C118" t="s">
        <v>734</v>
      </c>
      <c r="D118" t="s">
        <v>1763</v>
      </c>
      <c r="E118" t="s">
        <v>1777</v>
      </c>
      <c r="F118" s="465">
        <v>46217</v>
      </c>
      <c r="G118">
        <v>23113</v>
      </c>
      <c r="H118" t="s">
        <v>2192</v>
      </c>
      <c r="I118" t="s">
        <v>2100</v>
      </c>
      <c r="J118">
        <v>2</v>
      </c>
      <c r="K118" t="s">
        <v>2101</v>
      </c>
      <c r="L118">
        <v>12</v>
      </c>
      <c r="M118">
        <v>6</v>
      </c>
      <c r="O118" t="s">
        <v>463</v>
      </c>
    </row>
    <row r="119" spans="1:15" x14ac:dyDescent="0.3">
      <c r="A119">
        <v>249018</v>
      </c>
      <c r="B119">
        <v>173</v>
      </c>
      <c r="C119" t="s">
        <v>734</v>
      </c>
      <c r="D119" t="s">
        <v>1763</v>
      </c>
      <c r="E119" t="s">
        <v>1777</v>
      </c>
      <c r="F119" s="465">
        <v>46217</v>
      </c>
      <c r="G119">
        <v>19621</v>
      </c>
      <c r="H119" t="s">
        <v>2215</v>
      </c>
      <c r="I119" t="s">
        <v>2100</v>
      </c>
      <c r="J119">
        <v>5</v>
      </c>
      <c r="K119" t="s">
        <v>2101</v>
      </c>
      <c r="L119">
        <v>25</v>
      </c>
      <c r="M119">
        <v>5</v>
      </c>
      <c r="O119" t="s">
        <v>463</v>
      </c>
    </row>
    <row r="120" spans="1:15" x14ac:dyDescent="0.3">
      <c r="A120">
        <v>249018</v>
      </c>
      <c r="B120">
        <v>173</v>
      </c>
      <c r="C120" t="s">
        <v>734</v>
      </c>
      <c r="D120" t="s">
        <v>1763</v>
      </c>
      <c r="E120" t="s">
        <v>1777</v>
      </c>
      <c r="F120" s="465">
        <v>46217</v>
      </c>
      <c r="G120">
        <v>24037</v>
      </c>
      <c r="H120" t="s">
        <v>2216</v>
      </c>
      <c r="I120" t="s">
        <v>2100</v>
      </c>
      <c r="J120">
        <v>3</v>
      </c>
      <c r="K120" t="s">
        <v>2101</v>
      </c>
      <c r="L120">
        <v>52.5</v>
      </c>
      <c r="M120">
        <v>17.5</v>
      </c>
      <c r="O120" t="s">
        <v>463</v>
      </c>
    </row>
    <row r="121" spans="1:15" x14ac:dyDescent="0.3">
      <c r="A121">
        <v>249017</v>
      </c>
      <c r="B121">
        <v>173</v>
      </c>
      <c r="C121" t="s">
        <v>734</v>
      </c>
      <c r="D121" t="s">
        <v>1778</v>
      </c>
      <c r="E121" t="s">
        <v>1779</v>
      </c>
      <c r="F121" s="465">
        <v>46218</v>
      </c>
      <c r="G121">
        <v>20738</v>
      </c>
      <c r="H121" t="s">
        <v>2217</v>
      </c>
      <c r="I121" t="s">
        <v>2100</v>
      </c>
      <c r="J121">
        <v>6</v>
      </c>
      <c r="K121" t="s">
        <v>2218</v>
      </c>
      <c r="L121">
        <v>533.94000000000005</v>
      </c>
      <c r="M121">
        <v>88.99</v>
      </c>
      <c r="O121" t="s">
        <v>463</v>
      </c>
    </row>
    <row r="122" spans="1:15" x14ac:dyDescent="0.3">
      <c r="A122">
        <v>249016</v>
      </c>
      <c r="B122">
        <v>173</v>
      </c>
      <c r="C122" t="s">
        <v>734</v>
      </c>
      <c r="D122" t="s">
        <v>1780</v>
      </c>
      <c r="E122" t="s">
        <v>1781</v>
      </c>
      <c r="F122" s="465">
        <v>46222</v>
      </c>
      <c r="G122">
        <v>26443</v>
      </c>
      <c r="H122" t="s">
        <v>2219</v>
      </c>
      <c r="I122" t="s">
        <v>2100</v>
      </c>
      <c r="J122">
        <v>23.36</v>
      </c>
      <c r="K122" t="s">
        <v>2101</v>
      </c>
      <c r="L122">
        <v>987.89</v>
      </c>
      <c r="M122">
        <v>42.289811999999998</v>
      </c>
      <c r="O122" t="s">
        <v>463</v>
      </c>
    </row>
    <row r="123" spans="1:15" x14ac:dyDescent="0.3">
      <c r="A123">
        <v>249015</v>
      </c>
      <c r="B123">
        <v>173</v>
      </c>
      <c r="C123" t="s">
        <v>734</v>
      </c>
      <c r="D123" t="s">
        <v>1782</v>
      </c>
      <c r="E123" t="s">
        <v>1783</v>
      </c>
      <c r="F123" s="465">
        <v>46217</v>
      </c>
      <c r="G123">
        <v>20145</v>
      </c>
      <c r="H123" t="s">
        <v>2220</v>
      </c>
      <c r="I123" t="s">
        <v>2100</v>
      </c>
      <c r="J123">
        <v>20</v>
      </c>
      <c r="K123" t="s">
        <v>2111</v>
      </c>
      <c r="L123">
        <v>79.599999999999994</v>
      </c>
      <c r="M123">
        <v>3.98</v>
      </c>
      <c r="O123" t="s">
        <v>463</v>
      </c>
    </row>
    <row r="124" spans="1:15" x14ac:dyDescent="0.3">
      <c r="A124">
        <v>249015</v>
      </c>
      <c r="B124">
        <v>173</v>
      </c>
      <c r="C124" t="s">
        <v>734</v>
      </c>
      <c r="D124" t="s">
        <v>1782</v>
      </c>
      <c r="E124" t="s">
        <v>1783</v>
      </c>
      <c r="F124" s="465">
        <v>46217</v>
      </c>
      <c r="G124">
        <v>20660</v>
      </c>
      <c r="H124" t="s">
        <v>2221</v>
      </c>
      <c r="I124" t="s">
        <v>2100</v>
      </c>
      <c r="J124">
        <v>6</v>
      </c>
      <c r="K124" t="s">
        <v>2111</v>
      </c>
      <c r="L124">
        <v>419.4</v>
      </c>
      <c r="M124">
        <v>69.900000000000006</v>
      </c>
      <c r="O124" t="s">
        <v>463</v>
      </c>
    </row>
    <row r="125" spans="1:15" x14ac:dyDescent="0.3">
      <c r="A125">
        <v>249014</v>
      </c>
      <c r="B125">
        <v>173</v>
      </c>
      <c r="C125" t="s">
        <v>734</v>
      </c>
      <c r="D125" t="s">
        <v>1784</v>
      </c>
      <c r="E125" t="s">
        <v>1785</v>
      </c>
      <c r="F125" s="465">
        <v>46217</v>
      </c>
      <c r="G125">
        <v>20689</v>
      </c>
      <c r="H125" t="s">
        <v>2222</v>
      </c>
      <c r="I125" t="s">
        <v>2100</v>
      </c>
      <c r="J125">
        <v>24</v>
      </c>
      <c r="K125" t="s">
        <v>2111</v>
      </c>
      <c r="L125">
        <v>768</v>
      </c>
      <c r="M125">
        <v>32</v>
      </c>
      <c r="O125" t="s">
        <v>463</v>
      </c>
    </row>
    <row r="126" spans="1:15" x14ac:dyDescent="0.3">
      <c r="A126">
        <v>249013</v>
      </c>
      <c r="B126">
        <v>173</v>
      </c>
      <c r="C126" t="s">
        <v>734</v>
      </c>
      <c r="D126" t="s">
        <v>1721</v>
      </c>
      <c r="E126" t="s">
        <v>1786</v>
      </c>
      <c r="F126" s="465">
        <v>46218</v>
      </c>
      <c r="G126">
        <v>18696</v>
      </c>
      <c r="H126" t="s">
        <v>2223</v>
      </c>
      <c r="I126" t="s">
        <v>2100</v>
      </c>
      <c r="J126">
        <v>51</v>
      </c>
      <c r="K126" t="s">
        <v>2101</v>
      </c>
      <c r="L126">
        <v>856.8</v>
      </c>
      <c r="M126">
        <v>16.8</v>
      </c>
      <c r="O126" t="s">
        <v>463</v>
      </c>
    </row>
    <row r="127" spans="1:15" x14ac:dyDescent="0.3">
      <c r="A127">
        <v>248781</v>
      </c>
      <c r="B127">
        <v>173</v>
      </c>
      <c r="C127" t="s">
        <v>734</v>
      </c>
      <c r="D127" t="s">
        <v>1760</v>
      </c>
      <c r="E127" t="s">
        <v>1761</v>
      </c>
      <c r="F127" s="465">
        <v>46218</v>
      </c>
      <c r="G127">
        <v>18973</v>
      </c>
      <c r="H127" t="s">
        <v>2224</v>
      </c>
      <c r="I127" t="s">
        <v>2100</v>
      </c>
      <c r="J127">
        <v>21.19</v>
      </c>
      <c r="K127" t="s">
        <v>2101</v>
      </c>
      <c r="L127">
        <v>209.78</v>
      </c>
      <c r="M127">
        <v>9.899953</v>
      </c>
      <c r="O127" t="s">
        <v>463</v>
      </c>
    </row>
    <row r="128" spans="1:15" x14ac:dyDescent="0.3">
      <c r="A128">
        <v>248781</v>
      </c>
      <c r="B128">
        <v>173</v>
      </c>
      <c r="C128" t="s">
        <v>734</v>
      </c>
      <c r="D128" t="s">
        <v>1760</v>
      </c>
      <c r="E128" t="s">
        <v>1761</v>
      </c>
      <c r="F128" s="465">
        <v>46218</v>
      </c>
      <c r="G128">
        <v>24191</v>
      </c>
      <c r="H128" t="s">
        <v>2225</v>
      </c>
      <c r="I128" t="s">
        <v>2100</v>
      </c>
      <c r="J128">
        <v>20</v>
      </c>
      <c r="K128" t="s">
        <v>2101</v>
      </c>
      <c r="L128">
        <v>798</v>
      </c>
      <c r="M128">
        <v>39.9</v>
      </c>
      <c r="O128" t="s">
        <v>463</v>
      </c>
    </row>
    <row r="129" spans="1:15" x14ac:dyDescent="0.3">
      <c r="A129">
        <v>248780</v>
      </c>
      <c r="B129">
        <v>173</v>
      </c>
      <c r="C129" t="s">
        <v>734</v>
      </c>
      <c r="D129" t="s">
        <v>1726</v>
      </c>
      <c r="E129" t="s">
        <v>1787</v>
      </c>
      <c r="F129" s="465">
        <v>46215</v>
      </c>
      <c r="G129">
        <v>19895</v>
      </c>
      <c r="H129" t="s">
        <v>2226</v>
      </c>
      <c r="I129" t="s">
        <v>2100</v>
      </c>
      <c r="J129">
        <v>5</v>
      </c>
      <c r="K129" t="s">
        <v>2227</v>
      </c>
      <c r="L129">
        <v>169</v>
      </c>
      <c r="M129">
        <v>33.799999999999997</v>
      </c>
      <c r="O129" t="s">
        <v>463</v>
      </c>
    </row>
    <row r="130" spans="1:15" x14ac:dyDescent="0.3">
      <c r="A130">
        <v>248780</v>
      </c>
      <c r="B130">
        <v>173</v>
      </c>
      <c r="C130" t="s">
        <v>734</v>
      </c>
      <c r="D130" t="s">
        <v>1726</v>
      </c>
      <c r="E130" t="s">
        <v>1787</v>
      </c>
      <c r="F130" s="465">
        <v>46215</v>
      </c>
      <c r="G130">
        <v>24125</v>
      </c>
      <c r="H130" t="s">
        <v>2228</v>
      </c>
      <c r="I130" t="s">
        <v>2100</v>
      </c>
      <c r="J130">
        <v>4</v>
      </c>
      <c r="K130" t="s">
        <v>2101</v>
      </c>
      <c r="L130">
        <v>97.6</v>
      </c>
      <c r="M130">
        <v>24.4</v>
      </c>
      <c r="O130" t="s">
        <v>463</v>
      </c>
    </row>
    <row r="131" spans="1:15" x14ac:dyDescent="0.3">
      <c r="A131">
        <v>248778</v>
      </c>
      <c r="B131">
        <v>173</v>
      </c>
      <c r="C131" t="s">
        <v>734</v>
      </c>
      <c r="D131" t="s">
        <v>1788</v>
      </c>
      <c r="E131" t="s">
        <v>1789</v>
      </c>
      <c r="F131" s="465">
        <v>46216</v>
      </c>
      <c r="G131">
        <v>18822</v>
      </c>
      <c r="H131" t="s">
        <v>2229</v>
      </c>
      <c r="I131" t="s">
        <v>2100</v>
      </c>
      <c r="J131">
        <v>46.95</v>
      </c>
      <c r="K131" t="s">
        <v>2101</v>
      </c>
      <c r="L131">
        <v>4929.2299999999996</v>
      </c>
      <c r="M131">
        <v>104.988924</v>
      </c>
      <c r="O131" t="s">
        <v>463</v>
      </c>
    </row>
    <row r="132" spans="1:15" x14ac:dyDescent="0.3">
      <c r="A132">
        <v>248777</v>
      </c>
      <c r="B132">
        <v>173</v>
      </c>
      <c r="C132" t="s">
        <v>734</v>
      </c>
      <c r="D132" t="s">
        <v>1733</v>
      </c>
      <c r="E132" t="s">
        <v>1790</v>
      </c>
      <c r="F132" s="465">
        <v>46217</v>
      </c>
      <c r="G132">
        <v>28755</v>
      </c>
      <c r="H132" t="s">
        <v>2230</v>
      </c>
      <c r="I132" t="s">
        <v>2100</v>
      </c>
      <c r="J132">
        <v>42.1</v>
      </c>
      <c r="K132" t="s">
        <v>2101</v>
      </c>
      <c r="L132">
        <v>1595.59</v>
      </c>
      <c r="M132">
        <v>37.9</v>
      </c>
      <c r="O132" t="s">
        <v>463</v>
      </c>
    </row>
    <row r="133" spans="1:15" x14ac:dyDescent="0.3">
      <c r="A133">
        <v>248775</v>
      </c>
      <c r="B133">
        <v>173</v>
      </c>
      <c r="C133" t="s">
        <v>734</v>
      </c>
      <c r="D133" t="s">
        <v>1733</v>
      </c>
      <c r="E133" t="s">
        <v>1791</v>
      </c>
      <c r="F133" s="465">
        <v>46217</v>
      </c>
      <c r="G133">
        <v>19017</v>
      </c>
      <c r="H133" t="s">
        <v>2231</v>
      </c>
      <c r="I133" t="s">
        <v>2100</v>
      </c>
      <c r="J133">
        <v>60</v>
      </c>
      <c r="K133" t="s">
        <v>2101</v>
      </c>
      <c r="L133">
        <v>899.4</v>
      </c>
      <c r="M133">
        <v>14.99</v>
      </c>
      <c r="O133" t="s">
        <v>463</v>
      </c>
    </row>
    <row r="134" spans="1:15" x14ac:dyDescent="0.3">
      <c r="A134">
        <v>248689</v>
      </c>
      <c r="B134">
        <v>173</v>
      </c>
      <c r="C134" t="s">
        <v>734</v>
      </c>
      <c r="D134" t="s">
        <v>1733</v>
      </c>
      <c r="E134" t="s">
        <v>1792</v>
      </c>
      <c r="F134" s="465">
        <v>46217</v>
      </c>
      <c r="G134">
        <v>24389</v>
      </c>
      <c r="H134" t="s">
        <v>2232</v>
      </c>
      <c r="I134" t="s">
        <v>2100</v>
      </c>
      <c r="J134">
        <v>49.35</v>
      </c>
      <c r="K134" t="s">
        <v>2101</v>
      </c>
      <c r="L134">
        <v>1579.2</v>
      </c>
      <c r="M134">
        <v>32</v>
      </c>
      <c r="O134" t="s">
        <v>463</v>
      </c>
    </row>
    <row r="135" spans="1:15" x14ac:dyDescent="0.3">
      <c r="A135">
        <v>248689</v>
      </c>
      <c r="B135">
        <v>173</v>
      </c>
      <c r="C135" t="s">
        <v>734</v>
      </c>
      <c r="D135" t="s">
        <v>1733</v>
      </c>
      <c r="E135" t="s">
        <v>1792</v>
      </c>
      <c r="F135" s="465">
        <v>46217</v>
      </c>
      <c r="G135">
        <v>22871</v>
      </c>
      <c r="H135" t="s">
        <v>2233</v>
      </c>
      <c r="I135" t="s">
        <v>2100</v>
      </c>
      <c r="J135">
        <v>62</v>
      </c>
      <c r="K135" t="s">
        <v>2101</v>
      </c>
      <c r="L135">
        <v>2033.6</v>
      </c>
      <c r="M135">
        <v>32.799999999999997</v>
      </c>
      <c r="O135" t="s">
        <v>463</v>
      </c>
    </row>
    <row r="136" spans="1:15" x14ac:dyDescent="0.3">
      <c r="A136">
        <v>248689</v>
      </c>
      <c r="B136">
        <v>173</v>
      </c>
      <c r="C136" t="s">
        <v>734</v>
      </c>
      <c r="D136" t="s">
        <v>1733</v>
      </c>
      <c r="E136" t="s">
        <v>1792</v>
      </c>
      <c r="F136" s="465">
        <v>46217</v>
      </c>
      <c r="G136">
        <v>19034</v>
      </c>
      <c r="H136" t="s">
        <v>2234</v>
      </c>
      <c r="I136" t="s">
        <v>2100</v>
      </c>
      <c r="J136">
        <v>54</v>
      </c>
      <c r="K136" t="s">
        <v>2101</v>
      </c>
      <c r="L136">
        <v>529.20000000000005</v>
      </c>
      <c r="M136">
        <v>9.8000000000000007</v>
      </c>
      <c r="O136" t="s">
        <v>463</v>
      </c>
    </row>
    <row r="137" spans="1:15" x14ac:dyDescent="0.3">
      <c r="A137">
        <v>248688</v>
      </c>
      <c r="B137">
        <v>173</v>
      </c>
      <c r="C137" t="s">
        <v>734</v>
      </c>
      <c r="D137" t="s">
        <v>1721</v>
      </c>
      <c r="E137" t="s">
        <v>1793</v>
      </c>
      <c r="F137" s="465">
        <v>46217</v>
      </c>
      <c r="G137">
        <v>20549</v>
      </c>
      <c r="H137" t="s">
        <v>2235</v>
      </c>
      <c r="I137" t="s">
        <v>2100</v>
      </c>
      <c r="J137">
        <v>55.7</v>
      </c>
      <c r="K137" t="s">
        <v>2101</v>
      </c>
      <c r="L137">
        <v>1113.44</v>
      </c>
      <c r="M137">
        <v>19.989946</v>
      </c>
      <c r="O137" t="s">
        <v>463</v>
      </c>
    </row>
    <row r="138" spans="1:15" x14ac:dyDescent="0.3">
      <c r="A138">
        <v>248683</v>
      </c>
      <c r="B138">
        <v>173</v>
      </c>
      <c r="C138" t="s">
        <v>734</v>
      </c>
      <c r="D138" t="s">
        <v>1794</v>
      </c>
      <c r="E138" t="s">
        <v>1795</v>
      </c>
      <c r="F138" s="465">
        <v>46216</v>
      </c>
      <c r="G138">
        <v>25233</v>
      </c>
      <c r="H138" t="s">
        <v>2236</v>
      </c>
      <c r="I138" t="s">
        <v>2100</v>
      </c>
      <c r="J138">
        <v>10</v>
      </c>
      <c r="K138" t="s">
        <v>2237</v>
      </c>
      <c r="L138">
        <v>994.6</v>
      </c>
      <c r="M138">
        <v>99.46</v>
      </c>
      <c r="O138" t="s">
        <v>463</v>
      </c>
    </row>
    <row r="139" spans="1:15" x14ac:dyDescent="0.3">
      <c r="A139">
        <v>248678</v>
      </c>
      <c r="B139">
        <v>173</v>
      </c>
      <c r="C139" t="s">
        <v>734</v>
      </c>
      <c r="D139" t="s">
        <v>1796</v>
      </c>
      <c r="E139" t="s">
        <v>1797</v>
      </c>
      <c r="F139" s="465">
        <v>46217</v>
      </c>
      <c r="G139">
        <v>28212</v>
      </c>
      <c r="H139" t="s">
        <v>2238</v>
      </c>
      <c r="I139" t="s">
        <v>2100</v>
      </c>
      <c r="J139">
        <v>50.3</v>
      </c>
      <c r="K139" t="s">
        <v>2101</v>
      </c>
      <c r="L139">
        <v>2414.4</v>
      </c>
      <c r="M139">
        <v>48</v>
      </c>
      <c r="O139" t="s">
        <v>463</v>
      </c>
    </row>
    <row r="140" spans="1:15" x14ac:dyDescent="0.3">
      <c r="A140">
        <v>248676</v>
      </c>
      <c r="B140">
        <v>173</v>
      </c>
      <c r="C140" t="s">
        <v>734</v>
      </c>
      <c r="D140" t="s">
        <v>1798</v>
      </c>
      <c r="E140" t="s">
        <v>1799</v>
      </c>
      <c r="F140" s="465">
        <v>46217</v>
      </c>
      <c r="G140">
        <v>19842</v>
      </c>
      <c r="H140" t="s">
        <v>2239</v>
      </c>
      <c r="I140" t="s">
        <v>2100</v>
      </c>
      <c r="J140">
        <v>20</v>
      </c>
      <c r="K140" t="s">
        <v>2101</v>
      </c>
      <c r="L140">
        <v>840</v>
      </c>
      <c r="M140">
        <v>42</v>
      </c>
      <c r="O140" t="s">
        <v>463</v>
      </c>
    </row>
    <row r="141" spans="1:15" x14ac:dyDescent="0.3">
      <c r="A141">
        <v>248676</v>
      </c>
      <c r="B141">
        <v>173</v>
      </c>
      <c r="C141" t="s">
        <v>734</v>
      </c>
      <c r="D141" t="s">
        <v>1798</v>
      </c>
      <c r="E141" t="s">
        <v>1799</v>
      </c>
      <c r="F141" s="465">
        <v>46217</v>
      </c>
      <c r="G141">
        <v>19841</v>
      </c>
      <c r="H141" t="s">
        <v>2240</v>
      </c>
      <c r="I141" t="s">
        <v>2100</v>
      </c>
      <c r="J141">
        <v>20</v>
      </c>
      <c r="K141" t="s">
        <v>2101</v>
      </c>
      <c r="L141">
        <v>400</v>
      </c>
      <c r="M141">
        <v>20</v>
      </c>
      <c r="O141" t="s">
        <v>463</v>
      </c>
    </row>
    <row r="142" spans="1:15" x14ac:dyDescent="0.3">
      <c r="A142">
        <v>248676</v>
      </c>
      <c r="B142">
        <v>173</v>
      </c>
      <c r="C142" t="s">
        <v>734</v>
      </c>
      <c r="D142" t="s">
        <v>1798</v>
      </c>
      <c r="E142" t="s">
        <v>1799</v>
      </c>
      <c r="F142" s="465">
        <v>46217</v>
      </c>
      <c r="G142">
        <v>19845</v>
      </c>
      <c r="H142" t="s">
        <v>2241</v>
      </c>
      <c r="I142" t="s">
        <v>2100</v>
      </c>
      <c r="J142">
        <v>20</v>
      </c>
      <c r="K142" t="s">
        <v>2101</v>
      </c>
      <c r="L142">
        <v>742</v>
      </c>
      <c r="M142">
        <v>37.1</v>
      </c>
      <c r="O142" t="s">
        <v>463</v>
      </c>
    </row>
    <row r="143" spans="1:15" x14ac:dyDescent="0.3">
      <c r="A143">
        <v>248626</v>
      </c>
      <c r="B143">
        <v>173</v>
      </c>
      <c r="C143" t="s">
        <v>734</v>
      </c>
      <c r="D143" t="s">
        <v>1755</v>
      </c>
      <c r="E143" t="s">
        <v>1800</v>
      </c>
      <c r="F143" s="465">
        <v>46213</v>
      </c>
      <c r="G143">
        <v>29723</v>
      </c>
      <c r="H143" t="s">
        <v>2176</v>
      </c>
      <c r="I143" t="s">
        <v>2177</v>
      </c>
      <c r="J143">
        <v>5</v>
      </c>
      <c r="K143" t="s">
        <v>2089</v>
      </c>
      <c r="L143">
        <v>875</v>
      </c>
      <c r="M143">
        <v>175</v>
      </c>
      <c r="O143" t="s">
        <v>463</v>
      </c>
    </row>
    <row r="144" spans="1:15" x14ac:dyDescent="0.3">
      <c r="A144">
        <v>248625</v>
      </c>
      <c r="B144">
        <v>173</v>
      </c>
      <c r="C144" t="s">
        <v>734</v>
      </c>
      <c r="D144" t="s">
        <v>1755</v>
      </c>
      <c r="E144" t="s">
        <v>1013</v>
      </c>
      <c r="F144" s="465">
        <v>46206</v>
      </c>
      <c r="G144">
        <v>17404</v>
      </c>
      <c r="H144" t="s">
        <v>2187</v>
      </c>
      <c r="I144" t="s">
        <v>2105</v>
      </c>
      <c r="J144">
        <v>10</v>
      </c>
      <c r="K144" t="s">
        <v>2111</v>
      </c>
      <c r="L144">
        <v>270</v>
      </c>
      <c r="M144">
        <v>27</v>
      </c>
      <c r="O144" t="s">
        <v>463</v>
      </c>
    </row>
    <row r="145" spans="1:15" x14ac:dyDescent="0.3">
      <c r="A145">
        <v>248625</v>
      </c>
      <c r="B145">
        <v>173</v>
      </c>
      <c r="C145" t="s">
        <v>734</v>
      </c>
      <c r="D145" t="s">
        <v>1755</v>
      </c>
      <c r="E145" t="s">
        <v>1013</v>
      </c>
      <c r="F145" s="465">
        <v>46206</v>
      </c>
      <c r="G145">
        <v>17532</v>
      </c>
      <c r="H145" t="s">
        <v>2242</v>
      </c>
      <c r="I145" t="s">
        <v>2105</v>
      </c>
      <c r="J145">
        <v>1</v>
      </c>
      <c r="K145" t="s">
        <v>2118</v>
      </c>
      <c r="L145">
        <v>98</v>
      </c>
      <c r="M145">
        <v>98</v>
      </c>
      <c r="O145" t="s">
        <v>463</v>
      </c>
    </row>
    <row r="146" spans="1:15" x14ac:dyDescent="0.3">
      <c r="A146">
        <v>248625</v>
      </c>
      <c r="B146">
        <v>173</v>
      </c>
      <c r="C146" t="s">
        <v>734</v>
      </c>
      <c r="D146" t="s">
        <v>1755</v>
      </c>
      <c r="E146" t="s">
        <v>1013</v>
      </c>
      <c r="F146" s="465">
        <v>46206</v>
      </c>
      <c r="G146">
        <v>17116</v>
      </c>
      <c r="H146" t="s">
        <v>2243</v>
      </c>
      <c r="I146" t="s">
        <v>2105</v>
      </c>
      <c r="J146">
        <v>4</v>
      </c>
      <c r="K146" t="s">
        <v>2111</v>
      </c>
      <c r="L146">
        <v>112</v>
      </c>
      <c r="M146">
        <v>28</v>
      </c>
      <c r="O146" t="s">
        <v>463</v>
      </c>
    </row>
    <row r="147" spans="1:15" x14ac:dyDescent="0.3">
      <c r="A147">
        <v>248625</v>
      </c>
      <c r="B147">
        <v>173</v>
      </c>
      <c r="C147" t="s">
        <v>734</v>
      </c>
      <c r="D147" t="s">
        <v>1755</v>
      </c>
      <c r="E147" t="s">
        <v>1013</v>
      </c>
      <c r="F147" s="465">
        <v>46206</v>
      </c>
      <c r="G147">
        <v>21587</v>
      </c>
      <c r="H147" t="s">
        <v>2244</v>
      </c>
      <c r="I147" t="s">
        <v>2105</v>
      </c>
      <c r="J147">
        <v>10</v>
      </c>
      <c r="K147" t="s">
        <v>2111</v>
      </c>
      <c r="L147">
        <v>69</v>
      </c>
      <c r="M147">
        <v>6.9</v>
      </c>
      <c r="O147" t="s">
        <v>463</v>
      </c>
    </row>
    <row r="148" spans="1:15" x14ac:dyDescent="0.3">
      <c r="A148">
        <v>248625</v>
      </c>
      <c r="B148">
        <v>173</v>
      </c>
      <c r="C148" t="s">
        <v>734</v>
      </c>
      <c r="D148" t="s">
        <v>1755</v>
      </c>
      <c r="E148" t="s">
        <v>1013</v>
      </c>
      <c r="F148" s="465">
        <v>46206</v>
      </c>
      <c r="G148">
        <v>17409</v>
      </c>
      <c r="H148" t="s">
        <v>2245</v>
      </c>
      <c r="I148" t="s">
        <v>2105</v>
      </c>
      <c r="J148">
        <v>2</v>
      </c>
      <c r="K148" t="s">
        <v>2089</v>
      </c>
      <c r="L148">
        <v>90</v>
      </c>
      <c r="M148">
        <v>45</v>
      </c>
      <c r="O148" t="s">
        <v>463</v>
      </c>
    </row>
    <row r="149" spans="1:15" x14ac:dyDescent="0.3">
      <c r="A149">
        <v>248625</v>
      </c>
      <c r="B149">
        <v>173</v>
      </c>
      <c r="C149" t="s">
        <v>734</v>
      </c>
      <c r="D149" t="s">
        <v>1755</v>
      </c>
      <c r="E149" t="s">
        <v>1013</v>
      </c>
      <c r="F149" s="465">
        <v>46206</v>
      </c>
      <c r="G149">
        <v>29869</v>
      </c>
      <c r="H149" t="s">
        <v>2246</v>
      </c>
      <c r="I149" t="s">
        <v>2110</v>
      </c>
      <c r="J149">
        <v>10</v>
      </c>
      <c r="K149" t="s">
        <v>2111</v>
      </c>
      <c r="L149">
        <v>450</v>
      </c>
      <c r="M149">
        <v>45</v>
      </c>
      <c r="O149" t="s">
        <v>463</v>
      </c>
    </row>
    <row r="150" spans="1:15" x14ac:dyDescent="0.3">
      <c r="A150">
        <v>248625</v>
      </c>
      <c r="B150">
        <v>173</v>
      </c>
      <c r="C150" t="s">
        <v>734</v>
      </c>
      <c r="D150" t="s">
        <v>1755</v>
      </c>
      <c r="E150" t="s">
        <v>1013</v>
      </c>
      <c r="F150" s="465">
        <v>46206</v>
      </c>
      <c r="G150">
        <v>23971</v>
      </c>
      <c r="H150" t="s">
        <v>2247</v>
      </c>
      <c r="I150" t="s">
        <v>2248</v>
      </c>
      <c r="J150">
        <v>7</v>
      </c>
      <c r="K150" t="s">
        <v>2111</v>
      </c>
      <c r="L150">
        <v>76.3</v>
      </c>
      <c r="M150">
        <v>10.9</v>
      </c>
      <c r="O150" t="s">
        <v>463</v>
      </c>
    </row>
    <row r="151" spans="1:15" x14ac:dyDescent="0.3">
      <c r="A151">
        <v>248625</v>
      </c>
      <c r="B151">
        <v>173</v>
      </c>
      <c r="C151" t="s">
        <v>734</v>
      </c>
      <c r="D151" t="s">
        <v>1755</v>
      </c>
      <c r="E151" t="s">
        <v>1013</v>
      </c>
      <c r="F151" s="465">
        <v>46206</v>
      </c>
      <c r="G151">
        <v>24495</v>
      </c>
      <c r="H151" t="s">
        <v>2249</v>
      </c>
      <c r="I151" t="s">
        <v>2105</v>
      </c>
      <c r="J151">
        <v>10</v>
      </c>
      <c r="K151" t="s">
        <v>2111</v>
      </c>
      <c r="L151">
        <v>388.9</v>
      </c>
      <c r="M151">
        <v>38.89</v>
      </c>
      <c r="O151" t="s">
        <v>463</v>
      </c>
    </row>
    <row r="152" spans="1:15" x14ac:dyDescent="0.3">
      <c r="A152">
        <v>248625</v>
      </c>
      <c r="B152">
        <v>173</v>
      </c>
      <c r="C152" t="s">
        <v>734</v>
      </c>
      <c r="D152" t="s">
        <v>1755</v>
      </c>
      <c r="E152" t="s">
        <v>1013</v>
      </c>
      <c r="F152" s="465">
        <v>46206</v>
      </c>
      <c r="G152">
        <v>27167</v>
      </c>
      <c r="H152" t="s">
        <v>2250</v>
      </c>
      <c r="I152" t="s">
        <v>2177</v>
      </c>
      <c r="J152">
        <v>3</v>
      </c>
      <c r="K152" t="s">
        <v>2089</v>
      </c>
      <c r="L152">
        <v>32.49</v>
      </c>
      <c r="M152">
        <v>10.83</v>
      </c>
      <c r="O152" t="s">
        <v>463</v>
      </c>
    </row>
    <row r="153" spans="1:15" x14ac:dyDescent="0.3">
      <c r="A153">
        <v>248625</v>
      </c>
      <c r="B153">
        <v>173</v>
      </c>
      <c r="C153" t="s">
        <v>734</v>
      </c>
      <c r="D153" t="s">
        <v>1755</v>
      </c>
      <c r="E153" t="s">
        <v>1013</v>
      </c>
      <c r="F153" s="465">
        <v>46206</v>
      </c>
      <c r="G153">
        <v>17475</v>
      </c>
      <c r="H153" t="s">
        <v>2251</v>
      </c>
      <c r="I153" t="s">
        <v>2105</v>
      </c>
      <c r="J153">
        <v>1</v>
      </c>
      <c r="K153" t="s">
        <v>2118</v>
      </c>
      <c r="L153">
        <v>104</v>
      </c>
      <c r="M153">
        <v>104</v>
      </c>
      <c r="O153" t="s">
        <v>463</v>
      </c>
    </row>
    <row r="154" spans="1:15" x14ac:dyDescent="0.3">
      <c r="A154">
        <v>248625</v>
      </c>
      <c r="B154">
        <v>173</v>
      </c>
      <c r="C154" t="s">
        <v>734</v>
      </c>
      <c r="D154" t="s">
        <v>1755</v>
      </c>
      <c r="E154" t="s">
        <v>1013</v>
      </c>
      <c r="F154" s="465">
        <v>46206</v>
      </c>
      <c r="G154">
        <v>25425</v>
      </c>
      <c r="H154" t="s">
        <v>2252</v>
      </c>
      <c r="I154" t="s">
        <v>2110</v>
      </c>
      <c r="J154">
        <v>6</v>
      </c>
      <c r="K154" t="s">
        <v>2111</v>
      </c>
      <c r="L154">
        <v>251.4</v>
      </c>
      <c r="M154">
        <v>41.9</v>
      </c>
      <c r="O154" t="s">
        <v>463</v>
      </c>
    </row>
    <row r="155" spans="1:15" x14ac:dyDescent="0.3">
      <c r="A155">
        <v>248625</v>
      </c>
      <c r="B155">
        <v>173</v>
      </c>
      <c r="C155" t="s">
        <v>734</v>
      </c>
      <c r="D155" t="s">
        <v>1755</v>
      </c>
      <c r="E155" t="s">
        <v>1013</v>
      </c>
      <c r="F155" s="465">
        <v>46206</v>
      </c>
      <c r="G155">
        <v>17488</v>
      </c>
      <c r="H155" t="s">
        <v>2184</v>
      </c>
      <c r="I155" t="s">
        <v>2105</v>
      </c>
      <c r="J155">
        <v>10</v>
      </c>
      <c r="K155" t="s">
        <v>2118</v>
      </c>
      <c r="L155">
        <v>270</v>
      </c>
      <c r="M155">
        <v>27</v>
      </c>
      <c r="O155" t="s">
        <v>463</v>
      </c>
    </row>
    <row r="156" spans="1:15" x14ac:dyDescent="0.3">
      <c r="A156">
        <v>248625</v>
      </c>
      <c r="B156">
        <v>173</v>
      </c>
      <c r="C156" t="s">
        <v>734</v>
      </c>
      <c r="D156" t="s">
        <v>1755</v>
      </c>
      <c r="E156" t="s">
        <v>1013</v>
      </c>
      <c r="F156" s="465">
        <v>46206</v>
      </c>
      <c r="G156">
        <v>28170</v>
      </c>
      <c r="H156" t="s">
        <v>2253</v>
      </c>
      <c r="I156" t="s">
        <v>2110</v>
      </c>
      <c r="J156">
        <v>30</v>
      </c>
      <c r="K156" t="s">
        <v>2111</v>
      </c>
      <c r="L156">
        <v>286.2</v>
      </c>
      <c r="M156">
        <v>9.5399999999999991</v>
      </c>
      <c r="O156" t="s">
        <v>463</v>
      </c>
    </row>
    <row r="157" spans="1:15" x14ac:dyDescent="0.3">
      <c r="A157">
        <v>248625</v>
      </c>
      <c r="B157">
        <v>173</v>
      </c>
      <c r="C157" t="s">
        <v>734</v>
      </c>
      <c r="D157" t="s">
        <v>1755</v>
      </c>
      <c r="E157" t="s">
        <v>1013</v>
      </c>
      <c r="F157" s="465">
        <v>46206</v>
      </c>
      <c r="G157">
        <v>17381</v>
      </c>
      <c r="H157" t="s">
        <v>2254</v>
      </c>
      <c r="I157" t="s">
        <v>2105</v>
      </c>
      <c r="J157">
        <v>9</v>
      </c>
      <c r="K157" t="s">
        <v>2111</v>
      </c>
      <c r="L157">
        <v>522</v>
      </c>
      <c r="M157">
        <v>58</v>
      </c>
      <c r="O157" t="s">
        <v>463</v>
      </c>
    </row>
    <row r="158" spans="1:15" x14ac:dyDescent="0.3">
      <c r="A158">
        <v>248625</v>
      </c>
      <c r="B158">
        <v>173</v>
      </c>
      <c r="C158" t="s">
        <v>734</v>
      </c>
      <c r="D158" t="s">
        <v>1755</v>
      </c>
      <c r="E158" t="s">
        <v>1013</v>
      </c>
      <c r="F158" s="465">
        <v>46206</v>
      </c>
      <c r="G158">
        <v>17535</v>
      </c>
      <c r="H158" t="s">
        <v>2255</v>
      </c>
      <c r="I158" t="s">
        <v>2105</v>
      </c>
      <c r="J158">
        <v>1</v>
      </c>
      <c r="K158" t="s">
        <v>2118</v>
      </c>
      <c r="L158">
        <v>138</v>
      </c>
      <c r="M158">
        <v>138</v>
      </c>
      <c r="O158" t="s">
        <v>463</v>
      </c>
    </row>
    <row r="159" spans="1:15" x14ac:dyDescent="0.3">
      <c r="A159">
        <v>248625</v>
      </c>
      <c r="B159">
        <v>173</v>
      </c>
      <c r="C159" t="s">
        <v>734</v>
      </c>
      <c r="D159" t="s">
        <v>1755</v>
      </c>
      <c r="E159" t="s">
        <v>1013</v>
      </c>
      <c r="F159" s="465">
        <v>46206</v>
      </c>
      <c r="G159">
        <v>24787</v>
      </c>
      <c r="H159" t="s">
        <v>2256</v>
      </c>
      <c r="I159" t="s">
        <v>2105</v>
      </c>
      <c r="J159">
        <v>15</v>
      </c>
      <c r="K159" t="s">
        <v>2089</v>
      </c>
      <c r="L159">
        <v>1233.1500000000001</v>
      </c>
      <c r="M159">
        <v>82.21</v>
      </c>
      <c r="O159" t="s">
        <v>463</v>
      </c>
    </row>
    <row r="160" spans="1:15" x14ac:dyDescent="0.3">
      <c r="A160">
        <v>248625</v>
      </c>
      <c r="B160">
        <v>173</v>
      </c>
      <c r="C160" t="s">
        <v>734</v>
      </c>
      <c r="D160" t="s">
        <v>1755</v>
      </c>
      <c r="E160" t="s">
        <v>1013</v>
      </c>
      <c r="F160" s="465">
        <v>46206</v>
      </c>
      <c r="G160">
        <v>17554</v>
      </c>
      <c r="H160" t="s">
        <v>2257</v>
      </c>
      <c r="I160" t="s">
        <v>2105</v>
      </c>
      <c r="J160">
        <v>20</v>
      </c>
      <c r="K160" t="s">
        <v>2118</v>
      </c>
      <c r="L160">
        <v>310</v>
      </c>
      <c r="M160">
        <v>15.5</v>
      </c>
      <c r="O160" t="s">
        <v>463</v>
      </c>
    </row>
    <row r="161" spans="1:15" x14ac:dyDescent="0.3">
      <c r="A161">
        <v>248625</v>
      </c>
      <c r="B161">
        <v>173</v>
      </c>
      <c r="C161" t="s">
        <v>734</v>
      </c>
      <c r="D161" t="s">
        <v>1755</v>
      </c>
      <c r="E161" t="s">
        <v>1013</v>
      </c>
      <c r="F161" s="465">
        <v>46206</v>
      </c>
      <c r="G161">
        <v>17391</v>
      </c>
      <c r="H161" t="s">
        <v>2258</v>
      </c>
      <c r="I161" t="s">
        <v>2105</v>
      </c>
      <c r="J161">
        <v>2</v>
      </c>
      <c r="K161" t="s">
        <v>2089</v>
      </c>
      <c r="L161">
        <v>117.1</v>
      </c>
      <c r="M161">
        <v>58.55</v>
      </c>
      <c r="O161" t="s">
        <v>463</v>
      </c>
    </row>
    <row r="162" spans="1:15" x14ac:dyDescent="0.3">
      <c r="A162">
        <v>248625</v>
      </c>
      <c r="B162">
        <v>173</v>
      </c>
      <c r="C162" t="s">
        <v>734</v>
      </c>
      <c r="D162" t="s">
        <v>1755</v>
      </c>
      <c r="E162" t="s">
        <v>1013</v>
      </c>
      <c r="F162" s="465">
        <v>46206</v>
      </c>
      <c r="G162">
        <v>29821</v>
      </c>
      <c r="H162" t="s">
        <v>2259</v>
      </c>
      <c r="I162" t="s">
        <v>2110</v>
      </c>
      <c r="J162">
        <v>20</v>
      </c>
      <c r="K162" t="s">
        <v>2111</v>
      </c>
      <c r="L162">
        <v>378</v>
      </c>
      <c r="M162">
        <v>18.899999999999999</v>
      </c>
      <c r="O162" t="s">
        <v>463</v>
      </c>
    </row>
    <row r="163" spans="1:15" x14ac:dyDescent="0.3">
      <c r="A163">
        <v>248625</v>
      </c>
      <c r="B163">
        <v>173</v>
      </c>
      <c r="C163" t="s">
        <v>734</v>
      </c>
      <c r="D163" t="s">
        <v>1755</v>
      </c>
      <c r="E163" t="s">
        <v>1013</v>
      </c>
      <c r="F163" s="465">
        <v>46206</v>
      </c>
      <c r="G163">
        <v>17125</v>
      </c>
      <c r="H163" t="s">
        <v>2260</v>
      </c>
      <c r="I163" t="s">
        <v>2105</v>
      </c>
      <c r="J163">
        <v>2</v>
      </c>
      <c r="K163" t="s">
        <v>2111</v>
      </c>
      <c r="L163">
        <v>8</v>
      </c>
      <c r="M163">
        <v>4</v>
      </c>
      <c r="O163" t="s">
        <v>463</v>
      </c>
    </row>
    <row r="164" spans="1:15" x14ac:dyDescent="0.3">
      <c r="A164">
        <v>248624</v>
      </c>
      <c r="B164">
        <v>173</v>
      </c>
      <c r="C164" t="s">
        <v>734</v>
      </c>
      <c r="D164" t="s">
        <v>1755</v>
      </c>
      <c r="E164" t="s">
        <v>1801</v>
      </c>
      <c r="F164" s="465">
        <v>46206</v>
      </c>
      <c r="G164">
        <v>17449</v>
      </c>
      <c r="H164" t="s">
        <v>2261</v>
      </c>
      <c r="I164" t="s">
        <v>2105</v>
      </c>
      <c r="J164">
        <v>1</v>
      </c>
      <c r="K164" t="s">
        <v>2089</v>
      </c>
      <c r="L164">
        <v>8.9</v>
      </c>
      <c r="M164">
        <v>8.9</v>
      </c>
      <c r="O164" t="s">
        <v>463</v>
      </c>
    </row>
    <row r="165" spans="1:15" x14ac:dyDescent="0.3">
      <c r="A165">
        <v>248624</v>
      </c>
      <c r="B165">
        <v>173</v>
      </c>
      <c r="C165" t="s">
        <v>734</v>
      </c>
      <c r="D165" t="s">
        <v>1755</v>
      </c>
      <c r="E165" t="s">
        <v>1801</v>
      </c>
      <c r="F165" s="465">
        <v>46206</v>
      </c>
      <c r="G165">
        <v>17185</v>
      </c>
      <c r="H165" t="s">
        <v>2262</v>
      </c>
      <c r="I165" t="s">
        <v>2105</v>
      </c>
      <c r="J165">
        <v>10</v>
      </c>
      <c r="K165" t="s">
        <v>2179</v>
      </c>
      <c r="L165">
        <v>159.5</v>
      </c>
      <c r="M165">
        <v>15.95</v>
      </c>
      <c r="O165" t="s">
        <v>463</v>
      </c>
    </row>
    <row r="166" spans="1:15" x14ac:dyDescent="0.3">
      <c r="A166">
        <v>248624</v>
      </c>
      <c r="B166">
        <v>173</v>
      </c>
      <c r="C166" t="s">
        <v>734</v>
      </c>
      <c r="D166" t="s">
        <v>1755</v>
      </c>
      <c r="E166" t="s">
        <v>1801</v>
      </c>
      <c r="F166" s="465">
        <v>46206</v>
      </c>
      <c r="G166">
        <v>17437</v>
      </c>
      <c r="H166" t="s">
        <v>2263</v>
      </c>
      <c r="I166" t="s">
        <v>2105</v>
      </c>
      <c r="J166">
        <v>100</v>
      </c>
      <c r="K166" t="s">
        <v>2111</v>
      </c>
      <c r="L166">
        <v>230</v>
      </c>
      <c r="M166">
        <v>2.2999999999999998</v>
      </c>
      <c r="O166" t="s">
        <v>463</v>
      </c>
    </row>
    <row r="167" spans="1:15" x14ac:dyDescent="0.3">
      <c r="A167">
        <v>248624</v>
      </c>
      <c r="B167">
        <v>173</v>
      </c>
      <c r="C167" t="s">
        <v>734</v>
      </c>
      <c r="D167" t="s">
        <v>1755</v>
      </c>
      <c r="E167" t="s">
        <v>1801</v>
      </c>
      <c r="F167" s="465">
        <v>46206</v>
      </c>
      <c r="G167">
        <v>17341</v>
      </c>
      <c r="H167" t="s">
        <v>2264</v>
      </c>
      <c r="I167" t="s">
        <v>2105</v>
      </c>
      <c r="J167">
        <v>20</v>
      </c>
      <c r="K167" t="s">
        <v>2227</v>
      </c>
      <c r="L167">
        <v>1496</v>
      </c>
      <c r="M167">
        <v>74.8</v>
      </c>
      <c r="O167" t="s">
        <v>463</v>
      </c>
    </row>
    <row r="168" spans="1:15" x14ac:dyDescent="0.3">
      <c r="A168">
        <v>248624</v>
      </c>
      <c r="B168">
        <v>173</v>
      </c>
      <c r="C168" t="s">
        <v>734</v>
      </c>
      <c r="D168" t="s">
        <v>1755</v>
      </c>
      <c r="E168" t="s">
        <v>1801</v>
      </c>
      <c r="F168" s="465">
        <v>46206</v>
      </c>
      <c r="G168">
        <v>17190</v>
      </c>
      <c r="H168" t="s">
        <v>2265</v>
      </c>
      <c r="I168" t="s">
        <v>2105</v>
      </c>
      <c r="J168">
        <v>20</v>
      </c>
      <c r="K168" t="s">
        <v>2089</v>
      </c>
      <c r="L168">
        <v>162</v>
      </c>
      <c r="M168">
        <v>8.1</v>
      </c>
      <c r="O168" t="s">
        <v>463</v>
      </c>
    </row>
    <row r="169" spans="1:15" x14ac:dyDescent="0.3">
      <c r="A169">
        <v>248624</v>
      </c>
      <c r="B169">
        <v>173</v>
      </c>
      <c r="C169" t="s">
        <v>734</v>
      </c>
      <c r="D169" t="s">
        <v>1755</v>
      </c>
      <c r="E169" t="s">
        <v>1801</v>
      </c>
      <c r="F169" s="465">
        <v>46206</v>
      </c>
      <c r="G169">
        <v>16967</v>
      </c>
      <c r="H169" t="s">
        <v>2266</v>
      </c>
      <c r="I169" t="s">
        <v>2105</v>
      </c>
      <c r="J169">
        <v>5</v>
      </c>
      <c r="K169" t="s">
        <v>2111</v>
      </c>
      <c r="L169">
        <v>45</v>
      </c>
      <c r="M169">
        <v>9</v>
      </c>
      <c r="O169" t="s">
        <v>463</v>
      </c>
    </row>
    <row r="170" spans="1:15" x14ac:dyDescent="0.3">
      <c r="A170">
        <v>248624</v>
      </c>
      <c r="B170">
        <v>173</v>
      </c>
      <c r="C170" t="s">
        <v>734</v>
      </c>
      <c r="D170" t="s">
        <v>1755</v>
      </c>
      <c r="E170" t="s">
        <v>1801</v>
      </c>
      <c r="F170" s="465">
        <v>46206</v>
      </c>
      <c r="G170">
        <v>28297</v>
      </c>
      <c r="H170" t="s">
        <v>2267</v>
      </c>
      <c r="I170" t="s">
        <v>2105</v>
      </c>
      <c r="J170">
        <v>10</v>
      </c>
      <c r="K170" t="s">
        <v>2089</v>
      </c>
      <c r="L170">
        <v>1126.4000000000001</v>
      </c>
      <c r="M170">
        <v>112.64</v>
      </c>
      <c r="O170" t="s">
        <v>463</v>
      </c>
    </row>
    <row r="171" spans="1:15" x14ac:dyDescent="0.3">
      <c r="A171">
        <v>248624</v>
      </c>
      <c r="B171">
        <v>173</v>
      </c>
      <c r="C171" t="s">
        <v>734</v>
      </c>
      <c r="D171" t="s">
        <v>1755</v>
      </c>
      <c r="E171" t="s">
        <v>1801</v>
      </c>
      <c r="F171" s="465">
        <v>46206</v>
      </c>
      <c r="G171">
        <v>17343</v>
      </c>
      <c r="H171" t="s">
        <v>2268</v>
      </c>
      <c r="I171" t="s">
        <v>2105</v>
      </c>
      <c r="J171">
        <v>5</v>
      </c>
      <c r="K171" t="s">
        <v>2111</v>
      </c>
      <c r="L171">
        <v>120.35</v>
      </c>
      <c r="M171">
        <v>24.07</v>
      </c>
      <c r="O171" t="s">
        <v>463</v>
      </c>
    </row>
    <row r="172" spans="1:15" x14ac:dyDescent="0.3">
      <c r="A172">
        <v>248624</v>
      </c>
      <c r="B172">
        <v>173</v>
      </c>
      <c r="C172" t="s">
        <v>734</v>
      </c>
      <c r="D172" t="s">
        <v>1755</v>
      </c>
      <c r="E172" t="s">
        <v>1801</v>
      </c>
      <c r="F172" s="465">
        <v>46206</v>
      </c>
      <c r="G172">
        <v>17304</v>
      </c>
      <c r="H172" t="s">
        <v>2269</v>
      </c>
      <c r="I172" t="s">
        <v>2105</v>
      </c>
      <c r="J172">
        <v>5</v>
      </c>
      <c r="K172" t="s">
        <v>2179</v>
      </c>
      <c r="L172">
        <v>32.950000000000003</v>
      </c>
      <c r="M172">
        <v>6.59</v>
      </c>
      <c r="O172" t="s">
        <v>463</v>
      </c>
    </row>
    <row r="173" spans="1:15" x14ac:dyDescent="0.3">
      <c r="A173">
        <v>248624</v>
      </c>
      <c r="B173">
        <v>173</v>
      </c>
      <c r="C173" t="s">
        <v>734</v>
      </c>
      <c r="D173" t="s">
        <v>1755</v>
      </c>
      <c r="E173" t="s">
        <v>1801</v>
      </c>
      <c r="F173" s="465">
        <v>46206</v>
      </c>
      <c r="G173">
        <v>17196</v>
      </c>
      <c r="H173" t="s">
        <v>2270</v>
      </c>
      <c r="I173" t="s">
        <v>2105</v>
      </c>
      <c r="J173">
        <v>20</v>
      </c>
      <c r="K173" t="s">
        <v>2089</v>
      </c>
      <c r="L173">
        <v>127.6</v>
      </c>
      <c r="M173">
        <v>6.38</v>
      </c>
      <c r="O173" t="s">
        <v>463</v>
      </c>
    </row>
    <row r="174" spans="1:15" x14ac:dyDescent="0.3">
      <c r="A174">
        <v>248624</v>
      </c>
      <c r="B174">
        <v>173</v>
      </c>
      <c r="C174" t="s">
        <v>734</v>
      </c>
      <c r="D174" t="s">
        <v>1755</v>
      </c>
      <c r="E174" t="s">
        <v>1801</v>
      </c>
      <c r="F174" s="465">
        <v>46206</v>
      </c>
      <c r="G174">
        <v>21624</v>
      </c>
      <c r="H174" t="s">
        <v>2271</v>
      </c>
      <c r="I174" t="s">
        <v>2105</v>
      </c>
      <c r="J174">
        <v>3</v>
      </c>
      <c r="K174" t="s">
        <v>2111</v>
      </c>
      <c r="L174">
        <v>63</v>
      </c>
      <c r="M174">
        <v>21</v>
      </c>
      <c r="O174" t="s">
        <v>463</v>
      </c>
    </row>
    <row r="175" spans="1:15" x14ac:dyDescent="0.3">
      <c r="A175">
        <v>248624</v>
      </c>
      <c r="B175">
        <v>173</v>
      </c>
      <c r="C175" t="s">
        <v>734</v>
      </c>
      <c r="D175" t="s">
        <v>1755</v>
      </c>
      <c r="E175" t="s">
        <v>1801</v>
      </c>
      <c r="F175" s="465">
        <v>46206</v>
      </c>
      <c r="G175">
        <v>26794</v>
      </c>
      <c r="H175" t="s">
        <v>2272</v>
      </c>
      <c r="I175" t="s">
        <v>2110</v>
      </c>
      <c r="J175">
        <v>20</v>
      </c>
      <c r="K175" t="s">
        <v>2111</v>
      </c>
      <c r="L175">
        <v>60</v>
      </c>
      <c r="M175">
        <v>3</v>
      </c>
      <c r="O175" t="s">
        <v>463</v>
      </c>
    </row>
    <row r="176" spans="1:15" x14ac:dyDescent="0.3">
      <c r="A176">
        <v>248624</v>
      </c>
      <c r="B176">
        <v>173</v>
      </c>
      <c r="C176" t="s">
        <v>734</v>
      </c>
      <c r="D176" t="s">
        <v>1755</v>
      </c>
      <c r="E176" t="s">
        <v>1801</v>
      </c>
      <c r="F176" s="465">
        <v>46206</v>
      </c>
      <c r="G176">
        <v>28367</v>
      </c>
      <c r="H176" t="s">
        <v>2273</v>
      </c>
      <c r="I176" t="s">
        <v>2105</v>
      </c>
      <c r="J176">
        <v>5</v>
      </c>
      <c r="K176" t="s">
        <v>2159</v>
      </c>
      <c r="L176">
        <v>140</v>
      </c>
      <c r="M176">
        <v>28</v>
      </c>
      <c r="O176" t="s">
        <v>463</v>
      </c>
    </row>
    <row r="177" spans="1:15" x14ac:dyDescent="0.3">
      <c r="A177">
        <v>248624</v>
      </c>
      <c r="B177">
        <v>173</v>
      </c>
      <c r="C177" t="s">
        <v>734</v>
      </c>
      <c r="D177" t="s">
        <v>1755</v>
      </c>
      <c r="E177" t="s">
        <v>1801</v>
      </c>
      <c r="F177" s="465">
        <v>46206</v>
      </c>
      <c r="G177">
        <v>27167</v>
      </c>
      <c r="H177" t="s">
        <v>2250</v>
      </c>
      <c r="I177" t="s">
        <v>2177</v>
      </c>
      <c r="J177">
        <v>17</v>
      </c>
      <c r="K177" t="s">
        <v>2089</v>
      </c>
      <c r="L177">
        <v>184.11</v>
      </c>
      <c r="M177">
        <v>10.83</v>
      </c>
      <c r="O177" t="s">
        <v>463</v>
      </c>
    </row>
    <row r="178" spans="1:15" x14ac:dyDescent="0.3">
      <c r="A178">
        <v>248624</v>
      </c>
      <c r="B178">
        <v>173</v>
      </c>
      <c r="C178" t="s">
        <v>734</v>
      </c>
      <c r="D178" t="s">
        <v>1755</v>
      </c>
      <c r="E178" t="s">
        <v>1801</v>
      </c>
      <c r="F178" s="465">
        <v>46206</v>
      </c>
      <c r="G178">
        <v>17504</v>
      </c>
      <c r="H178" t="s">
        <v>2274</v>
      </c>
      <c r="I178" t="s">
        <v>2110</v>
      </c>
      <c r="J178">
        <v>10</v>
      </c>
      <c r="K178" t="s">
        <v>2111</v>
      </c>
      <c r="L178">
        <v>270</v>
      </c>
      <c r="M178">
        <v>27</v>
      </c>
      <c r="O178" t="s">
        <v>463</v>
      </c>
    </row>
    <row r="179" spans="1:15" x14ac:dyDescent="0.3">
      <c r="A179">
        <v>248624</v>
      </c>
      <c r="B179">
        <v>173</v>
      </c>
      <c r="C179" t="s">
        <v>734</v>
      </c>
      <c r="D179" t="s">
        <v>1755</v>
      </c>
      <c r="E179" t="s">
        <v>1801</v>
      </c>
      <c r="F179" s="465">
        <v>46206</v>
      </c>
      <c r="G179">
        <v>28386</v>
      </c>
      <c r="H179" t="s">
        <v>2275</v>
      </c>
      <c r="I179" t="s">
        <v>2105</v>
      </c>
      <c r="J179">
        <v>10</v>
      </c>
      <c r="K179" t="s">
        <v>2159</v>
      </c>
      <c r="L179">
        <v>416.7</v>
      </c>
      <c r="M179">
        <v>41.67</v>
      </c>
      <c r="O179" t="s">
        <v>463</v>
      </c>
    </row>
    <row r="180" spans="1:15" x14ac:dyDescent="0.3">
      <c r="A180">
        <v>248624</v>
      </c>
      <c r="B180">
        <v>173</v>
      </c>
      <c r="C180" t="s">
        <v>734</v>
      </c>
      <c r="D180" t="s">
        <v>1755</v>
      </c>
      <c r="E180" t="s">
        <v>1801</v>
      </c>
      <c r="F180" s="465">
        <v>46206</v>
      </c>
      <c r="G180">
        <v>17162</v>
      </c>
      <c r="H180" t="s">
        <v>2276</v>
      </c>
      <c r="I180" t="s">
        <v>2105</v>
      </c>
      <c r="J180">
        <v>10</v>
      </c>
      <c r="K180" t="s">
        <v>2111</v>
      </c>
      <c r="L180">
        <v>540</v>
      </c>
      <c r="M180">
        <v>54</v>
      </c>
      <c r="O180" t="s">
        <v>463</v>
      </c>
    </row>
    <row r="181" spans="1:15" x14ac:dyDescent="0.3">
      <c r="A181">
        <v>248624</v>
      </c>
      <c r="B181">
        <v>173</v>
      </c>
      <c r="C181" t="s">
        <v>734</v>
      </c>
      <c r="D181" t="s">
        <v>1755</v>
      </c>
      <c r="E181" t="s">
        <v>1801</v>
      </c>
      <c r="F181" s="465">
        <v>46206</v>
      </c>
      <c r="G181">
        <v>25066</v>
      </c>
      <c r="H181" t="s">
        <v>2277</v>
      </c>
      <c r="I181" t="s">
        <v>2105</v>
      </c>
      <c r="J181">
        <v>2</v>
      </c>
      <c r="K181" t="s">
        <v>2111</v>
      </c>
      <c r="L181">
        <v>16.48</v>
      </c>
      <c r="M181">
        <v>8.24</v>
      </c>
      <c r="O181" t="s">
        <v>463</v>
      </c>
    </row>
    <row r="182" spans="1:15" x14ac:dyDescent="0.3">
      <c r="A182">
        <v>248624</v>
      </c>
      <c r="B182">
        <v>173</v>
      </c>
      <c r="C182" t="s">
        <v>734</v>
      </c>
      <c r="D182" t="s">
        <v>1755</v>
      </c>
      <c r="E182" t="s">
        <v>1801</v>
      </c>
      <c r="F182" s="465">
        <v>46206</v>
      </c>
      <c r="G182">
        <v>17046</v>
      </c>
      <c r="H182" t="s">
        <v>2278</v>
      </c>
      <c r="I182" t="s">
        <v>2105</v>
      </c>
      <c r="J182">
        <v>15</v>
      </c>
      <c r="K182" t="s">
        <v>2111</v>
      </c>
      <c r="L182">
        <v>517.5</v>
      </c>
      <c r="M182">
        <v>34.5</v>
      </c>
      <c r="O182" t="s">
        <v>463</v>
      </c>
    </row>
    <row r="183" spans="1:15" x14ac:dyDescent="0.3">
      <c r="A183">
        <v>248624</v>
      </c>
      <c r="B183">
        <v>173</v>
      </c>
      <c r="C183" t="s">
        <v>734</v>
      </c>
      <c r="D183" t="s">
        <v>1755</v>
      </c>
      <c r="E183" t="s">
        <v>1801</v>
      </c>
      <c r="F183" s="465">
        <v>46206</v>
      </c>
      <c r="G183">
        <v>24596</v>
      </c>
      <c r="H183" t="s">
        <v>2279</v>
      </c>
      <c r="I183" t="s">
        <v>2105</v>
      </c>
      <c r="J183">
        <v>10</v>
      </c>
      <c r="K183" t="s">
        <v>2111</v>
      </c>
      <c r="L183">
        <v>150</v>
      </c>
      <c r="M183">
        <v>15</v>
      </c>
      <c r="O183" t="s">
        <v>463</v>
      </c>
    </row>
    <row r="184" spans="1:15" x14ac:dyDescent="0.3">
      <c r="A184">
        <v>248624</v>
      </c>
      <c r="B184">
        <v>173</v>
      </c>
      <c r="C184" t="s">
        <v>734</v>
      </c>
      <c r="D184" t="s">
        <v>1755</v>
      </c>
      <c r="E184" t="s">
        <v>1801</v>
      </c>
      <c r="F184" s="465">
        <v>46206</v>
      </c>
      <c r="G184">
        <v>17125</v>
      </c>
      <c r="H184" t="s">
        <v>2260</v>
      </c>
      <c r="I184" t="s">
        <v>2105</v>
      </c>
      <c r="J184">
        <v>17</v>
      </c>
      <c r="K184" t="s">
        <v>2111</v>
      </c>
      <c r="L184">
        <v>72.08</v>
      </c>
      <c r="M184">
        <v>4.24</v>
      </c>
      <c r="O184" t="s">
        <v>463</v>
      </c>
    </row>
    <row r="185" spans="1:15" x14ac:dyDescent="0.3">
      <c r="A185">
        <v>248624</v>
      </c>
      <c r="B185">
        <v>173</v>
      </c>
      <c r="C185" t="s">
        <v>734</v>
      </c>
      <c r="D185" t="s">
        <v>1755</v>
      </c>
      <c r="E185" t="s">
        <v>1801</v>
      </c>
      <c r="F185" s="465">
        <v>46206</v>
      </c>
      <c r="G185">
        <v>28298</v>
      </c>
      <c r="H185" t="s">
        <v>2280</v>
      </c>
      <c r="I185" t="s">
        <v>2105</v>
      </c>
      <c r="J185">
        <v>5</v>
      </c>
      <c r="K185" t="s">
        <v>2118</v>
      </c>
      <c r="L185">
        <v>640</v>
      </c>
      <c r="M185">
        <v>128</v>
      </c>
      <c r="O185" t="s">
        <v>463</v>
      </c>
    </row>
    <row r="186" spans="1:15" x14ac:dyDescent="0.3">
      <c r="A186">
        <v>248624</v>
      </c>
      <c r="B186">
        <v>173</v>
      </c>
      <c r="C186" t="s">
        <v>734</v>
      </c>
      <c r="D186" t="s">
        <v>1755</v>
      </c>
      <c r="E186" t="s">
        <v>1801</v>
      </c>
      <c r="F186" s="465">
        <v>46206</v>
      </c>
      <c r="G186">
        <v>17322</v>
      </c>
      <c r="H186" t="s">
        <v>2281</v>
      </c>
      <c r="I186" t="s">
        <v>2105</v>
      </c>
      <c r="J186">
        <v>10</v>
      </c>
      <c r="K186" t="s">
        <v>2179</v>
      </c>
      <c r="L186">
        <v>150.5</v>
      </c>
      <c r="M186">
        <v>15.05</v>
      </c>
      <c r="O186" t="s">
        <v>463</v>
      </c>
    </row>
    <row r="187" spans="1:15" x14ac:dyDescent="0.3">
      <c r="A187">
        <v>248624</v>
      </c>
      <c r="B187">
        <v>173</v>
      </c>
      <c r="C187" t="s">
        <v>734</v>
      </c>
      <c r="D187" t="s">
        <v>1755</v>
      </c>
      <c r="E187" t="s">
        <v>1801</v>
      </c>
      <c r="F187" s="465">
        <v>46206</v>
      </c>
      <c r="G187">
        <v>17116</v>
      </c>
      <c r="H187" t="s">
        <v>2243</v>
      </c>
      <c r="I187" t="s">
        <v>2105</v>
      </c>
      <c r="J187">
        <v>1</v>
      </c>
      <c r="K187" t="s">
        <v>2111</v>
      </c>
      <c r="L187">
        <v>20.59</v>
      </c>
      <c r="M187">
        <v>20.59</v>
      </c>
      <c r="O187" t="s">
        <v>463</v>
      </c>
    </row>
    <row r="188" spans="1:15" x14ac:dyDescent="0.3">
      <c r="A188">
        <v>248624</v>
      </c>
      <c r="B188">
        <v>173</v>
      </c>
      <c r="C188" t="s">
        <v>734</v>
      </c>
      <c r="D188" t="s">
        <v>1755</v>
      </c>
      <c r="E188" t="s">
        <v>1801</v>
      </c>
      <c r="F188" s="465">
        <v>46206</v>
      </c>
      <c r="G188">
        <v>23971</v>
      </c>
      <c r="H188" t="s">
        <v>2247</v>
      </c>
      <c r="I188" t="s">
        <v>2248</v>
      </c>
      <c r="J188">
        <v>13</v>
      </c>
      <c r="K188" t="s">
        <v>2111</v>
      </c>
      <c r="L188">
        <v>141.69999999999999</v>
      </c>
      <c r="M188">
        <v>10.9</v>
      </c>
      <c r="O188" t="s">
        <v>463</v>
      </c>
    </row>
    <row r="189" spans="1:15" x14ac:dyDescent="0.3">
      <c r="A189">
        <v>248624</v>
      </c>
      <c r="B189">
        <v>173</v>
      </c>
      <c r="C189" t="s">
        <v>734</v>
      </c>
      <c r="D189" t="s">
        <v>1755</v>
      </c>
      <c r="E189" t="s">
        <v>1801</v>
      </c>
      <c r="F189" s="465">
        <v>46206</v>
      </c>
      <c r="G189">
        <v>21703</v>
      </c>
      <c r="H189" t="s">
        <v>2282</v>
      </c>
      <c r="I189" t="s">
        <v>2105</v>
      </c>
      <c r="J189">
        <v>2</v>
      </c>
      <c r="K189" t="s">
        <v>2111</v>
      </c>
      <c r="L189">
        <v>25.18</v>
      </c>
      <c r="M189">
        <v>12.59</v>
      </c>
      <c r="O189" t="s">
        <v>463</v>
      </c>
    </row>
    <row r="190" spans="1:15" x14ac:dyDescent="0.3">
      <c r="A190">
        <v>248623</v>
      </c>
      <c r="B190">
        <v>173</v>
      </c>
      <c r="C190" t="s">
        <v>734</v>
      </c>
      <c r="D190" t="s">
        <v>912</v>
      </c>
      <c r="E190" t="s">
        <v>1802</v>
      </c>
      <c r="F190" s="465">
        <v>46217</v>
      </c>
      <c r="G190">
        <v>19636</v>
      </c>
      <c r="H190" t="s">
        <v>2283</v>
      </c>
      <c r="I190" t="s">
        <v>2100</v>
      </c>
      <c r="J190">
        <v>6</v>
      </c>
      <c r="K190" t="s">
        <v>2101</v>
      </c>
      <c r="L190">
        <v>50.52</v>
      </c>
      <c r="M190">
        <v>8.42</v>
      </c>
      <c r="O190" t="s">
        <v>463</v>
      </c>
    </row>
    <row r="191" spans="1:15" x14ac:dyDescent="0.3">
      <c r="A191">
        <v>248622</v>
      </c>
      <c r="B191">
        <v>173</v>
      </c>
      <c r="C191" t="s">
        <v>734</v>
      </c>
      <c r="D191" t="s">
        <v>1803</v>
      </c>
      <c r="E191" t="s">
        <v>1804</v>
      </c>
      <c r="F191" s="465">
        <v>46218</v>
      </c>
      <c r="G191">
        <v>20301</v>
      </c>
      <c r="H191" t="s">
        <v>2284</v>
      </c>
      <c r="I191" t="s">
        <v>2100</v>
      </c>
      <c r="J191">
        <v>30</v>
      </c>
      <c r="K191" t="s">
        <v>2089</v>
      </c>
      <c r="L191">
        <v>630</v>
      </c>
      <c r="M191">
        <v>21</v>
      </c>
      <c r="O191" t="s">
        <v>463</v>
      </c>
    </row>
    <row r="192" spans="1:15" x14ac:dyDescent="0.3">
      <c r="A192">
        <v>248621</v>
      </c>
      <c r="B192">
        <v>173</v>
      </c>
      <c r="C192" t="s">
        <v>734</v>
      </c>
      <c r="D192" t="s">
        <v>1778</v>
      </c>
      <c r="E192" t="s">
        <v>1805</v>
      </c>
      <c r="F192" s="465">
        <v>46219</v>
      </c>
      <c r="G192">
        <v>20227</v>
      </c>
      <c r="H192" t="s">
        <v>2285</v>
      </c>
      <c r="I192" t="s">
        <v>2100</v>
      </c>
      <c r="J192">
        <v>40</v>
      </c>
      <c r="K192" t="s">
        <v>2089</v>
      </c>
      <c r="L192">
        <v>302.39999999999998</v>
      </c>
      <c r="M192">
        <v>7.56</v>
      </c>
      <c r="O192" t="s">
        <v>463</v>
      </c>
    </row>
    <row r="193" spans="1:15" x14ac:dyDescent="0.3">
      <c r="A193">
        <v>248621</v>
      </c>
      <c r="B193">
        <v>173</v>
      </c>
      <c r="C193" t="s">
        <v>734</v>
      </c>
      <c r="D193" t="s">
        <v>1778</v>
      </c>
      <c r="E193" t="s">
        <v>1805</v>
      </c>
      <c r="F193" s="465">
        <v>46219</v>
      </c>
      <c r="G193">
        <v>20246</v>
      </c>
      <c r="H193" t="s">
        <v>2286</v>
      </c>
      <c r="I193" t="s">
        <v>2100</v>
      </c>
      <c r="J193">
        <v>40</v>
      </c>
      <c r="K193" t="s">
        <v>2111</v>
      </c>
      <c r="L193">
        <v>435.6</v>
      </c>
      <c r="M193">
        <v>10.89</v>
      </c>
      <c r="O193" t="s">
        <v>463</v>
      </c>
    </row>
    <row r="194" spans="1:15" x14ac:dyDescent="0.3">
      <c r="A194">
        <v>248621</v>
      </c>
      <c r="B194">
        <v>173</v>
      </c>
      <c r="C194" t="s">
        <v>734</v>
      </c>
      <c r="D194" t="s">
        <v>1778</v>
      </c>
      <c r="E194" t="s">
        <v>1805</v>
      </c>
      <c r="F194" s="465">
        <v>46219</v>
      </c>
      <c r="G194">
        <v>19911</v>
      </c>
      <c r="H194" t="s">
        <v>2287</v>
      </c>
      <c r="I194" t="s">
        <v>2100</v>
      </c>
      <c r="J194">
        <v>30</v>
      </c>
      <c r="K194" t="s">
        <v>2111</v>
      </c>
      <c r="L194">
        <v>89.7</v>
      </c>
      <c r="M194">
        <v>2.99</v>
      </c>
      <c r="O194" t="s">
        <v>463</v>
      </c>
    </row>
    <row r="195" spans="1:15" x14ac:dyDescent="0.3">
      <c r="A195">
        <v>248621</v>
      </c>
      <c r="B195">
        <v>173</v>
      </c>
      <c r="C195" t="s">
        <v>734</v>
      </c>
      <c r="D195" t="s">
        <v>1778</v>
      </c>
      <c r="E195" t="s">
        <v>1805</v>
      </c>
      <c r="F195" s="465">
        <v>46219</v>
      </c>
      <c r="G195">
        <v>23490</v>
      </c>
      <c r="H195" t="s">
        <v>2288</v>
      </c>
      <c r="I195" t="s">
        <v>2100</v>
      </c>
      <c r="J195">
        <v>10</v>
      </c>
      <c r="K195" t="s">
        <v>2111</v>
      </c>
      <c r="L195">
        <v>29.9</v>
      </c>
      <c r="M195">
        <v>2.99</v>
      </c>
      <c r="O195" t="s">
        <v>463</v>
      </c>
    </row>
    <row r="196" spans="1:15" x14ac:dyDescent="0.3">
      <c r="A196">
        <v>248621</v>
      </c>
      <c r="B196">
        <v>173</v>
      </c>
      <c r="C196" t="s">
        <v>734</v>
      </c>
      <c r="D196" t="s">
        <v>1778</v>
      </c>
      <c r="E196" t="s">
        <v>1805</v>
      </c>
      <c r="F196" s="465">
        <v>46219</v>
      </c>
      <c r="G196">
        <v>20231</v>
      </c>
      <c r="H196" t="s">
        <v>2205</v>
      </c>
      <c r="I196" t="s">
        <v>2100</v>
      </c>
      <c r="J196">
        <v>5</v>
      </c>
      <c r="K196" t="s">
        <v>2089</v>
      </c>
      <c r="L196">
        <v>82.1</v>
      </c>
      <c r="M196">
        <v>16.420000000000002</v>
      </c>
      <c r="O196" t="s">
        <v>463</v>
      </c>
    </row>
    <row r="197" spans="1:15" x14ac:dyDescent="0.3">
      <c r="A197">
        <v>248619</v>
      </c>
      <c r="B197">
        <v>173</v>
      </c>
      <c r="C197" t="s">
        <v>734</v>
      </c>
      <c r="D197" t="s">
        <v>1778</v>
      </c>
      <c r="E197" t="s">
        <v>1806</v>
      </c>
      <c r="F197" s="465">
        <v>46219</v>
      </c>
      <c r="G197">
        <v>20365</v>
      </c>
      <c r="H197" t="s">
        <v>2289</v>
      </c>
      <c r="I197" t="s">
        <v>2100</v>
      </c>
      <c r="J197">
        <v>50</v>
      </c>
      <c r="K197" t="s">
        <v>2111</v>
      </c>
      <c r="L197">
        <v>240</v>
      </c>
      <c r="M197">
        <v>4.8</v>
      </c>
      <c r="O197" t="s">
        <v>463</v>
      </c>
    </row>
    <row r="198" spans="1:15" x14ac:dyDescent="0.3">
      <c r="A198">
        <v>248619</v>
      </c>
      <c r="B198">
        <v>173</v>
      </c>
      <c r="C198" t="s">
        <v>734</v>
      </c>
      <c r="D198" t="s">
        <v>1778</v>
      </c>
      <c r="E198" t="s">
        <v>1806</v>
      </c>
      <c r="F198" s="465">
        <v>46219</v>
      </c>
      <c r="G198">
        <v>21024</v>
      </c>
      <c r="H198" t="s">
        <v>2290</v>
      </c>
      <c r="I198" t="s">
        <v>2100</v>
      </c>
      <c r="J198">
        <v>20</v>
      </c>
      <c r="K198" t="s">
        <v>2111</v>
      </c>
      <c r="L198">
        <v>3832.2</v>
      </c>
      <c r="M198">
        <v>191.61</v>
      </c>
      <c r="O198" t="s">
        <v>463</v>
      </c>
    </row>
    <row r="199" spans="1:15" x14ac:dyDescent="0.3">
      <c r="A199">
        <v>248617</v>
      </c>
      <c r="B199">
        <v>173</v>
      </c>
      <c r="C199" t="s">
        <v>734</v>
      </c>
      <c r="D199" t="s">
        <v>1726</v>
      </c>
      <c r="E199" t="s">
        <v>1807</v>
      </c>
      <c r="F199" s="465">
        <v>46218</v>
      </c>
      <c r="G199">
        <v>20832</v>
      </c>
      <c r="H199" t="s">
        <v>2291</v>
      </c>
      <c r="I199" t="s">
        <v>2100</v>
      </c>
      <c r="J199">
        <v>10</v>
      </c>
      <c r="K199" t="s">
        <v>2292</v>
      </c>
      <c r="L199">
        <v>340</v>
      </c>
      <c r="M199">
        <v>34</v>
      </c>
      <c r="O199" t="s">
        <v>463</v>
      </c>
    </row>
    <row r="200" spans="1:15" x14ac:dyDescent="0.3">
      <c r="A200">
        <v>248617</v>
      </c>
      <c r="B200">
        <v>173</v>
      </c>
      <c r="C200" t="s">
        <v>734</v>
      </c>
      <c r="D200" t="s">
        <v>1726</v>
      </c>
      <c r="E200" t="s">
        <v>1807</v>
      </c>
      <c r="F200" s="465">
        <v>46218</v>
      </c>
      <c r="G200">
        <v>19961</v>
      </c>
      <c r="H200" t="s">
        <v>2293</v>
      </c>
      <c r="I200" t="s">
        <v>2100</v>
      </c>
      <c r="J200">
        <v>20</v>
      </c>
      <c r="K200" t="s">
        <v>2227</v>
      </c>
      <c r="L200">
        <v>288</v>
      </c>
      <c r="M200">
        <v>14.4</v>
      </c>
      <c r="O200" t="s">
        <v>463</v>
      </c>
    </row>
    <row r="201" spans="1:15" x14ac:dyDescent="0.3">
      <c r="A201">
        <v>248617</v>
      </c>
      <c r="B201">
        <v>173</v>
      </c>
      <c r="C201" t="s">
        <v>734</v>
      </c>
      <c r="D201" t="s">
        <v>1726</v>
      </c>
      <c r="E201" t="s">
        <v>1807</v>
      </c>
      <c r="F201" s="465">
        <v>46218</v>
      </c>
      <c r="G201">
        <v>26193</v>
      </c>
      <c r="H201" t="s">
        <v>2294</v>
      </c>
      <c r="I201" t="s">
        <v>2100</v>
      </c>
      <c r="J201">
        <v>40</v>
      </c>
      <c r="K201" t="s">
        <v>2111</v>
      </c>
      <c r="L201">
        <v>544</v>
      </c>
      <c r="M201">
        <v>13.6</v>
      </c>
      <c r="O201" t="s">
        <v>463</v>
      </c>
    </row>
    <row r="202" spans="1:15" x14ac:dyDescent="0.3">
      <c r="A202">
        <v>248616</v>
      </c>
      <c r="B202">
        <v>173</v>
      </c>
      <c r="C202" t="s">
        <v>734</v>
      </c>
      <c r="D202" t="s">
        <v>1778</v>
      </c>
      <c r="E202" t="s">
        <v>1808</v>
      </c>
      <c r="F202" s="465">
        <v>46217</v>
      </c>
      <c r="G202">
        <v>20022</v>
      </c>
      <c r="H202" t="s">
        <v>2295</v>
      </c>
      <c r="I202" t="s">
        <v>2100</v>
      </c>
      <c r="J202">
        <v>36</v>
      </c>
      <c r="K202" t="s">
        <v>2111</v>
      </c>
      <c r="L202">
        <v>400.68</v>
      </c>
      <c r="M202">
        <v>11.13</v>
      </c>
      <c r="O202" t="s">
        <v>463</v>
      </c>
    </row>
    <row r="203" spans="1:15" x14ac:dyDescent="0.3">
      <c r="A203">
        <v>248616</v>
      </c>
      <c r="B203">
        <v>173</v>
      </c>
      <c r="C203" t="s">
        <v>734</v>
      </c>
      <c r="D203" t="s">
        <v>1778</v>
      </c>
      <c r="E203" t="s">
        <v>1808</v>
      </c>
      <c r="F203" s="465">
        <v>46217</v>
      </c>
      <c r="G203">
        <v>20213</v>
      </c>
      <c r="H203" t="s">
        <v>2296</v>
      </c>
      <c r="I203" t="s">
        <v>2100</v>
      </c>
      <c r="J203">
        <v>5</v>
      </c>
      <c r="K203" t="s">
        <v>2203</v>
      </c>
      <c r="L203">
        <v>158</v>
      </c>
      <c r="M203">
        <v>31.6</v>
      </c>
      <c r="O203" t="s">
        <v>463</v>
      </c>
    </row>
    <row r="204" spans="1:15" x14ac:dyDescent="0.3">
      <c r="A204">
        <v>248614</v>
      </c>
      <c r="B204">
        <v>173</v>
      </c>
      <c r="C204" t="s">
        <v>734</v>
      </c>
      <c r="D204" t="s">
        <v>1775</v>
      </c>
      <c r="E204" t="s">
        <v>1809</v>
      </c>
      <c r="F204" s="465">
        <v>46216</v>
      </c>
      <c r="G204">
        <v>23108</v>
      </c>
      <c r="H204" t="s">
        <v>2297</v>
      </c>
      <c r="I204" t="s">
        <v>2100</v>
      </c>
      <c r="J204">
        <v>0.5</v>
      </c>
      <c r="K204" t="s">
        <v>2101</v>
      </c>
      <c r="L204">
        <v>45.5</v>
      </c>
      <c r="M204">
        <v>91</v>
      </c>
      <c r="O204" t="s">
        <v>463</v>
      </c>
    </row>
    <row r="205" spans="1:15" x14ac:dyDescent="0.3">
      <c r="A205">
        <v>248614</v>
      </c>
      <c r="B205">
        <v>173</v>
      </c>
      <c r="C205" t="s">
        <v>734</v>
      </c>
      <c r="D205" t="s">
        <v>1775</v>
      </c>
      <c r="E205" t="s">
        <v>1809</v>
      </c>
      <c r="F205" s="465">
        <v>46216</v>
      </c>
      <c r="G205">
        <v>19562</v>
      </c>
      <c r="H205" t="s">
        <v>2298</v>
      </c>
      <c r="I205" t="s">
        <v>2100</v>
      </c>
      <c r="J205">
        <v>6</v>
      </c>
      <c r="K205" t="s">
        <v>2101</v>
      </c>
      <c r="L205">
        <v>101.4</v>
      </c>
      <c r="M205">
        <v>16.899999999999999</v>
      </c>
      <c r="O205" t="s">
        <v>463</v>
      </c>
    </row>
    <row r="206" spans="1:15" x14ac:dyDescent="0.3">
      <c r="A206">
        <v>248614</v>
      </c>
      <c r="B206">
        <v>173</v>
      </c>
      <c r="C206" t="s">
        <v>734</v>
      </c>
      <c r="D206" t="s">
        <v>1775</v>
      </c>
      <c r="E206" t="s">
        <v>1809</v>
      </c>
      <c r="F206" s="465">
        <v>46216</v>
      </c>
      <c r="G206">
        <v>17061</v>
      </c>
      <c r="H206" t="s">
        <v>2299</v>
      </c>
      <c r="I206" t="s">
        <v>2100</v>
      </c>
      <c r="J206">
        <v>0.5</v>
      </c>
      <c r="K206" t="s">
        <v>2101</v>
      </c>
      <c r="L206">
        <v>45.5</v>
      </c>
      <c r="M206">
        <v>91</v>
      </c>
      <c r="O206" t="s">
        <v>463</v>
      </c>
    </row>
    <row r="207" spans="1:15" x14ac:dyDescent="0.3">
      <c r="A207">
        <v>248614</v>
      </c>
      <c r="B207">
        <v>173</v>
      </c>
      <c r="C207" t="s">
        <v>734</v>
      </c>
      <c r="D207" t="s">
        <v>1775</v>
      </c>
      <c r="E207" t="s">
        <v>1809</v>
      </c>
      <c r="F207" s="465">
        <v>46216</v>
      </c>
      <c r="G207">
        <v>19634</v>
      </c>
      <c r="H207" t="s">
        <v>2114</v>
      </c>
      <c r="I207" t="s">
        <v>2100</v>
      </c>
      <c r="J207">
        <v>3.3</v>
      </c>
      <c r="K207" t="s">
        <v>2101</v>
      </c>
      <c r="L207">
        <v>21.45</v>
      </c>
      <c r="M207">
        <v>6.5</v>
      </c>
      <c r="O207" t="s">
        <v>463</v>
      </c>
    </row>
    <row r="208" spans="1:15" x14ac:dyDescent="0.3">
      <c r="A208">
        <v>248614</v>
      </c>
      <c r="B208">
        <v>173</v>
      </c>
      <c r="C208" t="s">
        <v>734</v>
      </c>
      <c r="D208" t="s">
        <v>1775</v>
      </c>
      <c r="E208" t="s">
        <v>1809</v>
      </c>
      <c r="F208" s="465">
        <v>46216</v>
      </c>
      <c r="G208">
        <v>23105</v>
      </c>
      <c r="H208" t="s">
        <v>2300</v>
      </c>
      <c r="I208" t="s">
        <v>2100</v>
      </c>
      <c r="J208">
        <v>0.5</v>
      </c>
      <c r="K208" t="s">
        <v>2101</v>
      </c>
      <c r="L208">
        <v>58.5</v>
      </c>
      <c r="M208">
        <v>117</v>
      </c>
      <c r="O208" t="s">
        <v>463</v>
      </c>
    </row>
    <row r="209" spans="1:15" x14ac:dyDescent="0.3">
      <c r="A209">
        <v>248614</v>
      </c>
      <c r="B209">
        <v>173</v>
      </c>
      <c r="C209" t="s">
        <v>734</v>
      </c>
      <c r="D209" t="s">
        <v>1775</v>
      </c>
      <c r="E209" t="s">
        <v>1809</v>
      </c>
      <c r="F209" s="465">
        <v>46216</v>
      </c>
      <c r="G209">
        <v>19561</v>
      </c>
      <c r="H209" t="s">
        <v>2301</v>
      </c>
      <c r="I209" t="s">
        <v>2100</v>
      </c>
      <c r="J209">
        <v>10</v>
      </c>
      <c r="K209" t="s">
        <v>2101</v>
      </c>
      <c r="L209">
        <v>117</v>
      </c>
      <c r="M209">
        <v>11.7</v>
      </c>
      <c r="O209" t="s">
        <v>463</v>
      </c>
    </row>
    <row r="210" spans="1:15" x14ac:dyDescent="0.3">
      <c r="A210">
        <v>248611</v>
      </c>
      <c r="B210">
        <v>173</v>
      </c>
      <c r="C210" t="s">
        <v>734</v>
      </c>
      <c r="D210" t="s">
        <v>912</v>
      </c>
      <c r="E210" t="s">
        <v>1810</v>
      </c>
      <c r="F210" s="465">
        <v>46216</v>
      </c>
      <c r="G210">
        <v>23228</v>
      </c>
      <c r="H210" t="s">
        <v>2302</v>
      </c>
      <c r="I210" t="s">
        <v>2100</v>
      </c>
      <c r="J210">
        <v>15</v>
      </c>
      <c r="K210" t="s">
        <v>2101</v>
      </c>
      <c r="L210">
        <v>97.35</v>
      </c>
      <c r="M210">
        <v>6.49</v>
      </c>
      <c r="O210" t="s">
        <v>463</v>
      </c>
    </row>
    <row r="211" spans="1:15" x14ac:dyDescent="0.3">
      <c r="A211">
        <v>248611</v>
      </c>
      <c r="B211">
        <v>173</v>
      </c>
      <c r="C211" t="s">
        <v>734</v>
      </c>
      <c r="D211" t="s">
        <v>912</v>
      </c>
      <c r="E211" t="s">
        <v>1810</v>
      </c>
      <c r="F211" s="465">
        <v>46216</v>
      </c>
      <c r="G211">
        <v>19572</v>
      </c>
      <c r="H211" t="s">
        <v>2303</v>
      </c>
      <c r="I211" t="s">
        <v>2100</v>
      </c>
      <c r="J211">
        <v>2</v>
      </c>
      <c r="K211" t="s">
        <v>2101</v>
      </c>
      <c r="L211">
        <v>33.82</v>
      </c>
      <c r="M211">
        <v>16.91</v>
      </c>
      <c r="O211" t="s">
        <v>463</v>
      </c>
    </row>
    <row r="212" spans="1:15" x14ac:dyDescent="0.3">
      <c r="A212">
        <v>248611</v>
      </c>
      <c r="B212">
        <v>173</v>
      </c>
      <c r="C212" t="s">
        <v>734</v>
      </c>
      <c r="D212" t="s">
        <v>912</v>
      </c>
      <c r="E212" t="s">
        <v>1810</v>
      </c>
      <c r="F212" s="465">
        <v>46216</v>
      </c>
      <c r="G212">
        <v>23198</v>
      </c>
      <c r="H212" t="s">
        <v>2304</v>
      </c>
      <c r="I212" t="s">
        <v>2100</v>
      </c>
      <c r="J212">
        <v>10.5</v>
      </c>
      <c r="K212" t="s">
        <v>2101</v>
      </c>
      <c r="L212">
        <v>166.63</v>
      </c>
      <c r="M212">
        <v>15.869524</v>
      </c>
      <c r="O212" t="s">
        <v>463</v>
      </c>
    </row>
    <row r="213" spans="1:15" x14ac:dyDescent="0.3">
      <c r="A213">
        <v>248611</v>
      </c>
      <c r="B213">
        <v>173</v>
      </c>
      <c r="C213" t="s">
        <v>734</v>
      </c>
      <c r="D213" t="s">
        <v>912</v>
      </c>
      <c r="E213" t="s">
        <v>1810</v>
      </c>
      <c r="F213" s="465">
        <v>46216</v>
      </c>
      <c r="G213">
        <v>19636</v>
      </c>
      <c r="H213" t="s">
        <v>2283</v>
      </c>
      <c r="I213" t="s">
        <v>2100</v>
      </c>
      <c r="J213">
        <v>14</v>
      </c>
      <c r="K213" t="s">
        <v>2101</v>
      </c>
      <c r="L213">
        <v>117.88</v>
      </c>
      <c r="M213">
        <v>8.42</v>
      </c>
      <c r="O213" t="s">
        <v>463</v>
      </c>
    </row>
    <row r="214" spans="1:15" x14ac:dyDescent="0.3">
      <c r="A214">
        <v>248611</v>
      </c>
      <c r="B214">
        <v>173</v>
      </c>
      <c r="C214" t="s">
        <v>734</v>
      </c>
      <c r="D214" t="s">
        <v>912</v>
      </c>
      <c r="E214" t="s">
        <v>1810</v>
      </c>
      <c r="F214" s="465">
        <v>46216</v>
      </c>
      <c r="G214">
        <v>23227</v>
      </c>
      <c r="H214" t="s">
        <v>2305</v>
      </c>
      <c r="I214" t="s">
        <v>2100</v>
      </c>
      <c r="J214">
        <v>20</v>
      </c>
      <c r="K214" t="s">
        <v>2101</v>
      </c>
      <c r="L214">
        <v>145</v>
      </c>
      <c r="M214">
        <v>7.25</v>
      </c>
      <c r="O214" t="s">
        <v>463</v>
      </c>
    </row>
    <row r="215" spans="1:15" x14ac:dyDescent="0.3">
      <c r="A215">
        <v>248609</v>
      </c>
      <c r="B215">
        <v>173</v>
      </c>
      <c r="C215" t="s">
        <v>734</v>
      </c>
      <c r="D215" t="s">
        <v>1811</v>
      </c>
      <c r="E215" t="s">
        <v>1812</v>
      </c>
      <c r="F215" s="465">
        <v>46216</v>
      </c>
      <c r="G215">
        <v>27168</v>
      </c>
      <c r="H215" t="s">
        <v>2306</v>
      </c>
      <c r="I215" t="s">
        <v>2100</v>
      </c>
      <c r="J215">
        <v>200</v>
      </c>
      <c r="K215" t="s">
        <v>2111</v>
      </c>
      <c r="L215">
        <v>694</v>
      </c>
      <c r="M215">
        <v>3.47</v>
      </c>
      <c r="O215" t="s">
        <v>463</v>
      </c>
    </row>
    <row r="216" spans="1:15" x14ac:dyDescent="0.3">
      <c r="A216">
        <v>248607</v>
      </c>
      <c r="B216">
        <v>173</v>
      </c>
      <c r="C216" t="s">
        <v>734</v>
      </c>
      <c r="D216" t="s">
        <v>1749</v>
      </c>
      <c r="E216" t="s">
        <v>1813</v>
      </c>
      <c r="F216" s="465">
        <v>46216</v>
      </c>
      <c r="G216">
        <v>18640</v>
      </c>
      <c r="H216" t="s">
        <v>2307</v>
      </c>
      <c r="I216" t="s">
        <v>2088</v>
      </c>
      <c r="J216">
        <v>5</v>
      </c>
      <c r="K216" t="s">
        <v>2147</v>
      </c>
      <c r="L216">
        <v>1079.3499999999999</v>
      </c>
      <c r="M216">
        <v>215.87</v>
      </c>
      <c r="O216" t="s">
        <v>463</v>
      </c>
    </row>
    <row r="217" spans="1:15" x14ac:dyDescent="0.3">
      <c r="A217">
        <v>248604</v>
      </c>
      <c r="B217">
        <v>173</v>
      </c>
      <c r="C217" t="s">
        <v>734</v>
      </c>
      <c r="D217" t="s">
        <v>1758</v>
      </c>
      <c r="E217" t="s">
        <v>1814</v>
      </c>
      <c r="F217" s="465">
        <v>46211</v>
      </c>
      <c r="G217">
        <v>17071</v>
      </c>
      <c r="H217" t="s">
        <v>2308</v>
      </c>
      <c r="I217" t="s">
        <v>2110</v>
      </c>
      <c r="J217">
        <v>100</v>
      </c>
      <c r="K217" t="s">
        <v>2309</v>
      </c>
      <c r="L217">
        <v>2878</v>
      </c>
      <c r="M217">
        <v>28.78</v>
      </c>
      <c r="O217" t="s">
        <v>463</v>
      </c>
    </row>
    <row r="218" spans="1:15" x14ac:dyDescent="0.3">
      <c r="A218">
        <v>248604</v>
      </c>
      <c r="B218">
        <v>173</v>
      </c>
      <c r="C218" t="s">
        <v>734</v>
      </c>
      <c r="D218" t="s">
        <v>1758</v>
      </c>
      <c r="E218" t="s">
        <v>1814</v>
      </c>
      <c r="F218" s="465">
        <v>46211</v>
      </c>
      <c r="G218">
        <v>27601</v>
      </c>
      <c r="H218" t="s">
        <v>2310</v>
      </c>
      <c r="I218" t="s">
        <v>2110</v>
      </c>
      <c r="J218">
        <v>6</v>
      </c>
      <c r="K218" t="s">
        <v>2111</v>
      </c>
      <c r="L218">
        <v>89.16</v>
      </c>
      <c r="M218">
        <v>14.86</v>
      </c>
      <c r="O218" t="s">
        <v>463</v>
      </c>
    </row>
    <row r="219" spans="1:15" x14ac:dyDescent="0.3">
      <c r="A219">
        <v>248604</v>
      </c>
      <c r="B219">
        <v>173</v>
      </c>
      <c r="C219" t="s">
        <v>734</v>
      </c>
      <c r="D219" t="s">
        <v>1758</v>
      </c>
      <c r="E219" t="s">
        <v>1814</v>
      </c>
      <c r="F219" s="465">
        <v>46211</v>
      </c>
      <c r="G219">
        <v>26869</v>
      </c>
      <c r="H219" t="s">
        <v>2311</v>
      </c>
      <c r="I219" t="s">
        <v>2110</v>
      </c>
      <c r="J219">
        <v>9</v>
      </c>
      <c r="K219" t="s">
        <v>2111</v>
      </c>
      <c r="L219">
        <v>83.61</v>
      </c>
      <c r="M219">
        <v>9.2899999999999991</v>
      </c>
      <c r="O219" t="s">
        <v>463</v>
      </c>
    </row>
    <row r="220" spans="1:15" x14ac:dyDescent="0.3">
      <c r="A220">
        <v>248604</v>
      </c>
      <c r="B220">
        <v>173</v>
      </c>
      <c r="C220" t="s">
        <v>734</v>
      </c>
      <c r="D220" t="s">
        <v>1758</v>
      </c>
      <c r="E220" t="s">
        <v>1814</v>
      </c>
      <c r="F220" s="465">
        <v>46211</v>
      </c>
      <c r="G220">
        <v>25175</v>
      </c>
      <c r="H220" t="s">
        <v>2312</v>
      </c>
      <c r="I220" t="s">
        <v>2110</v>
      </c>
      <c r="J220">
        <v>50</v>
      </c>
      <c r="K220" t="s">
        <v>2111</v>
      </c>
      <c r="L220">
        <v>489</v>
      </c>
      <c r="M220">
        <v>9.7799999999999994</v>
      </c>
      <c r="O220" t="s">
        <v>463</v>
      </c>
    </row>
    <row r="221" spans="1:15" x14ac:dyDescent="0.3">
      <c r="A221">
        <v>248604</v>
      </c>
      <c r="B221">
        <v>173</v>
      </c>
      <c r="C221" t="s">
        <v>734</v>
      </c>
      <c r="D221" t="s">
        <v>1758</v>
      </c>
      <c r="E221" t="s">
        <v>1814</v>
      </c>
      <c r="F221" s="465">
        <v>46211</v>
      </c>
      <c r="G221">
        <v>27911</v>
      </c>
      <c r="H221" t="s">
        <v>2313</v>
      </c>
      <c r="I221" t="s">
        <v>2110</v>
      </c>
      <c r="J221">
        <v>1</v>
      </c>
      <c r="K221" t="s">
        <v>2309</v>
      </c>
      <c r="L221">
        <v>8.5399999999999991</v>
      </c>
      <c r="M221">
        <v>8.5399999999999991</v>
      </c>
      <c r="O221" t="s">
        <v>463</v>
      </c>
    </row>
    <row r="222" spans="1:15" x14ac:dyDescent="0.3">
      <c r="A222">
        <v>248604</v>
      </c>
      <c r="B222">
        <v>173</v>
      </c>
      <c r="C222" t="s">
        <v>734</v>
      </c>
      <c r="D222" t="s">
        <v>1758</v>
      </c>
      <c r="E222" t="s">
        <v>1814</v>
      </c>
      <c r="F222" s="465">
        <v>46211</v>
      </c>
      <c r="G222">
        <v>26957</v>
      </c>
      <c r="H222" t="s">
        <v>2168</v>
      </c>
      <c r="I222" t="s">
        <v>2110</v>
      </c>
      <c r="J222">
        <v>10</v>
      </c>
      <c r="K222" t="s">
        <v>2111</v>
      </c>
      <c r="L222">
        <v>294.7</v>
      </c>
      <c r="M222">
        <v>29.47</v>
      </c>
      <c r="O222" t="s">
        <v>463</v>
      </c>
    </row>
    <row r="223" spans="1:15" x14ac:dyDescent="0.3">
      <c r="A223">
        <v>248604</v>
      </c>
      <c r="B223">
        <v>173</v>
      </c>
      <c r="C223" t="s">
        <v>734</v>
      </c>
      <c r="D223" t="s">
        <v>1758</v>
      </c>
      <c r="E223" t="s">
        <v>1814</v>
      </c>
      <c r="F223" s="465">
        <v>46211</v>
      </c>
      <c r="G223">
        <v>30021</v>
      </c>
      <c r="H223" t="s">
        <v>2314</v>
      </c>
      <c r="I223" t="s">
        <v>2110</v>
      </c>
      <c r="J223">
        <v>8</v>
      </c>
      <c r="K223" t="s">
        <v>2309</v>
      </c>
      <c r="L223">
        <v>135.36000000000001</v>
      </c>
      <c r="M223">
        <v>16.920000000000002</v>
      </c>
      <c r="O223" t="s">
        <v>463</v>
      </c>
    </row>
    <row r="224" spans="1:15" x14ac:dyDescent="0.3">
      <c r="A224">
        <v>248604</v>
      </c>
      <c r="B224">
        <v>173</v>
      </c>
      <c r="C224" t="s">
        <v>734</v>
      </c>
      <c r="D224" t="s">
        <v>1758</v>
      </c>
      <c r="E224" t="s">
        <v>1814</v>
      </c>
      <c r="F224" s="465">
        <v>46211</v>
      </c>
      <c r="G224">
        <v>30022</v>
      </c>
      <c r="H224" t="s">
        <v>2315</v>
      </c>
      <c r="I224" t="s">
        <v>2110</v>
      </c>
      <c r="J224">
        <v>1</v>
      </c>
      <c r="K224" t="s">
        <v>2309</v>
      </c>
      <c r="L224">
        <v>191.65</v>
      </c>
      <c r="M224">
        <v>191.65</v>
      </c>
      <c r="O224" t="s">
        <v>463</v>
      </c>
    </row>
    <row r="225" spans="1:15" x14ac:dyDescent="0.3">
      <c r="A225">
        <v>248339</v>
      </c>
      <c r="B225">
        <v>173</v>
      </c>
      <c r="C225" t="s">
        <v>734</v>
      </c>
      <c r="D225" t="s">
        <v>1815</v>
      </c>
      <c r="E225" t="s">
        <v>1816</v>
      </c>
      <c r="F225" s="465">
        <v>46204</v>
      </c>
      <c r="G225">
        <v>30019</v>
      </c>
      <c r="H225" t="s">
        <v>2316</v>
      </c>
      <c r="I225" t="s">
        <v>2110</v>
      </c>
      <c r="J225">
        <v>1</v>
      </c>
      <c r="K225" t="s">
        <v>2111</v>
      </c>
      <c r="L225">
        <v>2730</v>
      </c>
      <c r="M225">
        <v>2730</v>
      </c>
      <c r="N225" t="s">
        <v>2317</v>
      </c>
      <c r="O225" t="s">
        <v>463</v>
      </c>
    </row>
    <row r="226" spans="1:15" x14ac:dyDescent="0.3">
      <c r="A226">
        <v>248029</v>
      </c>
      <c r="B226">
        <v>173</v>
      </c>
      <c r="C226" t="s">
        <v>734</v>
      </c>
      <c r="D226" t="s">
        <v>1784</v>
      </c>
      <c r="E226" t="s">
        <v>1817</v>
      </c>
      <c r="F226" s="465">
        <v>46213</v>
      </c>
      <c r="G226">
        <v>20689</v>
      </c>
      <c r="H226" t="s">
        <v>2222</v>
      </c>
      <c r="I226" t="s">
        <v>2100</v>
      </c>
      <c r="J226">
        <v>36</v>
      </c>
      <c r="K226" t="s">
        <v>2111</v>
      </c>
      <c r="L226">
        <v>1152</v>
      </c>
      <c r="M226">
        <v>32</v>
      </c>
      <c r="O226" t="s">
        <v>463</v>
      </c>
    </row>
    <row r="227" spans="1:15" x14ac:dyDescent="0.3">
      <c r="A227">
        <v>246564</v>
      </c>
      <c r="B227">
        <v>173</v>
      </c>
      <c r="C227" t="s">
        <v>734</v>
      </c>
      <c r="D227" t="s">
        <v>1734</v>
      </c>
      <c r="E227" t="s">
        <v>1818</v>
      </c>
      <c r="F227" s="465">
        <v>46213</v>
      </c>
      <c r="G227">
        <v>28663</v>
      </c>
      <c r="H227" t="s">
        <v>2117</v>
      </c>
      <c r="I227" t="s">
        <v>2105</v>
      </c>
      <c r="J227">
        <v>30</v>
      </c>
      <c r="K227" t="s">
        <v>2118</v>
      </c>
      <c r="L227">
        <v>5940</v>
      </c>
      <c r="M227">
        <v>198</v>
      </c>
      <c r="O227" t="s">
        <v>463</v>
      </c>
    </row>
    <row r="228" spans="1:15" x14ac:dyDescent="0.3">
      <c r="A228">
        <v>246563</v>
      </c>
      <c r="B228">
        <v>173</v>
      </c>
      <c r="C228" t="s">
        <v>734</v>
      </c>
      <c r="D228" t="s">
        <v>1819</v>
      </c>
      <c r="E228" t="s">
        <v>1820</v>
      </c>
      <c r="F228" s="465">
        <v>46216</v>
      </c>
      <c r="G228">
        <v>24933</v>
      </c>
      <c r="H228" t="s">
        <v>2318</v>
      </c>
      <c r="I228" t="s">
        <v>2110</v>
      </c>
      <c r="J228">
        <v>300</v>
      </c>
      <c r="K228" t="s">
        <v>2108</v>
      </c>
      <c r="L228">
        <v>5295</v>
      </c>
      <c r="M228">
        <v>17.649999999999999</v>
      </c>
      <c r="O228" t="s">
        <v>463</v>
      </c>
    </row>
    <row r="229" spans="1:15" x14ac:dyDescent="0.3">
      <c r="A229">
        <v>246555</v>
      </c>
      <c r="B229">
        <v>173</v>
      </c>
      <c r="C229" t="s">
        <v>734</v>
      </c>
      <c r="D229" t="s">
        <v>1821</v>
      </c>
      <c r="E229" t="s">
        <v>1822</v>
      </c>
      <c r="F229" s="465">
        <v>46206</v>
      </c>
      <c r="G229">
        <v>17717</v>
      </c>
      <c r="H229" t="s">
        <v>2319</v>
      </c>
      <c r="I229" t="s">
        <v>2088</v>
      </c>
      <c r="J229">
        <v>12</v>
      </c>
      <c r="K229" t="s">
        <v>2092</v>
      </c>
      <c r="L229">
        <v>932.64</v>
      </c>
      <c r="M229">
        <v>77.72</v>
      </c>
      <c r="O229" t="s">
        <v>463</v>
      </c>
    </row>
    <row r="230" spans="1:15" x14ac:dyDescent="0.3">
      <c r="A230">
        <v>246555</v>
      </c>
      <c r="B230">
        <v>173</v>
      </c>
      <c r="C230" t="s">
        <v>734</v>
      </c>
      <c r="D230" t="s">
        <v>1821</v>
      </c>
      <c r="E230" t="s">
        <v>1822</v>
      </c>
      <c r="F230" s="465">
        <v>46206</v>
      </c>
      <c r="G230">
        <v>26034</v>
      </c>
      <c r="H230" t="s">
        <v>2320</v>
      </c>
      <c r="I230" t="s">
        <v>2088</v>
      </c>
      <c r="J230">
        <v>24</v>
      </c>
      <c r="K230" t="s">
        <v>2092</v>
      </c>
      <c r="L230">
        <v>1173.8399999999999</v>
      </c>
      <c r="M230">
        <v>48.91</v>
      </c>
      <c r="O230" t="s">
        <v>463</v>
      </c>
    </row>
    <row r="231" spans="1:15" x14ac:dyDescent="0.3">
      <c r="A231">
        <v>246555</v>
      </c>
      <c r="B231">
        <v>173</v>
      </c>
      <c r="C231" t="s">
        <v>734</v>
      </c>
      <c r="D231" t="s">
        <v>1821</v>
      </c>
      <c r="E231" t="s">
        <v>1822</v>
      </c>
      <c r="F231" s="465">
        <v>46206</v>
      </c>
      <c r="G231">
        <v>17737</v>
      </c>
      <c r="H231" t="s">
        <v>2321</v>
      </c>
      <c r="I231" t="s">
        <v>2088</v>
      </c>
      <c r="J231">
        <v>12</v>
      </c>
      <c r="K231" t="s">
        <v>2111</v>
      </c>
      <c r="L231">
        <v>675.36</v>
      </c>
      <c r="M231">
        <v>56.28</v>
      </c>
      <c r="O231" t="s">
        <v>463</v>
      </c>
    </row>
    <row r="232" spans="1:15" x14ac:dyDescent="0.3">
      <c r="A232">
        <v>246555</v>
      </c>
      <c r="B232">
        <v>173</v>
      </c>
      <c r="C232" t="s">
        <v>734</v>
      </c>
      <c r="D232" t="s">
        <v>1821</v>
      </c>
      <c r="E232" t="s">
        <v>1822</v>
      </c>
      <c r="F232" s="465">
        <v>46206</v>
      </c>
      <c r="G232">
        <v>27089</v>
      </c>
      <c r="H232" t="s">
        <v>2322</v>
      </c>
      <c r="I232" t="s">
        <v>2088</v>
      </c>
      <c r="J232">
        <v>2</v>
      </c>
      <c r="K232" t="s">
        <v>2092</v>
      </c>
      <c r="L232">
        <v>742.36</v>
      </c>
      <c r="M232">
        <v>371.18</v>
      </c>
      <c r="O232" t="s">
        <v>463</v>
      </c>
    </row>
    <row r="233" spans="1:15" x14ac:dyDescent="0.3">
      <c r="A233">
        <v>246555</v>
      </c>
      <c r="B233">
        <v>173</v>
      </c>
      <c r="C233" t="s">
        <v>734</v>
      </c>
      <c r="D233" t="s">
        <v>1821</v>
      </c>
      <c r="E233" t="s">
        <v>1822</v>
      </c>
      <c r="F233" s="465">
        <v>46206</v>
      </c>
      <c r="G233">
        <v>17661</v>
      </c>
      <c r="H233" t="s">
        <v>2323</v>
      </c>
      <c r="I233" t="s">
        <v>2088</v>
      </c>
      <c r="J233">
        <v>6</v>
      </c>
      <c r="K233" t="s">
        <v>2092</v>
      </c>
      <c r="L233">
        <v>779.88</v>
      </c>
      <c r="M233">
        <v>129.97999999999999</v>
      </c>
      <c r="O233" t="s">
        <v>463</v>
      </c>
    </row>
    <row r="234" spans="1:15" x14ac:dyDescent="0.3">
      <c r="A234">
        <v>246555</v>
      </c>
      <c r="B234">
        <v>173</v>
      </c>
      <c r="C234" t="s">
        <v>734</v>
      </c>
      <c r="D234" t="s">
        <v>1821</v>
      </c>
      <c r="E234" t="s">
        <v>1822</v>
      </c>
      <c r="F234" s="465">
        <v>46206</v>
      </c>
      <c r="G234">
        <v>27857</v>
      </c>
      <c r="H234" t="s">
        <v>2324</v>
      </c>
      <c r="I234" t="s">
        <v>2088</v>
      </c>
      <c r="J234">
        <v>12</v>
      </c>
      <c r="K234" t="s">
        <v>2111</v>
      </c>
      <c r="L234">
        <v>723.6</v>
      </c>
      <c r="M234">
        <v>60.3</v>
      </c>
      <c r="O234" t="s">
        <v>463</v>
      </c>
    </row>
    <row r="235" spans="1:15" x14ac:dyDescent="0.3">
      <c r="A235">
        <v>246555</v>
      </c>
      <c r="B235">
        <v>173</v>
      </c>
      <c r="C235" t="s">
        <v>734</v>
      </c>
      <c r="D235" t="s">
        <v>1821</v>
      </c>
      <c r="E235" t="s">
        <v>1822</v>
      </c>
      <c r="F235" s="465">
        <v>46206</v>
      </c>
      <c r="G235">
        <v>28287</v>
      </c>
      <c r="H235" t="s">
        <v>2325</v>
      </c>
      <c r="I235" t="s">
        <v>2088</v>
      </c>
      <c r="J235">
        <v>2</v>
      </c>
      <c r="K235" t="s">
        <v>2111</v>
      </c>
      <c r="L235">
        <v>432.82</v>
      </c>
      <c r="M235">
        <v>216.41</v>
      </c>
      <c r="O235" t="s">
        <v>463</v>
      </c>
    </row>
    <row r="236" spans="1:15" x14ac:dyDescent="0.3">
      <c r="A236">
        <v>246555</v>
      </c>
      <c r="B236">
        <v>173</v>
      </c>
      <c r="C236" t="s">
        <v>734</v>
      </c>
      <c r="D236" t="s">
        <v>1821</v>
      </c>
      <c r="E236" t="s">
        <v>1822</v>
      </c>
      <c r="F236" s="465">
        <v>46206</v>
      </c>
      <c r="G236">
        <v>27569</v>
      </c>
      <c r="H236" t="s">
        <v>2326</v>
      </c>
      <c r="I236" t="s">
        <v>2088</v>
      </c>
      <c r="J236">
        <v>12</v>
      </c>
      <c r="K236" t="s">
        <v>2092</v>
      </c>
      <c r="L236">
        <v>932.64</v>
      </c>
      <c r="M236">
        <v>77.72</v>
      </c>
      <c r="O236" t="s">
        <v>463</v>
      </c>
    </row>
    <row r="237" spans="1:15" x14ac:dyDescent="0.3">
      <c r="A237">
        <v>246555</v>
      </c>
      <c r="B237">
        <v>173</v>
      </c>
      <c r="C237" t="s">
        <v>734</v>
      </c>
      <c r="D237" t="s">
        <v>1821</v>
      </c>
      <c r="E237" t="s">
        <v>1822</v>
      </c>
      <c r="F237" s="465">
        <v>46206</v>
      </c>
      <c r="G237">
        <v>25651</v>
      </c>
      <c r="H237" t="s">
        <v>2327</v>
      </c>
      <c r="I237" t="s">
        <v>2088</v>
      </c>
      <c r="J237">
        <v>12</v>
      </c>
      <c r="K237" t="s">
        <v>2092</v>
      </c>
      <c r="L237">
        <v>603</v>
      </c>
      <c r="M237">
        <v>50.25</v>
      </c>
      <c r="O237" t="s">
        <v>463</v>
      </c>
    </row>
    <row r="238" spans="1:15" x14ac:dyDescent="0.3">
      <c r="A238">
        <v>246555</v>
      </c>
      <c r="B238">
        <v>173</v>
      </c>
      <c r="C238" t="s">
        <v>734</v>
      </c>
      <c r="D238" t="s">
        <v>1821</v>
      </c>
      <c r="E238" t="s">
        <v>1822</v>
      </c>
      <c r="F238" s="465">
        <v>46206</v>
      </c>
      <c r="G238">
        <v>28285</v>
      </c>
      <c r="H238" t="s">
        <v>2328</v>
      </c>
      <c r="I238" t="s">
        <v>2088</v>
      </c>
      <c r="J238">
        <v>4</v>
      </c>
      <c r="K238" t="s">
        <v>2111</v>
      </c>
      <c r="L238">
        <v>611.04</v>
      </c>
      <c r="M238">
        <v>152.76</v>
      </c>
      <c r="O238" t="s">
        <v>463</v>
      </c>
    </row>
    <row r="239" spans="1:15" x14ac:dyDescent="0.3">
      <c r="A239">
        <v>246555</v>
      </c>
      <c r="B239">
        <v>173</v>
      </c>
      <c r="C239" t="s">
        <v>734</v>
      </c>
      <c r="D239" t="s">
        <v>1821</v>
      </c>
      <c r="E239" t="s">
        <v>1822</v>
      </c>
      <c r="F239" s="465">
        <v>46206</v>
      </c>
      <c r="G239">
        <v>17677</v>
      </c>
      <c r="H239" t="s">
        <v>2329</v>
      </c>
      <c r="I239" t="s">
        <v>2088</v>
      </c>
      <c r="J239">
        <v>6</v>
      </c>
      <c r="K239" t="s">
        <v>2111</v>
      </c>
      <c r="L239">
        <v>542.70000000000005</v>
      </c>
      <c r="M239">
        <v>90.45</v>
      </c>
      <c r="O239" t="s">
        <v>463</v>
      </c>
    </row>
    <row r="240" spans="1:15" x14ac:dyDescent="0.3">
      <c r="A240">
        <v>246555</v>
      </c>
      <c r="B240">
        <v>173</v>
      </c>
      <c r="C240" t="s">
        <v>734</v>
      </c>
      <c r="D240" t="s">
        <v>1821</v>
      </c>
      <c r="E240" t="s">
        <v>1822</v>
      </c>
      <c r="F240" s="465">
        <v>46206</v>
      </c>
      <c r="G240">
        <v>26032</v>
      </c>
      <c r="H240" t="s">
        <v>2330</v>
      </c>
      <c r="I240" t="s">
        <v>2088</v>
      </c>
      <c r="J240">
        <v>12</v>
      </c>
      <c r="K240" t="s">
        <v>2092</v>
      </c>
      <c r="L240">
        <v>932.64</v>
      </c>
      <c r="M240">
        <v>77.72</v>
      </c>
      <c r="O240" t="s">
        <v>463</v>
      </c>
    </row>
    <row r="241" spans="1:15" x14ac:dyDescent="0.3">
      <c r="A241">
        <v>246555</v>
      </c>
      <c r="B241">
        <v>173</v>
      </c>
      <c r="C241" t="s">
        <v>734</v>
      </c>
      <c r="D241" t="s">
        <v>1821</v>
      </c>
      <c r="E241" t="s">
        <v>1822</v>
      </c>
      <c r="F241" s="465">
        <v>46206</v>
      </c>
      <c r="G241">
        <v>26212</v>
      </c>
      <c r="H241" t="s">
        <v>2331</v>
      </c>
      <c r="I241" t="s">
        <v>2088</v>
      </c>
      <c r="J241">
        <v>12</v>
      </c>
      <c r="K241" t="s">
        <v>2092</v>
      </c>
      <c r="L241">
        <v>932.64</v>
      </c>
      <c r="M241">
        <v>77.72</v>
      </c>
      <c r="O241" t="s">
        <v>463</v>
      </c>
    </row>
    <row r="242" spans="1:15" x14ac:dyDescent="0.3">
      <c r="A242">
        <v>246555</v>
      </c>
      <c r="B242">
        <v>173</v>
      </c>
      <c r="C242" t="s">
        <v>734</v>
      </c>
      <c r="D242" t="s">
        <v>1821</v>
      </c>
      <c r="E242" t="s">
        <v>1822</v>
      </c>
      <c r="F242" s="465">
        <v>46206</v>
      </c>
      <c r="G242">
        <v>17694</v>
      </c>
      <c r="H242" t="s">
        <v>2332</v>
      </c>
      <c r="I242" t="s">
        <v>2088</v>
      </c>
      <c r="J242">
        <v>2</v>
      </c>
      <c r="K242" t="s">
        <v>2111</v>
      </c>
      <c r="L242">
        <v>414.06</v>
      </c>
      <c r="M242">
        <v>207.03</v>
      </c>
      <c r="O242" t="s">
        <v>463</v>
      </c>
    </row>
    <row r="243" spans="1:15" x14ac:dyDescent="0.3">
      <c r="A243">
        <v>246555</v>
      </c>
      <c r="B243">
        <v>173</v>
      </c>
      <c r="C243" t="s">
        <v>734</v>
      </c>
      <c r="D243" t="s">
        <v>1821</v>
      </c>
      <c r="E243" t="s">
        <v>1822</v>
      </c>
      <c r="F243" s="465">
        <v>46206</v>
      </c>
      <c r="G243">
        <v>28288</v>
      </c>
      <c r="H243" t="s">
        <v>2333</v>
      </c>
      <c r="J243">
        <v>8</v>
      </c>
      <c r="K243" t="s">
        <v>2111</v>
      </c>
      <c r="L243">
        <v>1104.1600000000001</v>
      </c>
      <c r="M243">
        <v>138.02000000000001</v>
      </c>
      <c r="O243" t="s">
        <v>463</v>
      </c>
    </row>
    <row r="244" spans="1:15" x14ac:dyDescent="0.3">
      <c r="A244">
        <v>246555</v>
      </c>
      <c r="B244">
        <v>173</v>
      </c>
      <c r="C244" t="s">
        <v>734</v>
      </c>
      <c r="D244" t="s">
        <v>1821</v>
      </c>
      <c r="E244" t="s">
        <v>1822</v>
      </c>
      <c r="F244" s="465">
        <v>46206</v>
      </c>
      <c r="G244">
        <v>28321</v>
      </c>
      <c r="H244" t="s">
        <v>2334</v>
      </c>
      <c r="I244" t="s">
        <v>2088</v>
      </c>
      <c r="J244">
        <v>2</v>
      </c>
      <c r="K244" t="s">
        <v>2111</v>
      </c>
      <c r="L244">
        <v>619.08000000000004</v>
      </c>
      <c r="M244">
        <v>309.54000000000002</v>
      </c>
      <c r="O244" t="s">
        <v>463</v>
      </c>
    </row>
    <row r="245" spans="1:15" x14ac:dyDescent="0.3">
      <c r="A245">
        <v>246555</v>
      </c>
      <c r="B245">
        <v>173</v>
      </c>
      <c r="C245" t="s">
        <v>734</v>
      </c>
      <c r="D245" t="s">
        <v>1821</v>
      </c>
      <c r="E245" t="s">
        <v>1822</v>
      </c>
      <c r="F245" s="465">
        <v>46206</v>
      </c>
      <c r="G245">
        <v>25976</v>
      </c>
      <c r="H245" t="s">
        <v>2335</v>
      </c>
      <c r="I245" t="s">
        <v>2088</v>
      </c>
      <c r="J245">
        <v>2</v>
      </c>
      <c r="K245" t="s">
        <v>2092</v>
      </c>
      <c r="L245">
        <v>616.4</v>
      </c>
      <c r="M245">
        <v>308.2</v>
      </c>
      <c r="O245" t="s">
        <v>463</v>
      </c>
    </row>
    <row r="246" spans="1:15" x14ac:dyDescent="0.3">
      <c r="A246">
        <v>246555</v>
      </c>
      <c r="B246">
        <v>173</v>
      </c>
      <c r="C246" t="s">
        <v>734</v>
      </c>
      <c r="D246" t="s">
        <v>1821</v>
      </c>
      <c r="E246" t="s">
        <v>1822</v>
      </c>
      <c r="F246" s="465">
        <v>46206</v>
      </c>
      <c r="G246">
        <v>25708</v>
      </c>
      <c r="H246" t="s">
        <v>2336</v>
      </c>
      <c r="I246" t="s">
        <v>2088</v>
      </c>
      <c r="J246">
        <v>12</v>
      </c>
      <c r="K246" t="s">
        <v>2092</v>
      </c>
      <c r="L246">
        <v>603</v>
      </c>
      <c r="M246">
        <v>50.25</v>
      </c>
      <c r="O246" t="s">
        <v>463</v>
      </c>
    </row>
    <row r="247" spans="1:15" x14ac:dyDescent="0.3">
      <c r="A247">
        <v>246555</v>
      </c>
      <c r="B247">
        <v>173</v>
      </c>
      <c r="C247" t="s">
        <v>734</v>
      </c>
      <c r="D247" t="s">
        <v>1821</v>
      </c>
      <c r="E247" t="s">
        <v>1822</v>
      </c>
      <c r="F247" s="465">
        <v>46206</v>
      </c>
      <c r="G247">
        <v>18016</v>
      </c>
      <c r="H247" t="s">
        <v>2337</v>
      </c>
      <c r="I247" t="s">
        <v>2088</v>
      </c>
      <c r="J247">
        <v>6</v>
      </c>
      <c r="K247" t="s">
        <v>2092</v>
      </c>
      <c r="L247">
        <v>795.96</v>
      </c>
      <c r="M247">
        <v>132.66</v>
      </c>
      <c r="O247" t="s">
        <v>463</v>
      </c>
    </row>
    <row r="248" spans="1:15" x14ac:dyDescent="0.3">
      <c r="A248">
        <v>246555</v>
      </c>
      <c r="B248">
        <v>173</v>
      </c>
      <c r="C248" t="s">
        <v>734</v>
      </c>
      <c r="D248" t="s">
        <v>1821</v>
      </c>
      <c r="E248" t="s">
        <v>1822</v>
      </c>
      <c r="F248" s="465">
        <v>46206</v>
      </c>
      <c r="G248">
        <v>25706</v>
      </c>
      <c r="H248" t="s">
        <v>2338</v>
      </c>
      <c r="I248" t="s">
        <v>2088</v>
      </c>
      <c r="J248">
        <v>2</v>
      </c>
      <c r="K248" t="s">
        <v>2092</v>
      </c>
      <c r="L248">
        <v>651.24</v>
      </c>
      <c r="M248">
        <v>325.62</v>
      </c>
      <c r="O248" t="s">
        <v>463</v>
      </c>
    </row>
    <row r="249" spans="1:15" x14ac:dyDescent="0.3">
      <c r="A249">
        <v>246555</v>
      </c>
      <c r="B249">
        <v>173</v>
      </c>
      <c r="C249" t="s">
        <v>734</v>
      </c>
      <c r="D249" t="s">
        <v>1821</v>
      </c>
      <c r="E249" t="s">
        <v>1822</v>
      </c>
      <c r="F249" s="465">
        <v>46206</v>
      </c>
      <c r="G249">
        <v>28256</v>
      </c>
      <c r="H249" t="s">
        <v>2339</v>
      </c>
      <c r="I249" t="s">
        <v>2088</v>
      </c>
      <c r="J249">
        <v>6</v>
      </c>
      <c r="K249" t="s">
        <v>2111</v>
      </c>
      <c r="L249">
        <v>341.7</v>
      </c>
      <c r="M249">
        <v>56.95</v>
      </c>
      <c r="O249" t="s">
        <v>463</v>
      </c>
    </row>
    <row r="250" spans="1:15" x14ac:dyDescent="0.3">
      <c r="A250">
        <v>246555</v>
      </c>
      <c r="B250">
        <v>173</v>
      </c>
      <c r="C250" t="s">
        <v>734</v>
      </c>
      <c r="D250" t="s">
        <v>1821</v>
      </c>
      <c r="E250" t="s">
        <v>1822</v>
      </c>
      <c r="F250" s="465">
        <v>46206</v>
      </c>
      <c r="G250">
        <v>26044</v>
      </c>
      <c r="H250" t="s">
        <v>2340</v>
      </c>
      <c r="I250" t="s">
        <v>2088</v>
      </c>
      <c r="J250">
        <v>4</v>
      </c>
      <c r="K250" t="s">
        <v>2092</v>
      </c>
      <c r="L250">
        <v>227.8</v>
      </c>
      <c r="M250">
        <v>56.95</v>
      </c>
      <c r="O250" t="s">
        <v>463</v>
      </c>
    </row>
    <row r="251" spans="1:15" x14ac:dyDescent="0.3">
      <c r="A251">
        <v>246555</v>
      </c>
      <c r="B251">
        <v>173</v>
      </c>
      <c r="C251" t="s">
        <v>734</v>
      </c>
      <c r="D251" t="s">
        <v>1821</v>
      </c>
      <c r="E251" t="s">
        <v>1822</v>
      </c>
      <c r="F251" s="465">
        <v>46206</v>
      </c>
      <c r="G251">
        <v>17718</v>
      </c>
      <c r="H251" t="s">
        <v>2341</v>
      </c>
      <c r="I251" t="s">
        <v>2088</v>
      </c>
      <c r="J251">
        <v>12</v>
      </c>
      <c r="K251" t="s">
        <v>2309</v>
      </c>
      <c r="L251">
        <v>611.04</v>
      </c>
      <c r="M251">
        <v>50.92</v>
      </c>
      <c r="O251" t="s">
        <v>463</v>
      </c>
    </row>
    <row r="252" spans="1:15" x14ac:dyDescent="0.3">
      <c r="A252">
        <v>246555</v>
      </c>
      <c r="B252">
        <v>173</v>
      </c>
      <c r="C252" t="s">
        <v>734</v>
      </c>
      <c r="D252" t="s">
        <v>1821</v>
      </c>
      <c r="E252" t="s">
        <v>1822</v>
      </c>
      <c r="F252" s="465">
        <v>46206</v>
      </c>
      <c r="G252">
        <v>28255</v>
      </c>
      <c r="H252" t="s">
        <v>2342</v>
      </c>
      <c r="I252" t="s">
        <v>2088</v>
      </c>
      <c r="J252">
        <v>4</v>
      </c>
      <c r="K252" t="s">
        <v>2111</v>
      </c>
      <c r="L252">
        <v>519.91999999999996</v>
      </c>
      <c r="M252">
        <v>129.97999999999999</v>
      </c>
      <c r="O252" t="s">
        <v>463</v>
      </c>
    </row>
    <row r="253" spans="1:15" x14ac:dyDescent="0.3">
      <c r="A253">
        <v>246555</v>
      </c>
      <c r="B253">
        <v>173</v>
      </c>
      <c r="C253" t="s">
        <v>734</v>
      </c>
      <c r="D253" t="s">
        <v>1821</v>
      </c>
      <c r="E253" t="s">
        <v>1822</v>
      </c>
      <c r="F253" s="465">
        <v>46206</v>
      </c>
      <c r="G253">
        <v>28320</v>
      </c>
      <c r="H253" t="s">
        <v>2343</v>
      </c>
      <c r="I253" t="s">
        <v>2088</v>
      </c>
      <c r="J253">
        <v>2</v>
      </c>
      <c r="K253" t="s">
        <v>2111</v>
      </c>
      <c r="L253">
        <v>616.4</v>
      </c>
      <c r="M253">
        <v>308.2</v>
      </c>
      <c r="O253" t="s">
        <v>463</v>
      </c>
    </row>
    <row r="254" spans="1:15" x14ac:dyDescent="0.3">
      <c r="A254">
        <v>246555</v>
      </c>
      <c r="B254">
        <v>173</v>
      </c>
      <c r="C254" t="s">
        <v>734</v>
      </c>
      <c r="D254" t="s">
        <v>1821</v>
      </c>
      <c r="E254" t="s">
        <v>1822</v>
      </c>
      <c r="F254" s="465">
        <v>46206</v>
      </c>
      <c r="G254">
        <v>25707</v>
      </c>
      <c r="H254" t="s">
        <v>2344</v>
      </c>
      <c r="I254" t="s">
        <v>2088</v>
      </c>
      <c r="J254">
        <v>12</v>
      </c>
      <c r="K254" t="s">
        <v>2092</v>
      </c>
      <c r="L254">
        <v>723.6</v>
      </c>
      <c r="M254">
        <v>60.3</v>
      </c>
      <c r="O254" t="s">
        <v>463</v>
      </c>
    </row>
    <row r="255" spans="1:15" x14ac:dyDescent="0.3">
      <c r="A255">
        <v>246555</v>
      </c>
      <c r="B255">
        <v>173</v>
      </c>
      <c r="C255" t="s">
        <v>734</v>
      </c>
      <c r="D255" t="s">
        <v>1821</v>
      </c>
      <c r="E255" t="s">
        <v>1822</v>
      </c>
      <c r="F255" s="465">
        <v>46206</v>
      </c>
      <c r="G255">
        <v>29206</v>
      </c>
      <c r="H255" t="s">
        <v>2345</v>
      </c>
      <c r="I255" t="s">
        <v>2105</v>
      </c>
      <c r="J255">
        <v>6</v>
      </c>
      <c r="K255" t="s">
        <v>2111</v>
      </c>
      <c r="L255">
        <v>631.79999999999995</v>
      </c>
      <c r="M255">
        <v>105.3</v>
      </c>
      <c r="O255" t="s">
        <v>463</v>
      </c>
    </row>
    <row r="256" spans="1:15" x14ac:dyDescent="0.3">
      <c r="A256">
        <v>246555</v>
      </c>
      <c r="B256">
        <v>173</v>
      </c>
      <c r="C256" t="s">
        <v>734</v>
      </c>
      <c r="D256" t="s">
        <v>1821</v>
      </c>
      <c r="E256" t="s">
        <v>1822</v>
      </c>
      <c r="F256" s="465">
        <v>46206</v>
      </c>
      <c r="G256">
        <v>26040</v>
      </c>
      <c r="H256" t="s">
        <v>2346</v>
      </c>
      <c r="I256" t="s">
        <v>2088</v>
      </c>
      <c r="J256">
        <v>24</v>
      </c>
      <c r="K256" t="s">
        <v>2092</v>
      </c>
      <c r="L256">
        <v>1173.8399999999999</v>
      </c>
      <c r="M256">
        <v>48.91</v>
      </c>
      <c r="O256" t="s">
        <v>463</v>
      </c>
    </row>
    <row r="257" spans="1:15" x14ac:dyDescent="0.3">
      <c r="A257">
        <v>246555</v>
      </c>
      <c r="B257">
        <v>173</v>
      </c>
      <c r="C257" t="s">
        <v>734</v>
      </c>
      <c r="D257" t="s">
        <v>1821</v>
      </c>
      <c r="E257" t="s">
        <v>1822</v>
      </c>
      <c r="F257" s="465">
        <v>46206</v>
      </c>
      <c r="G257">
        <v>28257</v>
      </c>
      <c r="H257" t="s">
        <v>2347</v>
      </c>
      <c r="I257" t="s">
        <v>2088</v>
      </c>
      <c r="J257">
        <v>18</v>
      </c>
      <c r="K257" t="s">
        <v>2111</v>
      </c>
      <c r="L257">
        <v>1013.04</v>
      </c>
      <c r="M257">
        <v>56.28</v>
      </c>
      <c r="O257" t="s">
        <v>463</v>
      </c>
    </row>
    <row r="258" spans="1:15" x14ac:dyDescent="0.3">
      <c r="A258">
        <v>246504</v>
      </c>
      <c r="B258">
        <v>173</v>
      </c>
      <c r="C258" t="s">
        <v>734</v>
      </c>
      <c r="D258" t="s">
        <v>1766</v>
      </c>
      <c r="E258" t="s">
        <v>1823</v>
      </c>
      <c r="F258" s="465">
        <v>46213</v>
      </c>
      <c r="G258">
        <v>24339</v>
      </c>
      <c r="H258" t="s">
        <v>2348</v>
      </c>
      <c r="I258" t="s">
        <v>2100</v>
      </c>
      <c r="J258">
        <v>50</v>
      </c>
      <c r="K258" t="s">
        <v>2101</v>
      </c>
      <c r="L258">
        <v>1225</v>
      </c>
      <c r="M258">
        <v>24.5</v>
      </c>
      <c r="O258" t="s">
        <v>463</v>
      </c>
    </row>
    <row r="259" spans="1:15" x14ac:dyDescent="0.3">
      <c r="A259">
        <v>246504</v>
      </c>
      <c r="B259">
        <v>173</v>
      </c>
      <c r="C259" t="s">
        <v>734</v>
      </c>
      <c r="D259" t="s">
        <v>1766</v>
      </c>
      <c r="E259" t="s">
        <v>1823</v>
      </c>
      <c r="F259" s="465">
        <v>46213</v>
      </c>
      <c r="G259">
        <v>24331</v>
      </c>
      <c r="H259" t="s">
        <v>2349</v>
      </c>
      <c r="I259" t="s">
        <v>2100</v>
      </c>
      <c r="J259">
        <v>50</v>
      </c>
      <c r="K259" t="s">
        <v>2101</v>
      </c>
      <c r="L259">
        <v>1087.5</v>
      </c>
      <c r="M259">
        <v>21.75</v>
      </c>
      <c r="O259" t="s">
        <v>463</v>
      </c>
    </row>
    <row r="260" spans="1:15" x14ac:dyDescent="0.3">
      <c r="A260">
        <v>246424</v>
      </c>
      <c r="B260">
        <v>173</v>
      </c>
      <c r="C260" t="s">
        <v>734</v>
      </c>
      <c r="D260" t="s">
        <v>1766</v>
      </c>
      <c r="E260" t="s">
        <v>1824</v>
      </c>
      <c r="F260" s="465">
        <v>46204</v>
      </c>
      <c r="G260">
        <v>19415</v>
      </c>
      <c r="H260" t="s">
        <v>2350</v>
      </c>
      <c r="I260" t="s">
        <v>2100</v>
      </c>
      <c r="J260">
        <v>30</v>
      </c>
      <c r="K260" t="s">
        <v>2111</v>
      </c>
      <c r="L260">
        <v>250.8</v>
      </c>
      <c r="M260">
        <v>8.36</v>
      </c>
      <c r="N260" t="s">
        <v>2351</v>
      </c>
      <c r="O260" t="s">
        <v>463</v>
      </c>
    </row>
    <row r="261" spans="1:15" x14ac:dyDescent="0.3">
      <c r="A261">
        <v>246424</v>
      </c>
      <c r="B261">
        <v>173</v>
      </c>
      <c r="C261" t="s">
        <v>734</v>
      </c>
      <c r="D261" t="s">
        <v>1766</v>
      </c>
      <c r="E261" t="s">
        <v>1824</v>
      </c>
      <c r="F261" s="465">
        <v>46204</v>
      </c>
      <c r="G261">
        <v>20923</v>
      </c>
      <c r="H261" t="s">
        <v>2352</v>
      </c>
      <c r="I261" t="s">
        <v>2100</v>
      </c>
      <c r="J261">
        <v>10</v>
      </c>
      <c r="K261" t="s">
        <v>2089</v>
      </c>
      <c r="L261">
        <v>629.9</v>
      </c>
      <c r="M261">
        <v>62.99</v>
      </c>
      <c r="N261" t="s">
        <v>2351</v>
      </c>
      <c r="O261" t="s">
        <v>463</v>
      </c>
    </row>
    <row r="262" spans="1:15" x14ac:dyDescent="0.3">
      <c r="A262">
        <v>246402</v>
      </c>
      <c r="B262">
        <v>173</v>
      </c>
      <c r="C262" t="s">
        <v>734</v>
      </c>
      <c r="D262" t="s">
        <v>1775</v>
      </c>
      <c r="E262" t="s">
        <v>1825</v>
      </c>
      <c r="F262" s="465">
        <v>46213</v>
      </c>
      <c r="G262">
        <v>19765</v>
      </c>
      <c r="H262" t="s">
        <v>2353</v>
      </c>
      <c r="I262" t="s">
        <v>2100</v>
      </c>
      <c r="J262">
        <v>10</v>
      </c>
      <c r="K262" t="s">
        <v>2101</v>
      </c>
      <c r="L262">
        <v>370</v>
      </c>
      <c r="M262">
        <v>37</v>
      </c>
      <c r="O262" t="s">
        <v>463</v>
      </c>
    </row>
    <row r="263" spans="1:15" x14ac:dyDescent="0.3">
      <c r="A263">
        <v>246363</v>
      </c>
      <c r="B263">
        <v>173</v>
      </c>
      <c r="C263" t="s">
        <v>734</v>
      </c>
      <c r="D263" t="s">
        <v>1749</v>
      </c>
      <c r="E263" t="s">
        <v>1826</v>
      </c>
      <c r="F263" s="465">
        <v>46213</v>
      </c>
      <c r="G263">
        <v>17903</v>
      </c>
      <c r="H263" t="s">
        <v>2354</v>
      </c>
      <c r="I263" t="s">
        <v>2088</v>
      </c>
      <c r="J263">
        <v>30</v>
      </c>
      <c r="K263" t="s">
        <v>2089</v>
      </c>
      <c r="L263">
        <v>596.4</v>
      </c>
      <c r="M263">
        <v>19.88</v>
      </c>
      <c r="O263" t="s">
        <v>463</v>
      </c>
    </row>
    <row r="264" spans="1:15" x14ac:dyDescent="0.3">
      <c r="A264">
        <v>246348</v>
      </c>
      <c r="B264">
        <v>173</v>
      </c>
      <c r="C264" t="s">
        <v>734</v>
      </c>
      <c r="D264" t="s">
        <v>1746</v>
      </c>
      <c r="E264" t="s">
        <v>1827</v>
      </c>
      <c r="F264" s="465">
        <v>46213</v>
      </c>
      <c r="G264">
        <v>24170</v>
      </c>
      <c r="H264" t="s">
        <v>2355</v>
      </c>
      <c r="I264" t="s">
        <v>2100</v>
      </c>
      <c r="J264">
        <v>2</v>
      </c>
      <c r="K264" t="s">
        <v>2101</v>
      </c>
      <c r="L264">
        <v>23.6</v>
      </c>
      <c r="M264">
        <v>11.8</v>
      </c>
      <c r="O264" t="s">
        <v>463</v>
      </c>
    </row>
    <row r="265" spans="1:15" x14ac:dyDescent="0.3">
      <c r="A265">
        <v>246348</v>
      </c>
      <c r="B265">
        <v>173</v>
      </c>
      <c r="C265" t="s">
        <v>734</v>
      </c>
      <c r="D265" t="s">
        <v>1746</v>
      </c>
      <c r="E265" t="s">
        <v>1827</v>
      </c>
      <c r="F265" s="465">
        <v>46213</v>
      </c>
      <c r="G265">
        <v>29782</v>
      </c>
      <c r="H265" t="s">
        <v>2356</v>
      </c>
      <c r="I265" t="s">
        <v>2100</v>
      </c>
      <c r="J265">
        <v>2</v>
      </c>
      <c r="K265" t="s">
        <v>2101</v>
      </c>
      <c r="L265">
        <v>153.80000000000001</v>
      </c>
      <c r="M265">
        <v>76.900000000000006</v>
      </c>
      <c r="O265" t="s">
        <v>463</v>
      </c>
    </row>
    <row r="266" spans="1:15" x14ac:dyDescent="0.3">
      <c r="A266">
        <v>246284</v>
      </c>
      <c r="B266">
        <v>173</v>
      </c>
      <c r="C266" t="s">
        <v>734</v>
      </c>
      <c r="D266" t="s">
        <v>1746</v>
      </c>
      <c r="E266" t="s">
        <v>1828</v>
      </c>
      <c r="F266" s="465">
        <v>46213</v>
      </c>
      <c r="G266">
        <v>21068</v>
      </c>
      <c r="H266" t="s">
        <v>2357</v>
      </c>
      <c r="I266" t="s">
        <v>2100</v>
      </c>
      <c r="J266">
        <v>30</v>
      </c>
      <c r="K266" t="s">
        <v>2092</v>
      </c>
      <c r="L266">
        <v>497.1</v>
      </c>
      <c r="M266">
        <v>16.57</v>
      </c>
      <c r="O266" t="s">
        <v>463</v>
      </c>
    </row>
    <row r="267" spans="1:15" x14ac:dyDescent="0.3">
      <c r="A267">
        <v>246284</v>
      </c>
      <c r="B267">
        <v>173</v>
      </c>
      <c r="C267" t="s">
        <v>734</v>
      </c>
      <c r="D267" t="s">
        <v>1746</v>
      </c>
      <c r="E267" t="s">
        <v>1828</v>
      </c>
      <c r="F267" s="465">
        <v>46213</v>
      </c>
      <c r="G267">
        <v>23534</v>
      </c>
      <c r="H267" t="s">
        <v>2358</v>
      </c>
      <c r="I267" t="s">
        <v>2100</v>
      </c>
      <c r="J267">
        <v>4</v>
      </c>
      <c r="K267" t="s">
        <v>2359</v>
      </c>
      <c r="L267">
        <v>130.24</v>
      </c>
      <c r="M267">
        <v>32.56</v>
      </c>
      <c r="O267" t="s">
        <v>463</v>
      </c>
    </row>
    <row r="268" spans="1:15" x14ac:dyDescent="0.3">
      <c r="A268">
        <v>246284</v>
      </c>
      <c r="B268">
        <v>173</v>
      </c>
      <c r="C268" t="s">
        <v>734</v>
      </c>
      <c r="D268" t="s">
        <v>1746</v>
      </c>
      <c r="E268" t="s">
        <v>1828</v>
      </c>
      <c r="F268" s="465">
        <v>46213</v>
      </c>
      <c r="G268">
        <v>20757</v>
      </c>
      <c r="H268" t="s">
        <v>2360</v>
      </c>
      <c r="I268" t="s">
        <v>2100</v>
      </c>
      <c r="J268">
        <v>2</v>
      </c>
      <c r="K268" t="s">
        <v>2237</v>
      </c>
      <c r="L268">
        <v>155.80000000000001</v>
      </c>
      <c r="M268">
        <v>77.900000000000006</v>
      </c>
      <c r="O268" t="s">
        <v>463</v>
      </c>
    </row>
    <row r="269" spans="1:15" x14ac:dyDescent="0.3">
      <c r="A269">
        <v>246273</v>
      </c>
      <c r="B269">
        <v>173</v>
      </c>
      <c r="C269" t="s">
        <v>734</v>
      </c>
      <c r="D269" t="s">
        <v>1731</v>
      </c>
      <c r="E269" t="s">
        <v>1829</v>
      </c>
      <c r="F269" s="465">
        <v>46213</v>
      </c>
      <c r="G269">
        <v>28760</v>
      </c>
      <c r="H269" t="s">
        <v>2361</v>
      </c>
      <c r="I269" t="s">
        <v>2100</v>
      </c>
      <c r="J269">
        <v>41.8</v>
      </c>
      <c r="K269" t="s">
        <v>2101</v>
      </c>
      <c r="L269">
        <v>2549.8000000000002</v>
      </c>
      <c r="M269">
        <v>61</v>
      </c>
      <c r="O269" t="s">
        <v>463</v>
      </c>
    </row>
    <row r="270" spans="1:15" x14ac:dyDescent="0.3">
      <c r="A270">
        <v>246244</v>
      </c>
      <c r="B270">
        <v>173</v>
      </c>
      <c r="C270" t="s">
        <v>734</v>
      </c>
      <c r="D270" t="s">
        <v>1763</v>
      </c>
      <c r="E270" t="s">
        <v>1830</v>
      </c>
      <c r="F270" s="465">
        <v>46213</v>
      </c>
      <c r="G270">
        <v>19472</v>
      </c>
      <c r="H270" t="s">
        <v>2362</v>
      </c>
      <c r="I270" t="s">
        <v>2100</v>
      </c>
      <c r="J270">
        <v>10</v>
      </c>
      <c r="K270" t="s">
        <v>2101</v>
      </c>
      <c r="L270">
        <v>110</v>
      </c>
      <c r="M270">
        <v>11</v>
      </c>
      <c r="O270" t="s">
        <v>463</v>
      </c>
    </row>
    <row r="271" spans="1:15" x14ac:dyDescent="0.3">
      <c r="A271">
        <v>246244</v>
      </c>
      <c r="B271">
        <v>173</v>
      </c>
      <c r="C271" t="s">
        <v>734</v>
      </c>
      <c r="D271" t="s">
        <v>1763</v>
      </c>
      <c r="E271" t="s">
        <v>1830</v>
      </c>
      <c r="F271" s="465">
        <v>46213</v>
      </c>
      <c r="G271">
        <v>23390</v>
      </c>
      <c r="H271" t="s">
        <v>2194</v>
      </c>
      <c r="I271" t="s">
        <v>2100</v>
      </c>
      <c r="J271">
        <v>5</v>
      </c>
      <c r="K271" t="s">
        <v>2101</v>
      </c>
      <c r="L271">
        <v>40</v>
      </c>
      <c r="M271">
        <v>8</v>
      </c>
      <c r="O271" t="s">
        <v>463</v>
      </c>
    </row>
    <row r="272" spans="1:15" x14ac:dyDescent="0.3">
      <c r="A272">
        <v>246244</v>
      </c>
      <c r="B272">
        <v>173</v>
      </c>
      <c r="C272" t="s">
        <v>734</v>
      </c>
      <c r="D272" t="s">
        <v>1763</v>
      </c>
      <c r="E272" t="s">
        <v>1830</v>
      </c>
      <c r="F272" s="465">
        <v>46213</v>
      </c>
      <c r="G272">
        <v>19635</v>
      </c>
      <c r="H272" t="s">
        <v>2363</v>
      </c>
      <c r="I272" t="s">
        <v>2100</v>
      </c>
      <c r="J272">
        <v>20</v>
      </c>
      <c r="K272" t="s">
        <v>2101</v>
      </c>
      <c r="L272">
        <v>76</v>
      </c>
      <c r="M272">
        <v>3.8</v>
      </c>
      <c r="O272" t="s">
        <v>463</v>
      </c>
    </row>
    <row r="273" spans="1:15" x14ac:dyDescent="0.3">
      <c r="A273">
        <v>246244</v>
      </c>
      <c r="B273">
        <v>173</v>
      </c>
      <c r="C273" t="s">
        <v>734</v>
      </c>
      <c r="D273" t="s">
        <v>1763</v>
      </c>
      <c r="E273" t="s">
        <v>1830</v>
      </c>
      <c r="F273" s="465">
        <v>46213</v>
      </c>
      <c r="G273">
        <v>24598</v>
      </c>
      <c r="H273" t="s">
        <v>2364</v>
      </c>
      <c r="I273" t="s">
        <v>2100</v>
      </c>
      <c r="J273">
        <v>3</v>
      </c>
      <c r="K273" t="s">
        <v>2101</v>
      </c>
      <c r="L273">
        <v>34.5</v>
      </c>
      <c r="M273">
        <v>11.5</v>
      </c>
      <c r="O273" t="s">
        <v>463</v>
      </c>
    </row>
    <row r="274" spans="1:15" x14ac:dyDescent="0.3">
      <c r="A274">
        <v>246244</v>
      </c>
      <c r="B274">
        <v>173</v>
      </c>
      <c r="C274" t="s">
        <v>734</v>
      </c>
      <c r="D274" t="s">
        <v>1763</v>
      </c>
      <c r="E274" t="s">
        <v>1830</v>
      </c>
      <c r="F274" s="465">
        <v>46213</v>
      </c>
      <c r="G274">
        <v>19653</v>
      </c>
      <c r="H274" t="s">
        <v>2210</v>
      </c>
      <c r="I274" t="s">
        <v>2100</v>
      </c>
      <c r="J274">
        <v>2</v>
      </c>
      <c r="K274" t="s">
        <v>2101</v>
      </c>
      <c r="L274">
        <v>56</v>
      </c>
      <c r="M274">
        <v>28</v>
      </c>
      <c r="O274" t="s">
        <v>463</v>
      </c>
    </row>
    <row r="275" spans="1:15" x14ac:dyDescent="0.3">
      <c r="A275">
        <v>246244</v>
      </c>
      <c r="B275">
        <v>173</v>
      </c>
      <c r="C275" t="s">
        <v>734</v>
      </c>
      <c r="D275" t="s">
        <v>1763</v>
      </c>
      <c r="E275" t="s">
        <v>1830</v>
      </c>
      <c r="F275" s="465">
        <v>46213</v>
      </c>
      <c r="G275">
        <v>24099</v>
      </c>
      <c r="H275" t="s">
        <v>2365</v>
      </c>
      <c r="I275" t="s">
        <v>2100</v>
      </c>
      <c r="J275">
        <v>5</v>
      </c>
      <c r="K275" t="s">
        <v>2101</v>
      </c>
      <c r="L275">
        <v>60</v>
      </c>
      <c r="M275">
        <v>12</v>
      </c>
      <c r="O275" t="s">
        <v>463</v>
      </c>
    </row>
    <row r="276" spans="1:15" x14ac:dyDescent="0.3">
      <c r="A276">
        <v>246226</v>
      </c>
      <c r="B276">
        <v>173</v>
      </c>
      <c r="C276" t="s">
        <v>734</v>
      </c>
      <c r="D276" t="s">
        <v>1778</v>
      </c>
      <c r="E276" t="s">
        <v>1831</v>
      </c>
      <c r="F276" s="465">
        <v>46213</v>
      </c>
      <c r="G276">
        <v>20743</v>
      </c>
      <c r="H276" t="s">
        <v>2366</v>
      </c>
      <c r="I276" t="s">
        <v>2100</v>
      </c>
      <c r="J276">
        <v>2</v>
      </c>
      <c r="K276" t="s">
        <v>2111</v>
      </c>
      <c r="L276">
        <v>167</v>
      </c>
      <c r="M276">
        <v>83.5</v>
      </c>
      <c r="O276" t="s">
        <v>463</v>
      </c>
    </row>
    <row r="277" spans="1:15" x14ac:dyDescent="0.3">
      <c r="A277">
        <v>246226</v>
      </c>
      <c r="B277">
        <v>173</v>
      </c>
      <c r="C277" t="s">
        <v>734</v>
      </c>
      <c r="D277" t="s">
        <v>1778</v>
      </c>
      <c r="E277" t="s">
        <v>1831</v>
      </c>
      <c r="F277" s="465">
        <v>46213</v>
      </c>
      <c r="G277">
        <v>20644</v>
      </c>
      <c r="H277" t="s">
        <v>2367</v>
      </c>
      <c r="I277" t="s">
        <v>2100</v>
      </c>
      <c r="J277">
        <v>30</v>
      </c>
      <c r="K277" t="s">
        <v>2111</v>
      </c>
      <c r="L277">
        <v>107.4</v>
      </c>
      <c r="M277">
        <v>3.58</v>
      </c>
      <c r="O277" t="s">
        <v>463</v>
      </c>
    </row>
    <row r="278" spans="1:15" x14ac:dyDescent="0.3">
      <c r="A278">
        <v>246226</v>
      </c>
      <c r="B278">
        <v>173</v>
      </c>
      <c r="C278" t="s">
        <v>734</v>
      </c>
      <c r="D278" t="s">
        <v>1778</v>
      </c>
      <c r="E278" t="s">
        <v>1831</v>
      </c>
      <c r="F278" s="465">
        <v>46213</v>
      </c>
      <c r="G278">
        <v>20735</v>
      </c>
      <c r="H278" t="s">
        <v>2368</v>
      </c>
      <c r="I278" t="s">
        <v>2100</v>
      </c>
      <c r="J278">
        <v>2</v>
      </c>
      <c r="K278" t="s">
        <v>2237</v>
      </c>
      <c r="L278">
        <v>125</v>
      </c>
      <c r="M278">
        <v>62.5</v>
      </c>
      <c r="O278" t="s">
        <v>463</v>
      </c>
    </row>
    <row r="279" spans="1:15" x14ac:dyDescent="0.3">
      <c r="A279">
        <v>246226</v>
      </c>
      <c r="B279">
        <v>173</v>
      </c>
      <c r="C279" t="s">
        <v>734</v>
      </c>
      <c r="D279" t="s">
        <v>1778</v>
      </c>
      <c r="E279" t="s">
        <v>1831</v>
      </c>
      <c r="F279" s="465">
        <v>46213</v>
      </c>
      <c r="G279">
        <v>25359</v>
      </c>
      <c r="H279" t="s">
        <v>2369</v>
      </c>
      <c r="I279" t="s">
        <v>2100</v>
      </c>
      <c r="J279">
        <v>3</v>
      </c>
      <c r="K279" t="s">
        <v>2370</v>
      </c>
      <c r="L279">
        <v>277.74</v>
      </c>
      <c r="M279">
        <v>92.58</v>
      </c>
      <c r="O279" t="s">
        <v>463</v>
      </c>
    </row>
    <row r="280" spans="1:15" x14ac:dyDescent="0.3">
      <c r="A280">
        <v>246217</v>
      </c>
      <c r="B280">
        <v>173</v>
      </c>
      <c r="C280" t="s">
        <v>734</v>
      </c>
      <c r="D280" t="s">
        <v>1778</v>
      </c>
      <c r="E280" t="s">
        <v>1832</v>
      </c>
      <c r="F280" s="465">
        <v>46213</v>
      </c>
      <c r="G280">
        <v>19967</v>
      </c>
      <c r="H280" t="s">
        <v>2371</v>
      </c>
      <c r="I280" t="s">
        <v>2100</v>
      </c>
      <c r="J280">
        <v>9</v>
      </c>
      <c r="K280" t="s">
        <v>2111</v>
      </c>
      <c r="L280">
        <v>449.28</v>
      </c>
      <c r="M280">
        <v>49.92</v>
      </c>
      <c r="O280" t="s">
        <v>463</v>
      </c>
    </row>
    <row r="281" spans="1:15" x14ac:dyDescent="0.3">
      <c r="A281">
        <v>246209</v>
      </c>
      <c r="B281">
        <v>173</v>
      </c>
      <c r="C281" t="s">
        <v>734</v>
      </c>
      <c r="D281" t="s">
        <v>912</v>
      </c>
      <c r="E281" t="s">
        <v>1833</v>
      </c>
      <c r="F281" s="465">
        <v>46214</v>
      </c>
      <c r="G281">
        <v>23228</v>
      </c>
      <c r="H281" t="s">
        <v>2302</v>
      </c>
      <c r="I281" t="s">
        <v>2100</v>
      </c>
      <c r="J281">
        <v>50</v>
      </c>
      <c r="K281" t="s">
        <v>2101</v>
      </c>
      <c r="L281">
        <v>324.5</v>
      </c>
      <c r="M281">
        <v>6.49</v>
      </c>
      <c r="O281" t="s">
        <v>463</v>
      </c>
    </row>
    <row r="282" spans="1:15" x14ac:dyDescent="0.3">
      <c r="A282">
        <v>246209</v>
      </c>
      <c r="B282">
        <v>173</v>
      </c>
      <c r="C282" t="s">
        <v>734</v>
      </c>
      <c r="D282" t="s">
        <v>912</v>
      </c>
      <c r="E282" t="s">
        <v>1833</v>
      </c>
      <c r="F282" s="465">
        <v>46214</v>
      </c>
      <c r="G282">
        <v>26631</v>
      </c>
      <c r="H282" t="s">
        <v>2372</v>
      </c>
      <c r="I282" t="s">
        <v>2100</v>
      </c>
      <c r="J282">
        <v>2</v>
      </c>
      <c r="K282" t="s">
        <v>2101</v>
      </c>
      <c r="L282">
        <v>138</v>
      </c>
      <c r="M282">
        <v>69</v>
      </c>
      <c r="O282" t="s">
        <v>463</v>
      </c>
    </row>
    <row r="283" spans="1:15" x14ac:dyDescent="0.3">
      <c r="A283">
        <v>246190</v>
      </c>
      <c r="B283">
        <v>173</v>
      </c>
      <c r="C283" t="s">
        <v>734</v>
      </c>
      <c r="D283" t="s">
        <v>1834</v>
      </c>
      <c r="E283" t="s">
        <v>1835</v>
      </c>
      <c r="F283" s="465">
        <v>46216</v>
      </c>
      <c r="G283">
        <v>24277</v>
      </c>
      <c r="H283" t="s">
        <v>2373</v>
      </c>
      <c r="I283" t="s">
        <v>2100</v>
      </c>
      <c r="J283">
        <v>210</v>
      </c>
      <c r="K283" t="s">
        <v>2101</v>
      </c>
      <c r="L283">
        <v>2454.9</v>
      </c>
      <c r="M283">
        <v>11.69</v>
      </c>
      <c r="O283" t="s">
        <v>463</v>
      </c>
    </row>
    <row r="284" spans="1:15" x14ac:dyDescent="0.3">
      <c r="A284">
        <v>244556</v>
      </c>
      <c r="B284">
        <v>173</v>
      </c>
      <c r="C284" t="s">
        <v>734</v>
      </c>
      <c r="D284" t="s">
        <v>1746</v>
      </c>
      <c r="E284" t="s">
        <v>1836</v>
      </c>
      <c r="F284" s="465">
        <v>46204</v>
      </c>
      <c r="G284">
        <v>22721</v>
      </c>
      <c r="H284" t="s">
        <v>2374</v>
      </c>
      <c r="I284" t="s">
        <v>2100</v>
      </c>
      <c r="J284">
        <v>50</v>
      </c>
      <c r="K284" t="s">
        <v>2101</v>
      </c>
      <c r="L284">
        <v>1475</v>
      </c>
      <c r="M284">
        <v>29.5</v>
      </c>
      <c r="N284" t="s">
        <v>2375</v>
      </c>
      <c r="O284" t="s">
        <v>463</v>
      </c>
    </row>
    <row r="285" spans="1:15" x14ac:dyDescent="0.3">
      <c r="A285">
        <v>244555</v>
      </c>
      <c r="B285">
        <v>173</v>
      </c>
      <c r="C285" t="s">
        <v>734</v>
      </c>
      <c r="D285" t="s">
        <v>1746</v>
      </c>
      <c r="E285" t="s">
        <v>1837</v>
      </c>
      <c r="F285" s="465">
        <v>46204</v>
      </c>
      <c r="G285">
        <v>23466</v>
      </c>
      <c r="H285" t="s">
        <v>2376</v>
      </c>
      <c r="I285" t="s">
        <v>2100</v>
      </c>
      <c r="J285">
        <v>0.5</v>
      </c>
      <c r="K285" t="s">
        <v>2101</v>
      </c>
      <c r="L285">
        <v>179.8</v>
      </c>
      <c r="M285">
        <v>359.6</v>
      </c>
      <c r="N285" t="s">
        <v>2377</v>
      </c>
      <c r="O285" t="s">
        <v>463</v>
      </c>
    </row>
    <row r="286" spans="1:15" x14ac:dyDescent="0.3">
      <c r="A286">
        <v>244555</v>
      </c>
      <c r="B286">
        <v>173</v>
      </c>
      <c r="C286" t="s">
        <v>734</v>
      </c>
      <c r="D286" t="s">
        <v>1746</v>
      </c>
      <c r="E286" t="s">
        <v>1837</v>
      </c>
      <c r="F286" s="465">
        <v>46204</v>
      </c>
      <c r="G286">
        <v>23548</v>
      </c>
      <c r="H286" t="s">
        <v>2378</v>
      </c>
      <c r="I286" t="s">
        <v>2100</v>
      </c>
      <c r="J286">
        <v>1</v>
      </c>
      <c r="K286" t="s">
        <v>2101</v>
      </c>
      <c r="L286">
        <v>48.9</v>
      </c>
      <c r="M286">
        <v>48.9</v>
      </c>
      <c r="N286" t="s">
        <v>2377</v>
      </c>
      <c r="O286" t="s">
        <v>463</v>
      </c>
    </row>
    <row r="287" spans="1:15" x14ac:dyDescent="0.3">
      <c r="A287">
        <v>244552</v>
      </c>
      <c r="B287">
        <v>173</v>
      </c>
      <c r="C287" t="s">
        <v>734</v>
      </c>
      <c r="D287" t="s">
        <v>1746</v>
      </c>
      <c r="E287" t="s">
        <v>1838</v>
      </c>
      <c r="F287" s="465">
        <v>46204</v>
      </c>
      <c r="G287">
        <v>18315</v>
      </c>
      <c r="H287" t="s">
        <v>2379</v>
      </c>
      <c r="I287" t="s">
        <v>2088</v>
      </c>
      <c r="J287">
        <v>40</v>
      </c>
      <c r="K287" t="s">
        <v>2092</v>
      </c>
      <c r="L287">
        <v>5312</v>
      </c>
      <c r="M287">
        <v>132.80000000000001</v>
      </c>
      <c r="N287" t="s">
        <v>2380</v>
      </c>
      <c r="O287" t="s">
        <v>463</v>
      </c>
    </row>
    <row r="288" spans="1:15" x14ac:dyDescent="0.3">
      <c r="A288">
        <v>244552</v>
      </c>
      <c r="B288">
        <v>173</v>
      </c>
      <c r="C288" t="s">
        <v>734</v>
      </c>
      <c r="D288" t="s">
        <v>1746</v>
      </c>
      <c r="E288" t="s">
        <v>1838</v>
      </c>
      <c r="F288" s="465">
        <v>46204</v>
      </c>
      <c r="G288">
        <v>26014</v>
      </c>
      <c r="H288" t="s">
        <v>2381</v>
      </c>
      <c r="I288" t="s">
        <v>2088</v>
      </c>
      <c r="J288">
        <v>3</v>
      </c>
      <c r="K288" t="s">
        <v>2092</v>
      </c>
      <c r="L288">
        <v>1127.4000000000001</v>
      </c>
      <c r="M288">
        <v>375.8</v>
      </c>
      <c r="N288" t="s">
        <v>2380</v>
      </c>
      <c r="O288" t="s">
        <v>463</v>
      </c>
    </row>
    <row r="289" spans="1:15" x14ac:dyDescent="0.3">
      <c r="A289">
        <v>244548</v>
      </c>
      <c r="B289">
        <v>173</v>
      </c>
      <c r="C289" t="s">
        <v>734</v>
      </c>
      <c r="D289" t="s">
        <v>1746</v>
      </c>
      <c r="E289" t="s">
        <v>1839</v>
      </c>
      <c r="F289" s="465">
        <v>46204</v>
      </c>
      <c r="G289">
        <v>17716</v>
      </c>
      <c r="H289" t="s">
        <v>2382</v>
      </c>
      <c r="I289" t="s">
        <v>2088</v>
      </c>
      <c r="J289">
        <v>30</v>
      </c>
      <c r="K289" t="s">
        <v>2383</v>
      </c>
      <c r="L289">
        <v>795</v>
      </c>
      <c r="M289">
        <v>26.5</v>
      </c>
      <c r="N289" t="s">
        <v>2384</v>
      </c>
      <c r="O289" t="s">
        <v>463</v>
      </c>
    </row>
    <row r="290" spans="1:15" x14ac:dyDescent="0.3">
      <c r="A290">
        <v>244548</v>
      </c>
      <c r="B290">
        <v>173</v>
      </c>
      <c r="C290" t="s">
        <v>734</v>
      </c>
      <c r="D290" t="s">
        <v>1746</v>
      </c>
      <c r="E290" t="s">
        <v>1839</v>
      </c>
      <c r="F290" s="465">
        <v>46204</v>
      </c>
      <c r="G290">
        <v>19287</v>
      </c>
      <c r="H290" t="s">
        <v>2385</v>
      </c>
      <c r="I290" t="s">
        <v>2100</v>
      </c>
      <c r="J290">
        <v>41.64</v>
      </c>
      <c r="K290" t="s">
        <v>2101</v>
      </c>
      <c r="L290">
        <v>1779.69</v>
      </c>
      <c r="M290">
        <v>42.739913999999999</v>
      </c>
      <c r="N290" t="s">
        <v>2384</v>
      </c>
      <c r="O290" t="s">
        <v>463</v>
      </c>
    </row>
    <row r="291" spans="1:15" x14ac:dyDescent="0.3">
      <c r="A291">
        <v>244548</v>
      </c>
      <c r="B291">
        <v>173</v>
      </c>
      <c r="C291" t="s">
        <v>734</v>
      </c>
      <c r="D291" t="s">
        <v>1746</v>
      </c>
      <c r="E291" t="s">
        <v>1839</v>
      </c>
      <c r="F291" s="465">
        <v>46204</v>
      </c>
      <c r="G291">
        <v>20785</v>
      </c>
      <c r="H291" t="s">
        <v>2386</v>
      </c>
      <c r="I291" t="s">
        <v>2100</v>
      </c>
      <c r="J291">
        <v>24</v>
      </c>
      <c r="K291" t="s">
        <v>2111</v>
      </c>
      <c r="L291">
        <v>95.76</v>
      </c>
      <c r="M291">
        <v>3.99</v>
      </c>
      <c r="N291" t="s">
        <v>2384</v>
      </c>
      <c r="O291" t="s">
        <v>463</v>
      </c>
    </row>
    <row r="292" spans="1:15" x14ac:dyDescent="0.3">
      <c r="A292">
        <v>244548</v>
      </c>
      <c r="B292">
        <v>173</v>
      </c>
      <c r="C292" t="s">
        <v>734</v>
      </c>
      <c r="D292" t="s">
        <v>1746</v>
      </c>
      <c r="E292" t="s">
        <v>1839</v>
      </c>
      <c r="F292" s="465">
        <v>46204</v>
      </c>
      <c r="G292">
        <v>23466</v>
      </c>
      <c r="H292" t="s">
        <v>2376</v>
      </c>
      <c r="I292" t="s">
        <v>2100</v>
      </c>
      <c r="J292">
        <v>0.5</v>
      </c>
      <c r="K292" t="s">
        <v>2101</v>
      </c>
      <c r="L292">
        <v>179.8</v>
      </c>
      <c r="M292">
        <v>359.6</v>
      </c>
      <c r="N292" t="s">
        <v>2384</v>
      </c>
      <c r="O292" t="s">
        <v>463</v>
      </c>
    </row>
    <row r="293" spans="1:15" x14ac:dyDescent="0.3">
      <c r="A293">
        <v>244548</v>
      </c>
      <c r="B293">
        <v>173</v>
      </c>
      <c r="C293" t="s">
        <v>734</v>
      </c>
      <c r="D293" t="s">
        <v>1746</v>
      </c>
      <c r="E293" t="s">
        <v>1839</v>
      </c>
      <c r="F293" s="465">
        <v>46204</v>
      </c>
      <c r="G293">
        <v>20452</v>
      </c>
      <c r="H293" t="s">
        <v>2387</v>
      </c>
      <c r="I293" t="s">
        <v>2100</v>
      </c>
      <c r="J293">
        <v>63</v>
      </c>
      <c r="K293" t="s">
        <v>2111</v>
      </c>
      <c r="L293">
        <v>875.7</v>
      </c>
      <c r="M293">
        <v>13.9</v>
      </c>
      <c r="N293" t="s">
        <v>2384</v>
      </c>
      <c r="O293" t="s">
        <v>463</v>
      </c>
    </row>
    <row r="294" spans="1:15" x14ac:dyDescent="0.3">
      <c r="A294">
        <v>244548</v>
      </c>
      <c r="B294">
        <v>173</v>
      </c>
      <c r="C294" t="s">
        <v>734</v>
      </c>
      <c r="D294" t="s">
        <v>1746</v>
      </c>
      <c r="E294" t="s">
        <v>1839</v>
      </c>
      <c r="F294" s="465">
        <v>46204</v>
      </c>
      <c r="G294">
        <v>20429</v>
      </c>
      <c r="H294" t="s">
        <v>2137</v>
      </c>
      <c r="I294" t="s">
        <v>2100</v>
      </c>
      <c r="J294">
        <v>10</v>
      </c>
      <c r="K294" t="s">
        <v>2111</v>
      </c>
      <c r="L294">
        <v>208</v>
      </c>
      <c r="M294">
        <v>20.8</v>
      </c>
      <c r="N294" t="s">
        <v>2384</v>
      </c>
      <c r="O294" t="s">
        <v>463</v>
      </c>
    </row>
    <row r="295" spans="1:15" x14ac:dyDescent="0.3">
      <c r="A295">
        <v>244548</v>
      </c>
      <c r="B295">
        <v>173</v>
      </c>
      <c r="C295" t="s">
        <v>734</v>
      </c>
      <c r="D295" t="s">
        <v>1746</v>
      </c>
      <c r="E295" t="s">
        <v>1839</v>
      </c>
      <c r="F295" s="465">
        <v>46204</v>
      </c>
      <c r="G295">
        <v>23503</v>
      </c>
      <c r="H295" t="s">
        <v>2388</v>
      </c>
      <c r="I295" t="s">
        <v>2100</v>
      </c>
      <c r="J295">
        <v>1</v>
      </c>
      <c r="K295" t="s">
        <v>2101</v>
      </c>
      <c r="L295">
        <v>22.9</v>
      </c>
      <c r="M295">
        <v>22.9</v>
      </c>
      <c r="N295" t="s">
        <v>2384</v>
      </c>
      <c r="O295" t="s">
        <v>463</v>
      </c>
    </row>
    <row r="296" spans="1:15" x14ac:dyDescent="0.3">
      <c r="A296">
        <v>244548</v>
      </c>
      <c r="B296">
        <v>173</v>
      </c>
      <c r="C296" t="s">
        <v>734</v>
      </c>
      <c r="D296" t="s">
        <v>1746</v>
      </c>
      <c r="E296" t="s">
        <v>1839</v>
      </c>
      <c r="F296" s="465">
        <v>46204</v>
      </c>
      <c r="G296">
        <v>24302</v>
      </c>
      <c r="H296" t="s">
        <v>2389</v>
      </c>
      <c r="I296" t="s">
        <v>2100</v>
      </c>
      <c r="J296">
        <v>4</v>
      </c>
      <c r="K296" t="s">
        <v>2111</v>
      </c>
      <c r="L296">
        <v>39.200000000000003</v>
      </c>
      <c r="M296">
        <v>9.8000000000000007</v>
      </c>
      <c r="N296" t="s">
        <v>2384</v>
      </c>
      <c r="O296" t="s">
        <v>463</v>
      </c>
    </row>
    <row r="297" spans="1:15" x14ac:dyDescent="0.3">
      <c r="A297">
        <v>244548</v>
      </c>
      <c r="B297">
        <v>173</v>
      </c>
      <c r="C297" t="s">
        <v>734</v>
      </c>
      <c r="D297" t="s">
        <v>1746</v>
      </c>
      <c r="E297" t="s">
        <v>1839</v>
      </c>
      <c r="F297" s="465">
        <v>46204</v>
      </c>
      <c r="G297">
        <v>20757</v>
      </c>
      <c r="H297" t="s">
        <v>2360</v>
      </c>
      <c r="I297" t="s">
        <v>2100</v>
      </c>
      <c r="J297">
        <v>4</v>
      </c>
      <c r="K297" t="s">
        <v>2237</v>
      </c>
      <c r="L297">
        <v>311.60000000000002</v>
      </c>
      <c r="M297">
        <v>77.900000000000006</v>
      </c>
      <c r="N297" t="s">
        <v>2384</v>
      </c>
      <c r="O297" t="s">
        <v>463</v>
      </c>
    </row>
    <row r="298" spans="1:15" x14ac:dyDescent="0.3">
      <c r="A298">
        <v>244548</v>
      </c>
      <c r="B298">
        <v>173</v>
      </c>
      <c r="C298" t="s">
        <v>734</v>
      </c>
      <c r="D298" t="s">
        <v>1746</v>
      </c>
      <c r="E298" t="s">
        <v>1839</v>
      </c>
      <c r="F298" s="465">
        <v>46204</v>
      </c>
      <c r="G298">
        <v>21007</v>
      </c>
      <c r="H298" t="s">
        <v>2390</v>
      </c>
      <c r="I298" t="s">
        <v>2100</v>
      </c>
      <c r="J298">
        <v>40</v>
      </c>
      <c r="K298" t="s">
        <v>2227</v>
      </c>
      <c r="L298">
        <v>472</v>
      </c>
      <c r="M298">
        <v>11.8</v>
      </c>
      <c r="N298" t="s">
        <v>2384</v>
      </c>
      <c r="O298" t="s">
        <v>463</v>
      </c>
    </row>
    <row r="299" spans="1:15" x14ac:dyDescent="0.3">
      <c r="A299">
        <v>244548</v>
      </c>
      <c r="B299">
        <v>173</v>
      </c>
      <c r="C299" t="s">
        <v>734</v>
      </c>
      <c r="D299" t="s">
        <v>1746</v>
      </c>
      <c r="E299" t="s">
        <v>1839</v>
      </c>
      <c r="F299" s="465">
        <v>46204</v>
      </c>
      <c r="G299">
        <v>24169</v>
      </c>
      <c r="H299" t="s">
        <v>2391</v>
      </c>
      <c r="I299" t="s">
        <v>2100</v>
      </c>
      <c r="J299">
        <v>4</v>
      </c>
      <c r="K299" t="s">
        <v>2101</v>
      </c>
      <c r="L299">
        <v>147.6</v>
      </c>
      <c r="M299">
        <v>36.9</v>
      </c>
      <c r="N299" t="s">
        <v>2384</v>
      </c>
      <c r="O299" t="s">
        <v>463</v>
      </c>
    </row>
    <row r="300" spans="1:15" x14ac:dyDescent="0.3">
      <c r="A300">
        <v>244548</v>
      </c>
      <c r="B300">
        <v>173</v>
      </c>
      <c r="C300" t="s">
        <v>734</v>
      </c>
      <c r="D300" t="s">
        <v>1746</v>
      </c>
      <c r="E300" t="s">
        <v>1839</v>
      </c>
      <c r="F300" s="465">
        <v>46204</v>
      </c>
      <c r="G300">
        <v>17866</v>
      </c>
      <c r="H300" t="s">
        <v>2392</v>
      </c>
      <c r="I300" t="s">
        <v>2088</v>
      </c>
      <c r="J300">
        <v>2</v>
      </c>
      <c r="K300" t="s">
        <v>2111</v>
      </c>
      <c r="L300">
        <v>24.4</v>
      </c>
      <c r="M300">
        <v>12.2</v>
      </c>
      <c r="N300" t="s">
        <v>2384</v>
      </c>
      <c r="O300" t="s">
        <v>463</v>
      </c>
    </row>
    <row r="301" spans="1:15" x14ac:dyDescent="0.3">
      <c r="A301">
        <v>244548</v>
      </c>
      <c r="B301">
        <v>173</v>
      </c>
      <c r="C301" t="s">
        <v>734</v>
      </c>
      <c r="D301" t="s">
        <v>1746</v>
      </c>
      <c r="E301" t="s">
        <v>1839</v>
      </c>
      <c r="F301" s="465">
        <v>46204</v>
      </c>
      <c r="G301">
        <v>19347</v>
      </c>
      <c r="H301" t="s">
        <v>2393</v>
      </c>
      <c r="I301" t="s">
        <v>2100</v>
      </c>
      <c r="J301">
        <v>3</v>
      </c>
      <c r="K301" t="s">
        <v>2101</v>
      </c>
      <c r="L301">
        <v>184.65</v>
      </c>
      <c r="M301">
        <v>61.55</v>
      </c>
      <c r="N301" t="s">
        <v>2384</v>
      </c>
      <c r="O301" t="s">
        <v>463</v>
      </c>
    </row>
    <row r="302" spans="1:15" x14ac:dyDescent="0.3">
      <c r="A302">
        <v>244548</v>
      </c>
      <c r="B302">
        <v>173</v>
      </c>
      <c r="C302" t="s">
        <v>734</v>
      </c>
      <c r="D302" t="s">
        <v>1746</v>
      </c>
      <c r="E302" t="s">
        <v>1839</v>
      </c>
      <c r="F302" s="465">
        <v>46204</v>
      </c>
      <c r="G302">
        <v>19902</v>
      </c>
      <c r="H302" t="s">
        <v>2394</v>
      </c>
      <c r="I302" t="s">
        <v>2100</v>
      </c>
      <c r="J302">
        <v>4</v>
      </c>
      <c r="K302" t="s">
        <v>2118</v>
      </c>
      <c r="L302">
        <v>99.6</v>
      </c>
      <c r="M302">
        <v>24.9</v>
      </c>
      <c r="N302" t="s">
        <v>2384</v>
      </c>
      <c r="O302" t="s">
        <v>463</v>
      </c>
    </row>
    <row r="303" spans="1:15" x14ac:dyDescent="0.3">
      <c r="A303">
        <v>244544</v>
      </c>
      <c r="B303">
        <v>173</v>
      </c>
      <c r="C303" t="s">
        <v>734</v>
      </c>
      <c r="D303" t="s">
        <v>1746</v>
      </c>
      <c r="E303" t="s">
        <v>1840</v>
      </c>
      <c r="F303" s="465">
        <v>46204</v>
      </c>
      <c r="G303">
        <v>19401</v>
      </c>
      <c r="H303" t="s">
        <v>2395</v>
      </c>
      <c r="I303" t="s">
        <v>2100</v>
      </c>
      <c r="J303">
        <v>10</v>
      </c>
      <c r="K303" t="s">
        <v>2292</v>
      </c>
      <c r="L303">
        <v>1769</v>
      </c>
      <c r="M303">
        <v>176.9</v>
      </c>
      <c r="N303" t="s">
        <v>2396</v>
      </c>
      <c r="O303" t="s">
        <v>463</v>
      </c>
    </row>
    <row r="304" spans="1:15" x14ac:dyDescent="0.3">
      <c r="A304">
        <v>244539</v>
      </c>
      <c r="B304">
        <v>173</v>
      </c>
      <c r="C304" t="s">
        <v>734</v>
      </c>
      <c r="D304" t="s">
        <v>1746</v>
      </c>
      <c r="E304" t="s">
        <v>1841</v>
      </c>
      <c r="F304" s="465">
        <v>46204</v>
      </c>
      <c r="G304">
        <v>19979</v>
      </c>
      <c r="H304" t="s">
        <v>2397</v>
      </c>
      <c r="I304" t="s">
        <v>2100</v>
      </c>
      <c r="J304">
        <v>120</v>
      </c>
      <c r="K304" t="s">
        <v>2227</v>
      </c>
      <c r="L304">
        <v>2574</v>
      </c>
      <c r="M304">
        <v>21.45</v>
      </c>
      <c r="N304" t="s">
        <v>2398</v>
      </c>
      <c r="O304" t="s">
        <v>463</v>
      </c>
    </row>
    <row r="305" spans="1:15" x14ac:dyDescent="0.3">
      <c r="A305">
        <v>244539</v>
      </c>
      <c r="B305">
        <v>173</v>
      </c>
      <c r="C305" t="s">
        <v>734</v>
      </c>
      <c r="D305" t="s">
        <v>1746</v>
      </c>
      <c r="E305" t="s">
        <v>1841</v>
      </c>
      <c r="F305" s="465">
        <v>46204</v>
      </c>
      <c r="G305">
        <v>21093</v>
      </c>
      <c r="H305" t="s">
        <v>2399</v>
      </c>
      <c r="I305" t="s">
        <v>2100</v>
      </c>
      <c r="J305">
        <v>100</v>
      </c>
      <c r="K305" t="s">
        <v>2111</v>
      </c>
      <c r="L305">
        <v>395</v>
      </c>
      <c r="M305">
        <v>3.95</v>
      </c>
      <c r="N305" t="s">
        <v>2398</v>
      </c>
      <c r="O305" t="s">
        <v>463</v>
      </c>
    </row>
    <row r="306" spans="1:15" x14ac:dyDescent="0.3">
      <c r="A306">
        <v>244530</v>
      </c>
      <c r="B306">
        <v>173</v>
      </c>
      <c r="C306" t="s">
        <v>734</v>
      </c>
      <c r="D306" t="s">
        <v>1746</v>
      </c>
      <c r="E306" t="s">
        <v>1842</v>
      </c>
      <c r="F306" s="465">
        <v>46205</v>
      </c>
      <c r="G306">
        <v>18073</v>
      </c>
      <c r="H306" t="s">
        <v>2400</v>
      </c>
      <c r="I306" t="s">
        <v>2088</v>
      </c>
      <c r="J306">
        <v>6</v>
      </c>
      <c r="K306" t="s">
        <v>2092</v>
      </c>
      <c r="L306">
        <v>282.60000000000002</v>
      </c>
      <c r="M306">
        <v>47.1</v>
      </c>
      <c r="N306" t="s">
        <v>2401</v>
      </c>
      <c r="O306" t="s">
        <v>463</v>
      </c>
    </row>
    <row r="307" spans="1:15" x14ac:dyDescent="0.3">
      <c r="A307">
        <v>244530</v>
      </c>
      <c r="B307">
        <v>173</v>
      </c>
      <c r="C307" t="s">
        <v>734</v>
      </c>
      <c r="D307" t="s">
        <v>1746</v>
      </c>
      <c r="E307" t="s">
        <v>1842</v>
      </c>
      <c r="F307" s="465">
        <v>46205</v>
      </c>
      <c r="G307">
        <v>18145</v>
      </c>
      <c r="H307" t="s">
        <v>2402</v>
      </c>
      <c r="I307" t="s">
        <v>2088</v>
      </c>
      <c r="J307">
        <v>12</v>
      </c>
      <c r="K307" t="s">
        <v>2092</v>
      </c>
      <c r="L307">
        <v>4030.8</v>
      </c>
      <c r="M307">
        <v>335.9</v>
      </c>
      <c r="N307" t="s">
        <v>2401</v>
      </c>
      <c r="O307" t="s">
        <v>463</v>
      </c>
    </row>
    <row r="308" spans="1:15" x14ac:dyDescent="0.3">
      <c r="A308">
        <v>244530</v>
      </c>
      <c r="B308">
        <v>173</v>
      </c>
      <c r="C308" t="s">
        <v>734</v>
      </c>
      <c r="D308" t="s">
        <v>1746</v>
      </c>
      <c r="E308" t="s">
        <v>1842</v>
      </c>
      <c r="F308" s="465">
        <v>46205</v>
      </c>
      <c r="G308">
        <v>18232</v>
      </c>
      <c r="H308" t="s">
        <v>2403</v>
      </c>
      <c r="I308" t="s">
        <v>2088</v>
      </c>
      <c r="J308">
        <v>18</v>
      </c>
      <c r="K308" t="s">
        <v>2092</v>
      </c>
      <c r="L308">
        <v>1682.64</v>
      </c>
      <c r="M308">
        <v>93.48</v>
      </c>
      <c r="N308" t="s">
        <v>2401</v>
      </c>
      <c r="O308" t="s">
        <v>463</v>
      </c>
    </row>
    <row r="309" spans="1:15" x14ac:dyDescent="0.3">
      <c r="A309">
        <v>244530</v>
      </c>
      <c r="B309">
        <v>173</v>
      </c>
      <c r="C309" t="s">
        <v>734</v>
      </c>
      <c r="D309" t="s">
        <v>1746</v>
      </c>
      <c r="E309" t="s">
        <v>1842</v>
      </c>
      <c r="F309" s="465">
        <v>46205</v>
      </c>
      <c r="G309">
        <v>18212</v>
      </c>
      <c r="H309" t="s">
        <v>2404</v>
      </c>
      <c r="I309" t="s">
        <v>2088</v>
      </c>
      <c r="J309">
        <v>3</v>
      </c>
      <c r="K309" t="s">
        <v>2092</v>
      </c>
      <c r="L309">
        <v>102.6</v>
      </c>
      <c r="M309">
        <v>34.200000000000003</v>
      </c>
      <c r="N309" t="s">
        <v>2401</v>
      </c>
      <c r="O309" t="s">
        <v>463</v>
      </c>
    </row>
    <row r="310" spans="1:15" x14ac:dyDescent="0.3">
      <c r="A310">
        <v>244530</v>
      </c>
      <c r="B310">
        <v>173</v>
      </c>
      <c r="C310" t="s">
        <v>734</v>
      </c>
      <c r="D310" t="s">
        <v>1746</v>
      </c>
      <c r="E310" t="s">
        <v>1842</v>
      </c>
      <c r="F310" s="465">
        <v>46205</v>
      </c>
      <c r="G310">
        <v>18254</v>
      </c>
      <c r="H310" t="s">
        <v>2405</v>
      </c>
      <c r="I310" t="s">
        <v>2088</v>
      </c>
      <c r="J310">
        <v>4</v>
      </c>
      <c r="K310" t="s">
        <v>2092</v>
      </c>
      <c r="L310">
        <v>548</v>
      </c>
      <c r="M310">
        <v>137</v>
      </c>
      <c r="N310" t="s">
        <v>2401</v>
      </c>
      <c r="O310" t="s">
        <v>463</v>
      </c>
    </row>
    <row r="311" spans="1:15" x14ac:dyDescent="0.3">
      <c r="A311">
        <v>244530</v>
      </c>
      <c r="B311">
        <v>173</v>
      </c>
      <c r="C311" t="s">
        <v>734</v>
      </c>
      <c r="D311" t="s">
        <v>1746</v>
      </c>
      <c r="E311" t="s">
        <v>1842</v>
      </c>
      <c r="F311" s="465">
        <v>46205</v>
      </c>
      <c r="G311">
        <v>18253</v>
      </c>
      <c r="H311" t="s">
        <v>2406</v>
      </c>
      <c r="I311" t="s">
        <v>2088</v>
      </c>
      <c r="J311">
        <v>60</v>
      </c>
      <c r="K311" t="s">
        <v>2092</v>
      </c>
      <c r="L311">
        <v>1656</v>
      </c>
      <c r="M311">
        <v>27.6</v>
      </c>
      <c r="N311" t="s">
        <v>2401</v>
      </c>
      <c r="O311" t="s">
        <v>463</v>
      </c>
    </row>
    <row r="312" spans="1:15" x14ac:dyDescent="0.3">
      <c r="A312">
        <v>244530</v>
      </c>
      <c r="B312">
        <v>173</v>
      </c>
      <c r="C312" t="s">
        <v>734</v>
      </c>
      <c r="D312" t="s">
        <v>1746</v>
      </c>
      <c r="E312" t="s">
        <v>1842</v>
      </c>
      <c r="F312" s="465">
        <v>46205</v>
      </c>
      <c r="G312">
        <v>18395</v>
      </c>
      <c r="H312" t="s">
        <v>2407</v>
      </c>
      <c r="I312" t="s">
        <v>2088</v>
      </c>
      <c r="J312">
        <v>2</v>
      </c>
      <c r="K312" t="s">
        <v>2092</v>
      </c>
      <c r="L312">
        <v>63.8</v>
      </c>
      <c r="M312">
        <v>31.9</v>
      </c>
      <c r="N312" t="s">
        <v>2401</v>
      </c>
      <c r="O312" t="s">
        <v>463</v>
      </c>
    </row>
    <row r="313" spans="1:15" x14ac:dyDescent="0.3">
      <c r="A313">
        <v>244530</v>
      </c>
      <c r="B313">
        <v>173</v>
      </c>
      <c r="C313" t="s">
        <v>734</v>
      </c>
      <c r="D313" t="s">
        <v>1746</v>
      </c>
      <c r="E313" t="s">
        <v>1842</v>
      </c>
      <c r="F313" s="465">
        <v>46205</v>
      </c>
      <c r="G313">
        <v>27606</v>
      </c>
      <c r="H313" t="s">
        <v>2408</v>
      </c>
      <c r="I313" t="s">
        <v>2088</v>
      </c>
      <c r="J313">
        <v>3</v>
      </c>
      <c r="K313" t="s">
        <v>2092</v>
      </c>
      <c r="L313">
        <v>1240.5</v>
      </c>
      <c r="M313">
        <v>413.5</v>
      </c>
      <c r="N313" t="s">
        <v>2401</v>
      </c>
      <c r="O313" t="s">
        <v>463</v>
      </c>
    </row>
    <row r="314" spans="1:15" x14ac:dyDescent="0.3">
      <c r="A314">
        <v>244530</v>
      </c>
      <c r="B314">
        <v>173</v>
      </c>
      <c r="C314" t="s">
        <v>734</v>
      </c>
      <c r="D314" t="s">
        <v>1746</v>
      </c>
      <c r="E314" t="s">
        <v>1842</v>
      </c>
      <c r="F314" s="465">
        <v>46205</v>
      </c>
      <c r="G314">
        <v>18087</v>
      </c>
      <c r="H314" t="s">
        <v>2409</v>
      </c>
      <c r="I314" t="s">
        <v>2088</v>
      </c>
      <c r="J314">
        <v>12</v>
      </c>
      <c r="K314" t="s">
        <v>2092</v>
      </c>
      <c r="L314">
        <v>565.20000000000005</v>
      </c>
      <c r="M314">
        <v>47.1</v>
      </c>
      <c r="N314" t="s">
        <v>2401</v>
      </c>
      <c r="O314" t="s">
        <v>463</v>
      </c>
    </row>
    <row r="315" spans="1:15" x14ac:dyDescent="0.3">
      <c r="A315">
        <v>244530</v>
      </c>
      <c r="B315">
        <v>173</v>
      </c>
      <c r="C315" t="s">
        <v>734</v>
      </c>
      <c r="D315" t="s">
        <v>1746</v>
      </c>
      <c r="E315" t="s">
        <v>1842</v>
      </c>
      <c r="F315" s="465">
        <v>46205</v>
      </c>
      <c r="G315">
        <v>18068</v>
      </c>
      <c r="H315" t="s">
        <v>2410</v>
      </c>
      <c r="I315" t="s">
        <v>2088</v>
      </c>
      <c r="J315">
        <v>6</v>
      </c>
      <c r="K315" t="s">
        <v>2092</v>
      </c>
      <c r="L315">
        <v>285.60000000000002</v>
      </c>
      <c r="M315">
        <v>47.6</v>
      </c>
      <c r="N315" t="s">
        <v>2401</v>
      </c>
      <c r="O315" t="s">
        <v>463</v>
      </c>
    </row>
    <row r="316" spans="1:15" x14ac:dyDescent="0.3">
      <c r="A316">
        <v>244530</v>
      </c>
      <c r="B316">
        <v>173</v>
      </c>
      <c r="C316" t="s">
        <v>734</v>
      </c>
      <c r="D316" t="s">
        <v>1746</v>
      </c>
      <c r="E316" t="s">
        <v>1842</v>
      </c>
      <c r="F316" s="465">
        <v>46205</v>
      </c>
      <c r="G316">
        <v>18140</v>
      </c>
      <c r="H316" t="s">
        <v>2411</v>
      </c>
      <c r="I316" t="s">
        <v>2088</v>
      </c>
      <c r="J316">
        <v>1</v>
      </c>
      <c r="K316" t="s">
        <v>2092</v>
      </c>
      <c r="L316">
        <v>163.87</v>
      </c>
      <c r="M316">
        <v>163.87</v>
      </c>
      <c r="N316" t="s">
        <v>2401</v>
      </c>
      <c r="O316" t="s">
        <v>463</v>
      </c>
    </row>
    <row r="317" spans="1:15" x14ac:dyDescent="0.3">
      <c r="A317">
        <v>244530</v>
      </c>
      <c r="B317">
        <v>173</v>
      </c>
      <c r="C317" t="s">
        <v>734</v>
      </c>
      <c r="D317" t="s">
        <v>1746</v>
      </c>
      <c r="E317" t="s">
        <v>1842</v>
      </c>
      <c r="F317" s="465">
        <v>46205</v>
      </c>
      <c r="G317">
        <v>18143</v>
      </c>
      <c r="H317" t="s">
        <v>2412</v>
      </c>
      <c r="I317" t="s">
        <v>2088</v>
      </c>
      <c r="J317">
        <v>6</v>
      </c>
      <c r="K317" t="s">
        <v>2092</v>
      </c>
      <c r="L317">
        <v>3959.4</v>
      </c>
      <c r="M317">
        <v>659.9</v>
      </c>
      <c r="N317" t="s">
        <v>2401</v>
      </c>
      <c r="O317" t="s">
        <v>463</v>
      </c>
    </row>
    <row r="318" spans="1:15" x14ac:dyDescent="0.3">
      <c r="A318">
        <v>244530</v>
      </c>
      <c r="B318">
        <v>173</v>
      </c>
      <c r="C318" t="s">
        <v>734</v>
      </c>
      <c r="D318" t="s">
        <v>1746</v>
      </c>
      <c r="E318" t="s">
        <v>1842</v>
      </c>
      <c r="F318" s="465">
        <v>46205</v>
      </c>
      <c r="G318">
        <v>18218</v>
      </c>
      <c r="H318" t="s">
        <v>2413</v>
      </c>
      <c r="I318" t="s">
        <v>2088</v>
      </c>
      <c r="J318">
        <v>12</v>
      </c>
      <c r="K318" t="s">
        <v>2092</v>
      </c>
      <c r="L318">
        <v>383.88</v>
      </c>
      <c r="M318">
        <v>31.99</v>
      </c>
      <c r="N318" t="s">
        <v>2401</v>
      </c>
      <c r="O318" t="s">
        <v>463</v>
      </c>
    </row>
    <row r="319" spans="1:15" x14ac:dyDescent="0.3">
      <c r="A319">
        <v>244530</v>
      </c>
      <c r="B319">
        <v>173</v>
      </c>
      <c r="C319" t="s">
        <v>734</v>
      </c>
      <c r="D319" t="s">
        <v>1746</v>
      </c>
      <c r="E319" t="s">
        <v>1842</v>
      </c>
      <c r="F319" s="465">
        <v>46205</v>
      </c>
      <c r="G319">
        <v>18194</v>
      </c>
      <c r="H319" t="s">
        <v>2414</v>
      </c>
      <c r="I319" t="s">
        <v>2088</v>
      </c>
      <c r="J319">
        <v>36</v>
      </c>
      <c r="K319" t="s">
        <v>2092</v>
      </c>
      <c r="L319">
        <v>2371.6799999999998</v>
      </c>
      <c r="M319">
        <v>65.88</v>
      </c>
      <c r="N319" t="s">
        <v>2401</v>
      </c>
      <c r="O319" t="s">
        <v>463</v>
      </c>
    </row>
    <row r="320" spans="1:15" x14ac:dyDescent="0.3">
      <c r="A320">
        <v>244530</v>
      </c>
      <c r="B320">
        <v>173</v>
      </c>
      <c r="C320" t="s">
        <v>734</v>
      </c>
      <c r="D320" t="s">
        <v>1746</v>
      </c>
      <c r="E320" t="s">
        <v>1842</v>
      </c>
      <c r="F320" s="465">
        <v>46205</v>
      </c>
      <c r="G320">
        <v>18082</v>
      </c>
      <c r="H320" t="s">
        <v>2415</v>
      </c>
      <c r="I320" t="s">
        <v>2088</v>
      </c>
      <c r="J320">
        <v>6</v>
      </c>
      <c r="K320" t="s">
        <v>2092</v>
      </c>
      <c r="L320">
        <v>285.60000000000002</v>
      </c>
      <c r="M320">
        <v>47.6</v>
      </c>
      <c r="N320" t="s">
        <v>2401</v>
      </c>
      <c r="O320" t="s">
        <v>463</v>
      </c>
    </row>
    <row r="321" spans="1:15" x14ac:dyDescent="0.3">
      <c r="A321">
        <v>244530</v>
      </c>
      <c r="B321">
        <v>173</v>
      </c>
      <c r="C321" t="s">
        <v>734</v>
      </c>
      <c r="D321" t="s">
        <v>1746</v>
      </c>
      <c r="E321" t="s">
        <v>1842</v>
      </c>
      <c r="F321" s="465">
        <v>46205</v>
      </c>
      <c r="G321">
        <v>18233</v>
      </c>
      <c r="H321" t="s">
        <v>2416</v>
      </c>
      <c r="I321" t="s">
        <v>2088</v>
      </c>
      <c r="J321">
        <v>12</v>
      </c>
      <c r="K321" t="s">
        <v>2092</v>
      </c>
      <c r="L321">
        <v>1222.8</v>
      </c>
      <c r="M321">
        <v>101.9</v>
      </c>
      <c r="N321" t="s">
        <v>2401</v>
      </c>
      <c r="O321" t="s">
        <v>463</v>
      </c>
    </row>
    <row r="322" spans="1:15" x14ac:dyDescent="0.3">
      <c r="A322">
        <v>244530</v>
      </c>
      <c r="B322">
        <v>173</v>
      </c>
      <c r="C322" t="s">
        <v>734</v>
      </c>
      <c r="D322" t="s">
        <v>1746</v>
      </c>
      <c r="E322" t="s">
        <v>1842</v>
      </c>
      <c r="F322" s="465">
        <v>46205</v>
      </c>
      <c r="G322">
        <v>18281</v>
      </c>
      <c r="H322" t="s">
        <v>2417</v>
      </c>
      <c r="I322" t="s">
        <v>2088</v>
      </c>
      <c r="J322">
        <v>12</v>
      </c>
      <c r="K322" t="s">
        <v>2092</v>
      </c>
      <c r="L322">
        <v>598.79999999999995</v>
      </c>
      <c r="M322">
        <v>49.9</v>
      </c>
      <c r="N322" t="s">
        <v>2401</v>
      </c>
      <c r="O322" t="s">
        <v>463</v>
      </c>
    </row>
    <row r="323" spans="1:15" x14ac:dyDescent="0.3">
      <c r="A323">
        <v>244522</v>
      </c>
      <c r="B323">
        <v>173</v>
      </c>
      <c r="C323" t="s">
        <v>734</v>
      </c>
      <c r="D323" t="s">
        <v>1778</v>
      </c>
      <c r="E323" t="s">
        <v>1843</v>
      </c>
      <c r="F323" s="465">
        <v>46204</v>
      </c>
      <c r="G323">
        <v>19955</v>
      </c>
      <c r="H323" t="s">
        <v>2418</v>
      </c>
      <c r="I323" t="s">
        <v>2100</v>
      </c>
      <c r="J323">
        <v>10</v>
      </c>
      <c r="K323" t="s">
        <v>2111</v>
      </c>
      <c r="L323">
        <v>588.79999999999995</v>
      </c>
      <c r="M323">
        <v>58.88</v>
      </c>
      <c r="N323" t="s">
        <v>2419</v>
      </c>
      <c r="O323" t="s">
        <v>463</v>
      </c>
    </row>
    <row r="324" spans="1:15" x14ac:dyDescent="0.3">
      <c r="A324">
        <v>244522</v>
      </c>
      <c r="B324">
        <v>173</v>
      </c>
      <c r="C324" t="s">
        <v>734</v>
      </c>
      <c r="D324" t="s">
        <v>1778</v>
      </c>
      <c r="E324" t="s">
        <v>1843</v>
      </c>
      <c r="F324" s="465">
        <v>46204</v>
      </c>
      <c r="G324">
        <v>20653</v>
      </c>
      <c r="H324" t="s">
        <v>2420</v>
      </c>
      <c r="I324" t="s">
        <v>2100</v>
      </c>
      <c r="J324">
        <v>10</v>
      </c>
      <c r="K324" t="s">
        <v>2111</v>
      </c>
      <c r="L324">
        <v>259.60000000000002</v>
      </c>
      <c r="M324">
        <v>25.96</v>
      </c>
      <c r="N324" t="s">
        <v>2419</v>
      </c>
      <c r="O324" t="s">
        <v>463</v>
      </c>
    </row>
    <row r="325" spans="1:15" x14ac:dyDescent="0.3">
      <c r="A325">
        <v>244522</v>
      </c>
      <c r="B325">
        <v>173</v>
      </c>
      <c r="C325" t="s">
        <v>734</v>
      </c>
      <c r="D325" t="s">
        <v>1778</v>
      </c>
      <c r="E325" t="s">
        <v>1843</v>
      </c>
      <c r="F325" s="465">
        <v>46204</v>
      </c>
      <c r="G325">
        <v>19421</v>
      </c>
      <c r="H325" t="s">
        <v>2421</v>
      </c>
      <c r="I325" t="s">
        <v>2100</v>
      </c>
      <c r="J325">
        <v>9</v>
      </c>
      <c r="K325" t="s">
        <v>2118</v>
      </c>
      <c r="L325">
        <v>700.92</v>
      </c>
      <c r="M325">
        <v>77.88</v>
      </c>
      <c r="N325" t="s">
        <v>2419</v>
      </c>
      <c r="O325" t="s">
        <v>463</v>
      </c>
    </row>
    <row r="326" spans="1:15" x14ac:dyDescent="0.3">
      <c r="A326">
        <v>244522</v>
      </c>
      <c r="B326">
        <v>173</v>
      </c>
      <c r="C326" t="s">
        <v>734</v>
      </c>
      <c r="D326" t="s">
        <v>1778</v>
      </c>
      <c r="E326" t="s">
        <v>1843</v>
      </c>
      <c r="F326" s="465">
        <v>46204</v>
      </c>
      <c r="G326">
        <v>20057</v>
      </c>
      <c r="H326" t="s">
        <v>2422</v>
      </c>
      <c r="I326" t="s">
        <v>2100</v>
      </c>
      <c r="J326">
        <v>10</v>
      </c>
      <c r="K326" t="s">
        <v>2111</v>
      </c>
      <c r="L326">
        <v>425</v>
      </c>
      <c r="M326">
        <v>42.5</v>
      </c>
      <c r="N326" t="s">
        <v>2419</v>
      </c>
      <c r="O326" t="s">
        <v>463</v>
      </c>
    </row>
    <row r="327" spans="1:15" x14ac:dyDescent="0.3">
      <c r="A327">
        <v>244522</v>
      </c>
      <c r="B327">
        <v>173</v>
      </c>
      <c r="C327" t="s">
        <v>734</v>
      </c>
      <c r="D327" t="s">
        <v>1778</v>
      </c>
      <c r="E327" t="s">
        <v>1843</v>
      </c>
      <c r="F327" s="465">
        <v>46204</v>
      </c>
      <c r="G327">
        <v>21024</v>
      </c>
      <c r="H327" t="s">
        <v>2290</v>
      </c>
      <c r="I327" t="s">
        <v>2100</v>
      </c>
      <c r="J327">
        <v>20</v>
      </c>
      <c r="K327" t="s">
        <v>2111</v>
      </c>
      <c r="L327">
        <v>3537.4</v>
      </c>
      <c r="M327">
        <v>176.87</v>
      </c>
      <c r="N327" t="s">
        <v>2419</v>
      </c>
      <c r="O327" t="s">
        <v>463</v>
      </c>
    </row>
    <row r="328" spans="1:15" x14ac:dyDescent="0.3">
      <c r="A328">
        <v>244522</v>
      </c>
      <c r="B328">
        <v>173</v>
      </c>
      <c r="C328" t="s">
        <v>734</v>
      </c>
      <c r="D328" t="s">
        <v>1778</v>
      </c>
      <c r="E328" t="s">
        <v>1843</v>
      </c>
      <c r="F328" s="465">
        <v>46204</v>
      </c>
      <c r="G328">
        <v>20365</v>
      </c>
      <c r="H328" t="s">
        <v>2289</v>
      </c>
      <c r="I328" t="s">
        <v>2100</v>
      </c>
      <c r="J328">
        <v>80</v>
      </c>
      <c r="K328" t="s">
        <v>2111</v>
      </c>
      <c r="L328">
        <v>384</v>
      </c>
      <c r="M328">
        <v>4.8</v>
      </c>
      <c r="N328" t="s">
        <v>2419</v>
      </c>
      <c r="O328" t="s">
        <v>463</v>
      </c>
    </row>
    <row r="329" spans="1:15" x14ac:dyDescent="0.3">
      <c r="A329">
        <v>244522</v>
      </c>
      <c r="B329">
        <v>173</v>
      </c>
      <c r="C329" t="s">
        <v>734</v>
      </c>
      <c r="D329" t="s">
        <v>1778</v>
      </c>
      <c r="E329" t="s">
        <v>1843</v>
      </c>
      <c r="F329" s="465">
        <v>46204</v>
      </c>
      <c r="G329">
        <v>23982</v>
      </c>
      <c r="H329" t="s">
        <v>2423</v>
      </c>
      <c r="I329" t="s">
        <v>2100</v>
      </c>
      <c r="J329">
        <v>6</v>
      </c>
      <c r="K329" t="s">
        <v>2111</v>
      </c>
      <c r="L329">
        <v>1443.36</v>
      </c>
      <c r="M329">
        <v>240.56</v>
      </c>
      <c r="N329" t="s">
        <v>2419</v>
      </c>
      <c r="O329" t="s">
        <v>463</v>
      </c>
    </row>
    <row r="330" spans="1:15" x14ac:dyDescent="0.3">
      <c r="A330">
        <v>244522</v>
      </c>
      <c r="B330">
        <v>173</v>
      </c>
      <c r="C330" t="s">
        <v>734</v>
      </c>
      <c r="D330" t="s">
        <v>1778</v>
      </c>
      <c r="E330" t="s">
        <v>1843</v>
      </c>
      <c r="F330" s="465">
        <v>46204</v>
      </c>
      <c r="G330">
        <v>19982</v>
      </c>
      <c r="H330" t="s">
        <v>2424</v>
      </c>
      <c r="I330" t="s">
        <v>2100</v>
      </c>
      <c r="J330">
        <v>10</v>
      </c>
      <c r="K330" t="s">
        <v>2227</v>
      </c>
      <c r="L330">
        <v>72.900000000000006</v>
      </c>
      <c r="M330">
        <v>7.29</v>
      </c>
      <c r="N330" t="s">
        <v>2419</v>
      </c>
      <c r="O330" t="s">
        <v>463</v>
      </c>
    </row>
    <row r="331" spans="1:15" x14ac:dyDescent="0.3">
      <c r="A331">
        <v>244522</v>
      </c>
      <c r="B331">
        <v>173</v>
      </c>
      <c r="C331" t="s">
        <v>734</v>
      </c>
      <c r="D331" t="s">
        <v>1778</v>
      </c>
      <c r="E331" t="s">
        <v>1843</v>
      </c>
      <c r="F331" s="465">
        <v>46204</v>
      </c>
      <c r="G331">
        <v>21030</v>
      </c>
      <c r="H331" t="s">
        <v>2425</v>
      </c>
      <c r="I331" t="s">
        <v>2100</v>
      </c>
      <c r="J331">
        <v>120</v>
      </c>
      <c r="K331" t="s">
        <v>2111</v>
      </c>
      <c r="L331">
        <v>2088</v>
      </c>
      <c r="M331">
        <v>17.399999999999999</v>
      </c>
      <c r="N331" t="s">
        <v>2419</v>
      </c>
      <c r="O331" t="s">
        <v>463</v>
      </c>
    </row>
    <row r="332" spans="1:15" x14ac:dyDescent="0.3">
      <c r="A332">
        <v>244522</v>
      </c>
      <c r="B332">
        <v>173</v>
      </c>
      <c r="C332" t="s">
        <v>734</v>
      </c>
      <c r="D332" t="s">
        <v>1778</v>
      </c>
      <c r="E332" t="s">
        <v>1843</v>
      </c>
      <c r="F332" s="465">
        <v>46204</v>
      </c>
      <c r="G332">
        <v>20358</v>
      </c>
      <c r="H332" t="s">
        <v>2426</v>
      </c>
      <c r="I332" t="s">
        <v>2100</v>
      </c>
      <c r="J332">
        <v>30</v>
      </c>
      <c r="K332" t="s">
        <v>2089</v>
      </c>
      <c r="L332">
        <v>437.4</v>
      </c>
      <c r="M332">
        <v>14.58</v>
      </c>
      <c r="N332" t="s">
        <v>2419</v>
      </c>
      <c r="O332" t="s">
        <v>463</v>
      </c>
    </row>
    <row r="333" spans="1:15" x14ac:dyDescent="0.3">
      <c r="A333">
        <v>244516</v>
      </c>
      <c r="B333">
        <v>173</v>
      </c>
      <c r="C333" t="s">
        <v>734</v>
      </c>
      <c r="D333" t="s">
        <v>1734</v>
      </c>
      <c r="E333" t="s">
        <v>1844</v>
      </c>
      <c r="F333" s="465">
        <v>46205</v>
      </c>
      <c r="G333">
        <v>28659</v>
      </c>
      <c r="H333" t="s">
        <v>2427</v>
      </c>
      <c r="I333" t="s">
        <v>2105</v>
      </c>
      <c r="J333">
        <v>20</v>
      </c>
      <c r="K333" t="s">
        <v>2118</v>
      </c>
      <c r="L333">
        <v>4940</v>
      </c>
      <c r="M333">
        <v>247</v>
      </c>
      <c r="N333" t="s">
        <v>2428</v>
      </c>
      <c r="O333" t="s">
        <v>463</v>
      </c>
    </row>
    <row r="334" spans="1:15" x14ac:dyDescent="0.3">
      <c r="A334">
        <v>244499</v>
      </c>
      <c r="B334">
        <v>173</v>
      </c>
      <c r="C334" t="s">
        <v>734</v>
      </c>
      <c r="D334" t="s">
        <v>1821</v>
      </c>
      <c r="E334" t="s">
        <v>1845</v>
      </c>
      <c r="F334" s="465">
        <v>46204</v>
      </c>
      <c r="G334">
        <v>18016</v>
      </c>
      <c r="H334" t="s">
        <v>2337</v>
      </c>
      <c r="I334" t="s">
        <v>2088</v>
      </c>
      <c r="J334">
        <v>12</v>
      </c>
      <c r="K334" t="s">
        <v>2092</v>
      </c>
      <c r="L334">
        <v>1784.88</v>
      </c>
      <c r="M334">
        <v>148.74</v>
      </c>
      <c r="N334" t="s">
        <v>2429</v>
      </c>
      <c r="O334" t="s">
        <v>463</v>
      </c>
    </row>
    <row r="335" spans="1:15" x14ac:dyDescent="0.3">
      <c r="A335">
        <v>244489</v>
      </c>
      <c r="B335">
        <v>173</v>
      </c>
      <c r="C335" t="s">
        <v>734</v>
      </c>
      <c r="D335" t="s">
        <v>1749</v>
      </c>
      <c r="E335" t="s">
        <v>1846</v>
      </c>
      <c r="F335" s="465">
        <v>46204</v>
      </c>
      <c r="G335">
        <v>18620</v>
      </c>
      <c r="H335" t="s">
        <v>2430</v>
      </c>
      <c r="I335" t="s">
        <v>2088</v>
      </c>
      <c r="J335">
        <v>10</v>
      </c>
      <c r="K335" t="s">
        <v>2089</v>
      </c>
      <c r="L335">
        <v>565</v>
      </c>
      <c r="M335">
        <v>56.5</v>
      </c>
      <c r="N335" t="s">
        <v>2431</v>
      </c>
      <c r="O335" t="s">
        <v>463</v>
      </c>
    </row>
    <row r="336" spans="1:15" x14ac:dyDescent="0.3">
      <c r="A336">
        <v>244489</v>
      </c>
      <c r="B336">
        <v>173</v>
      </c>
      <c r="C336" t="s">
        <v>734</v>
      </c>
      <c r="D336" t="s">
        <v>1749</v>
      </c>
      <c r="E336" t="s">
        <v>1846</v>
      </c>
      <c r="F336" s="465">
        <v>46204</v>
      </c>
      <c r="G336">
        <v>17896</v>
      </c>
      <c r="H336" t="s">
        <v>2432</v>
      </c>
      <c r="I336" t="s">
        <v>2088</v>
      </c>
      <c r="J336">
        <v>10</v>
      </c>
      <c r="K336" t="s">
        <v>2089</v>
      </c>
      <c r="L336">
        <v>446.8</v>
      </c>
      <c r="M336">
        <v>44.68</v>
      </c>
      <c r="N336" t="s">
        <v>2431</v>
      </c>
      <c r="O336" t="s">
        <v>463</v>
      </c>
    </row>
    <row r="337" spans="1:15" x14ac:dyDescent="0.3">
      <c r="A337">
        <v>244489</v>
      </c>
      <c r="B337">
        <v>173</v>
      </c>
      <c r="C337" t="s">
        <v>734</v>
      </c>
      <c r="D337" t="s">
        <v>1749</v>
      </c>
      <c r="E337" t="s">
        <v>1846</v>
      </c>
      <c r="F337" s="465">
        <v>46204</v>
      </c>
      <c r="G337">
        <v>18589</v>
      </c>
      <c r="H337" t="s">
        <v>2433</v>
      </c>
      <c r="I337" t="s">
        <v>2088</v>
      </c>
      <c r="J337">
        <v>10</v>
      </c>
      <c r="K337" t="s">
        <v>2089</v>
      </c>
      <c r="L337">
        <v>662.8</v>
      </c>
      <c r="M337">
        <v>66.28</v>
      </c>
      <c r="N337" t="s">
        <v>2431</v>
      </c>
      <c r="O337" t="s">
        <v>463</v>
      </c>
    </row>
    <row r="338" spans="1:15" x14ac:dyDescent="0.3">
      <c r="A338">
        <v>244489</v>
      </c>
      <c r="B338">
        <v>173</v>
      </c>
      <c r="C338" t="s">
        <v>734</v>
      </c>
      <c r="D338" t="s">
        <v>1749</v>
      </c>
      <c r="E338" t="s">
        <v>1846</v>
      </c>
      <c r="F338" s="465">
        <v>46204</v>
      </c>
      <c r="G338">
        <v>18635</v>
      </c>
      <c r="H338" t="s">
        <v>2434</v>
      </c>
      <c r="I338" t="s">
        <v>2088</v>
      </c>
      <c r="J338">
        <v>10</v>
      </c>
      <c r="K338" t="s">
        <v>2089</v>
      </c>
      <c r="L338">
        <v>963</v>
      </c>
      <c r="M338">
        <v>96.3</v>
      </c>
      <c r="N338" t="s">
        <v>2431</v>
      </c>
      <c r="O338" t="s">
        <v>463</v>
      </c>
    </row>
    <row r="339" spans="1:15" x14ac:dyDescent="0.3">
      <c r="A339">
        <v>244489</v>
      </c>
      <c r="B339">
        <v>173</v>
      </c>
      <c r="C339" t="s">
        <v>734</v>
      </c>
      <c r="D339" t="s">
        <v>1749</v>
      </c>
      <c r="E339" t="s">
        <v>1846</v>
      </c>
      <c r="F339" s="465">
        <v>46204</v>
      </c>
      <c r="G339">
        <v>18586</v>
      </c>
      <c r="H339" t="s">
        <v>2435</v>
      </c>
      <c r="I339" t="s">
        <v>2088</v>
      </c>
      <c r="J339">
        <v>10</v>
      </c>
      <c r="K339" t="s">
        <v>2089</v>
      </c>
      <c r="L339">
        <v>1055.0999999999999</v>
      </c>
      <c r="M339">
        <v>105.51</v>
      </c>
      <c r="N339" t="s">
        <v>2431</v>
      </c>
      <c r="O339" t="s">
        <v>463</v>
      </c>
    </row>
    <row r="340" spans="1:15" x14ac:dyDescent="0.3">
      <c r="A340">
        <v>244489</v>
      </c>
      <c r="B340">
        <v>173</v>
      </c>
      <c r="C340" t="s">
        <v>734</v>
      </c>
      <c r="D340" t="s">
        <v>1749</v>
      </c>
      <c r="E340" t="s">
        <v>1846</v>
      </c>
      <c r="F340" s="465">
        <v>46204</v>
      </c>
      <c r="G340">
        <v>18595</v>
      </c>
      <c r="H340" t="s">
        <v>2436</v>
      </c>
      <c r="I340" t="s">
        <v>2088</v>
      </c>
      <c r="J340">
        <v>10</v>
      </c>
      <c r="K340" t="s">
        <v>2089</v>
      </c>
      <c r="L340">
        <v>1041</v>
      </c>
      <c r="M340">
        <v>104.1</v>
      </c>
      <c r="N340" t="s">
        <v>2431</v>
      </c>
      <c r="O340" t="s">
        <v>463</v>
      </c>
    </row>
    <row r="341" spans="1:15" x14ac:dyDescent="0.3">
      <c r="A341">
        <v>244489</v>
      </c>
      <c r="B341">
        <v>173</v>
      </c>
      <c r="C341" t="s">
        <v>734</v>
      </c>
      <c r="D341" t="s">
        <v>1749</v>
      </c>
      <c r="E341" t="s">
        <v>1846</v>
      </c>
      <c r="F341" s="465">
        <v>46204</v>
      </c>
      <c r="G341">
        <v>25561</v>
      </c>
      <c r="H341" t="s">
        <v>2437</v>
      </c>
      <c r="I341" t="s">
        <v>2088</v>
      </c>
      <c r="J341">
        <v>10</v>
      </c>
      <c r="K341" t="s">
        <v>2089</v>
      </c>
      <c r="L341">
        <v>1123</v>
      </c>
      <c r="M341">
        <v>112.3</v>
      </c>
      <c r="N341" t="s">
        <v>2431</v>
      </c>
      <c r="O341" t="s">
        <v>463</v>
      </c>
    </row>
    <row r="342" spans="1:15" x14ac:dyDescent="0.3">
      <c r="A342">
        <v>244486</v>
      </c>
      <c r="B342">
        <v>173</v>
      </c>
      <c r="C342" t="s">
        <v>734</v>
      </c>
      <c r="D342" t="s">
        <v>1847</v>
      </c>
      <c r="E342" t="s">
        <v>1848</v>
      </c>
      <c r="F342" s="465">
        <v>46205</v>
      </c>
      <c r="G342">
        <v>27211</v>
      </c>
      <c r="H342" t="s">
        <v>2438</v>
      </c>
      <c r="I342" t="s">
        <v>2110</v>
      </c>
      <c r="J342">
        <v>2</v>
      </c>
      <c r="K342" t="s">
        <v>2118</v>
      </c>
      <c r="L342">
        <v>190.24</v>
      </c>
      <c r="M342">
        <v>95.12</v>
      </c>
      <c r="N342" t="s">
        <v>2439</v>
      </c>
      <c r="O342" t="s">
        <v>463</v>
      </c>
    </row>
    <row r="343" spans="1:15" x14ac:dyDescent="0.3">
      <c r="A343">
        <v>244486</v>
      </c>
      <c r="B343">
        <v>173</v>
      </c>
      <c r="C343" t="s">
        <v>734</v>
      </c>
      <c r="D343" t="s">
        <v>1847</v>
      </c>
      <c r="E343" t="s">
        <v>1848</v>
      </c>
      <c r="F343" s="465">
        <v>46205</v>
      </c>
      <c r="G343">
        <v>27215</v>
      </c>
      <c r="H343" t="s">
        <v>2440</v>
      </c>
      <c r="I343" t="s">
        <v>2110</v>
      </c>
      <c r="J343">
        <v>4</v>
      </c>
      <c r="K343" t="s">
        <v>2118</v>
      </c>
      <c r="L343">
        <v>380.48</v>
      </c>
      <c r="M343">
        <v>95.12</v>
      </c>
      <c r="N343" t="s">
        <v>2439</v>
      </c>
      <c r="O343" t="s">
        <v>463</v>
      </c>
    </row>
    <row r="344" spans="1:15" x14ac:dyDescent="0.3">
      <c r="A344">
        <v>244486</v>
      </c>
      <c r="B344">
        <v>173</v>
      </c>
      <c r="C344" t="s">
        <v>734</v>
      </c>
      <c r="D344" t="s">
        <v>1847</v>
      </c>
      <c r="E344" t="s">
        <v>1848</v>
      </c>
      <c r="F344" s="465">
        <v>46205</v>
      </c>
      <c r="G344">
        <v>27213</v>
      </c>
      <c r="H344" t="s">
        <v>2441</v>
      </c>
      <c r="I344" t="s">
        <v>2110</v>
      </c>
      <c r="J344">
        <v>3</v>
      </c>
      <c r="K344" t="s">
        <v>2118</v>
      </c>
      <c r="L344">
        <v>285.36</v>
      </c>
      <c r="M344">
        <v>95.12</v>
      </c>
      <c r="N344" t="s">
        <v>2439</v>
      </c>
      <c r="O344" t="s">
        <v>463</v>
      </c>
    </row>
    <row r="345" spans="1:15" x14ac:dyDescent="0.3">
      <c r="A345">
        <v>244486</v>
      </c>
      <c r="B345">
        <v>173</v>
      </c>
      <c r="C345" t="s">
        <v>734</v>
      </c>
      <c r="D345" t="s">
        <v>1847</v>
      </c>
      <c r="E345" t="s">
        <v>1848</v>
      </c>
      <c r="F345" s="465">
        <v>46205</v>
      </c>
      <c r="G345">
        <v>28135</v>
      </c>
      <c r="H345" t="s">
        <v>2442</v>
      </c>
      <c r="I345" t="s">
        <v>2110</v>
      </c>
      <c r="J345">
        <v>2</v>
      </c>
      <c r="K345" t="s">
        <v>2111</v>
      </c>
      <c r="L345">
        <v>190.24</v>
      </c>
      <c r="M345">
        <v>95.12</v>
      </c>
      <c r="N345" t="s">
        <v>2439</v>
      </c>
      <c r="O345" t="s">
        <v>463</v>
      </c>
    </row>
    <row r="346" spans="1:15" x14ac:dyDescent="0.3">
      <c r="A346">
        <v>244486</v>
      </c>
      <c r="B346">
        <v>173</v>
      </c>
      <c r="C346" t="s">
        <v>734</v>
      </c>
      <c r="D346" t="s">
        <v>1847</v>
      </c>
      <c r="E346" t="s">
        <v>1848</v>
      </c>
      <c r="F346" s="465">
        <v>46205</v>
      </c>
      <c r="G346">
        <v>28134</v>
      </c>
      <c r="H346" t="s">
        <v>2443</v>
      </c>
      <c r="I346" t="s">
        <v>2110</v>
      </c>
      <c r="J346">
        <v>1</v>
      </c>
      <c r="K346" t="s">
        <v>2111</v>
      </c>
      <c r="L346">
        <v>95.12</v>
      </c>
      <c r="M346">
        <v>95.12</v>
      </c>
      <c r="N346" t="s">
        <v>2439</v>
      </c>
      <c r="O346" t="s">
        <v>463</v>
      </c>
    </row>
    <row r="347" spans="1:15" x14ac:dyDescent="0.3">
      <c r="A347">
        <v>244486</v>
      </c>
      <c r="B347">
        <v>173</v>
      </c>
      <c r="C347" t="s">
        <v>734</v>
      </c>
      <c r="D347" t="s">
        <v>1847</v>
      </c>
      <c r="E347" t="s">
        <v>1848</v>
      </c>
      <c r="F347" s="465">
        <v>46205</v>
      </c>
      <c r="G347">
        <v>27212</v>
      </c>
      <c r="H347" t="s">
        <v>2444</v>
      </c>
      <c r="I347" t="s">
        <v>2110</v>
      </c>
      <c r="J347">
        <v>2</v>
      </c>
      <c r="K347" t="s">
        <v>2118</v>
      </c>
      <c r="L347">
        <v>190.24</v>
      </c>
      <c r="M347">
        <v>95.12</v>
      </c>
      <c r="N347" t="s">
        <v>2439</v>
      </c>
      <c r="O347" t="s">
        <v>463</v>
      </c>
    </row>
    <row r="348" spans="1:15" x14ac:dyDescent="0.3">
      <c r="A348">
        <v>244486</v>
      </c>
      <c r="B348">
        <v>173</v>
      </c>
      <c r="C348" t="s">
        <v>734</v>
      </c>
      <c r="D348" t="s">
        <v>1847</v>
      </c>
      <c r="E348" t="s">
        <v>1848</v>
      </c>
      <c r="F348" s="465">
        <v>46205</v>
      </c>
      <c r="G348">
        <v>28877</v>
      </c>
      <c r="H348" t="s">
        <v>2445</v>
      </c>
      <c r="J348">
        <v>1</v>
      </c>
      <c r="K348" t="s">
        <v>2111</v>
      </c>
      <c r="L348">
        <v>95.13</v>
      </c>
      <c r="M348">
        <v>95.13</v>
      </c>
      <c r="N348" t="s">
        <v>2439</v>
      </c>
      <c r="O348" t="s">
        <v>463</v>
      </c>
    </row>
    <row r="349" spans="1:15" x14ac:dyDescent="0.3">
      <c r="A349">
        <v>244486</v>
      </c>
      <c r="B349">
        <v>173</v>
      </c>
      <c r="C349" t="s">
        <v>734</v>
      </c>
      <c r="D349" t="s">
        <v>1847</v>
      </c>
      <c r="E349" t="s">
        <v>1848</v>
      </c>
      <c r="F349" s="465">
        <v>46205</v>
      </c>
      <c r="G349">
        <v>27216</v>
      </c>
      <c r="H349" t="s">
        <v>2446</v>
      </c>
      <c r="I349" t="s">
        <v>2110</v>
      </c>
      <c r="J349">
        <v>1</v>
      </c>
      <c r="K349" t="s">
        <v>2118</v>
      </c>
      <c r="L349">
        <v>95.12</v>
      </c>
      <c r="M349">
        <v>95.12</v>
      </c>
      <c r="N349" t="s">
        <v>2439</v>
      </c>
      <c r="O349" t="s">
        <v>463</v>
      </c>
    </row>
    <row r="350" spans="1:15" x14ac:dyDescent="0.3">
      <c r="A350">
        <v>244483</v>
      </c>
      <c r="B350">
        <v>173</v>
      </c>
      <c r="C350" t="s">
        <v>734</v>
      </c>
      <c r="D350" t="s">
        <v>1731</v>
      </c>
      <c r="E350" t="s">
        <v>1849</v>
      </c>
      <c r="F350" s="465">
        <v>46204</v>
      </c>
      <c r="G350">
        <v>27432</v>
      </c>
      <c r="H350" t="s">
        <v>2447</v>
      </c>
      <c r="I350" t="s">
        <v>2100</v>
      </c>
      <c r="J350">
        <v>80.5</v>
      </c>
      <c r="K350" t="s">
        <v>2101</v>
      </c>
      <c r="L350">
        <v>9579.5</v>
      </c>
      <c r="M350">
        <v>119</v>
      </c>
      <c r="N350" t="s">
        <v>2448</v>
      </c>
      <c r="O350" t="s">
        <v>463</v>
      </c>
    </row>
    <row r="351" spans="1:15" x14ac:dyDescent="0.3">
      <c r="A351">
        <v>244483</v>
      </c>
      <c r="B351">
        <v>173</v>
      </c>
      <c r="C351" t="s">
        <v>734</v>
      </c>
      <c r="D351" t="s">
        <v>1731</v>
      </c>
      <c r="E351" t="s">
        <v>1849</v>
      </c>
      <c r="F351" s="465">
        <v>46204</v>
      </c>
      <c r="G351">
        <v>28760</v>
      </c>
      <c r="H351" t="s">
        <v>2361</v>
      </c>
      <c r="I351" t="s">
        <v>2100</v>
      </c>
      <c r="J351">
        <v>20.7</v>
      </c>
      <c r="K351" t="s">
        <v>2101</v>
      </c>
      <c r="L351">
        <v>1262.7</v>
      </c>
      <c r="M351">
        <v>61</v>
      </c>
      <c r="N351" t="s">
        <v>2448</v>
      </c>
      <c r="O351" t="s">
        <v>463</v>
      </c>
    </row>
    <row r="352" spans="1:15" x14ac:dyDescent="0.3">
      <c r="A352">
        <v>244479</v>
      </c>
      <c r="B352">
        <v>173</v>
      </c>
      <c r="C352" t="s">
        <v>734</v>
      </c>
      <c r="D352" t="s">
        <v>1778</v>
      </c>
      <c r="E352" t="s">
        <v>1850</v>
      </c>
      <c r="F352" s="465">
        <v>46206</v>
      </c>
      <c r="G352">
        <v>25822</v>
      </c>
      <c r="H352" t="s">
        <v>2449</v>
      </c>
      <c r="I352" t="s">
        <v>2100</v>
      </c>
      <c r="J352">
        <v>12</v>
      </c>
      <c r="K352" t="s">
        <v>2111</v>
      </c>
      <c r="L352">
        <v>44.28</v>
      </c>
      <c r="M352">
        <v>3.69</v>
      </c>
      <c r="N352" t="s">
        <v>2450</v>
      </c>
      <c r="O352" t="s">
        <v>463</v>
      </c>
    </row>
    <row r="353" spans="1:15" x14ac:dyDescent="0.3">
      <c r="A353">
        <v>244479</v>
      </c>
      <c r="B353">
        <v>173</v>
      </c>
      <c r="C353" t="s">
        <v>734</v>
      </c>
      <c r="D353" t="s">
        <v>1778</v>
      </c>
      <c r="E353" t="s">
        <v>1850</v>
      </c>
      <c r="F353" s="465">
        <v>46206</v>
      </c>
      <c r="G353">
        <v>20419</v>
      </c>
      <c r="H353" t="s">
        <v>2451</v>
      </c>
      <c r="I353" t="s">
        <v>2100</v>
      </c>
      <c r="J353">
        <v>5</v>
      </c>
      <c r="K353" t="s">
        <v>2089</v>
      </c>
      <c r="L353">
        <v>94.6</v>
      </c>
      <c r="M353">
        <v>18.920000000000002</v>
      </c>
      <c r="N353" t="s">
        <v>2450</v>
      </c>
      <c r="O353" t="s">
        <v>463</v>
      </c>
    </row>
    <row r="354" spans="1:15" x14ac:dyDescent="0.3">
      <c r="A354">
        <v>244479</v>
      </c>
      <c r="B354">
        <v>173</v>
      </c>
      <c r="C354" t="s">
        <v>734</v>
      </c>
      <c r="D354" t="s">
        <v>1778</v>
      </c>
      <c r="E354" t="s">
        <v>1850</v>
      </c>
      <c r="F354" s="465">
        <v>46206</v>
      </c>
      <c r="G354">
        <v>20209</v>
      </c>
      <c r="H354" t="s">
        <v>2452</v>
      </c>
      <c r="I354" t="s">
        <v>2100</v>
      </c>
      <c r="J354">
        <v>5</v>
      </c>
      <c r="K354" t="s">
        <v>2101</v>
      </c>
      <c r="L354">
        <v>194.5</v>
      </c>
      <c r="M354">
        <v>38.9</v>
      </c>
      <c r="N354" t="s">
        <v>2450</v>
      </c>
      <c r="O354" t="s">
        <v>463</v>
      </c>
    </row>
    <row r="355" spans="1:15" x14ac:dyDescent="0.3">
      <c r="A355">
        <v>244474</v>
      </c>
      <c r="B355">
        <v>173</v>
      </c>
      <c r="C355" t="s">
        <v>734</v>
      </c>
      <c r="D355" t="s">
        <v>1851</v>
      </c>
      <c r="E355" t="s">
        <v>1852</v>
      </c>
      <c r="F355" s="465">
        <v>46206</v>
      </c>
      <c r="G355">
        <v>24351</v>
      </c>
      <c r="H355" t="s">
        <v>2453</v>
      </c>
      <c r="I355" t="s">
        <v>2100</v>
      </c>
      <c r="J355">
        <v>60</v>
      </c>
      <c r="K355" t="s">
        <v>2111</v>
      </c>
      <c r="L355">
        <v>1950</v>
      </c>
      <c r="M355">
        <v>32.5</v>
      </c>
      <c r="N355" t="s">
        <v>2454</v>
      </c>
      <c r="O355" t="s">
        <v>463</v>
      </c>
    </row>
    <row r="356" spans="1:15" x14ac:dyDescent="0.3">
      <c r="A356">
        <v>244458</v>
      </c>
      <c r="B356">
        <v>173</v>
      </c>
      <c r="C356" t="s">
        <v>734</v>
      </c>
      <c r="D356" t="s">
        <v>1733</v>
      </c>
      <c r="E356" t="s">
        <v>1853</v>
      </c>
      <c r="F356" s="465">
        <v>46204</v>
      </c>
      <c r="G356">
        <v>28755</v>
      </c>
      <c r="H356" t="s">
        <v>2230</v>
      </c>
      <c r="I356" t="s">
        <v>2100</v>
      </c>
      <c r="J356">
        <v>30.7</v>
      </c>
      <c r="K356" t="s">
        <v>2101</v>
      </c>
      <c r="L356">
        <v>1163.53</v>
      </c>
      <c r="M356">
        <v>37.9</v>
      </c>
      <c r="N356" t="s">
        <v>2455</v>
      </c>
      <c r="O356" t="s">
        <v>463</v>
      </c>
    </row>
    <row r="357" spans="1:15" x14ac:dyDescent="0.3">
      <c r="A357">
        <v>244458</v>
      </c>
      <c r="B357">
        <v>173</v>
      </c>
      <c r="C357" t="s">
        <v>734</v>
      </c>
      <c r="D357" t="s">
        <v>1733</v>
      </c>
      <c r="E357" t="s">
        <v>1853</v>
      </c>
      <c r="F357" s="465">
        <v>46204</v>
      </c>
      <c r="G357">
        <v>18832</v>
      </c>
      <c r="H357" t="s">
        <v>2456</v>
      </c>
      <c r="I357" t="s">
        <v>2100</v>
      </c>
      <c r="J357">
        <v>52.7</v>
      </c>
      <c r="K357" t="s">
        <v>2101</v>
      </c>
      <c r="L357">
        <v>2102.73</v>
      </c>
      <c r="M357">
        <v>39.9</v>
      </c>
      <c r="N357" t="s">
        <v>2455</v>
      </c>
      <c r="O357" t="s">
        <v>463</v>
      </c>
    </row>
    <row r="358" spans="1:15" x14ac:dyDescent="0.3">
      <c r="A358">
        <v>244458</v>
      </c>
      <c r="B358">
        <v>173</v>
      </c>
      <c r="C358" t="s">
        <v>734</v>
      </c>
      <c r="D358" t="s">
        <v>1733</v>
      </c>
      <c r="E358" t="s">
        <v>1853</v>
      </c>
      <c r="F358" s="465">
        <v>46204</v>
      </c>
      <c r="G358">
        <v>19017</v>
      </c>
      <c r="H358" t="s">
        <v>2231</v>
      </c>
      <c r="I358" t="s">
        <v>2100</v>
      </c>
      <c r="J358">
        <v>200</v>
      </c>
      <c r="K358" t="s">
        <v>2101</v>
      </c>
      <c r="L358">
        <v>3040</v>
      </c>
      <c r="M358">
        <v>15.2</v>
      </c>
      <c r="N358" t="s">
        <v>2455</v>
      </c>
      <c r="O358" t="s">
        <v>463</v>
      </c>
    </row>
    <row r="359" spans="1:15" x14ac:dyDescent="0.3">
      <c r="A359">
        <v>244458</v>
      </c>
      <c r="B359">
        <v>173</v>
      </c>
      <c r="C359" t="s">
        <v>734</v>
      </c>
      <c r="D359" t="s">
        <v>1733</v>
      </c>
      <c r="E359" t="s">
        <v>1853</v>
      </c>
      <c r="F359" s="465">
        <v>46204</v>
      </c>
      <c r="G359">
        <v>22827</v>
      </c>
      <c r="H359" t="s">
        <v>2457</v>
      </c>
      <c r="I359" t="s">
        <v>2100</v>
      </c>
      <c r="J359">
        <v>26.3</v>
      </c>
      <c r="K359" t="s">
        <v>2101</v>
      </c>
      <c r="L359">
        <v>418.17</v>
      </c>
      <c r="M359">
        <v>15.9</v>
      </c>
      <c r="N359" t="s">
        <v>2455</v>
      </c>
      <c r="O359" t="s">
        <v>463</v>
      </c>
    </row>
    <row r="360" spans="1:15" x14ac:dyDescent="0.3">
      <c r="A360">
        <v>244457</v>
      </c>
      <c r="B360">
        <v>173</v>
      </c>
      <c r="C360" t="s">
        <v>734</v>
      </c>
      <c r="D360" t="s">
        <v>1854</v>
      </c>
      <c r="E360" t="s">
        <v>1855</v>
      </c>
      <c r="F360" s="465">
        <v>46204</v>
      </c>
      <c r="G360">
        <v>19857</v>
      </c>
      <c r="H360" t="s">
        <v>2458</v>
      </c>
      <c r="I360" t="s">
        <v>2100</v>
      </c>
      <c r="J360">
        <v>1</v>
      </c>
      <c r="K360" t="s">
        <v>2101</v>
      </c>
      <c r="L360">
        <v>61.5</v>
      </c>
      <c r="M360">
        <v>61.5</v>
      </c>
      <c r="N360" t="s">
        <v>2459</v>
      </c>
      <c r="O360" t="s">
        <v>463</v>
      </c>
    </row>
    <row r="361" spans="1:15" x14ac:dyDescent="0.3">
      <c r="A361">
        <v>244457</v>
      </c>
      <c r="B361">
        <v>173</v>
      </c>
      <c r="C361" t="s">
        <v>734</v>
      </c>
      <c r="D361" t="s">
        <v>1854</v>
      </c>
      <c r="E361" t="s">
        <v>1855</v>
      </c>
      <c r="F361" s="465">
        <v>46204</v>
      </c>
      <c r="G361">
        <v>23992</v>
      </c>
      <c r="H361" t="s">
        <v>2460</v>
      </c>
      <c r="I361" t="s">
        <v>2100</v>
      </c>
      <c r="J361">
        <v>1</v>
      </c>
      <c r="K361" t="s">
        <v>2101</v>
      </c>
      <c r="L361">
        <v>72.28</v>
      </c>
      <c r="M361">
        <v>72.28</v>
      </c>
      <c r="N361" t="s">
        <v>2459</v>
      </c>
      <c r="O361" t="s">
        <v>463</v>
      </c>
    </row>
    <row r="362" spans="1:15" x14ac:dyDescent="0.3">
      <c r="A362">
        <v>244454</v>
      </c>
      <c r="B362">
        <v>173</v>
      </c>
      <c r="C362" t="s">
        <v>734</v>
      </c>
      <c r="D362" t="s">
        <v>1856</v>
      </c>
      <c r="E362" t="s">
        <v>1857</v>
      </c>
      <c r="F362" s="465">
        <v>46204</v>
      </c>
      <c r="G362">
        <v>18359</v>
      </c>
      <c r="H362" t="s">
        <v>2461</v>
      </c>
      <c r="I362" t="s">
        <v>2088</v>
      </c>
      <c r="J362">
        <v>24</v>
      </c>
      <c r="K362" t="s">
        <v>2092</v>
      </c>
      <c r="L362">
        <v>2133.6</v>
      </c>
      <c r="M362">
        <v>88.9</v>
      </c>
      <c r="N362" t="s">
        <v>2462</v>
      </c>
      <c r="O362" t="s">
        <v>463</v>
      </c>
    </row>
    <row r="363" spans="1:15" x14ac:dyDescent="0.3">
      <c r="A363">
        <v>244454</v>
      </c>
      <c r="B363">
        <v>173</v>
      </c>
      <c r="C363" t="s">
        <v>734</v>
      </c>
      <c r="D363" t="s">
        <v>1856</v>
      </c>
      <c r="E363" t="s">
        <v>1857</v>
      </c>
      <c r="F363" s="465">
        <v>46204</v>
      </c>
      <c r="G363">
        <v>18113</v>
      </c>
      <c r="H363" t="s">
        <v>2463</v>
      </c>
      <c r="I363" t="s">
        <v>2088</v>
      </c>
      <c r="J363">
        <v>5</v>
      </c>
      <c r="K363" t="s">
        <v>2092</v>
      </c>
      <c r="L363">
        <v>2163.6</v>
      </c>
      <c r="M363">
        <v>432.72</v>
      </c>
      <c r="N363" t="s">
        <v>2462</v>
      </c>
      <c r="O363" t="s">
        <v>463</v>
      </c>
    </row>
    <row r="364" spans="1:15" x14ac:dyDescent="0.3">
      <c r="A364">
        <v>244454</v>
      </c>
      <c r="B364">
        <v>173</v>
      </c>
      <c r="C364" t="s">
        <v>734</v>
      </c>
      <c r="D364" t="s">
        <v>1856</v>
      </c>
      <c r="E364" t="s">
        <v>1857</v>
      </c>
      <c r="F364" s="465">
        <v>46204</v>
      </c>
      <c r="G364">
        <v>18111</v>
      </c>
      <c r="H364" t="s">
        <v>2464</v>
      </c>
      <c r="I364" t="s">
        <v>2088</v>
      </c>
      <c r="J364">
        <v>36</v>
      </c>
      <c r="K364" t="s">
        <v>2092</v>
      </c>
      <c r="L364">
        <v>3020.04</v>
      </c>
      <c r="M364">
        <v>83.89</v>
      </c>
      <c r="N364" t="s">
        <v>2462</v>
      </c>
      <c r="O364" t="s">
        <v>463</v>
      </c>
    </row>
    <row r="365" spans="1:15" x14ac:dyDescent="0.3">
      <c r="A365">
        <v>244454</v>
      </c>
      <c r="B365">
        <v>173</v>
      </c>
      <c r="C365" t="s">
        <v>734</v>
      </c>
      <c r="D365" t="s">
        <v>1856</v>
      </c>
      <c r="E365" t="s">
        <v>1857</v>
      </c>
      <c r="F365" s="465">
        <v>46204</v>
      </c>
      <c r="G365">
        <v>18186</v>
      </c>
      <c r="H365" t="s">
        <v>2465</v>
      </c>
      <c r="I365" t="s">
        <v>2088</v>
      </c>
      <c r="J365">
        <v>24</v>
      </c>
      <c r="K365" t="s">
        <v>2092</v>
      </c>
      <c r="L365">
        <v>4043.76</v>
      </c>
      <c r="M365">
        <v>168.49</v>
      </c>
      <c r="N365" t="s">
        <v>2462</v>
      </c>
      <c r="O365" t="s">
        <v>463</v>
      </c>
    </row>
    <row r="366" spans="1:15" x14ac:dyDescent="0.3">
      <c r="A366">
        <v>244454</v>
      </c>
      <c r="B366">
        <v>173</v>
      </c>
      <c r="C366" t="s">
        <v>734</v>
      </c>
      <c r="D366" t="s">
        <v>1856</v>
      </c>
      <c r="E366" t="s">
        <v>1857</v>
      </c>
      <c r="F366" s="465">
        <v>46204</v>
      </c>
      <c r="G366">
        <v>18118</v>
      </c>
      <c r="H366" t="s">
        <v>2466</v>
      </c>
      <c r="I366" t="s">
        <v>2088</v>
      </c>
      <c r="J366">
        <v>6</v>
      </c>
      <c r="K366" t="s">
        <v>2092</v>
      </c>
      <c r="L366">
        <v>7281.66</v>
      </c>
      <c r="M366">
        <v>1213.6099999999999</v>
      </c>
      <c r="N366" t="s">
        <v>2462</v>
      </c>
      <c r="O366" t="s">
        <v>463</v>
      </c>
    </row>
    <row r="367" spans="1:15" x14ac:dyDescent="0.3">
      <c r="A367">
        <v>244454</v>
      </c>
      <c r="B367">
        <v>173</v>
      </c>
      <c r="C367" t="s">
        <v>734</v>
      </c>
      <c r="D367" t="s">
        <v>1856</v>
      </c>
      <c r="E367" t="s">
        <v>1857</v>
      </c>
      <c r="F367" s="465">
        <v>46204</v>
      </c>
      <c r="G367">
        <v>18151</v>
      </c>
      <c r="H367" t="s">
        <v>2467</v>
      </c>
      <c r="I367" t="s">
        <v>2088</v>
      </c>
      <c r="J367">
        <v>12</v>
      </c>
      <c r="K367" t="s">
        <v>2092</v>
      </c>
      <c r="L367">
        <v>1403.64</v>
      </c>
      <c r="M367">
        <v>116.97</v>
      </c>
      <c r="N367" t="s">
        <v>2462</v>
      </c>
      <c r="O367" t="s">
        <v>463</v>
      </c>
    </row>
    <row r="368" spans="1:15" x14ac:dyDescent="0.3">
      <c r="A368">
        <v>244454</v>
      </c>
      <c r="B368">
        <v>173</v>
      </c>
      <c r="C368" t="s">
        <v>734</v>
      </c>
      <c r="D368" t="s">
        <v>1856</v>
      </c>
      <c r="E368" t="s">
        <v>1857</v>
      </c>
      <c r="F368" s="465">
        <v>46204</v>
      </c>
      <c r="G368">
        <v>18242</v>
      </c>
      <c r="H368" t="s">
        <v>2468</v>
      </c>
      <c r="I368" t="s">
        <v>2088</v>
      </c>
      <c r="J368">
        <v>3</v>
      </c>
      <c r="K368" t="s">
        <v>2092</v>
      </c>
      <c r="L368">
        <v>639.27</v>
      </c>
      <c r="M368">
        <v>213.09</v>
      </c>
      <c r="N368" t="s">
        <v>2462</v>
      </c>
      <c r="O368" t="s">
        <v>463</v>
      </c>
    </row>
    <row r="369" spans="1:15" x14ac:dyDescent="0.3">
      <c r="A369">
        <v>244454</v>
      </c>
      <c r="B369">
        <v>173</v>
      </c>
      <c r="C369" t="s">
        <v>734</v>
      </c>
      <c r="D369" t="s">
        <v>1856</v>
      </c>
      <c r="E369" t="s">
        <v>1857</v>
      </c>
      <c r="F369" s="465">
        <v>46204</v>
      </c>
      <c r="G369">
        <v>18119</v>
      </c>
      <c r="H369" t="s">
        <v>2469</v>
      </c>
      <c r="I369" t="s">
        <v>2088</v>
      </c>
      <c r="J369">
        <v>24</v>
      </c>
      <c r="K369" t="s">
        <v>2092</v>
      </c>
      <c r="L369">
        <v>3998.88</v>
      </c>
      <c r="M369">
        <v>166.62</v>
      </c>
      <c r="N369" t="s">
        <v>2462</v>
      </c>
      <c r="O369" t="s">
        <v>463</v>
      </c>
    </row>
    <row r="370" spans="1:15" x14ac:dyDescent="0.3">
      <c r="A370">
        <v>244454</v>
      </c>
      <c r="B370">
        <v>173</v>
      </c>
      <c r="C370" t="s">
        <v>734</v>
      </c>
      <c r="D370" t="s">
        <v>1856</v>
      </c>
      <c r="E370" t="s">
        <v>1857</v>
      </c>
      <c r="F370" s="465">
        <v>46204</v>
      </c>
      <c r="G370">
        <v>18179</v>
      </c>
      <c r="H370" t="s">
        <v>2470</v>
      </c>
      <c r="I370" t="s">
        <v>2088</v>
      </c>
      <c r="J370">
        <v>12</v>
      </c>
      <c r="K370" t="s">
        <v>2092</v>
      </c>
      <c r="L370">
        <v>1396.92</v>
      </c>
      <c r="M370">
        <v>116.41</v>
      </c>
      <c r="N370" t="s">
        <v>2462</v>
      </c>
      <c r="O370" t="s">
        <v>463</v>
      </c>
    </row>
    <row r="371" spans="1:15" x14ac:dyDescent="0.3">
      <c r="A371">
        <v>244454</v>
      </c>
      <c r="B371">
        <v>173</v>
      </c>
      <c r="C371" t="s">
        <v>734</v>
      </c>
      <c r="D371" t="s">
        <v>1856</v>
      </c>
      <c r="E371" t="s">
        <v>1857</v>
      </c>
      <c r="F371" s="465">
        <v>46204</v>
      </c>
      <c r="G371">
        <v>18101</v>
      </c>
      <c r="H371" t="s">
        <v>2471</v>
      </c>
      <c r="I371" t="s">
        <v>2088</v>
      </c>
      <c r="J371">
        <v>12</v>
      </c>
      <c r="K371" t="s">
        <v>2092</v>
      </c>
      <c r="L371">
        <v>1737.84</v>
      </c>
      <c r="M371">
        <v>144.82</v>
      </c>
      <c r="N371" t="s">
        <v>2462</v>
      </c>
      <c r="O371" t="s">
        <v>463</v>
      </c>
    </row>
    <row r="372" spans="1:15" x14ac:dyDescent="0.3">
      <c r="A372">
        <v>244454</v>
      </c>
      <c r="B372">
        <v>173</v>
      </c>
      <c r="C372" t="s">
        <v>734</v>
      </c>
      <c r="D372" t="s">
        <v>1856</v>
      </c>
      <c r="E372" t="s">
        <v>1857</v>
      </c>
      <c r="F372" s="465">
        <v>46204</v>
      </c>
      <c r="G372">
        <v>18353</v>
      </c>
      <c r="H372" t="s">
        <v>2472</v>
      </c>
      <c r="I372" t="s">
        <v>2088</v>
      </c>
      <c r="J372">
        <v>6</v>
      </c>
      <c r="K372" t="s">
        <v>2092</v>
      </c>
      <c r="L372">
        <v>826.92</v>
      </c>
      <c r="M372">
        <v>137.82</v>
      </c>
      <c r="N372" t="s">
        <v>2462</v>
      </c>
      <c r="O372" t="s">
        <v>463</v>
      </c>
    </row>
    <row r="373" spans="1:15" x14ac:dyDescent="0.3">
      <c r="A373">
        <v>244450</v>
      </c>
      <c r="B373">
        <v>173</v>
      </c>
      <c r="C373" t="s">
        <v>734</v>
      </c>
      <c r="D373" t="s">
        <v>1715</v>
      </c>
      <c r="E373" t="s">
        <v>1858</v>
      </c>
      <c r="F373" s="465">
        <v>46204</v>
      </c>
      <c r="G373">
        <v>18475</v>
      </c>
      <c r="H373" t="s">
        <v>2094</v>
      </c>
      <c r="I373" t="s">
        <v>2088</v>
      </c>
      <c r="J373">
        <v>84</v>
      </c>
      <c r="K373" t="s">
        <v>2092</v>
      </c>
      <c r="L373">
        <v>2763.6</v>
      </c>
      <c r="M373">
        <v>32.9</v>
      </c>
      <c r="N373" t="s">
        <v>2473</v>
      </c>
      <c r="O373" t="s">
        <v>463</v>
      </c>
    </row>
    <row r="374" spans="1:15" x14ac:dyDescent="0.3">
      <c r="A374">
        <v>244450</v>
      </c>
      <c r="B374">
        <v>173</v>
      </c>
      <c r="C374" t="s">
        <v>734</v>
      </c>
      <c r="D374" t="s">
        <v>1715</v>
      </c>
      <c r="E374" t="s">
        <v>1858</v>
      </c>
      <c r="F374" s="465">
        <v>46204</v>
      </c>
      <c r="G374">
        <v>18477</v>
      </c>
      <c r="H374" t="s">
        <v>2095</v>
      </c>
      <c r="I374" t="s">
        <v>2088</v>
      </c>
      <c r="J374">
        <v>24</v>
      </c>
      <c r="K374" t="s">
        <v>2092</v>
      </c>
      <c r="L374">
        <v>957.6</v>
      </c>
      <c r="M374">
        <v>39.9</v>
      </c>
      <c r="N374" t="s">
        <v>2473</v>
      </c>
      <c r="O374" t="s">
        <v>463</v>
      </c>
    </row>
    <row r="375" spans="1:15" x14ac:dyDescent="0.3">
      <c r="A375">
        <v>244449</v>
      </c>
      <c r="B375">
        <v>173</v>
      </c>
      <c r="C375" t="s">
        <v>734</v>
      </c>
      <c r="D375" t="s">
        <v>1859</v>
      </c>
      <c r="E375" t="s">
        <v>1860</v>
      </c>
      <c r="F375" s="465">
        <v>46204</v>
      </c>
      <c r="G375">
        <v>18114</v>
      </c>
      <c r="H375" t="s">
        <v>2474</v>
      </c>
      <c r="I375" t="s">
        <v>2088</v>
      </c>
      <c r="J375">
        <v>12</v>
      </c>
      <c r="K375" t="s">
        <v>2092</v>
      </c>
      <c r="L375">
        <v>3298.8</v>
      </c>
      <c r="M375">
        <v>274.89999999999998</v>
      </c>
      <c r="N375" t="s">
        <v>2475</v>
      </c>
      <c r="O375" t="s">
        <v>463</v>
      </c>
    </row>
    <row r="376" spans="1:15" x14ac:dyDescent="0.3">
      <c r="A376">
        <v>244449</v>
      </c>
      <c r="B376">
        <v>173</v>
      </c>
      <c r="C376" t="s">
        <v>734</v>
      </c>
      <c r="D376" t="s">
        <v>1859</v>
      </c>
      <c r="E376" t="s">
        <v>1860</v>
      </c>
      <c r="F376" s="465">
        <v>46204</v>
      </c>
      <c r="G376">
        <v>18373</v>
      </c>
      <c r="H376" t="s">
        <v>2476</v>
      </c>
      <c r="I376" t="s">
        <v>2088</v>
      </c>
      <c r="J376">
        <v>120</v>
      </c>
      <c r="K376" t="s">
        <v>2092</v>
      </c>
      <c r="L376">
        <v>6588</v>
      </c>
      <c r="M376">
        <v>54.9</v>
      </c>
      <c r="N376" t="s">
        <v>2475</v>
      </c>
      <c r="O376" t="s">
        <v>463</v>
      </c>
    </row>
    <row r="377" spans="1:15" x14ac:dyDescent="0.3">
      <c r="A377">
        <v>244449</v>
      </c>
      <c r="B377">
        <v>173</v>
      </c>
      <c r="C377" t="s">
        <v>734</v>
      </c>
      <c r="D377" t="s">
        <v>1859</v>
      </c>
      <c r="E377" t="s">
        <v>1860</v>
      </c>
      <c r="F377" s="465">
        <v>46204</v>
      </c>
      <c r="G377">
        <v>18115</v>
      </c>
      <c r="H377" t="s">
        <v>2477</v>
      </c>
      <c r="I377" t="s">
        <v>2088</v>
      </c>
      <c r="J377">
        <v>3</v>
      </c>
      <c r="K377" t="s">
        <v>2092</v>
      </c>
      <c r="L377">
        <v>673.5</v>
      </c>
      <c r="M377">
        <v>224.5</v>
      </c>
      <c r="N377" t="s">
        <v>2475</v>
      </c>
      <c r="O377" t="s">
        <v>463</v>
      </c>
    </row>
    <row r="378" spans="1:15" x14ac:dyDescent="0.3">
      <c r="A378">
        <v>244449</v>
      </c>
      <c r="B378">
        <v>173</v>
      </c>
      <c r="C378" t="s">
        <v>734</v>
      </c>
      <c r="D378" t="s">
        <v>1859</v>
      </c>
      <c r="E378" t="s">
        <v>1860</v>
      </c>
      <c r="F378" s="465">
        <v>46204</v>
      </c>
      <c r="G378">
        <v>18116</v>
      </c>
      <c r="H378" t="s">
        <v>2478</v>
      </c>
      <c r="I378" t="s">
        <v>2088</v>
      </c>
      <c r="J378">
        <v>12</v>
      </c>
      <c r="K378" t="s">
        <v>2092</v>
      </c>
      <c r="L378">
        <v>1039.2</v>
      </c>
      <c r="M378">
        <v>86.6</v>
      </c>
      <c r="N378" t="s">
        <v>2475</v>
      </c>
      <c r="O378" t="s">
        <v>463</v>
      </c>
    </row>
    <row r="379" spans="1:15" x14ac:dyDescent="0.3">
      <c r="A379">
        <v>244449</v>
      </c>
      <c r="B379">
        <v>173</v>
      </c>
      <c r="C379" t="s">
        <v>734</v>
      </c>
      <c r="D379" t="s">
        <v>1859</v>
      </c>
      <c r="E379" t="s">
        <v>1860</v>
      </c>
      <c r="F379" s="465">
        <v>46204</v>
      </c>
      <c r="G379">
        <v>27607</v>
      </c>
      <c r="H379" t="s">
        <v>2479</v>
      </c>
      <c r="I379" t="s">
        <v>2088</v>
      </c>
      <c r="J379">
        <v>3</v>
      </c>
      <c r="K379" t="s">
        <v>2092</v>
      </c>
      <c r="L379">
        <v>479.7</v>
      </c>
      <c r="M379">
        <v>159.9</v>
      </c>
      <c r="N379" t="s">
        <v>2475</v>
      </c>
      <c r="O379" t="s">
        <v>463</v>
      </c>
    </row>
    <row r="380" spans="1:15" x14ac:dyDescent="0.3">
      <c r="A380">
        <v>244449</v>
      </c>
      <c r="B380">
        <v>173</v>
      </c>
      <c r="C380" t="s">
        <v>734</v>
      </c>
      <c r="D380" t="s">
        <v>1859</v>
      </c>
      <c r="E380" t="s">
        <v>1860</v>
      </c>
      <c r="F380" s="465">
        <v>46204</v>
      </c>
      <c r="G380">
        <v>18261</v>
      </c>
      <c r="H380" t="s">
        <v>2480</v>
      </c>
      <c r="I380" t="s">
        <v>2088</v>
      </c>
      <c r="J380">
        <v>2</v>
      </c>
      <c r="K380" t="s">
        <v>2092</v>
      </c>
      <c r="L380">
        <v>926.4</v>
      </c>
      <c r="M380">
        <v>463.2</v>
      </c>
      <c r="N380" t="s">
        <v>2475</v>
      </c>
      <c r="O380" t="s">
        <v>463</v>
      </c>
    </row>
    <row r="381" spans="1:15" x14ac:dyDescent="0.3">
      <c r="A381">
        <v>244449</v>
      </c>
      <c r="B381">
        <v>173</v>
      </c>
      <c r="C381" t="s">
        <v>734</v>
      </c>
      <c r="D381" t="s">
        <v>1859</v>
      </c>
      <c r="E381" t="s">
        <v>1860</v>
      </c>
      <c r="F381" s="465">
        <v>46204</v>
      </c>
      <c r="G381">
        <v>18172</v>
      </c>
      <c r="H381" t="s">
        <v>2481</v>
      </c>
      <c r="I381" t="s">
        <v>2088</v>
      </c>
      <c r="J381">
        <v>60</v>
      </c>
      <c r="K381" t="s">
        <v>2092</v>
      </c>
      <c r="L381">
        <v>1301.4000000000001</v>
      </c>
      <c r="M381">
        <v>21.69</v>
      </c>
      <c r="N381" t="s">
        <v>2475</v>
      </c>
      <c r="O381" t="s">
        <v>463</v>
      </c>
    </row>
    <row r="382" spans="1:15" x14ac:dyDescent="0.3">
      <c r="A382">
        <v>244439</v>
      </c>
      <c r="B382">
        <v>173</v>
      </c>
      <c r="C382" t="s">
        <v>734</v>
      </c>
      <c r="D382" t="s">
        <v>1766</v>
      </c>
      <c r="E382" t="s">
        <v>1861</v>
      </c>
      <c r="F382" s="465">
        <v>46204</v>
      </c>
      <c r="G382">
        <v>24217</v>
      </c>
      <c r="H382" t="s">
        <v>2482</v>
      </c>
      <c r="I382" t="s">
        <v>2100</v>
      </c>
      <c r="J382">
        <v>27.34</v>
      </c>
      <c r="K382" t="s">
        <v>2101</v>
      </c>
      <c r="L382">
        <v>979.32</v>
      </c>
      <c r="M382">
        <v>35.820044000000003</v>
      </c>
      <c r="N382" t="s">
        <v>2483</v>
      </c>
      <c r="O382" t="s">
        <v>463</v>
      </c>
    </row>
    <row r="383" spans="1:15" x14ac:dyDescent="0.3">
      <c r="A383">
        <v>244439</v>
      </c>
      <c r="B383">
        <v>173</v>
      </c>
      <c r="C383" t="s">
        <v>734</v>
      </c>
      <c r="D383" t="s">
        <v>1766</v>
      </c>
      <c r="E383" t="s">
        <v>1861</v>
      </c>
      <c r="F383" s="465">
        <v>46204</v>
      </c>
      <c r="G383">
        <v>18989</v>
      </c>
      <c r="H383" t="s">
        <v>2484</v>
      </c>
      <c r="I383" t="s">
        <v>2100</v>
      </c>
      <c r="J383">
        <v>60</v>
      </c>
      <c r="K383" t="s">
        <v>2101</v>
      </c>
      <c r="L383">
        <v>825</v>
      </c>
      <c r="M383">
        <v>13.75</v>
      </c>
      <c r="N383" t="s">
        <v>2483</v>
      </c>
      <c r="O383" t="s">
        <v>463</v>
      </c>
    </row>
    <row r="384" spans="1:15" x14ac:dyDescent="0.3">
      <c r="A384">
        <v>244435</v>
      </c>
      <c r="B384">
        <v>173</v>
      </c>
      <c r="C384" t="s">
        <v>734</v>
      </c>
      <c r="D384" t="s">
        <v>1862</v>
      </c>
      <c r="E384" t="s">
        <v>1863</v>
      </c>
      <c r="F384" s="465">
        <v>46205</v>
      </c>
      <c r="G384">
        <v>18540</v>
      </c>
      <c r="H384" t="s">
        <v>2485</v>
      </c>
      <c r="I384" t="s">
        <v>2088</v>
      </c>
      <c r="J384">
        <v>2</v>
      </c>
      <c r="K384" t="s">
        <v>2092</v>
      </c>
      <c r="L384">
        <v>142</v>
      </c>
      <c r="M384">
        <v>71</v>
      </c>
      <c r="N384" t="s">
        <v>2486</v>
      </c>
      <c r="O384" t="s">
        <v>463</v>
      </c>
    </row>
    <row r="385" spans="1:15" x14ac:dyDescent="0.3">
      <c r="A385">
        <v>244435</v>
      </c>
      <c r="B385">
        <v>173</v>
      </c>
      <c r="C385" t="s">
        <v>734</v>
      </c>
      <c r="D385" t="s">
        <v>1862</v>
      </c>
      <c r="E385" t="s">
        <v>1863</v>
      </c>
      <c r="F385" s="465">
        <v>46205</v>
      </c>
      <c r="G385">
        <v>18545</v>
      </c>
      <c r="H385" t="s">
        <v>2487</v>
      </c>
      <c r="I385" t="s">
        <v>2088</v>
      </c>
      <c r="J385">
        <v>30</v>
      </c>
      <c r="K385" t="s">
        <v>2092</v>
      </c>
      <c r="L385">
        <v>1347</v>
      </c>
      <c r="M385">
        <v>44.9</v>
      </c>
      <c r="N385" t="s">
        <v>2486</v>
      </c>
      <c r="O385" t="s">
        <v>463</v>
      </c>
    </row>
    <row r="386" spans="1:15" x14ac:dyDescent="0.3">
      <c r="A386">
        <v>244435</v>
      </c>
      <c r="B386">
        <v>173</v>
      </c>
      <c r="C386" t="s">
        <v>734</v>
      </c>
      <c r="D386" t="s">
        <v>1862</v>
      </c>
      <c r="E386" t="s">
        <v>1863</v>
      </c>
      <c r="F386" s="465">
        <v>46205</v>
      </c>
      <c r="G386">
        <v>18146</v>
      </c>
      <c r="H386" t="s">
        <v>2488</v>
      </c>
      <c r="I386" t="s">
        <v>2088</v>
      </c>
      <c r="J386">
        <v>24</v>
      </c>
      <c r="K386" t="s">
        <v>2092</v>
      </c>
      <c r="L386">
        <v>2251.1999999999998</v>
      </c>
      <c r="M386">
        <v>93.8</v>
      </c>
      <c r="N386" t="s">
        <v>2486</v>
      </c>
      <c r="O386" t="s">
        <v>463</v>
      </c>
    </row>
    <row r="387" spans="1:15" x14ac:dyDescent="0.3">
      <c r="A387">
        <v>244435</v>
      </c>
      <c r="B387">
        <v>173</v>
      </c>
      <c r="C387" t="s">
        <v>734</v>
      </c>
      <c r="D387" t="s">
        <v>1862</v>
      </c>
      <c r="E387" t="s">
        <v>1863</v>
      </c>
      <c r="F387" s="465">
        <v>46205</v>
      </c>
      <c r="G387">
        <v>18538</v>
      </c>
      <c r="H387" t="s">
        <v>2489</v>
      </c>
      <c r="I387" t="s">
        <v>2088</v>
      </c>
      <c r="J387">
        <v>4</v>
      </c>
      <c r="K387" t="s">
        <v>2092</v>
      </c>
      <c r="L387">
        <v>404</v>
      </c>
      <c r="M387">
        <v>101</v>
      </c>
      <c r="N387" t="s">
        <v>2486</v>
      </c>
      <c r="O387" t="s">
        <v>463</v>
      </c>
    </row>
    <row r="388" spans="1:15" x14ac:dyDescent="0.3">
      <c r="A388">
        <v>244435</v>
      </c>
      <c r="B388">
        <v>173</v>
      </c>
      <c r="C388" t="s">
        <v>734</v>
      </c>
      <c r="D388" t="s">
        <v>1862</v>
      </c>
      <c r="E388" t="s">
        <v>1863</v>
      </c>
      <c r="F388" s="465">
        <v>46205</v>
      </c>
      <c r="G388">
        <v>18030</v>
      </c>
      <c r="H388" t="s">
        <v>2490</v>
      </c>
      <c r="I388" t="s">
        <v>2088</v>
      </c>
      <c r="J388">
        <v>60</v>
      </c>
      <c r="K388" t="s">
        <v>2092</v>
      </c>
      <c r="L388">
        <v>1619.4</v>
      </c>
      <c r="M388">
        <v>26.99</v>
      </c>
      <c r="N388" t="s">
        <v>2486</v>
      </c>
      <c r="O388" t="s">
        <v>463</v>
      </c>
    </row>
    <row r="389" spans="1:15" x14ac:dyDescent="0.3">
      <c r="A389">
        <v>244435</v>
      </c>
      <c r="B389">
        <v>173</v>
      </c>
      <c r="C389" t="s">
        <v>734</v>
      </c>
      <c r="D389" t="s">
        <v>1862</v>
      </c>
      <c r="E389" t="s">
        <v>1863</v>
      </c>
      <c r="F389" s="465">
        <v>46205</v>
      </c>
      <c r="G389">
        <v>18208</v>
      </c>
      <c r="H389" t="s">
        <v>2491</v>
      </c>
      <c r="I389" t="s">
        <v>2088</v>
      </c>
      <c r="J389">
        <v>2</v>
      </c>
      <c r="K389" t="s">
        <v>2092</v>
      </c>
      <c r="L389">
        <v>168</v>
      </c>
      <c r="M389">
        <v>84</v>
      </c>
      <c r="N389" t="s">
        <v>2486</v>
      </c>
      <c r="O389" t="s">
        <v>463</v>
      </c>
    </row>
    <row r="390" spans="1:15" x14ac:dyDescent="0.3">
      <c r="A390">
        <v>244435</v>
      </c>
      <c r="B390">
        <v>173</v>
      </c>
      <c r="C390" t="s">
        <v>734</v>
      </c>
      <c r="D390" t="s">
        <v>1862</v>
      </c>
      <c r="E390" t="s">
        <v>1863</v>
      </c>
      <c r="F390" s="465">
        <v>46205</v>
      </c>
      <c r="G390">
        <v>18272</v>
      </c>
      <c r="H390" t="s">
        <v>2492</v>
      </c>
      <c r="I390" t="s">
        <v>2088</v>
      </c>
      <c r="J390">
        <v>12</v>
      </c>
      <c r="K390" t="s">
        <v>2092</v>
      </c>
      <c r="L390">
        <v>384</v>
      </c>
      <c r="M390">
        <v>32</v>
      </c>
      <c r="N390" t="s">
        <v>2486</v>
      </c>
      <c r="O390" t="s">
        <v>463</v>
      </c>
    </row>
    <row r="391" spans="1:15" x14ac:dyDescent="0.3">
      <c r="A391">
        <v>244435</v>
      </c>
      <c r="B391">
        <v>173</v>
      </c>
      <c r="C391" t="s">
        <v>734</v>
      </c>
      <c r="D391" t="s">
        <v>1862</v>
      </c>
      <c r="E391" t="s">
        <v>1863</v>
      </c>
      <c r="F391" s="465">
        <v>46205</v>
      </c>
      <c r="G391">
        <v>18049</v>
      </c>
      <c r="H391" t="s">
        <v>2134</v>
      </c>
      <c r="I391" t="s">
        <v>2088</v>
      </c>
      <c r="J391">
        <v>12</v>
      </c>
      <c r="K391" t="s">
        <v>2092</v>
      </c>
      <c r="L391">
        <v>3804</v>
      </c>
      <c r="M391">
        <v>317</v>
      </c>
      <c r="N391" t="s">
        <v>2486</v>
      </c>
      <c r="O391" t="s">
        <v>463</v>
      </c>
    </row>
    <row r="392" spans="1:15" x14ac:dyDescent="0.3">
      <c r="A392">
        <v>244435</v>
      </c>
      <c r="B392">
        <v>173</v>
      </c>
      <c r="C392" t="s">
        <v>734</v>
      </c>
      <c r="D392" t="s">
        <v>1862</v>
      </c>
      <c r="E392" t="s">
        <v>1863</v>
      </c>
      <c r="F392" s="465">
        <v>46205</v>
      </c>
      <c r="G392">
        <v>18220</v>
      </c>
      <c r="H392" t="s">
        <v>2493</v>
      </c>
      <c r="I392" t="s">
        <v>2088</v>
      </c>
      <c r="J392">
        <v>11</v>
      </c>
      <c r="K392" t="s">
        <v>2092</v>
      </c>
      <c r="L392">
        <v>891</v>
      </c>
      <c r="M392">
        <v>81</v>
      </c>
      <c r="N392" t="s">
        <v>2486</v>
      </c>
      <c r="O392" t="s">
        <v>463</v>
      </c>
    </row>
    <row r="393" spans="1:15" x14ac:dyDescent="0.3">
      <c r="A393">
        <v>244435</v>
      </c>
      <c r="B393">
        <v>173</v>
      </c>
      <c r="C393" t="s">
        <v>734</v>
      </c>
      <c r="D393" t="s">
        <v>1862</v>
      </c>
      <c r="E393" t="s">
        <v>1863</v>
      </c>
      <c r="F393" s="465">
        <v>46205</v>
      </c>
      <c r="G393">
        <v>18219</v>
      </c>
      <c r="H393" t="s">
        <v>2494</v>
      </c>
      <c r="I393" t="s">
        <v>2088</v>
      </c>
      <c r="J393">
        <v>12</v>
      </c>
      <c r="K393" t="s">
        <v>2092</v>
      </c>
      <c r="L393">
        <v>933.6</v>
      </c>
      <c r="M393">
        <v>77.8</v>
      </c>
      <c r="N393" t="s">
        <v>2486</v>
      </c>
      <c r="O393" t="s">
        <v>463</v>
      </c>
    </row>
    <row r="394" spans="1:15" x14ac:dyDescent="0.3">
      <c r="A394">
        <v>244435</v>
      </c>
      <c r="B394">
        <v>173</v>
      </c>
      <c r="C394" t="s">
        <v>734</v>
      </c>
      <c r="D394" t="s">
        <v>1862</v>
      </c>
      <c r="E394" t="s">
        <v>1863</v>
      </c>
      <c r="F394" s="465">
        <v>46205</v>
      </c>
      <c r="G394">
        <v>18547</v>
      </c>
      <c r="H394" t="s">
        <v>2495</v>
      </c>
      <c r="I394" t="s">
        <v>2088</v>
      </c>
      <c r="J394">
        <v>120</v>
      </c>
      <c r="K394" t="s">
        <v>2092</v>
      </c>
      <c r="L394">
        <v>4536</v>
      </c>
      <c r="M394">
        <v>37.799999999999997</v>
      </c>
      <c r="N394" t="s">
        <v>2486</v>
      </c>
      <c r="O394" t="s">
        <v>463</v>
      </c>
    </row>
    <row r="395" spans="1:15" x14ac:dyDescent="0.3">
      <c r="A395">
        <v>244434</v>
      </c>
      <c r="B395">
        <v>173</v>
      </c>
      <c r="C395" t="s">
        <v>734</v>
      </c>
      <c r="D395" t="s">
        <v>1763</v>
      </c>
      <c r="E395" t="s">
        <v>1864</v>
      </c>
      <c r="F395" s="465">
        <v>46205</v>
      </c>
      <c r="G395">
        <v>19505</v>
      </c>
      <c r="H395" t="s">
        <v>2496</v>
      </c>
      <c r="I395" t="s">
        <v>2100</v>
      </c>
      <c r="J395">
        <v>3</v>
      </c>
      <c r="K395" t="s">
        <v>2101</v>
      </c>
      <c r="L395">
        <v>39</v>
      </c>
      <c r="M395">
        <v>13</v>
      </c>
      <c r="N395" t="s">
        <v>2497</v>
      </c>
      <c r="O395" t="s">
        <v>463</v>
      </c>
    </row>
    <row r="396" spans="1:15" x14ac:dyDescent="0.3">
      <c r="A396">
        <v>244434</v>
      </c>
      <c r="B396">
        <v>173</v>
      </c>
      <c r="C396" t="s">
        <v>734</v>
      </c>
      <c r="D396" t="s">
        <v>1763</v>
      </c>
      <c r="E396" t="s">
        <v>1864</v>
      </c>
      <c r="F396" s="465">
        <v>46205</v>
      </c>
      <c r="G396">
        <v>23113</v>
      </c>
      <c r="H396" t="s">
        <v>2192</v>
      </c>
      <c r="I396" t="s">
        <v>2100</v>
      </c>
      <c r="J396">
        <v>3</v>
      </c>
      <c r="K396" t="s">
        <v>2101</v>
      </c>
      <c r="L396">
        <v>22.5</v>
      </c>
      <c r="M396">
        <v>7.5</v>
      </c>
      <c r="N396" t="s">
        <v>2497</v>
      </c>
      <c r="O396" t="s">
        <v>463</v>
      </c>
    </row>
    <row r="397" spans="1:15" x14ac:dyDescent="0.3">
      <c r="A397">
        <v>244434</v>
      </c>
      <c r="B397">
        <v>173</v>
      </c>
      <c r="C397" t="s">
        <v>734</v>
      </c>
      <c r="D397" t="s">
        <v>1763</v>
      </c>
      <c r="E397" t="s">
        <v>1864</v>
      </c>
      <c r="F397" s="465">
        <v>46205</v>
      </c>
      <c r="G397">
        <v>19654</v>
      </c>
      <c r="H397" t="s">
        <v>2498</v>
      </c>
      <c r="I397" t="s">
        <v>2100</v>
      </c>
      <c r="J397">
        <v>5</v>
      </c>
      <c r="K397" t="s">
        <v>2101</v>
      </c>
      <c r="L397">
        <v>34</v>
      </c>
      <c r="M397">
        <v>6.8</v>
      </c>
      <c r="N397" t="s">
        <v>2497</v>
      </c>
      <c r="O397" t="s">
        <v>463</v>
      </c>
    </row>
    <row r="398" spans="1:15" x14ac:dyDescent="0.3">
      <c r="A398">
        <v>244434</v>
      </c>
      <c r="B398">
        <v>173</v>
      </c>
      <c r="C398" t="s">
        <v>734</v>
      </c>
      <c r="D398" t="s">
        <v>1763</v>
      </c>
      <c r="E398" t="s">
        <v>1864</v>
      </c>
      <c r="F398" s="465">
        <v>46205</v>
      </c>
      <c r="G398">
        <v>19623</v>
      </c>
      <c r="H398" t="s">
        <v>2214</v>
      </c>
      <c r="I398" t="s">
        <v>2100</v>
      </c>
      <c r="J398">
        <v>5</v>
      </c>
      <c r="K398" t="s">
        <v>2101</v>
      </c>
      <c r="L398">
        <v>34.5</v>
      </c>
      <c r="M398">
        <v>6.9</v>
      </c>
      <c r="N398" t="s">
        <v>2497</v>
      </c>
      <c r="O398" t="s">
        <v>463</v>
      </c>
    </row>
    <row r="399" spans="1:15" x14ac:dyDescent="0.3">
      <c r="A399">
        <v>244434</v>
      </c>
      <c r="B399">
        <v>173</v>
      </c>
      <c r="C399" t="s">
        <v>734</v>
      </c>
      <c r="D399" t="s">
        <v>1763</v>
      </c>
      <c r="E399" t="s">
        <v>1864</v>
      </c>
      <c r="F399" s="465">
        <v>46205</v>
      </c>
      <c r="G399">
        <v>19539</v>
      </c>
      <c r="H399" t="s">
        <v>2499</v>
      </c>
      <c r="I399" t="s">
        <v>2100</v>
      </c>
      <c r="J399">
        <v>150</v>
      </c>
      <c r="K399" t="s">
        <v>2101</v>
      </c>
      <c r="L399">
        <v>1425</v>
      </c>
      <c r="M399">
        <v>9.5</v>
      </c>
      <c r="N399" t="s">
        <v>2497</v>
      </c>
      <c r="O399" t="s">
        <v>463</v>
      </c>
    </row>
    <row r="400" spans="1:15" x14ac:dyDescent="0.3">
      <c r="A400">
        <v>244434</v>
      </c>
      <c r="B400">
        <v>173</v>
      </c>
      <c r="C400" t="s">
        <v>734</v>
      </c>
      <c r="D400" t="s">
        <v>1763</v>
      </c>
      <c r="E400" t="s">
        <v>1864</v>
      </c>
      <c r="F400" s="465">
        <v>46205</v>
      </c>
      <c r="G400">
        <v>19532</v>
      </c>
      <c r="H400" t="s">
        <v>2500</v>
      </c>
      <c r="I400" t="s">
        <v>2100</v>
      </c>
      <c r="J400">
        <v>5</v>
      </c>
      <c r="K400" t="s">
        <v>2101</v>
      </c>
      <c r="L400">
        <v>49.95</v>
      </c>
      <c r="M400">
        <v>9.99</v>
      </c>
      <c r="N400" t="s">
        <v>2497</v>
      </c>
      <c r="O400" t="s">
        <v>463</v>
      </c>
    </row>
    <row r="401" spans="1:15" x14ac:dyDescent="0.3">
      <c r="A401">
        <v>244434</v>
      </c>
      <c r="B401">
        <v>173</v>
      </c>
      <c r="C401" t="s">
        <v>734</v>
      </c>
      <c r="D401" t="s">
        <v>1763</v>
      </c>
      <c r="E401" t="s">
        <v>1864</v>
      </c>
      <c r="F401" s="465">
        <v>46205</v>
      </c>
      <c r="G401">
        <v>19621</v>
      </c>
      <c r="H401" t="s">
        <v>2215</v>
      </c>
      <c r="I401" t="s">
        <v>2100</v>
      </c>
      <c r="J401">
        <v>20</v>
      </c>
      <c r="K401" t="s">
        <v>2101</v>
      </c>
      <c r="L401">
        <v>136</v>
      </c>
      <c r="M401">
        <v>6.8</v>
      </c>
      <c r="N401" t="s">
        <v>2497</v>
      </c>
      <c r="O401" t="s">
        <v>463</v>
      </c>
    </row>
    <row r="402" spans="1:15" x14ac:dyDescent="0.3">
      <c r="A402">
        <v>244434</v>
      </c>
      <c r="B402">
        <v>173</v>
      </c>
      <c r="C402" t="s">
        <v>734</v>
      </c>
      <c r="D402" t="s">
        <v>1763</v>
      </c>
      <c r="E402" t="s">
        <v>1864</v>
      </c>
      <c r="F402" s="465">
        <v>46205</v>
      </c>
      <c r="G402">
        <v>24509</v>
      </c>
      <c r="H402" t="s">
        <v>2212</v>
      </c>
      <c r="I402" t="s">
        <v>2100</v>
      </c>
      <c r="J402">
        <v>15</v>
      </c>
      <c r="K402" t="s">
        <v>2101</v>
      </c>
      <c r="L402">
        <v>88.5</v>
      </c>
      <c r="M402">
        <v>5.9</v>
      </c>
      <c r="N402" t="s">
        <v>2497</v>
      </c>
      <c r="O402" t="s">
        <v>463</v>
      </c>
    </row>
    <row r="403" spans="1:15" x14ac:dyDescent="0.3">
      <c r="A403">
        <v>244434</v>
      </c>
      <c r="B403">
        <v>173</v>
      </c>
      <c r="C403" t="s">
        <v>734</v>
      </c>
      <c r="D403" t="s">
        <v>1763</v>
      </c>
      <c r="E403" t="s">
        <v>1864</v>
      </c>
      <c r="F403" s="465">
        <v>46205</v>
      </c>
      <c r="G403">
        <v>23108</v>
      </c>
      <c r="H403" t="s">
        <v>2297</v>
      </c>
      <c r="I403" t="s">
        <v>2100</v>
      </c>
      <c r="J403">
        <v>1</v>
      </c>
      <c r="K403" t="s">
        <v>2101</v>
      </c>
      <c r="L403">
        <v>100</v>
      </c>
      <c r="M403">
        <v>100</v>
      </c>
      <c r="N403" t="s">
        <v>2497</v>
      </c>
      <c r="O403" t="s">
        <v>463</v>
      </c>
    </row>
    <row r="404" spans="1:15" x14ac:dyDescent="0.3">
      <c r="A404">
        <v>244434</v>
      </c>
      <c r="B404">
        <v>173</v>
      </c>
      <c r="C404" t="s">
        <v>734</v>
      </c>
      <c r="D404" t="s">
        <v>1763</v>
      </c>
      <c r="E404" t="s">
        <v>1864</v>
      </c>
      <c r="F404" s="465">
        <v>46205</v>
      </c>
      <c r="G404">
        <v>24083</v>
      </c>
      <c r="H404" t="s">
        <v>2501</v>
      </c>
      <c r="I404" t="s">
        <v>2100</v>
      </c>
      <c r="J404">
        <v>25</v>
      </c>
      <c r="K404" t="s">
        <v>2101</v>
      </c>
      <c r="L404">
        <v>207.5</v>
      </c>
      <c r="M404">
        <v>8.3000000000000007</v>
      </c>
      <c r="N404" t="s">
        <v>2497</v>
      </c>
      <c r="O404" t="s">
        <v>463</v>
      </c>
    </row>
    <row r="405" spans="1:15" x14ac:dyDescent="0.3">
      <c r="A405">
        <v>244434</v>
      </c>
      <c r="B405">
        <v>173</v>
      </c>
      <c r="C405" t="s">
        <v>734</v>
      </c>
      <c r="D405" t="s">
        <v>1763</v>
      </c>
      <c r="E405" t="s">
        <v>1864</v>
      </c>
      <c r="F405" s="465">
        <v>46205</v>
      </c>
      <c r="G405">
        <v>19478</v>
      </c>
      <c r="H405" t="s">
        <v>2502</v>
      </c>
      <c r="I405" t="s">
        <v>2100</v>
      </c>
      <c r="J405">
        <v>4</v>
      </c>
      <c r="K405" t="s">
        <v>2101</v>
      </c>
      <c r="L405">
        <v>240</v>
      </c>
      <c r="M405">
        <v>60</v>
      </c>
      <c r="N405" t="s">
        <v>2497</v>
      </c>
      <c r="O405" t="s">
        <v>463</v>
      </c>
    </row>
    <row r="406" spans="1:15" x14ac:dyDescent="0.3">
      <c r="A406">
        <v>244434</v>
      </c>
      <c r="B406">
        <v>173</v>
      </c>
      <c r="C406" t="s">
        <v>734</v>
      </c>
      <c r="D406" t="s">
        <v>1763</v>
      </c>
      <c r="E406" t="s">
        <v>1864</v>
      </c>
      <c r="F406" s="465">
        <v>46205</v>
      </c>
      <c r="G406">
        <v>24037</v>
      </c>
      <c r="H406" t="s">
        <v>2216</v>
      </c>
      <c r="I406" t="s">
        <v>2100</v>
      </c>
      <c r="J406">
        <v>15</v>
      </c>
      <c r="K406" t="s">
        <v>2101</v>
      </c>
      <c r="L406">
        <v>262.5</v>
      </c>
      <c r="M406">
        <v>17.5</v>
      </c>
      <c r="N406" t="s">
        <v>2497</v>
      </c>
      <c r="O406" t="s">
        <v>463</v>
      </c>
    </row>
    <row r="407" spans="1:15" x14ac:dyDescent="0.3">
      <c r="A407">
        <v>244434</v>
      </c>
      <c r="B407">
        <v>173</v>
      </c>
      <c r="C407" t="s">
        <v>734</v>
      </c>
      <c r="D407" t="s">
        <v>1763</v>
      </c>
      <c r="E407" t="s">
        <v>1864</v>
      </c>
      <c r="F407" s="465">
        <v>46205</v>
      </c>
      <c r="G407">
        <v>19647</v>
      </c>
      <c r="H407" t="s">
        <v>2196</v>
      </c>
      <c r="I407" t="s">
        <v>2100</v>
      </c>
      <c r="J407">
        <v>10</v>
      </c>
      <c r="K407" t="s">
        <v>2101</v>
      </c>
      <c r="L407">
        <v>120</v>
      </c>
      <c r="M407">
        <v>12</v>
      </c>
      <c r="N407" t="s">
        <v>2497</v>
      </c>
      <c r="O407" t="s">
        <v>463</v>
      </c>
    </row>
    <row r="408" spans="1:15" x14ac:dyDescent="0.3">
      <c r="A408">
        <v>244434</v>
      </c>
      <c r="B408">
        <v>173</v>
      </c>
      <c r="C408" t="s">
        <v>734</v>
      </c>
      <c r="D408" t="s">
        <v>1763</v>
      </c>
      <c r="E408" t="s">
        <v>1864</v>
      </c>
      <c r="F408" s="465">
        <v>46205</v>
      </c>
      <c r="G408">
        <v>19465</v>
      </c>
      <c r="H408" t="s">
        <v>2503</v>
      </c>
      <c r="I408" t="s">
        <v>2100</v>
      </c>
      <c r="J408">
        <v>20</v>
      </c>
      <c r="K408" t="s">
        <v>2101</v>
      </c>
      <c r="L408">
        <v>156</v>
      </c>
      <c r="M408">
        <v>7.8</v>
      </c>
      <c r="N408" t="s">
        <v>2497</v>
      </c>
      <c r="O408" t="s">
        <v>463</v>
      </c>
    </row>
    <row r="409" spans="1:15" x14ac:dyDescent="0.3">
      <c r="A409">
        <v>244434</v>
      </c>
      <c r="B409">
        <v>173</v>
      </c>
      <c r="C409" t="s">
        <v>734</v>
      </c>
      <c r="D409" t="s">
        <v>1763</v>
      </c>
      <c r="E409" t="s">
        <v>1864</v>
      </c>
      <c r="F409" s="465">
        <v>46205</v>
      </c>
      <c r="G409">
        <v>23359</v>
      </c>
      <c r="H409" t="s">
        <v>2175</v>
      </c>
      <c r="I409" t="s">
        <v>2100</v>
      </c>
      <c r="J409">
        <v>5</v>
      </c>
      <c r="K409" t="s">
        <v>2101</v>
      </c>
      <c r="L409">
        <v>16.5</v>
      </c>
      <c r="M409">
        <v>3.3</v>
      </c>
      <c r="N409" t="s">
        <v>2497</v>
      </c>
      <c r="O409" t="s">
        <v>463</v>
      </c>
    </row>
    <row r="410" spans="1:15" x14ac:dyDescent="0.3">
      <c r="A410">
        <v>244434</v>
      </c>
      <c r="B410">
        <v>173</v>
      </c>
      <c r="C410" t="s">
        <v>734</v>
      </c>
      <c r="D410" t="s">
        <v>1763</v>
      </c>
      <c r="E410" t="s">
        <v>1864</v>
      </c>
      <c r="F410" s="465">
        <v>46205</v>
      </c>
      <c r="G410">
        <v>23095</v>
      </c>
      <c r="H410" t="s">
        <v>2504</v>
      </c>
      <c r="I410" t="s">
        <v>2100</v>
      </c>
      <c r="J410">
        <v>100</v>
      </c>
      <c r="K410" t="s">
        <v>2111</v>
      </c>
      <c r="L410">
        <v>94</v>
      </c>
      <c r="M410">
        <v>0.94</v>
      </c>
      <c r="N410" t="s">
        <v>2497</v>
      </c>
      <c r="O410" t="s">
        <v>463</v>
      </c>
    </row>
    <row r="411" spans="1:15" x14ac:dyDescent="0.3">
      <c r="A411">
        <v>244432</v>
      </c>
      <c r="B411">
        <v>173</v>
      </c>
      <c r="C411" t="s">
        <v>734</v>
      </c>
      <c r="D411" t="s">
        <v>1719</v>
      </c>
      <c r="E411" t="s">
        <v>1865</v>
      </c>
      <c r="F411" s="465">
        <v>46204</v>
      </c>
      <c r="G411">
        <v>18531</v>
      </c>
      <c r="H411" t="s">
        <v>2505</v>
      </c>
      <c r="I411" t="s">
        <v>2088</v>
      </c>
      <c r="J411">
        <v>3</v>
      </c>
      <c r="K411" t="s">
        <v>2092</v>
      </c>
      <c r="L411">
        <v>390</v>
      </c>
      <c r="M411">
        <v>130</v>
      </c>
      <c r="N411" t="s">
        <v>2506</v>
      </c>
      <c r="O411" t="s">
        <v>463</v>
      </c>
    </row>
    <row r="412" spans="1:15" x14ac:dyDescent="0.3">
      <c r="A412">
        <v>244429</v>
      </c>
      <c r="B412">
        <v>173</v>
      </c>
      <c r="C412" t="s">
        <v>734</v>
      </c>
      <c r="D412" t="s">
        <v>1866</v>
      </c>
      <c r="E412" t="s">
        <v>1867</v>
      </c>
      <c r="F412" s="465">
        <v>46205</v>
      </c>
      <c r="G412">
        <v>23980</v>
      </c>
      <c r="H412" t="s">
        <v>2507</v>
      </c>
      <c r="I412" t="s">
        <v>2100</v>
      </c>
      <c r="J412">
        <v>40.4</v>
      </c>
      <c r="K412" t="s">
        <v>2101</v>
      </c>
      <c r="L412">
        <v>1575.6</v>
      </c>
      <c r="M412">
        <v>39</v>
      </c>
      <c r="N412" t="s">
        <v>2508</v>
      </c>
      <c r="O412" t="s">
        <v>463</v>
      </c>
    </row>
    <row r="413" spans="1:15" x14ac:dyDescent="0.3">
      <c r="A413">
        <v>244427</v>
      </c>
      <c r="B413">
        <v>173</v>
      </c>
      <c r="C413" t="s">
        <v>734</v>
      </c>
      <c r="D413" t="s">
        <v>1778</v>
      </c>
      <c r="E413" t="s">
        <v>1868</v>
      </c>
      <c r="F413" s="465">
        <v>46207</v>
      </c>
      <c r="G413">
        <v>20809</v>
      </c>
      <c r="H413" t="s">
        <v>2509</v>
      </c>
      <c r="I413" t="s">
        <v>2100</v>
      </c>
      <c r="J413">
        <v>20</v>
      </c>
      <c r="K413" t="s">
        <v>2111</v>
      </c>
      <c r="L413">
        <v>598</v>
      </c>
      <c r="M413">
        <v>29.9</v>
      </c>
      <c r="N413" t="s">
        <v>2510</v>
      </c>
      <c r="O413" t="s">
        <v>463</v>
      </c>
    </row>
    <row r="414" spans="1:15" x14ac:dyDescent="0.3">
      <c r="A414">
        <v>244425</v>
      </c>
      <c r="B414">
        <v>173</v>
      </c>
      <c r="C414" t="s">
        <v>734</v>
      </c>
      <c r="D414" t="s">
        <v>1782</v>
      </c>
      <c r="E414" t="s">
        <v>1869</v>
      </c>
      <c r="F414" s="465">
        <v>46204</v>
      </c>
      <c r="G414">
        <v>24322</v>
      </c>
      <c r="H414" t="s">
        <v>2511</v>
      </c>
      <c r="I414" t="s">
        <v>2100</v>
      </c>
      <c r="J414">
        <v>10</v>
      </c>
      <c r="K414" t="s">
        <v>2370</v>
      </c>
      <c r="L414">
        <v>199</v>
      </c>
      <c r="M414">
        <v>19.899999999999999</v>
      </c>
      <c r="N414" t="s">
        <v>2512</v>
      </c>
      <c r="O414" t="s">
        <v>463</v>
      </c>
    </row>
    <row r="415" spans="1:15" x14ac:dyDescent="0.3">
      <c r="A415">
        <v>244425</v>
      </c>
      <c r="B415">
        <v>173</v>
      </c>
      <c r="C415" t="s">
        <v>734</v>
      </c>
      <c r="D415" t="s">
        <v>1782</v>
      </c>
      <c r="E415" t="s">
        <v>1869</v>
      </c>
      <c r="F415" s="465">
        <v>46204</v>
      </c>
      <c r="G415">
        <v>23270</v>
      </c>
      <c r="H415" t="s">
        <v>2513</v>
      </c>
      <c r="I415" t="s">
        <v>2100</v>
      </c>
      <c r="J415">
        <v>6</v>
      </c>
      <c r="K415" t="s">
        <v>2101</v>
      </c>
      <c r="L415">
        <v>113.4</v>
      </c>
      <c r="M415">
        <v>18.899999999999999</v>
      </c>
      <c r="N415" t="s">
        <v>2512</v>
      </c>
      <c r="O415" t="s">
        <v>463</v>
      </c>
    </row>
    <row r="416" spans="1:15" x14ac:dyDescent="0.3">
      <c r="A416">
        <v>244425</v>
      </c>
      <c r="B416">
        <v>173</v>
      </c>
      <c r="C416" t="s">
        <v>734</v>
      </c>
      <c r="D416" t="s">
        <v>1782</v>
      </c>
      <c r="E416" t="s">
        <v>1869</v>
      </c>
      <c r="F416" s="465">
        <v>46204</v>
      </c>
      <c r="G416">
        <v>23642</v>
      </c>
      <c r="H416" t="s">
        <v>2514</v>
      </c>
      <c r="I416" t="s">
        <v>2100</v>
      </c>
      <c r="J416">
        <v>2</v>
      </c>
      <c r="K416" t="s">
        <v>2101</v>
      </c>
      <c r="L416">
        <v>99.8</v>
      </c>
      <c r="M416">
        <v>49.9</v>
      </c>
      <c r="N416" t="s">
        <v>2512</v>
      </c>
      <c r="O416" t="s">
        <v>463</v>
      </c>
    </row>
    <row r="417" spans="1:15" x14ac:dyDescent="0.3">
      <c r="A417">
        <v>244425</v>
      </c>
      <c r="B417">
        <v>173</v>
      </c>
      <c r="C417" t="s">
        <v>734</v>
      </c>
      <c r="D417" t="s">
        <v>1782</v>
      </c>
      <c r="E417" t="s">
        <v>1869</v>
      </c>
      <c r="F417" s="465">
        <v>46204</v>
      </c>
      <c r="G417">
        <v>17878</v>
      </c>
      <c r="H417" t="s">
        <v>2515</v>
      </c>
      <c r="I417" t="s">
        <v>2088</v>
      </c>
      <c r="J417">
        <v>24</v>
      </c>
      <c r="K417" t="s">
        <v>2309</v>
      </c>
      <c r="L417">
        <v>669.6</v>
      </c>
      <c r="M417">
        <v>27.9</v>
      </c>
      <c r="N417" t="s">
        <v>2512</v>
      </c>
      <c r="O417" t="s">
        <v>463</v>
      </c>
    </row>
    <row r="418" spans="1:15" x14ac:dyDescent="0.3">
      <c r="A418">
        <v>244425</v>
      </c>
      <c r="B418">
        <v>173</v>
      </c>
      <c r="C418" t="s">
        <v>734</v>
      </c>
      <c r="D418" t="s">
        <v>1782</v>
      </c>
      <c r="E418" t="s">
        <v>1869</v>
      </c>
      <c r="F418" s="465">
        <v>46204</v>
      </c>
      <c r="G418">
        <v>20899</v>
      </c>
      <c r="H418" t="s">
        <v>2516</v>
      </c>
      <c r="I418" t="s">
        <v>2100</v>
      </c>
      <c r="J418">
        <v>50</v>
      </c>
      <c r="K418" t="s">
        <v>2111</v>
      </c>
      <c r="L418">
        <v>699.5</v>
      </c>
      <c r="M418">
        <v>13.99</v>
      </c>
      <c r="N418" t="s">
        <v>2512</v>
      </c>
      <c r="O418" t="s">
        <v>463</v>
      </c>
    </row>
    <row r="419" spans="1:15" x14ac:dyDescent="0.3">
      <c r="A419">
        <v>244425</v>
      </c>
      <c r="B419">
        <v>173</v>
      </c>
      <c r="C419" t="s">
        <v>734</v>
      </c>
      <c r="D419" t="s">
        <v>1782</v>
      </c>
      <c r="E419" t="s">
        <v>1869</v>
      </c>
      <c r="F419" s="465">
        <v>46204</v>
      </c>
      <c r="G419">
        <v>20371</v>
      </c>
      <c r="H419" t="s">
        <v>2517</v>
      </c>
      <c r="I419" t="s">
        <v>2100</v>
      </c>
      <c r="J419">
        <v>20</v>
      </c>
      <c r="K419" t="s">
        <v>2089</v>
      </c>
      <c r="L419">
        <v>416.8</v>
      </c>
      <c r="M419">
        <v>20.84</v>
      </c>
      <c r="N419" t="s">
        <v>2512</v>
      </c>
      <c r="O419" t="s">
        <v>463</v>
      </c>
    </row>
    <row r="420" spans="1:15" x14ac:dyDescent="0.3">
      <c r="A420">
        <v>244425</v>
      </c>
      <c r="B420">
        <v>173</v>
      </c>
      <c r="C420" t="s">
        <v>734</v>
      </c>
      <c r="D420" t="s">
        <v>1782</v>
      </c>
      <c r="E420" t="s">
        <v>1869</v>
      </c>
      <c r="F420" s="465">
        <v>46204</v>
      </c>
      <c r="G420">
        <v>19961</v>
      </c>
      <c r="H420" t="s">
        <v>2293</v>
      </c>
      <c r="I420" t="s">
        <v>2100</v>
      </c>
      <c r="J420">
        <v>50</v>
      </c>
      <c r="K420" t="s">
        <v>2227</v>
      </c>
      <c r="L420">
        <v>495</v>
      </c>
      <c r="M420">
        <v>9.9</v>
      </c>
      <c r="N420" t="s">
        <v>2512</v>
      </c>
      <c r="O420" t="s">
        <v>463</v>
      </c>
    </row>
    <row r="421" spans="1:15" x14ac:dyDescent="0.3">
      <c r="A421">
        <v>244423</v>
      </c>
      <c r="B421">
        <v>173</v>
      </c>
      <c r="C421" t="s">
        <v>734</v>
      </c>
      <c r="D421" t="s">
        <v>1870</v>
      </c>
      <c r="E421" t="s">
        <v>1871</v>
      </c>
      <c r="F421" s="465">
        <v>46204</v>
      </c>
      <c r="G421">
        <v>20234</v>
      </c>
      <c r="H421" t="s">
        <v>2201</v>
      </c>
      <c r="I421" t="s">
        <v>2100</v>
      </c>
      <c r="J421">
        <v>30</v>
      </c>
      <c r="K421" t="s">
        <v>2101</v>
      </c>
      <c r="L421">
        <v>479.7</v>
      </c>
      <c r="M421">
        <v>15.99</v>
      </c>
      <c r="N421" t="s">
        <v>2518</v>
      </c>
      <c r="O421" t="s">
        <v>463</v>
      </c>
    </row>
    <row r="422" spans="1:15" x14ac:dyDescent="0.3">
      <c r="A422">
        <v>244423</v>
      </c>
      <c r="B422">
        <v>173</v>
      </c>
      <c r="C422" t="s">
        <v>734</v>
      </c>
      <c r="D422" t="s">
        <v>1870</v>
      </c>
      <c r="E422" t="s">
        <v>1871</v>
      </c>
      <c r="F422" s="465">
        <v>46204</v>
      </c>
      <c r="G422">
        <v>23732</v>
      </c>
      <c r="H422" t="s">
        <v>2519</v>
      </c>
      <c r="I422" t="s">
        <v>2100</v>
      </c>
      <c r="J422">
        <v>17</v>
      </c>
      <c r="K422" t="s">
        <v>2101</v>
      </c>
      <c r="L422">
        <v>387.92</v>
      </c>
      <c r="M422">
        <v>22.818823999999999</v>
      </c>
      <c r="N422" t="s">
        <v>2518</v>
      </c>
      <c r="O422" t="s">
        <v>463</v>
      </c>
    </row>
    <row r="423" spans="1:15" x14ac:dyDescent="0.3">
      <c r="A423">
        <v>244423</v>
      </c>
      <c r="B423">
        <v>173</v>
      </c>
      <c r="C423" t="s">
        <v>734</v>
      </c>
      <c r="D423" t="s">
        <v>1870</v>
      </c>
      <c r="E423" t="s">
        <v>1871</v>
      </c>
      <c r="F423" s="465">
        <v>46204</v>
      </c>
      <c r="G423">
        <v>20007</v>
      </c>
      <c r="H423" t="s">
        <v>2520</v>
      </c>
      <c r="I423" t="s">
        <v>2100</v>
      </c>
      <c r="J423">
        <v>10</v>
      </c>
      <c r="K423" t="s">
        <v>2237</v>
      </c>
      <c r="L423">
        <v>496</v>
      </c>
      <c r="M423">
        <v>49.6</v>
      </c>
      <c r="N423" t="s">
        <v>2518</v>
      </c>
      <c r="O423" t="s">
        <v>463</v>
      </c>
    </row>
    <row r="424" spans="1:15" x14ac:dyDescent="0.3">
      <c r="A424">
        <v>244423</v>
      </c>
      <c r="B424">
        <v>173</v>
      </c>
      <c r="C424" t="s">
        <v>734</v>
      </c>
      <c r="D424" t="s">
        <v>1870</v>
      </c>
      <c r="E424" t="s">
        <v>1871</v>
      </c>
      <c r="F424" s="465">
        <v>46204</v>
      </c>
      <c r="G424">
        <v>20660</v>
      </c>
      <c r="H424" t="s">
        <v>2221</v>
      </c>
      <c r="I424" t="s">
        <v>2100</v>
      </c>
      <c r="J424">
        <v>10</v>
      </c>
      <c r="K424" t="s">
        <v>2111</v>
      </c>
      <c r="L424">
        <v>699</v>
      </c>
      <c r="M424">
        <v>69.900000000000006</v>
      </c>
      <c r="N424" t="s">
        <v>2518</v>
      </c>
      <c r="O424" t="s">
        <v>463</v>
      </c>
    </row>
    <row r="425" spans="1:15" x14ac:dyDescent="0.3">
      <c r="A425">
        <v>244423</v>
      </c>
      <c r="B425">
        <v>173</v>
      </c>
      <c r="C425" t="s">
        <v>734</v>
      </c>
      <c r="D425" t="s">
        <v>1870</v>
      </c>
      <c r="E425" t="s">
        <v>1871</v>
      </c>
      <c r="F425" s="465">
        <v>46204</v>
      </c>
      <c r="G425">
        <v>18738</v>
      </c>
      <c r="H425" t="s">
        <v>2521</v>
      </c>
      <c r="I425" t="s">
        <v>2100</v>
      </c>
      <c r="J425">
        <v>10</v>
      </c>
      <c r="K425" t="s">
        <v>2108</v>
      </c>
      <c r="L425">
        <v>315.60000000000002</v>
      </c>
      <c r="M425">
        <v>31.56</v>
      </c>
      <c r="N425" t="s">
        <v>2518</v>
      </c>
      <c r="O425" t="s">
        <v>463</v>
      </c>
    </row>
    <row r="426" spans="1:15" x14ac:dyDescent="0.3">
      <c r="A426">
        <v>244423</v>
      </c>
      <c r="B426">
        <v>173</v>
      </c>
      <c r="C426" t="s">
        <v>734</v>
      </c>
      <c r="D426" t="s">
        <v>1870</v>
      </c>
      <c r="E426" t="s">
        <v>1871</v>
      </c>
      <c r="F426" s="465">
        <v>46204</v>
      </c>
      <c r="G426">
        <v>19973</v>
      </c>
      <c r="H426" t="s">
        <v>2522</v>
      </c>
      <c r="I426" t="s">
        <v>2100</v>
      </c>
      <c r="J426">
        <v>25</v>
      </c>
      <c r="K426" t="s">
        <v>2111</v>
      </c>
      <c r="L426">
        <v>371</v>
      </c>
      <c r="M426">
        <v>14.84</v>
      </c>
      <c r="N426" t="s">
        <v>2518</v>
      </c>
      <c r="O426" t="s">
        <v>463</v>
      </c>
    </row>
    <row r="427" spans="1:15" x14ac:dyDescent="0.3">
      <c r="A427">
        <v>244423</v>
      </c>
      <c r="B427">
        <v>173</v>
      </c>
      <c r="C427" t="s">
        <v>734</v>
      </c>
      <c r="D427" t="s">
        <v>1870</v>
      </c>
      <c r="E427" t="s">
        <v>1871</v>
      </c>
      <c r="F427" s="465">
        <v>46204</v>
      </c>
      <c r="G427">
        <v>26193</v>
      </c>
      <c r="H427" t="s">
        <v>2294</v>
      </c>
      <c r="I427" t="s">
        <v>2100</v>
      </c>
      <c r="J427">
        <v>40</v>
      </c>
      <c r="K427" t="s">
        <v>2111</v>
      </c>
      <c r="L427">
        <v>367.2</v>
      </c>
      <c r="M427">
        <v>9.18</v>
      </c>
      <c r="N427" t="s">
        <v>2518</v>
      </c>
      <c r="O427" t="s">
        <v>463</v>
      </c>
    </row>
    <row r="428" spans="1:15" x14ac:dyDescent="0.3">
      <c r="A428">
        <v>244420</v>
      </c>
      <c r="B428">
        <v>173</v>
      </c>
      <c r="C428" t="s">
        <v>734</v>
      </c>
      <c r="D428" t="s">
        <v>1726</v>
      </c>
      <c r="E428" t="s">
        <v>1872</v>
      </c>
      <c r="F428" s="465">
        <v>46204</v>
      </c>
      <c r="G428">
        <v>25197</v>
      </c>
      <c r="H428" t="s">
        <v>2523</v>
      </c>
      <c r="I428" t="s">
        <v>2100</v>
      </c>
      <c r="J428">
        <v>20</v>
      </c>
      <c r="K428" t="s">
        <v>2111</v>
      </c>
      <c r="L428">
        <v>500</v>
      </c>
      <c r="M428">
        <v>25</v>
      </c>
      <c r="N428" t="s">
        <v>2524</v>
      </c>
      <c r="O428" t="s">
        <v>463</v>
      </c>
    </row>
    <row r="429" spans="1:15" x14ac:dyDescent="0.3">
      <c r="A429">
        <v>244420</v>
      </c>
      <c r="B429">
        <v>173</v>
      </c>
      <c r="C429" t="s">
        <v>734</v>
      </c>
      <c r="D429" t="s">
        <v>1726</v>
      </c>
      <c r="E429" t="s">
        <v>1872</v>
      </c>
      <c r="F429" s="465">
        <v>46204</v>
      </c>
      <c r="G429">
        <v>23934</v>
      </c>
      <c r="H429" t="s">
        <v>2525</v>
      </c>
      <c r="I429" t="s">
        <v>2100</v>
      </c>
      <c r="J429">
        <v>40</v>
      </c>
      <c r="K429" t="s">
        <v>2111</v>
      </c>
      <c r="L429">
        <v>436</v>
      </c>
      <c r="M429">
        <v>10.9</v>
      </c>
      <c r="N429" t="s">
        <v>2524</v>
      </c>
      <c r="O429" t="s">
        <v>463</v>
      </c>
    </row>
    <row r="430" spans="1:15" x14ac:dyDescent="0.3">
      <c r="A430">
        <v>244420</v>
      </c>
      <c r="B430">
        <v>173</v>
      </c>
      <c r="C430" t="s">
        <v>734</v>
      </c>
      <c r="D430" t="s">
        <v>1726</v>
      </c>
      <c r="E430" t="s">
        <v>1872</v>
      </c>
      <c r="F430" s="465">
        <v>46204</v>
      </c>
      <c r="G430">
        <v>20382</v>
      </c>
      <c r="H430" t="s">
        <v>2526</v>
      </c>
      <c r="I430" t="s">
        <v>2100</v>
      </c>
      <c r="J430">
        <v>40</v>
      </c>
      <c r="K430" t="s">
        <v>2370</v>
      </c>
      <c r="L430">
        <v>359.6</v>
      </c>
      <c r="M430">
        <v>8.99</v>
      </c>
      <c r="N430" t="s">
        <v>2524</v>
      </c>
      <c r="O430" t="s">
        <v>463</v>
      </c>
    </row>
    <row r="431" spans="1:15" x14ac:dyDescent="0.3">
      <c r="A431">
        <v>244420</v>
      </c>
      <c r="B431">
        <v>173</v>
      </c>
      <c r="C431" t="s">
        <v>734</v>
      </c>
      <c r="D431" t="s">
        <v>1726</v>
      </c>
      <c r="E431" t="s">
        <v>1872</v>
      </c>
      <c r="F431" s="465">
        <v>46204</v>
      </c>
      <c r="G431">
        <v>20755</v>
      </c>
      <c r="H431" t="s">
        <v>2527</v>
      </c>
      <c r="I431" t="s">
        <v>2100</v>
      </c>
      <c r="J431">
        <v>6</v>
      </c>
      <c r="K431" t="s">
        <v>2237</v>
      </c>
      <c r="L431">
        <v>720</v>
      </c>
      <c r="M431">
        <v>120</v>
      </c>
      <c r="N431" t="s">
        <v>2524</v>
      </c>
      <c r="O431" t="s">
        <v>463</v>
      </c>
    </row>
    <row r="432" spans="1:15" x14ac:dyDescent="0.3">
      <c r="A432">
        <v>244420</v>
      </c>
      <c r="B432">
        <v>173</v>
      </c>
      <c r="C432" t="s">
        <v>734</v>
      </c>
      <c r="D432" t="s">
        <v>1726</v>
      </c>
      <c r="E432" t="s">
        <v>1872</v>
      </c>
      <c r="F432" s="465">
        <v>46204</v>
      </c>
      <c r="G432">
        <v>20861</v>
      </c>
      <c r="H432" t="s">
        <v>2528</v>
      </c>
      <c r="I432" t="s">
        <v>2100</v>
      </c>
      <c r="J432">
        <v>20</v>
      </c>
      <c r="K432" t="s">
        <v>2111</v>
      </c>
      <c r="L432">
        <v>934</v>
      </c>
      <c r="M432">
        <v>46.7</v>
      </c>
      <c r="N432" t="s">
        <v>2524</v>
      </c>
      <c r="O432" t="s">
        <v>463</v>
      </c>
    </row>
    <row r="433" spans="1:15" x14ac:dyDescent="0.3">
      <c r="A433">
        <v>244420</v>
      </c>
      <c r="B433">
        <v>173</v>
      </c>
      <c r="C433" t="s">
        <v>734</v>
      </c>
      <c r="D433" t="s">
        <v>1726</v>
      </c>
      <c r="E433" t="s">
        <v>1872</v>
      </c>
      <c r="F433" s="465">
        <v>46204</v>
      </c>
      <c r="G433">
        <v>24679</v>
      </c>
      <c r="H433" t="s">
        <v>2529</v>
      </c>
      <c r="I433" t="s">
        <v>2100</v>
      </c>
      <c r="J433">
        <v>3</v>
      </c>
      <c r="K433" t="s">
        <v>2203</v>
      </c>
      <c r="L433">
        <v>116.7</v>
      </c>
      <c r="M433">
        <v>38.9</v>
      </c>
      <c r="N433" t="s">
        <v>2524</v>
      </c>
      <c r="O433" t="s">
        <v>463</v>
      </c>
    </row>
    <row r="434" spans="1:15" x14ac:dyDescent="0.3">
      <c r="A434">
        <v>244420</v>
      </c>
      <c r="B434">
        <v>173</v>
      </c>
      <c r="C434" t="s">
        <v>734</v>
      </c>
      <c r="D434" t="s">
        <v>1726</v>
      </c>
      <c r="E434" t="s">
        <v>1872</v>
      </c>
      <c r="F434" s="465">
        <v>46204</v>
      </c>
      <c r="G434">
        <v>20702</v>
      </c>
      <c r="H434" t="s">
        <v>2530</v>
      </c>
      <c r="I434" t="s">
        <v>2100</v>
      </c>
      <c r="J434">
        <v>6</v>
      </c>
      <c r="K434" t="s">
        <v>2237</v>
      </c>
      <c r="L434">
        <v>279</v>
      </c>
      <c r="M434">
        <v>46.5</v>
      </c>
      <c r="N434" t="s">
        <v>2524</v>
      </c>
      <c r="O434" t="s">
        <v>463</v>
      </c>
    </row>
    <row r="435" spans="1:15" x14ac:dyDescent="0.3">
      <c r="A435">
        <v>244387</v>
      </c>
      <c r="B435">
        <v>173</v>
      </c>
      <c r="C435" t="s">
        <v>734</v>
      </c>
      <c r="D435" t="s">
        <v>1803</v>
      </c>
      <c r="E435" t="s">
        <v>1873</v>
      </c>
      <c r="F435" s="465">
        <v>46204</v>
      </c>
      <c r="G435">
        <v>20984</v>
      </c>
      <c r="H435" t="s">
        <v>2531</v>
      </c>
      <c r="I435" t="s">
        <v>2100</v>
      </c>
      <c r="J435">
        <v>102</v>
      </c>
      <c r="K435" t="s">
        <v>2227</v>
      </c>
      <c r="L435">
        <v>831.3</v>
      </c>
      <c r="M435">
        <v>8.15</v>
      </c>
      <c r="N435" t="s">
        <v>2532</v>
      </c>
      <c r="O435" t="s">
        <v>463</v>
      </c>
    </row>
    <row r="436" spans="1:15" x14ac:dyDescent="0.3">
      <c r="A436">
        <v>244387</v>
      </c>
      <c r="B436">
        <v>173</v>
      </c>
      <c r="C436" t="s">
        <v>734</v>
      </c>
      <c r="D436" t="s">
        <v>1803</v>
      </c>
      <c r="E436" t="s">
        <v>1873</v>
      </c>
      <c r="F436" s="465">
        <v>46204</v>
      </c>
      <c r="G436">
        <v>20301</v>
      </c>
      <c r="H436" t="s">
        <v>2284</v>
      </c>
      <c r="I436" t="s">
        <v>2100</v>
      </c>
      <c r="J436">
        <v>20</v>
      </c>
      <c r="K436" t="s">
        <v>2089</v>
      </c>
      <c r="L436">
        <v>420</v>
      </c>
      <c r="M436">
        <v>21</v>
      </c>
      <c r="N436" t="s">
        <v>2532</v>
      </c>
      <c r="O436" t="s">
        <v>463</v>
      </c>
    </row>
    <row r="437" spans="1:15" x14ac:dyDescent="0.3">
      <c r="A437">
        <v>244386</v>
      </c>
      <c r="B437">
        <v>173</v>
      </c>
      <c r="C437" t="s">
        <v>734</v>
      </c>
      <c r="D437" t="s">
        <v>1874</v>
      </c>
      <c r="E437" t="s">
        <v>1875</v>
      </c>
      <c r="F437" s="465">
        <v>46204</v>
      </c>
      <c r="G437">
        <v>21716</v>
      </c>
      <c r="H437" t="s">
        <v>2533</v>
      </c>
      <c r="I437" t="s">
        <v>2177</v>
      </c>
      <c r="J437">
        <v>2</v>
      </c>
      <c r="K437" t="s">
        <v>2118</v>
      </c>
      <c r="L437">
        <v>820</v>
      </c>
      <c r="M437">
        <v>410</v>
      </c>
      <c r="N437" t="s">
        <v>2534</v>
      </c>
      <c r="O437" t="s">
        <v>463</v>
      </c>
    </row>
    <row r="438" spans="1:15" x14ac:dyDescent="0.3">
      <c r="A438">
        <v>244386</v>
      </c>
      <c r="B438">
        <v>173</v>
      </c>
      <c r="C438" t="s">
        <v>734</v>
      </c>
      <c r="D438" t="s">
        <v>1874</v>
      </c>
      <c r="E438" t="s">
        <v>1875</v>
      </c>
      <c r="F438" s="465">
        <v>46204</v>
      </c>
      <c r="G438">
        <v>17465</v>
      </c>
      <c r="H438" t="s">
        <v>2535</v>
      </c>
      <c r="I438" t="s">
        <v>2177</v>
      </c>
      <c r="J438">
        <v>2</v>
      </c>
      <c r="K438" t="s">
        <v>2118</v>
      </c>
      <c r="L438">
        <v>1385</v>
      </c>
      <c r="M438">
        <v>692.5</v>
      </c>
      <c r="N438" t="s">
        <v>2534</v>
      </c>
      <c r="O438" t="s">
        <v>463</v>
      </c>
    </row>
    <row r="439" spans="1:15" x14ac:dyDescent="0.3">
      <c r="A439">
        <v>244386</v>
      </c>
      <c r="B439">
        <v>173</v>
      </c>
      <c r="C439" t="s">
        <v>734</v>
      </c>
      <c r="D439" t="s">
        <v>1874</v>
      </c>
      <c r="E439" t="s">
        <v>1875</v>
      </c>
      <c r="F439" s="465">
        <v>46204</v>
      </c>
      <c r="G439">
        <v>24527</v>
      </c>
      <c r="H439" t="s">
        <v>2536</v>
      </c>
      <c r="I439" t="s">
        <v>2177</v>
      </c>
      <c r="J439">
        <v>2</v>
      </c>
      <c r="K439" t="s">
        <v>2118</v>
      </c>
      <c r="L439">
        <v>2035</v>
      </c>
      <c r="M439">
        <v>1017.5</v>
      </c>
      <c r="N439" t="s">
        <v>2534</v>
      </c>
      <c r="O439" t="s">
        <v>463</v>
      </c>
    </row>
    <row r="440" spans="1:15" x14ac:dyDescent="0.3">
      <c r="A440">
        <v>244380</v>
      </c>
      <c r="B440">
        <v>173</v>
      </c>
      <c r="C440" t="s">
        <v>734</v>
      </c>
      <c r="D440" t="s">
        <v>1763</v>
      </c>
      <c r="E440" t="s">
        <v>1876</v>
      </c>
      <c r="F440" s="465">
        <v>46209</v>
      </c>
      <c r="G440">
        <v>23113</v>
      </c>
      <c r="H440" t="s">
        <v>2192</v>
      </c>
      <c r="I440" t="s">
        <v>2100</v>
      </c>
      <c r="J440">
        <v>3</v>
      </c>
      <c r="K440" t="s">
        <v>2101</v>
      </c>
      <c r="L440">
        <v>24</v>
      </c>
      <c r="M440">
        <v>8</v>
      </c>
      <c r="N440" t="s">
        <v>2497</v>
      </c>
      <c r="O440" t="s">
        <v>463</v>
      </c>
    </row>
    <row r="441" spans="1:15" x14ac:dyDescent="0.3">
      <c r="A441">
        <v>244380</v>
      </c>
      <c r="B441">
        <v>173</v>
      </c>
      <c r="C441" t="s">
        <v>734</v>
      </c>
      <c r="D441" t="s">
        <v>1763</v>
      </c>
      <c r="E441" t="s">
        <v>1876</v>
      </c>
      <c r="F441" s="465">
        <v>46209</v>
      </c>
      <c r="G441">
        <v>19505</v>
      </c>
      <c r="H441" t="s">
        <v>2496</v>
      </c>
      <c r="I441" t="s">
        <v>2100</v>
      </c>
      <c r="J441">
        <v>10</v>
      </c>
      <c r="K441" t="s">
        <v>2101</v>
      </c>
      <c r="L441">
        <v>170</v>
      </c>
      <c r="M441">
        <v>17</v>
      </c>
      <c r="N441" t="s">
        <v>2497</v>
      </c>
      <c r="O441" t="s">
        <v>463</v>
      </c>
    </row>
    <row r="442" spans="1:15" x14ac:dyDescent="0.3">
      <c r="A442">
        <v>244380</v>
      </c>
      <c r="B442">
        <v>173</v>
      </c>
      <c r="C442" t="s">
        <v>734</v>
      </c>
      <c r="D442" t="s">
        <v>1763</v>
      </c>
      <c r="E442" t="s">
        <v>1876</v>
      </c>
      <c r="F442" s="465">
        <v>46209</v>
      </c>
      <c r="G442">
        <v>19623</v>
      </c>
      <c r="H442" t="s">
        <v>2214</v>
      </c>
      <c r="I442" t="s">
        <v>2100</v>
      </c>
      <c r="J442">
        <v>10</v>
      </c>
      <c r="K442" t="s">
        <v>2101</v>
      </c>
      <c r="L442">
        <v>70</v>
      </c>
      <c r="M442">
        <v>7</v>
      </c>
      <c r="N442" t="s">
        <v>2497</v>
      </c>
      <c r="O442" t="s">
        <v>463</v>
      </c>
    </row>
    <row r="443" spans="1:15" x14ac:dyDescent="0.3">
      <c r="A443">
        <v>244380</v>
      </c>
      <c r="B443">
        <v>173</v>
      </c>
      <c r="C443" t="s">
        <v>734</v>
      </c>
      <c r="D443" t="s">
        <v>1763</v>
      </c>
      <c r="E443" t="s">
        <v>1876</v>
      </c>
      <c r="F443" s="465">
        <v>46209</v>
      </c>
      <c r="G443">
        <v>23120</v>
      </c>
      <c r="H443" t="s">
        <v>2537</v>
      </c>
      <c r="I443" t="s">
        <v>2100</v>
      </c>
      <c r="J443">
        <v>1</v>
      </c>
      <c r="K443" t="s">
        <v>2101</v>
      </c>
      <c r="L443">
        <v>60</v>
      </c>
      <c r="M443">
        <v>60</v>
      </c>
      <c r="N443" t="s">
        <v>2497</v>
      </c>
      <c r="O443" t="s">
        <v>463</v>
      </c>
    </row>
    <row r="444" spans="1:15" x14ac:dyDescent="0.3">
      <c r="A444">
        <v>244380</v>
      </c>
      <c r="B444">
        <v>173</v>
      </c>
      <c r="C444" t="s">
        <v>734</v>
      </c>
      <c r="D444" t="s">
        <v>1763</v>
      </c>
      <c r="E444" t="s">
        <v>1876</v>
      </c>
      <c r="F444" s="465">
        <v>46209</v>
      </c>
      <c r="G444">
        <v>24083</v>
      </c>
      <c r="H444" t="s">
        <v>2501</v>
      </c>
      <c r="I444" t="s">
        <v>2100</v>
      </c>
      <c r="J444">
        <v>200</v>
      </c>
      <c r="K444" t="s">
        <v>2101</v>
      </c>
      <c r="L444">
        <v>1560</v>
      </c>
      <c r="M444">
        <v>7.8</v>
      </c>
      <c r="N444" t="s">
        <v>2497</v>
      </c>
      <c r="O444" t="s">
        <v>463</v>
      </c>
    </row>
    <row r="445" spans="1:15" x14ac:dyDescent="0.3">
      <c r="A445">
        <v>244380</v>
      </c>
      <c r="B445">
        <v>173</v>
      </c>
      <c r="C445" t="s">
        <v>734</v>
      </c>
      <c r="D445" t="s">
        <v>1763</v>
      </c>
      <c r="E445" t="s">
        <v>1876</v>
      </c>
      <c r="F445" s="465">
        <v>46209</v>
      </c>
      <c r="G445">
        <v>19751</v>
      </c>
      <c r="H445" t="s">
        <v>2538</v>
      </c>
      <c r="I445" t="s">
        <v>2100</v>
      </c>
      <c r="J445">
        <v>20</v>
      </c>
      <c r="K445" t="s">
        <v>2101</v>
      </c>
      <c r="L445">
        <v>170</v>
      </c>
      <c r="M445">
        <v>8.5</v>
      </c>
      <c r="N445" t="s">
        <v>2497</v>
      </c>
      <c r="O445" t="s">
        <v>463</v>
      </c>
    </row>
    <row r="446" spans="1:15" x14ac:dyDescent="0.3">
      <c r="A446">
        <v>244380</v>
      </c>
      <c r="B446">
        <v>173</v>
      </c>
      <c r="C446" t="s">
        <v>734</v>
      </c>
      <c r="D446" t="s">
        <v>1763</v>
      </c>
      <c r="E446" t="s">
        <v>1876</v>
      </c>
      <c r="F446" s="465">
        <v>46209</v>
      </c>
      <c r="G446">
        <v>19532</v>
      </c>
      <c r="H446" t="s">
        <v>2500</v>
      </c>
      <c r="I446" t="s">
        <v>2100</v>
      </c>
      <c r="J446">
        <v>20</v>
      </c>
      <c r="K446" t="s">
        <v>2101</v>
      </c>
      <c r="L446">
        <v>140</v>
      </c>
      <c r="M446">
        <v>7</v>
      </c>
      <c r="N446" t="s">
        <v>2497</v>
      </c>
      <c r="O446" t="s">
        <v>463</v>
      </c>
    </row>
    <row r="447" spans="1:15" x14ac:dyDescent="0.3">
      <c r="A447">
        <v>244380</v>
      </c>
      <c r="B447">
        <v>173</v>
      </c>
      <c r="C447" t="s">
        <v>734</v>
      </c>
      <c r="D447" t="s">
        <v>1763</v>
      </c>
      <c r="E447" t="s">
        <v>1876</v>
      </c>
      <c r="F447" s="465">
        <v>46209</v>
      </c>
      <c r="G447">
        <v>23389</v>
      </c>
      <c r="H447" t="s">
        <v>2539</v>
      </c>
      <c r="I447" t="s">
        <v>2100</v>
      </c>
      <c r="J447">
        <v>5</v>
      </c>
      <c r="K447" t="s">
        <v>2101</v>
      </c>
      <c r="L447">
        <v>27.5</v>
      </c>
      <c r="M447">
        <v>5.5</v>
      </c>
      <c r="N447" t="s">
        <v>2497</v>
      </c>
      <c r="O447" t="s">
        <v>463</v>
      </c>
    </row>
    <row r="448" spans="1:15" x14ac:dyDescent="0.3">
      <c r="A448">
        <v>244380</v>
      </c>
      <c r="B448">
        <v>173</v>
      </c>
      <c r="C448" t="s">
        <v>734</v>
      </c>
      <c r="D448" t="s">
        <v>1763</v>
      </c>
      <c r="E448" t="s">
        <v>1876</v>
      </c>
      <c r="F448" s="465">
        <v>46209</v>
      </c>
      <c r="G448">
        <v>19570</v>
      </c>
      <c r="H448" t="s">
        <v>2193</v>
      </c>
      <c r="I448" t="s">
        <v>2100</v>
      </c>
      <c r="J448">
        <v>6</v>
      </c>
      <c r="K448" t="s">
        <v>2101</v>
      </c>
      <c r="L448">
        <v>192</v>
      </c>
      <c r="M448">
        <v>32</v>
      </c>
      <c r="N448" t="s">
        <v>2497</v>
      </c>
      <c r="O448" t="s">
        <v>463</v>
      </c>
    </row>
    <row r="449" spans="1:15" x14ac:dyDescent="0.3">
      <c r="A449">
        <v>244380</v>
      </c>
      <c r="B449">
        <v>173</v>
      </c>
      <c r="C449" t="s">
        <v>734</v>
      </c>
      <c r="D449" t="s">
        <v>1763</v>
      </c>
      <c r="E449" t="s">
        <v>1876</v>
      </c>
      <c r="F449" s="465">
        <v>46209</v>
      </c>
      <c r="G449">
        <v>23195</v>
      </c>
      <c r="H449" t="s">
        <v>2198</v>
      </c>
      <c r="I449" t="s">
        <v>2100</v>
      </c>
      <c r="J449">
        <v>1</v>
      </c>
      <c r="K449" t="s">
        <v>2101</v>
      </c>
      <c r="L449">
        <v>12</v>
      </c>
      <c r="M449">
        <v>12</v>
      </c>
      <c r="N449" t="s">
        <v>2497</v>
      </c>
      <c r="O449" t="s">
        <v>463</v>
      </c>
    </row>
    <row r="450" spans="1:15" x14ac:dyDescent="0.3">
      <c r="A450">
        <v>244380</v>
      </c>
      <c r="B450">
        <v>173</v>
      </c>
      <c r="C450" t="s">
        <v>734</v>
      </c>
      <c r="D450" t="s">
        <v>1763</v>
      </c>
      <c r="E450" t="s">
        <v>1876</v>
      </c>
      <c r="F450" s="465">
        <v>46209</v>
      </c>
      <c r="G450">
        <v>19562</v>
      </c>
      <c r="H450" t="s">
        <v>2298</v>
      </c>
      <c r="I450" t="s">
        <v>2100</v>
      </c>
      <c r="J450">
        <v>10</v>
      </c>
      <c r="K450" t="s">
        <v>2101</v>
      </c>
      <c r="L450">
        <v>150</v>
      </c>
      <c r="M450">
        <v>15</v>
      </c>
      <c r="N450" t="s">
        <v>2497</v>
      </c>
      <c r="O450" t="s">
        <v>463</v>
      </c>
    </row>
    <row r="451" spans="1:15" x14ac:dyDescent="0.3">
      <c r="A451">
        <v>244380</v>
      </c>
      <c r="B451">
        <v>173</v>
      </c>
      <c r="C451" t="s">
        <v>734</v>
      </c>
      <c r="D451" t="s">
        <v>1763</v>
      </c>
      <c r="E451" t="s">
        <v>1876</v>
      </c>
      <c r="F451" s="465">
        <v>46209</v>
      </c>
      <c r="G451">
        <v>19506</v>
      </c>
      <c r="H451" t="s">
        <v>2197</v>
      </c>
      <c r="I451" t="s">
        <v>2100</v>
      </c>
      <c r="J451">
        <v>2</v>
      </c>
      <c r="K451" t="s">
        <v>2101</v>
      </c>
      <c r="L451">
        <v>110</v>
      </c>
      <c r="M451">
        <v>55</v>
      </c>
      <c r="N451" t="s">
        <v>2497</v>
      </c>
      <c r="O451" t="s">
        <v>463</v>
      </c>
    </row>
    <row r="452" spans="1:15" x14ac:dyDescent="0.3">
      <c r="A452">
        <v>244380</v>
      </c>
      <c r="B452">
        <v>173</v>
      </c>
      <c r="C452" t="s">
        <v>734</v>
      </c>
      <c r="D452" t="s">
        <v>1763</v>
      </c>
      <c r="E452" t="s">
        <v>1876</v>
      </c>
      <c r="F452" s="465">
        <v>46209</v>
      </c>
      <c r="G452">
        <v>19575</v>
      </c>
      <c r="H452" t="s">
        <v>2540</v>
      </c>
      <c r="I452" t="s">
        <v>2100</v>
      </c>
      <c r="J452">
        <v>5</v>
      </c>
      <c r="K452" t="s">
        <v>2101</v>
      </c>
      <c r="L452">
        <v>160</v>
      </c>
      <c r="M452">
        <v>32</v>
      </c>
      <c r="N452" t="s">
        <v>2497</v>
      </c>
      <c r="O452" t="s">
        <v>463</v>
      </c>
    </row>
    <row r="453" spans="1:15" x14ac:dyDescent="0.3">
      <c r="A453">
        <v>244380</v>
      </c>
      <c r="B453">
        <v>173</v>
      </c>
      <c r="C453" t="s">
        <v>734</v>
      </c>
      <c r="D453" t="s">
        <v>1763</v>
      </c>
      <c r="E453" t="s">
        <v>1876</v>
      </c>
      <c r="F453" s="465">
        <v>46209</v>
      </c>
      <c r="G453">
        <v>23198</v>
      </c>
      <c r="H453" t="s">
        <v>2304</v>
      </c>
      <c r="I453" t="s">
        <v>2100</v>
      </c>
      <c r="J453">
        <v>10</v>
      </c>
      <c r="K453" t="s">
        <v>2101</v>
      </c>
      <c r="L453">
        <v>150</v>
      </c>
      <c r="M453">
        <v>15</v>
      </c>
      <c r="N453" t="s">
        <v>2497</v>
      </c>
      <c r="O453" t="s">
        <v>463</v>
      </c>
    </row>
    <row r="454" spans="1:15" x14ac:dyDescent="0.3">
      <c r="A454">
        <v>244380</v>
      </c>
      <c r="B454">
        <v>173</v>
      </c>
      <c r="C454" t="s">
        <v>734</v>
      </c>
      <c r="D454" t="s">
        <v>1763</v>
      </c>
      <c r="E454" t="s">
        <v>1876</v>
      </c>
      <c r="F454" s="465">
        <v>46209</v>
      </c>
      <c r="G454">
        <v>24509</v>
      </c>
      <c r="H454" t="s">
        <v>2212</v>
      </c>
      <c r="I454" t="s">
        <v>2100</v>
      </c>
      <c r="J454">
        <v>40</v>
      </c>
      <c r="K454" t="s">
        <v>2101</v>
      </c>
      <c r="L454">
        <v>240</v>
      </c>
      <c r="M454">
        <v>6</v>
      </c>
      <c r="N454" t="s">
        <v>2497</v>
      </c>
      <c r="O454" t="s">
        <v>463</v>
      </c>
    </row>
    <row r="455" spans="1:15" x14ac:dyDescent="0.3">
      <c r="A455">
        <v>244380</v>
      </c>
      <c r="B455">
        <v>173</v>
      </c>
      <c r="C455" t="s">
        <v>734</v>
      </c>
      <c r="D455" t="s">
        <v>1763</v>
      </c>
      <c r="E455" t="s">
        <v>1876</v>
      </c>
      <c r="F455" s="465">
        <v>46209</v>
      </c>
      <c r="G455">
        <v>19583</v>
      </c>
      <c r="H455" t="s">
        <v>2211</v>
      </c>
      <c r="I455" t="s">
        <v>2100</v>
      </c>
      <c r="J455">
        <v>3</v>
      </c>
      <c r="K455" t="s">
        <v>2101</v>
      </c>
      <c r="L455">
        <v>225</v>
      </c>
      <c r="M455">
        <v>75</v>
      </c>
      <c r="N455" t="s">
        <v>2497</v>
      </c>
      <c r="O455" t="s">
        <v>463</v>
      </c>
    </row>
    <row r="456" spans="1:15" x14ac:dyDescent="0.3">
      <c r="A456">
        <v>244380</v>
      </c>
      <c r="B456">
        <v>173</v>
      </c>
      <c r="C456" t="s">
        <v>734</v>
      </c>
      <c r="D456" t="s">
        <v>1763</v>
      </c>
      <c r="E456" t="s">
        <v>1876</v>
      </c>
      <c r="F456" s="465">
        <v>46209</v>
      </c>
      <c r="G456">
        <v>19539</v>
      </c>
      <c r="H456" t="s">
        <v>2499</v>
      </c>
      <c r="I456" t="s">
        <v>2100</v>
      </c>
      <c r="J456">
        <v>150</v>
      </c>
      <c r="K456" t="s">
        <v>2101</v>
      </c>
      <c r="L456">
        <v>1027.5</v>
      </c>
      <c r="M456">
        <v>6.85</v>
      </c>
      <c r="N456" t="s">
        <v>2497</v>
      </c>
      <c r="O456" t="s">
        <v>463</v>
      </c>
    </row>
    <row r="457" spans="1:15" x14ac:dyDescent="0.3">
      <c r="A457">
        <v>244380</v>
      </c>
      <c r="B457">
        <v>173</v>
      </c>
      <c r="C457" t="s">
        <v>734</v>
      </c>
      <c r="D457" t="s">
        <v>1763</v>
      </c>
      <c r="E457" t="s">
        <v>1876</v>
      </c>
      <c r="F457" s="465">
        <v>46209</v>
      </c>
      <c r="G457">
        <v>19572</v>
      </c>
      <c r="H457" t="s">
        <v>2303</v>
      </c>
      <c r="I457" t="s">
        <v>2100</v>
      </c>
      <c r="J457">
        <v>1</v>
      </c>
      <c r="K457" t="s">
        <v>2101</v>
      </c>
      <c r="L457">
        <v>18</v>
      </c>
      <c r="M457">
        <v>18</v>
      </c>
      <c r="N457" t="s">
        <v>2497</v>
      </c>
      <c r="O457" t="s">
        <v>463</v>
      </c>
    </row>
    <row r="458" spans="1:15" x14ac:dyDescent="0.3">
      <c r="A458">
        <v>244380</v>
      </c>
      <c r="B458">
        <v>173</v>
      </c>
      <c r="C458" t="s">
        <v>734</v>
      </c>
      <c r="D458" t="s">
        <v>1763</v>
      </c>
      <c r="E458" t="s">
        <v>1876</v>
      </c>
      <c r="F458" s="465">
        <v>46209</v>
      </c>
      <c r="G458">
        <v>23095</v>
      </c>
      <c r="H458" t="s">
        <v>2504</v>
      </c>
      <c r="I458" t="s">
        <v>2100</v>
      </c>
      <c r="J458">
        <v>100</v>
      </c>
      <c r="K458" t="s">
        <v>2111</v>
      </c>
      <c r="L458">
        <v>94</v>
      </c>
      <c r="M458">
        <v>0.94</v>
      </c>
      <c r="N458" t="s">
        <v>2497</v>
      </c>
      <c r="O458" t="s">
        <v>463</v>
      </c>
    </row>
    <row r="459" spans="1:15" x14ac:dyDescent="0.3">
      <c r="A459">
        <v>244380</v>
      </c>
      <c r="B459">
        <v>173</v>
      </c>
      <c r="C459" t="s">
        <v>734</v>
      </c>
      <c r="D459" t="s">
        <v>1763</v>
      </c>
      <c r="E459" t="s">
        <v>1876</v>
      </c>
      <c r="F459" s="465">
        <v>46209</v>
      </c>
      <c r="G459">
        <v>19589</v>
      </c>
      <c r="H459" t="s">
        <v>2541</v>
      </c>
      <c r="I459" t="s">
        <v>2100</v>
      </c>
      <c r="J459">
        <v>5</v>
      </c>
      <c r="K459" t="s">
        <v>2101</v>
      </c>
      <c r="L459">
        <v>40</v>
      </c>
      <c r="M459">
        <v>8</v>
      </c>
      <c r="N459" t="s">
        <v>2497</v>
      </c>
      <c r="O459" t="s">
        <v>463</v>
      </c>
    </row>
    <row r="460" spans="1:15" x14ac:dyDescent="0.3">
      <c r="A460">
        <v>244380</v>
      </c>
      <c r="B460">
        <v>173</v>
      </c>
      <c r="C460" t="s">
        <v>734</v>
      </c>
      <c r="D460" t="s">
        <v>1763</v>
      </c>
      <c r="E460" t="s">
        <v>1876</v>
      </c>
      <c r="F460" s="465">
        <v>46209</v>
      </c>
      <c r="G460">
        <v>19498</v>
      </c>
      <c r="H460" t="s">
        <v>2542</v>
      </c>
      <c r="I460" t="s">
        <v>2100</v>
      </c>
      <c r="J460">
        <v>5</v>
      </c>
      <c r="K460" t="s">
        <v>2101</v>
      </c>
      <c r="L460">
        <v>90</v>
      </c>
      <c r="M460">
        <v>18</v>
      </c>
      <c r="N460" t="s">
        <v>2497</v>
      </c>
      <c r="O460" t="s">
        <v>463</v>
      </c>
    </row>
    <row r="461" spans="1:15" x14ac:dyDescent="0.3">
      <c r="A461">
        <v>244380</v>
      </c>
      <c r="B461">
        <v>173</v>
      </c>
      <c r="C461" t="s">
        <v>734</v>
      </c>
      <c r="D461" t="s">
        <v>1763</v>
      </c>
      <c r="E461" t="s">
        <v>1876</v>
      </c>
      <c r="F461" s="465">
        <v>46209</v>
      </c>
      <c r="G461">
        <v>19647</v>
      </c>
      <c r="H461" t="s">
        <v>2196</v>
      </c>
      <c r="I461" t="s">
        <v>2100</v>
      </c>
      <c r="J461">
        <v>5</v>
      </c>
      <c r="K461" t="s">
        <v>2101</v>
      </c>
      <c r="L461">
        <v>70</v>
      </c>
      <c r="M461">
        <v>14</v>
      </c>
      <c r="N461" t="s">
        <v>2497</v>
      </c>
      <c r="O461" t="s">
        <v>463</v>
      </c>
    </row>
    <row r="462" spans="1:15" x14ac:dyDescent="0.3">
      <c r="A462">
        <v>244380</v>
      </c>
      <c r="B462">
        <v>173</v>
      </c>
      <c r="C462" t="s">
        <v>734</v>
      </c>
      <c r="D462" t="s">
        <v>1763</v>
      </c>
      <c r="E462" t="s">
        <v>1876</v>
      </c>
      <c r="F462" s="465">
        <v>46209</v>
      </c>
      <c r="G462">
        <v>19465</v>
      </c>
      <c r="H462" t="s">
        <v>2503</v>
      </c>
      <c r="I462" t="s">
        <v>2100</v>
      </c>
      <c r="J462">
        <v>10</v>
      </c>
      <c r="K462" t="s">
        <v>2101</v>
      </c>
      <c r="L462">
        <v>75</v>
      </c>
      <c r="M462">
        <v>7.5</v>
      </c>
      <c r="N462" t="s">
        <v>2497</v>
      </c>
      <c r="O462" t="s">
        <v>463</v>
      </c>
    </row>
    <row r="463" spans="1:15" x14ac:dyDescent="0.3">
      <c r="A463">
        <v>244380</v>
      </c>
      <c r="B463">
        <v>173</v>
      </c>
      <c r="C463" t="s">
        <v>734</v>
      </c>
      <c r="D463" t="s">
        <v>1763</v>
      </c>
      <c r="E463" t="s">
        <v>1876</v>
      </c>
      <c r="F463" s="465">
        <v>46209</v>
      </c>
      <c r="G463">
        <v>19476</v>
      </c>
      <c r="H463" t="s">
        <v>2213</v>
      </c>
      <c r="I463" t="s">
        <v>2100</v>
      </c>
      <c r="J463">
        <v>1</v>
      </c>
      <c r="K463" t="s">
        <v>2101</v>
      </c>
      <c r="L463">
        <v>60</v>
      </c>
      <c r="M463">
        <v>60</v>
      </c>
      <c r="N463" t="s">
        <v>2497</v>
      </c>
      <c r="O463" t="s">
        <v>463</v>
      </c>
    </row>
    <row r="464" spans="1:15" x14ac:dyDescent="0.3">
      <c r="A464">
        <v>244380</v>
      </c>
      <c r="B464">
        <v>173</v>
      </c>
      <c r="C464" t="s">
        <v>734</v>
      </c>
      <c r="D464" t="s">
        <v>1763</v>
      </c>
      <c r="E464" t="s">
        <v>1876</v>
      </c>
      <c r="F464" s="465">
        <v>46209</v>
      </c>
      <c r="G464">
        <v>19621</v>
      </c>
      <c r="H464" t="s">
        <v>2215</v>
      </c>
      <c r="I464" t="s">
        <v>2100</v>
      </c>
      <c r="J464">
        <v>10</v>
      </c>
      <c r="K464" t="s">
        <v>2101</v>
      </c>
      <c r="L464">
        <v>65</v>
      </c>
      <c r="M464">
        <v>6.5</v>
      </c>
      <c r="N464" t="s">
        <v>2497</v>
      </c>
      <c r="O464" t="s">
        <v>463</v>
      </c>
    </row>
    <row r="465" spans="1:15" x14ac:dyDescent="0.3">
      <c r="A465">
        <v>244380</v>
      </c>
      <c r="B465">
        <v>173</v>
      </c>
      <c r="C465" t="s">
        <v>734</v>
      </c>
      <c r="D465" t="s">
        <v>1763</v>
      </c>
      <c r="E465" t="s">
        <v>1876</v>
      </c>
      <c r="F465" s="465">
        <v>46209</v>
      </c>
      <c r="G465">
        <v>19634</v>
      </c>
      <c r="H465" t="s">
        <v>2114</v>
      </c>
      <c r="I465" t="s">
        <v>2100</v>
      </c>
      <c r="J465">
        <v>4</v>
      </c>
      <c r="K465" t="s">
        <v>2101</v>
      </c>
      <c r="L465">
        <v>34</v>
      </c>
      <c r="M465">
        <v>8.5</v>
      </c>
      <c r="N465" t="s">
        <v>2497</v>
      </c>
      <c r="O465" t="s">
        <v>463</v>
      </c>
    </row>
    <row r="466" spans="1:15" x14ac:dyDescent="0.3">
      <c r="A466">
        <v>244380</v>
      </c>
      <c r="B466">
        <v>173</v>
      </c>
      <c r="C466" t="s">
        <v>734</v>
      </c>
      <c r="D466" t="s">
        <v>1763</v>
      </c>
      <c r="E466" t="s">
        <v>1876</v>
      </c>
      <c r="F466" s="465">
        <v>46209</v>
      </c>
      <c r="G466">
        <v>19607</v>
      </c>
      <c r="H466" t="s">
        <v>2543</v>
      </c>
      <c r="I466" t="s">
        <v>2100</v>
      </c>
      <c r="J466">
        <v>4</v>
      </c>
      <c r="K466" t="s">
        <v>2101</v>
      </c>
      <c r="L466">
        <v>38</v>
      </c>
      <c r="M466">
        <v>9.5</v>
      </c>
      <c r="N466" t="s">
        <v>2497</v>
      </c>
      <c r="O466" t="s">
        <v>463</v>
      </c>
    </row>
    <row r="467" spans="1:15" x14ac:dyDescent="0.3">
      <c r="A467">
        <v>244380</v>
      </c>
      <c r="B467">
        <v>173</v>
      </c>
      <c r="C467" t="s">
        <v>734</v>
      </c>
      <c r="D467" t="s">
        <v>1763</v>
      </c>
      <c r="E467" t="s">
        <v>1876</v>
      </c>
      <c r="F467" s="465">
        <v>46209</v>
      </c>
      <c r="G467">
        <v>23184</v>
      </c>
      <c r="H467" t="s">
        <v>2544</v>
      </c>
      <c r="I467" t="s">
        <v>2100</v>
      </c>
      <c r="J467">
        <v>6</v>
      </c>
      <c r="K467" t="s">
        <v>2101</v>
      </c>
      <c r="L467">
        <v>138</v>
      </c>
      <c r="M467">
        <v>23</v>
      </c>
      <c r="N467" t="s">
        <v>2497</v>
      </c>
      <c r="O467" t="s">
        <v>463</v>
      </c>
    </row>
    <row r="468" spans="1:15" x14ac:dyDescent="0.3">
      <c r="A468">
        <v>244380</v>
      </c>
      <c r="B468">
        <v>173</v>
      </c>
      <c r="C468" t="s">
        <v>734</v>
      </c>
      <c r="D468" t="s">
        <v>1763</v>
      </c>
      <c r="E468" t="s">
        <v>1876</v>
      </c>
      <c r="F468" s="465">
        <v>46209</v>
      </c>
      <c r="G468">
        <v>19617</v>
      </c>
      <c r="H468" t="s">
        <v>2195</v>
      </c>
      <c r="I468" t="s">
        <v>2100</v>
      </c>
      <c r="J468">
        <v>1</v>
      </c>
      <c r="K468" t="s">
        <v>2101</v>
      </c>
      <c r="L468">
        <v>18</v>
      </c>
      <c r="M468">
        <v>18</v>
      </c>
      <c r="N468" t="s">
        <v>2497</v>
      </c>
      <c r="O468" t="s">
        <v>463</v>
      </c>
    </row>
    <row r="469" spans="1:15" x14ac:dyDescent="0.3">
      <c r="A469">
        <v>244378</v>
      </c>
      <c r="B469">
        <v>173</v>
      </c>
      <c r="C469" t="s">
        <v>734</v>
      </c>
      <c r="D469" t="s">
        <v>1877</v>
      </c>
      <c r="E469" t="s">
        <v>1878</v>
      </c>
      <c r="F469" s="465">
        <v>46209</v>
      </c>
      <c r="G469">
        <v>28854</v>
      </c>
      <c r="H469" t="s">
        <v>2545</v>
      </c>
      <c r="J469">
        <v>3</v>
      </c>
      <c r="K469" t="s">
        <v>2111</v>
      </c>
      <c r="L469">
        <v>2400</v>
      </c>
      <c r="M469">
        <v>800</v>
      </c>
      <c r="N469" t="s">
        <v>2546</v>
      </c>
      <c r="O469" t="s">
        <v>463</v>
      </c>
    </row>
    <row r="470" spans="1:15" x14ac:dyDescent="0.3">
      <c r="A470">
        <v>244376</v>
      </c>
      <c r="B470">
        <v>173</v>
      </c>
      <c r="C470" t="s">
        <v>734</v>
      </c>
      <c r="D470" t="s">
        <v>1772</v>
      </c>
      <c r="E470" t="s">
        <v>1879</v>
      </c>
      <c r="F470" s="465">
        <v>46210</v>
      </c>
      <c r="G470">
        <v>29912</v>
      </c>
      <c r="H470" t="s">
        <v>2547</v>
      </c>
      <c r="I470" t="s">
        <v>2100</v>
      </c>
      <c r="J470">
        <v>41.4</v>
      </c>
      <c r="K470" t="s">
        <v>2101</v>
      </c>
      <c r="L470">
        <v>3270.6</v>
      </c>
      <c r="M470">
        <v>79</v>
      </c>
      <c r="N470" t="s">
        <v>2548</v>
      </c>
      <c r="O470" t="s">
        <v>463</v>
      </c>
    </row>
    <row r="471" spans="1:15" x14ac:dyDescent="0.3">
      <c r="A471">
        <v>244375</v>
      </c>
      <c r="B471">
        <v>173</v>
      </c>
      <c r="C471" t="s">
        <v>734</v>
      </c>
      <c r="D471" t="s">
        <v>1847</v>
      </c>
      <c r="E471" t="s">
        <v>1880</v>
      </c>
      <c r="F471" s="465">
        <v>46209</v>
      </c>
      <c r="G471">
        <v>29754</v>
      </c>
      <c r="H471" t="s">
        <v>2549</v>
      </c>
      <c r="I471" t="s">
        <v>2110</v>
      </c>
      <c r="J471">
        <v>1</v>
      </c>
      <c r="K471" t="s">
        <v>2111</v>
      </c>
      <c r="L471">
        <v>100.62</v>
      </c>
      <c r="M471">
        <v>100.62</v>
      </c>
      <c r="N471" t="s">
        <v>2550</v>
      </c>
      <c r="O471" t="s">
        <v>463</v>
      </c>
    </row>
    <row r="472" spans="1:15" x14ac:dyDescent="0.3">
      <c r="A472">
        <v>244375</v>
      </c>
      <c r="B472">
        <v>173</v>
      </c>
      <c r="C472" t="s">
        <v>734</v>
      </c>
      <c r="D472" t="s">
        <v>1847</v>
      </c>
      <c r="E472" t="s">
        <v>1880</v>
      </c>
      <c r="F472" s="465">
        <v>46209</v>
      </c>
      <c r="G472">
        <v>29851</v>
      </c>
      <c r="H472" t="s">
        <v>2551</v>
      </c>
      <c r="I472" t="s">
        <v>2110</v>
      </c>
      <c r="J472">
        <v>1</v>
      </c>
      <c r="K472" t="s">
        <v>2111</v>
      </c>
      <c r="L472">
        <v>100.62</v>
      </c>
      <c r="M472">
        <v>100.62</v>
      </c>
      <c r="N472" t="s">
        <v>2550</v>
      </c>
      <c r="O472" t="s">
        <v>463</v>
      </c>
    </row>
    <row r="473" spans="1:15" x14ac:dyDescent="0.3">
      <c r="A473">
        <v>244375</v>
      </c>
      <c r="B473">
        <v>173</v>
      </c>
      <c r="C473" t="s">
        <v>734</v>
      </c>
      <c r="D473" t="s">
        <v>1847</v>
      </c>
      <c r="E473" t="s">
        <v>1880</v>
      </c>
      <c r="F473" s="465">
        <v>46209</v>
      </c>
      <c r="G473">
        <v>25069</v>
      </c>
      <c r="H473" t="s">
        <v>2552</v>
      </c>
      <c r="I473" t="s">
        <v>2110</v>
      </c>
      <c r="J473">
        <v>3</v>
      </c>
      <c r="K473" t="s">
        <v>2111</v>
      </c>
      <c r="L473">
        <v>363.72</v>
      </c>
      <c r="M473">
        <v>121.24</v>
      </c>
      <c r="N473" t="s">
        <v>2550</v>
      </c>
      <c r="O473" t="s">
        <v>463</v>
      </c>
    </row>
    <row r="474" spans="1:15" x14ac:dyDescent="0.3">
      <c r="A474">
        <v>244247</v>
      </c>
      <c r="B474">
        <v>173</v>
      </c>
      <c r="C474" t="s">
        <v>734</v>
      </c>
      <c r="D474" t="s">
        <v>1881</v>
      </c>
      <c r="E474" t="s">
        <v>1882</v>
      </c>
      <c r="F474" s="465">
        <v>46209</v>
      </c>
      <c r="G474">
        <v>26552</v>
      </c>
      <c r="H474" t="s">
        <v>2553</v>
      </c>
      <c r="I474" t="s">
        <v>2177</v>
      </c>
      <c r="J474">
        <v>5</v>
      </c>
      <c r="K474" t="s">
        <v>2111</v>
      </c>
      <c r="L474">
        <v>1176.5</v>
      </c>
      <c r="M474">
        <v>235.3</v>
      </c>
      <c r="N474" t="s">
        <v>2554</v>
      </c>
      <c r="O474" t="s">
        <v>463</v>
      </c>
    </row>
    <row r="475" spans="1:15" x14ac:dyDescent="0.3">
      <c r="A475">
        <v>244247</v>
      </c>
      <c r="B475">
        <v>173</v>
      </c>
      <c r="C475" t="s">
        <v>734</v>
      </c>
      <c r="D475" t="s">
        <v>1881</v>
      </c>
      <c r="E475" t="s">
        <v>1882</v>
      </c>
      <c r="F475" s="465">
        <v>46209</v>
      </c>
      <c r="G475">
        <v>17200</v>
      </c>
      <c r="H475" t="s">
        <v>2555</v>
      </c>
      <c r="I475" t="s">
        <v>2105</v>
      </c>
      <c r="J475">
        <v>7</v>
      </c>
      <c r="K475" t="s">
        <v>2111</v>
      </c>
      <c r="L475">
        <v>433.09</v>
      </c>
      <c r="M475">
        <v>61.87</v>
      </c>
      <c r="N475" t="s">
        <v>2554</v>
      </c>
      <c r="O475" t="s">
        <v>463</v>
      </c>
    </row>
    <row r="476" spans="1:15" x14ac:dyDescent="0.3">
      <c r="A476">
        <v>244144</v>
      </c>
      <c r="B476">
        <v>173</v>
      </c>
      <c r="C476" t="s">
        <v>734</v>
      </c>
      <c r="D476" t="s">
        <v>1883</v>
      </c>
      <c r="E476" t="s">
        <v>1884</v>
      </c>
      <c r="F476" s="465">
        <v>46211</v>
      </c>
      <c r="G476">
        <v>23972</v>
      </c>
      <c r="H476" t="s">
        <v>2556</v>
      </c>
      <c r="I476" t="s">
        <v>2248</v>
      </c>
      <c r="J476">
        <v>2</v>
      </c>
      <c r="K476" t="s">
        <v>2111</v>
      </c>
      <c r="L476">
        <v>224.48</v>
      </c>
      <c r="M476">
        <v>112.24</v>
      </c>
      <c r="N476" t="s">
        <v>2557</v>
      </c>
      <c r="O476" t="s">
        <v>463</v>
      </c>
    </row>
    <row r="477" spans="1:15" x14ac:dyDescent="0.3">
      <c r="A477">
        <v>244144</v>
      </c>
      <c r="B477">
        <v>173</v>
      </c>
      <c r="C477" t="s">
        <v>734</v>
      </c>
      <c r="D477" t="s">
        <v>1883</v>
      </c>
      <c r="E477" t="s">
        <v>1884</v>
      </c>
      <c r="F477" s="465">
        <v>46211</v>
      </c>
      <c r="G477">
        <v>25517</v>
      </c>
      <c r="H477" t="s">
        <v>2558</v>
      </c>
      <c r="I477" t="s">
        <v>2248</v>
      </c>
      <c r="J477">
        <v>4</v>
      </c>
      <c r="K477" t="s">
        <v>2111</v>
      </c>
      <c r="L477">
        <v>1472</v>
      </c>
      <c r="M477">
        <v>368</v>
      </c>
      <c r="N477" t="s">
        <v>2557</v>
      </c>
      <c r="O477" t="s">
        <v>463</v>
      </c>
    </row>
    <row r="478" spans="1:15" x14ac:dyDescent="0.3">
      <c r="A478">
        <v>244140</v>
      </c>
      <c r="B478">
        <v>173</v>
      </c>
      <c r="C478" t="s">
        <v>734</v>
      </c>
      <c r="D478" t="s">
        <v>1770</v>
      </c>
      <c r="E478" t="s">
        <v>1885</v>
      </c>
      <c r="F478" s="465">
        <v>46210</v>
      </c>
      <c r="G478">
        <v>25871</v>
      </c>
      <c r="H478" t="s">
        <v>2559</v>
      </c>
      <c r="I478" t="s">
        <v>2100</v>
      </c>
      <c r="J478">
        <v>20.149999999999999</v>
      </c>
      <c r="K478" t="s">
        <v>2101</v>
      </c>
      <c r="L478">
        <v>1370.2</v>
      </c>
      <c r="M478">
        <v>68</v>
      </c>
      <c r="N478" t="s">
        <v>2560</v>
      </c>
      <c r="O478" t="s">
        <v>463</v>
      </c>
    </row>
    <row r="479" spans="1:15" x14ac:dyDescent="0.3">
      <c r="A479">
        <v>244114</v>
      </c>
      <c r="B479">
        <v>173</v>
      </c>
      <c r="C479" t="s">
        <v>734</v>
      </c>
      <c r="D479" t="s">
        <v>1886</v>
      </c>
      <c r="E479" t="s">
        <v>1887</v>
      </c>
      <c r="F479" s="465">
        <v>46211</v>
      </c>
      <c r="G479">
        <v>26366</v>
      </c>
      <c r="H479" t="s">
        <v>2561</v>
      </c>
      <c r="I479" t="s">
        <v>2177</v>
      </c>
      <c r="J479">
        <v>10</v>
      </c>
      <c r="K479" t="s">
        <v>2111</v>
      </c>
      <c r="L479">
        <v>690</v>
      </c>
      <c r="M479">
        <v>69</v>
      </c>
      <c r="N479" t="s">
        <v>2562</v>
      </c>
      <c r="O479" t="s">
        <v>463</v>
      </c>
    </row>
    <row r="480" spans="1:15" x14ac:dyDescent="0.3">
      <c r="A480">
        <v>244076</v>
      </c>
      <c r="B480">
        <v>173</v>
      </c>
      <c r="C480" t="s">
        <v>734</v>
      </c>
      <c r="D480" t="s">
        <v>1755</v>
      </c>
      <c r="E480" t="s">
        <v>1888</v>
      </c>
      <c r="F480" s="465">
        <v>46206</v>
      </c>
      <c r="G480">
        <v>26226</v>
      </c>
      <c r="H480" t="s">
        <v>2563</v>
      </c>
      <c r="I480" t="s">
        <v>2177</v>
      </c>
      <c r="J480">
        <v>3</v>
      </c>
      <c r="K480" t="s">
        <v>2089</v>
      </c>
      <c r="L480">
        <v>29.4</v>
      </c>
      <c r="M480">
        <v>9.8000000000000007</v>
      </c>
      <c r="N480" t="s">
        <v>2564</v>
      </c>
      <c r="O480" t="s">
        <v>463</v>
      </c>
    </row>
    <row r="481" spans="1:15" x14ac:dyDescent="0.3">
      <c r="A481">
        <v>244076</v>
      </c>
      <c r="B481">
        <v>173</v>
      </c>
      <c r="C481" t="s">
        <v>734</v>
      </c>
      <c r="D481" t="s">
        <v>1755</v>
      </c>
      <c r="E481" t="s">
        <v>1888</v>
      </c>
      <c r="F481" s="465">
        <v>46206</v>
      </c>
      <c r="G481">
        <v>26224</v>
      </c>
      <c r="H481" t="s">
        <v>2565</v>
      </c>
      <c r="I481" t="s">
        <v>2177</v>
      </c>
      <c r="J481">
        <v>20</v>
      </c>
      <c r="K481" t="s">
        <v>2111</v>
      </c>
      <c r="L481">
        <v>158</v>
      </c>
      <c r="M481">
        <v>7.9</v>
      </c>
      <c r="N481" t="s">
        <v>2564</v>
      </c>
      <c r="O481" t="s">
        <v>463</v>
      </c>
    </row>
    <row r="482" spans="1:15" x14ac:dyDescent="0.3">
      <c r="A482">
        <v>244076</v>
      </c>
      <c r="B482">
        <v>173</v>
      </c>
      <c r="C482" t="s">
        <v>734</v>
      </c>
      <c r="D482" t="s">
        <v>1755</v>
      </c>
      <c r="E482" t="s">
        <v>1888</v>
      </c>
      <c r="F482" s="465">
        <v>46206</v>
      </c>
      <c r="G482">
        <v>27164</v>
      </c>
      <c r="H482" t="s">
        <v>2566</v>
      </c>
      <c r="I482" t="s">
        <v>2110</v>
      </c>
      <c r="J482">
        <v>6</v>
      </c>
      <c r="K482" t="s">
        <v>2111</v>
      </c>
      <c r="L482">
        <v>131.4</v>
      </c>
      <c r="M482">
        <v>21.9</v>
      </c>
      <c r="N482" t="s">
        <v>2564</v>
      </c>
      <c r="O482" t="s">
        <v>463</v>
      </c>
    </row>
    <row r="483" spans="1:15" x14ac:dyDescent="0.3">
      <c r="A483">
        <v>244076</v>
      </c>
      <c r="B483">
        <v>173</v>
      </c>
      <c r="C483" t="s">
        <v>734</v>
      </c>
      <c r="D483" t="s">
        <v>1755</v>
      </c>
      <c r="E483" t="s">
        <v>1888</v>
      </c>
      <c r="F483" s="465">
        <v>46206</v>
      </c>
      <c r="G483">
        <v>24742</v>
      </c>
      <c r="H483" t="s">
        <v>2567</v>
      </c>
      <c r="I483" t="s">
        <v>2177</v>
      </c>
      <c r="J483">
        <v>3</v>
      </c>
      <c r="K483" t="s">
        <v>2118</v>
      </c>
      <c r="L483">
        <v>26.7</v>
      </c>
      <c r="M483">
        <v>8.9</v>
      </c>
      <c r="N483" t="s">
        <v>2564</v>
      </c>
      <c r="O483" t="s">
        <v>463</v>
      </c>
    </row>
    <row r="484" spans="1:15" x14ac:dyDescent="0.3">
      <c r="A484">
        <v>244076</v>
      </c>
      <c r="B484">
        <v>173</v>
      </c>
      <c r="C484" t="s">
        <v>734</v>
      </c>
      <c r="D484" t="s">
        <v>1755</v>
      </c>
      <c r="E484" t="s">
        <v>1888</v>
      </c>
      <c r="F484" s="465">
        <v>46206</v>
      </c>
      <c r="G484">
        <v>24744</v>
      </c>
      <c r="H484" t="s">
        <v>2568</v>
      </c>
      <c r="I484" t="s">
        <v>2110</v>
      </c>
      <c r="J484">
        <v>3</v>
      </c>
      <c r="K484" t="s">
        <v>2569</v>
      </c>
      <c r="L484">
        <v>26.7</v>
      </c>
      <c r="M484">
        <v>8.9</v>
      </c>
      <c r="N484" t="s">
        <v>2564</v>
      </c>
      <c r="O484" t="s">
        <v>463</v>
      </c>
    </row>
    <row r="485" spans="1:15" x14ac:dyDescent="0.3">
      <c r="A485">
        <v>244076</v>
      </c>
      <c r="B485">
        <v>173</v>
      </c>
      <c r="C485" t="s">
        <v>734</v>
      </c>
      <c r="D485" t="s">
        <v>1755</v>
      </c>
      <c r="E485" t="s">
        <v>1888</v>
      </c>
      <c r="F485" s="465">
        <v>46206</v>
      </c>
      <c r="G485">
        <v>27410</v>
      </c>
      <c r="H485" t="s">
        <v>2570</v>
      </c>
      <c r="I485" t="s">
        <v>2177</v>
      </c>
      <c r="J485">
        <v>10</v>
      </c>
      <c r="K485" t="s">
        <v>2111</v>
      </c>
      <c r="L485">
        <v>43</v>
      </c>
      <c r="M485">
        <v>4.3</v>
      </c>
      <c r="N485" t="s">
        <v>2564</v>
      </c>
      <c r="O485" t="s">
        <v>463</v>
      </c>
    </row>
    <row r="486" spans="1:15" x14ac:dyDescent="0.3">
      <c r="A486">
        <v>244076</v>
      </c>
      <c r="B486">
        <v>173</v>
      </c>
      <c r="C486" t="s">
        <v>734</v>
      </c>
      <c r="D486" t="s">
        <v>1755</v>
      </c>
      <c r="E486" t="s">
        <v>1888</v>
      </c>
      <c r="F486" s="465">
        <v>46206</v>
      </c>
      <c r="G486">
        <v>27044</v>
      </c>
      <c r="H486" t="s">
        <v>2571</v>
      </c>
      <c r="I486" t="s">
        <v>2177</v>
      </c>
      <c r="J486">
        <v>14</v>
      </c>
      <c r="K486" t="s">
        <v>2111</v>
      </c>
      <c r="L486">
        <v>350</v>
      </c>
      <c r="M486">
        <v>25</v>
      </c>
      <c r="N486" t="s">
        <v>2564</v>
      </c>
      <c r="O486" t="s">
        <v>463</v>
      </c>
    </row>
    <row r="487" spans="1:15" x14ac:dyDescent="0.3">
      <c r="A487">
        <v>244076</v>
      </c>
      <c r="B487">
        <v>173</v>
      </c>
      <c r="C487" t="s">
        <v>734</v>
      </c>
      <c r="D487" t="s">
        <v>1755</v>
      </c>
      <c r="E487" t="s">
        <v>1888</v>
      </c>
      <c r="F487" s="465">
        <v>46206</v>
      </c>
      <c r="G487">
        <v>27878</v>
      </c>
      <c r="H487" t="s">
        <v>2572</v>
      </c>
      <c r="I487" t="s">
        <v>2177</v>
      </c>
      <c r="J487">
        <v>4</v>
      </c>
      <c r="K487" t="s">
        <v>2111</v>
      </c>
      <c r="L487">
        <v>63.6</v>
      </c>
      <c r="M487">
        <v>15.9</v>
      </c>
      <c r="N487" t="s">
        <v>2564</v>
      </c>
      <c r="O487" t="s">
        <v>463</v>
      </c>
    </row>
    <row r="488" spans="1:15" x14ac:dyDescent="0.3">
      <c r="A488">
        <v>244076</v>
      </c>
      <c r="B488">
        <v>173</v>
      </c>
      <c r="C488" t="s">
        <v>734</v>
      </c>
      <c r="D488" t="s">
        <v>1755</v>
      </c>
      <c r="E488" t="s">
        <v>1888</v>
      </c>
      <c r="F488" s="465">
        <v>46206</v>
      </c>
      <c r="G488">
        <v>28694</v>
      </c>
      <c r="H488" t="s">
        <v>2573</v>
      </c>
      <c r="I488" t="s">
        <v>2177</v>
      </c>
      <c r="J488">
        <v>3</v>
      </c>
      <c r="K488" t="s">
        <v>2111</v>
      </c>
      <c r="L488">
        <v>26.7</v>
      </c>
      <c r="M488">
        <v>8.9</v>
      </c>
      <c r="N488" t="s">
        <v>2564</v>
      </c>
      <c r="O488" t="s">
        <v>463</v>
      </c>
    </row>
    <row r="489" spans="1:15" x14ac:dyDescent="0.3">
      <c r="A489">
        <v>244076</v>
      </c>
      <c r="B489">
        <v>173</v>
      </c>
      <c r="C489" t="s">
        <v>734</v>
      </c>
      <c r="D489" t="s">
        <v>1755</v>
      </c>
      <c r="E489" t="s">
        <v>1888</v>
      </c>
      <c r="F489" s="465">
        <v>46206</v>
      </c>
      <c r="G489">
        <v>26222</v>
      </c>
      <c r="H489" t="s">
        <v>2574</v>
      </c>
      <c r="I489" t="s">
        <v>2177</v>
      </c>
      <c r="J489">
        <v>2</v>
      </c>
      <c r="K489" t="s">
        <v>2118</v>
      </c>
      <c r="L489">
        <v>99.8</v>
      </c>
      <c r="M489">
        <v>49.9</v>
      </c>
      <c r="N489" t="s">
        <v>2564</v>
      </c>
      <c r="O489" t="s">
        <v>463</v>
      </c>
    </row>
    <row r="490" spans="1:15" x14ac:dyDescent="0.3">
      <c r="A490">
        <v>244076</v>
      </c>
      <c r="B490">
        <v>173</v>
      </c>
      <c r="C490" t="s">
        <v>734</v>
      </c>
      <c r="D490" t="s">
        <v>1755</v>
      </c>
      <c r="E490" t="s">
        <v>1888</v>
      </c>
      <c r="F490" s="465">
        <v>46206</v>
      </c>
      <c r="G490">
        <v>28665</v>
      </c>
      <c r="H490" t="s">
        <v>2575</v>
      </c>
      <c r="I490" t="s">
        <v>2177</v>
      </c>
      <c r="J490">
        <v>2</v>
      </c>
      <c r="K490" t="s">
        <v>2118</v>
      </c>
      <c r="L490">
        <v>99.8</v>
      </c>
      <c r="M490">
        <v>49.9</v>
      </c>
      <c r="N490" t="s">
        <v>2564</v>
      </c>
      <c r="O490" t="s">
        <v>463</v>
      </c>
    </row>
    <row r="491" spans="1:15" x14ac:dyDescent="0.3">
      <c r="A491">
        <v>244076</v>
      </c>
      <c r="B491">
        <v>173</v>
      </c>
      <c r="C491" t="s">
        <v>734</v>
      </c>
      <c r="D491" t="s">
        <v>1755</v>
      </c>
      <c r="E491" t="s">
        <v>1888</v>
      </c>
      <c r="F491" s="465">
        <v>46206</v>
      </c>
      <c r="G491">
        <v>28695</v>
      </c>
      <c r="H491" t="s">
        <v>2576</v>
      </c>
      <c r="I491" t="s">
        <v>2177</v>
      </c>
      <c r="J491">
        <v>5</v>
      </c>
      <c r="K491" t="s">
        <v>2111</v>
      </c>
      <c r="L491">
        <v>64.5</v>
      </c>
      <c r="M491">
        <v>12.9</v>
      </c>
      <c r="N491" t="s">
        <v>2564</v>
      </c>
      <c r="O491" t="s">
        <v>463</v>
      </c>
    </row>
    <row r="492" spans="1:15" x14ac:dyDescent="0.3">
      <c r="A492">
        <v>244076</v>
      </c>
      <c r="B492">
        <v>173</v>
      </c>
      <c r="C492" t="s">
        <v>734</v>
      </c>
      <c r="D492" t="s">
        <v>1755</v>
      </c>
      <c r="E492" t="s">
        <v>1888</v>
      </c>
      <c r="F492" s="465">
        <v>46206</v>
      </c>
      <c r="G492">
        <v>24927</v>
      </c>
      <c r="H492" t="s">
        <v>2577</v>
      </c>
      <c r="I492" t="s">
        <v>2110</v>
      </c>
      <c r="J492">
        <v>10</v>
      </c>
      <c r="K492" t="s">
        <v>2203</v>
      </c>
      <c r="L492">
        <v>189</v>
      </c>
      <c r="M492">
        <v>18.899999999999999</v>
      </c>
      <c r="N492" t="s">
        <v>2564</v>
      </c>
      <c r="O492" t="s">
        <v>463</v>
      </c>
    </row>
    <row r="493" spans="1:15" x14ac:dyDescent="0.3">
      <c r="A493">
        <v>244076</v>
      </c>
      <c r="B493">
        <v>173</v>
      </c>
      <c r="C493" t="s">
        <v>734</v>
      </c>
      <c r="D493" t="s">
        <v>1755</v>
      </c>
      <c r="E493" t="s">
        <v>1888</v>
      </c>
      <c r="F493" s="465">
        <v>46206</v>
      </c>
      <c r="G493">
        <v>27345</v>
      </c>
      <c r="H493" t="s">
        <v>2578</v>
      </c>
      <c r="I493" t="s">
        <v>2177</v>
      </c>
      <c r="J493">
        <v>10</v>
      </c>
      <c r="K493" t="s">
        <v>2111</v>
      </c>
      <c r="L493">
        <v>49</v>
      </c>
      <c r="M493">
        <v>4.9000000000000004</v>
      </c>
      <c r="N493" t="s">
        <v>2564</v>
      </c>
      <c r="O493" t="s">
        <v>463</v>
      </c>
    </row>
    <row r="494" spans="1:15" x14ac:dyDescent="0.3">
      <c r="A494">
        <v>244076</v>
      </c>
      <c r="B494">
        <v>173</v>
      </c>
      <c r="C494" t="s">
        <v>734</v>
      </c>
      <c r="D494" t="s">
        <v>1755</v>
      </c>
      <c r="E494" t="s">
        <v>1888</v>
      </c>
      <c r="F494" s="465">
        <v>46206</v>
      </c>
      <c r="G494">
        <v>28668</v>
      </c>
      <c r="H494" t="s">
        <v>2579</v>
      </c>
      <c r="I494" t="s">
        <v>2177</v>
      </c>
      <c r="J494">
        <v>4</v>
      </c>
      <c r="K494" t="s">
        <v>2118</v>
      </c>
      <c r="L494">
        <v>35.6</v>
      </c>
      <c r="M494">
        <v>8.9</v>
      </c>
      <c r="N494" t="s">
        <v>2564</v>
      </c>
      <c r="O494" t="s">
        <v>463</v>
      </c>
    </row>
    <row r="495" spans="1:15" x14ac:dyDescent="0.3">
      <c r="A495">
        <v>244076</v>
      </c>
      <c r="B495">
        <v>173</v>
      </c>
      <c r="C495" t="s">
        <v>734</v>
      </c>
      <c r="D495" t="s">
        <v>1755</v>
      </c>
      <c r="E495" t="s">
        <v>1888</v>
      </c>
      <c r="F495" s="465">
        <v>46206</v>
      </c>
      <c r="G495">
        <v>29231</v>
      </c>
      <c r="H495" t="s">
        <v>2580</v>
      </c>
      <c r="I495" t="s">
        <v>2177</v>
      </c>
      <c r="J495">
        <v>2</v>
      </c>
      <c r="K495" t="s">
        <v>2111</v>
      </c>
      <c r="L495">
        <v>118</v>
      </c>
      <c r="M495">
        <v>59</v>
      </c>
      <c r="N495" t="s">
        <v>2564</v>
      </c>
      <c r="O495" t="s">
        <v>463</v>
      </c>
    </row>
    <row r="496" spans="1:15" x14ac:dyDescent="0.3">
      <c r="A496">
        <v>244076</v>
      </c>
      <c r="B496">
        <v>173</v>
      </c>
      <c r="C496" t="s">
        <v>734</v>
      </c>
      <c r="D496" t="s">
        <v>1755</v>
      </c>
      <c r="E496" t="s">
        <v>1888</v>
      </c>
      <c r="F496" s="465">
        <v>46206</v>
      </c>
      <c r="G496">
        <v>26536</v>
      </c>
      <c r="H496" t="s">
        <v>2581</v>
      </c>
      <c r="I496" t="s">
        <v>2100</v>
      </c>
      <c r="J496">
        <v>2</v>
      </c>
      <c r="K496" t="s">
        <v>2089</v>
      </c>
      <c r="L496">
        <v>240</v>
      </c>
      <c r="M496">
        <v>120</v>
      </c>
      <c r="N496" t="s">
        <v>2564</v>
      </c>
      <c r="O496" t="s">
        <v>463</v>
      </c>
    </row>
    <row r="497" spans="1:15" x14ac:dyDescent="0.3">
      <c r="A497">
        <v>244076</v>
      </c>
      <c r="B497">
        <v>173</v>
      </c>
      <c r="C497" t="s">
        <v>734</v>
      </c>
      <c r="D497" t="s">
        <v>1755</v>
      </c>
      <c r="E497" t="s">
        <v>1888</v>
      </c>
      <c r="F497" s="465">
        <v>46206</v>
      </c>
      <c r="G497">
        <v>29181</v>
      </c>
      <c r="H497" t="s">
        <v>2582</v>
      </c>
      <c r="I497" t="s">
        <v>2110</v>
      </c>
      <c r="J497">
        <v>4</v>
      </c>
      <c r="K497" t="s">
        <v>2111</v>
      </c>
      <c r="L497">
        <v>19.600000000000001</v>
      </c>
      <c r="M497">
        <v>4.9000000000000004</v>
      </c>
      <c r="N497" t="s">
        <v>2564</v>
      </c>
      <c r="O497" t="s">
        <v>463</v>
      </c>
    </row>
    <row r="498" spans="1:15" x14ac:dyDescent="0.3">
      <c r="A498">
        <v>244076</v>
      </c>
      <c r="B498">
        <v>173</v>
      </c>
      <c r="C498" t="s">
        <v>734</v>
      </c>
      <c r="D498" t="s">
        <v>1755</v>
      </c>
      <c r="E498" t="s">
        <v>1888</v>
      </c>
      <c r="F498" s="465">
        <v>46206</v>
      </c>
      <c r="G498">
        <v>28689</v>
      </c>
      <c r="H498" t="s">
        <v>2583</v>
      </c>
      <c r="I498" t="s">
        <v>2177</v>
      </c>
      <c r="J498">
        <v>2</v>
      </c>
      <c r="K498" t="s">
        <v>2111</v>
      </c>
      <c r="L498">
        <v>59.8</v>
      </c>
      <c r="M498">
        <v>29.9</v>
      </c>
      <c r="N498" t="s">
        <v>2564</v>
      </c>
      <c r="O498" t="s">
        <v>463</v>
      </c>
    </row>
    <row r="499" spans="1:15" x14ac:dyDescent="0.3">
      <c r="A499">
        <v>244076</v>
      </c>
      <c r="B499">
        <v>173</v>
      </c>
      <c r="C499" t="s">
        <v>734</v>
      </c>
      <c r="D499" t="s">
        <v>1755</v>
      </c>
      <c r="E499" t="s">
        <v>1888</v>
      </c>
      <c r="F499" s="465">
        <v>46206</v>
      </c>
      <c r="G499">
        <v>24928</v>
      </c>
      <c r="H499" t="s">
        <v>2584</v>
      </c>
      <c r="I499" t="s">
        <v>2110</v>
      </c>
      <c r="J499">
        <v>10</v>
      </c>
      <c r="K499" t="s">
        <v>2089</v>
      </c>
      <c r="L499">
        <v>159</v>
      </c>
      <c r="M499">
        <v>15.9</v>
      </c>
      <c r="N499" t="s">
        <v>2564</v>
      </c>
      <c r="O499" t="s">
        <v>463</v>
      </c>
    </row>
    <row r="500" spans="1:15" x14ac:dyDescent="0.3">
      <c r="A500">
        <v>244076</v>
      </c>
      <c r="B500">
        <v>173</v>
      </c>
      <c r="C500" t="s">
        <v>734</v>
      </c>
      <c r="D500" t="s">
        <v>1755</v>
      </c>
      <c r="E500" t="s">
        <v>1888</v>
      </c>
      <c r="F500" s="465">
        <v>46206</v>
      </c>
      <c r="G500">
        <v>25087</v>
      </c>
      <c r="H500" t="s">
        <v>2585</v>
      </c>
      <c r="J500">
        <v>1</v>
      </c>
      <c r="K500" t="s">
        <v>2111</v>
      </c>
      <c r="L500">
        <v>12.5</v>
      </c>
      <c r="M500">
        <v>12.5</v>
      </c>
      <c r="N500" t="s">
        <v>2564</v>
      </c>
      <c r="O500" t="s">
        <v>463</v>
      </c>
    </row>
    <row r="501" spans="1:15" x14ac:dyDescent="0.3">
      <c r="A501">
        <v>244076</v>
      </c>
      <c r="B501">
        <v>173</v>
      </c>
      <c r="C501" t="s">
        <v>734</v>
      </c>
      <c r="D501" t="s">
        <v>1755</v>
      </c>
      <c r="E501" t="s">
        <v>1888</v>
      </c>
      <c r="F501" s="465">
        <v>46206</v>
      </c>
      <c r="G501">
        <v>28671</v>
      </c>
      <c r="H501" t="s">
        <v>2586</v>
      </c>
      <c r="I501" t="s">
        <v>2177</v>
      </c>
      <c r="J501">
        <v>2</v>
      </c>
      <c r="K501" t="s">
        <v>2118</v>
      </c>
      <c r="L501">
        <v>25.8</v>
      </c>
      <c r="M501">
        <v>12.9</v>
      </c>
      <c r="N501" t="s">
        <v>2564</v>
      </c>
      <c r="O501" t="s">
        <v>463</v>
      </c>
    </row>
    <row r="502" spans="1:15" x14ac:dyDescent="0.3">
      <c r="A502">
        <v>244076</v>
      </c>
      <c r="B502">
        <v>173</v>
      </c>
      <c r="C502" t="s">
        <v>734</v>
      </c>
      <c r="D502" t="s">
        <v>1755</v>
      </c>
      <c r="E502" t="s">
        <v>1888</v>
      </c>
      <c r="F502" s="465">
        <v>46206</v>
      </c>
      <c r="G502">
        <v>28703</v>
      </c>
      <c r="H502" t="s">
        <v>2587</v>
      </c>
      <c r="I502" t="s">
        <v>2177</v>
      </c>
      <c r="J502">
        <v>2</v>
      </c>
      <c r="K502" t="s">
        <v>2111</v>
      </c>
      <c r="L502">
        <v>56</v>
      </c>
      <c r="M502">
        <v>28</v>
      </c>
      <c r="N502" t="s">
        <v>2564</v>
      </c>
      <c r="O502" t="s">
        <v>463</v>
      </c>
    </row>
    <row r="503" spans="1:15" x14ac:dyDescent="0.3">
      <c r="A503">
        <v>244076</v>
      </c>
      <c r="B503">
        <v>173</v>
      </c>
      <c r="C503" t="s">
        <v>734</v>
      </c>
      <c r="D503" t="s">
        <v>1755</v>
      </c>
      <c r="E503" t="s">
        <v>1888</v>
      </c>
      <c r="F503" s="465">
        <v>46206</v>
      </c>
      <c r="G503">
        <v>29229</v>
      </c>
      <c r="H503" t="s">
        <v>2588</v>
      </c>
      <c r="I503" t="s">
        <v>2177</v>
      </c>
      <c r="J503">
        <v>1</v>
      </c>
      <c r="K503" t="s">
        <v>2111</v>
      </c>
      <c r="L503">
        <v>28</v>
      </c>
      <c r="M503">
        <v>28</v>
      </c>
      <c r="N503" t="s">
        <v>2564</v>
      </c>
      <c r="O503" t="s">
        <v>463</v>
      </c>
    </row>
    <row r="504" spans="1:15" x14ac:dyDescent="0.3">
      <c r="A504">
        <v>244076</v>
      </c>
      <c r="B504">
        <v>173</v>
      </c>
      <c r="C504" t="s">
        <v>734</v>
      </c>
      <c r="D504" t="s">
        <v>1755</v>
      </c>
      <c r="E504" t="s">
        <v>1888</v>
      </c>
      <c r="F504" s="465">
        <v>46206</v>
      </c>
      <c r="G504">
        <v>25085</v>
      </c>
      <c r="H504" t="s">
        <v>2589</v>
      </c>
      <c r="I504" t="s">
        <v>2110</v>
      </c>
      <c r="J504">
        <v>4</v>
      </c>
      <c r="K504" t="s">
        <v>2111</v>
      </c>
      <c r="L504">
        <v>58</v>
      </c>
      <c r="M504">
        <v>14.5</v>
      </c>
      <c r="N504" t="s">
        <v>2564</v>
      </c>
      <c r="O504" t="s">
        <v>463</v>
      </c>
    </row>
    <row r="505" spans="1:15" x14ac:dyDescent="0.3">
      <c r="A505">
        <v>244070</v>
      </c>
      <c r="B505">
        <v>173</v>
      </c>
      <c r="C505" t="s">
        <v>734</v>
      </c>
      <c r="D505" t="s">
        <v>1755</v>
      </c>
      <c r="E505" t="s">
        <v>1889</v>
      </c>
      <c r="F505" s="465">
        <v>46224</v>
      </c>
      <c r="G505">
        <v>17532</v>
      </c>
      <c r="H505" t="s">
        <v>2242</v>
      </c>
      <c r="I505" t="s">
        <v>2105</v>
      </c>
      <c r="J505">
        <v>2</v>
      </c>
      <c r="K505" t="s">
        <v>2118</v>
      </c>
      <c r="L505">
        <v>196</v>
      </c>
      <c r="M505">
        <v>98</v>
      </c>
      <c r="N505" t="s">
        <v>2590</v>
      </c>
      <c r="O505" t="s">
        <v>463</v>
      </c>
    </row>
    <row r="506" spans="1:15" x14ac:dyDescent="0.3">
      <c r="A506">
        <v>244070</v>
      </c>
      <c r="B506">
        <v>173</v>
      </c>
      <c r="C506" t="s">
        <v>734</v>
      </c>
      <c r="D506" t="s">
        <v>1755</v>
      </c>
      <c r="E506" t="s">
        <v>1889</v>
      </c>
      <c r="F506" s="465">
        <v>46224</v>
      </c>
      <c r="G506">
        <v>17533</v>
      </c>
      <c r="H506" t="s">
        <v>2591</v>
      </c>
      <c r="I506" t="s">
        <v>2105</v>
      </c>
      <c r="J506">
        <v>2</v>
      </c>
      <c r="K506" t="s">
        <v>2118</v>
      </c>
      <c r="L506">
        <v>378</v>
      </c>
      <c r="M506">
        <v>189</v>
      </c>
      <c r="N506" t="s">
        <v>2590</v>
      </c>
      <c r="O506" t="s">
        <v>463</v>
      </c>
    </row>
    <row r="507" spans="1:15" x14ac:dyDescent="0.3">
      <c r="A507">
        <v>243485</v>
      </c>
      <c r="B507">
        <v>173</v>
      </c>
      <c r="C507" t="s">
        <v>734</v>
      </c>
      <c r="D507" t="s">
        <v>1763</v>
      </c>
      <c r="E507" t="s">
        <v>1890</v>
      </c>
      <c r="F507" s="465">
        <v>46206</v>
      </c>
      <c r="G507">
        <v>19759</v>
      </c>
      <c r="H507" t="s">
        <v>2592</v>
      </c>
      <c r="I507" t="s">
        <v>2100</v>
      </c>
      <c r="J507">
        <v>5</v>
      </c>
      <c r="K507" t="s">
        <v>2101</v>
      </c>
      <c r="L507">
        <v>37.5</v>
      </c>
      <c r="M507">
        <v>7.5</v>
      </c>
      <c r="N507" t="s">
        <v>2593</v>
      </c>
      <c r="O507" t="s">
        <v>463</v>
      </c>
    </row>
    <row r="508" spans="1:15" x14ac:dyDescent="0.3">
      <c r="A508">
        <v>243485</v>
      </c>
      <c r="B508">
        <v>173</v>
      </c>
      <c r="C508" t="s">
        <v>734</v>
      </c>
      <c r="D508" t="s">
        <v>1763</v>
      </c>
      <c r="E508" t="s">
        <v>1890</v>
      </c>
      <c r="F508" s="465">
        <v>46206</v>
      </c>
      <c r="G508">
        <v>19506</v>
      </c>
      <c r="H508" t="s">
        <v>2197</v>
      </c>
      <c r="I508" t="s">
        <v>2100</v>
      </c>
      <c r="J508">
        <v>1</v>
      </c>
      <c r="K508" t="s">
        <v>2101</v>
      </c>
      <c r="L508">
        <v>50</v>
      </c>
      <c r="M508">
        <v>50</v>
      </c>
      <c r="N508" t="s">
        <v>2593</v>
      </c>
      <c r="O508" t="s">
        <v>463</v>
      </c>
    </row>
    <row r="509" spans="1:15" x14ac:dyDescent="0.3">
      <c r="A509">
        <v>243485</v>
      </c>
      <c r="B509">
        <v>173</v>
      </c>
      <c r="C509" t="s">
        <v>734</v>
      </c>
      <c r="D509" t="s">
        <v>1763</v>
      </c>
      <c r="E509" t="s">
        <v>1890</v>
      </c>
      <c r="F509" s="465">
        <v>46206</v>
      </c>
      <c r="G509">
        <v>19751</v>
      </c>
      <c r="H509" t="s">
        <v>2538</v>
      </c>
      <c r="I509" t="s">
        <v>2100</v>
      </c>
      <c r="J509">
        <v>10</v>
      </c>
      <c r="K509" t="s">
        <v>2101</v>
      </c>
      <c r="L509">
        <v>90</v>
      </c>
      <c r="M509">
        <v>9</v>
      </c>
      <c r="N509" t="s">
        <v>2593</v>
      </c>
      <c r="O509" t="s">
        <v>463</v>
      </c>
    </row>
    <row r="510" spans="1:15" x14ac:dyDescent="0.3">
      <c r="A510">
        <v>243485</v>
      </c>
      <c r="B510">
        <v>173</v>
      </c>
      <c r="C510" t="s">
        <v>734</v>
      </c>
      <c r="D510" t="s">
        <v>1763</v>
      </c>
      <c r="E510" t="s">
        <v>1890</v>
      </c>
      <c r="F510" s="465">
        <v>46206</v>
      </c>
      <c r="G510">
        <v>23480</v>
      </c>
      <c r="H510" t="s">
        <v>2594</v>
      </c>
      <c r="I510" t="s">
        <v>2100</v>
      </c>
      <c r="J510">
        <v>1</v>
      </c>
      <c r="K510" t="s">
        <v>2101</v>
      </c>
      <c r="L510">
        <v>27</v>
      </c>
      <c r="M510">
        <v>27</v>
      </c>
      <c r="N510" t="s">
        <v>2593</v>
      </c>
      <c r="O510" t="s">
        <v>463</v>
      </c>
    </row>
    <row r="511" spans="1:15" x14ac:dyDescent="0.3">
      <c r="A511">
        <v>243485</v>
      </c>
      <c r="B511">
        <v>173</v>
      </c>
      <c r="C511" t="s">
        <v>734</v>
      </c>
      <c r="D511" t="s">
        <v>1763</v>
      </c>
      <c r="E511" t="s">
        <v>1890</v>
      </c>
      <c r="F511" s="465">
        <v>46206</v>
      </c>
      <c r="G511">
        <v>19490</v>
      </c>
      <c r="H511" t="s">
        <v>2595</v>
      </c>
      <c r="I511" t="s">
        <v>2100</v>
      </c>
      <c r="J511">
        <v>3</v>
      </c>
      <c r="K511" t="s">
        <v>2101</v>
      </c>
      <c r="L511">
        <v>180</v>
      </c>
      <c r="M511">
        <v>60</v>
      </c>
      <c r="N511" t="s">
        <v>2593</v>
      </c>
      <c r="O511" t="s">
        <v>463</v>
      </c>
    </row>
    <row r="512" spans="1:15" x14ac:dyDescent="0.3">
      <c r="A512">
        <v>243485</v>
      </c>
      <c r="B512">
        <v>173</v>
      </c>
      <c r="C512" t="s">
        <v>734</v>
      </c>
      <c r="D512" t="s">
        <v>1763</v>
      </c>
      <c r="E512" t="s">
        <v>1890</v>
      </c>
      <c r="F512" s="465">
        <v>46206</v>
      </c>
      <c r="G512">
        <v>23359</v>
      </c>
      <c r="H512" t="s">
        <v>2175</v>
      </c>
      <c r="I512" t="s">
        <v>2100</v>
      </c>
      <c r="J512">
        <v>60</v>
      </c>
      <c r="K512" t="s">
        <v>2101</v>
      </c>
      <c r="L512">
        <v>192</v>
      </c>
      <c r="M512">
        <v>3.2</v>
      </c>
      <c r="N512" t="s">
        <v>2593</v>
      </c>
      <c r="O512" t="s">
        <v>463</v>
      </c>
    </row>
    <row r="513" spans="1:15" x14ac:dyDescent="0.3">
      <c r="A513">
        <v>243485</v>
      </c>
      <c r="B513">
        <v>173</v>
      </c>
      <c r="C513" t="s">
        <v>734</v>
      </c>
      <c r="D513" t="s">
        <v>1763</v>
      </c>
      <c r="E513" t="s">
        <v>1890</v>
      </c>
      <c r="F513" s="465">
        <v>46206</v>
      </c>
      <c r="G513">
        <v>19476</v>
      </c>
      <c r="H513" t="s">
        <v>2213</v>
      </c>
      <c r="I513" t="s">
        <v>2100</v>
      </c>
      <c r="J513">
        <v>1</v>
      </c>
      <c r="K513" t="s">
        <v>2101</v>
      </c>
      <c r="L513">
        <v>60</v>
      </c>
      <c r="M513">
        <v>60</v>
      </c>
      <c r="N513" t="s">
        <v>2593</v>
      </c>
      <c r="O513" t="s">
        <v>463</v>
      </c>
    </row>
    <row r="514" spans="1:15" x14ac:dyDescent="0.3">
      <c r="A514">
        <v>243485</v>
      </c>
      <c r="B514">
        <v>173</v>
      </c>
      <c r="C514" t="s">
        <v>734</v>
      </c>
      <c r="D514" t="s">
        <v>1763</v>
      </c>
      <c r="E514" t="s">
        <v>1890</v>
      </c>
      <c r="F514" s="465">
        <v>46206</v>
      </c>
      <c r="G514">
        <v>23361</v>
      </c>
      <c r="H514" t="s">
        <v>2596</v>
      </c>
      <c r="I514" t="s">
        <v>2100</v>
      </c>
      <c r="J514">
        <v>60</v>
      </c>
      <c r="K514" t="s">
        <v>2101</v>
      </c>
      <c r="L514">
        <v>156</v>
      </c>
      <c r="M514">
        <v>2.6</v>
      </c>
      <c r="N514" t="s">
        <v>2593</v>
      </c>
      <c r="O514" t="s">
        <v>463</v>
      </c>
    </row>
    <row r="515" spans="1:15" x14ac:dyDescent="0.3">
      <c r="A515">
        <v>243485</v>
      </c>
      <c r="B515">
        <v>173</v>
      </c>
      <c r="C515" t="s">
        <v>734</v>
      </c>
      <c r="D515" t="s">
        <v>1763</v>
      </c>
      <c r="E515" t="s">
        <v>1890</v>
      </c>
      <c r="F515" s="465">
        <v>46206</v>
      </c>
      <c r="G515">
        <v>25769</v>
      </c>
      <c r="H515" t="s">
        <v>2597</v>
      </c>
      <c r="I515" t="s">
        <v>2100</v>
      </c>
      <c r="J515">
        <v>1</v>
      </c>
      <c r="K515" t="s">
        <v>2101</v>
      </c>
      <c r="L515">
        <v>45</v>
      </c>
      <c r="M515">
        <v>45</v>
      </c>
      <c r="N515" t="s">
        <v>2593</v>
      </c>
      <c r="O515" t="s">
        <v>463</v>
      </c>
    </row>
    <row r="516" spans="1:15" x14ac:dyDescent="0.3">
      <c r="A516">
        <v>243484</v>
      </c>
      <c r="B516">
        <v>173</v>
      </c>
      <c r="C516" t="s">
        <v>734</v>
      </c>
      <c r="D516" t="s">
        <v>1763</v>
      </c>
      <c r="E516" t="s">
        <v>1891</v>
      </c>
      <c r="F516" s="465">
        <v>46206</v>
      </c>
      <c r="G516">
        <v>19721</v>
      </c>
      <c r="H516" t="s">
        <v>2598</v>
      </c>
      <c r="I516" t="s">
        <v>2100</v>
      </c>
      <c r="J516">
        <v>5</v>
      </c>
      <c r="K516" t="s">
        <v>2101</v>
      </c>
      <c r="L516">
        <v>190</v>
      </c>
      <c r="M516">
        <v>38</v>
      </c>
      <c r="N516" t="s">
        <v>2599</v>
      </c>
      <c r="O516" t="s">
        <v>463</v>
      </c>
    </row>
    <row r="517" spans="1:15" x14ac:dyDescent="0.3">
      <c r="A517">
        <v>243484</v>
      </c>
      <c r="B517">
        <v>173</v>
      </c>
      <c r="C517" t="s">
        <v>734</v>
      </c>
      <c r="D517" t="s">
        <v>1763</v>
      </c>
      <c r="E517" t="s">
        <v>1891</v>
      </c>
      <c r="F517" s="465">
        <v>46206</v>
      </c>
      <c r="G517">
        <v>19738</v>
      </c>
      <c r="H517" t="s">
        <v>2600</v>
      </c>
      <c r="I517" t="s">
        <v>2100</v>
      </c>
      <c r="J517">
        <v>20</v>
      </c>
      <c r="K517" t="s">
        <v>2101</v>
      </c>
      <c r="L517">
        <v>56</v>
      </c>
      <c r="M517">
        <v>2.8</v>
      </c>
      <c r="N517" t="s">
        <v>2599</v>
      </c>
      <c r="O517" t="s">
        <v>463</v>
      </c>
    </row>
    <row r="518" spans="1:15" x14ac:dyDescent="0.3">
      <c r="A518">
        <v>243484</v>
      </c>
      <c r="B518">
        <v>173</v>
      </c>
      <c r="C518" t="s">
        <v>734</v>
      </c>
      <c r="D518" t="s">
        <v>1763</v>
      </c>
      <c r="E518" t="s">
        <v>1891</v>
      </c>
      <c r="F518" s="465">
        <v>46206</v>
      </c>
      <c r="G518">
        <v>19527</v>
      </c>
      <c r="H518" t="s">
        <v>2601</v>
      </c>
      <c r="I518" t="s">
        <v>2100</v>
      </c>
      <c r="J518">
        <v>10</v>
      </c>
      <c r="K518" t="s">
        <v>2101</v>
      </c>
      <c r="L518">
        <v>300</v>
      </c>
      <c r="M518">
        <v>30</v>
      </c>
      <c r="N518" t="s">
        <v>2599</v>
      </c>
      <c r="O518" t="s">
        <v>463</v>
      </c>
    </row>
    <row r="519" spans="1:15" x14ac:dyDescent="0.3">
      <c r="A519">
        <v>243484</v>
      </c>
      <c r="B519">
        <v>173</v>
      </c>
      <c r="C519" t="s">
        <v>734</v>
      </c>
      <c r="D519" t="s">
        <v>1763</v>
      </c>
      <c r="E519" t="s">
        <v>1891</v>
      </c>
      <c r="F519" s="465">
        <v>46206</v>
      </c>
      <c r="G519">
        <v>23360</v>
      </c>
      <c r="H519" t="s">
        <v>2602</v>
      </c>
      <c r="I519" t="s">
        <v>2100</v>
      </c>
      <c r="J519">
        <v>1</v>
      </c>
      <c r="K519" t="s">
        <v>2101</v>
      </c>
      <c r="L519">
        <v>5.8</v>
      </c>
      <c r="M519">
        <v>5.8</v>
      </c>
      <c r="N519" t="s">
        <v>2599</v>
      </c>
      <c r="O519" t="s">
        <v>463</v>
      </c>
    </row>
    <row r="520" spans="1:15" x14ac:dyDescent="0.3">
      <c r="A520">
        <v>243483</v>
      </c>
      <c r="B520">
        <v>173</v>
      </c>
      <c r="C520" t="s">
        <v>734</v>
      </c>
      <c r="D520" t="s">
        <v>912</v>
      </c>
      <c r="E520" t="s">
        <v>1892</v>
      </c>
      <c r="F520" s="465">
        <v>46206</v>
      </c>
      <c r="G520">
        <v>24385</v>
      </c>
      <c r="H520" t="s">
        <v>2603</v>
      </c>
      <c r="I520" t="s">
        <v>2100</v>
      </c>
      <c r="J520">
        <v>3</v>
      </c>
      <c r="K520" t="s">
        <v>2101</v>
      </c>
      <c r="L520">
        <v>45.66</v>
      </c>
      <c r="M520">
        <v>15.22</v>
      </c>
      <c r="N520" t="s">
        <v>2604</v>
      </c>
      <c r="O520" t="s">
        <v>463</v>
      </c>
    </row>
    <row r="521" spans="1:15" x14ac:dyDescent="0.3">
      <c r="A521">
        <v>243483</v>
      </c>
      <c r="B521">
        <v>173</v>
      </c>
      <c r="C521" t="s">
        <v>734</v>
      </c>
      <c r="D521" t="s">
        <v>912</v>
      </c>
      <c r="E521" t="s">
        <v>1892</v>
      </c>
      <c r="F521" s="465">
        <v>46206</v>
      </c>
      <c r="G521">
        <v>19480</v>
      </c>
      <c r="H521" t="s">
        <v>2605</v>
      </c>
      <c r="I521" t="s">
        <v>2100</v>
      </c>
      <c r="J521">
        <v>2</v>
      </c>
      <c r="K521" t="s">
        <v>2101</v>
      </c>
      <c r="L521">
        <v>49.16</v>
      </c>
      <c r="M521">
        <v>24.58</v>
      </c>
      <c r="N521" t="s">
        <v>2604</v>
      </c>
      <c r="O521" t="s">
        <v>463</v>
      </c>
    </row>
    <row r="522" spans="1:15" x14ac:dyDescent="0.3">
      <c r="A522">
        <v>243483</v>
      </c>
      <c r="B522">
        <v>173</v>
      </c>
      <c r="C522" t="s">
        <v>734</v>
      </c>
      <c r="D522" t="s">
        <v>912</v>
      </c>
      <c r="E522" t="s">
        <v>1892</v>
      </c>
      <c r="F522" s="465">
        <v>46206</v>
      </c>
      <c r="G522">
        <v>19707</v>
      </c>
      <c r="H522" t="s">
        <v>2606</v>
      </c>
      <c r="I522" t="s">
        <v>2100</v>
      </c>
      <c r="J522">
        <v>2</v>
      </c>
      <c r="K522" t="s">
        <v>2101</v>
      </c>
      <c r="L522">
        <v>31.9</v>
      </c>
      <c r="M522">
        <v>15.95</v>
      </c>
      <c r="N522" t="s">
        <v>2604</v>
      </c>
      <c r="O522" t="s">
        <v>463</v>
      </c>
    </row>
    <row r="523" spans="1:15" x14ac:dyDescent="0.3">
      <c r="A523">
        <v>243478</v>
      </c>
      <c r="B523">
        <v>173</v>
      </c>
      <c r="C523" t="s">
        <v>734</v>
      </c>
      <c r="D523" t="s">
        <v>1733</v>
      </c>
      <c r="E523" t="s">
        <v>1893</v>
      </c>
      <c r="F523" s="465">
        <v>46205</v>
      </c>
      <c r="G523">
        <v>19017</v>
      </c>
      <c r="H523" t="s">
        <v>2231</v>
      </c>
      <c r="I523" t="s">
        <v>2100</v>
      </c>
      <c r="J523">
        <v>30</v>
      </c>
      <c r="K523" t="s">
        <v>2101</v>
      </c>
      <c r="L523">
        <v>449.7</v>
      </c>
      <c r="M523">
        <v>14.99</v>
      </c>
      <c r="N523" t="s">
        <v>2607</v>
      </c>
      <c r="O523" t="s">
        <v>463</v>
      </c>
    </row>
    <row r="524" spans="1:15" x14ac:dyDescent="0.3">
      <c r="A524">
        <v>243475</v>
      </c>
      <c r="B524">
        <v>173</v>
      </c>
      <c r="C524" t="s">
        <v>734</v>
      </c>
      <c r="D524" t="s">
        <v>1803</v>
      </c>
      <c r="E524" t="s">
        <v>1894</v>
      </c>
      <c r="F524" s="465">
        <v>46203</v>
      </c>
      <c r="G524">
        <v>21017</v>
      </c>
      <c r="H524" t="s">
        <v>2608</v>
      </c>
      <c r="I524" t="s">
        <v>2100</v>
      </c>
      <c r="J524">
        <v>3</v>
      </c>
      <c r="K524" t="s">
        <v>2609</v>
      </c>
      <c r="L524">
        <v>476.7</v>
      </c>
      <c r="M524">
        <v>158.9</v>
      </c>
      <c r="N524" t="s">
        <v>2610</v>
      </c>
      <c r="O524" t="s">
        <v>462</v>
      </c>
    </row>
    <row r="525" spans="1:15" x14ac:dyDescent="0.3">
      <c r="A525">
        <v>243454</v>
      </c>
      <c r="B525">
        <v>173</v>
      </c>
      <c r="C525" t="s">
        <v>734</v>
      </c>
      <c r="D525" t="s">
        <v>1746</v>
      </c>
      <c r="E525" t="s">
        <v>1895</v>
      </c>
      <c r="F525" s="465">
        <v>46206</v>
      </c>
      <c r="G525">
        <v>24400</v>
      </c>
      <c r="H525" t="s">
        <v>2611</v>
      </c>
      <c r="I525" t="s">
        <v>2100</v>
      </c>
      <c r="J525">
        <v>3</v>
      </c>
      <c r="K525" t="s">
        <v>2111</v>
      </c>
      <c r="L525">
        <v>18.600000000000001</v>
      </c>
      <c r="M525">
        <v>6.2</v>
      </c>
      <c r="N525" t="s">
        <v>2612</v>
      </c>
      <c r="O525" t="s">
        <v>463</v>
      </c>
    </row>
    <row r="526" spans="1:15" x14ac:dyDescent="0.3">
      <c r="A526">
        <v>243454</v>
      </c>
      <c r="B526">
        <v>173</v>
      </c>
      <c r="C526" t="s">
        <v>734</v>
      </c>
      <c r="D526" t="s">
        <v>1746</v>
      </c>
      <c r="E526" t="s">
        <v>1895</v>
      </c>
      <c r="F526" s="465">
        <v>46206</v>
      </c>
      <c r="G526">
        <v>23502</v>
      </c>
      <c r="H526" t="s">
        <v>2613</v>
      </c>
      <c r="I526" t="s">
        <v>2100</v>
      </c>
      <c r="J526">
        <v>6</v>
      </c>
      <c r="K526" t="s">
        <v>2101</v>
      </c>
      <c r="L526">
        <v>37.200000000000003</v>
      </c>
      <c r="M526">
        <v>6.2</v>
      </c>
      <c r="N526" t="s">
        <v>2612</v>
      </c>
      <c r="O526" t="s">
        <v>463</v>
      </c>
    </row>
    <row r="527" spans="1:15" x14ac:dyDescent="0.3">
      <c r="A527">
        <v>243453</v>
      </c>
      <c r="B527">
        <v>173</v>
      </c>
      <c r="C527" t="s">
        <v>734</v>
      </c>
      <c r="D527" t="s">
        <v>1760</v>
      </c>
      <c r="E527" t="s">
        <v>1896</v>
      </c>
      <c r="F527" s="465">
        <v>46204</v>
      </c>
      <c r="G527">
        <v>26980</v>
      </c>
      <c r="H527" t="s">
        <v>2614</v>
      </c>
      <c r="I527" t="s">
        <v>2100</v>
      </c>
      <c r="J527">
        <v>79.69</v>
      </c>
      <c r="K527" t="s">
        <v>2101</v>
      </c>
      <c r="L527">
        <v>2621.8</v>
      </c>
      <c r="M527">
        <v>32.899987000000003</v>
      </c>
      <c r="N527" t="s">
        <v>2615</v>
      </c>
      <c r="O527" t="s">
        <v>463</v>
      </c>
    </row>
    <row r="528" spans="1:15" x14ac:dyDescent="0.3">
      <c r="A528">
        <v>243453</v>
      </c>
      <c r="B528">
        <v>173</v>
      </c>
      <c r="C528" t="s">
        <v>734</v>
      </c>
      <c r="D528" t="s">
        <v>1760</v>
      </c>
      <c r="E528" t="s">
        <v>1896</v>
      </c>
      <c r="F528" s="465">
        <v>46204</v>
      </c>
      <c r="G528">
        <v>22822</v>
      </c>
      <c r="H528" t="s">
        <v>2616</v>
      </c>
      <c r="I528" t="s">
        <v>2100</v>
      </c>
      <c r="J528">
        <v>40</v>
      </c>
      <c r="K528" t="s">
        <v>2101</v>
      </c>
      <c r="L528">
        <v>276</v>
      </c>
      <c r="M528">
        <v>6.9</v>
      </c>
      <c r="N528" t="s">
        <v>2615</v>
      </c>
      <c r="O528" t="s">
        <v>463</v>
      </c>
    </row>
    <row r="529" spans="1:15" x14ac:dyDescent="0.3">
      <c r="A529">
        <v>243450</v>
      </c>
      <c r="B529">
        <v>173</v>
      </c>
      <c r="C529" t="s">
        <v>734</v>
      </c>
      <c r="D529" t="s">
        <v>1847</v>
      </c>
      <c r="E529" t="s">
        <v>1897</v>
      </c>
      <c r="F529" s="465">
        <v>46199</v>
      </c>
      <c r="G529">
        <v>21618</v>
      </c>
      <c r="H529" t="s">
        <v>2617</v>
      </c>
      <c r="I529" t="s">
        <v>2105</v>
      </c>
      <c r="J529">
        <v>50</v>
      </c>
      <c r="K529" t="s">
        <v>2159</v>
      </c>
      <c r="L529">
        <v>1285.5</v>
      </c>
      <c r="M529">
        <v>25.71</v>
      </c>
      <c r="N529" t="s">
        <v>2618</v>
      </c>
      <c r="O529" t="s">
        <v>462</v>
      </c>
    </row>
    <row r="530" spans="1:15" x14ac:dyDescent="0.3">
      <c r="A530">
        <v>243449</v>
      </c>
      <c r="B530">
        <v>173</v>
      </c>
      <c r="C530" t="s">
        <v>734</v>
      </c>
      <c r="D530" t="s">
        <v>1780</v>
      </c>
      <c r="E530" t="s">
        <v>1898</v>
      </c>
      <c r="F530" s="465">
        <v>46203</v>
      </c>
      <c r="G530">
        <v>26443</v>
      </c>
      <c r="H530" t="s">
        <v>2219</v>
      </c>
      <c r="I530" t="s">
        <v>2100</v>
      </c>
      <c r="J530">
        <v>22.96</v>
      </c>
      <c r="K530" t="s">
        <v>2101</v>
      </c>
      <c r="L530">
        <v>803.6</v>
      </c>
      <c r="M530">
        <v>35</v>
      </c>
      <c r="N530" t="s">
        <v>2619</v>
      </c>
      <c r="O530" t="s">
        <v>462</v>
      </c>
    </row>
    <row r="531" spans="1:15" x14ac:dyDescent="0.3">
      <c r="A531">
        <v>243449</v>
      </c>
      <c r="B531">
        <v>173</v>
      </c>
      <c r="C531" t="s">
        <v>734</v>
      </c>
      <c r="D531" t="s">
        <v>1780</v>
      </c>
      <c r="E531" t="s">
        <v>1898</v>
      </c>
      <c r="F531" s="465">
        <v>46203</v>
      </c>
      <c r="G531">
        <v>19264</v>
      </c>
      <c r="H531" t="s">
        <v>2620</v>
      </c>
      <c r="I531" t="s">
        <v>2100</v>
      </c>
      <c r="J531">
        <v>12</v>
      </c>
      <c r="K531" t="s">
        <v>2089</v>
      </c>
      <c r="L531">
        <v>717.36</v>
      </c>
      <c r="M531">
        <v>59.78</v>
      </c>
      <c r="N531" t="s">
        <v>2619</v>
      </c>
      <c r="O531" t="s">
        <v>462</v>
      </c>
    </row>
    <row r="532" spans="1:15" x14ac:dyDescent="0.3">
      <c r="A532">
        <v>243449</v>
      </c>
      <c r="B532">
        <v>173</v>
      </c>
      <c r="C532" t="s">
        <v>734</v>
      </c>
      <c r="D532" t="s">
        <v>1780</v>
      </c>
      <c r="E532" t="s">
        <v>1898</v>
      </c>
      <c r="F532" s="465">
        <v>46203</v>
      </c>
      <c r="G532">
        <v>19437</v>
      </c>
      <c r="H532" t="s">
        <v>2621</v>
      </c>
      <c r="I532" t="s">
        <v>2100</v>
      </c>
      <c r="J532">
        <v>6</v>
      </c>
      <c r="K532" t="s">
        <v>2111</v>
      </c>
      <c r="L532">
        <v>269.45999999999998</v>
      </c>
      <c r="M532">
        <v>44.91</v>
      </c>
      <c r="N532" t="s">
        <v>2619</v>
      </c>
      <c r="O532" t="s">
        <v>462</v>
      </c>
    </row>
    <row r="533" spans="1:15" x14ac:dyDescent="0.3">
      <c r="A533">
        <v>243417</v>
      </c>
      <c r="B533">
        <v>173</v>
      </c>
      <c r="C533" t="s">
        <v>734</v>
      </c>
      <c r="D533" t="s">
        <v>1772</v>
      </c>
      <c r="E533" t="s">
        <v>1899</v>
      </c>
      <c r="F533" s="465">
        <v>46205</v>
      </c>
      <c r="G533">
        <v>27544</v>
      </c>
      <c r="H533" t="s">
        <v>2622</v>
      </c>
      <c r="I533" t="s">
        <v>2100</v>
      </c>
      <c r="J533">
        <v>20.03</v>
      </c>
      <c r="K533" t="s">
        <v>2101</v>
      </c>
      <c r="L533">
        <v>780.97</v>
      </c>
      <c r="M533">
        <v>38.990015</v>
      </c>
      <c r="N533" t="s">
        <v>2623</v>
      </c>
      <c r="O533" t="s">
        <v>463</v>
      </c>
    </row>
    <row r="534" spans="1:15" x14ac:dyDescent="0.3">
      <c r="A534">
        <v>243416</v>
      </c>
      <c r="B534">
        <v>173</v>
      </c>
      <c r="C534" t="s">
        <v>734</v>
      </c>
      <c r="D534" t="s">
        <v>1796</v>
      </c>
      <c r="E534" t="s">
        <v>1900</v>
      </c>
      <c r="F534" s="465">
        <v>46204</v>
      </c>
      <c r="G534">
        <v>28212</v>
      </c>
      <c r="H534" t="s">
        <v>2238</v>
      </c>
      <c r="I534" t="s">
        <v>2100</v>
      </c>
      <c r="J534">
        <v>103.1</v>
      </c>
      <c r="K534" t="s">
        <v>2101</v>
      </c>
      <c r="L534">
        <v>4948.8</v>
      </c>
      <c r="M534">
        <v>48</v>
      </c>
      <c r="N534" t="s">
        <v>2624</v>
      </c>
      <c r="O534" t="s">
        <v>463</v>
      </c>
    </row>
    <row r="535" spans="1:15" x14ac:dyDescent="0.3">
      <c r="A535">
        <v>243416</v>
      </c>
      <c r="B535">
        <v>173</v>
      </c>
      <c r="C535" t="s">
        <v>734</v>
      </c>
      <c r="D535" t="s">
        <v>1796</v>
      </c>
      <c r="E535" t="s">
        <v>1900</v>
      </c>
      <c r="F535" s="465">
        <v>46204</v>
      </c>
      <c r="G535">
        <v>22734</v>
      </c>
      <c r="H535" t="s">
        <v>2625</v>
      </c>
      <c r="I535" t="s">
        <v>2100</v>
      </c>
      <c r="J535">
        <v>20</v>
      </c>
      <c r="K535" t="s">
        <v>2101</v>
      </c>
      <c r="L535">
        <v>1980</v>
      </c>
      <c r="M535">
        <v>99</v>
      </c>
      <c r="N535" t="s">
        <v>2624</v>
      </c>
      <c r="O535" t="s">
        <v>463</v>
      </c>
    </row>
    <row r="536" spans="1:15" x14ac:dyDescent="0.3">
      <c r="A536">
        <v>243416</v>
      </c>
      <c r="B536">
        <v>173</v>
      </c>
      <c r="C536" t="s">
        <v>734</v>
      </c>
      <c r="D536" t="s">
        <v>1796</v>
      </c>
      <c r="E536" t="s">
        <v>1900</v>
      </c>
      <c r="F536" s="465">
        <v>46204</v>
      </c>
      <c r="G536">
        <v>20437</v>
      </c>
      <c r="H536" t="s">
        <v>2626</v>
      </c>
      <c r="I536" t="s">
        <v>2100</v>
      </c>
      <c r="J536">
        <v>16</v>
      </c>
      <c r="K536" t="s">
        <v>2101</v>
      </c>
      <c r="L536">
        <v>1520</v>
      </c>
      <c r="M536">
        <v>95</v>
      </c>
      <c r="N536" t="s">
        <v>2624</v>
      </c>
      <c r="O536" t="s">
        <v>463</v>
      </c>
    </row>
    <row r="537" spans="1:15" x14ac:dyDescent="0.3">
      <c r="A537">
        <v>243416</v>
      </c>
      <c r="B537">
        <v>173</v>
      </c>
      <c r="C537" t="s">
        <v>734</v>
      </c>
      <c r="D537" t="s">
        <v>1796</v>
      </c>
      <c r="E537" t="s">
        <v>1900</v>
      </c>
      <c r="F537" s="465">
        <v>46204</v>
      </c>
      <c r="G537">
        <v>24072</v>
      </c>
      <c r="H537" t="s">
        <v>2627</v>
      </c>
      <c r="I537" t="s">
        <v>2100</v>
      </c>
      <c r="J537">
        <v>40.700000000000003</v>
      </c>
      <c r="K537" t="s">
        <v>2101</v>
      </c>
      <c r="L537">
        <v>9361</v>
      </c>
      <c r="M537">
        <v>230</v>
      </c>
      <c r="N537" t="s">
        <v>2624</v>
      </c>
      <c r="O537" t="s">
        <v>463</v>
      </c>
    </row>
    <row r="538" spans="1:15" x14ac:dyDescent="0.3">
      <c r="A538">
        <v>243416</v>
      </c>
      <c r="B538">
        <v>173</v>
      </c>
      <c r="C538" t="s">
        <v>734</v>
      </c>
      <c r="D538" t="s">
        <v>1796</v>
      </c>
      <c r="E538" t="s">
        <v>1900</v>
      </c>
      <c r="F538" s="465">
        <v>46204</v>
      </c>
      <c r="G538">
        <v>24200</v>
      </c>
      <c r="H538" t="s">
        <v>2628</v>
      </c>
      <c r="I538" t="s">
        <v>2100</v>
      </c>
      <c r="J538">
        <v>62</v>
      </c>
      <c r="K538" t="s">
        <v>2101</v>
      </c>
      <c r="L538">
        <v>2039.8</v>
      </c>
      <c r="M538">
        <v>32.9</v>
      </c>
      <c r="N538" t="s">
        <v>2624</v>
      </c>
      <c r="O538" t="s">
        <v>463</v>
      </c>
    </row>
    <row r="539" spans="1:15" x14ac:dyDescent="0.3">
      <c r="A539">
        <v>243412</v>
      </c>
      <c r="B539">
        <v>173</v>
      </c>
      <c r="C539" t="s">
        <v>734</v>
      </c>
      <c r="D539" t="s">
        <v>1772</v>
      </c>
      <c r="E539" t="s">
        <v>1901</v>
      </c>
      <c r="F539" s="465">
        <v>46203</v>
      </c>
      <c r="G539">
        <v>25130</v>
      </c>
      <c r="H539" t="s">
        <v>2209</v>
      </c>
      <c r="I539" t="s">
        <v>2100</v>
      </c>
      <c r="J539">
        <v>201.41</v>
      </c>
      <c r="K539" t="s">
        <v>2101</v>
      </c>
      <c r="L539">
        <v>7250.58</v>
      </c>
      <c r="M539">
        <v>35.999105999999998</v>
      </c>
      <c r="N539" t="s">
        <v>2629</v>
      </c>
      <c r="O539" t="s">
        <v>462</v>
      </c>
    </row>
    <row r="540" spans="1:15" x14ac:dyDescent="0.3">
      <c r="A540">
        <v>243409</v>
      </c>
      <c r="B540">
        <v>173</v>
      </c>
      <c r="C540" t="s">
        <v>734</v>
      </c>
      <c r="D540" t="s">
        <v>1902</v>
      </c>
      <c r="E540" t="s">
        <v>1903</v>
      </c>
      <c r="F540" s="465">
        <v>46199</v>
      </c>
      <c r="G540">
        <v>20351</v>
      </c>
      <c r="H540" t="s">
        <v>2630</v>
      </c>
      <c r="I540" t="s">
        <v>2100</v>
      </c>
      <c r="J540">
        <v>4</v>
      </c>
      <c r="K540" t="s">
        <v>2111</v>
      </c>
      <c r="L540">
        <v>1275.5999999999999</v>
      </c>
      <c r="M540">
        <v>318.89999999999998</v>
      </c>
      <c r="N540" t="s">
        <v>2631</v>
      </c>
      <c r="O540" t="s">
        <v>462</v>
      </c>
    </row>
    <row r="541" spans="1:15" x14ac:dyDescent="0.3">
      <c r="A541">
        <v>243405</v>
      </c>
      <c r="B541">
        <v>173</v>
      </c>
      <c r="C541" t="s">
        <v>734</v>
      </c>
      <c r="D541" t="s">
        <v>1847</v>
      </c>
      <c r="E541" t="s">
        <v>1904</v>
      </c>
      <c r="F541" s="465">
        <v>46197</v>
      </c>
      <c r="G541">
        <v>27212</v>
      </c>
      <c r="H541" t="s">
        <v>2444</v>
      </c>
      <c r="I541" t="s">
        <v>2110</v>
      </c>
      <c r="J541">
        <v>1</v>
      </c>
      <c r="K541" t="s">
        <v>2118</v>
      </c>
      <c r="L541">
        <v>95.12</v>
      </c>
      <c r="M541">
        <v>95.12</v>
      </c>
      <c r="N541" t="s">
        <v>2632</v>
      </c>
      <c r="O541" t="s">
        <v>462</v>
      </c>
    </row>
    <row r="542" spans="1:15" x14ac:dyDescent="0.3">
      <c r="A542">
        <v>243405</v>
      </c>
      <c r="B542">
        <v>173</v>
      </c>
      <c r="C542" t="s">
        <v>734</v>
      </c>
      <c r="D542" t="s">
        <v>1847</v>
      </c>
      <c r="E542" t="s">
        <v>1904</v>
      </c>
      <c r="F542" s="465">
        <v>46197</v>
      </c>
      <c r="G542">
        <v>27213</v>
      </c>
      <c r="H542" t="s">
        <v>2441</v>
      </c>
      <c r="I542" t="s">
        <v>2110</v>
      </c>
      <c r="J542">
        <v>1</v>
      </c>
      <c r="K542" t="s">
        <v>2118</v>
      </c>
      <c r="L542">
        <v>95.12</v>
      </c>
      <c r="M542">
        <v>95.12</v>
      </c>
      <c r="N542" t="s">
        <v>2632</v>
      </c>
      <c r="O542" t="s">
        <v>462</v>
      </c>
    </row>
    <row r="543" spans="1:15" x14ac:dyDescent="0.3">
      <c r="A543">
        <v>243402</v>
      </c>
      <c r="B543">
        <v>173</v>
      </c>
      <c r="C543" t="s">
        <v>734</v>
      </c>
      <c r="D543" t="s">
        <v>1905</v>
      </c>
      <c r="E543" t="s">
        <v>1906</v>
      </c>
      <c r="F543" s="465">
        <v>46198</v>
      </c>
      <c r="G543">
        <v>19291</v>
      </c>
      <c r="H543" t="s">
        <v>2633</v>
      </c>
      <c r="I543" t="s">
        <v>2100</v>
      </c>
      <c r="J543">
        <v>124.7</v>
      </c>
      <c r="K543" t="s">
        <v>2101</v>
      </c>
      <c r="L543">
        <v>7482</v>
      </c>
      <c r="M543">
        <v>60</v>
      </c>
      <c r="N543" t="s">
        <v>2634</v>
      </c>
      <c r="O543" t="s">
        <v>462</v>
      </c>
    </row>
    <row r="544" spans="1:15" x14ac:dyDescent="0.3">
      <c r="A544">
        <v>243401</v>
      </c>
      <c r="B544">
        <v>173</v>
      </c>
      <c r="C544" t="s">
        <v>734</v>
      </c>
      <c r="D544" t="s">
        <v>1794</v>
      </c>
      <c r="E544" t="s">
        <v>1907</v>
      </c>
      <c r="F544" s="465">
        <v>46197</v>
      </c>
      <c r="G544">
        <v>25233</v>
      </c>
      <c r="H544" t="s">
        <v>2236</v>
      </c>
      <c r="I544" t="s">
        <v>2100</v>
      </c>
      <c r="J544">
        <v>20</v>
      </c>
      <c r="K544" t="s">
        <v>2237</v>
      </c>
      <c r="L544">
        <v>2003.4</v>
      </c>
      <c r="M544">
        <v>100.17</v>
      </c>
      <c r="N544" t="s">
        <v>2635</v>
      </c>
      <c r="O544" t="s">
        <v>462</v>
      </c>
    </row>
    <row r="545" spans="1:15" x14ac:dyDescent="0.3">
      <c r="A545">
        <v>242954</v>
      </c>
      <c r="B545">
        <v>173</v>
      </c>
      <c r="C545" t="s">
        <v>734</v>
      </c>
      <c r="D545" t="s">
        <v>1721</v>
      </c>
      <c r="E545" t="s">
        <v>1908</v>
      </c>
      <c r="F545" s="465">
        <v>46203</v>
      </c>
      <c r="G545">
        <v>18682</v>
      </c>
      <c r="H545" t="s">
        <v>2636</v>
      </c>
      <c r="I545" t="s">
        <v>2100</v>
      </c>
      <c r="J545">
        <v>30</v>
      </c>
      <c r="K545" t="s">
        <v>2101</v>
      </c>
      <c r="L545">
        <v>839.7</v>
      </c>
      <c r="M545">
        <v>27.99</v>
      </c>
      <c r="N545" t="s">
        <v>2637</v>
      </c>
      <c r="O545" t="s">
        <v>462</v>
      </c>
    </row>
    <row r="546" spans="1:15" x14ac:dyDescent="0.3">
      <c r="A546">
        <v>242954</v>
      </c>
      <c r="B546">
        <v>173</v>
      </c>
      <c r="C546" t="s">
        <v>734</v>
      </c>
      <c r="D546" t="s">
        <v>1721</v>
      </c>
      <c r="E546" t="s">
        <v>1908</v>
      </c>
      <c r="F546" s="465">
        <v>46203</v>
      </c>
      <c r="G546">
        <v>24517</v>
      </c>
      <c r="H546" t="s">
        <v>2638</v>
      </c>
      <c r="I546" t="s">
        <v>2100</v>
      </c>
      <c r="J546">
        <v>203</v>
      </c>
      <c r="K546" t="s">
        <v>2101</v>
      </c>
      <c r="L546">
        <v>5420.1</v>
      </c>
      <c r="M546">
        <v>26.7</v>
      </c>
      <c r="N546" t="s">
        <v>2637</v>
      </c>
      <c r="O546" t="s">
        <v>462</v>
      </c>
    </row>
    <row r="547" spans="1:15" x14ac:dyDescent="0.3">
      <c r="A547">
        <v>242954</v>
      </c>
      <c r="B547">
        <v>173</v>
      </c>
      <c r="C547" t="s">
        <v>734</v>
      </c>
      <c r="D547" t="s">
        <v>1721</v>
      </c>
      <c r="E547" t="s">
        <v>1908</v>
      </c>
      <c r="F547" s="465">
        <v>46203</v>
      </c>
      <c r="G547">
        <v>24416</v>
      </c>
      <c r="H547" t="s">
        <v>2639</v>
      </c>
      <c r="I547" t="s">
        <v>2100</v>
      </c>
      <c r="J547">
        <v>35</v>
      </c>
      <c r="K547" t="s">
        <v>2101</v>
      </c>
      <c r="L547">
        <v>542.5</v>
      </c>
      <c r="M547">
        <v>15.5</v>
      </c>
      <c r="N547" t="s">
        <v>2637</v>
      </c>
      <c r="O547" t="s">
        <v>462</v>
      </c>
    </row>
    <row r="548" spans="1:15" x14ac:dyDescent="0.3">
      <c r="A548">
        <v>242954</v>
      </c>
      <c r="B548">
        <v>173</v>
      </c>
      <c r="C548" t="s">
        <v>734</v>
      </c>
      <c r="D548" t="s">
        <v>1721</v>
      </c>
      <c r="E548" t="s">
        <v>1908</v>
      </c>
      <c r="F548" s="465">
        <v>46203</v>
      </c>
      <c r="G548">
        <v>24393</v>
      </c>
      <c r="H548" t="s">
        <v>2640</v>
      </c>
      <c r="I548" t="s">
        <v>2100</v>
      </c>
      <c r="J548">
        <v>30</v>
      </c>
      <c r="K548" t="s">
        <v>2101</v>
      </c>
      <c r="L548">
        <v>419.7</v>
      </c>
      <c r="M548">
        <v>13.99</v>
      </c>
      <c r="N548" t="s">
        <v>2637</v>
      </c>
      <c r="O548" t="s">
        <v>462</v>
      </c>
    </row>
    <row r="549" spans="1:15" x14ac:dyDescent="0.3">
      <c r="A549">
        <v>242953</v>
      </c>
      <c r="B549">
        <v>173</v>
      </c>
      <c r="C549" t="s">
        <v>734</v>
      </c>
      <c r="D549" t="s">
        <v>1909</v>
      </c>
      <c r="E549" t="s">
        <v>1910</v>
      </c>
      <c r="F549" s="465">
        <v>46202</v>
      </c>
      <c r="G549">
        <v>17212</v>
      </c>
      <c r="H549" t="s">
        <v>2641</v>
      </c>
      <c r="I549" t="s">
        <v>2105</v>
      </c>
      <c r="J549">
        <v>5</v>
      </c>
      <c r="K549" t="s">
        <v>2642</v>
      </c>
      <c r="L549">
        <v>1150</v>
      </c>
      <c r="M549">
        <v>230</v>
      </c>
      <c r="N549" t="s">
        <v>2643</v>
      </c>
      <c r="O549" t="s">
        <v>462</v>
      </c>
    </row>
    <row r="550" spans="1:15" x14ac:dyDescent="0.3">
      <c r="A550">
        <v>242953</v>
      </c>
      <c r="B550">
        <v>173</v>
      </c>
      <c r="C550" t="s">
        <v>734</v>
      </c>
      <c r="D550" t="s">
        <v>1909</v>
      </c>
      <c r="E550" t="s">
        <v>1910</v>
      </c>
      <c r="F550" s="465">
        <v>46202</v>
      </c>
      <c r="G550">
        <v>17205</v>
      </c>
      <c r="H550" t="s">
        <v>2644</v>
      </c>
      <c r="I550" t="s">
        <v>2105</v>
      </c>
      <c r="J550">
        <v>5</v>
      </c>
      <c r="K550" t="s">
        <v>2642</v>
      </c>
      <c r="L550">
        <v>850</v>
      </c>
      <c r="M550">
        <v>170</v>
      </c>
      <c r="N550" t="s">
        <v>2643</v>
      </c>
      <c r="O550" t="s">
        <v>462</v>
      </c>
    </row>
    <row r="551" spans="1:15" x14ac:dyDescent="0.3">
      <c r="A551">
        <v>242944</v>
      </c>
      <c r="B551">
        <v>173</v>
      </c>
      <c r="C551" t="s">
        <v>734</v>
      </c>
      <c r="D551" t="s">
        <v>1770</v>
      </c>
      <c r="E551" t="s">
        <v>1911</v>
      </c>
      <c r="F551" s="465">
        <v>46203</v>
      </c>
      <c r="G551">
        <v>28836</v>
      </c>
      <c r="H551" t="s">
        <v>2645</v>
      </c>
      <c r="I551" t="s">
        <v>2100</v>
      </c>
      <c r="J551">
        <v>30.5</v>
      </c>
      <c r="K551" t="s">
        <v>2101</v>
      </c>
      <c r="L551">
        <v>2714.5</v>
      </c>
      <c r="M551">
        <v>89</v>
      </c>
      <c r="N551" t="s">
        <v>2646</v>
      </c>
      <c r="O551" t="s">
        <v>462</v>
      </c>
    </row>
    <row r="552" spans="1:15" x14ac:dyDescent="0.3">
      <c r="A552">
        <v>242939</v>
      </c>
      <c r="B552">
        <v>173</v>
      </c>
      <c r="C552" t="s">
        <v>734</v>
      </c>
      <c r="D552" t="s">
        <v>1772</v>
      </c>
      <c r="E552" t="s">
        <v>1912</v>
      </c>
      <c r="F552" s="465">
        <v>46202</v>
      </c>
      <c r="G552">
        <v>29679</v>
      </c>
      <c r="H552" t="s">
        <v>2647</v>
      </c>
      <c r="I552" t="s">
        <v>2100</v>
      </c>
      <c r="J552">
        <v>19.84</v>
      </c>
      <c r="K552" t="s">
        <v>2101</v>
      </c>
      <c r="L552">
        <v>1686.31</v>
      </c>
      <c r="M552">
        <v>84.995463999999998</v>
      </c>
      <c r="N552" t="s">
        <v>2648</v>
      </c>
      <c r="O552" t="s">
        <v>462</v>
      </c>
    </row>
    <row r="553" spans="1:15" x14ac:dyDescent="0.3">
      <c r="A553">
        <v>242935</v>
      </c>
      <c r="B553">
        <v>173</v>
      </c>
      <c r="C553" t="s">
        <v>734</v>
      </c>
      <c r="D553" t="s">
        <v>1913</v>
      </c>
      <c r="E553" t="s">
        <v>1914</v>
      </c>
      <c r="F553" s="465">
        <v>46199</v>
      </c>
      <c r="G553">
        <v>24809</v>
      </c>
      <c r="H553" t="s">
        <v>2649</v>
      </c>
      <c r="I553" t="s">
        <v>2100</v>
      </c>
      <c r="J553">
        <v>30</v>
      </c>
      <c r="K553" t="s">
        <v>2101</v>
      </c>
      <c r="L553">
        <v>2940</v>
      </c>
      <c r="M553">
        <v>98</v>
      </c>
      <c r="N553" t="s">
        <v>2650</v>
      </c>
      <c r="O553" t="s">
        <v>462</v>
      </c>
    </row>
    <row r="554" spans="1:15" x14ac:dyDescent="0.3">
      <c r="A554">
        <v>242935</v>
      </c>
      <c r="B554">
        <v>173</v>
      </c>
      <c r="C554" t="s">
        <v>734</v>
      </c>
      <c r="D554" t="s">
        <v>1913</v>
      </c>
      <c r="E554" t="s">
        <v>1914</v>
      </c>
      <c r="F554" s="465">
        <v>46199</v>
      </c>
      <c r="G554">
        <v>18773</v>
      </c>
      <c r="H554" t="s">
        <v>2651</v>
      </c>
      <c r="I554" t="s">
        <v>2100</v>
      </c>
      <c r="J554">
        <v>20</v>
      </c>
      <c r="K554" t="s">
        <v>2101</v>
      </c>
      <c r="L554">
        <v>1358</v>
      </c>
      <c r="M554">
        <v>67.900000000000006</v>
      </c>
      <c r="N554" t="s">
        <v>2650</v>
      </c>
      <c r="O554" t="s">
        <v>462</v>
      </c>
    </row>
    <row r="555" spans="1:15" x14ac:dyDescent="0.3">
      <c r="A555">
        <v>242929</v>
      </c>
      <c r="B555">
        <v>173</v>
      </c>
      <c r="C555" t="s">
        <v>734</v>
      </c>
      <c r="D555" t="s">
        <v>1915</v>
      </c>
      <c r="E555" t="s">
        <v>1916</v>
      </c>
      <c r="F555" s="465">
        <v>46198</v>
      </c>
      <c r="G555">
        <v>26627</v>
      </c>
      <c r="H555" t="s">
        <v>2652</v>
      </c>
      <c r="I555" t="s">
        <v>2100</v>
      </c>
      <c r="J555">
        <v>60</v>
      </c>
      <c r="K555" t="s">
        <v>2101</v>
      </c>
      <c r="L555">
        <v>474</v>
      </c>
      <c r="M555">
        <v>7.9</v>
      </c>
      <c r="N555" t="s">
        <v>2653</v>
      </c>
      <c r="O555" t="s">
        <v>462</v>
      </c>
    </row>
    <row r="556" spans="1:15" x14ac:dyDescent="0.3">
      <c r="A556">
        <v>242904</v>
      </c>
      <c r="B556">
        <v>173</v>
      </c>
      <c r="C556" t="s">
        <v>734</v>
      </c>
      <c r="D556" t="s">
        <v>1744</v>
      </c>
      <c r="E556" t="s">
        <v>1917</v>
      </c>
      <c r="F556" s="465">
        <v>46203</v>
      </c>
      <c r="G556">
        <v>24002</v>
      </c>
      <c r="H556" t="s">
        <v>2654</v>
      </c>
      <c r="I556" t="s">
        <v>2088</v>
      </c>
      <c r="J556">
        <v>120</v>
      </c>
      <c r="K556" t="s">
        <v>2111</v>
      </c>
      <c r="L556">
        <v>613.20000000000005</v>
      </c>
      <c r="M556">
        <v>5.1100000000000003</v>
      </c>
      <c r="N556" t="s">
        <v>2655</v>
      </c>
      <c r="O556" t="s">
        <v>462</v>
      </c>
    </row>
    <row r="557" spans="1:15" x14ac:dyDescent="0.3">
      <c r="A557">
        <v>240873</v>
      </c>
      <c r="B557">
        <v>173</v>
      </c>
      <c r="C557" t="s">
        <v>734</v>
      </c>
      <c r="D557" t="s">
        <v>2656</v>
      </c>
      <c r="E557" t="s">
        <v>2657</v>
      </c>
      <c r="F557" s="465">
        <v>46185</v>
      </c>
      <c r="G557">
        <v>29880</v>
      </c>
      <c r="H557" t="s">
        <v>2658</v>
      </c>
      <c r="I557" t="s">
        <v>2110</v>
      </c>
      <c r="J557">
        <v>4</v>
      </c>
      <c r="K557" t="s">
        <v>2111</v>
      </c>
      <c r="L557">
        <v>4622.32</v>
      </c>
      <c r="M557">
        <v>1155.58</v>
      </c>
      <c r="O557" t="s">
        <v>462</v>
      </c>
    </row>
    <row r="558" spans="1:15" x14ac:dyDescent="0.3">
      <c r="A558">
        <v>240873</v>
      </c>
      <c r="B558">
        <v>173</v>
      </c>
      <c r="C558" t="s">
        <v>734</v>
      </c>
      <c r="D558" t="s">
        <v>2656</v>
      </c>
      <c r="E558" t="s">
        <v>2657</v>
      </c>
      <c r="F558" s="465">
        <v>46185</v>
      </c>
      <c r="G558">
        <v>29882</v>
      </c>
      <c r="H558" t="s">
        <v>2659</v>
      </c>
      <c r="I558" t="s">
        <v>2110</v>
      </c>
      <c r="J558">
        <v>2</v>
      </c>
      <c r="K558" t="s">
        <v>2111</v>
      </c>
      <c r="L558">
        <v>4881.5200000000004</v>
      </c>
      <c r="M558">
        <v>2440.7600000000002</v>
      </c>
      <c r="O558" t="s">
        <v>462</v>
      </c>
    </row>
    <row r="559" spans="1:15" x14ac:dyDescent="0.3">
      <c r="A559">
        <v>240873</v>
      </c>
      <c r="B559">
        <v>173</v>
      </c>
      <c r="C559" t="s">
        <v>734</v>
      </c>
      <c r="D559" t="s">
        <v>2656</v>
      </c>
      <c r="E559" t="s">
        <v>2657</v>
      </c>
      <c r="F559" s="465">
        <v>46185</v>
      </c>
      <c r="G559">
        <v>29881</v>
      </c>
      <c r="H559" t="s">
        <v>2660</v>
      </c>
      <c r="I559" t="s">
        <v>2110</v>
      </c>
      <c r="J559">
        <v>10</v>
      </c>
      <c r="K559" t="s">
        <v>2111</v>
      </c>
      <c r="L559">
        <v>1650</v>
      </c>
      <c r="M559">
        <v>165</v>
      </c>
      <c r="O559" t="s">
        <v>462</v>
      </c>
    </row>
    <row r="560" spans="1:15" x14ac:dyDescent="0.3">
      <c r="A560">
        <v>240873</v>
      </c>
      <c r="B560">
        <v>173</v>
      </c>
      <c r="C560" t="s">
        <v>734</v>
      </c>
      <c r="D560" t="s">
        <v>2656</v>
      </c>
      <c r="E560" t="s">
        <v>2657</v>
      </c>
      <c r="F560" s="465">
        <v>46185</v>
      </c>
      <c r="G560">
        <v>29879</v>
      </c>
      <c r="H560" t="s">
        <v>2661</v>
      </c>
      <c r="I560" t="s">
        <v>2110</v>
      </c>
      <c r="J560">
        <v>4</v>
      </c>
      <c r="K560" t="s">
        <v>2111</v>
      </c>
      <c r="L560">
        <v>4416</v>
      </c>
      <c r="M560">
        <v>1104</v>
      </c>
      <c r="O560" t="s">
        <v>462</v>
      </c>
    </row>
    <row r="561" spans="1:15" x14ac:dyDescent="0.3">
      <c r="A561">
        <v>240873</v>
      </c>
      <c r="B561">
        <v>173</v>
      </c>
      <c r="C561" t="s">
        <v>734</v>
      </c>
      <c r="D561" t="s">
        <v>2656</v>
      </c>
      <c r="E561" t="s">
        <v>2657</v>
      </c>
      <c r="F561" s="465">
        <v>46185</v>
      </c>
      <c r="G561">
        <v>29883</v>
      </c>
      <c r="H561" t="s">
        <v>2662</v>
      </c>
      <c r="I561" t="s">
        <v>2110</v>
      </c>
      <c r="J561">
        <v>200</v>
      </c>
      <c r="K561" t="s">
        <v>2111</v>
      </c>
      <c r="L561">
        <v>1312</v>
      </c>
      <c r="M561">
        <v>6.56</v>
      </c>
      <c r="O561" t="s">
        <v>462</v>
      </c>
    </row>
    <row r="562" spans="1:15" x14ac:dyDescent="0.3">
      <c r="A562">
        <v>240873</v>
      </c>
      <c r="B562">
        <v>173</v>
      </c>
      <c r="C562" t="s">
        <v>734</v>
      </c>
      <c r="D562" t="s">
        <v>2656</v>
      </c>
      <c r="E562" t="s">
        <v>2657</v>
      </c>
      <c r="F562" s="465">
        <v>46185</v>
      </c>
      <c r="G562">
        <v>29911</v>
      </c>
      <c r="H562" t="s">
        <v>2663</v>
      </c>
      <c r="I562" t="s">
        <v>2110</v>
      </c>
      <c r="J562">
        <v>2</v>
      </c>
      <c r="K562" t="s">
        <v>2309</v>
      </c>
      <c r="L562">
        <v>19120</v>
      </c>
      <c r="M562">
        <v>9560</v>
      </c>
      <c r="O562" t="s">
        <v>462</v>
      </c>
    </row>
    <row r="563" spans="1:15" x14ac:dyDescent="0.3">
      <c r="A563">
        <v>240873</v>
      </c>
      <c r="B563">
        <v>173</v>
      </c>
      <c r="C563" t="s">
        <v>734</v>
      </c>
      <c r="D563" t="s">
        <v>2656</v>
      </c>
      <c r="E563" t="s">
        <v>2657</v>
      </c>
      <c r="F563" s="465">
        <v>46185</v>
      </c>
      <c r="G563">
        <v>29893</v>
      </c>
      <c r="H563" t="s">
        <v>2664</v>
      </c>
      <c r="I563" t="s">
        <v>2110</v>
      </c>
      <c r="J563">
        <v>1</v>
      </c>
      <c r="K563" t="s">
        <v>2309</v>
      </c>
      <c r="L563">
        <v>147.19999999999999</v>
      </c>
      <c r="M563">
        <v>147.19999999999999</v>
      </c>
      <c r="O563" t="s">
        <v>462</v>
      </c>
    </row>
    <row r="564" spans="1:15" x14ac:dyDescent="0.3">
      <c r="A564">
        <v>240873</v>
      </c>
      <c r="B564">
        <v>173</v>
      </c>
      <c r="C564" t="s">
        <v>734</v>
      </c>
      <c r="D564" t="s">
        <v>2656</v>
      </c>
      <c r="E564" t="s">
        <v>2657</v>
      </c>
      <c r="F564" s="465">
        <v>46185</v>
      </c>
      <c r="G564">
        <v>29878</v>
      </c>
      <c r="H564" t="s">
        <v>2665</v>
      </c>
      <c r="I564" t="s">
        <v>2110</v>
      </c>
      <c r="J564">
        <v>2</v>
      </c>
      <c r="K564" t="s">
        <v>2111</v>
      </c>
      <c r="L564">
        <v>18520</v>
      </c>
      <c r="M564">
        <v>9260</v>
      </c>
      <c r="O564" t="s">
        <v>462</v>
      </c>
    </row>
    <row r="565" spans="1:15" x14ac:dyDescent="0.3">
      <c r="A565">
        <v>240873</v>
      </c>
      <c r="B565">
        <v>173</v>
      </c>
      <c r="C565" t="s">
        <v>734</v>
      </c>
      <c r="D565" t="s">
        <v>2656</v>
      </c>
      <c r="E565" t="s">
        <v>2657</v>
      </c>
      <c r="F565" s="465">
        <v>46185</v>
      </c>
      <c r="G565">
        <v>29877</v>
      </c>
      <c r="H565" t="s">
        <v>2666</v>
      </c>
      <c r="I565" t="s">
        <v>2110</v>
      </c>
      <c r="J565">
        <v>1</v>
      </c>
      <c r="K565" t="s">
        <v>2111</v>
      </c>
      <c r="L565">
        <v>15131.78</v>
      </c>
      <c r="M565">
        <v>15131.78</v>
      </c>
      <c r="O565" t="s">
        <v>462</v>
      </c>
    </row>
    <row r="566" spans="1:15" x14ac:dyDescent="0.3">
      <c r="A566">
        <v>240585</v>
      </c>
      <c r="B566">
        <v>173</v>
      </c>
      <c r="C566" t="s">
        <v>734</v>
      </c>
      <c r="D566" t="s">
        <v>1734</v>
      </c>
      <c r="E566" t="s">
        <v>1920</v>
      </c>
      <c r="F566" s="465">
        <v>46188</v>
      </c>
      <c r="G566">
        <v>28658</v>
      </c>
      <c r="H566" t="s">
        <v>2667</v>
      </c>
      <c r="I566" t="s">
        <v>2105</v>
      </c>
      <c r="J566">
        <v>8</v>
      </c>
      <c r="K566" t="s">
        <v>2118</v>
      </c>
      <c r="L566">
        <v>1976</v>
      </c>
      <c r="M566">
        <v>247</v>
      </c>
      <c r="O566" t="s">
        <v>462</v>
      </c>
    </row>
    <row r="567" spans="1:15" x14ac:dyDescent="0.3">
      <c r="A567">
        <v>240577</v>
      </c>
      <c r="B567">
        <v>173</v>
      </c>
      <c r="C567" t="s">
        <v>734</v>
      </c>
      <c r="D567" t="s">
        <v>1749</v>
      </c>
      <c r="E567" t="s">
        <v>1921</v>
      </c>
      <c r="F567" s="465">
        <v>46191</v>
      </c>
      <c r="G567">
        <v>18636</v>
      </c>
      <c r="H567" t="s">
        <v>2146</v>
      </c>
      <c r="I567" t="s">
        <v>2088</v>
      </c>
      <c r="J567">
        <v>70</v>
      </c>
      <c r="K567" t="s">
        <v>2147</v>
      </c>
      <c r="L567">
        <v>24631.599999999999</v>
      </c>
      <c r="M567">
        <v>351.88</v>
      </c>
      <c r="O567" t="s">
        <v>462</v>
      </c>
    </row>
    <row r="568" spans="1:15" x14ac:dyDescent="0.3">
      <c r="A568">
        <v>240374</v>
      </c>
      <c r="B568">
        <v>173</v>
      </c>
      <c r="C568" t="s">
        <v>734</v>
      </c>
      <c r="D568" t="s">
        <v>1758</v>
      </c>
      <c r="E568" t="s">
        <v>1922</v>
      </c>
      <c r="F568" s="465">
        <v>46188</v>
      </c>
      <c r="G568">
        <v>29885</v>
      </c>
      <c r="H568" t="s">
        <v>2189</v>
      </c>
      <c r="I568" t="s">
        <v>2110</v>
      </c>
      <c r="J568">
        <v>4</v>
      </c>
      <c r="K568" t="s">
        <v>2309</v>
      </c>
      <c r="L568">
        <v>880</v>
      </c>
      <c r="M568">
        <v>220</v>
      </c>
      <c r="N568" t="s">
        <v>2668</v>
      </c>
      <c r="O568" t="s">
        <v>462</v>
      </c>
    </row>
    <row r="569" spans="1:15" x14ac:dyDescent="0.3">
      <c r="A569">
        <v>240374</v>
      </c>
      <c r="B569">
        <v>173</v>
      </c>
      <c r="C569" t="s">
        <v>734</v>
      </c>
      <c r="D569" t="s">
        <v>1758</v>
      </c>
      <c r="E569" t="s">
        <v>1922</v>
      </c>
      <c r="F569" s="465">
        <v>46188</v>
      </c>
      <c r="G569">
        <v>29886</v>
      </c>
      <c r="H569" t="s">
        <v>2669</v>
      </c>
      <c r="I569" t="s">
        <v>2110</v>
      </c>
      <c r="J569">
        <v>15</v>
      </c>
      <c r="K569" t="s">
        <v>2111</v>
      </c>
      <c r="L569">
        <v>240</v>
      </c>
      <c r="M569">
        <v>16</v>
      </c>
      <c r="N569" t="s">
        <v>2668</v>
      </c>
      <c r="O569" t="s">
        <v>462</v>
      </c>
    </row>
    <row r="570" spans="1:15" x14ac:dyDescent="0.3">
      <c r="A570">
        <v>240374</v>
      </c>
      <c r="B570">
        <v>173</v>
      </c>
      <c r="C570" t="s">
        <v>734</v>
      </c>
      <c r="D570" t="s">
        <v>1758</v>
      </c>
      <c r="E570" t="s">
        <v>1922</v>
      </c>
      <c r="F570" s="465">
        <v>46188</v>
      </c>
      <c r="G570">
        <v>29884</v>
      </c>
      <c r="H570" t="s">
        <v>2670</v>
      </c>
      <c r="I570" t="s">
        <v>2110</v>
      </c>
      <c r="J570">
        <v>2</v>
      </c>
      <c r="K570" t="s">
        <v>2111</v>
      </c>
      <c r="L570">
        <v>1492</v>
      </c>
      <c r="M570">
        <v>746</v>
      </c>
      <c r="N570" t="s">
        <v>2668</v>
      </c>
      <c r="O570" t="s">
        <v>462</v>
      </c>
    </row>
    <row r="571" spans="1:15" x14ac:dyDescent="0.3">
      <c r="A571">
        <v>240326</v>
      </c>
      <c r="B571">
        <v>173</v>
      </c>
      <c r="C571" t="s">
        <v>734</v>
      </c>
      <c r="D571" t="s">
        <v>1751</v>
      </c>
      <c r="E571" t="s">
        <v>1140</v>
      </c>
      <c r="F571" s="465">
        <v>46191</v>
      </c>
      <c r="G571">
        <v>29322</v>
      </c>
      <c r="H571" t="s">
        <v>2671</v>
      </c>
      <c r="I571" t="s">
        <v>2110</v>
      </c>
      <c r="J571">
        <v>72</v>
      </c>
      <c r="K571" t="s">
        <v>2111</v>
      </c>
      <c r="L571">
        <v>449.28</v>
      </c>
      <c r="M571">
        <v>6.24</v>
      </c>
      <c r="O571" t="s">
        <v>462</v>
      </c>
    </row>
    <row r="572" spans="1:15" x14ac:dyDescent="0.3">
      <c r="A572">
        <v>240326</v>
      </c>
      <c r="B572">
        <v>173</v>
      </c>
      <c r="C572" t="s">
        <v>734</v>
      </c>
      <c r="D572" t="s">
        <v>1751</v>
      </c>
      <c r="E572" t="s">
        <v>1140</v>
      </c>
      <c r="F572" s="465">
        <v>46191</v>
      </c>
      <c r="G572">
        <v>27775</v>
      </c>
      <c r="H572" t="s">
        <v>2672</v>
      </c>
      <c r="I572" t="s">
        <v>2110</v>
      </c>
      <c r="J572">
        <v>100</v>
      </c>
      <c r="K572" t="s">
        <v>2111</v>
      </c>
      <c r="L572">
        <v>1460</v>
      </c>
      <c r="M572">
        <v>14.6</v>
      </c>
      <c r="O572" t="s">
        <v>462</v>
      </c>
    </row>
    <row r="573" spans="1:15" x14ac:dyDescent="0.3">
      <c r="A573">
        <v>240326</v>
      </c>
      <c r="B573">
        <v>173</v>
      </c>
      <c r="C573" t="s">
        <v>734</v>
      </c>
      <c r="D573" t="s">
        <v>1751</v>
      </c>
      <c r="E573" t="s">
        <v>1140</v>
      </c>
      <c r="F573" s="465">
        <v>46191</v>
      </c>
      <c r="G573">
        <v>28614</v>
      </c>
      <c r="H573" t="s">
        <v>2673</v>
      </c>
      <c r="I573" t="s">
        <v>2110</v>
      </c>
      <c r="J573">
        <v>6</v>
      </c>
      <c r="K573" t="s">
        <v>2309</v>
      </c>
      <c r="L573">
        <v>453.36</v>
      </c>
      <c r="M573">
        <v>75.56</v>
      </c>
      <c r="O573" t="s">
        <v>462</v>
      </c>
    </row>
    <row r="574" spans="1:15" x14ac:dyDescent="0.3">
      <c r="A574">
        <v>240326</v>
      </c>
      <c r="B574">
        <v>173</v>
      </c>
      <c r="C574" t="s">
        <v>734</v>
      </c>
      <c r="D574" t="s">
        <v>1751</v>
      </c>
      <c r="E574" t="s">
        <v>1140</v>
      </c>
      <c r="F574" s="465">
        <v>46191</v>
      </c>
      <c r="G574">
        <v>29339</v>
      </c>
      <c r="H574" t="s">
        <v>2674</v>
      </c>
      <c r="I574" t="s">
        <v>2110</v>
      </c>
      <c r="J574">
        <v>25</v>
      </c>
      <c r="K574" t="s">
        <v>2111</v>
      </c>
      <c r="L574">
        <v>721.5</v>
      </c>
      <c r="M574">
        <v>28.86</v>
      </c>
      <c r="O574" t="s">
        <v>462</v>
      </c>
    </row>
    <row r="575" spans="1:15" x14ac:dyDescent="0.3">
      <c r="A575">
        <v>240326</v>
      </c>
      <c r="B575">
        <v>173</v>
      </c>
      <c r="C575" t="s">
        <v>734</v>
      </c>
      <c r="D575" t="s">
        <v>1751</v>
      </c>
      <c r="E575" t="s">
        <v>1140</v>
      </c>
      <c r="F575" s="465">
        <v>46191</v>
      </c>
      <c r="G575">
        <v>29327</v>
      </c>
      <c r="H575" t="s">
        <v>2675</v>
      </c>
      <c r="I575" t="s">
        <v>2110</v>
      </c>
      <c r="J575">
        <v>72</v>
      </c>
      <c r="K575" t="s">
        <v>2111</v>
      </c>
      <c r="L575">
        <v>300.24</v>
      </c>
      <c r="M575">
        <v>4.17</v>
      </c>
      <c r="O575" t="s">
        <v>462</v>
      </c>
    </row>
    <row r="576" spans="1:15" x14ac:dyDescent="0.3">
      <c r="A576">
        <v>240326</v>
      </c>
      <c r="B576">
        <v>173</v>
      </c>
      <c r="C576" t="s">
        <v>734</v>
      </c>
      <c r="D576" t="s">
        <v>1751</v>
      </c>
      <c r="E576" t="s">
        <v>1140</v>
      </c>
      <c r="F576" s="465">
        <v>46191</v>
      </c>
      <c r="G576">
        <v>27593</v>
      </c>
      <c r="H576" t="s">
        <v>2676</v>
      </c>
      <c r="I576" t="s">
        <v>2110</v>
      </c>
      <c r="J576">
        <v>5</v>
      </c>
      <c r="K576" t="s">
        <v>2111</v>
      </c>
      <c r="L576">
        <v>334.4</v>
      </c>
      <c r="M576">
        <v>66.88</v>
      </c>
      <c r="O576" t="s">
        <v>462</v>
      </c>
    </row>
    <row r="577" spans="1:15" x14ac:dyDescent="0.3">
      <c r="A577">
        <v>240326</v>
      </c>
      <c r="B577">
        <v>173</v>
      </c>
      <c r="C577" t="s">
        <v>734</v>
      </c>
      <c r="D577" t="s">
        <v>1751</v>
      </c>
      <c r="E577" t="s">
        <v>1140</v>
      </c>
      <c r="F577" s="465">
        <v>46191</v>
      </c>
      <c r="G577">
        <v>28184</v>
      </c>
      <c r="H577" t="s">
        <v>2677</v>
      </c>
      <c r="I577" t="s">
        <v>2105</v>
      </c>
      <c r="J577">
        <v>20</v>
      </c>
      <c r="K577" t="s">
        <v>2159</v>
      </c>
      <c r="L577">
        <v>2275.8000000000002</v>
      </c>
      <c r="M577">
        <v>113.79</v>
      </c>
      <c r="O577" t="s">
        <v>462</v>
      </c>
    </row>
    <row r="578" spans="1:15" x14ac:dyDescent="0.3">
      <c r="A578">
        <v>240326</v>
      </c>
      <c r="B578">
        <v>173</v>
      </c>
      <c r="C578" t="s">
        <v>734</v>
      </c>
      <c r="D578" t="s">
        <v>1751</v>
      </c>
      <c r="E578" t="s">
        <v>1140</v>
      </c>
      <c r="F578" s="465">
        <v>46191</v>
      </c>
      <c r="G578">
        <v>29390</v>
      </c>
      <c r="H578" t="s">
        <v>2678</v>
      </c>
      <c r="I578" t="s">
        <v>2110</v>
      </c>
      <c r="J578">
        <v>4</v>
      </c>
      <c r="K578" t="s">
        <v>2309</v>
      </c>
      <c r="L578">
        <v>1772.12</v>
      </c>
      <c r="M578">
        <v>443.03</v>
      </c>
      <c r="O578" t="s">
        <v>462</v>
      </c>
    </row>
    <row r="579" spans="1:15" x14ac:dyDescent="0.3">
      <c r="A579">
        <v>240326</v>
      </c>
      <c r="B579">
        <v>173</v>
      </c>
      <c r="C579" t="s">
        <v>734</v>
      </c>
      <c r="D579" t="s">
        <v>1751</v>
      </c>
      <c r="E579" t="s">
        <v>1140</v>
      </c>
      <c r="F579" s="465">
        <v>46191</v>
      </c>
      <c r="G579">
        <v>29389</v>
      </c>
      <c r="H579" t="s">
        <v>2679</v>
      </c>
      <c r="I579" t="s">
        <v>2110</v>
      </c>
      <c r="J579">
        <v>4</v>
      </c>
      <c r="K579" t="s">
        <v>2309</v>
      </c>
      <c r="L579">
        <v>4759</v>
      </c>
      <c r="M579">
        <v>1189.75</v>
      </c>
      <c r="O579" t="s">
        <v>462</v>
      </c>
    </row>
    <row r="580" spans="1:15" x14ac:dyDescent="0.3">
      <c r="A580">
        <v>240326</v>
      </c>
      <c r="B580">
        <v>173</v>
      </c>
      <c r="C580" t="s">
        <v>734</v>
      </c>
      <c r="D580" t="s">
        <v>1751</v>
      </c>
      <c r="E580" t="s">
        <v>1140</v>
      </c>
      <c r="F580" s="465">
        <v>46191</v>
      </c>
      <c r="G580">
        <v>27335</v>
      </c>
      <c r="H580" t="s">
        <v>2680</v>
      </c>
      <c r="I580" t="s">
        <v>2110</v>
      </c>
      <c r="J580">
        <v>5</v>
      </c>
      <c r="K580" t="s">
        <v>2309</v>
      </c>
      <c r="L580">
        <v>137.94999999999999</v>
      </c>
      <c r="M580">
        <v>27.59</v>
      </c>
      <c r="O580" t="s">
        <v>462</v>
      </c>
    </row>
    <row r="581" spans="1:15" x14ac:dyDescent="0.3">
      <c r="A581">
        <v>240326</v>
      </c>
      <c r="B581">
        <v>173</v>
      </c>
      <c r="C581" t="s">
        <v>734</v>
      </c>
      <c r="D581" t="s">
        <v>1751</v>
      </c>
      <c r="E581" t="s">
        <v>1140</v>
      </c>
      <c r="F581" s="465">
        <v>46191</v>
      </c>
      <c r="G581">
        <v>29321</v>
      </c>
      <c r="H581" t="s">
        <v>2681</v>
      </c>
      <c r="I581" t="s">
        <v>2110</v>
      </c>
      <c r="J581">
        <v>20</v>
      </c>
      <c r="K581" t="s">
        <v>2111</v>
      </c>
      <c r="L581">
        <v>787.2</v>
      </c>
      <c r="M581">
        <v>39.36</v>
      </c>
      <c r="O581" t="s">
        <v>462</v>
      </c>
    </row>
    <row r="582" spans="1:15" x14ac:dyDescent="0.3">
      <c r="A582">
        <v>240326</v>
      </c>
      <c r="B582">
        <v>173</v>
      </c>
      <c r="C582" t="s">
        <v>734</v>
      </c>
      <c r="D582" t="s">
        <v>1751</v>
      </c>
      <c r="E582" t="s">
        <v>1140</v>
      </c>
      <c r="F582" s="465">
        <v>46191</v>
      </c>
      <c r="G582">
        <v>27777</v>
      </c>
      <c r="H582" t="s">
        <v>2682</v>
      </c>
      <c r="I582" t="s">
        <v>2110</v>
      </c>
      <c r="J582">
        <v>10</v>
      </c>
      <c r="K582" t="s">
        <v>2111</v>
      </c>
      <c r="L582">
        <v>369.2</v>
      </c>
      <c r="M582">
        <v>36.92</v>
      </c>
      <c r="O582" t="s">
        <v>462</v>
      </c>
    </row>
    <row r="583" spans="1:15" x14ac:dyDescent="0.3">
      <c r="A583">
        <v>240326</v>
      </c>
      <c r="B583">
        <v>173</v>
      </c>
      <c r="C583" t="s">
        <v>734</v>
      </c>
      <c r="D583" t="s">
        <v>1751</v>
      </c>
      <c r="E583" t="s">
        <v>1140</v>
      </c>
      <c r="F583" s="465">
        <v>46191</v>
      </c>
      <c r="G583">
        <v>24718</v>
      </c>
      <c r="H583" t="s">
        <v>2149</v>
      </c>
      <c r="I583" t="s">
        <v>2110</v>
      </c>
      <c r="J583">
        <v>10</v>
      </c>
      <c r="K583" t="s">
        <v>2108</v>
      </c>
      <c r="L583">
        <v>260.3</v>
      </c>
      <c r="M583">
        <v>26.03</v>
      </c>
      <c r="O583" t="s">
        <v>462</v>
      </c>
    </row>
    <row r="584" spans="1:15" x14ac:dyDescent="0.3">
      <c r="A584">
        <v>240326</v>
      </c>
      <c r="B584">
        <v>173</v>
      </c>
      <c r="C584" t="s">
        <v>734</v>
      </c>
      <c r="D584" t="s">
        <v>1751</v>
      </c>
      <c r="E584" t="s">
        <v>1140</v>
      </c>
      <c r="F584" s="465">
        <v>46191</v>
      </c>
      <c r="G584">
        <v>27455</v>
      </c>
      <c r="H584" t="s">
        <v>2683</v>
      </c>
      <c r="I584" t="s">
        <v>2110</v>
      </c>
      <c r="J584">
        <v>40</v>
      </c>
      <c r="K584" t="s">
        <v>2111</v>
      </c>
      <c r="L584">
        <v>1053.2</v>
      </c>
      <c r="M584">
        <v>26.33</v>
      </c>
      <c r="O584" t="s">
        <v>462</v>
      </c>
    </row>
    <row r="585" spans="1:15" x14ac:dyDescent="0.3">
      <c r="A585">
        <v>240326</v>
      </c>
      <c r="B585">
        <v>173</v>
      </c>
      <c r="C585" t="s">
        <v>734</v>
      </c>
      <c r="D585" t="s">
        <v>1751</v>
      </c>
      <c r="E585" t="s">
        <v>1140</v>
      </c>
      <c r="F585" s="465">
        <v>46191</v>
      </c>
      <c r="G585">
        <v>27898</v>
      </c>
      <c r="H585" t="s">
        <v>2684</v>
      </c>
      <c r="I585" t="s">
        <v>2110</v>
      </c>
      <c r="J585">
        <v>200</v>
      </c>
      <c r="K585" t="s">
        <v>2111</v>
      </c>
      <c r="L585">
        <v>5986</v>
      </c>
      <c r="M585">
        <v>29.93</v>
      </c>
      <c r="O585" t="s">
        <v>462</v>
      </c>
    </row>
    <row r="586" spans="1:15" x14ac:dyDescent="0.3">
      <c r="A586">
        <v>240326</v>
      </c>
      <c r="B586">
        <v>173</v>
      </c>
      <c r="C586" t="s">
        <v>734</v>
      </c>
      <c r="D586" t="s">
        <v>1751</v>
      </c>
      <c r="E586" t="s">
        <v>1140</v>
      </c>
      <c r="F586" s="465">
        <v>46191</v>
      </c>
      <c r="G586">
        <v>24724</v>
      </c>
      <c r="H586" t="s">
        <v>2685</v>
      </c>
      <c r="I586" t="s">
        <v>2110</v>
      </c>
      <c r="J586">
        <v>10</v>
      </c>
      <c r="K586" t="s">
        <v>2108</v>
      </c>
      <c r="L586">
        <v>208</v>
      </c>
      <c r="M586">
        <v>20.8</v>
      </c>
      <c r="O586" t="s">
        <v>462</v>
      </c>
    </row>
    <row r="587" spans="1:15" x14ac:dyDescent="0.3">
      <c r="A587">
        <v>240326</v>
      </c>
      <c r="B587">
        <v>173</v>
      </c>
      <c r="C587" t="s">
        <v>734</v>
      </c>
      <c r="D587" t="s">
        <v>1751</v>
      </c>
      <c r="E587" t="s">
        <v>1140</v>
      </c>
      <c r="F587" s="465">
        <v>46191</v>
      </c>
      <c r="G587">
        <v>26673</v>
      </c>
      <c r="H587" t="s">
        <v>2686</v>
      </c>
      <c r="I587" t="s">
        <v>2110</v>
      </c>
      <c r="J587">
        <v>3</v>
      </c>
      <c r="K587" t="s">
        <v>2111</v>
      </c>
      <c r="L587">
        <v>227.7</v>
      </c>
      <c r="M587">
        <v>75.900000000000006</v>
      </c>
      <c r="O587" t="s">
        <v>462</v>
      </c>
    </row>
    <row r="588" spans="1:15" x14ac:dyDescent="0.3">
      <c r="A588">
        <v>240326</v>
      </c>
      <c r="B588">
        <v>173</v>
      </c>
      <c r="C588" t="s">
        <v>734</v>
      </c>
      <c r="D588" t="s">
        <v>1751</v>
      </c>
      <c r="E588" t="s">
        <v>1140</v>
      </c>
      <c r="F588" s="465">
        <v>46191</v>
      </c>
      <c r="G588">
        <v>29342</v>
      </c>
      <c r="H588" t="s">
        <v>2687</v>
      </c>
      <c r="I588" t="s">
        <v>2110</v>
      </c>
      <c r="J588">
        <v>10</v>
      </c>
      <c r="K588" t="s">
        <v>2111</v>
      </c>
      <c r="L588">
        <v>493</v>
      </c>
      <c r="M588">
        <v>49.3</v>
      </c>
      <c r="O588" t="s">
        <v>462</v>
      </c>
    </row>
    <row r="589" spans="1:15" x14ac:dyDescent="0.3">
      <c r="A589">
        <v>240326</v>
      </c>
      <c r="B589">
        <v>173</v>
      </c>
      <c r="C589" t="s">
        <v>734</v>
      </c>
      <c r="D589" t="s">
        <v>1751</v>
      </c>
      <c r="E589" t="s">
        <v>1140</v>
      </c>
      <c r="F589" s="465">
        <v>46191</v>
      </c>
      <c r="G589">
        <v>29391</v>
      </c>
      <c r="H589" t="s">
        <v>2688</v>
      </c>
      <c r="I589" t="s">
        <v>2110</v>
      </c>
      <c r="J589">
        <v>5</v>
      </c>
      <c r="K589" t="s">
        <v>2309</v>
      </c>
      <c r="L589">
        <v>1387.15</v>
      </c>
      <c r="M589">
        <v>277.43</v>
      </c>
      <c r="O589" t="s">
        <v>462</v>
      </c>
    </row>
    <row r="590" spans="1:15" x14ac:dyDescent="0.3">
      <c r="A590">
        <v>240326</v>
      </c>
      <c r="B590">
        <v>173</v>
      </c>
      <c r="C590" t="s">
        <v>734</v>
      </c>
      <c r="D590" t="s">
        <v>1751</v>
      </c>
      <c r="E590" t="s">
        <v>1140</v>
      </c>
      <c r="F590" s="465">
        <v>46191</v>
      </c>
      <c r="G590">
        <v>27780</v>
      </c>
      <c r="H590" t="s">
        <v>2689</v>
      </c>
      <c r="I590" t="s">
        <v>2110</v>
      </c>
      <c r="J590">
        <v>15</v>
      </c>
      <c r="K590" t="s">
        <v>2111</v>
      </c>
      <c r="L590">
        <v>876</v>
      </c>
      <c r="M590">
        <v>58.4</v>
      </c>
      <c r="O590" t="s">
        <v>462</v>
      </c>
    </row>
    <row r="591" spans="1:15" x14ac:dyDescent="0.3">
      <c r="A591">
        <v>240326</v>
      </c>
      <c r="B591">
        <v>173</v>
      </c>
      <c r="C591" t="s">
        <v>734</v>
      </c>
      <c r="D591" t="s">
        <v>1751</v>
      </c>
      <c r="E591" t="s">
        <v>1140</v>
      </c>
      <c r="F591" s="465">
        <v>46191</v>
      </c>
      <c r="G591">
        <v>29343</v>
      </c>
      <c r="H591" t="s">
        <v>2690</v>
      </c>
      <c r="I591" t="s">
        <v>2110</v>
      </c>
      <c r="J591">
        <v>20</v>
      </c>
      <c r="K591" t="s">
        <v>2111</v>
      </c>
      <c r="L591">
        <v>803.8</v>
      </c>
      <c r="M591">
        <v>40.19</v>
      </c>
      <c r="O591" t="s">
        <v>462</v>
      </c>
    </row>
    <row r="592" spans="1:15" x14ac:dyDescent="0.3">
      <c r="A592">
        <v>240326</v>
      </c>
      <c r="B592">
        <v>173</v>
      </c>
      <c r="C592" t="s">
        <v>734</v>
      </c>
      <c r="D592" t="s">
        <v>1751</v>
      </c>
      <c r="E592" t="s">
        <v>1140</v>
      </c>
      <c r="F592" s="465">
        <v>46191</v>
      </c>
      <c r="G592">
        <v>29376</v>
      </c>
      <c r="H592" t="s">
        <v>2691</v>
      </c>
      <c r="I592" t="s">
        <v>2110</v>
      </c>
      <c r="J592">
        <v>1</v>
      </c>
      <c r="K592" t="s">
        <v>2309</v>
      </c>
      <c r="L592">
        <v>1590.09</v>
      </c>
      <c r="M592">
        <v>1590.09</v>
      </c>
      <c r="O592" t="s">
        <v>462</v>
      </c>
    </row>
    <row r="593" spans="1:15" x14ac:dyDescent="0.3">
      <c r="A593">
        <v>240326</v>
      </c>
      <c r="B593">
        <v>173</v>
      </c>
      <c r="C593" t="s">
        <v>734</v>
      </c>
      <c r="D593" t="s">
        <v>1751</v>
      </c>
      <c r="E593" t="s">
        <v>1140</v>
      </c>
      <c r="F593" s="465">
        <v>46191</v>
      </c>
      <c r="G593">
        <v>29392</v>
      </c>
      <c r="H593" t="s">
        <v>2692</v>
      </c>
      <c r="I593" t="s">
        <v>2110</v>
      </c>
      <c r="J593">
        <v>6</v>
      </c>
      <c r="K593" t="s">
        <v>2309</v>
      </c>
      <c r="L593">
        <v>255.78</v>
      </c>
      <c r="M593">
        <v>42.63</v>
      </c>
      <c r="O593" t="s">
        <v>462</v>
      </c>
    </row>
    <row r="594" spans="1:15" x14ac:dyDescent="0.3">
      <c r="A594">
        <v>240326</v>
      </c>
      <c r="B594">
        <v>173</v>
      </c>
      <c r="C594" t="s">
        <v>734</v>
      </c>
      <c r="D594" t="s">
        <v>1751</v>
      </c>
      <c r="E594" t="s">
        <v>1140</v>
      </c>
      <c r="F594" s="465">
        <v>46191</v>
      </c>
      <c r="G594">
        <v>26873</v>
      </c>
      <c r="H594" t="s">
        <v>2693</v>
      </c>
      <c r="I594" t="s">
        <v>2110</v>
      </c>
      <c r="J594">
        <v>20</v>
      </c>
      <c r="K594" t="s">
        <v>2111</v>
      </c>
      <c r="L594">
        <v>1034</v>
      </c>
      <c r="M594">
        <v>51.7</v>
      </c>
      <c r="O594" t="s">
        <v>462</v>
      </c>
    </row>
    <row r="595" spans="1:15" x14ac:dyDescent="0.3">
      <c r="A595">
        <v>240326</v>
      </c>
      <c r="B595">
        <v>173</v>
      </c>
      <c r="C595" t="s">
        <v>734</v>
      </c>
      <c r="D595" t="s">
        <v>1751</v>
      </c>
      <c r="E595" t="s">
        <v>1140</v>
      </c>
      <c r="F595" s="465">
        <v>46191</v>
      </c>
      <c r="G595">
        <v>29344</v>
      </c>
      <c r="H595" t="s">
        <v>2694</v>
      </c>
      <c r="I595" t="s">
        <v>2110</v>
      </c>
      <c r="J595">
        <v>2</v>
      </c>
      <c r="K595" t="s">
        <v>2111</v>
      </c>
      <c r="L595">
        <v>2311.44</v>
      </c>
      <c r="M595">
        <v>1155.72</v>
      </c>
      <c r="O595" t="s">
        <v>462</v>
      </c>
    </row>
    <row r="596" spans="1:15" x14ac:dyDescent="0.3">
      <c r="A596">
        <v>240326</v>
      </c>
      <c r="B596">
        <v>173</v>
      </c>
      <c r="C596" t="s">
        <v>734</v>
      </c>
      <c r="D596" t="s">
        <v>1751</v>
      </c>
      <c r="E596" t="s">
        <v>1140</v>
      </c>
      <c r="F596" s="465">
        <v>46191</v>
      </c>
      <c r="G596">
        <v>29341</v>
      </c>
      <c r="H596" t="s">
        <v>2695</v>
      </c>
      <c r="I596" t="s">
        <v>2110</v>
      </c>
      <c r="J596">
        <v>5</v>
      </c>
      <c r="K596" t="s">
        <v>2111</v>
      </c>
      <c r="L596">
        <v>448.95</v>
      </c>
      <c r="M596">
        <v>89.79</v>
      </c>
      <c r="O596" t="s">
        <v>462</v>
      </c>
    </row>
    <row r="597" spans="1:15" x14ac:dyDescent="0.3">
      <c r="A597">
        <v>240326</v>
      </c>
      <c r="B597">
        <v>173</v>
      </c>
      <c r="C597" t="s">
        <v>734</v>
      </c>
      <c r="D597" t="s">
        <v>1751</v>
      </c>
      <c r="E597" t="s">
        <v>1140</v>
      </c>
      <c r="F597" s="465">
        <v>46191</v>
      </c>
      <c r="G597">
        <v>27230</v>
      </c>
      <c r="H597" t="s">
        <v>2696</v>
      </c>
      <c r="I597" t="s">
        <v>2110</v>
      </c>
      <c r="J597">
        <v>20</v>
      </c>
      <c r="K597" t="s">
        <v>2111</v>
      </c>
      <c r="L597">
        <v>301</v>
      </c>
      <c r="M597">
        <v>15.05</v>
      </c>
      <c r="O597" t="s">
        <v>462</v>
      </c>
    </row>
    <row r="598" spans="1:15" x14ac:dyDescent="0.3">
      <c r="A598">
        <v>240326</v>
      </c>
      <c r="B598">
        <v>173</v>
      </c>
      <c r="C598" t="s">
        <v>734</v>
      </c>
      <c r="D598" t="s">
        <v>1751</v>
      </c>
      <c r="E598" t="s">
        <v>1140</v>
      </c>
      <c r="F598" s="465">
        <v>46191</v>
      </c>
      <c r="G598">
        <v>27826</v>
      </c>
      <c r="H598" t="s">
        <v>2188</v>
      </c>
      <c r="I598" t="s">
        <v>2110</v>
      </c>
      <c r="J598">
        <v>15</v>
      </c>
      <c r="K598" t="s">
        <v>2111</v>
      </c>
      <c r="L598">
        <v>1476.75</v>
      </c>
      <c r="M598">
        <v>98.45</v>
      </c>
      <c r="O598" t="s">
        <v>462</v>
      </c>
    </row>
    <row r="599" spans="1:15" x14ac:dyDescent="0.3">
      <c r="A599">
        <v>240317</v>
      </c>
      <c r="B599">
        <v>173</v>
      </c>
      <c r="C599" t="s">
        <v>734</v>
      </c>
      <c r="D599" t="s">
        <v>1847</v>
      </c>
      <c r="E599" t="s">
        <v>1923</v>
      </c>
      <c r="F599" s="465">
        <v>46191</v>
      </c>
      <c r="G599">
        <v>28359</v>
      </c>
      <c r="H599" t="s">
        <v>2697</v>
      </c>
      <c r="I599" t="s">
        <v>2110</v>
      </c>
      <c r="J599">
        <v>1</v>
      </c>
      <c r="K599" t="s">
        <v>2111</v>
      </c>
      <c r="L599">
        <v>71.62</v>
      </c>
      <c r="M599">
        <v>71.62</v>
      </c>
      <c r="O599" t="s">
        <v>462</v>
      </c>
    </row>
    <row r="600" spans="1:15" x14ac:dyDescent="0.3">
      <c r="A600">
        <v>240317</v>
      </c>
      <c r="B600">
        <v>173</v>
      </c>
      <c r="C600" t="s">
        <v>734</v>
      </c>
      <c r="D600" t="s">
        <v>1847</v>
      </c>
      <c r="E600" t="s">
        <v>1923</v>
      </c>
      <c r="F600" s="465">
        <v>46191</v>
      </c>
      <c r="G600">
        <v>29851</v>
      </c>
      <c r="H600" t="s">
        <v>2551</v>
      </c>
      <c r="I600" t="s">
        <v>2110</v>
      </c>
      <c r="J600">
        <v>2</v>
      </c>
      <c r="K600" t="s">
        <v>2111</v>
      </c>
      <c r="L600">
        <v>170.9</v>
      </c>
      <c r="M600">
        <v>85.45</v>
      </c>
      <c r="O600" t="s">
        <v>462</v>
      </c>
    </row>
    <row r="601" spans="1:15" x14ac:dyDescent="0.3">
      <c r="A601">
        <v>238060</v>
      </c>
      <c r="B601">
        <v>173</v>
      </c>
      <c r="C601" t="s">
        <v>734</v>
      </c>
      <c r="D601" t="s">
        <v>1877</v>
      </c>
      <c r="E601" t="s">
        <v>1924</v>
      </c>
      <c r="F601" s="465">
        <v>46176</v>
      </c>
      <c r="G601">
        <v>28857</v>
      </c>
      <c r="H601" t="s">
        <v>2698</v>
      </c>
      <c r="J601">
        <v>1</v>
      </c>
      <c r="K601" t="s">
        <v>2111</v>
      </c>
      <c r="L601">
        <v>2900</v>
      </c>
      <c r="M601">
        <v>2900</v>
      </c>
      <c r="N601" t="s">
        <v>2699</v>
      </c>
      <c r="O601" t="s">
        <v>462</v>
      </c>
    </row>
    <row r="602" spans="1:15" x14ac:dyDescent="0.3">
      <c r="A602">
        <v>237164</v>
      </c>
      <c r="B602">
        <v>173</v>
      </c>
      <c r="C602" t="s">
        <v>734</v>
      </c>
      <c r="D602" t="s">
        <v>1322</v>
      </c>
      <c r="E602" t="s">
        <v>1925</v>
      </c>
      <c r="F602" s="465">
        <v>46161</v>
      </c>
      <c r="G602">
        <v>24545</v>
      </c>
      <c r="H602" t="s">
        <v>2700</v>
      </c>
      <c r="I602" t="s">
        <v>2110</v>
      </c>
      <c r="J602">
        <v>600</v>
      </c>
      <c r="K602" t="s">
        <v>2111</v>
      </c>
      <c r="L602">
        <v>6090</v>
      </c>
      <c r="M602">
        <v>10.15</v>
      </c>
      <c r="O602" t="s">
        <v>461</v>
      </c>
    </row>
    <row r="603" spans="1:15" x14ac:dyDescent="0.3">
      <c r="A603">
        <v>237164</v>
      </c>
      <c r="B603">
        <v>173</v>
      </c>
      <c r="C603" t="s">
        <v>734</v>
      </c>
      <c r="D603" t="s">
        <v>1322</v>
      </c>
      <c r="E603" t="s">
        <v>1925</v>
      </c>
      <c r="F603" s="465">
        <v>46161</v>
      </c>
      <c r="G603">
        <v>28750</v>
      </c>
      <c r="H603" t="s">
        <v>2701</v>
      </c>
      <c r="I603" t="s">
        <v>2110</v>
      </c>
      <c r="J603">
        <v>2</v>
      </c>
      <c r="K603" t="s">
        <v>2111</v>
      </c>
      <c r="L603">
        <v>1068.6400000000001</v>
      </c>
      <c r="M603">
        <v>534.32000000000005</v>
      </c>
      <c r="O603" t="s">
        <v>461</v>
      </c>
    </row>
    <row r="604" spans="1:15" x14ac:dyDescent="0.3">
      <c r="A604">
        <v>237164</v>
      </c>
      <c r="B604">
        <v>173</v>
      </c>
      <c r="C604" t="s">
        <v>734</v>
      </c>
      <c r="D604" t="s">
        <v>1322</v>
      </c>
      <c r="E604" t="s">
        <v>1925</v>
      </c>
      <c r="F604" s="465">
        <v>46161</v>
      </c>
      <c r="G604">
        <v>24716</v>
      </c>
      <c r="H604" t="s">
        <v>2702</v>
      </c>
      <c r="I604" t="s">
        <v>2110</v>
      </c>
      <c r="J604">
        <v>204</v>
      </c>
      <c r="K604" t="s">
        <v>2108</v>
      </c>
      <c r="L604">
        <v>232.56</v>
      </c>
      <c r="M604">
        <v>1.1399999999999999</v>
      </c>
      <c r="O604" t="s">
        <v>461</v>
      </c>
    </row>
    <row r="605" spans="1:15" x14ac:dyDescent="0.3">
      <c r="A605">
        <v>237164</v>
      </c>
      <c r="B605">
        <v>173</v>
      </c>
      <c r="C605" t="s">
        <v>734</v>
      </c>
      <c r="D605" t="s">
        <v>1322</v>
      </c>
      <c r="E605" t="s">
        <v>1925</v>
      </c>
      <c r="F605" s="465">
        <v>46161</v>
      </c>
      <c r="G605">
        <v>25004</v>
      </c>
      <c r="H605" t="s">
        <v>2703</v>
      </c>
      <c r="I605" t="s">
        <v>2110</v>
      </c>
      <c r="J605">
        <v>300</v>
      </c>
      <c r="K605" t="s">
        <v>2108</v>
      </c>
      <c r="L605">
        <v>1977</v>
      </c>
      <c r="M605">
        <v>6.59</v>
      </c>
      <c r="O605" t="s">
        <v>461</v>
      </c>
    </row>
    <row r="606" spans="1:15" x14ac:dyDescent="0.3">
      <c r="A606">
        <v>237164</v>
      </c>
      <c r="B606">
        <v>173</v>
      </c>
      <c r="C606" t="s">
        <v>734</v>
      </c>
      <c r="D606" t="s">
        <v>1322</v>
      </c>
      <c r="E606" t="s">
        <v>1925</v>
      </c>
      <c r="F606" s="465">
        <v>46161</v>
      </c>
      <c r="G606">
        <v>25008</v>
      </c>
      <c r="H606" t="s">
        <v>2704</v>
      </c>
      <c r="I606" t="s">
        <v>2110</v>
      </c>
      <c r="J606">
        <v>300</v>
      </c>
      <c r="K606" t="s">
        <v>2111</v>
      </c>
      <c r="L606">
        <v>1755</v>
      </c>
      <c r="M606">
        <v>5.85</v>
      </c>
      <c r="O606" t="s">
        <v>461</v>
      </c>
    </row>
    <row r="607" spans="1:15" x14ac:dyDescent="0.3">
      <c r="A607">
        <v>237164</v>
      </c>
      <c r="B607">
        <v>173</v>
      </c>
      <c r="C607" t="s">
        <v>734</v>
      </c>
      <c r="D607" t="s">
        <v>1322</v>
      </c>
      <c r="E607" t="s">
        <v>1925</v>
      </c>
      <c r="F607" s="465">
        <v>46161</v>
      </c>
      <c r="G607">
        <v>27718</v>
      </c>
      <c r="H607" t="s">
        <v>2705</v>
      </c>
      <c r="I607" t="s">
        <v>2110</v>
      </c>
      <c r="J607">
        <v>108</v>
      </c>
      <c r="K607" t="s">
        <v>2111</v>
      </c>
      <c r="L607">
        <v>181.44</v>
      </c>
      <c r="M607">
        <v>1.68</v>
      </c>
      <c r="O607" t="s">
        <v>461</v>
      </c>
    </row>
    <row r="608" spans="1:15" x14ac:dyDescent="0.3">
      <c r="A608">
        <v>237164</v>
      </c>
      <c r="B608">
        <v>173</v>
      </c>
      <c r="C608" t="s">
        <v>734</v>
      </c>
      <c r="D608" t="s">
        <v>1322</v>
      </c>
      <c r="E608" t="s">
        <v>1925</v>
      </c>
      <c r="F608" s="465">
        <v>46161</v>
      </c>
      <c r="G608">
        <v>24544</v>
      </c>
      <c r="H608" t="s">
        <v>2706</v>
      </c>
      <c r="I608" t="s">
        <v>2110</v>
      </c>
      <c r="J608">
        <v>456</v>
      </c>
      <c r="K608" t="s">
        <v>2111</v>
      </c>
      <c r="L608">
        <v>3005.04</v>
      </c>
      <c r="M608">
        <v>6.59</v>
      </c>
      <c r="O608" t="s">
        <v>461</v>
      </c>
    </row>
    <row r="609" spans="1:15" x14ac:dyDescent="0.3">
      <c r="A609">
        <v>237164</v>
      </c>
      <c r="B609">
        <v>173</v>
      </c>
      <c r="C609" t="s">
        <v>734</v>
      </c>
      <c r="D609" t="s">
        <v>1322</v>
      </c>
      <c r="E609" t="s">
        <v>1925</v>
      </c>
      <c r="F609" s="465">
        <v>46161</v>
      </c>
      <c r="G609">
        <v>27422</v>
      </c>
      <c r="H609" t="s">
        <v>2707</v>
      </c>
      <c r="I609" t="s">
        <v>2110</v>
      </c>
      <c r="J609">
        <v>300</v>
      </c>
      <c r="K609" t="s">
        <v>2111</v>
      </c>
      <c r="L609">
        <v>2697</v>
      </c>
      <c r="M609">
        <v>8.99</v>
      </c>
      <c r="O609" t="s">
        <v>461</v>
      </c>
    </row>
    <row r="610" spans="1:15" x14ac:dyDescent="0.3">
      <c r="A610">
        <v>237164</v>
      </c>
      <c r="B610">
        <v>173</v>
      </c>
      <c r="C610" t="s">
        <v>734</v>
      </c>
      <c r="D610" t="s">
        <v>1322</v>
      </c>
      <c r="E610" t="s">
        <v>1925</v>
      </c>
      <c r="F610" s="465">
        <v>46161</v>
      </c>
      <c r="G610">
        <v>27421</v>
      </c>
      <c r="H610" t="s">
        <v>2708</v>
      </c>
      <c r="I610" t="s">
        <v>2110</v>
      </c>
      <c r="J610">
        <v>156</v>
      </c>
      <c r="K610" t="s">
        <v>2111</v>
      </c>
      <c r="L610">
        <v>912.6</v>
      </c>
      <c r="M610">
        <v>5.85</v>
      </c>
      <c r="O610" t="s">
        <v>461</v>
      </c>
    </row>
    <row r="611" spans="1:15" x14ac:dyDescent="0.3">
      <c r="A611">
        <v>237163</v>
      </c>
      <c r="B611">
        <v>173</v>
      </c>
      <c r="C611" t="s">
        <v>734</v>
      </c>
      <c r="D611" t="s">
        <v>1322</v>
      </c>
      <c r="E611" t="s">
        <v>1926</v>
      </c>
      <c r="F611" s="465">
        <v>46168</v>
      </c>
      <c r="G611">
        <v>28920</v>
      </c>
      <c r="H611" t="s">
        <v>2709</v>
      </c>
      <c r="I611" t="s">
        <v>2110</v>
      </c>
      <c r="J611">
        <v>252</v>
      </c>
      <c r="K611" t="s">
        <v>2159</v>
      </c>
      <c r="L611">
        <v>607.32000000000005</v>
      </c>
      <c r="M611">
        <v>2.41</v>
      </c>
      <c r="O611" t="s">
        <v>461</v>
      </c>
    </row>
    <row r="612" spans="1:15" x14ac:dyDescent="0.3">
      <c r="A612">
        <v>237163</v>
      </c>
      <c r="B612">
        <v>173</v>
      </c>
      <c r="C612" t="s">
        <v>734</v>
      </c>
      <c r="D612" t="s">
        <v>1322</v>
      </c>
      <c r="E612" t="s">
        <v>1926</v>
      </c>
      <c r="F612" s="465">
        <v>46168</v>
      </c>
      <c r="G612">
        <v>28919</v>
      </c>
      <c r="H612" t="s">
        <v>2710</v>
      </c>
      <c r="I612" t="s">
        <v>2100</v>
      </c>
      <c r="J612">
        <v>18</v>
      </c>
      <c r="K612" t="s">
        <v>2159</v>
      </c>
      <c r="L612">
        <v>1072.6199999999999</v>
      </c>
      <c r="M612">
        <v>59.59</v>
      </c>
      <c r="O612" t="s">
        <v>461</v>
      </c>
    </row>
    <row r="613" spans="1:15" x14ac:dyDescent="0.3">
      <c r="A613">
        <v>237163</v>
      </c>
      <c r="B613">
        <v>173</v>
      </c>
      <c r="C613" t="s">
        <v>734</v>
      </c>
      <c r="D613" t="s">
        <v>1322</v>
      </c>
      <c r="E613" t="s">
        <v>1926</v>
      </c>
      <c r="F613" s="465">
        <v>46168</v>
      </c>
      <c r="G613">
        <v>28238</v>
      </c>
      <c r="H613" t="s">
        <v>2711</v>
      </c>
      <c r="I613" t="s">
        <v>2110</v>
      </c>
      <c r="J613">
        <v>2</v>
      </c>
      <c r="K613" t="s">
        <v>2111</v>
      </c>
      <c r="L613">
        <v>572.98</v>
      </c>
      <c r="M613">
        <v>286.49</v>
      </c>
      <c r="O613" t="s">
        <v>461</v>
      </c>
    </row>
    <row r="614" spans="1:15" x14ac:dyDescent="0.3">
      <c r="A614">
        <v>237163</v>
      </c>
      <c r="B614">
        <v>173</v>
      </c>
      <c r="C614" t="s">
        <v>734</v>
      </c>
      <c r="D614" t="s">
        <v>1322</v>
      </c>
      <c r="E614" t="s">
        <v>1926</v>
      </c>
      <c r="F614" s="465">
        <v>46168</v>
      </c>
      <c r="G614">
        <v>29319</v>
      </c>
      <c r="H614" t="s">
        <v>2712</v>
      </c>
      <c r="I614" t="s">
        <v>2110</v>
      </c>
      <c r="J614">
        <v>5</v>
      </c>
      <c r="K614" t="s">
        <v>2111</v>
      </c>
      <c r="L614">
        <v>539.25</v>
      </c>
      <c r="M614">
        <v>107.85</v>
      </c>
      <c r="O614" t="s">
        <v>461</v>
      </c>
    </row>
    <row r="615" spans="1:15" x14ac:dyDescent="0.3">
      <c r="A615">
        <v>237163</v>
      </c>
      <c r="B615">
        <v>173</v>
      </c>
      <c r="C615" t="s">
        <v>734</v>
      </c>
      <c r="D615" t="s">
        <v>1322</v>
      </c>
      <c r="E615" t="s">
        <v>1926</v>
      </c>
      <c r="F615" s="465">
        <v>46168</v>
      </c>
      <c r="G615">
        <v>29041</v>
      </c>
      <c r="H615" t="s">
        <v>2713</v>
      </c>
      <c r="I615" t="s">
        <v>2110</v>
      </c>
      <c r="J615">
        <v>2</v>
      </c>
      <c r="K615" t="s">
        <v>2111</v>
      </c>
      <c r="L615">
        <v>458.28</v>
      </c>
      <c r="M615">
        <v>229.14</v>
      </c>
      <c r="O615" t="s">
        <v>461</v>
      </c>
    </row>
    <row r="616" spans="1:15" x14ac:dyDescent="0.3">
      <c r="A616">
        <v>237163</v>
      </c>
      <c r="B616">
        <v>173</v>
      </c>
      <c r="C616" t="s">
        <v>734</v>
      </c>
      <c r="D616" t="s">
        <v>1322</v>
      </c>
      <c r="E616" t="s">
        <v>1926</v>
      </c>
      <c r="F616" s="465">
        <v>46168</v>
      </c>
      <c r="G616">
        <v>29315</v>
      </c>
      <c r="H616" t="s">
        <v>2714</v>
      </c>
      <c r="I616" t="s">
        <v>2110</v>
      </c>
      <c r="J616">
        <v>20</v>
      </c>
      <c r="K616" t="s">
        <v>2111</v>
      </c>
      <c r="L616">
        <v>341.6</v>
      </c>
      <c r="M616">
        <v>17.079999999999998</v>
      </c>
      <c r="O616" t="s">
        <v>461</v>
      </c>
    </row>
    <row r="617" spans="1:15" x14ac:dyDescent="0.3">
      <c r="A617">
        <v>237163</v>
      </c>
      <c r="B617">
        <v>173</v>
      </c>
      <c r="C617" t="s">
        <v>734</v>
      </c>
      <c r="D617" t="s">
        <v>1322</v>
      </c>
      <c r="E617" t="s">
        <v>1926</v>
      </c>
      <c r="F617" s="465">
        <v>46168</v>
      </c>
      <c r="G617">
        <v>29316</v>
      </c>
      <c r="H617" t="s">
        <v>2715</v>
      </c>
      <c r="I617" t="s">
        <v>2110</v>
      </c>
      <c r="J617">
        <v>2</v>
      </c>
      <c r="K617" t="s">
        <v>2111</v>
      </c>
      <c r="L617">
        <v>260.08</v>
      </c>
      <c r="M617">
        <v>130.04</v>
      </c>
      <c r="O617" t="s">
        <v>461</v>
      </c>
    </row>
    <row r="618" spans="1:15" x14ac:dyDescent="0.3">
      <c r="A618">
        <v>237163</v>
      </c>
      <c r="B618">
        <v>173</v>
      </c>
      <c r="C618" t="s">
        <v>734</v>
      </c>
      <c r="D618" t="s">
        <v>1322</v>
      </c>
      <c r="E618" t="s">
        <v>1926</v>
      </c>
      <c r="F618" s="465">
        <v>46168</v>
      </c>
      <c r="G618">
        <v>27461</v>
      </c>
      <c r="H618" t="s">
        <v>2716</v>
      </c>
      <c r="I618" t="s">
        <v>2110</v>
      </c>
      <c r="J618">
        <v>5</v>
      </c>
      <c r="K618" t="s">
        <v>2111</v>
      </c>
      <c r="L618">
        <v>787.55</v>
      </c>
      <c r="M618">
        <v>157.51</v>
      </c>
      <c r="O618" t="s">
        <v>461</v>
      </c>
    </row>
    <row r="619" spans="1:15" x14ac:dyDescent="0.3">
      <c r="A619">
        <v>237163</v>
      </c>
      <c r="B619">
        <v>173</v>
      </c>
      <c r="C619" t="s">
        <v>734</v>
      </c>
      <c r="D619" t="s">
        <v>1322</v>
      </c>
      <c r="E619" t="s">
        <v>1926</v>
      </c>
      <c r="F619" s="465">
        <v>46168</v>
      </c>
      <c r="G619">
        <v>29663</v>
      </c>
      <c r="H619" t="s">
        <v>2717</v>
      </c>
      <c r="I619" t="s">
        <v>2110</v>
      </c>
      <c r="J619">
        <v>6</v>
      </c>
      <c r="K619" t="s">
        <v>2309</v>
      </c>
      <c r="L619">
        <v>701.88</v>
      </c>
      <c r="M619">
        <v>116.98</v>
      </c>
      <c r="O619" t="s">
        <v>461</v>
      </c>
    </row>
    <row r="620" spans="1:15" x14ac:dyDescent="0.3">
      <c r="A620">
        <v>237163</v>
      </c>
      <c r="B620">
        <v>173</v>
      </c>
      <c r="C620" t="s">
        <v>734</v>
      </c>
      <c r="D620" t="s">
        <v>1322</v>
      </c>
      <c r="E620" t="s">
        <v>1926</v>
      </c>
      <c r="F620" s="465">
        <v>46168</v>
      </c>
      <c r="G620">
        <v>29318</v>
      </c>
      <c r="H620" t="s">
        <v>2718</v>
      </c>
      <c r="I620" t="s">
        <v>2110</v>
      </c>
      <c r="J620">
        <v>5</v>
      </c>
      <c r="K620" t="s">
        <v>2111</v>
      </c>
      <c r="L620">
        <v>246</v>
      </c>
      <c r="M620">
        <v>49.2</v>
      </c>
      <c r="O620" t="s">
        <v>461</v>
      </c>
    </row>
    <row r="621" spans="1:15" x14ac:dyDescent="0.3">
      <c r="A621">
        <v>237163</v>
      </c>
      <c r="B621">
        <v>173</v>
      </c>
      <c r="C621" t="s">
        <v>734</v>
      </c>
      <c r="D621" t="s">
        <v>1322</v>
      </c>
      <c r="E621" t="s">
        <v>1926</v>
      </c>
      <c r="F621" s="465">
        <v>46168</v>
      </c>
      <c r="G621">
        <v>27590</v>
      </c>
      <c r="H621" t="s">
        <v>2719</v>
      </c>
      <c r="I621" t="s">
        <v>2110</v>
      </c>
      <c r="J621">
        <v>5</v>
      </c>
      <c r="K621" t="s">
        <v>2111</v>
      </c>
      <c r="L621">
        <v>653.29999999999995</v>
      </c>
      <c r="M621">
        <v>130.66</v>
      </c>
      <c r="O621" t="s">
        <v>461</v>
      </c>
    </row>
    <row r="622" spans="1:15" x14ac:dyDescent="0.3">
      <c r="A622">
        <v>237163</v>
      </c>
      <c r="B622">
        <v>173</v>
      </c>
      <c r="C622" t="s">
        <v>734</v>
      </c>
      <c r="D622" t="s">
        <v>1322</v>
      </c>
      <c r="E622" t="s">
        <v>1926</v>
      </c>
      <c r="F622" s="465">
        <v>46168</v>
      </c>
      <c r="G622">
        <v>29317</v>
      </c>
      <c r="H622" t="s">
        <v>2720</v>
      </c>
      <c r="I622" t="s">
        <v>2110</v>
      </c>
      <c r="J622">
        <v>15</v>
      </c>
      <c r="K622" t="s">
        <v>2111</v>
      </c>
      <c r="L622">
        <v>266.39999999999998</v>
      </c>
      <c r="M622">
        <v>17.760000000000002</v>
      </c>
      <c r="O622" t="s">
        <v>461</v>
      </c>
    </row>
    <row r="623" spans="1:15" x14ac:dyDescent="0.3">
      <c r="A623">
        <v>235612</v>
      </c>
      <c r="B623">
        <v>173</v>
      </c>
      <c r="C623" t="s">
        <v>734</v>
      </c>
      <c r="D623" t="s">
        <v>1334</v>
      </c>
      <c r="E623" t="s">
        <v>2721</v>
      </c>
      <c r="F623" s="465">
        <v>46167</v>
      </c>
      <c r="G623">
        <v>27900</v>
      </c>
      <c r="H623" t="s">
        <v>2722</v>
      </c>
      <c r="I623" t="s">
        <v>2110</v>
      </c>
      <c r="J623">
        <v>100</v>
      </c>
      <c r="K623" t="s">
        <v>2111</v>
      </c>
      <c r="L623">
        <v>5051</v>
      </c>
      <c r="M623">
        <v>50.51</v>
      </c>
      <c r="O623" t="s">
        <v>461</v>
      </c>
    </row>
    <row r="624" spans="1:15" x14ac:dyDescent="0.3">
      <c r="A624">
        <v>235612</v>
      </c>
      <c r="B624">
        <v>173</v>
      </c>
      <c r="C624" t="s">
        <v>734</v>
      </c>
      <c r="D624" t="s">
        <v>1334</v>
      </c>
      <c r="E624" t="s">
        <v>2721</v>
      </c>
      <c r="F624" s="465">
        <v>46167</v>
      </c>
      <c r="G624">
        <v>28000</v>
      </c>
      <c r="H624" t="s">
        <v>2723</v>
      </c>
      <c r="I624" t="s">
        <v>2110</v>
      </c>
      <c r="J624">
        <v>100</v>
      </c>
      <c r="K624" t="s">
        <v>2159</v>
      </c>
      <c r="L624">
        <v>4945</v>
      </c>
      <c r="M624">
        <v>49.45</v>
      </c>
      <c r="O624" t="s">
        <v>461</v>
      </c>
    </row>
    <row r="625" spans="1:15" x14ac:dyDescent="0.3">
      <c r="A625">
        <v>235612</v>
      </c>
      <c r="B625">
        <v>173</v>
      </c>
      <c r="C625" t="s">
        <v>734</v>
      </c>
      <c r="D625" t="s">
        <v>1334</v>
      </c>
      <c r="E625" t="s">
        <v>2721</v>
      </c>
      <c r="F625" s="465">
        <v>46167</v>
      </c>
      <c r="G625">
        <v>29255</v>
      </c>
      <c r="H625" t="s">
        <v>2122</v>
      </c>
      <c r="I625" t="s">
        <v>2110</v>
      </c>
      <c r="J625">
        <v>84</v>
      </c>
      <c r="K625" t="s">
        <v>2111</v>
      </c>
      <c r="L625">
        <v>3618.72</v>
      </c>
      <c r="M625">
        <v>43.08</v>
      </c>
      <c r="O625" t="s">
        <v>461</v>
      </c>
    </row>
    <row r="626" spans="1:15" x14ac:dyDescent="0.3">
      <c r="A626">
        <v>235612</v>
      </c>
      <c r="B626">
        <v>173</v>
      </c>
      <c r="C626" t="s">
        <v>734</v>
      </c>
      <c r="D626" t="s">
        <v>1334</v>
      </c>
      <c r="E626" t="s">
        <v>2721</v>
      </c>
      <c r="F626" s="465">
        <v>46167</v>
      </c>
      <c r="G626">
        <v>27870</v>
      </c>
      <c r="H626" t="s">
        <v>2724</v>
      </c>
      <c r="I626" t="s">
        <v>2110</v>
      </c>
      <c r="J626">
        <v>130</v>
      </c>
      <c r="K626" t="s">
        <v>2111</v>
      </c>
      <c r="L626">
        <v>7325.5</v>
      </c>
      <c r="M626">
        <v>56.35</v>
      </c>
      <c r="O626" t="s">
        <v>461</v>
      </c>
    </row>
    <row r="627" spans="1:15" x14ac:dyDescent="0.3">
      <c r="A627">
        <v>235612</v>
      </c>
      <c r="B627">
        <v>173</v>
      </c>
      <c r="C627" t="s">
        <v>734</v>
      </c>
      <c r="D627" t="s">
        <v>1334</v>
      </c>
      <c r="E627" t="s">
        <v>2721</v>
      </c>
      <c r="F627" s="465">
        <v>46167</v>
      </c>
      <c r="G627">
        <v>29257</v>
      </c>
      <c r="H627" t="s">
        <v>2725</v>
      </c>
      <c r="I627" t="s">
        <v>2110</v>
      </c>
      <c r="J627">
        <v>300</v>
      </c>
      <c r="K627" t="s">
        <v>2111</v>
      </c>
      <c r="L627">
        <v>8595</v>
      </c>
      <c r="M627">
        <v>28.65</v>
      </c>
      <c r="O627" t="s">
        <v>461</v>
      </c>
    </row>
    <row r="628" spans="1:15" x14ac:dyDescent="0.3">
      <c r="A628">
        <v>235609</v>
      </c>
      <c r="B628">
        <v>173</v>
      </c>
      <c r="C628" t="s">
        <v>734</v>
      </c>
      <c r="D628" t="s">
        <v>1927</v>
      </c>
      <c r="E628" t="s">
        <v>1928</v>
      </c>
      <c r="F628" s="465">
        <v>46154</v>
      </c>
      <c r="G628">
        <v>17080</v>
      </c>
      <c r="H628" t="s">
        <v>2726</v>
      </c>
      <c r="I628" t="s">
        <v>2110</v>
      </c>
      <c r="J628">
        <v>84</v>
      </c>
      <c r="K628" t="s">
        <v>2111</v>
      </c>
      <c r="L628">
        <v>1217.1600000000001</v>
      </c>
      <c r="M628">
        <v>14.49</v>
      </c>
      <c r="O628" t="s">
        <v>461</v>
      </c>
    </row>
    <row r="629" spans="1:15" x14ac:dyDescent="0.3">
      <c r="A629">
        <v>235609</v>
      </c>
      <c r="B629">
        <v>173</v>
      </c>
      <c r="C629" t="s">
        <v>734</v>
      </c>
      <c r="D629" t="s">
        <v>1927</v>
      </c>
      <c r="E629" t="s">
        <v>1928</v>
      </c>
      <c r="F629" s="465">
        <v>46154</v>
      </c>
      <c r="G629">
        <v>24714</v>
      </c>
      <c r="H629" t="s">
        <v>2727</v>
      </c>
      <c r="I629" t="s">
        <v>2110</v>
      </c>
      <c r="J629">
        <v>216</v>
      </c>
      <c r="K629" t="s">
        <v>2108</v>
      </c>
      <c r="L629">
        <v>516.24</v>
      </c>
      <c r="M629">
        <v>2.39</v>
      </c>
      <c r="O629" t="s">
        <v>461</v>
      </c>
    </row>
    <row r="630" spans="1:15" x14ac:dyDescent="0.3">
      <c r="A630">
        <v>235609</v>
      </c>
      <c r="B630">
        <v>173</v>
      </c>
      <c r="C630" t="s">
        <v>734</v>
      </c>
      <c r="D630" t="s">
        <v>1927</v>
      </c>
      <c r="E630" t="s">
        <v>1928</v>
      </c>
      <c r="F630" s="465">
        <v>46154</v>
      </c>
      <c r="G630">
        <v>27471</v>
      </c>
      <c r="H630" t="s">
        <v>2728</v>
      </c>
      <c r="I630" t="s">
        <v>2110</v>
      </c>
      <c r="J630">
        <v>96</v>
      </c>
      <c r="K630" t="s">
        <v>2111</v>
      </c>
      <c r="L630">
        <v>1045.44</v>
      </c>
      <c r="M630">
        <v>10.89</v>
      </c>
      <c r="O630" t="s">
        <v>461</v>
      </c>
    </row>
    <row r="631" spans="1:15" x14ac:dyDescent="0.3">
      <c r="A631">
        <v>235609</v>
      </c>
      <c r="B631">
        <v>173</v>
      </c>
      <c r="C631" t="s">
        <v>734</v>
      </c>
      <c r="D631" t="s">
        <v>1927</v>
      </c>
      <c r="E631" t="s">
        <v>1928</v>
      </c>
      <c r="F631" s="465">
        <v>46154</v>
      </c>
      <c r="G631">
        <v>24871</v>
      </c>
      <c r="H631" t="s">
        <v>2729</v>
      </c>
      <c r="I631" t="s">
        <v>2110</v>
      </c>
      <c r="J631">
        <v>408</v>
      </c>
      <c r="K631" t="s">
        <v>2111</v>
      </c>
      <c r="L631">
        <v>2460.2399999999998</v>
      </c>
      <c r="M631">
        <v>6.03</v>
      </c>
      <c r="O631" t="s">
        <v>461</v>
      </c>
    </row>
    <row r="632" spans="1:15" x14ac:dyDescent="0.3">
      <c r="A632">
        <v>235609</v>
      </c>
      <c r="B632">
        <v>173</v>
      </c>
      <c r="C632" t="s">
        <v>734</v>
      </c>
      <c r="D632" t="s">
        <v>1927</v>
      </c>
      <c r="E632" t="s">
        <v>1928</v>
      </c>
      <c r="F632" s="465">
        <v>46154</v>
      </c>
      <c r="G632">
        <v>24861</v>
      </c>
      <c r="H632" t="s">
        <v>2730</v>
      </c>
      <c r="I632" t="s">
        <v>2110</v>
      </c>
      <c r="J632">
        <v>816</v>
      </c>
      <c r="K632" t="s">
        <v>2111</v>
      </c>
      <c r="L632">
        <v>1215.8399999999999</v>
      </c>
      <c r="M632">
        <v>1.49</v>
      </c>
      <c r="O632" t="s">
        <v>461</v>
      </c>
    </row>
    <row r="633" spans="1:15" x14ac:dyDescent="0.3">
      <c r="A633">
        <v>235609</v>
      </c>
      <c r="B633">
        <v>173</v>
      </c>
      <c r="C633" t="s">
        <v>734</v>
      </c>
      <c r="D633" t="s">
        <v>1927</v>
      </c>
      <c r="E633" t="s">
        <v>1928</v>
      </c>
      <c r="F633" s="465">
        <v>46154</v>
      </c>
      <c r="G633">
        <v>25192</v>
      </c>
      <c r="H633" t="s">
        <v>2731</v>
      </c>
      <c r="I633" t="s">
        <v>2110</v>
      </c>
      <c r="J633">
        <v>612</v>
      </c>
      <c r="K633" t="s">
        <v>2111</v>
      </c>
      <c r="L633">
        <v>3151.8</v>
      </c>
      <c r="M633">
        <v>5.15</v>
      </c>
      <c r="O633" t="s">
        <v>461</v>
      </c>
    </row>
    <row r="634" spans="1:15" x14ac:dyDescent="0.3">
      <c r="A634">
        <v>235609</v>
      </c>
      <c r="B634">
        <v>173</v>
      </c>
      <c r="C634" t="s">
        <v>734</v>
      </c>
      <c r="D634" t="s">
        <v>1927</v>
      </c>
      <c r="E634" t="s">
        <v>1928</v>
      </c>
      <c r="F634" s="465">
        <v>46154</v>
      </c>
      <c r="G634">
        <v>29243</v>
      </c>
      <c r="H634" t="s">
        <v>2732</v>
      </c>
      <c r="I634" t="s">
        <v>2110</v>
      </c>
      <c r="J634">
        <v>150</v>
      </c>
      <c r="K634" t="s">
        <v>2111</v>
      </c>
      <c r="L634">
        <v>1980</v>
      </c>
      <c r="M634">
        <v>13.2</v>
      </c>
      <c r="O634" t="s">
        <v>461</v>
      </c>
    </row>
    <row r="635" spans="1:15" x14ac:dyDescent="0.3">
      <c r="A635">
        <v>235598</v>
      </c>
      <c r="B635">
        <v>173</v>
      </c>
      <c r="C635" t="s">
        <v>734</v>
      </c>
      <c r="D635" t="s">
        <v>1929</v>
      </c>
      <c r="E635" t="s">
        <v>1930</v>
      </c>
      <c r="F635" s="465">
        <v>46153</v>
      </c>
      <c r="G635">
        <v>24550</v>
      </c>
      <c r="H635" t="s">
        <v>2733</v>
      </c>
      <c r="I635" t="s">
        <v>2110</v>
      </c>
      <c r="J635">
        <v>1800</v>
      </c>
      <c r="K635" t="s">
        <v>2111</v>
      </c>
      <c r="L635">
        <v>10386</v>
      </c>
      <c r="M635">
        <v>5.77</v>
      </c>
      <c r="O635" t="s">
        <v>461</v>
      </c>
    </row>
    <row r="636" spans="1:15" x14ac:dyDescent="0.3">
      <c r="A636">
        <v>235597</v>
      </c>
      <c r="B636">
        <v>173</v>
      </c>
      <c r="C636" t="s">
        <v>734</v>
      </c>
      <c r="D636" t="s">
        <v>1819</v>
      </c>
      <c r="E636" t="s">
        <v>1931</v>
      </c>
      <c r="F636" s="465">
        <v>46168</v>
      </c>
      <c r="G636">
        <v>26280</v>
      </c>
      <c r="H636" t="s">
        <v>2734</v>
      </c>
      <c r="I636" t="s">
        <v>2110</v>
      </c>
      <c r="J636">
        <v>252</v>
      </c>
      <c r="K636" t="s">
        <v>2309</v>
      </c>
      <c r="L636">
        <v>2950.92</v>
      </c>
      <c r="M636">
        <v>11.71</v>
      </c>
      <c r="O636" t="s">
        <v>461</v>
      </c>
    </row>
    <row r="637" spans="1:15" x14ac:dyDescent="0.3">
      <c r="A637">
        <v>235597</v>
      </c>
      <c r="B637">
        <v>173</v>
      </c>
      <c r="C637" t="s">
        <v>734</v>
      </c>
      <c r="D637" t="s">
        <v>1819</v>
      </c>
      <c r="E637" t="s">
        <v>1931</v>
      </c>
      <c r="F637" s="465">
        <v>46168</v>
      </c>
      <c r="G637">
        <v>25180</v>
      </c>
      <c r="H637" t="s">
        <v>2735</v>
      </c>
      <c r="I637" t="s">
        <v>2110</v>
      </c>
      <c r="J637">
        <v>84</v>
      </c>
      <c r="K637" t="s">
        <v>2309</v>
      </c>
      <c r="L637">
        <v>1504.44</v>
      </c>
      <c r="M637">
        <v>17.91</v>
      </c>
      <c r="O637" t="s">
        <v>461</v>
      </c>
    </row>
    <row r="638" spans="1:15" x14ac:dyDescent="0.3">
      <c r="A638">
        <v>235597</v>
      </c>
      <c r="B638">
        <v>173</v>
      </c>
      <c r="C638" t="s">
        <v>734</v>
      </c>
      <c r="D638" t="s">
        <v>1819</v>
      </c>
      <c r="E638" t="s">
        <v>1931</v>
      </c>
      <c r="F638" s="465">
        <v>46168</v>
      </c>
      <c r="G638">
        <v>25177</v>
      </c>
      <c r="H638" t="s">
        <v>2736</v>
      </c>
      <c r="I638" t="s">
        <v>2110</v>
      </c>
      <c r="J638">
        <v>54</v>
      </c>
      <c r="K638" t="s">
        <v>2309</v>
      </c>
      <c r="L638">
        <v>1020.6</v>
      </c>
      <c r="M638">
        <v>18.899999999999999</v>
      </c>
      <c r="O638" t="s">
        <v>461</v>
      </c>
    </row>
    <row r="639" spans="1:15" x14ac:dyDescent="0.3">
      <c r="A639">
        <v>235597</v>
      </c>
      <c r="B639">
        <v>173</v>
      </c>
      <c r="C639" t="s">
        <v>734</v>
      </c>
      <c r="D639" t="s">
        <v>1819</v>
      </c>
      <c r="E639" t="s">
        <v>1931</v>
      </c>
      <c r="F639" s="465">
        <v>46168</v>
      </c>
      <c r="G639">
        <v>25175</v>
      </c>
      <c r="H639" t="s">
        <v>2312</v>
      </c>
      <c r="I639" t="s">
        <v>2110</v>
      </c>
      <c r="J639">
        <v>120</v>
      </c>
      <c r="K639" t="s">
        <v>2309</v>
      </c>
      <c r="L639">
        <v>1154.4000000000001</v>
      </c>
      <c r="M639">
        <v>9.6199999999999992</v>
      </c>
      <c r="O639" t="s">
        <v>461</v>
      </c>
    </row>
    <row r="640" spans="1:15" x14ac:dyDescent="0.3">
      <c r="A640">
        <v>235597</v>
      </c>
      <c r="B640">
        <v>173</v>
      </c>
      <c r="C640" t="s">
        <v>734</v>
      </c>
      <c r="D640" t="s">
        <v>1819</v>
      </c>
      <c r="E640" t="s">
        <v>1931</v>
      </c>
      <c r="F640" s="465">
        <v>46168</v>
      </c>
      <c r="G640">
        <v>29246</v>
      </c>
      <c r="H640" t="s">
        <v>2737</v>
      </c>
      <c r="I640" t="s">
        <v>2110</v>
      </c>
      <c r="J640">
        <v>24</v>
      </c>
      <c r="K640" t="s">
        <v>2111</v>
      </c>
      <c r="L640">
        <v>196.56</v>
      </c>
      <c r="M640">
        <v>8.19</v>
      </c>
      <c r="O640" t="s">
        <v>461</v>
      </c>
    </row>
    <row r="641" spans="1:15" x14ac:dyDescent="0.3">
      <c r="A641">
        <v>235597</v>
      </c>
      <c r="B641">
        <v>173</v>
      </c>
      <c r="C641" t="s">
        <v>734</v>
      </c>
      <c r="D641" t="s">
        <v>1819</v>
      </c>
      <c r="E641" t="s">
        <v>1931</v>
      </c>
      <c r="F641" s="465">
        <v>46168</v>
      </c>
      <c r="G641">
        <v>26282</v>
      </c>
      <c r="H641" t="s">
        <v>2738</v>
      </c>
      <c r="I641" t="s">
        <v>2110</v>
      </c>
      <c r="J641">
        <v>108</v>
      </c>
      <c r="K641" t="s">
        <v>2309</v>
      </c>
      <c r="L641">
        <v>1285.2</v>
      </c>
      <c r="M641">
        <v>11.9</v>
      </c>
      <c r="O641" t="s">
        <v>461</v>
      </c>
    </row>
    <row r="642" spans="1:15" x14ac:dyDescent="0.3">
      <c r="A642">
        <v>235597</v>
      </c>
      <c r="B642">
        <v>173</v>
      </c>
      <c r="C642" t="s">
        <v>734</v>
      </c>
      <c r="D642" t="s">
        <v>1819</v>
      </c>
      <c r="E642" t="s">
        <v>1931</v>
      </c>
      <c r="F642" s="465">
        <v>46168</v>
      </c>
      <c r="G642">
        <v>17077</v>
      </c>
      <c r="H642" t="s">
        <v>2739</v>
      </c>
      <c r="I642" t="s">
        <v>2110</v>
      </c>
      <c r="J642">
        <v>10</v>
      </c>
      <c r="K642" t="s">
        <v>2309</v>
      </c>
      <c r="L642">
        <v>1198.8</v>
      </c>
      <c r="M642">
        <v>119.88</v>
      </c>
      <c r="O642" t="s">
        <v>461</v>
      </c>
    </row>
    <row r="643" spans="1:15" x14ac:dyDescent="0.3">
      <c r="A643">
        <v>235584</v>
      </c>
      <c r="B643">
        <v>173</v>
      </c>
      <c r="C643" t="s">
        <v>734</v>
      </c>
      <c r="D643" t="s">
        <v>1927</v>
      </c>
      <c r="E643" t="s">
        <v>1932</v>
      </c>
      <c r="F643" s="465">
        <v>46155</v>
      </c>
      <c r="G643">
        <v>29263</v>
      </c>
      <c r="H643" t="s">
        <v>2740</v>
      </c>
      <c r="I643" t="s">
        <v>2110</v>
      </c>
      <c r="J643">
        <v>48</v>
      </c>
      <c r="K643" t="s">
        <v>2111</v>
      </c>
      <c r="L643">
        <v>345.12</v>
      </c>
      <c r="M643">
        <v>7.19</v>
      </c>
      <c r="N643" t="s">
        <v>2741</v>
      </c>
      <c r="O643" t="s">
        <v>461</v>
      </c>
    </row>
    <row r="644" spans="1:15" x14ac:dyDescent="0.3">
      <c r="A644">
        <v>235582</v>
      </c>
      <c r="B644">
        <v>173</v>
      </c>
      <c r="C644" t="s">
        <v>734</v>
      </c>
      <c r="D644" t="s">
        <v>1933</v>
      </c>
      <c r="E644" t="s">
        <v>1934</v>
      </c>
      <c r="F644" s="465">
        <v>46155</v>
      </c>
      <c r="G644">
        <v>28459</v>
      </c>
      <c r="H644" t="s">
        <v>2742</v>
      </c>
      <c r="I644" t="s">
        <v>2177</v>
      </c>
      <c r="J644">
        <v>1</v>
      </c>
      <c r="K644" t="s">
        <v>2118</v>
      </c>
      <c r="L644">
        <v>298.86</v>
      </c>
      <c r="M644">
        <v>298.86</v>
      </c>
      <c r="N644" t="s">
        <v>2743</v>
      </c>
      <c r="O644" t="s">
        <v>461</v>
      </c>
    </row>
    <row r="645" spans="1:15" x14ac:dyDescent="0.3">
      <c r="A645">
        <v>235582</v>
      </c>
      <c r="B645">
        <v>173</v>
      </c>
      <c r="C645" t="s">
        <v>734</v>
      </c>
      <c r="D645" t="s">
        <v>1933</v>
      </c>
      <c r="E645" t="s">
        <v>1934</v>
      </c>
      <c r="F645" s="465">
        <v>46155</v>
      </c>
      <c r="G645">
        <v>28639</v>
      </c>
      <c r="H645" t="s">
        <v>2744</v>
      </c>
      <c r="I645" t="s">
        <v>2177</v>
      </c>
      <c r="J645">
        <v>1</v>
      </c>
      <c r="K645" t="s">
        <v>2118</v>
      </c>
      <c r="L645">
        <v>468.56</v>
      </c>
      <c r="M645">
        <v>468.56</v>
      </c>
      <c r="N645" t="s">
        <v>2743</v>
      </c>
      <c r="O645" t="s">
        <v>461</v>
      </c>
    </row>
    <row r="646" spans="1:15" x14ac:dyDescent="0.3">
      <c r="A646">
        <v>235582</v>
      </c>
      <c r="B646">
        <v>173</v>
      </c>
      <c r="C646" t="s">
        <v>734</v>
      </c>
      <c r="D646" t="s">
        <v>1933</v>
      </c>
      <c r="E646" t="s">
        <v>1934</v>
      </c>
      <c r="F646" s="465">
        <v>46155</v>
      </c>
      <c r="G646">
        <v>28714</v>
      </c>
      <c r="H646" t="s">
        <v>2745</v>
      </c>
      <c r="I646" t="s">
        <v>2177</v>
      </c>
      <c r="J646">
        <v>1</v>
      </c>
      <c r="K646" t="s">
        <v>2118</v>
      </c>
      <c r="L646">
        <v>332.38</v>
      </c>
      <c r="M646">
        <v>332.38</v>
      </c>
      <c r="N646" t="s">
        <v>2743</v>
      </c>
      <c r="O646" t="s">
        <v>461</v>
      </c>
    </row>
    <row r="647" spans="1:15" x14ac:dyDescent="0.3">
      <c r="A647">
        <v>235582</v>
      </c>
      <c r="B647">
        <v>173</v>
      </c>
      <c r="C647" t="s">
        <v>734</v>
      </c>
      <c r="D647" t="s">
        <v>1933</v>
      </c>
      <c r="E647" t="s">
        <v>1934</v>
      </c>
      <c r="F647" s="465">
        <v>46155</v>
      </c>
      <c r="G647">
        <v>28718</v>
      </c>
      <c r="H647" t="s">
        <v>2746</v>
      </c>
      <c r="I647" t="s">
        <v>2177</v>
      </c>
      <c r="J647">
        <v>1</v>
      </c>
      <c r="K647" t="s">
        <v>2118</v>
      </c>
      <c r="L647">
        <v>302.86</v>
      </c>
      <c r="M647">
        <v>302.86</v>
      </c>
      <c r="N647" t="s">
        <v>2743</v>
      </c>
      <c r="O647" t="s">
        <v>461</v>
      </c>
    </row>
    <row r="648" spans="1:15" x14ac:dyDescent="0.3">
      <c r="A648">
        <v>235582</v>
      </c>
      <c r="B648">
        <v>173</v>
      </c>
      <c r="C648" t="s">
        <v>734</v>
      </c>
      <c r="D648" t="s">
        <v>1933</v>
      </c>
      <c r="E648" t="s">
        <v>1934</v>
      </c>
      <c r="F648" s="465">
        <v>46155</v>
      </c>
      <c r="G648">
        <v>28717</v>
      </c>
      <c r="H648" t="s">
        <v>2747</v>
      </c>
      <c r="I648" t="s">
        <v>2177</v>
      </c>
      <c r="J648">
        <v>1</v>
      </c>
      <c r="K648" t="s">
        <v>2118</v>
      </c>
      <c r="L648">
        <v>229.62</v>
      </c>
      <c r="M648">
        <v>229.62</v>
      </c>
      <c r="N648" t="s">
        <v>2743</v>
      </c>
      <c r="O648" t="s">
        <v>461</v>
      </c>
    </row>
    <row r="649" spans="1:15" x14ac:dyDescent="0.3">
      <c r="A649">
        <v>235582</v>
      </c>
      <c r="B649">
        <v>173</v>
      </c>
      <c r="C649" t="s">
        <v>734</v>
      </c>
      <c r="D649" t="s">
        <v>1933</v>
      </c>
      <c r="E649" t="s">
        <v>1934</v>
      </c>
      <c r="F649" s="465">
        <v>46155</v>
      </c>
      <c r="G649">
        <v>28938</v>
      </c>
      <c r="H649" t="s">
        <v>2748</v>
      </c>
      <c r="I649" t="s">
        <v>2177</v>
      </c>
      <c r="J649">
        <v>1</v>
      </c>
      <c r="K649" t="s">
        <v>2118</v>
      </c>
      <c r="L649">
        <v>235.08</v>
      </c>
      <c r="M649">
        <v>235.08</v>
      </c>
      <c r="N649" t="s">
        <v>2743</v>
      </c>
      <c r="O649" t="s">
        <v>461</v>
      </c>
    </row>
    <row r="650" spans="1:15" x14ac:dyDescent="0.3">
      <c r="A650">
        <v>235582</v>
      </c>
      <c r="B650">
        <v>173</v>
      </c>
      <c r="C650" t="s">
        <v>734</v>
      </c>
      <c r="D650" t="s">
        <v>1933</v>
      </c>
      <c r="E650" t="s">
        <v>1934</v>
      </c>
      <c r="F650" s="465">
        <v>46155</v>
      </c>
      <c r="G650">
        <v>28937</v>
      </c>
      <c r="H650" t="s">
        <v>2749</v>
      </c>
      <c r="I650" t="s">
        <v>2177</v>
      </c>
      <c r="J650">
        <v>1</v>
      </c>
      <c r="K650" t="s">
        <v>2118</v>
      </c>
      <c r="L650">
        <v>284.76</v>
      </c>
      <c r="M650">
        <v>284.76</v>
      </c>
      <c r="N650" t="s">
        <v>2743</v>
      </c>
      <c r="O650" t="s">
        <v>461</v>
      </c>
    </row>
    <row r="651" spans="1:15" x14ac:dyDescent="0.3">
      <c r="A651">
        <v>235582</v>
      </c>
      <c r="B651">
        <v>173</v>
      </c>
      <c r="C651" t="s">
        <v>734</v>
      </c>
      <c r="D651" t="s">
        <v>1933</v>
      </c>
      <c r="E651" t="s">
        <v>1934</v>
      </c>
      <c r="F651" s="465">
        <v>46155</v>
      </c>
      <c r="G651">
        <v>28559</v>
      </c>
      <c r="H651" t="s">
        <v>2750</v>
      </c>
      <c r="I651" t="s">
        <v>2177</v>
      </c>
      <c r="J651">
        <v>1</v>
      </c>
      <c r="K651" t="s">
        <v>2118</v>
      </c>
      <c r="L651">
        <v>215.94</v>
      </c>
      <c r="M651">
        <v>215.94</v>
      </c>
      <c r="N651" t="s">
        <v>2743</v>
      </c>
      <c r="O651" t="s">
        <v>461</v>
      </c>
    </row>
    <row r="652" spans="1:15" x14ac:dyDescent="0.3">
      <c r="A652">
        <v>235582</v>
      </c>
      <c r="B652">
        <v>173</v>
      </c>
      <c r="C652" t="s">
        <v>734</v>
      </c>
      <c r="D652" t="s">
        <v>1933</v>
      </c>
      <c r="E652" t="s">
        <v>1934</v>
      </c>
      <c r="F652" s="465">
        <v>46155</v>
      </c>
      <c r="G652">
        <v>28711</v>
      </c>
      <c r="H652" t="s">
        <v>2751</v>
      </c>
      <c r="I652" t="s">
        <v>2177</v>
      </c>
      <c r="J652">
        <v>1</v>
      </c>
      <c r="K652" t="s">
        <v>2118</v>
      </c>
      <c r="L652">
        <v>288.83999999999997</v>
      </c>
      <c r="M652">
        <v>288.83999999999997</v>
      </c>
      <c r="N652" t="s">
        <v>2743</v>
      </c>
      <c r="O652" t="s">
        <v>461</v>
      </c>
    </row>
    <row r="653" spans="1:15" x14ac:dyDescent="0.3">
      <c r="A653">
        <v>235582</v>
      </c>
      <c r="B653">
        <v>173</v>
      </c>
      <c r="C653" t="s">
        <v>734</v>
      </c>
      <c r="D653" t="s">
        <v>1933</v>
      </c>
      <c r="E653" t="s">
        <v>1934</v>
      </c>
      <c r="F653" s="465">
        <v>46155</v>
      </c>
      <c r="G653">
        <v>28712</v>
      </c>
      <c r="H653" t="s">
        <v>2752</v>
      </c>
      <c r="I653" t="s">
        <v>2177</v>
      </c>
      <c r="J653">
        <v>1</v>
      </c>
      <c r="K653" t="s">
        <v>2118</v>
      </c>
      <c r="L653">
        <v>239.9</v>
      </c>
      <c r="M653">
        <v>239.9</v>
      </c>
      <c r="N653" t="s">
        <v>2743</v>
      </c>
      <c r="O653" t="s">
        <v>461</v>
      </c>
    </row>
    <row r="654" spans="1:15" x14ac:dyDescent="0.3">
      <c r="A654">
        <v>235582</v>
      </c>
      <c r="B654">
        <v>173</v>
      </c>
      <c r="C654" t="s">
        <v>734</v>
      </c>
      <c r="D654" t="s">
        <v>1933</v>
      </c>
      <c r="E654" t="s">
        <v>1934</v>
      </c>
      <c r="F654" s="465">
        <v>46155</v>
      </c>
      <c r="G654">
        <v>28713</v>
      </c>
      <c r="H654" t="s">
        <v>2753</v>
      </c>
      <c r="I654" t="s">
        <v>2177</v>
      </c>
      <c r="J654">
        <v>1</v>
      </c>
      <c r="K654" t="s">
        <v>2118</v>
      </c>
      <c r="L654">
        <v>376.31</v>
      </c>
      <c r="M654">
        <v>376.31</v>
      </c>
      <c r="N654" t="s">
        <v>2743</v>
      </c>
      <c r="O654" t="s">
        <v>461</v>
      </c>
    </row>
    <row r="655" spans="1:15" x14ac:dyDescent="0.3">
      <c r="A655">
        <v>235582</v>
      </c>
      <c r="B655">
        <v>173</v>
      </c>
      <c r="C655" t="s">
        <v>734</v>
      </c>
      <c r="D655" t="s">
        <v>1933</v>
      </c>
      <c r="E655" t="s">
        <v>1934</v>
      </c>
      <c r="F655" s="465">
        <v>46155</v>
      </c>
      <c r="G655">
        <v>28637</v>
      </c>
      <c r="H655" t="s">
        <v>2754</v>
      </c>
      <c r="I655" t="s">
        <v>2177</v>
      </c>
      <c r="J655">
        <v>1</v>
      </c>
      <c r="K655" t="s">
        <v>2118</v>
      </c>
      <c r="L655">
        <v>243.28</v>
      </c>
      <c r="M655">
        <v>243.28</v>
      </c>
      <c r="N655" t="s">
        <v>2743</v>
      </c>
      <c r="O655" t="s">
        <v>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"/>
  <sheetViews>
    <sheetView workbookViewId="0"/>
  </sheetViews>
  <sheetFormatPr defaultRowHeight="14.4" x14ac:dyDescent="0.3"/>
  <sheetData>
    <row r="1" spans="1:17" x14ac:dyDescent="0.3">
      <c r="A1" t="s">
        <v>2076</v>
      </c>
      <c r="B1" t="s">
        <v>711</v>
      </c>
      <c r="C1" t="s">
        <v>712</v>
      </c>
      <c r="D1" t="s">
        <v>2077</v>
      </c>
      <c r="E1" t="s">
        <v>2078</v>
      </c>
      <c r="F1" t="s">
        <v>2079</v>
      </c>
      <c r="G1" t="s">
        <v>2755</v>
      </c>
      <c r="H1" t="s">
        <v>2080</v>
      </c>
      <c r="I1" t="s">
        <v>2081</v>
      </c>
      <c r="J1" t="s">
        <v>2756</v>
      </c>
      <c r="K1" t="s">
        <v>551</v>
      </c>
      <c r="L1" t="s">
        <v>2757</v>
      </c>
      <c r="M1" t="s">
        <v>2758</v>
      </c>
      <c r="N1" t="s">
        <v>2759</v>
      </c>
      <c r="O1" t="s">
        <v>2760</v>
      </c>
      <c r="P1" t="s">
        <v>2761</v>
      </c>
      <c r="Q1" t="s">
        <v>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76"/>
  <sheetViews>
    <sheetView workbookViewId="0"/>
  </sheetViews>
  <sheetFormatPr defaultRowHeight="14.4" x14ac:dyDescent="0.3"/>
  <sheetData>
    <row r="1" spans="1:7" x14ac:dyDescent="0.3">
      <c r="A1" t="s">
        <v>712</v>
      </c>
      <c r="B1" t="s">
        <v>2082</v>
      </c>
      <c r="C1" t="s">
        <v>2083</v>
      </c>
      <c r="D1" t="s">
        <v>551</v>
      </c>
      <c r="E1" t="s">
        <v>2762</v>
      </c>
      <c r="F1" t="s">
        <v>2763</v>
      </c>
      <c r="G1" t="s">
        <v>2757</v>
      </c>
    </row>
    <row r="2" spans="1:7" x14ac:dyDescent="0.3">
      <c r="A2" t="s">
        <v>734</v>
      </c>
      <c r="B2">
        <v>19788</v>
      </c>
      <c r="C2" t="s">
        <v>2129</v>
      </c>
      <c r="D2" t="s">
        <v>463</v>
      </c>
      <c r="E2">
        <v>13.2</v>
      </c>
      <c r="F2">
        <v>74.62</v>
      </c>
      <c r="G2">
        <v>5.65</v>
      </c>
    </row>
    <row r="3" spans="1:7" x14ac:dyDescent="0.3">
      <c r="A3" t="s">
        <v>734</v>
      </c>
      <c r="B3">
        <v>19787</v>
      </c>
      <c r="C3" t="s">
        <v>2127</v>
      </c>
      <c r="D3" t="s">
        <v>463</v>
      </c>
      <c r="E3">
        <v>15.5</v>
      </c>
      <c r="F3">
        <v>83.39</v>
      </c>
      <c r="G3">
        <v>5.38</v>
      </c>
    </row>
    <row r="4" spans="1:7" x14ac:dyDescent="0.3">
      <c r="A4" t="s">
        <v>734</v>
      </c>
      <c r="B4">
        <v>19654</v>
      </c>
      <c r="C4" t="s">
        <v>2498</v>
      </c>
      <c r="D4" t="s">
        <v>463</v>
      </c>
      <c r="E4">
        <v>5</v>
      </c>
      <c r="F4">
        <v>34</v>
      </c>
      <c r="G4">
        <v>6.8</v>
      </c>
    </row>
    <row r="5" spans="1:7" x14ac:dyDescent="0.3">
      <c r="A5" t="s">
        <v>734</v>
      </c>
      <c r="B5">
        <v>22871</v>
      </c>
      <c r="C5" t="s">
        <v>2233</v>
      </c>
      <c r="D5" t="s">
        <v>463</v>
      </c>
      <c r="E5">
        <v>62</v>
      </c>
      <c r="F5">
        <v>2033.6</v>
      </c>
      <c r="G5">
        <v>32.799999999999997</v>
      </c>
    </row>
    <row r="6" spans="1:7" x14ac:dyDescent="0.3">
      <c r="A6" t="s">
        <v>734</v>
      </c>
      <c r="B6">
        <v>21068</v>
      </c>
      <c r="C6" t="s">
        <v>2357</v>
      </c>
      <c r="D6" t="s">
        <v>463</v>
      </c>
      <c r="E6">
        <v>30</v>
      </c>
      <c r="F6">
        <v>497.1</v>
      </c>
      <c r="G6">
        <v>16.57</v>
      </c>
    </row>
    <row r="7" spans="1:7" x14ac:dyDescent="0.3">
      <c r="A7" t="s">
        <v>734</v>
      </c>
      <c r="B7">
        <v>19857</v>
      </c>
      <c r="C7" t="s">
        <v>2458</v>
      </c>
      <c r="D7" t="s">
        <v>463</v>
      </c>
      <c r="E7">
        <v>1</v>
      </c>
      <c r="F7">
        <v>61.5</v>
      </c>
      <c r="G7">
        <v>61.5</v>
      </c>
    </row>
    <row r="8" spans="1:7" x14ac:dyDescent="0.3">
      <c r="A8" t="s">
        <v>734</v>
      </c>
      <c r="B8">
        <v>23992</v>
      </c>
      <c r="C8" t="s">
        <v>2460</v>
      </c>
      <c r="D8" t="s">
        <v>463</v>
      </c>
      <c r="E8">
        <v>1</v>
      </c>
      <c r="F8">
        <v>72.28</v>
      </c>
      <c r="G8">
        <v>72.28</v>
      </c>
    </row>
    <row r="9" spans="1:7" x14ac:dyDescent="0.3">
      <c r="A9" t="s">
        <v>734</v>
      </c>
      <c r="B9">
        <v>21093</v>
      </c>
      <c r="C9" t="s">
        <v>2399</v>
      </c>
      <c r="D9" t="s">
        <v>463</v>
      </c>
      <c r="E9">
        <v>100</v>
      </c>
      <c r="F9">
        <v>395</v>
      </c>
      <c r="G9">
        <v>3.95</v>
      </c>
    </row>
    <row r="10" spans="1:7" x14ac:dyDescent="0.3">
      <c r="A10" t="s">
        <v>734</v>
      </c>
      <c r="B10">
        <v>24596</v>
      </c>
      <c r="C10" t="s">
        <v>2279</v>
      </c>
      <c r="D10" t="s">
        <v>463</v>
      </c>
      <c r="E10">
        <v>10</v>
      </c>
      <c r="F10">
        <v>150</v>
      </c>
      <c r="G10">
        <v>15</v>
      </c>
    </row>
    <row r="11" spans="1:7" x14ac:dyDescent="0.3">
      <c r="A11" t="s">
        <v>734</v>
      </c>
      <c r="B11">
        <v>17950</v>
      </c>
      <c r="C11" t="s">
        <v>2098</v>
      </c>
      <c r="D11" t="s">
        <v>463</v>
      </c>
      <c r="E11">
        <v>150</v>
      </c>
      <c r="F11">
        <v>2178</v>
      </c>
      <c r="G11">
        <v>14.52</v>
      </c>
    </row>
    <row r="12" spans="1:7" x14ac:dyDescent="0.3">
      <c r="A12" t="s">
        <v>734</v>
      </c>
      <c r="B12">
        <v>24543</v>
      </c>
      <c r="C12" t="s">
        <v>2126</v>
      </c>
      <c r="D12" t="s">
        <v>463</v>
      </c>
      <c r="E12">
        <v>50</v>
      </c>
      <c r="F12">
        <v>1500</v>
      </c>
      <c r="G12">
        <v>30</v>
      </c>
    </row>
    <row r="13" spans="1:7" x14ac:dyDescent="0.3">
      <c r="A13" t="s">
        <v>734</v>
      </c>
      <c r="B13">
        <v>17958</v>
      </c>
      <c r="C13" t="s">
        <v>2096</v>
      </c>
      <c r="D13" t="s">
        <v>463</v>
      </c>
      <c r="E13">
        <v>150</v>
      </c>
      <c r="F13">
        <v>2070</v>
      </c>
      <c r="G13">
        <v>13.8</v>
      </c>
    </row>
    <row r="14" spans="1:7" x14ac:dyDescent="0.3">
      <c r="A14" t="s">
        <v>734</v>
      </c>
      <c r="B14">
        <v>17314</v>
      </c>
      <c r="C14" t="s">
        <v>2178</v>
      </c>
      <c r="D14" t="s">
        <v>463</v>
      </c>
      <c r="E14">
        <v>5</v>
      </c>
      <c r="F14">
        <v>29.45</v>
      </c>
      <c r="G14">
        <v>5.89</v>
      </c>
    </row>
    <row r="15" spans="1:7" x14ac:dyDescent="0.3">
      <c r="A15" t="s">
        <v>734</v>
      </c>
      <c r="B15">
        <v>20757</v>
      </c>
      <c r="C15" t="s">
        <v>2360</v>
      </c>
      <c r="D15" t="s">
        <v>463</v>
      </c>
      <c r="E15">
        <v>6</v>
      </c>
      <c r="F15">
        <v>467.4</v>
      </c>
      <c r="G15">
        <v>77.900000000000006</v>
      </c>
    </row>
    <row r="16" spans="1:7" x14ac:dyDescent="0.3">
      <c r="A16" t="s">
        <v>734</v>
      </c>
      <c r="B16">
        <v>19506</v>
      </c>
      <c r="C16" t="s">
        <v>2197</v>
      </c>
      <c r="D16" t="s">
        <v>463</v>
      </c>
      <c r="E16">
        <v>3.5</v>
      </c>
      <c r="F16">
        <v>182.5</v>
      </c>
      <c r="G16">
        <v>52.14</v>
      </c>
    </row>
    <row r="17" spans="1:7" x14ac:dyDescent="0.3">
      <c r="A17" t="s">
        <v>734</v>
      </c>
      <c r="B17">
        <v>19505</v>
      </c>
      <c r="C17" t="s">
        <v>2496</v>
      </c>
      <c r="D17" t="s">
        <v>463</v>
      </c>
      <c r="E17">
        <v>13</v>
      </c>
      <c r="F17">
        <v>209</v>
      </c>
      <c r="G17">
        <v>16.079999999999998</v>
      </c>
    </row>
    <row r="18" spans="1:7" x14ac:dyDescent="0.3">
      <c r="A18" t="s">
        <v>734</v>
      </c>
      <c r="B18">
        <v>19498</v>
      </c>
      <c r="C18" t="s">
        <v>2542</v>
      </c>
      <c r="D18" t="s">
        <v>463</v>
      </c>
      <c r="E18">
        <v>5</v>
      </c>
      <c r="F18">
        <v>90</v>
      </c>
      <c r="G18">
        <v>18</v>
      </c>
    </row>
    <row r="19" spans="1:7" x14ac:dyDescent="0.3">
      <c r="A19" t="s">
        <v>734</v>
      </c>
      <c r="B19">
        <v>23270</v>
      </c>
      <c r="C19" t="s">
        <v>2513</v>
      </c>
      <c r="D19" t="s">
        <v>463</v>
      </c>
      <c r="E19">
        <v>6</v>
      </c>
      <c r="F19">
        <v>113.4</v>
      </c>
      <c r="G19">
        <v>18.899999999999999</v>
      </c>
    </row>
    <row r="20" spans="1:7" x14ac:dyDescent="0.3">
      <c r="A20" t="s">
        <v>734</v>
      </c>
      <c r="B20">
        <v>19647</v>
      </c>
      <c r="C20" t="s">
        <v>2196</v>
      </c>
      <c r="D20" t="s">
        <v>463</v>
      </c>
      <c r="E20">
        <v>21</v>
      </c>
      <c r="F20">
        <v>256</v>
      </c>
      <c r="G20">
        <v>12.19</v>
      </c>
    </row>
    <row r="21" spans="1:7" x14ac:dyDescent="0.3">
      <c r="A21" t="s">
        <v>734</v>
      </c>
      <c r="B21">
        <v>19653</v>
      </c>
      <c r="C21" t="s">
        <v>2210</v>
      </c>
      <c r="D21" t="s">
        <v>463</v>
      </c>
      <c r="E21">
        <v>4</v>
      </c>
      <c r="F21">
        <v>100.16</v>
      </c>
      <c r="G21">
        <v>25.04</v>
      </c>
    </row>
    <row r="22" spans="1:7" x14ac:dyDescent="0.3">
      <c r="A22" t="s">
        <v>734</v>
      </c>
      <c r="B22">
        <v>24037</v>
      </c>
      <c r="C22" t="s">
        <v>2216</v>
      </c>
      <c r="D22" t="s">
        <v>463</v>
      </c>
      <c r="E22">
        <v>18</v>
      </c>
      <c r="F22">
        <v>315</v>
      </c>
      <c r="G22">
        <v>17.5</v>
      </c>
    </row>
    <row r="23" spans="1:7" x14ac:dyDescent="0.3">
      <c r="A23" t="s">
        <v>734</v>
      </c>
      <c r="B23">
        <v>24040</v>
      </c>
      <c r="C23" t="s">
        <v>2120</v>
      </c>
      <c r="D23" t="s">
        <v>463</v>
      </c>
      <c r="E23">
        <v>7</v>
      </c>
      <c r="F23">
        <v>539.28</v>
      </c>
      <c r="G23">
        <v>77.040000000000006</v>
      </c>
    </row>
    <row r="24" spans="1:7" x14ac:dyDescent="0.3">
      <c r="A24" t="s">
        <v>734</v>
      </c>
      <c r="B24">
        <v>20429</v>
      </c>
      <c r="C24" t="s">
        <v>2137</v>
      </c>
      <c r="D24" t="s">
        <v>463</v>
      </c>
      <c r="E24">
        <v>30</v>
      </c>
      <c r="F24">
        <v>612</v>
      </c>
      <c r="G24">
        <v>20.399999999999999</v>
      </c>
    </row>
    <row r="25" spans="1:7" x14ac:dyDescent="0.3">
      <c r="A25" t="s">
        <v>734</v>
      </c>
      <c r="B25">
        <v>26014</v>
      </c>
      <c r="C25" t="s">
        <v>2381</v>
      </c>
      <c r="D25" t="s">
        <v>463</v>
      </c>
      <c r="E25">
        <v>3</v>
      </c>
      <c r="F25">
        <v>1127.4000000000001</v>
      </c>
      <c r="G25">
        <v>375.8</v>
      </c>
    </row>
    <row r="26" spans="1:7" x14ac:dyDescent="0.3">
      <c r="A26" t="s">
        <v>734</v>
      </c>
      <c r="B26">
        <v>18547</v>
      </c>
      <c r="C26" t="s">
        <v>2495</v>
      </c>
      <c r="D26" t="s">
        <v>463</v>
      </c>
      <c r="E26">
        <v>120</v>
      </c>
      <c r="F26">
        <v>4536</v>
      </c>
      <c r="G26">
        <v>37.799999999999997</v>
      </c>
    </row>
    <row r="27" spans="1:7" x14ac:dyDescent="0.3">
      <c r="A27" t="s">
        <v>734</v>
      </c>
      <c r="B27">
        <v>18545</v>
      </c>
      <c r="C27" t="s">
        <v>2487</v>
      </c>
      <c r="D27" t="s">
        <v>463</v>
      </c>
      <c r="E27">
        <v>30</v>
      </c>
      <c r="F27">
        <v>1347</v>
      </c>
      <c r="G27">
        <v>44.9</v>
      </c>
    </row>
    <row r="28" spans="1:7" x14ac:dyDescent="0.3">
      <c r="A28" t="s">
        <v>734</v>
      </c>
      <c r="B28">
        <v>18540</v>
      </c>
      <c r="C28" t="s">
        <v>2485</v>
      </c>
      <c r="D28" t="s">
        <v>463</v>
      </c>
      <c r="E28">
        <v>2</v>
      </c>
      <c r="F28">
        <v>142</v>
      </c>
      <c r="G28">
        <v>71</v>
      </c>
    </row>
    <row r="29" spans="1:7" x14ac:dyDescent="0.3">
      <c r="A29" t="s">
        <v>734</v>
      </c>
      <c r="B29">
        <v>18538</v>
      </c>
      <c r="C29" t="s">
        <v>2489</v>
      </c>
      <c r="D29" t="s">
        <v>463</v>
      </c>
      <c r="E29">
        <v>4</v>
      </c>
      <c r="F29">
        <v>404</v>
      </c>
      <c r="G29">
        <v>101</v>
      </c>
    </row>
    <row r="30" spans="1:7" x14ac:dyDescent="0.3">
      <c r="A30" t="s">
        <v>734</v>
      </c>
      <c r="B30">
        <v>18531</v>
      </c>
      <c r="C30" t="s">
        <v>2505</v>
      </c>
      <c r="D30" t="s">
        <v>463</v>
      </c>
      <c r="E30">
        <v>3</v>
      </c>
      <c r="F30">
        <v>390</v>
      </c>
      <c r="G30">
        <v>130</v>
      </c>
    </row>
    <row r="31" spans="1:7" x14ac:dyDescent="0.3">
      <c r="A31" t="s">
        <v>734</v>
      </c>
      <c r="B31">
        <v>26224</v>
      </c>
      <c r="C31" t="s">
        <v>2565</v>
      </c>
      <c r="D31" t="s">
        <v>463</v>
      </c>
      <c r="E31">
        <v>20</v>
      </c>
      <c r="F31">
        <v>158</v>
      </c>
      <c r="G31">
        <v>7.9</v>
      </c>
    </row>
    <row r="32" spans="1:7" x14ac:dyDescent="0.3">
      <c r="A32" t="s">
        <v>734</v>
      </c>
      <c r="B32">
        <v>20301</v>
      </c>
      <c r="C32" t="s">
        <v>2284</v>
      </c>
      <c r="D32" t="s">
        <v>463</v>
      </c>
      <c r="E32">
        <v>50</v>
      </c>
      <c r="F32">
        <v>1050</v>
      </c>
      <c r="G32">
        <v>21</v>
      </c>
    </row>
    <row r="33" spans="1:7" x14ac:dyDescent="0.3">
      <c r="A33" t="s">
        <v>734</v>
      </c>
      <c r="B33">
        <v>18738</v>
      </c>
      <c r="C33" t="s">
        <v>2521</v>
      </c>
      <c r="D33" t="s">
        <v>463</v>
      </c>
      <c r="E33">
        <v>10</v>
      </c>
      <c r="F33">
        <v>315.60000000000002</v>
      </c>
      <c r="G33">
        <v>31.56</v>
      </c>
    </row>
    <row r="34" spans="1:7" x14ac:dyDescent="0.3">
      <c r="A34" t="s">
        <v>734</v>
      </c>
      <c r="B34">
        <v>18720</v>
      </c>
      <c r="C34" t="s">
        <v>2208</v>
      </c>
      <c r="D34" t="s">
        <v>463</v>
      </c>
      <c r="E34">
        <v>16</v>
      </c>
      <c r="F34">
        <v>1248</v>
      </c>
      <c r="G34">
        <v>78</v>
      </c>
    </row>
    <row r="35" spans="1:7" x14ac:dyDescent="0.3">
      <c r="A35" t="s">
        <v>734</v>
      </c>
      <c r="B35">
        <v>25871</v>
      </c>
      <c r="C35" t="s">
        <v>2559</v>
      </c>
      <c r="D35" t="s">
        <v>463</v>
      </c>
      <c r="E35">
        <v>20.149999999999999</v>
      </c>
      <c r="F35">
        <v>1370.2</v>
      </c>
      <c r="G35">
        <v>68</v>
      </c>
    </row>
    <row r="36" spans="1:7" x14ac:dyDescent="0.3">
      <c r="A36" t="s">
        <v>734</v>
      </c>
      <c r="B36">
        <v>21030</v>
      </c>
      <c r="C36" t="s">
        <v>2425</v>
      </c>
      <c r="D36" t="s">
        <v>463</v>
      </c>
      <c r="E36">
        <v>120</v>
      </c>
      <c r="F36">
        <v>2088</v>
      </c>
      <c r="G36">
        <v>17.399999999999999</v>
      </c>
    </row>
    <row r="37" spans="1:7" x14ac:dyDescent="0.3">
      <c r="A37" t="s">
        <v>734</v>
      </c>
      <c r="B37">
        <v>23982</v>
      </c>
      <c r="C37" t="s">
        <v>2423</v>
      </c>
      <c r="D37" t="s">
        <v>463</v>
      </c>
      <c r="E37">
        <v>6</v>
      </c>
      <c r="F37">
        <v>1443.36</v>
      </c>
      <c r="G37">
        <v>240.56</v>
      </c>
    </row>
    <row r="38" spans="1:7" x14ac:dyDescent="0.3">
      <c r="A38" t="s">
        <v>734</v>
      </c>
      <c r="B38">
        <v>20755</v>
      </c>
      <c r="C38" t="s">
        <v>2527</v>
      </c>
      <c r="D38" t="s">
        <v>463</v>
      </c>
      <c r="E38">
        <v>6</v>
      </c>
      <c r="F38">
        <v>720</v>
      </c>
      <c r="G38">
        <v>120</v>
      </c>
    </row>
    <row r="39" spans="1:7" x14ac:dyDescent="0.3">
      <c r="A39" t="s">
        <v>734</v>
      </c>
      <c r="B39">
        <v>20738</v>
      </c>
      <c r="C39" t="s">
        <v>2217</v>
      </c>
      <c r="D39" t="s">
        <v>463</v>
      </c>
      <c r="E39">
        <v>6</v>
      </c>
      <c r="F39">
        <v>533.94000000000005</v>
      </c>
      <c r="G39">
        <v>88.99</v>
      </c>
    </row>
    <row r="40" spans="1:7" x14ac:dyDescent="0.3">
      <c r="A40" t="s">
        <v>734</v>
      </c>
      <c r="B40">
        <v>20743</v>
      </c>
      <c r="C40" t="s">
        <v>2366</v>
      </c>
      <c r="D40" t="s">
        <v>463</v>
      </c>
      <c r="E40">
        <v>2</v>
      </c>
      <c r="F40">
        <v>167</v>
      </c>
      <c r="G40">
        <v>83.5</v>
      </c>
    </row>
    <row r="41" spans="1:7" x14ac:dyDescent="0.3">
      <c r="A41" t="s">
        <v>734</v>
      </c>
      <c r="B41">
        <v>20735</v>
      </c>
      <c r="C41" t="s">
        <v>2368</v>
      </c>
      <c r="D41" t="s">
        <v>463</v>
      </c>
      <c r="E41">
        <v>2</v>
      </c>
      <c r="F41">
        <v>125</v>
      </c>
      <c r="G41">
        <v>62.5</v>
      </c>
    </row>
    <row r="42" spans="1:7" x14ac:dyDescent="0.3">
      <c r="A42" t="s">
        <v>734</v>
      </c>
      <c r="B42">
        <v>22734</v>
      </c>
      <c r="C42" t="s">
        <v>2625</v>
      </c>
      <c r="D42" t="s">
        <v>463</v>
      </c>
      <c r="E42">
        <v>20</v>
      </c>
      <c r="F42">
        <v>1980</v>
      </c>
      <c r="G42">
        <v>99</v>
      </c>
    </row>
    <row r="43" spans="1:7" x14ac:dyDescent="0.3">
      <c r="A43" t="s">
        <v>734</v>
      </c>
      <c r="B43">
        <v>24072</v>
      </c>
      <c r="C43" t="s">
        <v>2627</v>
      </c>
      <c r="D43" t="s">
        <v>463</v>
      </c>
      <c r="E43">
        <v>40.700000000000003</v>
      </c>
      <c r="F43">
        <v>9361</v>
      </c>
      <c r="G43">
        <v>230</v>
      </c>
    </row>
    <row r="44" spans="1:7" x14ac:dyDescent="0.3">
      <c r="A44" t="s">
        <v>734</v>
      </c>
      <c r="B44">
        <v>22721</v>
      </c>
      <c r="C44" t="s">
        <v>2374</v>
      </c>
      <c r="D44" t="s">
        <v>463</v>
      </c>
      <c r="E44">
        <v>50</v>
      </c>
      <c r="F44">
        <v>1475</v>
      </c>
      <c r="G44">
        <v>29.5</v>
      </c>
    </row>
    <row r="45" spans="1:7" x14ac:dyDescent="0.3">
      <c r="A45" t="s">
        <v>734</v>
      </c>
      <c r="B45">
        <v>30021</v>
      </c>
      <c r="C45" t="s">
        <v>2314</v>
      </c>
      <c r="D45" t="s">
        <v>463</v>
      </c>
      <c r="E45">
        <v>8</v>
      </c>
      <c r="F45">
        <v>135.36000000000001</v>
      </c>
      <c r="G45">
        <v>16.920000000000002</v>
      </c>
    </row>
    <row r="46" spans="1:7" x14ac:dyDescent="0.3">
      <c r="A46" t="s">
        <v>734</v>
      </c>
      <c r="B46">
        <v>23390</v>
      </c>
      <c r="C46" t="s">
        <v>2194</v>
      </c>
      <c r="D46" t="s">
        <v>463</v>
      </c>
      <c r="E46">
        <v>9</v>
      </c>
      <c r="F46">
        <v>74</v>
      </c>
      <c r="G46">
        <v>8.2200000000000006</v>
      </c>
    </row>
    <row r="47" spans="1:7" x14ac:dyDescent="0.3">
      <c r="A47" t="s">
        <v>734</v>
      </c>
      <c r="B47">
        <v>23389</v>
      </c>
      <c r="C47" t="s">
        <v>2539</v>
      </c>
      <c r="D47" t="s">
        <v>463</v>
      </c>
      <c r="E47">
        <v>5</v>
      </c>
      <c r="F47">
        <v>27.5</v>
      </c>
      <c r="G47">
        <v>5.5</v>
      </c>
    </row>
    <row r="48" spans="1:7" x14ac:dyDescent="0.3">
      <c r="A48" t="s">
        <v>734</v>
      </c>
      <c r="B48">
        <v>26957</v>
      </c>
      <c r="C48" t="s">
        <v>2168</v>
      </c>
      <c r="D48" t="s">
        <v>463</v>
      </c>
      <c r="E48">
        <v>25</v>
      </c>
      <c r="F48">
        <v>1536.7</v>
      </c>
      <c r="G48">
        <v>61.47</v>
      </c>
    </row>
    <row r="49" spans="1:7" x14ac:dyDescent="0.3">
      <c r="A49" t="s">
        <v>734</v>
      </c>
      <c r="B49">
        <v>28965</v>
      </c>
      <c r="C49" t="s">
        <v>2171</v>
      </c>
      <c r="D49" t="s">
        <v>463</v>
      </c>
      <c r="E49">
        <v>10</v>
      </c>
      <c r="F49">
        <v>1196</v>
      </c>
      <c r="G49">
        <v>119.6</v>
      </c>
    </row>
    <row r="50" spans="1:7" x14ac:dyDescent="0.3">
      <c r="A50" t="s">
        <v>734</v>
      </c>
      <c r="B50">
        <v>24083</v>
      </c>
      <c r="C50" t="s">
        <v>2501</v>
      </c>
      <c r="D50" t="s">
        <v>463</v>
      </c>
      <c r="E50">
        <v>225</v>
      </c>
      <c r="F50">
        <v>1767.5</v>
      </c>
      <c r="G50">
        <v>7.86</v>
      </c>
    </row>
    <row r="51" spans="1:7" x14ac:dyDescent="0.3">
      <c r="A51" t="s">
        <v>734</v>
      </c>
      <c r="B51">
        <v>29205</v>
      </c>
      <c r="C51" t="s">
        <v>2174</v>
      </c>
      <c r="D51" t="s">
        <v>463</v>
      </c>
      <c r="E51">
        <v>500</v>
      </c>
      <c r="F51">
        <v>3900</v>
      </c>
      <c r="G51">
        <v>7.8</v>
      </c>
    </row>
    <row r="52" spans="1:7" x14ac:dyDescent="0.3">
      <c r="A52" t="s">
        <v>734</v>
      </c>
      <c r="B52">
        <v>19642</v>
      </c>
      <c r="C52" t="s">
        <v>2130</v>
      </c>
      <c r="D52" t="s">
        <v>463</v>
      </c>
      <c r="E52">
        <v>20</v>
      </c>
      <c r="F52">
        <v>106.8</v>
      </c>
      <c r="G52">
        <v>5.34</v>
      </c>
    </row>
    <row r="53" spans="1:7" x14ac:dyDescent="0.3">
      <c r="A53" t="s">
        <v>734</v>
      </c>
      <c r="B53">
        <v>19635</v>
      </c>
      <c r="C53" t="s">
        <v>2363</v>
      </c>
      <c r="D53" t="s">
        <v>463</v>
      </c>
      <c r="E53">
        <v>20</v>
      </c>
      <c r="F53">
        <v>76</v>
      </c>
      <c r="G53">
        <v>3.8</v>
      </c>
    </row>
    <row r="54" spans="1:7" x14ac:dyDescent="0.3">
      <c r="A54" t="s">
        <v>734</v>
      </c>
      <c r="B54">
        <v>19636</v>
      </c>
      <c r="C54" t="s">
        <v>2283</v>
      </c>
      <c r="D54" t="s">
        <v>463</v>
      </c>
      <c r="E54">
        <v>20</v>
      </c>
      <c r="F54">
        <v>168.4</v>
      </c>
      <c r="G54">
        <v>8.42</v>
      </c>
    </row>
    <row r="55" spans="1:7" x14ac:dyDescent="0.3">
      <c r="A55" t="s">
        <v>734</v>
      </c>
      <c r="B55">
        <v>19634</v>
      </c>
      <c r="C55" t="s">
        <v>2114</v>
      </c>
      <c r="D55" t="s">
        <v>463</v>
      </c>
      <c r="E55">
        <v>12.3</v>
      </c>
      <c r="F55">
        <v>87.55</v>
      </c>
      <c r="G55">
        <v>7.12</v>
      </c>
    </row>
    <row r="56" spans="1:7" x14ac:dyDescent="0.3">
      <c r="A56" t="s">
        <v>734</v>
      </c>
      <c r="B56">
        <v>29912</v>
      </c>
      <c r="C56" t="s">
        <v>2547</v>
      </c>
      <c r="D56" t="s">
        <v>463</v>
      </c>
      <c r="E56">
        <v>41.4</v>
      </c>
      <c r="F56">
        <v>3270.6</v>
      </c>
      <c r="G56">
        <v>79</v>
      </c>
    </row>
    <row r="57" spans="1:7" x14ac:dyDescent="0.3">
      <c r="A57" t="s">
        <v>734</v>
      </c>
      <c r="B57">
        <v>26869</v>
      </c>
      <c r="C57" t="s">
        <v>2311</v>
      </c>
      <c r="D57" t="s">
        <v>463</v>
      </c>
      <c r="E57">
        <v>9</v>
      </c>
      <c r="F57">
        <v>83.61</v>
      </c>
      <c r="G57">
        <v>9.2899999999999991</v>
      </c>
    </row>
    <row r="58" spans="1:7" x14ac:dyDescent="0.3">
      <c r="A58" t="s">
        <v>734</v>
      </c>
      <c r="B58">
        <v>18696</v>
      </c>
      <c r="C58" t="s">
        <v>2223</v>
      </c>
      <c r="D58" t="s">
        <v>463</v>
      </c>
      <c r="E58">
        <v>51</v>
      </c>
      <c r="F58">
        <v>856.8</v>
      </c>
      <c r="G58">
        <v>16.8</v>
      </c>
    </row>
    <row r="59" spans="1:7" x14ac:dyDescent="0.3">
      <c r="A59" t="s">
        <v>734</v>
      </c>
      <c r="B59">
        <v>25130</v>
      </c>
      <c r="C59" t="s">
        <v>2209</v>
      </c>
      <c r="D59" t="s">
        <v>463</v>
      </c>
      <c r="E59">
        <v>111.49</v>
      </c>
      <c r="F59">
        <v>4013.64</v>
      </c>
      <c r="G59">
        <v>36</v>
      </c>
    </row>
    <row r="60" spans="1:7" x14ac:dyDescent="0.3">
      <c r="A60" t="s">
        <v>734</v>
      </c>
      <c r="B60">
        <v>17565</v>
      </c>
      <c r="C60" t="s">
        <v>2143</v>
      </c>
      <c r="D60" t="s">
        <v>463</v>
      </c>
      <c r="E60">
        <v>4</v>
      </c>
      <c r="F60">
        <v>436.4</v>
      </c>
      <c r="G60">
        <v>109.1</v>
      </c>
    </row>
    <row r="61" spans="1:7" x14ac:dyDescent="0.3">
      <c r="A61" t="s">
        <v>734</v>
      </c>
      <c r="B61">
        <v>17381</v>
      </c>
      <c r="C61" t="s">
        <v>2254</v>
      </c>
      <c r="D61" t="s">
        <v>463</v>
      </c>
      <c r="E61">
        <v>9</v>
      </c>
      <c r="F61">
        <v>522</v>
      </c>
      <c r="G61">
        <v>58</v>
      </c>
    </row>
    <row r="62" spans="1:7" x14ac:dyDescent="0.3">
      <c r="A62" t="s">
        <v>734</v>
      </c>
      <c r="B62">
        <v>17573</v>
      </c>
      <c r="C62" t="s">
        <v>2139</v>
      </c>
      <c r="D62" t="s">
        <v>463</v>
      </c>
      <c r="E62">
        <v>4</v>
      </c>
      <c r="F62">
        <v>299.60000000000002</v>
      </c>
      <c r="G62">
        <v>74.900000000000006</v>
      </c>
    </row>
    <row r="63" spans="1:7" x14ac:dyDescent="0.3">
      <c r="A63" t="s">
        <v>734</v>
      </c>
      <c r="B63">
        <v>28854</v>
      </c>
      <c r="C63" t="s">
        <v>2545</v>
      </c>
      <c r="D63" t="s">
        <v>463</v>
      </c>
      <c r="E63">
        <v>3</v>
      </c>
      <c r="F63">
        <v>2400</v>
      </c>
      <c r="G63">
        <v>800</v>
      </c>
    </row>
    <row r="64" spans="1:7" x14ac:dyDescent="0.3">
      <c r="A64" t="s">
        <v>734</v>
      </c>
      <c r="B64">
        <v>16967</v>
      </c>
      <c r="C64" t="s">
        <v>2266</v>
      </c>
      <c r="D64" t="s">
        <v>463</v>
      </c>
      <c r="E64">
        <v>5</v>
      </c>
      <c r="F64">
        <v>45</v>
      </c>
      <c r="G64">
        <v>9</v>
      </c>
    </row>
    <row r="65" spans="1:7" x14ac:dyDescent="0.3">
      <c r="A65" t="s">
        <v>734</v>
      </c>
      <c r="B65">
        <v>21587</v>
      </c>
      <c r="C65" t="s">
        <v>2244</v>
      </c>
      <c r="D65" t="s">
        <v>463</v>
      </c>
      <c r="E65">
        <v>10</v>
      </c>
      <c r="F65">
        <v>69</v>
      </c>
      <c r="G65">
        <v>6.9</v>
      </c>
    </row>
    <row r="66" spans="1:7" x14ac:dyDescent="0.3">
      <c r="A66" t="s">
        <v>734</v>
      </c>
      <c r="B66">
        <v>24099</v>
      </c>
      <c r="C66" t="s">
        <v>2365</v>
      </c>
      <c r="D66" t="s">
        <v>463</v>
      </c>
      <c r="E66">
        <v>5</v>
      </c>
      <c r="F66">
        <v>60</v>
      </c>
      <c r="G66">
        <v>12</v>
      </c>
    </row>
    <row r="67" spans="1:7" x14ac:dyDescent="0.3">
      <c r="A67" t="s">
        <v>734</v>
      </c>
      <c r="B67">
        <v>18620</v>
      </c>
      <c r="C67" t="s">
        <v>2430</v>
      </c>
      <c r="D67" t="s">
        <v>463</v>
      </c>
      <c r="E67">
        <v>10</v>
      </c>
      <c r="F67">
        <v>565</v>
      </c>
      <c r="G67">
        <v>56.5</v>
      </c>
    </row>
    <row r="68" spans="1:7" x14ac:dyDescent="0.3">
      <c r="A68" t="s">
        <v>734</v>
      </c>
      <c r="B68">
        <v>29869</v>
      </c>
      <c r="C68" t="s">
        <v>2246</v>
      </c>
      <c r="D68" t="s">
        <v>463</v>
      </c>
      <c r="E68">
        <v>10</v>
      </c>
      <c r="F68">
        <v>450</v>
      </c>
      <c r="G68">
        <v>45</v>
      </c>
    </row>
    <row r="69" spans="1:7" x14ac:dyDescent="0.3">
      <c r="A69" t="s">
        <v>734</v>
      </c>
      <c r="B69">
        <v>18493</v>
      </c>
      <c r="C69" t="s">
        <v>2091</v>
      </c>
      <c r="D69" t="s">
        <v>463</v>
      </c>
      <c r="E69">
        <v>12</v>
      </c>
      <c r="F69">
        <v>838.8</v>
      </c>
      <c r="G69">
        <v>69.900000000000006</v>
      </c>
    </row>
    <row r="70" spans="1:7" x14ac:dyDescent="0.3">
      <c r="A70" t="s">
        <v>734</v>
      </c>
      <c r="B70">
        <v>18491</v>
      </c>
      <c r="C70" t="s">
        <v>2093</v>
      </c>
      <c r="D70" t="s">
        <v>463</v>
      </c>
      <c r="E70">
        <v>12</v>
      </c>
      <c r="F70">
        <v>406.8</v>
      </c>
      <c r="G70">
        <v>33.9</v>
      </c>
    </row>
    <row r="71" spans="1:7" x14ac:dyDescent="0.3">
      <c r="A71" t="s">
        <v>734</v>
      </c>
      <c r="B71">
        <v>18477</v>
      </c>
      <c r="C71" t="s">
        <v>2095</v>
      </c>
      <c r="D71" t="s">
        <v>463</v>
      </c>
      <c r="E71">
        <v>48</v>
      </c>
      <c r="F71">
        <v>1915.2</v>
      </c>
      <c r="G71">
        <v>39.9</v>
      </c>
    </row>
    <row r="72" spans="1:7" x14ac:dyDescent="0.3">
      <c r="A72" t="s">
        <v>734</v>
      </c>
      <c r="B72">
        <v>18475</v>
      </c>
      <c r="C72" t="s">
        <v>2094</v>
      </c>
      <c r="D72" t="s">
        <v>463</v>
      </c>
      <c r="E72">
        <v>180</v>
      </c>
      <c r="F72">
        <v>5922</v>
      </c>
      <c r="G72">
        <v>32.9</v>
      </c>
    </row>
    <row r="73" spans="1:7" x14ac:dyDescent="0.3">
      <c r="A73" t="s">
        <v>734</v>
      </c>
      <c r="B73">
        <v>20809</v>
      </c>
      <c r="C73" t="s">
        <v>2509</v>
      </c>
      <c r="D73" t="s">
        <v>463</v>
      </c>
      <c r="E73">
        <v>20</v>
      </c>
      <c r="F73">
        <v>598</v>
      </c>
      <c r="G73">
        <v>29.9</v>
      </c>
    </row>
    <row r="74" spans="1:7" x14ac:dyDescent="0.3">
      <c r="A74" t="s">
        <v>734</v>
      </c>
      <c r="B74">
        <v>27460</v>
      </c>
      <c r="C74" t="s">
        <v>2169</v>
      </c>
      <c r="D74" t="s">
        <v>463</v>
      </c>
      <c r="E74">
        <v>40</v>
      </c>
      <c r="F74">
        <v>1596</v>
      </c>
      <c r="G74">
        <v>39.9</v>
      </c>
    </row>
    <row r="75" spans="1:7" x14ac:dyDescent="0.3">
      <c r="A75" t="s">
        <v>734</v>
      </c>
      <c r="B75">
        <v>27826</v>
      </c>
      <c r="C75" t="s">
        <v>2188</v>
      </c>
      <c r="D75" t="s">
        <v>463</v>
      </c>
      <c r="E75">
        <v>20</v>
      </c>
      <c r="F75">
        <v>1220</v>
      </c>
      <c r="G75">
        <v>61</v>
      </c>
    </row>
    <row r="76" spans="1:7" x14ac:dyDescent="0.3">
      <c r="A76" t="s">
        <v>734</v>
      </c>
      <c r="B76">
        <v>28008</v>
      </c>
      <c r="C76" t="s">
        <v>2172</v>
      </c>
      <c r="D76" t="s">
        <v>463</v>
      </c>
      <c r="E76">
        <v>40</v>
      </c>
      <c r="F76">
        <v>1175.4000000000001</v>
      </c>
      <c r="G76">
        <v>29.39</v>
      </c>
    </row>
    <row r="77" spans="1:7" x14ac:dyDescent="0.3">
      <c r="A77" t="s">
        <v>734</v>
      </c>
      <c r="B77">
        <v>28877</v>
      </c>
      <c r="C77" t="s">
        <v>2445</v>
      </c>
      <c r="D77" t="s">
        <v>463</v>
      </c>
      <c r="E77">
        <v>1</v>
      </c>
      <c r="F77">
        <v>95.13</v>
      </c>
      <c r="G77">
        <v>95.13</v>
      </c>
    </row>
    <row r="78" spans="1:7" x14ac:dyDescent="0.3">
      <c r="A78" t="s">
        <v>734</v>
      </c>
      <c r="B78">
        <v>27211</v>
      </c>
      <c r="C78" t="s">
        <v>2438</v>
      </c>
      <c r="D78" t="s">
        <v>463</v>
      </c>
      <c r="E78">
        <v>2</v>
      </c>
      <c r="F78">
        <v>190.24</v>
      </c>
      <c r="G78">
        <v>95.12</v>
      </c>
    </row>
    <row r="79" spans="1:7" x14ac:dyDescent="0.3">
      <c r="A79" t="s">
        <v>734</v>
      </c>
      <c r="B79">
        <v>27212</v>
      </c>
      <c r="C79" t="s">
        <v>2444</v>
      </c>
      <c r="D79" t="s">
        <v>463</v>
      </c>
      <c r="E79">
        <v>2</v>
      </c>
      <c r="F79">
        <v>190.24</v>
      </c>
      <c r="G79">
        <v>95.12</v>
      </c>
    </row>
    <row r="80" spans="1:7" x14ac:dyDescent="0.3">
      <c r="A80" t="s">
        <v>734</v>
      </c>
      <c r="B80">
        <v>27213</v>
      </c>
      <c r="C80" t="s">
        <v>2441</v>
      </c>
      <c r="D80" t="s">
        <v>463</v>
      </c>
      <c r="E80">
        <v>3</v>
      </c>
      <c r="F80">
        <v>285.36</v>
      </c>
      <c r="G80">
        <v>95.12</v>
      </c>
    </row>
    <row r="81" spans="1:7" x14ac:dyDescent="0.3">
      <c r="A81" t="s">
        <v>734</v>
      </c>
      <c r="B81">
        <v>27215</v>
      </c>
      <c r="C81" t="s">
        <v>2440</v>
      </c>
      <c r="D81" t="s">
        <v>463</v>
      </c>
      <c r="E81">
        <v>4</v>
      </c>
      <c r="F81">
        <v>380.48</v>
      </c>
      <c r="G81">
        <v>95.12</v>
      </c>
    </row>
    <row r="82" spans="1:7" x14ac:dyDescent="0.3">
      <c r="A82" t="s">
        <v>734</v>
      </c>
      <c r="B82">
        <v>27216</v>
      </c>
      <c r="C82" t="s">
        <v>2446</v>
      </c>
      <c r="D82" t="s">
        <v>463</v>
      </c>
      <c r="E82">
        <v>1</v>
      </c>
      <c r="F82">
        <v>95.12</v>
      </c>
      <c r="G82">
        <v>95.12</v>
      </c>
    </row>
    <row r="83" spans="1:7" x14ac:dyDescent="0.3">
      <c r="A83" t="s">
        <v>734</v>
      </c>
      <c r="B83">
        <v>28134</v>
      </c>
      <c r="C83" t="s">
        <v>2443</v>
      </c>
      <c r="D83" t="s">
        <v>463</v>
      </c>
      <c r="E83">
        <v>1</v>
      </c>
      <c r="F83">
        <v>95.12</v>
      </c>
      <c r="G83">
        <v>95.12</v>
      </c>
    </row>
    <row r="84" spans="1:7" x14ac:dyDescent="0.3">
      <c r="A84" t="s">
        <v>734</v>
      </c>
      <c r="B84">
        <v>28135</v>
      </c>
      <c r="C84" t="s">
        <v>2442</v>
      </c>
      <c r="D84" t="s">
        <v>463</v>
      </c>
      <c r="E84">
        <v>2</v>
      </c>
      <c r="F84">
        <v>190.24</v>
      </c>
      <c r="G84">
        <v>95.12</v>
      </c>
    </row>
    <row r="85" spans="1:7" x14ac:dyDescent="0.3">
      <c r="A85" t="s">
        <v>734</v>
      </c>
      <c r="B85">
        <v>17071</v>
      </c>
      <c r="C85" t="s">
        <v>2308</v>
      </c>
      <c r="D85" t="s">
        <v>463</v>
      </c>
      <c r="E85">
        <v>100</v>
      </c>
      <c r="F85">
        <v>2878</v>
      </c>
      <c r="G85">
        <v>28.78</v>
      </c>
    </row>
    <row r="86" spans="1:7" x14ac:dyDescent="0.3">
      <c r="A86" t="s">
        <v>734</v>
      </c>
      <c r="B86">
        <v>23548</v>
      </c>
      <c r="C86" t="s">
        <v>2378</v>
      </c>
      <c r="D86" t="s">
        <v>463</v>
      </c>
      <c r="E86">
        <v>1</v>
      </c>
      <c r="F86">
        <v>48.9</v>
      </c>
      <c r="G86">
        <v>48.9</v>
      </c>
    </row>
    <row r="87" spans="1:7" x14ac:dyDescent="0.3">
      <c r="A87" t="s">
        <v>734</v>
      </c>
      <c r="B87">
        <v>26222</v>
      </c>
      <c r="C87" t="s">
        <v>2574</v>
      </c>
      <c r="D87" t="s">
        <v>463</v>
      </c>
      <c r="E87">
        <v>2</v>
      </c>
      <c r="F87">
        <v>99.8</v>
      </c>
      <c r="G87">
        <v>49.9</v>
      </c>
    </row>
    <row r="88" spans="1:7" x14ac:dyDescent="0.3">
      <c r="A88" t="s">
        <v>734</v>
      </c>
      <c r="B88">
        <v>28665</v>
      </c>
      <c r="C88" t="s">
        <v>2575</v>
      </c>
      <c r="D88" t="s">
        <v>463</v>
      </c>
      <c r="E88">
        <v>2</v>
      </c>
      <c r="F88">
        <v>99.8</v>
      </c>
      <c r="G88">
        <v>49.9</v>
      </c>
    </row>
    <row r="89" spans="1:7" x14ac:dyDescent="0.3">
      <c r="A89" t="s">
        <v>734</v>
      </c>
      <c r="B89">
        <v>17554</v>
      </c>
      <c r="C89" t="s">
        <v>2257</v>
      </c>
      <c r="D89" t="s">
        <v>463</v>
      </c>
      <c r="E89">
        <v>20</v>
      </c>
      <c r="F89">
        <v>310</v>
      </c>
      <c r="G89">
        <v>15.5</v>
      </c>
    </row>
    <row r="90" spans="1:7" x14ac:dyDescent="0.3">
      <c r="A90" t="s">
        <v>734</v>
      </c>
      <c r="B90">
        <v>19490</v>
      </c>
      <c r="C90" t="s">
        <v>2595</v>
      </c>
      <c r="D90" t="s">
        <v>463</v>
      </c>
      <c r="E90">
        <v>3</v>
      </c>
      <c r="F90">
        <v>180</v>
      </c>
      <c r="G90">
        <v>60</v>
      </c>
    </row>
    <row r="91" spans="1:7" x14ac:dyDescent="0.3">
      <c r="A91" t="s">
        <v>734</v>
      </c>
      <c r="B91">
        <v>23466</v>
      </c>
      <c r="C91" t="s">
        <v>2376</v>
      </c>
      <c r="D91" t="s">
        <v>463</v>
      </c>
      <c r="E91">
        <v>1</v>
      </c>
      <c r="F91">
        <v>359.6</v>
      </c>
      <c r="G91">
        <v>359.6</v>
      </c>
    </row>
    <row r="92" spans="1:7" x14ac:dyDescent="0.3">
      <c r="A92" t="s">
        <v>734</v>
      </c>
      <c r="B92">
        <v>28212</v>
      </c>
      <c r="C92" t="s">
        <v>2238</v>
      </c>
      <c r="D92" t="s">
        <v>463</v>
      </c>
      <c r="E92">
        <v>153.4</v>
      </c>
      <c r="F92">
        <v>7363.2</v>
      </c>
      <c r="G92">
        <v>48</v>
      </c>
    </row>
    <row r="93" spans="1:7" x14ac:dyDescent="0.3">
      <c r="A93" t="s">
        <v>734</v>
      </c>
      <c r="B93">
        <v>27226</v>
      </c>
      <c r="C93" t="s">
        <v>2124</v>
      </c>
      <c r="D93" t="s">
        <v>463</v>
      </c>
      <c r="E93">
        <v>5</v>
      </c>
      <c r="F93">
        <v>1000</v>
      </c>
      <c r="G93">
        <v>200</v>
      </c>
    </row>
    <row r="94" spans="1:7" x14ac:dyDescent="0.3">
      <c r="A94" t="s">
        <v>734</v>
      </c>
      <c r="B94">
        <v>25359</v>
      </c>
      <c r="C94" t="s">
        <v>2369</v>
      </c>
      <c r="D94" t="s">
        <v>463</v>
      </c>
      <c r="E94">
        <v>3</v>
      </c>
      <c r="F94">
        <v>277.74</v>
      </c>
      <c r="G94">
        <v>92.58</v>
      </c>
    </row>
    <row r="95" spans="1:7" x14ac:dyDescent="0.3">
      <c r="A95" t="s">
        <v>734</v>
      </c>
      <c r="B95">
        <v>26193</v>
      </c>
      <c r="C95" t="s">
        <v>2294</v>
      </c>
      <c r="D95" t="s">
        <v>463</v>
      </c>
      <c r="E95">
        <v>80</v>
      </c>
      <c r="F95">
        <v>911.2</v>
      </c>
      <c r="G95">
        <v>11.39</v>
      </c>
    </row>
    <row r="96" spans="1:7" x14ac:dyDescent="0.3">
      <c r="A96" t="s">
        <v>734</v>
      </c>
      <c r="B96">
        <v>24509</v>
      </c>
      <c r="C96" t="s">
        <v>2212</v>
      </c>
      <c r="D96" t="s">
        <v>463</v>
      </c>
      <c r="E96">
        <v>95</v>
      </c>
      <c r="F96">
        <v>526.1</v>
      </c>
      <c r="G96">
        <v>5.54</v>
      </c>
    </row>
    <row r="97" spans="1:7" x14ac:dyDescent="0.3">
      <c r="A97" t="s">
        <v>734</v>
      </c>
      <c r="B97">
        <v>24125</v>
      </c>
      <c r="C97" t="s">
        <v>2228</v>
      </c>
      <c r="D97" t="s">
        <v>463</v>
      </c>
      <c r="E97">
        <v>4</v>
      </c>
      <c r="F97">
        <v>97.6</v>
      </c>
      <c r="G97">
        <v>24.4</v>
      </c>
    </row>
    <row r="98" spans="1:7" x14ac:dyDescent="0.3">
      <c r="A98" t="s">
        <v>734</v>
      </c>
      <c r="B98">
        <v>19623</v>
      </c>
      <c r="C98" t="s">
        <v>2214</v>
      </c>
      <c r="D98" t="s">
        <v>463</v>
      </c>
      <c r="E98">
        <v>45</v>
      </c>
      <c r="F98">
        <v>311.5</v>
      </c>
      <c r="G98">
        <v>6.92</v>
      </c>
    </row>
    <row r="99" spans="1:7" x14ac:dyDescent="0.3">
      <c r="A99" t="s">
        <v>734</v>
      </c>
      <c r="B99">
        <v>19488</v>
      </c>
      <c r="C99" t="s">
        <v>2199</v>
      </c>
      <c r="D99" t="s">
        <v>463</v>
      </c>
      <c r="E99">
        <v>2</v>
      </c>
      <c r="F99">
        <v>28</v>
      </c>
      <c r="G99">
        <v>14</v>
      </c>
    </row>
    <row r="100" spans="1:7" x14ac:dyDescent="0.3">
      <c r="A100" t="s">
        <v>734</v>
      </c>
      <c r="B100">
        <v>19621</v>
      </c>
      <c r="C100" t="s">
        <v>2215</v>
      </c>
      <c r="D100" t="s">
        <v>463</v>
      </c>
      <c r="E100">
        <v>35</v>
      </c>
      <c r="F100">
        <v>226</v>
      </c>
      <c r="G100">
        <v>6.46</v>
      </c>
    </row>
    <row r="101" spans="1:7" x14ac:dyDescent="0.3">
      <c r="A101" t="s">
        <v>734</v>
      </c>
      <c r="B101">
        <v>18635</v>
      </c>
      <c r="C101" t="s">
        <v>2434</v>
      </c>
      <c r="D101" t="s">
        <v>463</v>
      </c>
      <c r="E101">
        <v>10</v>
      </c>
      <c r="F101">
        <v>963</v>
      </c>
      <c r="G101">
        <v>96.3</v>
      </c>
    </row>
    <row r="102" spans="1:7" x14ac:dyDescent="0.3">
      <c r="A102" t="s">
        <v>734</v>
      </c>
      <c r="B102">
        <v>25561</v>
      </c>
      <c r="C102" t="s">
        <v>2437</v>
      </c>
      <c r="D102" t="s">
        <v>463</v>
      </c>
      <c r="E102">
        <v>10</v>
      </c>
      <c r="F102">
        <v>1123</v>
      </c>
      <c r="G102">
        <v>112.3</v>
      </c>
    </row>
    <row r="103" spans="1:7" x14ac:dyDescent="0.3">
      <c r="A103" t="s">
        <v>734</v>
      </c>
      <c r="B103">
        <v>29702</v>
      </c>
      <c r="C103" t="s">
        <v>2170</v>
      </c>
      <c r="D103" t="s">
        <v>463</v>
      </c>
      <c r="E103">
        <v>8</v>
      </c>
      <c r="F103">
        <v>4271.04</v>
      </c>
      <c r="G103">
        <v>533.88</v>
      </c>
    </row>
    <row r="104" spans="1:7" x14ac:dyDescent="0.3">
      <c r="A104" t="s">
        <v>734</v>
      </c>
      <c r="B104">
        <v>18049</v>
      </c>
      <c r="C104" t="s">
        <v>2134</v>
      </c>
      <c r="D104" t="s">
        <v>463</v>
      </c>
      <c r="E104">
        <v>24</v>
      </c>
      <c r="F104">
        <v>7607.88</v>
      </c>
      <c r="G104">
        <v>317</v>
      </c>
    </row>
    <row r="105" spans="1:7" x14ac:dyDescent="0.3">
      <c r="A105" t="s">
        <v>734</v>
      </c>
      <c r="B105">
        <v>20923</v>
      </c>
      <c r="C105" t="s">
        <v>2352</v>
      </c>
      <c r="D105" t="s">
        <v>463</v>
      </c>
      <c r="E105">
        <v>10</v>
      </c>
      <c r="F105">
        <v>629.9</v>
      </c>
      <c r="G105">
        <v>62.99</v>
      </c>
    </row>
    <row r="106" spans="1:7" x14ac:dyDescent="0.3">
      <c r="A106" t="s">
        <v>734</v>
      </c>
      <c r="B106">
        <v>18640</v>
      </c>
      <c r="C106" t="s">
        <v>2307</v>
      </c>
      <c r="D106" t="s">
        <v>463</v>
      </c>
      <c r="E106">
        <v>5</v>
      </c>
      <c r="F106">
        <v>1079.3499999999999</v>
      </c>
      <c r="G106">
        <v>215.87</v>
      </c>
    </row>
    <row r="107" spans="1:7" x14ac:dyDescent="0.3">
      <c r="A107" t="s">
        <v>734</v>
      </c>
      <c r="B107">
        <v>18636</v>
      </c>
      <c r="C107" t="s">
        <v>2146</v>
      </c>
      <c r="D107" t="s">
        <v>463</v>
      </c>
      <c r="E107">
        <v>70</v>
      </c>
      <c r="F107">
        <v>24621.8</v>
      </c>
      <c r="G107">
        <v>351.74</v>
      </c>
    </row>
    <row r="108" spans="1:7" x14ac:dyDescent="0.3">
      <c r="A108" t="s">
        <v>734</v>
      </c>
      <c r="B108">
        <v>28760</v>
      </c>
      <c r="C108" t="s">
        <v>2361</v>
      </c>
      <c r="D108" t="s">
        <v>463</v>
      </c>
      <c r="E108">
        <v>62.5</v>
      </c>
      <c r="F108">
        <v>3812.5</v>
      </c>
      <c r="G108">
        <v>61</v>
      </c>
    </row>
    <row r="109" spans="1:7" x14ac:dyDescent="0.3">
      <c r="A109" t="s">
        <v>734</v>
      </c>
      <c r="B109">
        <v>29754</v>
      </c>
      <c r="C109" t="s">
        <v>2549</v>
      </c>
      <c r="D109" t="s">
        <v>463</v>
      </c>
      <c r="E109">
        <v>1</v>
      </c>
      <c r="F109">
        <v>100.62</v>
      </c>
      <c r="G109">
        <v>100.62</v>
      </c>
    </row>
    <row r="110" spans="1:7" x14ac:dyDescent="0.3">
      <c r="A110" t="s">
        <v>734</v>
      </c>
      <c r="B110">
        <v>29851</v>
      </c>
      <c r="C110" t="s">
        <v>2551</v>
      </c>
      <c r="D110" t="s">
        <v>463</v>
      </c>
      <c r="E110">
        <v>1</v>
      </c>
      <c r="F110">
        <v>100.62</v>
      </c>
      <c r="G110">
        <v>100.62</v>
      </c>
    </row>
    <row r="111" spans="1:7" x14ac:dyDescent="0.3">
      <c r="A111" t="s">
        <v>734</v>
      </c>
      <c r="B111">
        <v>24742</v>
      </c>
      <c r="C111" t="s">
        <v>2567</v>
      </c>
      <c r="D111" t="s">
        <v>463</v>
      </c>
      <c r="E111">
        <v>3</v>
      </c>
      <c r="F111">
        <v>26.7</v>
      </c>
      <c r="G111">
        <v>8.9</v>
      </c>
    </row>
    <row r="112" spans="1:7" x14ac:dyDescent="0.3">
      <c r="A112" t="s">
        <v>734</v>
      </c>
      <c r="B112">
        <v>24744</v>
      </c>
      <c r="C112" t="s">
        <v>2568</v>
      </c>
      <c r="D112" t="s">
        <v>463</v>
      </c>
      <c r="E112">
        <v>3</v>
      </c>
      <c r="F112">
        <v>26.7</v>
      </c>
      <c r="G112">
        <v>8.9</v>
      </c>
    </row>
    <row r="113" spans="1:7" x14ac:dyDescent="0.3">
      <c r="A113" t="s">
        <v>734</v>
      </c>
      <c r="B113">
        <v>28668</v>
      </c>
      <c r="C113" t="s">
        <v>2579</v>
      </c>
      <c r="D113" t="s">
        <v>463</v>
      </c>
      <c r="E113">
        <v>4</v>
      </c>
      <c r="F113">
        <v>35.6</v>
      </c>
      <c r="G113">
        <v>8.9</v>
      </c>
    </row>
    <row r="114" spans="1:7" x14ac:dyDescent="0.3">
      <c r="A114" t="s">
        <v>734</v>
      </c>
      <c r="B114">
        <v>27601</v>
      </c>
      <c r="C114" t="s">
        <v>2310</v>
      </c>
      <c r="D114" t="s">
        <v>463</v>
      </c>
      <c r="E114">
        <v>6</v>
      </c>
      <c r="F114">
        <v>89.16</v>
      </c>
      <c r="G114">
        <v>14.86</v>
      </c>
    </row>
    <row r="115" spans="1:7" x14ac:dyDescent="0.3">
      <c r="A115" t="s">
        <v>734</v>
      </c>
      <c r="B115">
        <v>27602</v>
      </c>
      <c r="C115" t="s">
        <v>2166</v>
      </c>
      <c r="D115" t="s">
        <v>463</v>
      </c>
      <c r="E115">
        <v>2</v>
      </c>
      <c r="F115">
        <v>34.840000000000003</v>
      </c>
      <c r="G115">
        <v>17.420000000000002</v>
      </c>
    </row>
    <row r="116" spans="1:7" x14ac:dyDescent="0.3">
      <c r="A116" t="s">
        <v>734</v>
      </c>
      <c r="B116">
        <v>23642</v>
      </c>
      <c r="C116" t="s">
        <v>2514</v>
      </c>
      <c r="D116" t="s">
        <v>463</v>
      </c>
      <c r="E116">
        <v>2</v>
      </c>
      <c r="F116">
        <v>99.8</v>
      </c>
      <c r="G116">
        <v>49.9</v>
      </c>
    </row>
    <row r="117" spans="1:7" x14ac:dyDescent="0.3">
      <c r="A117" t="s">
        <v>734</v>
      </c>
      <c r="B117">
        <v>24169</v>
      </c>
      <c r="C117" t="s">
        <v>2391</v>
      </c>
      <c r="D117" t="s">
        <v>463</v>
      </c>
      <c r="E117">
        <v>4</v>
      </c>
      <c r="F117">
        <v>147.6</v>
      </c>
      <c r="G117">
        <v>36.9</v>
      </c>
    </row>
    <row r="118" spans="1:7" x14ac:dyDescent="0.3">
      <c r="A118" t="s">
        <v>734</v>
      </c>
      <c r="B118">
        <v>24170</v>
      </c>
      <c r="C118" t="s">
        <v>2355</v>
      </c>
      <c r="D118" t="s">
        <v>463</v>
      </c>
      <c r="E118">
        <v>2</v>
      </c>
      <c r="F118">
        <v>23.6</v>
      </c>
      <c r="G118">
        <v>11.8</v>
      </c>
    </row>
    <row r="119" spans="1:7" x14ac:dyDescent="0.3">
      <c r="A119" t="s">
        <v>734</v>
      </c>
      <c r="B119">
        <v>19617</v>
      </c>
      <c r="C119" t="s">
        <v>2195</v>
      </c>
      <c r="D119" t="s">
        <v>463</v>
      </c>
      <c r="E119">
        <v>3</v>
      </c>
      <c r="F119">
        <v>46</v>
      </c>
      <c r="G119">
        <v>15.33</v>
      </c>
    </row>
    <row r="120" spans="1:7" x14ac:dyDescent="0.3">
      <c r="A120" t="s">
        <v>734</v>
      </c>
      <c r="B120">
        <v>20702</v>
      </c>
      <c r="C120" t="s">
        <v>2530</v>
      </c>
      <c r="D120" t="s">
        <v>463</v>
      </c>
      <c r="E120">
        <v>6</v>
      </c>
      <c r="F120">
        <v>279</v>
      </c>
      <c r="G120">
        <v>46.5</v>
      </c>
    </row>
    <row r="121" spans="1:7" x14ac:dyDescent="0.3">
      <c r="A121" t="s">
        <v>734</v>
      </c>
      <c r="B121">
        <v>19845</v>
      </c>
      <c r="C121" t="s">
        <v>2241</v>
      </c>
      <c r="D121" t="s">
        <v>463</v>
      </c>
      <c r="E121">
        <v>20</v>
      </c>
      <c r="F121">
        <v>742</v>
      </c>
      <c r="G121">
        <v>37.1</v>
      </c>
    </row>
    <row r="122" spans="1:7" x14ac:dyDescent="0.3">
      <c r="A122" t="s">
        <v>734</v>
      </c>
      <c r="B122">
        <v>19842</v>
      </c>
      <c r="C122" t="s">
        <v>2239</v>
      </c>
      <c r="D122" t="s">
        <v>463</v>
      </c>
      <c r="E122">
        <v>20</v>
      </c>
      <c r="F122">
        <v>840</v>
      </c>
      <c r="G122">
        <v>42</v>
      </c>
    </row>
    <row r="123" spans="1:7" x14ac:dyDescent="0.3">
      <c r="A123" t="s">
        <v>734</v>
      </c>
      <c r="B123">
        <v>19841</v>
      </c>
      <c r="C123" t="s">
        <v>2240</v>
      </c>
      <c r="D123" t="s">
        <v>463</v>
      </c>
      <c r="E123">
        <v>20</v>
      </c>
      <c r="F123">
        <v>400</v>
      </c>
      <c r="G123">
        <v>20</v>
      </c>
    </row>
    <row r="124" spans="1:7" x14ac:dyDescent="0.3">
      <c r="A124" t="s">
        <v>734</v>
      </c>
      <c r="B124">
        <v>26818</v>
      </c>
      <c r="C124" t="s">
        <v>2152</v>
      </c>
      <c r="D124" t="s">
        <v>463</v>
      </c>
      <c r="E124">
        <v>6</v>
      </c>
      <c r="F124">
        <v>107.46</v>
      </c>
      <c r="G124">
        <v>17.91</v>
      </c>
    </row>
    <row r="125" spans="1:7" x14ac:dyDescent="0.3">
      <c r="A125" t="s">
        <v>734</v>
      </c>
      <c r="B125">
        <v>27606</v>
      </c>
      <c r="C125" t="s">
        <v>2408</v>
      </c>
      <c r="D125" t="s">
        <v>463</v>
      </c>
      <c r="E125">
        <v>3</v>
      </c>
      <c r="F125">
        <v>1240.5</v>
      </c>
      <c r="G125">
        <v>413.5</v>
      </c>
    </row>
    <row r="126" spans="1:7" x14ac:dyDescent="0.3">
      <c r="A126" t="s">
        <v>734</v>
      </c>
      <c r="B126">
        <v>18395</v>
      </c>
      <c r="C126" t="s">
        <v>2407</v>
      </c>
      <c r="D126" t="s">
        <v>463</v>
      </c>
      <c r="E126">
        <v>2</v>
      </c>
      <c r="F126">
        <v>63.8</v>
      </c>
      <c r="G126">
        <v>31.9</v>
      </c>
    </row>
    <row r="127" spans="1:7" x14ac:dyDescent="0.3">
      <c r="A127" t="s">
        <v>734</v>
      </c>
      <c r="B127">
        <v>27607</v>
      </c>
      <c r="C127" t="s">
        <v>2479</v>
      </c>
      <c r="D127" t="s">
        <v>463</v>
      </c>
      <c r="E127">
        <v>3</v>
      </c>
      <c r="F127">
        <v>479.7</v>
      </c>
      <c r="G127">
        <v>159.9</v>
      </c>
    </row>
    <row r="128" spans="1:7" x14ac:dyDescent="0.3">
      <c r="A128" t="s">
        <v>734</v>
      </c>
      <c r="B128">
        <v>20549</v>
      </c>
      <c r="C128" t="s">
        <v>2235</v>
      </c>
      <c r="D128" t="s">
        <v>463</v>
      </c>
      <c r="E128">
        <v>55.7</v>
      </c>
      <c r="F128">
        <v>1113.44</v>
      </c>
      <c r="G128">
        <v>19.989999999999998</v>
      </c>
    </row>
    <row r="129" spans="1:7" x14ac:dyDescent="0.3">
      <c r="A129" t="s">
        <v>734</v>
      </c>
      <c r="B129">
        <v>24933</v>
      </c>
      <c r="C129" t="s">
        <v>2318</v>
      </c>
      <c r="D129" t="s">
        <v>463</v>
      </c>
      <c r="E129">
        <v>300</v>
      </c>
      <c r="F129">
        <v>5295</v>
      </c>
      <c r="G129">
        <v>17.649999999999999</v>
      </c>
    </row>
    <row r="130" spans="1:7" x14ac:dyDescent="0.3">
      <c r="A130" t="s">
        <v>734</v>
      </c>
      <c r="B130">
        <v>17532</v>
      </c>
      <c r="C130" t="s">
        <v>2242</v>
      </c>
      <c r="D130" t="s">
        <v>463</v>
      </c>
      <c r="E130">
        <v>3</v>
      </c>
      <c r="F130">
        <v>294</v>
      </c>
      <c r="G130">
        <v>98</v>
      </c>
    </row>
    <row r="131" spans="1:7" x14ac:dyDescent="0.3">
      <c r="A131" t="s">
        <v>734</v>
      </c>
      <c r="B131">
        <v>17533</v>
      </c>
      <c r="C131" t="s">
        <v>2591</v>
      </c>
      <c r="D131" t="s">
        <v>463</v>
      </c>
      <c r="E131">
        <v>2</v>
      </c>
      <c r="F131">
        <v>378</v>
      </c>
      <c r="G131">
        <v>189</v>
      </c>
    </row>
    <row r="132" spans="1:7" x14ac:dyDescent="0.3">
      <c r="A132" t="s">
        <v>734</v>
      </c>
      <c r="B132">
        <v>17535</v>
      </c>
      <c r="C132" t="s">
        <v>2255</v>
      </c>
      <c r="D132" t="s">
        <v>463</v>
      </c>
      <c r="E132">
        <v>1</v>
      </c>
      <c r="F132">
        <v>138</v>
      </c>
      <c r="G132">
        <v>138</v>
      </c>
    </row>
    <row r="133" spans="1:7" x14ac:dyDescent="0.3">
      <c r="A133" t="s">
        <v>734</v>
      </c>
      <c r="B133">
        <v>28195</v>
      </c>
      <c r="C133" t="s">
        <v>2156</v>
      </c>
      <c r="D133" t="s">
        <v>463</v>
      </c>
      <c r="E133">
        <v>6</v>
      </c>
      <c r="F133">
        <v>183.96</v>
      </c>
      <c r="G133">
        <v>30.66</v>
      </c>
    </row>
    <row r="134" spans="1:7" x14ac:dyDescent="0.3">
      <c r="A134" t="s">
        <v>734</v>
      </c>
      <c r="B134">
        <v>27600</v>
      </c>
      <c r="C134" t="s">
        <v>2154</v>
      </c>
      <c r="D134" t="s">
        <v>463</v>
      </c>
      <c r="E134">
        <v>6</v>
      </c>
      <c r="F134">
        <v>192.36</v>
      </c>
      <c r="G134">
        <v>32.06</v>
      </c>
    </row>
    <row r="135" spans="1:7" x14ac:dyDescent="0.3">
      <c r="A135" t="s">
        <v>734</v>
      </c>
      <c r="B135">
        <v>24191</v>
      </c>
      <c r="C135" t="s">
        <v>2225</v>
      </c>
      <c r="D135" t="s">
        <v>463</v>
      </c>
      <c r="E135">
        <v>20</v>
      </c>
      <c r="F135">
        <v>798</v>
      </c>
      <c r="G135">
        <v>39.9</v>
      </c>
    </row>
    <row r="136" spans="1:7" x14ac:dyDescent="0.3">
      <c r="A136" t="s">
        <v>734</v>
      </c>
      <c r="B136">
        <v>18595</v>
      </c>
      <c r="C136" t="s">
        <v>2436</v>
      </c>
      <c r="D136" t="s">
        <v>463</v>
      </c>
      <c r="E136">
        <v>10</v>
      </c>
      <c r="F136">
        <v>1041</v>
      </c>
      <c r="G136">
        <v>104.1</v>
      </c>
    </row>
    <row r="137" spans="1:7" x14ac:dyDescent="0.3">
      <c r="A137" t="s">
        <v>734</v>
      </c>
      <c r="B137">
        <v>26980</v>
      </c>
      <c r="C137" t="s">
        <v>2614</v>
      </c>
      <c r="D137" t="s">
        <v>463</v>
      </c>
      <c r="E137">
        <v>79.69</v>
      </c>
      <c r="F137">
        <v>2621.8</v>
      </c>
      <c r="G137">
        <v>32.9</v>
      </c>
    </row>
    <row r="138" spans="1:7" x14ac:dyDescent="0.3">
      <c r="A138" t="s">
        <v>734</v>
      </c>
      <c r="B138">
        <v>26679</v>
      </c>
      <c r="C138" t="s">
        <v>2190</v>
      </c>
      <c r="D138" t="s">
        <v>463</v>
      </c>
      <c r="E138">
        <v>55.48</v>
      </c>
      <c r="F138">
        <v>1658.7</v>
      </c>
      <c r="G138">
        <v>29.9</v>
      </c>
    </row>
    <row r="139" spans="1:7" x14ac:dyDescent="0.3">
      <c r="A139" t="s">
        <v>734</v>
      </c>
      <c r="B139">
        <v>24200</v>
      </c>
      <c r="C139" t="s">
        <v>2628</v>
      </c>
      <c r="D139" t="s">
        <v>463</v>
      </c>
      <c r="E139">
        <v>62</v>
      </c>
      <c r="F139">
        <v>2039.8</v>
      </c>
      <c r="G139">
        <v>32.9</v>
      </c>
    </row>
    <row r="140" spans="1:7" x14ac:dyDescent="0.3">
      <c r="A140" t="s">
        <v>734</v>
      </c>
      <c r="B140">
        <v>20419</v>
      </c>
      <c r="C140" t="s">
        <v>2451</v>
      </c>
      <c r="D140" t="s">
        <v>463</v>
      </c>
      <c r="E140">
        <v>5</v>
      </c>
      <c r="F140">
        <v>94.6</v>
      </c>
      <c r="G140">
        <v>18.920000000000002</v>
      </c>
    </row>
    <row r="141" spans="1:7" x14ac:dyDescent="0.3">
      <c r="A141" t="s">
        <v>734</v>
      </c>
      <c r="B141">
        <v>19034</v>
      </c>
      <c r="C141" t="s">
        <v>2234</v>
      </c>
      <c r="D141" t="s">
        <v>463</v>
      </c>
      <c r="E141">
        <v>54</v>
      </c>
      <c r="F141">
        <v>529.20000000000005</v>
      </c>
      <c r="G141">
        <v>9.8000000000000007</v>
      </c>
    </row>
    <row r="142" spans="1:7" x14ac:dyDescent="0.3">
      <c r="A142" t="s">
        <v>734</v>
      </c>
      <c r="B142">
        <v>20689</v>
      </c>
      <c r="C142" t="s">
        <v>2222</v>
      </c>
      <c r="D142" t="s">
        <v>463</v>
      </c>
      <c r="E142">
        <v>60</v>
      </c>
      <c r="F142">
        <v>1920</v>
      </c>
      <c r="G142">
        <v>32</v>
      </c>
    </row>
    <row r="143" spans="1:7" x14ac:dyDescent="0.3">
      <c r="A143" t="s">
        <v>734</v>
      </c>
      <c r="B143">
        <v>24217</v>
      </c>
      <c r="C143" t="s">
        <v>2482</v>
      </c>
      <c r="D143" t="s">
        <v>463</v>
      </c>
      <c r="E143">
        <v>27.34</v>
      </c>
      <c r="F143">
        <v>979.32</v>
      </c>
      <c r="G143">
        <v>35.82</v>
      </c>
    </row>
    <row r="144" spans="1:7" x14ac:dyDescent="0.3">
      <c r="A144" t="s">
        <v>734</v>
      </c>
      <c r="B144">
        <v>23480</v>
      </c>
      <c r="C144" t="s">
        <v>2594</v>
      </c>
      <c r="D144" t="s">
        <v>463</v>
      </c>
      <c r="E144">
        <v>1</v>
      </c>
      <c r="F144">
        <v>27</v>
      </c>
      <c r="G144">
        <v>27</v>
      </c>
    </row>
    <row r="145" spans="1:7" x14ac:dyDescent="0.3">
      <c r="A145" t="s">
        <v>734</v>
      </c>
      <c r="B145">
        <v>27926</v>
      </c>
      <c r="C145" t="s">
        <v>2161</v>
      </c>
      <c r="D145" t="s">
        <v>463</v>
      </c>
      <c r="E145">
        <v>2</v>
      </c>
      <c r="F145">
        <v>35.1</v>
      </c>
      <c r="G145">
        <v>17.55</v>
      </c>
    </row>
    <row r="146" spans="1:7" x14ac:dyDescent="0.3">
      <c r="A146" t="s">
        <v>734</v>
      </c>
      <c r="B146">
        <v>24495</v>
      </c>
      <c r="C146" t="s">
        <v>2249</v>
      </c>
      <c r="D146" t="s">
        <v>463</v>
      </c>
      <c r="E146">
        <v>10</v>
      </c>
      <c r="F146">
        <v>388.9</v>
      </c>
      <c r="G146">
        <v>38.89</v>
      </c>
    </row>
    <row r="147" spans="1:7" x14ac:dyDescent="0.3">
      <c r="A147" t="s">
        <v>734</v>
      </c>
      <c r="B147">
        <v>17304</v>
      </c>
      <c r="C147" t="s">
        <v>2269</v>
      </c>
      <c r="D147" t="s">
        <v>463</v>
      </c>
      <c r="E147">
        <v>5</v>
      </c>
      <c r="F147">
        <v>32.950000000000003</v>
      </c>
      <c r="G147">
        <v>6.59</v>
      </c>
    </row>
    <row r="148" spans="1:7" x14ac:dyDescent="0.3">
      <c r="A148" t="s">
        <v>734</v>
      </c>
      <c r="B148">
        <v>26552</v>
      </c>
      <c r="C148" t="s">
        <v>2553</v>
      </c>
      <c r="D148" t="s">
        <v>463</v>
      </c>
      <c r="E148">
        <v>5</v>
      </c>
      <c r="F148">
        <v>1176.5</v>
      </c>
      <c r="G148">
        <v>235.3</v>
      </c>
    </row>
    <row r="149" spans="1:7" x14ac:dyDescent="0.3">
      <c r="A149" t="s">
        <v>734</v>
      </c>
      <c r="B149">
        <v>17200</v>
      </c>
      <c r="C149" t="s">
        <v>2555</v>
      </c>
      <c r="D149" t="s">
        <v>463</v>
      </c>
      <c r="E149">
        <v>7</v>
      </c>
      <c r="F149">
        <v>433.09</v>
      </c>
      <c r="G149">
        <v>61.87</v>
      </c>
    </row>
    <row r="150" spans="1:7" x14ac:dyDescent="0.3">
      <c r="A150" t="s">
        <v>734</v>
      </c>
      <c r="B150">
        <v>20899</v>
      </c>
      <c r="C150" t="s">
        <v>2516</v>
      </c>
      <c r="D150" t="s">
        <v>463</v>
      </c>
      <c r="E150">
        <v>50</v>
      </c>
      <c r="F150">
        <v>699.5</v>
      </c>
      <c r="G150">
        <v>13.99</v>
      </c>
    </row>
    <row r="151" spans="1:7" x14ac:dyDescent="0.3">
      <c r="A151" t="s">
        <v>734</v>
      </c>
      <c r="B151">
        <v>27235</v>
      </c>
      <c r="C151" t="s">
        <v>2167</v>
      </c>
      <c r="D151" t="s">
        <v>463</v>
      </c>
      <c r="E151">
        <v>8</v>
      </c>
      <c r="F151">
        <v>189.2</v>
      </c>
      <c r="G151">
        <v>23.65</v>
      </c>
    </row>
    <row r="152" spans="1:7" x14ac:dyDescent="0.3">
      <c r="A152" t="s">
        <v>734</v>
      </c>
      <c r="B152">
        <v>26226</v>
      </c>
      <c r="C152" t="s">
        <v>2563</v>
      </c>
      <c r="D152" t="s">
        <v>463</v>
      </c>
      <c r="E152">
        <v>3</v>
      </c>
      <c r="F152">
        <v>29.4</v>
      </c>
      <c r="G152">
        <v>9.8000000000000007</v>
      </c>
    </row>
    <row r="153" spans="1:7" x14ac:dyDescent="0.3">
      <c r="A153" t="s">
        <v>734</v>
      </c>
      <c r="B153">
        <v>17465</v>
      </c>
      <c r="C153" t="s">
        <v>2535</v>
      </c>
      <c r="D153" t="s">
        <v>463</v>
      </c>
      <c r="E153">
        <v>2</v>
      </c>
      <c r="F153">
        <v>1385</v>
      </c>
      <c r="G153">
        <v>692.5</v>
      </c>
    </row>
    <row r="154" spans="1:7" x14ac:dyDescent="0.3">
      <c r="A154" t="s">
        <v>734</v>
      </c>
      <c r="B154">
        <v>24527</v>
      </c>
      <c r="C154" t="s">
        <v>2536</v>
      </c>
      <c r="D154" t="s">
        <v>463</v>
      </c>
      <c r="E154">
        <v>2</v>
      </c>
      <c r="F154">
        <v>2035</v>
      </c>
      <c r="G154">
        <v>1017.5</v>
      </c>
    </row>
    <row r="155" spans="1:7" x14ac:dyDescent="0.3">
      <c r="A155" t="s">
        <v>734</v>
      </c>
      <c r="B155">
        <v>21716</v>
      </c>
      <c r="C155" t="s">
        <v>2533</v>
      </c>
      <c r="D155" t="s">
        <v>463</v>
      </c>
      <c r="E155">
        <v>2</v>
      </c>
      <c r="F155">
        <v>820</v>
      </c>
      <c r="G155">
        <v>410</v>
      </c>
    </row>
    <row r="156" spans="1:7" x14ac:dyDescent="0.3">
      <c r="A156" t="s">
        <v>734</v>
      </c>
      <c r="B156">
        <v>28626</v>
      </c>
      <c r="C156" t="s">
        <v>2107</v>
      </c>
      <c r="D156" t="s">
        <v>463</v>
      </c>
      <c r="E156">
        <v>2</v>
      </c>
      <c r="F156">
        <v>132.4</v>
      </c>
      <c r="G156">
        <v>66.2</v>
      </c>
    </row>
    <row r="157" spans="1:7" x14ac:dyDescent="0.3">
      <c r="A157" t="s">
        <v>734</v>
      </c>
      <c r="B157">
        <v>26536</v>
      </c>
      <c r="C157" t="s">
        <v>2581</v>
      </c>
      <c r="D157" t="s">
        <v>463</v>
      </c>
      <c r="E157">
        <v>2</v>
      </c>
      <c r="F157">
        <v>240</v>
      </c>
      <c r="G157">
        <v>120</v>
      </c>
    </row>
    <row r="158" spans="1:7" x14ac:dyDescent="0.3">
      <c r="A158" t="s">
        <v>734</v>
      </c>
      <c r="B158">
        <v>28386</v>
      </c>
      <c r="C158" t="s">
        <v>2275</v>
      </c>
      <c r="D158" t="s">
        <v>463</v>
      </c>
      <c r="E158">
        <v>10</v>
      </c>
      <c r="F158">
        <v>416.7</v>
      </c>
      <c r="G158">
        <v>41.67</v>
      </c>
    </row>
    <row r="159" spans="1:7" x14ac:dyDescent="0.3">
      <c r="A159" t="s">
        <v>734</v>
      </c>
      <c r="B159">
        <v>27843</v>
      </c>
      <c r="C159" t="s">
        <v>2185</v>
      </c>
      <c r="D159" t="s">
        <v>463</v>
      </c>
      <c r="E159">
        <v>5</v>
      </c>
      <c r="F159">
        <v>41.2</v>
      </c>
      <c r="G159">
        <v>8.24</v>
      </c>
    </row>
    <row r="160" spans="1:7" x14ac:dyDescent="0.3">
      <c r="A160" t="s">
        <v>734</v>
      </c>
      <c r="B160">
        <v>27164</v>
      </c>
      <c r="C160" t="s">
        <v>2566</v>
      </c>
      <c r="D160" t="s">
        <v>463</v>
      </c>
      <c r="E160">
        <v>6</v>
      </c>
      <c r="F160">
        <v>131.4</v>
      </c>
      <c r="G160">
        <v>21.9</v>
      </c>
    </row>
    <row r="161" spans="1:7" x14ac:dyDescent="0.3">
      <c r="A161" t="s">
        <v>734</v>
      </c>
      <c r="B161">
        <v>24598</v>
      </c>
      <c r="C161" t="s">
        <v>2364</v>
      </c>
      <c r="D161" t="s">
        <v>463</v>
      </c>
      <c r="E161">
        <v>3</v>
      </c>
      <c r="F161">
        <v>34.5</v>
      </c>
      <c r="G161">
        <v>11.5</v>
      </c>
    </row>
    <row r="162" spans="1:7" x14ac:dyDescent="0.3">
      <c r="A162" t="s">
        <v>734</v>
      </c>
      <c r="B162">
        <v>17196</v>
      </c>
      <c r="C162" t="s">
        <v>2270</v>
      </c>
      <c r="D162" t="s">
        <v>463</v>
      </c>
      <c r="E162">
        <v>20</v>
      </c>
      <c r="F162">
        <v>127.6</v>
      </c>
      <c r="G162">
        <v>6.38</v>
      </c>
    </row>
    <row r="163" spans="1:7" x14ac:dyDescent="0.3">
      <c r="A163" t="s">
        <v>734</v>
      </c>
      <c r="B163">
        <v>17190</v>
      </c>
      <c r="C163" t="s">
        <v>2265</v>
      </c>
      <c r="D163" t="s">
        <v>463</v>
      </c>
      <c r="E163">
        <v>20</v>
      </c>
      <c r="F163">
        <v>162</v>
      </c>
      <c r="G163">
        <v>8.1</v>
      </c>
    </row>
    <row r="164" spans="1:7" x14ac:dyDescent="0.3">
      <c r="A164" t="s">
        <v>734</v>
      </c>
      <c r="B164">
        <v>29206</v>
      </c>
      <c r="C164" t="s">
        <v>2345</v>
      </c>
      <c r="D164" t="s">
        <v>463</v>
      </c>
      <c r="E164">
        <v>6</v>
      </c>
      <c r="F164">
        <v>631.79999999999995</v>
      </c>
      <c r="G164">
        <v>105.3</v>
      </c>
    </row>
    <row r="165" spans="1:7" x14ac:dyDescent="0.3">
      <c r="A165" t="s">
        <v>734</v>
      </c>
      <c r="B165">
        <v>18040</v>
      </c>
      <c r="C165" t="s">
        <v>2132</v>
      </c>
      <c r="D165" t="s">
        <v>463</v>
      </c>
      <c r="E165">
        <v>36</v>
      </c>
      <c r="F165">
        <v>2919.24</v>
      </c>
      <c r="G165">
        <v>81.09</v>
      </c>
    </row>
    <row r="166" spans="1:7" x14ac:dyDescent="0.3">
      <c r="A166" t="s">
        <v>734</v>
      </c>
      <c r="B166">
        <v>18042</v>
      </c>
      <c r="C166" t="s">
        <v>2133</v>
      </c>
      <c r="D166" t="s">
        <v>463</v>
      </c>
      <c r="E166">
        <v>36</v>
      </c>
      <c r="F166">
        <v>2663.28</v>
      </c>
      <c r="G166">
        <v>73.98</v>
      </c>
    </row>
    <row r="167" spans="1:7" x14ac:dyDescent="0.3">
      <c r="A167" t="s">
        <v>734</v>
      </c>
      <c r="B167">
        <v>18050</v>
      </c>
      <c r="C167" t="s">
        <v>2135</v>
      </c>
      <c r="D167" t="s">
        <v>463</v>
      </c>
      <c r="E167">
        <v>12</v>
      </c>
      <c r="F167">
        <v>4776</v>
      </c>
      <c r="G167">
        <v>398</v>
      </c>
    </row>
    <row r="168" spans="1:7" x14ac:dyDescent="0.3">
      <c r="A168" t="s">
        <v>734</v>
      </c>
      <c r="B168">
        <v>18016</v>
      </c>
      <c r="C168" t="s">
        <v>2337</v>
      </c>
      <c r="D168" t="s">
        <v>463</v>
      </c>
      <c r="E168">
        <v>18</v>
      </c>
      <c r="F168">
        <v>2580.84</v>
      </c>
      <c r="G168">
        <v>143.38</v>
      </c>
    </row>
    <row r="169" spans="1:7" x14ac:dyDescent="0.3">
      <c r="A169" t="s">
        <v>734</v>
      </c>
      <c r="B169">
        <v>18030</v>
      </c>
      <c r="C169" t="s">
        <v>2490</v>
      </c>
      <c r="D169" t="s">
        <v>463</v>
      </c>
      <c r="E169">
        <v>60</v>
      </c>
      <c r="F169">
        <v>1619.4</v>
      </c>
      <c r="G169">
        <v>26.99</v>
      </c>
    </row>
    <row r="170" spans="1:7" x14ac:dyDescent="0.3">
      <c r="A170" t="s">
        <v>734</v>
      </c>
      <c r="B170">
        <v>23534</v>
      </c>
      <c r="C170" t="s">
        <v>2358</v>
      </c>
      <c r="D170" t="s">
        <v>463</v>
      </c>
      <c r="E170">
        <v>4</v>
      </c>
      <c r="F170">
        <v>130.24</v>
      </c>
      <c r="G170">
        <v>32.56</v>
      </c>
    </row>
    <row r="171" spans="1:7" x14ac:dyDescent="0.3">
      <c r="A171" t="s">
        <v>734</v>
      </c>
      <c r="B171">
        <v>29181</v>
      </c>
      <c r="C171" t="s">
        <v>2582</v>
      </c>
      <c r="D171" t="s">
        <v>463</v>
      </c>
      <c r="E171">
        <v>4</v>
      </c>
      <c r="F171">
        <v>19.600000000000001</v>
      </c>
      <c r="G171">
        <v>4.9000000000000004</v>
      </c>
    </row>
    <row r="172" spans="1:7" x14ac:dyDescent="0.3">
      <c r="A172" t="s">
        <v>734</v>
      </c>
      <c r="B172">
        <v>25002</v>
      </c>
      <c r="C172" t="s">
        <v>2148</v>
      </c>
      <c r="D172" t="s">
        <v>463</v>
      </c>
      <c r="E172">
        <v>70</v>
      </c>
      <c r="F172">
        <v>1366.4</v>
      </c>
      <c r="G172">
        <v>19.52</v>
      </c>
    </row>
    <row r="173" spans="1:7" x14ac:dyDescent="0.3">
      <c r="A173" t="s">
        <v>734</v>
      </c>
      <c r="B173">
        <v>28183</v>
      </c>
      <c r="C173" t="s">
        <v>2153</v>
      </c>
      <c r="D173" t="s">
        <v>463</v>
      </c>
      <c r="E173">
        <v>30</v>
      </c>
      <c r="F173">
        <v>1596</v>
      </c>
      <c r="G173">
        <v>53.2</v>
      </c>
    </row>
    <row r="174" spans="1:7" x14ac:dyDescent="0.3">
      <c r="A174" t="s">
        <v>734</v>
      </c>
      <c r="B174">
        <v>26455</v>
      </c>
      <c r="C174" t="s">
        <v>2150</v>
      </c>
      <c r="D174" t="s">
        <v>463</v>
      </c>
      <c r="E174">
        <v>30</v>
      </c>
      <c r="F174">
        <v>405</v>
      </c>
      <c r="G174">
        <v>13.5</v>
      </c>
    </row>
    <row r="175" spans="1:7" x14ac:dyDescent="0.3">
      <c r="A175" t="s">
        <v>734</v>
      </c>
      <c r="B175">
        <v>23105</v>
      </c>
      <c r="C175" t="s">
        <v>2300</v>
      </c>
      <c r="D175" t="s">
        <v>463</v>
      </c>
      <c r="E175">
        <v>0.5</v>
      </c>
      <c r="F175">
        <v>58.5</v>
      </c>
      <c r="G175">
        <v>117</v>
      </c>
    </row>
    <row r="176" spans="1:7" x14ac:dyDescent="0.3">
      <c r="A176" t="s">
        <v>734</v>
      </c>
      <c r="B176">
        <v>26366</v>
      </c>
      <c r="C176" t="s">
        <v>2561</v>
      </c>
      <c r="D176" t="s">
        <v>463</v>
      </c>
      <c r="E176">
        <v>10</v>
      </c>
      <c r="F176">
        <v>690</v>
      </c>
      <c r="G176">
        <v>69</v>
      </c>
    </row>
    <row r="177" spans="1:7" x14ac:dyDescent="0.3">
      <c r="A177" t="s">
        <v>734</v>
      </c>
      <c r="B177">
        <v>28695</v>
      </c>
      <c r="C177" t="s">
        <v>2576</v>
      </c>
      <c r="D177" t="s">
        <v>463</v>
      </c>
      <c r="E177">
        <v>5</v>
      </c>
      <c r="F177">
        <v>64.5</v>
      </c>
      <c r="G177">
        <v>12.9</v>
      </c>
    </row>
    <row r="178" spans="1:7" x14ac:dyDescent="0.3">
      <c r="A178" t="s">
        <v>734</v>
      </c>
      <c r="B178">
        <v>24730</v>
      </c>
      <c r="C178" t="s">
        <v>2151</v>
      </c>
      <c r="D178" t="s">
        <v>463</v>
      </c>
      <c r="E178">
        <v>3</v>
      </c>
      <c r="F178">
        <v>102.54</v>
      </c>
      <c r="G178">
        <v>34.18</v>
      </c>
    </row>
    <row r="179" spans="1:7" x14ac:dyDescent="0.3">
      <c r="A179" t="s">
        <v>734</v>
      </c>
      <c r="B179">
        <v>20382</v>
      </c>
      <c r="C179" t="s">
        <v>2526</v>
      </c>
      <c r="D179" t="s">
        <v>463</v>
      </c>
      <c r="E179">
        <v>40</v>
      </c>
      <c r="F179">
        <v>359.6</v>
      </c>
      <c r="G179">
        <v>8.99</v>
      </c>
    </row>
    <row r="180" spans="1:7" x14ac:dyDescent="0.3">
      <c r="A180" t="s">
        <v>734</v>
      </c>
      <c r="B180">
        <v>20371</v>
      </c>
      <c r="C180" t="s">
        <v>2517</v>
      </c>
      <c r="D180" t="s">
        <v>463</v>
      </c>
      <c r="E180">
        <v>20</v>
      </c>
      <c r="F180">
        <v>416.8</v>
      </c>
      <c r="G180">
        <v>20.84</v>
      </c>
    </row>
    <row r="181" spans="1:7" x14ac:dyDescent="0.3">
      <c r="A181" t="s">
        <v>734</v>
      </c>
      <c r="B181">
        <v>20365</v>
      </c>
      <c r="C181" t="s">
        <v>2289</v>
      </c>
      <c r="D181" t="s">
        <v>463</v>
      </c>
      <c r="E181">
        <v>130</v>
      </c>
      <c r="F181">
        <v>624</v>
      </c>
      <c r="G181">
        <v>4.8</v>
      </c>
    </row>
    <row r="182" spans="1:7" x14ac:dyDescent="0.3">
      <c r="A182" t="s">
        <v>734</v>
      </c>
      <c r="B182">
        <v>20358</v>
      </c>
      <c r="C182" t="s">
        <v>2426</v>
      </c>
      <c r="D182" t="s">
        <v>463</v>
      </c>
      <c r="E182">
        <v>30</v>
      </c>
      <c r="F182">
        <v>437.4</v>
      </c>
      <c r="G182">
        <v>14.58</v>
      </c>
    </row>
    <row r="183" spans="1:7" x14ac:dyDescent="0.3">
      <c r="A183" t="s">
        <v>734</v>
      </c>
      <c r="B183">
        <v>20246</v>
      </c>
      <c r="C183" t="s">
        <v>2286</v>
      </c>
      <c r="D183" t="s">
        <v>463</v>
      </c>
      <c r="E183">
        <v>40</v>
      </c>
      <c r="F183">
        <v>435.6</v>
      </c>
      <c r="G183">
        <v>10.89</v>
      </c>
    </row>
    <row r="184" spans="1:7" x14ac:dyDescent="0.3">
      <c r="A184" t="s">
        <v>734</v>
      </c>
      <c r="B184">
        <v>20231</v>
      </c>
      <c r="C184" t="s">
        <v>2205</v>
      </c>
      <c r="D184" t="s">
        <v>463</v>
      </c>
      <c r="E184">
        <v>8</v>
      </c>
      <c r="F184">
        <v>131.36000000000001</v>
      </c>
      <c r="G184">
        <v>16.420000000000002</v>
      </c>
    </row>
    <row r="185" spans="1:7" x14ac:dyDescent="0.3">
      <c r="A185" t="s">
        <v>734</v>
      </c>
      <c r="B185">
        <v>20227</v>
      </c>
      <c r="C185" t="s">
        <v>2285</v>
      </c>
      <c r="D185" t="s">
        <v>463</v>
      </c>
      <c r="E185">
        <v>40</v>
      </c>
      <c r="F185">
        <v>302.39999999999998</v>
      </c>
      <c r="G185">
        <v>7.56</v>
      </c>
    </row>
    <row r="186" spans="1:7" x14ac:dyDescent="0.3">
      <c r="A186" t="s">
        <v>734</v>
      </c>
      <c r="B186">
        <v>20234</v>
      </c>
      <c r="C186" t="s">
        <v>2201</v>
      </c>
      <c r="D186" t="s">
        <v>463</v>
      </c>
      <c r="E186">
        <v>70</v>
      </c>
      <c r="F186">
        <v>1119.3</v>
      </c>
      <c r="G186">
        <v>15.99</v>
      </c>
    </row>
    <row r="187" spans="1:7" x14ac:dyDescent="0.3">
      <c r="A187" t="s">
        <v>734</v>
      </c>
      <c r="B187">
        <v>20022</v>
      </c>
      <c r="C187" t="s">
        <v>2295</v>
      </c>
      <c r="D187" t="s">
        <v>463</v>
      </c>
      <c r="E187">
        <v>36</v>
      </c>
      <c r="F187">
        <v>400.68</v>
      </c>
      <c r="G187">
        <v>11.13</v>
      </c>
    </row>
    <row r="188" spans="1:7" x14ac:dyDescent="0.3">
      <c r="A188" t="s">
        <v>734</v>
      </c>
      <c r="B188">
        <v>18973</v>
      </c>
      <c r="C188" t="s">
        <v>2224</v>
      </c>
      <c r="D188" t="s">
        <v>463</v>
      </c>
      <c r="E188">
        <v>21.19</v>
      </c>
      <c r="F188">
        <v>209.78</v>
      </c>
      <c r="G188">
        <v>9.9</v>
      </c>
    </row>
    <row r="189" spans="1:7" x14ac:dyDescent="0.3">
      <c r="A189" t="s">
        <v>734</v>
      </c>
      <c r="B189">
        <v>19017</v>
      </c>
      <c r="C189" t="s">
        <v>2231</v>
      </c>
      <c r="D189" t="s">
        <v>463</v>
      </c>
      <c r="E189">
        <v>290</v>
      </c>
      <c r="F189">
        <v>4389.1000000000004</v>
      </c>
      <c r="G189">
        <v>15.13</v>
      </c>
    </row>
    <row r="190" spans="1:7" x14ac:dyDescent="0.3">
      <c r="A190" t="s">
        <v>734</v>
      </c>
      <c r="B190">
        <v>27432</v>
      </c>
      <c r="C190" t="s">
        <v>2447</v>
      </c>
      <c r="D190" t="s">
        <v>463</v>
      </c>
      <c r="E190">
        <v>80.5</v>
      </c>
      <c r="F190">
        <v>9579.5</v>
      </c>
      <c r="G190">
        <v>119</v>
      </c>
    </row>
    <row r="191" spans="1:7" x14ac:dyDescent="0.3">
      <c r="A191" t="s">
        <v>734</v>
      </c>
      <c r="B191">
        <v>27901</v>
      </c>
      <c r="C191" t="s">
        <v>2191</v>
      </c>
      <c r="D191" t="s">
        <v>463</v>
      </c>
      <c r="E191">
        <v>41.2</v>
      </c>
      <c r="F191">
        <v>4902.8</v>
      </c>
      <c r="G191">
        <v>119</v>
      </c>
    </row>
    <row r="192" spans="1:7" x14ac:dyDescent="0.3">
      <c r="A192" t="s">
        <v>734</v>
      </c>
      <c r="B192">
        <v>25976</v>
      </c>
      <c r="C192" t="s">
        <v>2335</v>
      </c>
      <c r="D192" t="s">
        <v>463</v>
      </c>
      <c r="E192">
        <v>2</v>
      </c>
      <c r="F192">
        <v>616.4</v>
      </c>
      <c r="G192">
        <v>308.2</v>
      </c>
    </row>
    <row r="193" spans="1:7" x14ac:dyDescent="0.3">
      <c r="A193" t="s">
        <v>734</v>
      </c>
      <c r="B193">
        <v>17343</v>
      </c>
      <c r="C193" t="s">
        <v>2268</v>
      </c>
      <c r="D193" t="s">
        <v>463</v>
      </c>
      <c r="E193">
        <v>5</v>
      </c>
      <c r="F193">
        <v>120.35</v>
      </c>
      <c r="G193">
        <v>24.07</v>
      </c>
    </row>
    <row r="194" spans="1:7" x14ac:dyDescent="0.3">
      <c r="A194" t="s">
        <v>734</v>
      </c>
      <c r="B194">
        <v>27410</v>
      </c>
      <c r="C194" t="s">
        <v>2570</v>
      </c>
      <c r="D194" t="s">
        <v>463</v>
      </c>
      <c r="E194">
        <v>10</v>
      </c>
      <c r="F194">
        <v>43</v>
      </c>
      <c r="G194">
        <v>4.3</v>
      </c>
    </row>
    <row r="195" spans="1:7" x14ac:dyDescent="0.3">
      <c r="A195" t="s">
        <v>734</v>
      </c>
      <c r="B195">
        <v>27345</v>
      </c>
      <c r="C195" t="s">
        <v>2578</v>
      </c>
      <c r="D195" t="s">
        <v>463</v>
      </c>
      <c r="E195">
        <v>10</v>
      </c>
      <c r="F195">
        <v>49</v>
      </c>
      <c r="G195">
        <v>4.9000000000000004</v>
      </c>
    </row>
    <row r="196" spans="1:7" x14ac:dyDescent="0.3">
      <c r="A196" t="s">
        <v>734</v>
      </c>
      <c r="B196">
        <v>25777</v>
      </c>
      <c r="C196" t="s">
        <v>2115</v>
      </c>
      <c r="D196" t="s">
        <v>463</v>
      </c>
      <c r="E196">
        <v>80.099999999999994</v>
      </c>
      <c r="F196">
        <v>7200.99</v>
      </c>
      <c r="G196">
        <v>89.9</v>
      </c>
    </row>
    <row r="197" spans="1:7" x14ac:dyDescent="0.3">
      <c r="A197" t="s">
        <v>734</v>
      </c>
      <c r="B197">
        <v>24277</v>
      </c>
      <c r="C197" t="s">
        <v>2373</v>
      </c>
      <c r="D197" t="s">
        <v>463</v>
      </c>
      <c r="E197">
        <v>210</v>
      </c>
      <c r="F197">
        <v>2454.9</v>
      </c>
      <c r="G197">
        <v>11.69</v>
      </c>
    </row>
    <row r="198" spans="1:7" x14ac:dyDescent="0.3">
      <c r="A198" t="s">
        <v>734</v>
      </c>
      <c r="B198">
        <v>19765</v>
      </c>
      <c r="C198" t="s">
        <v>2353</v>
      </c>
      <c r="D198" t="s">
        <v>463</v>
      </c>
      <c r="E198">
        <v>10</v>
      </c>
      <c r="F198">
        <v>370</v>
      </c>
      <c r="G198">
        <v>37</v>
      </c>
    </row>
    <row r="199" spans="1:7" x14ac:dyDescent="0.3">
      <c r="A199" t="s">
        <v>734</v>
      </c>
      <c r="B199">
        <v>19895</v>
      </c>
      <c r="C199" t="s">
        <v>2226</v>
      </c>
      <c r="D199" t="s">
        <v>463</v>
      </c>
      <c r="E199">
        <v>5</v>
      </c>
      <c r="F199">
        <v>169</v>
      </c>
      <c r="G199">
        <v>33.799999999999997</v>
      </c>
    </row>
    <row r="200" spans="1:7" x14ac:dyDescent="0.3">
      <c r="A200" t="s">
        <v>734</v>
      </c>
      <c r="B200">
        <v>29821</v>
      </c>
      <c r="C200" t="s">
        <v>2259</v>
      </c>
      <c r="D200" t="s">
        <v>463</v>
      </c>
      <c r="E200">
        <v>20</v>
      </c>
      <c r="F200">
        <v>378</v>
      </c>
      <c r="G200">
        <v>18.899999999999999</v>
      </c>
    </row>
    <row r="201" spans="1:7" x14ac:dyDescent="0.3">
      <c r="A201" t="s">
        <v>734</v>
      </c>
      <c r="B201">
        <v>25517</v>
      </c>
      <c r="C201" t="s">
        <v>2558</v>
      </c>
      <c r="D201" t="s">
        <v>463</v>
      </c>
      <c r="E201">
        <v>4</v>
      </c>
      <c r="F201">
        <v>1472</v>
      </c>
      <c r="G201">
        <v>368</v>
      </c>
    </row>
    <row r="202" spans="1:7" x14ac:dyDescent="0.3">
      <c r="A202" t="s">
        <v>734</v>
      </c>
      <c r="B202">
        <v>23972</v>
      </c>
      <c r="C202" t="s">
        <v>2556</v>
      </c>
      <c r="D202" t="s">
        <v>463</v>
      </c>
      <c r="E202">
        <v>2</v>
      </c>
      <c r="F202">
        <v>224.48</v>
      </c>
      <c r="G202">
        <v>112.24</v>
      </c>
    </row>
    <row r="203" spans="1:7" x14ac:dyDescent="0.3">
      <c r="A203" t="s">
        <v>734</v>
      </c>
      <c r="B203">
        <v>23971</v>
      </c>
      <c r="C203" t="s">
        <v>2247</v>
      </c>
      <c r="D203" t="s">
        <v>463</v>
      </c>
      <c r="E203">
        <v>20</v>
      </c>
      <c r="F203">
        <v>218</v>
      </c>
      <c r="G203">
        <v>10.9</v>
      </c>
    </row>
    <row r="204" spans="1:7" x14ac:dyDescent="0.3">
      <c r="A204" t="s">
        <v>734</v>
      </c>
      <c r="B204">
        <v>28573</v>
      </c>
      <c r="C204" t="s">
        <v>2087</v>
      </c>
      <c r="D204" t="s">
        <v>463</v>
      </c>
      <c r="E204">
        <v>50</v>
      </c>
      <c r="F204">
        <v>1520</v>
      </c>
      <c r="G204">
        <v>30.4</v>
      </c>
    </row>
    <row r="205" spans="1:7" x14ac:dyDescent="0.3">
      <c r="A205" t="s">
        <v>734</v>
      </c>
      <c r="B205">
        <v>20861</v>
      </c>
      <c r="C205" t="s">
        <v>2528</v>
      </c>
      <c r="D205" t="s">
        <v>463</v>
      </c>
      <c r="E205">
        <v>20</v>
      </c>
      <c r="F205">
        <v>934</v>
      </c>
      <c r="G205">
        <v>46.7</v>
      </c>
    </row>
    <row r="206" spans="1:7" x14ac:dyDescent="0.3">
      <c r="A206" t="s">
        <v>734</v>
      </c>
      <c r="B206">
        <v>19607</v>
      </c>
      <c r="C206" t="s">
        <v>2543</v>
      </c>
      <c r="D206" t="s">
        <v>463</v>
      </c>
      <c r="E206">
        <v>4</v>
      </c>
      <c r="F206">
        <v>38</v>
      </c>
      <c r="G206">
        <v>9.5</v>
      </c>
    </row>
    <row r="207" spans="1:7" x14ac:dyDescent="0.3">
      <c r="A207" t="s">
        <v>734</v>
      </c>
      <c r="B207">
        <v>18373</v>
      </c>
      <c r="C207" t="s">
        <v>2476</v>
      </c>
      <c r="D207" t="s">
        <v>463</v>
      </c>
      <c r="E207">
        <v>120</v>
      </c>
      <c r="F207">
        <v>6588</v>
      </c>
      <c r="G207">
        <v>54.9</v>
      </c>
    </row>
    <row r="208" spans="1:7" x14ac:dyDescent="0.3">
      <c r="A208" t="s">
        <v>734</v>
      </c>
      <c r="B208">
        <v>18359</v>
      </c>
      <c r="C208" t="s">
        <v>2461</v>
      </c>
      <c r="D208" t="s">
        <v>463</v>
      </c>
      <c r="E208">
        <v>24</v>
      </c>
      <c r="F208">
        <v>2133.6</v>
      </c>
      <c r="G208">
        <v>88.9</v>
      </c>
    </row>
    <row r="209" spans="1:7" x14ac:dyDescent="0.3">
      <c r="A209" t="s">
        <v>734</v>
      </c>
      <c r="B209">
        <v>18353</v>
      </c>
      <c r="C209" t="s">
        <v>2472</v>
      </c>
      <c r="D209" t="s">
        <v>463</v>
      </c>
      <c r="E209">
        <v>6</v>
      </c>
      <c r="F209">
        <v>826.92</v>
      </c>
      <c r="G209">
        <v>137.82</v>
      </c>
    </row>
    <row r="210" spans="1:7" x14ac:dyDescent="0.3">
      <c r="A210" t="s">
        <v>734</v>
      </c>
      <c r="B210">
        <v>21024</v>
      </c>
      <c r="C210" t="s">
        <v>2290</v>
      </c>
      <c r="D210" t="s">
        <v>463</v>
      </c>
      <c r="E210">
        <v>40</v>
      </c>
      <c r="F210">
        <v>7369.6</v>
      </c>
      <c r="G210">
        <v>184.24</v>
      </c>
    </row>
    <row r="211" spans="1:7" x14ac:dyDescent="0.3">
      <c r="A211" t="s">
        <v>734</v>
      </c>
      <c r="B211">
        <v>28689</v>
      </c>
      <c r="C211" t="s">
        <v>2583</v>
      </c>
      <c r="D211" t="s">
        <v>463</v>
      </c>
      <c r="E211">
        <v>2</v>
      </c>
      <c r="F211">
        <v>59.8</v>
      </c>
      <c r="G211">
        <v>29.9</v>
      </c>
    </row>
    <row r="212" spans="1:7" x14ac:dyDescent="0.3">
      <c r="A212" t="s">
        <v>734</v>
      </c>
      <c r="B212">
        <v>25087</v>
      </c>
      <c r="C212" t="s">
        <v>2585</v>
      </c>
      <c r="D212" t="s">
        <v>463</v>
      </c>
      <c r="E212">
        <v>1</v>
      </c>
      <c r="F212">
        <v>12.5</v>
      </c>
      <c r="G212">
        <v>12.5</v>
      </c>
    </row>
    <row r="213" spans="1:7" x14ac:dyDescent="0.3">
      <c r="A213" t="s">
        <v>734</v>
      </c>
      <c r="B213">
        <v>20213</v>
      </c>
      <c r="C213" t="s">
        <v>2296</v>
      </c>
      <c r="D213" t="s">
        <v>463</v>
      </c>
      <c r="E213">
        <v>5</v>
      </c>
      <c r="F213">
        <v>158</v>
      </c>
      <c r="G213">
        <v>31.6</v>
      </c>
    </row>
    <row r="214" spans="1:7" x14ac:dyDescent="0.3">
      <c r="A214" t="s">
        <v>734</v>
      </c>
      <c r="B214">
        <v>24302</v>
      </c>
      <c r="C214" t="s">
        <v>2389</v>
      </c>
      <c r="D214" t="s">
        <v>463</v>
      </c>
      <c r="E214">
        <v>4</v>
      </c>
      <c r="F214">
        <v>39.200000000000003</v>
      </c>
      <c r="G214">
        <v>9.8000000000000007</v>
      </c>
    </row>
    <row r="215" spans="1:7" x14ac:dyDescent="0.3">
      <c r="A215" t="s">
        <v>734</v>
      </c>
      <c r="B215">
        <v>17866</v>
      </c>
      <c r="C215" t="s">
        <v>2392</v>
      </c>
      <c r="D215" t="s">
        <v>463</v>
      </c>
      <c r="E215">
        <v>2</v>
      </c>
      <c r="F215">
        <v>24.4</v>
      </c>
      <c r="G215">
        <v>12.2</v>
      </c>
    </row>
    <row r="216" spans="1:7" x14ac:dyDescent="0.3">
      <c r="A216" t="s">
        <v>734</v>
      </c>
      <c r="B216">
        <v>17903</v>
      </c>
      <c r="C216" t="s">
        <v>2354</v>
      </c>
      <c r="D216" t="s">
        <v>463</v>
      </c>
      <c r="E216">
        <v>30</v>
      </c>
      <c r="F216">
        <v>596.4</v>
      </c>
      <c r="G216">
        <v>19.88</v>
      </c>
    </row>
    <row r="217" spans="1:7" x14ac:dyDescent="0.3">
      <c r="A217" t="s">
        <v>734</v>
      </c>
      <c r="B217">
        <v>28659</v>
      </c>
      <c r="C217" t="s">
        <v>2427</v>
      </c>
      <c r="D217" t="s">
        <v>463</v>
      </c>
      <c r="E217">
        <v>20</v>
      </c>
      <c r="F217">
        <v>4940</v>
      </c>
      <c r="G217">
        <v>247</v>
      </c>
    </row>
    <row r="218" spans="1:7" x14ac:dyDescent="0.3">
      <c r="A218" t="s">
        <v>734</v>
      </c>
      <c r="B218">
        <v>28663</v>
      </c>
      <c r="C218" t="s">
        <v>2117</v>
      </c>
      <c r="D218" t="s">
        <v>463</v>
      </c>
      <c r="E218">
        <v>40</v>
      </c>
      <c r="F218">
        <v>7920</v>
      </c>
      <c r="G218">
        <v>198</v>
      </c>
    </row>
    <row r="219" spans="1:7" x14ac:dyDescent="0.3">
      <c r="A219" t="s">
        <v>734</v>
      </c>
      <c r="B219">
        <v>17896</v>
      </c>
      <c r="C219" t="s">
        <v>2432</v>
      </c>
      <c r="D219" t="s">
        <v>463</v>
      </c>
      <c r="E219">
        <v>10</v>
      </c>
      <c r="F219">
        <v>446.8</v>
      </c>
      <c r="G219">
        <v>44.68</v>
      </c>
    </row>
    <row r="220" spans="1:7" x14ac:dyDescent="0.3">
      <c r="A220" t="s">
        <v>734</v>
      </c>
      <c r="B220">
        <v>27544</v>
      </c>
      <c r="C220" t="s">
        <v>2622</v>
      </c>
      <c r="D220" t="s">
        <v>463</v>
      </c>
      <c r="E220">
        <v>20.03</v>
      </c>
      <c r="F220">
        <v>780.97</v>
      </c>
      <c r="G220">
        <v>38.99</v>
      </c>
    </row>
    <row r="221" spans="1:7" x14ac:dyDescent="0.3">
      <c r="A221" t="s">
        <v>734</v>
      </c>
      <c r="B221">
        <v>19480</v>
      </c>
      <c r="C221" t="s">
        <v>2605</v>
      </c>
      <c r="D221" t="s">
        <v>463</v>
      </c>
      <c r="E221">
        <v>2</v>
      </c>
      <c r="F221">
        <v>49.16</v>
      </c>
      <c r="G221">
        <v>24.58</v>
      </c>
    </row>
    <row r="222" spans="1:7" x14ac:dyDescent="0.3">
      <c r="A222" t="s">
        <v>734</v>
      </c>
      <c r="B222">
        <v>25069</v>
      </c>
      <c r="C222" t="s">
        <v>2552</v>
      </c>
      <c r="D222" t="s">
        <v>463</v>
      </c>
      <c r="E222">
        <v>3</v>
      </c>
      <c r="F222">
        <v>363.72</v>
      </c>
      <c r="G222">
        <v>121.24</v>
      </c>
    </row>
    <row r="223" spans="1:7" x14ac:dyDescent="0.3">
      <c r="A223" t="s">
        <v>734</v>
      </c>
      <c r="B223">
        <v>29036</v>
      </c>
      <c r="C223" t="s">
        <v>2165</v>
      </c>
      <c r="D223" t="s">
        <v>463</v>
      </c>
      <c r="E223">
        <v>8</v>
      </c>
      <c r="F223">
        <v>167.36</v>
      </c>
      <c r="G223">
        <v>20.92</v>
      </c>
    </row>
    <row r="224" spans="1:7" x14ac:dyDescent="0.3">
      <c r="A224" t="s">
        <v>734</v>
      </c>
      <c r="B224">
        <v>27911</v>
      </c>
      <c r="C224" t="s">
        <v>2313</v>
      </c>
      <c r="D224" t="s">
        <v>463</v>
      </c>
      <c r="E224">
        <v>1</v>
      </c>
      <c r="F224">
        <v>8.5399999999999991</v>
      </c>
      <c r="G224">
        <v>8.5399999999999991</v>
      </c>
    </row>
    <row r="225" spans="1:7" x14ac:dyDescent="0.3">
      <c r="A225" t="s">
        <v>734</v>
      </c>
      <c r="B225">
        <v>25706</v>
      </c>
      <c r="C225" t="s">
        <v>2338</v>
      </c>
      <c r="D225" t="s">
        <v>463</v>
      </c>
      <c r="E225">
        <v>2</v>
      </c>
      <c r="F225">
        <v>651.24</v>
      </c>
      <c r="G225">
        <v>325.62</v>
      </c>
    </row>
    <row r="226" spans="1:7" x14ac:dyDescent="0.3">
      <c r="A226" t="s">
        <v>734</v>
      </c>
      <c r="B226">
        <v>20057</v>
      </c>
      <c r="C226" t="s">
        <v>2422</v>
      </c>
      <c r="D226" t="s">
        <v>463</v>
      </c>
      <c r="E226">
        <v>10</v>
      </c>
      <c r="F226">
        <v>425</v>
      </c>
      <c r="G226">
        <v>42.5</v>
      </c>
    </row>
    <row r="227" spans="1:7" x14ac:dyDescent="0.3">
      <c r="A227" t="s">
        <v>734</v>
      </c>
      <c r="B227">
        <v>19759</v>
      </c>
      <c r="C227" t="s">
        <v>2592</v>
      </c>
      <c r="D227" t="s">
        <v>463</v>
      </c>
      <c r="E227">
        <v>5</v>
      </c>
      <c r="F227">
        <v>37.5</v>
      </c>
      <c r="G227">
        <v>7.5</v>
      </c>
    </row>
    <row r="228" spans="1:7" x14ac:dyDescent="0.3">
      <c r="A228" t="s">
        <v>734</v>
      </c>
      <c r="B228">
        <v>23361</v>
      </c>
      <c r="C228" t="s">
        <v>2596</v>
      </c>
      <c r="D228" t="s">
        <v>463</v>
      </c>
      <c r="E228">
        <v>60</v>
      </c>
      <c r="F228">
        <v>156</v>
      </c>
      <c r="G228">
        <v>2.6</v>
      </c>
    </row>
    <row r="229" spans="1:7" x14ac:dyDescent="0.3">
      <c r="A229" t="s">
        <v>734</v>
      </c>
      <c r="B229">
        <v>20660</v>
      </c>
      <c r="C229" t="s">
        <v>2221</v>
      </c>
      <c r="D229" t="s">
        <v>463</v>
      </c>
      <c r="E229">
        <v>16</v>
      </c>
      <c r="F229">
        <v>1118.4000000000001</v>
      </c>
      <c r="G229">
        <v>69.900000000000006</v>
      </c>
    </row>
    <row r="230" spans="1:7" x14ac:dyDescent="0.3">
      <c r="A230" t="s">
        <v>734</v>
      </c>
      <c r="B230">
        <v>20653</v>
      </c>
      <c r="C230" t="s">
        <v>2420</v>
      </c>
      <c r="D230" t="s">
        <v>463</v>
      </c>
      <c r="E230">
        <v>10</v>
      </c>
      <c r="F230">
        <v>259.60000000000002</v>
      </c>
      <c r="G230">
        <v>25.96</v>
      </c>
    </row>
    <row r="231" spans="1:7" x14ac:dyDescent="0.3">
      <c r="A231" t="s">
        <v>734</v>
      </c>
      <c r="B231">
        <v>19421</v>
      </c>
      <c r="C231" t="s">
        <v>2421</v>
      </c>
      <c r="D231" t="s">
        <v>463</v>
      </c>
      <c r="E231">
        <v>9</v>
      </c>
      <c r="F231">
        <v>700.92</v>
      </c>
      <c r="G231">
        <v>77.88</v>
      </c>
    </row>
    <row r="232" spans="1:7" x14ac:dyDescent="0.3">
      <c r="A232" t="s">
        <v>734</v>
      </c>
      <c r="B232">
        <v>24322</v>
      </c>
      <c r="C232" t="s">
        <v>2511</v>
      </c>
      <c r="D232" t="s">
        <v>463</v>
      </c>
      <c r="E232">
        <v>10</v>
      </c>
      <c r="F232">
        <v>199</v>
      </c>
      <c r="G232">
        <v>19.899999999999999</v>
      </c>
    </row>
    <row r="233" spans="1:7" x14ac:dyDescent="0.3">
      <c r="A233" t="s">
        <v>734</v>
      </c>
      <c r="B233">
        <v>18327</v>
      </c>
      <c r="C233" t="s">
        <v>2131</v>
      </c>
      <c r="D233" t="s">
        <v>463</v>
      </c>
      <c r="E233">
        <v>1</v>
      </c>
      <c r="F233">
        <v>96</v>
      </c>
      <c r="G233">
        <v>96</v>
      </c>
    </row>
    <row r="234" spans="1:7" x14ac:dyDescent="0.3">
      <c r="A234" t="s">
        <v>734</v>
      </c>
      <c r="B234">
        <v>18315</v>
      </c>
      <c r="C234" t="s">
        <v>2379</v>
      </c>
      <c r="D234" t="s">
        <v>463</v>
      </c>
      <c r="E234">
        <v>40</v>
      </c>
      <c r="F234">
        <v>5312</v>
      </c>
      <c r="G234">
        <v>132.80000000000001</v>
      </c>
    </row>
    <row r="235" spans="1:7" x14ac:dyDescent="0.3">
      <c r="A235" t="s">
        <v>734</v>
      </c>
      <c r="B235">
        <v>18281</v>
      </c>
      <c r="C235" t="s">
        <v>2417</v>
      </c>
      <c r="D235" t="s">
        <v>463</v>
      </c>
      <c r="E235">
        <v>12</v>
      </c>
      <c r="F235">
        <v>598.79999999999995</v>
      </c>
      <c r="G235">
        <v>49.9</v>
      </c>
    </row>
    <row r="236" spans="1:7" x14ac:dyDescent="0.3">
      <c r="A236" t="s">
        <v>734</v>
      </c>
      <c r="B236">
        <v>23360</v>
      </c>
      <c r="C236" t="s">
        <v>2602</v>
      </c>
      <c r="D236" t="s">
        <v>463</v>
      </c>
      <c r="E236">
        <v>1</v>
      </c>
      <c r="F236">
        <v>5.8</v>
      </c>
      <c r="G236">
        <v>5.8</v>
      </c>
    </row>
    <row r="237" spans="1:7" x14ac:dyDescent="0.3">
      <c r="A237" t="s">
        <v>734</v>
      </c>
      <c r="B237">
        <v>19751</v>
      </c>
      <c r="C237" t="s">
        <v>2538</v>
      </c>
      <c r="D237" t="s">
        <v>463</v>
      </c>
      <c r="E237">
        <v>30</v>
      </c>
      <c r="F237">
        <v>260</v>
      </c>
      <c r="G237">
        <v>8.67</v>
      </c>
    </row>
    <row r="238" spans="1:7" x14ac:dyDescent="0.3">
      <c r="A238" t="s">
        <v>734</v>
      </c>
      <c r="B238">
        <v>23359</v>
      </c>
      <c r="C238" t="s">
        <v>2175</v>
      </c>
      <c r="D238" t="s">
        <v>463</v>
      </c>
      <c r="E238">
        <v>145</v>
      </c>
      <c r="F238">
        <v>451.7</v>
      </c>
      <c r="G238">
        <v>3.12</v>
      </c>
    </row>
    <row r="239" spans="1:7" x14ac:dyDescent="0.3">
      <c r="A239" t="s">
        <v>734</v>
      </c>
      <c r="B239">
        <v>17185</v>
      </c>
      <c r="C239" t="s">
        <v>2262</v>
      </c>
      <c r="D239" t="s">
        <v>463</v>
      </c>
      <c r="E239">
        <v>10</v>
      </c>
      <c r="F239">
        <v>159.5</v>
      </c>
      <c r="G239">
        <v>15.95</v>
      </c>
    </row>
    <row r="240" spans="1:7" x14ac:dyDescent="0.3">
      <c r="A240" t="s">
        <v>734</v>
      </c>
      <c r="B240">
        <v>28367</v>
      </c>
      <c r="C240" t="s">
        <v>2273</v>
      </c>
      <c r="D240" t="s">
        <v>463</v>
      </c>
      <c r="E240">
        <v>5</v>
      </c>
      <c r="F240">
        <v>140</v>
      </c>
      <c r="G240">
        <v>28</v>
      </c>
    </row>
    <row r="241" spans="1:7" x14ac:dyDescent="0.3">
      <c r="A241" t="s">
        <v>734</v>
      </c>
      <c r="B241">
        <v>24331</v>
      </c>
      <c r="C241" t="s">
        <v>2349</v>
      </c>
      <c r="D241" t="s">
        <v>463</v>
      </c>
      <c r="E241">
        <v>50</v>
      </c>
      <c r="F241">
        <v>1087.5</v>
      </c>
      <c r="G241">
        <v>21.75</v>
      </c>
    </row>
    <row r="242" spans="1:7" x14ac:dyDescent="0.3">
      <c r="A242" t="s">
        <v>734</v>
      </c>
      <c r="B242">
        <v>24339</v>
      </c>
      <c r="C242" t="s">
        <v>2348</v>
      </c>
      <c r="D242" t="s">
        <v>463</v>
      </c>
      <c r="E242">
        <v>50</v>
      </c>
      <c r="F242">
        <v>1225</v>
      </c>
      <c r="G242">
        <v>24.5</v>
      </c>
    </row>
    <row r="243" spans="1:7" x14ac:dyDescent="0.3">
      <c r="A243" t="s">
        <v>734</v>
      </c>
      <c r="B243">
        <v>20501</v>
      </c>
      <c r="C243" t="s">
        <v>2204</v>
      </c>
      <c r="D243" t="s">
        <v>463</v>
      </c>
      <c r="E243">
        <v>30</v>
      </c>
      <c r="F243">
        <v>592.5</v>
      </c>
      <c r="G243">
        <v>19.75</v>
      </c>
    </row>
    <row r="244" spans="1:7" x14ac:dyDescent="0.3">
      <c r="A244" t="s">
        <v>734</v>
      </c>
      <c r="B244">
        <v>23980</v>
      </c>
      <c r="C244" t="s">
        <v>2507</v>
      </c>
      <c r="D244" t="s">
        <v>463</v>
      </c>
      <c r="E244">
        <v>40.4</v>
      </c>
      <c r="F244">
        <v>1575.6</v>
      </c>
      <c r="G244">
        <v>39</v>
      </c>
    </row>
    <row r="245" spans="1:7" x14ac:dyDescent="0.3">
      <c r="A245" t="s">
        <v>734</v>
      </c>
      <c r="B245">
        <v>26614</v>
      </c>
      <c r="C245" t="s">
        <v>2163</v>
      </c>
      <c r="D245" t="s">
        <v>463</v>
      </c>
      <c r="E245">
        <v>7</v>
      </c>
      <c r="F245">
        <v>659.05</v>
      </c>
      <c r="G245">
        <v>94.15</v>
      </c>
    </row>
    <row r="246" spans="1:7" x14ac:dyDescent="0.3">
      <c r="A246" t="s">
        <v>734</v>
      </c>
      <c r="B246">
        <v>19478</v>
      </c>
      <c r="C246" t="s">
        <v>2502</v>
      </c>
      <c r="D246" t="s">
        <v>463</v>
      </c>
      <c r="E246">
        <v>4</v>
      </c>
      <c r="F246">
        <v>240</v>
      </c>
      <c r="G246">
        <v>60</v>
      </c>
    </row>
    <row r="247" spans="1:7" x14ac:dyDescent="0.3">
      <c r="A247" t="s">
        <v>734</v>
      </c>
      <c r="B247">
        <v>26794</v>
      </c>
      <c r="C247" t="s">
        <v>2272</v>
      </c>
      <c r="D247" t="s">
        <v>463</v>
      </c>
      <c r="E247">
        <v>20</v>
      </c>
      <c r="F247">
        <v>60</v>
      </c>
      <c r="G247">
        <v>3</v>
      </c>
    </row>
    <row r="248" spans="1:7" x14ac:dyDescent="0.3">
      <c r="A248" t="s">
        <v>734</v>
      </c>
      <c r="B248">
        <v>17019</v>
      </c>
      <c r="C248" t="s">
        <v>2183</v>
      </c>
      <c r="D248" t="s">
        <v>463</v>
      </c>
      <c r="E248">
        <v>10</v>
      </c>
      <c r="F248">
        <v>30</v>
      </c>
      <c r="G248">
        <v>3</v>
      </c>
    </row>
    <row r="249" spans="1:7" x14ac:dyDescent="0.3">
      <c r="A249" t="s">
        <v>734</v>
      </c>
      <c r="B249">
        <v>17504</v>
      </c>
      <c r="C249" t="s">
        <v>2274</v>
      </c>
      <c r="D249" t="s">
        <v>463</v>
      </c>
      <c r="E249">
        <v>10</v>
      </c>
      <c r="F249">
        <v>270</v>
      </c>
      <c r="G249">
        <v>27</v>
      </c>
    </row>
    <row r="250" spans="1:7" x14ac:dyDescent="0.3">
      <c r="A250" t="s">
        <v>734</v>
      </c>
      <c r="B250">
        <v>17488</v>
      </c>
      <c r="C250" t="s">
        <v>2184</v>
      </c>
      <c r="D250" t="s">
        <v>463</v>
      </c>
      <c r="E250">
        <v>30</v>
      </c>
      <c r="F250">
        <v>810</v>
      </c>
      <c r="G250">
        <v>27</v>
      </c>
    </row>
    <row r="251" spans="1:7" x14ac:dyDescent="0.3">
      <c r="A251" t="s">
        <v>734</v>
      </c>
      <c r="B251">
        <v>17496</v>
      </c>
      <c r="C251" t="s">
        <v>2180</v>
      </c>
      <c r="D251" t="s">
        <v>463</v>
      </c>
      <c r="E251">
        <v>5</v>
      </c>
      <c r="F251">
        <v>135</v>
      </c>
      <c r="G251">
        <v>27</v>
      </c>
    </row>
    <row r="252" spans="1:7" x14ac:dyDescent="0.3">
      <c r="A252" t="s">
        <v>734</v>
      </c>
      <c r="B252">
        <v>20145</v>
      </c>
      <c r="C252" t="s">
        <v>2220</v>
      </c>
      <c r="D252" t="s">
        <v>463</v>
      </c>
      <c r="E252">
        <v>20</v>
      </c>
      <c r="F252">
        <v>79.599999999999994</v>
      </c>
      <c r="G252">
        <v>3.98</v>
      </c>
    </row>
    <row r="253" spans="1:7" x14ac:dyDescent="0.3">
      <c r="A253" t="s">
        <v>734</v>
      </c>
      <c r="B253">
        <v>25017</v>
      </c>
      <c r="C253" t="s">
        <v>2206</v>
      </c>
      <c r="D253" t="s">
        <v>463</v>
      </c>
      <c r="E253">
        <v>10</v>
      </c>
      <c r="F253">
        <v>88</v>
      </c>
      <c r="G253">
        <v>8.8000000000000007</v>
      </c>
    </row>
    <row r="254" spans="1:7" x14ac:dyDescent="0.3">
      <c r="A254" t="s">
        <v>734</v>
      </c>
      <c r="B254">
        <v>20007</v>
      </c>
      <c r="C254" t="s">
        <v>2520</v>
      </c>
      <c r="D254" t="s">
        <v>463</v>
      </c>
      <c r="E254">
        <v>10</v>
      </c>
      <c r="F254">
        <v>496</v>
      </c>
      <c r="G254">
        <v>49.6</v>
      </c>
    </row>
    <row r="255" spans="1:7" x14ac:dyDescent="0.3">
      <c r="A255" t="s">
        <v>734</v>
      </c>
      <c r="B255">
        <v>23228</v>
      </c>
      <c r="C255" t="s">
        <v>2302</v>
      </c>
      <c r="D255" t="s">
        <v>463</v>
      </c>
      <c r="E255">
        <v>65</v>
      </c>
      <c r="F255">
        <v>421.85</v>
      </c>
      <c r="G255">
        <v>6.49</v>
      </c>
    </row>
    <row r="256" spans="1:7" x14ac:dyDescent="0.3">
      <c r="A256" t="s">
        <v>734</v>
      </c>
      <c r="B256">
        <v>23227</v>
      </c>
      <c r="C256" t="s">
        <v>2305</v>
      </c>
      <c r="D256" t="s">
        <v>463</v>
      </c>
      <c r="E256">
        <v>20</v>
      </c>
      <c r="F256">
        <v>145</v>
      </c>
      <c r="G256">
        <v>7.25</v>
      </c>
    </row>
    <row r="257" spans="1:7" x14ac:dyDescent="0.3">
      <c r="A257" t="s">
        <v>734</v>
      </c>
      <c r="B257">
        <v>23346</v>
      </c>
      <c r="C257" t="s">
        <v>2128</v>
      </c>
      <c r="D257" t="s">
        <v>463</v>
      </c>
      <c r="E257">
        <v>15</v>
      </c>
      <c r="F257">
        <v>121.1</v>
      </c>
      <c r="G257">
        <v>8.07</v>
      </c>
    </row>
    <row r="258" spans="1:7" x14ac:dyDescent="0.3">
      <c r="A258" t="s">
        <v>734</v>
      </c>
      <c r="B258">
        <v>30002</v>
      </c>
      <c r="C258" t="s">
        <v>2109</v>
      </c>
      <c r="D258" t="s">
        <v>463</v>
      </c>
      <c r="E258">
        <v>2</v>
      </c>
      <c r="F258">
        <v>159.80000000000001</v>
      </c>
      <c r="G258">
        <v>79.900000000000006</v>
      </c>
    </row>
    <row r="259" spans="1:7" x14ac:dyDescent="0.3">
      <c r="A259" t="s">
        <v>734</v>
      </c>
      <c r="B259">
        <v>26631</v>
      </c>
      <c r="C259" t="s">
        <v>2372</v>
      </c>
      <c r="D259" t="s">
        <v>463</v>
      </c>
      <c r="E259">
        <v>2</v>
      </c>
      <c r="F259">
        <v>138</v>
      </c>
      <c r="G259">
        <v>69</v>
      </c>
    </row>
    <row r="260" spans="1:7" x14ac:dyDescent="0.3">
      <c r="A260" t="s">
        <v>734</v>
      </c>
      <c r="B260">
        <v>19476</v>
      </c>
      <c r="C260" t="s">
        <v>2213</v>
      </c>
      <c r="D260" t="s">
        <v>463</v>
      </c>
      <c r="E260">
        <v>4</v>
      </c>
      <c r="F260">
        <v>240</v>
      </c>
      <c r="G260">
        <v>60</v>
      </c>
    </row>
    <row r="261" spans="1:7" x14ac:dyDescent="0.3">
      <c r="A261" t="s">
        <v>734</v>
      </c>
      <c r="B261">
        <v>23120</v>
      </c>
      <c r="C261" t="s">
        <v>2537</v>
      </c>
      <c r="D261" t="s">
        <v>463</v>
      </c>
      <c r="E261">
        <v>1</v>
      </c>
      <c r="F261">
        <v>60</v>
      </c>
      <c r="G261">
        <v>60</v>
      </c>
    </row>
    <row r="262" spans="1:7" x14ac:dyDescent="0.3">
      <c r="A262" t="s">
        <v>734</v>
      </c>
      <c r="B262">
        <v>28524</v>
      </c>
      <c r="C262" t="s">
        <v>2200</v>
      </c>
      <c r="D262" t="s">
        <v>463</v>
      </c>
      <c r="E262">
        <v>0.5</v>
      </c>
      <c r="F262">
        <v>45</v>
      </c>
      <c r="G262">
        <v>90</v>
      </c>
    </row>
    <row r="263" spans="1:7" x14ac:dyDescent="0.3">
      <c r="A263" t="s">
        <v>734</v>
      </c>
      <c r="B263">
        <v>19401</v>
      </c>
      <c r="C263" t="s">
        <v>2395</v>
      </c>
      <c r="D263" t="s">
        <v>463</v>
      </c>
      <c r="E263">
        <v>10</v>
      </c>
      <c r="F263">
        <v>1769</v>
      </c>
      <c r="G263">
        <v>176.9</v>
      </c>
    </row>
    <row r="264" spans="1:7" x14ac:dyDescent="0.3">
      <c r="A264" t="s">
        <v>734</v>
      </c>
      <c r="B264">
        <v>28671</v>
      </c>
      <c r="C264" t="s">
        <v>2586</v>
      </c>
      <c r="D264" t="s">
        <v>463</v>
      </c>
      <c r="E264">
        <v>2</v>
      </c>
      <c r="F264">
        <v>25.8</v>
      </c>
      <c r="G264">
        <v>12.9</v>
      </c>
    </row>
    <row r="265" spans="1:7" x14ac:dyDescent="0.3">
      <c r="A265" t="s">
        <v>734</v>
      </c>
      <c r="B265">
        <v>19415</v>
      </c>
      <c r="C265" t="s">
        <v>2350</v>
      </c>
      <c r="D265" t="s">
        <v>463</v>
      </c>
      <c r="E265">
        <v>30</v>
      </c>
      <c r="F265">
        <v>250.8</v>
      </c>
      <c r="G265">
        <v>8.36</v>
      </c>
    </row>
    <row r="266" spans="1:7" x14ac:dyDescent="0.3">
      <c r="A266" t="s">
        <v>734</v>
      </c>
      <c r="B266">
        <v>17475</v>
      </c>
      <c r="C266" t="s">
        <v>2251</v>
      </c>
      <c r="D266" t="s">
        <v>463</v>
      </c>
      <c r="E266">
        <v>1</v>
      </c>
      <c r="F266">
        <v>104</v>
      </c>
      <c r="G266">
        <v>104</v>
      </c>
    </row>
    <row r="267" spans="1:7" x14ac:dyDescent="0.3">
      <c r="A267" t="s">
        <v>734</v>
      </c>
      <c r="B267">
        <v>17449</v>
      </c>
      <c r="C267" t="s">
        <v>2261</v>
      </c>
      <c r="D267" t="s">
        <v>463</v>
      </c>
      <c r="E267">
        <v>1</v>
      </c>
      <c r="F267">
        <v>8.9</v>
      </c>
      <c r="G267">
        <v>8.9</v>
      </c>
    </row>
    <row r="268" spans="1:7" x14ac:dyDescent="0.3">
      <c r="A268" t="s">
        <v>734</v>
      </c>
      <c r="B268">
        <v>24351</v>
      </c>
      <c r="C268" t="s">
        <v>2453</v>
      </c>
      <c r="D268" t="s">
        <v>463</v>
      </c>
      <c r="E268">
        <v>60</v>
      </c>
      <c r="F268">
        <v>1950</v>
      </c>
      <c r="G268">
        <v>32.5</v>
      </c>
    </row>
    <row r="269" spans="1:7" x14ac:dyDescent="0.3">
      <c r="A269" t="s">
        <v>734</v>
      </c>
      <c r="B269">
        <v>20832</v>
      </c>
      <c r="C269" t="s">
        <v>2291</v>
      </c>
      <c r="D269" t="s">
        <v>463</v>
      </c>
      <c r="E269">
        <v>10</v>
      </c>
      <c r="F269">
        <v>340</v>
      </c>
      <c r="G269">
        <v>34</v>
      </c>
    </row>
    <row r="270" spans="1:7" x14ac:dyDescent="0.3">
      <c r="A270" t="s">
        <v>734</v>
      </c>
      <c r="B270">
        <v>19738</v>
      </c>
      <c r="C270" t="s">
        <v>2600</v>
      </c>
      <c r="D270" t="s">
        <v>463</v>
      </c>
      <c r="E270">
        <v>20</v>
      </c>
      <c r="F270">
        <v>56</v>
      </c>
      <c r="G270">
        <v>2.8</v>
      </c>
    </row>
    <row r="271" spans="1:7" x14ac:dyDescent="0.3">
      <c r="A271" t="s">
        <v>734</v>
      </c>
      <c r="B271">
        <v>25822</v>
      </c>
      <c r="C271" t="s">
        <v>2449</v>
      </c>
      <c r="D271" t="s">
        <v>463</v>
      </c>
      <c r="E271">
        <v>12</v>
      </c>
      <c r="F271">
        <v>44.28</v>
      </c>
      <c r="G271">
        <v>3.69</v>
      </c>
    </row>
    <row r="272" spans="1:7" x14ac:dyDescent="0.3">
      <c r="A272" t="s">
        <v>734</v>
      </c>
      <c r="B272">
        <v>20644</v>
      </c>
      <c r="C272" t="s">
        <v>2367</v>
      </c>
      <c r="D272" t="s">
        <v>463</v>
      </c>
      <c r="E272">
        <v>30</v>
      </c>
      <c r="F272">
        <v>107.4</v>
      </c>
      <c r="G272">
        <v>3.58</v>
      </c>
    </row>
    <row r="273" spans="1:7" x14ac:dyDescent="0.3">
      <c r="A273" t="s">
        <v>734</v>
      </c>
      <c r="B273">
        <v>28755</v>
      </c>
      <c r="C273" t="s">
        <v>2230</v>
      </c>
      <c r="D273" t="s">
        <v>463</v>
      </c>
      <c r="E273">
        <v>72.8</v>
      </c>
      <c r="F273">
        <v>2759.12</v>
      </c>
      <c r="G273">
        <v>37.9</v>
      </c>
    </row>
    <row r="274" spans="1:7" x14ac:dyDescent="0.3">
      <c r="A274" t="s">
        <v>734</v>
      </c>
      <c r="B274">
        <v>22827</v>
      </c>
      <c r="C274" t="s">
        <v>2457</v>
      </c>
      <c r="D274" t="s">
        <v>463</v>
      </c>
      <c r="E274">
        <v>26.3</v>
      </c>
      <c r="F274">
        <v>418.17</v>
      </c>
      <c r="G274">
        <v>15.9</v>
      </c>
    </row>
    <row r="275" spans="1:7" x14ac:dyDescent="0.3">
      <c r="A275" t="s">
        <v>734</v>
      </c>
      <c r="B275">
        <v>19979</v>
      </c>
      <c r="C275" t="s">
        <v>2397</v>
      </c>
      <c r="D275" t="s">
        <v>463</v>
      </c>
      <c r="E275">
        <v>120</v>
      </c>
      <c r="F275">
        <v>2574</v>
      </c>
      <c r="G275">
        <v>21.45</v>
      </c>
    </row>
    <row r="276" spans="1:7" x14ac:dyDescent="0.3">
      <c r="A276" t="s">
        <v>734</v>
      </c>
      <c r="B276">
        <v>19982</v>
      </c>
      <c r="C276" t="s">
        <v>2424</v>
      </c>
      <c r="D276" t="s">
        <v>463</v>
      </c>
      <c r="E276">
        <v>10</v>
      </c>
      <c r="F276">
        <v>72.900000000000006</v>
      </c>
      <c r="G276">
        <v>7.29</v>
      </c>
    </row>
    <row r="277" spans="1:7" x14ac:dyDescent="0.3">
      <c r="A277" t="s">
        <v>734</v>
      </c>
      <c r="B277">
        <v>19973</v>
      </c>
      <c r="C277" t="s">
        <v>2522</v>
      </c>
      <c r="D277" t="s">
        <v>463</v>
      </c>
      <c r="E277">
        <v>25</v>
      </c>
      <c r="F277">
        <v>371</v>
      </c>
      <c r="G277">
        <v>14.84</v>
      </c>
    </row>
    <row r="278" spans="1:7" x14ac:dyDescent="0.3">
      <c r="A278" t="s">
        <v>734</v>
      </c>
      <c r="B278">
        <v>29885</v>
      </c>
      <c r="C278" t="s">
        <v>2189</v>
      </c>
      <c r="D278" t="s">
        <v>463</v>
      </c>
      <c r="E278">
        <v>4</v>
      </c>
      <c r="F278">
        <v>1091.92</v>
      </c>
      <c r="G278">
        <v>272.98</v>
      </c>
    </row>
    <row r="279" spans="1:7" x14ac:dyDescent="0.3">
      <c r="A279" t="s">
        <v>734</v>
      </c>
      <c r="B279">
        <v>24385</v>
      </c>
      <c r="C279" t="s">
        <v>2603</v>
      </c>
      <c r="D279" t="s">
        <v>463</v>
      </c>
      <c r="E279">
        <v>3</v>
      </c>
      <c r="F279">
        <v>45.66</v>
      </c>
      <c r="G279">
        <v>15.22</v>
      </c>
    </row>
    <row r="280" spans="1:7" x14ac:dyDescent="0.3">
      <c r="A280" t="s">
        <v>734</v>
      </c>
      <c r="B280">
        <v>19967</v>
      </c>
      <c r="C280" t="s">
        <v>2371</v>
      </c>
      <c r="D280" t="s">
        <v>463</v>
      </c>
      <c r="E280">
        <v>9</v>
      </c>
      <c r="F280">
        <v>449.28</v>
      </c>
      <c r="G280">
        <v>49.92</v>
      </c>
    </row>
    <row r="281" spans="1:7" x14ac:dyDescent="0.3">
      <c r="A281" t="s">
        <v>734</v>
      </c>
      <c r="B281">
        <v>19961</v>
      </c>
      <c r="C281" t="s">
        <v>2293</v>
      </c>
      <c r="D281" t="s">
        <v>463</v>
      </c>
      <c r="E281">
        <v>70</v>
      </c>
      <c r="F281">
        <v>783</v>
      </c>
      <c r="G281">
        <v>11.19</v>
      </c>
    </row>
    <row r="282" spans="1:7" x14ac:dyDescent="0.3">
      <c r="A282" t="s">
        <v>734</v>
      </c>
      <c r="B282">
        <v>19955</v>
      </c>
      <c r="C282" t="s">
        <v>2418</v>
      </c>
      <c r="D282" t="s">
        <v>463</v>
      </c>
      <c r="E282">
        <v>10</v>
      </c>
      <c r="F282">
        <v>588.79999999999995</v>
      </c>
      <c r="G282">
        <v>58.88</v>
      </c>
    </row>
    <row r="283" spans="1:7" x14ac:dyDescent="0.3">
      <c r="A283" t="s">
        <v>734</v>
      </c>
      <c r="B283">
        <v>24389</v>
      </c>
      <c r="C283" t="s">
        <v>2232</v>
      </c>
      <c r="D283" t="s">
        <v>463</v>
      </c>
      <c r="E283">
        <v>49.35</v>
      </c>
      <c r="F283">
        <v>1579.2</v>
      </c>
      <c r="G283">
        <v>32</v>
      </c>
    </row>
    <row r="284" spans="1:7" x14ac:dyDescent="0.3">
      <c r="A284" t="s">
        <v>734</v>
      </c>
      <c r="B284">
        <v>21007</v>
      </c>
      <c r="C284" t="s">
        <v>2390</v>
      </c>
      <c r="D284" t="s">
        <v>463</v>
      </c>
      <c r="E284">
        <v>40</v>
      </c>
      <c r="F284">
        <v>472</v>
      </c>
      <c r="G284">
        <v>11.8</v>
      </c>
    </row>
    <row r="285" spans="1:7" x14ac:dyDescent="0.3">
      <c r="A285" t="s">
        <v>734</v>
      </c>
      <c r="B285">
        <v>21624</v>
      </c>
      <c r="C285" t="s">
        <v>2271</v>
      </c>
      <c r="D285" t="s">
        <v>463</v>
      </c>
      <c r="E285">
        <v>3</v>
      </c>
      <c r="F285">
        <v>63</v>
      </c>
      <c r="G285">
        <v>21</v>
      </c>
    </row>
    <row r="286" spans="1:7" x14ac:dyDescent="0.3">
      <c r="A286" t="s">
        <v>734</v>
      </c>
      <c r="B286">
        <v>20984</v>
      </c>
      <c r="C286" t="s">
        <v>2531</v>
      </c>
      <c r="D286" t="s">
        <v>463</v>
      </c>
      <c r="E286">
        <v>102</v>
      </c>
      <c r="F286">
        <v>831.3</v>
      </c>
      <c r="G286">
        <v>8.15</v>
      </c>
    </row>
    <row r="287" spans="1:7" x14ac:dyDescent="0.3">
      <c r="A287" t="s">
        <v>734</v>
      </c>
      <c r="B287">
        <v>23503</v>
      </c>
      <c r="C287" t="s">
        <v>2388</v>
      </c>
      <c r="D287" t="s">
        <v>463</v>
      </c>
      <c r="E287">
        <v>1</v>
      </c>
      <c r="F287">
        <v>22.9</v>
      </c>
      <c r="G287">
        <v>22.9</v>
      </c>
    </row>
    <row r="288" spans="1:7" x14ac:dyDescent="0.3">
      <c r="A288" t="s">
        <v>734</v>
      </c>
      <c r="B288">
        <v>22822</v>
      </c>
      <c r="C288" t="s">
        <v>2616</v>
      </c>
      <c r="D288" t="s">
        <v>463</v>
      </c>
      <c r="E288">
        <v>40</v>
      </c>
      <c r="F288">
        <v>276</v>
      </c>
      <c r="G288">
        <v>6.9</v>
      </c>
    </row>
    <row r="289" spans="1:7" x14ac:dyDescent="0.3">
      <c r="A289" t="s">
        <v>734</v>
      </c>
      <c r="B289">
        <v>23095</v>
      </c>
      <c r="C289" t="s">
        <v>2504</v>
      </c>
      <c r="D289" t="s">
        <v>463</v>
      </c>
      <c r="E289">
        <v>200</v>
      </c>
      <c r="F289">
        <v>188</v>
      </c>
      <c r="G289">
        <v>0.94</v>
      </c>
    </row>
    <row r="290" spans="1:7" x14ac:dyDescent="0.3">
      <c r="A290" t="s">
        <v>734</v>
      </c>
      <c r="B290">
        <v>28191</v>
      </c>
      <c r="C290" t="s">
        <v>2160</v>
      </c>
      <c r="D290" t="s">
        <v>463</v>
      </c>
      <c r="E290">
        <v>10</v>
      </c>
      <c r="F290">
        <v>64.5</v>
      </c>
      <c r="G290">
        <v>6.45</v>
      </c>
    </row>
    <row r="291" spans="1:7" x14ac:dyDescent="0.3">
      <c r="A291" t="s">
        <v>734</v>
      </c>
      <c r="B291">
        <v>21703</v>
      </c>
      <c r="C291" t="s">
        <v>2282</v>
      </c>
      <c r="D291" t="s">
        <v>463</v>
      </c>
      <c r="E291">
        <v>2</v>
      </c>
      <c r="F291">
        <v>25.18</v>
      </c>
      <c r="G291">
        <v>12.59</v>
      </c>
    </row>
    <row r="292" spans="1:7" x14ac:dyDescent="0.3">
      <c r="A292" t="s">
        <v>734</v>
      </c>
      <c r="B292">
        <v>25066</v>
      </c>
      <c r="C292" t="s">
        <v>2277</v>
      </c>
      <c r="D292" t="s">
        <v>463</v>
      </c>
      <c r="E292">
        <v>2</v>
      </c>
      <c r="F292">
        <v>16.48</v>
      </c>
      <c r="G292">
        <v>8.24</v>
      </c>
    </row>
    <row r="293" spans="1:7" x14ac:dyDescent="0.3">
      <c r="A293" t="s">
        <v>734</v>
      </c>
      <c r="B293">
        <v>26932</v>
      </c>
      <c r="C293" t="s">
        <v>2155</v>
      </c>
      <c r="D293" t="s">
        <v>463</v>
      </c>
      <c r="E293">
        <v>30</v>
      </c>
      <c r="F293">
        <v>1003.8</v>
      </c>
      <c r="G293">
        <v>33.46</v>
      </c>
    </row>
    <row r="294" spans="1:7" x14ac:dyDescent="0.3">
      <c r="A294" t="s">
        <v>734</v>
      </c>
      <c r="B294">
        <v>17162</v>
      </c>
      <c r="C294" t="s">
        <v>2276</v>
      </c>
      <c r="D294" t="s">
        <v>463</v>
      </c>
      <c r="E294">
        <v>10</v>
      </c>
      <c r="F294">
        <v>540</v>
      </c>
      <c r="G294">
        <v>54</v>
      </c>
    </row>
    <row r="295" spans="1:7" x14ac:dyDescent="0.3">
      <c r="A295" t="s">
        <v>734</v>
      </c>
      <c r="B295">
        <v>27168</v>
      </c>
      <c r="C295" t="s">
        <v>2306</v>
      </c>
      <c r="D295" t="s">
        <v>463</v>
      </c>
      <c r="E295">
        <v>200</v>
      </c>
      <c r="F295">
        <v>694</v>
      </c>
      <c r="G295">
        <v>3.47</v>
      </c>
    </row>
    <row r="296" spans="1:7" x14ac:dyDescent="0.3">
      <c r="A296" t="s">
        <v>734</v>
      </c>
      <c r="B296">
        <v>17046</v>
      </c>
      <c r="C296" t="s">
        <v>2278</v>
      </c>
      <c r="D296" t="s">
        <v>463</v>
      </c>
      <c r="E296">
        <v>15</v>
      </c>
      <c r="F296">
        <v>517.5</v>
      </c>
      <c r="G296">
        <v>34.5</v>
      </c>
    </row>
    <row r="297" spans="1:7" x14ac:dyDescent="0.3">
      <c r="A297" t="s">
        <v>734</v>
      </c>
      <c r="B297">
        <v>28298</v>
      </c>
      <c r="C297" t="s">
        <v>2280</v>
      </c>
      <c r="D297" t="s">
        <v>463</v>
      </c>
      <c r="E297">
        <v>5</v>
      </c>
      <c r="F297">
        <v>640</v>
      </c>
      <c r="G297">
        <v>128</v>
      </c>
    </row>
    <row r="298" spans="1:7" x14ac:dyDescent="0.3">
      <c r="A298" t="s">
        <v>734</v>
      </c>
      <c r="B298">
        <v>17341</v>
      </c>
      <c r="C298" t="s">
        <v>2264</v>
      </c>
      <c r="D298" t="s">
        <v>463</v>
      </c>
      <c r="E298">
        <v>20</v>
      </c>
      <c r="F298">
        <v>1496</v>
      </c>
      <c r="G298">
        <v>74.8</v>
      </c>
    </row>
    <row r="299" spans="1:7" x14ac:dyDescent="0.3">
      <c r="A299" t="s">
        <v>734</v>
      </c>
      <c r="B299">
        <v>29723</v>
      </c>
      <c r="C299" t="s">
        <v>2176</v>
      </c>
      <c r="D299" t="s">
        <v>463</v>
      </c>
      <c r="E299">
        <v>10</v>
      </c>
      <c r="F299">
        <v>1750</v>
      </c>
      <c r="G299">
        <v>175</v>
      </c>
    </row>
    <row r="300" spans="1:7" x14ac:dyDescent="0.3">
      <c r="A300" t="s">
        <v>734</v>
      </c>
      <c r="B300">
        <v>28703</v>
      </c>
      <c r="C300" t="s">
        <v>2587</v>
      </c>
      <c r="D300" t="s">
        <v>463</v>
      </c>
      <c r="E300">
        <v>2</v>
      </c>
      <c r="F300">
        <v>56</v>
      </c>
      <c r="G300">
        <v>28</v>
      </c>
    </row>
    <row r="301" spans="1:7" x14ac:dyDescent="0.3">
      <c r="A301" t="s">
        <v>734</v>
      </c>
      <c r="B301">
        <v>28297</v>
      </c>
      <c r="C301" t="s">
        <v>2267</v>
      </c>
      <c r="D301" t="s">
        <v>463</v>
      </c>
      <c r="E301">
        <v>10</v>
      </c>
      <c r="F301">
        <v>1126.4000000000001</v>
      </c>
      <c r="G301">
        <v>112.64</v>
      </c>
    </row>
    <row r="302" spans="1:7" x14ac:dyDescent="0.3">
      <c r="A302" t="s">
        <v>734</v>
      </c>
      <c r="B302">
        <v>28879</v>
      </c>
      <c r="C302" t="s">
        <v>2182</v>
      </c>
      <c r="D302" t="s">
        <v>463</v>
      </c>
      <c r="E302">
        <v>10</v>
      </c>
      <c r="F302">
        <v>485.8</v>
      </c>
      <c r="G302">
        <v>48.58</v>
      </c>
    </row>
    <row r="303" spans="1:7" x14ac:dyDescent="0.3">
      <c r="A303" t="s">
        <v>734</v>
      </c>
      <c r="B303">
        <v>23502</v>
      </c>
      <c r="C303" t="s">
        <v>2613</v>
      </c>
      <c r="D303" t="s">
        <v>463</v>
      </c>
      <c r="E303">
        <v>6</v>
      </c>
      <c r="F303">
        <v>37.200000000000003</v>
      </c>
      <c r="G303">
        <v>6.2</v>
      </c>
    </row>
    <row r="304" spans="1:7" x14ac:dyDescent="0.3">
      <c r="A304" t="s">
        <v>734</v>
      </c>
      <c r="B304">
        <v>24400</v>
      </c>
      <c r="C304" t="s">
        <v>2611</v>
      </c>
      <c r="D304" t="s">
        <v>463</v>
      </c>
      <c r="E304">
        <v>3</v>
      </c>
      <c r="F304">
        <v>18.600000000000001</v>
      </c>
      <c r="G304">
        <v>6.2</v>
      </c>
    </row>
    <row r="305" spans="1:7" x14ac:dyDescent="0.3">
      <c r="A305" t="s">
        <v>734</v>
      </c>
      <c r="B305">
        <v>27878</v>
      </c>
      <c r="C305" t="s">
        <v>2572</v>
      </c>
      <c r="D305" t="s">
        <v>463</v>
      </c>
      <c r="E305">
        <v>4</v>
      </c>
      <c r="F305">
        <v>63.6</v>
      </c>
      <c r="G305">
        <v>15.9</v>
      </c>
    </row>
    <row r="306" spans="1:7" x14ac:dyDescent="0.3">
      <c r="A306" t="s">
        <v>734</v>
      </c>
      <c r="B306">
        <v>20437</v>
      </c>
      <c r="C306" t="s">
        <v>2626</v>
      </c>
      <c r="D306" t="s">
        <v>463</v>
      </c>
      <c r="E306">
        <v>16</v>
      </c>
      <c r="F306">
        <v>1520</v>
      </c>
      <c r="G306">
        <v>95</v>
      </c>
    </row>
    <row r="307" spans="1:7" x14ac:dyDescent="0.3">
      <c r="A307" t="s">
        <v>734</v>
      </c>
      <c r="B307">
        <v>18832</v>
      </c>
      <c r="C307" t="s">
        <v>2456</v>
      </c>
      <c r="D307" t="s">
        <v>463</v>
      </c>
      <c r="E307">
        <v>52.7</v>
      </c>
      <c r="F307">
        <v>2102.73</v>
      </c>
      <c r="G307">
        <v>39.9</v>
      </c>
    </row>
    <row r="308" spans="1:7" x14ac:dyDescent="0.3">
      <c r="A308" t="s">
        <v>734</v>
      </c>
      <c r="B308">
        <v>18972</v>
      </c>
      <c r="C308" t="s">
        <v>2121</v>
      </c>
      <c r="D308" t="s">
        <v>463</v>
      </c>
      <c r="E308">
        <v>30</v>
      </c>
      <c r="F308">
        <v>222</v>
      </c>
      <c r="G308">
        <v>7.4</v>
      </c>
    </row>
    <row r="309" spans="1:7" x14ac:dyDescent="0.3">
      <c r="A309" t="s">
        <v>734</v>
      </c>
      <c r="B309">
        <v>24403</v>
      </c>
      <c r="C309" t="s">
        <v>2102</v>
      </c>
      <c r="D309" t="s">
        <v>463</v>
      </c>
      <c r="E309">
        <v>30</v>
      </c>
      <c r="F309">
        <v>360</v>
      </c>
      <c r="G309">
        <v>12</v>
      </c>
    </row>
    <row r="310" spans="1:7" x14ac:dyDescent="0.3">
      <c r="A310" t="s">
        <v>734</v>
      </c>
      <c r="B310">
        <v>28613</v>
      </c>
      <c r="C310" t="s">
        <v>2158</v>
      </c>
      <c r="D310" t="s">
        <v>463</v>
      </c>
      <c r="E310">
        <v>2</v>
      </c>
      <c r="F310">
        <v>39.94</v>
      </c>
      <c r="G310">
        <v>19.97</v>
      </c>
    </row>
    <row r="311" spans="1:7" x14ac:dyDescent="0.3">
      <c r="A311" t="s">
        <v>734</v>
      </c>
      <c r="B311">
        <v>29824</v>
      </c>
      <c r="C311" t="s">
        <v>2173</v>
      </c>
      <c r="D311" t="s">
        <v>463</v>
      </c>
      <c r="E311">
        <v>6</v>
      </c>
      <c r="F311">
        <v>27</v>
      </c>
      <c r="G311">
        <v>4.5</v>
      </c>
    </row>
    <row r="312" spans="1:7" x14ac:dyDescent="0.3">
      <c r="A312" t="s">
        <v>734</v>
      </c>
      <c r="B312">
        <v>27928</v>
      </c>
      <c r="C312" t="s">
        <v>2164</v>
      </c>
      <c r="D312" t="s">
        <v>463</v>
      </c>
      <c r="E312">
        <v>2</v>
      </c>
      <c r="F312">
        <v>179.76</v>
      </c>
      <c r="G312">
        <v>89.88</v>
      </c>
    </row>
    <row r="313" spans="1:7" x14ac:dyDescent="0.3">
      <c r="A313" t="s">
        <v>734</v>
      </c>
      <c r="B313">
        <v>19589</v>
      </c>
      <c r="C313" t="s">
        <v>2541</v>
      </c>
      <c r="D313" t="s">
        <v>463</v>
      </c>
      <c r="E313">
        <v>5</v>
      </c>
      <c r="F313">
        <v>40</v>
      </c>
      <c r="G313">
        <v>8</v>
      </c>
    </row>
    <row r="314" spans="1:7" x14ac:dyDescent="0.3">
      <c r="A314" t="s">
        <v>734</v>
      </c>
      <c r="B314">
        <v>25197</v>
      </c>
      <c r="C314" t="s">
        <v>2523</v>
      </c>
      <c r="D314" t="s">
        <v>463</v>
      </c>
      <c r="E314">
        <v>20</v>
      </c>
      <c r="F314">
        <v>500</v>
      </c>
      <c r="G314">
        <v>25</v>
      </c>
    </row>
    <row r="315" spans="1:7" x14ac:dyDescent="0.3">
      <c r="A315" t="s">
        <v>734</v>
      </c>
      <c r="B315">
        <v>18822</v>
      </c>
      <c r="C315" t="s">
        <v>2229</v>
      </c>
      <c r="D315" t="s">
        <v>463</v>
      </c>
      <c r="E315">
        <v>46.95</v>
      </c>
      <c r="F315">
        <v>4929.2299999999996</v>
      </c>
      <c r="G315">
        <v>104.99</v>
      </c>
    </row>
    <row r="316" spans="1:7" x14ac:dyDescent="0.3">
      <c r="A316" t="s">
        <v>734</v>
      </c>
      <c r="B316">
        <v>24927</v>
      </c>
      <c r="C316" t="s">
        <v>2577</v>
      </c>
      <c r="D316" t="s">
        <v>463</v>
      </c>
      <c r="E316">
        <v>10</v>
      </c>
      <c r="F316">
        <v>189</v>
      </c>
      <c r="G316">
        <v>18.899999999999999</v>
      </c>
    </row>
    <row r="317" spans="1:7" x14ac:dyDescent="0.3">
      <c r="A317" t="s">
        <v>734</v>
      </c>
      <c r="B317">
        <v>24928</v>
      </c>
      <c r="C317" t="s">
        <v>2584</v>
      </c>
      <c r="D317" t="s">
        <v>463</v>
      </c>
      <c r="E317">
        <v>10</v>
      </c>
      <c r="F317">
        <v>159</v>
      </c>
      <c r="G317">
        <v>15.9</v>
      </c>
    </row>
    <row r="318" spans="1:7" x14ac:dyDescent="0.3">
      <c r="A318" t="s">
        <v>734</v>
      </c>
      <c r="B318">
        <v>19583</v>
      </c>
      <c r="C318" t="s">
        <v>2211</v>
      </c>
      <c r="D318" t="s">
        <v>463</v>
      </c>
      <c r="E318">
        <v>4</v>
      </c>
      <c r="F318">
        <v>281.58</v>
      </c>
      <c r="G318">
        <v>70.400000000000006</v>
      </c>
    </row>
    <row r="319" spans="1:7" x14ac:dyDescent="0.3">
      <c r="A319" t="s">
        <v>734</v>
      </c>
      <c r="B319">
        <v>29782</v>
      </c>
      <c r="C319" t="s">
        <v>2356</v>
      </c>
      <c r="D319" t="s">
        <v>463</v>
      </c>
      <c r="E319">
        <v>2</v>
      </c>
      <c r="F319">
        <v>153.80000000000001</v>
      </c>
      <c r="G319">
        <v>76.900000000000006</v>
      </c>
    </row>
    <row r="320" spans="1:7" x14ac:dyDescent="0.3">
      <c r="A320" t="s">
        <v>734</v>
      </c>
      <c r="B320">
        <v>19574</v>
      </c>
      <c r="C320" t="s">
        <v>2112</v>
      </c>
      <c r="D320" t="s">
        <v>463</v>
      </c>
      <c r="E320">
        <v>1.6</v>
      </c>
      <c r="F320">
        <v>70.66</v>
      </c>
      <c r="G320">
        <v>44.16</v>
      </c>
    </row>
    <row r="321" spans="1:7" x14ac:dyDescent="0.3">
      <c r="A321" t="s">
        <v>734</v>
      </c>
      <c r="B321">
        <v>19575</v>
      </c>
      <c r="C321" t="s">
        <v>2540</v>
      </c>
      <c r="D321" t="s">
        <v>463</v>
      </c>
      <c r="E321">
        <v>5</v>
      </c>
      <c r="F321">
        <v>160</v>
      </c>
      <c r="G321">
        <v>32</v>
      </c>
    </row>
    <row r="322" spans="1:7" x14ac:dyDescent="0.3">
      <c r="A322" t="s">
        <v>734</v>
      </c>
      <c r="B322">
        <v>19572</v>
      </c>
      <c r="C322" t="s">
        <v>2303</v>
      </c>
      <c r="D322" t="s">
        <v>463</v>
      </c>
      <c r="E322">
        <v>3</v>
      </c>
      <c r="F322">
        <v>51.82</v>
      </c>
      <c r="G322">
        <v>17.27</v>
      </c>
    </row>
    <row r="323" spans="1:7" x14ac:dyDescent="0.3">
      <c r="A323" t="s">
        <v>734</v>
      </c>
      <c r="B323">
        <v>28086</v>
      </c>
      <c r="C323" t="s">
        <v>2207</v>
      </c>
      <c r="D323" t="s">
        <v>463</v>
      </c>
      <c r="E323">
        <v>1</v>
      </c>
      <c r="F323">
        <v>64.900000000000006</v>
      </c>
      <c r="G323">
        <v>64.900000000000006</v>
      </c>
    </row>
    <row r="324" spans="1:7" x14ac:dyDescent="0.3">
      <c r="A324" t="s">
        <v>734</v>
      </c>
      <c r="B324">
        <v>19570</v>
      </c>
      <c r="C324" t="s">
        <v>2193</v>
      </c>
      <c r="D324" t="s">
        <v>463</v>
      </c>
      <c r="E324">
        <v>11</v>
      </c>
      <c r="F324">
        <v>332</v>
      </c>
      <c r="G324">
        <v>30.18</v>
      </c>
    </row>
    <row r="325" spans="1:7" x14ac:dyDescent="0.3">
      <c r="A325" t="s">
        <v>734</v>
      </c>
      <c r="B325">
        <v>19565</v>
      </c>
      <c r="C325" t="s">
        <v>2113</v>
      </c>
      <c r="D325" t="s">
        <v>463</v>
      </c>
      <c r="E325">
        <v>2</v>
      </c>
      <c r="F325">
        <v>96.6</v>
      </c>
      <c r="G325">
        <v>48.3</v>
      </c>
    </row>
    <row r="326" spans="1:7" x14ac:dyDescent="0.3">
      <c r="A326" t="s">
        <v>734</v>
      </c>
      <c r="B326">
        <v>19892</v>
      </c>
      <c r="C326" t="s">
        <v>2099</v>
      </c>
      <c r="D326" t="s">
        <v>463</v>
      </c>
      <c r="E326">
        <v>5</v>
      </c>
      <c r="F326">
        <v>690</v>
      </c>
      <c r="G326">
        <v>138</v>
      </c>
    </row>
    <row r="327" spans="1:7" x14ac:dyDescent="0.3">
      <c r="A327" t="s">
        <v>734</v>
      </c>
      <c r="B327">
        <v>19562</v>
      </c>
      <c r="C327" t="s">
        <v>2298</v>
      </c>
      <c r="D327" t="s">
        <v>463</v>
      </c>
      <c r="E327">
        <v>16</v>
      </c>
      <c r="F327">
        <v>251.4</v>
      </c>
      <c r="G327">
        <v>15.71</v>
      </c>
    </row>
    <row r="328" spans="1:7" x14ac:dyDescent="0.3">
      <c r="A328" t="s">
        <v>734</v>
      </c>
      <c r="B328">
        <v>19561</v>
      </c>
      <c r="C328" t="s">
        <v>2301</v>
      </c>
      <c r="D328" t="s">
        <v>463</v>
      </c>
      <c r="E328">
        <v>10</v>
      </c>
      <c r="F328">
        <v>117</v>
      </c>
      <c r="G328">
        <v>11.7</v>
      </c>
    </row>
    <row r="329" spans="1:7" x14ac:dyDescent="0.3">
      <c r="A329" t="s">
        <v>734</v>
      </c>
      <c r="B329">
        <v>23198</v>
      </c>
      <c r="C329" t="s">
        <v>2304</v>
      </c>
      <c r="D329" t="s">
        <v>463</v>
      </c>
      <c r="E329">
        <v>20.5</v>
      </c>
      <c r="F329">
        <v>316.63</v>
      </c>
      <c r="G329">
        <v>15.45</v>
      </c>
    </row>
    <row r="330" spans="1:7" x14ac:dyDescent="0.3">
      <c r="A330" t="s">
        <v>734</v>
      </c>
      <c r="B330">
        <v>27044</v>
      </c>
      <c r="C330" t="s">
        <v>2571</v>
      </c>
      <c r="D330" t="s">
        <v>463</v>
      </c>
      <c r="E330">
        <v>14</v>
      </c>
      <c r="F330">
        <v>350</v>
      </c>
      <c r="G330">
        <v>25</v>
      </c>
    </row>
    <row r="331" spans="1:7" x14ac:dyDescent="0.3">
      <c r="A331" t="s">
        <v>734</v>
      </c>
      <c r="B331">
        <v>27167</v>
      </c>
      <c r="C331" t="s">
        <v>2250</v>
      </c>
      <c r="D331" t="s">
        <v>463</v>
      </c>
      <c r="E331">
        <v>20</v>
      </c>
      <c r="F331">
        <v>216.6</v>
      </c>
      <c r="G331">
        <v>10.83</v>
      </c>
    </row>
    <row r="332" spans="1:7" x14ac:dyDescent="0.3">
      <c r="A332" t="s">
        <v>734</v>
      </c>
      <c r="B332">
        <v>29255</v>
      </c>
      <c r="C332" t="s">
        <v>2122</v>
      </c>
      <c r="D332" t="s">
        <v>463</v>
      </c>
      <c r="E332">
        <v>16</v>
      </c>
      <c r="F332">
        <v>689.44</v>
      </c>
      <c r="G332">
        <v>43.09</v>
      </c>
    </row>
    <row r="333" spans="1:7" x14ac:dyDescent="0.3">
      <c r="A333" t="s">
        <v>734</v>
      </c>
      <c r="B333">
        <v>23732</v>
      </c>
      <c r="C333" t="s">
        <v>2519</v>
      </c>
      <c r="D333" t="s">
        <v>463</v>
      </c>
      <c r="E333">
        <v>17</v>
      </c>
      <c r="F333">
        <v>387.92</v>
      </c>
      <c r="G333">
        <v>22.82</v>
      </c>
    </row>
    <row r="334" spans="1:7" x14ac:dyDescent="0.3">
      <c r="A334" t="s">
        <v>734</v>
      </c>
      <c r="B334">
        <v>20452</v>
      </c>
      <c r="C334" t="s">
        <v>2387</v>
      </c>
      <c r="D334" t="s">
        <v>463</v>
      </c>
      <c r="E334">
        <v>63</v>
      </c>
      <c r="F334">
        <v>875.7</v>
      </c>
      <c r="G334">
        <v>13.9</v>
      </c>
    </row>
    <row r="335" spans="1:7" x14ac:dyDescent="0.3">
      <c r="A335" t="s">
        <v>734</v>
      </c>
      <c r="B335">
        <v>19347</v>
      </c>
      <c r="C335" t="s">
        <v>2393</v>
      </c>
      <c r="D335" t="s">
        <v>463</v>
      </c>
      <c r="E335">
        <v>3</v>
      </c>
      <c r="F335">
        <v>184.65</v>
      </c>
      <c r="G335">
        <v>61.55</v>
      </c>
    </row>
    <row r="336" spans="1:7" x14ac:dyDescent="0.3">
      <c r="A336" t="s">
        <v>734</v>
      </c>
      <c r="B336">
        <v>26443</v>
      </c>
      <c r="C336" t="s">
        <v>2219</v>
      </c>
      <c r="D336" t="s">
        <v>463</v>
      </c>
      <c r="E336">
        <v>23.36</v>
      </c>
      <c r="F336">
        <v>987.89</v>
      </c>
      <c r="G336">
        <v>42.29</v>
      </c>
    </row>
    <row r="337" spans="1:7" x14ac:dyDescent="0.3">
      <c r="A337" t="s">
        <v>734</v>
      </c>
      <c r="B337">
        <v>19306</v>
      </c>
      <c r="C337" t="s">
        <v>2202</v>
      </c>
      <c r="D337" t="s">
        <v>463</v>
      </c>
      <c r="E337">
        <v>30</v>
      </c>
      <c r="F337">
        <v>531</v>
      </c>
      <c r="G337">
        <v>17.7</v>
      </c>
    </row>
    <row r="338" spans="1:7" x14ac:dyDescent="0.3">
      <c r="A338" t="s">
        <v>734</v>
      </c>
      <c r="B338">
        <v>19287</v>
      </c>
      <c r="C338" t="s">
        <v>2385</v>
      </c>
      <c r="D338" t="s">
        <v>463</v>
      </c>
      <c r="E338">
        <v>41.64</v>
      </c>
      <c r="F338">
        <v>1779.69</v>
      </c>
      <c r="G338">
        <v>42.74</v>
      </c>
    </row>
    <row r="339" spans="1:7" x14ac:dyDescent="0.3">
      <c r="A339" t="s">
        <v>734</v>
      </c>
      <c r="B339">
        <v>20209</v>
      </c>
      <c r="C339" t="s">
        <v>2452</v>
      </c>
      <c r="D339" t="s">
        <v>463</v>
      </c>
      <c r="E339">
        <v>5</v>
      </c>
      <c r="F339">
        <v>194.5</v>
      </c>
      <c r="G339">
        <v>38.9</v>
      </c>
    </row>
    <row r="340" spans="1:7" x14ac:dyDescent="0.3">
      <c r="A340" t="s">
        <v>734</v>
      </c>
      <c r="B340">
        <v>23195</v>
      </c>
      <c r="C340" t="s">
        <v>2198</v>
      </c>
      <c r="D340" t="s">
        <v>463</v>
      </c>
      <c r="E340">
        <v>3</v>
      </c>
      <c r="F340">
        <v>36</v>
      </c>
      <c r="G340">
        <v>12</v>
      </c>
    </row>
    <row r="341" spans="1:7" x14ac:dyDescent="0.3">
      <c r="A341" t="s">
        <v>734</v>
      </c>
      <c r="B341">
        <v>22813</v>
      </c>
      <c r="C341" t="s">
        <v>2116</v>
      </c>
      <c r="D341" t="s">
        <v>463</v>
      </c>
      <c r="E341">
        <v>51.2</v>
      </c>
      <c r="F341">
        <v>2037.76</v>
      </c>
      <c r="G341">
        <v>39.799999999999997</v>
      </c>
    </row>
    <row r="342" spans="1:7" x14ac:dyDescent="0.3">
      <c r="A342" t="s">
        <v>734</v>
      </c>
      <c r="B342">
        <v>18666</v>
      </c>
      <c r="C342" t="s">
        <v>2103</v>
      </c>
      <c r="D342" t="s">
        <v>463</v>
      </c>
      <c r="E342">
        <v>30</v>
      </c>
      <c r="F342">
        <v>719.7</v>
      </c>
      <c r="G342">
        <v>23.99</v>
      </c>
    </row>
    <row r="343" spans="1:7" x14ac:dyDescent="0.3">
      <c r="A343" t="s">
        <v>734</v>
      </c>
      <c r="B343">
        <v>24718</v>
      </c>
      <c r="C343" t="s">
        <v>2149</v>
      </c>
      <c r="D343" t="s">
        <v>463</v>
      </c>
      <c r="E343">
        <v>2</v>
      </c>
      <c r="F343">
        <v>12.24</v>
      </c>
      <c r="G343">
        <v>6.12</v>
      </c>
    </row>
    <row r="344" spans="1:7" x14ac:dyDescent="0.3">
      <c r="A344" t="s">
        <v>734</v>
      </c>
      <c r="B344">
        <v>23934</v>
      </c>
      <c r="C344" t="s">
        <v>2525</v>
      </c>
      <c r="D344" t="s">
        <v>463</v>
      </c>
      <c r="E344">
        <v>40</v>
      </c>
      <c r="F344">
        <v>436</v>
      </c>
      <c r="G344">
        <v>10.9</v>
      </c>
    </row>
    <row r="345" spans="1:7" x14ac:dyDescent="0.3">
      <c r="A345" t="s">
        <v>734</v>
      </c>
      <c r="B345">
        <v>28694</v>
      </c>
      <c r="C345" t="s">
        <v>2573</v>
      </c>
      <c r="D345" t="s">
        <v>463</v>
      </c>
      <c r="E345">
        <v>3</v>
      </c>
      <c r="F345">
        <v>26.7</v>
      </c>
      <c r="G345">
        <v>8.9</v>
      </c>
    </row>
    <row r="346" spans="1:7" x14ac:dyDescent="0.3">
      <c r="A346" t="s">
        <v>734</v>
      </c>
      <c r="B346">
        <v>19721</v>
      </c>
      <c r="C346" t="s">
        <v>2598</v>
      </c>
      <c r="D346" t="s">
        <v>463</v>
      </c>
      <c r="E346">
        <v>5</v>
      </c>
      <c r="F346">
        <v>190</v>
      </c>
      <c r="G346">
        <v>38</v>
      </c>
    </row>
    <row r="347" spans="1:7" x14ac:dyDescent="0.3">
      <c r="A347" t="s">
        <v>734</v>
      </c>
      <c r="B347">
        <v>19472</v>
      </c>
      <c r="C347" t="s">
        <v>2362</v>
      </c>
      <c r="D347" t="s">
        <v>463</v>
      </c>
      <c r="E347">
        <v>10</v>
      </c>
      <c r="F347">
        <v>110</v>
      </c>
      <c r="G347">
        <v>11</v>
      </c>
    </row>
    <row r="348" spans="1:7" x14ac:dyDescent="0.3">
      <c r="A348" t="s">
        <v>734</v>
      </c>
      <c r="B348">
        <v>18272</v>
      </c>
      <c r="C348" t="s">
        <v>2492</v>
      </c>
      <c r="D348" t="s">
        <v>463</v>
      </c>
      <c r="E348">
        <v>12</v>
      </c>
      <c r="F348">
        <v>384</v>
      </c>
      <c r="G348">
        <v>32</v>
      </c>
    </row>
    <row r="349" spans="1:7" x14ac:dyDescent="0.3">
      <c r="A349" t="s">
        <v>734</v>
      </c>
      <c r="B349">
        <v>18268</v>
      </c>
      <c r="C349" t="s">
        <v>2136</v>
      </c>
      <c r="D349" t="s">
        <v>463</v>
      </c>
      <c r="E349">
        <v>4</v>
      </c>
      <c r="F349">
        <v>284</v>
      </c>
      <c r="G349">
        <v>71</v>
      </c>
    </row>
    <row r="350" spans="1:7" x14ac:dyDescent="0.3">
      <c r="A350" t="s">
        <v>734</v>
      </c>
      <c r="B350">
        <v>18254</v>
      </c>
      <c r="C350" t="s">
        <v>2405</v>
      </c>
      <c r="D350" t="s">
        <v>463</v>
      </c>
      <c r="E350">
        <v>4</v>
      </c>
      <c r="F350">
        <v>548</v>
      </c>
      <c r="G350">
        <v>137</v>
      </c>
    </row>
    <row r="351" spans="1:7" x14ac:dyDescent="0.3">
      <c r="A351" t="s">
        <v>734</v>
      </c>
      <c r="B351">
        <v>18261</v>
      </c>
      <c r="C351" t="s">
        <v>2480</v>
      </c>
      <c r="D351" t="s">
        <v>463</v>
      </c>
      <c r="E351">
        <v>2</v>
      </c>
      <c r="F351">
        <v>926.4</v>
      </c>
      <c r="G351">
        <v>463.2</v>
      </c>
    </row>
    <row r="352" spans="1:7" x14ac:dyDescent="0.3">
      <c r="A352" t="s">
        <v>734</v>
      </c>
      <c r="B352">
        <v>25651</v>
      </c>
      <c r="C352" t="s">
        <v>2327</v>
      </c>
      <c r="D352" t="s">
        <v>463</v>
      </c>
      <c r="E352">
        <v>12</v>
      </c>
      <c r="F352">
        <v>603</v>
      </c>
      <c r="G352">
        <v>50.25</v>
      </c>
    </row>
    <row r="353" spans="1:7" x14ac:dyDescent="0.3">
      <c r="A353" t="s">
        <v>734</v>
      </c>
      <c r="B353">
        <v>25708</v>
      </c>
      <c r="C353" t="s">
        <v>2336</v>
      </c>
      <c r="D353" t="s">
        <v>463</v>
      </c>
      <c r="E353">
        <v>12</v>
      </c>
      <c r="F353">
        <v>603</v>
      </c>
      <c r="G353">
        <v>50.25</v>
      </c>
    </row>
    <row r="354" spans="1:7" x14ac:dyDescent="0.3">
      <c r="A354" t="s">
        <v>734</v>
      </c>
      <c r="B354">
        <v>17322</v>
      </c>
      <c r="C354" t="s">
        <v>2281</v>
      </c>
      <c r="D354" t="s">
        <v>463</v>
      </c>
      <c r="E354">
        <v>10</v>
      </c>
      <c r="F354">
        <v>150.5</v>
      </c>
      <c r="G354">
        <v>15.05</v>
      </c>
    </row>
    <row r="355" spans="1:7" x14ac:dyDescent="0.3">
      <c r="A355" t="s">
        <v>734</v>
      </c>
      <c r="B355">
        <v>25425</v>
      </c>
      <c r="C355" t="s">
        <v>2252</v>
      </c>
      <c r="D355" t="s">
        <v>463</v>
      </c>
      <c r="E355">
        <v>6</v>
      </c>
      <c r="F355">
        <v>251.4</v>
      </c>
      <c r="G355">
        <v>41.9</v>
      </c>
    </row>
    <row r="356" spans="1:7" x14ac:dyDescent="0.3">
      <c r="A356" t="s">
        <v>734</v>
      </c>
      <c r="B356">
        <v>17437</v>
      </c>
      <c r="C356" t="s">
        <v>2263</v>
      </c>
      <c r="D356" t="s">
        <v>463</v>
      </c>
      <c r="E356">
        <v>100</v>
      </c>
      <c r="F356">
        <v>230</v>
      </c>
      <c r="G356">
        <v>2.2999999999999998</v>
      </c>
    </row>
    <row r="357" spans="1:7" x14ac:dyDescent="0.3">
      <c r="A357" t="s">
        <v>734</v>
      </c>
      <c r="B357">
        <v>17409</v>
      </c>
      <c r="C357" t="s">
        <v>2245</v>
      </c>
      <c r="D357" t="s">
        <v>463</v>
      </c>
      <c r="E357">
        <v>2</v>
      </c>
      <c r="F357">
        <v>90</v>
      </c>
      <c r="G357">
        <v>45</v>
      </c>
    </row>
    <row r="358" spans="1:7" x14ac:dyDescent="0.3">
      <c r="A358" t="s">
        <v>734</v>
      </c>
      <c r="B358">
        <v>17384</v>
      </c>
      <c r="C358" t="s">
        <v>2104</v>
      </c>
      <c r="D358" t="s">
        <v>463</v>
      </c>
      <c r="E358">
        <v>8</v>
      </c>
      <c r="F358">
        <v>1303.2</v>
      </c>
      <c r="G358">
        <v>162.9</v>
      </c>
    </row>
    <row r="359" spans="1:7" x14ac:dyDescent="0.3">
      <c r="A359" t="s">
        <v>734</v>
      </c>
      <c r="B359">
        <v>21432</v>
      </c>
      <c r="C359" t="s">
        <v>2142</v>
      </c>
      <c r="D359" t="s">
        <v>463</v>
      </c>
      <c r="E359">
        <v>5</v>
      </c>
      <c r="F359">
        <v>814.5</v>
      </c>
      <c r="G359">
        <v>162.9</v>
      </c>
    </row>
    <row r="360" spans="1:7" x14ac:dyDescent="0.3">
      <c r="A360" t="s">
        <v>734</v>
      </c>
      <c r="B360">
        <v>21433</v>
      </c>
      <c r="C360" t="s">
        <v>2106</v>
      </c>
      <c r="D360" t="s">
        <v>463</v>
      </c>
      <c r="E360">
        <v>10</v>
      </c>
      <c r="F360">
        <v>1629</v>
      </c>
      <c r="G360">
        <v>162.9</v>
      </c>
    </row>
    <row r="361" spans="1:7" x14ac:dyDescent="0.3">
      <c r="A361" t="s">
        <v>734</v>
      </c>
      <c r="B361">
        <v>24586</v>
      </c>
      <c r="C361" t="s">
        <v>2119</v>
      </c>
      <c r="D361" t="s">
        <v>463</v>
      </c>
      <c r="E361">
        <v>4</v>
      </c>
      <c r="F361">
        <v>651.6</v>
      </c>
      <c r="G361">
        <v>162.9</v>
      </c>
    </row>
    <row r="362" spans="1:7" x14ac:dyDescent="0.3">
      <c r="A362" t="s">
        <v>734</v>
      </c>
      <c r="B362">
        <v>17401</v>
      </c>
      <c r="C362" t="s">
        <v>2145</v>
      </c>
      <c r="D362" t="s">
        <v>463</v>
      </c>
      <c r="E362">
        <v>5</v>
      </c>
      <c r="F362">
        <v>814.5</v>
      </c>
      <c r="G362">
        <v>162.9</v>
      </c>
    </row>
    <row r="363" spans="1:7" x14ac:dyDescent="0.3">
      <c r="A363" t="s">
        <v>734</v>
      </c>
      <c r="B363">
        <v>21423</v>
      </c>
      <c r="C363" t="s">
        <v>2140</v>
      </c>
      <c r="D363" t="s">
        <v>463</v>
      </c>
      <c r="E363">
        <v>20</v>
      </c>
      <c r="F363">
        <v>662</v>
      </c>
      <c r="G363">
        <v>33.1</v>
      </c>
    </row>
    <row r="364" spans="1:7" x14ac:dyDescent="0.3">
      <c r="A364" t="s">
        <v>734</v>
      </c>
      <c r="B364">
        <v>17373</v>
      </c>
      <c r="C364" t="s">
        <v>2144</v>
      </c>
      <c r="D364" t="s">
        <v>463</v>
      </c>
      <c r="E364">
        <v>10</v>
      </c>
      <c r="F364">
        <v>208</v>
      </c>
      <c r="G364">
        <v>20.8</v>
      </c>
    </row>
    <row r="365" spans="1:7" x14ac:dyDescent="0.3">
      <c r="A365" t="s">
        <v>734</v>
      </c>
      <c r="B365">
        <v>24787</v>
      </c>
      <c r="C365" t="s">
        <v>2256</v>
      </c>
      <c r="D365" t="s">
        <v>463</v>
      </c>
      <c r="E365">
        <v>15</v>
      </c>
      <c r="F365">
        <v>1233.1500000000001</v>
      </c>
      <c r="G365">
        <v>82.21</v>
      </c>
    </row>
    <row r="366" spans="1:7" x14ac:dyDescent="0.3">
      <c r="A366" t="s">
        <v>734</v>
      </c>
      <c r="B366">
        <v>17405</v>
      </c>
      <c r="C366" t="s">
        <v>2181</v>
      </c>
      <c r="D366" t="s">
        <v>463</v>
      </c>
      <c r="E366">
        <v>4</v>
      </c>
      <c r="F366">
        <v>56</v>
      </c>
      <c r="G366">
        <v>14</v>
      </c>
    </row>
    <row r="367" spans="1:7" x14ac:dyDescent="0.3">
      <c r="A367" t="s">
        <v>734</v>
      </c>
      <c r="B367">
        <v>17404</v>
      </c>
      <c r="C367" t="s">
        <v>2187</v>
      </c>
      <c r="D367" t="s">
        <v>463</v>
      </c>
      <c r="E367">
        <v>13</v>
      </c>
      <c r="F367">
        <v>351</v>
      </c>
      <c r="G367">
        <v>27</v>
      </c>
    </row>
    <row r="368" spans="1:7" x14ac:dyDescent="0.3">
      <c r="A368" t="s">
        <v>734</v>
      </c>
      <c r="B368">
        <v>17383</v>
      </c>
      <c r="C368" t="s">
        <v>2186</v>
      </c>
      <c r="D368" t="s">
        <v>463</v>
      </c>
      <c r="E368">
        <v>1</v>
      </c>
      <c r="F368">
        <v>55</v>
      </c>
      <c r="G368">
        <v>55</v>
      </c>
    </row>
    <row r="369" spans="1:7" x14ac:dyDescent="0.3">
      <c r="A369" t="s">
        <v>734</v>
      </c>
      <c r="B369">
        <v>17391</v>
      </c>
      <c r="C369" t="s">
        <v>2258</v>
      </c>
      <c r="D369" t="s">
        <v>463</v>
      </c>
      <c r="E369">
        <v>2</v>
      </c>
      <c r="F369">
        <v>117.1</v>
      </c>
      <c r="G369">
        <v>58.55</v>
      </c>
    </row>
    <row r="370" spans="1:7" x14ac:dyDescent="0.3">
      <c r="A370" t="s">
        <v>734</v>
      </c>
      <c r="B370">
        <v>23490</v>
      </c>
      <c r="C370" t="s">
        <v>2288</v>
      </c>
      <c r="D370" t="s">
        <v>463</v>
      </c>
      <c r="E370">
        <v>10</v>
      </c>
      <c r="F370">
        <v>29.9</v>
      </c>
      <c r="G370">
        <v>2.99</v>
      </c>
    </row>
    <row r="371" spans="1:7" x14ac:dyDescent="0.3">
      <c r="A371" t="s">
        <v>734</v>
      </c>
      <c r="B371">
        <v>19911</v>
      </c>
      <c r="C371" t="s">
        <v>2287</v>
      </c>
      <c r="D371" t="s">
        <v>463</v>
      </c>
      <c r="E371">
        <v>30</v>
      </c>
      <c r="F371">
        <v>89.7</v>
      </c>
      <c r="G371">
        <v>2.99</v>
      </c>
    </row>
    <row r="372" spans="1:7" x14ac:dyDescent="0.3">
      <c r="A372" t="s">
        <v>734</v>
      </c>
      <c r="B372">
        <v>19902</v>
      </c>
      <c r="C372" t="s">
        <v>2394</v>
      </c>
      <c r="D372" t="s">
        <v>463</v>
      </c>
      <c r="E372">
        <v>4</v>
      </c>
      <c r="F372">
        <v>99.6</v>
      </c>
      <c r="G372">
        <v>24.9</v>
      </c>
    </row>
    <row r="373" spans="1:7" x14ac:dyDescent="0.3">
      <c r="A373" t="s">
        <v>734</v>
      </c>
      <c r="B373">
        <v>23113</v>
      </c>
      <c r="C373" t="s">
        <v>2192</v>
      </c>
      <c r="D373" t="s">
        <v>463</v>
      </c>
      <c r="E373">
        <v>13</v>
      </c>
      <c r="F373">
        <v>91</v>
      </c>
      <c r="G373">
        <v>7</v>
      </c>
    </row>
    <row r="374" spans="1:7" x14ac:dyDescent="0.3">
      <c r="A374" t="s">
        <v>734</v>
      </c>
      <c r="B374">
        <v>19465</v>
      </c>
      <c r="C374" t="s">
        <v>2503</v>
      </c>
      <c r="D374" t="s">
        <v>463</v>
      </c>
      <c r="E374">
        <v>30</v>
      </c>
      <c r="F374">
        <v>231</v>
      </c>
      <c r="G374">
        <v>7.7</v>
      </c>
    </row>
    <row r="375" spans="1:7" x14ac:dyDescent="0.3">
      <c r="A375" t="s">
        <v>734</v>
      </c>
      <c r="B375">
        <v>17061</v>
      </c>
      <c r="C375" t="s">
        <v>2299</v>
      </c>
      <c r="D375" t="s">
        <v>463</v>
      </c>
      <c r="E375">
        <v>0.5</v>
      </c>
      <c r="F375">
        <v>45.5</v>
      </c>
      <c r="G375">
        <v>91</v>
      </c>
    </row>
    <row r="376" spans="1:7" x14ac:dyDescent="0.3">
      <c r="A376" t="s">
        <v>734</v>
      </c>
      <c r="B376">
        <v>17116</v>
      </c>
      <c r="C376" t="s">
        <v>2243</v>
      </c>
      <c r="D376" t="s">
        <v>463</v>
      </c>
      <c r="E376">
        <v>5</v>
      </c>
      <c r="F376">
        <v>132.59</v>
      </c>
      <c r="G376">
        <v>26.52</v>
      </c>
    </row>
    <row r="377" spans="1:7" x14ac:dyDescent="0.3">
      <c r="A377" t="s">
        <v>734</v>
      </c>
      <c r="B377">
        <v>18253</v>
      </c>
      <c r="C377" t="s">
        <v>2406</v>
      </c>
      <c r="D377" t="s">
        <v>463</v>
      </c>
      <c r="E377">
        <v>60</v>
      </c>
      <c r="F377">
        <v>1656</v>
      </c>
      <c r="G377">
        <v>27.6</v>
      </c>
    </row>
    <row r="378" spans="1:7" x14ac:dyDescent="0.3">
      <c r="A378" t="s">
        <v>734</v>
      </c>
      <c r="B378">
        <v>18989</v>
      </c>
      <c r="C378" t="s">
        <v>2484</v>
      </c>
      <c r="D378" t="s">
        <v>463</v>
      </c>
      <c r="E378">
        <v>60</v>
      </c>
      <c r="F378">
        <v>825</v>
      </c>
      <c r="G378">
        <v>13.75</v>
      </c>
    </row>
    <row r="379" spans="1:7" x14ac:dyDescent="0.3">
      <c r="A379" t="s">
        <v>734</v>
      </c>
      <c r="B379">
        <v>28194</v>
      </c>
      <c r="C379" t="s">
        <v>2162</v>
      </c>
      <c r="D379" t="s">
        <v>463</v>
      </c>
      <c r="E379">
        <v>2</v>
      </c>
      <c r="F379">
        <v>59.36</v>
      </c>
      <c r="G379">
        <v>29.68</v>
      </c>
    </row>
    <row r="380" spans="1:7" x14ac:dyDescent="0.3">
      <c r="A380" t="s">
        <v>734</v>
      </c>
      <c r="B380">
        <v>25233</v>
      </c>
      <c r="C380" t="s">
        <v>2236</v>
      </c>
      <c r="D380" t="s">
        <v>463</v>
      </c>
      <c r="E380">
        <v>10</v>
      </c>
      <c r="F380">
        <v>994.6</v>
      </c>
      <c r="G380">
        <v>99.46</v>
      </c>
    </row>
    <row r="381" spans="1:7" x14ac:dyDescent="0.3">
      <c r="A381" t="s">
        <v>734</v>
      </c>
      <c r="B381">
        <v>18589</v>
      </c>
      <c r="C381" t="s">
        <v>2433</v>
      </c>
      <c r="D381" t="s">
        <v>463</v>
      </c>
      <c r="E381">
        <v>10</v>
      </c>
      <c r="F381">
        <v>662.8</v>
      </c>
      <c r="G381">
        <v>66.28</v>
      </c>
    </row>
    <row r="382" spans="1:7" x14ac:dyDescent="0.3">
      <c r="A382" t="s">
        <v>734</v>
      </c>
      <c r="B382">
        <v>18586</v>
      </c>
      <c r="C382" t="s">
        <v>2435</v>
      </c>
      <c r="D382" t="s">
        <v>463</v>
      </c>
      <c r="E382">
        <v>10</v>
      </c>
      <c r="F382">
        <v>1055.0999999999999</v>
      </c>
      <c r="G382">
        <v>105.51</v>
      </c>
    </row>
    <row r="383" spans="1:7" x14ac:dyDescent="0.3">
      <c r="A383" t="s">
        <v>734</v>
      </c>
      <c r="B383">
        <v>20785</v>
      </c>
      <c r="C383" t="s">
        <v>2386</v>
      </c>
      <c r="D383" t="s">
        <v>463</v>
      </c>
      <c r="E383">
        <v>24</v>
      </c>
      <c r="F383">
        <v>95.76</v>
      </c>
      <c r="G383">
        <v>3.99</v>
      </c>
    </row>
    <row r="384" spans="1:7" x14ac:dyDescent="0.3">
      <c r="A384" t="s">
        <v>734</v>
      </c>
      <c r="B384">
        <v>17878</v>
      </c>
      <c r="C384" t="s">
        <v>2515</v>
      </c>
      <c r="D384" t="s">
        <v>463</v>
      </c>
      <c r="E384">
        <v>24</v>
      </c>
      <c r="F384">
        <v>669.6</v>
      </c>
      <c r="G384">
        <v>27.9</v>
      </c>
    </row>
    <row r="385" spans="1:7" x14ac:dyDescent="0.3">
      <c r="A385" t="s">
        <v>734</v>
      </c>
      <c r="B385">
        <v>29231</v>
      </c>
      <c r="C385" t="s">
        <v>2580</v>
      </c>
      <c r="D385" t="s">
        <v>463</v>
      </c>
      <c r="E385">
        <v>2</v>
      </c>
      <c r="F385">
        <v>118</v>
      </c>
      <c r="G385">
        <v>59</v>
      </c>
    </row>
    <row r="386" spans="1:7" x14ac:dyDescent="0.3">
      <c r="A386" t="s">
        <v>734</v>
      </c>
      <c r="B386">
        <v>29229</v>
      </c>
      <c r="C386" t="s">
        <v>2588</v>
      </c>
      <c r="D386" t="s">
        <v>463</v>
      </c>
      <c r="E386">
        <v>1</v>
      </c>
      <c r="F386">
        <v>28</v>
      </c>
      <c r="G386">
        <v>28</v>
      </c>
    </row>
    <row r="387" spans="1:7" x14ac:dyDescent="0.3">
      <c r="A387" t="s">
        <v>734</v>
      </c>
      <c r="B387">
        <v>30022</v>
      </c>
      <c r="C387" t="s">
        <v>2315</v>
      </c>
      <c r="D387" t="s">
        <v>463</v>
      </c>
      <c r="E387">
        <v>1</v>
      </c>
      <c r="F387">
        <v>191.65</v>
      </c>
      <c r="G387">
        <v>191.65</v>
      </c>
    </row>
    <row r="388" spans="1:7" x14ac:dyDescent="0.3">
      <c r="A388" t="s">
        <v>734</v>
      </c>
      <c r="B388">
        <v>25175</v>
      </c>
      <c r="C388" t="s">
        <v>2312</v>
      </c>
      <c r="D388" t="s">
        <v>463</v>
      </c>
      <c r="E388">
        <v>50</v>
      </c>
      <c r="F388">
        <v>489</v>
      </c>
      <c r="G388">
        <v>9.7799999999999994</v>
      </c>
    </row>
    <row r="389" spans="1:7" x14ac:dyDescent="0.3">
      <c r="A389" t="s">
        <v>734</v>
      </c>
      <c r="B389">
        <v>27464</v>
      </c>
      <c r="C389" t="s">
        <v>2157</v>
      </c>
      <c r="D389" t="s">
        <v>463</v>
      </c>
      <c r="E389">
        <v>6</v>
      </c>
      <c r="F389">
        <v>339.48</v>
      </c>
      <c r="G389">
        <v>56.58</v>
      </c>
    </row>
    <row r="390" spans="1:7" x14ac:dyDescent="0.3">
      <c r="A390" t="s">
        <v>734</v>
      </c>
      <c r="B390">
        <v>30019</v>
      </c>
      <c r="C390" t="s">
        <v>2316</v>
      </c>
      <c r="D390" t="s">
        <v>463</v>
      </c>
      <c r="E390">
        <v>1</v>
      </c>
      <c r="F390">
        <v>2730</v>
      </c>
      <c r="G390">
        <v>2730</v>
      </c>
    </row>
    <row r="391" spans="1:7" x14ac:dyDescent="0.3">
      <c r="A391" t="s">
        <v>734</v>
      </c>
      <c r="B391">
        <v>17125</v>
      </c>
      <c r="C391" t="s">
        <v>2260</v>
      </c>
      <c r="D391" t="s">
        <v>463</v>
      </c>
      <c r="E391">
        <v>19</v>
      </c>
      <c r="F391">
        <v>80.08</v>
      </c>
      <c r="G391">
        <v>4.21</v>
      </c>
    </row>
    <row r="392" spans="1:7" x14ac:dyDescent="0.3">
      <c r="A392" t="s">
        <v>734</v>
      </c>
      <c r="B392">
        <v>25769</v>
      </c>
      <c r="C392" t="s">
        <v>2597</v>
      </c>
      <c r="D392" t="s">
        <v>463</v>
      </c>
      <c r="E392">
        <v>1</v>
      </c>
      <c r="F392">
        <v>45</v>
      </c>
      <c r="G392">
        <v>45</v>
      </c>
    </row>
    <row r="393" spans="1:7" x14ac:dyDescent="0.3">
      <c r="A393" t="s">
        <v>734</v>
      </c>
      <c r="B393">
        <v>24679</v>
      </c>
      <c r="C393" t="s">
        <v>2529</v>
      </c>
      <c r="D393" t="s">
        <v>463</v>
      </c>
      <c r="E393">
        <v>3</v>
      </c>
      <c r="F393">
        <v>116.7</v>
      </c>
      <c r="G393">
        <v>38.9</v>
      </c>
    </row>
    <row r="394" spans="1:7" x14ac:dyDescent="0.3">
      <c r="A394" t="s">
        <v>734</v>
      </c>
      <c r="B394">
        <v>18242</v>
      </c>
      <c r="C394" t="s">
        <v>2468</v>
      </c>
      <c r="D394" t="s">
        <v>463</v>
      </c>
      <c r="E394">
        <v>3</v>
      </c>
      <c r="F394">
        <v>639.27</v>
      </c>
      <c r="G394">
        <v>213.09</v>
      </c>
    </row>
    <row r="395" spans="1:7" x14ac:dyDescent="0.3">
      <c r="A395" t="s">
        <v>734</v>
      </c>
      <c r="B395">
        <v>18233</v>
      </c>
      <c r="C395" t="s">
        <v>2416</v>
      </c>
      <c r="D395" t="s">
        <v>463</v>
      </c>
      <c r="E395">
        <v>12</v>
      </c>
      <c r="F395">
        <v>1222.8</v>
      </c>
      <c r="G395">
        <v>101.9</v>
      </c>
    </row>
    <row r="396" spans="1:7" x14ac:dyDescent="0.3">
      <c r="A396" t="s">
        <v>734</v>
      </c>
      <c r="B396">
        <v>18232</v>
      </c>
      <c r="C396" t="s">
        <v>2403</v>
      </c>
      <c r="D396" t="s">
        <v>463</v>
      </c>
      <c r="E396">
        <v>18</v>
      </c>
      <c r="F396">
        <v>1682.64</v>
      </c>
      <c r="G396">
        <v>93.48</v>
      </c>
    </row>
    <row r="397" spans="1:7" x14ac:dyDescent="0.3">
      <c r="A397" t="s">
        <v>734</v>
      </c>
      <c r="B397">
        <v>25085</v>
      </c>
      <c r="C397" t="s">
        <v>2589</v>
      </c>
      <c r="D397" t="s">
        <v>463</v>
      </c>
      <c r="E397">
        <v>4</v>
      </c>
      <c r="F397">
        <v>58</v>
      </c>
      <c r="G397">
        <v>14.5</v>
      </c>
    </row>
    <row r="398" spans="1:7" x14ac:dyDescent="0.3">
      <c r="A398" t="s">
        <v>734</v>
      </c>
      <c r="B398">
        <v>23184</v>
      </c>
      <c r="C398" t="s">
        <v>2544</v>
      </c>
      <c r="D398" t="s">
        <v>463</v>
      </c>
      <c r="E398">
        <v>6</v>
      </c>
      <c r="F398">
        <v>138</v>
      </c>
      <c r="G398">
        <v>23</v>
      </c>
    </row>
    <row r="399" spans="1:7" x14ac:dyDescent="0.3">
      <c r="A399" t="s">
        <v>734</v>
      </c>
      <c r="B399">
        <v>19539</v>
      </c>
      <c r="C399" t="s">
        <v>2499</v>
      </c>
      <c r="D399" t="s">
        <v>463</v>
      </c>
      <c r="E399">
        <v>300</v>
      </c>
      <c r="F399">
        <v>2452.5</v>
      </c>
      <c r="G399">
        <v>8.18</v>
      </c>
    </row>
    <row r="400" spans="1:7" x14ac:dyDescent="0.3">
      <c r="A400" t="s">
        <v>734</v>
      </c>
      <c r="B400">
        <v>19532</v>
      </c>
      <c r="C400" t="s">
        <v>2500</v>
      </c>
      <c r="D400" t="s">
        <v>463</v>
      </c>
      <c r="E400">
        <v>25</v>
      </c>
      <c r="F400">
        <v>189.95</v>
      </c>
      <c r="G400">
        <v>7.6</v>
      </c>
    </row>
    <row r="401" spans="1:7" x14ac:dyDescent="0.3">
      <c r="A401" t="s">
        <v>734</v>
      </c>
      <c r="B401">
        <v>23108</v>
      </c>
      <c r="C401" t="s">
        <v>2297</v>
      </c>
      <c r="D401" t="s">
        <v>463</v>
      </c>
      <c r="E401">
        <v>1.5</v>
      </c>
      <c r="F401">
        <v>145.5</v>
      </c>
      <c r="G401">
        <v>97</v>
      </c>
    </row>
    <row r="402" spans="1:7" x14ac:dyDescent="0.3">
      <c r="A402" t="s">
        <v>734</v>
      </c>
      <c r="B402">
        <v>25707</v>
      </c>
      <c r="C402" t="s">
        <v>2344</v>
      </c>
      <c r="D402" t="s">
        <v>463</v>
      </c>
      <c r="E402">
        <v>12</v>
      </c>
      <c r="F402">
        <v>723.6</v>
      </c>
      <c r="G402">
        <v>60.3</v>
      </c>
    </row>
    <row r="403" spans="1:7" x14ac:dyDescent="0.3">
      <c r="A403" t="s">
        <v>734</v>
      </c>
      <c r="B403">
        <v>19707</v>
      </c>
      <c r="C403" t="s">
        <v>2606</v>
      </c>
      <c r="D403" t="s">
        <v>463</v>
      </c>
      <c r="E403">
        <v>2</v>
      </c>
      <c r="F403">
        <v>31.9</v>
      </c>
      <c r="G403">
        <v>15.95</v>
      </c>
    </row>
    <row r="404" spans="1:7" x14ac:dyDescent="0.3">
      <c r="A404" t="s">
        <v>734</v>
      </c>
      <c r="B404">
        <v>19527</v>
      </c>
      <c r="C404" t="s">
        <v>2601</v>
      </c>
      <c r="D404" t="s">
        <v>463</v>
      </c>
      <c r="E404">
        <v>10</v>
      </c>
      <c r="F404">
        <v>300</v>
      </c>
      <c r="G404">
        <v>30</v>
      </c>
    </row>
    <row r="405" spans="1:7" x14ac:dyDescent="0.3">
      <c r="A405" t="s">
        <v>734</v>
      </c>
      <c r="B405">
        <v>28170</v>
      </c>
      <c r="C405" t="s">
        <v>2253</v>
      </c>
      <c r="D405" t="s">
        <v>463</v>
      </c>
      <c r="E405">
        <v>30</v>
      </c>
      <c r="F405">
        <v>286.2</v>
      </c>
      <c r="G405">
        <v>9.5399999999999991</v>
      </c>
    </row>
    <row r="406" spans="1:7" x14ac:dyDescent="0.3">
      <c r="A406" t="s">
        <v>734</v>
      </c>
      <c r="B406">
        <v>18208</v>
      </c>
      <c r="C406" t="s">
        <v>2491</v>
      </c>
      <c r="D406" t="s">
        <v>463</v>
      </c>
      <c r="E406">
        <v>2</v>
      </c>
      <c r="F406">
        <v>168</v>
      </c>
      <c r="G406">
        <v>84</v>
      </c>
    </row>
    <row r="407" spans="1:7" x14ac:dyDescent="0.3">
      <c r="A407" t="s">
        <v>734</v>
      </c>
      <c r="B407">
        <v>18220</v>
      </c>
      <c r="C407" t="s">
        <v>2493</v>
      </c>
      <c r="D407" t="s">
        <v>463</v>
      </c>
      <c r="E407">
        <v>11</v>
      </c>
      <c r="F407">
        <v>891</v>
      </c>
      <c r="G407">
        <v>81</v>
      </c>
    </row>
    <row r="408" spans="1:7" x14ac:dyDescent="0.3">
      <c r="A408" t="s">
        <v>734</v>
      </c>
      <c r="B408">
        <v>18219</v>
      </c>
      <c r="C408" t="s">
        <v>2494</v>
      </c>
      <c r="D408" t="s">
        <v>463</v>
      </c>
      <c r="E408">
        <v>12</v>
      </c>
      <c r="F408">
        <v>933.6</v>
      </c>
      <c r="G408">
        <v>77.8</v>
      </c>
    </row>
    <row r="409" spans="1:7" x14ac:dyDescent="0.3">
      <c r="A409" t="s">
        <v>734</v>
      </c>
      <c r="B409">
        <v>18218</v>
      </c>
      <c r="C409" t="s">
        <v>2413</v>
      </c>
      <c r="D409" t="s">
        <v>463</v>
      </c>
      <c r="E409">
        <v>12</v>
      </c>
      <c r="F409">
        <v>383.88</v>
      </c>
      <c r="G409">
        <v>31.99</v>
      </c>
    </row>
    <row r="410" spans="1:7" x14ac:dyDescent="0.3">
      <c r="A410" t="s">
        <v>734</v>
      </c>
      <c r="B410">
        <v>18212</v>
      </c>
      <c r="C410" t="s">
        <v>2404</v>
      </c>
      <c r="D410" t="s">
        <v>463</v>
      </c>
      <c r="E410">
        <v>3</v>
      </c>
      <c r="F410">
        <v>102.6</v>
      </c>
      <c r="G410">
        <v>34.200000000000003</v>
      </c>
    </row>
    <row r="411" spans="1:7" x14ac:dyDescent="0.3">
      <c r="A411" t="s">
        <v>734</v>
      </c>
      <c r="B411">
        <v>28255</v>
      </c>
      <c r="C411" t="s">
        <v>2342</v>
      </c>
      <c r="D411" t="s">
        <v>463</v>
      </c>
      <c r="E411">
        <v>4</v>
      </c>
      <c r="F411">
        <v>519.91999999999996</v>
      </c>
      <c r="G411">
        <v>129.97999999999999</v>
      </c>
    </row>
    <row r="412" spans="1:7" x14ac:dyDescent="0.3">
      <c r="A412" t="s">
        <v>734</v>
      </c>
      <c r="B412">
        <v>28256</v>
      </c>
      <c r="C412" t="s">
        <v>2339</v>
      </c>
      <c r="D412" t="s">
        <v>463</v>
      </c>
      <c r="E412">
        <v>6</v>
      </c>
      <c r="F412">
        <v>341.7</v>
      </c>
      <c r="G412">
        <v>56.95</v>
      </c>
    </row>
    <row r="413" spans="1:7" x14ac:dyDescent="0.3">
      <c r="A413" t="s">
        <v>734</v>
      </c>
      <c r="B413">
        <v>28285</v>
      </c>
      <c r="C413" t="s">
        <v>2328</v>
      </c>
      <c r="D413" t="s">
        <v>463</v>
      </c>
      <c r="E413">
        <v>4</v>
      </c>
      <c r="F413">
        <v>611.04</v>
      </c>
      <c r="G413">
        <v>152.76</v>
      </c>
    </row>
    <row r="414" spans="1:7" x14ac:dyDescent="0.3">
      <c r="A414" t="s">
        <v>734</v>
      </c>
      <c r="B414">
        <v>26212</v>
      </c>
      <c r="C414" t="s">
        <v>2331</v>
      </c>
      <c r="D414" t="s">
        <v>463</v>
      </c>
      <c r="E414">
        <v>12</v>
      </c>
      <c r="F414">
        <v>932.64</v>
      </c>
      <c r="G414">
        <v>77.72</v>
      </c>
    </row>
    <row r="415" spans="1:7" x14ac:dyDescent="0.3">
      <c r="A415" t="s">
        <v>734</v>
      </c>
      <c r="B415">
        <v>26032</v>
      </c>
      <c r="C415" t="s">
        <v>2330</v>
      </c>
      <c r="D415" t="s">
        <v>463</v>
      </c>
      <c r="E415">
        <v>12</v>
      </c>
      <c r="F415">
        <v>932.64</v>
      </c>
      <c r="G415">
        <v>77.72</v>
      </c>
    </row>
    <row r="416" spans="1:7" x14ac:dyDescent="0.3">
      <c r="A416" t="s">
        <v>734</v>
      </c>
      <c r="B416">
        <v>26034</v>
      </c>
      <c r="C416" t="s">
        <v>2320</v>
      </c>
      <c r="D416" t="s">
        <v>463</v>
      </c>
      <c r="E416">
        <v>24</v>
      </c>
      <c r="F416">
        <v>1173.8399999999999</v>
      </c>
      <c r="G416">
        <v>48.91</v>
      </c>
    </row>
    <row r="417" spans="1:7" x14ac:dyDescent="0.3">
      <c r="A417" t="s">
        <v>734</v>
      </c>
      <c r="B417">
        <v>27857</v>
      </c>
      <c r="C417" t="s">
        <v>2324</v>
      </c>
      <c r="D417" t="s">
        <v>463</v>
      </c>
      <c r="E417">
        <v>12</v>
      </c>
      <c r="F417">
        <v>723.6</v>
      </c>
      <c r="G417">
        <v>60.3</v>
      </c>
    </row>
    <row r="418" spans="1:7" x14ac:dyDescent="0.3">
      <c r="A418" t="s">
        <v>734</v>
      </c>
      <c r="B418">
        <v>28257</v>
      </c>
      <c r="C418" t="s">
        <v>2347</v>
      </c>
      <c r="D418" t="s">
        <v>463</v>
      </c>
      <c r="E418">
        <v>18</v>
      </c>
      <c r="F418">
        <v>1013.04</v>
      </c>
      <c r="G418">
        <v>56.28</v>
      </c>
    </row>
    <row r="419" spans="1:7" x14ac:dyDescent="0.3">
      <c r="A419" t="s">
        <v>734</v>
      </c>
      <c r="B419">
        <v>27569</v>
      </c>
      <c r="C419" t="s">
        <v>2326</v>
      </c>
      <c r="D419" t="s">
        <v>463</v>
      </c>
      <c r="E419">
        <v>12</v>
      </c>
      <c r="F419">
        <v>932.64</v>
      </c>
      <c r="G419">
        <v>77.72</v>
      </c>
    </row>
    <row r="420" spans="1:7" x14ac:dyDescent="0.3">
      <c r="A420" t="s">
        <v>734</v>
      </c>
      <c r="B420">
        <v>17694</v>
      </c>
      <c r="C420" t="s">
        <v>2332</v>
      </c>
      <c r="D420" t="s">
        <v>463</v>
      </c>
      <c r="E420">
        <v>2</v>
      </c>
      <c r="F420">
        <v>414.06</v>
      </c>
      <c r="G420">
        <v>207.03</v>
      </c>
    </row>
    <row r="421" spans="1:7" x14ac:dyDescent="0.3">
      <c r="A421" t="s">
        <v>734</v>
      </c>
      <c r="B421">
        <v>17716</v>
      </c>
      <c r="C421" t="s">
        <v>2382</v>
      </c>
      <c r="D421" t="s">
        <v>463</v>
      </c>
      <c r="E421">
        <v>30</v>
      </c>
      <c r="F421">
        <v>795</v>
      </c>
      <c r="G421">
        <v>26.5</v>
      </c>
    </row>
    <row r="422" spans="1:7" x14ac:dyDescent="0.3">
      <c r="A422" t="s">
        <v>734</v>
      </c>
      <c r="B422">
        <v>17737</v>
      </c>
      <c r="C422" t="s">
        <v>2321</v>
      </c>
      <c r="D422" t="s">
        <v>463</v>
      </c>
      <c r="E422">
        <v>12</v>
      </c>
      <c r="F422">
        <v>675.36</v>
      </c>
      <c r="G422">
        <v>56.28</v>
      </c>
    </row>
    <row r="423" spans="1:7" x14ac:dyDescent="0.3">
      <c r="A423" t="s">
        <v>734</v>
      </c>
      <c r="B423">
        <v>28287</v>
      </c>
      <c r="C423" t="s">
        <v>2325</v>
      </c>
      <c r="D423" t="s">
        <v>463</v>
      </c>
      <c r="E423">
        <v>2</v>
      </c>
      <c r="F423">
        <v>432.82</v>
      </c>
      <c r="G423">
        <v>216.41</v>
      </c>
    </row>
    <row r="424" spans="1:7" x14ac:dyDescent="0.3">
      <c r="A424" t="s">
        <v>734</v>
      </c>
      <c r="B424">
        <v>28321</v>
      </c>
      <c r="C424" t="s">
        <v>2334</v>
      </c>
      <c r="D424" t="s">
        <v>463</v>
      </c>
      <c r="E424">
        <v>2</v>
      </c>
      <c r="F424">
        <v>619.08000000000004</v>
      </c>
      <c r="G424">
        <v>309.54000000000002</v>
      </c>
    </row>
    <row r="425" spans="1:7" x14ac:dyDescent="0.3">
      <c r="A425" t="s">
        <v>734</v>
      </c>
      <c r="B425">
        <v>26040</v>
      </c>
      <c r="C425" t="s">
        <v>2346</v>
      </c>
      <c r="D425" t="s">
        <v>463</v>
      </c>
      <c r="E425">
        <v>24</v>
      </c>
      <c r="F425">
        <v>1173.8399999999999</v>
      </c>
      <c r="G425">
        <v>48.91</v>
      </c>
    </row>
    <row r="426" spans="1:7" x14ac:dyDescent="0.3">
      <c r="A426" t="s">
        <v>734</v>
      </c>
      <c r="B426">
        <v>28320</v>
      </c>
      <c r="C426" t="s">
        <v>2343</v>
      </c>
      <c r="D426" t="s">
        <v>463</v>
      </c>
      <c r="E426">
        <v>2</v>
      </c>
      <c r="F426">
        <v>616.4</v>
      </c>
      <c r="G426">
        <v>308.2</v>
      </c>
    </row>
    <row r="427" spans="1:7" x14ac:dyDescent="0.3">
      <c r="A427" t="s">
        <v>734</v>
      </c>
      <c r="B427">
        <v>17677</v>
      </c>
      <c r="C427" t="s">
        <v>2329</v>
      </c>
      <c r="D427" t="s">
        <v>463</v>
      </c>
      <c r="E427">
        <v>6</v>
      </c>
      <c r="F427">
        <v>542.70000000000005</v>
      </c>
      <c r="G427">
        <v>90.45</v>
      </c>
    </row>
    <row r="428" spans="1:7" x14ac:dyDescent="0.3">
      <c r="A428" t="s">
        <v>734</v>
      </c>
      <c r="B428">
        <v>17661</v>
      </c>
      <c r="C428" t="s">
        <v>2323</v>
      </c>
      <c r="D428" t="s">
        <v>463</v>
      </c>
      <c r="E428">
        <v>6</v>
      </c>
      <c r="F428">
        <v>779.88</v>
      </c>
      <c r="G428">
        <v>129.97999999999999</v>
      </c>
    </row>
    <row r="429" spans="1:7" x14ac:dyDescent="0.3">
      <c r="A429" t="s">
        <v>734</v>
      </c>
      <c r="B429">
        <v>26044</v>
      </c>
      <c r="C429" t="s">
        <v>2340</v>
      </c>
      <c r="D429" t="s">
        <v>463</v>
      </c>
      <c r="E429">
        <v>4</v>
      </c>
      <c r="F429">
        <v>227.8</v>
      </c>
      <c r="G429">
        <v>56.95</v>
      </c>
    </row>
    <row r="430" spans="1:7" x14ac:dyDescent="0.3">
      <c r="A430" t="s">
        <v>734</v>
      </c>
      <c r="B430">
        <v>27089</v>
      </c>
      <c r="C430" t="s">
        <v>2322</v>
      </c>
      <c r="D430" t="s">
        <v>463</v>
      </c>
      <c r="E430">
        <v>2</v>
      </c>
      <c r="F430">
        <v>742.36</v>
      </c>
      <c r="G430">
        <v>371.18</v>
      </c>
    </row>
    <row r="431" spans="1:7" x14ac:dyDescent="0.3">
      <c r="A431" t="s">
        <v>734</v>
      </c>
      <c r="B431">
        <v>28288</v>
      </c>
      <c r="C431" t="s">
        <v>2333</v>
      </c>
      <c r="D431" t="s">
        <v>463</v>
      </c>
      <c r="E431">
        <v>8</v>
      </c>
      <c r="F431">
        <v>1104.1600000000001</v>
      </c>
      <c r="G431">
        <v>138.02000000000001</v>
      </c>
    </row>
    <row r="432" spans="1:7" x14ac:dyDescent="0.3">
      <c r="A432" t="s">
        <v>734</v>
      </c>
      <c r="B432">
        <v>17718</v>
      </c>
      <c r="C432" t="s">
        <v>2341</v>
      </c>
      <c r="D432" t="s">
        <v>463</v>
      </c>
      <c r="E432">
        <v>12</v>
      </c>
      <c r="F432">
        <v>611.04</v>
      </c>
      <c r="G432">
        <v>50.92</v>
      </c>
    </row>
    <row r="433" spans="1:7" x14ac:dyDescent="0.3">
      <c r="A433" t="s">
        <v>734</v>
      </c>
      <c r="B433">
        <v>17717</v>
      </c>
      <c r="C433" t="s">
        <v>2319</v>
      </c>
      <c r="D433" t="s">
        <v>463</v>
      </c>
      <c r="E433">
        <v>12</v>
      </c>
      <c r="F433">
        <v>932.64</v>
      </c>
      <c r="G433">
        <v>77.72</v>
      </c>
    </row>
    <row r="434" spans="1:7" x14ac:dyDescent="0.3">
      <c r="A434" t="s">
        <v>734</v>
      </c>
      <c r="B434">
        <v>18194</v>
      </c>
      <c r="C434" t="s">
        <v>2414</v>
      </c>
      <c r="D434" t="s">
        <v>463</v>
      </c>
      <c r="E434">
        <v>36</v>
      </c>
      <c r="F434">
        <v>2371.6799999999998</v>
      </c>
      <c r="G434">
        <v>65.88</v>
      </c>
    </row>
    <row r="435" spans="1:7" x14ac:dyDescent="0.3">
      <c r="A435" t="s">
        <v>734</v>
      </c>
      <c r="B435">
        <v>18186</v>
      </c>
      <c r="C435" t="s">
        <v>2465</v>
      </c>
      <c r="D435" t="s">
        <v>463</v>
      </c>
      <c r="E435">
        <v>24</v>
      </c>
      <c r="F435">
        <v>4043.76</v>
      </c>
      <c r="G435">
        <v>168.49</v>
      </c>
    </row>
    <row r="436" spans="1:7" x14ac:dyDescent="0.3">
      <c r="A436" t="s">
        <v>734</v>
      </c>
      <c r="B436">
        <v>18179</v>
      </c>
      <c r="C436" t="s">
        <v>2470</v>
      </c>
      <c r="D436" t="s">
        <v>463</v>
      </c>
      <c r="E436">
        <v>12</v>
      </c>
      <c r="F436">
        <v>1396.92</v>
      </c>
      <c r="G436">
        <v>116.41</v>
      </c>
    </row>
    <row r="437" spans="1:7" x14ac:dyDescent="0.3">
      <c r="A437" t="s">
        <v>734</v>
      </c>
      <c r="B437">
        <v>18172</v>
      </c>
      <c r="C437" t="s">
        <v>2481</v>
      </c>
      <c r="D437" t="s">
        <v>463</v>
      </c>
      <c r="E437">
        <v>60</v>
      </c>
      <c r="F437">
        <v>1301.4000000000001</v>
      </c>
      <c r="G437">
        <v>21.69</v>
      </c>
    </row>
    <row r="438" spans="1:7" x14ac:dyDescent="0.3">
      <c r="A438" t="s">
        <v>734</v>
      </c>
      <c r="B438">
        <v>18151</v>
      </c>
      <c r="C438" t="s">
        <v>2467</v>
      </c>
      <c r="D438" t="s">
        <v>463</v>
      </c>
      <c r="E438">
        <v>12</v>
      </c>
      <c r="F438">
        <v>1403.64</v>
      </c>
      <c r="G438">
        <v>116.97</v>
      </c>
    </row>
    <row r="439" spans="1:7" x14ac:dyDescent="0.3">
      <c r="A439" t="s">
        <v>734</v>
      </c>
      <c r="B439">
        <v>18146</v>
      </c>
      <c r="C439" t="s">
        <v>2488</v>
      </c>
      <c r="D439" t="s">
        <v>463</v>
      </c>
      <c r="E439">
        <v>24</v>
      </c>
      <c r="F439">
        <v>2251.1999999999998</v>
      </c>
      <c r="G439">
        <v>93.8</v>
      </c>
    </row>
    <row r="440" spans="1:7" x14ac:dyDescent="0.3">
      <c r="A440" t="s">
        <v>734</v>
      </c>
      <c r="B440">
        <v>18145</v>
      </c>
      <c r="C440" t="s">
        <v>2402</v>
      </c>
      <c r="D440" t="s">
        <v>463</v>
      </c>
      <c r="E440">
        <v>12</v>
      </c>
      <c r="F440">
        <v>4030.8</v>
      </c>
      <c r="G440">
        <v>335.9</v>
      </c>
    </row>
    <row r="441" spans="1:7" x14ac:dyDescent="0.3">
      <c r="A441" t="s">
        <v>734</v>
      </c>
      <c r="B441">
        <v>18143</v>
      </c>
      <c r="C441" t="s">
        <v>2412</v>
      </c>
      <c r="D441" t="s">
        <v>463</v>
      </c>
      <c r="E441">
        <v>6</v>
      </c>
      <c r="F441">
        <v>3959.4</v>
      </c>
      <c r="G441">
        <v>659.9</v>
      </c>
    </row>
    <row r="442" spans="1:7" x14ac:dyDescent="0.3">
      <c r="A442" t="s">
        <v>734</v>
      </c>
      <c r="B442">
        <v>18140</v>
      </c>
      <c r="C442" t="s">
        <v>2411</v>
      </c>
      <c r="D442" t="s">
        <v>463</v>
      </c>
      <c r="E442">
        <v>1</v>
      </c>
      <c r="F442">
        <v>163.87</v>
      </c>
      <c r="G442">
        <v>163.87</v>
      </c>
    </row>
    <row r="443" spans="1:7" x14ac:dyDescent="0.3">
      <c r="A443" t="s">
        <v>734</v>
      </c>
      <c r="B443">
        <v>18119</v>
      </c>
      <c r="C443" t="s">
        <v>2469</v>
      </c>
      <c r="D443" t="s">
        <v>463</v>
      </c>
      <c r="E443">
        <v>24</v>
      </c>
      <c r="F443">
        <v>3998.88</v>
      </c>
      <c r="G443">
        <v>166.62</v>
      </c>
    </row>
    <row r="444" spans="1:7" x14ac:dyDescent="0.3">
      <c r="A444" t="s">
        <v>734</v>
      </c>
      <c r="B444">
        <v>18116</v>
      </c>
      <c r="C444" t="s">
        <v>2478</v>
      </c>
      <c r="D444" t="s">
        <v>463</v>
      </c>
      <c r="E444">
        <v>12</v>
      </c>
      <c r="F444">
        <v>1039.2</v>
      </c>
      <c r="G444">
        <v>86.6</v>
      </c>
    </row>
    <row r="445" spans="1:7" x14ac:dyDescent="0.3">
      <c r="A445" t="s">
        <v>734</v>
      </c>
      <c r="B445">
        <v>18118</v>
      </c>
      <c r="C445" t="s">
        <v>2466</v>
      </c>
      <c r="D445" t="s">
        <v>463</v>
      </c>
      <c r="E445">
        <v>6</v>
      </c>
      <c r="F445">
        <v>7281.66</v>
      </c>
      <c r="G445">
        <v>1213.6099999999999</v>
      </c>
    </row>
    <row r="446" spans="1:7" x14ac:dyDescent="0.3">
      <c r="A446" t="s">
        <v>734</v>
      </c>
      <c r="B446">
        <v>18115</v>
      </c>
      <c r="C446" t="s">
        <v>2477</v>
      </c>
      <c r="D446" t="s">
        <v>463</v>
      </c>
      <c r="E446">
        <v>3</v>
      </c>
      <c r="F446">
        <v>673.5</v>
      </c>
      <c r="G446">
        <v>224.5</v>
      </c>
    </row>
    <row r="447" spans="1:7" x14ac:dyDescent="0.3">
      <c r="A447" t="s">
        <v>734</v>
      </c>
      <c r="B447">
        <v>18114</v>
      </c>
      <c r="C447" t="s">
        <v>2474</v>
      </c>
      <c r="D447" t="s">
        <v>463</v>
      </c>
      <c r="E447">
        <v>12</v>
      </c>
      <c r="F447">
        <v>3298.8</v>
      </c>
      <c r="G447">
        <v>274.89999999999998</v>
      </c>
    </row>
    <row r="448" spans="1:7" x14ac:dyDescent="0.3">
      <c r="A448" t="s">
        <v>734</v>
      </c>
      <c r="B448">
        <v>18113</v>
      </c>
      <c r="C448" t="s">
        <v>2463</v>
      </c>
      <c r="D448" t="s">
        <v>463</v>
      </c>
      <c r="E448">
        <v>5</v>
      </c>
      <c r="F448">
        <v>2163.6</v>
      </c>
      <c r="G448">
        <v>432.72</v>
      </c>
    </row>
    <row r="449" spans="1:7" x14ac:dyDescent="0.3">
      <c r="A449" t="s">
        <v>734</v>
      </c>
      <c r="B449">
        <v>18111</v>
      </c>
      <c r="C449" t="s">
        <v>2464</v>
      </c>
      <c r="D449" t="s">
        <v>463</v>
      </c>
      <c r="E449">
        <v>36</v>
      </c>
      <c r="F449">
        <v>3020.04</v>
      </c>
      <c r="G449">
        <v>83.89</v>
      </c>
    </row>
    <row r="450" spans="1:7" x14ac:dyDescent="0.3">
      <c r="A450" t="s">
        <v>734</v>
      </c>
      <c r="B450">
        <v>18101</v>
      </c>
      <c r="C450" t="s">
        <v>2471</v>
      </c>
      <c r="D450" t="s">
        <v>463</v>
      </c>
      <c r="E450">
        <v>12</v>
      </c>
      <c r="F450">
        <v>1737.84</v>
      </c>
      <c r="G450">
        <v>144.82</v>
      </c>
    </row>
    <row r="451" spans="1:7" x14ac:dyDescent="0.3">
      <c r="A451" t="s">
        <v>734</v>
      </c>
      <c r="B451">
        <v>18082</v>
      </c>
      <c r="C451" t="s">
        <v>2415</v>
      </c>
      <c r="D451" t="s">
        <v>463</v>
      </c>
      <c r="E451">
        <v>6</v>
      </c>
      <c r="F451">
        <v>285.60000000000002</v>
      </c>
      <c r="G451">
        <v>47.6</v>
      </c>
    </row>
    <row r="452" spans="1:7" x14ac:dyDescent="0.3">
      <c r="A452" t="s">
        <v>734</v>
      </c>
      <c r="B452">
        <v>18087</v>
      </c>
      <c r="C452" t="s">
        <v>2409</v>
      </c>
      <c r="D452" t="s">
        <v>463</v>
      </c>
      <c r="E452">
        <v>12</v>
      </c>
      <c r="F452">
        <v>565.20000000000005</v>
      </c>
      <c r="G452">
        <v>47.1</v>
      </c>
    </row>
    <row r="453" spans="1:7" x14ac:dyDescent="0.3">
      <c r="A453" t="s">
        <v>734</v>
      </c>
      <c r="B453">
        <v>18068</v>
      </c>
      <c r="C453" t="s">
        <v>2410</v>
      </c>
      <c r="D453" t="s">
        <v>463</v>
      </c>
      <c r="E453">
        <v>6</v>
      </c>
      <c r="F453">
        <v>285.60000000000002</v>
      </c>
      <c r="G453">
        <v>47.6</v>
      </c>
    </row>
    <row r="454" spans="1:7" x14ac:dyDescent="0.3">
      <c r="A454" t="s">
        <v>734</v>
      </c>
      <c r="B454">
        <v>18073</v>
      </c>
      <c r="C454" t="s">
        <v>2400</v>
      </c>
      <c r="D454" t="s">
        <v>463</v>
      </c>
      <c r="E454">
        <v>6</v>
      </c>
      <c r="F454">
        <v>282.60000000000002</v>
      </c>
      <c r="G454">
        <v>47.1</v>
      </c>
    </row>
    <row r="455" spans="1:7" x14ac:dyDescent="0.3">
      <c r="A455" t="s">
        <v>734</v>
      </c>
      <c r="B455">
        <v>24002</v>
      </c>
      <c r="C455" t="s">
        <v>2654</v>
      </c>
      <c r="D455" t="s">
        <v>462</v>
      </c>
      <c r="E455">
        <v>120</v>
      </c>
      <c r="F455">
        <v>613.20000000000005</v>
      </c>
      <c r="G455">
        <v>5.1100000000000003</v>
      </c>
    </row>
    <row r="456" spans="1:7" x14ac:dyDescent="0.3">
      <c r="A456" t="s">
        <v>734</v>
      </c>
      <c r="B456">
        <v>25130</v>
      </c>
      <c r="C456" t="s">
        <v>2209</v>
      </c>
      <c r="D456" t="s">
        <v>462</v>
      </c>
      <c r="E456">
        <v>201.41</v>
      </c>
      <c r="F456">
        <v>7250.58</v>
      </c>
      <c r="G456">
        <v>36</v>
      </c>
    </row>
    <row r="457" spans="1:7" x14ac:dyDescent="0.3">
      <c r="A457" t="s">
        <v>734</v>
      </c>
      <c r="B457">
        <v>29893</v>
      </c>
      <c r="C457" t="s">
        <v>2664</v>
      </c>
      <c r="D457" t="s">
        <v>462</v>
      </c>
      <c r="E457">
        <v>1</v>
      </c>
      <c r="F457">
        <v>147.19999999999999</v>
      </c>
      <c r="G457">
        <v>147.19999999999999</v>
      </c>
    </row>
    <row r="458" spans="1:7" x14ac:dyDescent="0.3">
      <c r="A458" t="s">
        <v>734</v>
      </c>
      <c r="B458">
        <v>28857</v>
      </c>
      <c r="C458" t="s">
        <v>2698</v>
      </c>
      <c r="D458" t="s">
        <v>462</v>
      </c>
      <c r="E458">
        <v>1</v>
      </c>
      <c r="F458">
        <v>2900</v>
      </c>
      <c r="G458">
        <v>2900</v>
      </c>
    </row>
    <row r="459" spans="1:7" x14ac:dyDescent="0.3">
      <c r="A459" t="s">
        <v>734</v>
      </c>
      <c r="B459">
        <v>29391</v>
      </c>
      <c r="C459" t="s">
        <v>2688</v>
      </c>
      <c r="D459" t="s">
        <v>462</v>
      </c>
      <c r="E459">
        <v>5</v>
      </c>
      <c r="F459">
        <v>1387.15</v>
      </c>
      <c r="G459">
        <v>277.43</v>
      </c>
    </row>
    <row r="460" spans="1:7" x14ac:dyDescent="0.3">
      <c r="A460" t="s">
        <v>734</v>
      </c>
      <c r="B460">
        <v>29390</v>
      </c>
      <c r="C460" t="s">
        <v>2678</v>
      </c>
      <c r="D460" t="s">
        <v>462</v>
      </c>
      <c r="E460">
        <v>4</v>
      </c>
      <c r="F460">
        <v>1772.12</v>
      </c>
      <c r="G460">
        <v>443.03</v>
      </c>
    </row>
    <row r="461" spans="1:7" x14ac:dyDescent="0.3">
      <c r="A461" t="s">
        <v>734</v>
      </c>
      <c r="B461">
        <v>29389</v>
      </c>
      <c r="C461" t="s">
        <v>2679</v>
      </c>
      <c r="D461" t="s">
        <v>462</v>
      </c>
      <c r="E461">
        <v>4</v>
      </c>
      <c r="F461">
        <v>4759</v>
      </c>
      <c r="G461">
        <v>1189.75</v>
      </c>
    </row>
    <row r="462" spans="1:7" x14ac:dyDescent="0.3">
      <c r="A462" t="s">
        <v>734</v>
      </c>
      <c r="B462">
        <v>29376</v>
      </c>
      <c r="C462" t="s">
        <v>2691</v>
      </c>
      <c r="D462" t="s">
        <v>462</v>
      </c>
      <c r="E462">
        <v>1</v>
      </c>
      <c r="F462">
        <v>1590.09</v>
      </c>
      <c r="G462">
        <v>1590.09</v>
      </c>
    </row>
    <row r="463" spans="1:7" x14ac:dyDescent="0.3">
      <c r="A463" t="s">
        <v>734</v>
      </c>
      <c r="B463">
        <v>27455</v>
      </c>
      <c r="C463" t="s">
        <v>2683</v>
      </c>
      <c r="D463" t="s">
        <v>462</v>
      </c>
      <c r="E463">
        <v>40</v>
      </c>
      <c r="F463">
        <v>1053.2</v>
      </c>
      <c r="G463">
        <v>26.33</v>
      </c>
    </row>
    <row r="464" spans="1:7" x14ac:dyDescent="0.3">
      <c r="A464" t="s">
        <v>734</v>
      </c>
      <c r="B464">
        <v>28184</v>
      </c>
      <c r="C464" t="s">
        <v>2677</v>
      </c>
      <c r="D464" t="s">
        <v>462</v>
      </c>
      <c r="E464">
        <v>20</v>
      </c>
      <c r="F464">
        <v>2275.8000000000002</v>
      </c>
      <c r="G464">
        <v>113.79</v>
      </c>
    </row>
    <row r="465" spans="1:7" x14ac:dyDescent="0.3">
      <c r="A465" t="s">
        <v>734</v>
      </c>
      <c r="B465">
        <v>27826</v>
      </c>
      <c r="C465" t="s">
        <v>2188</v>
      </c>
      <c r="D465" t="s">
        <v>462</v>
      </c>
      <c r="E465">
        <v>15</v>
      </c>
      <c r="F465">
        <v>1476.75</v>
      </c>
      <c r="G465">
        <v>98.45</v>
      </c>
    </row>
    <row r="466" spans="1:7" x14ac:dyDescent="0.3">
      <c r="A466" t="s">
        <v>734</v>
      </c>
      <c r="B466">
        <v>26873</v>
      </c>
      <c r="C466" t="s">
        <v>2693</v>
      </c>
      <c r="D466" t="s">
        <v>462</v>
      </c>
      <c r="E466">
        <v>20</v>
      </c>
      <c r="F466">
        <v>1034</v>
      </c>
      <c r="G466">
        <v>51.7</v>
      </c>
    </row>
    <row r="467" spans="1:7" x14ac:dyDescent="0.3">
      <c r="A467" t="s">
        <v>734</v>
      </c>
      <c r="B467">
        <v>28359</v>
      </c>
      <c r="C467" t="s">
        <v>2697</v>
      </c>
      <c r="D467" t="s">
        <v>462</v>
      </c>
      <c r="E467">
        <v>1</v>
      </c>
      <c r="F467">
        <v>71.62</v>
      </c>
      <c r="G467">
        <v>71.62</v>
      </c>
    </row>
    <row r="468" spans="1:7" x14ac:dyDescent="0.3">
      <c r="A468" t="s">
        <v>734</v>
      </c>
      <c r="B468">
        <v>27212</v>
      </c>
      <c r="C468" t="s">
        <v>2444</v>
      </c>
      <c r="D468" t="s">
        <v>462</v>
      </c>
      <c r="E468">
        <v>1</v>
      </c>
      <c r="F468">
        <v>95.12</v>
      </c>
      <c r="G468">
        <v>95.12</v>
      </c>
    </row>
    <row r="469" spans="1:7" x14ac:dyDescent="0.3">
      <c r="A469" t="s">
        <v>734</v>
      </c>
      <c r="B469">
        <v>27213</v>
      </c>
      <c r="C469" t="s">
        <v>2441</v>
      </c>
      <c r="D469" t="s">
        <v>462</v>
      </c>
      <c r="E469">
        <v>1</v>
      </c>
      <c r="F469">
        <v>95.12</v>
      </c>
      <c r="G469">
        <v>95.12</v>
      </c>
    </row>
    <row r="470" spans="1:7" x14ac:dyDescent="0.3">
      <c r="A470" t="s">
        <v>734</v>
      </c>
      <c r="B470">
        <v>29344</v>
      </c>
      <c r="C470" t="s">
        <v>2694</v>
      </c>
      <c r="D470" t="s">
        <v>462</v>
      </c>
      <c r="E470">
        <v>2</v>
      </c>
      <c r="F470">
        <v>2311.44</v>
      </c>
      <c r="G470">
        <v>1155.72</v>
      </c>
    </row>
    <row r="471" spans="1:7" x14ac:dyDescent="0.3">
      <c r="A471" t="s">
        <v>734</v>
      </c>
      <c r="B471">
        <v>24809</v>
      </c>
      <c r="C471" t="s">
        <v>2649</v>
      </c>
      <c r="D471" t="s">
        <v>462</v>
      </c>
      <c r="E471">
        <v>30</v>
      </c>
      <c r="F471">
        <v>2940</v>
      </c>
      <c r="G471">
        <v>98</v>
      </c>
    </row>
    <row r="472" spans="1:7" x14ac:dyDescent="0.3">
      <c r="A472" t="s">
        <v>734</v>
      </c>
      <c r="B472">
        <v>29679</v>
      </c>
      <c r="C472" t="s">
        <v>2647</v>
      </c>
      <c r="D472" t="s">
        <v>462</v>
      </c>
      <c r="E472">
        <v>19.84</v>
      </c>
      <c r="F472">
        <v>1686.31</v>
      </c>
      <c r="G472">
        <v>85</v>
      </c>
    </row>
    <row r="473" spans="1:7" x14ac:dyDescent="0.3">
      <c r="A473" t="s">
        <v>734</v>
      </c>
      <c r="B473">
        <v>27898</v>
      </c>
      <c r="C473" t="s">
        <v>2684</v>
      </c>
      <c r="D473" t="s">
        <v>462</v>
      </c>
      <c r="E473">
        <v>200</v>
      </c>
      <c r="F473">
        <v>5986</v>
      </c>
      <c r="G473">
        <v>29.93</v>
      </c>
    </row>
    <row r="474" spans="1:7" x14ac:dyDescent="0.3">
      <c r="A474" t="s">
        <v>734</v>
      </c>
      <c r="B474">
        <v>18636</v>
      </c>
      <c r="C474" t="s">
        <v>2146</v>
      </c>
      <c r="D474" t="s">
        <v>462</v>
      </c>
      <c r="E474">
        <v>70</v>
      </c>
      <c r="F474">
        <v>24631.599999999999</v>
      </c>
      <c r="G474">
        <v>351.88</v>
      </c>
    </row>
    <row r="475" spans="1:7" x14ac:dyDescent="0.3">
      <c r="A475" t="s">
        <v>734</v>
      </c>
      <c r="B475">
        <v>29851</v>
      </c>
      <c r="C475" t="s">
        <v>2551</v>
      </c>
      <c r="D475" t="s">
        <v>462</v>
      </c>
      <c r="E475">
        <v>2</v>
      </c>
      <c r="F475">
        <v>170.9</v>
      </c>
      <c r="G475">
        <v>85.45</v>
      </c>
    </row>
    <row r="476" spans="1:7" x14ac:dyDescent="0.3">
      <c r="A476" t="s">
        <v>734</v>
      </c>
      <c r="B476">
        <v>29882</v>
      </c>
      <c r="C476" t="s">
        <v>2659</v>
      </c>
      <c r="D476" t="s">
        <v>462</v>
      </c>
      <c r="E476">
        <v>2</v>
      </c>
      <c r="F476">
        <v>4881.5200000000004</v>
      </c>
      <c r="G476">
        <v>2440.7600000000002</v>
      </c>
    </row>
    <row r="477" spans="1:7" x14ac:dyDescent="0.3">
      <c r="A477" t="s">
        <v>734</v>
      </c>
      <c r="B477">
        <v>19437</v>
      </c>
      <c r="C477" t="s">
        <v>2621</v>
      </c>
      <c r="D477" t="s">
        <v>462</v>
      </c>
      <c r="E477">
        <v>6</v>
      </c>
      <c r="F477">
        <v>269.45999999999998</v>
      </c>
      <c r="G477">
        <v>44.91</v>
      </c>
    </row>
    <row r="478" spans="1:7" x14ac:dyDescent="0.3">
      <c r="A478" t="s">
        <v>734</v>
      </c>
      <c r="B478">
        <v>29342</v>
      </c>
      <c r="C478" t="s">
        <v>2687</v>
      </c>
      <c r="D478" t="s">
        <v>462</v>
      </c>
      <c r="E478">
        <v>10</v>
      </c>
      <c r="F478">
        <v>493</v>
      </c>
      <c r="G478">
        <v>49.3</v>
      </c>
    </row>
    <row r="479" spans="1:7" x14ac:dyDescent="0.3">
      <c r="A479" t="s">
        <v>734</v>
      </c>
      <c r="B479">
        <v>29343</v>
      </c>
      <c r="C479" t="s">
        <v>2690</v>
      </c>
      <c r="D479" t="s">
        <v>462</v>
      </c>
      <c r="E479">
        <v>20</v>
      </c>
      <c r="F479">
        <v>803.8</v>
      </c>
      <c r="G479">
        <v>40.19</v>
      </c>
    </row>
    <row r="480" spans="1:7" x14ac:dyDescent="0.3">
      <c r="A480" t="s">
        <v>734</v>
      </c>
      <c r="B480">
        <v>27593</v>
      </c>
      <c r="C480" t="s">
        <v>2676</v>
      </c>
      <c r="D480" t="s">
        <v>462</v>
      </c>
      <c r="E480">
        <v>5</v>
      </c>
      <c r="F480">
        <v>334.4</v>
      </c>
      <c r="G480">
        <v>66.88</v>
      </c>
    </row>
    <row r="481" spans="1:7" x14ac:dyDescent="0.3">
      <c r="A481" t="s">
        <v>734</v>
      </c>
      <c r="B481">
        <v>27780</v>
      </c>
      <c r="C481" t="s">
        <v>2689</v>
      </c>
      <c r="D481" t="s">
        <v>462</v>
      </c>
      <c r="E481">
        <v>15</v>
      </c>
      <c r="F481">
        <v>876</v>
      </c>
      <c r="G481">
        <v>58.4</v>
      </c>
    </row>
    <row r="482" spans="1:7" x14ac:dyDescent="0.3">
      <c r="A482" t="s">
        <v>734</v>
      </c>
      <c r="B482">
        <v>27777</v>
      </c>
      <c r="C482" t="s">
        <v>2682</v>
      </c>
      <c r="D482" t="s">
        <v>462</v>
      </c>
      <c r="E482">
        <v>10</v>
      </c>
      <c r="F482">
        <v>369.2</v>
      </c>
      <c r="G482">
        <v>36.92</v>
      </c>
    </row>
    <row r="483" spans="1:7" x14ac:dyDescent="0.3">
      <c r="A483" t="s">
        <v>734</v>
      </c>
      <c r="B483">
        <v>29339</v>
      </c>
      <c r="C483" t="s">
        <v>2674</v>
      </c>
      <c r="D483" t="s">
        <v>462</v>
      </c>
      <c r="E483">
        <v>25</v>
      </c>
      <c r="F483">
        <v>721.5</v>
      </c>
      <c r="G483">
        <v>28.86</v>
      </c>
    </row>
    <row r="484" spans="1:7" x14ac:dyDescent="0.3">
      <c r="A484" t="s">
        <v>734</v>
      </c>
      <c r="B484">
        <v>21618</v>
      </c>
      <c r="C484" t="s">
        <v>2617</v>
      </c>
      <c r="D484" t="s">
        <v>462</v>
      </c>
      <c r="E484">
        <v>50</v>
      </c>
      <c r="F484">
        <v>1285.5</v>
      </c>
      <c r="G484">
        <v>25.71</v>
      </c>
    </row>
    <row r="485" spans="1:7" x14ac:dyDescent="0.3">
      <c r="A485" t="s">
        <v>734</v>
      </c>
      <c r="B485">
        <v>17205</v>
      </c>
      <c r="C485" t="s">
        <v>2644</v>
      </c>
      <c r="D485" t="s">
        <v>462</v>
      </c>
      <c r="E485">
        <v>5</v>
      </c>
      <c r="F485">
        <v>850</v>
      </c>
      <c r="G485">
        <v>170</v>
      </c>
    </row>
    <row r="486" spans="1:7" x14ac:dyDescent="0.3">
      <c r="A486" t="s">
        <v>734</v>
      </c>
      <c r="B486">
        <v>24724</v>
      </c>
      <c r="C486" t="s">
        <v>2685</v>
      </c>
      <c r="D486" t="s">
        <v>462</v>
      </c>
      <c r="E486">
        <v>10</v>
      </c>
      <c r="F486">
        <v>208</v>
      </c>
      <c r="G486">
        <v>20.8</v>
      </c>
    </row>
    <row r="487" spans="1:7" x14ac:dyDescent="0.3">
      <c r="A487" t="s">
        <v>734</v>
      </c>
      <c r="B487">
        <v>27230</v>
      </c>
      <c r="C487" t="s">
        <v>2696</v>
      </c>
      <c r="D487" t="s">
        <v>462</v>
      </c>
      <c r="E487">
        <v>20</v>
      </c>
      <c r="F487">
        <v>301</v>
      </c>
      <c r="G487">
        <v>15.05</v>
      </c>
    </row>
    <row r="488" spans="1:7" x14ac:dyDescent="0.3">
      <c r="A488" t="s">
        <v>734</v>
      </c>
      <c r="B488">
        <v>26627</v>
      </c>
      <c r="C488" t="s">
        <v>2652</v>
      </c>
      <c r="D488" t="s">
        <v>462</v>
      </c>
      <c r="E488">
        <v>60</v>
      </c>
      <c r="F488">
        <v>474</v>
      </c>
      <c r="G488">
        <v>7.9</v>
      </c>
    </row>
    <row r="489" spans="1:7" x14ac:dyDescent="0.3">
      <c r="A489" t="s">
        <v>734</v>
      </c>
      <c r="B489">
        <v>20351</v>
      </c>
      <c r="C489" t="s">
        <v>2630</v>
      </c>
      <c r="D489" t="s">
        <v>462</v>
      </c>
      <c r="E489">
        <v>4</v>
      </c>
      <c r="F489">
        <v>1275.5999999999999</v>
      </c>
      <c r="G489">
        <v>318.89999999999998</v>
      </c>
    </row>
    <row r="490" spans="1:7" x14ac:dyDescent="0.3">
      <c r="A490" t="s">
        <v>734</v>
      </c>
      <c r="B490">
        <v>18773</v>
      </c>
      <c r="C490" t="s">
        <v>2651</v>
      </c>
      <c r="D490" t="s">
        <v>462</v>
      </c>
      <c r="E490">
        <v>20</v>
      </c>
      <c r="F490">
        <v>1358</v>
      </c>
      <c r="G490">
        <v>67.900000000000006</v>
      </c>
    </row>
    <row r="491" spans="1:7" x14ac:dyDescent="0.3">
      <c r="A491" t="s">
        <v>734</v>
      </c>
      <c r="B491">
        <v>28836</v>
      </c>
      <c r="C491" t="s">
        <v>2645</v>
      </c>
      <c r="D491" t="s">
        <v>462</v>
      </c>
      <c r="E491">
        <v>30.5</v>
      </c>
      <c r="F491">
        <v>2714.5</v>
      </c>
      <c r="G491">
        <v>89</v>
      </c>
    </row>
    <row r="492" spans="1:7" x14ac:dyDescent="0.3">
      <c r="A492" t="s">
        <v>734</v>
      </c>
      <c r="B492">
        <v>29327</v>
      </c>
      <c r="C492" t="s">
        <v>2675</v>
      </c>
      <c r="D492" t="s">
        <v>462</v>
      </c>
      <c r="E492">
        <v>72</v>
      </c>
      <c r="F492">
        <v>300.24</v>
      </c>
      <c r="G492">
        <v>4.17</v>
      </c>
    </row>
    <row r="493" spans="1:7" x14ac:dyDescent="0.3">
      <c r="A493" t="s">
        <v>734</v>
      </c>
      <c r="B493">
        <v>29322</v>
      </c>
      <c r="C493" t="s">
        <v>2671</v>
      </c>
      <c r="D493" t="s">
        <v>462</v>
      </c>
      <c r="E493">
        <v>72</v>
      </c>
      <c r="F493">
        <v>449.28</v>
      </c>
      <c r="G493">
        <v>6.24</v>
      </c>
    </row>
    <row r="494" spans="1:7" x14ac:dyDescent="0.3">
      <c r="A494" t="s">
        <v>734</v>
      </c>
      <c r="B494">
        <v>29884</v>
      </c>
      <c r="C494" t="s">
        <v>2670</v>
      </c>
      <c r="D494" t="s">
        <v>462</v>
      </c>
      <c r="E494">
        <v>2</v>
      </c>
      <c r="F494">
        <v>1492</v>
      </c>
      <c r="G494">
        <v>746</v>
      </c>
    </row>
    <row r="495" spans="1:7" x14ac:dyDescent="0.3">
      <c r="A495" t="s">
        <v>734</v>
      </c>
      <c r="B495">
        <v>27775</v>
      </c>
      <c r="C495" t="s">
        <v>2672</v>
      </c>
      <c r="D495" t="s">
        <v>462</v>
      </c>
      <c r="E495">
        <v>100</v>
      </c>
      <c r="F495">
        <v>1460</v>
      </c>
      <c r="G495">
        <v>14.6</v>
      </c>
    </row>
    <row r="496" spans="1:7" x14ac:dyDescent="0.3">
      <c r="A496" t="s">
        <v>734</v>
      </c>
      <c r="B496">
        <v>28658</v>
      </c>
      <c r="C496" t="s">
        <v>2667</v>
      </c>
      <c r="D496" t="s">
        <v>462</v>
      </c>
      <c r="E496">
        <v>8</v>
      </c>
      <c r="F496">
        <v>1976</v>
      </c>
      <c r="G496">
        <v>247</v>
      </c>
    </row>
    <row r="497" spans="1:7" x14ac:dyDescent="0.3">
      <c r="A497" t="s">
        <v>734</v>
      </c>
      <c r="B497">
        <v>29880</v>
      </c>
      <c r="C497" t="s">
        <v>2658</v>
      </c>
      <c r="D497" t="s">
        <v>462</v>
      </c>
      <c r="E497">
        <v>4</v>
      </c>
      <c r="F497">
        <v>4622.32</v>
      </c>
      <c r="G497">
        <v>1155.58</v>
      </c>
    </row>
    <row r="498" spans="1:7" x14ac:dyDescent="0.3">
      <c r="A498" t="s">
        <v>734</v>
      </c>
      <c r="B498">
        <v>26673</v>
      </c>
      <c r="C498" t="s">
        <v>2686</v>
      </c>
      <c r="D498" t="s">
        <v>462</v>
      </c>
      <c r="E498">
        <v>3</v>
      </c>
      <c r="F498">
        <v>227.7</v>
      </c>
      <c r="G498">
        <v>75.900000000000006</v>
      </c>
    </row>
    <row r="499" spans="1:7" x14ac:dyDescent="0.3">
      <c r="A499" t="s">
        <v>734</v>
      </c>
      <c r="B499">
        <v>29392</v>
      </c>
      <c r="C499" t="s">
        <v>2692</v>
      </c>
      <c r="D499" t="s">
        <v>462</v>
      </c>
      <c r="E499">
        <v>6</v>
      </c>
      <c r="F499">
        <v>255.78</v>
      </c>
      <c r="G499">
        <v>42.63</v>
      </c>
    </row>
    <row r="500" spans="1:7" x14ac:dyDescent="0.3">
      <c r="A500" t="s">
        <v>734</v>
      </c>
      <c r="B500">
        <v>28614</v>
      </c>
      <c r="C500" t="s">
        <v>2673</v>
      </c>
      <c r="D500" t="s">
        <v>462</v>
      </c>
      <c r="E500">
        <v>6</v>
      </c>
      <c r="F500">
        <v>453.36</v>
      </c>
      <c r="G500">
        <v>75.56</v>
      </c>
    </row>
    <row r="501" spans="1:7" x14ac:dyDescent="0.3">
      <c r="A501" t="s">
        <v>734</v>
      </c>
      <c r="B501">
        <v>29885</v>
      </c>
      <c r="C501" t="s">
        <v>2189</v>
      </c>
      <c r="D501" t="s">
        <v>462</v>
      </c>
      <c r="E501">
        <v>4</v>
      </c>
      <c r="F501">
        <v>880</v>
      </c>
      <c r="G501">
        <v>220</v>
      </c>
    </row>
    <row r="502" spans="1:7" x14ac:dyDescent="0.3">
      <c r="A502" t="s">
        <v>734</v>
      </c>
      <c r="B502">
        <v>21017</v>
      </c>
      <c r="C502" t="s">
        <v>2608</v>
      </c>
      <c r="D502" t="s">
        <v>462</v>
      </c>
      <c r="E502">
        <v>3</v>
      </c>
      <c r="F502">
        <v>476.7</v>
      </c>
      <c r="G502">
        <v>158.9</v>
      </c>
    </row>
    <row r="503" spans="1:7" x14ac:dyDescent="0.3">
      <c r="A503" t="s">
        <v>734</v>
      </c>
      <c r="B503">
        <v>24393</v>
      </c>
      <c r="C503" t="s">
        <v>2640</v>
      </c>
      <c r="D503" t="s">
        <v>462</v>
      </c>
      <c r="E503">
        <v>30</v>
      </c>
      <c r="F503">
        <v>419.7</v>
      </c>
      <c r="G503">
        <v>13.99</v>
      </c>
    </row>
    <row r="504" spans="1:7" x14ac:dyDescent="0.3">
      <c r="A504" t="s">
        <v>734</v>
      </c>
      <c r="B504">
        <v>24517</v>
      </c>
      <c r="C504" t="s">
        <v>2638</v>
      </c>
      <c r="D504" t="s">
        <v>462</v>
      </c>
      <c r="E504">
        <v>203</v>
      </c>
      <c r="F504">
        <v>5420.1</v>
      </c>
      <c r="G504">
        <v>26.7</v>
      </c>
    </row>
    <row r="505" spans="1:7" x14ac:dyDescent="0.3">
      <c r="A505" t="s">
        <v>734</v>
      </c>
      <c r="B505">
        <v>24416</v>
      </c>
      <c r="C505" t="s">
        <v>2639</v>
      </c>
      <c r="D505" t="s">
        <v>462</v>
      </c>
      <c r="E505">
        <v>35</v>
      </c>
      <c r="F505">
        <v>542.5</v>
      </c>
      <c r="G505">
        <v>15.5</v>
      </c>
    </row>
    <row r="506" spans="1:7" x14ac:dyDescent="0.3">
      <c r="A506" t="s">
        <v>734</v>
      </c>
      <c r="B506">
        <v>27335</v>
      </c>
      <c r="C506" t="s">
        <v>2680</v>
      </c>
      <c r="D506" t="s">
        <v>462</v>
      </c>
      <c r="E506">
        <v>5</v>
      </c>
      <c r="F506">
        <v>137.94999999999999</v>
      </c>
      <c r="G506">
        <v>27.59</v>
      </c>
    </row>
    <row r="507" spans="1:7" x14ac:dyDescent="0.3">
      <c r="A507" t="s">
        <v>734</v>
      </c>
      <c r="B507">
        <v>29878</v>
      </c>
      <c r="C507" t="s">
        <v>2665</v>
      </c>
      <c r="D507" t="s">
        <v>462</v>
      </c>
      <c r="E507">
        <v>2</v>
      </c>
      <c r="F507">
        <v>18520</v>
      </c>
      <c r="G507">
        <v>9260</v>
      </c>
    </row>
    <row r="508" spans="1:7" x14ac:dyDescent="0.3">
      <c r="A508" t="s">
        <v>734</v>
      </c>
      <c r="B508">
        <v>29911</v>
      </c>
      <c r="C508" t="s">
        <v>2663</v>
      </c>
      <c r="D508" t="s">
        <v>462</v>
      </c>
      <c r="E508">
        <v>2</v>
      </c>
      <c r="F508">
        <v>19120</v>
      </c>
      <c r="G508">
        <v>9560</v>
      </c>
    </row>
    <row r="509" spans="1:7" x14ac:dyDescent="0.3">
      <c r="A509" t="s">
        <v>734</v>
      </c>
      <c r="B509">
        <v>18682</v>
      </c>
      <c r="C509" t="s">
        <v>2636</v>
      </c>
      <c r="D509" t="s">
        <v>462</v>
      </c>
      <c r="E509">
        <v>30</v>
      </c>
      <c r="F509">
        <v>839.7</v>
      </c>
      <c r="G509">
        <v>27.99</v>
      </c>
    </row>
    <row r="510" spans="1:7" x14ac:dyDescent="0.3">
      <c r="A510" t="s">
        <v>734</v>
      </c>
      <c r="B510">
        <v>29879</v>
      </c>
      <c r="C510" t="s">
        <v>2661</v>
      </c>
      <c r="D510" t="s">
        <v>462</v>
      </c>
      <c r="E510">
        <v>4</v>
      </c>
      <c r="F510">
        <v>4416</v>
      </c>
      <c r="G510">
        <v>1104</v>
      </c>
    </row>
    <row r="511" spans="1:7" x14ac:dyDescent="0.3">
      <c r="A511" t="s">
        <v>734</v>
      </c>
      <c r="B511">
        <v>26443</v>
      </c>
      <c r="C511" t="s">
        <v>2219</v>
      </c>
      <c r="D511" t="s">
        <v>462</v>
      </c>
      <c r="E511">
        <v>22.96</v>
      </c>
      <c r="F511">
        <v>803.6</v>
      </c>
      <c r="G511">
        <v>35</v>
      </c>
    </row>
    <row r="512" spans="1:7" x14ac:dyDescent="0.3">
      <c r="A512" t="s">
        <v>734</v>
      </c>
      <c r="B512">
        <v>19291</v>
      </c>
      <c r="C512" t="s">
        <v>2633</v>
      </c>
      <c r="D512" t="s">
        <v>462</v>
      </c>
      <c r="E512">
        <v>124.7</v>
      </c>
      <c r="F512">
        <v>7482</v>
      </c>
      <c r="G512">
        <v>60</v>
      </c>
    </row>
    <row r="513" spans="1:7" x14ac:dyDescent="0.3">
      <c r="A513" t="s">
        <v>734</v>
      </c>
      <c r="B513">
        <v>24718</v>
      </c>
      <c r="C513" t="s">
        <v>2149</v>
      </c>
      <c r="D513" t="s">
        <v>462</v>
      </c>
      <c r="E513">
        <v>10</v>
      </c>
      <c r="F513">
        <v>260.3</v>
      </c>
      <c r="G513">
        <v>26.03</v>
      </c>
    </row>
    <row r="514" spans="1:7" x14ac:dyDescent="0.3">
      <c r="A514" t="s">
        <v>734</v>
      </c>
      <c r="B514">
        <v>19264</v>
      </c>
      <c r="C514" t="s">
        <v>2620</v>
      </c>
      <c r="D514" t="s">
        <v>462</v>
      </c>
      <c r="E514">
        <v>12</v>
      </c>
      <c r="F514">
        <v>717.36</v>
      </c>
      <c r="G514">
        <v>59.78</v>
      </c>
    </row>
    <row r="515" spans="1:7" x14ac:dyDescent="0.3">
      <c r="A515" t="s">
        <v>734</v>
      </c>
      <c r="B515">
        <v>29341</v>
      </c>
      <c r="C515" t="s">
        <v>2695</v>
      </c>
      <c r="D515" t="s">
        <v>462</v>
      </c>
      <c r="E515">
        <v>5</v>
      </c>
      <c r="F515">
        <v>448.95</v>
      </c>
      <c r="G515">
        <v>89.79</v>
      </c>
    </row>
    <row r="516" spans="1:7" x14ac:dyDescent="0.3">
      <c r="A516" t="s">
        <v>734</v>
      </c>
      <c r="B516">
        <v>17212</v>
      </c>
      <c r="C516" t="s">
        <v>2641</v>
      </c>
      <c r="D516" t="s">
        <v>462</v>
      </c>
      <c r="E516">
        <v>5</v>
      </c>
      <c r="F516">
        <v>1150</v>
      </c>
      <c r="G516">
        <v>230</v>
      </c>
    </row>
    <row r="517" spans="1:7" x14ac:dyDescent="0.3">
      <c r="A517" t="s">
        <v>734</v>
      </c>
      <c r="B517">
        <v>25233</v>
      </c>
      <c r="C517" t="s">
        <v>2236</v>
      </c>
      <c r="D517" t="s">
        <v>462</v>
      </c>
      <c r="E517">
        <v>20</v>
      </c>
      <c r="F517">
        <v>2003.4</v>
      </c>
      <c r="G517">
        <v>100.17</v>
      </c>
    </row>
    <row r="518" spans="1:7" x14ac:dyDescent="0.3">
      <c r="A518" t="s">
        <v>734</v>
      </c>
      <c r="B518">
        <v>29886</v>
      </c>
      <c r="C518" t="s">
        <v>2669</v>
      </c>
      <c r="D518" t="s">
        <v>462</v>
      </c>
      <c r="E518">
        <v>15</v>
      </c>
      <c r="F518">
        <v>240</v>
      </c>
      <c r="G518">
        <v>16</v>
      </c>
    </row>
    <row r="519" spans="1:7" x14ac:dyDescent="0.3">
      <c r="A519" t="s">
        <v>734</v>
      </c>
      <c r="B519">
        <v>29877</v>
      </c>
      <c r="C519" t="s">
        <v>2666</v>
      </c>
      <c r="D519" t="s">
        <v>462</v>
      </c>
      <c r="E519">
        <v>1</v>
      </c>
      <c r="F519">
        <v>15131.78</v>
      </c>
      <c r="G519">
        <v>15131.78</v>
      </c>
    </row>
    <row r="520" spans="1:7" x14ac:dyDescent="0.3">
      <c r="A520" t="s">
        <v>734</v>
      </c>
      <c r="B520">
        <v>29321</v>
      </c>
      <c r="C520" t="s">
        <v>2681</v>
      </c>
      <c r="D520" t="s">
        <v>462</v>
      </c>
      <c r="E520">
        <v>20</v>
      </c>
      <c r="F520">
        <v>787.2</v>
      </c>
      <c r="G520">
        <v>39.36</v>
      </c>
    </row>
    <row r="521" spans="1:7" x14ac:dyDescent="0.3">
      <c r="A521" t="s">
        <v>734</v>
      </c>
      <c r="B521">
        <v>29883</v>
      </c>
      <c r="C521" t="s">
        <v>2662</v>
      </c>
      <c r="D521" t="s">
        <v>462</v>
      </c>
      <c r="E521">
        <v>200</v>
      </c>
      <c r="F521">
        <v>1312</v>
      </c>
      <c r="G521">
        <v>6.56</v>
      </c>
    </row>
    <row r="522" spans="1:7" x14ac:dyDescent="0.3">
      <c r="A522" t="s">
        <v>734</v>
      </c>
      <c r="B522">
        <v>29881</v>
      </c>
      <c r="C522" t="s">
        <v>2660</v>
      </c>
      <c r="D522" t="s">
        <v>462</v>
      </c>
      <c r="E522">
        <v>10</v>
      </c>
      <c r="F522">
        <v>1650</v>
      </c>
      <c r="G522">
        <v>165</v>
      </c>
    </row>
    <row r="523" spans="1:7" x14ac:dyDescent="0.3">
      <c r="A523" t="s">
        <v>734</v>
      </c>
      <c r="B523">
        <v>28713</v>
      </c>
      <c r="C523" t="s">
        <v>2753</v>
      </c>
      <c r="D523" t="s">
        <v>461</v>
      </c>
      <c r="E523">
        <v>1</v>
      </c>
      <c r="F523">
        <v>376.31</v>
      </c>
      <c r="G523">
        <v>376.31</v>
      </c>
    </row>
    <row r="524" spans="1:7" x14ac:dyDescent="0.3">
      <c r="A524" t="s">
        <v>734</v>
      </c>
      <c r="B524">
        <v>28637</v>
      </c>
      <c r="C524" t="s">
        <v>2754</v>
      </c>
      <c r="D524" t="s">
        <v>461</v>
      </c>
      <c r="E524">
        <v>1</v>
      </c>
      <c r="F524">
        <v>243.28</v>
      </c>
      <c r="G524">
        <v>243.28</v>
      </c>
    </row>
    <row r="525" spans="1:7" x14ac:dyDescent="0.3">
      <c r="A525" t="s">
        <v>734</v>
      </c>
      <c r="B525">
        <v>28559</v>
      </c>
      <c r="C525" t="s">
        <v>2750</v>
      </c>
      <c r="D525" t="s">
        <v>461</v>
      </c>
      <c r="E525">
        <v>1</v>
      </c>
      <c r="F525">
        <v>215.94</v>
      </c>
      <c r="G525">
        <v>215.94</v>
      </c>
    </row>
    <row r="526" spans="1:7" x14ac:dyDescent="0.3">
      <c r="A526" t="s">
        <v>734</v>
      </c>
      <c r="B526">
        <v>28459</v>
      </c>
      <c r="C526" t="s">
        <v>2742</v>
      </c>
      <c r="D526" t="s">
        <v>461</v>
      </c>
      <c r="E526">
        <v>1</v>
      </c>
      <c r="F526">
        <v>298.86</v>
      </c>
      <c r="G526">
        <v>298.86</v>
      </c>
    </row>
    <row r="527" spans="1:7" x14ac:dyDescent="0.3">
      <c r="A527" t="s">
        <v>734</v>
      </c>
      <c r="B527">
        <v>28717</v>
      </c>
      <c r="C527" t="s">
        <v>2747</v>
      </c>
      <c r="D527" t="s">
        <v>461</v>
      </c>
      <c r="E527">
        <v>1</v>
      </c>
      <c r="F527">
        <v>229.62</v>
      </c>
      <c r="G527">
        <v>229.62</v>
      </c>
    </row>
    <row r="528" spans="1:7" x14ac:dyDescent="0.3">
      <c r="A528" t="s">
        <v>734</v>
      </c>
      <c r="B528">
        <v>29263</v>
      </c>
      <c r="C528" t="s">
        <v>2740</v>
      </c>
      <c r="D528" t="s">
        <v>461</v>
      </c>
      <c r="E528">
        <v>48</v>
      </c>
      <c r="F528">
        <v>345.12</v>
      </c>
      <c r="G528">
        <v>7.19</v>
      </c>
    </row>
    <row r="529" spans="1:7" x14ac:dyDescent="0.3">
      <c r="A529" t="s">
        <v>734</v>
      </c>
      <c r="B529">
        <v>24716</v>
      </c>
      <c r="C529" t="s">
        <v>2702</v>
      </c>
      <c r="D529" t="s">
        <v>461</v>
      </c>
      <c r="E529">
        <v>204</v>
      </c>
      <c r="F529">
        <v>232.56</v>
      </c>
      <c r="G529">
        <v>1.1399999999999999</v>
      </c>
    </row>
    <row r="530" spans="1:7" x14ac:dyDescent="0.3">
      <c r="A530" t="s">
        <v>734</v>
      </c>
      <c r="B530">
        <v>27718</v>
      </c>
      <c r="C530" t="s">
        <v>2705</v>
      </c>
      <c r="D530" t="s">
        <v>461</v>
      </c>
      <c r="E530">
        <v>108</v>
      </c>
      <c r="F530">
        <v>181.44</v>
      </c>
      <c r="G530">
        <v>1.68</v>
      </c>
    </row>
    <row r="531" spans="1:7" x14ac:dyDescent="0.3">
      <c r="A531" t="s">
        <v>734</v>
      </c>
      <c r="B531">
        <v>25004</v>
      </c>
      <c r="C531" t="s">
        <v>2703</v>
      </c>
      <c r="D531" t="s">
        <v>461</v>
      </c>
      <c r="E531">
        <v>300</v>
      </c>
      <c r="F531">
        <v>1977</v>
      </c>
      <c r="G531">
        <v>6.59</v>
      </c>
    </row>
    <row r="532" spans="1:7" x14ac:dyDescent="0.3">
      <c r="A532" t="s">
        <v>734</v>
      </c>
      <c r="B532">
        <v>27421</v>
      </c>
      <c r="C532" t="s">
        <v>2708</v>
      </c>
      <c r="D532" t="s">
        <v>461</v>
      </c>
      <c r="E532">
        <v>156</v>
      </c>
      <c r="F532">
        <v>912.6</v>
      </c>
      <c r="G532">
        <v>5.85</v>
      </c>
    </row>
    <row r="533" spans="1:7" x14ac:dyDescent="0.3">
      <c r="A533" t="s">
        <v>734</v>
      </c>
      <c r="B533">
        <v>28750</v>
      </c>
      <c r="C533" t="s">
        <v>2701</v>
      </c>
      <c r="D533" t="s">
        <v>461</v>
      </c>
      <c r="E533">
        <v>2</v>
      </c>
      <c r="F533">
        <v>1068.6400000000001</v>
      </c>
      <c r="G533">
        <v>534.32000000000005</v>
      </c>
    </row>
    <row r="534" spans="1:7" x14ac:dyDescent="0.3">
      <c r="A534" t="s">
        <v>734</v>
      </c>
      <c r="B534">
        <v>24861</v>
      </c>
      <c r="C534" t="s">
        <v>2730</v>
      </c>
      <c r="D534" t="s">
        <v>461</v>
      </c>
      <c r="E534">
        <v>816</v>
      </c>
      <c r="F534">
        <v>1215.8399999999999</v>
      </c>
      <c r="G534">
        <v>1.49</v>
      </c>
    </row>
    <row r="535" spans="1:7" x14ac:dyDescent="0.3">
      <c r="A535" t="s">
        <v>734</v>
      </c>
      <c r="B535">
        <v>24871</v>
      </c>
      <c r="C535" t="s">
        <v>2729</v>
      </c>
      <c r="D535" t="s">
        <v>461</v>
      </c>
      <c r="E535">
        <v>408</v>
      </c>
      <c r="F535">
        <v>2460.2399999999998</v>
      </c>
      <c r="G535">
        <v>6.03</v>
      </c>
    </row>
    <row r="536" spans="1:7" x14ac:dyDescent="0.3">
      <c r="A536" t="s">
        <v>734</v>
      </c>
      <c r="B536">
        <v>24550</v>
      </c>
      <c r="C536" t="s">
        <v>2733</v>
      </c>
      <c r="D536" t="s">
        <v>461</v>
      </c>
      <c r="E536">
        <v>1800</v>
      </c>
      <c r="F536">
        <v>10386</v>
      </c>
      <c r="G536">
        <v>5.77</v>
      </c>
    </row>
    <row r="537" spans="1:7" x14ac:dyDescent="0.3">
      <c r="A537" t="s">
        <v>734</v>
      </c>
      <c r="B537">
        <v>29246</v>
      </c>
      <c r="C537" t="s">
        <v>2737</v>
      </c>
      <c r="D537" t="s">
        <v>461</v>
      </c>
      <c r="E537">
        <v>24</v>
      </c>
      <c r="F537">
        <v>196.56</v>
      </c>
      <c r="G537">
        <v>8.19</v>
      </c>
    </row>
    <row r="538" spans="1:7" x14ac:dyDescent="0.3">
      <c r="A538" t="s">
        <v>734</v>
      </c>
      <c r="B538">
        <v>24714</v>
      </c>
      <c r="C538" t="s">
        <v>2727</v>
      </c>
      <c r="D538" t="s">
        <v>461</v>
      </c>
      <c r="E538">
        <v>216</v>
      </c>
      <c r="F538">
        <v>516.24</v>
      </c>
      <c r="G538">
        <v>2.39</v>
      </c>
    </row>
    <row r="539" spans="1:7" x14ac:dyDescent="0.3">
      <c r="A539" t="s">
        <v>734</v>
      </c>
      <c r="B539">
        <v>25192</v>
      </c>
      <c r="C539" t="s">
        <v>2731</v>
      </c>
      <c r="D539" t="s">
        <v>461</v>
      </c>
      <c r="E539">
        <v>612</v>
      </c>
      <c r="F539">
        <v>3151.8</v>
      </c>
      <c r="G539">
        <v>5.15</v>
      </c>
    </row>
    <row r="540" spans="1:7" x14ac:dyDescent="0.3">
      <c r="A540" t="s">
        <v>734</v>
      </c>
      <c r="B540">
        <v>27422</v>
      </c>
      <c r="C540" t="s">
        <v>2707</v>
      </c>
      <c r="D540" t="s">
        <v>461</v>
      </c>
      <c r="E540">
        <v>300</v>
      </c>
      <c r="F540">
        <v>2697</v>
      </c>
      <c r="G540">
        <v>8.99</v>
      </c>
    </row>
    <row r="541" spans="1:7" x14ac:dyDescent="0.3">
      <c r="A541" t="s">
        <v>734</v>
      </c>
      <c r="B541">
        <v>24545</v>
      </c>
      <c r="C541" t="s">
        <v>2700</v>
      </c>
      <c r="D541" t="s">
        <v>461</v>
      </c>
      <c r="E541">
        <v>600</v>
      </c>
      <c r="F541">
        <v>6090</v>
      </c>
      <c r="G541">
        <v>10.15</v>
      </c>
    </row>
    <row r="542" spans="1:7" x14ac:dyDescent="0.3">
      <c r="A542" t="s">
        <v>734</v>
      </c>
      <c r="B542">
        <v>29318</v>
      </c>
      <c r="C542" t="s">
        <v>2718</v>
      </c>
      <c r="D542" t="s">
        <v>461</v>
      </c>
      <c r="E542">
        <v>5</v>
      </c>
      <c r="F542">
        <v>246</v>
      </c>
      <c r="G542">
        <v>49.2</v>
      </c>
    </row>
    <row r="543" spans="1:7" x14ac:dyDescent="0.3">
      <c r="A543" t="s">
        <v>734</v>
      </c>
      <c r="B543">
        <v>27590</v>
      </c>
      <c r="C543" t="s">
        <v>2719</v>
      </c>
      <c r="D543" t="s">
        <v>461</v>
      </c>
      <c r="E543">
        <v>5</v>
      </c>
      <c r="F543">
        <v>653.29999999999995</v>
      </c>
      <c r="G543">
        <v>130.66</v>
      </c>
    </row>
    <row r="544" spans="1:7" x14ac:dyDescent="0.3">
      <c r="A544" t="s">
        <v>734</v>
      </c>
      <c r="B544">
        <v>27461</v>
      </c>
      <c r="C544" t="s">
        <v>2716</v>
      </c>
      <c r="D544" t="s">
        <v>461</v>
      </c>
      <c r="E544">
        <v>5</v>
      </c>
      <c r="F544">
        <v>787.55</v>
      </c>
      <c r="G544">
        <v>157.51</v>
      </c>
    </row>
    <row r="545" spans="1:7" x14ac:dyDescent="0.3">
      <c r="A545" t="s">
        <v>734</v>
      </c>
      <c r="B545">
        <v>28238</v>
      </c>
      <c r="C545" t="s">
        <v>2711</v>
      </c>
      <c r="D545" t="s">
        <v>461</v>
      </c>
      <c r="E545">
        <v>2</v>
      </c>
      <c r="F545">
        <v>572.98</v>
      </c>
      <c r="G545">
        <v>286.49</v>
      </c>
    </row>
    <row r="546" spans="1:7" x14ac:dyDescent="0.3">
      <c r="A546" t="s">
        <v>734</v>
      </c>
      <c r="B546">
        <v>29041</v>
      </c>
      <c r="C546" t="s">
        <v>2713</v>
      </c>
      <c r="D546" t="s">
        <v>461</v>
      </c>
      <c r="E546">
        <v>2</v>
      </c>
      <c r="F546">
        <v>458.28</v>
      </c>
      <c r="G546">
        <v>229.14</v>
      </c>
    </row>
    <row r="547" spans="1:7" x14ac:dyDescent="0.3">
      <c r="A547" t="s">
        <v>734</v>
      </c>
      <c r="B547">
        <v>29319</v>
      </c>
      <c r="C547" t="s">
        <v>2712</v>
      </c>
      <c r="D547" t="s">
        <v>461</v>
      </c>
      <c r="E547">
        <v>5</v>
      </c>
      <c r="F547">
        <v>539.25</v>
      </c>
      <c r="G547">
        <v>107.85</v>
      </c>
    </row>
    <row r="548" spans="1:7" x14ac:dyDescent="0.3">
      <c r="A548" t="s">
        <v>734</v>
      </c>
      <c r="B548">
        <v>24544</v>
      </c>
      <c r="C548" t="s">
        <v>2706</v>
      </c>
      <c r="D548" t="s">
        <v>461</v>
      </c>
      <c r="E548">
        <v>456</v>
      </c>
      <c r="F548">
        <v>3005.04</v>
      </c>
      <c r="G548">
        <v>6.59</v>
      </c>
    </row>
    <row r="549" spans="1:7" x14ac:dyDescent="0.3">
      <c r="A549" t="s">
        <v>734</v>
      </c>
      <c r="B549">
        <v>28920</v>
      </c>
      <c r="C549" t="s">
        <v>2709</v>
      </c>
      <c r="D549" t="s">
        <v>461</v>
      </c>
      <c r="E549">
        <v>252</v>
      </c>
      <c r="F549">
        <v>607.32000000000005</v>
      </c>
      <c r="G549">
        <v>2.41</v>
      </c>
    </row>
    <row r="550" spans="1:7" x14ac:dyDescent="0.3">
      <c r="A550" t="s">
        <v>734</v>
      </c>
      <c r="B550">
        <v>25008</v>
      </c>
      <c r="C550" t="s">
        <v>2704</v>
      </c>
      <c r="D550" t="s">
        <v>461</v>
      </c>
      <c r="E550">
        <v>300</v>
      </c>
      <c r="F550">
        <v>1755</v>
      </c>
      <c r="G550">
        <v>5.85</v>
      </c>
    </row>
    <row r="551" spans="1:7" x14ac:dyDescent="0.3">
      <c r="A551" t="s">
        <v>734</v>
      </c>
      <c r="B551">
        <v>28938</v>
      </c>
      <c r="C551" t="s">
        <v>2748</v>
      </c>
      <c r="D551" t="s">
        <v>461</v>
      </c>
      <c r="E551">
        <v>1</v>
      </c>
      <c r="F551">
        <v>235.08</v>
      </c>
      <c r="G551">
        <v>235.08</v>
      </c>
    </row>
    <row r="552" spans="1:7" x14ac:dyDescent="0.3">
      <c r="A552" t="s">
        <v>734</v>
      </c>
      <c r="B552">
        <v>29663</v>
      </c>
      <c r="C552" t="s">
        <v>2717</v>
      </c>
      <c r="D552" t="s">
        <v>461</v>
      </c>
      <c r="E552">
        <v>6</v>
      </c>
      <c r="F552">
        <v>701.88</v>
      </c>
      <c r="G552">
        <v>116.98</v>
      </c>
    </row>
    <row r="553" spans="1:7" x14ac:dyDescent="0.3">
      <c r="A553" t="s">
        <v>734</v>
      </c>
      <c r="B553">
        <v>29316</v>
      </c>
      <c r="C553" t="s">
        <v>2715</v>
      </c>
      <c r="D553" t="s">
        <v>461</v>
      </c>
      <c r="E553">
        <v>2</v>
      </c>
      <c r="F553">
        <v>260.08</v>
      </c>
      <c r="G553">
        <v>130.04</v>
      </c>
    </row>
    <row r="554" spans="1:7" x14ac:dyDescent="0.3">
      <c r="A554" t="s">
        <v>734</v>
      </c>
      <c r="B554">
        <v>28919</v>
      </c>
      <c r="C554" t="s">
        <v>2710</v>
      </c>
      <c r="D554" t="s">
        <v>461</v>
      </c>
      <c r="E554">
        <v>18</v>
      </c>
      <c r="F554">
        <v>1072.6199999999999</v>
      </c>
      <c r="G554">
        <v>59.59</v>
      </c>
    </row>
    <row r="555" spans="1:7" x14ac:dyDescent="0.3">
      <c r="A555" t="s">
        <v>734</v>
      </c>
      <c r="B555">
        <v>29317</v>
      </c>
      <c r="C555" t="s">
        <v>2720</v>
      </c>
      <c r="D555" t="s">
        <v>461</v>
      </c>
      <c r="E555">
        <v>15</v>
      </c>
      <c r="F555">
        <v>266.39999999999998</v>
      </c>
      <c r="G555">
        <v>17.760000000000002</v>
      </c>
    </row>
    <row r="556" spans="1:7" x14ac:dyDescent="0.3">
      <c r="A556" t="s">
        <v>734</v>
      </c>
      <c r="B556">
        <v>28711</v>
      </c>
      <c r="C556" t="s">
        <v>2751</v>
      </c>
      <c r="D556" t="s">
        <v>461</v>
      </c>
      <c r="E556">
        <v>1</v>
      </c>
      <c r="F556">
        <v>288.83999999999997</v>
      </c>
      <c r="G556">
        <v>288.83999999999997</v>
      </c>
    </row>
    <row r="557" spans="1:7" x14ac:dyDescent="0.3">
      <c r="A557" t="s">
        <v>734</v>
      </c>
      <c r="B557">
        <v>27900</v>
      </c>
      <c r="C557" t="s">
        <v>2722</v>
      </c>
      <c r="D557" t="s">
        <v>461</v>
      </c>
      <c r="E557">
        <v>100</v>
      </c>
      <c r="F557">
        <v>5051</v>
      </c>
      <c r="G557">
        <v>50.51</v>
      </c>
    </row>
    <row r="558" spans="1:7" x14ac:dyDescent="0.3">
      <c r="A558" t="s">
        <v>734</v>
      </c>
      <c r="B558">
        <v>28000</v>
      </c>
      <c r="C558" t="s">
        <v>2723</v>
      </c>
      <c r="D558" t="s">
        <v>461</v>
      </c>
      <c r="E558">
        <v>100</v>
      </c>
      <c r="F558">
        <v>4945</v>
      </c>
      <c r="G558">
        <v>49.45</v>
      </c>
    </row>
    <row r="559" spans="1:7" x14ac:dyDescent="0.3">
      <c r="A559" t="s">
        <v>734</v>
      </c>
      <c r="B559">
        <v>27870</v>
      </c>
      <c r="C559" t="s">
        <v>2724</v>
      </c>
      <c r="D559" t="s">
        <v>461</v>
      </c>
      <c r="E559">
        <v>130</v>
      </c>
      <c r="F559">
        <v>7325.5</v>
      </c>
      <c r="G559">
        <v>56.35</v>
      </c>
    </row>
    <row r="560" spans="1:7" x14ac:dyDescent="0.3">
      <c r="A560" t="s">
        <v>734</v>
      </c>
      <c r="B560">
        <v>29255</v>
      </c>
      <c r="C560" t="s">
        <v>2122</v>
      </c>
      <c r="D560" t="s">
        <v>461</v>
      </c>
      <c r="E560">
        <v>84</v>
      </c>
      <c r="F560">
        <v>3618.72</v>
      </c>
      <c r="G560">
        <v>43.08</v>
      </c>
    </row>
    <row r="561" spans="1:7" x14ac:dyDescent="0.3">
      <c r="A561" t="s">
        <v>734</v>
      </c>
      <c r="B561">
        <v>29257</v>
      </c>
      <c r="C561" t="s">
        <v>2725</v>
      </c>
      <c r="D561" t="s">
        <v>461</v>
      </c>
      <c r="E561">
        <v>300</v>
      </c>
      <c r="F561">
        <v>8595</v>
      </c>
      <c r="G561">
        <v>28.65</v>
      </c>
    </row>
    <row r="562" spans="1:7" x14ac:dyDescent="0.3">
      <c r="A562" t="s">
        <v>734</v>
      </c>
      <c r="B562">
        <v>29315</v>
      </c>
      <c r="C562" t="s">
        <v>2714</v>
      </c>
      <c r="D562" t="s">
        <v>461</v>
      </c>
      <c r="E562">
        <v>20</v>
      </c>
      <c r="F562">
        <v>341.6</v>
      </c>
      <c r="G562">
        <v>17.079999999999998</v>
      </c>
    </row>
    <row r="563" spans="1:7" x14ac:dyDescent="0.3">
      <c r="A563" t="s">
        <v>734</v>
      </c>
      <c r="B563">
        <v>26282</v>
      </c>
      <c r="C563" t="s">
        <v>2738</v>
      </c>
      <c r="D563" t="s">
        <v>461</v>
      </c>
      <c r="E563">
        <v>108</v>
      </c>
      <c r="F563">
        <v>1285.2</v>
      </c>
      <c r="G563">
        <v>11.9</v>
      </c>
    </row>
    <row r="564" spans="1:7" x14ac:dyDescent="0.3">
      <c r="A564" t="s">
        <v>734</v>
      </c>
      <c r="B564">
        <v>25175</v>
      </c>
      <c r="C564" t="s">
        <v>2312</v>
      </c>
      <c r="D564" t="s">
        <v>461</v>
      </c>
      <c r="E564">
        <v>120</v>
      </c>
      <c r="F564">
        <v>1154.4000000000001</v>
      </c>
      <c r="G564">
        <v>9.6199999999999992</v>
      </c>
    </row>
    <row r="565" spans="1:7" x14ac:dyDescent="0.3">
      <c r="A565" t="s">
        <v>734</v>
      </c>
      <c r="B565">
        <v>25177</v>
      </c>
      <c r="C565" t="s">
        <v>2736</v>
      </c>
      <c r="D565" t="s">
        <v>461</v>
      </c>
      <c r="E565">
        <v>54</v>
      </c>
      <c r="F565">
        <v>1020.6</v>
      </c>
      <c r="G565">
        <v>18.899999999999999</v>
      </c>
    </row>
    <row r="566" spans="1:7" x14ac:dyDescent="0.3">
      <c r="A566" t="s">
        <v>734</v>
      </c>
      <c r="B566">
        <v>29243</v>
      </c>
      <c r="C566" t="s">
        <v>2732</v>
      </c>
      <c r="D566" t="s">
        <v>461</v>
      </c>
      <c r="E566">
        <v>150</v>
      </c>
      <c r="F566">
        <v>1980</v>
      </c>
      <c r="G566">
        <v>13.2</v>
      </c>
    </row>
    <row r="567" spans="1:7" x14ac:dyDescent="0.3">
      <c r="A567" t="s">
        <v>734</v>
      </c>
      <c r="B567">
        <v>25180</v>
      </c>
      <c r="C567" t="s">
        <v>2735</v>
      </c>
      <c r="D567" t="s">
        <v>461</v>
      </c>
      <c r="E567">
        <v>84</v>
      </c>
      <c r="F567">
        <v>1504.44</v>
      </c>
      <c r="G567">
        <v>17.91</v>
      </c>
    </row>
    <row r="568" spans="1:7" x14ac:dyDescent="0.3">
      <c r="A568" t="s">
        <v>734</v>
      </c>
      <c r="B568">
        <v>17077</v>
      </c>
      <c r="C568" t="s">
        <v>2739</v>
      </c>
      <c r="D568" t="s">
        <v>461</v>
      </c>
      <c r="E568">
        <v>10</v>
      </c>
      <c r="F568">
        <v>1198.8</v>
      </c>
      <c r="G568">
        <v>119.88</v>
      </c>
    </row>
    <row r="569" spans="1:7" x14ac:dyDescent="0.3">
      <c r="A569" t="s">
        <v>734</v>
      </c>
      <c r="B569">
        <v>26280</v>
      </c>
      <c r="C569" t="s">
        <v>2734</v>
      </c>
      <c r="D569" t="s">
        <v>461</v>
      </c>
      <c r="E569">
        <v>252</v>
      </c>
      <c r="F569">
        <v>2950.92</v>
      </c>
      <c r="G569">
        <v>11.71</v>
      </c>
    </row>
    <row r="570" spans="1:7" x14ac:dyDescent="0.3">
      <c r="A570" t="s">
        <v>734</v>
      </c>
      <c r="B570">
        <v>27471</v>
      </c>
      <c r="C570" t="s">
        <v>2728</v>
      </c>
      <c r="D570" t="s">
        <v>461</v>
      </c>
      <c r="E570">
        <v>96</v>
      </c>
      <c r="F570">
        <v>1045.44</v>
      </c>
      <c r="G570">
        <v>10.89</v>
      </c>
    </row>
    <row r="571" spans="1:7" x14ac:dyDescent="0.3">
      <c r="A571" t="s">
        <v>734</v>
      </c>
      <c r="B571">
        <v>17080</v>
      </c>
      <c r="C571" t="s">
        <v>2726</v>
      </c>
      <c r="D571" t="s">
        <v>461</v>
      </c>
      <c r="E571">
        <v>84</v>
      </c>
      <c r="F571">
        <v>1217.1600000000001</v>
      </c>
      <c r="G571">
        <v>14.49</v>
      </c>
    </row>
    <row r="572" spans="1:7" x14ac:dyDescent="0.3">
      <c r="A572" t="s">
        <v>734</v>
      </c>
      <c r="B572">
        <v>28718</v>
      </c>
      <c r="C572" t="s">
        <v>2746</v>
      </c>
      <c r="D572" t="s">
        <v>461</v>
      </c>
      <c r="E572">
        <v>1</v>
      </c>
      <c r="F572">
        <v>302.86</v>
      </c>
      <c r="G572">
        <v>302.86</v>
      </c>
    </row>
    <row r="573" spans="1:7" x14ac:dyDescent="0.3">
      <c r="A573" t="s">
        <v>734</v>
      </c>
      <c r="B573">
        <v>28937</v>
      </c>
      <c r="C573" t="s">
        <v>2749</v>
      </c>
      <c r="D573" t="s">
        <v>461</v>
      </c>
      <c r="E573">
        <v>1</v>
      </c>
      <c r="F573">
        <v>284.76</v>
      </c>
      <c r="G573">
        <v>284.76</v>
      </c>
    </row>
    <row r="574" spans="1:7" x14ac:dyDescent="0.3">
      <c r="A574" t="s">
        <v>734</v>
      </c>
      <c r="B574">
        <v>28712</v>
      </c>
      <c r="C574" t="s">
        <v>2752</v>
      </c>
      <c r="D574" t="s">
        <v>461</v>
      </c>
      <c r="E574">
        <v>1</v>
      </c>
      <c r="F574">
        <v>239.9</v>
      </c>
      <c r="G574">
        <v>239.9</v>
      </c>
    </row>
    <row r="575" spans="1:7" x14ac:dyDescent="0.3">
      <c r="A575" t="s">
        <v>734</v>
      </c>
      <c r="B575">
        <v>28714</v>
      </c>
      <c r="C575" t="s">
        <v>2745</v>
      </c>
      <c r="D575" t="s">
        <v>461</v>
      </c>
      <c r="E575">
        <v>1</v>
      </c>
      <c r="F575">
        <v>332.38</v>
      </c>
      <c r="G575">
        <v>332.38</v>
      </c>
    </row>
    <row r="576" spans="1:7" x14ac:dyDescent="0.3">
      <c r="A576" t="s">
        <v>734</v>
      </c>
      <c r="B576">
        <v>28639</v>
      </c>
      <c r="C576" t="s">
        <v>2744</v>
      </c>
      <c r="D576" t="s">
        <v>461</v>
      </c>
      <c r="E576">
        <v>1</v>
      </c>
      <c r="F576">
        <v>468.56</v>
      </c>
      <c r="G576">
        <v>468.56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defaultRowHeight="14.4" x14ac:dyDescent="0.3"/>
  <sheetData>
    <row r="1" spans="1:5" x14ac:dyDescent="0.3">
      <c r="A1" t="s">
        <v>2764</v>
      </c>
      <c r="B1" t="s">
        <v>547</v>
      </c>
      <c r="C1" t="s">
        <v>713</v>
      </c>
      <c r="D1" t="s">
        <v>2765</v>
      </c>
      <c r="E1" t="s">
        <v>551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9"/>
  <sheetViews>
    <sheetView workbookViewId="0"/>
  </sheetViews>
  <sheetFormatPr defaultRowHeight="14.4" x14ac:dyDescent="0.3"/>
  <sheetData>
    <row r="1" spans="1:12" x14ac:dyDescent="0.3">
      <c r="A1" t="s">
        <v>2766</v>
      </c>
      <c r="B1" t="s">
        <v>2767</v>
      </c>
      <c r="C1" t="s">
        <v>2768</v>
      </c>
      <c r="D1" t="s">
        <v>2078</v>
      </c>
      <c r="E1" t="s">
        <v>2769</v>
      </c>
      <c r="F1" t="s">
        <v>2770</v>
      </c>
      <c r="G1" t="s">
        <v>2771</v>
      </c>
      <c r="H1" t="s">
        <v>2081</v>
      </c>
      <c r="I1" t="s">
        <v>2080</v>
      </c>
      <c r="J1" t="s">
        <v>551</v>
      </c>
      <c r="K1" t="s">
        <v>2772</v>
      </c>
      <c r="L1" t="s">
        <v>725</v>
      </c>
    </row>
    <row r="2" spans="1:12" x14ac:dyDescent="0.3">
      <c r="A2">
        <v>3174</v>
      </c>
      <c r="B2" t="s">
        <v>2773</v>
      </c>
      <c r="C2" t="s">
        <v>734</v>
      </c>
      <c r="D2">
        <v>18618</v>
      </c>
      <c r="E2" t="s">
        <v>2774</v>
      </c>
      <c r="F2" t="s">
        <v>2775</v>
      </c>
      <c r="G2" t="s">
        <v>2088</v>
      </c>
      <c r="H2" t="s">
        <v>2118</v>
      </c>
      <c r="I2">
        <v>17</v>
      </c>
      <c r="J2" t="s">
        <v>460</v>
      </c>
      <c r="K2">
        <v>1417.46</v>
      </c>
      <c r="L2" t="s">
        <v>2776</v>
      </c>
    </row>
    <row r="3" spans="1:12" x14ac:dyDescent="0.3">
      <c r="A3">
        <v>3175</v>
      </c>
      <c r="B3" t="s">
        <v>552</v>
      </c>
      <c r="C3" t="s">
        <v>734</v>
      </c>
      <c r="D3">
        <v>18618</v>
      </c>
      <c r="E3" t="s">
        <v>2774</v>
      </c>
      <c r="F3" t="s">
        <v>2775</v>
      </c>
      <c r="G3" t="s">
        <v>2088</v>
      </c>
      <c r="H3" t="s">
        <v>2118</v>
      </c>
      <c r="I3">
        <v>17</v>
      </c>
      <c r="J3" t="s">
        <v>460</v>
      </c>
      <c r="K3">
        <v>1417.46</v>
      </c>
      <c r="L3" t="s">
        <v>2777</v>
      </c>
    </row>
    <row r="4" spans="1:12" x14ac:dyDescent="0.3">
      <c r="A4">
        <v>3239</v>
      </c>
      <c r="B4" t="s">
        <v>2778</v>
      </c>
      <c r="C4" t="s">
        <v>734</v>
      </c>
      <c r="D4">
        <v>29167</v>
      </c>
      <c r="E4" t="s">
        <v>2779</v>
      </c>
      <c r="F4" t="s">
        <v>2779</v>
      </c>
      <c r="G4" t="s">
        <v>2110</v>
      </c>
      <c r="H4" t="s">
        <v>2101</v>
      </c>
      <c r="I4">
        <v>120</v>
      </c>
      <c r="J4" t="s">
        <v>461</v>
      </c>
      <c r="K4">
        <v>2217.6</v>
      </c>
      <c r="L4" t="s">
        <v>2780</v>
      </c>
    </row>
    <row r="5" spans="1:12" x14ac:dyDescent="0.3">
      <c r="A5">
        <v>3240</v>
      </c>
      <c r="B5" t="s">
        <v>2778</v>
      </c>
      <c r="C5" t="s">
        <v>734</v>
      </c>
      <c r="D5">
        <v>24543</v>
      </c>
      <c r="E5" t="s">
        <v>2126</v>
      </c>
      <c r="F5" t="s">
        <v>2781</v>
      </c>
      <c r="G5" t="s">
        <v>2088</v>
      </c>
      <c r="H5" t="s">
        <v>2118</v>
      </c>
      <c r="I5">
        <v>2</v>
      </c>
      <c r="J5" t="s">
        <v>461</v>
      </c>
      <c r="K5">
        <v>92</v>
      </c>
      <c r="L5" t="s">
        <v>2782</v>
      </c>
    </row>
    <row r="6" spans="1:12" x14ac:dyDescent="0.3">
      <c r="A6">
        <v>3241</v>
      </c>
      <c r="B6" t="s">
        <v>2778</v>
      </c>
      <c r="C6" t="s">
        <v>734</v>
      </c>
      <c r="D6">
        <v>24543</v>
      </c>
      <c r="E6" t="s">
        <v>2126</v>
      </c>
      <c r="F6" t="s">
        <v>2781</v>
      </c>
      <c r="G6" t="s">
        <v>2088</v>
      </c>
      <c r="H6" t="s">
        <v>2118</v>
      </c>
      <c r="I6">
        <v>3</v>
      </c>
      <c r="J6" t="s">
        <v>461</v>
      </c>
      <c r="K6">
        <v>138</v>
      </c>
    </row>
    <row r="7" spans="1:12" x14ac:dyDescent="0.3">
      <c r="A7">
        <v>3242</v>
      </c>
      <c r="B7" t="s">
        <v>2778</v>
      </c>
      <c r="C7" t="s">
        <v>734</v>
      </c>
      <c r="D7">
        <v>24543</v>
      </c>
      <c r="E7" t="s">
        <v>2126</v>
      </c>
      <c r="F7" t="s">
        <v>2781</v>
      </c>
      <c r="G7" t="s">
        <v>2088</v>
      </c>
      <c r="H7" t="s">
        <v>2118</v>
      </c>
      <c r="I7">
        <v>2</v>
      </c>
      <c r="J7" t="s">
        <v>461</v>
      </c>
      <c r="K7">
        <v>92</v>
      </c>
      <c r="L7" t="s">
        <v>2782</v>
      </c>
    </row>
    <row r="8" spans="1:12" x14ac:dyDescent="0.3">
      <c r="A8">
        <v>3273</v>
      </c>
      <c r="B8" t="s">
        <v>2778</v>
      </c>
      <c r="C8" t="s">
        <v>734</v>
      </c>
      <c r="D8">
        <v>29167</v>
      </c>
      <c r="E8" t="s">
        <v>2779</v>
      </c>
      <c r="F8" t="s">
        <v>2779</v>
      </c>
      <c r="G8" t="s">
        <v>2110</v>
      </c>
      <c r="H8" t="s">
        <v>2101</v>
      </c>
      <c r="I8">
        <v>120</v>
      </c>
      <c r="J8" t="s">
        <v>461</v>
      </c>
      <c r="K8">
        <v>2217.6</v>
      </c>
      <c r="L8" t="s">
        <v>2783</v>
      </c>
    </row>
    <row r="9" spans="1:12" x14ac:dyDescent="0.3">
      <c r="A9">
        <v>3555</v>
      </c>
      <c r="B9" t="s">
        <v>552</v>
      </c>
      <c r="C9" t="s">
        <v>734</v>
      </c>
      <c r="D9">
        <v>18617</v>
      </c>
      <c r="E9" t="s">
        <v>2784</v>
      </c>
      <c r="F9" t="s">
        <v>2775</v>
      </c>
      <c r="G9" t="s">
        <v>2088</v>
      </c>
      <c r="H9" t="s">
        <v>2111</v>
      </c>
      <c r="I9">
        <v>83.39</v>
      </c>
      <c r="J9" t="s">
        <v>462</v>
      </c>
      <c r="K9">
        <v>583.73</v>
      </c>
      <c r="L9" t="s">
        <v>2785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"/>
  <sheetViews>
    <sheetView workbookViewId="0"/>
  </sheetViews>
  <sheetFormatPr defaultRowHeight="14.4" x14ac:dyDescent="0.3"/>
  <sheetData>
    <row r="1" spans="1:7" x14ac:dyDescent="0.3">
      <c r="A1" t="s">
        <v>2786</v>
      </c>
      <c r="B1" t="s">
        <v>547</v>
      </c>
      <c r="C1" t="s">
        <v>2787</v>
      </c>
      <c r="D1" t="s">
        <v>551</v>
      </c>
      <c r="E1" t="s">
        <v>2788</v>
      </c>
      <c r="F1" t="s">
        <v>550</v>
      </c>
      <c r="G1" t="s">
        <v>2789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"/>
  <sheetViews>
    <sheetView workbookViewId="0"/>
  </sheetViews>
  <sheetFormatPr defaultRowHeight="14.4" x14ac:dyDescent="0.3"/>
  <sheetData>
    <row r="1" spans="1:10" x14ac:dyDescent="0.3">
      <c r="A1" t="s">
        <v>2790</v>
      </c>
      <c r="B1" t="s">
        <v>547</v>
      </c>
      <c r="C1" t="s">
        <v>2077</v>
      </c>
      <c r="D1" t="s">
        <v>551</v>
      </c>
      <c r="E1" t="s">
        <v>2791</v>
      </c>
      <c r="F1" t="s">
        <v>2081</v>
      </c>
      <c r="G1" t="s">
        <v>2080</v>
      </c>
      <c r="H1" t="s">
        <v>2792</v>
      </c>
      <c r="I1" t="s">
        <v>2086</v>
      </c>
      <c r="J1" t="s">
        <v>1946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"/>
  <sheetViews>
    <sheetView workbookViewId="0"/>
  </sheetViews>
  <sheetFormatPr defaultRowHeight="14.4" x14ac:dyDescent="0.3"/>
  <sheetData>
    <row r="1" spans="1:9" x14ac:dyDescent="0.3">
      <c r="A1" t="s">
        <v>2793</v>
      </c>
      <c r="B1" t="s">
        <v>547</v>
      </c>
      <c r="C1" t="s">
        <v>548</v>
      </c>
      <c r="D1" t="s">
        <v>2794</v>
      </c>
      <c r="E1" t="s">
        <v>2795</v>
      </c>
      <c r="F1" t="s">
        <v>2796</v>
      </c>
      <c r="G1" t="s">
        <v>2797</v>
      </c>
      <c r="H1" t="s">
        <v>2798</v>
      </c>
      <c r="I1" t="s">
        <v>551</v>
      </c>
    </row>
    <row r="2" spans="1:9" x14ac:dyDescent="0.3">
      <c r="A2">
        <v>173</v>
      </c>
      <c r="B2" t="s">
        <v>734</v>
      </c>
      <c r="C2">
        <v>6</v>
      </c>
      <c r="D2">
        <v>2026</v>
      </c>
      <c r="E2" t="s">
        <v>833</v>
      </c>
      <c r="F2" t="s">
        <v>350</v>
      </c>
      <c r="G2">
        <v>-51709.73</v>
      </c>
      <c r="H2" t="s">
        <v>2799</v>
      </c>
      <c r="I2" t="s">
        <v>2800</v>
      </c>
    </row>
    <row r="3" spans="1:9" x14ac:dyDescent="0.3">
      <c r="A3">
        <v>173</v>
      </c>
      <c r="B3" t="s">
        <v>734</v>
      </c>
      <c r="C3">
        <v>6</v>
      </c>
      <c r="D3">
        <v>2026</v>
      </c>
      <c r="E3" t="s">
        <v>263</v>
      </c>
      <c r="F3" t="s">
        <v>271</v>
      </c>
      <c r="G3">
        <v>51709.73</v>
      </c>
      <c r="H3" t="s">
        <v>2799</v>
      </c>
      <c r="I3" t="s">
        <v>2800</v>
      </c>
    </row>
    <row r="4" spans="1:9" x14ac:dyDescent="0.3">
      <c r="A4">
        <v>173</v>
      </c>
      <c r="B4" t="s">
        <v>734</v>
      </c>
      <c r="C4">
        <v>5</v>
      </c>
      <c r="D4">
        <v>2026</v>
      </c>
      <c r="E4" t="s">
        <v>263</v>
      </c>
      <c r="F4" t="s">
        <v>271</v>
      </c>
      <c r="G4">
        <v>30611.4</v>
      </c>
      <c r="H4" t="s">
        <v>2801</v>
      </c>
      <c r="I4" t="s">
        <v>2802</v>
      </c>
    </row>
    <row r="5" spans="1:9" x14ac:dyDescent="0.3">
      <c r="A5">
        <v>173</v>
      </c>
      <c r="B5" t="s">
        <v>734</v>
      </c>
      <c r="C5">
        <v>5</v>
      </c>
      <c r="D5">
        <v>2026</v>
      </c>
      <c r="E5" t="s">
        <v>833</v>
      </c>
      <c r="F5" t="s">
        <v>350</v>
      </c>
      <c r="G5">
        <v>-30611.4</v>
      </c>
      <c r="H5" t="s">
        <v>2803</v>
      </c>
      <c r="I5" t="s">
        <v>2802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3"/>
  <sheetViews>
    <sheetView workbookViewId="0"/>
  </sheetViews>
  <sheetFormatPr defaultRowHeight="14.4" x14ac:dyDescent="0.3"/>
  <sheetData>
    <row r="1" spans="1:9" x14ac:dyDescent="0.3">
      <c r="A1" t="s">
        <v>2804</v>
      </c>
      <c r="B1" t="s">
        <v>2805</v>
      </c>
      <c r="C1" t="s">
        <v>2806</v>
      </c>
      <c r="D1" t="s">
        <v>2793</v>
      </c>
      <c r="E1" t="s">
        <v>547</v>
      </c>
      <c r="F1" t="s">
        <v>548</v>
      </c>
      <c r="G1" t="s">
        <v>2794</v>
      </c>
      <c r="H1" t="s">
        <v>550</v>
      </c>
      <c r="I1" t="s">
        <v>551</v>
      </c>
    </row>
    <row r="2" spans="1:9" x14ac:dyDescent="0.3">
      <c r="A2">
        <v>123614017600</v>
      </c>
      <c r="B2" t="s">
        <v>2807</v>
      </c>
      <c r="C2" t="s">
        <v>2808</v>
      </c>
      <c r="D2">
        <v>173</v>
      </c>
      <c r="E2" t="s">
        <v>734</v>
      </c>
      <c r="F2">
        <v>6</v>
      </c>
      <c r="G2">
        <v>2026</v>
      </c>
      <c r="H2">
        <v>772.31</v>
      </c>
      <c r="I2" t="s">
        <v>2800</v>
      </c>
    </row>
    <row r="3" spans="1:9" x14ac:dyDescent="0.3">
      <c r="A3">
        <v>123087199800</v>
      </c>
      <c r="B3" t="s">
        <v>2809</v>
      </c>
      <c r="C3" t="s">
        <v>2810</v>
      </c>
      <c r="D3">
        <v>173</v>
      </c>
      <c r="E3" t="s">
        <v>734</v>
      </c>
      <c r="F3">
        <v>6</v>
      </c>
      <c r="G3">
        <v>2026</v>
      </c>
      <c r="H3">
        <v>241.08</v>
      </c>
      <c r="I3" t="s">
        <v>2800</v>
      </c>
    </row>
    <row r="4" spans="1:9" x14ac:dyDescent="0.3">
      <c r="A4">
        <v>125464710430</v>
      </c>
      <c r="B4" t="s">
        <v>2811</v>
      </c>
      <c r="C4" t="s">
        <v>2810</v>
      </c>
      <c r="D4">
        <v>173</v>
      </c>
      <c r="E4" t="s">
        <v>734</v>
      </c>
      <c r="F4">
        <v>6</v>
      </c>
      <c r="G4">
        <v>2026</v>
      </c>
      <c r="H4">
        <v>530.54</v>
      </c>
      <c r="I4" t="s">
        <v>2800</v>
      </c>
    </row>
    <row r="5" spans="1:9" x14ac:dyDescent="0.3">
      <c r="A5">
        <v>122804357820</v>
      </c>
      <c r="B5" t="s">
        <v>2812</v>
      </c>
      <c r="C5" t="s">
        <v>2810</v>
      </c>
      <c r="D5">
        <v>173</v>
      </c>
      <c r="E5" t="s">
        <v>734</v>
      </c>
      <c r="F5">
        <v>6</v>
      </c>
      <c r="G5">
        <v>2026</v>
      </c>
      <c r="H5">
        <v>1221.48</v>
      </c>
      <c r="I5" t="s">
        <v>2800</v>
      </c>
    </row>
    <row r="6" spans="1:9" x14ac:dyDescent="0.3">
      <c r="A6">
        <v>124774138210</v>
      </c>
      <c r="B6" t="s">
        <v>2813</v>
      </c>
      <c r="C6" t="s">
        <v>2810</v>
      </c>
      <c r="D6">
        <v>173</v>
      </c>
      <c r="E6" t="s">
        <v>734</v>
      </c>
      <c r="F6">
        <v>6</v>
      </c>
      <c r="G6">
        <v>2026</v>
      </c>
      <c r="H6">
        <v>49.04</v>
      </c>
      <c r="I6" t="s">
        <v>2800</v>
      </c>
    </row>
    <row r="7" spans="1:9" x14ac:dyDescent="0.3">
      <c r="A7">
        <v>123031572760</v>
      </c>
      <c r="B7" t="s">
        <v>2814</v>
      </c>
      <c r="C7" t="s">
        <v>2810</v>
      </c>
      <c r="D7">
        <v>173</v>
      </c>
      <c r="E7" t="s">
        <v>734</v>
      </c>
      <c r="F7">
        <v>6</v>
      </c>
      <c r="G7">
        <v>2026</v>
      </c>
      <c r="H7">
        <v>582.71</v>
      </c>
      <c r="I7" t="s">
        <v>2800</v>
      </c>
    </row>
    <row r="8" spans="1:9" x14ac:dyDescent="0.3">
      <c r="A8">
        <v>123614017600</v>
      </c>
      <c r="B8" t="s">
        <v>2807</v>
      </c>
      <c r="C8" t="s">
        <v>2808</v>
      </c>
      <c r="D8">
        <v>173</v>
      </c>
      <c r="E8" t="s">
        <v>734</v>
      </c>
      <c r="F8">
        <v>5</v>
      </c>
      <c r="G8">
        <v>2026</v>
      </c>
      <c r="H8">
        <v>1054.76</v>
      </c>
      <c r="I8" t="s">
        <v>2802</v>
      </c>
    </row>
    <row r="9" spans="1:9" x14ac:dyDescent="0.3">
      <c r="A9">
        <v>123087199800</v>
      </c>
      <c r="B9" t="s">
        <v>2809</v>
      </c>
      <c r="C9" t="s">
        <v>2810</v>
      </c>
      <c r="D9">
        <v>173</v>
      </c>
      <c r="E9" t="s">
        <v>734</v>
      </c>
      <c r="F9">
        <v>5</v>
      </c>
      <c r="G9">
        <v>2026</v>
      </c>
      <c r="H9">
        <v>338.76</v>
      </c>
      <c r="I9" t="s">
        <v>2802</v>
      </c>
    </row>
    <row r="10" spans="1:9" x14ac:dyDescent="0.3">
      <c r="A10">
        <v>125464710430</v>
      </c>
      <c r="B10" t="s">
        <v>2811</v>
      </c>
      <c r="C10" t="s">
        <v>2810</v>
      </c>
      <c r="D10">
        <v>173</v>
      </c>
      <c r="E10" t="s">
        <v>734</v>
      </c>
      <c r="F10">
        <v>5</v>
      </c>
      <c r="G10">
        <v>2026</v>
      </c>
      <c r="H10">
        <v>132.21</v>
      </c>
      <c r="I10" t="s">
        <v>2802</v>
      </c>
    </row>
    <row r="11" spans="1:9" x14ac:dyDescent="0.3">
      <c r="A11">
        <v>124774138210</v>
      </c>
      <c r="B11" t="s">
        <v>2813</v>
      </c>
      <c r="C11" t="s">
        <v>2810</v>
      </c>
      <c r="D11">
        <v>173</v>
      </c>
      <c r="E11" t="s">
        <v>734</v>
      </c>
      <c r="F11">
        <v>5</v>
      </c>
      <c r="G11">
        <v>2026</v>
      </c>
      <c r="H11">
        <v>362.72</v>
      </c>
      <c r="I11" t="s">
        <v>2802</v>
      </c>
    </row>
    <row r="12" spans="1:9" x14ac:dyDescent="0.3">
      <c r="A12">
        <v>123031572760</v>
      </c>
      <c r="B12" t="s">
        <v>2814</v>
      </c>
      <c r="C12" t="s">
        <v>2810</v>
      </c>
      <c r="D12">
        <v>173</v>
      </c>
      <c r="E12" t="s">
        <v>734</v>
      </c>
      <c r="F12">
        <v>5</v>
      </c>
      <c r="G12">
        <v>2026</v>
      </c>
      <c r="H12">
        <v>329.82</v>
      </c>
      <c r="I12" t="s">
        <v>2802</v>
      </c>
    </row>
    <row r="13" spans="1:9" x14ac:dyDescent="0.3">
      <c r="A13">
        <v>124774138210</v>
      </c>
      <c r="B13" t="s">
        <v>2813</v>
      </c>
      <c r="C13" t="s">
        <v>2810</v>
      </c>
      <c r="D13">
        <v>173</v>
      </c>
      <c r="E13" t="s">
        <v>734</v>
      </c>
      <c r="F13">
        <v>4</v>
      </c>
      <c r="G13">
        <v>2026</v>
      </c>
      <c r="H13">
        <v>370.48</v>
      </c>
      <c r="I13" t="s">
        <v>710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849"/>
  <sheetViews>
    <sheetView workbookViewId="0"/>
  </sheetViews>
  <sheetFormatPr defaultRowHeight="14.4" x14ac:dyDescent="0.3"/>
  <sheetData>
    <row r="1" spans="1:8" x14ac:dyDescent="0.3">
      <c r="A1" t="s">
        <v>547</v>
      </c>
      <c r="B1" t="s">
        <v>2815</v>
      </c>
      <c r="C1" t="s">
        <v>2816</v>
      </c>
      <c r="D1" t="s">
        <v>548</v>
      </c>
      <c r="E1" t="s">
        <v>550</v>
      </c>
      <c r="F1" t="s">
        <v>2817</v>
      </c>
      <c r="G1" t="s">
        <v>2818</v>
      </c>
      <c r="H1" t="s">
        <v>551</v>
      </c>
    </row>
    <row r="2" spans="1:8" x14ac:dyDescent="0.3">
      <c r="A2" t="s">
        <v>734</v>
      </c>
      <c r="B2" t="s">
        <v>255</v>
      </c>
      <c r="C2" t="s">
        <v>256</v>
      </c>
      <c r="D2" t="s">
        <v>2819</v>
      </c>
      <c r="E2">
        <v>0</v>
      </c>
      <c r="F2" t="s">
        <v>2820</v>
      </c>
      <c r="G2" t="b">
        <v>1</v>
      </c>
      <c r="H2" t="s">
        <v>704</v>
      </c>
    </row>
    <row r="3" spans="1:8" x14ac:dyDescent="0.3">
      <c r="A3" t="s">
        <v>734</v>
      </c>
      <c r="B3" t="s">
        <v>255</v>
      </c>
      <c r="C3" t="s">
        <v>256</v>
      </c>
      <c r="D3" t="s">
        <v>2821</v>
      </c>
      <c r="E3">
        <v>0</v>
      </c>
      <c r="F3" t="s">
        <v>2820</v>
      </c>
      <c r="G3" t="b">
        <v>1</v>
      </c>
      <c r="H3" t="s">
        <v>706</v>
      </c>
    </row>
    <row r="4" spans="1:8" x14ac:dyDescent="0.3">
      <c r="A4" t="s">
        <v>734</v>
      </c>
      <c r="B4" t="s">
        <v>255</v>
      </c>
      <c r="C4" t="s">
        <v>256</v>
      </c>
      <c r="D4" t="s">
        <v>2822</v>
      </c>
      <c r="E4">
        <v>0</v>
      </c>
      <c r="F4" t="s">
        <v>2820</v>
      </c>
      <c r="G4" t="b">
        <v>1</v>
      </c>
      <c r="H4" t="s">
        <v>708</v>
      </c>
    </row>
    <row r="5" spans="1:8" x14ac:dyDescent="0.3">
      <c r="A5" t="s">
        <v>734</v>
      </c>
      <c r="B5" t="s">
        <v>255</v>
      </c>
      <c r="C5" t="s">
        <v>256</v>
      </c>
      <c r="D5" t="s">
        <v>2823</v>
      </c>
      <c r="E5">
        <v>0</v>
      </c>
      <c r="F5" t="s">
        <v>2820</v>
      </c>
      <c r="G5" t="b">
        <v>1</v>
      </c>
      <c r="H5" t="s">
        <v>710</v>
      </c>
    </row>
    <row r="6" spans="1:8" x14ac:dyDescent="0.3">
      <c r="A6" t="s">
        <v>734</v>
      </c>
      <c r="B6" t="s">
        <v>255</v>
      </c>
      <c r="C6" t="s">
        <v>256</v>
      </c>
      <c r="D6" t="s">
        <v>2824</v>
      </c>
      <c r="E6">
        <v>0</v>
      </c>
      <c r="F6" t="s">
        <v>2820</v>
      </c>
      <c r="G6" t="b">
        <v>1</v>
      </c>
      <c r="H6" t="s">
        <v>2802</v>
      </c>
    </row>
    <row r="7" spans="1:8" x14ac:dyDescent="0.3">
      <c r="A7" t="s">
        <v>734</v>
      </c>
      <c r="B7" t="s">
        <v>255</v>
      </c>
      <c r="C7" t="s">
        <v>256</v>
      </c>
      <c r="D7" t="s">
        <v>2825</v>
      </c>
      <c r="E7">
        <v>0</v>
      </c>
      <c r="F7" t="s">
        <v>2820</v>
      </c>
      <c r="G7" t="b">
        <v>1</v>
      </c>
      <c r="H7" t="s">
        <v>2800</v>
      </c>
    </row>
    <row r="8" spans="1:8" x14ac:dyDescent="0.3">
      <c r="A8" t="s">
        <v>734</v>
      </c>
      <c r="B8" t="s">
        <v>255</v>
      </c>
      <c r="C8" t="s">
        <v>256</v>
      </c>
      <c r="D8" t="s">
        <v>2826</v>
      </c>
      <c r="E8">
        <v>0</v>
      </c>
      <c r="F8" t="s">
        <v>2820</v>
      </c>
      <c r="G8" t="b">
        <v>1</v>
      </c>
      <c r="H8" t="s">
        <v>1935</v>
      </c>
    </row>
    <row r="9" spans="1:8" x14ac:dyDescent="0.3">
      <c r="A9" t="s">
        <v>734</v>
      </c>
      <c r="B9" t="s">
        <v>255</v>
      </c>
      <c r="C9" t="s">
        <v>256</v>
      </c>
      <c r="D9" t="s">
        <v>2827</v>
      </c>
      <c r="E9">
        <v>146000</v>
      </c>
      <c r="F9" t="s">
        <v>2820</v>
      </c>
      <c r="G9" t="b">
        <v>1</v>
      </c>
      <c r="H9" t="s">
        <v>2828</v>
      </c>
    </row>
    <row r="10" spans="1:8" x14ac:dyDescent="0.3">
      <c r="A10" t="s">
        <v>734</v>
      </c>
      <c r="B10" t="s">
        <v>255</v>
      </c>
      <c r="C10" t="s">
        <v>256</v>
      </c>
      <c r="D10" t="s">
        <v>2829</v>
      </c>
      <c r="E10">
        <v>146000</v>
      </c>
      <c r="F10" t="s">
        <v>2820</v>
      </c>
      <c r="G10" t="b">
        <v>1</v>
      </c>
      <c r="H10" t="s">
        <v>2830</v>
      </c>
    </row>
    <row r="11" spans="1:8" x14ac:dyDescent="0.3">
      <c r="A11" t="s">
        <v>734</v>
      </c>
      <c r="B11" t="s">
        <v>255</v>
      </c>
      <c r="C11" t="s">
        <v>256</v>
      </c>
      <c r="D11" t="s">
        <v>2831</v>
      </c>
      <c r="E11">
        <v>146000</v>
      </c>
      <c r="F11" t="s">
        <v>2820</v>
      </c>
      <c r="G11" t="b">
        <v>1</v>
      </c>
      <c r="H11" t="s">
        <v>466</v>
      </c>
    </row>
    <row r="12" spans="1:8" x14ac:dyDescent="0.3">
      <c r="A12" t="s">
        <v>734</v>
      </c>
      <c r="B12" t="s">
        <v>255</v>
      </c>
      <c r="C12" t="s">
        <v>256</v>
      </c>
      <c r="D12" t="s">
        <v>2832</v>
      </c>
      <c r="E12">
        <v>146000</v>
      </c>
      <c r="F12" t="s">
        <v>2820</v>
      </c>
      <c r="G12" t="b">
        <v>1</v>
      </c>
      <c r="H12" t="s">
        <v>467</v>
      </c>
    </row>
    <row r="13" spans="1:8" x14ac:dyDescent="0.3">
      <c r="A13" t="s">
        <v>734</v>
      </c>
      <c r="B13" t="s">
        <v>255</v>
      </c>
      <c r="C13" t="s">
        <v>256</v>
      </c>
      <c r="D13" t="s">
        <v>2833</v>
      </c>
      <c r="E13">
        <v>146000</v>
      </c>
      <c r="F13" t="s">
        <v>2820</v>
      </c>
      <c r="G13" t="b">
        <v>1</v>
      </c>
      <c r="H13" t="s">
        <v>468</v>
      </c>
    </row>
    <row r="14" spans="1:8" x14ac:dyDescent="0.3">
      <c r="A14" t="s">
        <v>734</v>
      </c>
      <c r="B14" t="s">
        <v>255</v>
      </c>
      <c r="C14" t="s">
        <v>261</v>
      </c>
      <c r="D14" t="s">
        <v>2819</v>
      </c>
      <c r="E14">
        <v>0</v>
      </c>
      <c r="F14" t="s">
        <v>2820</v>
      </c>
      <c r="G14" t="b">
        <v>1</v>
      </c>
      <c r="H14" t="s">
        <v>704</v>
      </c>
    </row>
    <row r="15" spans="1:8" x14ac:dyDescent="0.3">
      <c r="A15" t="s">
        <v>734</v>
      </c>
      <c r="B15" t="s">
        <v>255</v>
      </c>
      <c r="C15" t="s">
        <v>261</v>
      </c>
      <c r="D15" t="s">
        <v>2821</v>
      </c>
      <c r="E15">
        <v>0</v>
      </c>
      <c r="F15" t="s">
        <v>2820</v>
      </c>
      <c r="G15" t="b">
        <v>1</v>
      </c>
      <c r="H15" t="s">
        <v>706</v>
      </c>
    </row>
    <row r="16" spans="1:8" x14ac:dyDescent="0.3">
      <c r="A16" t="s">
        <v>734</v>
      </c>
      <c r="B16" t="s">
        <v>255</v>
      </c>
      <c r="C16" t="s">
        <v>261</v>
      </c>
      <c r="D16" t="s">
        <v>2822</v>
      </c>
      <c r="E16">
        <v>0</v>
      </c>
      <c r="F16" t="s">
        <v>2820</v>
      </c>
      <c r="G16" t="b">
        <v>1</v>
      </c>
      <c r="H16" t="s">
        <v>708</v>
      </c>
    </row>
    <row r="17" spans="1:8" x14ac:dyDescent="0.3">
      <c r="A17" t="s">
        <v>734</v>
      </c>
      <c r="B17" t="s">
        <v>255</v>
      </c>
      <c r="C17" t="s">
        <v>261</v>
      </c>
      <c r="D17" t="s">
        <v>2823</v>
      </c>
      <c r="E17">
        <v>0</v>
      </c>
      <c r="F17" t="s">
        <v>2820</v>
      </c>
      <c r="G17" t="b">
        <v>1</v>
      </c>
      <c r="H17" t="s">
        <v>710</v>
      </c>
    </row>
    <row r="18" spans="1:8" x14ac:dyDescent="0.3">
      <c r="A18" t="s">
        <v>734</v>
      </c>
      <c r="B18" t="s">
        <v>255</v>
      </c>
      <c r="C18" t="s">
        <v>261</v>
      </c>
      <c r="D18" t="s">
        <v>2824</v>
      </c>
      <c r="E18">
        <v>0</v>
      </c>
      <c r="F18" t="s">
        <v>2820</v>
      </c>
      <c r="G18" t="b">
        <v>1</v>
      </c>
      <c r="H18" t="s">
        <v>2802</v>
      </c>
    </row>
    <row r="19" spans="1:8" x14ac:dyDescent="0.3">
      <c r="A19" t="s">
        <v>734</v>
      </c>
      <c r="B19" t="s">
        <v>255</v>
      </c>
      <c r="C19" t="s">
        <v>261</v>
      </c>
      <c r="D19" t="s">
        <v>2825</v>
      </c>
      <c r="E19">
        <v>0</v>
      </c>
      <c r="F19" t="s">
        <v>2820</v>
      </c>
      <c r="G19" t="b">
        <v>1</v>
      </c>
      <c r="H19" t="s">
        <v>2800</v>
      </c>
    </row>
    <row r="20" spans="1:8" x14ac:dyDescent="0.3">
      <c r="A20" t="s">
        <v>734</v>
      </c>
      <c r="B20" t="s">
        <v>255</v>
      </c>
      <c r="C20" t="s">
        <v>261</v>
      </c>
      <c r="D20" t="s">
        <v>2826</v>
      </c>
      <c r="E20">
        <v>0</v>
      </c>
      <c r="F20" t="s">
        <v>2820</v>
      </c>
      <c r="G20" t="b">
        <v>1</v>
      </c>
      <c r="H20" t="s">
        <v>1935</v>
      </c>
    </row>
    <row r="21" spans="1:8" x14ac:dyDescent="0.3">
      <c r="A21" t="s">
        <v>734</v>
      </c>
      <c r="B21" t="s">
        <v>255</v>
      </c>
      <c r="C21" t="s">
        <v>261</v>
      </c>
      <c r="D21" t="s">
        <v>2827</v>
      </c>
      <c r="E21">
        <v>0</v>
      </c>
      <c r="F21" t="s">
        <v>2820</v>
      </c>
      <c r="G21" t="b">
        <v>1</v>
      </c>
      <c r="H21" t="s">
        <v>2828</v>
      </c>
    </row>
    <row r="22" spans="1:8" x14ac:dyDescent="0.3">
      <c r="A22" t="s">
        <v>734</v>
      </c>
      <c r="B22" t="s">
        <v>255</v>
      </c>
      <c r="C22" t="s">
        <v>261</v>
      </c>
      <c r="D22" t="s">
        <v>2829</v>
      </c>
      <c r="E22">
        <v>0</v>
      </c>
      <c r="F22" t="s">
        <v>2820</v>
      </c>
      <c r="G22" t="b">
        <v>1</v>
      </c>
      <c r="H22" t="s">
        <v>2830</v>
      </c>
    </row>
    <row r="23" spans="1:8" x14ac:dyDescent="0.3">
      <c r="A23" t="s">
        <v>734</v>
      </c>
      <c r="B23" t="s">
        <v>255</v>
      </c>
      <c r="C23" t="s">
        <v>261</v>
      </c>
      <c r="D23" t="s">
        <v>2831</v>
      </c>
      <c r="E23">
        <v>0</v>
      </c>
      <c r="F23" t="s">
        <v>2820</v>
      </c>
      <c r="G23" t="b">
        <v>1</v>
      </c>
      <c r="H23" t="s">
        <v>466</v>
      </c>
    </row>
    <row r="24" spans="1:8" x14ac:dyDescent="0.3">
      <c r="A24" t="s">
        <v>734</v>
      </c>
      <c r="B24" t="s">
        <v>255</v>
      </c>
      <c r="C24" t="s">
        <v>261</v>
      </c>
      <c r="D24" t="s">
        <v>2832</v>
      </c>
      <c r="E24">
        <v>0</v>
      </c>
      <c r="F24" t="s">
        <v>2820</v>
      </c>
      <c r="G24" t="b">
        <v>1</v>
      </c>
      <c r="H24" t="s">
        <v>467</v>
      </c>
    </row>
    <row r="25" spans="1:8" x14ac:dyDescent="0.3">
      <c r="A25" t="s">
        <v>734</v>
      </c>
      <c r="B25" t="s">
        <v>255</v>
      </c>
      <c r="C25" t="s">
        <v>261</v>
      </c>
      <c r="D25" t="s">
        <v>2833</v>
      </c>
      <c r="E25">
        <v>0</v>
      </c>
      <c r="F25" t="s">
        <v>2820</v>
      </c>
      <c r="G25" t="b">
        <v>1</v>
      </c>
      <c r="H25" t="s">
        <v>468</v>
      </c>
    </row>
    <row r="26" spans="1:8" x14ac:dyDescent="0.3">
      <c r="A26" t="s">
        <v>734</v>
      </c>
      <c r="B26" t="s">
        <v>255</v>
      </c>
      <c r="C26" t="s">
        <v>257</v>
      </c>
      <c r="D26" t="s">
        <v>2819</v>
      </c>
      <c r="E26">
        <v>0</v>
      </c>
      <c r="F26" t="s">
        <v>2820</v>
      </c>
      <c r="G26" t="b">
        <v>1</v>
      </c>
      <c r="H26" t="s">
        <v>704</v>
      </c>
    </row>
    <row r="27" spans="1:8" x14ac:dyDescent="0.3">
      <c r="A27" t="s">
        <v>734</v>
      </c>
      <c r="B27" t="s">
        <v>255</v>
      </c>
      <c r="C27" t="s">
        <v>257</v>
      </c>
      <c r="D27" t="s">
        <v>2821</v>
      </c>
      <c r="E27">
        <v>0</v>
      </c>
      <c r="F27" t="s">
        <v>2820</v>
      </c>
      <c r="G27" t="b">
        <v>1</v>
      </c>
      <c r="H27" t="s">
        <v>706</v>
      </c>
    </row>
    <row r="28" spans="1:8" x14ac:dyDescent="0.3">
      <c r="A28" t="s">
        <v>734</v>
      </c>
      <c r="B28" t="s">
        <v>255</v>
      </c>
      <c r="C28" t="s">
        <v>257</v>
      </c>
      <c r="D28" t="s">
        <v>2822</v>
      </c>
      <c r="E28">
        <v>0</v>
      </c>
      <c r="F28" t="s">
        <v>2820</v>
      </c>
      <c r="G28" t="b">
        <v>1</v>
      </c>
      <c r="H28" t="s">
        <v>708</v>
      </c>
    </row>
    <row r="29" spans="1:8" x14ac:dyDescent="0.3">
      <c r="A29" t="s">
        <v>734</v>
      </c>
      <c r="B29" t="s">
        <v>255</v>
      </c>
      <c r="C29" t="s">
        <v>257</v>
      </c>
      <c r="D29" t="s">
        <v>2823</v>
      </c>
      <c r="E29">
        <v>0</v>
      </c>
      <c r="F29" t="s">
        <v>2820</v>
      </c>
      <c r="G29" t="b">
        <v>1</v>
      </c>
      <c r="H29" t="s">
        <v>710</v>
      </c>
    </row>
    <row r="30" spans="1:8" x14ac:dyDescent="0.3">
      <c r="A30" t="s">
        <v>734</v>
      </c>
      <c r="B30" t="s">
        <v>255</v>
      </c>
      <c r="C30" t="s">
        <v>257</v>
      </c>
      <c r="D30" t="s">
        <v>2824</v>
      </c>
      <c r="E30">
        <v>0</v>
      </c>
      <c r="F30" t="s">
        <v>2820</v>
      </c>
      <c r="G30" t="b">
        <v>1</v>
      </c>
      <c r="H30" t="s">
        <v>2802</v>
      </c>
    </row>
    <row r="31" spans="1:8" x14ac:dyDescent="0.3">
      <c r="A31" t="s">
        <v>734</v>
      </c>
      <c r="B31" t="s">
        <v>255</v>
      </c>
      <c r="C31" t="s">
        <v>257</v>
      </c>
      <c r="D31" t="s">
        <v>2825</v>
      </c>
      <c r="E31">
        <v>0</v>
      </c>
      <c r="F31" t="s">
        <v>2820</v>
      </c>
      <c r="G31" t="b">
        <v>1</v>
      </c>
      <c r="H31" t="s">
        <v>2800</v>
      </c>
    </row>
    <row r="32" spans="1:8" x14ac:dyDescent="0.3">
      <c r="A32" t="s">
        <v>734</v>
      </c>
      <c r="B32" t="s">
        <v>255</v>
      </c>
      <c r="C32" t="s">
        <v>257</v>
      </c>
      <c r="D32" t="s">
        <v>2826</v>
      </c>
      <c r="E32">
        <v>0</v>
      </c>
      <c r="F32" t="s">
        <v>2820</v>
      </c>
      <c r="G32" t="b">
        <v>1</v>
      </c>
      <c r="H32" t="s">
        <v>1935</v>
      </c>
    </row>
    <row r="33" spans="1:8" x14ac:dyDescent="0.3">
      <c r="A33" t="s">
        <v>734</v>
      </c>
      <c r="B33" t="s">
        <v>255</v>
      </c>
      <c r="C33" t="s">
        <v>257</v>
      </c>
      <c r="D33" t="s">
        <v>2827</v>
      </c>
      <c r="E33">
        <v>0</v>
      </c>
      <c r="F33" t="s">
        <v>2820</v>
      </c>
      <c r="G33" t="b">
        <v>1</v>
      </c>
      <c r="H33" t="s">
        <v>2828</v>
      </c>
    </row>
    <row r="34" spans="1:8" x14ac:dyDescent="0.3">
      <c r="A34" t="s">
        <v>734</v>
      </c>
      <c r="B34" t="s">
        <v>255</v>
      </c>
      <c r="C34" t="s">
        <v>257</v>
      </c>
      <c r="D34" t="s">
        <v>2829</v>
      </c>
      <c r="E34">
        <v>0</v>
      </c>
      <c r="F34" t="s">
        <v>2820</v>
      </c>
      <c r="G34" t="b">
        <v>1</v>
      </c>
      <c r="H34" t="s">
        <v>2830</v>
      </c>
    </row>
    <row r="35" spans="1:8" x14ac:dyDescent="0.3">
      <c r="A35" t="s">
        <v>734</v>
      </c>
      <c r="B35" t="s">
        <v>255</v>
      </c>
      <c r="C35" t="s">
        <v>257</v>
      </c>
      <c r="D35" t="s">
        <v>2831</v>
      </c>
      <c r="E35">
        <v>0</v>
      </c>
      <c r="F35" t="s">
        <v>2820</v>
      </c>
      <c r="G35" t="b">
        <v>1</v>
      </c>
      <c r="H35" t="s">
        <v>466</v>
      </c>
    </row>
    <row r="36" spans="1:8" x14ac:dyDescent="0.3">
      <c r="A36" t="s">
        <v>734</v>
      </c>
      <c r="B36" t="s">
        <v>255</v>
      </c>
      <c r="C36" t="s">
        <v>257</v>
      </c>
      <c r="D36" t="s">
        <v>2832</v>
      </c>
      <c r="E36">
        <v>0</v>
      </c>
      <c r="F36" t="s">
        <v>2820</v>
      </c>
      <c r="G36" t="b">
        <v>1</v>
      </c>
      <c r="H36" t="s">
        <v>467</v>
      </c>
    </row>
    <row r="37" spans="1:8" x14ac:dyDescent="0.3">
      <c r="A37" t="s">
        <v>734</v>
      </c>
      <c r="B37" t="s">
        <v>255</v>
      </c>
      <c r="C37" t="s">
        <v>257</v>
      </c>
      <c r="D37" t="s">
        <v>2833</v>
      </c>
      <c r="E37">
        <v>0</v>
      </c>
      <c r="F37" t="s">
        <v>2820</v>
      </c>
      <c r="G37" t="b">
        <v>1</v>
      </c>
      <c r="H37" t="s">
        <v>468</v>
      </c>
    </row>
    <row r="38" spans="1:8" x14ac:dyDescent="0.3">
      <c r="A38" t="s">
        <v>734</v>
      </c>
      <c r="B38" t="s">
        <v>255</v>
      </c>
      <c r="C38" t="s">
        <v>259</v>
      </c>
      <c r="D38" t="s">
        <v>2819</v>
      </c>
      <c r="E38">
        <v>0</v>
      </c>
      <c r="F38" t="s">
        <v>2820</v>
      </c>
      <c r="G38" t="b">
        <v>1</v>
      </c>
      <c r="H38" t="s">
        <v>704</v>
      </c>
    </row>
    <row r="39" spans="1:8" x14ac:dyDescent="0.3">
      <c r="A39" t="s">
        <v>734</v>
      </c>
      <c r="B39" t="s">
        <v>255</v>
      </c>
      <c r="C39" t="s">
        <v>259</v>
      </c>
      <c r="D39" t="s">
        <v>2821</v>
      </c>
      <c r="E39">
        <v>0</v>
      </c>
      <c r="F39" t="s">
        <v>2820</v>
      </c>
      <c r="G39" t="b">
        <v>1</v>
      </c>
      <c r="H39" t="s">
        <v>706</v>
      </c>
    </row>
    <row r="40" spans="1:8" x14ac:dyDescent="0.3">
      <c r="A40" t="s">
        <v>734</v>
      </c>
      <c r="B40" t="s">
        <v>255</v>
      </c>
      <c r="C40" t="s">
        <v>259</v>
      </c>
      <c r="D40" t="s">
        <v>2822</v>
      </c>
      <c r="E40">
        <v>0</v>
      </c>
      <c r="F40" t="s">
        <v>2820</v>
      </c>
      <c r="G40" t="b">
        <v>1</v>
      </c>
      <c r="H40" t="s">
        <v>708</v>
      </c>
    </row>
    <row r="41" spans="1:8" x14ac:dyDescent="0.3">
      <c r="A41" t="s">
        <v>734</v>
      </c>
      <c r="B41" t="s">
        <v>255</v>
      </c>
      <c r="C41" t="s">
        <v>259</v>
      </c>
      <c r="D41" t="s">
        <v>2823</v>
      </c>
      <c r="E41">
        <v>0</v>
      </c>
      <c r="F41" t="s">
        <v>2820</v>
      </c>
      <c r="G41" t="b">
        <v>1</v>
      </c>
      <c r="H41" t="s">
        <v>710</v>
      </c>
    </row>
    <row r="42" spans="1:8" x14ac:dyDescent="0.3">
      <c r="A42" t="s">
        <v>734</v>
      </c>
      <c r="B42" t="s">
        <v>255</v>
      </c>
      <c r="C42" t="s">
        <v>259</v>
      </c>
      <c r="D42" t="s">
        <v>2824</v>
      </c>
      <c r="E42">
        <v>0</v>
      </c>
      <c r="F42" t="s">
        <v>2820</v>
      </c>
      <c r="G42" t="b">
        <v>1</v>
      </c>
      <c r="H42" t="s">
        <v>2802</v>
      </c>
    </row>
    <row r="43" spans="1:8" x14ac:dyDescent="0.3">
      <c r="A43" t="s">
        <v>734</v>
      </c>
      <c r="B43" t="s">
        <v>255</v>
      </c>
      <c r="C43" t="s">
        <v>259</v>
      </c>
      <c r="D43" t="s">
        <v>2825</v>
      </c>
      <c r="E43">
        <v>0</v>
      </c>
      <c r="F43" t="s">
        <v>2820</v>
      </c>
      <c r="G43" t="b">
        <v>1</v>
      </c>
      <c r="H43" t="s">
        <v>2800</v>
      </c>
    </row>
    <row r="44" spans="1:8" x14ac:dyDescent="0.3">
      <c r="A44" t="s">
        <v>734</v>
      </c>
      <c r="B44" t="s">
        <v>255</v>
      </c>
      <c r="C44" t="s">
        <v>259</v>
      </c>
      <c r="D44" t="s">
        <v>2826</v>
      </c>
      <c r="E44">
        <v>0</v>
      </c>
      <c r="F44" t="s">
        <v>2820</v>
      </c>
      <c r="G44" t="b">
        <v>1</v>
      </c>
      <c r="H44" t="s">
        <v>1935</v>
      </c>
    </row>
    <row r="45" spans="1:8" x14ac:dyDescent="0.3">
      <c r="A45" t="s">
        <v>734</v>
      </c>
      <c r="B45" t="s">
        <v>255</v>
      </c>
      <c r="C45" t="s">
        <v>259</v>
      </c>
      <c r="D45" t="s">
        <v>2827</v>
      </c>
      <c r="E45">
        <v>0</v>
      </c>
      <c r="F45" t="s">
        <v>2820</v>
      </c>
      <c r="G45" t="b">
        <v>1</v>
      </c>
      <c r="H45" t="s">
        <v>2828</v>
      </c>
    </row>
    <row r="46" spans="1:8" x14ac:dyDescent="0.3">
      <c r="A46" t="s">
        <v>734</v>
      </c>
      <c r="B46" t="s">
        <v>255</v>
      </c>
      <c r="C46" t="s">
        <v>259</v>
      </c>
      <c r="D46" t="s">
        <v>2829</v>
      </c>
      <c r="E46">
        <v>0</v>
      </c>
      <c r="F46" t="s">
        <v>2820</v>
      </c>
      <c r="G46" t="b">
        <v>1</v>
      </c>
      <c r="H46" t="s">
        <v>2830</v>
      </c>
    </row>
    <row r="47" spans="1:8" x14ac:dyDescent="0.3">
      <c r="A47" t="s">
        <v>734</v>
      </c>
      <c r="B47" t="s">
        <v>255</v>
      </c>
      <c r="C47" t="s">
        <v>259</v>
      </c>
      <c r="D47" t="s">
        <v>2831</v>
      </c>
      <c r="E47">
        <v>0</v>
      </c>
      <c r="F47" t="s">
        <v>2820</v>
      </c>
      <c r="G47" t="b">
        <v>1</v>
      </c>
      <c r="H47" t="s">
        <v>466</v>
      </c>
    </row>
    <row r="48" spans="1:8" x14ac:dyDescent="0.3">
      <c r="A48" t="s">
        <v>734</v>
      </c>
      <c r="B48" t="s">
        <v>255</v>
      </c>
      <c r="C48" t="s">
        <v>259</v>
      </c>
      <c r="D48" t="s">
        <v>2832</v>
      </c>
      <c r="E48">
        <v>0</v>
      </c>
      <c r="F48" t="s">
        <v>2820</v>
      </c>
      <c r="G48" t="b">
        <v>1</v>
      </c>
      <c r="H48" t="s">
        <v>467</v>
      </c>
    </row>
    <row r="49" spans="1:8" x14ac:dyDescent="0.3">
      <c r="A49" t="s">
        <v>734</v>
      </c>
      <c r="B49" t="s">
        <v>255</v>
      </c>
      <c r="C49" t="s">
        <v>259</v>
      </c>
      <c r="D49" t="s">
        <v>2833</v>
      </c>
      <c r="E49">
        <v>0</v>
      </c>
      <c r="F49" t="s">
        <v>2820</v>
      </c>
      <c r="G49" t="b">
        <v>1</v>
      </c>
      <c r="H49" t="s">
        <v>468</v>
      </c>
    </row>
    <row r="50" spans="1:8" x14ac:dyDescent="0.3">
      <c r="A50" t="s">
        <v>734</v>
      </c>
      <c r="B50" t="s">
        <v>255</v>
      </c>
      <c r="C50" t="s">
        <v>258</v>
      </c>
      <c r="D50" t="s">
        <v>2819</v>
      </c>
      <c r="E50">
        <v>0</v>
      </c>
      <c r="F50" t="s">
        <v>2820</v>
      </c>
      <c r="G50" t="b">
        <v>1</v>
      </c>
      <c r="H50" t="s">
        <v>704</v>
      </c>
    </row>
    <row r="51" spans="1:8" x14ac:dyDescent="0.3">
      <c r="A51" t="s">
        <v>734</v>
      </c>
      <c r="B51" t="s">
        <v>255</v>
      </c>
      <c r="C51" t="s">
        <v>258</v>
      </c>
      <c r="D51" t="s">
        <v>2821</v>
      </c>
      <c r="E51">
        <v>0</v>
      </c>
      <c r="F51" t="s">
        <v>2820</v>
      </c>
      <c r="G51" t="b">
        <v>1</v>
      </c>
      <c r="H51" t="s">
        <v>706</v>
      </c>
    </row>
    <row r="52" spans="1:8" x14ac:dyDescent="0.3">
      <c r="A52" t="s">
        <v>734</v>
      </c>
      <c r="B52" t="s">
        <v>255</v>
      </c>
      <c r="C52" t="s">
        <v>258</v>
      </c>
      <c r="D52" t="s">
        <v>2822</v>
      </c>
      <c r="E52">
        <v>0</v>
      </c>
      <c r="F52" t="s">
        <v>2820</v>
      </c>
      <c r="G52" t="b">
        <v>1</v>
      </c>
      <c r="H52" t="s">
        <v>708</v>
      </c>
    </row>
    <row r="53" spans="1:8" x14ac:dyDescent="0.3">
      <c r="A53" t="s">
        <v>734</v>
      </c>
      <c r="B53" t="s">
        <v>255</v>
      </c>
      <c r="C53" t="s">
        <v>258</v>
      </c>
      <c r="D53" t="s">
        <v>2823</v>
      </c>
      <c r="E53">
        <v>0</v>
      </c>
      <c r="F53" t="s">
        <v>2820</v>
      </c>
      <c r="G53" t="b">
        <v>1</v>
      </c>
      <c r="H53" t="s">
        <v>710</v>
      </c>
    </row>
    <row r="54" spans="1:8" x14ac:dyDescent="0.3">
      <c r="A54" t="s">
        <v>734</v>
      </c>
      <c r="B54" t="s">
        <v>255</v>
      </c>
      <c r="C54" t="s">
        <v>258</v>
      </c>
      <c r="D54" t="s">
        <v>2824</v>
      </c>
      <c r="E54">
        <v>0</v>
      </c>
      <c r="F54" t="s">
        <v>2820</v>
      </c>
      <c r="G54" t="b">
        <v>1</v>
      </c>
      <c r="H54" t="s">
        <v>2802</v>
      </c>
    </row>
    <row r="55" spans="1:8" x14ac:dyDescent="0.3">
      <c r="A55" t="s">
        <v>734</v>
      </c>
      <c r="B55" t="s">
        <v>255</v>
      </c>
      <c r="C55" t="s">
        <v>258</v>
      </c>
      <c r="D55" t="s">
        <v>2825</v>
      </c>
      <c r="E55">
        <v>0</v>
      </c>
      <c r="F55" t="s">
        <v>2820</v>
      </c>
      <c r="G55" t="b">
        <v>1</v>
      </c>
      <c r="H55" t="s">
        <v>2800</v>
      </c>
    </row>
    <row r="56" spans="1:8" x14ac:dyDescent="0.3">
      <c r="A56" t="s">
        <v>734</v>
      </c>
      <c r="B56" t="s">
        <v>255</v>
      </c>
      <c r="C56" t="s">
        <v>258</v>
      </c>
      <c r="D56" t="s">
        <v>2826</v>
      </c>
      <c r="E56">
        <v>0</v>
      </c>
      <c r="F56" t="s">
        <v>2820</v>
      </c>
      <c r="G56" t="b">
        <v>1</v>
      </c>
      <c r="H56" t="s">
        <v>1935</v>
      </c>
    </row>
    <row r="57" spans="1:8" x14ac:dyDescent="0.3">
      <c r="A57" t="s">
        <v>734</v>
      </c>
      <c r="B57" t="s">
        <v>255</v>
      </c>
      <c r="C57" t="s">
        <v>258</v>
      </c>
      <c r="D57" t="s">
        <v>2827</v>
      </c>
      <c r="E57">
        <v>2599.0300000000002</v>
      </c>
      <c r="F57" t="s">
        <v>2820</v>
      </c>
      <c r="G57" t="b">
        <v>1</v>
      </c>
      <c r="H57" t="s">
        <v>2828</v>
      </c>
    </row>
    <row r="58" spans="1:8" x14ac:dyDescent="0.3">
      <c r="A58" t="s">
        <v>734</v>
      </c>
      <c r="B58" t="s">
        <v>255</v>
      </c>
      <c r="C58" t="s">
        <v>258</v>
      </c>
      <c r="D58" t="s">
        <v>2829</v>
      </c>
      <c r="E58">
        <v>2599.0300000000002</v>
      </c>
      <c r="F58" t="s">
        <v>2820</v>
      </c>
      <c r="G58" t="b">
        <v>1</v>
      </c>
      <c r="H58" t="s">
        <v>2830</v>
      </c>
    </row>
    <row r="59" spans="1:8" x14ac:dyDescent="0.3">
      <c r="A59" t="s">
        <v>734</v>
      </c>
      <c r="B59" t="s">
        <v>255</v>
      </c>
      <c r="C59" t="s">
        <v>258</v>
      </c>
      <c r="D59" t="s">
        <v>2831</v>
      </c>
      <c r="E59">
        <v>2599.0300000000002</v>
      </c>
      <c r="F59" t="s">
        <v>2820</v>
      </c>
      <c r="G59" t="b">
        <v>1</v>
      </c>
      <c r="H59" t="s">
        <v>466</v>
      </c>
    </row>
    <row r="60" spans="1:8" x14ac:dyDescent="0.3">
      <c r="A60" t="s">
        <v>734</v>
      </c>
      <c r="B60" t="s">
        <v>255</v>
      </c>
      <c r="C60" t="s">
        <v>258</v>
      </c>
      <c r="D60" t="s">
        <v>2832</v>
      </c>
      <c r="E60">
        <v>2599.0300000000002</v>
      </c>
      <c r="F60" t="s">
        <v>2820</v>
      </c>
      <c r="G60" t="b">
        <v>1</v>
      </c>
      <c r="H60" t="s">
        <v>467</v>
      </c>
    </row>
    <row r="61" spans="1:8" x14ac:dyDescent="0.3">
      <c r="A61" t="s">
        <v>734</v>
      </c>
      <c r="B61" t="s">
        <v>255</v>
      </c>
      <c r="C61" t="s">
        <v>258</v>
      </c>
      <c r="D61" t="s">
        <v>2833</v>
      </c>
      <c r="E61">
        <v>2599.0300000000002</v>
      </c>
      <c r="F61" t="s">
        <v>2820</v>
      </c>
      <c r="G61" t="b">
        <v>1</v>
      </c>
      <c r="H61" t="s">
        <v>468</v>
      </c>
    </row>
    <row r="62" spans="1:8" x14ac:dyDescent="0.3">
      <c r="A62" t="s">
        <v>734</v>
      </c>
      <c r="B62" t="s">
        <v>255</v>
      </c>
      <c r="C62" t="s">
        <v>260</v>
      </c>
      <c r="D62" t="s">
        <v>2819</v>
      </c>
      <c r="E62">
        <v>0</v>
      </c>
      <c r="F62" t="s">
        <v>2820</v>
      </c>
      <c r="G62" t="b">
        <v>1</v>
      </c>
      <c r="H62" t="s">
        <v>704</v>
      </c>
    </row>
    <row r="63" spans="1:8" x14ac:dyDescent="0.3">
      <c r="A63" t="s">
        <v>734</v>
      </c>
      <c r="B63" t="s">
        <v>255</v>
      </c>
      <c r="C63" t="s">
        <v>260</v>
      </c>
      <c r="D63" t="s">
        <v>2821</v>
      </c>
      <c r="E63">
        <v>0</v>
      </c>
      <c r="F63" t="s">
        <v>2820</v>
      </c>
      <c r="G63" t="b">
        <v>1</v>
      </c>
      <c r="H63" t="s">
        <v>706</v>
      </c>
    </row>
    <row r="64" spans="1:8" x14ac:dyDescent="0.3">
      <c r="A64" t="s">
        <v>734</v>
      </c>
      <c r="B64" t="s">
        <v>255</v>
      </c>
      <c r="C64" t="s">
        <v>260</v>
      </c>
      <c r="D64" t="s">
        <v>2822</v>
      </c>
      <c r="E64">
        <v>0</v>
      </c>
      <c r="F64" t="s">
        <v>2820</v>
      </c>
      <c r="G64" t="b">
        <v>1</v>
      </c>
      <c r="H64" t="s">
        <v>708</v>
      </c>
    </row>
    <row r="65" spans="1:8" x14ac:dyDescent="0.3">
      <c r="A65" t="s">
        <v>734</v>
      </c>
      <c r="B65" t="s">
        <v>255</v>
      </c>
      <c r="C65" t="s">
        <v>260</v>
      </c>
      <c r="D65" t="s">
        <v>2823</v>
      </c>
      <c r="E65">
        <v>0</v>
      </c>
      <c r="F65" t="s">
        <v>2820</v>
      </c>
      <c r="G65" t="b">
        <v>1</v>
      </c>
      <c r="H65" t="s">
        <v>710</v>
      </c>
    </row>
    <row r="66" spans="1:8" x14ac:dyDescent="0.3">
      <c r="A66" t="s">
        <v>734</v>
      </c>
      <c r="B66" t="s">
        <v>255</v>
      </c>
      <c r="C66" t="s">
        <v>260</v>
      </c>
      <c r="D66" t="s">
        <v>2824</v>
      </c>
      <c r="E66">
        <v>0</v>
      </c>
      <c r="F66" t="s">
        <v>2820</v>
      </c>
      <c r="G66" t="b">
        <v>1</v>
      </c>
      <c r="H66" t="s">
        <v>2802</v>
      </c>
    </row>
    <row r="67" spans="1:8" x14ac:dyDescent="0.3">
      <c r="A67" t="s">
        <v>734</v>
      </c>
      <c r="B67" t="s">
        <v>255</v>
      </c>
      <c r="C67" t="s">
        <v>260</v>
      </c>
      <c r="D67" t="s">
        <v>2825</v>
      </c>
      <c r="E67">
        <v>0</v>
      </c>
      <c r="F67" t="s">
        <v>2820</v>
      </c>
      <c r="G67" t="b">
        <v>1</v>
      </c>
      <c r="H67" t="s">
        <v>2800</v>
      </c>
    </row>
    <row r="68" spans="1:8" x14ac:dyDescent="0.3">
      <c r="A68" t="s">
        <v>734</v>
      </c>
      <c r="B68" t="s">
        <v>255</v>
      </c>
      <c r="C68" t="s">
        <v>260</v>
      </c>
      <c r="D68" t="s">
        <v>2826</v>
      </c>
      <c r="E68">
        <v>0</v>
      </c>
      <c r="F68" t="s">
        <v>2820</v>
      </c>
      <c r="G68" t="b">
        <v>1</v>
      </c>
      <c r="H68" t="s">
        <v>1935</v>
      </c>
    </row>
    <row r="69" spans="1:8" x14ac:dyDescent="0.3">
      <c r="A69" t="s">
        <v>734</v>
      </c>
      <c r="B69" t="s">
        <v>255</v>
      </c>
      <c r="C69" t="s">
        <v>260</v>
      </c>
      <c r="D69" t="s">
        <v>2827</v>
      </c>
      <c r="E69">
        <v>506.88</v>
      </c>
      <c r="F69" t="s">
        <v>2820</v>
      </c>
      <c r="G69" t="b">
        <v>1</v>
      </c>
      <c r="H69" t="s">
        <v>2828</v>
      </c>
    </row>
    <row r="70" spans="1:8" x14ac:dyDescent="0.3">
      <c r="A70" t="s">
        <v>734</v>
      </c>
      <c r="B70" t="s">
        <v>255</v>
      </c>
      <c r="C70" t="s">
        <v>260</v>
      </c>
      <c r="D70" t="s">
        <v>2829</v>
      </c>
      <c r="E70">
        <v>506.88</v>
      </c>
      <c r="F70" t="s">
        <v>2820</v>
      </c>
      <c r="G70" t="b">
        <v>1</v>
      </c>
      <c r="H70" t="s">
        <v>2830</v>
      </c>
    </row>
    <row r="71" spans="1:8" x14ac:dyDescent="0.3">
      <c r="A71" t="s">
        <v>734</v>
      </c>
      <c r="B71" t="s">
        <v>255</v>
      </c>
      <c r="C71" t="s">
        <v>260</v>
      </c>
      <c r="D71" t="s">
        <v>2831</v>
      </c>
      <c r="E71">
        <v>506.88</v>
      </c>
      <c r="F71" t="s">
        <v>2820</v>
      </c>
      <c r="G71" t="b">
        <v>1</v>
      </c>
      <c r="H71" t="s">
        <v>466</v>
      </c>
    </row>
    <row r="72" spans="1:8" x14ac:dyDescent="0.3">
      <c r="A72" t="s">
        <v>734</v>
      </c>
      <c r="B72" t="s">
        <v>255</v>
      </c>
      <c r="C72" t="s">
        <v>260</v>
      </c>
      <c r="D72" t="s">
        <v>2832</v>
      </c>
      <c r="E72">
        <v>506.88</v>
      </c>
      <c r="F72" t="s">
        <v>2820</v>
      </c>
      <c r="G72" t="b">
        <v>1</v>
      </c>
      <c r="H72" t="s">
        <v>467</v>
      </c>
    </row>
    <row r="73" spans="1:8" x14ac:dyDescent="0.3">
      <c r="A73" t="s">
        <v>734</v>
      </c>
      <c r="B73" t="s">
        <v>255</v>
      </c>
      <c r="C73" t="s">
        <v>260</v>
      </c>
      <c r="D73" t="s">
        <v>2833</v>
      </c>
      <c r="E73">
        <v>506.88</v>
      </c>
      <c r="F73" t="s">
        <v>2820</v>
      </c>
      <c r="G73" t="b">
        <v>1</v>
      </c>
      <c r="H73" t="s">
        <v>468</v>
      </c>
    </row>
    <row r="74" spans="1:8" x14ac:dyDescent="0.3">
      <c r="A74" t="s">
        <v>734</v>
      </c>
      <c r="B74" t="s">
        <v>255</v>
      </c>
      <c r="C74" t="s">
        <v>262</v>
      </c>
      <c r="D74" t="s">
        <v>2819</v>
      </c>
      <c r="E74">
        <v>0</v>
      </c>
      <c r="F74" t="s">
        <v>2820</v>
      </c>
      <c r="G74" t="b">
        <v>1</v>
      </c>
      <c r="H74" t="s">
        <v>704</v>
      </c>
    </row>
    <row r="75" spans="1:8" x14ac:dyDescent="0.3">
      <c r="A75" t="s">
        <v>734</v>
      </c>
      <c r="B75" t="s">
        <v>255</v>
      </c>
      <c r="C75" t="s">
        <v>262</v>
      </c>
      <c r="D75" t="s">
        <v>2821</v>
      </c>
      <c r="E75">
        <v>0</v>
      </c>
      <c r="F75" t="s">
        <v>2820</v>
      </c>
      <c r="G75" t="b">
        <v>1</v>
      </c>
      <c r="H75" t="s">
        <v>706</v>
      </c>
    </row>
    <row r="76" spans="1:8" x14ac:dyDescent="0.3">
      <c r="A76" t="s">
        <v>734</v>
      </c>
      <c r="B76" t="s">
        <v>255</v>
      </c>
      <c r="C76" t="s">
        <v>262</v>
      </c>
      <c r="D76" t="s">
        <v>2822</v>
      </c>
      <c r="E76">
        <v>0</v>
      </c>
      <c r="F76" t="s">
        <v>2820</v>
      </c>
      <c r="G76" t="b">
        <v>1</v>
      </c>
      <c r="H76" t="s">
        <v>708</v>
      </c>
    </row>
    <row r="77" spans="1:8" x14ac:dyDescent="0.3">
      <c r="A77" t="s">
        <v>734</v>
      </c>
      <c r="B77" t="s">
        <v>255</v>
      </c>
      <c r="C77" t="s">
        <v>262</v>
      </c>
      <c r="D77" t="s">
        <v>2823</v>
      </c>
      <c r="E77">
        <v>0</v>
      </c>
      <c r="F77" t="s">
        <v>2820</v>
      </c>
      <c r="G77" t="b">
        <v>1</v>
      </c>
      <c r="H77" t="s">
        <v>710</v>
      </c>
    </row>
    <row r="78" spans="1:8" x14ac:dyDescent="0.3">
      <c r="A78" t="s">
        <v>734</v>
      </c>
      <c r="B78" t="s">
        <v>255</v>
      </c>
      <c r="C78" t="s">
        <v>262</v>
      </c>
      <c r="D78" t="s">
        <v>2824</v>
      </c>
      <c r="E78">
        <v>0</v>
      </c>
      <c r="F78" t="s">
        <v>2820</v>
      </c>
      <c r="G78" t="b">
        <v>1</v>
      </c>
      <c r="H78" t="s">
        <v>2802</v>
      </c>
    </row>
    <row r="79" spans="1:8" x14ac:dyDescent="0.3">
      <c r="A79" t="s">
        <v>734</v>
      </c>
      <c r="B79" t="s">
        <v>255</v>
      </c>
      <c r="C79" t="s">
        <v>262</v>
      </c>
      <c r="D79" t="s">
        <v>2825</v>
      </c>
      <c r="E79">
        <v>0</v>
      </c>
      <c r="F79" t="s">
        <v>2820</v>
      </c>
      <c r="G79" t="b">
        <v>1</v>
      </c>
      <c r="H79" t="s">
        <v>2800</v>
      </c>
    </row>
    <row r="80" spans="1:8" x14ac:dyDescent="0.3">
      <c r="A80" t="s">
        <v>734</v>
      </c>
      <c r="B80" t="s">
        <v>255</v>
      </c>
      <c r="C80" t="s">
        <v>262</v>
      </c>
      <c r="D80" t="s">
        <v>2826</v>
      </c>
      <c r="E80">
        <v>0</v>
      </c>
      <c r="F80" t="s">
        <v>2820</v>
      </c>
      <c r="G80" t="b">
        <v>1</v>
      </c>
      <c r="H80" t="s">
        <v>1935</v>
      </c>
    </row>
    <row r="81" spans="1:8" x14ac:dyDescent="0.3">
      <c r="A81" t="s">
        <v>734</v>
      </c>
      <c r="B81" t="s">
        <v>255</v>
      </c>
      <c r="C81" t="s">
        <v>262</v>
      </c>
      <c r="D81" t="s">
        <v>2827</v>
      </c>
      <c r="E81">
        <v>0</v>
      </c>
      <c r="F81" t="s">
        <v>2820</v>
      </c>
      <c r="G81" t="b">
        <v>1</v>
      </c>
      <c r="H81" t="s">
        <v>2828</v>
      </c>
    </row>
    <row r="82" spans="1:8" x14ac:dyDescent="0.3">
      <c r="A82" t="s">
        <v>734</v>
      </c>
      <c r="B82" t="s">
        <v>255</v>
      </c>
      <c r="C82" t="s">
        <v>262</v>
      </c>
      <c r="D82" t="s">
        <v>2829</v>
      </c>
      <c r="E82">
        <v>0</v>
      </c>
      <c r="F82" t="s">
        <v>2820</v>
      </c>
      <c r="G82" t="b">
        <v>1</v>
      </c>
      <c r="H82" t="s">
        <v>2830</v>
      </c>
    </row>
    <row r="83" spans="1:8" x14ac:dyDescent="0.3">
      <c r="A83" t="s">
        <v>734</v>
      </c>
      <c r="B83" t="s">
        <v>255</v>
      </c>
      <c r="C83" t="s">
        <v>262</v>
      </c>
      <c r="D83" t="s">
        <v>2831</v>
      </c>
      <c r="E83">
        <v>0</v>
      </c>
      <c r="F83" t="s">
        <v>2820</v>
      </c>
      <c r="G83" t="b">
        <v>1</v>
      </c>
      <c r="H83" t="s">
        <v>466</v>
      </c>
    </row>
    <row r="84" spans="1:8" x14ac:dyDescent="0.3">
      <c r="A84" t="s">
        <v>734</v>
      </c>
      <c r="B84" t="s">
        <v>255</v>
      </c>
      <c r="C84" t="s">
        <v>262</v>
      </c>
      <c r="D84" t="s">
        <v>2832</v>
      </c>
      <c r="E84">
        <v>0</v>
      </c>
      <c r="F84" t="s">
        <v>2820</v>
      </c>
      <c r="G84" t="b">
        <v>1</v>
      </c>
      <c r="H84" t="s">
        <v>467</v>
      </c>
    </row>
    <row r="85" spans="1:8" x14ac:dyDescent="0.3">
      <c r="A85" t="s">
        <v>734</v>
      </c>
      <c r="B85" t="s">
        <v>255</v>
      </c>
      <c r="C85" t="s">
        <v>262</v>
      </c>
      <c r="D85" t="s">
        <v>2833</v>
      </c>
      <c r="E85">
        <v>0</v>
      </c>
      <c r="F85" t="s">
        <v>2820</v>
      </c>
      <c r="G85" t="b">
        <v>1</v>
      </c>
      <c r="H85" t="s">
        <v>468</v>
      </c>
    </row>
    <row r="86" spans="1:8" x14ac:dyDescent="0.3">
      <c r="A86" t="s">
        <v>734</v>
      </c>
      <c r="B86" t="s">
        <v>914</v>
      </c>
      <c r="C86" t="s">
        <v>915</v>
      </c>
      <c r="D86" t="s">
        <v>2819</v>
      </c>
      <c r="E86">
        <v>0</v>
      </c>
      <c r="F86" t="s">
        <v>2820</v>
      </c>
      <c r="G86" t="b">
        <v>1</v>
      </c>
      <c r="H86" t="s">
        <v>704</v>
      </c>
    </row>
    <row r="87" spans="1:8" x14ac:dyDescent="0.3">
      <c r="A87" t="s">
        <v>734</v>
      </c>
      <c r="B87" t="s">
        <v>914</v>
      </c>
      <c r="C87" t="s">
        <v>915</v>
      </c>
      <c r="D87" t="s">
        <v>2821</v>
      </c>
      <c r="E87">
        <v>0</v>
      </c>
      <c r="F87" t="s">
        <v>2820</v>
      </c>
      <c r="G87" t="b">
        <v>1</v>
      </c>
      <c r="H87" t="s">
        <v>706</v>
      </c>
    </row>
    <row r="88" spans="1:8" x14ac:dyDescent="0.3">
      <c r="A88" t="s">
        <v>734</v>
      </c>
      <c r="B88" t="s">
        <v>914</v>
      </c>
      <c r="C88" t="s">
        <v>915</v>
      </c>
      <c r="D88" t="s">
        <v>2822</v>
      </c>
      <c r="E88">
        <v>0</v>
      </c>
      <c r="F88" t="s">
        <v>2820</v>
      </c>
      <c r="G88" t="b">
        <v>1</v>
      </c>
      <c r="H88" t="s">
        <v>708</v>
      </c>
    </row>
    <row r="89" spans="1:8" x14ac:dyDescent="0.3">
      <c r="A89" t="s">
        <v>734</v>
      </c>
      <c r="B89" t="s">
        <v>914</v>
      </c>
      <c r="C89" t="s">
        <v>915</v>
      </c>
      <c r="D89" t="s">
        <v>2823</v>
      </c>
      <c r="E89">
        <v>0</v>
      </c>
      <c r="F89" t="s">
        <v>2820</v>
      </c>
      <c r="G89" t="b">
        <v>1</v>
      </c>
      <c r="H89" t="s">
        <v>710</v>
      </c>
    </row>
    <row r="90" spans="1:8" x14ac:dyDescent="0.3">
      <c r="A90" t="s">
        <v>734</v>
      </c>
      <c r="B90" t="s">
        <v>914</v>
      </c>
      <c r="C90" t="s">
        <v>915</v>
      </c>
      <c r="D90" t="s">
        <v>2824</v>
      </c>
      <c r="E90">
        <v>0</v>
      </c>
      <c r="F90" t="s">
        <v>2820</v>
      </c>
      <c r="G90" t="b">
        <v>1</v>
      </c>
      <c r="H90" t="s">
        <v>2802</v>
      </c>
    </row>
    <row r="91" spans="1:8" x14ac:dyDescent="0.3">
      <c r="A91" t="s">
        <v>734</v>
      </c>
      <c r="B91" t="s">
        <v>914</v>
      </c>
      <c r="C91" t="s">
        <v>915</v>
      </c>
      <c r="D91" t="s">
        <v>2825</v>
      </c>
      <c r="E91">
        <v>0</v>
      </c>
      <c r="F91" t="s">
        <v>2820</v>
      </c>
      <c r="G91" t="b">
        <v>1</v>
      </c>
      <c r="H91" t="s">
        <v>2800</v>
      </c>
    </row>
    <row r="92" spans="1:8" x14ac:dyDescent="0.3">
      <c r="A92" t="s">
        <v>734</v>
      </c>
      <c r="B92" t="s">
        <v>914</v>
      </c>
      <c r="C92" t="s">
        <v>915</v>
      </c>
      <c r="D92" t="s">
        <v>2826</v>
      </c>
      <c r="E92">
        <v>0</v>
      </c>
      <c r="F92" t="s">
        <v>2820</v>
      </c>
      <c r="G92" t="b">
        <v>1</v>
      </c>
      <c r="H92" t="s">
        <v>1935</v>
      </c>
    </row>
    <row r="93" spans="1:8" x14ac:dyDescent="0.3">
      <c r="A93" t="s">
        <v>734</v>
      </c>
      <c r="B93" t="s">
        <v>914</v>
      </c>
      <c r="C93" t="s">
        <v>915</v>
      </c>
      <c r="D93" t="s">
        <v>2827</v>
      </c>
      <c r="E93">
        <v>664967.48</v>
      </c>
      <c r="F93" t="s">
        <v>2820</v>
      </c>
      <c r="G93" t="b">
        <v>1</v>
      </c>
      <c r="H93" t="s">
        <v>2828</v>
      </c>
    </row>
    <row r="94" spans="1:8" x14ac:dyDescent="0.3">
      <c r="A94" t="s">
        <v>734</v>
      </c>
      <c r="B94" t="s">
        <v>914</v>
      </c>
      <c r="C94" t="s">
        <v>915</v>
      </c>
      <c r="D94" t="s">
        <v>2829</v>
      </c>
      <c r="E94">
        <v>582922.09</v>
      </c>
      <c r="F94" t="s">
        <v>2820</v>
      </c>
      <c r="G94" t="b">
        <v>1</v>
      </c>
      <c r="H94" t="s">
        <v>2830</v>
      </c>
    </row>
    <row r="95" spans="1:8" x14ac:dyDescent="0.3">
      <c r="A95" t="s">
        <v>734</v>
      </c>
      <c r="B95" t="s">
        <v>914</v>
      </c>
      <c r="C95" t="s">
        <v>915</v>
      </c>
      <c r="D95" t="s">
        <v>2831</v>
      </c>
      <c r="E95">
        <v>642868.28</v>
      </c>
      <c r="F95" t="s">
        <v>2820</v>
      </c>
      <c r="G95" t="b">
        <v>1</v>
      </c>
      <c r="H95" t="s">
        <v>466</v>
      </c>
    </row>
    <row r="96" spans="1:8" x14ac:dyDescent="0.3">
      <c r="A96" t="s">
        <v>734</v>
      </c>
      <c r="B96" t="s">
        <v>914</v>
      </c>
      <c r="C96" t="s">
        <v>915</v>
      </c>
      <c r="D96" t="s">
        <v>2832</v>
      </c>
      <c r="E96">
        <v>596307.96</v>
      </c>
      <c r="F96" t="s">
        <v>2820</v>
      </c>
      <c r="G96" t="b">
        <v>1</v>
      </c>
      <c r="H96" t="s">
        <v>467</v>
      </c>
    </row>
    <row r="97" spans="1:8" x14ac:dyDescent="0.3">
      <c r="A97" t="s">
        <v>734</v>
      </c>
      <c r="B97" t="s">
        <v>914</v>
      </c>
      <c r="C97" t="s">
        <v>915</v>
      </c>
      <c r="D97" t="s">
        <v>2833</v>
      </c>
      <c r="E97">
        <v>658318.26</v>
      </c>
      <c r="F97" t="s">
        <v>2820</v>
      </c>
      <c r="G97" t="b">
        <v>1</v>
      </c>
      <c r="H97" t="s">
        <v>468</v>
      </c>
    </row>
    <row r="98" spans="1:8" x14ac:dyDescent="0.3">
      <c r="A98" t="s">
        <v>734</v>
      </c>
      <c r="B98" t="s">
        <v>914</v>
      </c>
      <c r="C98" t="s">
        <v>2834</v>
      </c>
      <c r="D98" t="s">
        <v>2819</v>
      </c>
      <c r="E98">
        <v>0</v>
      </c>
      <c r="F98" t="s">
        <v>2820</v>
      </c>
      <c r="G98" t="b">
        <v>1</v>
      </c>
      <c r="H98" t="s">
        <v>704</v>
      </c>
    </row>
    <row r="99" spans="1:8" x14ac:dyDescent="0.3">
      <c r="A99" t="s">
        <v>734</v>
      </c>
      <c r="B99" t="s">
        <v>914</v>
      </c>
      <c r="C99" t="s">
        <v>2834</v>
      </c>
      <c r="D99" t="s">
        <v>2821</v>
      </c>
      <c r="E99">
        <v>0</v>
      </c>
      <c r="F99" t="s">
        <v>2820</v>
      </c>
      <c r="G99" t="b">
        <v>1</v>
      </c>
      <c r="H99" t="s">
        <v>706</v>
      </c>
    </row>
    <row r="100" spans="1:8" x14ac:dyDescent="0.3">
      <c r="A100" t="s">
        <v>734</v>
      </c>
      <c r="B100" t="s">
        <v>914</v>
      </c>
      <c r="C100" t="s">
        <v>2834</v>
      </c>
      <c r="D100" t="s">
        <v>2822</v>
      </c>
      <c r="E100">
        <v>0</v>
      </c>
      <c r="F100" t="s">
        <v>2820</v>
      </c>
      <c r="G100" t="b">
        <v>1</v>
      </c>
      <c r="H100" t="s">
        <v>708</v>
      </c>
    </row>
    <row r="101" spans="1:8" x14ac:dyDescent="0.3">
      <c r="A101" t="s">
        <v>734</v>
      </c>
      <c r="B101" t="s">
        <v>914</v>
      </c>
      <c r="C101" t="s">
        <v>2834</v>
      </c>
      <c r="D101" t="s">
        <v>2823</v>
      </c>
      <c r="E101">
        <v>0</v>
      </c>
      <c r="F101" t="s">
        <v>2820</v>
      </c>
      <c r="G101" t="b">
        <v>1</v>
      </c>
      <c r="H101" t="s">
        <v>710</v>
      </c>
    </row>
    <row r="102" spans="1:8" x14ac:dyDescent="0.3">
      <c r="A102" t="s">
        <v>734</v>
      </c>
      <c r="B102" t="s">
        <v>914</v>
      </c>
      <c r="C102" t="s">
        <v>2834</v>
      </c>
      <c r="D102" t="s">
        <v>2824</v>
      </c>
      <c r="E102">
        <v>0</v>
      </c>
      <c r="F102" t="s">
        <v>2820</v>
      </c>
      <c r="G102" t="b">
        <v>1</v>
      </c>
      <c r="H102" t="s">
        <v>2802</v>
      </c>
    </row>
    <row r="103" spans="1:8" x14ac:dyDescent="0.3">
      <c r="A103" t="s">
        <v>734</v>
      </c>
      <c r="B103" t="s">
        <v>914</v>
      </c>
      <c r="C103" t="s">
        <v>2834</v>
      </c>
      <c r="D103" t="s">
        <v>2825</v>
      </c>
      <c r="E103">
        <v>0</v>
      </c>
      <c r="F103" t="s">
        <v>2820</v>
      </c>
      <c r="G103" t="b">
        <v>1</v>
      </c>
      <c r="H103" t="s">
        <v>2800</v>
      </c>
    </row>
    <row r="104" spans="1:8" x14ac:dyDescent="0.3">
      <c r="A104" t="s">
        <v>734</v>
      </c>
      <c r="B104" t="s">
        <v>914</v>
      </c>
      <c r="C104" t="s">
        <v>2834</v>
      </c>
      <c r="D104" t="s">
        <v>2826</v>
      </c>
      <c r="E104">
        <v>0</v>
      </c>
      <c r="F104" t="s">
        <v>2820</v>
      </c>
      <c r="G104" t="b">
        <v>1</v>
      </c>
      <c r="H104" t="s">
        <v>1935</v>
      </c>
    </row>
    <row r="105" spans="1:8" x14ac:dyDescent="0.3">
      <c r="A105" t="s">
        <v>734</v>
      </c>
      <c r="B105" t="s">
        <v>914</v>
      </c>
      <c r="C105" t="s">
        <v>2834</v>
      </c>
      <c r="D105" t="s">
        <v>2827</v>
      </c>
      <c r="E105">
        <v>311444.26</v>
      </c>
      <c r="F105" t="s">
        <v>2820</v>
      </c>
      <c r="G105" t="b">
        <v>1</v>
      </c>
      <c r="H105" t="s">
        <v>2828</v>
      </c>
    </row>
    <row r="106" spans="1:8" x14ac:dyDescent="0.3">
      <c r="A106" t="s">
        <v>734</v>
      </c>
      <c r="B106" t="s">
        <v>914</v>
      </c>
      <c r="C106" t="s">
        <v>2834</v>
      </c>
      <c r="D106" t="s">
        <v>2829</v>
      </c>
      <c r="E106">
        <v>296862.48</v>
      </c>
      <c r="F106" t="s">
        <v>2820</v>
      </c>
      <c r="G106" t="b">
        <v>1</v>
      </c>
      <c r="H106" t="s">
        <v>2830</v>
      </c>
    </row>
    <row r="107" spans="1:8" x14ac:dyDescent="0.3">
      <c r="A107" t="s">
        <v>734</v>
      </c>
      <c r="B107" t="s">
        <v>914</v>
      </c>
      <c r="C107" t="s">
        <v>2834</v>
      </c>
      <c r="D107" t="s">
        <v>2831</v>
      </c>
      <c r="E107">
        <v>321162.36</v>
      </c>
      <c r="F107" t="s">
        <v>2820</v>
      </c>
      <c r="G107" t="b">
        <v>1</v>
      </c>
      <c r="H107" t="s">
        <v>466</v>
      </c>
    </row>
    <row r="108" spans="1:8" x14ac:dyDescent="0.3">
      <c r="A108" t="s">
        <v>734</v>
      </c>
      <c r="B108" t="s">
        <v>914</v>
      </c>
      <c r="C108" t="s">
        <v>2834</v>
      </c>
      <c r="D108" t="s">
        <v>2832</v>
      </c>
      <c r="E108">
        <v>293061.5</v>
      </c>
      <c r="F108" t="s">
        <v>2820</v>
      </c>
      <c r="G108" t="b">
        <v>1</v>
      </c>
      <c r="H108" t="s">
        <v>467</v>
      </c>
    </row>
    <row r="109" spans="1:8" x14ac:dyDescent="0.3">
      <c r="A109" t="s">
        <v>734</v>
      </c>
      <c r="B109" t="s">
        <v>914</v>
      </c>
      <c r="C109" t="s">
        <v>2834</v>
      </c>
      <c r="D109" t="s">
        <v>2833</v>
      </c>
      <c r="E109">
        <v>292738.96000000002</v>
      </c>
      <c r="F109" t="s">
        <v>2820</v>
      </c>
      <c r="G109" t="b">
        <v>1</v>
      </c>
      <c r="H109" t="s">
        <v>468</v>
      </c>
    </row>
    <row r="110" spans="1:8" x14ac:dyDescent="0.3">
      <c r="A110" t="s">
        <v>734</v>
      </c>
      <c r="B110" t="s">
        <v>914</v>
      </c>
      <c r="C110" t="s">
        <v>2835</v>
      </c>
      <c r="D110" t="s">
        <v>2819</v>
      </c>
      <c r="E110">
        <v>0</v>
      </c>
      <c r="F110" t="s">
        <v>2820</v>
      </c>
      <c r="G110" t="b">
        <v>1</v>
      </c>
      <c r="H110" t="s">
        <v>704</v>
      </c>
    </row>
    <row r="111" spans="1:8" x14ac:dyDescent="0.3">
      <c r="A111" t="s">
        <v>734</v>
      </c>
      <c r="B111" t="s">
        <v>914</v>
      </c>
      <c r="C111" t="s">
        <v>2835</v>
      </c>
      <c r="D111" t="s">
        <v>2821</v>
      </c>
      <c r="E111">
        <v>0</v>
      </c>
      <c r="F111" t="s">
        <v>2820</v>
      </c>
      <c r="G111" t="b">
        <v>1</v>
      </c>
      <c r="H111" t="s">
        <v>706</v>
      </c>
    </row>
    <row r="112" spans="1:8" x14ac:dyDescent="0.3">
      <c r="A112" t="s">
        <v>734</v>
      </c>
      <c r="B112" t="s">
        <v>914</v>
      </c>
      <c r="C112" t="s">
        <v>2835</v>
      </c>
      <c r="D112" t="s">
        <v>2822</v>
      </c>
      <c r="E112">
        <v>0</v>
      </c>
      <c r="F112" t="s">
        <v>2820</v>
      </c>
      <c r="G112" t="b">
        <v>1</v>
      </c>
      <c r="H112" t="s">
        <v>708</v>
      </c>
    </row>
    <row r="113" spans="1:8" x14ac:dyDescent="0.3">
      <c r="A113" t="s">
        <v>734</v>
      </c>
      <c r="B113" t="s">
        <v>914</v>
      </c>
      <c r="C113" t="s">
        <v>2835</v>
      </c>
      <c r="D113" t="s">
        <v>2823</v>
      </c>
      <c r="E113">
        <v>0</v>
      </c>
      <c r="F113" t="s">
        <v>2820</v>
      </c>
      <c r="G113" t="b">
        <v>1</v>
      </c>
      <c r="H113" t="s">
        <v>710</v>
      </c>
    </row>
    <row r="114" spans="1:8" x14ac:dyDescent="0.3">
      <c r="A114" t="s">
        <v>734</v>
      </c>
      <c r="B114" t="s">
        <v>914</v>
      </c>
      <c r="C114" t="s">
        <v>2835</v>
      </c>
      <c r="D114" t="s">
        <v>2824</v>
      </c>
      <c r="E114">
        <v>0</v>
      </c>
      <c r="F114" t="s">
        <v>2820</v>
      </c>
      <c r="G114" t="b">
        <v>1</v>
      </c>
      <c r="H114" t="s">
        <v>2802</v>
      </c>
    </row>
    <row r="115" spans="1:8" x14ac:dyDescent="0.3">
      <c r="A115" t="s">
        <v>734</v>
      </c>
      <c r="B115" t="s">
        <v>914</v>
      </c>
      <c r="C115" t="s">
        <v>2835</v>
      </c>
      <c r="D115" t="s">
        <v>2825</v>
      </c>
      <c r="E115">
        <v>0</v>
      </c>
      <c r="F115" t="s">
        <v>2820</v>
      </c>
      <c r="G115" t="b">
        <v>1</v>
      </c>
      <c r="H115" t="s">
        <v>2800</v>
      </c>
    </row>
    <row r="116" spans="1:8" x14ac:dyDescent="0.3">
      <c r="A116" t="s">
        <v>734</v>
      </c>
      <c r="B116" t="s">
        <v>914</v>
      </c>
      <c r="C116" t="s">
        <v>2835</v>
      </c>
      <c r="D116" t="s">
        <v>2826</v>
      </c>
      <c r="E116">
        <v>0</v>
      </c>
      <c r="F116" t="s">
        <v>2820</v>
      </c>
      <c r="G116" t="b">
        <v>1</v>
      </c>
      <c r="H116" t="s">
        <v>1935</v>
      </c>
    </row>
    <row r="117" spans="1:8" x14ac:dyDescent="0.3">
      <c r="A117" t="s">
        <v>734</v>
      </c>
      <c r="B117" t="s">
        <v>914</v>
      </c>
      <c r="C117" t="s">
        <v>2835</v>
      </c>
      <c r="D117" t="s">
        <v>2827</v>
      </c>
      <c r="E117">
        <v>0</v>
      </c>
      <c r="F117" t="s">
        <v>2820</v>
      </c>
      <c r="G117" t="b">
        <v>1</v>
      </c>
      <c r="H117" t="s">
        <v>2828</v>
      </c>
    </row>
    <row r="118" spans="1:8" x14ac:dyDescent="0.3">
      <c r="A118" t="s">
        <v>734</v>
      </c>
      <c r="B118" t="s">
        <v>914</v>
      </c>
      <c r="C118" t="s">
        <v>2835</v>
      </c>
      <c r="D118" t="s">
        <v>2829</v>
      </c>
      <c r="E118">
        <v>0</v>
      </c>
      <c r="F118" t="s">
        <v>2820</v>
      </c>
      <c r="G118" t="b">
        <v>1</v>
      </c>
      <c r="H118" t="s">
        <v>2830</v>
      </c>
    </row>
    <row r="119" spans="1:8" x14ac:dyDescent="0.3">
      <c r="A119" t="s">
        <v>734</v>
      </c>
      <c r="B119" t="s">
        <v>914</v>
      </c>
      <c r="C119" t="s">
        <v>2835</v>
      </c>
      <c r="D119" t="s">
        <v>2831</v>
      </c>
      <c r="E119">
        <v>0</v>
      </c>
      <c r="F119" t="s">
        <v>2820</v>
      </c>
      <c r="G119" t="b">
        <v>1</v>
      </c>
      <c r="H119" t="s">
        <v>466</v>
      </c>
    </row>
    <row r="120" spans="1:8" x14ac:dyDescent="0.3">
      <c r="A120" t="s">
        <v>734</v>
      </c>
      <c r="B120" t="s">
        <v>914</v>
      </c>
      <c r="C120" t="s">
        <v>2835</v>
      </c>
      <c r="D120" t="s">
        <v>2832</v>
      </c>
      <c r="E120">
        <v>0</v>
      </c>
      <c r="F120" t="s">
        <v>2820</v>
      </c>
      <c r="G120" t="b">
        <v>1</v>
      </c>
      <c r="H120" t="s">
        <v>467</v>
      </c>
    </row>
    <row r="121" spans="1:8" x14ac:dyDescent="0.3">
      <c r="A121" t="s">
        <v>734</v>
      </c>
      <c r="B121" t="s">
        <v>914</v>
      </c>
      <c r="C121" t="s">
        <v>2835</v>
      </c>
      <c r="D121" t="s">
        <v>2833</v>
      </c>
      <c r="E121">
        <v>0</v>
      </c>
      <c r="F121" t="s">
        <v>2820</v>
      </c>
      <c r="G121" t="b">
        <v>1</v>
      </c>
      <c r="H121" t="s">
        <v>468</v>
      </c>
    </row>
    <row r="122" spans="1:8" x14ac:dyDescent="0.3">
      <c r="A122" t="s">
        <v>734</v>
      </c>
      <c r="B122" t="s">
        <v>914</v>
      </c>
      <c r="C122" t="s">
        <v>2836</v>
      </c>
      <c r="D122" t="s">
        <v>2819</v>
      </c>
      <c r="E122">
        <v>0</v>
      </c>
      <c r="F122" t="s">
        <v>2820</v>
      </c>
      <c r="G122" t="b">
        <v>1</v>
      </c>
      <c r="H122" t="s">
        <v>704</v>
      </c>
    </row>
    <row r="123" spans="1:8" x14ac:dyDescent="0.3">
      <c r="A123" t="s">
        <v>734</v>
      </c>
      <c r="B123" t="s">
        <v>914</v>
      </c>
      <c r="C123" t="s">
        <v>2836</v>
      </c>
      <c r="D123" t="s">
        <v>2821</v>
      </c>
      <c r="E123">
        <v>0</v>
      </c>
      <c r="F123" t="s">
        <v>2820</v>
      </c>
      <c r="G123" t="b">
        <v>1</v>
      </c>
      <c r="H123" t="s">
        <v>706</v>
      </c>
    </row>
    <row r="124" spans="1:8" x14ac:dyDescent="0.3">
      <c r="A124" t="s">
        <v>734</v>
      </c>
      <c r="B124" t="s">
        <v>914</v>
      </c>
      <c r="C124" t="s">
        <v>2836</v>
      </c>
      <c r="D124" t="s">
        <v>2822</v>
      </c>
      <c r="E124">
        <v>0</v>
      </c>
      <c r="F124" t="s">
        <v>2820</v>
      </c>
      <c r="G124" t="b">
        <v>1</v>
      </c>
      <c r="H124" t="s">
        <v>708</v>
      </c>
    </row>
    <row r="125" spans="1:8" x14ac:dyDescent="0.3">
      <c r="A125" t="s">
        <v>734</v>
      </c>
      <c r="B125" t="s">
        <v>914</v>
      </c>
      <c r="C125" t="s">
        <v>2836</v>
      </c>
      <c r="D125" t="s">
        <v>2823</v>
      </c>
      <c r="E125">
        <v>0</v>
      </c>
      <c r="F125" t="s">
        <v>2820</v>
      </c>
      <c r="G125" t="b">
        <v>1</v>
      </c>
      <c r="H125" t="s">
        <v>710</v>
      </c>
    </row>
    <row r="126" spans="1:8" x14ac:dyDescent="0.3">
      <c r="A126" t="s">
        <v>734</v>
      </c>
      <c r="B126" t="s">
        <v>914</v>
      </c>
      <c r="C126" t="s">
        <v>2836</v>
      </c>
      <c r="D126" t="s">
        <v>2824</v>
      </c>
      <c r="E126">
        <v>0</v>
      </c>
      <c r="F126" t="s">
        <v>2820</v>
      </c>
      <c r="G126" t="b">
        <v>1</v>
      </c>
      <c r="H126" t="s">
        <v>2802</v>
      </c>
    </row>
    <row r="127" spans="1:8" x14ac:dyDescent="0.3">
      <c r="A127" t="s">
        <v>734</v>
      </c>
      <c r="B127" t="s">
        <v>914</v>
      </c>
      <c r="C127" t="s">
        <v>2836</v>
      </c>
      <c r="D127" t="s">
        <v>2825</v>
      </c>
      <c r="E127">
        <v>0</v>
      </c>
      <c r="F127" t="s">
        <v>2820</v>
      </c>
      <c r="G127" t="b">
        <v>1</v>
      </c>
      <c r="H127" t="s">
        <v>2800</v>
      </c>
    </row>
    <row r="128" spans="1:8" x14ac:dyDescent="0.3">
      <c r="A128" t="s">
        <v>734</v>
      </c>
      <c r="B128" t="s">
        <v>914</v>
      </c>
      <c r="C128" t="s">
        <v>2836</v>
      </c>
      <c r="D128" t="s">
        <v>2826</v>
      </c>
      <c r="E128">
        <v>0</v>
      </c>
      <c r="F128" t="s">
        <v>2820</v>
      </c>
      <c r="G128" t="b">
        <v>1</v>
      </c>
      <c r="H128" t="s">
        <v>1935</v>
      </c>
    </row>
    <row r="129" spans="1:8" x14ac:dyDescent="0.3">
      <c r="A129" t="s">
        <v>734</v>
      </c>
      <c r="B129" t="s">
        <v>914</v>
      </c>
      <c r="C129" t="s">
        <v>2836</v>
      </c>
      <c r="D129" t="s">
        <v>2827</v>
      </c>
      <c r="E129">
        <v>0</v>
      </c>
      <c r="F129" t="s">
        <v>2820</v>
      </c>
      <c r="G129" t="b">
        <v>1</v>
      </c>
      <c r="H129" t="s">
        <v>2828</v>
      </c>
    </row>
    <row r="130" spans="1:8" x14ac:dyDescent="0.3">
      <c r="A130" t="s">
        <v>734</v>
      </c>
      <c r="B130" t="s">
        <v>914</v>
      </c>
      <c r="C130" t="s">
        <v>2836</v>
      </c>
      <c r="D130" t="s">
        <v>2829</v>
      </c>
      <c r="E130">
        <v>0</v>
      </c>
      <c r="F130" t="s">
        <v>2820</v>
      </c>
      <c r="G130" t="b">
        <v>1</v>
      </c>
      <c r="H130" t="s">
        <v>2830</v>
      </c>
    </row>
    <row r="131" spans="1:8" x14ac:dyDescent="0.3">
      <c r="A131" t="s">
        <v>734</v>
      </c>
      <c r="B131" t="s">
        <v>914</v>
      </c>
      <c r="C131" t="s">
        <v>2836</v>
      </c>
      <c r="D131" t="s">
        <v>2831</v>
      </c>
      <c r="E131">
        <v>0</v>
      </c>
      <c r="F131" t="s">
        <v>2820</v>
      </c>
      <c r="G131" t="b">
        <v>1</v>
      </c>
      <c r="H131" t="s">
        <v>466</v>
      </c>
    </row>
    <row r="132" spans="1:8" x14ac:dyDescent="0.3">
      <c r="A132" t="s">
        <v>734</v>
      </c>
      <c r="B132" t="s">
        <v>914</v>
      </c>
      <c r="C132" t="s">
        <v>2836</v>
      </c>
      <c r="D132" t="s">
        <v>2832</v>
      </c>
      <c r="E132">
        <v>0</v>
      </c>
      <c r="F132" t="s">
        <v>2820</v>
      </c>
      <c r="G132" t="b">
        <v>1</v>
      </c>
      <c r="H132" t="s">
        <v>467</v>
      </c>
    </row>
    <row r="133" spans="1:8" x14ac:dyDescent="0.3">
      <c r="A133" t="s">
        <v>734</v>
      </c>
      <c r="B133" t="s">
        <v>914</v>
      </c>
      <c r="C133" t="s">
        <v>2836</v>
      </c>
      <c r="D133" t="s">
        <v>2833</v>
      </c>
      <c r="E133">
        <v>0</v>
      </c>
      <c r="F133" t="s">
        <v>2820</v>
      </c>
      <c r="G133" t="b">
        <v>1</v>
      </c>
      <c r="H133" t="s">
        <v>468</v>
      </c>
    </row>
    <row r="134" spans="1:8" x14ac:dyDescent="0.3">
      <c r="A134" t="s">
        <v>734</v>
      </c>
      <c r="B134" t="s">
        <v>2837</v>
      </c>
      <c r="C134" t="s">
        <v>59</v>
      </c>
      <c r="D134" t="s">
        <v>2819</v>
      </c>
      <c r="E134">
        <v>0</v>
      </c>
      <c r="F134" t="s">
        <v>2820</v>
      </c>
      <c r="G134" t="b">
        <v>1</v>
      </c>
      <c r="H134" t="s">
        <v>704</v>
      </c>
    </row>
    <row r="135" spans="1:8" x14ac:dyDescent="0.3">
      <c r="A135" t="s">
        <v>734</v>
      </c>
      <c r="B135" t="s">
        <v>2837</v>
      </c>
      <c r="C135" t="s">
        <v>59</v>
      </c>
      <c r="D135" t="s">
        <v>2821</v>
      </c>
      <c r="E135">
        <v>0</v>
      </c>
      <c r="F135" t="s">
        <v>2820</v>
      </c>
      <c r="G135" t="b">
        <v>1</v>
      </c>
      <c r="H135" t="s">
        <v>706</v>
      </c>
    </row>
    <row r="136" spans="1:8" x14ac:dyDescent="0.3">
      <c r="A136" t="s">
        <v>734</v>
      </c>
      <c r="B136" t="s">
        <v>2837</v>
      </c>
      <c r="C136" t="s">
        <v>59</v>
      </c>
      <c r="D136" t="s">
        <v>2822</v>
      </c>
      <c r="E136">
        <v>0</v>
      </c>
      <c r="F136" t="s">
        <v>2820</v>
      </c>
      <c r="G136" t="b">
        <v>1</v>
      </c>
      <c r="H136" t="s">
        <v>708</v>
      </c>
    </row>
    <row r="137" spans="1:8" x14ac:dyDescent="0.3">
      <c r="A137" t="s">
        <v>734</v>
      </c>
      <c r="B137" t="s">
        <v>2837</v>
      </c>
      <c r="C137" t="s">
        <v>59</v>
      </c>
      <c r="D137" t="s">
        <v>2823</v>
      </c>
      <c r="E137">
        <v>0</v>
      </c>
      <c r="F137" t="s">
        <v>2820</v>
      </c>
      <c r="G137" t="b">
        <v>1</v>
      </c>
      <c r="H137" t="s">
        <v>710</v>
      </c>
    </row>
    <row r="138" spans="1:8" x14ac:dyDescent="0.3">
      <c r="A138" t="s">
        <v>734</v>
      </c>
      <c r="B138" t="s">
        <v>2837</v>
      </c>
      <c r="C138" t="s">
        <v>59</v>
      </c>
      <c r="D138" t="s">
        <v>2824</v>
      </c>
      <c r="E138">
        <v>0</v>
      </c>
      <c r="F138" t="s">
        <v>2820</v>
      </c>
      <c r="G138" t="b">
        <v>1</v>
      </c>
      <c r="H138" t="s">
        <v>2802</v>
      </c>
    </row>
    <row r="139" spans="1:8" x14ac:dyDescent="0.3">
      <c r="A139" t="s">
        <v>734</v>
      </c>
      <c r="B139" t="s">
        <v>2837</v>
      </c>
      <c r="C139" t="s">
        <v>59</v>
      </c>
      <c r="D139" t="s">
        <v>2825</v>
      </c>
      <c r="E139">
        <v>0</v>
      </c>
      <c r="F139" t="s">
        <v>2820</v>
      </c>
      <c r="G139" t="b">
        <v>1</v>
      </c>
      <c r="H139" t="s">
        <v>2800</v>
      </c>
    </row>
    <row r="140" spans="1:8" x14ac:dyDescent="0.3">
      <c r="A140" t="s">
        <v>734</v>
      </c>
      <c r="B140" t="s">
        <v>2837</v>
      </c>
      <c r="C140" t="s">
        <v>59</v>
      </c>
      <c r="D140" t="s">
        <v>2826</v>
      </c>
      <c r="E140">
        <v>0</v>
      </c>
      <c r="F140" t="s">
        <v>2820</v>
      </c>
      <c r="G140" t="b">
        <v>1</v>
      </c>
      <c r="H140" t="s">
        <v>1935</v>
      </c>
    </row>
    <row r="141" spans="1:8" x14ac:dyDescent="0.3">
      <c r="A141" t="s">
        <v>734</v>
      </c>
      <c r="B141" t="s">
        <v>2837</v>
      </c>
      <c r="C141" t="s">
        <v>59</v>
      </c>
      <c r="D141" t="s">
        <v>2827</v>
      </c>
      <c r="E141">
        <v>53478.47</v>
      </c>
      <c r="F141" t="s">
        <v>2820</v>
      </c>
      <c r="G141" t="b">
        <v>1</v>
      </c>
      <c r="H141" t="s">
        <v>2828</v>
      </c>
    </row>
    <row r="142" spans="1:8" x14ac:dyDescent="0.3">
      <c r="A142" t="s">
        <v>734</v>
      </c>
      <c r="B142" t="s">
        <v>2837</v>
      </c>
      <c r="C142" t="s">
        <v>59</v>
      </c>
      <c r="D142" t="s">
        <v>2829</v>
      </c>
      <c r="E142">
        <v>50694.22</v>
      </c>
      <c r="F142" t="s">
        <v>2820</v>
      </c>
      <c r="G142" t="b">
        <v>1</v>
      </c>
      <c r="H142" t="s">
        <v>2830</v>
      </c>
    </row>
    <row r="143" spans="1:8" x14ac:dyDescent="0.3">
      <c r="A143" t="s">
        <v>734</v>
      </c>
      <c r="B143" t="s">
        <v>2837</v>
      </c>
      <c r="C143" t="s">
        <v>59</v>
      </c>
      <c r="D143" t="s">
        <v>2831</v>
      </c>
      <c r="E143">
        <v>55582.59</v>
      </c>
      <c r="F143" t="s">
        <v>2820</v>
      </c>
      <c r="G143" t="b">
        <v>1</v>
      </c>
      <c r="H143" t="s">
        <v>466</v>
      </c>
    </row>
    <row r="144" spans="1:8" x14ac:dyDescent="0.3">
      <c r="A144" t="s">
        <v>734</v>
      </c>
      <c r="B144" t="s">
        <v>2837</v>
      </c>
      <c r="C144" t="s">
        <v>59</v>
      </c>
      <c r="D144" t="s">
        <v>2832</v>
      </c>
      <c r="E144">
        <v>50275.13</v>
      </c>
      <c r="F144" t="s">
        <v>2820</v>
      </c>
      <c r="G144" t="b">
        <v>1</v>
      </c>
      <c r="H144" t="s">
        <v>467</v>
      </c>
    </row>
    <row r="145" spans="1:8" x14ac:dyDescent="0.3">
      <c r="A145" t="s">
        <v>734</v>
      </c>
      <c r="B145" t="s">
        <v>2837</v>
      </c>
      <c r="C145" t="s">
        <v>59</v>
      </c>
      <c r="D145" t="s">
        <v>2833</v>
      </c>
      <c r="E145">
        <v>49421.61</v>
      </c>
      <c r="F145" t="s">
        <v>2820</v>
      </c>
      <c r="G145" t="b">
        <v>1</v>
      </c>
      <c r="H145" t="s">
        <v>468</v>
      </c>
    </row>
    <row r="146" spans="1:8" x14ac:dyDescent="0.3">
      <c r="A146" t="s">
        <v>734</v>
      </c>
      <c r="B146" t="s">
        <v>2837</v>
      </c>
      <c r="C146" t="s">
        <v>58</v>
      </c>
      <c r="D146" t="s">
        <v>2819</v>
      </c>
      <c r="E146">
        <v>0</v>
      </c>
      <c r="F146" t="s">
        <v>2820</v>
      </c>
      <c r="G146" t="b">
        <v>1</v>
      </c>
      <c r="H146" t="s">
        <v>704</v>
      </c>
    </row>
    <row r="147" spans="1:8" x14ac:dyDescent="0.3">
      <c r="A147" t="s">
        <v>734</v>
      </c>
      <c r="B147" t="s">
        <v>2837</v>
      </c>
      <c r="C147" t="s">
        <v>58</v>
      </c>
      <c r="D147" t="s">
        <v>2821</v>
      </c>
      <c r="E147">
        <v>0</v>
      </c>
      <c r="F147" t="s">
        <v>2820</v>
      </c>
      <c r="G147" t="b">
        <v>1</v>
      </c>
      <c r="H147" t="s">
        <v>706</v>
      </c>
    </row>
    <row r="148" spans="1:8" x14ac:dyDescent="0.3">
      <c r="A148" t="s">
        <v>734</v>
      </c>
      <c r="B148" t="s">
        <v>2837</v>
      </c>
      <c r="C148" t="s">
        <v>58</v>
      </c>
      <c r="D148" t="s">
        <v>2822</v>
      </c>
      <c r="E148">
        <v>0</v>
      </c>
      <c r="F148" t="s">
        <v>2820</v>
      </c>
      <c r="G148" t="b">
        <v>1</v>
      </c>
      <c r="H148" t="s">
        <v>708</v>
      </c>
    </row>
    <row r="149" spans="1:8" x14ac:dyDescent="0.3">
      <c r="A149" t="s">
        <v>734</v>
      </c>
      <c r="B149" t="s">
        <v>2837</v>
      </c>
      <c r="C149" t="s">
        <v>58</v>
      </c>
      <c r="D149" t="s">
        <v>2823</v>
      </c>
      <c r="E149">
        <v>0</v>
      </c>
      <c r="F149" t="s">
        <v>2820</v>
      </c>
      <c r="G149" t="b">
        <v>1</v>
      </c>
      <c r="H149" t="s">
        <v>710</v>
      </c>
    </row>
    <row r="150" spans="1:8" x14ac:dyDescent="0.3">
      <c r="A150" t="s">
        <v>734</v>
      </c>
      <c r="B150" t="s">
        <v>2837</v>
      </c>
      <c r="C150" t="s">
        <v>58</v>
      </c>
      <c r="D150" t="s">
        <v>2824</v>
      </c>
      <c r="E150">
        <v>0</v>
      </c>
      <c r="F150" t="s">
        <v>2820</v>
      </c>
      <c r="G150" t="b">
        <v>1</v>
      </c>
      <c r="H150" t="s">
        <v>2802</v>
      </c>
    </row>
    <row r="151" spans="1:8" x14ac:dyDescent="0.3">
      <c r="A151" t="s">
        <v>734</v>
      </c>
      <c r="B151" t="s">
        <v>2837</v>
      </c>
      <c r="C151" t="s">
        <v>58</v>
      </c>
      <c r="D151" t="s">
        <v>2825</v>
      </c>
      <c r="E151">
        <v>0</v>
      </c>
      <c r="F151" t="s">
        <v>2820</v>
      </c>
      <c r="G151" t="b">
        <v>1</v>
      </c>
      <c r="H151" t="s">
        <v>2800</v>
      </c>
    </row>
    <row r="152" spans="1:8" x14ac:dyDescent="0.3">
      <c r="A152" t="s">
        <v>734</v>
      </c>
      <c r="B152" t="s">
        <v>2837</v>
      </c>
      <c r="C152" t="s">
        <v>58</v>
      </c>
      <c r="D152" t="s">
        <v>2826</v>
      </c>
      <c r="E152">
        <v>0</v>
      </c>
      <c r="F152" t="s">
        <v>2820</v>
      </c>
      <c r="G152" t="b">
        <v>1</v>
      </c>
      <c r="H152" t="s">
        <v>1935</v>
      </c>
    </row>
    <row r="153" spans="1:8" x14ac:dyDescent="0.3">
      <c r="A153" t="s">
        <v>734</v>
      </c>
      <c r="B153" t="s">
        <v>2837</v>
      </c>
      <c r="C153" t="s">
        <v>58</v>
      </c>
      <c r="D153" t="s">
        <v>2827</v>
      </c>
      <c r="E153">
        <v>684600</v>
      </c>
      <c r="F153" t="s">
        <v>2820</v>
      </c>
      <c r="G153" t="b">
        <v>1</v>
      </c>
      <c r="H153" t="s">
        <v>2828</v>
      </c>
    </row>
    <row r="154" spans="1:8" x14ac:dyDescent="0.3">
      <c r="A154" t="s">
        <v>734</v>
      </c>
      <c r="B154" t="s">
        <v>2837</v>
      </c>
      <c r="C154" t="s">
        <v>58</v>
      </c>
      <c r="D154" t="s">
        <v>2829</v>
      </c>
      <c r="E154">
        <v>684600</v>
      </c>
      <c r="F154" t="s">
        <v>2820</v>
      </c>
      <c r="G154" t="b">
        <v>1</v>
      </c>
      <c r="H154" t="s">
        <v>2830</v>
      </c>
    </row>
    <row r="155" spans="1:8" x14ac:dyDescent="0.3">
      <c r="A155" t="s">
        <v>734</v>
      </c>
      <c r="B155" t="s">
        <v>2837</v>
      </c>
      <c r="C155" t="s">
        <v>58</v>
      </c>
      <c r="D155" t="s">
        <v>2831</v>
      </c>
      <c r="E155">
        <v>684600</v>
      </c>
      <c r="F155" t="s">
        <v>2820</v>
      </c>
      <c r="G155" t="b">
        <v>1</v>
      </c>
      <c r="H155" t="s">
        <v>466</v>
      </c>
    </row>
    <row r="156" spans="1:8" x14ac:dyDescent="0.3">
      <c r="A156" t="s">
        <v>734</v>
      </c>
      <c r="B156" t="s">
        <v>2837</v>
      </c>
      <c r="C156" t="s">
        <v>58</v>
      </c>
      <c r="D156" t="s">
        <v>2832</v>
      </c>
      <c r="E156">
        <v>684600</v>
      </c>
      <c r="F156" t="s">
        <v>2820</v>
      </c>
      <c r="G156" t="b">
        <v>1</v>
      </c>
      <c r="H156" t="s">
        <v>467</v>
      </c>
    </row>
    <row r="157" spans="1:8" x14ac:dyDescent="0.3">
      <c r="A157" t="s">
        <v>734</v>
      </c>
      <c r="B157" t="s">
        <v>2837</v>
      </c>
      <c r="C157" t="s">
        <v>58</v>
      </c>
      <c r="D157" t="s">
        <v>2833</v>
      </c>
      <c r="E157">
        <v>684600</v>
      </c>
      <c r="F157" t="s">
        <v>2820</v>
      </c>
      <c r="G157" t="b">
        <v>1</v>
      </c>
      <c r="H157" t="s">
        <v>468</v>
      </c>
    </row>
    <row r="158" spans="1:8" x14ac:dyDescent="0.3">
      <c r="A158" t="s">
        <v>734</v>
      </c>
      <c r="B158" t="s">
        <v>2837</v>
      </c>
      <c r="C158" t="s">
        <v>68</v>
      </c>
      <c r="D158" t="s">
        <v>2819</v>
      </c>
      <c r="E158">
        <v>0</v>
      </c>
      <c r="F158" t="s">
        <v>2820</v>
      </c>
      <c r="G158" t="b">
        <v>1</v>
      </c>
      <c r="H158" t="s">
        <v>704</v>
      </c>
    </row>
    <row r="159" spans="1:8" x14ac:dyDescent="0.3">
      <c r="A159" t="s">
        <v>734</v>
      </c>
      <c r="B159" t="s">
        <v>2837</v>
      </c>
      <c r="C159" t="s">
        <v>68</v>
      </c>
      <c r="D159" t="s">
        <v>2821</v>
      </c>
      <c r="E159">
        <v>0</v>
      </c>
      <c r="F159" t="s">
        <v>2820</v>
      </c>
      <c r="G159" t="b">
        <v>1</v>
      </c>
      <c r="H159" t="s">
        <v>706</v>
      </c>
    </row>
    <row r="160" spans="1:8" x14ac:dyDescent="0.3">
      <c r="A160" t="s">
        <v>734</v>
      </c>
      <c r="B160" t="s">
        <v>2837</v>
      </c>
      <c r="C160" t="s">
        <v>68</v>
      </c>
      <c r="D160" t="s">
        <v>2822</v>
      </c>
      <c r="E160">
        <v>0</v>
      </c>
      <c r="F160" t="s">
        <v>2820</v>
      </c>
      <c r="G160" t="b">
        <v>1</v>
      </c>
      <c r="H160" t="s">
        <v>708</v>
      </c>
    </row>
    <row r="161" spans="1:8" x14ac:dyDescent="0.3">
      <c r="A161" t="s">
        <v>734</v>
      </c>
      <c r="B161" t="s">
        <v>2837</v>
      </c>
      <c r="C161" t="s">
        <v>68</v>
      </c>
      <c r="D161" t="s">
        <v>2823</v>
      </c>
      <c r="E161">
        <v>0</v>
      </c>
      <c r="F161" t="s">
        <v>2820</v>
      </c>
      <c r="G161" t="b">
        <v>1</v>
      </c>
      <c r="H161" t="s">
        <v>710</v>
      </c>
    </row>
    <row r="162" spans="1:8" x14ac:dyDescent="0.3">
      <c r="A162" t="s">
        <v>734</v>
      </c>
      <c r="B162" t="s">
        <v>2837</v>
      </c>
      <c r="C162" t="s">
        <v>68</v>
      </c>
      <c r="D162" t="s">
        <v>2824</v>
      </c>
      <c r="E162">
        <v>0</v>
      </c>
      <c r="F162" t="s">
        <v>2820</v>
      </c>
      <c r="G162" t="b">
        <v>1</v>
      </c>
      <c r="H162" t="s">
        <v>2802</v>
      </c>
    </row>
    <row r="163" spans="1:8" x14ac:dyDescent="0.3">
      <c r="A163" t="s">
        <v>734</v>
      </c>
      <c r="B163" t="s">
        <v>2837</v>
      </c>
      <c r="C163" t="s">
        <v>68</v>
      </c>
      <c r="D163" t="s">
        <v>2825</v>
      </c>
      <c r="E163">
        <v>0</v>
      </c>
      <c r="F163" t="s">
        <v>2820</v>
      </c>
      <c r="G163" t="b">
        <v>1</v>
      </c>
      <c r="H163" t="s">
        <v>2800</v>
      </c>
    </row>
    <row r="164" spans="1:8" x14ac:dyDescent="0.3">
      <c r="A164" t="s">
        <v>734</v>
      </c>
      <c r="B164" t="s">
        <v>2837</v>
      </c>
      <c r="C164" t="s">
        <v>68</v>
      </c>
      <c r="D164" t="s">
        <v>2826</v>
      </c>
      <c r="E164">
        <v>0</v>
      </c>
      <c r="F164" t="s">
        <v>2820</v>
      </c>
      <c r="G164" t="b">
        <v>1</v>
      </c>
      <c r="H164" t="s">
        <v>1935</v>
      </c>
    </row>
    <row r="165" spans="1:8" x14ac:dyDescent="0.3">
      <c r="A165" t="s">
        <v>734</v>
      </c>
      <c r="B165" t="s">
        <v>2837</v>
      </c>
      <c r="C165" t="s">
        <v>68</v>
      </c>
      <c r="D165" t="s">
        <v>2827</v>
      </c>
      <c r="E165">
        <v>13000</v>
      </c>
      <c r="F165" t="s">
        <v>2820</v>
      </c>
      <c r="G165" t="b">
        <v>1</v>
      </c>
      <c r="H165" t="s">
        <v>2828</v>
      </c>
    </row>
    <row r="166" spans="1:8" x14ac:dyDescent="0.3">
      <c r="A166" t="s">
        <v>734</v>
      </c>
      <c r="B166" t="s">
        <v>2837</v>
      </c>
      <c r="C166" t="s">
        <v>68</v>
      </c>
      <c r="D166" t="s">
        <v>2829</v>
      </c>
      <c r="E166">
        <v>13000</v>
      </c>
      <c r="F166" t="s">
        <v>2820</v>
      </c>
      <c r="G166" t="b">
        <v>1</v>
      </c>
      <c r="H166" t="s">
        <v>2830</v>
      </c>
    </row>
    <row r="167" spans="1:8" x14ac:dyDescent="0.3">
      <c r="A167" t="s">
        <v>734</v>
      </c>
      <c r="B167" t="s">
        <v>2837</v>
      </c>
      <c r="C167" t="s">
        <v>68</v>
      </c>
      <c r="D167" t="s">
        <v>2831</v>
      </c>
      <c r="E167">
        <v>13000</v>
      </c>
      <c r="F167" t="s">
        <v>2820</v>
      </c>
      <c r="G167" t="b">
        <v>1</v>
      </c>
      <c r="H167" t="s">
        <v>466</v>
      </c>
    </row>
    <row r="168" spans="1:8" x14ac:dyDescent="0.3">
      <c r="A168" t="s">
        <v>734</v>
      </c>
      <c r="B168" t="s">
        <v>2837</v>
      </c>
      <c r="C168" t="s">
        <v>68</v>
      </c>
      <c r="D168" t="s">
        <v>2832</v>
      </c>
      <c r="E168">
        <v>13000</v>
      </c>
      <c r="F168" t="s">
        <v>2820</v>
      </c>
      <c r="G168" t="b">
        <v>1</v>
      </c>
      <c r="H168" t="s">
        <v>467</v>
      </c>
    </row>
    <row r="169" spans="1:8" x14ac:dyDescent="0.3">
      <c r="A169" t="s">
        <v>734</v>
      </c>
      <c r="B169" t="s">
        <v>2837</v>
      </c>
      <c r="C169" t="s">
        <v>68</v>
      </c>
      <c r="D169" t="s">
        <v>2833</v>
      </c>
      <c r="E169">
        <v>13000</v>
      </c>
      <c r="F169" t="s">
        <v>2820</v>
      </c>
      <c r="G169" t="b">
        <v>1</v>
      </c>
      <c r="H169" t="s">
        <v>468</v>
      </c>
    </row>
    <row r="170" spans="1:8" x14ac:dyDescent="0.3">
      <c r="A170" t="s">
        <v>734</v>
      </c>
      <c r="B170" t="s">
        <v>2837</v>
      </c>
      <c r="C170" t="s">
        <v>69</v>
      </c>
      <c r="D170" t="s">
        <v>2819</v>
      </c>
      <c r="E170">
        <v>0</v>
      </c>
      <c r="F170" t="s">
        <v>2820</v>
      </c>
      <c r="G170" t="b">
        <v>1</v>
      </c>
      <c r="H170" t="s">
        <v>704</v>
      </c>
    </row>
    <row r="171" spans="1:8" x14ac:dyDescent="0.3">
      <c r="A171" t="s">
        <v>734</v>
      </c>
      <c r="B171" t="s">
        <v>2837</v>
      </c>
      <c r="C171" t="s">
        <v>69</v>
      </c>
      <c r="D171" t="s">
        <v>2821</v>
      </c>
      <c r="E171">
        <v>0</v>
      </c>
      <c r="F171" t="s">
        <v>2820</v>
      </c>
      <c r="G171" t="b">
        <v>1</v>
      </c>
      <c r="H171" t="s">
        <v>706</v>
      </c>
    </row>
    <row r="172" spans="1:8" x14ac:dyDescent="0.3">
      <c r="A172" t="s">
        <v>734</v>
      </c>
      <c r="B172" t="s">
        <v>2837</v>
      </c>
      <c r="C172" t="s">
        <v>69</v>
      </c>
      <c r="D172" t="s">
        <v>2822</v>
      </c>
      <c r="E172">
        <v>0</v>
      </c>
      <c r="F172" t="s">
        <v>2820</v>
      </c>
      <c r="G172" t="b">
        <v>1</v>
      </c>
      <c r="H172" t="s">
        <v>708</v>
      </c>
    </row>
    <row r="173" spans="1:8" x14ac:dyDescent="0.3">
      <c r="A173" t="s">
        <v>734</v>
      </c>
      <c r="B173" t="s">
        <v>2837</v>
      </c>
      <c r="C173" t="s">
        <v>69</v>
      </c>
      <c r="D173" t="s">
        <v>2823</v>
      </c>
      <c r="E173">
        <v>0</v>
      </c>
      <c r="F173" t="s">
        <v>2820</v>
      </c>
      <c r="G173" t="b">
        <v>1</v>
      </c>
      <c r="H173" t="s">
        <v>710</v>
      </c>
    </row>
    <row r="174" spans="1:8" x14ac:dyDescent="0.3">
      <c r="A174" t="s">
        <v>734</v>
      </c>
      <c r="B174" t="s">
        <v>2837</v>
      </c>
      <c r="C174" t="s">
        <v>69</v>
      </c>
      <c r="D174" t="s">
        <v>2824</v>
      </c>
      <c r="E174">
        <v>0</v>
      </c>
      <c r="F174" t="s">
        <v>2820</v>
      </c>
      <c r="G174" t="b">
        <v>1</v>
      </c>
      <c r="H174" t="s">
        <v>2802</v>
      </c>
    </row>
    <row r="175" spans="1:8" x14ac:dyDescent="0.3">
      <c r="A175" t="s">
        <v>734</v>
      </c>
      <c r="B175" t="s">
        <v>2837</v>
      </c>
      <c r="C175" t="s">
        <v>69</v>
      </c>
      <c r="D175" t="s">
        <v>2825</v>
      </c>
      <c r="E175">
        <v>0</v>
      </c>
      <c r="F175" t="s">
        <v>2820</v>
      </c>
      <c r="G175" t="b">
        <v>1</v>
      </c>
      <c r="H175" t="s">
        <v>2800</v>
      </c>
    </row>
    <row r="176" spans="1:8" x14ac:dyDescent="0.3">
      <c r="A176" t="s">
        <v>734</v>
      </c>
      <c r="B176" t="s">
        <v>2837</v>
      </c>
      <c r="C176" t="s">
        <v>69</v>
      </c>
      <c r="D176" t="s">
        <v>2826</v>
      </c>
      <c r="E176">
        <v>0</v>
      </c>
      <c r="F176" t="s">
        <v>2820</v>
      </c>
      <c r="G176" t="b">
        <v>1</v>
      </c>
      <c r="H176" t="s">
        <v>1935</v>
      </c>
    </row>
    <row r="177" spans="1:8" x14ac:dyDescent="0.3">
      <c r="A177" t="s">
        <v>734</v>
      </c>
      <c r="B177" t="s">
        <v>2837</v>
      </c>
      <c r="C177" t="s">
        <v>69</v>
      </c>
      <c r="D177" t="s">
        <v>2827</v>
      </c>
      <c r="E177">
        <v>0</v>
      </c>
      <c r="F177" t="s">
        <v>2820</v>
      </c>
      <c r="G177" t="b">
        <v>1</v>
      </c>
      <c r="H177" t="s">
        <v>2828</v>
      </c>
    </row>
    <row r="178" spans="1:8" x14ac:dyDescent="0.3">
      <c r="A178" t="s">
        <v>734</v>
      </c>
      <c r="B178" t="s">
        <v>2837</v>
      </c>
      <c r="C178" t="s">
        <v>69</v>
      </c>
      <c r="D178" t="s">
        <v>2829</v>
      </c>
      <c r="E178">
        <v>0</v>
      </c>
      <c r="F178" t="s">
        <v>2820</v>
      </c>
      <c r="G178" t="b">
        <v>1</v>
      </c>
      <c r="H178" t="s">
        <v>2830</v>
      </c>
    </row>
    <row r="179" spans="1:8" x14ac:dyDescent="0.3">
      <c r="A179" t="s">
        <v>734</v>
      </c>
      <c r="B179" t="s">
        <v>2837</v>
      </c>
      <c r="C179" t="s">
        <v>69</v>
      </c>
      <c r="D179" t="s">
        <v>2831</v>
      </c>
      <c r="E179">
        <v>0</v>
      </c>
      <c r="F179" t="s">
        <v>2820</v>
      </c>
      <c r="G179" t="b">
        <v>1</v>
      </c>
      <c r="H179" t="s">
        <v>466</v>
      </c>
    </row>
    <row r="180" spans="1:8" x14ac:dyDescent="0.3">
      <c r="A180" t="s">
        <v>734</v>
      </c>
      <c r="B180" t="s">
        <v>2837</v>
      </c>
      <c r="C180" t="s">
        <v>69</v>
      </c>
      <c r="D180" t="s">
        <v>2832</v>
      </c>
      <c r="E180">
        <v>0</v>
      </c>
      <c r="F180" t="s">
        <v>2820</v>
      </c>
      <c r="G180" t="b">
        <v>1</v>
      </c>
      <c r="H180" t="s">
        <v>467</v>
      </c>
    </row>
    <row r="181" spans="1:8" x14ac:dyDescent="0.3">
      <c r="A181" t="s">
        <v>734</v>
      </c>
      <c r="B181" t="s">
        <v>2837</v>
      </c>
      <c r="C181" t="s">
        <v>69</v>
      </c>
      <c r="D181" t="s">
        <v>2833</v>
      </c>
      <c r="E181">
        <v>0</v>
      </c>
      <c r="F181" t="s">
        <v>2820</v>
      </c>
      <c r="G181" t="b">
        <v>1</v>
      </c>
      <c r="H181" t="s">
        <v>468</v>
      </c>
    </row>
    <row r="182" spans="1:8" x14ac:dyDescent="0.3">
      <c r="A182" t="s">
        <v>734</v>
      </c>
      <c r="B182" t="s">
        <v>2837</v>
      </c>
      <c r="C182" t="s">
        <v>62</v>
      </c>
      <c r="D182" t="s">
        <v>2819</v>
      </c>
      <c r="E182">
        <v>0</v>
      </c>
      <c r="F182" t="s">
        <v>2820</v>
      </c>
      <c r="G182" t="b">
        <v>1</v>
      </c>
      <c r="H182" t="s">
        <v>704</v>
      </c>
    </row>
    <row r="183" spans="1:8" x14ac:dyDescent="0.3">
      <c r="A183" t="s">
        <v>734</v>
      </c>
      <c r="B183" t="s">
        <v>2837</v>
      </c>
      <c r="C183" t="s">
        <v>62</v>
      </c>
      <c r="D183" t="s">
        <v>2821</v>
      </c>
      <c r="E183">
        <v>0</v>
      </c>
      <c r="F183" t="s">
        <v>2820</v>
      </c>
      <c r="G183" t="b">
        <v>1</v>
      </c>
      <c r="H183" t="s">
        <v>706</v>
      </c>
    </row>
    <row r="184" spans="1:8" x14ac:dyDescent="0.3">
      <c r="A184" t="s">
        <v>734</v>
      </c>
      <c r="B184" t="s">
        <v>2837</v>
      </c>
      <c r="C184" t="s">
        <v>62</v>
      </c>
      <c r="D184" t="s">
        <v>2822</v>
      </c>
      <c r="E184">
        <v>0</v>
      </c>
      <c r="F184" t="s">
        <v>2820</v>
      </c>
      <c r="G184" t="b">
        <v>1</v>
      </c>
      <c r="H184" t="s">
        <v>708</v>
      </c>
    </row>
    <row r="185" spans="1:8" x14ac:dyDescent="0.3">
      <c r="A185" t="s">
        <v>734</v>
      </c>
      <c r="B185" t="s">
        <v>2837</v>
      </c>
      <c r="C185" t="s">
        <v>62</v>
      </c>
      <c r="D185" t="s">
        <v>2823</v>
      </c>
      <c r="E185">
        <v>0</v>
      </c>
      <c r="F185" t="s">
        <v>2820</v>
      </c>
      <c r="G185" t="b">
        <v>1</v>
      </c>
      <c r="H185" t="s">
        <v>710</v>
      </c>
    </row>
    <row r="186" spans="1:8" x14ac:dyDescent="0.3">
      <c r="A186" t="s">
        <v>734</v>
      </c>
      <c r="B186" t="s">
        <v>2837</v>
      </c>
      <c r="C186" t="s">
        <v>62</v>
      </c>
      <c r="D186" t="s">
        <v>2824</v>
      </c>
      <c r="E186">
        <v>0</v>
      </c>
      <c r="F186" t="s">
        <v>2820</v>
      </c>
      <c r="G186" t="b">
        <v>1</v>
      </c>
      <c r="H186" t="s">
        <v>2802</v>
      </c>
    </row>
    <row r="187" spans="1:8" x14ac:dyDescent="0.3">
      <c r="A187" t="s">
        <v>734</v>
      </c>
      <c r="B187" t="s">
        <v>2837</v>
      </c>
      <c r="C187" t="s">
        <v>62</v>
      </c>
      <c r="D187" t="s">
        <v>2825</v>
      </c>
      <c r="E187">
        <v>0</v>
      </c>
      <c r="F187" t="s">
        <v>2820</v>
      </c>
      <c r="G187" t="b">
        <v>1</v>
      </c>
      <c r="H187" t="s">
        <v>2800</v>
      </c>
    </row>
    <row r="188" spans="1:8" x14ac:dyDescent="0.3">
      <c r="A188" t="s">
        <v>734</v>
      </c>
      <c r="B188" t="s">
        <v>2837</v>
      </c>
      <c r="C188" t="s">
        <v>62</v>
      </c>
      <c r="D188" t="s">
        <v>2826</v>
      </c>
      <c r="E188">
        <v>0</v>
      </c>
      <c r="F188" t="s">
        <v>2820</v>
      </c>
      <c r="G188" t="b">
        <v>1</v>
      </c>
      <c r="H188" t="s">
        <v>1935</v>
      </c>
    </row>
    <row r="189" spans="1:8" x14ac:dyDescent="0.3">
      <c r="A189" t="s">
        <v>734</v>
      </c>
      <c r="B189" t="s">
        <v>2837</v>
      </c>
      <c r="C189" t="s">
        <v>62</v>
      </c>
      <c r="D189" t="s">
        <v>2827</v>
      </c>
      <c r="E189">
        <v>0</v>
      </c>
      <c r="F189" t="s">
        <v>2820</v>
      </c>
      <c r="G189" t="b">
        <v>1</v>
      </c>
      <c r="H189" t="s">
        <v>2828</v>
      </c>
    </row>
    <row r="190" spans="1:8" x14ac:dyDescent="0.3">
      <c r="A190" t="s">
        <v>734</v>
      </c>
      <c r="B190" t="s">
        <v>2837</v>
      </c>
      <c r="C190" t="s">
        <v>62</v>
      </c>
      <c r="D190" t="s">
        <v>2829</v>
      </c>
      <c r="E190">
        <v>0</v>
      </c>
      <c r="F190" t="s">
        <v>2820</v>
      </c>
      <c r="G190" t="b">
        <v>1</v>
      </c>
      <c r="H190" t="s">
        <v>2830</v>
      </c>
    </row>
    <row r="191" spans="1:8" x14ac:dyDescent="0.3">
      <c r="A191" t="s">
        <v>734</v>
      </c>
      <c r="B191" t="s">
        <v>2837</v>
      </c>
      <c r="C191" t="s">
        <v>62</v>
      </c>
      <c r="D191" t="s">
        <v>2831</v>
      </c>
      <c r="E191">
        <v>0</v>
      </c>
      <c r="F191" t="s">
        <v>2820</v>
      </c>
      <c r="G191" t="b">
        <v>1</v>
      </c>
      <c r="H191" t="s">
        <v>466</v>
      </c>
    </row>
    <row r="192" spans="1:8" x14ac:dyDescent="0.3">
      <c r="A192" t="s">
        <v>734</v>
      </c>
      <c r="B192" t="s">
        <v>2837</v>
      </c>
      <c r="C192" t="s">
        <v>62</v>
      </c>
      <c r="D192" t="s">
        <v>2832</v>
      </c>
      <c r="E192">
        <v>0</v>
      </c>
      <c r="F192" t="s">
        <v>2820</v>
      </c>
      <c r="G192" t="b">
        <v>1</v>
      </c>
      <c r="H192" t="s">
        <v>467</v>
      </c>
    </row>
    <row r="193" spans="1:8" x14ac:dyDescent="0.3">
      <c r="A193" t="s">
        <v>734</v>
      </c>
      <c r="B193" t="s">
        <v>2837</v>
      </c>
      <c r="C193" t="s">
        <v>62</v>
      </c>
      <c r="D193" t="s">
        <v>2833</v>
      </c>
      <c r="E193">
        <v>0</v>
      </c>
      <c r="F193" t="s">
        <v>2820</v>
      </c>
      <c r="G193" t="b">
        <v>1</v>
      </c>
      <c r="H193" t="s">
        <v>468</v>
      </c>
    </row>
    <row r="194" spans="1:8" x14ac:dyDescent="0.3">
      <c r="A194" t="s">
        <v>734</v>
      </c>
      <c r="B194" t="s">
        <v>2837</v>
      </c>
      <c r="C194" t="s">
        <v>66</v>
      </c>
      <c r="D194" t="s">
        <v>2819</v>
      </c>
      <c r="E194">
        <v>0</v>
      </c>
      <c r="F194" t="s">
        <v>2820</v>
      </c>
      <c r="G194" t="b">
        <v>1</v>
      </c>
      <c r="H194" t="s">
        <v>704</v>
      </c>
    </row>
    <row r="195" spans="1:8" x14ac:dyDescent="0.3">
      <c r="A195" t="s">
        <v>734</v>
      </c>
      <c r="B195" t="s">
        <v>2837</v>
      </c>
      <c r="C195" t="s">
        <v>66</v>
      </c>
      <c r="D195" t="s">
        <v>2821</v>
      </c>
      <c r="E195">
        <v>0</v>
      </c>
      <c r="F195" t="s">
        <v>2820</v>
      </c>
      <c r="G195" t="b">
        <v>1</v>
      </c>
      <c r="H195" t="s">
        <v>706</v>
      </c>
    </row>
    <row r="196" spans="1:8" x14ac:dyDescent="0.3">
      <c r="A196" t="s">
        <v>734</v>
      </c>
      <c r="B196" t="s">
        <v>2837</v>
      </c>
      <c r="C196" t="s">
        <v>66</v>
      </c>
      <c r="D196" t="s">
        <v>2822</v>
      </c>
      <c r="E196">
        <v>0</v>
      </c>
      <c r="F196" t="s">
        <v>2820</v>
      </c>
      <c r="G196" t="b">
        <v>1</v>
      </c>
      <c r="H196" t="s">
        <v>708</v>
      </c>
    </row>
    <row r="197" spans="1:8" x14ac:dyDescent="0.3">
      <c r="A197" t="s">
        <v>734</v>
      </c>
      <c r="B197" t="s">
        <v>2837</v>
      </c>
      <c r="C197" t="s">
        <v>66</v>
      </c>
      <c r="D197" t="s">
        <v>2823</v>
      </c>
      <c r="E197">
        <v>0</v>
      </c>
      <c r="F197" t="s">
        <v>2820</v>
      </c>
      <c r="G197" t="b">
        <v>1</v>
      </c>
      <c r="H197" t="s">
        <v>710</v>
      </c>
    </row>
    <row r="198" spans="1:8" x14ac:dyDescent="0.3">
      <c r="A198" t="s">
        <v>734</v>
      </c>
      <c r="B198" t="s">
        <v>2837</v>
      </c>
      <c r="C198" t="s">
        <v>66</v>
      </c>
      <c r="D198" t="s">
        <v>2824</v>
      </c>
      <c r="E198">
        <v>0</v>
      </c>
      <c r="F198" t="s">
        <v>2820</v>
      </c>
      <c r="G198" t="b">
        <v>1</v>
      </c>
      <c r="H198" t="s">
        <v>2802</v>
      </c>
    </row>
    <row r="199" spans="1:8" x14ac:dyDescent="0.3">
      <c r="A199" t="s">
        <v>734</v>
      </c>
      <c r="B199" t="s">
        <v>2837</v>
      </c>
      <c r="C199" t="s">
        <v>66</v>
      </c>
      <c r="D199" t="s">
        <v>2825</v>
      </c>
      <c r="E199">
        <v>0</v>
      </c>
      <c r="F199" t="s">
        <v>2820</v>
      </c>
      <c r="G199" t="b">
        <v>1</v>
      </c>
      <c r="H199" t="s">
        <v>2800</v>
      </c>
    </row>
    <row r="200" spans="1:8" x14ac:dyDescent="0.3">
      <c r="A200" t="s">
        <v>734</v>
      </c>
      <c r="B200" t="s">
        <v>2837</v>
      </c>
      <c r="C200" t="s">
        <v>66</v>
      </c>
      <c r="D200" t="s">
        <v>2826</v>
      </c>
      <c r="E200">
        <v>0</v>
      </c>
      <c r="F200" t="s">
        <v>2820</v>
      </c>
      <c r="G200" t="b">
        <v>1</v>
      </c>
      <c r="H200" t="s">
        <v>1935</v>
      </c>
    </row>
    <row r="201" spans="1:8" x14ac:dyDescent="0.3">
      <c r="A201" t="s">
        <v>734</v>
      </c>
      <c r="B201" t="s">
        <v>2837</v>
      </c>
      <c r="C201" t="s">
        <v>66</v>
      </c>
      <c r="D201" t="s">
        <v>2827</v>
      </c>
      <c r="E201">
        <v>11500</v>
      </c>
      <c r="F201" t="s">
        <v>2820</v>
      </c>
      <c r="G201" t="b">
        <v>1</v>
      </c>
      <c r="H201" t="s">
        <v>2828</v>
      </c>
    </row>
    <row r="202" spans="1:8" x14ac:dyDescent="0.3">
      <c r="A202" t="s">
        <v>734</v>
      </c>
      <c r="B202" t="s">
        <v>2837</v>
      </c>
      <c r="C202" t="s">
        <v>66</v>
      </c>
      <c r="D202" t="s">
        <v>2829</v>
      </c>
      <c r="E202">
        <v>11500</v>
      </c>
      <c r="F202" t="s">
        <v>2820</v>
      </c>
      <c r="G202" t="b">
        <v>1</v>
      </c>
      <c r="H202" t="s">
        <v>2830</v>
      </c>
    </row>
    <row r="203" spans="1:8" x14ac:dyDescent="0.3">
      <c r="A203" t="s">
        <v>734</v>
      </c>
      <c r="B203" t="s">
        <v>2837</v>
      </c>
      <c r="C203" t="s">
        <v>66</v>
      </c>
      <c r="D203" t="s">
        <v>2831</v>
      </c>
      <c r="E203">
        <v>11500</v>
      </c>
      <c r="F203" t="s">
        <v>2820</v>
      </c>
      <c r="G203" t="b">
        <v>1</v>
      </c>
      <c r="H203" t="s">
        <v>466</v>
      </c>
    </row>
    <row r="204" spans="1:8" x14ac:dyDescent="0.3">
      <c r="A204" t="s">
        <v>734</v>
      </c>
      <c r="B204" t="s">
        <v>2837</v>
      </c>
      <c r="C204" t="s">
        <v>66</v>
      </c>
      <c r="D204" t="s">
        <v>2832</v>
      </c>
      <c r="E204">
        <v>11500</v>
      </c>
      <c r="F204" t="s">
        <v>2820</v>
      </c>
      <c r="G204" t="b">
        <v>1</v>
      </c>
      <c r="H204" t="s">
        <v>467</v>
      </c>
    </row>
    <row r="205" spans="1:8" x14ac:dyDescent="0.3">
      <c r="A205" t="s">
        <v>734</v>
      </c>
      <c r="B205" t="s">
        <v>2837</v>
      </c>
      <c r="C205" t="s">
        <v>66</v>
      </c>
      <c r="D205" t="s">
        <v>2833</v>
      </c>
      <c r="E205">
        <v>11500</v>
      </c>
      <c r="F205" t="s">
        <v>2820</v>
      </c>
      <c r="G205" t="b">
        <v>1</v>
      </c>
      <c r="H205" t="s">
        <v>468</v>
      </c>
    </row>
    <row r="206" spans="1:8" x14ac:dyDescent="0.3">
      <c r="A206" t="s">
        <v>734</v>
      </c>
      <c r="B206" t="s">
        <v>2838</v>
      </c>
      <c r="C206" t="s">
        <v>82</v>
      </c>
      <c r="D206" t="s">
        <v>2819</v>
      </c>
      <c r="E206">
        <v>0</v>
      </c>
      <c r="F206" t="s">
        <v>2820</v>
      </c>
      <c r="G206" t="b">
        <v>1</v>
      </c>
      <c r="H206" t="s">
        <v>704</v>
      </c>
    </row>
    <row r="207" spans="1:8" x14ac:dyDescent="0.3">
      <c r="A207" t="s">
        <v>734</v>
      </c>
      <c r="B207" t="s">
        <v>2838</v>
      </c>
      <c r="C207" t="s">
        <v>82</v>
      </c>
      <c r="D207" t="s">
        <v>2821</v>
      </c>
      <c r="E207">
        <v>0</v>
      </c>
      <c r="F207" t="s">
        <v>2820</v>
      </c>
      <c r="G207" t="b">
        <v>1</v>
      </c>
      <c r="H207" t="s">
        <v>706</v>
      </c>
    </row>
    <row r="208" spans="1:8" x14ac:dyDescent="0.3">
      <c r="A208" t="s">
        <v>734</v>
      </c>
      <c r="B208" t="s">
        <v>2838</v>
      </c>
      <c r="C208" t="s">
        <v>82</v>
      </c>
      <c r="D208" t="s">
        <v>2822</v>
      </c>
      <c r="E208">
        <v>0</v>
      </c>
      <c r="F208" t="s">
        <v>2820</v>
      </c>
      <c r="G208" t="b">
        <v>1</v>
      </c>
      <c r="H208" t="s">
        <v>708</v>
      </c>
    </row>
    <row r="209" spans="1:8" x14ac:dyDescent="0.3">
      <c r="A209" t="s">
        <v>734</v>
      </c>
      <c r="B209" t="s">
        <v>2838</v>
      </c>
      <c r="C209" t="s">
        <v>82</v>
      </c>
      <c r="D209" t="s">
        <v>2823</v>
      </c>
      <c r="E209">
        <v>0</v>
      </c>
      <c r="F209" t="s">
        <v>2820</v>
      </c>
      <c r="G209" t="b">
        <v>1</v>
      </c>
      <c r="H209" t="s">
        <v>710</v>
      </c>
    </row>
    <row r="210" spans="1:8" x14ac:dyDescent="0.3">
      <c r="A210" t="s">
        <v>734</v>
      </c>
      <c r="B210" t="s">
        <v>2838</v>
      </c>
      <c r="C210" t="s">
        <v>82</v>
      </c>
      <c r="D210" t="s">
        <v>2824</v>
      </c>
      <c r="E210">
        <v>0</v>
      </c>
      <c r="F210" t="s">
        <v>2820</v>
      </c>
      <c r="G210" t="b">
        <v>1</v>
      </c>
      <c r="H210" t="s">
        <v>2802</v>
      </c>
    </row>
    <row r="211" spans="1:8" x14ac:dyDescent="0.3">
      <c r="A211" t="s">
        <v>734</v>
      </c>
      <c r="B211" t="s">
        <v>2838</v>
      </c>
      <c r="C211" t="s">
        <v>82</v>
      </c>
      <c r="D211" t="s">
        <v>2825</v>
      </c>
      <c r="E211">
        <v>0</v>
      </c>
      <c r="F211" t="s">
        <v>2820</v>
      </c>
      <c r="G211" t="b">
        <v>1</v>
      </c>
      <c r="H211" t="s">
        <v>2800</v>
      </c>
    </row>
    <row r="212" spans="1:8" x14ac:dyDescent="0.3">
      <c r="A212" t="s">
        <v>734</v>
      </c>
      <c r="B212" t="s">
        <v>2838</v>
      </c>
      <c r="C212" t="s">
        <v>82</v>
      </c>
      <c r="D212" t="s">
        <v>2826</v>
      </c>
      <c r="E212">
        <v>0</v>
      </c>
      <c r="F212" t="s">
        <v>2820</v>
      </c>
      <c r="G212" t="b">
        <v>1</v>
      </c>
      <c r="H212" t="s">
        <v>1935</v>
      </c>
    </row>
    <row r="213" spans="1:8" x14ac:dyDescent="0.3">
      <c r="A213" t="s">
        <v>734</v>
      </c>
      <c r="B213" t="s">
        <v>2838</v>
      </c>
      <c r="C213" t="s">
        <v>82</v>
      </c>
      <c r="D213" t="s">
        <v>2827</v>
      </c>
      <c r="E213">
        <v>0</v>
      </c>
      <c r="F213" t="s">
        <v>2820</v>
      </c>
      <c r="G213" t="b">
        <v>1</v>
      </c>
      <c r="H213" t="s">
        <v>2828</v>
      </c>
    </row>
    <row r="214" spans="1:8" x14ac:dyDescent="0.3">
      <c r="A214" t="s">
        <v>734</v>
      </c>
      <c r="B214" t="s">
        <v>2838</v>
      </c>
      <c r="C214" t="s">
        <v>82</v>
      </c>
      <c r="D214" t="s">
        <v>2829</v>
      </c>
      <c r="E214">
        <v>0</v>
      </c>
      <c r="F214" t="s">
        <v>2820</v>
      </c>
      <c r="G214" t="b">
        <v>1</v>
      </c>
      <c r="H214" t="s">
        <v>2830</v>
      </c>
    </row>
    <row r="215" spans="1:8" x14ac:dyDescent="0.3">
      <c r="A215" t="s">
        <v>734</v>
      </c>
      <c r="B215" t="s">
        <v>2838</v>
      </c>
      <c r="C215" t="s">
        <v>82</v>
      </c>
      <c r="D215" t="s">
        <v>2831</v>
      </c>
      <c r="E215">
        <v>0</v>
      </c>
      <c r="F215" t="s">
        <v>2820</v>
      </c>
      <c r="G215" t="b">
        <v>1</v>
      </c>
      <c r="H215" t="s">
        <v>466</v>
      </c>
    </row>
    <row r="216" spans="1:8" x14ac:dyDescent="0.3">
      <c r="A216" t="s">
        <v>734</v>
      </c>
      <c r="B216" t="s">
        <v>2838</v>
      </c>
      <c r="C216" t="s">
        <v>82</v>
      </c>
      <c r="D216" t="s">
        <v>2832</v>
      </c>
      <c r="E216">
        <v>0</v>
      </c>
      <c r="F216" t="s">
        <v>2820</v>
      </c>
      <c r="G216" t="b">
        <v>1</v>
      </c>
      <c r="H216" t="s">
        <v>467</v>
      </c>
    </row>
    <row r="217" spans="1:8" x14ac:dyDescent="0.3">
      <c r="A217" t="s">
        <v>734</v>
      </c>
      <c r="B217" t="s">
        <v>2838</v>
      </c>
      <c r="C217" t="s">
        <v>82</v>
      </c>
      <c r="D217" t="s">
        <v>2833</v>
      </c>
      <c r="E217">
        <v>0</v>
      </c>
      <c r="F217" t="s">
        <v>2820</v>
      </c>
      <c r="G217" t="b">
        <v>1</v>
      </c>
      <c r="H217" t="s">
        <v>468</v>
      </c>
    </row>
    <row r="218" spans="1:8" x14ac:dyDescent="0.3">
      <c r="A218" t="s">
        <v>734</v>
      </c>
      <c r="B218" t="s">
        <v>2838</v>
      </c>
      <c r="C218" t="s">
        <v>87</v>
      </c>
      <c r="D218" t="s">
        <v>2819</v>
      </c>
      <c r="E218">
        <v>0</v>
      </c>
      <c r="F218" t="s">
        <v>2820</v>
      </c>
      <c r="G218" t="b">
        <v>1</v>
      </c>
      <c r="H218" t="s">
        <v>704</v>
      </c>
    </row>
    <row r="219" spans="1:8" x14ac:dyDescent="0.3">
      <c r="A219" t="s">
        <v>734</v>
      </c>
      <c r="B219" t="s">
        <v>2838</v>
      </c>
      <c r="C219" t="s">
        <v>87</v>
      </c>
      <c r="D219" t="s">
        <v>2821</v>
      </c>
      <c r="E219">
        <v>0</v>
      </c>
      <c r="F219" t="s">
        <v>2820</v>
      </c>
      <c r="G219" t="b">
        <v>1</v>
      </c>
      <c r="H219" t="s">
        <v>706</v>
      </c>
    </row>
    <row r="220" spans="1:8" x14ac:dyDescent="0.3">
      <c r="A220" t="s">
        <v>734</v>
      </c>
      <c r="B220" t="s">
        <v>2838</v>
      </c>
      <c r="C220" t="s">
        <v>87</v>
      </c>
      <c r="D220" t="s">
        <v>2822</v>
      </c>
      <c r="E220">
        <v>0</v>
      </c>
      <c r="F220" t="s">
        <v>2820</v>
      </c>
      <c r="G220" t="b">
        <v>1</v>
      </c>
      <c r="H220" t="s">
        <v>708</v>
      </c>
    </row>
    <row r="221" spans="1:8" x14ac:dyDescent="0.3">
      <c r="A221" t="s">
        <v>734</v>
      </c>
      <c r="B221" t="s">
        <v>2838</v>
      </c>
      <c r="C221" t="s">
        <v>87</v>
      </c>
      <c r="D221" t="s">
        <v>2823</v>
      </c>
      <c r="E221">
        <v>0</v>
      </c>
      <c r="F221" t="s">
        <v>2820</v>
      </c>
      <c r="G221" t="b">
        <v>1</v>
      </c>
      <c r="H221" t="s">
        <v>710</v>
      </c>
    </row>
    <row r="222" spans="1:8" x14ac:dyDescent="0.3">
      <c r="A222" t="s">
        <v>734</v>
      </c>
      <c r="B222" t="s">
        <v>2838</v>
      </c>
      <c r="C222" t="s">
        <v>87</v>
      </c>
      <c r="D222" t="s">
        <v>2824</v>
      </c>
      <c r="E222">
        <v>0</v>
      </c>
      <c r="F222" t="s">
        <v>2820</v>
      </c>
      <c r="G222" t="b">
        <v>1</v>
      </c>
      <c r="H222" t="s">
        <v>2802</v>
      </c>
    </row>
    <row r="223" spans="1:8" x14ac:dyDescent="0.3">
      <c r="A223" t="s">
        <v>734</v>
      </c>
      <c r="B223" t="s">
        <v>2838</v>
      </c>
      <c r="C223" t="s">
        <v>87</v>
      </c>
      <c r="D223" t="s">
        <v>2825</v>
      </c>
      <c r="E223">
        <v>0</v>
      </c>
      <c r="F223" t="s">
        <v>2820</v>
      </c>
      <c r="G223" t="b">
        <v>1</v>
      </c>
      <c r="H223" t="s">
        <v>2800</v>
      </c>
    </row>
    <row r="224" spans="1:8" x14ac:dyDescent="0.3">
      <c r="A224" t="s">
        <v>734</v>
      </c>
      <c r="B224" t="s">
        <v>2838</v>
      </c>
      <c r="C224" t="s">
        <v>87</v>
      </c>
      <c r="D224" t="s">
        <v>2826</v>
      </c>
      <c r="E224">
        <v>0</v>
      </c>
      <c r="F224" t="s">
        <v>2820</v>
      </c>
      <c r="G224" t="b">
        <v>1</v>
      </c>
      <c r="H224" t="s">
        <v>1935</v>
      </c>
    </row>
    <row r="225" spans="1:8" x14ac:dyDescent="0.3">
      <c r="A225" t="s">
        <v>734</v>
      </c>
      <c r="B225" t="s">
        <v>2838</v>
      </c>
      <c r="C225" t="s">
        <v>87</v>
      </c>
      <c r="D225" t="s">
        <v>2827</v>
      </c>
      <c r="E225">
        <v>0</v>
      </c>
      <c r="F225" t="s">
        <v>2820</v>
      </c>
      <c r="G225" t="b">
        <v>1</v>
      </c>
      <c r="H225" t="s">
        <v>2828</v>
      </c>
    </row>
    <row r="226" spans="1:8" x14ac:dyDescent="0.3">
      <c r="A226" t="s">
        <v>734</v>
      </c>
      <c r="B226" t="s">
        <v>2838</v>
      </c>
      <c r="C226" t="s">
        <v>87</v>
      </c>
      <c r="D226" t="s">
        <v>2829</v>
      </c>
      <c r="E226">
        <v>0</v>
      </c>
      <c r="F226" t="s">
        <v>2820</v>
      </c>
      <c r="G226" t="b">
        <v>1</v>
      </c>
      <c r="H226" t="s">
        <v>2830</v>
      </c>
    </row>
    <row r="227" spans="1:8" x14ac:dyDescent="0.3">
      <c r="A227" t="s">
        <v>734</v>
      </c>
      <c r="B227" t="s">
        <v>2838</v>
      </c>
      <c r="C227" t="s">
        <v>87</v>
      </c>
      <c r="D227" t="s">
        <v>2831</v>
      </c>
      <c r="E227">
        <v>0</v>
      </c>
      <c r="F227" t="s">
        <v>2820</v>
      </c>
      <c r="G227" t="b">
        <v>1</v>
      </c>
      <c r="H227" t="s">
        <v>466</v>
      </c>
    </row>
    <row r="228" spans="1:8" x14ac:dyDescent="0.3">
      <c r="A228" t="s">
        <v>734</v>
      </c>
      <c r="B228" t="s">
        <v>2838</v>
      </c>
      <c r="C228" t="s">
        <v>87</v>
      </c>
      <c r="D228" t="s">
        <v>2832</v>
      </c>
      <c r="E228">
        <v>0</v>
      </c>
      <c r="F228" t="s">
        <v>2820</v>
      </c>
      <c r="G228" t="b">
        <v>1</v>
      </c>
      <c r="H228" t="s">
        <v>467</v>
      </c>
    </row>
    <row r="229" spans="1:8" x14ac:dyDescent="0.3">
      <c r="A229" t="s">
        <v>734</v>
      </c>
      <c r="B229" t="s">
        <v>2838</v>
      </c>
      <c r="C229" t="s">
        <v>87</v>
      </c>
      <c r="D229" t="s">
        <v>2833</v>
      </c>
      <c r="E229">
        <v>0</v>
      </c>
      <c r="F229" t="s">
        <v>2820</v>
      </c>
      <c r="G229" t="b">
        <v>1</v>
      </c>
      <c r="H229" t="s">
        <v>468</v>
      </c>
    </row>
    <row r="230" spans="1:8" x14ac:dyDescent="0.3">
      <c r="A230" t="s">
        <v>734</v>
      </c>
      <c r="B230" t="s">
        <v>2838</v>
      </c>
      <c r="C230" t="s">
        <v>75</v>
      </c>
      <c r="D230" t="s">
        <v>2819</v>
      </c>
      <c r="E230">
        <v>0</v>
      </c>
      <c r="F230" t="s">
        <v>2820</v>
      </c>
      <c r="G230" t="b">
        <v>1</v>
      </c>
      <c r="H230" t="s">
        <v>704</v>
      </c>
    </row>
    <row r="231" spans="1:8" x14ac:dyDescent="0.3">
      <c r="A231" t="s">
        <v>734</v>
      </c>
      <c r="B231" t="s">
        <v>2838</v>
      </c>
      <c r="C231" t="s">
        <v>75</v>
      </c>
      <c r="D231" t="s">
        <v>2821</v>
      </c>
      <c r="E231">
        <v>0</v>
      </c>
      <c r="F231" t="s">
        <v>2820</v>
      </c>
      <c r="G231" t="b">
        <v>1</v>
      </c>
      <c r="H231" t="s">
        <v>706</v>
      </c>
    </row>
    <row r="232" spans="1:8" x14ac:dyDescent="0.3">
      <c r="A232" t="s">
        <v>734</v>
      </c>
      <c r="B232" t="s">
        <v>2838</v>
      </c>
      <c r="C232" t="s">
        <v>75</v>
      </c>
      <c r="D232" t="s">
        <v>2822</v>
      </c>
      <c r="E232">
        <v>0</v>
      </c>
      <c r="F232" t="s">
        <v>2820</v>
      </c>
      <c r="G232" t="b">
        <v>1</v>
      </c>
      <c r="H232" t="s">
        <v>708</v>
      </c>
    </row>
    <row r="233" spans="1:8" x14ac:dyDescent="0.3">
      <c r="A233" t="s">
        <v>734</v>
      </c>
      <c r="B233" t="s">
        <v>2838</v>
      </c>
      <c r="C233" t="s">
        <v>75</v>
      </c>
      <c r="D233" t="s">
        <v>2823</v>
      </c>
      <c r="E233">
        <v>0</v>
      </c>
      <c r="F233" t="s">
        <v>2820</v>
      </c>
      <c r="G233" t="b">
        <v>1</v>
      </c>
      <c r="H233" t="s">
        <v>710</v>
      </c>
    </row>
    <row r="234" spans="1:8" x14ac:dyDescent="0.3">
      <c r="A234" t="s">
        <v>734</v>
      </c>
      <c r="B234" t="s">
        <v>2838</v>
      </c>
      <c r="C234" t="s">
        <v>75</v>
      </c>
      <c r="D234" t="s">
        <v>2824</v>
      </c>
      <c r="E234">
        <v>0</v>
      </c>
      <c r="F234" t="s">
        <v>2820</v>
      </c>
      <c r="G234" t="b">
        <v>1</v>
      </c>
      <c r="H234" t="s">
        <v>2802</v>
      </c>
    </row>
    <row r="235" spans="1:8" x14ac:dyDescent="0.3">
      <c r="A235" t="s">
        <v>734</v>
      </c>
      <c r="B235" t="s">
        <v>2838</v>
      </c>
      <c r="C235" t="s">
        <v>75</v>
      </c>
      <c r="D235" t="s">
        <v>2825</v>
      </c>
      <c r="E235">
        <v>0</v>
      </c>
      <c r="F235" t="s">
        <v>2820</v>
      </c>
      <c r="G235" t="b">
        <v>1</v>
      </c>
      <c r="H235" t="s">
        <v>2800</v>
      </c>
    </row>
    <row r="236" spans="1:8" x14ac:dyDescent="0.3">
      <c r="A236" t="s">
        <v>734</v>
      </c>
      <c r="B236" t="s">
        <v>2838</v>
      </c>
      <c r="C236" t="s">
        <v>75</v>
      </c>
      <c r="D236" t="s">
        <v>2826</v>
      </c>
      <c r="E236">
        <v>0</v>
      </c>
      <c r="F236" t="s">
        <v>2820</v>
      </c>
      <c r="G236" t="b">
        <v>1</v>
      </c>
      <c r="H236" t="s">
        <v>1935</v>
      </c>
    </row>
    <row r="237" spans="1:8" x14ac:dyDescent="0.3">
      <c r="A237" t="s">
        <v>734</v>
      </c>
      <c r="B237" t="s">
        <v>2838</v>
      </c>
      <c r="C237" t="s">
        <v>75</v>
      </c>
      <c r="D237" t="s">
        <v>2827</v>
      </c>
      <c r="E237">
        <v>1125</v>
      </c>
      <c r="F237" t="s">
        <v>2820</v>
      </c>
      <c r="G237" t="b">
        <v>1</v>
      </c>
      <c r="H237" t="s">
        <v>2828</v>
      </c>
    </row>
    <row r="238" spans="1:8" x14ac:dyDescent="0.3">
      <c r="A238" t="s">
        <v>734</v>
      </c>
      <c r="B238" t="s">
        <v>2838</v>
      </c>
      <c r="C238" t="s">
        <v>75</v>
      </c>
      <c r="D238" t="s">
        <v>2829</v>
      </c>
      <c r="E238">
        <v>2250</v>
      </c>
      <c r="F238" t="s">
        <v>2820</v>
      </c>
      <c r="G238" t="b">
        <v>1</v>
      </c>
      <c r="H238" t="s">
        <v>2830</v>
      </c>
    </row>
    <row r="239" spans="1:8" x14ac:dyDescent="0.3">
      <c r="A239" t="s">
        <v>734</v>
      </c>
      <c r="B239" t="s">
        <v>2838</v>
      </c>
      <c r="C239" t="s">
        <v>75</v>
      </c>
      <c r="D239" t="s">
        <v>2831</v>
      </c>
      <c r="E239">
        <v>3375</v>
      </c>
      <c r="F239" t="s">
        <v>2820</v>
      </c>
      <c r="G239" t="b">
        <v>1</v>
      </c>
      <c r="H239" t="s">
        <v>466</v>
      </c>
    </row>
    <row r="240" spans="1:8" x14ac:dyDescent="0.3">
      <c r="A240" t="s">
        <v>734</v>
      </c>
      <c r="B240" t="s">
        <v>2838</v>
      </c>
      <c r="C240" t="s">
        <v>75</v>
      </c>
      <c r="D240" t="s">
        <v>2832</v>
      </c>
      <c r="E240">
        <v>3825</v>
      </c>
      <c r="F240" t="s">
        <v>2820</v>
      </c>
      <c r="G240" t="b">
        <v>1</v>
      </c>
      <c r="H240" t="s">
        <v>467</v>
      </c>
    </row>
    <row r="241" spans="1:8" x14ac:dyDescent="0.3">
      <c r="A241" t="s">
        <v>734</v>
      </c>
      <c r="B241" t="s">
        <v>2838</v>
      </c>
      <c r="C241" t="s">
        <v>75</v>
      </c>
      <c r="D241" t="s">
        <v>2833</v>
      </c>
      <c r="E241">
        <v>10387.5</v>
      </c>
      <c r="F241" t="s">
        <v>2820</v>
      </c>
      <c r="G241" t="b">
        <v>1</v>
      </c>
      <c r="H241" t="s">
        <v>468</v>
      </c>
    </row>
    <row r="242" spans="1:8" x14ac:dyDescent="0.3">
      <c r="A242" t="s">
        <v>734</v>
      </c>
      <c r="B242" t="s">
        <v>2838</v>
      </c>
      <c r="C242" t="s">
        <v>84</v>
      </c>
      <c r="D242" t="s">
        <v>2819</v>
      </c>
      <c r="E242">
        <v>0</v>
      </c>
      <c r="F242" t="s">
        <v>2820</v>
      </c>
      <c r="G242" t="b">
        <v>1</v>
      </c>
      <c r="H242" t="s">
        <v>704</v>
      </c>
    </row>
    <row r="243" spans="1:8" x14ac:dyDescent="0.3">
      <c r="A243" t="s">
        <v>734</v>
      </c>
      <c r="B243" t="s">
        <v>2838</v>
      </c>
      <c r="C243" t="s">
        <v>84</v>
      </c>
      <c r="D243" t="s">
        <v>2821</v>
      </c>
      <c r="E243">
        <v>0</v>
      </c>
      <c r="F243" t="s">
        <v>2820</v>
      </c>
      <c r="G243" t="b">
        <v>1</v>
      </c>
      <c r="H243" t="s">
        <v>706</v>
      </c>
    </row>
    <row r="244" spans="1:8" x14ac:dyDescent="0.3">
      <c r="A244" t="s">
        <v>734</v>
      </c>
      <c r="B244" t="s">
        <v>2838</v>
      </c>
      <c r="C244" t="s">
        <v>84</v>
      </c>
      <c r="D244" t="s">
        <v>2822</v>
      </c>
      <c r="E244">
        <v>0</v>
      </c>
      <c r="F244" t="s">
        <v>2820</v>
      </c>
      <c r="G244" t="b">
        <v>1</v>
      </c>
      <c r="H244" t="s">
        <v>708</v>
      </c>
    </row>
    <row r="245" spans="1:8" x14ac:dyDescent="0.3">
      <c r="A245" t="s">
        <v>734</v>
      </c>
      <c r="B245" t="s">
        <v>2838</v>
      </c>
      <c r="C245" t="s">
        <v>84</v>
      </c>
      <c r="D245" t="s">
        <v>2823</v>
      </c>
      <c r="E245">
        <v>0</v>
      </c>
      <c r="F245" t="s">
        <v>2820</v>
      </c>
      <c r="G245" t="b">
        <v>1</v>
      </c>
      <c r="H245" t="s">
        <v>710</v>
      </c>
    </row>
    <row r="246" spans="1:8" x14ac:dyDescent="0.3">
      <c r="A246" t="s">
        <v>734</v>
      </c>
      <c r="B246" t="s">
        <v>2838</v>
      </c>
      <c r="C246" t="s">
        <v>84</v>
      </c>
      <c r="D246" t="s">
        <v>2824</v>
      </c>
      <c r="E246">
        <v>0</v>
      </c>
      <c r="F246" t="s">
        <v>2820</v>
      </c>
      <c r="G246" t="b">
        <v>1</v>
      </c>
      <c r="H246" t="s">
        <v>2802</v>
      </c>
    </row>
    <row r="247" spans="1:8" x14ac:dyDescent="0.3">
      <c r="A247" t="s">
        <v>734</v>
      </c>
      <c r="B247" t="s">
        <v>2838</v>
      </c>
      <c r="C247" t="s">
        <v>84</v>
      </c>
      <c r="D247" t="s">
        <v>2825</v>
      </c>
      <c r="E247">
        <v>0</v>
      </c>
      <c r="F247" t="s">
        <v>2820</v>
      </c>
      <c r="G247" t="b">
        <v>1</v>
      </c>
      <c r="H247" t="s">
        <v>2800</v>
      </c>
    </row>
    <row r="248" spans="1:8" x14ac:dyDescent="0.3">
      <c r="A248" t="s">
        <v>734</v>
      </c>
      <c r="B248" t="s">
        <v>2838</v>
      </c>
      <c r="C248" t="s">
        <v>84</v>
      </c>
      <c r="D248" t="s">
        <v>2826</v>
      </c>
      <c r="E248">
        <v>0</v>
      </c>
      <c r="F248" t="s">
        <v>2820</v>
      </c>
      <c r="G248" t="b">
        <v>1</v>
      </c>
      <c r="H248" t="s">
        <v>1935</v>
      </c>
    </row>
    <row r="249" spans="1:8" x14ac:dyDescent="0.3">
      <c r="A249" t="s">
        <v>734</v>
      </c>
      <c r="B249" t="s">
        <v>2838</v>
      </c>
      <c r="C249" t="s">
        <v>84</v>
      </c>
      <c r="D249" t="s">
        <v>2827</v>
      </c>
      <c r="E249">
        <v>0</v>
      </c>
      <c r="F249" t="s">
        <v>2820</v>
      </c>
      <c r="G249" t="b">
        <v>1</v>
      </c>
      <c r="H249" t="s">
        <v>2828</v>
      </c>
    </row>
    <row r="250" spans="1:8" x14ac:dyDescent="0.3">
      <c r="A250" t="s">
        <v>734</v>
      </c>
      <c r="B250" t="s">
        <v>2838</v>
      </c>
      <c r="C250" t="s">
        <v>84</v>
      </c>
      <c r="D250" t="s">
        <v>2829</v>
      </c>
      <c r="E250">
        <v>0</v>
      </c>
      <c r="F250" t="s">
        <v>2820</v>
      </c>
      <c r="G250" t="b">
        <v>1</v>
      </c>
      <c r="H250" t="s">
        <v>2830</v>
      </c>
    </row>
    <row r="251" spans="1:8" x14ac:dyDescent="0.3">
      <c r="A251" t="s">
        <v>734</v>
      </c>
      <c r="B251" t="s">
        <v>2838</v>
      </c>
      <c r="C251" t="s">
        <v>84</v>
      </c>
      <c r="D251" t="s">
        <v>2831</v>
      </c>
      <c r="E251">
        <v>0</v>
      </c>
      <c r="F251" t="s">
        <v>2820</v>
      </c>
      <c r="G251" t="b">
        <v>1</v>
      </c>
      <c r="H251" t="s">
        <v>466</v>
      </c>
    </row>
    <row r="252" spans="1:8" x14ac:dyDescent="0.3">
      <c r="A252" t="s">
        <v>734</v>
      </c>
      <c r="B252" t="s">
        <v>2838</v>
      </c>
      <c r="C252" t="s">
        <v>84</v>
      </c>
      <c r="D252" t="s">
        <v>2832</v>
      </c>
      <c r="E252">
        <v>0</v>
      </c>
      <c r="F252" t="s">
        <v>2820</v>
      </c>
      <c r="G252" t="b">
        <v>1</v>
      </c>
      <c r="H252" t="s">
        <v>467</v>
      </c>
    </row>
    <row r="253" spans="1:8" x14ac:dyDescent="0.3">
      <c r="A253" t="s">
        <v>734</v>
      </c>
      <c r="B253" t="s">
        <v>2838</v>
      </c>
      <c r="C253" t="s">
        <v>84</v>
      </c>
      <c r="D253" t="s">
        <v>2833</v>
      </c>
      <c r="E253">
        <v>0</v>
      </c>
      <c r="F253" t="s">
        <v>2820</v>
      </c>
      <c r="G253" t="b">
        <v>1</v>
      </c>
      <c r="H253" t="s">
        <v>468</v>
      </c>
    </row>
    <row r="254" spans="1:8" x14ac:dyDescent="0.3">
      <c r="A254" t="s">
        <v>734</v>
      </c>
      <c r="B254" t="s">
        <v>2838</v>
      </c>
      <c r="C254" t="s">
        <v>100</v>
      </c>
      <c r="D254" t="s">
        <v>2819</v>
      </c>
      <c r="E254">
        <v>0</v>
      </c>
      <c r="F254" t="s">
        <v>2820</v>
      </c>
      <c r="G254" t="b">
        <v>1</v>
      </c>
      <c r="H254" t="s">
        <v>704</v>
      </c>
    </row>
    <row r="255" spans="1:8" x14ac:dyDescent="0.3">
      <c r="A255" t="s">
        <v>734</v>
      </c>
      <c r="B255" t="s">
        <v>2838</v>
      </c>
      <c r="C255" t="s">
        <v>100</v>
      </c>
      <c r="D255" t="s">
        <v>2821</v>
      </c>
      <c r="E255">
        <v>0</v>
      </c>
      <c r="F255" t="s">
        <v>2820</v>
      </c>
      <c r="G255" t="b">
        <v>1</v>
      </c>
      <c r="H255" t="s">
        <v>706</v>
      </c>
    </row>
    <row r="256" spans="1:8" x14ac:dyDescent="0.3">
      <c r="A256" t="s">
        <v>734</v>
      </c>
      <c r="B256" t="s">
        <v>2838</v>
      </c>
      <c r="C256" t="s">
        <v>100</v>
      </c>
      <c r="D256" t="s">
        <v>2822</v>
      </c>
      <c r="E256">
        <v>0</v>
      </c>
      <c r="F256" t="s">
        <v>2820</v>
      </c>
      <c r="G256" t="b">
        <v>1</v>
      </c>
      <c r="H256" t="s">
        <v>708</v>
      </c>
    </row>
    <row r="257" spans="1:8" x14ac:dyDescent="0.3">
      <c r="A257" t="s">
        <v>734</v>
      </c>
      <c r="B257" t="s">
        <v>2838</v>
      </c>
      <c r="C257" t="s">
        <v>100</v>
      </c>
      <c r="D257" t="s">
        <v>2823</v>
      </c>
      <c r="E257">
        <v>0</v>
      </c>
      <c r="F257" t="s">
        <v>2820</v>
      </c>
      <c r="G257" t="b">
        <v>1</v>
      </c>
      <c r="H257" t="s">
        <v>710</v>
      </c>
    </row>
    <row r="258" spans="1:8" x14ac:dyDescent="0.3">
      <c r="A258" t="s">
        <v>734</v>
      </c>
      <c r="B258" t="s">
        <v>2838</v>
      </c>
      <c r="C258" t="s">
        <v>100</v>
      </c>
      <c r="D258" t="s">
        <v>2824</v>
      </c>
      <c r="E258">
        <v>0</v>
      </c>
      <c r="F258" t="s">
        <v>2820</v>
      </c>
      <c r="G258" t="b">
        <v>1</v>
      </c>
      <c r="H258" t="s">
        <v>2802</v>
      </c>
    </row>
    <row r="259" spans="1:8" x14ac:dyDescent="0.3">
      <c r="A259" t="s">
        <v>734</v>
      </c>
      <c r="B259" t="s">
        <v>2838</v>
      </c>
      <c r="C259" t="s">
        <v>100</v>
      </c>
      <c r="D259" t="s">
        <v>2825</v>
      </c>
      <c r="E259">
        <v>0</v>
      </c>
      <c r="F259" t="s">
        <v>2820</v>
      </c>
      <c r="G259" t="b">
        <v>1</v>
      </c>
      <c r="H259" t="s">
        <v>2800</v>
      </c>
    </row>
    <row r="260" spans="1:8" x14ac:dyDescent="0.3">
      <c r="A260" t="s">
        <v>734</v>
      </c>
      <c r="B260" t="s">
        <v>2838</v>
      </c>
      <c r="C260" t="s">
        <v>100</v>
      </c>
      <c r="D260" t="s">
        <v>2826</v>
      </c>
      <c r="E260">
        <v>0</v>
      </c>
      <c r="F260" t="s">
        <v>2820</v>
      </c>
      <c r="G260" t="b">
        <v>1</v>
      </c>
      <c r="H260" t="s">
        <v>1935</v>
      </c>
    </row>
    <row r="261" spans="1:8" x14ac:dyDescent="0.3">
      <c r="A261" t="s">
        <v>734</v>
      </c>
      <c r="B261" t="s">
        <v>2838</v>
      </c>
      <c r="C261" t="s">
        <v>100</v>
      </c>
      <c r="D261" t="s">
        <v>2827</v>
      </c>
      <c r="E261">
        <v>0</v>
      </c>
      <c r="F261" t="s">
        <v>2820</v>
      </c>
      <c r="G261" t="b">
        <v>1</v>
      </c>
      <c r="H261" t="s">
        <v>2828</v>
      </c>
    </row>
    <row r="262" spans="1:8" x14ac:dyDescent="0.3">
      <c r="A262" t="s">
        <v>734</v>
      </c>
      <c r="B262" t="s">
        <v>2838</v>
      </c>
      <c r="C262" t="s">
        <v>100</v>
      </c>
      <c r="D262" t="s">
        <v>2829</v>
      </c>
      <c r="E262">
        <v>0</v>
      </c>
      <c r="F262" t="s">
        <v>2820</v>
      </c>
      <c r="G262" t="b">
        <v>1</v>
      </c>
      <c r="H262" t="s">
        <v>2830</v>
      </c>
    </row>
    <row r="263" spans="1:8" x14ac:dyDescent="0.3">
      <c r="A263" t="s">
        <v>734</v>
      </c>
      <c r="B263" t="s">
        <v>2838</v>
      </c>
      <c r="C263" t="s">
        <v>100</v>
      </c>
      <c r="D263" t="s">
        <v>2831</v>
      </c>
      <c r="E263">
        <v>0</v>
      </c>
      <c r="F263" t="s">
        <v>2820</v>
      </c>
      <c r="G263" t="b">
        <v>1</v>
      </c>
      <c r="H263" t="s">
        <v>466</v>
      </c>
    </row>
    <row r="264" spans="1:8" x14ac:dyDescent="0.3">
      <c r="A264" t="s">
        <v>734</v>
      </c>
      <c r="B264" t="s">
        <v>2838</v>
      </c>
      <c r="C264" t="s">
        <v>100</v>
      </c>
      <c r="D264" t="s">
        <v>2832</v>
      </c>
      <c r="E264">
        <v>0</v>
      </c>
      <c r="F264" t="s">
        <v>2820</v>
      </c>
      <c r="G264" t="b">
        <v>1</v>
      </c>
      <c r="H264" t="s">
        <v>467</v>
      </c>
    </row>
    <row r="265" spans="1:8" x14ac:dyDescent="0.3">
      <c r="A265" t="s">
        <v>734</v>
      </c>
      <c r="B265" t="s">
        <v>2838</v>
      </c>
      <c r="C265" t="s">
        <v>100</v>
      </c>
      <c r="D265" t="s">
        <v>2833</v>
      </c>
      <c r="E265">
        <v>0</v>
      </c>
      <c r="F265" t="s">
        <v>2820</v>
      </c>
      <c r="G265" t="b">
        <v>1</v>
      </c>
      <c r="H265" t="s">
        <v>468</v>
      </c>
    </row>
    <row r="266" spans="1:8" x14ac:dyDescent="0.3">
      <c r="A266" t="s">
        <v>734</v>
      </c>
      <c r="B266" t="s">
        <v>2838</v>
      </c>
      <c r="C266" t="s">
        <v>105</v>
      </c>
      <c r="D266" t="s">
        <v>2819</v>
      </c>
      <c r="E266">
        <v>0</v>
      </c>
      <c r="F266" t="s">
        <v>2820</v>
      </c>
      <c r="G266" t="b">
        <v>1</v>
      </c>
      <c r="H266" t="s">
        <v>704</v>
      </c>
    </row>
    <row r="267" spans="1:8" x14ac:dyDescent="0.3">
      <c r="A267" t="s">
        <v>734</v>
      </c>
      <c r="B267" t="s">
        <v>2838</v>
      </c>
      <c r="C267" t="s">
        <v>105</v>
      </c>
      <c r="D267" t="s">
        <v>2821</v>
      </c>
      <c r="E267">
        <v>0</v>
      </c>
      <c r="F267" t="s">
        <v>2820</v>
      </c>
      <c r="G267" t="b">
        <v>1</v>
      </c>
      <c r="H267" t="s">
        <v>706</v>
      </c>
    </row>
    <row r="268" spans="1:8" x14ac:dyDescent="0.3">
      <c r="A268" t="s">
        <v>734</v>
      </c>
      <c r="B268" t="s">
        <v>2838</v>
      </c>
      <c r="C268" t="s">
        <v>105</v>
      </c>
      <c r="D268" t="s">
        <v>2822</v>
      </c>
      <c r="E268">
        <v>0</v>
      </c>
      <c r="F268" t="s">
        <v>2820</v>
      </c>
      <c r="G268" t="b">
        <v>1</v>
      </c>
      <c r="H268" t="s">
        <v>708</v>
      </c>
    </row>
    <row r="269" spans="1:8" x14ac:dyDescent="0.3">
      <c r="A269" t="s">
        <v>734</v>
      </c>
      <c r="B269" t="s">
        <v>2838</v>
      </c>
      <c r="C269" t="s">
        <v>105</v>
      </c>
      <c r="D269" t="s">
        <v>2823</v>
      </c>
      <c r="E269">
        <v>0</v>
      </c>
      <c r="F269" t="s">
        <v>2820</v>
      </c>
      <c r="G269" t="b">
        <v>1</v>
      </c>
      <c r="H269" t="s">
        <v>710</v>
      </c>
    </row>
    <row r="270" spans="1:8" x14ac:dyDescent="0.3">
      <c r="A270" t="s">
        <v>734</v>
      </c>
      <c r="B270" t="s">
        <v>2838</v>
      </c>
      <c r="C270" t="s">
        <v>105</v>
      </c>
      <c r="D270" t="s">
        <v>2824</v>
      </c>
      <c r="E270">
        <v>0</v>
      </c>
      <c r="F270" t="s">
        <v>2820</v>
      </c>
      <c r="G270" t="b">
        <v>1</v>
      </c>
      <c r="H270" t="s">
        <v>2802</v>
      </c>
    </row>
    <row r="271" spans="1:8" x14ac:dyDescent="0.3">
      <c r="A271" t="s">
        <v>734</v>
      </c>
      <c r="B271" t="s">
        <v>2838</v>
      </c>
      <c r="C271" t="s">
        <v>105</v>
      </c>
      <c r="D271" t="s">
        <v>2825</v>
      </c>
      <c r="E271">
        <v>0</v>
      </c>
      <c r="F271" t="s">
        <v>2820</v>
      </c>
      <c r="G271" t="b">
        <v>1</v>
      </c>
      <c r="H271" t="s">
        <v>2800</v>
      </c>
    </row>
    <row r="272" spans="1:8" x14ac:dyDescent="0.3">
      <c r="A272" t="s">
        <v>734</v>
      </c>
      <c r="B272" t="s">
        <v>2838</v>
      </c>
      <c r="C272" t="s">
        <v>105</v>
      </c>
      <c r="D272" t="s">
        <v>2826</v>
      </c>
      <c r="E272">
        <v>0</v>
      </c>
      <c r="F272" t="s">
        <v>2820</v>
      </c>
      <c r="G272" t="b">
        <v>1</v>
      </c>
      <c r="H272" t="s">
        <v>1935</v>
      </c>
    </row>
    <row r="273" spans="1:8" x14ac:dyDescent="0.3">
      <c r="A273" t="s">
        <v>734</v>
      </c>
      <c r="B273" t="s">
        <v>2838</v>
      </c>
      <c r="C273" t="s">
        <v>105</v>
      </c>
      <c r="D273" t="s">
        <v>2827</v>
      </c>
      <c r="E273">
        <v>0</v>
      </c>
      <c r="F273" t="s">
        <v>2820</v>
      </c>
      <c r="G273" t="b">
        <v>1</v>
      </c>
      <c r="H273" t="s">
        <v>2828</v>
      </c>
    </row>
    <row r="274" spans="1:8" x14ac:dyDescent="0.3">
      <c r="A274" t="s">
        <v>734</v>
      </c>
      <c r="B274" t="s">
        <v>2838</v>
      </c>
      <c r="C274" t="s">
        <v>105</v>
      </c>
      <c r="D274" t="s">
        <v>2829</v>
      </c>
      <c r="E274">
        <v>0</v>
      </c>
      <c r="F274" t="s">
        <v>2820</v>
      </c>
      <c r="G274" t="b">
        <v>1</v>
      </c>
      <c r="H274" t="s">
        <v>2830</v>
      </c>
    </row>
    <row r="275" spans="1:8" x14ac:dyDescent="0.3">
      <c r="A275" t="s">
        <v>734</v>
      </c>
      <c r="B275" t="s">
        <v>2838</v>
      </c>
      <c r="C275" t="s">
        <v>105</v>
      </c>
      <c r="D275" t="s">
        <v>2831</v>
      </c>
      <c r="E275">
        <v>0</v>
      </c>
      <c r="F275" t="s">
        <v>2820</v>
      </c>
      <c r="G275" t="b">
        <v>1</v>
      </c>
      <c r="H275" t="s">
        <v>466</v>
      </c>
    </row>
    <row r="276" spans="1:8" x14ac:dyDescent="0.3">
      <c r="A276" t="s">
        <v>734</v>
      </c>
      <c r="B276" t="s">
        <v>2838</v>
      </c>
      <c r="C276" t="s">
        <v>105</v>
      </c>
      <c r="D276" t="s">
        <v>2832</v>
      </c>
      <c r="E276">
        <v>0</v>
      </c>
      <c r="F276" t="s">
        <v>2820</v>
      </c>
      <c r="G276" t="b">
        <v>1</v>
      </c>
      <c r="H276" t="s">
        <v>467</v>
      </c>
    </row>
    <row r="277" spans="1:8" x14ac:dyDescent="0.3">
      <c r="A277" t="s">
        <v>734</v>
      </c>
      <c r="B277" t="s">
        <v>2838</v>
      </c>
      <c r="C277" t="s">
        <v>105</v>
      </c>
      <c r="D277" t="s">
        <v>2833</v>
      </c>
      <c r="E277">
        <v>0</v>
      </c>
      <c r="F277" t="s">
        <v>2820</v>
      </c>
      <c r="G277" t="b">
        <v>1</v>
      </c>
      <c r="H277" t="s">
        <v>468</v>
      </c>
    </row>
    <row r="278" spans="1:8" x14ac:dyDescent="0.3">
      <c r="A278" t="s">
        <v>734</v>
      </c>
      <c r="B278" t="s">
        <v>2838</v>
      </c>
      <c r="C278" t="s">
        <v>103</v>
      </c>
      <c r="D278" t="s">
        <v>2819</v>
      </c>
      <c r="E278">
        <v>0</v>
      </c>
      <c r="F278" t="s">
        <v>2820</v>
      </c>
      <c r="G278" t="b">
        <v>1</v>
      </c>
      <c r="H278" t="s">
        <v>704</v>
      </c>
    </row>
    <row r="279" spans="1:8" x14ac:dyDescent="0.3">
      <c r="A279" t="s">
        <v>734</v>
      </c>
      <c r="B279" t="s">
        <v>2838</v>
      </c>
      <c r="C279" t="s">
        <v>103</v>
      </c>
      <c r="D279" t="s">
        <v>2821</v>
      </c>
      <c r="E279">
        <v>0</v>
      </c>
      <c r="F279" t="s">
        <v>2820</v>
      </c>
      <c r="G279" t="b">
        <v>1</v>
      </c>
      <c r="H279" t="s">
        <v>706</v>
      </c>
    </row>
    <row r="280" spans="1:8" x14ac:dyDescent="0.3">
      <c r="A280" t="s">
        <v>734</v>
      </c>
      <c r="B280" t="s">
        <v>2838</v>
      </c>
      <c r="C280" t="s">
        <v>103</v>
      </c>
      <c r="D280" t="s">
        <v>2822</v>
      </c>
      <c r="E280">
        <v>0</v>
      </c>
      <c r="F280" t="s">
        <v>2820</v>
      </c>
      <c r="G280" t="b">
        <v>1</v>
      </c>
      <c r="H280" t="s">
        <v>708</v>
      </c>
    </row>
    <row r="281" spans="1:8" x14ac:dyDescent="0.3">
      <c r="A281" t="s">
        <v>734</v>
      </c>
      <c r="B281" t="s">
        <v>2838</v>
      </c>
      <c r="C281" t="s">
        <v>103</v>
      </c>
      <c r="D281" t="s">
        <v>2823</v>
      </c>
      <c r="E281">
        <v>0</v>
      </c>
      <c r="F281" t="s">
        <v>2820</v>
      </c>
      <c r="G281" t="b">
        <v>1</v>
      </c>
      <c r="H281" t="s">
        <v>710</v>
      </c>
    </row>
    <row r="282" spans="1:8" x14ac:dyDescent="0.3">
      <c r="A282" t="s">
        <v>734</v>
      </c>
      <c r="B282" t="s">
        <v>2838</v>
      </c>
      <c r="C282" t="s">
        <v>103</v>
      </c>
      <c r="D282" t="s">
        <v>2824</v>
      </c>
      <c r="E282">
        <v>0</v>
      </c>
      <c r="F282" t="s">
        <v>2820</v>
      </c>
      <c r="G282" t="b">
        <v>1</v>
      </c>
      <c r="H282" t="s">
        <v>2802</v>
      </c>
    </row>
    <row r="283" spans="1:8" x14ac:dyDescent="0.3">
      <c r="A283" t="s">
        <v>734</v>
      </c>
      <c r="B283" t="s">
        <v>2838</v>
      </c>
      <c r="C283" t="s">
        <v>103</v>
      </c>
      <c r="D283" t="s">
        <v>2825</v>
      </c>
      <c r="E283">
        <v>0</v>
      </c>
      <c r="F283" t="s">
        <v>2820</v>
      </c>
      <c r="G283" t="b">
        <v>1</v>
      </c>
      <c r="H283" t="s">
        <v>2800</v>
      </c>
    </row>
    <row r="284" spans="1:8" x14ac:dyDescent="0.3">
      <c r="A284" t="s">
        <v>734</v>
      </c>
      <c r="B284" t="s">
        <v>2838</v>
      </c>
      <c r="C284" t="s">
        <v>103</v>
      </c>
      <c r="D284" t="s">
        <v>2826</v>
      </c>
      <c r="E284">
        <v>0</v>
      </c>
      <c r="F284" t="s">
        <v>2820</v>
      </c>
      <c r="G284" t="b">
        <v>1</v>
      </c>
      <c r="H284" t="s">
        <v>1935</v>
      </c>
    </row>
    <row r="285" spans="1:8" x14ac:dyDescent="0.3">
      <c r="A285" t="s">
        <v>734</v>
      </c>
      <c r="B285" t="s">
        <v>2838</v>
      </c>
      <c r="C285" t="s">
        <v>103</v>
      </c>
      <c r="D285" t="s">
        <v>2827</v>
      </c>
      <c r="E285">
        <v>0</v>
      </c>
      <c r="F285" t="s">
        <v>2820</v>
      </c>
      <c r="G285" t="b">
        <v>1</v>
      </c>
      <c r="H285" t="s">
        <v>2828</v>
      </c>
    </row>
    <row r="286" spans="1:8" x14ac:dyDescent="0.3">
      <c r="A286" t="s">
        <v>734</v>
      </c>
      <c r="B286" t="s">
        <v>2838</v>
      </c>
      <c r="C286" t="s">
        <v>103</v>
      </c>
      <c r="D286" t="s">
        <v>2829</v>
      </c>
      <c r="E286">
        <v>0</v>
      </c>
      <c r="F286" t="s">
        <v>2820</v>
      </c>
      <c r="G286" t="b">
        <v>1</v>
      </c>
      <c r="H286" t="s">
        <v>2830</v>
      </c>
    </row>
    <row r="287" spans="1:8" x14ac:dyDescent="0.3">
      <c r="A287" t="s">
        <v>734</v>
      </c>
      <c r="B287" t="s">
        <v>2838</v>
      </c>
      <c r="C287" t="s">
        <v>103</v>
      </c>
      <c r="D287" t="s">
        <v>2831</v>
      </c>
      <c r="E287">
        <v>0</v>
      </c>
      <c r="F287" t="s">
        <v>2820</v>
      </c>
      <c r="G287" t="b">
        <v>1</v>
      </c>
      <c r="H287" t="s">
        <v>466</v>
      </c>
    </row>
    <row r="288" spans="1:8" x14ac:dyDescent="0.3">
      <c r="A288" t="s">
        <v>734</v>
      </c>
      <c r="B288" t="s">
        <v>2838</v>
      </c>
      <c r="C288" t="s">
        <v>103</v>
      </c>
      <c r="D288" t="s">
        <v>2832</v>
      </c>
      <c r="E288">
        <v>0</v>
      </c>
      <c r="F288" t="s">
        <v>2820</v>
      </c>
      <c r="G288" t="b">
        <v>1</v>
      </c>
      <c r="H288" t="s">
        <v>467</v>
      </c>
    </row>
    <row r="289" spans="1:8" x14ac:dyDescent="0.3">
      <c r="A289" t="s">
        <v>734</v>
      </c>
      <c r="B289" t="s">
        <v>2838</v>
      </c>
      <c r="C289" t="s">
        <v>103</v>
      </c>
      <c r="D289" t="s">
        <v>2833</v>
      </c>
      <c r="E289">
        <v>0</v>
      </c>
      <c r="F289" t="s">
        <v>2820</v>
      </c>
      <c r="G289" t="b">
        <v>1</v>
      </c>
      <c r="H289" t="s">
        <v>468</v>
      </c>
    </row>
    <row r="290" spans="1:8" x14ac:dyDescent="0.3">
      <c r="A290" t="s">
        <v>734</v>
      </c>
      <c r="B290" t="s">
        <v>2838</v>
      </c>
      <c r="C290" t="s">
        <v>104</v>
      </c>
      <c r="D290" t="s">
        <v>2819</v>
      </c>
      <c r="E290">
        <v>0</v>
      </c>
      <c r="F290" t="s">
        <v>2820</v>
      </c>
      <c r="G290" t="b">
        <v>1</v>
      </c>
      <c r="H290" t="s">
        <v>704</v>
      </c>
    </row>
    <row r="291" spans="1:8" x14ac:dyDescent="0.3">
      <c r="A291" t="s">
        <v>734</v>
      </c>
      <c r="B291" t="s">
        <v>2838</v>
      </c>
      <c r="C291" t="s">
        <v>104</v>
      </c>
      <c r="D291" t="s">
        <v>2821</v>
      </c>
      <c r="E291">
        <v>0</v>
      </c>
      <c r="F291" t="s">
        <v>2820</v>
      </c>
      <c r="G291" t="b">
        <v>1</v>
      </c>
      <c r="H291" t="s">
        <v>706</v>
      </c>
    </row>
    <row r="292" spans="1:8" x14ac:dyDescent="0.3">
      <c r="A292" t="s">
        <v>734</v>
      </c>
      <c r="B292" t="s">
        <v>2838</v>
      </c>
      <c r="C292" t="s">
        <v>104</v>
      </c>
      <c r="D292" t="s">
        <v>2822</v>
      </c>
      <c r="E292">
        <v>0</v>
      </c>
      <c r="F292" t="s">
        <v>2820</v>
      </c>
      <c r="G292" t="b">
        <v>1</v>
      </c>
      <c r="H292" t="s">
        <v>708</v>
      </c>
    </row>
    <row r="293" spans="1:8" x14ac:dyDescent="0.3">
      <c r="A293" t="s">
        <v>734</v>
      </c>
      <c r="B293" t="s">
        <v>2838</v>
      </c>
      <c r="C293" t="s">
        <v>104</v>
      </c>
      <c r="D293" t="s">
        <v>2823</v>
      </c>
      <c r="E293">
        <v>0</v>
      </c>
      <c r="F293" t="s">
        <v>2820</v>
      </c>
      <c r="G293" t="b">
        <v>1</v>
      </c>
      <c r="H293" t="s">
        <v>710</v>
      </c>
    </row>
    <row r="294" spans="1:8" x14ac:dyDescent="0.3">
      <c r="A294" t="s">
        <v>734</v>
      </c>
      <c r="B294" t="s">
        <v>2838</v>
      </c>
      <c r="C294" t="s">
        <v>104</v>
      </c>
      <c r="D294" t="s">
        <v>2824</v>
      </c>
      <c r="E294">
        <v>0</v>
      </c>
      <c r="F294" t="s">
        <v>2820</v>
      </c>
      <c r="G294" t="b">
        <v>1</v>
      </c>
      <c r="H294" t="s">
        <v>2802</v>
      </c>
    </row>
    <row r="295" spans="1:8" x14ac:dyDescent="0.3">
      <c r="A295" t="s">
        <v>734</v>
      </c>
      <c r="B295" t="s">
        <v>2838</v>
      </c>
      <c r="C295" t="s">
        <v>104</v>
      </c>
      <c r="D295" t="s">
        <v>2825</v>
      </c>
      <c r="E295">
        <v>0</v>
      </c>
      <c r="F295" t="s">
        <v>2820</v>
      </c>
      <c r="G295" t="b">
        <v>1</v>
      </c>
      <c r="H295" t="s">
        <v>2800</v>
      </c>
    </row>
    <row r="296" spans="1:8" x14ac:dyDescent="0.3">
      <c r="A296" t="s">
        <v>734</v>
      </c>
      <c r="B296" t="s">
        <v>2838</v>
      </c>
      <c r="C296" t="s">
        <v>104</v>
      </c>
      <c r="D296" t="s">
        <v>2826</v>
      </c>
      <c r="E296">
        <v>0</v>
      </c>
      <c r="F296" t="s">
        <v>2820</v>
      </c>
      <c r="G296" t="b">
        <v>1</v>
      </c>
      <c r="H296" t="s">
        <v>1935</v>
      </c>
    </row>
    <row r="297" spans="1:8" x14ac:dyDescent="0.3">
      <c r="A297" t="s">
        <v>734</v>
      </c>
      <c r="B297" t="s">
        <v>2838</v>
      </c>
      <c r="C297" t="s">
        <v>104</v>
      </c>
      <c r="D297" t="s">
        <v>2827</v>
      </c>
      <c r="E297">
        <v>0</v>
      </c>
      <c r="F297" t="s">
        <v>2820</v>
      </c>
      <c r="G297" t="b">
        <v>1</v>
      </c>
      <c r="H297" t="s">
        <v>2828</v>
      </c>
    </row>
    <row r="298" spans="1:8" x14ac:dyDescent="0.3">
      <c r="A298" t="s">
        <v>734</v>
      </c>
      <c r="B298" t="s">
        <v>2838</v>
      </c>
      <c r="C298" t="s">
        <v>104</v>
      </c>
      <c r="D298" t="s">
        <v>2829</v>
      </c>
      <c r="E298">
        <v>0</v>
      </c>
      <c r="F298" t="s">
        <v>2820</v>
      </c>
      <c r="G298" t="b">
        <v>1</v>
      </c>
      <c r="H298" t="s">
        <v>2830</v>
      </c>
    </row>
    <row r="299" spans="1:8" x14ac:dyDescent="0.3">
      <c r="A299" t="s">
        <v>734</v>
      </c>
      <c r="B299" t="s">
        <v>2838</v>
      </c>
      <c r="C299" t="s">
        <v>104</v>
      </c>
      <c r="D299" t="s">
        <v>2831</v>
      </c>
      <c r="E299">
        <v>0</v>
      </c>
      <c r="F299" t="s">
        <v>2820</v>
      </c>
      <c r="G299" t="b">
        <v>1</v>
      </c>
      <c r="H299" t="s">
        <v>466</v>
      </c>
    </row>
    <row r="300" spans="1:8" x14ac:dyDescent="0.3">
      <c r="A300" t="s">
        <v>734</v>
      </c>
      <c r="B300" t="s">
        <v>2838</v>
      </c>
      <c r="C300" t="s">
        <v>104</v>
      </c>
      <c r="D300" t="s">
        <v>2832</v>
      </c>
      <c r="E300">
        <v>0</v>
      </c>
      <c r="F300" t="s">
        <v>2820</v>
      </c>
      <c r="G300" t="b">
        <v>1</v>
      </c>
      <c r="H300" t="s">
        <v>467</v>
      </c>
    </row>
    <row r="301" spans="1:8" x14ac:dyDescent="0.3">
      <c r="A301" t="s">
        <v>734</v>
      </c>
      <c r="B301" t="s">
        <v>2838</v>
      </c>
      <c r="C301" t="s">
        <v>104</v>
      </c>
      <c r="D301" t="s">
        <v>2833</v>
      </c>
      <c r="E301">
        <v>0</v>
      </c>
      <c r="F301" t="s">
        <v>2820</v>
      </c>
      <c r="G301" t="b">
        <v>1</v>
      </c>
      <c r="H301" t="s">
        <v>468</v>
      </c>
    </row>
    <row r="302" spans="1:8" x14ac:dyDescent="0.3">
      <c r="A302" t="s">
        <v>734</v>
      </c>
      <c r="B302" t="s">
        <v>2838</v>
      </c>
      <c r="C302" t="s">
        <v>102</v>
      </c>
      <c r="D302" t="s">
        <v>2819</v>
      </c>
      <c r="E302">
        <v>0</v>
      </c>
      <c r="F302" t="s">
        <v>2820</v>
      </c>
      <c r="G302" t="b">
        <v>1</v>
      </c>
      <c r="H302" t="s">
        <v>704</v>
      </c>
    </row>
    <row r="303" spans="1:8" x14ac:dyDescent="0.3">
      <c r="A303" t="s">
        <v>734</v>
      </c>
      <c r="B303" t="s">
        <v>2838</v>
      </c>
      <c r="C303" t="s">
        <v>102</v>
      </c>
      <c r="D303" t="s">
        <v>2821</v>
      </c>
      <c r="E303">
        <v>0</v>
      </c>
      <c r="F303" t="s">
        <v>2820</v>
      </c>
      <c r="G303" t="b">
        <v>1</v>
      </c>
      <c r="H303" t="s">
        <v>706</v>
      </c>
    </row>
    <row r="304" spans="1:8" x14ac:dyDescent="0.3">
      <c r="A304" t="s">
        <v>734</v>
      </c>
      <c r="B304" t="s">
        <v>2838</v>
      </c>
      <c r="C304" t="s">
        <v>102</v>
      </c>
      <c r="D304" t="s">
        <v>2822</v>
      </c>
      <c r="E304">
        <v>0</v>
      </c>
      <c r="F304" t="s">
        <v>2820</v>
      </c>
      <c r="G304" t="b">
        <v>1</v>
      </c>
      <c r="H304" t="s">
        <v>708</v>
      </c>
    </row>
    <row r="305" spans="1:8" x14ac:dyDescent="0.3">
      <c r="A305" t="s">
        <v>734</v>
      </c>
      <c r="B305" t="s">
        <v>2838</v>
      </c>
      <c r="C305" t="s">
        <v>102</v>
      </c>
      <c r="D305" t="s">
        <v>2823</v>
      </c>
      <c r="E305">
        <v>0</v>
      </c>
      <c r="F305" t="s">
        <v>2820</v>
      </c>
      <c r="G305" t="b">
        <v>1</v>
      </c>
      <c r="H305" t="s">
        <v>710</v>
      </c>
    </row>
    <row r="306" spans="1:8" x14ac:dyDescent="0.3">
      <c r="A306" t="s">
        <v>734</v>
      </c>
      <c r="B306" t="s">
        <v>2838</v>
      </c>
      <c r="C306" t="s">
        <v>102</v>
      </c>
      <c r="D306" t="s">
        <v>2824</v>
      </c>
      <c r="E306">
        <v>0</v>
      </c>
      <c r="F306" t="s">
        <v>2820</v>
      </c>
      <c r="G306" t="b">
        <v>1</v>
      </c>
      <c r="H306" t="s">
        <v>2802</v>
      </c>
    </row>
    <row r="307" spans="1:8" x14ac:dyDescent="0.3">
      <c r="A307" t="s">
        <v>734</v>
      </c>
      <c r="B307" t="s">
        <v>2838</v>
      </c>
      <c r="C307" t="s">
        <v>102</v>
      </c>
      <c r="D307" t="s">
        <v>2825</v>
      </c>
      <c r="E307">
        <v>0</v>
      </c>
      <c r="F307" t="s">
        <v>2820</v>
      </c>
      <c r="G307" t="b">
        <v>1</v>
      </c>
      <c r="H307" t="s">
        <v>2800</v>
      </c>
    </row>
    <row r="308" spans="1:8" x14ac:dyDescent="0.3">
      <c r="A308" t="s">
        <v>734</v>
      </c>
      <c r="B308" t="s">
        <v>2838</v>
      </c>
      <c r="C308" t="s">
        <v>102</v>
      </c>
      <c r="D308" t="s">
        <v>2826</v>
      </c>
      <c r="E308">
        <v>0</v>
      </c>
      <c r="F308" t="s">
        <v>2820</v>
      </c>
      <c r="G308" t="b">
        <v>1</v>
      </c>
      <c r="H308" t="s">
        <v>1935</v>
      </c>
    </row>
    <row r="309" spans="1:8" x14ac:dyDescent="0.3">
      <c r="A309" t="s">
        <v>734</v>
      </c>
      <c r="B309" t="s">
        <v>2838</v>
      </c>
      <c r="C309" t="s">
        <v>102</v>
      </c>
      <c r="D309" t="s">
        <v>2827</v>
      </c>
      <c r="E309">
        <v>0</v>
      </c>
      <c r="F309" t="s">
        <v>2820</v>
      </c>
      <c r="G309" t="b">
        <v>1</v>
      </c>
      <c r="H309" t="s">
        <v>2828</v>
      </c>
    </row>
    <row r="310" spans="1:8" x14ac:dyDescent="0.3">
      <c r="A310" t="s">
        <v>734</v>
      </c>
      <c r="B310" t="s">
        <v>2838</v>
      </c>
      <c r="C310" t="s">
        <v>102</v>
      </c>
      <c r="D310" t="s">
        <v>2829</v>
      </c>
      <c r="E310">
        <v>0</v>
      </c>
      <c r="F310" t="s">
        <v>2820</v>
      </c>
      <c r="G310" t="b">
        <v>1</v>
      </c>
      <c r="H310" t="s">
        <v>2830</v>
      </c>
    </row>
    <row r="311" spans="1:8" x14ac:dyDescent="0.3">
      <c r="A311" t="s">
        <v>734</v>
      </c>
      <c r="B311" t="s">
        <v>2838</v>
      </c>
      <c r="C311" t="s">
        <v>102</v>
      </c>
      <c r="D311" t="s">
        <v>2831</v>
      </c>
      <c r="E311">
        <v>0</v>
      </c>
      <c r="F311" t="s">
        <v>2820</v>
      </c>
      <c r="G311" t="b">
        <v>1</v>
      </c>
      <c r="H311" t="s">
        <v>466</v>
      </c>
    </row>
    <row r="312" spans="1:8" x14ac:dyDescent="0.3">
      <c r="A312" t="s">
        <v>734</v>
      </c>
      <c r="B312" t="s">
        <v>2838</v>
      </c>
      <c r="C312" t="s">
        <v>102</v>
      </c>
      <c r="D312" t="s">
        <v>2832</v>
      </c>
      <c r="E312">
        <v>0</v>
      </c>
      <c r="F312" t="s">
        <v>2820</v>
      </c>
      <c r="G312" t="b">
        <v>1</v>
      </c>
      <c r="H312" t="s">
        <v>467</v>
      </c>
    </row>
    <row r="313" spans="1:8" x14ac:dyDescent="0.3">
      <c r="A313" t="s">
        <v>734</v>
      </c>
      <c r="B313" t="s">
        <v>2838</v>
      </c>
      <c r="C313" t="s">
        <v>102</v>
      </c>
      <c r="D313" t="s">
        <v>2833</v>
      </c>
      <c r="E313">
        <v>0</v>
      </c>
      <c r="F313" t="s">
        <v>2820</v>
      </c>
      <c r="G313" t="b">
        <v>1</v>
      </c>
      <c r="H313" t="s">
        <v>468</v>
      </c>
    </row>
    <row r="314" spans="1:8" x14ac:dyDescent="0.3">
      <c r="A314" t="s">
        <v>734</v>
      </c>
      <c r="B314" t="s">
        <v>2838</v>
      </c>
      <c r="C314" t="s">
        <v>88</v>
      </c>
      <c r="D314" t="s">
        <v>2819</v>
      </c>
      <c r="E314">
        <v>0</v>
      </c>
      <c r="F314" t="s">
        <v>2820</v>
      </c>
      <c r="G314" t="b">
        <v>1</v>
      </c>
      <c r="H314" t="s">
        <v>704</v>
      </c>
    </row>
    <row r="315" spans="1:8" x14ac:dyDescent="0.3">
      <c r="A315" t="s">
        <v>734</v>
      </c>
      <c r="B315" t="s">
        <v>2838</v>
      </c>
      <c r="C315" t="s">
        <v>88</v>
      </c>
      <c r="D315" t="s">
        <v>2821</v>
      </c>
      <c r="E315">
        <v>0</v>
      </c>
      <c r="F315" t="s">
        <v>2820</v>
      </c>
      <c r="G315" t="b">
        <v>1</v>
      </c>
      <c r="H315" t="s">
        <v>706</v>
      </c>
    </row>
    <row r="316" spans="1:8" x14ac:dyDescent="0.3">
      <c r="A316" t="s">
        <v>734</v>
      </c>
      <c r="B316" t="s">
        <v>2838</v>
      </c>
      <c r="C316" t="s">
        <v>88</v>
      </c>
      <c r="D316" t="s">
        <v>2822</v>
      </c>
      <c r="E316">
        <v>0</v>
      </c>
      <c r="F316" t="s">
        <v>2820</v>
      </c>
      <c r="G316" t="b">
        <v>1</v>
      </c>
      <c r="H316" t="s">
        <v>708</v>
      </c>
    </row>
    <row r="317" spans="1:8" x14ac:dyDescent="0.3">
      <c r="A317" t="s">
        <v>734</v>
      </c>
      <c r="B317" t="s">
        <v>2838</v>
      </c>
      <c r="C317" t="s">
        <v>88</v>
      </c>
      <c r="D317" t="s">
        <v>2823</v>
      </c>
      <c r="E317">
        <v>0</v>
      </c>
      <c r="F317" t="s">
        <v>2820</v>
      </c>
      <c r="G317" t="b">
        <v>1</v>
      </c>
      <c r="H317" t="s">
        <v>710</v>
      </c>
    </row>
    <row r="318" spans="1:8" x14ac:dyDescent="0.3">
      <c r="A318" t="s">
        <v>734</v>
      </c>
      <c r="B318" t="s">
        <v>2838</v>
      </c>
      <c r="C318" t="s">
        <v>88</v>
      </c>
      <c r="D318" t="s">
        <v>2824</v>
      </c>
      <c r="E318">
        <v>0</v>
      </c>
      <c r="F318" t="s">
        <v>2820</v>
      </c>
      <c r="G318" t="b">
        <v>1</v>
      </c>
      <c r="H318" t="s">
        <v>2802</v>
      </c>
    </row>
    <row r="319" spans="1:8" x14ac:dyDescent="0.3">
      <c r="A319" t="s">
        <v>734</v>
      </c>
      <c r="B319" t="s">
        <v>2838</v>
      </c>
      <c r="C319" t="s">
        <v>88</v>
      </c>
      <c r="D319" t="s">
        <v>2825</v>
      </c>
      <c r="E319">
        <v>0</v>
      </c>
      <c r="F319" t="s">
        <v>2820</v>
      </c>
      <c r="G319" t="b">
        <v>1</v>
      </c>
      <c r="H319" t="s">
        <v>2800</v>
      </c>
    </row>
    <row r="320" spans="1:8" x14ac:dyDescent="0.3">
      <c r="A320" t="s">
        <v>734</v>
      </c>
      <c r="B320" t="s">
        <v>2838</v>
      </c>
      <c r="C320" t="s">
        <v>88</v>
      </c>
      <c r="D320" t="s">
        <v>2826</v>
      </c>
      <c r="E320">
        <v>0</v>
      </c>
      <c r="F320" t="s">
        <v>2820</v>
      </c>
      <c r="G320" t="b">
        <v>1</v>
      </c>
      <c r="H320" t="s">
        <v>1935</v>
      </c>
    </row>
    <row r="321" spans="1:8" x14ac:dyDescent="0.3">
      <c r="A321" t="s">
        <v>734</v>
      </c>
      <c r="B321" t="s">
        <v>2838</v>
      </c>
      <c r="C321" t="s">
        <v>88</v>
      </c>
      <c r="D321" t="s">
        <v>2827</v>
      </c>
      <c r="E321">
        <v>0</v>
      </c>
      <c r="F321" t="s">
        <v>2820</v>
      </c>
      <c r="G321" t="b">
        <v>1</v>
      </c>
      <c r="H321" t="s">
        <v>2828</v>
      </c>
    </row>
    <row r="322" spans="1:8" x14ac:dyDescent="0.3">
      <c r="A322" t="s">
        <v>734</v>
      </c>
      <c r="B322" t="s">
        <v>2838</v>
      </c>
      <c r="C322" t="s">
        <v>88</v>
      </c>
      <c r="D322" t="s">
        <v>2829</v>
      </c>
      <c r="E322">
        <v>0</v>
      </c>
      <c r="F322" t="s">
        <v>2820</v>
      </c>
      <c r="G322" t="b">
        <v>1</v>
      </c>
      <c r="H322" t="s">
        <v>2830</v>
      </c>
    </row>
    <row r="323" spans="1:8" x14ac:dyDescent="0.3">
      <c r="A323" t="s">
        <v>734</v>
      </c>
      <c r="B323" t="s">
        <v>2838</v>
      </c>
      <c r="C323" t="s">
        <v>88</v>
      </c>
      <c r="D323" t="s">
        <v>2831</v>
      </c>
      <c r="E323">
        <v>0</v>
      </c>
      <c r="F323" t="s">
        <v>2820</v>
      </c>
      <c r="G323" t="b">
        <v>1</v>
      </c>
      <c r="H323" t="s">
        <v>466</v>
      </c>
    </row>
    <row r="324" spans="1:8" x14ac:dyDescent="0.3">
      <c r="A324" t="s">
        <v>734</v>
      </c>
      <c r="B324" t="s">
        <v>2838</v>
      </c>
      <c r="C324" t="s">
        <v>88</v>
      </c>
      <c r="D324" t="s">
        <v>2832</v>
      </c>
      <c r="E324">
        <v>0</v>
      </c>
      <c r="F324" t="s">
        <v>2820</v>
      </c>
      <c r="G324" t="b">
        <v>1</v>
      </c>
      <c r="H324" t="s">
        <v>467</v>
      </c>
    </row>
    <row r="325" spans="1:8" x14ac:dyDescent="0.3">
      <c r="A325" t="s">
        <v>734</v>
      </c>
      <c r="B325" t="s">
        <v>2838</v>
      </c>
      <c r="C325" t="s">
        <v>88</v>
      </c>
      <c r="D325" t="s">
        <v>2833</v>
      </c>
      <c r="E325">
        <v>0</v>
      </c>
      <c r="F325" t="s">
        <v>2820</v>
      </c>
      <c r="G325" t="b">
        <v>1</v>
      </c>
      <c r="H325" t="s">
        <v>468</v>
      </c>
    </row>
    <row r="326" spans="1:8" x14ac:dyDescent="0.3">
      <c r="A326" t="s">
        <v>734</v>
      </c>
      <c r="B326" t="s">
        <v>2838</v>
      </c>
      <c r="C326" t="s">
        <v>89</v>
      </c>
      <c r="D326" t="s">
        <v>2819</v>
      </c>
      <c r="E326">
        <v>0</v>
      </c>
      <c r="F326" t="s">
        <v>2820</v>
      </c>
      <c r="G326" t="b">
        <v>1</v>
      </c>
      <c r="H326" t="s">
        <v>704</v>
      </c>
    </row>
    <row r="327" spans="1:8" x14ac:dyDescent="0.3">
      <c r="A327" t="s">
        <v>734</v>
      </c>
      <c r="B327" t="s">
        <v>2838</v>
      </c>
      <c r="C327" t="s">
        <v>89</v>
      </c>
      <c r="D327" t="s">
        <v>2821</v>
      </c>
      <c r="E327">
        <v>0</v>
      </c>
      <c r="F327" t="s">
        <v>2820</v>
      </c>
      <c r="G327" t="b">
        <v>1</v>
      </c>
      <c r="H327" t="s">
        <v>706</v>
      </c>
    </row>
    <row r="328" spans="1:8" x14ac:dyDescent="0.3">
      <c r="A328" t="s">
        <v>734</v>
      </c>
      <c r="B328" t="s">
        <v>2838</v>
      </c>
      <c r="C328" t="s">
        <v>89</v>
      </c>
      <c r="D328" t="s">
        <v>2822</v>
      </c>
      <c r="E328">
        <v>0</v>
      </c>
      <c r="F328" t="s">
        <v>2820</v>
      </c>
      <c r="G328" t="b">
        <v>1</v>
      </c>
      <c r="H328" t="s">
        <v>708</v>
      </c>
    </row>
    <row r="329" spans="1:8" x14ac:dyDescent="0.3">
      <c r="A329" t="s">
        <v>734</v>
      </c>
      <c r="B329" t="s">
        <v>2838</v>
      </c>
      <c r="C329" t="s">
        <v>89</v>
      </c>
      <c r="D329" t="s">
        <v>2823</v>
      </c>
      <c r="E329">
        <v>0</v>
      </c>
      <c r="F329" t="s">
        <v>2820</v>
      </c>
      <c r="G329" t="b">
        <v>1</v>
      </c>
      <c r="H329" t="s">
        <v>710</v>
      </c>
    </row>
    <row r="330" spans="1:8" x14ac:dyDescent="0.3">
      <c r="A330" t="s">
        <v>734</v>
      </c>
      <c r="B330" t="s">
        <v>2838</v>
      </c>
      <c r="C330" t="s">
        <v>89</v>
      </c>
      <c r="D330" t="s">
        <v>2824</v>
      </c>
      <c r="E330">
        <v>0</v>
      </c>
      <c r="F330" t="s">
        <v>2820</v>
      </c>
      <c r="G330" t="b">
        <v>1</v>
      </c>
      <c r="H330" t="s">
        <v>2802</v>
      </c>
    </row>
    <row r="331" spans="1:8" x14ac:dyDescent="0.3">
      <c r="A331" t="s">
        <v>734</v>
      </c>
      <c r="B331" t="s">
        <v>2838</v>
      </c>
      <c r="C331" t="s">
        <v>89</v>
      </c>
      <c r="D331" t="s">
        <v>2825</v>
      </c>
      <c r="E331">
        <v>0</v>
      </c>
      <c r="F331" t="s">
        <v>2820</v>
      </c>
      <c r="G331" t="b">
        <v>1</v>
      </c>
      <c r="H331" t="s">
        <v>2800</v>
      </c>
    </row>
    <row r="332" spans="1:8" x14ac:dyDescent="0.3">
      <c r="A332" t="s">
        <v>734</v>
      </c>
      <c r="B332" t="s">
        <v>2838</v>
      </c>
      <c r="C332" t="s">
        <v>89</v>
      </c>
      <c r="D332" t="s">
        <v>2826</v>
      </c>
      <c r="E332">
        <v>0</v>
      </c>
      <c r="F332" t="s">
        <v>2820</v>
      </c>
      <c r="G332" t="b">
        <v>1</v>
      </c>
      <c r="H332" t="s">
        <v>1935</v>
      </c>
    </row>
    <row r="333" spans="1:8" x14ac:dyDescent="0.3">
      <c r="A333" t="s">
        <v>734</v>
      </c>
      <c r="B333" t="s">
        <v>2838</v>
      </c>
      <c r="C333" t="s">
        <v>89</v>
      </c>
      <c r="D333" t="s">
        <v>2827</v>
      </c>
      <c r="E333">
        <v>0</v>
      </c>
      <c r="F333" t="s">
        <v>2820</v>
      </c>
      <c r="G333" t="b">
        <v>1</v>
      </c>
      <c r="H333" t="s">
        <v>2828</v>
      </c>
    </row>
    <row r="334" spans="1:8" x14ac:dyDescent="0.3">
      <c r="A334" t="s">
        <v>734</v>
      </c>
      <c r="B334" t="s">
        <v>2838</v>
      </c>
      <c r="C334" t="s">
        <v>89</v>
      </c>
      <c r="D334" t="s">
        <v>2829</v>
      </c>
      <c r="E334">
        <v>0</v>
      </c>
      <c r="F334" t="s">
        <v>2820</v>
      </c>
      <c r="G334" t="b">
        <v>1</v>
      </c>
      <c r="H334" t="s">
        <v>2830</v>
      </c>
    </row>
    <row r="335" spans="1:8" x14ac:dyDescent="0.3">
      <c r="A335" t="s">
        <v>734</v>
      </c>
      <c r="B335" t="s">
        <v>2838</v>
      </c>
      <c r="C335" t="s">
        <v>89</v>
      </c>
      <c r="D335" t="s">
        <v>2831</v>
      </c>
      <c r="E335">
        <v>0</v>
      </c>
      <c r="F335" t="s">
        <v>2820</v>
      </c>
      <c r="G335" t="b">
        <v>1</v>
      </c>
      <c r="H335" t="s">
        <v>466</v>
      </c>
    </row>
    <row r="336" spans="1:8" x14ac:dyDescent="0.3">
      <c r="A336" t="s">
        <v>734</v>
      </c>
      <c r="B336" t="s">
        <v>2838</v>
      </c>
      <c r="C336" t="s">
        <v>89</v>
      </c>
      <c r="D336" t="s">
        <v>2832</v>
      </c>
      <c r="E336">
        <v>0</v>
      </c>
      <c r="F336" t="s">
        <v>2820</v>
      </c>
      <c r="G336" t="b">
        <v>1</v>
      </c>
      <c r="H336" t="s">
        <v>467</v>
      </c>
    </row>
    <row r="337" spans="1:8" x14ac:dyDescent="0.3">
      <c r="A337" t="s">
        <v>734</v>
      </c>
      <c r="B337" t="s">
        <v>2838</v>
      </c>
      <c r="C337" t="s">
        <v>89</v>
      </c>
      <c r="D337" t="s">
        <v>2833</v>
      </c>
      <c r="E337">
        <v>0</v>
      </c>
      <c r="F337" t="s">
        <v>2820</v>
      </c>
      <c r="G337" t="b">
        <v>1</v>
      </c>
      <c r="H337" t="s">
        <v>468</v>
      </c>
    </row>
    <row r="338" spans="1:8" x14ac:dyDescent="0.3">
      <c r="A338" t="s">
        <v>734</v>
      </c>
      <c r="B338" t="s">
        <v>2838</v>
      </c>
      <c r="C338" t="s">
        <v>86</v>
      </c>
      <c r="D338" t="s">
        <v>2819</v>
      </c>
      <c r="E338">
        <v>0</v>
      </c>
      <c r="F338" t="s">
        <v>2820</v>
      </c>
      <c r="G338" t="b">
        <v>1</v>
      </c>
      <c r="H338" t="s">
        <v>704</v>
      </c>
    </row>
    <row r="339" spans="1:8" x14ac:dyDescent="0.3">
      <c r="A339" t="s">
        <v>734</v>
      </c>
      <c r="B339" t="s">
        <v>2838</v>
      </c>
      <c r="C339" t="s">
        <v>86</v>
      </c>
      <c r="D339" t="s">
        <v>2821</v>
      </c>
      <c r="E339">
        <v>0</v>
      </c>
      <c r="F339" t="s">
        <v>2820</v>
      </c>
      <c r="G339" t="b">
        <v>1</v>
      </c>
      <c r="H339" t="s">
        <v>706</v>
      </c>
    </row>
    <row r="340" spans="1:8" x14ac:dyDescent="0.3">
      <c r="A340" t="s">
        <v>734</v>
      </c>
      <c r="B340" t="s">
        <v>2838</v>
      </c>
      <c r="C340" t="s">
        <v>86</v>
      </c>
      <c r="D340" t="s">
        <v>2822</v>
      </c>
      <c r="E340">
        <v>0</v>
      </c>
      <c r="F340" t="s">
        <v>2820</v>
      </c>
      <c r="G340" t="b">
        <v>1</v>
      </c>
      <c r="H340" t="s">
        <v>708</v>
      </c>
    </row>
    <row r="341" spans="1:8" x14ac:dyDescent="0.3">
      <c r="A341" t="s">
        <v>734</v>
      </c>
      <c r="B341" t="s">
        <v>2838</v>
      </c>
      <c r="C341" t="s">
        <v>86</v>
      </c>
      <c r="D341" t="s">
        <v>2823</v>
      </c>
      <c r="E341">
        <v>0</v>
      </c>
      <c r="F341" t="s">
        <v>2820</v>
      </c>
      <c r="G341" t="b">
        <v>1</v>
      </c>
      <c r="H341" t="s">
        <v>710</v>
      </c>
    </row>
    <row r="342" spans="1:8" x14ac:dyDescent="0.3">
      <c r="A342" t="s">
        <v>734</v>
      </c>
      <c r="B342" t="s">
        <v>2838</v>
      </c>
      <c r="C342" t="s">
        <v>86</v>
      </c>
      <c r="D342" t="s">
        <v>2824</v>
      </c>
      <c r="E342">
        <v>0</v>
      </c>
      <c r="F342" t="s">
        <v>2820</v>
      </c>
      <c r="G342" t="b">
        <v>1</v>
      </c>
      <c r="H342" t="s">
        <v>2802</v>
      </c>
    </row>
    <row r="343" spans="1:8" x14ac:dyDescent="0.3">
      <c r="A343" t="s">
        <v>734</v>
      </c>
      <c r="B343" t="s">
        <v>2838</v>
      </c>
      <c r="C343" t="s">
        <v>86</v>
      </c>
      <c r="D343" t="s">
        <v>2825</v>
      </c>
      <c r="E343">
        <v>0</v>
      </c>
      <c r="F343" t="s">
        <v>2820</v>
      </c>
      <c r="G343" t="b">
        <v>1</v>
      </c>
      <c r="H343" t="s">
        <v>2800</v>
      </c>
    </row>
    <row r="344" spans="1:8" x14ac:dyDescent="0.3">
      <c r="A344" t="s">
        <v>734</v>
      </c>
      <c r="B344" t="s">
        <v>2838</v>
      </c>
      <c r="C344" t="s">
        <v>86</v>
      </c>
      <c r="D344" t="s">
        <v>2826</v>
      </c>
      <c r="E344">
        <v>0</v>
      </c>
      <c r="F344" t="s">
        <v>2820</v>
      </c>
      <c r="G344" t="b">
        <v>1</v>
      </c>
      <c r="H344" t="s">
        <v>1935</v>
      </c>
    </row>
    <row r="345" spans="1:8" x14ac:dyDescent="0.3">
      <c r="A345" t="s">
        <v>734</v>
      </c>
      <c r="B345" t="s">
        <v>2838</v>
      </c>
      <c r="C345" t="s">
        <v>86</v>
      </c>
      <c r="D345" t="s">
        <v>2827</v>
      </c>
      <c r="E345">
        <v>0</v>
      </c>
      <c r="F345" t="s">
        <v>2820</v>
      </c>
      <c r="G345" t="b">
        <v>1</v>
      </c>
      <c r="H345" t="s">
        <v>2828</v>
      </c>
    </row>
    <row r="346" spans="1:8" x14ac:dyDescent="0.3">
      <c r="A346" t="s">
        <v>734</v>
      </c>
      <c r="B346" t="s">
        <v>2838</v>
      </c>
      <c r="C346" t="s">
        <v>86</v>
      </c>
      <c r="D346" t="s">
        <v>2829</v>
      </c>
      <c r="E346">
        <v>0</v>
      </c>
      <c r="F346" t="s">
        <v>2820</v>
      </c>
      <c r="G346" t="b">
        <v>1</v>
      </c>
      <c r="H346" t="s">
        <v>2830</v>
      </c>
    </row>
    <row r="347" spans="1:8" x14ac:dyDescent="0.3">
      <c r="A347" t="s">
        <v>734</v>
      </c>
      <c r="B347" t="s">
        <v>2838</v>
      </c>
      <c r="C347" t="s">
        <v>86</v>
      </c>
      <c r="D347" t="s">
        <v>2831</v>
      </c>
      <c r="E347">
        <v>0</v>
      </c>
      <c r="F347" t="s">
        <v>2820</v>
      </c>
      <c r="G347" t="b">
        <v>1</v>
      </c>
      <c r="H347" t="s">
        <v>466</v>
      </c>
    </row>
    <row r="348" spans="1:8" x14ac:dyDescent="0.3">
      <c r="A348" t="s">
        <v>734</v>
      </c>
      <c r="B348" t="s">
        <v>2838</v>
      </c>
      <c r="C348" t="s">
        <v>86</v>
      </c>
      <c r="D348" t="s">
        <v>2832</v>
      </c>
      <c r="E348">
        <v>0</v>
      </c>
      <c r="F348" t="s">
        <v>2820</v>
      </c>
      <c r="G348" t="b">
        <v>1</v>
      </c>
      <c r="H348" t="s">
        <v>467</v>
      </c>
    </row>
    <row r="349" spans="1:8" x14ac:dyDescent="0.3">
      <c r="A349" t="s">
        <v>734</v>
      </c>
      <c r="B349" t="s">
        <v>2838</v>
      </c>
      <c r="C349" t="s">
        <v>86</v>
      </c>
      <c r="D349" t="s">
        <v>2833</v>
      </c>
      <c r="E349">
        <v>0</v>
      </c>
      <c r="F349" t="s">
        <v>2820</v>
      </c>
      <c r="G349" t="b">
        <v>1</v>
      </c>
      <c r="H349" t="s">
        <v>468</v>
      </c>
    </row>
    <row r="350" spans="1:8" x14ac:dyDescent="0.3">
      <c r="A350" t="s">
        <v>734</v>
      </c>
      <c r="B350" t="s">
        <v>2838</v>
      </c>
      <c r="C350" t="s">
        <v>109</v>
      </c>
      <c r="D350" t="s">
        <v>2819</v>
      </c>
      <c r="E350">
        <v>0</v>
      </c>
      <c r="F350" t="s">
        <v>2820</v>
      </c>
      <c r="G350" t="b">
        <v>1</v>
      </c>
      <c r="H350" t="s">
        <v>704</v>
      </c>
    </row>
    <row r="351" spans="1:8" x14ac:dyDescent="0.3">
      <c r="A351" t="s">
        <v>734</v>
      </c>
      <c r="B351" t="s">
        <v>2838</v>
      </c>
      <c r="C351" t="s">
        <v>109</v>
      </c>
      <c r="D351" t="s">
        <v>2821</v>
      </c>
      <c r="E351">
        <v>0</v>
      </c>
      <c r="F351" t="s">
        <v>2820</v>
      </c>
      <c r="G351" t="b">
        <v>1</v>
      </c>
      <c r="H351" t="s">
        <v>706</v>
      </c>
    </row>
    <row r="352" spans="1:8" x14ac:dyDescent="0.3">
      <c r="A352" t="s">
        <v>734</v>
      </c>
      <c r="B352" t="s">
        <v>2838</v>
      </c>
      <c r="C352" t="s">
        <v>109</v>
      </c>
      <c r="D352" t="s">
        <v>2822</v>
      </c>
      <c r="E352">
        <v>0</v>
      </c>
      <c r="F352" t="s">
        <v>2820</v>
      </c>
      <c r="G352" t="b">
        <v>1</v>
      </c>
      <c r="H352" t="s">
        <v>708</v>
      </c>
    </row>
    <row r="353" spans="1:8" x14ac:dyDescent="0.3">
      <c r="A353" t="s">
        <v>734</v>
      </c>
      <c r="B353" t="s">
        <v>2838</v>
      </c>
      <c r="C353" t="s">
        <v>109</v>
      </c>
      <c r="D353" t="s">
        <v>2823</v>
      </c>
      <c r="E353">
        <v>0</v>
      </c>
      <c r="F353" t="s">
        <v>2820</v>
      </c>
      <c r="G353" t="b">
        <v>1</v>
      </c>
      <c r="H353" t="s">
        <v>710</v>
      </c>
    </row>
    <row r="354" spans="1:8" x14ac:dyDescent="0.3">
      <c r="A354" t="s">
        <v>734</v>
      </c>
      <c r="B354" t="s">
        <v>2838</v>
      </c>
      <c r="C354" t="s">
        <v>109</v>
      </c>
      <c r="D354" t="s">
        <v>2824</v>
      </c>
      <c r="E354">
        <v>0</v>
      </c>
      <c r="F354" t="s">
        <v>2820</v>
      </c>
      <c r="G354" t="b">
        <v>1</v>
      </c>
      <c r="H354" t="s">
        <v>2802</v>
      </c>
    </row>
    <row r="355" spans="1:8" x14ac:dyDescent="0.3">
      <c r="A355" t="s">
        <v>734</v>
      </c>
      <c r="B355" t="s">
        <v>2838</v>
      </c>
      <c r="C355" t="s">
        <v>109</v>
      </c>
      <c r="D355" t="s">
        <v>2825</v>
      </c>
      <c r="E355">
        <v>0</v>
      </c>
      <c r="F355" t="s">
        <v>2820</v>
      </c>
      <c r="G355" t="b">
        <v>1</v>
      </c>
      <c r="H355" t="s">
        <v>2800</v>
      </c>
    </row>
    <row r="356" spans="1:8" x14ac:dyDescent="0.3">
      <c r="A356" t="s">
        <v>734</v>
      </c>
      <c r="B356" t="s">
        <v>2838</v>
      </c>
      <c r="C356" t="s">
        <v>109</v>
      </c>
      <c r="D356" t="s">
        <v>2826</v>
      </c>
      <c r="E356">
        <v>0</v>
      </c>
      <c r="F356" t="s">
        <v>2820</v>
      </c>
      <c r="G356" t="b">
        <v>1</v>
      </c>
      <c r="H356" t="s">
        <v>1935</v>
      </c>
    </row>
    <row r="357" spans="1:8" x14ac:dyDescent="0.3">
      <c r="A357" t="s">
        <v>734</v>
      </c>
      <c r="B357" t="s">
        <v>2838</v>
      </c>
      <c r="C357" t="s">
        <v>109</v>
      </c>
      <c r="D357" t="s">
        <v>2827</v>
      </c>
      <c r="E357">
        <v>0</v>
      </c>
      <c r="F357" t="s">
        <v>2820</v>
      </c>
      <c r="G357" t="b">
        <v>1</v>
      </c>
      <c r="H357" t="s">
        <v>2828</v>
      </c>
    </row>
    <row r="358" spans="1:8" x14ac:dyDescent="0.3">
      <c r="A358" t="s">
        <v>734</v>
      </c>
      <c r="B358" t="s">
        <v>2838</v>
      </c>
      <c r="C358" t="s">
        <v>109</v>
      </c>
      <c r="D358" t="s">
        <v>2829</v>
      </c>
      <c r="E358">
        <v>0</v>
      </c>
      <c r="F358" t="s">
        <v>2820</v>
      </c>
      <c r="G358" t="b">
        <v>1</v>
      </c>
      <c r="H358" t="s">
        <v>2830</v>
      </c>
    </row>
    <row r="359" spans="1:8" x14ac:dyDescent="0.3">
      <c r="A359" t="s">
        <v>734</v>
      </c>
      <c r="B359" t="s">
        <v>2838</v>
      </c>
      <c r="C359" t="s">
        <v>109</v>
      </c>
      <c r="D359" t="s">
        <v>2831</v>
      </c>
      <c r="E359">
        <v>0</v>
      </c>
      <c r="F359" t="s">
        <v>2820</v>
      </c>
      <c r="G359" t="b">
        <v>1</v>
      </c>
      <c r="H359" t="s">
        <v>466</v>
      </c>
    </row>
    <row r="360" spans="1:8" x14ac:dyDescent="0.3">
      <c r="A360" t="s">
        <v>734</v>
      </c>
      <c r="B360" t="s">
        <v>2838</v>
      </c>
      <c r="C360" t="s">
        <v>109</v>
      </c>
      <c r="D360" t="s">
        <v>2832</v>
      </c>
      <c r="E360">
        <v>0</v>
      </c>
      <c r="F360" t="s">
        <v>2820</v>
      </c>
      <c r="G360" t="b">
        <v>1</v>
      </c>
      <c r="H360" t="s">
        <v>467</v>
      </c>
    </row>
    <row r="361" spans="1:8" x14ac:dyDescent="0.3">
      <c r="A361" t="s">
        <v>734</v>
      </c>
      <c r="B361" t="s">
        <v>2838</v>
      </c>
      <c r="C361" t="s">
        <v>109</v>
      </c>
      <c r="D361" t="s">
        <v>2833</v>
      </c>
      <c r="E361">
        <v>0</v>
      </c>
      <c r="F361" t="s">
        <v>2820</v>
      </c>
      <c r="G361" t="b">
        <v>1</v>
      </c>
      <c r="H361" t="s">
        <v>468</v>
      </c>
    </row>
    <row r="362" spans="1:8" x14ac:dyDescent="0.3">
      <c r="A362" t="s">
        <v>734</v>
      </c>
      <c r="B362" t="s">
        <v>2838</v>
      </c>
      <c r="C362" t="s">
        <v>108</v>
      </c>
      <c r="D362" t="s">
        <v>2819</v>
      </c>
      <c r="E362">
        <v>0</v>
      </c>
      <c r="F362" t="s">
        <v>2820</v>
      </c>
      <c r="G362" t="b">
        <v>1</v>
      </c>
      <c r="H362" t="s">
        <v>704</v>
      </c>
    </row>
    <row r="363" spans="1:8" x14ac:dyDescent="0.3">
      <c r="A363" t="s">
        <v>734</v>
      </c>
      <c r="B363" t="s">
        <v>2838</v>
      </c>
      <c r="C363" t="s">
        <v>108</v>
      </c>
      <c r="D363" t="s">
        <v>2821</v>
      </c>
      <c r="E363">
        <v>0</v>
      </c>
      <c r="F363" t="s">
        <v>2820</v>
      </c>
      <c r="G363" t="b">
        <v>1</v>
      </c>
      <c r="H363" t="s">
        <v>706</v>
      </c>
    </row>
    <row r="364" spans="1:8" x14ac:dyDescent="0.3">
      <c r="A364" t="s">
        <v>734</v>
      </c>
      <c r="B364" t="s">
        <v>2838</v>
      </c>
      <c r="C364" t="s">
        <v>108</v>
      </c>
      <c r="D364" t="s">
        <v>2822</v>
      </c>
      <c r="E364">
        <v>0</v>
      </c>
      <c r="F364" t="s">
        <v>2820</v>
      </c>
      <c r="G364" t="b">
        <v>1</v>
      </c>
      <c r="H364" t="s">
        <v>708</v>
      </c>
    </row>
    <row r="365" spans="1:8" x14ac:dyDescent="0.3">
      <c r="A365" t="s">
        <v>734</v>
      </c>
      <c r="B365" t="s">
        <v>2838</v>
      </c>
      <c r="C365" t="s">
        <v>108</v>
      </c>
      <c r="D365" t="s">
        <v>2823</v>
      </c>
      <c r="E365">
        <v>0</v>
      </c>
      <c r="F365" t="s">
        <v>2820</v>
      </c>
      <c r="G365" t="b">
        <v>1</v>
      </c>
      <c r="H365" t="s">
        <v>710</v>
      </c>
    </row>
    <row r="366" spans="1:8" x14ac:dyDescent="0.3">
      <c r="A366" t="s">
        <v>734</v>
      </c>
      <c r="B366" t="s">
        <v>2838</v>
      </c>
      <c r="C366" t="s">
        <v>108</v>
      </c>
      <c r="D366" t="s">
        <v>2824</v>
      </c>
      <c r="E366">
        <v>0</v>
      </c>
      <c r="F366" t="s">
        <v>2820</v>
      </c>
      <c r="G366" t="b">
        <v>1</v>
      </c>
      <c r="H366" t="s">
        <v>2802</v>
      </c>
    </row>
    <row r="367" spans="1:8" x14ac:dyDescent="0.3">
      <c r="A367" t="s">
        <v>734</v>
      </c>
      <c r="B367" t="s">
        <v>2838</v>
      </c>
      <c r="C367" t="s">
        <v>108</v>
      </c>
      <c r="D367" t="s">
        <v>2825</v>
      </c>
      <c r="E367">
        <v>0</v>
      </c>
      <c r="F367" t="s">
        <v>2820</v>
      </c>
      <c r="G367" t="b">
        <v>1</v>
      </c>
      <c r="H367" t="s">
        <v>2800</v>
      </c>
    </row>
    <row r="368" spans="1:8" x14ac:dyDescent="0.3">
      <c r="A368" t="s">
        <v>734</v>
      </c>
      <c r="B368" t="s">
        <v>2838</v>
      </c>
      <c r="C368" t="s">
        <v>108</v>
      </c>
      <c r="D368" t="s">
        <v>2826</v>
      </c>
      <c r="E368">
        <v>0</v>
      </c>
      <c r="F368" t="s">
        <v>2820</v>
      </c>
      <c r="G368" t="b">
        <v>1</v>
      </c>
      <c r="H368" t="s">
        <v>1935</v>
      </c>
    </row>
    <row r="369" spans="1:8" x14ac:dyDescent="0.3">
      <c r="A369" t="s">
        <v>734</v>
      </c>
      <c r="B369" t="s">
        <v>2838</v>
      </c>
      <c r="C369" t="s">
        <v>108</v>
      </c>
      <c r="D369" t="s">
        <v>2827</v>
      </c>
      <c r="E369">
        <v>0</v>
      </c>
      <c r="F369" t="s">
        <v>2820</v>
      </c>
      <c r="G369" t="b">
        <v>1</v>
      </c>
      <c r="H369" t="s">
        <v>2828</v>
      </c>
    </row>
    <row r="370" spans="1:8" x14ac:dyDescent="0.3">
      <c r="A370" t="s">
        <v>734</v>
      </c>
      <c r="B370" t="s">
        <v>2838</v>
      </c>
      <c r="C370" t="s">
        <v>108</v>
      </c>
      <c r="D370" t="s">
        <v>2829</v>
      </c>
      <c r="E370">
        <v>0</v>
      </c>
      <c r="F370" t="s">
        <v>2820</v>
      </c>
      <c r="G370" t="b">
        <v>1</v>
      </c>
      <c r="H370" t="s">
        <v>2830</v>
      </c>
    </row>
    <row r="371" spans="1:8" x14ac:dyDescent="0.3">
      <c r="A371" t="s">
        <v>734</v>
      </c>
      <c r="B371" t="s">
        <v>2838</v>
      </c>
      <c r="C371" t="s">
        <v>108</v>
      </c>
      <c r="D371" t="s">
        <v>2831</v>
      </c>
      <c r="E371">
        <v>0</v>
      </c>
      <c r="F371" t="s">
        <v>2820</v>
      </c>
      <c r="G371" t="b">
        <v>1</v>
      </c>
      <c r="H371" t="s">
        <v>466</v>
      </c>
    </row>
    <row r="372" spans="1:8" x14ac:dyDescent="0.3">
      <c r="A372" t="s">
        <v>734</v>
      </c>
      <c r="B372" t="s">
        <v>2838</v>
      </c>
      <c r="C372" t="s">
        <v>108</v>
      </c>
      <c r="D372" t="s">
        <v>2832</v>
      </c>
      <c r="E372">
        <v>0</v>
      </c>
      <c r="F372" t="s">
        <v>2820</v>
      </c>
      <c r="G372" t="b">
        <v>1</v>
      </c>
      <c r="H372" t="s">
        <v>467</v>
      </c>
    </row>
    <row r="373" spans="1:8" x14ac:dyDescent="0.3">
      <c r="A373" t="s">
        <v>734</v>
      </c>
      <c r="B373" t="s">
        <v>2838</v>
      </c>
      <c r="C373" t="s">
        <v>108</v>
      </c>
      <c r="D373" t="s">
        <v>2833</v>
      </c>
      <c r="E373">
        <v>0</v>
      </c>
      <c r="F373" t="s">
        <v>2820</v>
      </c>
      <c r="G373" t="b">
        <v>1</v>
      </c>
      <c r="H373" t="s">
        <v>468</v>
      </c>
    </row>
    <row r="374" spans="1:8" x14ac:dyDescent="0.3">
      <c r="A374" t="s">
        <v>734</v>
      </c>
      <c r="B374" t="s">
        <v>2838</v>
      </c>
      <c r="C374" t="s">
        <v>93</v>
      </c>
      <c r="D374" t="s">
        <v>2819</v>
      </c>
      <c r="E374">
        <v>0</v>
      </c>
      <c r="F374" t="s">
        <v>2820</v>
      </c>
      <c r="G374" t="b">
        <v>1</v>
      </c>
      <c r="H374" t="s">
        <v>704</v>
      </c>
    </row>
    <row r="375" spans="1:8" x14ac:dyDescent="0.3">
      <c r="A375" t="s">
        <v>734</v>
      </c>
      <c r="B375" t="s">
        <v>2838</v>
      </c>
      <c r="C375" t="s">
        <v>93</v>
      </c>
      <c r="D375" t="s">
        <v>2821</v>
      </c>
      <c r="E375">
        <v>0</v>
      </c>
      <c r="F375" t="s">
        <v>2820</v>
      </c>
      <c r="G375" t="b">
        <v>1</v>
      </c>
      <c r="H375" t="s">
        <v>706</v>
      </c>
    </row>
    <row r="376" spans="1:8" x14ac:dyDescent="0.3">
      <c r="A376" t="s">
        <v>734</v>
      </c>
      <c r="B376" t="s">
        <v>2838</v>
      </c>
      <c r="C376" t="s">
        <v>93</v>
      </c>
      <c r="D376" t="s">
        <v>2822</v>
      </c>
      <c r="E376">
        <v>0</v>
      </c>
      <c r="F376" t="s">
        <v>2820</v>
      </c>
      <c r="G376" t="b">
        <v>1</v>
      </c>
      <c r="H376" t="s">
        <v>708</v>
      </c>
    </row>
    <row r="377" spans="1:8" x14ac:dyDescent="0.3">
      <c r="A377" t="s">
        <v>734</v>
      </c>
      <c r="B377" t="s">
        <v>2838</v>
      </c>
      <c r="C377" t="s">
        <v>93</v>
      </c>
      <c r="D377" t="s">
        <v>2823</v>
      </c>
      <c r="E377">
        <v>0</v>
      </c>
      <c r="F377" t="s">
        <v>2820</v>
      </c>
      <c r="G377" t="b">
        <v>1</v>
      </c>
      <c r="H377" t="s">
        <v>710</v>
      </c>
    </row>
    <row r="378" spans="1:8" x14ac:dyDescent="0.3">
      <c r="A378" t="s">
        <v>734</v>
      </c>
      <c r="B378" t="s">
        <v>2838</v>
      </c>
      <c r="C378" t="s">
        <v>93</v>
      </c>
      <c r="D378" t="s">
        <v>2824</v>
      </c>
      <c r="E378">
        <v>0</v>
      </c>
      <c r="F378" t="s">
        <v>2820</v>
      </c>
      <c r="G378" t="b">
        <v>1</v>
      </c>
      <c r="H378" t="s">
        <v>2802</v>
      </c>
    </row>
    <row r="379" spans="1:8" x14ac:dyDescent="0.3">
      <c r="A379" t="s">
        <v>734</v>
      </c>
      <c r="B379" t="s">
        <v>2838</v>
      </c>
      <c r="C379" t="s">
        <v>93</v>
      </c>
      <c r="D379" t="s">
        <v>2825</v>
      </c>
      <c r="E379">
        <v>0</v>
      </c>
      <c r="F379" t="s">
        <v>2820</v>
      </c>
      <c r="G379" t="b">
        <v>1</v>
      </c>
      <c r="H379" t="s">
        <v>2800</v>
      </c>
    </row>
    <row r="380" spans="1:8" x14ac:dyDescent="0.3">
      <c r="A380" t="s">
        <v>734</v>
      </c>
      <c r="B380" t="s">
        <v>2838</v>
      </c>
      <c r="C380" t="s">
        <v>93</v>
      </c>
      <c r="D380" t="s">
        <v>2826</v>
      </c>
      <c r="E380">
        <v>0</v>
      </c>
      <c r="F380" t="s">
        <v>2820</v>
      </c>
      <c r="G380" t="b">
        <v>1</v>
      </c>
      <c r="H380" t="s">
        <v>1935</v>
      </c>
    </row>
    <row r="381" spans="1:8" x14ac:dyDescent="0.3">
      <c r="A381" t="s">
        <v>734</v>
      </c>
      <c r="B381" t="s">
        <v>2838</v>
      </c>
      <c r="C381" t="s">
        <v>93</v>
      </c>
      <c r="D381" t="s">
        <v>2827</v>
      </c>
      <c r="E381">
        <v>0</v>
      </c>
      <c r="F381" t="s">
        <v>2820</v>
      </c>
      <c r="G381" t="b">
        <v>1</v>
      </c>
      <c r="H381" t="s">
        <v>2828</v>
      </c>
    </row>
    <row r="382" spans="1:8" x14ac:dyDescent="0.3">
      <c r="A382" t="s">
        <v>734</v>
      </c>
      <c r="B382" t="s">
        <v>2838</v>
      </c>
      <c r="C382" t="s">
        <v>93</v>
      </c>
      <c r="D382" t="s">
        <v>2829</v>
      </c>
      <c r="E382">
        <v>0</v>
      </c>
      <c r="F382" t="s">
        <v>2820</v>
      </c>
      <c r="G382" t="b">
        <v>1</v>
      </c>
      <c r="H382" t="s">
        <v>2830</v>
      </c>
    </row>
    <row r="383" spans="1:8" x14ac:dyDescent="0.3">
      <c r="A383" t="s">
        <v>734</v>
      </c>
      <c r="B383" t="s">
        <v>2838</v>
      </c>
      <c r="C383" t="s">
        <v>93</v>
      </c>
      <c r="D383" t="s">
        <v>2831</v>
      </c>
      <c r="E383">
        <v>0</v>
      </c>
      <c r="F383" t="s">
        <v>2820</v>
      </c>
      <c r="G383" t="b">
        <v>1</v>
      </c>
      <c r="H383" t="s">
        <v>466</v>
      </c>
    </row>
    <row r="384" spans="1:8" x14ac:dyDescent="0.3">
      <c r="A384" t="s">
        <v>734</v>
      </c>
      <c r="B384" t="s">
        <v>2838</v>
      </c>
      <c r="C384" t="s">
        <v>93</v>
      </c>
      <c r="D384" t="s">
        <v>2832</v>
      </c>
      <c r="E384">
        <v>0</v>
      </c>
      <c r="F384" t="s">
        <v>2820</v>
      </c>
      <c r="G384" t="b">
        <v>1</v>
      </c>
      <c r="H384" t="s">
        <v>467</v>
      </c>
    </row>
    <row r="385" spans="1:8" x14ac:dyDescent="0.3">
      <c r="A385" t="s">
        <v>734</v>
      </c>
      <c r="B385" t="s">
        <v>2838</v>
      </c>
      <c r="C385" t="s">
        <v>93</v>
      </c>
      <c r="D385" t="s">
        <v>2833</v>
      </c>
      <c r="E385">
        <v>0</v>
      </c>
      <c r="F385" t="s">
        <v>2820</v>
      </c>
      <c r="G385" t="b">
        <v>1</v>
      </c>
      <c r="H385" t="s">
        <v>468</v>
      </c>
    </row>
    <row r="386" spans="1:8" x14ac:dyDescent="0.3">
      <c r="A386" t="s">
        <v>734</v>
      </c>
      <c r="B386" t="s">
        <v>2838</v>
      </c>
      <c r="C386" t="s">
        <v>91</v>
      </c>
      <c r="D386" t="s">
        <v>2819</v>
      </c>
      <c r="E386">
        <v>0</v>
      </c>
      <c r="F386" t="s">
        <v>2820</v>
      </c>
      <c r="G386" t="b">
        <v>1</v>
      </c>
      <c r="H386" t="s">
        <v>704</v>
      </c>
    </row>
    <row r="387" spans="1:8" x14ac:dyDescent="0.3">
      <c r="A387" t="s">
        <v>734</v>
      </c>
      <c r="B387" t="s">
        <v>2838</v>
      </c>
      <c r="C387" t="s">
        <v>91</v>
      </c>
      <c r="D387" t="s">
        <v>2821</v>
      </c>
      <c r="E387">
        <v>0</v>
      </c>
      <c r="F387" t="s">
        <v>2820</v>
      </c>
      <c r="G387" t="b">
        <v>1</v>
      </c>
      <c r="H387" t="s">
        <v>706</v>
      </c>
    </row>
    <row r="388" spans="1:8" x14ac:dyDescent="0.3">
      <c r="A388" t="s">
        <v>734</v>
      </c>
      <c r="B388" t="s">
        <v>2838</v>
      </c>
      <c r="C388" t="s">
        <v>91</v>
      </c>
      <c r="D388" t="s">
        <v>2822</v>
      </c>
      <c r="E388">
        <v>0</v>
      </c>
      <c r="F388" t="s">
        <v>2820</v>
      </c>
      <c r="G388" t="b">
        <v>1</v>
      </c>
      <c r="H388" t="s">
        <v>708</v>
      </c>
    </row>
    <row r="389" spans="1:8" x14ac:dyDescent="0.3">
      <c r="A389" t="s">
        <v>734</v>
      </c>
      <c r="B389" t="s">
        <v>2838</v>
      </c>
      <c r="C389" t="s">
        <v>91</v>
      </c>
      <c r="D389" t="s">
        <v>2823</v>
      </c>
      <c r="E389">
        <v>0</v>
      </c>
      <c r="F389" t="s">
        <v>2820</v>
      </c>
      <c r="G389" t="b">
        <v>1</v>
      </c>
      <c r="H389" t="s">
        <v>710</v>
      </c>
    </row>
    <row r="390" spans="1:8" x14ac:dyDescent="0.3">
      <c r="A390" t="s">
        <v>734</v>
      </c>
      <c r="B390" t="s">
        <v>2838</v>
      </c>
      <c r="C390" t="s">
        <v>91</v>
      </c>
      <c r="D390" t="s">
        <v>2824</v>
      </c>
      <c r="E390">
        <v>0</v>
      </c>
      <c r="F390" t="s">
        <v>2820</v>
      </c>
      <c r="G390" t="b">
        <v>1</v>
      </c>
      <c r="H390" t="s">
        <v>2802</v>
      </c>
    </row>
    <row r="391" spans="1:8" x14ac:dyDescent="0.3">
      <c r="A391" t="s">
        <v>734</v>
      </c>
      <c r="B391" t="s">
        <v>2838</v>
      </c>
      <c r="C391" t="s">
        <v>91</v>
      </c>
      <c r="D391" t="s">
        <v>2825</v>
      </c>
      <c r="E391">
        <v>0</v>
      </c>
      <c r="F391" t="s">
        <v>2820</v>
      </c>
      <c r="G391" t="b">
        <v>1</v>
      </c>
      <c r="H391" t="s">
        <v>2800</v>
      </c>
    </row>
    <row r="392" spans="1:8" x14ac:dyDescent="0.3">
      <c r="A392" t="s">
        <v>734</v>
      </c>
      <c r="B392" t="s">
        <v>2838</v>
      </c>
      <c r="C392" t="s">
        <v>91</v>
      </c>
      <c r="D392" t="s">
        <v>2826</v>
      </c>
      <c r="E392">
        <v>0</v>
      </c>
      <c r="F392" t="s">
        <v>2820</v>
      </c>
      <c r="G392" t="b">
        <v>1</v>
      </c>
      <c r="H392" t="s">
        <v>1935</v>
      </c>
    </row>
    <row r="393" spans="1:8" x14ac:dyDescent="0.3">
      <c r="A393" t="s">
        <v>734</v>
      </c>
      <c r="B393" t="s">
        <v>2838</v>
      </c>
      <c r="C393" t="s">
        <v>91</v>
      </c>
      <c r="D393" t="s">
        <v>2827</v>
      </c>
      <c r="E393">
        <v>0</v>
      </c>
      <c r="F393" t="s">
        <v>2820</v>
      </c>
      <c r="G393" t="b">
        <v>1</v>
      </c>
      <c r="H393" t="s">
        <v>2828</v>
      </c>
    </row>
    <row r="394" spans="1:8" x14ac:dyDescent="0.3">
      <c r="A394" t="s">
        <v>734</v>
      </c>
      <c r="B394" t="s">
        <v>2838</v>
      </c>
      <c r="C394" t="s">
        <v>91</v>
      </c>
      <c r="D394" t="s">
        <v>2829</v>
      </c>
      <c r="E394">
        <v>0</v>
      </c>
      <c r="F394" t="s">
        <v>2820</v>
      </c>
      <c r="G394" t="b">
        <v>1</v>
      </c>
      <c r="H394" t="s">
        <v>2830</v>
      </c>
    </row>
    <row r="395" spans="1:8" x14ac:dyDescent="0.3">
      <c r="A395" t="s">
        <v>734</v>
      </c>
      <c r="B395" t="s">
        <v>2838</v>
      </c>
      <c r="C395" t="s">
        <v>91</v>
      </c>
      <c r="D395" t="s">
        <v>2831</v>
      </c>
      <c r="E395">
        <v>0</v>
      </c>
      <c r="F395" t="s">
        <v>2820</v>
      </c>
      <c r="G395" t="b">
        <v>1</v>
      </c>
      <c r="H395" t="s">
        <v>466</v>
      </c>
    </row>
    <row r="396" spans="1:8" x14ac:dyDescent="0.3">
      <c r="A396" t="s">
        <v>734</v>
      </c>
      <c r="B396" t="s">
        <v>2838</v>
      </c>
      <c r="C396" t="s">
        <v>91</v>
      </c>
      <c r="D396" t="s">
        <v>2832</v>
      </c>
      <c r="E396">
        <v>0</v>
      </c>
      <c r="F396" t="s">
        <v>2820</v>
      </c>
      <c r="G396" t="b">
        <v>1</v>
      </c>
      <c r="H396" t="s">
        <v>467</v>
      </c>
    </row>
    <row r="397" spans="1:8" x14ac:dyDescent="0.3">
      <c r="A397" t="s">
        <v>734</v>
      </c>
      <c r="B397" t="s">
        <v>2838</v>
      </c>
      <c r="C397" t="s">
        <v>91</v>
      </c>
      <c r="D397" t="s">
        <v>2833</v>
      </c>
      <c r="E397">
        <v>0</v>
      </c>
      <c r="F397" t="s">
        <v>2820</v>
      </c>
      <c r="G397" t="b">
        <v>1</v>
      </c>
      <c r="H397" t="s">
        <v>468</v>
      </c>
    </row>
    <row r="398" spans="1:8" x14ac:dyDescent="0.3">
      <c r="A398" t="s">
        <v>734</v>
      </c>
      <c r="B398" t="s">
        <v>2838</v>
      </c>
      <c r="C398" t="s">
        <v>80</v>
      </c>
      <c r="D398" t="s">
        <v>2819</v>
      </c>
      <c r="E398">
        <v>0</v>
      </c>
      <c r="F398" t="s">
        <v>2820</v>
      </c>
      <c r="G398" t="b">
        <v>1</v>
      </c>
      <c r="H398" t="s">
        <v>704</v>
      </c>
    </row>
    <row r="399" spans="1:8" x14ac:dyDescent="0.3">
      <c r="A399" t="s">
        <v>734</v>
      </c>
      <c r="B399" t="s">
        <v>2838</v>
      </c>
      <c r="C399" t="s">
        <v>80</v>
      </c>
      <c r="D399" t="s">
        <v>2821</v>
      </c>
      <c r="E399">
        <v>0</v>
      </c>
      <c r="F399" t="s">
        <v>2820</v>
      </c>
      <c r="G399" t="b">
        <v>1</v>
      </c>
      <c r="H399" t="s">
        <v>706</v>
      </c>
    </row>
    <row r="400" spans="1:8" x14ac:dyDescent="0.3">
      <c r="A400" t="s">
        <v>734</v>
      </c>
      <c r="B400" t="s">
        <v>2838</v>
      </c>
      <c r="C400" t="s">
        <v>80</v>
      </c>
      <c r="D400" t="s">
        <v>2822</v>
      </c>
      <c r="E400">
        <v>0</v>
      </c>
      <c r="F400" t="s">
        <v>2820</v>
      </c>
      <c r="G400" t="b">
        <v>1</v>
      </c>
      <c r="H400" t="s">
        <v>708</v>
      </c>
    </row>
    <row r="401" spans="1:8" x14ac:dyDescent="0.3">
      <c r="A401" t="s">
        <v>734</v>
      </c>
      <c r="B401" t="s">
        <v>2838</v>
      </c>
      <c r="C401" t="s">
        <v>80</v>
      </c>
      <c r="D401" t="s">
        <v>2823</v>
      </c>
      <c r="E401">
        <v>0</v>
      </c>
      <c r="F401" t="s">
        <v>2820</v>
      </c>
      <c r="G401" t="b">
        <v>1</v>
      </c>
      <c r="H401" t="s">
        <v>710</v>
      </c>
    </row>
    <row r="402" spans="1:8" x14ac:dyDescent="0.3">
      <c r="A402" t="s">
        <v>734</v>
      </c>
      <c r="B402" t="s">
        <v>2838</v>
      </c>
      <c r="C402" t="s">
        <v>80</v>
      </c>
      <c r="D402" t="s">
        <v>2824</v>
      </c>
      <c r="E402">
        <v>0</v>
      </c>
      <c r="F402" t="s">
        <v>2820</v>
      </c>
      <c r="G402" t="b">
        <v>1</v>
      </c>
      <c r="H402" t="s">
        <v>2802</v>
      </c>
    </row>
    <row r="403" spans="1:8" x14ac:dyDescent="0.3">
      <c r="A403" t="s">
        <v>734</v>
      </c>
      <c r="B403" t="s">
        <v>2838</v>
      </c>
      <c r="C403" t="s">
        <v>80</v>
      </c>
      <c r="D403" t="s">
        <v>2825</v>
      </c>
      <c r="E403">
        <v>0</v>
      </c>
      <c r="F403" t="s">
        <v>2820</v>
      </c>
      <c r="G403" t="b">
        <v>1</v>
      </c>
      <c r="H403" t="s">
        <v>2800</v>
      </c>
    </row>
    <row r="404" spans="1:8" x14ac:dyDescent="0.3">
      <c r="A404" t="s">
        <v>734</v>
      </c>
      <c r="B404" t="s">
        <v>2838</v>
      </c>
      <c r="C404" t="s">
        <v>80</v>
      </c>
      <c r="D404" t="s">
        <v>2826</v>
      </c>
      <c r="E404">
        <v>0</v>
      </c>
      <c r="F404" t="s">
        <v>2820</v>
      </c>
      <c r="G404" t="b">
        <v>1</v>
      </c>
      <c r="H404" t="s">
        <v>1935</v>
      </c>
    </row>
    <row r="405" spans="1:8" x14ac:dyDescent="0.3">
      <c r="A405" t="s">
        <v>734</v>
      </c>
      <c r="B405" t="s">
        <v>2838</v>
      </c>
      <c r="C405" t="s">
        <v>80</v>
      </c>
      <c r="D405" t="s">
        <v>2827</v>
      </c>
      <c r="E405">
        <v>375</v>
      </c>
      <c r="F405" t="s">
        <v>2820</v>
      </c>
      <c r="G405" t="b">
        <v>1</v>
      </c>
      <c r="H405" t="s">
        <v>2828</v>
      </c>
    </row>
    <row r="406" spans="1:8" x14ac:dyDescent="0.3">
      <c r="A406" t="s">
        <v>734</v>
      </c>
      <c r="B406" t="s">
        <v>2838</v>
      </c>
      <c r="C406" t="s">
        <v>80</v>
      </c>
      <c r="D406" t="s">
        <v>2829</v>
      </c>
      <c r="E406">
        <v>750</v>
      </c>
      <c r="F406" t="s">
        <v>2820</v>
      </c>
      <c r="G406" t="b">
        <v>1</v>
      </c>
      <c r="H406" t="s">
        <v>2830</v>
      </c>
    </row>
    <row r="407" spans="1:8" x14ac:dyDescent="0.3">
      <c r="A407" t="s">
        <v>734</v>
      </c>
      <c r="B407" t="s">
        <v>2838</v>
      </c>
      <c r="C407" t="s">
        <v>80</v>
      </c>
      <c r="D407" t="s">
        <v>2831</v>
      </c>
      <c r="E407">
        <v>1125</v>
      </c>
      <c r="F407" t="s">
        <v>2820</v>
      </c>
      <c r="G407" t="b">
        <v>1</v>
      </c>
      <c r="H407" t="s">
        <v>466</v>
      </c>
    </row>
    <row r="408" spans="1:8" x14ac:dyDescent="0.3">
      <c r="A408" t="s">
        <v>734</v>
      </c>
      <c r="B408" t="s">
        <v>2838</v>
      </c>
      <c r="C408" t="s">
        <v>80</v>
      </c>
      <c r="D408" t="s">
        <v>2832</v>
      </c>
      <c r="E408">
        <v>1275</v>
      </c>
      <c r="F408" t="s">
        <v>2820</v>
      </c>
      <c r="G408" t="b">
        <v>1</v>
      </c>
      <c r="H408" t="s">
        <v>467</v>
      </c>
    </row>
    <row r="409" spans="1:8" x14ac:dyDescent="0.3">
      <c r="A409" t="s">
        <v>734</v>
      </c>
      <c r="B409" t="s">
        <v>2838</v>
      </c>
      <c r="C409" t="s">
        <v>80</v>
      </c>
      <c r="D409" t="s">
        <v>2833</v>
      </c>
      <c r="E409">
        <v>3462.5</v>
      </c>
      <c r="F409" t="s">
        <v>2820</v>
      </c>
      <c r="G409" t="b">
        <v>1</v>
      </c>
      <c r="H409" t="s">
        <v>468</v>
      </c>
    </row>
    <row r="410" spans="1:8" x14ac:dyDescent="0.3">
      <c r="A410" t="s">
        <v>734</v>
      </c>
      <c r="B410" t="s">
        <v>2838</v>
      </c>
      <c r="C410" t="s">
        <v>78</v>
      </c>
      <c r="D410" t="s">
        <v>2819</v>
      </c>
      <c r="E410">
        <v>0</v>
      </c>
      <c r="F410" t="s">
        <v>2820</v>
      </c>
      <c r="G410" t="b">
        <v>1</v>
      </c>
      <c r="H410" t="s">
        <v>704</v>
      </c>
    </row>
    <row r="411" spans="1:8" x14ac:dyDescent="0.3">
      <c r="A411" t="s">
        <v>734</v>
      </c>
      <c r="B411" t="s">
        <v>2838</v>
      </c>
      <c r="C411" t="s">
        <v>78</v>
      </c>
      <c r="D411" t="s">
        <v>2821</v>
      </c>
      <c r="E411">
        <v>0</v>
      </c>
      <c r="F411" t="s">
        <v>2820</v>
      </c>
      <c r="G411" t="b">
        <v>1</v>
      </c>
      <c r="H411" t="s">
        <v>706</v>
      </c>
    </row>
    <row r="412" spans="1:8" x14ac:dyDescent="0.3">
      <c r="A412" t="s">
        <v>734</v>
      </c>
      <c r="B412" t="s">
        <v>2838</v>
      </c>
      <c r="C412" t="s">
        <v>78</v>
      </c>
      <c r="D412" t="s">
        <v>2822</v>
      </c>
      <c r="E412">
        <v>0</v>
      </c>
      <c r="F412" t="s">
        <v>2820</v>
      </c>
      <c r="G412" t="b">
        <v>1</v>
      </c>
      <c r="H412" t="s">
        <v>708</v>
      </c>
    </row>
    <row r="413" spans="1:8" x14ac:dyDescent="0.3">
      <c r="A413" t="s">
        <v>734</v>
      </c>
      <c r="B413" t="s">
        <v>2838</v>
      </c>
      <c r="C413" t="s">
        <v>78</v>
      </c>
      <c r="D413" t="s">
        <v>2823</v>
      </c>
      <c r="E413">
        <v>0</v>
      </c>
      <c r="F413" t="s">
        <v>2820</v>
      </c>
      <c r="G413" t="b">
        <v>1</v>
      </c>
      <c r="H413" t="s">
        <v>710</v>
      </c>
    </row>
    <row r="414" spans="1:8" x14ac:dyDescent="0.3">
      <c r="A414" t="s">
        <v>734</v>
      </c>
      <c r="B414" t="s">
        <v>2838</v>
      </c>
      <c r="C414" t="s">
        <v>78</v>
      </c>
      <c r="D414" t="s">
        <v>2824</v>
      </c>
      <c r="E414">
        <v>0</v>
      </c>
      <c r="F414" t="s">
        <v>2820</v>
      </c>
      <c r="G414" t="b">
        <v>1</v>
      </c>
      <c r="H414" t="s">
        <v>2802</v>
      </c>
    </row>
    <row r="415" spans="1:8" x14ac:dyDescent="0.3">
      <c r="A415" t="s">
        <v>734</v>
      </c>
      <c r="B415" t="s">
        <v>2838</v>
      </c>
      <c r="C415" t="s">
        <v>78</v>
      </c>
      <c r="D415" t="s">
        <v>2825</v>
      </c>
      <c r="E415">
        <v>0</v>
      </c>
      <c r="F415" t="s">
        <v>2820</v>
      </c>
      <c r="G415" t="b">
        <v>1</v>
      </c>
      <c r="H415" t="s">
        <v>2800</v>
      </c>
    </row>
    <row r="416" spans="1:8" x14ac:dyDescent="0.3">
      <c r="A416" t="s">
        <v>734</v>
      </c>
      <c r="B416" t="s">
        <v>2838</v>
      </c>
      <c r="C416" t="s">
        <v>78</v>
      </c>
      <c r="D416" t="s">
        <v>2826</v>
      </c>
      <c r="E416">
        <v>0</v>
      </c>
      <c r="F416" t="s">
        <v>2820</v>
      </c>
      <c r="G416" t="b">
        <v>1</v>
      </c>
      <c r="H416" t="s">
        <v>1935</v>
      </c>
    </row>
    <row r="417" spans="1:8" x14ac:dyDescent="0.3">
      <c r="A417" t="s">
        <v>734</v>
      </c>
      <c r="B417" t="s">
        <v>2838</v>
      </c>
      <c r="C417" t="s">
        <v>78</v>
      </c>
      <c r="D417" t="s">
        <v>2827</v>
      </c>
      <c r="E417">
        <v>1200</v>
      </c>
      <c r="F417" t="s">
        <v>2820</v>
      </c>
      <c r="G417" t="b">
        <v>1</v>
      </c>
      <c r="H417" t="s">
        <v>2828</v>
      </c>
    </row>
    <row r="418" spans="1:8" x14ac:dyDescent="0.3">
      <c r="A418" t="s">
        <v>734</v>
      </c>
      <c r="B418" t="s">
        <v>2838</v>
      </c>
      <c r="C418" t="s">
        <v>78</v>
      </c>
      <c r="D418" t="s">
        <v>2829</v>
      </c>
      <c r="E418">
        <v>2400</v>
      </c>
      <c r="F418" t="s">
        <v>2820</v>
      </c>
      <c r="G418" t="b">
        <v>1</v>
      </c>
      <c r="H418" t="s">
        <v>2830</v>
      </c>
    </row>
    <row r="419" spans="1:8" x14ac:dyDescent="0.3">
      <c r="A419" t="s">
        <v>734</v>
      </c>
      <c r="B419" t="s">
        <v>2838</v>
      </c>
      <c r="C419" t="s">
        <v>78</v>
      </c>
      <c r="D419" t="s">
        <v>2831</v>
      </c>
      <c r="E419">
        <v>3600</v>
      </c>
      <c r="F419" t="s">
        <v>2820</v>
      </c>
      <c r="G419" t="b">
        <v>1</v>
      </c>
      <c r="H419" t="s">
        <v>466</v>
      </c>
    </row>
    <row r="420" spans="1:8" x14ac:dyDescent="0.3">
      <c r="A420" t="s">
        <v>734</v>
      </c>
      <c r="B420" t="s">
        <v>2838</v>
      </c>
      <c r="C420" t="s">
        <v>78</v>
      </c>
      <c r="D420" t="s">
        <v>2832</v>
      </c>
      <c r="E420">
        <v>4080</v>
      </c>
      <c r="F420" t="s">
        <v>2820</v>
      </c>
      <c r="G420" t="b">
        <v>1</v>
      </c>
      <c r="H420" t="s">
        <v>467</v>
      </c>
    </row>
    <row r="421" spans="1:8" x14ac:dyDescent="0.3">
      <c r="A421" t="s">
        <v>734</v>
      </c>
      <c r="B421" t="s">
        <v>2838</v>
      </c>
      <c r="C421" t="s">
        <v>78</v>
      </c>
      <c r="D421" t="s">
        <v>2833</v>
      </c>
      <c r="E421">
        <v>11080</v>
      </c>
      <c r="F421" t="s">
        <v>2820</v>
      </c>
      <c r="G421" t="b">
        <v>1</v>
      </c>
      <c r="H421" t="s">
        <v>468</v>
      </c>
    </row>
    <row r="422" spans="1:8" x14ac:dyDescent="0.3">
      <c r="A422" t="s">
        <v>734</v>
      </c>
      <c r="B422" t="s">
        <v>2838</v>
      </c>
      <c r="C422" t="s">
        <v>98</v>
      </c>
      <c r="D422" t="s">
        <v>2819</v>
      </c>
      <c r="E422">
        <v>0</v>
      </c>
      <c r="F422" t="s">
        <v>2820</v>
      </c>
      <c r="G422" t="b">
        <v>1</v>
      </c>
      <c r="H422" t="s">
        <v>704</v>
      </c>
    </row>
    <row r="423" spans="1:8" x14ac:dyDescent="0.3">
      <c r="A423" t="s">
        <v>734</v>
      </c>
      <c r="B423" t="s">
        <v>2838</v>
      </c>
      <c r="C423" t="s">
        <v>98</v>
      </c>
      <c r="D423" t="s">
        <v>2821</v>
      </c>
      <c r="E423">
        <v>0</v>
      </c>
      <c r="F423" t="s">
        <v>2820</v>
      </c>
      <c r="G423" t="b">
        <v>1</v>
      </c>
      <c r="H423" t="s">
        <v>706</v>
      </c>
    </row>
    <row r="424" spans="1:8" x14ac:dyDescent="0.3">
      <c r="A424" t="s">
        <v>734</v>
      </c>
      <c r="B424" t="s">
        <v>2838</v>
      </c>
      <c r="C424" t="s">
        <v>98</v>
      </c>
      <c r="D424" t="s">
        <v>2822</v>
      </c>
      <c r="E424">
        <v>0</v>
      </c>
      <c r="F424" t="s">
        <v>2820</v>
      </c>
      <c r="G424" t="b">
        <v>1</v>
      </c>
      <c r="H424" t="s">
        <v>708</v>
      </c>
    </row>
    <row r="425" spans="1:8" x14ac:dyDescent="0.3">
      <c r="A425" t="s">
        <v>734</v>
      </c>
      <c r="B425" t="s">
        <v>2838</v>
      </c>
      <c r="C425" t="s">
        <v>98</v>
      </c>
      <c r="D425" t="s">
        <v>2823</v>
      </c>
      <c r="E425">
        <v>0</v>
      </c>
      <c r="F425" t="s">
        <v>2820</v>
      </c>
      <c r="G425" t="b">
        <v>1</v>
      </c>
      <c r="H425" t="s">
        <v>710</v>
      </c>
    </row>
    <row r="426" spans="1:8" x14ac:dyDescent="0.3">
      <c r="A426" t="s">
        <v>734</v>
      </c>
      <c r="B426" t="s">
        <v>2838</v>
      </c>
      <c r="C426" t="s">
        <v>98</v>
      </c>
      <c r="D426" t="s">
        <v>2824</v>
      </c>
      <c r="E426">
        <v>0</v>
      </c>
      <c r="F426" t="s">
        <v>2820</v>
      </c>
      <c r="G426" t="b">
        <v>1</v>
      </c>
      <c r="H426" t="s">
        <v>2802</v>
      </c>
    </row>
    <row r="427" spans="1:8" x14ac:dyDescent="0.3">
      <c r="A427" t="s">
        <v>734</v>
      </c>
      <c r="B427" t="s">
        <v>2838</v>
      </c>
      <c r="C427" t="s">
        <v>98</v>
      </c>
      <c r="D427" t="s">
        <v>2825</v>
      </c>
      <c r="E427">
        <v>0</v>
      </c>
      <c r="F427" t="s">
        <v>2820</v>
      </c>
      <c r="G427" t="b">
        <v>1</v>
      </c>
      <c r="H427" t="s">
        <v>2800</v>
      </c>
    </row>
    <row r="428" spans="1:8" x14ac:dyDescent="0.3">
      <c r="A428" t="s">
        <v>734</v>
      </c>
      <c r="B428" t="s">
        <v>2838</v>
      </c>
      <c r="C428" t="s">
        <v>98</v>
      </c>
      <c r="D428" t="s">
        <v>2826</v>
      </c>
      <c r="E428">
        <v>0</v>
      </c>
      <c r="F428" t="s">
        <v>2820</v>
      </c>
      <c r="G428" t="b">
        <v>1</v>
      </c>
      <c r="H428" t="s">
        <v>1935</v>
      </c>
    </row>
    <row r="429" spans="1:8" x14ac:dyDescent="0.3">
      <c r="A429" t="s">
        <v>734</v>
      </c>
      <c r="B429" t="s">
        <v>2838</v>
      </c>
      <c r="C429" t="s">
        <v>98</v>
      </c>
      <c r="D429" t="s">
        <v>2827</v>
      </c>
      <c r="E429">
        <v>0</v>
      </c>
      <c r="F429" t="s">
        <v>2820</v>
      </c>
      <c r="G429" t="b">
        <v>1</v>
      </c>
      <c r="H429" t="s">
        <v>2828</v>
      </c>
    </row>
    <row r="430" spans="1:8" x14ac:dyDescent="0.3">
      <c r="A430" t="s">
        <v>734</v>
      </c>
      <c r="B430" t="s">
        <v>2838</v>
      </c>
      <c r="C430" t="s">
        <v>98</v>
      </c>
      <c r="D430" t="s">
        <v>2829</v>
      </c>
      <c r="E430">
        <v>0</v>
      </c>
      <c r="F430" t="s">
        <v>2820</v>
      </c>
      <c r="G430" t="b">
        <v>1</v>
      </c>
      <c r="H430" t="s">
        <v>2830</v>
      </c>
    </row>
    <row r="431" spans="1:8" x14ac:dyDescent="0.3">
      <c r="A431" t="s">
        <v>734</v>
      </c>
      <c r="B431" t="s">
        <v>2838</v>
      </c>
      <c r="C431" t="s">
        <v>98</v>
      </c>
      <c r="D431" t="s">
        <v>2831</v>
      </c>
      <c r="E431">
        <v>0</v>
      </c>
      <c r="F431" t="s">
        <v>2820</v>
      </c>
      <c r="G431" t="b">
        <v>1</v>
      </c>
      <c r="H431" t="s">
        <v>466</v>
      </c>
    </row>
    <row r="432" spans="1:8" x14ac:dyDescent="0.3">
      <c r="A432" t="s">
        <v>734</v>
      </c>
      <c r="B432" t="s">
        <v>2838</v>
      </c>
      <c r="C432" t="s">
        <v>98</v>
      </c>
      <c r="D432" t="s">
        <v>2832</v>
      </c>
      <c r="E432">
        <v>0</v>
      </c>
      <c r="F432" t="s">
        <v>2820</v>
      </c>
      <c r="G432" t="b">
        <v>1</v>
      </c>
      <c r="H432" t="s">
        <v>467</v>
      </c>
    </row>
    <row r="433" spans="1:8" x14ac:dyDescent="0.3">
      <c r="A433" t="s">
        <v>734</v>
      </c>
      <c r="B433" t="s">
        <v>2838</v>
      </c>
      <c r="C433" t="s">
        <v>98</v>
      </c>
      <c r="D433" t="s">
        <v>2833</v>
      </c>
      <c r="E433">
        <v>0</v>
      </c>
      <c r="F433" t="s">
        <v>2820</v>
      </c>
      <c r="G433" t="b">
        <v>1</v>
      </c>
      <c r="H433" t="s">
        <v>468</v>
      </c>
    </row>
    <row r="434" spans="1:8" x14ac:dyDescent="0.3">
      <c r="A434" t="s">
        <v>734</v>
      </c>
      <c r="B434" t="s">
        <v>2838</v>
      </c>
      <c r="C434" t="s">
        <v>96</v>
      </c>
      <c r="D434" t="s">
        <v>2819</v>
      </c>
      <c r="E434">
        <v>0</v>
      </c>
      <c r="F434" t="s">
        <v>2820</v>
      </c>
      <c r="G434" t="b">
        <v>1</v>
      </c>
      <c r="H434" t="s">
        <v>704</v>
      </c>
    </row>
    <row r="435" spans="1:8" x14ac:dyDescent="0.3">
      <c r="A435" t="s">
        <v>734</v>
      </c>
      <c r="B435" t="s">
        <v>2838</v>
      </c>
      <c r="C435" t="s">
        <v>96</v>
      </c>
      <c r="D435" t="s">
        <v>2821</v>
      </c>
      <c r="E435">
        <v>0</v>
      </c>
      <c r="F435" t="s">
        <v>2820</v>
      </c>
      <c r="G435" t="b">
        <v>1</v>
      </c>
      <c r="H435" t="s">
        <v>706</v>
      </c>
    </row>
    <row r="436" spans="1:8" x14ac:dyDescent="0.3">
      <c r="A436" t="s">
        <v>734</v>
      </c>
      <c r="B436" t="s">
        <v>2838</v>
      </c>
      <c r="C436" t="s">
        <v>96</v>
      </c>
      <c r="D436" t="s">
        <v>2822</v>
      </c>
      <c r="E436">
        <v>0</v>
      </c>
      <c r="F436" t="s">
        <v>2820</v>
      </c>
      <c r="G436" t="b">
        <v>1</v>
      </c>
      <c r="H436" t="s">
        <v>708</v>
      </c>
    </row>
    <row r="437" spans="1:8" x14ac:dyDescent="0.3">
      <c r="A437" t="s">
        <v>734</v>
      </c>
      <c r="B437" t="s">
        <v>2838</v>
      </c>
      <c r="C437" t="s">
        <v>96</v>
      </c>
      <c r="D437" t="s">
        <v>2823</v>
      </c>
      <c r="E437">
        <v>0</v>
      </c>
      <c r="F437" t="s">
        <v>2820</v>
      </c>
      <c r="G437" t="b">
        <v>1</v>
      </c>
      <c r="H437" t="s">
        <v>710</v>
      </c>
    </row>
    <row r="438" spans="1:8" x14ac:dyDescent="0.3">
      <c r="A438" t="s">
        <v>734</v>
      </c>
      <c r="B438" t="s">
        <v>2838</v>
      </c>
      <c r="C438" t="s">
        <v>96</v>
      </c>
      <c r="D438" t="s">
        <v>2824</v>
      </c>
      <c r="E438">
        <v>0</v>
      </c>
      <c r="F438" t="s">
        <v>2820</v>
      </c>
      <c r="G438" t="b">
        <v>1</v>
      </c>
      <c r="H438" t="s">
        <v>2802</v>
      </c>
    </row>
    <row r="439" spans="1:8" x14ac:dyDescent="0.3">
      <c r="A439" t="s">
        <v>734</v>
      </c>
      <c r="B439" t="s">
        <v>2838</v>
      </c>
      <c r="C439" t="s">
        <v>96</v>
      </c>
      <c r="D439" t="s">
        <v>2825</v>
      </c>
      <c r="E439">
        <v>0</v>
      </c>
      <c r="F439" t="s">
        <v>2820</v>
      </c>
      <c r="G439" t="b">
        <v>1</v>
      </c>
      <c r="H439" t="s">
        <v>2800</v>
      </c>
    </row>
    <row r="440" spans="1:8" x14ac:dyDescent="0.3">
      <c r="A440" t="s">
        <v>734</v>
      </c>
      <c r="B440" t="s">
        <v>2838</v>
      </c>
      <c r="C440" t="s">
        <v>96</v>
      </c>
      <c r="D440" t="s">
        <v>2826</v>
      </c>
      <c r="E440">
        <v>0</v>
      </c>
      <c r="F440" t="s">
        <v>2820</v>
      </c>
      <c r="G440" t="b">
        <v>1</v>
      </c>
      <c r="H440" t="s">
        <v>1935</v>
      </c>
    </row>
    <row r="441" spans="1:8" x14ac:dyDescent="0.3">
      <c r="A441" t="s">
        <v>734</v>
      </c>
      <c r="B441" t="s">
        <v>2838</v>
      </c>
      <c r="C441" t="s">
        <v>96</v>
      </c>
      <c r="D441" t="s">
        <v>2827</v>
      </c>
      <c r="E441">
        <v>0</v>
      </c>
      <c r="F441" t="s">
        <v>2820</v>
      </c>
      <c r="G441" t="b">
        <v>1</v>
      </c>
      <c r="H441" t="s">
        <v>2828</v>
      </c>
    </row>
    <row r="442" spans="1:8" x14ac:dyDescent="0.3">
      <c r="A442" t="s">
        <v>734</v>
      </c>
      <c r="B442" t="s">
        <v>2838</v>
      </c>
      <c r="C442" t="s">
        <v>96</v>
      </c>
      <c r="D442" t="s">
        <v>2829</v>
      </c>
      <c r="E442">
        <v>0</v>
      </c>
      <c r="F442" t="s">
        <v>2820</v>
      </c>
      <c r="G442" t="b">
        <v>1</v>
      </c>
      <c r="H442" t="s">
        <v>2830</v>
      </c>
    </row>
    <row r="443" spans="1:8" x14ac:dyDescent="0.3">
      <c r="A443" t="s">
        <v>734</v>
      </c>
      <c r="B443" t="s">
        <v>2838</v>
      </c>
      <c r="C443" t="s">
        <v>96</v>
      </c>
      <c r="D443" t="s">
        <v>2831</v>
      </c>
      <c r="E443">
        <v>0</v>
      </c>
      <c r="F443" t="s">
        <v>2820</v>
      </c>
      <c r="G443" t="b">
        <v>1</v>
      </c>
      <c r="H443" t="s">
        <v>466</v>
      </c>
    </row>
    <row r="444" spans="1:8" x14ac:dyDescent="0.3">
      <c r="A444" t="s">
        <v>734</v>
      </c>
      <c r="B444" t="s">
        <v>2838</v>
      </c>
      <c r="C444" t="s">
        <v>96</v>
      </c>
      <c r="D444" t="s">
        <v>2832</v>
      </c>
      <c r="E444">
        <v>0</v>
      </c>
      <c r="F444" t="s">
        <v>2820</v>
      </c>
      <c r="G444" t="b">
        <v>1</v>
      </c>
      <c r="H444" t="s">
        <v>467</v>
      </c>
    </row>
    <row r="445" spans="1:8" x14ac:dyDescent="0.3">
      <c r="A445" t="s">
        <v>734</v>
      </c>
      <c r="B445" t="s">
        <v>2838</v>
      </c>
      <c r="C445" t="s">
        <v>96</v>
      </c>
      <c r="D445" t="s">
        <v>2833</v>
      </c>
      <c r="E445">
        <v>0</v>
      </c>
      <c r="F445" t="s">
        <v>2820</v>
      </c>
      <c r="G445" t="b">
        <v>1</v>
      </c>
      <c r="H445" t="s">
        <v>468</v>
      </c>
    </row>
    <row r="446" spans="1:8" x14ac:dyDescent="0.3">
      <c r="A446" t="s">
        <v>734</v>
      </c>
      <c r="B446" t="s">
        <v>2839</v>
      </c>
      <c r="C446" t="s">
        <v>40</v>
      </c>
      <c r="D446" t="s">
        <v>2819</v>
      </c>
      <c r="E446">
        <v>0</v>
      </c>
      <c r="F446" t="s">
        <v>2820</v>
      </c>
      <c r="G446" t="b">
        <v>1</v>
      </c>
      <c r="H446" t="s">
        <v>704</v>
      </c>
    </row>
    <row r="447" spans="1:8" x14ac:dyDescent="0.3">
      <c r="A447" t="s">
        <v>734</v>
      </c>
      <c r="B447" t="s">
        <v>2839</v>
      </c>
      <c r="C447" t="s">
        <v>40</v>
      </c>
      <c r="D447" t="s">
        <v>2821</v>
      </c>
      <c r="E447">
        <v>0</v>
      </c>
      <c r="F447" t="s">
        <v>2820</v>
      </c>
      <c r="G447" t="b">
        <v>1</v>
      </c>
      <c r="H447" t="s">
        <v>706</v>
      </c>
    </row>
    <row r="448" spans="1:8" x14ac:dyDescent="0.3">
      <c r="A448" t="s">
        <v>734</v>
      </c>
      <c r="B448" t="s">
        <v>2839</v>
      </c>
      <c r="C448" t="s">
        <v>40</v>
      </c>
      <c r="D448" t="s">
        <v>2822</v>
      </c>
      <c r="E448">
        <v>0</v>
      </c>
      <c r="F448" t="s">
        <v>2820</v>
      </c>
      <c r="G448" t="b">
        <v>1</v>
      </c>
      <c r="H448" t="s">
        <v>708</v>
      </c>
    </row>
    <row r="449" spans="1:8" x14ac:dyDescent="0.3">
      <c r="A449" t="s">
        <v>734</v>
      </c>
      <c r="B449" t="s">
        <v>2839</v>
      </c>
      <c r="C449" t="s">
        <v>40</v>
      </c>
      <c r="D449" t="s">
        <v>2823</v>
      </c>
      <c r="E449">
        <v>0</v>
      </c>
      <c r="F449" t="s">
        <v>2820</v>
      </c>
      <c r="G449" t="b">
        <v>1</v>
      </c>
      <c r="H449" t="s">
        <v>710</v>
      </c>
    </row>
    <row r="450" spans="1:8" x14ac:dyDescent="0.3">
      <c r="A450" t="s">
        <v>734</v>
      </c>
      <c r="B450" t="s">
        <v>2839</v>
      </c>
      <c r="C450" t="s">
        <v>40</v>
      </c>
      <c r="D450" t="s">
        <v>2824</v>
      </c>
      <c r="E450">
        <v>0</v>
      </c>
      <c r="F450" t="s">
        <v>2820</v>
      </c>
      <c r="G450" t="b">
        <v>1</v>
      </c>
      <c r="H450" t="s">
        <v>2802</v>
      </c>
    </row>
    <row r="451" spans="1:8" x14ac:dyDescent="0.3">
      <c r="A451" t="s">
        <v>734</v>
      </c>
      <c r="B451" t="s">
        <v>2839</v>
      </c>
      <c r="C451" t="s">
        <v>40</v>
      </c>
      <c r="D451" t="s">
        <v>2825</v>
      </c>
      <c r="E451">
        <v>0</v>
      </c>
      <c r="F451" t="s">
        <v>2820</v>
      </c>
      <c r="G451" t="b">
        <v>1</v>
      </c>
      <c r="H451" t="s">
        <v>2800</v>
      </c>
    </row>
    <row r="452" spans="1:8" x14ac:dyDescent="0.3">
      <c r="A452" t="s">
        <v>734</v>
      </c>
      <c r="B452" t="s">
        <v>2839</v>
      </c>
      <c r="C452" t="s">
        <v>40</v>
      </c>
      <c r="D452" t="s">
        <v>2826</v>
      </c>
      <c r="E452">
        <v>0</v>
      </c>
      <c r="F452" t="s">
        <v>2820</v>
      </c>
      <c r="G452" t="b">
        <v>1</v>
      </c>
      <c r="H452" t="s">
        <v>1935</v>
      </c>
    </row>
    <row r="453" spans="1:8" x14ac:dyDescent="0.3">
      <c r="A453" t="s">
        <v>734</v>
      </c>
      <c r="B453" t="s">
        <v>2839</v>
      </c>
      <c r="C453" t="s">
        <v>40</v>
      </c>
      <c r="D453" t="s">
        <v>2827</v>
      </c>
      <c r="E453">
        <v>46430.49</v>
      </c>
      <c r="F453" t="s">
        <v>2820</v>
      </c>
      <c r="G453" t="b">
        <v>1</v>
      </c>
      <c r="H453" t="s">
        <v>2828</v>
      </c>
    </row>
    <row r="454" spans="1:8" x14ac:dyDescent="0.3">
      <c r="A454" t="s">
        <v>734</v>
      </c>
      <c r="B454" t="s">
        <v>2839</v>
      </c>
      <c r="C454" t="s">
        <v>40</v>
      </c>
      <c r="D454" t="s">
        <v>2829</v>
      </c>
      <c r="E454">
        <v>44269.26</v>
      </c>
      <c r="F454" t="s">
        <v>2820</v>
      </c>
      <c r="G454" t="b">
        <v>1</v>
      </c>
      <c r="H454" t="s">
        <v>2830</v>
      </c>
    </row>
    <row r="455" spans="1:8" x14ac:dyDescent="0.3">
      <c r="A455" t="s">
        <v>734</v>
      </c>
      <c r="B455" t="s">
        <v>2839</v>
      </c>
      <c r="C455" t="s">
        <v>40</v>
      </c>
      <c r="D455" t="s">
        <v>2831</v>
      </c>
      <c r="E455">
        <v>47870.85</v>
      </c>
      <c r="F455" t="s">
        <v>2820</v>
      </c>
      <c r="G455" t="b">
        <v>1</v>
      </c>
      <c r="H455" t="s">
        <v>466</v>
      </c>
    </row>
    <row r="456" spans="1:8" x14ac:dyDescent="0.3">
      <c r="A456" t="s">
        <v>734</v>
      </c>
      <c r="B456" t="s">
        <v>2839</v>
      </c>
      <c r="C456" t="s">
        <v>40</v>
      </c>
      <c r="D456" t="s">
        <v>2832</v>
      </c>
      <c r="E456">
        <v>43705.9</v>
      </c>
      <c r="F456" t="s">
        <v>2820</v>
      </c>
      <c r="G456" t="b">
        <v>1</v>
      </c>
      <c r="H456" t="s">
        <v>467</v>
      </c>
    </row>
    <row r="457" spans="1:8" x14ac:dyDescent="0.3">
      <c r="A457" t="s">
        <v>734</v>
      </c>
      <c r="B457" t="s">
        <v>2839</v>
      </c>
      <c r="C457" t="s">
        <v>40</v>
      </c>
      <c r="D457" t="s">
        <v>2833</v>
      </c>
      <c r="E457">
        <v>43658.1</v>
      </c>
      <c r="F457" t="s">
        <v>2820</v>
      </c>
      <c r="G457" t="b">
        <v>1</v>
      </c>
      <c r="H457" t="s">
        <v>468</v>
      </c>
    </row>
    <row r="458" spans="1:8" x14ac:dyDescent="0.3">
      <c r="A458" t="s">
        <v>734</v>
      </c>
      <c r="B458" t="s">
        <v>2839</v>
      </c>
      <c r="C458" t="s">
        <v>42</v>
      </c>
      <c r="D458" t="s">
        <v>2819</v>
      </c>
      <c r="E458">
        <v>0</v>
      </c>
      <c r="F458" t="s">
        <v>2820</v>
      </c>
      <c r="G458" t="b">
        <v>1</v>
      </c>
      <c r="H458" t="s">
        <v>704</v>
      </c>
    </row>
    <row r="459" spans="1:8" x14ac:dyDescent="0.3">
      <c r="A459" t="s">
        <v>734</v>
      </c>
      <c r="B459" t="s">
        <v>2839</v>
      </c>
      <c r="C459" t="s">
        <v>42</v>
      </c>
      <c r="D459" t="s">
        <v>2821</v>
      </c>
      <c r="E459">
        <v>0</v>
      </c>
      <c r="F459" t="s">
        <v>2820</v>
      </c>
      <c r="G459" t="b">
        <v>1</v>
      </c>
      <c r="H459" t="s">
        <v>706</v>
      </c>
    </row>
    <row r="460" spans="1:8" x14ac:dyDescent="0.3">
      <c r="A460" t="s">
        <v>734</v>
      </c>
      <c r="B460" t="s">
        <v>2839</v>
      </c>
      <c r="C460" t="s">
        <v>42</v>
      </c>
      <c r="D460" t="s">
        <v>2822</v>
      </c>
      <c r="E460">
        <v>0</v>
      </c>
      <c r="F460" t="s">
        <v>2820</v>
      </c>
      <c r="G460" t="b">
        <v>1</v>
      </c>
      <c r="H460" t="s">
        <v>708</v>
      </c>
    </row>
    <row r="461" spans="1:8" x14ac:dyDescent="0.3">
      <c r="A461" t="s">
        <v>734</v>
      </c>
      <c r="B461" t="s">
        <v>2839</v>
      </c>
      <c r="C461" t="s">
        <v>42</v>
      </c>
      <c r="D461" t="s">
        <v>2823</v>
      </c>
      <c r="E461">
        <v>0</v>
      </c>
      <c r="F461" t="s">
        <v>2820</v>
      </c>
      <c r="G461" t="b">
        <v>1</v>
      </c>
      <c r="H461" t="s">
        <v>710</v>
      </c>
    </row>
    <row r="462" spans="1:8" x14ac:dyDescent="0.3">
      <c r="A462" t="s">
        <v>734</v>
      </c>
      <c r="B462" t="s">
        <v>2839</v>
      </c>
      <c r="C462" t="s">
        <v>42</v>
      </c>
      <c r="D462" t="s">
        <v>2824</v>
      </c>
      <c r="E462">
        <v>0</v>
      </c>
      <c r="F462" t="s">
        <v>2820</v>
      </c>
      <c r="G462" t="b">
        <v>1</v>
      </c>
      <c r="H462" t="s">
        <v>2802</v>
      </c>
    </row>
    <row r="463" spans="1:8" x14ac:dyDescent="0.3">
      <c r="A463" t="s">
        <v>734</v>
      </c>
      <c r="B463" t="s">
        <v>2839</v>
      </c>
      <c r="C463" t="s">
        <v>42</v>
      </c>
      <c r="D463" t="s">
        <v>2825</v>
      </c>
      <c r="E463">
        <v>0</v>
      </c>
      <c r="F463" t="s">
        <v>2820</v>
      </c>
      <c r="G463" t="b">
        <v>1</v>
      </c>
      <c r="H463" t="s">
        <v>2800</v>
      </c>
    </row>
    <row r="464" spans="1:8" x14ac:dyDescent="0.3">
      <c r="A464" t="s">
        <v>734</v>
      </c>
      <c r="B464" t="s">
        <v>2839</v>
      </c>
      <c r="C464" t="s">
        <v>42</v>
      </c>
      <c r="D464" t="s">
        <v>2826</v>
      </c>
      <c r="E464">
        <v>0</v>
      </c>
      <c r="F464" t="s">
        <v>2820</v>
      </c>
      <c r="G464" t="b">
        <v>1</v>
      </c>
      <c r="H464" t="s">
        <v>1935</v>
      </c>
    </row>
    <row r="465" spans="1:8" x14ac:dyDescent="0.3">
      <c r="A465" t="s">
        <v>734</v>
      </c>
      <c r="B465" t="s">
        <v>2839</v>
      </c>
      <c r="C465" t="s">
        <v>42</v>
      </c>
      <c r="D465" t="s">
        <v>2827</v>
      </c>
      <c r="E465">
        <v>6878.59</v>
      </c>
      <c r="F465" t="s">
        <v>2820</v>
      </c>
      <c r="G465" t="b">
        <v>1</v>
      </c>
      <c r="H465" t="s">
        <v>2828</v>
      </c>
    </row>
    <row r="466" spans="1:8" x14ac:dyDescent="0.3">
      <c r="A466" t="s">
        <v>734</v>
      </c>
      <c r="B466" t="s">
        <v>2839</v>
      </c>
      <c r="C466" t="s">
        <v>42</v>
      </c>
      <c r="D466" t="s">
        <v>2829</v>
      </c>
      <c r="E466">
        <v>6558.41</v>
      </c>
      <c r="F466" t="s">
        <v>2820</v>
      </c>
      <c r="G466" t="b">
        <v>1</v>
      </c>
      <c r="H466" t="s">
        <v>2830</v>
      </c>
    </row>
    <row r="467" spans="1:8" x14ac:dyDescent="0.3">
      <c r="A467" t="s">
        <v>734</v>
      </c>
      <c r="B467" t="s">
        <v>2839</v>
      </c>
      <c r="C467" t="s">
        <v>42</v>
      </c>
      <c r="D467" t="s">
        <v>2831</v>
      </c>
      <c r="E467">
        <v>7091.98</v>
      </c>
      <c r="F467" t="s">
        <v>2820</v>
      </c>
      <c r="G467" t="b">
        <v>1</v>
      </c>
      <c r="H467" t="s">
        <v>466</v>
      </c>
    </row>
    <row r="468" spans="1:8" x14ac:dyDescent="0.3">
      <c r="A468" t="s">
        <v>734</v>
      </c>
      <c r="B468" t="s">
        <v>2839</v>
      </c>
      <c r="C468" t="s">
        <v>42</v>
      </c>
      <c r="D468" t="s">
        <v>2832</v>
      </c>
      <c r="E468">
        <v>6474.95</v>
      </c>
      <c r="F468" t="s">
        <v>2820</v>
      </c>
      <c r="G468" t="b">
        <v>1</v>
      </c>
      <c r="H468" t="s">
        <v>467</v>
      </c>
    </row>
    <row r="469" spans="1:8" x14ac:dyDescent="0.3">
      <c r="A469" t="s">
        <v>734</v>
      </c>
      <c r="B469" t="s">
        <v>2839</v>
      </c>
      <c r="C469" t="s">
        <v>42</v>
      </c>
      <c r="D469" t="s">
        <v>2833</v>
      </c>
      <c r="E469">
        <v>6467.87</v>
      </c>
      <c r="F469" t="s">
        <v>2820</v>
      </c>
      <c r="G469" t="b">
        <v>1</v>
      </c>
      <c r="H469" t="s">
        <v>468</v>
      </c>
    </row>
    <row r="470" spans="1:8" x14ac:dyDescent="0.3">
      <c r="A470" t="s">
        <v>734</v>
      </c>
      <c r="B470" t="s">
        <v>2839</v>
      </c>
      <c r="C470" t="s">
        <v>38</v>
      </c>
      <c r="D470" t="s">
        <v>2819</v>
      </c>
      <c r="E470">
        <v>0</v>
      </c>
      <c r="F470" t="s">
        <v>2820</v>
      </c>
      <c r="G470" t="b">
        <v>1</v>
      </c>
      <c r="H470" t="s">
        <v>704</v>
      </c>
    </row>
    <row r="471" spans="1:8" x14ac:dyDescent="0.3">
      <c r="A471" t="s">
        <v>734</v>
      </c>
      <c r="B471" t="s">
        <v>2839</v>
      </c>
      <c r="C471" t="s">
        <v>38</v>
      </c>
      <c r="D471" t="s">
        <v>2821</v>
      </c>
      <c r="E471">
        <v>0</v>
      </c>
      <c r="F471" t="s">
        <v>2820</v>
      </c>
      <c r="G471" t="b">
        <v>1</v>
      </c>
      <c r="H471" t="s">
        <v>706</v>
      </c>
    </row>
    <row r="472" spans="1:8" x14ac:dyDescent="0.3">
      <c r="A472" t="s">
        <v>734</v>
      </c>
      <c r="B472" t="s">
        <v>2839</v>
      </c>
      <c r="C472" t="s">
        <v>38</v>
      </c>
      <c r="D472" t="s">
        <v>2822</v>
      </c>
      <c r="E472">
        <v>0</v>
      </c>
      <c r="F472" t="s">
        <v>2820</v>
      </c>
      <c r="G472" t="b">
        <v>1</v>
      </c>
      <c r="H472" t="s">
        <v>708</v>
      </c>
    </row>
    <row r="473" spans="1:8" x14ac:dyDescent="0.3">
      <c r="A473" t="s">
        <v>734</v>
      </c>
      <c r="B473" t="s">
        <v>2839</v>
      </c>
      <c r="C473" t="s">
        <v>38</v>
      </c>
      <c r="D473" t="s">
        <v>2823</v>
      </c>
      <c r="E473">
        <v>0</v>
      </c>
      <c r="F473" t="s">
        <v>2820</v>
      </c>
      <c r="G473" t="b">
        <v>1</v>
      </c>
      <c r="H473" t="s">
        <v>710</v>
      </c>
    </row>
    <row r="474" spans="1:8" x14ac:dyDescent="0.3">
      <c r="A474" t="s">
        <v>734</v>
      </c>
      <c r="B474" t="s">
        <v>2839</v>
      </c>
      <c r="C474" t="s">
        <v>38</v>
      </c>
      <c r="D474" t="s">
        <v>2824</v>
      </c>
      <c r="E474">
        <v>0</v>
      </c>
      <c r="F474" t="s">
        <v>2820</v>
      </c>
      <c r="G474" t="b">
        <v>1</v>
      </c>
      <c r="H474" t="s">
        <v>2802</v>
      </c>
    </row>
    <row r="475" spans="1:8" x14ac:dyDescent="0.3">
      <c r="A475" t="s">
        <v>734</v>
      </c>
      <c r="B475" t="s">
        <v>2839</v>
      </c>
      <c r="C475" t="s">
        <v>38</v>
      </c>
      <c r="D475" t="s">
        <v>2825</v>
      </c>
      <c r="E475">
        <v>0</v>
      </c>
      <c r="F475" t="s">
        <v>2820</v>
      </c>
      <c r="G475" t="b">
        <v>1</v>
      </c>
      <c r="H475" t="s">
        <v>2800</v>
      </c>
    </row>
    <row r="476" spans="1:8" x14ac:dyDescent="0.3">
      <c r="A476" t="s">
        <v>734</v>
      </c>
      <c r="B476" t="s">
        <v>2839</v>
      </c>
      <c r="C476" t="s">
        <v>38</v>
      </c>
      <c r="D476" t="s">
        <v>2826</v>
      </c>
      <c r="E476">
        <v>0</v>
      </c>
      <c r="F476" t="s">
        <v>2820</v>
      </c>
      <c r="G476" t="b">
        <v>1</v>
      </c>
      <c r="H476" t="s">
        <v>1935</v>
      </c>
    </row>
    <row r="477" spans="1:8" x14ac:dyDescent="0.3">
      <c r="A477" t="s">
        <v>734</v>
      </c>
      <c r="B477" t="s">
        <v>2839</v>
      </c>
      <c r="C477" t="s">
        <v>38</v>
      </c>
      <c r="D477" t="s">
        <v>2827</v>
      </c>
      <c r="E477">
        <v>72225.2</v>
      </c>
      <c r="F477" t="s">
        <v>2820</v>
      </c>
      <c r="G477" t="b">
        <v>1</v>
      </c>
      <c r="H477" t="s">
        <v>2828</v>
      </c>
    </row>
    <row r="478" spans="1:8" x14ac:dyDescent="0.3">
      <c r="A478" t="s">
        <v>734</v>
      </c>
      <c r="B478" t="s">
        <v>2839</v>
      </c>
      <c r="C478" t="s">
        <v>38</v>
      </c>
      <c r="D478" t="s">
        <v>2829</v>
      </c>
      <c r="E478">
        <v>68863.289999999994</v>
      </c>
      <c r="F478" t="s">
        <v>2820</v>
      </c>
      <c r="G478" t="b">
        <v>1</v>
      </c>
      <c r="H478" t="s">
        <v>2830</v>
      </c>
    </row>
    <row r="479" spans="1:8" x14ac:dyDescent="0.3">
      <c r="A479" t="s">
        <v>734</v>
      </c>
      <c r="B479" t="s">
        <v>2839</v>
      </c>
      <c r="C479" t="s">
        <v>38</v>
      </c>
      <c r="D479" t="s">
        <v>2831</v>
      </c>
      <c r="E479">
        <v>74465.77</v>
      </c>
      <c r="F479" t="s">
        <v>2820</v>
      </c>
      <c r="G479" t="b">
        <v>1</v>
      </c>
      <c r="H479" t="s">
        <v>466</v>
      </c>
    </row>
    <row r="480" spans="1:8" x14ac:dyDescent="0.3">
      <c r="A480" t="s">
        <v>734</v>
      </c>
      <c r="B480" t="s">
        <v>2839</v>
      </c>
      <c r="C480" t="s">
        <v>38</v>
      </c>
      <c r="D480" t="s">
        <v>2832</v>
      </c>
      <c r="E480">
        <v>67986.960000000006</v>
      </c>
      <c r="F480" t="s">
        <v>2820</v>
      </c>
      <c r="G480" t="b">
        <v>1</v>
      </c>
      <c r="H480" t="s">
        <v>467</v>
      </c>
    </row>
    <row r="481" spans="1:8" x14ac:dyDescent="0.3">
      <c r="A481" t="s">
        <v>734</v>
      </c>
      <c r="B481" t="s">
        <v>2839</v>
      </c>
      <c r="C481" t="s">
        <v>38</v>
      </c>
      <c r="D481" t="s">
        <v>2833</v>
      </c>
      <c r="E481">
        <v>67912.59</v>
      </c>
      <c r="F481" t="s">
        <v>2820</v>
      </c>
      <c r="G481" t="b">
        <v>1</v>
      </c>
      <c r="H481" t="s">
        <v>468</v>
      </c>
    </row>
    <row r="482" spans="1:8" x14ac:dyDescent="0.3">
      <c r="A482" t="s">
        <v>734</v>
      </c>
      <c r="B482" t="s">
        <v>2839</v>
      </c>
      <c r="C482" t="s">
        <v>120</v>
      </c>
      <c r="D482" t="s">
        <v>2819</v>
      </c>
      <c r="E482">
        <v>0</v>
      </c>
      <c r="F482" t="s">
        <v>2820</v>
      </c>
      <c r="G482" t="b">
        <v>1</v>
      </c>
      <c r="H482" t="s">
        <v>704</v>
      </c>
    </row>
    <row r="483" spans="1:8" x14ac:dyDescent="0.3">
      <c r="A483" t="s">
        <v>734</v>
      </c>
      <c r="B483" t="s">
        <v>2839</v>
      </c>
      <c r="C483" t="s">
        <v>120</v>
      </c>
      <c r="D483" t="s">
        <v>2821</v>
      </c>
      <c r="E483">
        <v>0</v>
      </c>
      <c r="F483" t="s">
        <v>2820</v>
      </c>
      <c r="G483" t="b">
        <v>1</v>
      </c>
      <c r="H483" t="s">
        <v>706</v>
      </c>
    </row>
    <row r="484" spans="1:8" x14ac:dyDescent="0.3">
      <c r="A484" t="s">
        <v>734</v>
      </c>
      <c r="B484" t="s">
        <v>2839</v>
      </c>
      <c r="C484" t="s">
        <v>120</v>
      </c>
      <c r="D484" t="s">
        <v>2822</v>
      </c>
      <c r="E484">
        <v>0</v>
      </c>
      <c r="F484" t="s">
        <v>2820</v>
      </c>
      <c r="G484" t="b">
        <v>1</v>
      </c>
      <c r="H484" t="s">
        <v>708</v>
      </c>
    </row>
    <row r="485" spans="1:8" x14ac:dyDescent="0.3">
      <c r="A485" t="s">
        <v>734</v>
      </c>
      <c r="B485" t="s">
        <v>2839</v>
      </c>
      <c r="C485" t="s">
        <v>120</v>
      </c>
      <c r="D485" t="s">
        <v>2823</v>
      </c>
      <c r="E485">
        <v>0</v>
      </c>
      <c r="F485" t="s">
        <v>2820</v>
      </c>
      <c r="G485" t="b">
        <v>1</v>
      </c>
      <c r="H485" t="s">
        <v>710</v>
      </c>
    </row>
    <row r="486" spans="1:8" x14ac:dyDescent="0.3">
      <c r="A486" t="s">
        <v>734</v>
      </c>
      <c r="B486" t="s">
        <v>2839</v>
      </c>
      <c r="C486" t="s">
        <v>120</v>
      </c>
      <c r="D486" t="s">
        <v>2824</v>
      </c>
      <c r="E486">
        <v>0</v>
      </c>
      <c r="F486" t="s">
        <v>2820</v>
      </c>
      <c r="G486" t="b">
        <v>1</v>
      </c>
      <c r="H486" t="s">
        <v>2802</v>
      </c>
    </row>
    <row r="487" spans="1:8" x14ac:dyDescent="0.3">
      <c r="A487" t="s">
        <v>734</v>
      </c>
      <c r="B487" t="s">
        <v>2839</v>
      </c>
      <c r="C487" t="s">
        <v>120</v>
      </c>
      <c r="D487" t="s">
        <v>2825</v>
      </c>
      <c r="E487">
        <v>0</v>
      </c>
      <c r="F487" t="s">
        <v>2820</v>
      </c>
      <c r="G487" t="b">
        <v>1</v>
      </c>
      <c r="H487" t="s">
        <v>2800</v>
      </c>
    </row>
    <row r="488" spans="1:8" x14ac:dyDescent="0.3">
      <c r="A488" t="s">
        <v>734</v>
      </c>
      <c r="B488" t="s">
        <v>2839</v>
      </c>
      <c r="C488" t="s">
        <v>120</v>
      </c>
      <c r="D488" t="s">
        <v>2826</v>
      </c>
      <c r="E488">
        <v>0</v>
      </c>
      <c r="F488" t="s">
        <v>2820</v>
      </c>
      <c r="G488" t="b">
        <v>1</v>
      </c>
      <c r="H488" t="s">
        <v>1935</v>
      </c>
    </row>
    <row r="489" spans="1:8" x14ac:dyDescent="0.3">
      <c r="A489" t="s">
        <v>734</v>
      </c>
      <c r="B489" t="s">
        <v>2839</v>
      </c>
      <c r="C489" t="s">
        <v>120</v>
      </c>
      <c r="D489" t="s">
        <v>2827</v>
      </c>
      <c r="E489">
        <v>0</v>
      </c>
      <c r="F489" t="s">
        <v>2820</v>
      </c>
      <c r="G489" t="b">
        <v>1</v>
      </c>
      <c r="H489" t="s">
        <v>2828</v>
      </c>
    </row>
    <row r="490" spans="1:8" x14ac:dyDescent="0.3">
      <c r="A490" t="s">
        <v>734</v>
      </c>
      <c r="B490" t="s">
        <v>2839</v>
      </c>
      <c r="C490" t="s">
        <v>120</v>
      </c>
      <c r="D490" t="s">
        <v>2829</v>
      </c>
      <c r="E490">
        <v>0</v>
      </c>
      <c r="F490" t="s">
        <v>2820</v>
      </c>
      <c r="G490" t="b">
        <v>1</v>
      </c>
      <c r="H490" t="s">
        <v>2830</v>
      </c>
    </row>
    <row r="491" spans="1:8" x14ac:dyDescent="0.3">
      <c r="A491" t="s">
        <v>734</v>
      </c>
      <c r="B491" t="s">
        <v>2839</v>
      </c>
      <c r="C491" t="s">
        <v>120</v>
      </c>
      <c r="D491" t="s">
        <v>2831</v>
      </c>
      <c r="E491">
        <v>0</v>
      </c>
      <c r="F491" t="s">
        <v>2820</v>
      </c>
      <c r="G491" t="b">
        <v>1</v>
      </c>
      <c r="H491" t="s">
        <v>466</v>
      </c>
    </row>
    <row r="492" spans="1:8" x14ac:dyDescent="0.3">
      <c r="A492" t="s">
        <v>734</v>
      </c>
      <c r="B492" t="s">
        <v>2839</v>
      </c>
      <c r="C492" t="s">
        <v>120</v>
      </c>
      <c r="D492" t="s">
        <v>2832</v>
      </c>
      <c r="E492">
        <v>0</v>
      </c>
      <c r="F492" t="s">
        <v>2820</v>
      </c>
      <c r="G492" t="b">
        <v>1</v>
      </c>
      <c r="H492" t="s">
        <v>467</v>
      </c>
    </row>
    <row r="493" spans="1:8" x14ac:dyDescent="0.3">
      <c r="A493" t="s">
        <v>734</v>
      </c>
      <c r="B493" t="s">
        <v>2839</v>
      </c>
      <c r="C493" t="s">
        <v>120</v>
      </c>
      <c r="D493" t="s">
        <v>2833</v>
      </c>
      <c r="E493">
        <v>0</v>
      </c>
      <c r="F493" t="s">
        <v>2820</v>
      </c>
      <c r="G493" t="b">
        <v>1</v>
      </c>
      <c r="H493" t="s">
        <v>468</v>
      </c>
    </row>
    <row r="494" spans="1:8" x14ac:dyDescent="0.3">
      <c r="A494" t="s">
        <v>734</v>
      </c>
      <c r="B494" t="s">
        <v>2839</v>
      </c>
      <c r="C494" t="s">
        <v>116</v>
      </c>
      <c r="D494" t="s">
        <v>2819</v>
      </c>
      <c r="E494">
        <v>0</v>
      </c>
      <c r="F494" t="s">
        <v>2820</v>
      </c>
      <c r="G494" t="b">
        <v>1</v>
      </c>
      <c r="H494" t="s">
        <v>704</v>
      </c>
    </row>
    <row r="495" spans="1:8" x14ac:dyDescent="0.3">
      <c r="A495" t="s">
        <v>734</v>
      </c>
      <c r="B495" t="s">
        <v>2839</v>
      </c>
      <c r="C495" t="s">
        <v>116</v>
      </c>
      <c r="D495" t="s">
        <v>2821</v>
      </c>
      <c r="E495">
        <v>0</v>
      </c>
      <c r="F495" t="s">
        <v>2820</v>
      </c>
      <c r="G495" t="b">
        <v>1</v>
      </c>
      <c r="H495" t="s">
        <v>706</v>
      </c>
    </row>
    <row r="496" spans="1:8" x14ac:dyDescent="0.3">
      <c r="A496" t="s">
        <v>734</v>
      </c>
      <c r="B496" t="s">
        <v>2839</v>
      </c>
      <c r="C496" t="s">
        <v>116</v>
      </c>
      <c r="D496" t="s">
        <v>2822</v>
      </c>
      <c r="E496">
        <v>0</v>
      </c>
      <c r="F496" t="s">
        <v>2820</v>
      </c>
      <c r="G496" t="b">
        <v>1</v>
      </c>
      <c r="H496" t="s">
        <v>708</v>
      </c>
    </row>
    <row r="497" spans="1:8" x14ac:dyDescent="0.3">
      <c r="A497" t="s">
        <v>734</v>
      </c>
      <c r="B497" t="s">
        <v>2839</v>
      </c>
      <c r="C497" t="s">
        <v>116</v>
      </c>
      <c r="D497" t="s">
        <v>2823</v>
      </c>
      <c r="E497">
        <v>0</v>
      </c>
      <c r="F497" t="s">
        <v>2820</v>
      </c>
      <c r="G497" t="b">
        <v>1</v>
      </c>
      <c r="H497" t="s">
        <v>710</v>
      </c>
    </row>
    <row r="498" spans="1:8" x14ac:dyDescent="0.3">
      <c r="A498" t="s">
        <v>734</v>
      </c>
      <c r="B498" t="s">
        <v>2839</v>
      </c>
      <c r="C498" t="s">
        <v>116</v>
      </c>
      <c r="D498" t="s">
        <v>2824</v>
      </c>
      <c r="E498">
        <v>0</v>
      </c>
      <c r="F498" t="s">
        <v>2820</v>
      </c>
      <c r="G498" t="b">
        <v>1</v>
      </c>
      <c r="H498" t="s">
        <v>2802</v>
      </c>
    </row>
    <row r="499" spans="1:8" x14ac:dyDescent="0.3">
      <c r="A499" t="s">
        <v>734</v>
      </c>
      <c r="B499" t="s">
        <v>2839</v>
      </c>
      <c r="C499" t="s">
        <v>116</v>
      </c>
      <c r="D499" t="s">
        <v>2825</v>
      </c>
      <c r="E499">
        <v>0</v>
      </c>
      <c r="F499" t="s">
        <v>2820</v>
      </c>
      <c r="G499" t="b">
        <v>1</v>
      </c>
      <c r="H499" t="s">
        <v>2800</v>
      </c>
    </row>
    <row r="500" spans="1:8" x14ac:dyDescent="0.3">
      <c r="A500" t="s">
        <v>734</v>
      </c>
      <c r="B500" t="s">
        <v>2839</v>
      </c>
      <c r="C500" t="s">
        <v>116</v>
      </c>
      <c r="D500" t="s">
        <v>2826</v>
      </c>
      <c r="E500">
        <v>0</v>
      </c>
      <c r="F500" t="s">
        <v>2820</v>
      </c>
      <c r="G500" t="b">
        <v>1</v>
      </c>
      <c r="H500" t="s">
        <v>1935</v>
      </c>
    </row>
    <row r="501" spans="1:8" x14ac:dyDescent="0.3">
      <c r="A501" t="s">
        <v>734</v>
      </c>
      <c r="B501" t="s">
        <v>2839</v>
      </c>
      <c r="C501" t="s">
        <v>116</v>
      </c>
      <c r="D501" t="s">
        <v>2827</v>
      </c>
      <c r="E501">
        <v>81422.600000000006</v>
      </c>
      <c r="F501" t="s">
        <v>2820</v>
      </c>
      <c r="G501" t="b">
        <v>1</v>
      </c>
      <c r="H501" t="s">
        <v>2828</v>
      </c>
    </row>
    <row r="502" spans="1:8" x14ac:dyDescent="0.3">
      <c r="A502" t="s">
        <v>734</v>
      </c>
      <c r="B502" t="s">
        <v>2839</v>
      </c>
      <c r="C502" t="s">
        <v>116</v>
      </c>
      <c r="D502" t="s">
        <v>2829</v>
      </c>
      <c r="E502">
        <v>78884.73</v>
      </c>
      <c r="F502" t="s">
        <v>2820</v>
      </c>
      <c r="G502" t="b">
        <v>1</v>
      </c>
      <c r="H502" t="s">
        <v>2830</v>
      </c>
    </row>
    <row r="503" spans="1:8" x14ac:dyDescent="0.3">
      <c r="A503" t="s">
        <v>734</v>
      </c>
      <c r="B503" t="s">
        <v>2839</v>
      </c>
      <c r="C503" t="s">
        <v>116</v>
      </c>
      <c r="D503" t="s">
        <v>2831</v>
      </c>
      <c r="E503">
        <v>86581.85</v>
      </c>
      <c r="F503" t="s">
        <v>2820</v>
      </c>
      <c r="G503" t="b">
        <v>1</v>
      </c>
      <c r="H503" t="s">
        <v>466</v>
      </c>
    </row>
    <row r="504" spans="1:8" x14ac:dyDescent="0.3">
      <c r="A504" t="s">
        <v>734</v>
      </c>
      <c r="B504" t="s">
        <v>2839</v>
      </c>
      <c r="C504" t="s">
        <v>116</v>
      </c>
      <c r="D504" t="s">
        <v>2832</v>
      </c>
      <c r="E504">
        <v>79759.94</v>
      </c>
      <c r="F504" t="s">
        <v>2820</v>
      </c>
      <c r="G504" t="b">
        <v>1</v>
      </c>
      <c r="H504" t="s">
        <v>467</v>
      </c>
    </row>
    <row r="505" spans="1:8" x14ac:dyDescent="0.3">
      <c r="A505" t="s">
        <v>734</v>
      </c>
      <c r="B505" t="s">
        <v>2839</v>
      </c>
      <c r="C505" t="s">
        <v>116</v>
      </c>
      <c r="D505" t="s">
        <v>2833</v>
      </c>
      <c r="E505">
        <v>86895.95</v>
      </c>
      <c r="F505" t="s">
        <v>2820</v>
      </c>
      <c r="G505" t="b">
        <v>1</v>
      </c>
      <c r="H505" t="s">
        <v>468</v>
      </c>
    </row>
    <row r="506" spans="1:8" x14ac:dyDescent="0.3">
      <c r="A506" t="s">
        <v>734</v>
      </c>
      <c r="B506" t="s">
        <v>2839</v>
      </c>
      <c r="C506" t="s">
        <v>118</v>
      </c>
      <c r="D506" t="s">
        <v>2819</v>
      </c>
      <c r="E506">
        <v>0</v>
      </c>
      <c r="F506" t="s">
        <v>2820</v>
      </c>
      <c r="G506" t="b">
        <v>1</v>
      </c>
      <c r="H506" t="s">
        <v>704</v>
      </c>
    </row>
    <row r="507" spans="1:8" x14ac:dyDescent="0.3">
      <c r="A507" t="s">
        <v>734</v>
      </c>
      <c r="B507" t="s">
        <v>2839</v>
      </c>
      <c r="C507" t="s">
        <v>118</v>
      </c>
      <c r="D507" t="s">
        <v>2821</v>
      </c>
      <c r="E507">
        <v>0</v>
      </c>
      <c r="F507" t="s">
        <v>2820</v>
      </c>
      <c r="G507" t="b">
        <v>1</v>
      </c>
      <c r="H507" t="s">
        <v>706</v>
      </c>
    </row>
    <row r="508" spans="1:8" x14ac:dyDescent="0.3">
      <c r="A508" t="s">
        <v>734</v>
      </c>
      <c r="B508" t="s">
        <v>2839</v>
      </c>
      <c r="C508" t="s">
        <v>118</v>
      </c>
      <c r="D508" t="s">
        <v>2822</v>
      </c>
      <c r="E508">
        <v>0</v>
      </c>
      <c r="F508" t="s">
        <v>2820</v>
      </c>
      <c r="G508" t="b">
        <v>1</v>
      </c>
      <c r="H508" t="s">
        <v>708</v>
      </c>
    </row>
    <row r="509" spans="1:8" x14ac:dyDescent="0.3">
      <c r="A509" t="s">
        <v>734</v>
      </c>
      <c r="B509" t="s">
        <v>2839</v>
      </c>
      <c r="C509" t="s">
        <v>118</v>
      </c>
      <c r="D509" t="s">
        <v>2823</v>
      </c>
      <c r="E509">
        <v>0</v>
      </c>
      <c r="F509" t="s">
        <v>2820</v>
      </c>
      <c r="G509" t="b">
        <v>1</v>
      </c>
      <c r="H509" t="s">
        <v>710</v>
      </c>
    </row>
    <row r="510" spans="1:8" x14ac:dyDescent="0.3">
      <c r="A510" t="s">
        <v>734</v>
      </c>
      <c r="B510" t="s">
        <v>2839</v>
      </c>
      <c r="C510" t="s">
        <v>118</v>
      </c>
      <c r="D510" t="s">
        <v>2824</v>
      </c>
      <c r="E510">
        <v>0</v>
      </c>
      <c r="F510" t="s">
        <v>2820</v>
      </c>
      <c r="G510" t="b">
        <v>1</v>
      </c>
      <c r="H510" t="s">
        <v>2802</v>
      </c>
    </row>
    <row r="511" spans="1:8" x14ac:dyDescent="0.3">
      <c r="A511" t="s">
        <v>734</v>
      </c>
      <c r="B511" t="s">
        <v>2839</v>
      </c>
      <c r="C511" t="s">
        <v>118</v>
      </c>
      <c r="D511" t="s">
        <v>2825</v>
      </c>
      <c r="E511">
        <v>0</v>
      </c>
      <c r="F511" t="s">
        <v>2820</v>
      </c>
      <c r="G511" t="b">
        <v>1</v>
      </c>
      <c r="H511" t="s">
        <v>2800</v>
      </c>
    </row>
    <row r="512" spans="1:8" x14ac:dyDescent="0.3">
      <c r="A512" t="s">
        <v>734</v>
      </c>
      <c r="B512" t="s">
        <v>2839</v>
      </c>
      <c r="C512" t="s">
        <v>118</v>
      </c>
      <c r="D512" t="s">
        <v>2826</v>
      </c>
      <c r="E512">
        <v>0</v>
      </c>
      <c r="F512" t="s">
        <v>2820</v>
      </c>
      <c r="G512" t="b">
        <v>1</v>
      </c>
      <c r="H512" t="s">
        <v>1935</v>
      </c>
    </row>
    <row r="513" spans="1:8" x14ac:dyDescent="0.3">
      <c r="A513" t="s">
        <v>734</v>
      </c>
      <c r="B513" t="s">
        <v>2839</v>
      </c>
      <c r="C513" t="s">
        <v>118</v>
      </c>
      <c r="D513" t="s">
        <v>2827</v>
      </c>
      <c r="E513">
        <v>0</v>
      </c>
      <c r="F513" t="s">
        <v>2820</v>
      </c>
      <c r="G513" t="b">
        <v>1</v>
      </c>
      <c r="H513" t="s">
        <v>2828</v>
      </c>
    </row>
    <row r="514" spans="1:8" x14ac:dyDescent="0.3">
      <c r="A514" t="s">
        <v>734</v>
      </c>
      <c r="B514" t="s">
        <v>2839</v>
      </c>
      <c r="C514" t="s">
        <v>118</v>
      </c>
      <c r="D514" t="s">
        <v>2829</v>
      </c>
      <c r="E514">
        <v>0</v>
      </c>
      <c r="F514" t="s">
        <v>2820</v>
      </c>
      <c r="G514" t="b">
        <v>1</v>
      </c>
      <c r="H514" t="s">
        <v>2830</v>
      </c>
    </row>
    <row r="515" spans="1:8" x14ac:dyDescent="0.3">
      <c r="A515" t="s">
        <v>734</v>
      </c>
      <c r="B515" t="s">
        <v>2839</v>
      </c>
      <c r="C515" t="s">
        <v>118</v>
      </c>
      <c r="D515" t="s">
        <v>2831</v>
      </c>
      <c r="E515">
        <v>0</v>
      </c>
      <c r="F515" t="s">
        <v>2820</v>
      </c>
      <c r="G515" t="b">
        <v>1</v>
      </c>
      <c r="H515" t="s">
        <v>466</v>
      </c>
    </row>
    <row r="516" spans="1:8" x14ac:dyDescent="0.3">
      <c r="A516" t="s">
        <v>734</v>
      </c>
      <c r="B516" t="s">
        <v>2839</v>
      </c>
      <c r="C516" t="s">
        <v>118</v>
      </c>
      <c r="D516" t="s">
        <v>2832</v>
      </c>
      <c r="E516">
        <v>0</v>
      </c>
      <c r="F516" t="s">
        <v>2820</v>
      </c>
      <c r="G516" t="b">
        <v>1</v>
      </c>
      <c r="H516" t="s">
        <v>467</v>
      </c>
    </row>
    <row r="517" spans="1:8" x14ac:dyDescent="0.3">
      <c r="A517" t="s">
        <v>734</v>
      </c>
      <c r="B517" t="s">
        <v>2839</v>
      </c>
      <c r="C517" t="s">
        <v>118</v>
      </c>
      <c r="D517" t="s">
        <v>2833</v>
      </c>
      <c r="E517">
        <v>0</v>
      </c>
      <c r="F517" t="s">
        <v>2820</v>
      </c>
      <c r="G517" t="b">
        <v>1</v>
      </c>
      <c r="H517" t="s">
        <v>468</v>
      </c>
    </row>
    <row r="518" spans="1:8" x14ac:dyDescent="0.3">
      <c r="A518" t="s">
        <v>734</v>
      </c>
      <c r="B518" t="s">
        <v>2839</v>
      </c>
      <c r="C518" t="s">
        <v>122</v>
      </c>
      <c r="D518" t="s">
        <v>2819</v>
      </c>
      <c r="E518">
        <v>0</v>
      </c>
      <c r="F518" t="s">
        <v>2820</v>
      </c>
      <c r="G518" t="b">
        <v>1</v>
      </c>
      <c r="H518" t="s">
        <v>704</v>
      </c>
    </row>
    <row r="519" spans="1:8" x14ac:dyDescent="0.3">
      <c r="A519" t="s">
        <v>734</v>
      </c>
      <c r="B519" t="s">
        <v>2839</v>
      </c>
      <c r="C519" t="s">
        <v>122</v>
      </c>
      <c r="D519" t="s">
        <v>2821</v>
      </c>
      <c r="E519">
        <v>0</v>
      </c>
      <c r="F519" t="s">
        <v>2820</v>
      </c>
      <c r="G519" t="b">
        <v>1</v>
      </c>
      <c r="H519" t="s">
        <v>706</v>
      </c>
    </row>
    <row r="520" spans="1:8" x14ac:dyDescent="0.3">
      <c r="A520" t="s">
        <v>734</v>
      </c>
      <c r="B520" t="s">
        <v>2839</v>
      </c>
      <c r="C520" t="s">
        <v>122</v>
      </c>
      <c r="D520" t="s">
        <v>2822</v>
      </c>
      <c r="E520">
        <v>0</v>
      </c>
      <c r="F520" t="s">
        <v>2820</v>
      </c>
      <c r="G520" t="b">
        <v>1</v>
      </c>
      <c r="H520" t="s">
        <v>708</v>
      </c>
    </row>
    <row r="521" spans="1:8" x14ac:dyDescent="0.3">
      <c r="A521" t="s">
        <v>734</v>
      </c>
      <c r="B521" t="s">
        <v>2839</v>
      </c>
      <c r="C521" t="s">
        <v>122</v>
      </c>
      <c r="D521" t="s">
        <v>2823</v>
      </c>
      <c r="E521">
        <v>0</v>
      </c>
      <c r="F521" t="s">
        <v>2820</v>
      </c>
      <c r="G521" t="b">
        <v>1</v>
      </c>
      <c r="H521" t="s">
        <v>710</v>
      </c>
    </row>
    <row r="522" spans="1:8" x14ac:dyDescent="0.3">
      <c r="A522" t="s">
        <v>734</v>
      </c>
      <c r="B522" t="s">
        <v>2839</v>
      </c>
      <c r="C522" t="s">
        <v>122</v>
      </c>
      <c r="D522" t="s">
        <v>2824</v>
      </c>
      <c r="E522">
        <v>0</v>
      </c>
      <c r="F522" t="s">
        <v>2820</v>
      </c>
      <c r="G522" t="b">
        <v>1</v>
      </c>
      <c r="H522" t="s">
        <v>2802</v>
      </c>
    </row>
    <row r="523" spans="1:8" x14ac:dyDescent="0.3">
      <c r="A523" t="s">
        <v>734</v>
      </c>
      <c r="B523" t="s">
        <v>2839</v>
      </c>
      <c r="C523" t="s">
        <v>122</v>
      </c>
      <c r="D523" t="s">
        <v>2825</v>
      </c>
      <c r="E523">
        <v>0</v>
      </c>
      <c r="F523" t="s">
        <v>2820</v>
      </c>
      <c r="G523" t="b">
        <v>1</v>
      </c>
      <c r="H523" t="s">
        <v>2800</v>
      </c>
    </row>
    <row r="524" spans="1:8" x14ac:dyDescent="0.3">
      <c r="A524" t="s">
        <v>734</v>
      </c>
      <c r="B524" t="s">
        <v>2839</v>
      </c>
      <c r="C524" t="s">
        <v>122</v>
      </c>
      <c r="D524" t="s">
        <v>2826</v>
      </c>
      <c r="E524">
        <v>0</v>
      </c>
      <c r="F524" t="s">
        <v>2820</v>
      </c>
      <c r="G524" t="b">
        <v>1</v>
      </c>
      <c r="H524" t="s">
        <v>1935</v>
      </c>
    </row>
    <row r="525" spans="1:8" x14ac:dyDescent="0.3">
      <c r="A525" t="s">
        <v>734</v>
      </c>
      <c r="B525" t="s">
        <v>2839</v>
      </c>
      <c r="C525" t="s">
        <v>122</v>
      </c>
      <c r="D525" t="s">
        <v>2827</v>
      </c>
      <c r="E525">
        <v>0</v>
      </c>
      <c r="F525" t="s">
        <v>2820</v>
      </c>
      <c r="G525" t="b">
        <v>1</v>
      </c>
      <c r="H525" t="s">
        <v>2828</v>
      </c>
    </row>
    <row r="526" spans="1:8" x14ac:dyDescent="0.3">
      <c r="A526" t="s">
        <v>734</v>
      </c>
      <c r="B526" t="s">
        <v>2839</v>
      </c>
      <c r="C526" t="s">
        <v>122</v>
      </c>
      <c r="D526" t="s">
        <v>2829</v>
      </c>
      <c r="E526">
        <v>0</v>
      </c>
      <c r="F526" t="s">
        <v>2820</v>
      </c>
      <c r="G526" t="b">
        <v>1</v>
      </c>
      <c r="H526" t="s">
        <v>2830</v>
      </c>
    </row>
    <row r="527" spans="1:8" x14ac:dyDescent="0.3">
      <c r="A527" t="s">
        <v>734</v>
      </c>
      <c r="B527" t="s">
        <v>2839</v>
      </c>
      <c r="C527" t="s">
        <v>122</v>
      </c>
      <c r="D527" t="s">
        <v>2831</v>
      </c>
      <c r="E527">
        <v>0</v>
      </c>
      <c r="F527" t="s">
        <v>2820</v>
      </c>
      <c r="G527" t="b">
        <v>1</v>
      </c>
      <c r="H527" t="s">
        <v>466</v>
      </c>
    </row>
    <row r="528" spans="1:8" x14ac:dyDescent="0.3">
      <c r="A528" t="s">
        <v>734</v>
      </c>
      <c r="B528" t="s">
        <v>2839</v>
      </c>
      <c r="C528" t="s">
        <v>122</v>
      </c>
      <c r="D528" t="s">
        <v>2832</v>
      </c>
      <c r="E528">
        <v>0</v>
      </c>
      <c r="F528" t="s">
        <v>2820</v>
      </c>
      <c r="G528" t="b">
        <v>1</v>
      </c>
      <c r="H528" t="s">
        <v>467</v>
      </c>
    </row>
    <row r="529" spans="1:8" x14ac:dyDescent="0.3">
      <c r="A529" t="s">
        <v>734</v>
      </c>
      <c r="B529" t="s">
        <v>2839</v>
      </c>
      <c r="C529" t="s">
        <v>122</v>
      </c>
      <c r="D529" t="s">
        <v>2833</v>
      </c>
      <c r="E529">
        <v>0</v>
      </c>
      <c r="F529" t="s">
        <v>2820</v>
      </c>
      <c r="G529" t="b">
        <v>1</v>
      </c>
      <c r="H529" t="s">
        <v>468</v>
      </c>
    </row>
    <row r="530" spans="1:8" x14ac:dyDescent="0.3">
      <c r="A530" t="s">
        <v>734</v>
      </c>
      <c r="B530" t="s">
        <v>1067</v>
      </c>
      <c r="C530" t="s">
        <v>293</v>
      </c>
      <c r="D530" t="s">
        <v>2819</v>
      </c>
      <c r="E530">
        <v>0</v>
      </c>
      <c r="F530" t="s">
        <v>2820</v>
      </c>
      <c r="G530" t="b">
        <v>1</v>
      </c>
      <c r="H530" t="s">
        <v>704</v>
      </c>
    </row>
    <row r="531" spans="1:8" x14ac:dyDescent="0.3">
      <c r="A531" t="s">
        <v>734</v>
      </c>
      <c r="B531" t="s">
        <v>1067</v>
      </c>
      <c r="C531" t="s">
        <v>293</v>
      </c>
      <c r="D531" t="s">
        <v>2821</v>
      </c>
      <c r="E531">
        <v>0</v>
      </c>
      <c r="F531" t="s">
        <v>2820</v>
      </c>
      <c r="G531" t="b">
        <v>1</v>
      </c>
      <c r="H531" t="s">
        <v>706</v>
      </c>
    </row>
    <row r="532" spans="1:8" x14ac:dyDescent="0.3">
      <c r="A532" t="s">
        <v>734</v>
      </c>
      <c r="B532" t="s">
        <v>1067</v>
      </c>
      <c r="C532" t="s">
        <v>293</v>
      </c>
      <c r="D532" t="s">
        <v>2822</v>
      </c>
      <c r="E532">
        <v>0</v>
      </c>
      <c r="F532" t="s">
        <v>2820</v>
      </c>
      <c r="G532" t="b">
        <v>1</v>
      </c>
      <c r="H532" t="s">
        <v>708</v>
      </c>
    </row>
    <row r="533" spans="1:8" x14ac:dyDescent="0.3">
      <c r="A533" t="s">
        <v>734</v>
      </c>
      <c r="B533" t="s">
        <v>1067</v>
      </c>
      <c r="C533" t="s">
        <v>293</v>
      </c>
      <c r="D533" t="s">
        <v>2823</v>
      </c>
      <c r="E533">
        <v>0</v>
      </c>
      <c r="F533" t="s">
        <v>2820</v>
      </c>
      <c r="G533" t="b">
        <v>1</v>
      </c>
      <c r="H533" t="s">
        <v>710</v>
      </c>
    </row>
    <row r="534" spans="1:8" x14ac:dyDescent="0.3">
      <c r="A534" t="s">
        <v>734</v>
      </c>
      <c r="B534" t="s">
        <v>1067</v>
      </c>
      <c r="C534" t="s">
        <v>293</v>
      </c>
      <c r="D534" t="s">
        <v>2824</v>
      </c>
      <c r="E534">
        <v>0</v>
      </c>
      <c r="F534" t="s">
        <v>2820</v>
      </c>
      <c r="G534" t="b">
        <v>1</v>
      </c>
      <c r="H534" t="s">
        <v>2802</v>
      </c>
    </row>
    <row r="535" spans="1:8" x14ac:dyDescent="0.3">
      <c r="A535" t="s">
        <v>734</v>
      </c>
      <c r="B535" t="s">
        <v>1067</v>
      </c>
      <c r="C535" t="s">
        <v>293</v>
      </c>
      <c r="D535" t="s">
        <v>2825</v>
      </c>
      <c r="E535">
        <v>0</v>
      </c>
      <c r="F535" t="s">
        <v>2820</v>
      </c>
      <c r="G535" t="b">
        <v>1</v>
      </c>
      <c r="H535" t="s">
        <v>2800</v>
      </c>
    </row>
    <row r="536" spans="1:8" x14ac:dyDescent="0.3">
      <c r="A536" t="s">
        <v>734</v>
      </c>
      <c r="B536" t="s">
        <v>1067</v>
      </c>
      <c r="C536" t="s">
        <v>293</v>
      </c>
      <c r="D536" t="s">
        <v>2826</v>
      </c>
      <c r="E536">
        <v>0</v>
      </c>
      <c r="F536" t="s">
        <v>2820</v>
      </c>
      <c r="G536" t="b">
        <v>1</v>
      </c>
      <c r="H536" t="s">
        <v>1935</v>
      </c>
    </row>
    <row r="537" spans="1:8" x14ac:dyDescent="0.3">
      <c r="A537" t="s">
        <v>734</v>
      </c>
      <c r="B537" t="s">
        <v>1067</v>
      </c>
      <c r="C537" t="s">
        <v>293</v>
      </c>
      <c r="D537" t="s">
        <v>2827</v>
      </c>
      <c r="E537">
        <v>300</v>
      </c>
      <c r="F537" t="s">
        <v>2820</v>
      </c>
      <c r="G537" t="b">
        <v>1</v>
      </c>
      <c r="H537" t="s">
        <v>2828</v>
      </c>
    </row>
    <row r="538" spans="1:8" x14ac:dyDescent="0.3">
      <c r="A538" t="s">
        <v>734</v>
      </c>
      <c r="B538" t="s">
        <v>1067</v>
      </c>
      <c r="C538" t="s">
        <v>293</v>
      </c>
      <c r="D538" t="s">
        <v>2829</v>
      </c>
      <c r="E538">
        <v>300</v>
      </c>
      <c r="F538" t="s">
        <v>2820</v>
      </c>
      <c r="G538" t="b">
        <v>1</v>
      </c>
      <c r="H538" t="s">
        <v>2830</v>
      </c>
    </row>
    <row r="539" spans="1:8" x14ac:dyDescent="0.3">
      <c r="A539" t="s">
        <v>734</v>
      </c>
      <c r="B539" t="s">
        <v>1067</v>
      </c>
      <c r="C539" t="s">
        <v>293</v>
      </c>
      <c r="D539" t="s">
        <v>2831</v>
      </c>
      <c r="E539">
        <v>300</v>
      </c>
      <c r="F539" t="s">
        <v>2820</v>
      </c>
      <c r="G539" t="b">
        <v>1</v>
      </c>
      <c r="H539" t="s">
        <v>466</v>
      </c>
    </row>
    <row r="540" spans="1:8" x14ac:dyDescent="0.3">
      <c r="A540" t="s">
        <v>734</v>
      </c>
      <c r="B540" t="s">
        <v>1067</v>
      </c>
      <c r="C540" t="s">
        <v>293</v>
      </c>
      <c r="D540" t="s">
        <v>2832</v>
      </c>
      <c r="E540">
        <v>300</v>
      </c>
      <c r="F540" t="s">
        <v>2820</v>
      </c>
      <c r="G540" t="b">
        <v>1</v>
      </c>
      <c r="H540" t="s">
        <v>467</v>
      </c>
    </row>
    <row r="541" spans="1:8" x14ac:dyDescent="0.3">
      <c r="A541" t="s">
        <v>734</v>
      </c>
      <c r="B541" t="s">
        <v>1067</v>
      </c>
      <c r="C541" t="s">
        <v>293</v>
      </c>
      <c r="D541" t="s">
        <v>2833</v>
      </c>
      <c r="E541">
        <v>300</v>
      </c>
      <c r="F541" t="s">
        <v>2820</v>
      </c>
      <c r="G541" t="b">
        <v>1</v>
      </c>
      <c r="H541" t="s">
        <v>468</v>
      </c>
    </row>
    <row r="542" spans="1:8" x14ac:dyDescent="0.3">
      <c r="A542" t="s">
        <v>734</v>
      </c>
      <c r="B542" t="s">
        <v>1067</v>
      </c>
      <c r="C542" t="s">
        <v>292</v>
      </c>
      <c r="D542" t="s">
        <v>2819</v>
      </c>
      <c r="E542">
        <v>0</v>
      </c>
      <c r="F542" t="s">
        <v>2820</v>
      </c>
      <c r="G542" t="b">
        <v>1</v>
      </c>
      <c r="H542" t="s">
        <v>704</v>
      </c>
    </row>
    <row r="543" spans="1:8" x14ac:dyDescent="0.3">
      <c r="A543" t="s">
        <v>734</v>
      </c>
      <c r="B543" t="s">
        <v>1067</v>
      </c>
      <c r="C543" t="s">
        <v>292</v>
      </c>
      <c r="D543" t="s">
        <v>2821</v>
      </c>
      <c r="E543">
        <v>0</v>
      </c>
      <c r="F543" t="s">
        <v>2820</v>
      </c>
      <c r="G543" t="b">
        <v>1</v>
      </c>
      <c r="H543" t="s">
        <v>706</v>
      </c>
    </row>
    <row r="544" spans="1:8" x14ac:dyDescent="0.3">
      <c r="A544" t="s">
        <v>734</v>
      </c>
      <c r="B544" t="s">
        <v>1067</v>
      </c>
      <c r="C544" t="s">
        <v>292</v>
      </c>
      <c r="D544" t="s">
        <v>2822</v>
      </c>
      <c r="E544">
        <v>0</v>
      </c>
      <c r="F544" t="s">
        <v>2820</v>
      </c>
      <c r="G544" t="b">
        <v>1</v>
      </c>
      <c r="H544" t="s">
        <v>708</v>
      </c>
    </row>
    <row r="545" spans="1:8" x14ac:dyDescent="0.3">
      <c r="A545" t="s">
        <v>734</v>
      </c>
      <c r="B545" t="s">
        <v>1067</v>
      </c>
      <c r="C545" t="s">
        <v>292</v>
      </c>
      <c r="D545" t="s">
        <v>2823</v>
      </c>
      <c r="E545">
        <v>0</v>
      </c>
      <c r="F545" t="s">
        <v>2820</v>
      </c>
      <c r="G545" t="b">
        <v>1</v>
      </c>
      <c r="H545" t="s">
        <v>710</v>
      </c>
    </row>
    <row r="546" spans="1:8" x14ac:dyDescent="0.3">
      <c r="A546" t="s">
        <v>734</v>
      </c>
      <c r="B546" t="s">
        <v>1067</v>
      </c>
      <c r="C546" t="s">
        <v>292</v>
      </c>
      <c r="D546" t="s">
        <v>2824</v>
      </c>
      <c r="E546">
        <v>0</v>
      </c>
      <c r="F546" t="s">
        <v>2820</v>
      </c>
      <c r="G546" t="b">
        <v>1</v>
      </c>
      <c r="H546" t="s">
        <v>2802</v>
      </c>
    </row>
    <row r="547" spans="1:8" x14ac:dyDescent="0.3">
      <c r="A547" t="s">
        <v>734</v>
      </c>
      <c r="B547" t="s">
        <v>1067</v>
      </c>
      <c r="C547" t="s">
        <v>292</v>
      </c>
      <c r="D547" t="s">
        <v>2825</v>
      </c>
      <c r="E547">
        <v>0</v>
      </c>
      <c r="F547" t="s">
        <v>2820</v>
      </c>
      <c r="G547" t="b">
        <v>1</v>
      </c>
      <c r="H547" t="s">
        <v>2800</v>
      </c>
    </row>
    <row r="548" spans="1:8" x14ac:dyDescent="0.3">
      <c r="A548" t="s">
        <v>734</v>
      </c>
      <c r="B548" t="s">
        <v>1067</v>
      </c>
      <c r="C548" t="s">
        <v>292</v>
      </c>
      <c r="D548" t="s">
        <v>2826</v>
      </c>
      <c r="E548">
        <v>0</v>
      </c>
      <c r="F548" t="s">
        <v>2820</v>
      </c>
      <c r="G548" t="b">
        <v>1</v>
      </c>
      <c r="H548" t="s">
        <v>1935</v>
      </c>
    </row>
    <row r="549" spans="1:8" x14ac:dyDescent="0.3">
      <c r="A549" t="s">
        <v>734</v>
      </c>
      <c r="B549" t="s">
        <v>1067</v>
      </c>
      <c r="C549" t="s">
        <v>292</v>
      </c>
      <c r="D549" t="s">
        <v>2827</v>
      </c>
      <c r="E549">
        <v>2157.91</v>
      </c>
      <c r="F549" t="s">
        <v>2820</v>
      </c>
      <c r="G549" t="b">
        <v>1</v>
      </c>
      <c r="H549" t="s">
        <v>2828</v>
      </c>
    </row>
    <row r="550" spans="1:8" x14ac:dyDescent="0.3">
      <c r="A550" t="s">
        <v>734</v>
      </c>
      <c r="B550" t="s">
        <v>1067</v>
      </c>
      <c r="C550" t="s">
        <v>292</v>
      </c>
      <c r="D550" t="s">
        <v>2829</v>
      </c>
      <c r="E550">
        <v>2128.06</v>
      </c>
      <c r="F550" t="s">
        <v>2820</v>
      </c>
      <c r="G550" t="b">
        <v>1</v>
      </c>
      <c r="H550" t="s">
        <v>2830</v>
      </c>
    </row>
    <row r="551" spans="1:8" x14ac:dyDescent="0.3">
      <c r="A551" t="s">
        <v>734</v>
      </c>
      <c r="B551" t="s">
        <v>1067</v>
      </c>
      <c r="C551" t="s">
        <v>292</v>
      </c>
      <c r="D551" t="s">
        <v>2831</v>
      </c>
      <c r="E551">
        <v>2218.61</v>
      </c>
      <c r="F551" t="s">
        <v>2820</v>
      </c>
      <c r="G551" t="b">
        <v>1</v>
      </c>
      <c r="H551" t="s">
        <v>466</v>
      </c>
    </row>
    <row r="552" spans="1:8" x14ac:dyDescent="0.3">
      <c r="A552" t="s">
        <v>734</v>
      </c>
      <c r="B552" t="s">
        <v>1067</v>
      </c>
      <c r="C552" t="s">
        <v>292</v>
      </c>
      <c r="D552" t="s">
        <v>2832</v>
      </c>
      <c r="E552">
        <v>2138.35</v>
      </c>
      <c r="F552" t="s">
        <v>2820</v>
      </c>
      <c r="G552" t="b">
        <v>1</v>
      </c>
      <c r="H552" t="s">
        <v>467</v>
      </c>
    </row>
    <row r="553" spans="1:8" x14ac:dyDescent="0.3">
      <c r="A553" t="s">
        <v>734</v>
      </c>
      <c r="B553" t="s">
        <v>1067</v>
      </c>
      <c r="C553" t="s">
        <v>292</v>
      </c>
      <c r="D553" t="s">
        <v>2833</v>
      </c>
      <c r="E553">
        <v>2222.31</v>
      </c>
      <c r="F553" t="s">
        <v>2820</v>
      </c>
      <c r="G553" t="b">
        <v>1</v>
      </c>
      <c r="H553" t="s">
        <v>468</v>
      </c>
    </row>
    <row r="554" spans="1:8" x14ac:dyDescent="0.3">
      <c r="A554" t="s">
        <v>734</v>
      </c>
      <c r="B554" t="s">
        <v>1067</v>
      </c>
      <c r="C554" t="s">
        <v>294</v>
      </c>
      <c r="D554" t="s">
        <v>2819</v>
      </c>
      <c r="E554">
        <v>0</v>
      </c>
      <c r="F554" t="s">
        <v>2820</v>
      </c>
      <c r="G554" t="b">
        <v>1</v>
      </c>
      <c r="H554" t="s">
        <v>704</v>
      </c>
    </row>
    <row r="555" spans="1:8" x14ac:dyDescent="0.3">
      <c r="A555" t="s">
        <v>734</v>
      </c>
      <c r="B555" t="s">
        <v>1067</v>
      </c>
      <c r="C555" t="s">
        <v>294</v>
      </c>
      <c r="D555" t="s">
        <v>2821</v>
      </c>
      <c r="E555">
        <v>0</v>
      </c>
      <c r="F555" t="s">
        <v>2820</v>
      </c>
      <c r="G555" t="b">
        <v>1</v>
      </c>
      <c r="H555" t="s">
        <v>706</v>
      </c>
    </row>
    <row r="556" spans="1:8" x14ac:dyDescent="0.3">
      <c r="A556" t="s">
        <v>734</v>
      </c>
      <c r="B556" t="s">
        <v>1067</v>
      </c>
      <c r="C556" t="s">
        <v>294</v>
      </c>
      <c r="D556" t="s">
        <v>2822</v>
      </c>
      <c r="E556">
        <v>0</v>
      </c>
      <c r="F556" t="s">
        <v>2820</v>
      </c>
      <c r="G556" t="b">
        <v>1</v>
      </c>
      <c r="H556" t="s">
        <v>708</v>
      </c>
    </row>
    <row r="557" spans="1:8" x14ac:dyDescent="0.3">
      <c r="A557" t="s">
        <v>734</v>
      </c>
      <c r="B557" t="s">
        <v>1067</v>
      </c>
      <c r="C557" t="s">
        <v>294</v>
      </c>
      <c r="D557" t="s">
        <v>2823</v>
      </c>
      <c r="E557">
        <v>0</v>
      </c>
      <c r="F557" t="s">
        <v>2820</v>
      </c>
      <c r="G557" t="b">
        <v>1</v>
      </c>
      <c r="H557" t="s">
        <v>710</v>
      </c>
    </row>
    <row r="558" spans="1:8" x14ac:dyDescent="0.3">
      <c r="A558" t="s">
        <v>734</v>
      </c>
      <c r="B558" t="s">
        <v>1067</v>
      </c>
      <c r="C558" t="s">
        <v>294</v>
      </c>
      <c r="D558" t="s">
        <v>2824</v>
      </c>
      <c r="E558">
        <v>0</v>
      </c>
      <c r="F558" t="s">
        <v>2820</v>
      </c>
      <c r="G558" t="b">
        <v>1</v>
      </c>
      <c r="H558" t="s">
        <v>2802</v>
      </c>
    </row>
    <row r="559" spans="1:8" x14ac:dyDescent="0.3">
      <c r="A559" t="s">
        <v>734</v>
      </c>
      <c r="B559" t="s">
        <v>1067</v>
      </c>
      <c r="C559" t="s">
        <v>294</v>
      </c>
      <c r="D559" t="s">
        <v>2825</v>
      </c>
      <c r="E559">
        <v>0</v>
      </c>
      <c r="F559" t="s">
        <v>2820</v>
      </c>
      <c r="G559" t="b">
        <v>1</v>
      </c>
      <c r="H559" t="s">
        <v>2800</v>
      </c>
    </row>
    <row r="560" spans="1:8" x14ac:dyDescent="0.3">
      <c r="A560" t="s">
        <v>734</v>
      </c>
      <c r="B560" t="s">
        <v>1067</v>
      </c>
      <c r="C560" t="s">
        <v>294</v>
      </c>
      <c r="D560" t="s">
        <v>2826</v>
      </c>
      <c r="E560">
        <v>0</v>
      </c>
      <c r="F560" t="s">
        <v>2820</v>
      </c>
      <c r="G560" t="b">
        <v>1</v>
      </c>
      <c r="H560" t="s">
        <v>1935</v>
      </c>
    </row>
    <row r="561" spans="1:8" x14ac:dyDescent="0.3">
      <c r="A561" t="s">
        <v>734</v>
      </c>
      <c r="B561" t="s">
        <v>1067</v>
      </c>
      <c r="C561" t="s">
        <v>294</v>
      </c>
      <c r="D561" t="s">
        <v>2827</v>
      </c>
      <c r="E561">
        <v>0</v>
      </c>
      <c r="F561" t="s">
        <v>2820</v>
      </c>
      <c r="G561" t="b">
        <v>1</v>
      </c>
      <c r="H561" t="s">
        <v>2828</v>
      </c>
    </row>
    <row r="562" spans="1:8" x14ac:dyDescent="0.3">
      <c r="A562" t="s">
        <v>734</v>
      </c>
      <c r="B562" t="s">
        <v>1067</v>
      </c>
      <c r="C562" t="s">
        <v>294</v>
      </c>
      <c r="D562" t="s">
        <v>2829</v>
      </c>
      <c r="E562">
        <v>0</v>
      </c>
      <c r="F562" t="s">
        <v>2820</v>
      </c>
      <c r="G562" t="b">
        <v>1</v>
      </c>
      <c r="H562" t="s">
        <v>2830</v>
      </c>
    </row>
    <row r="563" spans="1:8" x14ac:dyDescent="0.3">
      <c r="A563" t="s">
        <v>734</v>
      </c>
      <c r="B563" t="s">
        <v>1067</v>
      </c>
      <c r="C563" t="s">
        <v>294</v>
      </c>
      <c r="D563" t="s">
        <v>2831</v>
      </c>
      <c r="E563">
        <v>0</v>
      </c>
      <c r="F563" t="s">
        <v>2820</v>
      </c>
      <c r="G563" t="b">
        <v>1</v>
      </c>
      <c r="H563" t="s">
        <v>466</v>
      </c>
    </row>
    <row r="564" spans="1:8" x14ac:dyDescent="0.3">
      <c r="A564" t="s">
        <v>734</v>
      </c>
      <c r="B564" t="s">
        <v>1067</v>
      </c>
      <c r="C564" t="s">
        <v>294</v>
      </c>
      <c r="D564" t="s">
        <v>2832</v>
      </c>
      <c r="E564">
        <v>0</v>
      </c>
      <c r="F564" t="s">
        <v>2820</v>
      </c>
      <c r="G564" t="b">
        <v>1</v>
      </c>
      <c r="H564" t="s">
        <v>467</v>
      </c>
    </row>
    <row r="565" spans="1:8" x14ac:dyDescent="0.3">
      <c r="A565" t="s">
        <v>734</v>
      </c>
      <c r="B565" t="s">
        <v>1067</v>
      </c>
      <c r="C565" t="s">
        <v>294</v>
      </c>
      <c r="D565" t="s">
        <v>2833</v>
      </c>
      <c r="E565">
        <v>0</v>
      </c>
      <c r="F565" t="s">
        <v>2820</v>
      </c>
      <c r="G565" t="b">
        <v>1</v>
      </c>
      <c r="H565" t="s">
        <v>468</v>
      </c>
    </row>
    <row r="566" spans="1:8" x14ac:dyDescent="0.3">
      <c r="A566" t="s">
        <v>734</v>
      </c>
      <c r="B566" t="s">
        <v>2840</v>
      </c>
      <c r="C566" t="s">
        <v>13</v>
      </c>
      <c r="D566" t="s">
        <v>2819</v>
      </c>
      <c r="E566">
        <v>0</v>
      </c>
      <c r="F566" t="s">
        <v>2820</v>
      </c>
      <c r="G566" t="b">
        <v>1</v>
      </c>
      <c r="H566" t="s">
        <v>704</v>
      </c>
    </row>
    <row r="567" spans="1:8" x14ac:dyDescent="0.3">
      <c r="A567" t="s">
        <v>734</v>
      </c>
      <c r="B567" t="s">
        <v>2840</v>
      </c>
      <c r="C567" t="s">
        <v>13</v>
      </c>
      <c r="D567" t="s">
        <v>2821</v>
      </c>
      <c r="E567">
        <v>0</v>
      </c>
      <c r="F567" t="s">
        <v>2820</v>
      </c>
      <c r="G567" t="b">
        <v>1</v>
      </c>
      <c r="H567" t="s">
        <v>706</v>
      </c>
    </row>
    <row r="568" spans="1:8" x14ac:dyDescent="0.3">
      <c r="A568" t="s">
        <v>734</v>
      </c>
      <c r="B568" t="s">
        <v>2840</v>
      </c>
      <c r="C568" t="s">
        <v>13</v>
      </c>
      <c r="D568" t="s">
        <v>2822</v>
      </c>
      <c r="E568">
        <v>0</v>
      </c>
      <c r="F568" t="s">
        <v>2820</v>
      </c>
      <c r="G568" t="b">
        <v>1</v>
      </c>
      <c r="H568" t="s">
        <v>708</v>
      </c>
    </row>
    <row r="569" spans="1:8" x14ac:dyDescent="0.3">
      <c r="A569" t="s">
        <v>734</v>
      </c>
      <c r="B569" t="s">
        <v>2840</v>
      </c>
      <c r="C569" t="s">
        <v>13</v>
      </c>
      <c r="D569" t="s">
        <v>2823</v>
      </c>
      <c r="E569">
        <v>0</v>
      </c>
      <c r="F569" t="s">
        <v>2820</v>
      </c>
      <c r="G569" t="b">
        <v>1</v>
      </c>
      <c r="H569" t="s">
        <v>710</v>
      </c>
    </row>
    <row r="570" spans="1:8" x14ac:dyDescent="0.3">
      <c r="A570" t="s">
        <v>734</v>
      </c>
      <c r="B570" t="s">
        <v>2840</v>
      </c>
      <c r="C570" t="s">
        <v>13</v>
      </c>
      <c r="D570" t="s">
        <v>2824</v>
      </c>
      <c r="E570">
        <v>0</v>
      </c>
      <c r="F570" t="s">
        <v>2820</v>
      </c>
      <c r="G570" t="b">
        <v>1</v>
      </c>
      <c r="H570" t="s">
        <v>2802</v>
      </c>
    </row>
    <row r="571" spans="1:8" x14ac:dyDescent="0.3">
      <c r="A571" t="s">
        <v>734</v>
      </c>
      <c r="B571" t="s">
        <v>2840</v>
      </c>
      <c r="C571" t="s">
        <v>13</v>
      </c>
      <c r="D571" t="s">
        <v>2825</v>
      </c>
      <c r="E571">
        <v>0</v>
      </c>
      <c r="F571" t="s">
        <v>2820</v>
      </c>
      <c r="G571" t="b">
        <v>1</v>
      </c>
      <c r="H571" t="s">
        <v>2800</v>
      </c>
    </row>
    <row r="572" spans="1:8" x14ac:dyDescent="0.3">
      <c r="A572" t="s">
        <v>734</v>
      </c>
      <c r="B572" t="s">
        <v>2840</v>
      </c>
      <c r="C572" t="s">
        <v>13</v>
      </c>
      <c r="D572" t="s">
        <v>2826</v>
      </c>
      <c r="E572">
        <v>0</v>
      </c>
      <c r="F572" t="s">
        <v>2820</v>
      </c>
      <c r="G572" t="b">
        <v>1</v>
      </c>
      <c r="H572" t="s">
        <v>1935</v>
      </c>
    </row>
    <row r="573" spans="1:8" x14ac:dyDescent="0.3">
      <c r="A573" t="s">
        <v>734</v>
      </c>
      <c r="B573" t="s">
        <v>2840</v>
      </c>
      <c r="C573" t="s">
        <v>13</v>
      </c>
      <c r="D573" t="s">
        <v>2827</v>
      </c>
      <c r="E573">
        <v>1936227.56</v>
      </c>
      <c r="F573" t="s">
        <v>2820</v>
      </c>
      <c r="G573" t="b">
        <v>1</v>
      </c>
      <c r="H573" t="s">
        <v>2828</v>
      </c>
    </row>
    <row r="574" spans="1:8" x14ac:dyDescent="0.3">
      <c r="A574" t="s">
        <v>734</v>
      </c>
      <c r="B574" t="s">
        <v>2840</v>
      </c>
      <c r="C574" t="s">
        <v>13</v>
      </c>
      <c r="D574" t="s">
        <v>2829</v>
      </c>
      <c r="E574">
        <v>1845573.64</v>
      </c>
      <c r="F574" t="s">
        <v>2820</v>
      </c>
      <c r="G574" t="b">
        <v>1</v>
      </c>
      <c r="H574" t="s">
        <v>2830</v>
      </c>
    </row>
    <row r="575" spans="1:8" x14ac:dyDescent="0.3">
      <c r="A575" t="s">
        <v>734</v>
      </c>
      <c r="B575" t="s">
        <v>2840</v>
      </c>
      <c r="C575" t="s">
        <v>13</v>
      </c>
      <c r="D575" t="s">
        <v>2831</v>
      </c>
      <c r="E575">
        <v>1996644.28</v>
      </c>
      <c r="F575" t="s">
        <v>2820</v>
      </c>
      <c r="G575" t="b">
        <v>1</v>
      </c>
      <c r="H575" t="s">
        <v>466</v>
      </c>
    </row>
    <row r="576" spans="1:8" x14ac:dyDescent="0.3">
      <c r="A576" t="s">
        <v>734</v>
      </c>
      <c r="B576" t="s">
        <v>2840</v>
      </c>
      <c r="C576" t="s">
        <v>13</v>
      </c>
      <c r="D576" t="s">
        <v>2832</v>
      </c>
      <c r="E576">
        <v>1821943.2</v>
      </c>
      <c r="F576" t="s">
        <v>2820</v>
      </c>
      <c r="G576" t="b">
        <v>1</v>
      </c>
      <c r="H576" t="s">
        <v>467</v>
      </c>
    </row>
    <row r="577" spans="1:8" x14ac:dyDescent="0.3">
      <c r="A577" t="s">
        <v>734</v>
      </c>
      <c r="B577" t="s">
        <v>2840</v>
      </c>
      <c r="C577" t="s">
        <v>13</v>
      </c>
      <c r="D577" t="s">
        <v>2833</v>
      </c>
      <c r="E577">
        <v>1819937.96</v>
      </c>
      <c r="F577" t="s">
        <v>2820</v>
      </c>
      <c r="G577" t="b">
        <v>1</v>
      </c>
      <c r="H577" t="s">
        <v>468</v>
      </c>
    </row>
    <row r="578" spans="1:8" x14ac:dyDescent="0.3">
      <c r="A578" t="s">
        <v>734</v>
      </c>
      <c r="B578" t="s">
        <v>2840</v>
      </c>
      <c r="C578" t="s">
        <v>17</v>
      </c>
      <c r="D578" t="s">
        <v>2819</v>
      </c>
      <c r="E578">
        <v>0</v>
      </c>
      <c r="F578" t="s">
        <v>2820</v>
      </c>
      <c r="G578" t="b">
        <v>1</v>
      </c>
      <c r="H578" t="s">
        <v>704</v>
      </c>
    </row>
    <row r="579" spans="1:8" x14ac:dyDescent="0.3">
      <c r="A579" t="s">
        <v>734</v>
      </c>
      <c r="B579" t="s">
        <v>2840</v>
      </c>
      <c r="C579" t="s">
        <v>17</v>
      </c>
      <c r="D579" t="s">
        <v>2821</v>
      </c>
      <c r="E579">
        <v>0</v>
      </c>
      <c r="F579" t="s">
        <v>2820</v>
      </c>
      <c r="G579" t="b">
        <v>1</v>
      </c>
      <c r="H579" t="s">
        <v>706</v>
      </c>
    </row>
    <row r="580" spans="1:8" x14ac:dyDescent="0.3">
      <c r="A580" t="s">
        <v>734</v>
      </c>
      <c r="B580" t="s">
        <v>2840</v>
      </c>
      <c r="C580" t="s">
        <v>17</v>
      </c>
      <c r="D580" t="s">
        <v>2822</v>
      </c>
      <c r="E580">
        <v>0</v>
      </c>
      <c r="F580" t="s">
        <v>2820</v>
      </c>
      <c r="G580" t="b">
        <v>1</v>
      </c>
      <c r="H580" t="s">
        <v>708</v>
      </c>
    </row>
    <row r="581" spans="1:8" x14ac:dyDescent="0.3">
      <c r="A581" t="s">
        <v>734</v>
      </c>
      <c r="B581" t="s">
        <v>2840</v>
      </c>
      <c r="C581" t="s">
        <v>17</v>
      </c>
      <c r="D581" t="s">
        <v>2823</v>
      </c>
      <c r="E581">
        <v>0</v>
      </c>
      <c r="F581" t="s">
        <v>2820</v>
      </c>
      <c r="G581" t="b">
        <v>1</v>
      </c>
      <c r="H581" t="s">
        <v>710</v>
      </c>
    </row>
    <row r="582" spans="1:8" x14ac:dyDescent="0.3">
      <c r="A582" t="s">
        <v>734</v>
      </c>
      <c r="B582" t="s">
        <v>2840</v>
      </c>
      <c r="C582" t="s">
        <v>17</v>
      </c>
      <c r="D582" t="s">
        <v>2824</v>
      </c>
      <c r="E582">
        <v>0</v>
      </c>
      <c r="F582" t="s">
        <v>2820</v>
      </c>
      <c r="G582" t="b">
        <v>1</v>
      </c>
      <c r="H582" t="s">
        <v>2802</v>
      </c>
    </row>
    <row r="583" spans="1:8" x14ac:dyDescent="0.3">
      <c r="A583" t="s">
        <v>734</v>
      </c>
      <c r="B583" t="s">
        <v>2840</v>
      </c>
      <c r="C583" t="s">
        <v>17</v>
      </c>
      <c r="D583" t="s">
        <v>2825</v>
      </c>
      <c r="E583">
        <v>0</v>
      </c>
      <c r="F583" t="s">
        <v>2820</v>
      </c>
      <c r="G583" t="b">
        <v>1</v>
      </c>
      <c r="H583" t="s">
        <v>2800</v>
      </c>
    </row>
    <row r="584" spans="1:8" x14ac:dyDescent="0.3">
      <c r="A584" t="s">
        <v>734</v>
      </c>
      <c r="B584" t="s">
        <v>2840</v>
      </c>
      <c r="C584" t="s">
        <v>17</v>
      </c>
      <c r="D584" t="s">
        <v>2826</v>
      </c>
      <c r="E584">
        <v>0</v>
      </c>
      <c r="F584" t="s">
        <v>2820</v>
      </c>
      <c r="G584" t="b">
        <v>1</v>
      </c>
      <c r="H584" t="s">
        <v>1935</v>
      </c>
    </row>
    <row r="585" spans="1:8" x14ac:dyDescent="0.3">
      <c r="A585" t="s">
        <v>734</v>
      </c>
      <c r="B585" t="s">
        <v>2840</v>
      </c>
      <c r="C585" t="s">
        <v>17</v>
      </c>
      <c r="D585" t="s">
        <v>2827</v>
      </c>
      <c r="E585">
        <v>862555.9</v>
      </c>
      <c r="F585" t="s">
        <v>2820</v>
      </c>
      <c r="G585" t="b">
        <v>1</v>
      </c>
      <c r="H585" t="s">
        <v>2828</v>
      </c>
    </row>
    <row r="586" spans="1:8" x14ac:dyDescent="0.3">
      <c r="A586" t="s">
        <v>734</v>
      </c>
      <c r="B586" t="s">
        <v>2840</v>
      </c>
      <c r="C586" t="s">
        <v>17</v>
      </c>
      <c r="D586" t="s">
        <v>2829</v>
      </c>
      <c r="E586">
        <v>817648.72</v>
      </c>
      <c r="F586" t="s">
        <v>2820</v>
      </c>
      <c r="G586" t="b">
        <v>1</v>
      </c>
      <c r="H586" t="s">
        <v>2830</v>
      </c>
    </row>
    <row r="587" spans="1:8" x14ac:dyDescent="0.3">
      <c r="A587" t="s">
        <v>734</v>
      </c>
      <c r="B587" t="s">
        <v>2840</v>
      </c>
      <c r="C587" t="s">
        <v>17</v>
      </c>
      <c r="D587" t="s">
        <v>2831</v>
      </c>
      <c r="E587">
        <v>896493.38</v>
      </c>
      <c r="F587" t="s">
        <v>2820</v>
      </c>
      <c r="G587" t="b">
        <v>1</v>
      </c>
      <c r="H587" t="s">
        <v>466</v>
      </c>
    </row>
    <row r="588" spans="1:8" x14ac:dyDescent="0.3">
      <c r="A588" t="s">
        <v>734</v>
      </c>
      <c r="B588" t="s">
        <v>2840</v>
      </c>
      <c r="C588" t="s">
        <v>17</v>
      </c>
      <c r="D588" t="s">
        <v>2832</v>
      </c>
      <c r="E588">
        <v>810889.24</v>
      </c>
      <c r="F588" t="s">
        <v>2820</v>
      </c>
      <c r="G588" t="b">
        <v>1</v>
      </c>
      <c r="H588" t="s">
        <v>467</v>
      </c>
    </row>
    <row r="589" spans="1:8" x14ac:dyDescent="0.3">
      <c r="A589" t="s">
        <v>734</v>
      </c>
      <c r="B589" t="s">
        <v>2840</v>
      </c>
      <c r="C589" t="s">
        <v>17</v>
      </c>
      <c r="D589" t="s">
        <v>2833</v>
      </c>
      <c r="E589">
        <v>797122.72</v>
      </c>
      <c r="F589" t="s">
        <v>2820</v>
      </c>
      <c r="G589" t="b">
        <v>1</v>
      </c>
      <c r="H589" t="s">
        <v>468</v>
      </c>
    </row>
    <row r="590" spans="1:8" x14ac:dyDescent="0.3">
      <c r="A590" t="s">
        <v>734</v>
      </c>
      <c r="B590" t="s">
        <v>2840</v>
      </c>
      <c r="C590" t="s">
        <v>16</v>
      </c>
      <c r="D590" t="s">
        <v>2819</v>
      </c>
      <c r="E590">
        <v>0</v>
      </c>
      <c r="F590" t="s">
        <v>2820</v>
      </c>
      <c r="G590" t="b">
        <v>1</v>
      </c>
      <c r="H590" t="s">
        <v>704</v>
      </c>
    </row>
    <row r="591" spans="1:8" x14ac:dyDescent="0.3">
      <c r="A591" t="s">
        <v>734</v>
      </c>
      <c r="B591" t="s">
        <v>2840</v>
      </c>
      <c r="C591" t="s">
        <v>16</v>
      </c>
      <c r="D591" t="s">
        <v>2821</v>
      </c>
      <c r="E591">
        <v>0</v>
      </c>
      <c r="F591" t="s">
        <v>2820</v>
      </c>
      <c r="G591" t="b">
        <v>1</v>
      </c>
      <c r="H591" t="s">
        <v>706</v>
      </c>
    </row>
    <row r="592" spans="1:8" x14ac:dyDescent="0.3">
      <c r="A592" t="s">
        <v>734</v>
      </c>
      <c r="B592" t="s">
        <v>2840</v>
      </c>
      <c r="C592" t="s">
        <v>16</v>
      </c>
      <c r="D592" t="s">
        <v>2822</v>
      </c>
      <c r="E592">
        <v>0</v>
      </c>
      <c r="F592" t="s">
        <v>2820</v>
      </c>
      <c r="G592" t="b">
        <v>1</v>
      </c>
      <c r="H592" t="s">
        <v>708</v>
      </c>
    </row>
    <row r="593" spans="1:8" x14ac:dyDescent="0.3">
      <c r="A593" t="s">
        <v>734</v>
      </c>
      <c r="B593" t="s">
        <v>2840</v>
      </c>
      <c r="C593" t="s">
        <v>16</v>
      </c>
      <c r="D593" t="s">
        <v>2823</v>
      </c>
      <c r="E593">
        <v>0</v>
      </c>
      <c r="F593" t="s">
        <v>2820</v>
      </c>
      <c r="G593" t="b">
        <v>1</v>
      </c>
      <c r="H593" t="s">
        <v>710</v>
      </c>
    </row>
    <row r="594" spans="1:8" x14ac:dyDescent="0.3">
      <c r="A594" t="s">
        <v>734</v>
      </c>
      <c r="B594" t="s">
        <v>2840</v>
      </c>
      <c r="C594" t="s">
        <v>16</v>
      </c>
      <c r="D594" t="s">
        <v>2824</v>
      </c>
      <c r="E594">
        <v>0</v>
      </c>
      <c r="F594" t="s">
        <v>2820</v>
      </c>
      <c r="G594" t="b">
        <v>1</v>
      </c>
      <c r="H594" t="s">
        <v>2802</v>
      </c>
    </row>
    <row r="595" spans="1:8" x14ac:dyDescent="0.3">
      <c r="A595" t="s">
        <v>734</v>
      </c>
      <c r="B595" t="s">
        <v>2840</v>
      </c>
      <c r="C595" t="s">
        <v>16</v>
      </c>
      <c r="D595" t="s">
        <v>2825</v>
      </c>
      <c r="E595">
        <v>0</v>
      </c>
      <c r="F595" t="s">
        <v>2820</v>
      </c>
      <c r="G595" t="b">
        <v>1</v>
      </c>
      <c r="H595" t="s">
        <v>2800</v>
      </c>
    </row>
    <row r="596" spans="1:8" x14ac:dyDescent="0.3">
      <c r="A596" t="s">
        <v>734</v>
      </c>
      <c r="B596" t="s">
        <v>2840</v>
      </c>
      <c r="C596" t="s">
        <v>16</v>
      </c>
      <c r="D596" t="s">
        <v>2826</v>
      </c>
      <c r="E596">
        <v>0</v>
      </c>
      <c r="F596" t="s">
        <v>2820</v>
      </c>
      <c r="G596" t="b">
        <v>1</v>
      </c>
      <c r="H596" t="s">
        <v>1935</v>
      </c>
    </row>
    <row r="597" spans="1:8" x14ac:dyDescent="0.3">
      <c r="A597" t="s">
        <v>734</v>
      </c>
      <c r="B597" t="s">
        <v>2840</v>
      </c>
      <c r="C597" t="s">
        <v>16</v>
      </c>
      <c r="D597" t="s">
        <v>2827</v>
      </c>
      <c r="E597">
        <v>1483067.92</v>
      </c>
      <c r="F597" t="s">
        <v>2820</v>
      </c>
      <c r="G597" t="b">
        <v>1</v>
      </c>
      <c r="H597" t="s">
        <v>2828</v>
      </c>
    </row>
    <row r="598" spans="1:8" x14ac:dyDescent="0.3">
      <c r="A598" t="s">
        <v>734</v>
      </c>
      <c r="B598" t="s">
        <v>2840</v>
      </c>
      <c r="C598" t="s">
        <v>16</v>
      </c>
      <c r="D598" t="s">
        <v>2829</v>
      </c>
      <c r="E598">
        <v>1413630.87</v>
      </c>
      <c r="F598" t="s">
        <v>2820</v>
      </c>
      <c r="G598" t="b">
        <v>1</v>
      </c>
      <c r="H598" t="s">
        <v>2830</v>
      </c>
    </row>
    <row r="599" spans="1:8" x14ac:dyDescent="0.3">
      <c r="A599" t="s">
        <v>734</v>
      </c>
      <c r="B599" t="s">
        <v>2840</v>
      </c>
      <c r="C599" t="s">
        <v>16</v>
      </c>
      <c r="D599" t="s">
        <v>2831</v>
      </c>
      <c r="E599">
        <v>1529344.56</v>
      </c>
      <c r="F599" t="s">
        <v>2820</v>
      </c>
      <c r="G599" t="b">
        <v>1</v>
      </c>
      <c r="H599" t="s">
        <v>466</v>
      </c>
    </row>
    <row r="600" spans="1:8" x14ac:dyDescent="0.3">
      <c r="A600" t="s">
        <v>734</v>
      </c>
      <c r="B600" t="s">
        <v>2840</v>
      </c>
      <c r="C600" t="s">
        <v>16</v>
      </c>
      <c r="D600" t="s">
        <v>2832</v>
      </c>
      <c r="E600">
        <v>1395530.96</v>
      </c>
      <c r="F600" t="s">
        <v>2820</v>
      </c>
      <c r="G600" t="b">
        <v>1</v>
      </c>
      <c r="H600" t="s">
        <v>467</v>
      </c>
    </row>
    <row r="601" spans="1:8" x14ac:dyDescent="0.3">
      <c r="A601" t="s">
        <v>734</v>
      </c>
      <c r="B601" t="s">
        <v>2840</v>
      </c>
      <c r="C601" t="s">
        <v>16</v>
      </c>
      <c r="D601" t="s">
        <v>2833</v>
      </c>
      <c r="E601">
        <v>1393995.03</v>
      </c>
      <c r="F601" t="s">
        <v>2820</v>
      </c>
      <c r="G601" t="b">
        <v>1</v>
      </c>
      <c r="H601" t="s">
        <v>468</v>
      </c>
    </row>
    <row r="602" spans="1:8" x14ac:dyDescent="0.3">
      <c r="A602" t="s">
        <v>734</v>
      </c>
      <c r="B602" t="s">
        <v>2840</v>
      </c>
      <c r="C602" t="s">
        <v>29</v>
      </c>
      <c r="D602" t="s">
        <v>2819</v>
      </c>
      <c r="E602">
        <v>0</v>
      </c>
      <c r="F602" t="s">
        <v>2820</v>
      </c>
      <c r="G602" t="b">
        <v>1</v>
      </c>
      <c r="H602" t="s">
        <v>704</v>
      </c>
    </row>
    <row r="603" spans="1:8" x14ac:dyDescent="0.3">
      <c r="A603" t="s">
        <v>734</v>
      </c>
      <c r="B603" t="s">
        <v>2840</v>
      </c>
      <c r="C603" t="s">
        <v>29</v>
      </c>
      <c r="D603" t="s">
        <v>2821</v>
      </c>
      <c r="E603">
        <v>0</v>
      </c>
      <c r="F603" t="s">
        <v>2820</v>
      </c>
      <c r="G603" t="b">
        <v>1</v>
      </c>
      <c r="H603" t="s">
        <v>706</v>
      </c>
    </row>
    <row r="604" spans="1:8" x14ac:dyDescent="0.3">
      <c r="A604" t="s">
        <v>734</v>
      </c>
      <c r="B604" t="s">
        <v>2840</v>
      </c>
      <c r="C604" t="s">
        <v>29</v>
      </c>
      <c r="D604" t="s">
        <v>2822</v>
      </c>
      <c r="E604">
        <v>0</v>
      </c>
      <c r="F604" t="s">
        <v>2820</v>
      </c>
      <c r="G604" t="b">
        <v>1</v>
      </c>
      <c r="H604" t="s">
        <v>708</v>
      </c>
    </row>
    <row r="605" spans="1:8" x14ac:dyDescent="0.3">
      <c r="A605" t="s">
        <v>734</v>
      </c>
      <c r="B605" t="s">
        <v>2840</v>
      </c>
      <c r="C605" t="s">
        <v>29</v>
      </c>
      <c r="D605" t="s">
        <v>2823</v>
      </c>
      <c r="E605">
        <v>0</v>
      </c>
      <c r="F605" t="s">
        <v>2820</v>
      </c>
      <c r="G605" t="b">
        <v>1</v>
      </c>
      <c r="H605" t="s">
        <v>710</v>
      </c>
    </row>
    <row r="606" spans="1:8" x14ac:dyDescent="0.3">
      <c r="A606" t="s">
        <v>734</v>
      </c>
      <c r="B606" t="s">
        <v>2840</v>
      </c>
      <c r="C606" t="s">
        <v>29</v>
      </c>
      <c r="D606" t="s">
        <v>2824</v>
      </c>
      <c r="E606">
        <v>0</v>
      </c>
      <c r="F606" t="s">
        <v>2820</v>
      </c>
      <c r="G606" t="b">
        <v>1</v>
      </c>
      <c r="H606" t="s">
        <v>2802</v>
      </c>
    </row>
    <row r="607" spans="1:8" x14ac:dyDescent="0.3">
      <c r="A607" t="s">
        <v>734</v>
      </c>
      <c r="B607" t="s">
        <v>2840</v>
      </c>
      <c r="C607" t="s">
        <v>29</v>
      </c>
      <c r="D607" t="s">
        <v>2825</v>
      </c>
      <c r="E607">
        <v>0</v>
      </c>
      <c r="F607" t="s">
        <v>2820</v>
      </c>
      <c r="G607" t="b">
        <v>1</v>
      </c>
      <c r="H607" t="s">
        <v>2800</v>
      </c>
    </row>
    <row r="608" spans="1:8" x14ac:dyDescent="0.3">
      <c r="A608" t="s">
        <v>734</v>
      </c>
      <c r="B608" t="s">
        <v>2840</v>
      </c>
      <c r="C608" t="s">
        <v>29</v>
      </c>
      <c r="D608" t="s">
        <v>2826</v>
      </c>
      <c r="E608">
        <v>0</v>
      </c>
      <c r="F608" t="s">
        <v>2820</v>
      </c>
      <c r="G608" t="b">
        <v>1</v>
      </c>
      <c r="H608" t="s">
        <v>1935</v>
      </c>
    </row>
    <row r="609" spans="1:8" x14ac:dyDescent="0.3">
      <c r="A609" t="s">
        <v>734</v>
      </c>
      <c r="B609" t="s">
        <v>2840</v>
      </c>
      <c r="C609" t="s">
        <v>29</v>
      </c>
      <c r="D609" t="s">
        <v>2827</v>
      </c>
      <c r="E609">
        <v>0</v>
      </c>
      <c r="F609" t="s">
        <v>2820</v>
      </c>
      <c r="G609" t="b">
        <v>1</v>
      </c>
      <c r="H609" t="s">
        <v>2828</v>
      </c>
    </row>
    <row r="610" spans="1:8" x14ac:dyDescent="0.3">
      <c r="A610" t="s">
        <v>734</v>
      </c>
      <c r="B610" t="s">
        <v>2840</v>
      </c>
      <c r="C610" t="s">
        <v>29</v>
      </c>
      <c r="D610" t="s">
        <v>2829</v>
      </c>
      <c r="E610">
        <v>0</v>
      </c>
      <c r="F610" t="s">
        <v>2820</v>
      </c>
      <c r="G610" t="b">
        <v>1</v>
      </c>
      <c r="H610" t="s">
        <v>2830</v>
      </c>
    </row>
    <row r="611" spans="1:8" x14ac:dyDescent="0.3">
      <c r="A611" t="s">
        <v>734</v>
      </c>
      <c r="B611" t="s">
        <v>2840</v>
      </c>
      <c r="C611" t="s">
        <v>29</v>
      </c>
      <c r="D611" t="s">
        <v>2831</v>
      </c>
      <c r="E611">
        <v>0</v>
      </c>
      <c r="F611" t="s">
        <v>2820</v>
      </c>
      <c r="G611" t="b">
        <v>1</v>
      </c>
      <c r="H611" t="s">
        <v>466</v>
      </c>
    </row>
    <row r="612" spans="1:8" x14ac:dyDescent="0.3">
      <c r="A612" t="s">
        <v>734</v>
      </c>
      <c r="B612" t="s">
        <v>2840</v>
      </c>
      <c r="C612" t="s">
        <v>29</v>
      </c>
      <c r="D612" t="s">
        <v>2832</v>
      </c>
      <c r="E612">
        <v>0</v>
      </c>
      <c r="F612" t="s">
        <v>2820</v>
      </c>
      <c r="G612" t="b">
        <v>1</v>
      </c>
      <c r="H612" t="s">
        <v>467</v>
      </c>
    </row>
    <row r="613" spans="1:8" x14ac:dyDescent="0.3">
      <c r="A613" t="s">
        <v>734</v>
      </c>
      <c r="B613" t="s">
        <v>2840</v>
      </c>
      <c r="C613" t="s">
        <v>29</v>
      </c>
      <c r="D613" t="s">
        <v>2833</v>
      </c>
      <c r="E613">
        <v>0</v>
      </c>
      <c r="F613" t="s">
        <v>2820</v>
      </c>
      <c r="G613" t="b">
        <v>1</v>
      </c>
      <c r="H613" t="s">
        <v>468</v>
      </c>
    </row>
    <row r="614" spans="1:8" x14ac:dyDescent="0.3">
      <c r="A614" t="s">
        <v>734</v>
      </c>
      <c r="B614" t="s">
        <v>2840</v>
      </c>
      <c r="C614" t="s">
        <v>23</v>
      </c>
      <c r="D614" t="s">
        <v>2819</v>
      </c>
      <c r="E614">
        <v>0</v>
      </c>
      <c r="F614" t="s">
        <v>2820</v>
      </c>
      <c r="G614" t="b">
        <v>1</v>
      </c>
      <c r="H614" t="s">
        <v>704</v>
      </c>
    </row>
    <row r="615" spans="1:8" x14ac:dyDescent="0.3">
      <c r="A615" t="s">
        <v>734</v>
      </c>
      <c r="B615" t="s">
        <v>2840</v>
      </c>
      <c r="C615" t="s">
        <v>23</v>
      </c>
      <c r="D615" t="s">
        <v>2821</v>
      </c>
      <c r="E615">
        <v>0</v>
      </c>
      <c r="F615" t="s">
        <v>2820</v>
      </c>
      <c r="G615" t="b">
        <v>1</v>
      </c>
      <c r="H615" t="s">
        <v>706</v>
      </c>
    </row>
    <row r="616" spans="1:8" x14ac:dyDescent="0.3">
      <c r="A616" t="s">
        <v>734</v>
      </c>
      <c r="B616" t="s">
        <v>2840</v>
      </c>
      <c r="C616" t="s">
        <v>23</v>
      </c>
      <c r="D616" t="s">
        <v>2822</v>
      </c>
      <c r="E616">
        <v>0</v>
      </c>
      <c r="F616" t="s">
        <v>2820</v>
      </c>
      <c r="G616" t="b">
        <v>1</v>
      </c>
      <c r="H616" t="s">
        <v>708</v>
      </c>
    </row>
    <row r="617" spans="1:8" x14ac:dyDescent="0.3">
      <c r="A617" t="s">
        <v>734</v>
      </c>
      <c r="B617" t="s">
        <v>2840</v>
      </c>
      <c r="C617" t="s">
        <v>23</v>
      </c>
      <c r="D617" t="s">
        <v>2823</v>
      </c>
      <c r="E617">
        <v>0</v>
      </c>
      <c r="F617" t="s">
        <v>2820</v>
      </c>
      <c r="G617" t="b">
        <v>1</v>
      </c>
      <c r="H617" t="s">
        <v>710</v>
      </c>
    </row>
    <row r="618" spans="1:8" x14ac:dyDescent="0.3">
      <c r="A618" t="s">
        <v>734</v>
      </c>
      <c r="B618" t="s">
        <v>2840</v>
      </c>
      <c r="C618" t="s">
        <v>23</v>
      </c>
      <c r="D618" t="s">
        <v>2824</v>
      </c>
      <c r="E618">
        <v>0</v>
      </c>
      <c r="F618" t="s">
        <v>2820</v>
      </c>
      <c r="G618" t="b">
        <v>1</v>
      </c>
      <c r="H618" t="s">
        <v>2802</v>
      </c>
    </row>
    <row r="619" spans="1:8" x14ac:dyDescent="0.3">
      <c r="A619" t="s">
        <v>734</v>
      </c>
      <c r="B619" t="s">
        <v>2840</v>
      </c>
      <c r="C619" t="s">
        <v>23</v>
      </c>
      <c r="D619" t="s">
        <v>2825</v>
      </c>
      <c r="E619">
        <v>0</v>
      </c>
      <c r="F619" t="s">
        <v>2820</v>
      </c>
      <c r="G619" t="b">
        <v>1</v>
      </c>
      <c r="H619" t="s">
        <v>2800</v>
      </c>
    </row>
    <row r="620" spans="1:8" x14ac:dyDescent="0.3">
      <c r="A620" t="s">
        <v>734</v>
      </c>
      <c r="B620" t="s">
        <v>2840</v>
      </c>
      <c r="C620" t="s">
        <v>23</v>
      </c>
      <c r="D620" t="s">
        <v>2826</v>
      </c>
      <c r="E620">
        <v>0</v>
      </c>
      <c r="F620" t="s">
        <v>2820</v>
      </c>
      <c r="G620" t="b">
        <v>1</v>
      </c>
      <c r="H620" t="s">
        <v>1935</v>
      </c>
    </row>
    <row r="621" spans="1:8" x14ac:dyDescent="0.3">
      <c r="A621" t="s">
        <v>734</v>
      </c>
      <c r="B621" t="s">
        <v>2840</v>
      </c>
      <c r="C621" t="s">
        <v>23</v>
      </c>
      <c r="D621" t="s">
        <v>2827</v>
      </c>
      <c r="E621">
        <v>48750</v>
      </c>
      <c r="F621" t="s">
        <v>2820</v>
      </c>
      <c r="G621" t="b">
        <v>1</v>
      </c>
      <c r="H621" t="s">
        <v>2828</v>
      </c>
    </row>
    <row r="622" spans="1:8" x14ac:dyDescent="0.3">
      <c r="A622" t="s">
        <v>734</v>
      </c>
      <c r="B622" t="s">
        <v>2840</v>
      </c>
      <c r="C622" t="s">
        <v>23</v>
      </c>
      <c r="D622" t="s">
        <v>2829</v>
      </c>
      <c r="E622">
        <v>97500</v>
      </c>
      <c r="F622" t="s">
        <v>2820</v>
      </c>
      <c r="G622" t="b">
        <v>1</v>
      </c>
      <c r="H622" t="s">
        <v>2830</v>
      </c>
    </row>
    <row r="623" spans="1:8" x14ac:dyDescent="0.3">
      <c r="A623" t="s">
        <v>734</v>
      </c>
      <c r="B623" t="s">
        <v>2840</v>
      </c>
      <c r="C623" t="s">
        <v>23</v>
      </c>
      <c r="D623" t="s">
        <v>2831</v>
      </c>
      <c r="E623">
        <v>146250</v>
      </c>
      <c r="F623" t="s">
        <v>2820</v>
      </c>
      <c r="G623" t="b">
        <v>1</v>
      </c>
      <c r="H623" t="s">
        <v>466</v>
      </c>
    </row>
    <row r="624" spans="1:8" x14ac:dyDescent="0.3">
      <c r="A624" t="s">
        <v>734</v>
      </c>
      <c r="B624" t="s">
        <v>2840</v>
      </c>
      <c r="C624" t="s">
        <v>23</v>
      </c>
      <c r="D624" t="s">
        <v>2832</v>
      </c>
      <c r="E624">
        <v>165750</v>
      </c>
      <c r="F624" t="s">
        <v>2820</v>
      </c>
      <c r="G624" t="b">
        <v>1</v>
      </c>
      <c r="H624" t="s">
        <v>467</v>
      </c>
    </row>
    <row r="625" spans="1:8" x14ac:dyDescent="0.3">
      <c r="A625" t="s">
        <v>734</v>
      </c>
      <c r="B625" t="s">
        <v>2840</v>
      </c>
      <c r="C625" t="s">
        <v>23</v>
      </c>
      <c r="D625" t="s">
        <v>2833</v>
      </c>
      <c r="E625">
        <v>450125</v>
      </c>
      <c r="F625" t="s">
        <v>2820</v>
      </c>
      <c r="G625" t="b">
        <v>1</v>
      </c>
      <c r="H625" t="s">
        <v>468</v>
      </c>
    </row>
    <row r="626" spans="1:8" x14ac:dyDescent="0.3">
      <c r="A626" t="s">
        <v>734</v>
      </c>
      <c r="B626" t="s">
        <v>2840</v>
      </c>
      <c r="C626" t="s">
        <v>25</v>
      </c>
      <c r="D626" t="s">
        <v>2819</v>
      </c>
      <c r="E626">
        <v>0</v>
      </c>
      <c r="F626" t="s">
        <v>2820</v>
      </c>
      <c r="G626" t="b">
        <v>1</v>
      </c>
      <c r="H626" t="s">
        <v>704</v>
      </c>
    </row>
    <row r="627" spans="1:8" x14ac:dyDescent="0.3">
      <c r="A627" t="s">
        <v>734</v>
      </c>
      <c r="B627" t="s">
        <v>2840</v>
      </c>
      <c r="C627" t="s">
        <v>25</v>
      </c>
      <c r="D627" t="s">
        <v>2821</v>
      </c>
      <c r="E627">
        <v>0</v>
      </c>
      <c r="F627" t="s">
        <v>2820</v>
      </c>
      <c r="G627" t="b">
        <v>1</v>
      </c>
      <c r="H627" t="s">
        <v>706</v>
      </c>
    </row>
    <row r="628" spans="1:8" x14ac:dyDescent="0.3">
      <c r="A628" t="s">
        <v>734</v>
      </c>
      <c r="B628" t="s">
        <v>2840</v>
      </c>
      <c r="C628" t="s">
        <v>25</v>
      </c>
      <c r="D628" t="s">
        <v>2822</v>
      </c>
      <c r="E628">
        <v>0</v>
      </c>
      <c r="F628" t="s">
        <v>2820</v>
      </c>
      <c r="G628" t="b">
        <v>1</v>
      </c>
      <c r="H628" t="s">
        <v>708</v>
      </c>
    </row>
    <row r="629" spans="1:8" x14ac:dyDescent="0.3">
      <c r="A629" t="s">
        <v>734</v>
      </c>
      <c r="B629" t="s">
        <v>2840</v>
      </c>
      <c r="C629" t="s">
        <v>25</v>
      </c>
      <c r="D629" t="s">
        <v>2823</v>
      </c>
      <c r="E629">
        <v>0</v>
      </c>
      <c r="F629" t="s">
        <v>2820</v>
      </c>
      <c r="G629" t="b">
        <v>1</v>
      </c>
      <c r="H629" t="s">
        <v>710</v>
      </c>
    </row>
    <row r="630" spans="1:8" x14ac:dyDescent="0.3">
      <c r="A630" t="s">
        <v>734</v>
      </c>
      <c r="B630" t="s">
        <v>2840</v>
      </c>
      <c r="C630" t="s">
        <v>25</v>
      </c>
      <c r="D630" t="s">
        <v>2824</v>
      </c>
      <c r="E630">
        <v>0</v>
      </c>
      <c r="F630" t="s">
        <v>2820</v>
      </c>
      <c r="G630" t="b">
        <v>1</v>
      </c>
      <c r="H630" t="s">
        <v>2802</v>
      </c>
    </row>
    <row r="631" spans="1:8" x14ac:dyDescent="0.3">
      <c r="A631" t="s">
        <v>734</v>
      </c>
      <c r="B631" t="s">
        <v>2840</v>
      </c>
      <c r="C631" t="s">
        <v>25</v>
      </c>
      <c r="D631" t="s">
        <v>2825</v>
      </c>
      <c r="E631">
        <v>0</v>
      </c>
      <c r="F631" t="s">
        <v>2820</v>
      </c>
      <c r="G631" t="b">
        <v>1</v>
      </c>
      <c r="H631" t="s">
        <v>2800</v>
      </c>
    </row>
    <row r="632" spans="1:8" x14ac:dyDescent="0.3">
      <c r="A632" t="s">
        <v>734</v>
      </c>
      <c r="B632" t="s">
        <v>2840</v>
      </c>
      <c r="C632" t="s">
        <v>25</v>
      </c>
      <c r="D632" t="s">
        <v>2826</v>
      </c>
      <c r="E632">
        <v>0</v>
      </c>
      <c r="F632" t="s">
        <v>2820</v>
      </c>
      <c r="G632" t="b">
        <v>1</v>
      </c>
      <c r="H632" t="s">
        <v>1935</v>
      </c>
    </row>
    <row r="633" spans="1:8" x14ac:dyDescent="0.3">
      <c r="A633" t="s">
        <v>734</v>
      </c>
      <c r="B633" t="s">
        <v>2840</v>
      </c>
      <c r="C633" t="s">
        <v>25</v>
      </c>
      <c r="D633" t="s">
        <v>2827</v>
      </c>
      <c r="E633">
        <v>11250</v>
      </c>
      <c r="F633" t="s">
        <v>2820</v>
      </c>
      <c r="G633" t="b">
        <v>1</v>
      </c>
      <c r="H633" t="s">
        <v>2828</v>
      </c>
    </row>
    <row r="634" spans="1:8" x14ac:dyDescent="0.3">
      <c r="A634" t="s">
        <v>734</v>
      </c>
      <c r="B634" t="s">
        <v>2840</v>
      </c>
      <c r="C634" t="s">
        <v>25</v>
      </c>
      <c r="D634" t="s">
        <v>2829</v>
      </c>
      <c r="E634">
        <v>22500</v>
      </c>
      <c r="F634" t="s">
        <v>2820</v>
      </c>
      <c r="G634" t="b">
        <v>1</v>
      </c>
      <c r="H634" t="s">
        <v>2830</v>
      </c>
    </row>
    <row r="635" spans="1:8" x14ac:dyDescent="0.3">
      <c r="A635" t="s">
        <v>734</v>
      </c>
      <c r="B635" t="s">
        <v>2840</v>
      </c>
      <c r="C635" t="s">
        <v>25</v>
      </c>
      <c r="D635" t="s">
        <v>2831</v>
      </c>
      <c r="E635">
        <v>33750</v>
      </c>
      <c r="F635" t="s">
        <v>2820</v>
      </c>
      <c r="G635" t="b">
        <v>1</v>
      </c>
      <c r="H635" t="s">
        <v>466</v>
      </c>
    </row>
    <row r="636" spans="1:8" x14ac:dyDescent="0.3">
      <c r="A636" t="s">
        <v>734</v>
      </c>
      <c r="B636" t="s">
        <v>2840</v>
      </c>
      <c r="C636" t="s">
        <v>25</v>
      </c>
      <c r="D636" t="s">
        <v>2832</v>
      </c>
      <c r="E636">
        <v>38250</v>
      </c>
      <c r="F636" t="s">
        <v>2820</v>
      </c>
      <c r="G636" t="b">
        <v>1</v>
      </c>
      <c r="H636" t="s">
        <v>467</v>
      </c>
    </row>
    <row r="637" spans="1:8" x14ac:dyDescent="0.3">
      <c r="A637" t="s">
        <v>734</v>
      </c>
      <c r="B637" t="s">
        <v>2840</v>
      </c>
      <c r="C637" t="s">
        <v>25</v>
      </c>
      <c r="D637" t="s">
        <v>2833</v>
      </c>
      <c r="E637">
        <v>103875</v>
      </c>
      <c r="F637" t="s">
        <v>2820</v>
      </c>
      <c r="G637" t="b">
        <v>1</v>
      </c>
      <c r="H637" t="s">
        <v>468</v>
      </c>
    </row>
    <row r="638" spans="1:8" x14ac:dyDescent="0.3">
      <c r="A638" t="s">
        <v>734</v>
      </c>
      <c r="B638" t="s">
        <v>2840</v>
      </c>
      <c r="C638" t="s">
        <v>26</v>
      </c>
      <c r="D638" t="s">
        <v>2819</v>
      </c>
      <c r="E638">
        <v>0</v>
      </c>
      <c r="F638" t="s">
        <v>2820</v>
      </c>
      <c r="G638" t="b">
        <v>1</v>
      </c>
      <c r="H638" t="s">
        <v>704</v>
      </c>
    </row>
    <row r="639" spans="1:8" x14ac:dyDescent="0.3">
      <c r="A639" t="s">
        <v>734</v>
      </c>
      <c r="B639" t="s">
        <v>2840</v>
      </c>
      <c r="C639" t="s">
        <v>26</v>
      </c>
      <c r="D639" t="s">
        <v>2821</v>
      </c>
      <c r="E639">
        <v>0</v>
      </c>
      <c r="F639" t="s">
        <v>2820</v>
      </c>
      <c r="G639" t="b">
        <v>1</v>
      </c>
      <c r="H639" t="s">
        <v>706</v>
      </c>
    </row>
    <row r="640" spans="1:8" x14ac:dyDescent="0.3">
      <c r="A640" t="s">
        <v>734</v>
      </c>
      <c r="B640" t="s">
        <v>2840</v>
      </c>
      <c r="C640" t="s">
        <v>26</v>
      </c>
      <c r="D640" t="s">
        <v>2822</v>
      </c>
      <c r="E640">
        <v>0</v>
      </c>
      <c r="F640" t="s">
        <v>2820</v>
      </c>
      <c r="G640" t="b">
        <v>1</v>
      </c>
      <c r="H640" t="s">
        <v>708</v>
      </c>
    </row>
    <row r="641" spans="1:8" x14ac:dyDescent="0.3">
      <c r="A641" t="s">
        <v>734</v>
      </c>
      <c r="B641" t="s">
        <v>2840</v>
      </c>
      <c r="C641" t="s">
        <v>26</v>
      </c>
      <c r="D641" t="s">
        <v>2823</v>
      </c>
      <c r="E641">
        <v>0</v>
      </c>
      <c r="F641" t="s">
        <v>2820</v>
      </c>
      <c r="G641" t="b">
        <v>1</v>
      </c>
      <c r="H641" t="s">
        <v>710</v>
      </c>
    </row>
    <row r="642" spans="1:8" x14ac:dyDescent="0.3">
      <c r="A642" t="s">
        <v>734</v>
      </c>
      <c r="B642" t="s">
        <v>2840</v>
      </c>
      <c r="C642" t="s">
        <v>26</v>
      </c>
      <c r="D642" t="s">
        <v>2824</v>
      </c>
      <c r="E642">
        <v>0</v>
      </c>
      <c r="F642" t="s">
        <v>2820</v>
      </c>
      <c r="G642" t="b">
        <v>1</v>
      </c>
      <c r="H642" t="s">
        <v>2802</v>
      </c>
    </row>
    <row r="643" spans="1:8" x14ac:dyDescent="0.3">
      <c r="A643" t="s">
        <v>734</v>
      </c>
      <c r="B643" t="s">
        <v>2840</v>
      </c>
      <c r="C643" t="s">
        <v>26</v>
      </c>
      <c r="D643" t="s">
        <v>2825</v>
      </c>
      <c r="E643">
        <v>0</v>
      </c>
      <c r="F643" t="s">
        <v>2820</v>
      </c>
      <c r="G643" t="b">
        <v>1</v>
      </c>
      <c r="H643" t="s">
        <v>2800</v>
      </c>
    </row>
    <row r="644" spans="1:8" x14ac:dyDescent="0.3">
      <c r="A644" t="s">
        <v>734</v>
      </c>
      <c r="B644" t="s">
        <v>2840</v>
      </c>
      <c r="C644" t="s">
        <v>26</v>
      </c>
      <c r="D644" t="s">
        <v>2826</v>
      </c>
      <c r="E644">
        <v>0</v>
      </c>
      <c r="F644" t="s">
        <v>2820</v>
      </c>
      <c r="G644" t="b">
        <v>1</v>
      </c>
      <c r="H644" t="s">
        <v>1935</v>
      </c>
    </row>
    <row r="645" spans="1:8" x14ac:dyDescent="0.3">
      <c r="A645" t="s">
        <v>734</v>
      </c>
      <c r="B645" t="s">
        <v>2840</v>
      </c>
      <c r="C645" t="s">
        <v>26</v>
      </c>
      <c r="D645" t="s">
        <v>2827</v>
      </c>
      <c r="E645">
        <v>15000</v>
      </c>
      <c r="F645" t="s">
        <v>2820</v>
      </c>
      <c r="G645" t="b">
        <v>1</v>
      </c>
      <c r="H645" t="s">
        <v>2828</v>
      </c>
    </row>
    <row r="646" spans="1:8" x14ac:dyDescent="0.3">
      <c r="A646" t="s">
        <v>734</v>
      </c>
      <c r="B646" t="s">
        <v>2840</v>
      </c>
      <c r="C646" t="s">
        <v>26</v>
      </c>
      <c r="D646" t="s">
        <v>2829</v>
      </c>
      <c r="E646">
        <v>30000</v>
      </c>
      <c r="F646" t="s">
        <v>2820</v>
      </c>
      <c r="G646" t="b">
        <v>1</v>
      </c>
      <c r="H646" t="s">
        <v>2830</v>
      </c>
    </row>
    <row r="647" spans="1:8" x14ac:dyDescent="0.3">
      <c r="A647" t="s">
        <v>734</v>
      </c>
      <c r="B647" t="s">
        <v>2840</v>
      </c>
      <c r="C647" t="s">
        <v>26</v>
      </c>
      <c r="D647" t="s">
        <v>2831</v>
      </c>
      <c r="E647">
        <v>45000</v>
      </c>
      <c r="F647" t="s">
        <v>2820</v>
      </c>
      <c r="G647" t="b">
        <v>1</v>
      </c>
      <c r="H647" t="s">
        <v>466</v>
      </c>
    </row>
    <row r="648" spans="1:8" x14ac:dyDescent="0.3">
      <c r="A648" t="s">
        <v>734</v>
      </c>
      <c r="B648" t="s">
        <v>2840</v>
      </c>
      <c r="C648" t="s">
        <v>26</v>
      </c>
      <c r="D648" t="s">
        <v>2832</v>
      </c>
      <c r="E648">
        <v>51000</v>
      </c>
      <c r="F648" t="s">
        <v>2820</v>
      </c>
      <c r="G648" t="b">
        <v>1</v>
      </c>
      <c r="H648" t="s">
        <v>467</v>
      </c>
    </row>
    <row r="649" spans="1:8" x14ac:dyDescent="0.3">
      <c r="A649" t="s">
        <v>734</v>
      </c>
      <c r="B649" t="s">
        <v>2840</v>
      </c>
      <c r="C649" t="s">
        <v>26</v>
      </c>
      <c r="D649" t="s">
        <v>2833</v>
      </c>
      <c r="E649">
        <v>138500</v>
      </c>
      <c r="F649" t="s">
        <v>2820</v>
      </c>
      <c r="G649" t="b">
        <v>1</v>
      </c>
      <c r="H649" t="s">
        <v>468</v>
      </c>
    </row>
    <row r="650" spans="1:8" x14ac:dyDescent="0.3">
      <c r="A650" t="s">
        <v>734</v>
      </c>
      <c r="B650" t="s">
        <v>2840</v>
      </c>
      <c r="C650" t="s">
        <v>27</v>
      </c>
      <c r="D650" t="s">
        <v>2819</v>
      </c>
      <c r="E650">
        <v>0</v>
      </c>
      <c r="F650" t="s">
        <v>2820</v>
      </c>
      <c r="G650" t="b">
        <v>1</v>
      </c>
      <c r="H650" t="s">
        <v>704</v>
      </c>
    </row>
    <row r="651" spans="1:8" x14ac:dyDescent="0.3">
      <c r="A651" t="s">
        <v>734</v>
      </c>
      <c r="B651" t="s">
        <v>2840</v>
      </c>
      <c r="C651" t="s">
        <v>27</v>
      </c>
      <c r="D651" t="s">
        <v>2821</v>
      </c>
      <c r="E651">
        <v>0</v>
      </c>
      <c r="F651" t="s">
        <v>2820</v>
      </c>
      <c r="G651" t="b">
        <v>1</v>
      </c>
      <c r="H651" t="s">
        <v>706</v>
      </c>
    </row>
    <row r="652" spans="1:8" x14ac:dyDescent="0.3">
      <c r="A652" t="s">
        <v>734</v>
      </c>
      <c r="B652" t="s">
        <v>2840</v>
      </c>
      <c r="C652" t="s">
        <v>27</v>
      </c>
      <c r="D652" t="s">
        <v>2822</v>
      </c>
      <c r="E652">
        <v>0</v>
      </c>
      <c r="F652" t="s">
        <v>2820</v>
      </c>
      <c r="G652" t="b">
        <v>1</v>
      </c>
      <c r="H652" t="s">
        <v>708</v>
      </c>
    </row>
    <row r="653" spans="1:8" x14ac:dyDescent="0.3">
      <c r="A653" t="s">
        <v>734</v>
      </c>
      <c r="B653" t="s">
        <v>2840</v>
      </c>
      <c r="C653" t="s">
        <v>27</v>
      </c>
      <c r="D653" t="s">
        <v>2823</v>
      </c>
      <c r="E653">
        <v>0</v>
      </c>
      <c r="F653" t="s">
        <v>2820</v>
      </c>
      <c r="G653" t="b">
        <v>1</v>
      </c>
      <c r="H653" t="s">
        <v>710</v>
      </c>
    </row>
    <row r="654" spans="1:8" x14ac:dyDescent="0.3">
      <c r="A654" t="s">
        <v>734</v>
      </c>
      <c r="B654" t="s">
        <v>2840</v>
      </c>
      <c r="C654" t="s">
        <v>27</v>
      </c>
      <c r="D654" t="s">
        <v>2824</v>
      </c>
      <c r="E654">
        <v>0</v>
      </c>
      <c r="F654" t="s">
        <v>2820</v>
      </c>
      <c r="G654" t="b">
        <v>1</v>
      </c>
      <c r="H654" t="s">
        <v>2802</v>
      </c>
    </row>
    <row r="655" spans="1:8" x14ac:dyDescent="0.3">
      <c r="A655" t="s">
        <v>734</v>
      </c>
      <c r="B655" t="s">
        <v>2840</v>
      </c>
      <c r="C655" t="s">
        <v>27</v>
      </c>
      <c r="D655" t="s">
        <v>2825</v>
      </c>
      <c r="E655">
        <v>0</v>
      </c>
      <c r="F655" t="s">
        <v>2820</v>
      </c>
      <c r="G655" t="b">
        <v>1</v>
      </c>
      <c r="H655" t="s">
        <v>2800</v>
      </c>
    </row>
    <row r="656" spans="1:8" x14ac:dyDescent="0.3">
      <c r="A656" t="s">
        <v>734</v>
      </c>
      <c r="B656" t="s">
        <v>2840</v>
      </c>
      <c r="C656" t="s">
        <v>27</v>
      </c>
      <c r="D656" t="s">
        <v>2826</v>
      </c>
      <c r="E656">
        <v>0</v>
      </c>
      <c r="F656" t="s">
        <v>2820</v>
      </c>
      <c r="G656" t="b">
        <v>1</v>
      </c>
      <c r="H656" t="s">
        <v>1935</v>
      </c>
    </row>
    <row r="657" spans="1:8" x14ac:dyDescent="0.3">
      <c r="A657" t="s">
        <v>734</v>
      </c>
      <c r="B657" t="s">
        <v>2840</v>
      </c>
      <c r="C657" t="s">
        <v>27</v>
      </c>
      <c r="D657" t="s">
        <v>2827</v>
      </c>
      <c r="E657">
        <v>0</v>
      </c>
      <c r="F657" t="s">
        <v>2820</v>
      </c>
      <c r="G657" t="b">
        <v>1</v>
      </c>
      <c r="H657" t="s">
        <v>2828</v>
      </c>
    </row>
    <row r="658" spans="1:8" x14ac:dyDescent="0.3">
      <c r="A658" t="s">
        <v>734</v>
      </c>
      <c r="B658" t="s">
        <v>2840</v>
      </c>
      <c r="C658" t="s">
        <v>27</v>
      </c>
      <c r="D658" t="s">
        <v>2829</v>
      </c>
      <c r="E658">
        <v>0</v>
      </c>
      <c r="F658" t="s">
        <v>2820</v>
      </c>
      <c r="G658" t="b">
        <v>1</v>
      </c>
      <c r="H658" t="s">
        <v>2830</v>
      </c>
    </row>
    <row r="659" spans="1:8" x14ac:dyDescent="0.3">
      <c r="A659" t="s">
        <v>734</v>
      </c>
      <c r="B659" t="s">
        <v>2840</v>
      </c>
      <c r="C659" t="s">
        <v>27</v>
      </c>
      <c r="D659" t="s">
        <v>2831</v>
      </c>
      <c r="E659">
        <v>0</v>
      </c>
      <c r="F659" t="s">
        <v>2820</v>
      </c>
      <c r="G659" t="b">
        <v>1</v>
      </c>
      <c r="H659" t="s">
        <v>466</v>
      </c>
    </row>
    <row r="660" spans="1:8" x14ac:dyDescent="0.3">
      <c r="A660" t="s">
        <v>734</v>
      </c>
      <c r="B660" t="s">
        <v>2840</v>
      </c>
      <c r="C660" t="s">
        <v>27</v>
      </c>
      <c r="D660" t="s">
        <v>2832</v>
      </c>
      <c r="E660">
        <v>0</v>
      </c>
      <c r="F660" t="s">
        <v>2820</v>
      </c>
      <c r="G660" t="b">
        <v>1</v>
      </c>
      <c r="H660" t="s">
        <v>467</v>
      </c>
    </row>
    <row r="661" spans="1:8" x14ac:dyDescent="0.3">
      <c r="A661" t="s">
        <v>734</v>
      </c>
      <c r="B661" t="s">
        <v>2840</v>
      </c>
      <c r="C661" t="s">
        <v>27</v>
      </c>
      <c r="D661" t="s">
        <v>2833</v>
      </c>
      <c r="E661">
        <v>0</v>
      </c>
      <c r="F661" t="s">
        <v>2820</v>
      </c>
      <c r="G661" t="b">
        <v>1</v>
      </c>
      <c r="H661" t="s">
        <v>468</v>
      </c>
    </row>
    <row r="662" spans="1:8" x14ac:dyDescent="0.3">
      <c r="A662" t="s">
        <v>734</v>
      </c>
      <c r="B662" t="s">
        <v>2840</v>
      </c>
      <c r="C662" t="s">
        <v>18</v>
      </c>
      <c r="D662" t="s">
        <v>2819</v>
      </c>
      <c r="E662">
        <v>0</v>
      </c>
      <c r="F662" t="s">
        <v>2820</v>
      </c>
      <c r="G662" t="b">
        <v>1</v>
      </c>
      <c r="H662" t="s">
        <v>704</v>
      </c>
    </row>
    <row r="663" spans="1:8" x14ac:dyDescent="0.3">
      <c r="A663" t="s">
        <v>734</v>
      </c>
      <c r="B663" t="s">
        <v>2840</v>
      </c>
      <c r="C663" t="s">
        <v>18</v>
      </c>
      <c r="D663" t="s">
        <v>2821</v>
      </c>
      <c r="E663">
        <v>0</v>
      </c>
      <c r="F663" t="s">
        <v>2820</v>
      </c>
      <c r="G663" t="b">
        <v>1</v>
      </c>
      <c r="H663" t="s">
        <v>706</v>
      </c>
    </row>
    <row r="664" spans="1:8" x14ac:dyDescent="0.3">
      <c r="A664" t="s">
        <v>734</v>
      </c>
      <c r="B664" t="s">
        <v>2840</v>
      </c>
      <c r="C664" t="s">
        <v>18</v>
      </c>
      <c r="D664" t="s">
        <v>2822</v>
      </c>
      <c r="E664">
        <v>0</v>
      </c>
      <c r="F664" t="s">
        <v>2820</v>
      </c>
      <c r="G664" t="b">
        <v>1</v>
      </c>
      <c r="H664" t="s">
        <v>708</v>
      </c>
    </row>
    <row r="665" spans="1:8" x14ac:dyDescent="0.3">
      <c r="A665" t="s">
        <v>734</v>
      </c>
      <c r="B665" t="s">
        <v>2840</v>
      </c>
      <c r="C665" t="s">
        <v>18</v>
      </c>
      <c r="D665" t="s">
        <v>2823</v>
      </c>
      <c r="E665">
        <v>0</v>
      </c>
      <c r="F665" t="s">
        <v>2820</v>
      </c>
      <c r="G665" t="b">
        <v>1</v>
      </c>
      <c r="H665" t="s">
        <v>710</v>
      </c>
    </row>
    <row r="666" spans="1:8" x14ac:dyDescent="0.3">
      <c r="A666" t="s">
        <v>734</v>
      </c>
      <c r="B666" t="s">
        <v>2840</v>
      </c>
      <c r="C666" t="s">
        <v>18</v>
      </c>
      <c r="D666" t="s">
        <v>2824</v>
      </c>
      <c r="E666">
        <v>0</v>
      </c>
      <c r="F666" t="s">
        <v>2820</v>
      </c>
      <c r="G666" t="b">
        <v>1</v>
      </c>
      <c r="H666" t="s">
        <v>2802</v>
      </c>
    </row>
    <row r="667" spans="1:8" x14ac:dyDescent="0.3">
      <c r="A667" t="s">
        <v>734</v>
      </c>
      <c r="B667" t="s">
        <v>2840</v>
      </c>
      <c r="C667" t="s">
        <v>18</v>
      </c>
      <c r="D667" t="s">
        <v>2825</v>
      </c>
      <c r="E667">
        <v>0</v>
      </c>
      <c r="F667" t="s">
        <v>2820</v>
      </c>
      <c r="G667" t="b">
        <v>1</v>
      </c>
      <c r="H667" t="s">
        <v>2800</v>
      </c>
    </row>
    <row r="668" spans="1:8" x14ac:dyDescent="0.3">
      <c r="A668" t="s">
        <v>734</v>
      </c>
      <c r="B668" t="s">
        <v>2840</v>
      </c>
      <c r="C668" t="s">
        <v>18</v>
      </c>
      <c r="D668" t="s">
        <v>2826</v>
      </c>
      <c r="E668">
        <v>0</v>
      </c>
      <c r="F668" t="s">
        <v>2820</v>
      </c>
      <c r="G668" t="b">
        <v>1</v>
      </c>
      <c r="H668" t="s">
        <v>1935</v>
      </c>
    </row>
    <row r="669" spans="1:8" x14ac:dyDescent="0.3">
      <c r="A669" t="s">
        <v>734</v>
      </c>
      <c r="B669" t="s">
        <v>2840</v>
      </c>
      <c r="C669" t="s">
        <v>18</v>
      </c>
      <c r="D669" t="s">
        <v>2827</v>
      </c>
      <c r="E669">
        <v>20000</v>
      </c>
      <c r="F669" t="s">
        <v>2820</v>
      </c>
      <c r="G669" t="b">
        <v>1</v>
      </c>
      <c r="H669" t="s">
        <v>2828</v>
      </c>
    </row>
    <row r="670" spans="1:8" x14ac:dyDescent="0.3">
      <c r="A670" t="s">
        <v>734</v>
      </c>
      <c r="B670" t="s">
        <v>2840</v>
      </c>
      <c r="C670" t="s">
        <v>18</v>
      </c>
      <c r="D670" t="s">
        <v>2829</v>
      </c>
      <c r="E670">
        <v>20000</v>
      </c>
      <c r="F670" t="s">
        <v>2820</v>
      </c>
      <c r="G670" t="b">
        <v>1</v>
      </c>
      <c r="H670" t="s">
        <v>2830</v>
      </c>
    </row>
    <row r="671" spans="1:8" x14ac:dyDescent="0.3">
      <c r="A671" t="s">
        <v>734</v>
      </c>
      <c r="B671" t="s">
        <v>2840</v>
      </c>
      <c r="C671" t="s">
        <v>18</v>
      </c>
      <c r="D671" t="s">
        <v>2831</v>
      </c>
      <c r="E671">
        <v>20000</v>
      </c>
      <c r="F671" t="s">
        <v>2820</v>
      </c>
      <c r="G671" t="b">
        <v>1</v>
      </c>
      <c r="H671" t="s">
        <v>466</v>
      </c>
    </row>
    <row r="672" spans="1:8" x14ac:dyDescent="0.3">
      <c r="A672" t="s">
        <v>734</v>
      </c>
      <c r="B672" t="s">
        <v>2840</v>
      </c>
      <c r="C672" t="s">
        <v>18</v>
      </c>
      <c r="D672" t="s">
        <v>2832</v>
      </c>
      <c r="E672">
        <v>20000</v>
      </c>
      <c r="F672" t="s">
        <v>2820</v>
      </c>
      <c r="G672" t="b">
        <v>1</v>
      </c>
      <c r="H672" t="s">
        <v>467</v>
      </c>
    </row>
    <row r="673" spans="1:8" x14ac:dyDescent="0.3">
      <c r="A673" t="s">
        <v>734</v>
      </c>
      <c r="B673" t="s">
        <v>2840</v>
      </c>
      <c r="C673" t="s">
        <v>18</v>
      </c>
      <c r="D673" t="s">
        <v>2833</v>
      </c>
      <c r="E673">
        <v>20000</v>
      </c>
      <c r="F673" t="s">
        <v>2820</v>
      </c>
      <c r="G673" t="b">
        <v>1</v>
      </c>
      <c r="H673" t="s">
        <v>468</v>
      </c>
    </row>
    <row r="674" spans="1:8" x14ac:dyDescent="0.3">
      <c r="A674" t="s">
        <v>734</v>
      </c>
      <c r="B674" t="s">
        <v>2840</v>
      </c>
      <c r="C674" t="s">
        <v>31</v>
      </c>
      <c r="D674" t="s">
        <v>2819</v>
      </c>
      <c r="E674">
        <v>0</v>
      </c>
      <c r="F674" t="s">
        <v>2820</v>
      </c>
      <c r="G674" t="b">
        <v>1</v>
      </c>
      <c r="H674" t="s">
        <v>704</v>
      </c>
    </row>
    <row r="675" spans="1:8" x14ac:dyDescent="0.3">
      <c r="A675" t="s">
        <v>734</v>
      </c>
      <c r="B675" t="s">
        <v>2840</v>
      </c>
      <c r="C675" t="s">
        <v>31</v>
      </c>
      <c r="D675" t="s">
        <v>2821</v>
      </c>
      <c r="E675">
        <v>0</v>
      </c>
      <c r="F675" t="s">
        <v>2820</v>
      </c>
      <c r="G675" t="b">
        <v>1</v>
      </c>
      <c r="H675" t="s">
        <v>706</v>
      </c>
    </row>
    <row r="676" spans="1:8" x14ac:dyDescent="0.3">
      <c r="A676" t="s">
        <v>734</v>
      </c>
      <c r="B676" t="s">
        <v>2840</v>
      </c>
      <c r="C676" t="s">
        <v>31</v>
      </c>
      <c r="D676" t="s">
        <v>2822</v>
      </c>
      <c r="E676">
        <v>0</v>
      </c>
      <c r="F676" t="s">
        <v>2820</v>
      </c>
      <c r="G676" t="b">
        <v>1</v>
      </c>
      <c r="H676" t="s">
        <v>708</v>
      </c>
    </row>
    <row r="677" spans="1:8" x14ac:dyDescent="0.3">
      <c r="A677" t="s">
        <v>734</v>
      </c>
      <c r="B677" t="s">
        <v>2840</v>
      </c>
      <c r="C677" t="s">
        <v>31</v>
      </c>
      <c r="D677" t="s">
        <v>2823</v>
      </c>
      <c r="E677">
        <v>0</v>
      </c>
      <c r="F677" t="s">
        <v>2820</v>
      </c>
      <c r="G677" t="b">
        <v>1</v>
      </c>
      <c r="H677" t="s">
        <v>710</v>
      </c>
    </row>
    <row r="678" spans="1:8" x14ac:dyDescent="0.3">
      <c r="A678" t="s">
        <v>734</v>
      </c>
      <c r="B678" t="s">
        <v>2840</v>
      </c>
      <c r="C678" t="s">
        <v>31</v>
      </c>
      <c r="D678" t="s">
        <v>2824</v>
      </c>
      <c r="E678">
        <v>0</v>
      </c>
      <c r="F678" t="s">
        <v>2820</v>
      </c>
      <c r="G678" t="b">
        <v>1</v>
      </c>
      <c r="H678" t="s">
        <v>2802</v>
      </c>
    </row>
    <row r="679" spans="1:8" x14ac:dyDescent="0.3">
      <c r="A679" t="s">
        <v>734</v>
      </c>
      <c r="B679" t="s">
        <v>2840</v>
      </c>
      <c r="C679" t="s">
        <v>31</v>
      </c>
      <c r="D679" t="s">
        <v>2825</v>
      </c>
      <c r="E679">
        <v>0</v>
      </c>
      <c r="F679" t="s">
        <v>2820</v>
      </c>
      <c r="G679" t="b">
        <v>1</v>
      </c>
      <c r="H679" t="s">
        <v>2800</v>
      </c>
    </row>
    <row r="680" spans="1:8" x14ac:dyDescent="0.3">
      <c r="A680" t="s">
        <v>734</v>
      </c>
      <c r="B680" t="s">
        <v>2840</v>
      </c>
      <c r="C680" t="s">
        <v>31</v>
      </c>
      <c r="D680" t="s">
        <v>2826</v>
      </c>
      <c r="E680">
        <v>0</v>
      </c>
      <c r="F680" t="s">
        <v>2820</v>
      </c>
      <c r="G680" t="b">
        <v>1</v>
      </c>
      <c r="H680" t="s">
        <v>1935</v>
      </c>
    </row>
    <row r="681" spans="1:8" x14ac:dyDescent="0.3">
      <c r="A681" t="s">
        <v>734</v>
      </c>
      <c r="B681" t="s">
        <v>2840</v>
      </c>
      <c r="C681" t="s">
        <v>31</v>
      </c>
      <c r="D681" t="s">
        <v>2827</v>
      </c>
      <c r="E681">
        <v>750</v>
      </c>
      <c r="F681" t="s">
        <v>2820</v>
      </c>
      <c r="G681" t="b">
        <v>1</v>
      </c>
      <c r="H681" t="s">
        <v>2828</v>
      </c>
    </row>
    <row r="682" spans="1:8" x14ac:dyDescent="0.3">
      <c r="A682" t="s">
        <v>734</v>
      </c>
      <c r="B682" t="s">
        <v>2840</v>
      </c>
      <c r="C682" t="s">
        <v>31</v>
      </c>
      <c r="D682" t="s">
        <v>2829</v>
      </c>
      <c r="E682">
        <v>750</v>
      </c>
      <c r="F682" t="s">
        <v>2820</v>
      </c>
      <c r="G682" t="b">
        <v>1</v>
      </c>
      <c r="H682" t="s">
        <v>2830</v>
      </c>
    </row>
    <row r="683" spans="1:8" x14ac:dyDescent="0.3">
      <c r="A683" t="s">
        <v>734</v>
      </c>
      <c r="B683" t="s">
        <v>2840</v>
      </c>
      <c r="C683" t="s">
        <v>31</v>
      </c>
      <c r="D683" t="s">
        <v>2831</v>
      </c>
      <c r="E683">
        <v>750</v>
      </c>
      <c r="F683" t="s">
        <v>2820</v>
      </c>
      <c r="G683" t="b">
        <v>1</v>
      </c>
      <c r="H683" t="s">
        <v>466</v>
      </c>
    </row>
    <row r="684" spans="1:8" x14ac:dyDescent="0.3">
      <c r="A684" t="s">
        <v>734</v>
      </c>
      <c r="B684" t="s">
        <v>2840</v>
      </c>
      <c r="C684" t="s">
        <v>31</v>
      </c>
      <c r="D684" t="s">
        <v>2832</v>
      </c>
      <c r="E684">
        <v>750</v>
      </c>
      <c r="F684" t="s">
        <v>2820</v>
      </c>
      <c r="G684" t="b">
        <v>1</v>
      </c>
      <c r="H684" t="s">
        <v>467</v>
      </c>
    </row>
    <row r="685" spans="1:8" x14ac:dyDescent="0.3">
      <c r="A685" t="s">
        <v>734</v>
      </c>
      <c r="B685" t="s">
        <v>2840</v>
      </c>
      <c r="C685" t="s">
        <v>31</v>
      </c>
      <c r="D685" t="s">
        <v>2833</v>
      </c>
      <c r="E685">
        <v>750</v>
      </c>
      <c r="F685" t="s">
        <v>2820</v>
      </c>
      <c r="G685" t="b">
        <v>1</v>
      </c>
      <c r="H685" t="s">
        <v>468</v>
      </c>
    </row>
    <row r="686" spans="1:8" x14ac:dyDescent="0.3">
      <c r="A686" t="s">
        <v>734</v>
      </c>
      <c r="B686" t="s">
        <v>2840</v>
      </c>
      <c r="C686" t="s">
        <v>20</v>
      </c>
      <c r="D686" t="s">
        <v>2819</v>
      </c>
      <c r="E686">
        <v>0</v>
      </c>
      <c r="F686" t="s">
        <v>2820</v>
      </c>
      <c r="G686" t="b">
        <v>1</v>
      </c>
      <c r="H686" t="s">
        <v>704</v>
      </c>
    </row>
    <row r="687" spans="1:8" x14ac:dyDescent="0.3">
      <c r="A687" t="s">
        <v>734</v>
      </c>
      <c r="B687" t="s">
        <v>2840</v>
      </c>
      <c r="C687" t="s">
        <v>20</v>
      </c>
      <c r="D687" t="s">
        <v>2821</v>
      </c>
      <c r="E687">
        <v>0</v>
      </c>
      <c r="F687" t="s">
        <v>2820</v>
      </c>
      <c r="G687" t="b">
        <v>1</v>
      </c>
      <c r="H687" t="s">
        <v>706</v>
      </c>
    </row>
    <row r="688" spans="1:8" x14ac:dyDescent="0.3">
      <c r="A688" t="s">
        <v>734</v>
      </c>
      <c r="B688" t="s">
        <v>2840</v>
      </c>
      <c r="C688" t="s">
        <v>20</v>
      </c>
      <c r="D688" t="s">
        <v>2822</v>
      </c>
      <c r="E688">
        <v>0</v>
      </c>
      <c r="F688" t="s">
        <v>2820</v>
      </c>
      <c r="G688" t="b">
        <v>1</v>
      </c>
      <c r="H688" t="s">
        <v>708</v>
      </c>
    </row>
    <row r="689" spans="1:8" x14ac:dyDescent="0.3">
      <c r="A689" t="s">
        <v>734</v>
      </c>
      <c r="B689" t="s">
        <v>2840</v>
      </c>
      <c r="C689" t="s">
        <v>20</v>
      </c>
      <c r="D689" t="s">
        <v>2823</v>
      </c>
      <c r="E689">
        <v>0</v>
      </c>
      <c r="F689" t="s">
        <v>2820</v>
      </c>
      <c r="G689" t="b">
        <v>1</v>
      </c>
      <c r="H689" t="s">
        <v>710</v>
      </c>
    </row>
    <row r="690" spans="1:8" x14ac:dyDescent="0.3">
      <c r="A690" t="s">
        <v>734</v>
      </c>
      <c r="B690" t="s">
        <v>2840</v>
      </c>
      <c r="C690" t="s">
        <v>20</v>
      </c>
      <c r="D690" t="s">
        <v>2824</v>
      </c>
      <c r="E690">
        <v>0</v>
      </c>
      <c r="F690" t="s">
        <v>2820</v>
      </c>
      <c r="G690" t="b">
        <v>1</v>
      </c>
      <c r="H690" t="s">
        <v>2802</v>
      </c>
    </row>
    <row r="691" spans="1:8" x14ac:dyDescent="0.3">
      <c r="A691" t="s">
        <v>734</v>
      </c>
      <c r="B691" t="s">
        <v>2840</v>
      </c>
      <c r="C691" t="s">
        <v>20</v>
      </c>
      <c r="D691" t="s">
        <v>2825</v>
      </c>
      <c r="E691">
        <v>0</v>
      </c>
      <c r="F691" t="s">
        <v>2820</v>
      </c>
      <c r="G691" t="b">
        <v>1</v>
      </c>
      <c r="H691" t="s">
        <v>2800</v>
      </c>
    </row>
    <row r="692" spans="1:8" x14ac:dyDescent="0.3">
      <c r="A692" t="s">
        <v>734</v>
      </c>
      <c r="B692" t="s">
        <v>2840</v>
      </c>
      <c r="C692" t="s">
        <v>20</v>
      </c>
      <c r="D692" t="s">
        <v>2826</v>
      </c>
      <c r="E692">
        <v>0</v>
      </c>
      <c r="F692" t="s">
        <v>2820</v>
      </c>
      <c r="G692" t="b">
        <v>1</v>
      </c>
      <c r="H692" t="s">
        <v>1935</v>
      </c>
    </row>
    <row r="693" spans="1:8" x14ac:dyDescent="0.3">
      <c r="A693" t="s">
        <v>734</v>
      </c>
      <c r="B693" t="s">
        <v>2840</v>
      </c>
      <c r="C693" t="s">
        <v>20</v>
      </c>
      <c r="D693" t="s">
        <v>2827</v>
      </c>
      <c r="E693">
        <v>411963.31</v>
      </c>
      <c r="F693" t="s">
        <v>2820</v>
      </c>
      <c r="G693" t="b">
        <v>1</v>
      </c>
      <c r="H693" t="s">
        <v>2828</v>
      </c>
    </row>
    <row r="694" spans="1:8" x14ac:dyDescent="0.3">
      <c r="A694" t="s">
        <v>734</v>
      </c>
      <c r="B694" t="s">
        <v>2840</v>
      </c>
      <c r="C694" t="s">
        <v>20</v>
      </c>
      <c r="D694" t="s">
        <v>2829</v>
      </c>
      <c r="E694">
        <v>392675.24</v>
      </c>
      <c r="F694" t="s">
        <v>2820</v>
      </c>
      <c r="G694" t="b">
        <v>1</v>
      </c>
      <c r="H694" t="s">
        <v>2830</v>
      </c>
    </row>
    <row r="695" spans="1:8" x14ac:dyDescent="0.3">
      <c r="A695" t="s">
        <v>734</v>
      </c>
      <c r="B695" t="s">
        <v>2840</v>
      </c>
      <c r="C695" t="s">
        <v>20</v>
      </c>
      <c r="D695" t="s">
        <v>2831</v>
      </c>
      <c r="E695">
        <v>424817.93</v>
      </c>
      <c r="F695" t="s">
        <v>2820</v>
      </c>
      <c r="G695" t="b">
        <v>1</v>
      </c>
      <c r="H695" t="s">
        <v>466</v>
      </c>
    </row>
    <row r="696" spans="1:8" x14ac:dyDescent="0.3">
      <c r="A696" t="s">
        <v>734</v>
      </c>
      <c r="B696" t="s">
        <v>2840</v>
      </c>
      <c r="C696" t="s">
        <v>20</v>
      </c>
      <c r="D696" t="s">
        <v>2832</v>
      </c>
      <c r="E696">
        <v>387647.49</v>
      </c>
      <c r="F696" t="s">
        <v>2820</v>
      </c>
      <c r="G696" t="b">
        <v>1</v>
      </c>
      <c r="H696" t="s">
        <v>467</v>
      </c>
    </row>
    <row r="697" spans="1:8" x14ac:dyDescent="0.3">
      <c r="A697" t="s">
        <v>734</v>
      </c>
      <c r="B697" t="s">
        <v>2840</v>
      </c>
      <c r="C697" t="s">
        <v>20</v>
      </c>
      <c r="D697" t="s">
        <v>2833</v>
      </c>
      <c r="E697">
        <v>387220.84</v>
      </c>
      <c r="F697" t="s">
        <v>2820</v>
      </c>
      <c r="G697" t="b">
        <v>1</v>
      </c>
      <c r="H697" t="s">
        <v>468</v>
      </c>
    </row>
    <row r="698" spans="1:8" x14ac:dyDescent="0.3">
      <c r="A698" t="s">
        <v>734</v>
      </c>
      <c r="B698" t="s">
        <v>1094</v>
      </c>
      <c r="C698" t="s">
        <v>112</v>
      </c>
      <c r="D698" t="s">
        <v>2819</v>
      </c>
      <c r="E698">
        <v>0</v>
      </c>
      <c r="F698" t="s">
        <v>2820</v>
      </c>
      <c r="G698" t="b">
        <v>1</v>
      </c>
      <c r="H698" t="s">
        <v>704</v>
      </c>
    </row>
    <row r="699" spans="1:8" x14ac:dyDescent="0.3">
      <c r="A699" t="s">
        <v>734</v>
      </c>
      <c r="B699" t="s">
        <v>1094</v>
      </c>
      <c r="C699" t="s">
        <v>112</v>
      </c>
      <c r="D699" t="s">
        <v>2821</v>
      </c>
      <c r="E699">
        <v>0</v>
      </c>
      <c r="F699" t="s">
        <v>2820</v>
      </c>
      <c r="G699" t="b">
        <v>1</v>
      </c>
      <c r="H699" t="s">
        <v>706</v>
      </c>
    </row>
    <row r="700" spans="1:8" x14ac:dyDescent="0.3">
      <c r="A700" t="s">
        <v>734</v>
      </c>
      <c r="B700" t="s">
        <v>1094</v>
      </c>
      <c r="C700" t="s">
        <v>112</v>
      </c>
      <c r="D700" t="s">
        <v>2822</v>
      </c>
      <c r="E700">
        <v>0</v>
      </c>
      <c r="F700" t="s">
        <v>2820</v>
      </c>
      <c r="G700" t="b">
        <v>1</v>
      </c>
      <c r="H700" t="s">
        <v>708</v>
      </c>
    </row>
    <row r="701" spans="1:8" x14ac:dyDescent="0.3">
      <c r="A701" t="s">
        <v>734</v>
      </c>
      <c r="B701" t="s">
        <v>1094</v>
      </c>
      <c r="C701" t="s">
        <v>112</v>
      </c>
      <c r="D701" t="s">
        <v>2823</v>
      </c>
      <c r="E701">
        <v>0</v>
      </c>
      <c r="F701" t="s">
        <v>2820</v>
      </c>
      <c r="G701" t="b">
        <v>1</v>
      </c>
      <c r="H701" t="s">
        <v>710</v>
      </c>
    </row>
    <row r="702" spans="1:8" x14ac:dyDescent="0.3">
      <c r="A702" t="s">
        <v>734</v>
      </c>
      <c r="B702" t="s">
        <v>1094</v>
      </c>
      <c r="C702" t="s">
        <v>112</v>
      </c>
      <c r="D702" t="s">
        <v>2824</v>
      </c>
      <c r="E702">
        <v>0</v>
      </c>
      <c r="F702" t="s">
        <v>2820</v>
      </c>
      <c r="G702" t="b">
        <v>1</v>
      </c>
      <c r="H702" t="s">
        <v>2802</v>
      </c>
    </row>
    <row r="703" spans="1:8" x14ac:dyDescent="0.3">
      <c r="A703" t="s">
        <v>734</v>
      </c>
      <c r="B703" t="s">
        <v>1094</v>
      </c>
      <c r="C703" t="s">
        <v>112</v>
      </c>
      <c r="D703" t="s">
        <v>2825</v>
      </c>
      <c r="E703">
        <v>0</v>
      </c>
      <c r="F703" t="s">
        <v>2820</v>
      </c>
      <c r="G703" t="b">
        <v>1</v>
      </c>
      <c r="H703" t="s">
        <v>2800</v>
      </c>
    </row>
    <row r="704" spans="1:8" x14ac:dyDescent="0.3">
      <c r="A704" t="s">
        <v>734</v>
      </c>
      <c r="B704" t="s">
        <v>1094</v>
      </c>
      <c r="C704" t="s">
        <v>112</v>
      </c>
      <c r="D704" t="s">
        <v>2826</v>
      </c>
      <c r="E704">
        <v>0</v>
      </c>
      <c r="F704" t="s">
        <v>2820</v>
      </c>
      <c r="G704" t="b">
        <v>1</v>
      </c>
      <c r="H704" t="s">
        <v>1935</v>
      </c>
    </row>
    <row r="705" spans="1:8" x14ac:dyDescent="0.3">
      <c r="A705" t="s">
        <v>734</v>
      </c>
      <c r="B705" t="s">
        <v>1094</v>
      </c>
      <c r="C705" t="s">
        <v>112</v>
      </c>
      <c r="D705" t="s">
        <v>2827</v>
      </c>
      <c r="E705">
        <v>288352.84000000003</v>
      </c>
      <c r="F705" t="s">
        <v>2820</v>
      </c>
      <c r="G705" t="b">
        <v>1</v>
      </c>
      <c r="H705" t="s">
        <v>2828</v>
      </c>
    </row>
    <row r="706" spans="1:8" x14ac:dyDescent="0.3">
      <c r="A706" t="s">
        <v>734</v>
      </c>
      <c r="B706" t="s">
        <v>1094</v>
      </c>
      <c r="C706" t="s">
        <v>112</v>
      </c>
      <c r="D706" t="s">
        <v>2829</v>
      </c>
      <c r="E706">
        <v>279589.87</v>
      </c>
      <c r="F706" t="s">
        <v>2820</v>
      </c>
      <c r="G706" t="b">
        <v>1</v>
      </c>
      <c r="H706" t="s">
        <v>2830</v>
      </c>
    </row>
    <row r="707" spans="1:8" x14ac:dyDescent="0.3">
      <c r="A707" t="s">
        <v>734</v>
      </c>
      <c r="B707" t="s">
        <v>1094</v>
      </c>
      <c r="C707" t="s">
        <v>112</v>
      </c>
      <c r="D707" t="s">
        <v>2831</v>
      </c>
      <c r="E707">
        <v>306161.53000000003</v>
      </c>
      <c r="F707" t="s">
        <v>2820</v>
      </c>
      <c r="G707" t="b">
        <v>1</v>
      </c>
      <c r="H707" t="s">
        <v>466</v>
      </c>
    </row>
    <row r="708" spans="1:8" x14ac:dyDescent="0.3">
      <c r="A708" t="s">
        <v>734</v>
      </c>
      <c r="B708" t="s">
        <v>1094</v>
      </c>
      <c r="C708" t="s">
        <v>112</v>
      </c>
      <c r="D708" t="s">
        <v>2832</v>
      </c>
      <c r="E708">
        <v>282395.07</v>
      </c>
      <c r="F708" t="s">
        <v>2820</v>
      </c>
      <c r="G708" t="b">
        <v>1</v>
      </c>
      <c r="H708" t="s">
        <v>467</v>
      </c>
    </row>
    <row r="709" spans="1:8" x14ac:dyDescent="0.3">
      <c r="A709" t="s">
        <v>734</v>
      </c>
      <c r="B709" t="s">
        <v>1094</v>
      </c>
      <c r="C709" t="s">
        <v>112</v>
      </c>
      <c r="D709" t="s">
        <v>2833</v>
      </c>
      <c r="E709">
        <v>308448.77</v>
      </c>
      <c r="F709" t="s">
        <v>2820</v>
      </c>
      <c r="G709" t="b">
        <v>1</v>
      </c>
      <c r="H709" t="s">
        <v>468</v>
      </c>
    </row>
    <row r="710" spans="1:8" x14ac:dyDescent="0.3">
      <c r="A710" t="s">
        <v>734</v>
      </c>
      <c r="B710" t="s">
        <v>837</v>
      </c>
      <c r="C710" t="s">
        <v>345</v>
      </c>
      <c r="D710" t="s">
        <v>2819</v>
      </c>
      <c r="E710">
        <v>0</v>
      </c>
      <c r="F710" t="s">
        <v>2820</v>
      </c>
      <c r="G710" t="b">
        <v>1</v>
      </c>
      <c r="H710" t="s">
        <v>704</v>
      </c>
    </row>
    <row r="711" spans="1:8" x14ac:dyDescent="0.3">
      <c r="A711" t="s">
        <v>734</v>
      </c>
      <c r="B711" t="s">
        <v>837</v>
      </c>
      <c r="C711" t="s">
        <v>345</v>
      </c>
      <c r="D711" t="s">
        <v>2821</v>
      </c>
      <c r="E711">
        <v>0</v>
      </c>
      <c r="F711" t="s">
        <v>2820</v>
      </c>
      <c r="G711" t="b">
        <v>1</v>
      </c>
      <c r="H711" t="s">
        <v>706</v>
      </c>
    </row>
    <row r="712" spans="1:8" x14ac:dyDescent="0.3">
      <c r="A712" t="s">
        <v>734</v>
      </c>
      <c r="B712" t="s">
        <v>837</v>
      </c>
      <c r="C712" t="s">
        <v>345</v>
      </c>
      <c r="D712" t="s">
        <v>2822</v>
      </c>
      <c r="E712">
        <v>0</v>
      </c>
      <c r="F712" t="s">
        <v>2820</v>
      </c>
      <c r="G712" t="b">
        <v>1</v>
      </c>
      <c r="H712" t="s">
        <v>708</v>
      </c>
    </row>
    <row r="713" spans="1:8" x14ac:dyDescent="0.3">
      <c r="A713" t="s">
        <v>734</v>
      </c>
      <c r="B713" t="s">
        <v>837</v>
      </c>
      <c r="C713" t="s">
        <v>345</v>
      </c>
      <c r="D713" t="s">
        <v>2823</v>
      </c>
      <c r="E713">
        <v>0</v>
      </c>
      <c r="F713" t="s">
        <v>2820</v>
      </c>
      <c r="G713" t="b">
        <v>1</v>
      </c>
      <c r="H713" t="s">
        <v>710</v>
      </c>
    </row>
    <row r="714" spans="1:8" x14ac:dyDescent="0.3">
      <c r="A714" t="s">
        <v>734</v>
      </c>
      <c r="B714" t="s">
        <v>837</v>
      </c>
      <c r="C714" t="s">
        <v>345</v>
      </c>
      <c r="D714" t="s">
        <v>2824</v>
      </c>
      <c r="E714">
        <v>0</v>
      </c>
      <c r="F714" t="s">
        <v>2820</v>
      </c>
      <c r="G714" t="b">
        <v>1</v>
      </c>
      <c r="H714" t="s">
        <v>2802</v>
      </c>
    </row>
    <row r="715" spans="1:8" x14ac:dyDescent="0.3">
      <c r="A715" t="s">
        <v>734</v>
      </c>
      <c r="B715" t="s">
        <v>837</v>
      </c>
      <c r="C715" t="s">
        <v>345</v>
      </c>
      <c r="D715" t="s">
        <v>2825</v>
      </c>
      <c r="E715">
        <v>0</v>
      </c>
      <c r="F715" t="s">
        <v>2820</v>
      </c>
      <c r="G715" t="b">
        <v>1</v>
      </c>
      <c r="H715" t="s">
        <v>2800</v>
      </c>
    </row>
    <row r="716" spans="1:8" x14ac:dyDescent="0.3">
      <c r="A716" t="s">
        <v>734</v>
      </c>
      <c r="B716" t="s">
        <v>837</v>
      </c>
      <c r="C716" t="s">
        <v>345</v>
      </c>
      <c r="D716" t="s">
        <v>2826</v>
      </c>
      <c r="E716">
        <v>0</v>
      </c>
      <c r="F716" t="s">
        <v>2820</v>
      </c>
      <c r="G716" t="b">
        <v>1</v>
      </c>
      <c r="H716" t="s">
        <v>1935</v>
      </c>
    </row>
    <row r="717" spans="1:8" x14ac:dyDescent="0.3">
      <c r="A717" t="s">
        <v>734</v>
      </c>
      <c r="B717" t="s">
        <v>837</v>
      </c>
      <c r="C717" t="s">
        <v>345</v>
      </c>
      <c r="D717" t="s">
        <v>2827</v>
      </c>
      <c r="E717">
        <v>48169.99</v>
      </c>
      <c r="F717" t="s">
        <v>2820</v>
      </c>
      <c r="G717" t="b">
        <v>1</v>
      </c>
      <c r="H717" t="s">
        <v>2828</v>
      </c>
    </row>
    <row r="718" spans="1:8" x14ac:dyDescent="0.3">
      <c r="A718" t="s">
        <v>734</v>
      </c>
      <c r="B718" t="s">
        <v>837</v>
      </c>
      <c r="C718" t="s">
        <v>345</v>
      </c>
      <c r="D718" t="s">
        <v>2829</v>
      </c>
      <c r="E718">
        <v>47238.51</v>
      </c>
      <c r="F718" t="s">
        <v>2820</v>
      </c>
      <c r="G718" t="b">
        <v>1</v>
      </c>
      <c r="H718" t="s">
        <v>2830</v>
      </c>
    </row>
    <row r="719" spans="1:8" x14ac:dyDescent="0.3">
      <c r="A719" t="s">
        <v>734</v>
      </c>
      <c r="B719" t="s">
        <v>837</v>
      </c>
      <c r="C719" t="s">
        <v>345</v>
      </c>
      <c r="D719" t="s">
        <v>2831</v>
      </c>
      <c r="E719">
        <v>52253.81</v>
      </c>
      <c r="F719" t="s">
        <v>2820</v>
      </c>
      <c r="G719" t="b">
        <v>1</v>
      </c>
      <c r="H719" t="s">
        <v>466</v>
      </c>
    </row>
    <row r="720" spans="1:8" x14ac:dyDescent="0.3">
      <c r="A720" t="s">
        <v>734</v>
      </c>
      <c r="B720" t="s">
        <v>837</v>
      </c>
      <c r="C720" t="s">
        <v>345</v>
      </c>
      <c r="D720" t="s">
        <v>2832</v>
      </c>
      <c r="E720">
        <v>48510.32</v>
      </c>
      <c r="F720" t="s">
        <v>2820</v>
      </c>
      <c r="G720" t="b">
        <v>1</v>
      </c>
      <c r="H720" t="s">
        <v>467</v>
      </c>
    </row>
    <row r="721" spans="1:8" x14ac:dyDescent="0.3">
      <c r="A721" t="s">
        <v>734</v>
      </c>
      <c r="B721" t="s">
        <v>837</v>
      </c>
      <c r="C721" t="s">
        <v>345</v>
      </c>
      <c r="D721" t="s">
        <v>2833</v>
      </c>
      <c r="E721">
        <v>55804.65</v>
      </c>
      <c r="F721" t="s">
        <v>2820</v>
      </c>
      <c r="G721" t="b">
        <v>1</v>
      </c>
      <c r="H721" t="s">
        <v>468</v>
      </c>
    </row>
    <row r="722" spans="1:8" x14ac:dyDescent="0.3">
      <c r="A722" t="s">
        <v>734</v>
      </c>
      <c r="B722" t="s">
        <v>837</v>
      </c>
      <c r="C722" t="s">
        <v>343</v>
      </c>
      <c r="D722" t="s">
        <v>2819</v>
      </c>
      <c r="E722">
        <v>0</v>
      </c>
      <c r="F722" t="s">
        <v>2820</v>
      </c>
      <c r="G722" t="b">
        <v>1</v>
      </c>
      <c r="H722" t="s">
        <v>704</v>
      </c>
    </row>
    <row r="723" spans="1:8" x14ac:dyDescent="0.3">
      <c r="A723" t="s">
        <v>734</v>
      </c>
      <c r="B723" t="s">
        <v>837</v>
      </c>
      <c r="C723" t="s">
        <v>343</v>
      </c>
      <c r="D723" t="s">
        <v>2821</v>
      </c>
      <c r="E723">
        <v>0</v>
      </c>
      <c r="F723" t="s">
        <v>2820</v>
      </c>
      <c r="G723" t="b">
        <v>1</v>
      </c>
      <c r="H723" t="s">
        <v>706</v>
      </c>
    </row>
    <row r="724" spans="1:8" x14ac:dyDescent="0.3">
      <c r="A724" t="s">
        <v>734</v>
      </c>
      <c r="B724" t="s">
        <v>837</v>
      </c>
      <c r="C724" t="s">
        <v>343</v>
      </c>
      <c r="D724" t="s">
        <v>2822</v>
      </c>
      <c r="E724">
        <v>0</v>
      </c>
      <c r="F724" t="s">
        <v>2820</v>
      </c>
      <c r="G724" t="b">
        <v>1</v>
      </c>
      <c r="H724" t="s">
        <v>708</v>
      </c>
    </row>
    <row r="725" spans="1:8" x14ac:dyDescent="0.3">
      <c r="A725" t="s">
        <v>734</v>
      </c>
      <c r="B725" t="s">
        <v>837</v>
      </c>
      <c r="C725" t="s">
        <v>343</v>
      </c>
      <c r="D725" t="s">
        <v>2823</v>
      </c>
      <c r="E725">
        <v>0</v>
      </c>
      <c r="F725" t="s">
        <v>2820</v>
      </c>
      <c r="G725" t="b">
        <v>1</v>
      </c>
      <c r="H725" t="s">
        <v>710</v>
      </c>
    </row>
    <row r="726" spans="1:8" x14ac:dyDescent="0.3">
      <c r="A726" t="s">
        <v>734</v>
      </c>
      <c r="B726" t="s">
        <v>837</v>
      </c>
      <c r="C726" t="s">
        <v>343</v>
      </c>
      <c r="D726" t="s">
        <v>2824</v>
      </c>
      <c r="E726">
        <v>0</v>
      </c>
      <c r="F726" t="s">
        <v>2820</v>
      </c>
      <c r="G726" t="b">
        <v>1</v>
      </c>
      <c r="H726" t="s">
        <v>2802</v>
      </c>
    </row>
    <row r="727" spans="1:8" x14ac:dyDescent="0.3">
      <c r="A727" t="s">
        <v>734</v>
      </c>
      <c r="B727" t="s">
        <v>837</v>
      </c>
      <c r="C727" t="s">
        <v>343</v>
      </c>
      <c r="D727" t="s">
        <v>2825</v>
      </c>
      <c r="E727">
        <v>0</v>
      </c>
      <c r="F727" t="s">
        <v>2820</v>
      </c>
      <c r="G727" t="b">
        <v>1</v>
      </c>
      <c r="H727" t="s">
        <v>2800</v>
      </c>
    </row>
    <row r="728" spans="1:8" x14ac:dyDescent="0.3">
      <c r="A728" t="s">
        <v>734</v>
      </c>
      <c r="B728" t="s">
        <v>837</v>
      </c>
      <c r="C728" t="s">
        <v>343</v>
      </c>
      <c r="D728" t="s">
        <v>2826</v>
      </c>
      <c r="E728">
        <v>112.5</v>
      </c>
      <c r="F728" t="s">
        <v>2820</v>
      </c>
      <c r="G728" t="b">
        <v>1</v>
      </c>
      <c r="H728" t="s">
        <v>1935</v>
      </c>
    </row>
    <row r="729" spans="1:8" x14ac:dyDescent="0.3">
      <c r="A729" t="s">
        <v>734</v>
      </c>
      <c r="B729" t="s">
        <v>837</v>
      </c>
      <c r="C729" t="s">
        <v>343</v>
      </c>
      <c r="D729" t="s">
        <v>2827</v>
      </c>
      <c r="E729">
        <v>54299.72</v>
      </c>
      <c r="F729" t="s">
        <v>2820</v>
      </c>
      <c r="G729" t="b">
        <v>1</v>
      </c>
      <c r="H729" t="s">
        <v>2828</v>
      </c>
    </row>
    <row r="730" spans="1:8" x14ac:dyDescent="0.3">
      <c r="A730" t="s">
        <v>734</v>
      </c>
      <c r="B730" t="s">
        <v>837</v>
      </c>
      <c r="C730" t="s">
        <v>343</v>
      </c>
      <c r="D730" t="s">
        <v>2829</v>
      </c>
      <c r="E730">
        <v>53797.24</v>
      </c>
      <c r="F730" t="s">
        <v>2820</v>
      </c>
      <c r="G730" t="b">
        <v>1</v>
      </c>
      <c r="H730" t="s">
        <v>2830</v>
      </c>
    </row>
    <row r="731" spans="1:8" x14ac:dyDescent="0.3">
      <c r="A731" t="s">
        <v>734</v>
      </c>
      <c r="B731" t="s">
        <v>837</v>
      </c>
      <c r="C731" t="s">
        <v>343</v>
      </c>
      <c r="D731" t="s">
        <v>2831</v>
      </c>
      <c r="E731">
        <v>59677.29</v>
      </c>
      <c r="F731" t="s">
        <v>2820</v>
      </c>
      <c r="G731" t="b">
        <v>1</v>
      </c>
      <c r="H731" t="s">
        <v>466</v>
      </c>
    </row>
    <row r="732" spans="1:8" x14ac:dyDescent="0.3">
      <c r="A732" t="s">
        <v>734</v>
      </c>
      <c r="B732" t="s">
        <v>837</v>
      </c>
      <c r="C732" t="s">
        <v>343</v>
      </c>
      <c r="D732" t="s">
        <v>2832</v>
      </c>
      <c r="E732">
        <v>55685.86</v>
      </c>
      <c r="F732" t="s">
        <v>2820</v>
      </c>
      <c r="G732" t="b">
        <v>1</v>
      </c>
      <c r="H732" t="s">
        <v>467</v>
      </c>
    </row>
    <row r="733" spans="1:8" x14ac:dyDescent="0.3">
      <c r="A733" t="s">
        <v>734</v>
      </c>
      <c r="B733" t="s">
        <v>837</v>
      </c>
      <c r="C733" t="s">
        <v>343</v>
      </c>
      <c r="D733" t="s">
        <v>2833</v>
      </c>
      <c r="E733">
        <v>66465.67</v>
      </c>
      <c r="F733" t="s">
        <v>2820</v>
      </c>
      <c r="G733" t="b">
        <v>1</v>
      </c>
      <c r="H733" t="s">
        <v>468</v>
      </c>
    </row>
    <row r="734" spans="1:8" x14ac:dyDescent="0.3">
      <c r="A734" t="s">
        <v>734</v>
      </c>
      <c r="B734" t="s">
        <v>837</v>
      </c>
      <c r="C734" t="s">
        <v>344</v>
      </c>
      <c r="D734" t="s">
        <v>2819</v>
      </c>
      <c r="E734">
        <v>0</v>
      </c>
      <c r="F734" t="s">
        <v>2820</v>
      </c>
      <c r="G734" t="b">
        <v>1</v>
      </c>
      <c r="H734" t="s">
        <v>704</v>
      </c>
    </row>
    <row r="735" spans="1:8" x14ac:dyDescent="0.3">
      <c r="A735" t="s">
        <v>734</v>
      </c>
      <c r="B735" t="s">
        <v>837</v>
      </c>
      <c r="C735" t="s">
        <v>344</v>
      </c>
      <c r="D735" t="s">
        <v>2821</v>
      </c>
      <c r="E735">
        <v>0</v>
      </c>
      <c r="F735" t="s">
        <v>2820</v>
      </c>
      <c r="G735" t="b">
        <v>1</v>
      </c>
      <c r="H735" t="s">
        <v>706</v>
      </c>
    </row>
    <row r="736" spans="1:8" x14ac:dyDescent="0.3">
      <c r="A736" t="s">
        <v>734</v>
      </c>
      <c r="B736" t="s">
        <v>837</v>
      </c>
      <c r="C736" t="s">
        <v>344</v>
      </c>
      <c r="D736" t="s">
        <v>2822</v>
      </c>
      <c r="E736">
        <v>0</v>
      </c>
      <c r="F736" t="s">
        <v>2820</v>
      </c>
      <c r="G736" t="b">
        <v>1</v>
      </c>
      <c r="H736" t="s">
        <v>708</v>
      </c>
    </row>
    <row r="737" spans="1:8" x14ac:dyDescent="0.3">
      <c r="A737" t="s">
        <v>734</v>
      </c>
      <c r="B737" t="s">
        <v>837</v>
      </c>
      <c r="C737" t="s">
        <v>344</v>
      </c>
      <c r="D737" t="s">
        <v>2823</v>
      </c>
      <c r="E737">
        <v>0</v>
      </c>
      <c r="F737" t="s">
        <v>2820</v>
      </c>
      <c r="G737" t="b">
        <v>1</v>
      </c>
      <c r="H737" t="s">
        <v>710</v>
      </c>
    </row>
    <row r="738" spans="1:8" x14ac:dyDescent="0.3">
      <c r="A738" t="s">
        <v>734</v>
      </c>
      <c r="B738" t="s">
        <v>837</v>
      </c>
      <c r="C738" t="s">
        <v>344</v>
      </c>
      <c r="D738" t="s">
        <v>2824</v>
      </c>
      <c r="E738">
        <v>0</v>
      </c>
      <c r="F738" t="s">
        <v>2820</v>
      </c>
      <c r="G738" t="b">
        <v>1</v>
      </c>
      <c r="H738" t="s">
        <v>2802</v>
      </c>
    </row>
    <row r="739" spans="1:8" x14ac:dyDescent="0.3">
      <c r="A739" t="s">
        <v>734</v>
      </c>
      <c r="B739" t="s">
        <v>837</v>
      </c>
      <c r="C739" t="s">
        <v>344</v>
      </c>
      <c r="D739" t="s">
        <v>2825</v>
      </c>
      <c r="E739">
        <v>0</v>
      </c>
      <c r="F739" t="s">
        <v>2820</v>
      </c>
      <c r="G739" t="b">
        <v>1</v>
      </c>
      <c r="H739" t="s">
        <v>2800</v>
      </c>
    </row>
    <row r="740" spans="1:8" x14ac:dyDescent="0.3">
      <c r="A740" t="s">
        <v>734</v>
      </c>
      <c r="B740" t="s">
        <v>837</v>
      </c>
      <c r="C740" t="s">
        <v>344</v>
      </c>
      <c r="D740" t="s">
        <v>2826</v>
      </c>
      <c r="E740">
        <v>0</v>
      </c>
      <c r="F740" t="s">
        <v>2820</v>
      </c>
      <c r="G740" t="b">
        <v>1</v>
      </c>
      <c r="H740" t="s">
        <v>1935</v>
      </c>
    </row>
    <row r="741" spans="1:8" x14ac:dyDescent="0.3">
      <c r="A741" t="s">
        <v>734</v>
      </c>
      <c r="B741" t="s">
        <v>837</v>
      </c>
      <c r="C741" t="s">
        <v>344</v>
      </c>
      <c r="D741" t="s">
        <v>2827</v>
      </c>
      <c r="E741">
        <v>0</v>
      </c>
      <c r="F741" t="s">
        <v>2820</v>
      </c>
      <c r="G741" t="b">
        <v>1</v>
      </c>
      <c r="H741" t="s">
        <v>2828</v>
      </c>
    </row>
    <row r="742" spans="1:8" x14ac:dyDescent="0.3">
      <c r="A742" t="s">
        <v>734</v>
      </c>
      <c r="B742" t="s">
        <v>837</v>
      </c>
      <c r="C742" t="s">
        <v>344</v>
      </c>
      <c r="D742" t="s">
        <v>2829</v>
      </c>
      <c r="E742">
        <v>65989.64</v>
      </c>
      <c r="F742" t="s">
        <v>2820</v>
      </c>
      <c r="G742" t="b">
        <v>1</v>
      </c>
      <c r="H742" t="s">
        <v>2830</v>
      </c>
    </row>
    <row r="743" spans="1:8" x14ac:dyDescent="0.3">
      <c r="A743" t="s">
        <v>734</v>
      </c>
      <c r="B743" t="s">
        <v>837</v>
      </c>
      <c r="C743" t="s">
        <v>344</v>
      </c>
      <c r="D743" t="s">
        <v>2831</v>
      </c>
      <c r="E743">
        <v>0</v>
      </c>
      <c r="F743" t="s">
        <v>2820</v>
      </c>
      <c r="G743" t="b">
        <v>1</v>
      </c>
      <c r="H743" t="s">
        <v>466</v>
      </c>
    </row>
    <row r="744" spans="1:8" x14ac:dyDescent="0.3">
      <c r="A744" t="s">
        <v>734</v>
      </c>
      <c r="B744" t="s">
        <v>837</v>
      </c>
      <c r="C744" t="s">
        <v>344</v>
      </c>
      <c r="D744" t="s">
        <v>2832</v>
      </c>
      <c r="E744">
        <v>0</v>
      </c>
      <c r="F744" t="s">
        <v>2820</v>
      </c>
      <c r="G744" t="b">
        <v>1</v>
      </c>
      <c r="H744" t="s">
        <v>467</v>
      </c>
    </row>
    <row r="745" spans="1:8" x14ac:dyDescent="0.3">
      <c r="A745" t="s">
        <v>734</v>
      </c>
      <c r="B745" t="s">
        <v>837</v>
      </c>
      <c r="C745" t="s">
        <v>344</v>
      </c>
      <c r="D745" t="s">
        <v>2833</v>
      </c>
      <c r="E745">
        <v>115069.21</v>
      </c>
      <c r="F745" t="s">
        <v>2820</v>
      </c>
      <c r="G745" t="b">
        <v>1</v>
      </c>
      <c r="H745" t="s">
        <v>468</v>
      </c>
    </row>
    <row r="746" spans="1:8" x14ac:dyDescent="0.3">
      <c r="A746" t="s">
        <v>734</v>
      </c>
      <c r="B746" t="s">
        <v>837</v>
      </c>
      <c r="C746" t="s">
        <v>341</v>
      </c>
      <c r="D746" t="s">
        <v>2819</v>
      </c>
      <c r="E746">
        <v>0</v>
      </c>
      <c r="F746" t="s">
        <v>2820</v>
      </c>
      <c r="G746" t="b">
        <v>1</v>
      </c>
      <c r="H746" t="s">
        <v>704</v>
      </c>
    </row>
    <row r="747" spans="1:8" x14ac:dyDescent="0.3">
      <c r="A747" t="s">
        <v>734</v>
      </c>
      <c r="B747" t="s">
        <v>837</v>
      </c>
      <c r="C747" t="s">
        <v>341</v>
      </c>
      <c r="D747" t="s">
        <v>2821</v>
      </c>
      <c r="E747">
        <v>0</v>
      </c>
      <c r="F747" t="s">
        <v>2820</v>
      </c>
      <c r="G747" t="b">
        <v>1</v>
      </c>
      <c r="H747" t="s">
        <v>706</v>
      </c>
    </row>
    <row r="748" spans="1:8" x14ac:dyDescent="0.3">
      <c r="A748" t="s">
        <v>734</v>
      </c>
      <c r="B748" t="s">
        <v>837</v>
      </c>
      <c r="C748" t="s">
        <v>341</v>
      </c>
      <c r="D748" t="s">
        <v>2822</v>
      </c>
      <c r="E748">
        <v>0</v>
      </c>
      <c r="F748" t="s">
        <v>2820</v>
      </c>
      <c r="G748" t="b">
        <v>1</v>
      </c>
      <c r="H748" t="s">
        <v>708</v>
      </c>
    </row>
    <row r="749" spans="1:8" x14ac:dyDescent="0.3">
      <c r="A749" t="s">
        <v>734</v>
      </c>
      <c r="B749" t="s">
        <v>837</v>
      </c>
      <c r="C749" t="s">
        <v>341</v>
      </c>
      <c r="D749" t="s">
        <v>2823</v>
      </c>
      <c r="E749">
        <v>0</v>
      </c>
      <c r="F749" t="s">
        <v>2820</v>
      </c>
      <c r="G749" t="b">
        <v>1</v>
      </c>
      <c r="H749" t="s">
        <v>710</v>
      </c>
    </row>
    <row r="750" spans="1:8" x14ac:dyDescent="0.3">
      <c r="A750" t="s">
        <v>734</v>
      </c>
      <c r="B750" t="s">
        <v>837</v>
      </c>
      <c r="C750" t="s">
        <v>341</v>
      </c>
      <c r="D750" t="s">
        <v>2824</v>
      </c>
      <c r="E750">
        <v>0</v>
      </c>
      <c r="F750" t="s">
        <v>2820</v>
      </c>
      <c r="G750" t="b">
        <v>1</v>
      </c>
      <c r="H750" t="s">
        <v>2802</v>
      </c>
    </row>
    <row r="751" spans="1:8" x14ac:dyDescent="0.3">
      <c r="A751" t="s">
        <v>734</v>
      </c>
      <c r="B751" t="s">
        <v>837</v>
      </c>
      <c r="C751" t="s">
        <v>341</v>
      </c>
      <c r="D751" t="s">
        <v>2825</v>
      </c>
      <c r="E751">
        <v>0</v>
      </c>
      <c r="F751" t="s">
        <v>2820</v>
      </c>
      <c r="G751" t="b">
        <v>1</v>
      </c>
      <c r="H751" t="s">
        <v>2800</v>
      </c>
    </row>
    <row r="752" spans="1:8" x14ac:dyDescent="0.3">
      <c r="A752" t="s">
        <v>734</v>
      </c>
      <c r="B752" t="s">
        <v>837</v>
      </c>
      <c r="C752" t="s">
        <v>341</v>
      </c>
      <c r="D752" t="s">
        <v>2826</v>
      </c>
      <c r="E752">
        <v>0</v>
      </c>
      <c r="F752" t="s">
        <v>2820</v>
      </c>
      <c r="G752" t="b">
        <v>1</v>
      </c>
      <c r="H752" t="s">
        <v>1935</v>
      </c>
    </row>
    <row r="753" spans="1:8" x14ac:dyDescent="0.3">
      <c r="A753" t="s">
        <v>734</v>
      </c>
      <c r="B753" t="s">
        <v>837</v>
      </c>
      <c r="C753" t="s">
        <v>341</v>
      </c>
      <c r="D753" t="s">
        <v>2827</v>
      </c>
      <c r="E753">
        <v>44147.85</v>
      </c>
      <c r="F753" t="s">
        <v>2820</v>
      </c>
      <c r="G753" t="b">
        <v>1</v>
      </c>
      <c r="H753" t="s">
        <v>2828</v>
      </c>
    </row>
    <row r="754" spans="1:8" x14ac:dyDescent="0.3">
      <c r="A754" t="s">
        <v>734</v>
      </c>
      <c r="B754" t="s">
        <v>837</v>
      </c>
      <c r="C754" t="s">
        <v>341</v>
      </c>
      <c r="D754" t="s">
        <v>2829</v>
      </c>
      <c r="E754">
        <v>74117.94</v>
      </c>
      <c r="F754" t="s">
        <v>2820</v>
      </c>
      <c r="G754" t="b">
        <v>1</v>
      </c>
      <c r="H754" t="s">
        <v>2830</v>
      </c>
    </row>
    <row r="755" spans="1:8" x14ac:dyDescent="0.3">
      <c r="A755" t="s">
        <v>734</v>
      </c>
      <c r="B755" t="s">
        <v>837</v>
      </c>
      <c r="C755" t="s">
        <v>341</v>
      </c>
      <c r="D755" t="s">
        <v>2831</v>
      </c>
      <c r="E755">
        <v>3530.23</v>
      </c>
      <c r="F755" t="s">
        <v>2820</v>
      </c>
      <c r="G755" t="b">
        <v>1</v>
      </c>
      <c r="H755" t="s">
        <v>466</v>
      </c>
    </row>
    <row r="756" spans="1:8" x14ac:dyDescent="0.3">
      <c r="A756" t="s">
        <v>734</v>
      </c>
      <c r="B756" t="s">
        <v>837</v>
      </c>
      <c r="C756" t="s">
        <v>341</v>
      </c>
      <c r="D756" t="s">
        <v>2832</v>
      </c>
      <c r="E756">
        <v>10300.84</v>
      </c>
      <c r="F756" t="s">
        <v>2820</v>
      </c>
      <c r="G756" t="b">
        <v>1</v>
      </c>
      <c r="H756" t="s">
        <v>467</v>
      </c>
    </row>
    <row r="757" spans="1:8" x14ac:dyDescent="0.3">
      <c r="A757" t="s">
        <v>734</v>
      </c>
      <c r="B757" t="s">
        <v>837</v>
      </c>
      <c r="C757" t="s">
        <v>341</v>
      </c>
      <c r="D757" t="s">
        <v>2833</v>
      </c>
      <c r="E757">
        <v>21038.66</v>
      </c>
      <c r="F757" t="s">
        <v>2820</v>
      </c>
      <c r="G757" t="b">
        <v>1</v>
      </c>
      <c r="H757" t="s">
        <v>468</v>
      </c>
    </row>
    <row r="758" spans="1:8" x14ac:dyDescent="0.3">
      <c r="A758" t="s">
        <v>734</v>
      </c>
      <c r="B758" t="s">
        <v>835</v>
      </c>
      <c r="C758" t="s">
        <v>48</v>
      </c>
      <c r="D758" t="s">
        <v>2819</v>
      </c>
      <c r="E758">
        <v>0</v>
      </c>
      <c r="F758" t="s">
        <v>2820</v>
      </c>
      <c r="G758" t="b">
        <v>1</v>
      </c>
      <c r="H758" t="s">
        <v>704</v>
      </c>
    </row>
    <row r="759" spans="1:8" x14ac:dyDescent="0.3">
      <c r="A759" t="s">
        <v>734</v>
      </c>
      <c r="B759" t="s">
        <v>835</v>
      </c>
      <c r="C759" t="s">
        <v>48</v>
      </c>
      <c r="D759" t="s">
        <v>2821</v>
      </c>
      <c r="E759">
        <v>0</v>
      </c>
      <c r="F759" t="s">
        <v>2820</v>
      </c>
      <c r="G759" t="b">
        <v>1</v>
      </c>
      <c r="H759" t="s">
        <v>706</v>
      </c>
    </row>
    <row r="760" spans="1:8" x14ac:dyDescent="0.3">
      <c r="A760" t="s">
        <v>734</v>
      </c>
      <c r="B760" t="s">
        <v>835</v>
      </c>
      <c r="C760" t="s">
        <v>48</v>
      </c>
      <c r="D760" t="s">
        <v>2822</v>
      </c>
      <c r="E760">
        <v>0</v>
      </c>
      <c r="F760" t="s">
        <v>2820</v>
      </c>
      <c r="G760" t="b">
        <v>1</v>
      </c>
      <c r="H760" t="s">
        <v>708</v>
      </c>
    </row>
    <row r="761" spans="1:8" x14ac:dyDescent="0.3">
      <c r="A761" t="s">
        <v>734</v>
      </c>
      <c r="B761" t="s">
        <v>835</v>
      </c>
      <c r="C761" t="s">
        <v>48</v>
      </c>
      <c r="D761" t="s">
        <v>2823</v>
      </c>
      <c r="E761">
        <v>0</v>
      </c>
      <c r="F761" t="s">
        <v>2820</v>
      </c>
      <c r="G761" t="b">
        <v>1</v>
      </c>
      <c r="H761" t="s">
        <v>710</v>
      </c>
    </row>
    <row r="762" spans="1:8" x14ac:dyDescent="0.3">
      <c r="A762" t="s">
        <v>734</v>
      </c>
      <c r="B762" t="s">
        <v>835</v>
      </c>
      <c r="C762" t="s">
        <v>48</v>
      </c>
      <c r="D762" t="s">
        <v>2824</v>
      </c>
      <c r="E762">
        <v>0</v>
      </c>
      <c r="F762" t="s">
        <v>2820</v>
      </c>
      <c r="G762" t="b">
        <v>1</v>
      </c>
      <c r="H762" t="s">
        <v>2802</v>
      </c>
    </row>
    <row r="763" spans="1:8" x14ac:dyDescent="0.3">
      <c r="A763" t="s">
        <v>734</v>
      </c>
      <c r="B763" t="s">
        <v>835</v>
      </c>
      <c r="C763" t="s">
        <v>48</v>
      </c>
      <c r="D763" t="s">
        <v>2825</v>
      </c>
      <c r="E763">
        <v>0</v>
      </c>
      <c r="F763" t="s">
        <v>2820</v>
      </c>
      <c r="G763" t="b">
        <v>1</v>
      </c>
      <c r="H763" t="s">
        <v>2800</v>
      </c>
    </row>
    <row r="764" spans="1:8" x14ac:dyDescent="0.3">
      <c r="A764" t="s">
        <v>734</v>
      </c>
      <c r="B764" t="s">
        <v>835</v>
      </c>
      <c r="C764" t="s">
        <v>48</v>
      </c>
      <c r="D764" t="s">
        <v>2826</v>
      </c>
      <c r="E764">
        <v>0</v>
      </c>
      <c r="F764" t="s">
        <v>2820</v>
      </c>
      <c r="G764" t="b">
        <v>1</v>
      </c>
      <c r="H764" t="s">
        <v>1935</v>
      </c>
    </row>
    <row r="765" spans="1:8" x14ac:dyDescent="0.3">
      <c r="A765" t="s">
        <v>734</v>
      </c>
      <c r="B765" t="s">
        <v>835</v>
      </c>
      <c r="C765" t="s">
        <v>48</v>
      </c>
      <c r="D765" t="s">
        <v>2827</v>
      </c>
      <c r="E765">
        <v>173224.05</v>
      </c>
      <c r="F765" t="s">
        <v>2820</v>
      </c>
      <c r="G765" t="b">
        <v>1</v>
      </c>
      <c r="H765" t="s">
        <v>2828</v>
      </c>
    </row>
    <row r="766" spans="1:8" x14ac:dyDescent="0.3">
      <c r="A766" t="s">
        <v>734</v>
      </c>
      <c r="B766" t="s">
        <v>835</v>
      </c>
      <c r="C766" t="s">
        <v>48</v>
      </c>
      <c r="D766" t="s">
        <v>2829</v>
      </c>
      <c r="E766">
        <v>166974.13</v>
      </c>
      <c r="F766" t="s">
        <v>2820</v>
      </c>
      <c r="G766" t="b">
        <v>1</v>
      </c>
      <c r="H766" t="s">
        <v>2830</v>
      </c>
    </row>
    <row r="767" spans="1:8" x14ac:dyDescent="0.3">
      <c r="A767" t="s">
        <v>734</v>
      </c>
      <c r="B767" t="s">
        <v>835</v>
      </c>
      <c r="C767" t="s">
        <v>48</v>
      </c>
      <c r="D767" t="s">
        <v>2831</v>
      </c>
      <c r="E767">
        <v>182749.29</v>
      </c>
      <c r="F767" t="s">
        <v>2820</v>
      </c>
      <c r="G767" t="b">
        <v>1</v>
      </c>
      <c r="H767" t="s">
        <v>466</v>
      </c>
    </row>
    <row r="768" spans="1:8" x14ac:dyDescent="0.3">
      <c r="A768" t="s">
        <v>734</v>
      </c>
      <c r="B768" t="s">
        <v>835</v>
      </c>
      <c r="C768" t="s">
        <v>48</v>
      </c>
      <c r="D768" t="s">
        <v>2832</v>
      </c>
      <c r="E768">
        <v>167764.54</v>
      </c>
      <c r="F768" t="s">
        <v>2820</v>
      </c>
      <c r="G768" t="b">
        <v>1</v>
      </c>
      <c r="H768" t="s">
        <v>467</v>
      </c>
    </row>
    <row r="769" spans="1:8" x14ac:dyDescent="0.3">
      <c r="A769" t="s">
        <v>734</v>
      </c>
      <c r="B769" t="s">
        <v>835</v>
      </c>
      <c r="C769" t="s">
        <v>48</v>
      </c>
      <c r="D769" t="s">
        <v>2833</v>
      </c>
      <c r="E769">
        <v>178447.23</v>
      </c>
      <c r="F769" t="s">
        <v>2820</v>
      </c>
      <c r="G769" t="b">
        <v>1</v>
      </c>
      <c r="H769" t="s">
        <v>468</v>
      </c>
    </row>
    <row r="770" spans="1:8" x14ac:dyDescent="0.3">
      <c r="A770" t="s">
        <v>734</v>
      </c>
      <c r="B770" t="s">
        <v>835</v>
      </c>
      <c r="C770" t="s">
        <v>49</v>
      </c>
      <c r="D770" t="s">
        <v>2819</v>
      </c>
      <c r="E770">
        <v>0</v>
      </c>
      <c r="F770" t="s">
        <v>2820</v>
      </c>
      <c r="G770" t="b">
        <v>1</v>
      </c>
      <c r="H770" t="s">
        <v>704</v>
      </c>
    </row>
    <row r="771" spans="1:8" x14ac:dyDescent="0.3">
      <c r="A771" t="s">
        <v>734</v>
      </c>
      <c r="B771" t="s">
        <v>835</v>
      </c>
      <c r="C771" t="s">
        <v>49</v>
      </c>
      <c r="D771" t="s">
        <v>2821</v>
      </c>
      <c r="E771">
        <v>0</v>
      </c>
      <c r="F771" t="s">
        <v>2820</v>
      </c>
      <c r="G771" t="b">
        <v>1</v>
      </c>
      <c r="H771" t="s">
        <v>706</v>
      </c>
    </row>
    <row r="772" spans="1:8" x14ac:dyDescent="0.3">
      <c r="A772" t="s">
        <v>734</v>
      </c>
      <c r="B772" t="s">
        <v>835</v>
      </c>
      <c r="C772" t="s">
        <v>49</v>
      </c>
      <c r="D772" t="s">
        <v>2822</v>
      </c>
      <c r="E772">
        <v>0</v>
      </c>
      <c r="F772" t="s">
        <v>2820</v>
      </c>
      <c r="G772" t="b">
        <v>1</v>
      </c>
      <c r="H772" t="s">
        <v>708</v>
      </c>
    </row>
    <row r="773" spans="1:8" x14ac:dyDescent="0.3">
      <c r="A773" t="s">
        <v>734</v>
      </c>
      <c r="B773" t="s">
        <v>835</v>
      </c>
      <c r="C773" t="s">
        <v>49</v>
      </c>
      <c r="D773" t="s">
        <v>2823</v>
      </c>
      <c r="E773">
        <v>0</v>
      </c>
      <c r="F773" t="s">
        <v>2820</v>
      </c>
      <c r="G773" t="b">
        <v>1</v>
      </c>
      <c r="H773" t="s">
        <v>710</v>
      </c>
    </row>
    <row r="774" spans="1:8" x14ac:dyDescent="0.3">
      <c r="A774" t="s">
        <v>734</v>
      </c>
      <c r="B774" t="s">
        <v>835</v>
      </c>
      <c r="C774" t="s">
        <v>49</v>
      </c>
      <c r="D774" t="s">
        <v>2824</v>
      </c>
      <c r="E774">
        <v>0</v>
      </c>
      <c r="F774" t="s">
        <v>2820</v>
      </c>
      <c r="G774" t="b">
        <v>1</v>
      </c>
      <c r="H774" t="s">
        <v>2802</v>
      </c>
    </row>
    <row r="775" spans="1:8" x14ac:dyDescent="0.3">
      <c r="A775" t="s">
        <v>734</v>
      </c>
      <c r="B775" t="s">
        <v>835</v>
      </c>
      <c r="C775" t="s">
        <v>49</v>
      </c>
      <c r="D775" t="s">
        <v>2825</v>
      </c>
      <c r="E775">
        <v>0</v>
      </c>
      <c r="F775" t="s">
        <v>2820</v>
      </c>
      <c r="G775" t="b">
        <v>1</v>
      </c>
      <c r="H775" t="s">
        <v>2800</v>
      </c>
    </row>
    <row r="776" spans="1:8" x14ac:dyDescent="0.3">
      <c r="A776" t="s">
        <v>734</v>
      </c>
      <c r="B776" t="s">
        <v>835</v>
      </c>
      <c r="C776" t="s">
        <v>49</v>
      </c>
      <c r="D776" t="s">
        <v>2826</v>
      </c>
      <c r="E776">
        <v>0</v>
      </c>
      <c r="F776" t="s">
        <v>2820</v>
      </c>
      <c r="G776" t="b">
        <v>1</v>
      </c>
      <c r="H776" t="s">
        <v>1935</v>
      </c>
    </row>
    <row r="777" spans="1:8" x14ac:dyDescent="0.3">
      <c r="A777" t="s">
        <v>734</v>
      </c>
      <c r="B777" t="s">
        <v>835</v>
      </c>
      <c r="C777" t="s">
        <v>49</v>
      </c>
      <c r="D777" t="s">
        <v>2827</v>
      </c>
      <c r="E777">
        <v>2312.5</v>
      </c>
      <c r="F777" t="s">
        <v>2820</v>
      </c>
      <c r="G777" t="b">
        <v>1</v>
      </c>
      <c r="H777" t="s">
        <v>2828</v>
      </c>
    </row>
    <row r="778" spans="1:8" x14ac:dyDescent="0.3">
      <c r="A778" t="s">
        <v>734</v>
      </c>
      <c r="B778" t="s">
        <v>835</v>
      </c>
      <c r="C778" t="s">
        <v>49</v>
      </c>
      <c r="D778" t="s">
        <v>2829</v>
      </c>
      <c r="E778">
        <v>3625</v>
      </c>
      <c r="F778" t="s">
        <v>2820</v>
      </c>
      <c r="G778" t="b">
        <v>1</v>
      </c>
      <c r="H778" t="s">
        <v>2830</v>
      </c>
    </row>
    <row r="779" spans="1:8" x14ac:dyDescent="0.3">
      <c r="A779" t="s">
        <v>734</v>
      </c>
      <c r="B779" t="s">
        <v>835</v>
      </c>
      <c r="C779" t="s">
        <v>49</v>
      </c>
      <c r="D779" t="s">
        <v>2831</v>
      </c>
      <c r="E779">
        <v>4937.5</v>
      </c>
      <c r="F779" t="s">
        <v>2820</v>
      </c>
      <c r="G779" t="b">
        <v>1</v>
      </c>
      <c r="H779" t="s">
        <v>466</v>
      </c>
    </row>
    <row r="780" spans="1:8" x14ac:dyDescent="0.3">
      <c r="A780" t="s">
        <v>734</v>
      </c>
      <c r="B780" t="s">
        <v>835</v>
      </c>
      <c r="C780" t="s">
        <v>49</v>
      </c>
      <c r="D780" t="s">
        <v>2832</v>
      </c>
      <c r="E780">
        <v>5462.5</v>
      </c>
      <c r="F780" t="s">
        <v>2820</v>
      </c>
      <c r="G780" t="b">
        <v>1</v>
      </c>
      <c r="H780" t="s">
        <v>467</v>
      </c>
    </row>
    <row r="781" spans="1:8" x14ac:dyDescent="0.3">
      <c r="A781" t="s">
        <v>734</v>
      </c>
      <c r="B781" t="s">
        <v>835</v>
      </c>
      <c r="C781" t="s">
        <v>49</v>
      </c>
      <c r="D781" t="s">
        <v>2833</v>
      </c>
      <c r="E781">
        <v>13118.75</v>
      </c>
      <c r="F781" t="s">
        <v>2820</v>
      </c>
      <c r="G781" t="b">
        <v>1</v>
      </c>
      <c r="H781" t="s">
        <v>468</v>
      </c>
    </row>
    <row r="782" spans="1:8" x14ac:dyDescent="0.3">
      <c r="A782" t="s">
        <v>734</v>
      </c>
      <c r="B782" t="s">
        <v>835</v>
      </c>
      <c r="C782" t="s">
        <v>46</v>
      </c>
      <c r="D782" t="s">
        <v>2819</v>
      </c>
      <c r="E782">
        <v>0</v>
      </c>
      <c r="F782" t="s">
        <v>2820</v>
      </c>
      <c r="G782" t="b">
        <v>1</v>
      </c>
      <c r="H782" t="s">
        <v>704</v>
      </c>
    </row>
    <row r="783" spans="1:8" x14ac:dyDescent="0.3">
      <c r="A783" t="s">
        <v>734</v>
      </c>
      <c r="B783" t="s">
        <v>835</v>
      </c>
      <c r="C783" t="s">
        <v>46</v>
      </c>
      <c r="D783" t="s">
        <v>2821</v>
      </c>
      <c r="E783">
        <v>0</v>
      </c>
      <c r="F783" t="s">
        <v>2820</v>
      </c>
      <c r="G783" t="b">
        <v>1</v>
      </c>
      <c r="H783" t="s">
        <v>706</v>
      </c>
    </row>
    <row r="784" spans="1:8" x14ac:dyDescent="0.3">
      <c r="A784" t="s">
        <v>734</v>
      </c>
      <c r="B784" t="s">
        <v>835</v>
      </c>
      <c r="C784" t="s">
        <v>46</v>
      </c>
      <c r="D784" t="s">
        <v>2822</v>
      </c>
      <c r="E784">
        <v>0</v>
      </c>
      <c r="F784" t="s">
        <v>2820</v>
      </c>
      <c r="G784" t="b">
        <v>1</v>
      </c>
      <c r="H784" t="s">
        <v>708</v>
      </c>
    </row>
    <row r="785" spans="1:8" x14ac:dyDescent="0.3">
      <c r="A785" t="s">
        <v>734</v>
      </c>
      <c r="B785" t="s">
        <v>835</v>
      </c>
      <c r="C785" t="s">
        <v>46</v>
      </c>
      <c r="D785" t="s">
        <v>2823</v>
      </c>
      <c r="E785">
        <v>0</v>
      </c>
      <c r="F785" t="s">
        <v>2820</v>
      </c>
      <c r="G785" t="b">
        <v>1</v>
      </c>
      <c r="H785" t="s">
        <v>710</v>
      </c>
    </row>
    <row r="786" spans="1:8" x14ac:dyDescent="0.3">
      <c r="A786" t="s">
        <v>734</v>
      </c>
      <c r="B786" t="s">
        <v>835</v>
      </c>
      <c r="C786" t="s">
        <v>46</v>
      </c>
      <c r="D786" t="s">
        <v>2824</v>
      </c>
      <c r="E786">
        <v>0</v>
      </c>
      <c r="F786" t="s">
        <v>2820</v>
      </c>
      <c r="G786" t="b">
        <v>1</v>
      </c>
      <c r="H786" t="s">
        <v>2802</v>
      </c>
    </row>
    <row r="787" spans="1:8" x14ac:dyDescent="0.3">
      <c r="A787" t="s">
        <v>734</v>
      </c>
      <c r="B787" t="s">
        <v>835</v>
      </c>
      <c r="C787" t="s">
        <v>46</v>
      </c>
      <c r="D787" t="s">
        <v>2825</v>
      </c>
      <c r="E787">
        <v>0</v>
      </c>
      <c r="F787" t="s">
        <v>2820</v>
      </c>
      <c r="G787" t="b">
        <v>1</v>
      </c>
      <c r="H787" t="s">
        <v>2800</v>
      </c>
    </row>
    <row r="788" spans="1:8" x14ac:dyDescent="0.3">
      <c r="A788" t="s">
        <v>734</v>
      </c>
      <c r="B788" t="s">
        <v>835</v>
      </c>
      <c r="C788" t="s">
        <v>46</v>
      </c>
      <c r="D788" t="s">
        <v>2826</v>
      </c>
      <c r="E788">
        <v>0</v>
      </c>
      <c r="F788" t="s">
        <v>2820</v>
      </c>
      <c r="G788" t="b">
        <v>1</v>
      </c>
      <c r="H788" t="s">
        <v>1935</v>
      </c>
    </row>
    <row r="789" spans="1:8" x14ac:dyDescent="0.3">
      <c r="A789" t="s">
        <v>734</v>
      </c>
      <c r="B789" t="s">
        <v>835</v>
      </c>
      <c r="C789" t="s">
        <v>46</v>
      </c>
      <c r="D789" t="s">
        <v>2827</v>
      </c>
      <c r="E789">
        <v>153432.4</v>
      </c>
      <c r="F789" t="s">
        <v>2820</v>
      </c>
      <c r="G789" t="b">
        <v>1</v>
      </c>
      <c r="H789" t="s">
        <v>2828</v>
      </c>
    </row>
    <row r="790" spans="1:8" x14ac:dyDescent="0.3">
      <c r="A790" t="s">
        <v>734</v>
      </c>
      <c r="B790" t="s">
        <v>835</v>
      </c>
      <c r="C790" t="s">
        <v>46</v>
      </c>
      <c r="D790" t="s">
        <v>2829</v>
      </c>
      <c r="E790">
        <v>148915.59</v>
      </c>
      <c r="F790" t="s">
        <v>2820</v>
      </c>
      <c r="G790" t="b">
        <v>1</v>
      </c>
      <c r="H790" t="s">
        <v>2830</v>
      </c>
    </row>
    <row r="791" spans="1:8" x14ac:dyDescent="0.3">
      <c r="A791" t="s">
        <v>734</v>
      </c>
      <c r="B791" t="s">
        <v>835</v>
      </c>
      <c r="C791" t="s">
        <v>46</v>
      </c>
      <c r="D791" t="s">
        <v>2831</v>
      </c>
      <c r="E791">
        <v>163692.75</v>
      </c>
      <c r="F791" t="s">
        <v>2820</v>
      </c>
      <c r="G791" t="b">
        <v>1</v>
      </c>
      <c r="H791" t="s">
        <v>466</v>
      </c>
    </row>
    <row r="792" spans="1:8" x14ac:dyDescent="0.3">
      <c r="A792" t="s">
        <v>734</v>
      </c>
      <c r="B792" t="s">
        <v>835</v>
      </c>
      <c r="C792" t="s">
        <v>46</v>
      </c>
      <c r="D792" t="s">
        <v>2832</v>
      </c>
      <c r="E792">
        <v>150949.35999999999</v>
      </c>
      <c r="F792" t="s">
        <v>2820</v>
      </c>
      <c r="G792" t="b">
        <v>1</v>
      </c>
      <c r="H792" t="s">
        <v>467</v>
      </c>
    </row>
    <row r="793" spans="1:8" x14ac:dyDescent="0.3">
      <c r="A793" t="s">
        <v>734</v>
      </c>
      <c r="B793" t="s">
        <v>835</v>
      </c>
      <c r="C793" t="s">
        <v>46</v>
      </c>
      <c r="D793" t="s">
        <v>2833</v>
      </c>
      <c r="E793">
        <v>165896.46</v>
      </c>
      <c r="F793" t="s">
        <v>2820</v>
      </c>
      <c r="G793" t="b">
        <v>1</v>
      </c>
      <c r="H793" t="s">
        <v>468</v>
      </c>
    </row>
    <row r="794" spans="1:8" x14ac:dyDescent="0.3">
      <c r="A794" t="s">
        <v>734</v>
      </c>
      <c r="B794" t="s">
        <v>278</v>
      </c>
      <c r="C794" t="s">
        <v>280</v>
      </c>
      <c r="D794" t="s">
        <v>2819</v>
      </c>
      <c r="E794">
        <v>0</v>
      </c>
      <c r="F794" t="s">
        <v>2820</v>
      </c>
      <c r="G794" t="b">
        <v>1</v>
      </c>
      <c r="H794" t="s">
        <v>704</v>
      </c>
    </row>
    <row r="795" spans="1:8" x14ac:dyDescent="0.3">
      <c r="A795" t="s">
        <v>734</v>
      </c>
      <c r="B795" t="s">
        <v>278</v>
      </c>
      <c r="C795" t="s">
        <v>280</v>
      </c>
      <c r="D795" t="s">
        <v>2821</v>
      </c>
      <c r="E795">
        <v>0</v>
      </c>
      <c r="F795" t="s">
        <v>2820</v>
      </c>
      <c r="G795" t="b">
        <v>1</v>
      </c>
      <c r="H795" t="s">
        <v>706</v>
      </c>
    </row>
    <row r="796" spans="1:8" x14ac:dyDescent="0.3">
      <c r="A796" t="s">
        <v>734</v>
      </c>
      <c r="B796" t="s">
        <v>278</v>
      </c>
      <c r="C796" t="s">
        <v>280</v>
      </c>
      <c r="D796" t="s">
        <v>2822</v>
      </c>
      <c r="E796">
        <v>0</v>
      </c>
      <c r="F796" t="s">
        <v>2820</v>
      </c>
      <c r="G796" t="b">
        <v>1</v>
      </c>
      <c r="H796" t="s">
        <v>708</v>
      </c>
    </row>
    <row r="797" spans="1:8" x14ac:dyDescent="0.3">
      <c r="A797" t="s">
        <v>734</v>
      </c>
      <c r="B797" t="s">
        <v>278</v>
      </c>
      <c r="C797" t="s">
        <v>280</v>
      </c>
      <c r="D797" t="s">
        <v>2823</v>
      </c>
      <c r="E797">
        <v>0</v>
      </c>
      <c r="F797" t="s">
        <v>2820</v>
      </c>
      <c r="G797" t="b">
        <v>1</v>
      </c>
      <c r="H797" t="s">
        <v>710</v>
      </c>
    </row>
    <row r="798" spans="1:8" x14ac:dyDescent="0.3">
      <c r="A798" t="s">
        <v>734</v>
      </c>
      <c r="B798" t="s">
        <v>278</v>
      </c>
      <c r="C798" t="s">
        <v>280</v>
      </c>
      <c r="D798" t="s">
        <v>2824</v>
      </c>
      <c r="E798">
        <v>0</v>
      </c>
      <c r="F798" t="s">
        <v>2820</v>
      </c>
      <c r="G798" t="b">
        <v>1</v>
      </c>
      <c r="H798" t="s">
        <v>2802</v>
      </c>
    </row>
    <row r="799" spans="1:8" x14ac:dyDescent="0.3">
      <c r="A799" t="s">
        <v>734</v>
      </c>
      <c r="B799" t="s">
        <v>278</v>
      </c>
      <c r="C799" t="s">
        <v>280</v>
      </c>
      <c r="D799" t="s">
        <v>2825</v>
      </c>
      <c r="E799">
        <v>0</v>
      </c>
      <c r="F799" t="s">
        <v>2820</v>
      </c>
      <c r="G799" t="b">
        <v>1</v>
      </c>
      <c r="H799" t="s">
        <v>2800</v>
      </c>
    </row>
    <row r="800" spans="1:8" x14ac:dyDescent="0.3">
      <c r="A800" t="s">
        <v>734</v>
      </c>
      <c r="B800" t="s">
        <v>278</v>
      </c>
      <c r="C800" t="s">
        <v>280</v>
      </c>
      <c r="D800" t="s">
        <v>2826</v>
      </c>
      <c r="E800">
        <v>0</v>
      </c>
      <c r="F800" t="s">
        <v>2820</v>
      </c>
      <c r="G800" t="b">
        <v>1</v>
      </c>
      <c r="H800" t="s">
        <v>1935</v>
      </c>
    </row>
    <row r="801" spans="1:8" x14ac:dyDescent="0.3">
      <c r="A801" t="s">
        <v>734</v>
      </c>
      <c r="B801" t="s">
        <v>278</v>
      </c>
      <c r="C801" t="s">
        <v>280</v>
      </c>
      <c r="D801" t="s">
        <v>2827</v>
      </c>
      <c r="E801">
        <v>1369.55</v>
      </c>
      <c r="F801" t="s">
        <v>2820</v>
      </c>
      <c r="G801" t="b">
        <v>1</v>
      </c>
      <c r="H801" t="s">
        <v>2828</v>
      </c>
    </row>
    <row r="802" spans="1:8" x14ac:dyDescent="0.3">
      <c r="A802" t="s">
        <v>734</v>
      </c>
      <c r="B802" t="s">
        <v>278</v>
      </c>
      <c r="C802" t="s">
        <v>280</v>
      </c>
      <c r="D802" t="s">
        <v>2829</v>
      </c>
      <c r="E802">
        <v>1369.55</v>
      </c>
      <c r="F802" t="s">
        <v>2820</v>
      </c>
      <c r="G802" t="b">
        <v>1</v>
      </c>
      <c r="H802" t="s">
        <v>2830</v>
      </c>
    </row>
    <row r="803" spans="1:8" x14ac:dyDescent="0.3">
      <c r="A803" t="s">
        <v>734</v>
      </c>
      <c r="B803" t="s">
        <v>278</v>
      </c>
      <c r="C803" t="s">
        <v>280</v>
      </c>
      <c r="D803" t="s">
        <v>2831</v>
      </c>
      <c r="E803">
        <v>1369.55</v>
      </c>
      <c r="F803" t="s">
        <v>2820</v>
      </c>
      <c r="G803" t="b">
        <v>1</v>
      </c>
      <c r="H803" t="s">
        <v>466</v>
      </c>
    </row>
    <row r="804" spans="1:8" x14ac:dyDescent="0.3">
      <c r="A804" t="s">
        <v>734</v>
      </c>
      <c r="B804" t="s">
        <v>278</v>
      </c>
      <c r="C804" t="s">
        <v>280</v>
      </c>
      <c r="D804" t="s">
        <v>2832</v>
      </c>
      <c r="E804">
        <v>1369.55</v>
      </c>
      <c r="F804" t="s">
        <v>2820</v>
      </c>
      <c r="G804" t="b">
        <v>1</v>
      </c>
      <c r="H804" t="s">
        <v>467</v>
      </c>
    </row>
    <row r="805" spans="1:8" x14ac:dyDescent="0.3">
      <c r="A805" t="s">
        <v>734</v>
      </c>
      <c r="B805" t="s">
        <v>278</v>
      </c>
      <c r="C805" t="s">
        <v>280</v>
      </c>
      <c r="D805" t="s">
        <v>2833</v>
      </c>
      <c r="E805">
        <v>1369.55</v>
      </c>
      <c r="F805" t="s">
        <v>2820</v>
      </c>
      <c r="G805" t="b">
        <v>1</v>
      </c>
      <c r="H805" t="s">
        <v>468</v>
      </c>
    </row>
    <row r="806" spans="1:8" x14ac:dyDescent="0.3">
      <c r="A806" t="s">
        <v>734</v>
      </c>
      <c r="B806" t="s">
        <v>278</v>
      </c>
      <c r="C806" t="s">
        <v>282</v>
      </c>
      <c r="D806" t="s">
        <v>2819</v>
      </c>
      <c r="E806">
        <v>0</v>
      </c>
      <c r="F806" t="s">
        <v>2820</v>
      </c>
      <c r="G806" t="b">
        <v>1</v>
      </c>
      <c r="H806" t="s">
        <v>704</v>
      </c>
    </row>
    <row r="807" spans="1:8" x14ac:dyDescent="0.3">
      <c r="A807" t="s">
        <v>734</v>
      </c>
      <c r="B807" t="s">
        <v>278</v>
      </c>
      <c r="C807" t="s">
        <v>282</v>
      </c>
      <c r="D807" t="s">
        <v>2821</v>
      </c>
      <c r="E807">
        <v>0</v>
      </c>
      <c r="F807" t="s">
        <v>2820</v>
      </c>
      <c r="G807" t="b">
        <v>1</v>
      </c>
      <c r="H807" t="s">
        <v>706</v>
      </c>
    </row>
    <row r="808" spans="1:8" x14ac:dyDescent="0.3">
      <c r="A808" t="s">
        <v>734</v>
      </c>
      <c r="B808" t="s">
        <v>278</v>
      </c>
      <c r="C808" t="s">
        <v>282</v>
      </c>
      <c r="D808" t="s">
        <v>2822</v>
      </c>
      <c r="E808">
        <v>0</v>
      </c>
      <c r="F808" t="s">
        <v>2820</v>
      </c>
      <c r="G808" t="b">
        <v>1</v>
      </c>
      <c r="H808" t="s">
        <v>708</v>
      </c>
    </row>
    <row r="809" spans="1:8" x14ac:dyDescent="0.3">
      <c r="A809" t="s">
        <v>734</v>
      </c>
      <c r="B809" t="s">
        <v>278</v>
      </c>
      <c r="C809" t="s">
        <v>282</v>
      </c>
      <c r="D809" t="s">
        <v>2823</v>
      </c>
      <c r="E809">
        <v>0</v>
      </c>
      <c r="F809" t="s">
        <v>2820</v>
      </c>
      <c r="G809" t="b">
        <v>1</v>
      </c>
      <c r="H809" t="s">
        <v>710</v>
      </c>
    </row>
    <row r="810" spans="1:8" x14ac:dyDescent="0.3">
      <c r="A810" t="s">
        <v>734</v>
      </c>
      <c r="B810" t="s">
        <v>278</v>
      </c>
      <c r="C810" t="s">
        <v>282</v>
      </c>
      <c r="D810" t="s">
        <v>2824</v>
      </c>
      <c r="E810">
        <v>0</v>
      </c>
      <c r="F810" t="s">
        <v>2820</v>
      </c>
      <c r="G810" t="b">
        <v>1</v>
      </c>
      <c r="H810" t="s">
        <v>2802</v>
      </c>
    </row>
    <row r="811" spans="1:8" x14ac:dyDescent="0.3">
      <c r="A811" t="s">
        <v>734</v>
      </c>
      <c r="B811" t="s">
        <v>278</v>
      </c>
      <c r="C811" t="s">
        <v>282</v>
      </c>
      <c r="D811" t="s">
        <v>2825</v>
      </c>
      <c r="E811">
        <v>0</v>
      </c>
      <c r="F811" t="s">
        <v>2820</v>
      </c>
      <c r="G811" t="b">
        <v>1</v>
      </c>
      <c r="H811" t="s">
        <v>2800</v>
      </c>
    </row>
    <row r="812" spans="1:8" x14ac:dyDescent="0.3">
      <c r="A812" t="s">
        <v>734</v>
      </c>
      <c r="B812" t="s">
        <v>278</v>
      </c>
      <c r="C812" t="s">
        <v>282</v>
      </c>
      <c r="D812" t="s">
        <v>2826</v>
      </c>
      <c r="E812">
        <v>0</v>
      </c>
      <c r="F812" t="s">
        <v>2820</v>
      </c>
      <c r="G812" t="b">
        <v>1</v>
      </c>
      <c r="H812" t="s">
        <v>1935</v>
      </c>
    </row>
    <row r="813" spans="1:8" x14ac:dyDescent="0.3">
      <c r="A813" t="s">
        <v>734</v>
      </c>
      <c r="B813" t="s">
        <v>278</v>
      </c>
      <c r="C813" t="s">
        <v>282</v>
      </c>
      <c r="D813" t="s">
        <v>2827</v>
      </c>
      <c r="E813">
        <v>0</v>
      </c>
      <c r="F813" t="s">
        <v>2820</v>
      </c>
      <c r="G813" t="b">
        <v>1</v>
      </c>
      <c r="H813" t="s">
        <v>2828</v>
      </c>
    </row>
    <row r="814" spans="1:8" x14ac:dyDescent="0.3">
      <c r="A814" t="s">
        <v>734</v>
      </c>
      <c r="B814" t="s">
        <v>278</v>
      </c>
      <c r="C814" t="s">
        <v>282</v>
      </c>
      <c r="D814" t="s">
        <v>2829</v>
      </c>
      <c r="E814">
        <v>0</v>
      </c>
      <c r="F814" t="s">
        <v>2820</v>
      </c>
      <c r="G814" t="b">
        <v>1</v>
      </c>
      <c r="H814" t="s">
        <v>2830</v>
      </c>
    </row>
    <row r="815" spans="1:8" x14ac:dyDescent="0.3">
      <c r="A815" t="s">
        <v>734</v>
      </c>
      <c r="B815" t="s">
        <v>278</v>
      </c>
      <c r="C815" t="s">
        <v>282</v>
      </c>
      <c r="D815" t="s">
        <v>2831</v>
      </c>
      <c r="E815">
        <v>0</v>
      </c>
      <c r="F815" t="s">
        <v>2820</v>
      </c>
      <c r="G815" t="b">
        <v>1</v>
      </c>
      <c r="H815" t="s">
        <v>466</v>
      </c>
    </row>
    <row r="816" spans="1:8" x14ac:dyDescent="0.3">
      <c r="A816" t="s">
        <v>734</v>
      </c>
      <c r="B816" t="s">
        <v>278</v>
      </c>
      <c r="C816" t="s">
        <v>282</v>
      </c>
      <c r="D816" t="s">
        <v>2832</v>
      </c>
      <c r="E816">
        <v>0</v>
      </c>
      <c r="F816" t="s">
        <v>2820</v>
      </c>
      <c r="G816" t="b">
        <v>1</v>
      </c>
      <c r="H816" t="s">
        <v>467</v>
      </c>
    </row>
    <row r="817" spans="1:8" x14ac:dyDescent="0.3">
      <c r="A817" t="s">
        <v>734</v>
      </c>
      <c r="B817" t="s">
        <v>278</v>
      </c>
      <c r="C817" t="s">
        <v>282</v>
      </c>
      <c r="D817" t="s">
        <v>2833</v>
      </c>
      <c r="E817">
        <v>0</v>
      </c>
      <c r="F817" t="s">
        <v>2820</v>
      </c>
      <c r="G817" t="b">
        <v>1</v>
      </c>
      <c r="H817" t="s">
        <v>468</v>
      </c>
    </row>
    <row r="818" spans="1:8" x14ac:dyDescent="0.3">
      <c r="A818" t="s">
        <v>734</v>
      </c>
      <c r="B818" t="s">
        <v>278</v>
      </c>
      <c r="C818" t="s">
        <v>285</v>
      </c>
      <c r="D818" t="s">
        <v>2819</v>
      </c>
      <c r="E818">
        <v>0</v>
      </c>
      <c r="F818" t="s">
        <v>2820</v>
      </c>
      <c r="G818" t="b">
        <v>1</v>
      </c>
      <c r="H818" t="s">
        <v>704</v>
      </c>
    </row>
    <row r="819" spans="1:8" x14ac:dyDescent="0.3">
      <c r="A819" t="s">
        <v>734</v>
      </c>
      <c r="B819" t="s">
        <v>278</v>
      </c>
      <c r="C819" t="s">
        <v>285</v>
      </c>
      <c r="D819" t="s">
        <v>2821</v>
      </c>
      <c r="E819">
        <v>0</v>
      </c>
      <c r="F819" t="s">
        <v>2820</v>
      </c>
      <c r="G819" t="b">
        <v>1</v>
      </c>
      <c r="H819" t="s">
        <v>706</v>
      </c>
    </row>
    <row r="820" spans="1:8" x14ac:dyDescent="0.3">
      <c r="A820" t="s">
        <v>734</v>
      </c>
      <c r="B820" t="s">
        <v>278</v>
      </c>
      <c r="C820" t="s">
        <v>285</v>
      </c>
      <c r="D820" t="s">
        <v>2822</v>
      </c>
      <c r="E820">
        <v>0</v>
      </c>
      <c r="F820" t="s">
        <v>2820</v>
      </c>
      <c r="G820" t="b">
        <v>1</v>
      </c>
      <c r="H820" t="s">
        <v>708</v>
      </c>
    </row>
    <row r="821" spans="1:8" x14ac:dyDescent="0.3">
      <c r="A821" t="s">
        <v>734</v>
      </c>
      <c r="B821" t="s">
        <v>278</v>
      </c>
      <c r="C821" t="s">
        <v>285</v>
      </c>
      <c r="D821" t="s">
        <v>2823</v>
      </c>
      <c r="E821">
        <v>0</v>
      </c>
      <c r="F821" t="s">
        <v>2820</v>
      </c>
      <c r="G821" t="b">
        <v>1</v>
      </c>
      <c r="H821" t="s">
        <v>710</v>
      </c>
    </row>
    <row r="822" spans="1:8" x14ac:dyDescent="0.3">
      <c r="A822" t="s">
        <v>734</v>
      </c>
      <c r="B822" t="s">
        <v>278</v>
      </c>
      <c r="C822" t="s">
        <v>285</v>
      </c>
      <c r="D822" t="s">
        <v>2824</v>
      </c>
      <c r="E822">
        <v>0</v>
      </c>
      <c r="F822" t="s">
        <v>2820</v>
      </c>
      <c r="G822" t="b">
        <v>1</v>
      </c>
      <c r="H822" t="s">
        <v>2802</v>
      </c>
    </row>
    <row r="823" spans="1:8" x14ac:dyDescent="0.3">
      <c r="A823" t="s">
        <v>734</v>
      </c>
      <c r="B823" t="s">
        <v>278</v>
      </c>
      <c r="C823" t="s">
        <v>285</v>
      </c>
      <c r="D823" t="s">
        <v>2825</v>
      </c>
      <c r="E823">
        <v>0</v>
      </c>
      <c r="F823" t="s">
        <v>2820</v>
      </c>
      <c r="G823" t="b">
        <v>1</v>
      </c>
      <c r="H823" t="s">
        <v>2800</v>
      </c>
    </row>
    <row r="824" spans="1:8" x14ac:dyDescent="0.3">
      <c r="A824" t="s">
        <v>734</v>
      </c>
      <c r="B824" t="s">
        <v>278</v>
      </c>
      <c r="C824" t="s">
        <v>285</v>
      </c>
      <c r="D824" t="s">
        <v>2826</v>
      </c>
      <c r="E824">
        <v>0</v>
      </c>
      <c r="F824" t="s">
        <v>2820</v>
      </c>
      <c r="G824" t="b">
        <v>1</v>
      </c>
      <c r="H824" t="s">
        <v>1935</v>
      </c>
    </row>
    <row r="825" spans="1:8" x14ac:dyDescent="0.3">
      <c r="A825" t="s">
        <v>734</v>
      </c>
      <c r="B825" t="s">
        <v>278</v>
      </c>
      <c r="C825" t="s">
        <v>285</v>
      </c>
      <c r="D825" t="s">
        <v>2827</v>
      </c>
      <c r="E825">
        <v>969</v>
      </c>
      <c r="F825" t="s">
        <v>2820</v>
      </c>
      <c r="G825" t="b">
        <v>1</v>
      </c>
      <c r="H825" t="s">
        <v>2828</v>
      </c>
    </row>
    <row r="826" spans="1:8" x14ac:dyDescent="0.3">
      <c r="A826" t="s">
        <v>734</v>
      </c>
      <c r="B826" t="s">
        <v>278</v>
      </c>
      <c r="C826" t="s">
        <v>285</v>
      </c>
      <c r="D826" t="s">
        <v>2829</v>
      </c>
      <c r="E826">
        <v>969</v>
      </c>
      <c r="F826" t="s">
        <v>2820</v>
      </c>
      <c r="G826" t="b">
        <v>1</v>
      </c>
      <c r="H826" t="s">
        <v>2830</v>
      </c>
    </row>
    <row r="827" spans="1:8" x14ac:dyDescent="0.3">
      <c r="A827" t="s">
        <v>734</v>
      </c>
      <c r="B827" t="s">
        <v>278</v>
      </c>
      <c r="C827" t="s">
        <v>285</v>
      </c>
      <c r="D827" t="s">
        <v>2831</v>
      </c>
      <c r="E827">
        <v>969</v>
      </c>
      <c r="F827" t="s">
        <v>2820</v>
      </c>
      <c r="G827" t="b">
        <v>1</v>
      </c>
      <c r="H827" t="s">
        <v>466</v>
      </c>
    </row>
    <row r="828" spans="1:8" x14ac:dyDescent="0.3">
      <c r="A828" t="s">
        <v>734</v>
      </c>
      <c r="B828" t="s">
        <v>278</v>
      </c>
      <c r="C828" t="s">
        <v>285</v>
      </c>
      <c r="D828" t="s">
        <v>2832</v>
      </c>
      <c r="E828">
        <v>969</v>
      </c>
      <c r="F828" t="s">
        <v>2820</v>
      </c>
      <c r="G828" t="b">
        <v>1</v>
      </c>
      <c r="H828" t="s">
        <v>467</v>
      </c>
    </row>
    <row r="829" spans="1:8" x14ac:dyDescent="0.3">
      <c r="A829" t="s">
        <v>734</v>
      </c>
      <c r="B829" t="s">
        <v>278</v>
      </c>
      <c r="C829" t="s">
        <v>285</v>
      </c>
      <c r="D829" t="s">
        <v>2833</v>
      </c>
      <c r="E829">
        <v>969</v>
      </c>
      <c r="F829" t="s">
        <v>2820</v>
      </c>
      <c r="G829" t="b">
        <v>1</v>
      </c>
      <c r="H829" t="s">
        <v>468</v>
      </c>
    </row>
    <row r="830" spans="1:8" x14ac:dyDescent="0.3">
      <c r="A830" t="s">
        <v>734</v>
      </c>
      <c r="B830" t="s">
        <v>278</v>
      </c>
      <c r="C830" t="s">
        <v>284</v>
      </c>
      <c r="D830" t="s">
        <v>2819</v>
      </c>
      <c r="E830">
        <v>0</v>
      </c>
      <c r="F830" t="s">
        <v>2820</v>
      </c>
      <c r="G830" t="b">
        <v>1</v>
      </c>
      <c r="H830" t="s">
        <v>704</v>
      </c>
    </row>
    <row r="831" spans="1:8" x14ac:dyDescent="0.3">
      <c r="A831" t="s">
        <v>734</v>
      </c>
      <c r="B831" t="s">
        <v>278</v>
      </c>
      <c r="C831" t="s">
        <v>284</v>
      </c>
      <c r="D831" t="s">
        <v>2821</v>
      </c>
      <c r="E831">
        <v>0</v>
      </c>
      <c r="F831" t="s">
        <v>2820</v>
      </c>
      <c r="G831" t="b">
        <v>1</v>
      </c>
      <c r="H831" t="s">
        <v>706</v>
      </c>
    </row>
    <row r="832" spans="1:8" x14ac:dyDescent="0.3">
      <c r="A832" t="s">
        <v>734</v>
      </c>
      <c r="B832" t="s">
        <v>278</v>
      </c>
      <c r="C832" t="s">
        <v>284</v>
      </c>
      <c r="D832" t="s">
        <v>2822</v>
      </c>
      <c r="E832">
        <v>0</v>
      </c>
      <c r="F832" t="s">
        <v>2820</v>
      </c>
      <c r="G832" t="b">
        <v>1</v>
      </c>
      <c r="H832" t="s">
        <v>708</v>
      </c>
    </row>
    <row r="833" spans="1:8" x14ac:dyDescent="0.3">
      <c r="A833" t="s">
        <v>734</v>
      </c>
      <c r="B833" t="s">
        <v>278</v>
      </c>
      <c r="C833" t="s">
        <v>284</v>
      </c>
      <c r="D833" t="s">
        <v>2823</v>
      </c>
      <c r="E833">
        <v>0</v>
      </c>
      <c r="F833" t="s">
        <v>2820</v>
      </c>
      <c r="G833" t="b">
        <v>1</v>
      </c>
      <c r="H833" t="s">
        <v>710</v>
      </c>
    </row>
    <row r="834" spans="1:8" x14ac:dyDescent="0.3">
      <c r="A834" t="s">
        <v>734</v>
      </c>
      <c r="B834" t="s">
        <v>278</v>
      </c>
      <c r="C834" t="s">
        <v>284</v>
      </c>
      <c r="D834" t="s">
        <v>2824</v>
      </c>
      <c r="E834">
        <v>0</v>
      </c>
      <c r="F834" t="s">
        <v>2820</v>
      </c>
      <c r="G834" t="b">
        <v>1</v>
      </c>
      <c r="H834" t="s">
        <v>2802</v>
      </c>
    </row>
    <row r="835" spans="1:8" x14ac:dyDescent="0.3">
      <c r="A835" t="s">
        <v>734</v>
      </c>
      <c r="B835" t="s">
        <v>278</v>
      </c>
      <c r="C835" t="s">
        <v>284</v>
      </c>
      <c r="D835" t="s">
        <v>2825</v>
      </c>
      <c r="E835">
        <v>0</v>
      </c>
      <c r="F835" t="s">
        <v>2820</v>
      </c>
      <c r="G835" t="b">
        <v>1</v>
      </c>
      <c r="H835" t="s">
        <v>2800</v>
      </c>
    </row>
    <row r="836" spans="1:8" x14ac:dyDescent="0.3">
      <c r="A836" t="s">
        <v>734</v>
      </c>
      <c r="B836" t="s">
        <v>278</v>
      </c>
      <c r="C836" t="s">
        <v>284</v>
      </c>
      <c r="D836" t="s">
        <v>2826</v>
      </c>
      <c r="E836">
        <v>0</v>
      </c>
      <c r="F836" t="s">
        <v>2820</v>
      </c>
      <c r="G836" t="b">
        <v>1</v>
      </c>
      <c r="H836" t="s">
        <v>1935</v>
      </c>
    </row>
    <row r="837" spans="1:8" x14ac:dyDescent="0.3">
      <c r="A837" t="s">
        <v>734</v>
      </c>
      <c r="B837" t="s">
        <v>278</v>
      </c>
      <c r="C837" t="s">
        <v>284</v>
      </c>
      <c r="D837" t="s">
        <v>2827</v>
      </c>
      <c r="E837">
        <v>489</v>
      </c>
      <c r="F837" t="s">
        <v>2820</v>
      </c>
      <c r="G837" t="b">
        <v>1</v>
      </c>
      <c r="H837" t="s">
        <v>2828</v>
      </c>
    </row>
    <row r="838" spans="1:8" x14ac:dyDescent="0.3">
      <c r="A838" t="s">
        <v>734</v>
      </c>
      <c r="B838" t="s">
        <v>278</v>
      </c>
      <c r="C838" t="s">
        <v>284</v>
      </c>
      <c r="D838" t="s">
        <v>2829</v>
      </c>
      <c r="E838">
        <v>489</v>
      </c>
      <c r="F838" t="s">
        <v>2820</v>
      </c>
      <c r="G838" t="b">
        <v>1</v>
      </c>
      <c r="H838" t="s">
        <v>2830</v>
      </c>
    </row>
    <row r="839" spans="1:8" x14ac:dyDescent="0.3">
      <c r="A839" t="s">
        <v>734</v>
      </c>
      <c r="B839" t="s">
        <v>278</v>
      </c>
      <c r="C839" t="s">
        <v>284</v>
      </c>
      <c r="D839" t="s">
        <v>2831</v>
      </c>
      <c r="E839">
        <v>489</v>
      </c>
      <c r="F839" t="s">
        <v>2820</v>
      </c>
      <c r="G839" t="b">
        <v>1</v>
      </c>
      <c r="H839" t="s">
        <v>466</v>
      </c>
    </row>
    <row r="840" spans="1:8" x14ac:dyDescent="0.3">
      <c r="A840" t="s">
        <v>734</v>
      </c>
      <c r="B840" t="s">
        <v>278</v>
      </c>
      <c r="C840" t="s">
        <v>284</v>
      </c>
      <c r="D840" t="s">
        <v>2832</v>
      </c>
      <c r="E840">
        <v>489</v>
      </c>
      <c r="F840" t="s">
        <v>2820</v>
      </c>
      <c r="G840" t="b">
        <v>1</v>
      </c>
      <c r="H840" t="s">
        <v>467</v>
      </c>
    </row>
    <row r="841" spans="1:8" x14ac:dyDescent="0.3">
      <c r="A841" t="s">
        <v>734</v>
      </c>
      <c r="B841" t="s">
        <v>278</v>
      </c>
      <c r="C841" t="s">
        <v>284</v>
      </c>
      <c r="D841" t="s">
        <v>2833</v>
      </c>
      <c r="E841">
        <v>489</v>
      </c>
      <c r="F841" t="s">
        <v>2820</v>
      </c>
      <c r="G841" t="b">
        <v>1</v>
      </c>
      <c r="H841" t="s">
        <v>468</v>
      </c>
    </row>
    <row r="842" spans="1:8" x14ac:dyDescent="0.3">
      <c r="A842" t="s">
        <v>734</v>
      </c>
      <c r="B842" t="s">
        <v>278</v>
      </c>
      <c r="C842" t="s">
        <v>283</v>
      </c>
      <c r="D842" t="s">
        <v>2819</v>
      </c>
      <c r="E842">
        <v>0</v>
      </c>
      <c r="F842" t="s">
        <v>2820</v>
      </c>
      <c r="G842" t="b">
        <v>1</v>
      </c>
      <c r="H842" t="s">
        <v>704</v>
      </c>
    </row>
    <row r="843" spans="1:8" x14ac:dyDescent="0.3">
      <c r="A843" t="s">
        <v>734</v>
      </c>
      <c r="B843" t="s">
        <v>278</v>
      </c>
      <c r="C843" t="s">
        <v>283</v>
      </c>
      <c r="D843" t="s">
        <v>2821</v>
      </c>
      <c r="E843">
        <v>0</v>
      </c>
      <c r="F843" t="s">
        <v>2820</v>
      </c>
      <c r="G843" t="b">
        <v>1</v>
      </c>
      <c r="H843" t="s">
        <v>706</v>
      </c>
    </row>
    <row r="844" spans="1:8" x14ac:dyDescent="0.3">
      <c r="A844" t="s">
        <v>734</v>
      </c>
      <c r="B844" t="s">
        <v>278</v>
      </c>
      <c r="C844" t="s">
        <v>283</v>
      </c>
      <c r="D844" t="s">
        <v>2822</v>
      </c>
      <c r="E844">
        <v>0</v>
      </c>
      <c r="F844" t="s">
        <v>2820</v>
      </c>
      <c r="G844" t="b">
        <v>1</v>
      </c>
      <c r="H844" t="s">
        <v>708</v>
      </c>
    </row>
    <row r="845" spans="1:8" x14ac:dyDescent="0.3">
      <c r="A845" t="s">
        <v>734</v>
      </c>
      <c r="B845" t="s">
        <v>278</v>
      </c>
      <c r="C845" t="s">
        <v>283</v>
      </c>
      <c r="D845" t="s">
        <v>2823</v>
      </c>
      <c r="E845">
        <v>0</v>
      </c>
      <c r="F845" t="s">
        <v>2820</v>
      </c>
      <c r="G845" t="b">
        <v>1</v>
      </c>
      <c r="H845" t="s">
        <v>710</v>
      </c>
    </row>
    <row r="846" spans="1:8" x14ac:dyDescent="0.3">
      <c r="A846" t="s">
        <v>734</v>
      </c>
      <c r="B846" t="s">
        <v>278</v>
      </c>
      <c r="C846" t="s">
        <v>283</v>
      </c>
      <c r="D846" t="s">
        <v>2824</v>
      </c>
      <c r="E846">
        <v>0</v>
      </c>
      <c r="F846" t="s">
        <v>2820</v>
      </c>
      <c r="G846" t="b">
        <v>1</v>
      </c>
      <c r="H846" t="s">
        <v>2802</v>
      </c>
    </row>
    <row r="847" spans="1:8" x14ac:dyDescent="0.3">
      <c r="A847" t="s">
        <v>734</v>
      </c>
      <c r="B847" t="s">
        <v>278</v>
      </c>
      <c r="C847" t="s">
        <v>283</v>
      </c>
      <c r="D847" t="s">
        <v>2825</v>
      </c>
      <c r="E847">
        <v>0</v>
      </c>
      <c r="F847" t="s">
        <v>2820</v>
      </c>
      <c r="G847" t="b">
        <v>1</v>
      </c>
      <c r="H847" t="s">
        <v>2800</v>
      </c>
    </row>
    <row r="848" spans="1:8" x14ac:dyDescent="0.3">
      <c r="A848" t="s">
        <v>734</v>
      </c>
      <c r="B848" t="s">
        <v>278</v>
      </c>
      <c r="C848" t="s">
        <v>283</v>
      </c>
      <c r="D848" t="s">
        <v>2826</v>
      </c>
      <c r="E848">
        <v>0</v>
      </c>
      <c r="F848" t="s">
        <v>2820</v>
      </c>
      <c r="G848" t="b">
        <v>1</v>
      </c>
      <c r="H848" t="s">
        <v>1935</v>
      </c>
    </row>
    <row r="849" spans="1:8" x14ac:dyDescent="0.3">
      <c r="A849" t="s">
        <v>734</v>
      </c>
      <c r="B849" t="s">
        <v>278</v>
      </c>
      <c r="C849" t="s">
        <v>283</v>
      </c>
      <c r="D849" t="s">
        <v>2827</v>
      </c>
      <c r="E849">
        <v>4640</v>
      </c>
      <c r="F849" t="s">
        <v>2820</v>
      </c>
      <c r="G849" t="b">
        <v>1</v>
      </c>
      <c r="H849" t="s">
        <v>2828</v>
      </c>
    </row>
    <row r="850" spans="1:8" x14ac:dyDescent="0.3">
      <c r="A850" t="s">
        <v>734</v>
      </c>
      <c r="B850" t="s">
        <v>278</v>
      </c>
      <c r="C850" t="s">
        <v>283</v>
      </c>
      <c r="D850" t="s">
        <v>2829</v>
      </c>
      <c r="E850">
        <v>4640</v>
      </c>
      <c r="F850" t="s">
        <v>2820</v>
      </c>
      <c r="G850" t="b">
        <v>1</v>
      </c>
      <c r="H850" t="s">
        <v>2830</v>
      </c>
    </row>
    <row r="851" spans="1:8" x14ac:dyDescent="0.3">
      <c r="A851" t="s">
        <v>734</v>
      </c>
      <c r="B851" t="s">
        <v>278</v>
      </c>
      <c r="C851" t="s">
        <v>283</v>
      </c>
      <c r="D851" t="s">
        <v>2831</v>
      </c>
      <c r="E851">
        <v>4640</v>
      </c>
      <c r="F851" t="s">
        <v>2820</v>
      </c>
      <c r="G851" t="b">
        <v>1</v>
      </c>
      <c r="H851" t="s">
        <v>466</v>
      </c>
    </row>
    <row r="852" spans="1:8" x14ac:dyDescent="0.3">
      <c r="A852" t="s">
        <v>734</v>
      </c>
      <c r="B852" t="s">
        <v>278</v>
      </c>
      <c r="C852" t="s">
        <v>283</v>
      </c>
      <c r="D852" t="s">
        <v>2832</v>
      </c>
      <c r="E852">
        <v>4640</v>
      </c>
      <c r="F852" t="s">
        <v>2820</v>
      </c>
      <c r="G852" t="b">
        <v>1</v>
      </c>
      <c r="H852" t="s">
        <v>467</v>
      </c>
    </row>
    <row r="853" spans="1:8" x14ac:dyDescent="0.3">
      <c r="A853" t="s">
        <v>734</v>
      </c>
      <c r="B853" t="s">
        <v>278</v>
      </c>
      <c r="C853" t="s">
        <v>283</v>
      </c>
      <c r="D853" t="s">
        <v>2833</v>
      </c>
      <c r="E853">
        <v>4640</v>
      </c>
      <c r="F853" t="s">
        <v>2820</v>
      </c>
      <c r="G853" t="b">
        <v>1</v>
      </c>
      <c r="H853" t="s">
        <v>468</v>
      </c>
    </row>
    <row r="854" spans="1:8" x14ac:dyDescent="0.3">
      <c r="A854" t="s">
        <v>734</v>
      </c>
      <c r="B854" t="s">
        <v>278</v>
      </c>
      <c r="C854" t="s">
        <v>279</v>
      </c>
      <c r="D854" t="s">
        <v>2819</v>
      </c>
      <c r="E854">
        <v>0</v>
      </c>
      <c r="F854" t="s">
        <v>2820</v>
      </c>
      <c r="G854" t="b">
        <v>1</v>
      </c>
      <c r="H854" t="s">
        <v>704</v>
      </c>
    </row>
    <row r="855" spans="1:8" x14ac:dyDescent="0.3">
      <c r="A855" t="s">
        <v>734</v>
      </c>
      <c r="B855" t="s">
        <v>278</v>
      </c>
      <c r="C855" t="s">
        <v>279</v>
      </c>
      <c r="D855" t="s">
        <v>2821</v>
      </c>
      <c r="E855">
        <v>0</v>
      </c>
      <c r="F855" t="s">
        <v>2820</v>
      </c>
      <c r="G855" t="b">
        <v>1</v>
      </c>
      <c r="H855" t="s">
        <v>706</v>
      </c>
    </row>
    <row r="856" spans="1:8" x14ac:dyDescent="0.3">
      <c r="A856" t="s">
        <v>734</v>
      </c>
      <c r="B856" t="s">
        <v>278</v>
      </c>
      <c r="C856" t="s">
        <v>279</v>
      </c>
      <c r="D856" t="s">
        <v>2822</v>
      </c>
      <c r="E856">
        <v>0</v>
      </c>
      <c r="F856" t="s">
        <v>2820</v>
      </c>
      <c r="G856" t="b">
        <v>1</v>
      </c>
      <c r="H856" t="s">
        <v>708</v>
      </c>
    </row>
    <row r="857" spans="1:8" x14ac:dyDescent="0.3">
      <c r="A857" t="s">
        <v>734</v>
      </c>
      <c r="B857" t="s">
        <v>278</v>
      </c>
      <c r="C857" t="s">
        <v>279</v>
      </c>
      <c r="D857" t="s">
        <v>2823</v>
      </c>
      <c r="E857">
        <v>0</v>
      </c>
      <c r="F857" t="s">
        <v>2820</v>
      </c>
      <c r="G857" t="b">
        <v>1</v>
      </c>
      <c r="H857" t="s">
        <v>710</v>
      </c>
    </row>
    <row r="858" spans="1:8" x14ac:dyDescent="0.3">
      <c r="A858" t="s">
        <v>734</v>
      </c>
      <c r="B858" t="s">
        <v>278</v>
      </c>
      <c r="C858" t="s">
        <v>279</v>
      </c>
      <c r="D858" t="s">
        <v>2824</v>
      </c>
      <c r="E858">
        <v>0</v>
      </c>
      <c r="F858" t="s">
        <v>2820</v>
      </c>
      <c r="G858" t="b">
        <v>1</v>
      </c>
      <c r="H858" t="s">
        <v>2802</v>
      </c>
    </row>
    <row r="859" spans="1:8" x14ac:dyDescent="0.3">
      <c r="A859" t="s">
        <v>734</v>
      </c>
      <c r="B859" t="s">
        <v>278</v>
      </c>
      <c r="C859" t="s">
        <v>279</v>
      </c>
      <c r="D859" t="s">
        <v>2825</v>
      </c>
      <c r="E859">
        <v>0</v>
      </c>
      <c r="F859" t="s">
        <v>2820</v>
      </c>
      <c r="G859" t="b">
        <v>1</v>
      </c>
      <c r="H859" t="s">
        <v>2800</v>
      </c>
    </row>
    <row r="860" spans="1:8" x14ac:dyDescent="0.3">
      <c r="A860" t="s">
        <v>734</v>
      </c>
      <c r="B860" t="s">
        <v>278</v>
      </c>
      <c r="C860" t="s">
        <v>279</v>
      </c>
      <c r="D860" t="s">
        <v>2826</v>
      </c>
      <c r="E860">
        <v>0</v>
      </c>
      <c r="F860" t="s">
        <v>2820</v>
      </c>
      <c r="G860" t="b">
        <v>1</v>
      </c>
      <c r="H860" t="s">
        <v>1935</v>
      </c>
    </row>
    <row r="861" spans="1:8" x14ac:dyDescent="0.3">
      <c r="A861" t="s">
        <v>734</v>
      </c>
      <c r="B861" t="s">
        <v>278</v>
      </c>
      <c r="C861" t="s">
        <v>279</v>
      </c>
      <c r="D861" t="s">
        <v>2827</v>
      </c>
      <c r="E861">
        <v>0</v>
      </c>
      <c r="F861" t="s">
        <v>2820</v>
      </c>
      <c r="G861" t="b">
        <v>1</v>
      </c>
      <c r="H861" t="s">
        <v>2828</v>
      </c>
    </row>
    <row r="862" spans="1:8" x14ac:dyDescent="0.3">
      <c r="A862" t="s">
        <v>734</v>
      </c>
      <c r="B862" t="s">
        <v>278</v>
      </c>
      <c r="C862" t="s">
        <v>279</v>
      </c>
      <c r="D862" t="s">
        <v>2829</v>
      </c>
      <c r="E862">
        <v>0</v>
      </c>
      <c r="F862" t="s">
        <v>2820</v>
      </c>
      <c r="G862" t="b">
        <v>1</v>
      </c>
      <c r="H862" t="s">
        <v>2830</v>
      </c>
    </row>
    <row r="863" spans="1:8" x14ac:dyDescent="0.3">
      <c r="A863" t="s">
        <v>734</v>
      </c>
      <c r="B863" t="s">
        <v>278</v>
      </c>
      <c r="C863" t="s">
        <v>279</v>
      </c>
      <c r="D863" t="s">
        <v>2831</v>
      </c>
      <c r="E863">
        <v>0</v>
      </c>
      <c r="F863" t="s">
        <v>2820</v>
      </c>
      <c r="G863" t="b">
        <v>1</v>
      </c>
      <c r="H863" t="s">
        <v>466</v>
      </c>
    </row>
    <row r="864" spans="1:8" x14ac:dyDescent="0.3">
      <c r="A864" t="s">
        <v>734</v>
      </c>
      <c r="B864" t="s">
        <v>278</v>
      </c>
      <c r="C864" t="s">
        <v>279</v>
      </c>
      <c r="D864" t="s">
        <v>2832</v>
      </c>
      <c r="E864">
        <v>0</v>
      </c>
      <c r="F864" t="s">
        <v>2820</v>
      </c>
      <c r="G864" t="b">
        <v>1</v>
      </c>
      <c r="H864" t="s">
        <v>467</v>
      </c>
    </row>
    <row r="865" spans="1:8" x14ac:dyDescent="0.3">
      <c r="A865" t="s">
        <v>734</v>
      </c>
      <c r="B865" t="s">
        <v>278</v>
      </c>
      <c r="C865" t="s">
        <v>279</v>
      </c>
      <c r="D865" t="s">
        <v>2833</v>
      </c>
      <c r="E865">
        <v>0</v>
      </c>
      <c r="F865" t="s">
        <v>2820</v>
      </c>
      <c r="G865" t="b">
        <v>1</v>
      </c>
      <c r="H865" t="s">
        <v>468</v>
      </c>
    </row>
    <row r="866" spans="1:8" x14ac:dyDescent="0.3">
      <c r="A866" t="s">
        <v>734</v>
      </c>
      <c r="B866" t="s">
        <v>278</v>
      </c>
      <c r="C866" t="s">
        <v>281</v>
      </c>
      <c r="D866" t="s">
        <v>2819</v>
      </c>
      <c r="E866">
        <v>0</v>
      </c>
      <c r="F866" t="s">
        <v>2820</v>
      </c>
      <c r="G866" t="b">
        <v>1</v>
      </c>
      <c r="H866" t="s">
        <v>704</v>
      </c>
    </row>
    <row r="867" spans="1:8" x14ac:dyDescent="0.3">
      <c r="A867" t="s">
        <v>734</v>
      </c>
      <c r="B867" t="s">
        <v>278</v>
      </c>
      <c r="C867" t="s">
        <v>281</v>
      </c>
      <c r="D867" t="s">
        <v>2821</v>
      </c>
      <c r="E867">
        <v>0</v>
      </c>
      <c r="F867" t="s">
        <v>2820</v>
      </c>
      <c r="G867" t="b">
        <v>1</v>
      </c>
      <c r="H867" t="s">
        <v>706</v>
      </c>
    </row>
    <row r="868" spans="1:8" x14ac:dyDescent="0.3">
      <c r="A868" t="s">
        <v>734</v>
      </c>
      <c r="B868" t="s">
        <v>278</v>
      </c>
      <c r="C868" t="s">
        <v>281</v>
      </c>
      <c r="D868" t="s">
        <v>2822</v>
      </c>
      <c r="E868">
        <v>0</v>
      </c>
      <c r="F868" t="s">
        <v>2820</v>
      </c>
      <c r="G868" t="b">
        <v>1</v>
      </c>
      <c r="H868" t="s">
        <v>708</v>
      </c>
    </row>
    <row r="869" spans="1:8" x14ac:dyDescent="0.3">
      <c r="A869" t="s">
        <v>734</v>
      </c>
      <c r="B869" t="s">
        <v>278</v>
      </c>
      <c r="C869" t="s">
        <v>281</v>
      </c>
      <c r="D869" t="s">
        <v>2823</v>
      </c>
      <c r="E869">
        <v>0</v>
      </c>
      <c r="F869" t="s">
        <v>2820</v>
      </c>
      <c r="G869" t="b">
        <v>1</v>
      </c>
      <c r="H869" t="s">
        <v>710</v>
      </c>
    </row>
    <row r="870" spans="1:8" x14ac:dyDescent="0.3">
      <c r="A870" t="s">
        <v>734</v>
      </c>
      <c r="B870" t="s">
        <v>278</v>
      </c>
      <c r="C870" t="s">
        <v>281</v>
      </c>
      <c r="D870" t="s">
        <v>2824</v>
      </c>
      <c r="E870">
        <v>0</v>
      </c>
      <c r="F870" t="s">
        <v>2820</v>
      </c>
      <c r="G870" t="b">
        <v>1</v>
      </c>
      <c r="H870" t="s">
        <v>2802</v>
      </c>
    </row>
    <row r="871" spans="1:8" x14ac:dyDescent="0.3">
      <c r="A871" t="s">
        <v>734</v>
      </c>
      <c r="B871" t="s">
        <v>278</v>
      </c>
      <c r="C871" t="s">
        <v>281</v>
      </c>
      <c r="D871" t="s">
        <v>2825</v>
      </c>
      <c r="E871">
        <v>0</v>
      </c>
      <c r="F871" t="s">
        <v>2820</v>
      </c>
      <c r="G871" t="b">
        <v>1</v>
      </c>
      <c r="H871" t="s">
        <v>2800</v>
      </c>
    </row>
    <row r="872" spans="1:8" x14ac:dyDescent="0.3">
      <c r="A872" t="s">
        <v>734</v>
      </c>
      <c r="B872" t="s">
        <v>278</v>
      </c>
      <c r="C872" t="s">
        <v>281</v>
      </c>
      <c r="D872" t="s">
        <v>2826</v>
      </c>
      <c r="E872">
        <v>0</v>
      </c>
      <c r="F872" t="s">
        <v>2820</v>
      </c>
      <c r="G872" t="b">
        <v>1</v>
      </c>
      <c r="H872" t="s">
        <v>1935</v>
      </c>
    </row>
    <row r="873" spans="1:8" x14ac:dyDescent="0.3">
      <c r="A873" t="s">
        <v>734</v>
      </c>
      <c r="B873" t="s">
        <v>278</v>
      </c>
      <c r="C873" t="s">
        <v>281</v>
      </c>
      <c r="D873" t="s">
        <v>2827</v>
      </c>
      <c r="E873">
        <v>596.36</v>
      </c>
      <c r="F873" t="s">
        <v>2820</v>
      </c>
      <c r="G873" t="b">
        <v>1</v>
      </c>
      <c r="H873" t="s">
        <v>2828</v>
      </c>
    </row>
    <row r="874" spans="1:8" x14ac:dyDescent="0.3">
      <c r="A874" t="s">
        <v>734</v>
      </c>
      <c r="B874" t="s">
        <v>278</v>
      </c>
      <c r="C874" t="s">
        <v>281</v>
      </c>
      <c r="D874" t="s">
        <v>2829</v>
      </c>
      <c r="E874">
        <v>596.36</v>
      </c>
      <c r="F874" t="s">
        <v>2820</v>
      </c>
      <c r="G874" t="b">
        <v>1</v>
      </c>
      <c r="H874" t="s">
        <v>2830</v>
      </c>
    </row>
    <row r="875" spans="1:8" x14ac:dyDescent="0.3">
      <c r="A875" t="s">
        <v>734</v>
      </c>
      <c r="B875" t="s">
        <v>278</v>
      </c>
      <c r="C875" t="s">
        <v>281</v>
      </c>
      <c r="D875" t="s">
        <v>2831</v>
      </c>
      <c r="E875">
        <v>596.36</v>
      </c>
      <c r="F875" t="s">
        <v>2820</v>
      </c>
      <c r="G875" t="b">
        <v>1</v>
      </c>
      <c r="H875" t="s">
        <v>466</v>
      </c>
    </row>
    <row r="876" spans="1:8" x14ac:dyDescent="0.3">
      <c r="A876" t="s">
        <v>734</v>
      </c>
      <c r="B876" t="s">
        <v>278</v>
      </c>
      <c r="C876" t="s">
        <v>281</v>
      </c>
      <c r="D876" t="s">
        <v>2832</v>
      </c>
      <c r="E876">
        <v>596.36</v>
      </c>
      <c r="F876" t="s">
        <v>2820</v>
      </c>
      <c r="G876" t="b">
        <v>1</v>
      </c>
      <c r="H876" t="s">
        <v>467</v>
      </c>
    </row>
    <row r="877" spans="1:8" x14ac:dyDescent="0.3">
      <c r="A877" t="s">
        <v>734</v>
      </c>
      <c r="B877" t="s">
        <v>278</v>
      </c>
      <c r="C877" t="s">
        <v>281</v>
      </c>
      <c r="D877" t="s">
        <v>2833</v>
      </c>
      <c r="E877">
        <v>596.36</v>
      </c>
      <c r="F877" t="s">
        <v>2820</v>
      </c>
      <c r="G877" t="b">
        <v>1</v>
      </c>
      <c r="H877" t="s">
        <v>468</v>
      </c>
    </row>
    <row r="878" spans="1:8" x14ac:dyDescent="0.3">
      <c r="A878" t="s">
        <v>734</v>
      </c>
      <c r="B878" t="s">
        <v>317</v>
      </c>
      <c r="C878" t="s">
        <v>319</v>
      </c>
      <c r="D878" t="s">
        <v>2819</v>
      </c>
      <c r="E878">
        <v>0</v>
      </c>
      <c r="F878" t="s">
        <v>2820</v>
      </c>
      <c r="G878" t="b">
        <v>1</v>
      </c>
      <c r="H878" t="s">
        <v>704</v>
      </c>
    </row>
    <row r="879" spans="1:8" x14ac:dyDescent="0.3">
      <c r="A879" t="s">
        <v>734</v>
      </c>
      <c r="B879" t="s">
        <v>317</v>
      </c>
      <c r="C879" t="s">
        <v>319</v>
      </c>
      <c r="D879" t="s">
        <v>2821</v>
      </c>
      <c r="E879">
        <v>0</v>
      </c>
      <c r="F879" t="s">
        <v>2820</v>
      </c>
      <c r="G879" t="b">
        <v>1</v>
      </c>
      <c r="H879" t="s">
        <v>706</v>
      </c>
    </row>
    <row r="880" spans="1:8" x14ac:dyDescent="0.3">
      <c r="A880" t="s">
        <v>734</v>
      </c>
      <c r="B880" t="s">
        <v>317</v>
      </c>
      <c r="C880" t="s">
        <v>319</v>
      </c>
      <c r="D880" t="s">
        <v>2822</v>
      </c>
      <c r="E880">
        <v>0</v>
      </c>
      <c r="F880" t="s">
        <v>2820</v>
      </c>
      <c r="G880" t="b">
        <v>1</v>
      </c>
      <c r="H880" t="s">
        <v>708</v>
      </c>
    </row>
    <row r="881" spans="1:8" x14ac:dyDescent="0.3">
      <c r="A881" t="s">
        <v>734</v>
      </c>
      <c r="B881" t="s">
        <v>317</v>
      </c>
      <c r="C881" t="s">
        <v>319</v>
      </c>
      <c r="D881" t="s">
        <v>2823</v>
      </c>
      <c r="E881">
        <v>0</v>
      </c>
      <c r="F881" t="s">
        <v>2820</v>
      </c>
      <c r="G881" t="b">
        <v>1</v>
      </c>
      <c r="H881" t="s">
        <v>710</v>
      </c>
    </row>
    <row r="882" spans="1:8" x14ac:dyDescent="0.3">
      <c r="A882" t="s">
        <v>734</v>
      </c>
      <c r="B882" t="s">
        <v>317</v>
      </c>
      <c r="C882" t="s">
        <v>319</v>
      </c>
      <c r="D882" t="s">
        <v>2824</v>
      </c>
      <c r="E882">
        <v>0</v>
      </c>
      <c r="F882" t="s">
        <v>2820</v>
      </c>
      <c r="G882" t="b">
        <v>1</v>
      </c>
      <c r="H882" t="s">
        <v>2802</v>
      </c>
    </row>
    <row r="883" spans="1:8" x14ac:dyDescent="0.3">
      <c r="A883" t="s">
        <v>734</v>
      </c>
      <c r="B883" t="s">
        <v>317</v>
      </c>
      <c r="C883" t="s">
        <v>319</v>
      </c>
      <c r="D883" t="s">
        <v>2825</v>
      </c>
      <c r="E883">
        <v>0</v>
      </c>
      <c r="F883" t="s">
        <v>2820</v>
      </c>
      <c r="G883" t="b">
        <v>1</v>
      </c>
      <c r="H883" t="s">
        <v>2800</v>
      </c>
    </row>
    <row r="884" spans="1:8" x14ac:dyDescent="0.3">
      <c r="A884" t="s">
        <v>734</v>
      </c>
      <c r="B884" t="s">
        <v>317</v>
      </c>
      <c r="C884" t="s">
        <v>319</v>
      </c>
      <c r="D884" t="s">
        <v>2826</v>
      </c>
      <c r="E884">
        <v>0</v>
      </c>
      <c r="F884" t="s">
        <v>2820</v>
      </c>
      <c r="G884" t="b">
        <v>1</v>
      </c>
      <c r="H884" t="s">
        <v>1935</v>
      </c>
    </row>
    <row r="885" spans="1:8" x14ac:dyDescent="0.3">
      <c r="A885" t="s">
        <v>734</v>
      </c>
      <c r="B885" t="s">
        <v>317</v>
      </c>
      <c r="C885" t="s">
        <v>319</v>
      </c>
      <c r="D885" t="s">
        <v>2827</v>
      </c>
      <c r="E885">
        <v>0</v>
      </c>
      <c r="F885" t="s">
        <v>2820</v>
      </c>
      <c r="G885" t="b">
        <v>1</v>
      </c>
      <c r="H885" t="s">
        <v>2828</v>
      </c>
    </row>
    <row r="886" spans="1:8" x14ac:dyDescent="0.3">
      <c r="A886" t="s">
        <v>734</v>
      </c>
      <c r="B886" t="s">
        <v>317</v>
      </c>
      <c r="C886" t="s">
        <v>319</v>
      </c>
      <c r="D886" t="s">
        <v>2829</v>
      </c>
      <c r="E886">
        <v>0</v>
      </c>
      <c r="F886" t="s">
        <v>2820</v>
      </c>
      <c r="G886" t="b">
        <v>1</v>
      </c>
      <c r="H886" t="s">
        <v>2830</v>
      </c>
    </row>
    <row r="887" spans="1:8" x14ac:dyDescent="0.3">
      <c r="A887" t="s">
        <v>734</v>
      </c>
      <c r="B887" t="s">
        <v>317</v>
      </c>
      <c r="C887" t="s">
        <v>319</v>
      </c>
      <c r="D887" t="s">
        <v>2831</v>
      </c>
      <c r="E887">
        <v>0</v>
      </c>
      <c r="F887" t="s">
        <v>2820</v>
      </c>
      <c r="G887" t="b">
        <v>1</v>
      </c>
      <c r="H887" t="s">
        <v>466</v>
      </c>
    </row>
    <row r="888" spans="1:8" x14ac:dyDescent="0.3">
      <c r="A888" t="s">
        <v>734</v>
      </c>
      <c r="B888" t="s">
        <v>317</v>
      </c>
      <c r="C888" t="s">
        <v>319</v>
      </c>
      <c r="D888" t="s">
        <v>2832</v>
      </c>
      <c r="E888">
        <v>0</v>
      </c>
      <c r="F888" t="s">
        <v>2820</v>
      </c>
      <c r="G888" t="b">
        <v>1</v>
      </c>
      <c r="H888" t="s">
        <v>467</v>
      </c>
    </row>
    <row r="889" spans="1:8" x14ac:dyDescent="0.3">
      <c r="A889" t="s">
        <v>734</v>
      </c>
      <c r="B889" t="s">
        <v>317</v>
      </c>
      <c r="C889" t="s">
        <v>319</v>
      </c>
      <c r="D889" t="s">
        <v>2833</v>
      </c>
      <c r="E889">
        <v>0</v>
      </c>
      <c r="F889" t="s">
        <v>2820</v>
      </c>
      <c r="G889" t="b">
        <v>1</v>
      </c>
      <c r="H889" t="s">
        <v>468</v>
      </c>
    </row>
    <row r="890" spans="1:8" x14ac:dyDescent="0.3">
      <c r="A890" t="s">
        <v>734</v>
      </c>
      <c r="B890" t="s">
        <v>317</v>
      </c>
      <c r="C890" t="s">
        <v>321</v>
      </c>
      <c r="D890" t="s">
        <v>2819</v>
      </c>
      <c r="E890">
        <v>0</v>
      </c>
      <c r="F890" t="s">
        <v>2820</v>
      </c>
      <c r="G890" t="b">
        <v>1</v>
      </c>
      <c r="H890" t="s">
        <v>704</v>
      </c>
    </row>
    <row r="891" spans="1:8" x14ac:dyDescent="0.3">
      <c r="A891" t="s">
        <v>734</v>
      </c>
      <c r="B891" t="s">
        <v>317</v>
      </c>
      <c r="C891" t="s">
        <v>321</v>
      </c>
      <c r="D891" t="s">
        <v>2821</v>
      </c>
      <c r="E891">
        <v>0</v>
      </c>
      <c r="F891" t="s">
        <v>2820</v>
      </c>
      <c r="G891" t="b">
        <v>1</v>
      </c>
      <c r="H891" t="s">
        <v>706</v>
      </c>
    </row>
    <row r="892" spans="1:8" x14ac:dyDescent="0.3">
      <c r="A892" t="s">
        <v>734</v>
      </c>
      <c r="B892" t="s">
        <v>317</v>
      </c>
      <c r="C892" t="s">
        <v>321</v>
      </c>
      <c r="D892" t="s">
        <v>2822</v>
      </c>
      <c r="E892">
        <v>0</v>
      </c>
      <c r="F892" t="s">
        <v>2820</v>
      </c>
      <c r="G892" t="b">
        <v>1</v>
      </c>
      <c r="H892" t="s">
        <v>708</v>
      </c>
    </row>
    <row r="893" spans="1:8" x14ac:dyDescent="0.3">
      <c r="A893" t="s">
        <v>734</v>
      </c>
      <c r="B893" t="s">
        <v>317</v>
      </c>
      <c r="C893" t="s">
        <v>321</v>
      </c>
      <c r="D893" t="s">
        <v>2823</v>
      </c>
      <c r="E893">
        <v>0</v>
      </c>
      <c r="F893" t="s">
        <v>2820</v>
      </c>
      <c r="G893" t="b">
        <v>1</v>
      </c>
      <c r="H893" t="s">
        <v>710</v>
      </c>
    </row>
    <row r="894" spans="1:8" x14ac:dyDescent="0.3">
      <c r="A894" t="s">
        <v>734</v>
      </c>
      <c r="B894" t="s">
        <v>317</v>
      </c>
      <c r="C894" t="s">
        <v>321</v>
      </c>
      <c r="D894" t="s">
        <v>2824</v>
      </c>
      <c r="E894">
        <v>0</v>
      </c>
      <c r="F894" t="s">
        <v>2820</v>
      </c>
      <c r="G894" t="b">
        <v>1</v>
      </c>
      <c r="H894" t="s">
        <v>2802</v>
      </c>
    </row>
    <row r="895" spans="1:8" x14ac:dyDescent="0.3">
      <c r="A895" t="s">
        <v>734</v>
      </c>
      <c r="B895" t="s">
        <v>317</v>
      </c>
      <c r="C895" t="s">
        <v>321</v>
      </c>
      <c r="D895" t="s">
        <v>2825</v>
      </c>
      <c r="E895">
        <v>0</v>
      </c>
      <c r="F895" t="s">
        <v>2820</v>
      </c>
      <c r="G895" t="b">
        <v>1</v>
      </c>
      <c r="H895" t="s">
        <v>2800</v>
      </c>
    </row>
    <row r="896" spans="1:8" x14ac:dyDescent="0.3">
      <c r="A896" t="s">
        <v>734</v>
      </c>
      <c r="B896" t="s">
        <v>317</v>
      </c>
      <c r="C896" t="s">
        <v>321</v>
      </c>
      <c r="D896" t="s">
        <v>2826</v>
      </c>
      <c r="E896">
        <v>0</v>
      </c>
      <c r="F896" t="s">
        <v>2820</v>
      </c>
      <c r="G896" t="b">
        <v>1</v>
      </c>
      <c r="H896" t="s">
        <v>1935</v>
      </c>
    </row>
    <row r="897" spans="1:8" x14ac:dyDescent="0.3">
      <c r="A897" t="s">
        <v>734</v>
      </c>
      <c r="B897" t="s">
        <v>317</v>
      </c>
      <c r="C897" t="s">
        <v>321</v>
      </c>
      <c r="D897" t="s">
        <v>2827</v>
      </c>
      <c r="E897">
        <v>0</v>
      </c>
      <c r="F897" t="s">
        <v>2820</v>
      </c>
      <c r="G897" t="b">
        <v>1</v>
      </c>
      <c r="H897" t="s">
        <v>2828</v>
      </c>
    </row>
    <row r="898" spans="1:8" x14ac:dyDescent="0.3">
      <c r="A898" t="s">
        <v>734</v>
      </c>
      <c r="B898" t="s">
        <v>317</v>
      </c>
      <c r="C898" t="s">
        <v>321</v>
      </c>
      <c r="D898" t="s">
        <v>2829</v>
      </c>
      <c r="E898">
        <v>0</v>
      </c>
      <c r="F898" t="s">
        <v>2820</v>
      </c>
      <c r="G898" t="b">
        <v>1</v>
      </c>
      <c r="H898" t="s">
        <v>2830</v>
      </c>
    </row>
    <row r="899" spans="1:8" x14ac:dyDescent="0.3">
      <c r="A899" t="s">
        <v>734</v>
      </c>
      <c r="B899" t="s">
        <v>317</v>
      </c>
      <c r="C899" t="s">
        <v>321</v>
      </c>
      <c r="D899" t="s">
        <v>2831</v>
      </c>
      <c r="E899">
        <v>0</v>
      </c>
      <c r="F899" t="s">
        <v>2820</v>
      </c>
      <c r="G899" t="b">
        <v>1</v>
      </c>
      <c r="H899" t="s">
        <v>466</v>
      </c>
    </row>
    <row r="900" spans="1:8" x14ac:dyDescent="0.3">
      <c r="A900" t="s">
        <v>734</v>
      </c>
      <c r="B900" t="s">
        <v>317</v>
      </c>
      <c r="C900" t="s">
        <v>321</v>
      </c>
      <c r="D900" t="s">
        <v>2832</v>
      </c>
      <c r="E900">
        <v>0</v>
      </c>
      <c r="F900" t="s">
        <v>2820</v>
      </c>
      <c r="G900" t="b">
        <v>1</v>
      </c>
      <c r="H900" t="s">
        <v>467</v>
      </c>
    </row>
    <row r="901" spans="1:8" x14ac:dyDescent="0.3">
      <c r="A901" t="s">
        <v>734</v>
      </c>
      <c r="B901" t="s">
        <v>317</v>
      </c>
      <c r="C901" t="s">
        <v>321</v>
      </c>
      <c r="D901" t="s">
        <v>2833</v>
      </c>
      <c r="E901">
        <v>0</v>
      </c>
      <c r="F901" t="s">
        <v>2820</v>
      </c>
      <c r="G901" t="b">
        <v>1</v>
      </c>
      <c r="H901" t="s">
        <v>468</v>
      </c>
    </row>
    <row r="902" spans="1:8" x14ac:dyDescent="0.3">
      <c r="A902" t="s">
        <v>734</v>
      </c>
      <c r="B902" t="s">
        <v>317</v>
      </c>
      <c r="C902" t="s">
        <v>320</v>
      </c>
      <c r="D902" t="s">
        <v>2819</v>
      </c>
      <c r="E902">
        <v>0</v>
      </c>
      <c r="F902" t="s">
        <v>2820</v>
      </c>
      <c r="G902" t="b">
        <v>1</v>
      </c>
      <c r="H902" t="s">
        <v>704</v>
      </c>
    </row>
    <row r="903" spans="1:8" x14ac:dyDescent="0.3">
      <c r="A903" t="s">
        <v>734</v>
      </c>
      <c r="B903" t="s">
        <v>317</v>
      </c>
      <c r="C903" t="s">
        <v>320</v>
      </c>
      <c r="D903" t="s">
        <v>2821</v>
      </c>
      <c r="E903">
        <v>0</v>
      </c>
      <c r="F903" t="s">
        <v>2820</v>
      </c>
      <c r="G903" t="b">
        <v>1</v>
      </c>
      <c r="H903" t="s">
        <v>706</v>
      </c>
    </row>
    <row r="904" spans="1:8" x14ac:dyDescent="0.3">
      <c r="A904" t="s">
        <v>734</v>
      </c>
      <c r="B904" t="s">
        <v>317</v>
      </c>
      <c r="C904" t="s">
        <v>320</v>
      </c>
      <c r="D904" t="s">
        <v>2822</v>
      </c>
      <c r="E904">
        <v>0</v>
      </c>
      <c r="F904" t="s">
        <v>2820</v>
      </c>
      <c r="G904" t="b">
        <v>1</v>
      </c>
      <c r="H904" t="s">
        <v>708</v>
      </c>
    </row>
    <row r="905" spans="1:8" x14ac:dyDescent="0.3">
      <c r="A905" t="s">
        <v>734</v>
      </c>
      <c r="B905" t="s">
        <v>317</v>
      </c>
      <c r="C905" t="s">
        <v>320</v>
      </c>
      <c r="D905" t="s">
        <v>2823</v>
      </c>
      <c r="E905">
        <v>0</v>
      </c>
      <c r="F905" t="s">
        <v>2820</v>
      </c>
      <c r="G905" t="b">
        <v>1</v>
      </c>
      <c r="H905" t="s">
        <v>710</v>
      </c>
    </row>
    <row r="906" spans="1:8" x14ac:dyDescent="0.3">
      <c r="A906" t="s">
        <v>734</v>
      </c>
      <c r="B906" t="s">
        <v>317</v>
      </c>
      <c r="C906" t="s">
        <v>320</v>
      </c>
      <c r="D906" t="s">
        <v>2824</v>
      </c>
      <c r="E906">
        <v>0</v>
      </c>
      <c r="F906" t="s">
        <v>2820</v>
      </c>
      <c r="G906" t="b">
        <v>1</v>
      </c>
      <c r="H906" t="s">
        <v>2802</v>
      </c>
    </row>
    <row r="907" spans="1:8" x14ac:dyDescent="0.3">
      <c r="A907" t="s">
        <v>734</v>
      </c>
      <c r="B907" t="s">
        <v>317</v>
      </c>
      <c r="C907" t="s">
        <v>320</v>
      </c>
      <c r="D907" t="s">
        <v>2825</v>
      </c>
      <c r="E907">
        <v>0</v>
      </c>
      <c r="F907" t="s">
        <v>2820</v>
      </c>
      <c r="G907" t="b">
        <v>1</v>
      </c>
      <c r="H907" t="s">
        <v>2800</v>
      </c>
    </row>
    <row r="908" spans="1:8" x14ac:dyDescent="0.3">
      <c r="A908" t="s">
        <v>734</v>
      </c>
      <c r="B908" t="s">
        <v>317</v>
      </c>
      <c r="C908" t="s">
        <v>320</v>
      </c>
      <c r="D908" t="s">
        <v>2826</v>
      </c>
      <c r="E908">
        <v>0</v>
      </c>
      <c r="F908" t="s">
        <v>2820</v>
      </c>
      <c r="G908" t="b">
        <v>1</v>
      </c>
      <c r="H908" t="s">
        <v>1935</v>
      </c>
    </row>
    <row r="909" spans="1:8" x14ac:dyDescent="0.3">
      <c r="A909" t="s">
        <v>734</v>
      </c>
      <c r="B909" t="s">
        <v>317</v>
      </c>
      <c r="C909" t="s">
        <v>320</v>
      </c>
      <c r="D909" t="s">
        <v>2827</v>
      </c>
      <c r="E909">
        <v>572.1</v>
      </c>
      <c r="F909" t="s">
        <v>2820</v>
      </c>
      <c r="G909" t="b">
        <v>1</v>
      </c>
      <c r="H909" t="s">
        <v>2828</v>
      </c>
    </row>
    <row r="910" spans="1:8" x14ac:dyDescent="0.3">
      <c r="A910" t="s">
        <v>734</v>
      </c>
      <c r="B910" t="s">
        <v>317</v>
      </c>
      <c r="C910" t="s">
        <v>320</v>
      </c>
      <c r="D910" t="s">
        <v>2829</v>
      </c>
      <c r="E910">
        <v>572.1</v>
      </c>
      <c r="F910" t="s">
        <v>2820</v>
      </c>
      <c r="G910" t="b">
        <v>1</v>
      </c>
      <c r="H910" t="s">
        <v>2830</v>
      </c>
    </row>
    <row r="911" spans="1:8" x14ac:dyDescent="0.3">
      <c r="A911" t="s">
        <v>734</v>
      </c>
      <c r="B911" t="s">
        <v>317</v>
      </c>
      <c r="C911" t="s">
        <v>320</v>
      </c>
      <c r="D911" t="s">
        <v>2831</v>
      </c>
      <c r="E911">
        <v>572.1</v>
      </c>
      <c r="F911" t="s">
        <v>2820</v>
      </c>
      <c r="G911" t="b">
        <v>1</v>
      </c>
      <c r="H911" t="s">
        <v>466</v>
      </c>
    </row>
    <row r="912" spans="1:8" x14ac:dyDescent="0.3">
      <c r="A912" t="s">
        <v>734</v>
      </c>
      <c r="B912" t="s">
        <v>317</v>
      </c>
      <c r="C912" t="s">
        <v>320</v>
      </c>
      <c r="D912" t="s">
        <v>2832</v>
      </c>
      <c r="E912">
        <v>572.1</v>
      </c>
      <c r="F912" t="s">
        <v>2820</v>
      </c>
      <c r="G912" t="b">
        <v>1</v>
      </c>
      <c r="H912" t="s">
        <v>467</v>
      </c>
    </row>
    <row r="913" spans="1:8" x14ac:dyDescent="0.3">
      <c r="A913" t="s">
        <v>734</v>
      </c>
      <c r="B913" t="s">
        <v>317</v>
      </c>
      <c r="C913" t="s">
        <v>320</v>
      </c>
      <c r="D913" t="s">
        <v>2833</v>
      </c>
      <c r="E913">
        <v>572.1</v>
      </c>
      <c r="F913" t="s">
        <v>2820</v>
      </c>
      <c r="G913" t="b">
        <v>1</v>
      </c>
      <c r="H913" t="s">
        <v>468</v>
      </c>
    </row>
    <row r="914" spans="1:8" x14ac:dyDescent="0.3">
      <c r="A914" t="s">
        <v>734</v>
      </c>
      <c r="B914" t="s">
        <v>317</v>
      </c>
      <c r="C914" t="s">
        <v>318</v>
      </c>
      <c r="D914" t="s">
        <v>2819</v>
      </c>
      <c r="E914">
        <v>0</v>
      </c>
      <c r="F914" t="s">
        <v>2820</v>
      </c>
      <c r="G914" t="b">
        <v>1</v>
      </c>
      <c r="H914" t="s">
        <v>704</v>
      </c>
    </row>
    <row r="915" spans="1:8" x14ac:dyDescent="0.3">
      <c r="A915" t="s">
        <v>734</v>
      </c>
      <c r="B915" t="s">
        <v>317</v>
      </c>
      <c r="C915" t="s">
        <v>318</v>
      </c>
      <c r="D915" t="s">
        <v>2821</v>
      </c>
      <c r="E915">
        <v>0</v>
      </c>
      <c r="F915" t="s">
        <v>2820</v>
      </c>
      <c r="G915" t="b">
        <v>1</v>
      </c>
      <c r="H915" t="s">
        <v>706</v>
      </c>
    </row>
    <row r="916" spans="1:8" x14ac:dyDescent="0.3">
      <c r="A916" t="s">
        <v>734</v>
      </c>
      <c r="B916" t="s">
        <v>317</v>
      </c>
      <c r="C916" t="s">
        <v>318</v>
      </c>
      <c r="D916" t="s">
        <v>2822</v>
      </c>
      <c r="E916">
        <v>0</v>
      </c>
      <c r="F916" t="s">
        <v>2820</v>
      </c>
      <c r="G916" t="b">
        <v>1</v>
      </c>
      <c r="H916" t="s">
        <v>708</v>
      </c>
    </row>
    <row r="917" spans="1:8" x14ac:dyDescent="0.3">
      <c r="A917" t="s">
        <v>734</v>
      </c>
      <c r="B917" t="s">
        <v>317</v>
      </c>
      <c r="C917" t="s">
        <v>318</v>
      </c>
      <c r="D917" t="s">
        <v>2823</v>
      </c>
      <c r="E917">
        <v>0</v>
      </c>
      <c r="F917" t="s">
        <v>2820</v>
      </c>
      <c r="G917" t="b">
        <v>1</v>
      </c>
      <c r="H917" t="s">
        <v>710</v>
      </c>
    </row>
    <row r="918" spans="1:8" x14ac:dyDescent="0.3">
      <c r="A918" t="s">
        <v>734</v>
      </c>
      <c r="B918" t="s">
        <v>317</v>
      </c>
      <c r="C918" t="s">
        <v>318</v>
      </c>
      <c r="D918" t="s">
        <v>2824</v>
      </c>
      <c r="E918">
        <v>0</v>
      </c>
      <c r="F918" t="s">
        <v>2820</v>
      </c>
      <c r="G918" t="b">
        <v>1</v>
      </c>
      <c r="H918" t="s">
        <v>2802</v>
      </c>
    </row>
    <row r="919" spans="1:8" x14ac:dyDescent="0.3">
      <c r="A919" t="s">
        <v>734</v>
      </c>
      <c r="B919" t="s">
        <v>317</v>
      </c>
      <c r="C919" t="s">
        <v>318</v>
      </c>
      <c r="D919" t="s">
        <v>2825</v>
      </c>
      <c r="E919">
        <v>0</v>
      </c>
      <c r="F919" t="s">
        <v>2820</v>
      </c>
      <c r="G919" t="b">
        <v>1</v>
      </c>
      <c r="H919" t="s">
        <v>2800</v>
      </c>
    </row>
    <row r="920" spans="1:8" x14ac:dyDescent="0.3">
      <c r="A920" t="s">
        <v>734</v>
      </c>
      <c r="B920" t="s">
        <v>317</v>
      </c>
      <c r="C920" t="s">
        <v>318</v>
      </c>
      <c r="D920" t="s">
        <v>2826</v>
      </c>
      <c r="E920">
        <v>0</v>
      </c>
      <c r="F920" t="s">
        <v>2820</v>
      </c>
      <c r="G920" t="b">
        <v>1</v>
      </c>
      <c r="H920" t="s">
        <v>1935</v>
      </c>
    </row>
    <row r="921" spans="1:8" x14ac:dyDescent="0.3">
      <c r="A921" t="s">
        <v>734</v>
      </c>
      <c r="B921" t="s">
        <v>317</v>
      </c>
      <c r="C921" t="s">
        <v>318</v>
      </c>
      <c r="D921" t="s">
        <v>2827</v>
      </c>
      <c r="E921">
        <v>4790.28</v>
      </c>
      <c r="F921" t="s">
        <v>2820</v>
      </c>
      <c r="G921" t="b">
        <v>1</v>
      </c>
      <c r="H921" t="s">
        <v>2828</v>
      </c>
    </row>
    <row r="922" spans="1:8" x14ac:dyDescent="0.3">
      <c r="A922" t="s">
        <v>734</v>
      </c>
      <c r="B922" t="s">
        <v>317</v>
      </c>
      <c r="C922" t="s">
        <v>318</v>
      </c>
      <c r="D922" t="s">
        <v>2829</v>
      </c>
      <c r="E922">
        <v>4790.28</v>
      </c>
      <c r="F922" t="s">
        <v>2820</v>
      </c>
      <c r="G922" t="b">
        <v>1</v>
      </c>
      <c r="H922" t="s">
        <v>2830</v>
      </c>
    </row>
    <row r="923" spans="1:8" x14ac:dyDescent="0.3">
      <c r="A923" t="s">
        <v>734</v>
      </c>
      <c r="B923" t="s">
        <v>317</v>
      </c>
      <c r="C923" t="s">
        <v>318</v>
      </c>
      <c r="D923" t="s">
        <v>2831</v>
      </c>
      <c r="E923">
        <v>4790.28</v>
      </c>
      <c r="F923" t="s">
        <v>2820</v>
      </c>
      <c r="G923" t="b">
        <v>1</v>
      </c>
      <c r="H923" t="s">
        <v>466</v>
      </c>
    </row>
    <row r="924" spans="1:8" x14ac:dyDescent="0.3">
      <c r="A924" t="s">
        <v>734</v>
      </c>
      <c r="B924" t="s">
        <v>317</v>
      </c>
      <c r="C924" t="s">
        <v>318</v>
      </c>
      <c r="D924" t="s">
        <v>2832</v>
      </c>
      <c r="E924">
        <v>4790.28</v>
      </c>
      <c r="F924" t="s">
        <v>2820</v>
      </c>
      <c r="G924" t="b">
        <v>1</v>
      </c>
      <c r="H924" t="s">
        <v>467</v>
      </c>
    </row>
    <row r="925" spans="1:8" x14ac:dyDescent="0.3">
      <c r="A925" t="s">
        <v>734</v>
      </c>
      <c r="B925" t="s">
        <v>317</v>
      </c>
      <c r="C925" t="s">
        <v>318</v>
      </c>
      <c r="D925" t="s">
        <v>2833</v>
      </c>
      <c r="E925">
        <v>4790.28</v>
      </c>
      <c r="F925" t="s">
        <v>2820</v>
      </c>
      <c r="G925" t="b">
        <v>1</v>
      </c>
      <c r="H925" t="s">
        <v>468</v>
      </c>
    </row>
    <row r="926" spans="1:8" x14ac:dyDescent="0.3">
      <c r="A926" t="s">
        <v>734</v>
      </c>
      <c r="B926" t="s">
        <v>903</v>
      </c>
      <c r="C926" t="s">
        <v>291</v>
      </c>
      <c r="D926" t="s">
        <v>2819</v>
      </c>
      <c r="E926">
        <v>0</v>
      </c>
      <c r="F926" t="s">
        <v>2820</v>
      </c>
      <c r="G926" t="b">
        <v>1</v>
      </c>
      <c r="H926" t="s">
        <v>704</v>
      </c>
    </row>
    <row r="927" spans="1:8" x14ac:dyDescent="0.3">
      <c r="A927" t="s">
        <v>734</v>
      </c>
      <c r="B927" t="s">
        <v>903</v>
      </c>
      <c r="C927" t="s">
        <v>291</v>
      </c>
      <c r="D927" t="s">
        <v>2821</v>
      </c>
      <c r="E927">
        <v>0</v>
      </c>
      <c r="F927" t="s">
        <v>2820</v>
      </c>
      <c r="G927" t="b">
        <v>1</v>
      </c>
      <c r="H927" t="s">
        <v>706</v>
      </c>
    </row>
    <row r="928" spans="1:8" x14ac:dyDescent="0.3">
      <c r="A928" t="s">
        <v>734</v>
      </c>
      <c r="B928" t="s">
        <v>903</v>
      </c>
      <c r="C928" t="s">
        <v>291</v>
      </c>
      <c r="D928" t="s">
        <v>2822</v>
      </c>
      <c r="E928">
        <v>0</v>
      </c>
      <c r="F928" t="s">
        <v>2820</v>
      </c>
      <c r="G928" t="b">
        <v>1</v>
      </c>
      <c r="H928" t="s">
        <v>708</v>
      </c>
    </row>
    <row r="929" spans="1:8" x14ac:dyDescent="0.3">
      <c r="A929" t="s">
        <v>734</v>
      </c>
      <c r="B929" t="s">
        <v>903</v>
      </c>
      <c r="C929" t="s">
        <v>291</v>
      </c>
      <c r="D929" t="s">
        <v>2823</v>
      </c>
      <c r="E929">
        <v>0</v>
      </c>
      <c r="F929" t="s">
        <v>2820</v>
      </c>
      <c r="G929" t="b">
        <v>1</v>
      </c>
      <c r="H929" t="s">
        <v>710</v>
      </c>
    </row>
    <row r="930" spans="1:8" x14ac:dyDescent="0.3">
      <c r="A930" t="s">
        <v>734</v>
      </c>
      <c r="B930" t="s">
        <v>903</v>
      </c>
      <c r="C930" t="s">
        <v>291</v>
      </c>
      <c r="D930" t="s">
        <v>2824</v>
      </c>
      <c r="E930">
        <v>0</v>
      </c>
      <c r="F930" t="s">
        <v>2820</v>
      </c>
      <c r="G930" t="b">
        <v>1</v>
      </c>
      <c r="H930" t="s">
        <v>2802</v>
      </c>
    </row>
    <row r="931" spans="1:8" x14ac:dyDescent="0.3">
      <c r="A931" t="s">
        <v>734</v>
      </c>
      <c r="B931" t="s">
        <v>903</v>
      </c>
      <c r="C931" t="s">
        <v>291</v>
      </c>
      <c r="D931" t="s">
        <v>2825</v>
      </c>
      <c r="E931">
        <v>0</v>
      </c>
      <c r="F931" t="s">
        <v>2820</v>
      </c>
      <c r="G931" t="b">
        <v>1</v>
      </c>
      <c r="H931" t="s">
        <v>2800</v>
      </c>
    </row>
    <row r="932" spans="1:8" x14ac:dyDescent="0.3">
      <c r="A932" t="s">
        <v>734</v>
      </c>
      <c r="B932" t="s">
        <v>903</v>
      </c>
      <c r="C932" t="s">
        <v>291</v>
      </c>
      <c r="D932" t="s">
        <v>2826</v>
      </c>
      <c r="E932">
        <v>0</v>
      </c>
      <c r="F932" t="s">
        <v>2820</v>
      </c>
      <c r="G932" t="b">
        <v>1</v>
      </c>
      <c r="H932" t="s">
        <v>1935</v>
      </c>
    </row>
    <row r="933" spans="1:8" x14ac:dyDescent="0.3">
      <c r="A933" t="s">
        <v>734</v>
      </c>
      <c r="B933" t="s">
        <v>903</v>
      </c>
      <c r="C933" t="s">
        <v>291</v>
      </c>
      <c r="D933" t="s">
        <v>2827</v>
      </c>
      <c r="E933">
        <v>1100</v>
      </c>
      <c r="F933" t="s">
        <v>2820</v>
      </c>
      <c r="G933" t="b">
        <v>1</v>
      </c>
      <c r="H933" t="s">
        <v>2828</v>
      </c>
    </row>
    <row r="934" spans="1:8" x14ac:dyDescent="0.3">
      <c r="A934" t="s">
        <v>734</v>
      </c>
      <c r="B934" t="s">
        <v>903</v>
      </c>
      <c r="C934" t="s">
        <v>291</v>
      </c>
      <c r="D934" t="s">
        <v>2829</v>
      </c>
      <c r="E934">
        <v>1100</v>
      </c>
      <c r="F934" t="s">
        <v>2820</v>
      </c>
      <c r="G934" t="b">
        <v>1</v>
      </c>
      <c r="H934" t="s">
        <v>2830</v>
      </c>
    </row>
    <row r="935" spans="1:8" x14ac:dyDescent="0.3">
      <c r="A935" t="s">
        <v>734</v>
      </c>
      <c r="B935" t="s">
        <v>903</v>
      </c>
      <c r="C935" t="s">
        <v>291</v>
      </c>
      <c r="D935" t="s">
        <v>2831</v>
      </c>
      <c r="E935">
        <v>1100</v>
      </c>
      <c r="F935" t="s">
        <v>2820</v>
      </c>
      <c r="G935" t="b">
        <v>1</v>
      </c>
      <c r="H935" t="s">
        <v>466</v>
      </c>
    </row>
    <row r="936" spans="1:8" x14ac:dyDescent="0.3">
      <c r="A936" t="s">
        <v>734</v>
      </c>
      <c r="B936" t="s">
        <v>903</v>
      </c>
      <c r="C936" t="s">
        <v>291</v>
      </c>
      <c r="D936" t="s">
        <v>2832</v>
      </c>
      <c r="E936">
        <v>1100</v>
      </c>
      <c r="F936" t="s">
        <v>2820</v>
      </c>
      <c r="G936" t="b">
        <v>1</v>
      </c>
      <c r="H936" t="s">
        <v>467</v>
      </c>
    </row>
    <row r="937" spans="1:8" x14ac:dyDescent="0.3">
      <c r="A937" t="s">
        <v>734</v>
      </c>
      <c r="B937" t="s">
        <v>903</v>
      </c>
      <c r="C937" t="s">
        <v>291</v>
      </c>
      <c r="D937" t="s">
        <v>2833</v>
      </c>
      <c r="E937">
        <v>1100</v>
      </c>
      <c r="F937" t="s">
        <v>2820</v>
      </c>
      <c r="G937" t="b">
        <v>1</v>
      </c>
      <c r="H937" t="s">
        <v>468</v>
      </c>
    </row>
    <row r="938" spans="1:8" x14ac:dyDescent="0.3">
      <c r="A938" t="s">
        <v>734</v>
      </c>
      <c r="B938" t="s">
        <v>903</v>
      </c>
      <c r="C938" t="s">
        <v>288</v>
      </c>
      <c r="D938" t="s">
        <v>2819</v>
      </c>
      <c r="E938">
        <v>0</v>
      </c>
      <c r="F938" t="s">
        <v>2820</v>
      </c>
      <c r="G938" t="b">
        <v>1</v>
      </c>
      <c r="H938" t="s">
        <v>704</v>
      </c>
    </row>
    <row r="939" spans="1:8" x14ac:dyDescent="0.3">
      <c r="A939" t="s">
        <v>734</v>
      </c>
      <c r="B939" t="s">
        <v>903</v>
      </c>
      <c r="C939" t="s">
        <v>288</v>
      </c>
      <c r="D939" t="s">
        <v>2821</v>
      </c>
      <c r="E939">
        <v>0</v>
      </c>
      <c r="F939" t="s">
        <v>2820</v>
      </c>
      <c r="G939" t="b">
        <v>1</v>
      </c>
      <c r="H939" t="s">
        <v>706</v>
      </c>
    </row>
    <row r="940" spans="1:8" x14ac:dyDescent="0.3">
      <c r="A940" t="s">
        <v>734</v>
      </c>
      <c r="B940" t="s">
        <v>903</v>
      </c>
      <c r="C940" t="s">
        <v>288</v>
      </c>
      <c r="D940" t="s">
        <v>2822</v>
      </c>
      <c r="E940">
        <v>0</v>
      </c>
      <c r="F940" t="s">
        <v>2820</v>
      </c>
      <c r="G940" t="b">
        <v>1</v>
      </c>
      <c r="H940" t="s">
        <v>708</v>
      </c>
    </row>
    <row r="941" spans="1:8" x14ac:dyDescent="0.3">
      <c r="A941" t="s">
        <v>734</v>
      </c>
      <c r="B941" t="s">
        <v>903</v>
      </c>
      <c r="C941" t="s">
        <v>288</v>
      </c>
      <c r="D941" t="s">
        <v>2823</v>
      </c>
      <c r="E941">
        <v>0</v>
      </c>
      <c r="F941" t="s">
        <v>2820</v>
      </c>
      <c r="G941" t="b">
        <v>1</v>
      </c>
      <c r="H941" t="s">
        <v>710</v>
      </c>
    </row>
    <row r="942" spans="1:8" x14ac:dyDescent="0.3">
      <c r="A942" t="s">
        <v>734</v>
      </c>
      <c r="B942" t="s">
        <v>903</v>
      </c>
      <c r="C942" t="s">
        <v>288</v>
      </c>
      <c r="D942" t="s">
        <v>2824</v>
      </c>
      <c r="E942">
        <v>0</v>
      </c>
      <c r="F942" t="s">
        <v>2820</v>
      </c>
      <c r="G942" t="b">
        <v>1</v>
      </c>
      <c r="H942" t="s">
        <v>2802</v>
      </c>
    </row>
    <row r="943" spans="1:8" x14ac:dyDescent="0.3">
      <c r="A943" t="s">
        <v>734</v>
      </c>
      <c r="B943" t="s">
        <v>903</v>
      </c>
      <c r="C943" t="s">
        <v>288</v>
      </c>
      <c r="D943" t="s">
        <v>2825</v>
      </c>
      <c r="E943">
        <v>0</v>
      </c>
      <c r="F943" t="s">
        <v>2820</v>
      </c>
      <c r="G943" t="b">
        <v>1</v>
      </c>
      <c r="H943" t="s">
        <v>2800</v>
      </c>
    </row>
    <row r="944" spans="1:8" x14ac:dyDescent="0.3">
      <c r="A944" t="s">
        <v>734</v>
      </c>
      <c r="B944" t="s">
        <v>903</v>
      </c>
      <c r="C944" t="s">
        <v>288</v>
      </c>
      <c r="D944" t="s">
        <v>2826</v>
      </c>
      <c r="E944">
        <v>0</v>
      </c>
      <c r="F944" t="s">
        <v>2820</v>
      </c>
      <c r="G944" t="b">
        <v>1</v>
      </c>
      <c r="H944" t="s">
        <v>1935</v>
      </c>
    </row>
    <row r="945" spans="1:8" x14ac:dyDescent="0.3">
      <c r="A945" t="s">
        <v>734</v>
      </c>
      <c r="B945" t="s">
        <v>903</v>
      </c>
      <c r="C945" t="s">
        <v>288</v>
      </c>
      <c r="D945" t="s">
        <v>2827</v>
      </c>
      <c r="E945">
        <v>2500</v>
      </c>
      <c r="F945" t="s">
        <v>2820</v>
      </c>
      <c r="G945" t="b">
        <v>1</v>
      </c>
      <c r="H945" t="s">
        <v>2828</v>
      </c>
    </row>
    <row r="946" spans="1:8" x14ac:dyDescent="0.3">
      <c r="A946" t="s">
        <v>734</v>
      </c>
      <c r="B946" t="s">
        <v>903</v>
      </c>
      <c r="C946" t="s">
        <v>288</v>
      </c>
      <c r="D946" t="s">
        <v>2829</v>
      </c>
      <c r="E946">
        <v>2500</v>
      </c>
      <c r="F946" t="s">
        <v>2820</v>
      </c>
      <c r="G946" t="b">
        <v>1</v>
      </c>
      <c r="H946" t="s">
        <v>2830</v>
      </c>
    </row>
    <row r="947" spans="1:8" x14ac:dyDescent="0.3">
      <c r="A947" t="s">
        <v>734</v>
      </c>
      <c r="B947" t="s">
        <v>903</v>
      </c>
      <c r="C947" t="s">
        <v>288</v>
      </c>
      <c r="D947" t="s">
        <v>2831</v>
      </c>
      <c r="E947">
        <v>2500</v>
      </c>
      <c r="F947" t="s">
        <v>2820</v>
      </c>
      <c r="G947" t="b">
        <v>1</v>
      </c>
      <c r="H947" t="s">
        <v>466</v>
      </c>
    </row>
    <row r="948" spans="1:8" x14ac:dyDescent="0.3">
      <c r="A948" t="s">
        <v>734</v>
      </c>
      <c r="B948" t="s">
        <v>903</v>
      </c>
      <c r="C948" t="s">
        <v>288</v>
      </c>
      <c r="D948" t="s">
        <v>2832</v>
      </c>
      <c r="E948">
        <v>2500</v>
      </c>
      <c r="F948" t="s">
        <v>2820</v>
      </c>
      <c r="G948" t="b">
        <v>1</v>
      </c>
      <c r="H948" t="s">
        <v>467</v>
      </c>
    </row>
    <row r="949" spans="1:8" x14ac:dyDescent="0.3">
      <c r="A949" t="s">
        <v>734</v>
      </c>
      <c r="B949" t="s">
        <v>903</v>
      </c>
      <c r="C949" t="s">
        <v>288</v>
      </c>
      <c r="D949" t="s">
        <v>2833</v>
      </c>
      <c r="E949">
        <v>2500</v>
      </c>
      <c r="F949" t="s">
        <v>2820</v>
      </c>
      <c r="G949" t="b">
        <v>1</v>
      </c>
      <c r="H949" t="s">
        <v>468</v>
      </c>
    </row>
    <row r="950" spans="1:8" x14ac:dyDescent="0.3">
      <c r="A950" t="s">
        <v>734</v>
      </c>
      <c r="B950" t="s">
        <v>903</v>
      </c>
      <c r="C950" t="s">
        <v>289</v>
      </c>
      <c r="D950" t="s">
        <v>2819</v>
      </c>
      <c r="E950">
        <v>0</v>
      </c>
      <c r="F950" t="s">
        <v>2820</v>
      </c>
      <c r="G950" t="b">
        <v>1</v>
      </c>
      <c r="H950" t="s">
        <v>704</v>
      </c>
    </row>
    <row r="951" spans="1:8" x14ac:dyDescent="0.3">
      <c r="A951" t="s">
        <v>734</v>
      </c>
      <c r="B951" t="s">
        <v>903</v>
      </c>
      <c r="C951" t="s">
        <v>289</v>
      </c>
      <c r="D951" t="s">
        <v>2821</v>
      </c>
      <c r="E951">
        <v>0</v>
      </c>
      <c r="F951" t="s">
        <v>2820</v>
      </c>
      <c r="G951" t="b">
        <v>1</v>
      </c>
      <c r="H951" t="s">
        <v>706</v>
      </c>
    </row>
    <row r="952" spans="1:8" x14ac:dyDescent="0.3">
      <c r="A952" t="s">
        <v>734</v>
      </c>
      <c r="B952" t="s">
        <v>903</v>
      </c>
      <c r="C952" t="s">
        <v>289</v>
      </c>
      <c r="D952" t="s">
        <v>2822</v>
      </c>
      <c r="E952">
        <v>0</v>
      </c>
      <c r="F952" t="s">
        <v>2820</v>
      </c>
      <c r="G952" t="b">
        <v>1</v>
      </c>
      <c r="H952" t="s">
        <v>708</v>
      </c>
    </row>
    <row r="953" spans="1:8" x14ac:dyDescent="0.3">
      <c r="A953" t="s">
        <v>734</v>
      </c>
      <c r="B953" t="s">
        <v>903</v>
      </c>
      <c r="C953" t="s">
        <v>289</v>
      </c>
      <c r="D953" t="s">
        <v>2823</v>
      </c>
      <c r="E953">
        <v>0</v>
      </c>
      <c r="F953" t="s">
        <v>2820</v>
      </c>
      <c r="G953" t="b">
        <v>1</v>
      </c>
      <c r="H953" t="s">
        <v>710</v>
      </c>
    </row>
    <row r="954" spans="1:8" x14ac:dyDescent="0.3">
      <c r="A954" t="s">
        <v>734</v>
      </c>
      <c r="B954" t="s">
        <v>903</v>
      </c>
      <c r="C954" t="s">
        <v>289</v>
      </c>
      <c r="D954" t="s">
        <v>2824</v>
      </c>
      <c r="E954">
        <v>0</v>
      </c>
      <c r="F954" t="s">
        <v>2820</v>
      </c>
      <c r="G954" t="b">
        <v>1</v>
      </c>
      <c r="H954" t="s">
        <v>2802</v>
      </c>
    </row>
    <row r="955" spans="1:8" x14ac:dyDescent="0.3">
      <c r="A955" t="s">
        <v>734</v>
      </c>
      <c r="B955" t="s">
        <v>903</v>
      </c>
      <c r="C955" t="s">
        <v>289</v>
      </c>
      <c r="D955" t="s">
        <v>2825</v>
      </c>
      <c r="E955">
        <v>0</v>
      </c>
      <c r="F955" t="s">
        <v>2820</v>
      </c>
      <c r="G955" t="b">
        <v>1</v>
      </c>
      <c r="H955" t="s">
        <v>2800</v>
      </c>
    </row>
    <row r="956" spans="1:8" x14ac:dyDescent="0.3">
      <c r="A956" t="s">
        <v>734</v>
      </c>
      <c r="B956" t="s">
        <v>903</v>
      </c>
      <c r="C956" t="s">
        <v>289</v>
      </c>
      <c r="D956" t="s">
        <v>2826</v>
      </c>
      <c r="E956">
        <v>0</v>
      </c>
      <c r="F956" t="s">
        <v>2820</v>
      </c>
      <c r="G956" t="b">
        <v>1</v>
      </c>
      <c r="H956" t="s">
        <v>1935</v>
      </c>
    </row>
    <row r="957" spans="1:8" x14ac:dyDescent="0.3">
      <c r="A957" t="s">
        <v>734</v>
      </c>
      <c r="B957" t="s">
        <v>903</v>
      </c>
      <c r="C957" t="s">
        <v>289</v>
      </c>
      <c r="D957" t="s">
        <v>2827</v>
      </c>
      <c r="E957">
        <v>0</v>
      </c>
      <c r="F957" t="s">
        <v>2820</v>
      </c>
      <c r="G957" t="b">
        <v>1</v>
      </c>
      <c r="H957" t="s">
        <v>2828</v>
      </c>
    </row>
    <row r="958" spans="1:8" x14ac:dyDescent="0.3">
      <c r="A958" t="s">
        <v>734</v>
      </c>
      <c r="B958" t="s">
        <v>903</v>
      </c>
      <c r="C958" t="s">
        <v>289</v>
      </c>
      <c r="D958" t="s">
        <v>2829</v>
      </c>
      <c r="E958">
        <v>0</v>
      </c>
      <c r="F958" t="s">
        <v>2820</v>
      </c>
      <c r="G958" t="b">
        <v>1</v>
      </c>
      <c r="H958" t="s">
        <v>2830</v>
      </c>
    </row>
    <row r="959" spans="1:8" x14ac:dyDescent="0.3">
      <c r="A959" t="s">
        <v>734</v>
      </c>
      <c r="B959" t="s">
        <v>903</v>
      </c>
      <c r="C959" t="s">
        <v>289</v>
      </c>
      <c r="D959" t="s">
        <v>2831</v>
      </c>
      <c r="E959">
        <v>0</v>
      </c>
      <c r="F959" t="s">
        <v>2820</v>
      </c>
      <c r="G959" t="b">
        <v>1</v>
      </c>
      <c r="H959" t="s">
        <v>466</v>
      </c>
    </row>
    <row r="960" spans="1:8" x14ac:dyDescent="0.3">
      <c r="A960" t="s">
        <v>734</v>
      </c>
      <c r="B960" t="s">
        <v>903</v>
      </c>
      <c r="C960" t="s">
        <v>289</v>
      </c>
      <c r="D960" t="s">
        <v>2832</v>
      </c>
      <c r="E960">
        <v>0</v>
      </c>
      <c r="F960" t="s">
        <v>2820</v>
      </c>
      <c r="G960" t="b">
        <v>1</v>
      </c>
      <c r="H960" t="s">
        <v>467</v>
      </c>
    </row>
    <row r="961" spans="1:8" x14ac:dyDescent="0.3">
      <c r="A961" t="s">
        <v>734</v>
      </c>
      <c r="B961" t="s">
        <v>903</v>
      </c>
      <c r="C961" t="s">
        <v>289</v>
      </c>
      <c r="D961" t="s">
        <v>2833</v>
      </c>
      <c r="E961">
        <v>0</v>
      </c>
      <c r="F961" t="s">
        <v>2820</v>
      </c>
      <c r="G961" t="b">
        <v>1</v>
      </c>
      <c r="H961" t="s">
        <v>468</v>
      </c>
    </row>
    <row r="962" spans="1:8" x14ac:dyDescent="0.3">
      <c r="A962" t="s">
        <v>734</v>
      </c>
      <c r="B962" t="s">
        <v>903</v>
      </c>
      <c r="C962" t="s">
        <v>287</v>
      </c>
      <c r="D962" t="s">
        <v>2819</v>
      </c>
      <c r="E962">
        <v>0</v>
      </c>
      <c r="F962" t="s">
        <v>2820</v>
      </c>
      <c r="G962" t="b">
        <v>1</v>
      </c>
      <c r="H962" t="s">
        <v>704</v>
      </c>
    </row>
    <row r="963" spans="1:8" x14ac:dyDescent="0.3">
      <c r="A963" t="s">
        <v>734</v>
      </c>
      <c r="B963" t="s">
        <v>903</v>
      </c>
      <c r="C963" t="s">
        <v>287</v>
      </c>
      <c r="D963" t="s">
        <v>2821</v>
      </c>
      <c r="E963">
        <v>0</v>
      </c>
      <c r="F963" t="s">
        <v>2820</v>
      </c>
      <c r="G963" t="b">
        <v>1</v>
      </c>
      <c r="H963" t="s">
        <v>706</v>
      </c>
    </row>
    <row r="964" spans="1:8" x14ac:dyDescent="0.3">
      <c r="A964" t="s">
        <v>734</v>
      </c>
      <c r="B964" t="s">
        <v>903</v>
      </c>
      <c r="C964" t="s">
        <v>287</v>
      </c>
      <c r="D964" t="s">
        <v>2822</v>
      </c>
      <c r="E964">
        <v>0</v>
      </c>
      <c r="F964" t="s">
        <v>2820</v>
      </c>
      <c r="G964" t="b">
        <v>1</v>
      </c>
      <c r="H964" t="s">
        <v>708</v>
      </c>
    </row>
    <row r="965" spans="1:8" x14ac:dyDescent="0.3">
      <c r="A965" t="s">
        <v>734</v>
      </c>
      <c r="B965" t="s">
        <v>903</v>
      </c>
      <c r="C965" t="s">
        <v>287</v>
      </c>
      <c r="D965" t="s">
        <v>2823</v>
      </c>
      <c r="E965">
        <v>0</v>
      </c>
      <c r="F965" t="s">
        <v>2820</v>
      </c>
      <c r="G965" t="b">
        <v>1</v>
      </c>
      <c r="H965" t="s">
        <v>710</v>
      </c>
    </row>
    <row r="966" spans="1:8" x14ac:dyDescent="0.3">
      <c r="A966" t="s">
        <v>734</v>
      </c>
      <c r="B966" t="s">
        <v>903</v>
      </c>
      <c r="C966" t="s">
        <v>287</v>
      </c>
      <c r="D966" t="s">
        <v>2824</v>
      </c>
      <c r="E966">
        <v>0</v>
      </c>
      <c r="F966" t="s">
        <v>2820</v>
      </c>
      <c r="G966" t="b">
        <v>1</v>
      </c>
      <c r="H966" t="s">
        <v>2802</v>
      </c>
    </row>
    <row r="967" spans="1:8" x14ac:dyDescent="0.3">
      <c r="A967" t="s">
        <v>734</v>
      </c>
      <c r="B967" t="s">
        <v>903</v>
      </c>
      <c r="C967" t="s">
        <v>287</v>
      </c>
      <c r="D967" t="s">
        <v>2825</v>
      </c>
      <c r="E967">
        <v>0</v>
      </c>
      <c r="F967" t="s">
        <v>2820</v>
      </c>
      <c r="G967" t="b">
        <v>1</v>
      </c>
      <c r="H967" t="s">
        <v>2800</v>
      </c>
    </row>
    <row r="968" spans="1:8" x14ac:dyDescent="0.3">
      <c r="A968" t="s">
        <v>734</v>
      </c>
      <c r="B968" t="s">
        <v>903</v>
      </c>
      <c r="C968" t="s">
        <v>287</v>
      </c>
      <c r="D968" t="s">
        <v>2826</v>
      </c>
      <c r="E968">
        <v>0</v>
      </c>
      <c r="F968" t="s">
        <v>2820</v>
      </c>
      <c r="G968" t="b">
        <v>1</v>
      </c>
      <c r="H968" t="s">
        <v>1935</v>
      </c>
    </row>
    <row r="969" spans="1:8" x14ac:dyDescent="0.3">
      <c r="A969" t="s">
        <v>734</v>
      </c>
      <c r="B969" t="s">
        <v>903</v>
      </c>
      <c r="C969" t="s">
        <v>287</v>
      </c>
      <c r="D969" t="s">
        <v>2827</v>
      </c>
      <c r="E969">
        <v>12000</v>
      </c>
      <c r="F969" t="s">
        <v>2820</v>
      </c>
      <c r="G969" t="b">
        <v>1</v>
      </c>
      <c r="H969" t="s">
        <v>2828</v>
      </c>
    </row>
    <row r="970" spans="1:8" x14ac:dyDescent="0.3">
      <c r="A970" t="s">
        <v>734</v>
      </c>
      <c r="B970" t="s">
        <v>903</v>
      </c>
      <c r="C970" t="s">
        <v>287</v>
      </c>
      <c r="D970" t="s">
        <v>2829</v>
      </c>
      <c r="E970">
        <v>12000</v>
      </c>
      <c r="F970" t="s">
        <v>2820</v>
      </c>
      <c r="G970" t="b">
        <v>1</v>
      </c>
      <c r="H970" t="s">
        <v>2830</v>
      </c>
    </row>
    <row r="971" spans="1:8" x14ac:dyDescent="0.3">
      <c r="A971" t="s">
        <v>734</v>
      </c>
      <c r="B971" t="s">
        <v>903</v>
      </c>
      <c r="C971" t="s">
        <v>287</v>
      </c>
      <c r="D971" t="s">
        <v>2831</v>
      </c>
      <c r="E971">
        <v>12000</v>
      </c>
      <c r="F971" t="s">
        <v>2820</v>
      </c>
      <c r="G971" t="b">
        <v>1</v>
      </c>
      <c r="H971" t="s">
        <v>466</v>
      </c>
    </row>
    <row r="972" spans="1:8" x14ac:dyDescent="0.3">
      <c r="A972" t="s">
        <v>734</v>
      </c>
      <c r="B972" t="s">
        <v>903</v>
      </c>
      <c r="C972" t="s">
        <v>287</v>
      </c>
      <c r="D972" t="s">
        <v>2832</v>
      </c>
      <c r="E972">
        <v>12000</v>
      </c>
      <c r="F972" t="s">
        <v>2820</v>
      </c>
      <c r="G972" t="b">
        <v>1</v>
      </c>
      <c r="H972" t="s">
        <v>467</v>
      </c>
    </row>
    <row r="973" spans="1:8" x14ac:dyDescent="0.3">
      <c r="A973" t="s">
        <v>734</v>
      </c>
      <c r="B973" t="s">
        <v>903</v>
      </c>
      <c r="C973" t="s">
        <v>287</v>
      </c>
      <c r="D973" t="s">
        <v>2833</v>
      </c>
      <c r="E973">
        <v>12000</v>
      </c>
      <c r="F973" t="s">
        <v>2820</v>
      </c>
      <c r="G973" t="b">
        <v>1</v>
      </c>
      <c r="H973" t="s">
        <v>468</v>
      </c>
    </row>
    <row r="974" spans="1:8" x14ac:dyDescent="0.3">
      <c r="A974" t="s">
        <v>734</v>
      </c>
      <c r="B974" t="s">
        <v>903</v>
      </c>
      <c r="C974" t="s">
        <v>290</v>
      </c>
      <c r="D974" t="s">
        <v>2819</v>
      </c>
      <c r="E974">
        <v>0</v>
      </c>
      <c r="F974" t="s">
        <v>2820</v>
      </c>
      <c r="G974" t="b">
        <v>1</v>
      </c>
      <c r="H974" t="s">
        <v>704</v>
      </c>
    </row>
    <row r="975" spans="1:8" x14ac:dyDescent="0.3">
      <c r="A975" t="s">
        <v>734</v>
      </c>
      <c r="B975" t="s">
        <v>903</v>
      </c>
      <c r="C975" t="s">
        <v>290</v>
      </c>
      <c r="D975" t="s">
        <v>2821</v>
      </c>
      <c r="E975">
        <v>0</v>
      </c>
      <c r="F975" t="s">
        <v>2820</v>
      </c>
      <c r="G975" t="b">
        <v>1</v>
      </c>
      <c r="H975" t="s">
        <v>706</v>
      </c>
    </row>
    <row r="976" spans="1:8" x14ac:dyDescent="0.3">
      <c r="A976" t="s">
        <v>734</v>
      </c>
      <c r="B976" t="s">
        <v>903</v>
      </c>
      <c r="C976" t="s">
        <v>290</v>
      </c>
      <c r="D976" t="s">
        <v>2822</v>
      </c>
      <c r="E976">
        <v>0</v>
      </c>
      <c r="F976" t="s">
        <v>2820</v>
      </c>
      <c r="G976" t="b">
        <v>1</v>
      </c>
      <c r="H976" t="s">
        <v>708</v>
      </c>
    </row>
    <row r="977" spans="1:8" x14ac:dyDescent="0.3">
      <c r="A977" t="s">
        <v>734</v>
      </c>
      <c r="B977" t="s">
        <v>903</v>
      </c>
      <c r="C977" t="s">
        <v>290</v>
      </c>
      <c r="D977" t="s">
        <v>2823</v>
      </c>
      <c r="E977">
        <v>0</v>
      </c>
      <c r="F977" t="s">
        <v>2820</v>
      </c>
      <c r="G977" t="b">
        <v>1</v>
      </c>
      <c r="H977" t="s">
        <v>710</v>
      </c>
    </row>
    <row r="978" spans="1:8" x14ac:dyDescent="0.3">
      <c r="A978" t="s">
        <v>734</v>
      </c>
      <c r="B978" t="s">
        <v>903</v>
      </c>
      <c r="C978" t="s">
        <v>290</v>
      </c>
      <c r="D978" t="s">
        <v>2824</v>
      </c>
      <c r="E978">
        <v>0</v>
      </c>
      <c r="F978" t="s">
        <v>2820</v>
      </c>
      <c r="G978" t="b">
        <v>1</v>
      </c>
      <c r="H978" t="s">
        <v>2802</v>
      </c>
    </row>
    <row r="979" spans="1:8" x14ac:dyDescent="0.3">
      <c r="A979" t="s">
        <v>734</v>
      </c>
      <c r="B979" t="s">
        <v>903</v>
      </c>
      <c r="C979" t="s">
        <v>290</v>
      </c>
      <c r="D979" t="s">
        <v>2825</v>
      </c>
      <c r="E979">
        <v>0</v>
      </c>
      <c r="F979" t="s">
        <v>2820</v>
      </c>
      <c r="G979" t="b">
        <v>1</v>
      </c>
      <c r="H979" t="s">
        <v>2800</v>
      </c>
    </row>
    <row r="980" spans="1:8" x14ac:dyDescent="0.3">
      <c r="A980" t="s">
        <v>734</v>
      </c>
      <c r="B980" t="s">
        <v>903</v>
      </c>
      <c r="C980" t="s">
        <v>290</v>
      </c>
      <c r="D980" t="s">
        <v>2826</v>
      </c>
      <c r="E980">
        <v>0</v>
      </c>
      <c r="F980" t="s">
        <v>2820</v>
      </c>
      <c r="G980" t="b">
        <v>1</v>
      </c>
      <c r="H980" t="s">
        <v>1935</v>
      </c>
    </row>
    <row r="981" spans="1:8" x14ac:dyDescent="0.3">
      <c r="A981" t="s">
        <v>734</v>
      </c>
      <c r="B981" t="s">
        <v>903</v>
      </c>
      <c r="C981" t="s">
        <v>290</v>
      </c>
      <c r="D981" t="s">
        <v>2827</v>
      </c>
      <c r="E981">
        <v>1500</v>
      </c>
      <c r="F981" t="s">
        <v>2820</v>
      </c>
      <c r="G981" t="b">
        <v>1</v>
      </c>
      <c r="H981" t="s">
        <v>2828</v>
      </c>
    </row>
    <row r="982" spans="1:8" x14ac:dyDescent="0.3">
      <c r="A982" t="s">
        <v>734</v>
      </c>
      <c r="B982" t="s">
        <v>903</v>
      </c>
      <c r="C982" t="s">
        <v>290</v>
      </c>
      <c r="D982" t="s">
        <v>2829</v>
      </c>
      <c r="E982">
        <v>1500</v>
      </c>
      <c r="F982" t="s">
        <v>2820</v>
      </c>
      <c r="G982" t="b">
        <v>1</v>
      </c>
      <c r="H982" t="s">
        <v>2830</v>
      </c>
    </row>
    <row r="983" spans="1:8" x14ac:dyDescent="0.3">
      <c r="A983" t="s">
        <v>734</v>
      </c>
      <c r="B983" t="s">
        <v>903</v>
      </c>
      <c r="C983" t="s">
        <v>290</v>
      </c>
      <c r="D983" t="s">
        <v>2831</v>
      </c>
      <c r="E983">
        <v>1500</v>
      </c>
      <c r="F983" t="s">
        <v>2820</v>
      </c>
      <c r="G983" t="b">
        <v>1</v>
      </c>
      <c r="H983" t="s">
        <v>466</v>
      </c>
    </row>
    <row r="984" spans="1:8" x14ac:dyDescent="0.3">
      <c r="A984" t="s">
        <v>734</v>
      </c>
      <c r="B984" t="s">
        <v>903</v>
      </c>
      <c r="C984" t="s">
        <v>290</v>
      </c>
      <c r="D984" t="s">
        <v>2832</v>
      </c>
      <c r="E984">
        <v>1500</v>
      </c>
      <c r="F984" t="s">
        <v>2820</v>
      </c>
      <c r="G984" t="b">
        <v>1</v>
      </c>
      <c r="H984" t="s">
        <v>467</v>
      </c>
    </row>
    <row r="985" spans="1:8" x14ac:dyDescent="0.3">
      <c r="A985" t="s">
        <v>734</v>
      </c>
      <c r="B985" t="s">
        <v>903</v>
      </c>
      <c r="C985" t="s">
        <v>290</v>
      </c>
      <c r="D985" t="s">
        <v>2833</v>
      </c>
      <c r="E985">
        <v>1500</v>
      </c>
      <c r="F985" t="s">
        <v>2820</v>
      </c>
      <c r="G985" t="b">
        <v>1</v>
      </c>
      <c r="H985" t="s">
        <v>468</v>
      </c>
    </row>
    <row r="986" spans="1:8" x14ac:dyDescent="0.3">
      <c r="A986" t="s">
        <v>734</v>
      </c>
      <c r="B986" t="s">
        <v>784</v>
      </c>
      <c r="C986" t="s">
        <v>243</v>
      </c>
      <c r="D986" t="s">
        <v>2819</v>
      </c>
      <c r="E986">
        <v>0</v>
      </c>
      <c r="F986" t="s">
        <v>2820</v>
      </c>
      <c r="G986" t="b">
        <v>1</v>
      </c>
      <c r="H986" t="s">
        <v>704</v>
      </c>
    </row>
    <row r="987" spans="1:8" x14ac:dyDescent="0.3">
      <c r="A987" t="s">
        <v>734</v>
      </c>
      <c r="B987" t="s">
        <v>784</v>
      </c>
      <c r="C987" t="s">
        <v>243</v>
      </c>
      <c r="D987" t="s">
        <v>2821</v>
      </c>
      <c r="E987">
        <v>0</v>
      </c>
      <c r="F987" t="s">
        <v>2820</v>
      </c>
      <c r="G987" t="b">
        <v>1</v>
      </c>
      <c r="H987" t="s">
        <v>706</v>
      </c>
    </row>
    <row r="988" spans="1:8" x14ac:dyDescent="0.3">
      <c r="A988" t="s">
        <v>734</v>
      </c>
      <c r="B988" t="s">
        <v>784</v>
      </c>
      <c r="C988" t="s">
        <v>243</v>
      </c>
      <c r="D988" t="s">
        <v>2822</v>
      </c>
      <c r="E988">
        <v>0</v>
      </c>
      <c r="F988" t="s">
        <v>2820</v>
      </c>
      <c r="G988" t="b">
        <v>1</v>
      </c>
      <c r="H988" t="s">
        <v>708</v>
      </c>
    </row>
    <row r="989" spans="1:8" x14ac:dyDescent="0.3">
      <c r="A989" t="s">
        <v>734</v>
      </c>
      <c r="B989" t="s">
        <v>784</v>
      </c>
      <c r="C989" t="s">
        <v>243</v>
      </c>
      <c r="D989" t="s">
        <v>2823</v>
      </c>
      <c r="E989">
        <v>0</v>
      </c>
      <c r="F989" t="s">
        <v>2820</v>
      </c>
      <c r="G989" t="b">
        <v>1</v>
      </c>
      <c r="H989" t="s">
        <v>710</v>
      </c>
    </row>
    <row r="990" spans="1:8" x14ac:dyDescent="0.3">
      <c r="A990" t="s">
        <v>734</v>
      </c>
      <c r="B990" t="s">
        <v>784</v>
      </c>
      <c r="C990" t="s">
        <v>243</v>
      </c>
      <c r="D990" t="s">
        <v>2824</v>
      </c>
      <c r="E990">
        <v>0</v>
      </c>
      <c r="F990" t="s">
        <v>2820</v>
      </c>
      <c r="G990" t="b">
        <v>1</v>
      </c>
      <c r="H990" t="s">
        <v>2802</v>
      </c>
    </row>
    <row r="991" spans="1:8" x14ac:dyDescent="0.3">
      <c r="A991" t="s">
        <v>734</v>
      </c>
      <c r="B991" t="s">
        <v>784</v>
      </c>
      <c r="C991" t="s">
        <v>243</v>
      </c>
      <c r="D991" t="s">
        <v>2825</v>
      </c>
      <c r="E991">
        <v>0</v>
      </c>
      <c r="F991" t="s">
        <v>2820</v>
      </c>
      <c r="G991" t="b">
        <v>1</v>
      </c>
      <c r="H991" t="s">
        <v>2800</v>
      </c>
    </row>
    <row r="992" spans="1:8" x14ac:dyDescent="0.3">
      <c r="A992" t="s">
        <v>734</v>
      </c>
      <c r="B992" t="s">
        <v>784</v>
      </c>
      <c r="C992" t="s">
        <v>243</v>
      </c>
      <c r="D992" t="s">
        <v>2826</v>
      </c>
      <c r="E992">
        <v>0</v>
      </c>
      <c r="F992" t="s">
        <v>2820</v>
      </c>
      <c r="G992" t="b">
        <v>1</v>
      </c>
      <c r="H992" t="s">
        <v>1935</v>
      </c>
    </row>
    <row r="993" spans="1:8" x14ac:dyDescent="0.3">
      <c r="A993" t="s">
        <v>734</v>
      </c>
      <c r="B993" t="s">
        <v>784</v>
      </c>
      <c r="C993" t="s">
        <v>243</v>
      </c>
      <c r="D993" t="s">
        <v>2827</v>
      </c>
      <c r="E993">
        <v>0</v>
      </c>
      <c r="F993" t="s">
        <v>2820</v>
      </c>
      <c r="G993" t="b">
        <v>1</v>
      </c>
      <c r="H993" t="s">
        <v>2828</v>
      </c>
    </row>
    <row r="994" spans="1:8" x14ac:dyDescent="0.3">
      <c r="A994" t="s">
        <v>734</v>
      </c>
      <c r="B994" t="s">
        <v>784</v>
      </c>
      <c r="C994" t="s">
        <v>243</v>
      </c>
      <c r="D994" t="s">
        <v>2829</v>
      </c>
      <c r="E994">
        <v>0</v>
      </c>
      <c r="F994" t="s">
        <v>2820</v>
      </c>
      <c r="G994" t="b">
        <v>1</v>
      </c>
      <c r="H994" t="s">
        <v>2830</v>
      </c>
    </row>
    <row r="995" spans="1:8" x14ac:dyDescent="0.3">
      <c r="A995" t="s">
        <v>734</v>
      </c>
      <c r="B995" t="s">
        <v>784</v>
      </c>
      <c r="C995" t="s">
        <v>243</v>
      </c>
      <c r="D995" t="s">
        <v>2831</v>
      </c>
      <c r="E995">
        <v>0</v>
      </c>
      <c r="F995" t="s">
        <v>2820</v>
      </c>
      <c r="G995" t="b">
        <v>1</v>
      </c>
      <c r="H995" t="s">
        <v>466</v>
      </c>
    </row>
    <row r="996" spans="1:8" x14ac:dyDescent="0.3">
      <c r="A996" t="s">
        <v>734</v>
      </c>
      <c r="B996" t="s">
        <v>784</v>
      </c>
      <c r="C996" t="s">
        <v>243</v>
      </c>
      <c r="D996" t="s">
        <v>2832</v>
      </c>
      <c r="E996">
        <v>0</v>
      </c>
      <c r="F996" t="s">
        <v>2820</v>
      </c>
      <c r="G996" t="b">
        <v>1</v>
      </c>
      <c r="H996" t="s">
        <v>467</v>
      </c>
    </row>
    <row r="997" spans="1:8" x14ac:dyDescent="0.3">
      <c r="A997" t="s">
        <v>734</v>
      </c>
      <c r="B997" t="s">
        <v>784</v>
      </c>
      <c r="C997" t="s">
        <v>243</v>
      </c>
      <c r="D997" t="s">
        <v>2833</v>
      </c>
      <c r="E997">
        <v>0</v>
      </c>
      <c r="F997" t="s">
        <v>2820</v>
      </c>
      <c r="G997" t="b">
        <v>1</v>
      </c>
      <c r="H997" t="s">
        <v>468</v>
      </c>
    </row>
    <row r="998" spans="1:8" x14ac:dyDescent="0.3">
      <c r="A998" t="s">
        <v>734</v>
      </c>
      <c r="B998" t="s">
        <v>784</v>
      </c>
      <c r="C998" t="s">
        <v>251</v>
      </c>
      <c r="D998" t="s">
        <v>2819</v>
      </c>
      <c r="E998">
        <v>0</v>
      </c>
      <c r="F998" t="s">
        <v>2820</v>
      </c>
      <c r="G998" t="b">
        <v>1</v>
      </c>
      <c r="H998" t="s">
        <v>704</v>
      </c>
    </row>
    <row r="999" spans="1:8" x14ac:dyDescent="0.3">
      <c r="A999" t="s">
        <v>734</v>
      </c>
      <c r="B999" t="s">
        <v>784</v>
      </c>
      <c r="C999" t="s">
        <v>251</v>
      </c>
      <c r="D999" t="s">
        <v>2821</v>
      </c>
      <c r="E999">
        <v>0</v>
      </c>
      <c r="F999" t="s">
        <v>2820</v>
      </c>
      <c r="G999" t="b">
        <v>1</v>
      </c>
      <c r="H999" t="s">
        <v>706</v>
      </c>
    </row>
    <row r="1000" spans="1:8" x14ac:dyDescent="0.3">
      <c r="A1000" t="s">
        <v>734</v>
      </c>
      <c r="B1000" t="s">
        <v>784</v>
      </c>
      <c r="C1000" t="s">
        <v>251</v>
      </c>
      <c r="D1000" t="s">
        <v>2822</v>
      </c>
      <c r="E1000">
        <v>0</v>
      </c>
      <c r="F1000" t="s">
        <v>2820</v>
      </c>
      <c r="G1000" t="b">
        <v>1</v>
      </c>
      <c r="H1000" t="s">
        <v>708</v>
      </c>
    </row>
    <row r="1001" spans="1:8" x14ac:dyDescent="0.3">
      <c r="A1001" t="s">
        <v>734</v>
      </c>
      <c r="B1001" t="s">
        <v>784</v>
      </c>
      <c r="C1001" t="s">
        <v>251</v>
      </c>
      <c r="D1001" t="s">
        <v>2823</v>
      </c>
      <c r="E1001">
        <v>0</v>
      </c>
      <c r="F1001" t="s">
        <v>2820</v>
      </c>
      <c r="G1001" t="b">
        <v>1</v>
      </c>
      <c r="H1001" t="s">
        <v>710</v>
      </c>
    </row>
    <row r="1002" spans="1:8" x14ac:dyDescent="0.3">
      <c r="A1002" t="s">
        <v>734</v>
      </c>
      <c r="B1002" t="s">
        <v>784</v>
      </c>
      <c r="C1002" t="s">
        <v>251</v>
      </c>
      <c r="D1002" t="s">
        <v>2824</v>
      </c>
      <c r="E1002">
        <v>0</v>
      </c>
      <c r="F1002" t="s">
        <v>2820</v>
      </c>
      <c r="G1002" t="b">
        <v>1</v>
      </c>
      <c r="H1002" t="s">
        <v>2802</v>
      </c>
    </row>
    <row r="1003" spans="1:8" x14ac:dyDescent="0.3">
      <c r="A1003" t="s">
        <v>734</v>
      </c>
      <c r="B1003" t="s">
        <v>784</v>
      </c>
      <c r="C1003" t="s">
        <v>251</v>
      </c>
      <c r="D1003" t="s">
        <v>2825</v>
      </c>
      <c r="E1003">
        <v>0</v>
      </c>
      <c r="F1003" t="s">
        <v>2820</v>
      </c>
      <c r="G1003" t="b">
        <v>1</v>
      </c>
      <c r="H1003" t="s">
        <v>2800</v>
      </c>
    </row>
    <row r="1004" spans="1:8" x14ac:dyDescent="0.3">
      <c r="A1004" t="s">
        <v>734</v>
      </c>
      <c r="B1004" t="s">
        <v>784</v>
      </c>
      <c r="C1004" t="s">
        <v>251</v>
      </c>
      <c r="D1004" t="s">
        <v>2826</v>
      </c>
      <c r="E1004">
        <v>0</v>
      </c>
      <c r="F1004" t="s">
        <v>2820</v>
      </c>
      <c r="G1004" t="b">
        <v>1</v>
      </c>
      <c r="H1004" t="s">
        <v>1935</v>
      </c>
    </row>
    <row r="1005" spans="1:8" x14ac:dyDescent="0.3">
      <c r="A1005" t="s">
        <v>734</v>
      </c>
      <c r="B1005" t="s">
        <v>784</v>
      </c>
      <c r="C1005" t="s">
        <v>251</v>
      </c>
      <c r="D1005" t="s">
        <v>2827</v>
      </c>
      <c r="E1005">
        <v>92700.98</v>
      </c>
      <c r="F1005" t="s">
        <v>2820</v>
      </c>
      <c r="G1005" t="b">
        <v>1</v>
      </c>
      <c r="H1005" t="s">
        <v>2828</v>
      </c>
    </row>
    <row r="1006" spans="1:8" x14ac:dyDescent="0.3">
      <c r="A1006" t="s">
        <v>734</v>
      </c>
      <c r="B1006" t="s">
        <v>784</v>
      </c>
      <c r="C1006" t="s">
        <v>251</v>
      </c>
      <c r="D1006" t="s">
        <v>2829</v>
      </c>
      <c r="E1006">
        <v>92180.97</v>
      </c>
      <c r="F1006" t="s">
        <v>2820</v>
      </c>
      <c r="G1006" t="b">
        <v>1</v>
      </c>
      <c r="H1006" t="s">
        <v>2830</v>
      </c>
    </row>
    <row r="1007" spans="1:8" x14ac:dyDescent="0.3">
      <c r="A1007" t="s">
        <v>734</v>
      </c>
      <c r="B1007" t="s">
        <v>784</v>
      </c>
      <c r="C1007" t="s">
        <v>251</v>
      </c>
      <c r="D1007" t="s">
        <v>2831</v>
      </c>
      <c r="E1007">
        <v>93758.12</v>
      </c>
      <c r="F1007" t="s">
        <v>2820</v>
      </c>
      <c r="G1007" t="b">
        <v>1</v>
      </c>
      <c r="H1007" t="s">
        <v>466</v>
      </c>
    </row>
    <row r="1008" spans="1:8" x14ac:dyDescent="0.3">
      <c r="A1008" t="s">
        <v>734</v>
      </c>
      <c r="B1008" t="s">
        <v>784</v>
      </c>
      <c r="C1008" t="s">
        <v>251</v>
      </c>
      <c r="D1008" t="s">
        <v>2832</v>
      </c>
      <c r="E1008">
        <v>92360.3</v>
      </c>
      <c r="F1008" t="s">
        <v>2820</v>
      </c>
      <c r="G1008" t="b">
        <v>1</v>
      </c>
      <c r="H1008" t="s">
        <v>467</v>
      </c>
    </row>
    <row r="1009" spans="1:8" x14ac:dyDescent="0.3">
      <c r="A1009" t="s">
        <v>734</v>
      </c>
      <c r="B1009" t="s">
        <v>784</v>
      </c>
      <c r="C1009" t="s">
        <v>251</v>
      </c>
      <c r="D1009" t="s">
        <v>2833</v>
      </c>
      <c r="E1009">
        <v>93822.48</v>
      </c>
      <c r="F1009" t="s">
        <v>2820</v>
      </c>
      <c r="G1009" t="b">
        <v>1</v>
      </c>
      <c r="H1009" t="s">
        <v>468</v>
      </c>
    </row>
    <row r="1010" spans="1:8" x14ac:dyDescent="0.3">
      <c r="A1010" t="s">
        <v>734</v>
      </c>
      <c r="B1010" t="s">
        <v>784</v>
      </c>
      <c r="C1010" t="s">
        <v>239</v>
      </c>
      <c r="D1010" t="s">
        <v>2819</v>
      </c>
      <c r="E1010">
        <v>0</v>
      </c>
      <c r="F1010" t="s">
        <v>2820</v>
      </c>
      <c r="G1010" t="b">
        <v>1</v>
      </c>
      <c r="H1010" t="s">
        <v>704</v>
      </c>
    </row>
    <row r="1011" spans="1:8" x14ac:dyDescent="0.3">
      <c r="A1011" t="s">
        <v>734</v>
      </c>
      <c r="B1011" t="s">
        <v>784</v>
      </c>
      <c r="C1011" t="s">
        <v>239</v>
      </c>
      <c r="D1011" t="s">
        <v>2821</v>
      </c>
      <c r="E1011">
        <v>0</v>
      </c>
      <c r="F1011" t="s">
        <v>2820</v>
      </c>
      <c r="G1011" t="b">
        <v>1</v>
      </c>
      <c r="H1011" t="s">
        <v>706</v>
      </c>
    </row>
    <row r="1012" spans="1:8" x14ac:dyDescent="0.3">
      <c r="A1012" t="s">
        <v>734</v>
      </c>
      <c r="B1012" t="s">
        <v>784</v>
      </c>
      <c r="C1012" t="s">
        <v>239</v>
      </c>
      <c r="D1012" t="s">
        <v>2822</v>
      </c>
      <c r="E1012">
        <v>0</v>
      </c>
      <c r="F1012" t="s">
        <v>2820</v>
      </c>
      <c r="G1012" t="b">
        <v>1</v>
      </c>
      <c r="H1012" t="s">
        <v>708</v>
      </c>
    </row>
    <row r="1013" spans="1:8" x14ac:dyDescent="0.3">
      <c r="A1013" t="s">
        <v>734</v>
      </c>
      <c r="B1013" t="s">
        <v>784</v>
      </c>
      <c r="C1013" t="s">
        <v>239</v>
      </c>
      <c r="D1013" t="s">
        <v>2823</v>
      </c>
      <c r="E1013">
        <v>0</v>
      </c>
      <c r="F1013" t="s">
        <v>2820</v>
      </c>
      <c r="G1013" t="b">
        <v>1</v>
      </c>
      <c r="H1013" t="s">
        <v>710</v>
      </c>
    </row>
    <row r="1014" spans="1:8" x14ac:dyDescent="0.3">
      <c r="A1014" t="s">
        <v>734</v>
      </c>
      <c r="B1014" t="s">
        <v>784</v>
      </c>
      <c r="C1014" t="s">
        <v>239</v>
      </c>
      <c r="D1014" t="s">
        <v>2824</v>
      </c>
      <c r="E1014">
        <v>0</v>
      </c>
      <c r="F1014" t="s">
        <v>2820</v>
      </c>
      <c r="G1014" t="b">
        <v>1</v>
      </c>
      <c r="H1014" t="s">
        <v>2802</v>
      </c>
    </row>
    <row r="1015" spans="1:8" x14ac:dyDescent="0.3">
      <c r="A1015" t="s">
        <v>734</v>
      </c>
      <c r="B1015" t="s">
        <v>784</v>
      </c>
      <c r="C1015" t="s">
        <v>239</v>
      </c>
      <c r="D1015" t="s">
        <v>2825</v>
      </c>
      <c r="E1015">
        <v>0</v>
      </c>
      <c r="F1015" t="s">
        <v>2820</v>
      </c>
      <c r="G1015" t="b">
        <v>1</v>
      </c>
      <c r="H1015" t="s">
        <v>2800</v>
      </c>
    </row>
    <row r="1016" spans="1:8" x14ac:dyDescent="0.3">
      <c r="A1016" t="s">
        <v>734</v>
      </c>
      <c r="B1016" t="s">
        <v>784</v>
      </c>
      <c r="C1016" t="s">
        <v>239</v>
      </c>
      <c r="D1016" t="s">
        <v>2826</v>
      </c>
      <c r="E1016">
        <v>0</v>
      </c>
      <c r="F1016" t="s">
        <v>2820</v>
      </c>
      <c r="G1016" t="b">
        <v>1</v>
      </c>
      <c r="H1016" t="s">
        <v>1935</v>
      </c>
    </row>
    <row r="1017" spans="1:8" x14ac:dyDescent="0.3">
      <c r="A1017" t="s">
        <v>734</v>
      </c>
      <c r="B1017" t="s">
        <v>784</v>
      </c>
      <c r="C1017" t="s">
        <v>239</v>
      </c>
      <c r="D1017" t="s">
        <v>2827</v>
      </c>
      <c r="E1017">
        <v>0</v>
      </c>
      <c r="F1017" t="s">
        <v>2820</v>
      </c>
      <c r="G1017" t="b">
        <v>1</v>
      </c>
      <c r="H1017" t="s">
        <v>2828</v>
      </c>
    </row>
    <row r="1018" spans="1:8" x14ac:dyDescent="0.3">
      <c r="A1018" t="s">
        <v>734</v>
      </c>
      <c r="B1018" t="s">
        <v>784</v>
      </c>
      <c r="C1018" t="s">
        <v>239</v>
      </c>
      <c r="D1018" t="s">
        <v>2829</v>
      </c>
      <c r="E1018">
        <v>0</v>
      </c>
      <c r="F1018" t="s">
        <v>2820</v>
      </c>
      <c r="G1018" t="b">
        <v>1</v>
      </c>
      <c r="H1018" t="s">
        <v>2830</v>
      </c>
    </row>
    <row r="1019" spans="1:8" x14ac:dyDescent="0.3">
      <c r="A1019" t="s">
        <v>734</v>
      </c>
      <c r="B1019" t="s">
        <v>784</v>
      </c>
      <c r="C1019" t="s">
        <v>239</v>
      </c>
      <c r="D1019" t="s">
        <v>2831</v>
      </c>
      <c r="E1019">
        <v>0</v>
      </c>
      <c r="F1019" t="s">
        <v>2820</v>
      </c>
      <c r="G1019" t="b">
        <v>1</v>
      </c>
      <c r="H1019" t="s">
        <v>466</v>
      </c>
    </row>
    <row r="1020" spans="1:8" x14ac:dyDescent="0.3">
      <c r="A1020" t="s">
        <v>734</v>
      </c>
      <c r="B1020" t="s">
        <v>784</v>
      </c>
      <c r="C1020" t="s">
        <v>239</v>
      </c>
      <c r="D1020" t="s">
        <v>2832</v>
      </c>
      <c r="E1020">
        <v>0</v>
      </c>
      <c r="F1020" t="s">
        <v>2820</v>
      </c>
      <c r="G1020" t="b">
        <v>1</v>
      </c>
      <c r="H1020" t="s">
        <v>467</v>
      </c>
    </row>
    <row r="1021" spans="1:8" x14ac:dyDescent="0.3">
      <c r="A1021" t="s">
        <v>734</v>
      </c>
      <c r="B1021" t="s">
        <v>784</v>
      </c>
      <c r="C1021" t="s">
        <v>239</v>
      </c>
      <c r="D1021" t="s">
        <v>2833</v>
      </c>
      <c r="E1021">
        <v>0</v>
      </c>
      <c r="F1021" t="s">
        <v>2820</v>
      </c>
      <c r="G1021" t="b">
        <v>1</v>
      </c>
      <c r="H1021" t="s">
        <v>468</v>
      </c>
    </row>
    <row r="1022" spans="1:8" x14ac:dyDescent="0.3">
      <c r="A1022" t="s">
        <v>734</v>
      </c>
      <c r="B1022" t="s">
        <v>784</v>
      </c>
      <c r="C1022" t="s">
        <v>240</v>
      </c>
      <c r="D1022" t="s">
        <v>2819</v>
      </c>
      <c r="E1022">
        <v>0</v>
      </c>
      <c r="F1022" t="s">
        <v>2820</v>
      </c>
      <c r="G1022" t="b">
        <v>1</v>
      </c>
      <c r="H1022" t="s">
        <v>704</v>
      </c>
    </row>
    <row r="1023" spans="1:8" x14ac:dyDescent="0.3">
      <c r="A1023" t="s">
        <v>734</v>
      </c>
      <c r="B1023" t="s">
        <v>784</v>
      </c>
      <c r="C1023" t="s">
        <v>240</v>
      </c>
      <c r="D1023" t="s">
        <v>2821</v>
      </c>
      <c r="E1023">
        <v>0</v>
      </c>
      <c r="F1023" t="s">
        <v>2820</v>
      </c>
      <c r="G1023" t="b">
        <v>1</v>
      </c>
      <c r="H1023" t="s">
        <v>706</v>
      </c>
    </row>
    <row r="1024" spans="1:8" x14ac:dyDescent="0.3">
      <c r="A1024" t="s">
        <v>734</v>
      </c>
      <c r="B1024" t="s">
        <v>784</v>
      </c>
      <c r="C1024" t="s">
        <v>240</v>
      </c>
      <c r="D1024" t="s">
        <v>2822</v>
      </c>
      <c r="E1024">
        <v>0</v>
      </c>
      <c r="F1024" t="s">
        <v>2820</v>
      </c>
      <c r="G1024" t="b">
        <v>1</v>
      </c>
      <c r="H1024" t="s">
        <v>708</v>
      </c>
    </row>
    <row r="1025" spans="1:8" x14ac:dyDescent="0.3">
      <c r="A1025" t="s">
        <v>734</v>
      </c>
      <c r="B1025" t="s">
        <v>784</v>
      </c>
      <c r="C1025" t="s">
        <v>240</v>
      </c>
      <c r="D1025" t="s">
        <v>2823</v>
      </c>
      <c r="E1025">
        <v>0</v>
      </c>
      <c r="F1025" t="s">
        <v>2820</v>
      </c>
      <c r="G1025" t="b">
        <v>1</v>
      </c>
      <c r="H1025" t="s">
        <v>710</v>
      </c>
    </row>
    <row r="1026" spans="1:8" x14ac:dyDescent="0.3">
      <c r="A1026" t="s">
        <v>734</v>
      </c>
      <c r="B1026" t="s">
        <v>784</v>
      </c>
      <c r="C1026" t="s">
        <v>240</v>
      </c>
      <c r="D1026" t="s">
        <v>2824</v>
      </c>
      <c r="E1026">
        <v>0</v>
      </c>
      <c r="F1026" t="s">
        <v>2820</v>
      </c>
      <c r="G1026" t="b">
        <v>1</v>
      </c>
      <c r="H1026" t="s">
        <v>2802</v>
      </c>
    </row>
    <row r="1027" spans="1:8" x14ac:dyDescent="0.3">
      <c r="A1027" t="s">
        <v>734</v>
      </c>
      <c r="B1027" t="s">
        <v>784</v>
      </c>
      <c r="C1027" t="s">
        <v>240</v>
      </c>
      <c r="D1027" t="s">
        <v>2825</v>
      </c>
      <c r="E1027">
        <v>0</v>
      </c>
      <c r="F1027" t="s">
        <v>2820</v>
      </c>
      <c r="G1027" t="b">
        <v>1</v>
      </c>
      <c r="H1027" t="s">
        <v>2800</v>
      </c>
    </row>
    <row r="1028" spans="1:8" x14ac:dyDescent="0.3">
      <c r="A1028" t="s">
        <v>734</v>
      </c>
      <c r="B1028" t="s">
        <v>784</v>
      </c>
      <c r="C1028" t="s">
        <v>240</v>
      </c>
      <c r="D1028" t="s">
        <v>2826</v>
      </c>
      <c r="E1028">
        <v>0</v>
      </c>
      <c r="F1028" t="s">
        <v>2820</v>
      </c>
      <c r="G1028" t="b">
        <v>1</v>
      </c>
      <c r="H1028" t="s">
        <v>1935</v>
      </c>
    </row>
    <row r="1029" spans="1:8" x14ac:dyDescent="0.3">
      <c r="A1029" t="s">
        <v>734</v>
      </c>
      <c r="B1029" t="s">
        <v>784</v>
      </c>
      <c r="C1029" t="s">
        <v>240</v>
      </c>
      <c r="D1029" t="s">
        <v>2827</v>
      </c>
      <c r="E1029">
        <v>0</v>
      </c>
      <c r="F1029" t="s">
        <v>2820</v>
      </c>
      <c r="G1029" t="b">
        <v>1</v>
      </c>
      <c r="H1029" t="s">
        <v>2828</v>
      </c>
    </row>
    <row r="1030" spans="1:8" x14ac:dyDescent="0.3">
      <c r="A1030" t="s">
        <v>734</v>
      </c>
      <c r="B1030" t="s">
        <v>784</v>
      </c>
      <c r="C1030" t="s">
        <v>240</v>
      </c>
      <c r="D1030" t="s">
        <v>2829</v>
      </c>
      <c r="E1030">
        <v>0</v>
      </c>
      <c r="F1030" t="s">
        <v>2820</v>
      </c>
      <c r="G1030" t="b">
        <v>1</v>
      </c>
      <c r="H1030" t="s">
        <v>2830</v>
      </c>
    </row>
    <row r="1031" spans="1:8" x14ac:dyDescent="0.3">
      <c r="A1031" t="s">
        <v>734</v>
      </c>
      <c r="B1031" t="s">
        <v>784</v>
      </c>
      <c r="C1031" t="s">
        <v>240</v>
      </c>
      <c r="D1031" t="s">
        <v>2831</v>
      </c>
      <c r="E1031">
        <v>0</v>
      </c>
      <c r="F1031" t="s">
        <v>2820</v>
      </c>
      <c r="G1031" t="b">
        <v>1</v>
      </c>
      <c r="H1031" t="s">
        <v>466</v>
      </c>
    </row>
    <row r="1032" spans="1:8" x14ac:dyDescent="0.3">
      <c r="A1032" t="s">
        <v>734</v>
      </c>
      <c r="B1032" t="s">
        <v>784</v>
      </c>
      <c r="C1032" t="s">
        <v>240</v>
      </c>
      <c r="D1032" t="s">
        <v>2832</v>
      </c>
      <c r="E1032">
        <v>0</v>
      </c>
      <c r="F1032" t="s">
        <v>2820</v>
      </c>
      <c r="G1032" t="b">
        <v>1</v>
      </c>
      <c r="H1032" t="s">
        <v>467</v>
      </c>
    </row>
    <row r="1033" spans="1:8" x14ac:dyDescent="0.3">
      <c r="A1033" t="s">
        <v>734</v>
      </c>
      <c r="B1033" t="s">
        <v>784</v>
      </c>
      <c r="C1033" t="s">
        <v>240</v>
      </c>
      <c r="D1033" t="s">
        <v>2833</v>
      </c>
      <c r="E1033">
        <v>0</v>
      </c>
      <c r="F1033" t="s">
        <v>2820</v>
      </c>
      <c r="G1033" t="b">
        <v>1</v>
      </c>
      <c r="H1033" t="s">
        <v>468</v>
      </c>
    </row>
    <row r="1034" spans="1:8" x14ac:dyDescent="0.3">
      <c r="A1034" t="s">
        <v>734</v>
      </c>
      <c r="B1034" t="s">
        <v>784</v>
      </c>
      <c r="C1034" t="s">
        <v>250</v>
      </c>
      <c r="D1034" t="s">
        <v>2819</v>
      </c>
      <c r="E1034">
        <v>0</v>
      </c>
      <c r="F1034" t="s">
        <v>2820</v>
      </c>
      <c r="G1034" t="b">
        <v>1</v>
      </c>
      <c r="H1034" t="s">
        <v>704</v>
      </c>
    </row>
    <row r="1035" spans="1:8" x14ac:dyDescent="0.3">
      <c r="A1035" t="s">
        <v>734</v>
      </c>
      <c r="B1035" t="s">
        <v>784</v>
      </c>
      <c r="C1035" t="s">
        <v>250</v>
      </c>
      <c r="D1035" t="s">
        <v>2821</v>
      </c>
      <c r="E1035">
        <v>0</v>
      </c>
      <c r="F1035" t="s">
        <v>2820</v>
      </c>
      <c r="G1035" t="b">
        <v>1</v>
      </c>
      <c r="H1035" t="s">
        <v>706</v>
      </c>
    </row>
    <row r="1036" spans="1:8" x14ac:dyDescent="0.3">
      <c r="A1036" t="s">
        <v>734</v>
      </c>
      <c r="B1036" t="s">
        <v>784</v>
      </c>
      <c r="C1036" t="s">
        <v>250</v>
      </c>
      <c r="D1036" t="s">
        <v>2822</v>
      </c>
      <c r="E1036">
        <v>0</v>
      </c>
      <c r="F1036" t="s">
        <v>2820</v>
      </c>
      <c r="G1036" t="b">
        <v>1</v>
      </c>
      <c r="H1036" t="s">
        <v>708</v>
      </c>
    </row>
    <row r="1037" spans="1:8" x14ac:dyDescent="0.3">
      <c r="A1037" t="s">
        <v>734</v>
      </c>
      <c r="B1037" t="s">
        <v>784</v>
      </c>
      <c r="C1037" t="s">
        <v>250</v>
      </c>
      <c r="D1037" t="s">
        <v>2823</v>
      </c>
      <c r="E1037">
        <v>0</v>
      </c>
      <c r="F1037" t="s">
        <v>2820</v>
      </c>
      <c r="G1037" t="b">
        <v>1</v>
      </c>
      <c r="H1037" t="s">
        <v>710</v>
      </c>
    </row>
    <row r="1038" spans="1:8" x14ac:dyDescent="0.3">
      <c r="A1038" t="s">
        <v>734</v>
      </c>
      <c r="B1038" t="s">
        <v>784</v>
      </c>
      <c r="C1038" t="s">
        <v>250</v>
      </c>
      <c r="D1038" t="s">
        <v>2824</v>
      </c>
      <c r="E1038">
        <v>0</v>
      </c>
      <c r="F1038" t="s">
        <v>2820</v>
      </c>
      <c r="G1038" t="b">
        <v>1</v>
      </c>
      <c r="H1038" t="s">
        <v>2802</v>
      </c>
    </row>
    <row r="1039" spans="1:8" x14ac:dyDescent="0.3">
      <c r="A1039" t="s">
        <v>734</v>
      </c>
      <c r="B1039" t="s">
        <v>784</v>
      </c>
      <c r="C1039" t="s">
        <v>250</v>
      </c>
      <c r="D1039" t="s">
        <v>2825</v>
      </c>
      <c r="E1039">
        <v>0</v>
      </c>
      <c r="F1039" t="s">
        <v>2820</v>
      </c>
      <c r="G1039" t="b">
        <v>1</v>
      </c>
      <c r="H1039" t="s">
        <v>2800</v>
      </c>
    </row>
    <row r="1040" spans="1:8" x14ac:dyDescent="0.3">
      <c r="A1040" t="s">
        <v>734</v>
      </c>
      <c r="B1040" t="s">
        <v>784</v>
      </c>
      <c r="C1040" t="s">
        <v>250</v>
      </c>
      <c r="D1040" t="s">
        <v>2826</v>
      </c>
      <c r="E1040">
        <v>0</v>
      </c>
      <c r="F1040" t="s">
        <v>2820</v>
      </c>
      <c r="G1040" t="b">
        <v>1</v>
      </c>
      <c r="H1040" t="s">
        <v>1935</v>
      </c>
    </row>
    <row r="1041" spans="1:8" x14ac:dyDescent="0.3">
      <c r="A1041" t="s">
        <v>734</v>
      </c>
      <c r="B1041" t="s">
        <v>784</v>
      </c>
      <c r="C1041" t="s">
        <v>250</v>
      </c>
      <c r="D1041" t="s">
        <v>2827</v>
      </c>
      <c r="E1041">
        <v>0</v>
      </c>
      <c r="F1041" t="s">
        <v>2820</v>
      </c>
      <c r="G1041" t="b">
        <v>1</v>
      </c>
      <c r="H1041" t="s">
        <v>2828</v>
      </c>
    </row>
    <row r="1042" spans="1:8" x14ac:dyDescent="0.3">
      <c r="A1042" t="s">
        <v>734</v>
      </c>
      <c r="B1042" t="s">
        <v>784</v>
      </c>
      <c r="C1042" t="s">
        <v>250</v>
      </c>
      <c r="D1042" t="s">
        <v>2829</v>
      </c>
      <c r="E1042">
        <v>0</v>
      </c>
      <c r="F1042" t="s">
        <v>2820</v>
      </c>
      <c r="G1042" t="b">
        <v>1</v>
      </c>
      <c r="H1042" t="s">
        <v>2830</v>
      </c>
    </row>
    <row r="1043" spans="1:8" x14ac:dyDescent="0.3">
      <c r="A1043" t="s">
        <v>734</v>
      </c>
      <c r="B1043" t="s">
        <v>784</v>
      </c>
      <c r="C1043" t="s">
        <v>250</v>
      </c>
      <c r="D1043" t="s">
        <v>2831</v>
      </c>
      <c r="E1043">
        <v>0</v>
      </c>
      <c r="F1043" t="s">
        <v>2820</v>
      </c>
      <c r="G1043" t="b">
        <v>1</v>
      </c>
      <c r="H1043" t="s">
        <v>466</v>
      </c>
    </row>
    <row r="1044" spans="1:8" x14ac:dyDescent="0.3">
      <c r="A1044" t="s">
        <v>734</v>
      </c>
      <c r="B1044" t="s">
        <v>784</v>
      </c>
      <c r="C1044" t="s">
        <v>250</v>
      </c>
      <c r="D1044" t="s">
        <v>2832</v>
      </c>
      <c r="E1044">
        <v>0</v>
      </c>
      <c r="F1044" t="s">
        <v>2820</v>
      </c>
      <c r="G1044" t="b">
        <v>1</v>
      </c>
      <c r="H1044" t="s">
        <v>467</v>
      </c>
    </row>
    <row r="1045" spans="1:8" x14ac:dyDescent="0.3">
      <c r="A1045" t="s">
        <v>734</v>
      </c>
      <c r="B1045" t="s">
        <v>784</v>
      </c>
      <c r="C1045" t="s">
        <v>250</v>
      </c>
      <c r="D1045" t="s">
        <v>2833</v>
      </c>
      <c r="E1045">
        <v>0</v>
      </c>
      <c r="F1045" t="s">
        <v>2820</v>
      </c>
      <c r="G1045" t="b">
        <v>1</v>
      </c>
      <c r="H1045" t="s">
        <v>468</v>
      </c>
    </row>
    <row r="1046" spans="1:8" x14ac:dyDescent="0.3">
      <c r="A1046" t="s">
        <v>734</v>
      </c>
      <c r="B1046" t="s">
        <v>784</v>
      </c>
      <c r="C1046" t="s">
        <v>248</v>
      </c>
      <c r="D1046" t="s">
        <v>2819</v>
      </c>
      <c r="E1046">
        <v>0</v>
      </c>
      <c r="F1046" t="s">
        <v>2820</v>
      </c>
      <c r="G1046" t="b">
        <v>1</v>
      </c>
      <c r="H1046" t="s">
        <v>704</v>
      </c>
    </row>
    <row r="1047" spans="1:8" x14ac:dyDescent="0.3">
      <c r="A1047" t="s">
        <v>734</v>
      </c>
      <c r="B1047" t="s">
        <v>784</v>
      </c>
      <c r="C1047" t="s">
        <v>248</v>
      </c>
      <c r="D1047" t="s">
        <v>2821</v>
      </c>
      <c r="E1047">
        <v>0</v>
      </c>
      <c r="F1047" t="s">
        <v>2820</v>
      </c>
      <c r="G1047" t="b">
        <v>1</v>
      </c>
      <c r="H1047" t="s">
        <v>706</v>
      </c>
    </row>
    <row r="1048" spans="1:8" x14ac:dyDescent="0.3">
      <c r="A1048" t="s">
        <v>734</v>
      </c>
      <c r="B1048" t="s">
        <v>784</v>
      </c>
      <c r="C1048" t="s">
        <v>248</v>
      </c>
      <c r="D1048" t="s">
        <v>2822</v>
      </c>
      <c r="E1048">
        <v>0</v>
      </c>
      <c r="F1048" t="s">
        <v>2820</v>
      </c>
      <c r="G1048" t="b">
        <v>1</v>
      </c>
      <c r="H1048" t="s">
        <v>708</v>
      </c>
    </row>
    <row r="1049" spans="1:8" x14ac:dyDescent="0.3">
      <c r="A1049" t="s">
        <v>734</v>
      </c>
      <c r="B1049" t="s">
        <v>784</v>
      </c>
      <c r="C1049" t="s">
        <v>248</v>
      </c>
      <c r="D1049" t="s">
        <v>2823</v>
      </c>
      <c r="E1049">
        <v>0</v>
      </c>
      <c r="F1049" t="s">
        <v>2820</v>
      </c>
      <c r="G1049" t="b">
        <v>1</v>
      </c>
      <c r="H1049" t="s">
        <v>710</v>
      </c>
    </row>
    <row r="1050" spans="1:8" x14ac:dyDescent="0.3">
      <c r="A1050" t="s">
        <v>734</v>
      </c>
      <c r="B1050" t="s">
        <v>784</v>
      </c>
      <c r="C1050" t="s">
        <v>248</v>
      </c>
      <c r="D1050" t="s">
        <v>2824</v>
      </c>
      <c r="E1050">
        <v>0</v>
      </c>
      <c r="F1050" t="s">
        <v>2820</v>
      </c>
      <c r="G1050" t="b">
        <v>1</v>
      </c>
      <c r="H1050" t="s">
        <v>2802</v>
      </c>
    </row>
    <row r="1051" spans="1:8" x14ac:dyDescent="0.3">
      <c r="A1051" t="s">
        <v>734</v>
      </c>
      <c r="B1051" t="s">
        <v>784</v>
      </c>
      <c r="C1051" t="s">
        <v>248</v>
      </c>
      <c r="D1051" t="s">
        <v>2825</v>
      </c>
      <c r="E1051">
        <v>0</v>
      </c>
      <c r="F1051" t="s">
        <v>2820</v>
      </c>
      <c r="G1051" t="b">
        <v>1</v>
      </c>
      <c r="H1051" t="s">
        <v>2800</v>
      </c>
    </row>
    <row r="1052" spans="1:8" x14ac:dyDescent="0.3">
      <c r="A1052" t="s">
        <v>734</v>
      </c>
      <c r="B1052" t="s">
        <v>784</v>
      </c>
      <c r="C1052" t="s">
        <v>248</v>
      </c>
      <c r="D1052" t="s">
        <v>2826</v>
      </c>
      <c r="E1052">
        <v>0</v>
      </c>
      <c r="F1052" t="s">
        <v>2820</v>
      </c>
      <c r="G1052" t="b">
        <v>1</v>
      </c>
      <c r="H1052" t="s">
        <v>1935</v>
      </c>
    </row>
    <row r="1053" spans="1:8" x14ac:dyDescent="0.3">
      <c r="A1053" t="s">
        <v>734</v>
      </c>
      <c r="B1053" t="s">
        <v>784</v>
      </c>
      <c r="C1053" t="s">
        <v>248</v>
      </c>
      <c r="D1053" t="s">
        <v>2827</v>
      </c>
      <c r="E1053">
        <v>0</v>
      </c>
      <c r="F1053" t="s">
        <v>2820</v>
      </c>
      <c r="G1053" t="b">
        <v>1</v>
      </c>
      <c r="H1053" t="s">
        <v>2828</v>
      </c>
    </row>
    <row r="1054" spans="1:8" x14ac:dyDescent="0.3">
      <c r="A1054" t="s">
        <v>734</v>
      </c>
      <c r="B1054" t="s">
        <v>784</v>
      </c>
      <c r="C1054" t="s">
        <v>248</v>
      </c>
      <c r="D1054" t="s">
        <v>2829</v>
      </c>
      <c r="E1054">
        <v>0</v>
      </c>
      <c r="F1054" t="s">
        <v>2820</v>
      </c>
      <c r="G1054" t="b">
        <v>1</v>
      </c>
      <c r="H1054" t="s">
        <v>2830</v>
      </c>
    </row>
    <row r="1055" spans="1:8" x14ac:dyDescent="0.3">
      <c r="A1055" t="s">
        <v>734</v>
      </c>
      <c r="B1055" t="s">
        <v>784</v>
      </c>
      <c r="C1055" t="s">
        <v>248</v>
      </c>
      <c r="D1055" t="s">
        <v>2831</v>
      </c>
      <c r="E1055">
        <v>0</v>
      </c>
      <c r="F1055" t="s">
        <v>2820</v>
      </c>
      <c r="G1055" t="b">
        <v>1</v>
      </c>
      <c r="H1055" t="s">
        <v>466</v>
      </c>
    </row>
    <row r="1056" spans="1:8" x14ac:dyDescent="0.3">
      <c r="A1056" t="s">
        <v>734</v>
      </c>
      <c r="B1056" t="s">
        <v>784</v>
      </c>
      <c r="C1056" t="s">
        <v>248</v>
      </c>
      <c r="D1056" t="s">
        <v>2832</v>
      </c>
      <c r="E1056">
        <v>0</v>
      </c>
      <c r="F1056" t="s">
        <v>2820</v>
      </c>
      <c r="G1056" t="b">
        <v>1</v>
      </c>
      <c r="H1056" t="s">
        <v>467</v>
      </c>
    </row>
    <row r="1057" spans="1:8" x14ac:dyDescent="0.3">
      <c r="A1057" t="s">
        <v>734</v>
      </c>
      <c r="B1057" t="s">
        <v>784</v>
      </c>
      <c r="C1057" t="s">
        <v>248</v>
      </c>
      <c r="D1057" t="s">
        <v>2833</v>
      </c>
      <c r="E1057">
        <v>0</v>
      </c>
      <c r="F1057" t="s">
        <v>2820</v>
      </c>
      <c r="G1057" t="b">
        <v>1</v>
      </c>
      <c r="H1057" t="s">
        <v>468</v>
      </c>
    </row>
    <row r="1058" spans="1:8" x14ac:dyDescent="0.3">
      <c r="A1058" t="s">
        <v>734</v>
      </c>
      <c r="B1058" t="s">
        <v>784</v>
      </c>
      <c r="C1058" t="s">
        <v>246</v>
      </c>
      <c r="D1058" t="s">
        <v>2819</v>
      </c>
      <c r="E1058">
        <v>0</v>
      </c>
      <c r="F1058" t="s">
        <v>2820</v>
      </c>
      <c r="G1058" t="b">
        <v>1</v>
      </c>
      <c r="H1058" t="s">
        <v>704</v>
      </c>
    </row>
    <row r="1059" spans="1:8" x14ac:dyDescent="0.3">
      <c r="A1059" t="s">
        <v>734</v>
      </c>
      <c r="B1059" t="s">
        <v>784</v>
      </c>
      <c r="C1059" t="s">
        <v>246</v>
      </c>
      <c r="D1059" t="s">
        <v>2821</v>
      </c>
      <c r="E1059">
        <v>0</v>
      </c>
      <c r="F1059" t="s">
        <v>2820</v>
      </c>
      <c r="G1059" t="b">
        <v>1</v>
      </c>
      <c r="H1059" t="s">
        <v>706</v>
      </c>
    </row>
    <row r="1060" spans="1:8" x14ac:dyDescent="0.3">
      <c r="A1060" t="s">
        <v>734</v>
      </c>
      <c r="B1060" t="s">
        <v>784</v>
      </c>
      <c r="C1060" t="s">
        <v>246</v>
      </c>
      <c r="D1060" t="s">
        <v>2822</v>
      </c>
      <c r="E1060">
        <v>0</v>
      </c>
      <c r="F1060" t="s">
        <v>2820</v>
      </c>
      <c r="G1060" t="b">
        <v>1</v>
      </c>
      <c r="H1060" t="s">
        <v>708</v>
      </c>
    </row>
    <row r="1061" spans="1:8" x14ac:dyDescent="0.3">
      <c r="A1061" t="s">
        <v>734</v>
      </c>
      <c r="B1061" t="s">
        <v>784</v>
      </c>
      <c r="C1061" t="s">
        <v>246</v>
      </c>
      <c r="D1061" t="s">
        <v>2823</v>
      </c>
      <c r="E1061">
        <v>0</v>
      </c>
      <c r="F1061" t="s">
        <v>2820</v>
      </c>
      <c r="G1061" t="b">
        <v>1</v>
      </c>
      <c r="H1061" t="s">
        <v>710</v>
      </c>
    </row>
    <row r="1062" spans="1:8" x14ac:dyDescent="0.3">
      <c r="A1062" t="s">
        <v>734</v>
      </c>
      <c r="B1062" t="s">
        <v>784</v>
      </c>
      <c r="C1062" t="s">
        <v>246</v>
      </c>
      <c r="D1062" t="s">
        <v>2824</v>
      </c>
      <c r="E1062">
        <v>0</v>
      </c>
      <c r="F1062" t="s">
        <v>2820</v>
      </c>
      <c r="G1062" t="b">
        <v>1</v>
      </c>
      <c r="H1062" t="s">
        <v>2802</v>
      </c>
    </row>
    <row r="1063" spans="1:8" x14ac:dyDescent="0.3">
      <c r="A1063" t="s">
        <v>734</v>
      </c>
      <c r="B1063" t="s">
        <v>784</v>
      </c>
      <c r="C1063" t="s">
        <v>246</v>
      </c>
      <c r="D1063" t="s">
        <v>2825</v>
      </c>
      <c r="E1063">
        <v>0</v>
      </c>
      <c r="F1063" t="s">
        <v>2820</v>
      </c>
      <c r="G1063" t="b">
        <v>1</v>
      </c>
      <c r="H1063" t="s">
        <v>2800</v>
      </c>
    </row>
    <row r="1064" spans="1:8" x14ac:dyDescent="0.3">
      <c r="A1064" t="s">
        <v>734</v>
      </c>
      <c r="B1064" t="s">
        <v>784</v>
      </c>
      <c r="C1064" t="s">
        <v>246</v>
      </c>
      <c r="D1064" t="s">
        <v>2826</v>
      </c>
      <c r="E1064">
        <v>0</v>
      </c>
      <c r="F1064" t="s">
        <v>2820</v>
      </c>
      <c r="G1064" t="b">
        <v>1</v>
      </c>
      <c r="H1064" t="s">
        <v>1935</v>
      </c>
    </row>
    <row r="1065" spans="1:8" x14ac:dyDescent="0.3">
      <c r="A1065" t="s">
        <v>734</v>
      </c>
      <c r="B1065" t="s">
        <v>784</v>
      </c>
      <c r="C1065" t="s">
        <v>246</v>
      </c>
      <c r="D1065" t="s">
        <v>2827</v>
      </c>
      <c r="E1065">
        <v>4034.3</v>
      </c>
      <c r="F1065" t="s">
        <v>2820</v>
      </c>
      <c r="G1065" t="b">
        <v>1</v>
      </c>
      <c r="H1065" t="s">
        <v>2828</v>
      </c>
    </row>
    <row r="1066" spans="1:8" x14ac:dyDescent="0.3">
      <c r="A1066" t="s">
        <v>734</v>
      </c>
      <c r="B1066" t="s">
        <v>784</v>
      </c>
      <c r="C1066" t="s">
        <v>246</v>
      </c>
      <c r="D1066" t="s">
        <v>2829</v>
      </c>
      <c r="E1066">
        <v>1008.58</v>
      </c>
      <c r="F1066" t="s">
        <v>2820</v>
      </c>
      <c r="G1066" t="b">
        <v>1</v>
      </c>
      <c r="H1066" t="s">
        <v>2830</v>
      </c>
    </row>
    <row r="1067" spans="1:8" x14ac:dyDescent="0.3">
      <c r="A1067" t="s">
        <v>734</v>
      </c>
      <c r="B1067" t="s">
        <v>784</v>
      </c>
      <c r="C1067" t="s">
        <v>246</v>
      </c>
      <c r="D1067" t="s">
        <v>2831</v>
      </c>
      <c r="E1067">
        <v>1008.58</v>
      </c>
      <c r="F1067" t="s">
        <v>2820</v>
      </c>
      <c r="G1067" t="b">
        <v>1</v>
      </c>
      <c r="H1067" t="s">
        <v>466</v>
      </c>
    </row>
    <row r="1068" spans="1:8" x14ac:dyDescent="0.3">
      <c r="A1068" t="s">
        <v>734</v>
      </c>
      <c r="B1068" t="s">
        <v>784</v>
      </c>
      <c r="C1068" t="s">
        <v>246</v>
      </c>
      <c r="D1068" t="s">
        <v>2832</v>
      </c>
      <c r="E1068">
        <v>1008.58</v>
      </c>
      <c r="F1068" t="s">
        <v>2820</v>
      </c>
      <c r="G1068" t="b">
        <v>1</v>
      </c>
      <c r="H1068" t="s">
        <v>467</v>
      </c>
    </row>
    <row r="1069" spans="1:8" x14ac:dyDescent="0.3">
      <c r="A1069" t="s">
        <v>734</v>
      </c>
      <c r="B1069" t="s">
        <v>784</v>
      </c>
      <c r="C1069" t="s">
        <v>246</v>
      </c>
      <c r="D1069" t="s">
        <v>2833</v>
      </c>
      <c r="E1069">
        <v>1008.58</v>
      </c>
      <c r="F1069" t="s">
        <v>2820</v>
      </c>
      <c r="G1069" t="b">
        <v>1</v>
      </c>
      <c r="H1069" t="s">
        <v>468</v>
      </c>
    </row>
    <row r="1070" spans="1:8" x14ac:dyDescent="0.3">
      <c r="A1070" t="s">
        <v>734</v>
      </c>
      <c r="B1070" t="s">
        <v>784</v>
      </c>
      <c r="C1070" t="s">
        <v>249</v>
      </c>
      <c r="D1070" t="s">
        <v>2819</v>
      </c>
      <c r="E1070">
        <v>0</v>
      </c>
      <c r="F1070" t="s">
        <v>2820</v>
      </c>
      <c r="G1070" t="b">
        <v>1</v>
      </c>
      <c r="H1070" t="s">
        <v>704</v>
      </c>
    </row>
    <row r="1071" spans="1:8" x14ac:dyDescent="0.3">
      <c r="A1071" t="s">
        <v>734</v>
      </c>
      <c r="B1071" t="s">
        <v>784</v>
      </c>
      <c r="C1071" t="s">
        <v>249</v>
      </c>
      <c r="D1071" t="s">
        <v>2821</v>
      </c>
      <c r="E1071">
        <v>0</v>
      </c>
      <c r="F1071" t="s">
        <v>2820</v>
      </c>
      <c r="G1071" t="b">
        <v>1</v>
      </c>
      <c r="H1071" t="s">
        <v>706</v>
      </c>
    </row>
    <row r="1072" spans="1:8" x14ac:dyDescent="0.3">
      <c r="A1072" t="s">
        <v>734</v>
      </c>
      <c r="B1072" t="s">
        <v>784</v>
      </c>
      <c r="C1072" t="s">
        <v>249</v>
      </c>
      <c r="D1072" t="s">
        <v>2822</v>
      </c>
      <c r="E1072">
        <v>0</v>
      </c>
      <c r="F1072" t="s">
        <v>2820</v>
      </c>
      <c r="G1072" t="b">
        <v>1</v>
      </c>
      <c r="H1072" t="s">
        <v>708</v>
      </c>
    </row>
    <row r="1073" spans="1:8" x14ac:dyDescent="0.3">
      <c r="A1073" t="s">
        <v>734</v>
      </c>
      <c r="B1073" t="s">
        <v>784</v>
      </c>
      <c r="C1073" t="s">
        <v>249</v>
      </c>
      <c r="D1073" t="s">
        <v>2823</v>
      </c>
      <c r="E1073">
        <v>0</v>
      </c>
      <c r="F1073" t="s">
        <v>2820</v>
      </c>
      <c r="G1073" t="b">
        <v>1</v>
      </c>
      <c r="H1073" t="s">
        <v>710</v>
      </c>
    </row>
    <row r="1074" spans="1:8" x14ac:dyDescent="0.3">
      <c r="A1074" t="s">
        <v>734</v>
      </c>
      <c r="B1074" t="s">
        <v>784</v>
      </c>
      <c r="C1074" t="s">
        <v>249</v>
      </c>
      <c r="D1074" t="s">
        <v>2824</v>
      </c>
      <c r="E1074">
        <v>0</v>
      </c>
      <c r="F1074" t="s">
        <v>2820</v>
      </c>
      <c r="G1074" t="b">
        <v>1</v>
      </c>
      <c r="H1074" t="s">
        <v>2802</v>
      </c>
    </row>
    <row r="1075" spans="1:8" x14ac:dyDescent="0.3">
      <c r="A1075" t="s">
        <v>734</v>
      </c>
      <c r="B1075" t="s">
        <v>784</v>
      </c>
      <c r="C1075" t="s">
        <v>249</v>
      </c>
      <c r="D1075" t="s">
        <v>2825</v>
      </c>
      <c r="E1075">
        <v>0</v>
      </c>
      <c r="F1075" t="s">
        <v>2820</v>
      </c>
      <c r="G1075" t="b">
        <v>1</v>
      </c>
      <c r="H1075" t="s">
        <v>2800</v>
      </c>
    </row>
    <row r="1076" spans="1:8" x14ac:dyDescent="0.3">
      <c r="A1076" t="s">
        <v>734</v>
      </c>
      <c r="B1076" t="s">
        <v>784</v>
      </c>
      <c r="C1076" t="s">
        <v>249</v>
      </c>
      <c r="D1076" t="s">
        <v>2826</v>
      </c>
      <c r="E1076">
        <v>0</v>
      </c>
      <c r="F1076" t="s">
        <v>2820</v>
      </c>
      <c r="G1076" t="b">
        <v>1</v>
      </c>
      <c r="H1076" t="s">
        <v>1935</v>
      </c>
    </row>
    <row r="1077" spans="1:8" x14ac:dyDescent="0.3">
      <c r="A1077" t="s">
        <v>734</v>
      </c>
      <c r="B1077" t="s">
        <v>784</v>
      </c>
      <c r="C1077" t="s">
        <v>249</v>
      </c>
      <c r="D1077" t="s">
        <v>2827</v>
      </c>
      <c r="E1077">
        <v>0</v>
      </c>
      <c r="F1077" t="s">
        <v>2820</v>
      </c>
      <c r="G1077" t="b">
        <v>1</v>
      </c>
      <c r="H1077" t="s">
        <v>2828</v>
      </c>
    </row>
    <row r="1078" spans="1:8" x14ac:dyDescent="0.3">
      <c r="A1078" t="s">
        <v>734</v>
      </c>
      <c r="B1078" t="s">
        <v>784</v>
      </c>
      <c r="C1078" t="s">
        <v>249</v>
      </c>
      <c r="D1078" t="s">
        <v>2829</v>
      </c>
      <c r="E1078">
        <v>0</v>
      </c>
      <c r="F1078" t="s">
        <v>2820</v>
      </c>
      <c r="G1078" t="b">
        <v>1</v>
      </c>
      <c r="H1078" t="s">
        <v>2830</v>
      </c>
    </row>
    <row r="1079" spans="1:8" x14ac:dyDescent="0.3">
      <c r="A1079" t="s">
        <v>734</v>
      </c>
      <c r="B1079" t="s">
        <v>784</v>
      </c>
      <c r="C1079" t="s">
        <v>249</v>
      </c>
      <c r="D1079" t="s">
        <v>2831</v>
      </c>
      <c r="E1079">
        <v>0</v>
      </c>
      <c r="F1079" t="s">
        <v>2820</v>
      </c>
      <c r="G1079" t="b">
        <v>1</v>
      </c>
      <c r="H1079" t="s">
        <v>466</v>
      </c>
    </row>
    <row r="1080" spans="1:8" x14ac:dyDescent="0.3">
      <c r="A1080" t="s">
        <v>734</v>
      </c>
      <c r="B1080" t="s">
        <v>784</v>
      </c>
      <c r="C1080" t="s">
        <v>249</v>
      </c>
      <c r="D1080" t="s">
        <v>2832</v>
      </c>
      <c r="E1080">
        <v>0</v>
      </c>
      <c r="F1080" t="s">
        <v>2820</v>
      </c>
      <c r="G1080" t="b">
        <v>1</v>
      </c>
      <c r="H1080" t="s">
        <v>467</v>
      </c>
    </row>
    <row r="1081" spans="1:8" x14ac:dyDescent="0.3">
      <c r="A1081" t="s">
        <v>734</v>
      </c>
      <c r="B1081" t="s">
        <v>784</v>
      </c>
      <c r="C1081" t="s">
        <v>249</v>
      </c>
      <c r="D1081" t="s">
        <v>2833</v>
      </c>
      <c r="E1081">
        <v>0</v>
      </c>
      <c r="F1081" t="s">
        <v>2820</v>
      </c>
      <c r="G1081" t="b">
        <v>1</v>
      </c>
      <c r="H1081" t="s">
        <v>468</v>
      </c>
    </row>
    <row r="1082" spans="1:8" x14ac:dyDescent="0.3">
      <c r="A1082" t="s">
        <v>734</v>
      </c>
      <c r="B1082" t="s">
        <v>784</v>
      </c>
      <c r="C1082" t="s">
        <v>241</v>
      </c>
      <c r="D1082" t="s">
        <v>2819</v>
      </c>
      <c r="E1082">
        <v>0</v>
      </c>
      <c r="F1082" t="s">
        <v>2820</v>
      </c>
      <c r="G1082" t="b">
        <v>1</v>
      </c>
      <c r="H1082" t="s">
        <v>704</v>
      </c>
    </row>
    <row r="1083" spans="1:8" x14ac:dyDescent="0.3">
      <c r="A1083" t="s">
        <v>734</v>
      </c>
      <c r="B1083" t="s">
        <v>784</v>
      </c>
      <c r="C1083" t="s">
        <v>241</v>
      </c>
      <c r="D1083" t="s">
        <v>2821</v>
      </c>
      <c r="E1083">
        <v>0</v>
      </c>
      <c r="F1083" t="s">
        <v>2820</v>
      </c>
      <c r="G1083" t="b">
        <v>1</v>
      </c>
      <c r="H1083" t="s">
        <v>706</v>
      </c>
    </row>
    <row r="1084" spans="1:8" x14ac:dyDescent="0.3">
      <c r="A1084" t="s">
        <v>734</v>
      </c>
      <c r="B1084" t="s">
        <v>784</v>
      </c>
      <c r="C1084" t="s">
        <v>241</v>
      </c>
      <c r="D1084" t="s">
        <v>2822</v>
      </c>
      <c r="E1084">
        <v>0</v>
      </c>
      <c r="F1084" t="s">
        <v>2820</v>
      </c>
      <c r="G1084" t="b">
        <v>1</v>
      </c>
      <c r="H1084" t="s">
        <v>708</v>
      </c>
    </row>
    <row r="1085" spans="1:8" x14ac:dyDescent="0.3">
      <c r="A1085" t="s">
        <v>734</v>
      </c>
      <c r="B1085" t="s">
        <v>784</v>
      </c>
      <c r="C1085" t="s">
        <v>241</v>
      </c>
      <c r="D1085" t="s">
        <v>2823</v>
      </c>
      <c r="E1085">
        <v>0</v>
      </c>
      <c r="F1085" t="s">
        <v>2820</v>
      </c>
      <c r="G1085" t="b">
        <v>1</v>
      </c>
      <c r="H1085" t="s">
        <v>710</v>
      </c>
    </row>
    <row r="1086" spans="1:8" x14ac:dyDescent="0.3">
      <c r="A1086" t="s">
        <v>734</v>
      </c>
      <c r="B1086" t="s">
        <v>784</v>
      </c>
      <c r="C1086" t="s">
        <v>241</v>
      </c>
      <c r="D1086" t="s">
        <v>2824</v>
      </c>
      <c r="E1086">
        <v>0</v>
      </c>
      <c r="F1086" t="s">
        <v>2820</v>
      </c>
      <c r="G1086" t="b">
        <v>1</v>
      </c>
      <c r="H1086" t="s">
        <v>2802</v>
      </c>
    </row>
    <row r="1087" spans="1:8" x14ac:dyDescent="0.3">
      <c r="A1087" t="s">
        <v>734</v>
      </c>
      <c r="B1087" t="s">
        <v>784</v>
      </c>
      <c r="C1087" t="s">
        <v>241</v>
      </c>
      <c r="D1087" t="s">
        <v>2825</v>
      </c>
      <c r="E1087">
        <v>0</v>
      </c>
      <c r="F1087" t="s">
        <v>2820</v>
      </c>
      <c r="G1087" t="b">
        <v>1</v>
      </c>
      <c r="H1087" t="s">
        <v>2800</v>
      </c>
    </row>
    <row r="1088" spans="1:8" x14ac:dyDescent="0.3">
      <c r="A1088" t="s">
        <v>734</v>
      </c>
      <c r="B1088" t="s">
        <v>784</v>
      </c>
      <c r="C1088" t="s">
        <v>241</v>
      </c>
      <c r="D1088" t="s">
        <v>2826</v>
      </c>
      <c r="E1088">
        <v>0</v>
      </c>
      <c r="F1088" t="s">
        <v>2820</v>
      </c>
      <c r="G1088" t="b">
        <v>1</v>
      </c>
      <c r="H1088" t="s">
        <v>1935</v>
      </c>
    </row>
    <row r="1089" spans="1:8" x14ac:dyDescent="0.3">
      <c r="A1089" t="s">
        <v>734</v>
      </c>
      <c r="B1089" t="s">
        <v>784</v>
      </c>
      <c r="C1089" t="s">
        <v>241</v>
      </c>
      <c r="D1089" t="s">
        <v>2827</v>
      </c>
      <c r="E1089">
        <v>1020</v>
      </c>
      <c r="F1089" t="s">
        <v>2820</v>
      </c>
      <c r="G1089" t="b">
        <v>1</v>
      </c>
      <c r="H1089" t="s">
        <v>2828</v>
      </c>
    </row>
    <row r="1090" spans="1:8" x14ac:dyDescent="0.3">
      <c r="A1090" t="s">
        <v>734</v>
      </c>
      <c r="B1090" t="s">
        <v>784</v>
      </c>
      <c r="C1090" t="s">
        <v>241</v>
      </c>
      <c r="D1090" t="s">
        <v>2829</v>
      </c>
      <c r="E1090">
        <v>1020</v>
      </c>
      <c r="F1090" t="s">
        <v>2820</v>
      </c>
      <c r="G1090" t="b">
        <v>1</v>
      </c>
      <c r="H1090" t="s">
        <v>2830</v>
      </c>
    </row>
    <row r="1091" spans="1:8" x14ac:dyDescent="0.3">
      <c r="A1091" t="s">
        <v>734</v>
      </c>
      <c r="B1091" t="s">
        <v>784</v>
      </c>
      <c r="C1091" t="s">
        <v>241</v>
      </c>
      <c r="D1091" t="s">
        <v>2831</v>
      </c>
      <c r="E1091">
        <v>1020</v>
      </c>
      <c r="F1091" t="s">
        <v>2820</v>
      </c>
      <c r="G1091" t="b">
        <v>1</v>
      </c>
      <c r="H1091" t="s">
        <v>466</v>
      </c>
    </row>
    <row r="1092" spans="1:8" x14ac:dyDescent="0.3">
      <c r="A1092" t="s">
        <v>734</v>
      </c>
      <c r="B1092" t="s">
        <v>784</v>
      </c>
      <c r="C1092" t="s">
        <v>241</v>
      </c>
      <c r="D1092" t="s">
        <v>2832</v>
      </c>
      <c r="E1092">
        <v>1020</v>
      </c>
      <c r="F1092" t="s">
        <v>2820</v>
      </c>
      <c r="G1092" t="b">
        <v>1</v>
      </c>
      <c r="H1092" t="s">
        <v>467</v>
      </c>
    </row>
    <row r="1093" spans="1:8" x14ac:dyDescent="0.3">
      <c r="A1093" t="s">
        <v>734</v>
      </c>
      <c r="B1093" t="s">
        <v>784</v>
      </c>
      <c r="C1093" t="s">
        <v>241</v>
      </c>
      <c r="D1093" t="s">
        <v>2833</v>
      </c>
      <c r="E1093">
        <v>1020</v>
      </c>
      <c r="F1093" t="s">
        <v>2820</v>
      </c>
      <c r="G1093" t="b">
        <v>1</v>
      </c>
      <c r="H1093" t="s">
        <v>468</v>
      </c>
    </row>
    <row r="1094" spans="1:8" x14ac:dyDescent="0.3">
      <c r="A1094" t="s">
        <v>734</v>
      </c>
      <c r="B1094" t="s">
        <v>784</v>
      </c>
      <c r="C1094" t="s">
        <v>245</v>
      </c>
      <c r="D1094" t="s">
        <v>2819</v>
      </c>
      <c r="E1094">
        <v>0</v>
      </c>
      <c r="F1094" t="s">
        <v>2820</v>
      </c>
      <c r="G1094" t="b">
        <v>1</v>
      </c>
      <c r="H1094" t="s">
        <v>704</v>
      </c>
    </row>
    <row r="1095" spans="1:8" x14ac:dyDescent="0.3">
      <c r="A1095" t="s">
        <v>734</v>
      </c>
      <c r="B1095" t="s">
        <v>784</v>
      </c>
      <c r="C1095" t="s">
        <v>245</v>
      </c>
      <c r="D1095" t="s">
        <v>2821</v>
      </c>
      <c r="E1095">
        <v>0</v>
      </c>
      <c r="F1095" t="s">
        <v>2820</v>
      </c>
      <c r="G1095" t="b">
        <v>1</v>
      </c>
      <c r="H1095" t="s">
        <v>706</v>
      </c>
    </row>
    <row r="1096" spans="1:8" x14ac:dyDescent="0.3">
      <c r="A1096" t="s">
        <v>734</v>
      </c>
      <c r="B1096" t="s">
        <v>784</v>
      </c>
      <c r="C1096" t="s">
        <v>245</v>
      </c>
      <c r="D1096" t="s">
        <v>2822</v>
      </c>
      <c r="E1096">
        <v>0</v>
      </c>
      <c r="F1096" t="s">
        <v>2820</v>
      </c>
      <c r="G1096" t="b">
        <v>1</v>
      </c>
      <c r="H1096" t="s">
        <v>708</v>
      </c>
    </row>
    <row r="1097" spans="1:8" x14ac:dyDescent="0.3">
      <c r="A1097" t="s">
        <v>734</v>
      </c>
      <c r="B1097" t="s">
        <v>784</v>
      </c>
      <c r="C1097" t="s">
        <v>245</v>
      </c>
      <c r="D1097" t="s">
        <v>2823</v>
      </c>
      <c r="E1097">
        <v>0</v>
      </c>
      <c r="F1097" t="s">
        <v>2820</v>
      </c>
      <c r="G1097" t="b">
        <v>1</v>
      </c>
      <c r="H1097" t="s">
        <v>710</v>
      </c>
    </row>
    <row r="1098" spans="1:8" x14ac:dyDescent="0.3">
      <c r="A1098" t="s">
        <v>734</v>
      </c>
      <c r="B1098" t="s">
        <v>784</v>
      </c>
      <c r="C1098" t="s">
        <v>245</v>
      </c>
      <c r="D1098" t="s">
        <v>2824</v>
      </c>
      <c r="E1098">
        <v>0</v>
      </c>
      <c r="F1098" t="s">
        <v>2820</v>
      </c>
      <c r="G1098" t="b">
        <v>1</v>
      </c>
      <c r="H1098" t="s">
        <v>2802</v>
      </c>
    </row>
    <row r="1099" spans="1:8" x14ac:dyDescent="0.3">
      <c r="A1099" t="s">
        <v>734</v>
      </c>
      <c r="B1099" t="s">
        <v>784</v>
      </c>
      <c r="C1099" t="s">
        <v>245</v>
      </c>
      <c r="D1099" t="s">
        <v>2825</v>
      </c>
      <c r="E1099">
        <v>0</v>
      </c>
      <c r="F1099" t="s">
        <v>2820</v>
      </c>
      <c r="G1099" t="b">
        <v>1</v>
      </c>
      <c r="H1099" t="s">
        <v>2800</v>
      </c>
    </row>
    <row r="1100" spans="1:8" x14ac:dyDescent="0.3">
      <c r="A1100" t="s">
        <v>734</v>
      </c>
      <c r="B1100" t="s">
        <v>784</v>
      </c>
      <c r="C1100" t="s">
        <v>245</v>
      </c>
      <c r="D1100" t="s">
        <v>2826</v>
      </c>
      <c r="E1100">
        <v>0</v>
      </c>
      <c r="F1100" t="s">
        <v>2820</v>
      </c>
      <c r="G1100" t="b">
        <v>1</v>
      </c>
      <c r="H1100" t="s">
        <v>1935</v>
      </c>
    </row>
    <row r="1101" spans="1:8" x14ac:dyDescent="0.3">
      <c r="A1101" t="s">
        <v>734</v>
      </c>
      <c r="B1101" t="s">
        <v>784</v>
      </c>
      <c r="C1101" t="s">
        <v>245</v>
      </c>
      <c r="D1101" t="s">
        <v>2827</v>
      </c>
      <c r="E1101">
        <v>0</v>
      </c>
      <c r="F1101" t="s">
        <v>2820</v>
      </c>
      <c r="G1101" t="b">
        <v>1</v>
      </c>
      <c r="H1101" t="s">
        <v>2828</v>
      </c>
    </row>
    <row r="1102" spans="1:8" x14ac:dyDescent="0.3">
      <c r="A1102" t="s">
        <v>734</v>
      </c>
      <c r="B1102" t="s">
        <v>784</v>
      </c>
      <c r="C1102" t="s">
        <v>245</v>
      </c>
      <c r="D1102" t="s">
        <v>2829</v>
      </c>
      <c r="E1102">
        <v>0</v>
      </c>
      <c r="F1102" t="s">
        <v>2820</v>
      </c>
      <c r="G1102" t="b">
        <v>1</v>
      </c>
      <c r="H1102" t="s">
        <v>2830</v>
      </c>
    </row>
    <row r="1103" spans="1:8" x14ac:dyDescent="0.3">
      <c r="A1103" t="s">
        <v>734</v>
      </c>
      <c r="B1103" t="s">
        <v>784</v>
      </c>
      <c r="C1103" t="s">
        <v>245</v>
      </c>
      <c r="D1103" t="s">
        <v>2831</v>
      </c>
      <c r="E1103">
        <v>0</v>
      </c>
      <c r="F1103" t="s">
        <v>2820</v>
      </c>
      <c r="G1103" t="b">
        <v>1</v>
      </c>
      <c r="H1103" t="s">
        <v>466</v>
      </c>
    </row>
    <row r="1104" spans="1:8" x14ac:dyDescent="0.3">
      <c r="A1104" t="s">
        <v>734</v>
      </c>
      <c r="B1104" t="s">
        <v>784</v>
      </c>
      <c r="C1104" t="s">
        <v>245</v>
      </c>
      <c r="D1104" t="s">
        <v>2832</v>
      </c>
      <c r="E1104">
        <v>0</v>
      </c>
      <c r="F1104" t="s">
        <v>2820</v>
      </c>
      <c r="G1104" t="b">
        <v>1</v>
      </c>
      <c r="H1104" t="s">
        <v>467</v>
      </c>
    </row>
    <row r="1105" spans="1:8" x14ac:dyDescent="0.3">
      <c r="A1105" t="s">
        <v>734</v>
      </c>
      <c r="B1105" t="s">
        <v>784</v>
      </c>
      <c r="C1105" t="s">
        <v>245</v>
      </c>
      <c r="D1105" t="s">
        <v>2833</v>
      </c>
      <c r="E1105">
        <v>0</v>
      </c>
      <c r="F1105" t="s">
        <v>2820</v>
      </c>
      <c r="G1105" t="b">
        <v>1</v>
      </c>
      <c r="H1105" t="s">
        <v>468</v>
      </c>
    </row>
    <row r="1106" spans="1:8" x14ac:dyDescent="0.3">
      <c r="A1106" t="s">
        <v>734</v>
      </c>
      <c r="B1106" t="s">
        <v>784</v>
      </c>
      <c r="C1106" t="s">
        <v>238</v>
      </c>
      <c r="D1106" t="s">
        <v>2819</v>
      </c>
      <c r="E1106">
        <v>0</v>
      </c>
      <c r="F1106" t="s">
        <v>2820</v>
      </c>
      <c r="G1106" t="b">
        <v>1</v>
      </c>
      <c r="H1106" t="s">
        <v>704</v>
      </c>
    </row>
    <row r="1107" spans="1:8" x14ac:dyDescent="0.3">
      <c r="A1107" t="s">
        <v>734</v>
      </c>
      <c r="B1107" t="s">
        <v>784</v>
      </c>
      <c r="C1107" t="s">
        <v>238</v>
      </c>
      <c r="D1107" t="s">
        <v>2821</v>
      </c>
      <c r="E1107">
        <v>0</v>
      </c>
      <c r="F1107" t="s">
        <v>2820</v>
      </c>
      <c r="G1107" t="b">
        <v>1</v>
      </c>
      <c r="H1107" t="s">
        <v>706</v>
      </c>
    </row>
    <row r="1108" spans="1:8" x14ac:dyDescent="0.3">
      <c r="A1108" t="s">
        <v>734</v>
      </c>
      <c r="B1108" t="s">
        <v>784</v>
      </c>
      <c r="C1108" t="s">
        <v>238</v>
      </c>
      <c r="D1108" t="s">
        <v>2822</v>
      </c>
      <c r="E1108">
        <v>0</v>
      </c>
      <c r="F1108" t="s">
        <v>2820</v>
      </c>
      <c r="G1108" t="b">
        <v>1</v>
      </c>
      <c r="H1108" t="s">
        <v>708</v>
      </c>
    </row>
    <row r="1109" spans="1:8" x14ac:dyDescent="0.3">
      <c r="A1109" t="s">
        <v>734</v>
      </c>
      <c r="B1109" t="s">
        <v>784</v>
      </c>
      <c r="C1109" t="s">
        <v>238</v>
      </c>
      <c r="D1109" t="s">
        <v>2823</v>
      </c>
      <c r="E1109">
        <v>0</v>
      </c>
      <c r="F1109" t="s">
        <v>2820</v>
      </c>
      <c r="G1109" t="b">
        <v>1</v>
      </c>
      <c r="H1109" t="s">
        <v>710</v>
      </c>
    </row>
    <row r="1110" spans="1:8" x14ac:dyDescent="0.3">
      <c r="A1110" t="s">
        <v>734</v>
      </c>
      <c r="B1110" t="s">
        <v>784</v>
      </c>
      <c r="C1110" t="s">
        <v>238</v>
      </c>
      <c r="D1110" t="s">
        <v>2824</v>
      </c>
      <c r="E1110">
        <v>0</v>
      </c>
      <c r="F1110" t="s">
        <v>2820</v>
      </c>
      <c r="G1110" t="b">
        <v>1</v>
      </c>
      <c r="H1110" t="s">
        <v>2802</v>
      </c>
    </row>
    <row r="1111" spans="1:8" x14ac:dyDescent="0.3">
      <c r="A1111" t="s">
        <v>734</v>
      </c>
      <c r="B1111" t="s">
        <v>784</v>
      </c>
      <c r="C1111" t="s">
        <v>238</v>
      </c>
      <c r="D1111" t="s">
        <v>2825</v>
      </c>
      <c r="E1111">
        <v>0</v>
      </c>
      <c r="F1111" t="s">
        <v>2820</v>
      </c>
      <c r="G1111" t="b">
        <v>1</v>
      </c>
      <c r="H1111" t="s">
        <v>2800</v>
      </c>
    </row>
    <row r="1112" spans="1:8" x14ac:dyDescent="0.3">
      <c r="A1112" t="s">
        <v>734</v>
      </c>
      <c r="B1112" t="s">
        <v>784</v>
      </c>
      <c r="C1112" t="s">
        <v>238</v>
      </c>
      <c r="D1112" t="s">
        <v>2826</v>
      </c>
      <c r="E1112">
        <v>0</v>
      </c>
      <c r="F1112" t="s">
        <v>2820</v>
      </c>
      <c r="G1112" t="b">
        <v>1</v>
      </c>
      <c r="H1112" t="s">
        <v>1935</v>
      </c>
    </row>
    <row r="1113" spans="1:8" x14ac:dyDescent="0.3">
      <c r="A1113" t="s">
        <v>734</v>
      </c>
      <c r="B1113" t="s">
        <v>784</v>
      </c>
      <c r="C1113" t="s">
        <v>238</v>
      </c>
      <c r="D1113" t="s">
        <v>2827</v>
      </c>
      <c r="E1113">
        <v>40575.599999999999</v>
      </c>
      <c r="F1113" t="s">
        <v>2820</v>
      </c>
      <c r="G1113" t="b">
        <v>1</v>
      </c>
      <c r="H1113" t="s">
        <v>2828</v>
      </c>
    </row>
    <row r="1114" spans="1:8" x14ac:dyDescent="0.3">
      <c r="A1114" t="s">
        <v>734</v>
      </c>
      <c r="B1114" t="s">
        <v>784</v>
      </c>
      <c r="C1114" t="s">
        <v>238</v>
      </c>
      <c r="D1114" t="s">
        <v>2829</v>
      </c>
      <c r="E1114">
        <v>40575.599999999999</v>
      </c>
      <c r="F1114" t="s">
        <v>2820</v>
      </c>
      <c r="G1114" t="b">
        <v>1</v>
      </c>
      <c r="H1114" t="s">
        <v>2830</v>
      </c>
    </row>
    <row r="1115" spans="1:8" x14ac:dyDescent="0.3">
      <c r="A1115" t="s">
        <v>734</v>
      </c>
      <c r="B1115" t="s">
        <v>784</v>
      </c>
      <c r="C1115" t="s">
        <v>238</v>
      </c>
      <c r="D1115" t="s">
        <v>2831</v>
      </c>
      <c r="E1115">
        <v>40575.599999999999</v>
      </c>
      <c r="F1115" t="s">
        <v>2820</v>
      </c>
      <c r="G1115" t="b">
        <v>1</v>
      </c>
      <c r="H1115" t="s">
        <v>466</v>
      </c>
    </row>
    <row r="1116" spans="1:8" x14ac:dyDescent="0.3">
      <c r="A1116" t="s">
        <v>734</v>
      </c>
      <c r="B1116" t="s">
        <v>784</v>
      </c>
      <c r="C1116" t="s">
        <v>238</v>
      </c>
      <c r="D1116" t="s">
        <v>2832</v>
      </c>
      <c r="E1116">
        <v>40575.599999999999</v>
      </c>
      <c r="F1116" t="s">
        <v>2820</v>
      </c>
      <c r="G1116" t="b">
        <v>1</v>
      </c>
      <c r="H1116" t="s">
        <v>467</v>
      </c>
    </row>
    <row r="1117" spans="1:8" x14ac:dyDescent="0.3">
      <c r="A1117" t="s">
        <v>734</v>
      </c>
      <c r="B1117" t="s">
        <v>784</v>
      </c>
      <c r="C1117" t="s">
        <v>238</v>
      </c>
      <c r="D1117" t="s">
        <v>2833</v>
      </c>
      <c r="E1117">
        <v>40575.599999999999</v>
      </c>
      <c r="F1117" t="s">
        <v>2820</v>
      </c>
      <c r="G1117" t="b">
        <v>1</v>
      </c>
      <c r="H1117" t="s">
        <v>468</v>
      </c>
    </row>
    <row r="1118" spans="1:8" x14ac:dyDescent="0.3">
      <c r="A1118" t="s">
        <v>734</v>
      </c>
      <c r="B1118" t="s">
        <v>776</v>
      </c>
      <c r="C1118" t="s">
        <v>212</v>
      </c>
      <c r="D1118" t="s">
        <v>2819</v>
      </c>
      <c r="E1118">
        <v>0</v>
      </c>
      <c r="F1118" t="s">
        <v>2820</v>
      </c>
      <c r="G1118" t="b">
        <v>1</v>
      </c>
      <c r="H1118" t="s">
        <v>704</v>
      </c>
    </row>
    <row r="1119" spans="1:8" x14ac:dyDescent="0.3">
      <c r="A1119" t="s">
        <v>734</v>
      </c>
      <c r="B1119" t="s">
        <v>776</v>
      </c>
      <c r="C1119" t="s">
        <v>212</v>
      </c>
      <c r="D1119" t="s">
        <v>2821</v>
      </c>
      <c r="E1119">
        <v>0</v>
      </c>
      <c r="F1119" t="s">
        <v>2820</v>
      </c>
      <c r="G1119" t="b">
        <v>1</v>
      </c>
      <c r="H1119" t="s">
        <v>706</v>
      </c>
    </row>
    <row r="1120" spans="1:8" x14ac:dyDescent="0.3">
      <c r="A1120" t="s">
        <v>734</v>
      </c>
      <c r="B1120" t="s">
        <v>776</v>
      </c>
      <c r="C1120" t="s">
        <v>212</v>
      </c>
      <c r="D1120" t="s">
        <v>2822</v>
      </c>
      <c r="E1120">
        <v>0</v>
      </c>
      <c r="F1120" t="s">
        <v>2820</v>
      </c>
      <c r="G1120" t="b">
        <v>1</v>
      </c>
      <c r="H1120" t="s">
        <v>708</v>
      </c>
    </row>
    <row r="1121" spans="1:8" x14ac:dyDescent="0.3">
      <c r="A1121" t="s">
        <v>734</v>
      </c>
      <c r="B1121" t="s">
        <v>776</v>
      </c>
      <c r="C1121" t="s">
        <v>212</v>
      </c>
      <c r="D1121" t="s">
        <v>2823</v>
      </c>
      <c r="E1121">
        <v>0</v>
      </c>
      <c r="F1121" t="s">
        <v>2820</v>
      </c>
      <c r="G1121" t="b">
        <v>1</v>
      </c>
      <c r="H1121" t="s">
        <v>710</v>
      </c>
    </row>
    <row r="1122" spans="1:8" x14ac:dyDescent="0.3">
      <c r="A1122" t="s">
        <v>734</v>
      </c>
      <c r="B1122" t="s">
        <v>776</v>
      </c>
      <c r="C1122" t="s">
        <v>212</v>
      </c>
      <c r="D1122" t="s">
        <v>2824</v>
      </c>
      <c r="E1122">
        <v>0</v>
      </c>
      <c r="F1122" t="s">
        <v>2820</v>
      </c>
      <c r="G1122" t="b">
        <v>1</v>
      </c>
      <c r="H1122" t="s">
        <v>2802</v>
      </c>
    </row>
    <row r="1123" spans="1:8" x14ac:dyDescent="0.3">
      <c r="A1123" t="s">
        <v>734</v>
      </c>
      <c r="B1123" t="s">
        <v>776</v>
      </c>
      <c r="C1123" t="s">
        <v>212</v>
      </c>
      <c r="D1123" t="s">
        <v>2825</v>
      </c>
      <c r="E1123">
        <v>0</v>
      </c>
      <c r="F1123" t="s">
        <v>2820</v>
      </c>
      <c r="G1123" t="b">
        <v>1</v>
      </c>
      <c r="H1123" t="s">
        <v>2800</v>
      </c>
    </row>
    <row r="1124" spans="1:8" x14ac:dyDescent="0.3">
      <c r="A1124" t="s">
        <v>734</v>
      </c>
      <c r="B1124" t="s">
        <v>776</v>
      </c>
      <c r="C1124" t="s">
        <v>212</v>
      </c>
      <c r="D1124" t="s">
        <v>2826</v>
      </c>
      <c r="E1124">
        <v>0</v>
      </c>
      <c r="F1124" t="s">
        <v>2820</v>
      </c>
      <c r="G1124" t="b">
        <v>1</v>
      </c>
      <c r="H1124" t="s">
        <v>1935</v>
      </c>
    </row>
    <row r="1125" spans="1:8" x14ac:dyDescent="0.3">
      <c r="A1125" t="s">
        <v>734</v>
      </c>
      <c r="B1125" t="s">
        <v>776</v>
      </c>
      <c r="C1125" t="s">
        <v>212</v>
      </c>
      <c r="D1125" t="s">
        <v>2827</v>
      </c>
      <c r="E1125">
        <v>3798.36</v>
      </c>
      <c r="F1125" t="s">
        <v>2820</v>
      </c>
      <c r="G1125" t="b">
        <v>1</v>
      </c>
      <c r="H1125" t="s">
        <v>2828</v>
      </c>
    </row>
    <row r="1126" spans="1:8" x14ac:dyDescent="0.3">
      <c r="A1126" t="s">
        <v>734</v>
      </c>
      <c r="B1126" t="s">
        <v>776</v>
      </c>
      <c r="C1126" t="s">
        <v>212</v>
      </c>
      <c r="D1126" t="s">
        <v>2829</v>
      </c>
      <c r="E1126">
        <v>3737.53</v>
      </c>
      <c r="F1126" t="s">
        <v>2820</v>
      </c>
      <c r="G1126" t="b">
        <v>1</v>
      </c>
      <c r="H1126" t="s">
        <v>2830</v>
      </c>
    </row>
    <row r="1127" spans="1:8" x14ac:dyDescent="0.3">
      <c r="A1127" t="s">
        <v>734</v>
      </c>
      <c r="B1127" t="s">
        <v>776</v>
      </c>
      <c r="C1127" t="s">
        <v>212</v>
      </c>
      <c r="D1127" t="s">
        <v>2831</v>
      </c>
      <c r="E1127">
        <v>3921.98</v>
      </c>
      <c r="F1127" t="s">
        <v>2820</v>
      </c>
      <c r="G1127" t="b">
        <v>1</v>
      </c>
      <c r="H1127" t="s">
        <v>466</v>
      </c>
    </row>
    <row r="1128" spans="1:8" x14ac:dyDescent="0.3">
      <c r="A1128" t="s">
        <v>734</v>
      </c>
      <c r="B1128" t="s">
        <v>776</v>
      </c>
      <c r="C1128" t="s">
        <v>212</v>
      </c>
      <c r="D1128" t="s">
        <v>2832</v>
      </c>
      <c r="E1128">
        <v>3757</v>
      </c>
      <c r="F1128" t="s">
        <v>2820</v>
      </c>
      <c r="G1128" t="b">
        <v>1</v>
      </c>
      <c r="H1128" t="s">
        <v>467</v>
      </c>
    </row>
    <row r="1129" spans="1:8" x14ac:dyDescent="0.3">
      <c r="A1129" t="s">
        <v>734</v>
      </c>
      <c r="B1129" t="s">
        <v>776</v>
      </c>
      <c r="C1129" t="s">
        <v>212</v>
      </c>
      <c r="D1129" t="s">
        <v>2833</v>
      </c>
      <c r="E1129">
        <v>3937.86</v>
      </c>
      <c r="F1129" t="s">
        <v>2820</v>
      </c>
      <c r="G1129" t="b">
        <v>1</v>
      </c>
      <c r="H1129" t="s">
        <v>468</v>
      </c>
    </row>
    <row r="1130" spans="1:8" x14ac:dyDescent="0.3">
      <c r="A1130" t="s">
        <v>734</v>
      </c>
      <c r="B1130" t="s">
        <v>776</v>
      </c>
      <c r="C1130" t="s">
        <v>228</v>
      </c>
      <c r="D1130" t="s">
        <v>2819</v>
      </c>
      <c r="E1130">
        <v>0</v>
      </c>
      <c r="F1130" t="s">
        <v>2820</v>
      </c>
      <c r="G1130" t="b">
        <v>1</v>
      </c>
      <c r="H1130" t="s">
        <v>704</v>
      </c>
    </row>
    <row r="1131" spans="1:8" x14ac:dyDescent="0.3">
      <c r="A1131" t="s">
        <v>734</v>
      </c>
      <c r="B1131" t="s">
        <v>776</v>
      </c>
      <c r="C1131" t="s">
        <v>228</v>
      </c>
      <c r="D1131" t="s">
        <v>2821</v>
      </c>
      <c r="E1131">
        <v>0</v>
      </c>
      <c r="F1131" t="s">
        <v>2820</v>
      </c>
      <c r="G1131" t="b">
        <v>1</v>
      </c>
      <c r="H1131" t="s">
        <v>706</v>
      </c>
    </row>
    <row r="1132" spans="1:8" x14ac:dyDescent="0.3">
      <c r="A1132" t="s">
        <v>734</v>
      </c>
      <c r="B1132" t="s">
        <v>776</v>
      </c>
      <c r="C1132" t="s">
        <v>228</v>
      </c>
      <c r="D1132" t="s">
        <v>2822</v>
      </c>
      <c r="E1132">
        <v>0</v>
      </c>
      <c r="F1132" t="s">
        <v>2820</v>
      </c>
      <c r="G1132" t="b">
        <v>1</v>
      </c>
      <c r="H1132" t="s">
        <v>708</v>
      </c>
    </row>
    <row r="1133" spans="1:8" x14ac:dyDescent="0.3">
      <c r="A1133" t="s">
        <v>734</v>
      </c>
      <c r="B1133" t="s">
        <v>776</v>
      </c>
      <c r="C1133" t="s">
        <v>228</v>
      </c>
      <c r="D1133" t="s">
        <v>2823</v>
      </c>
      <c r="E1133">
        <v>0</v>
      </c>
      <c r="F1133" t="s">
        <v>2820</v>
      </c>
      <c r="G1133" t="b">
        <v>1</v>
      </c>
      <c r="H1133" t="s">
        <v>710</v>
      </c>
    </row>
    <row r="1134" spans="1:8" x14ac:dyDescent="0.3">
      <c r="A1134" t="s">
        <v>734</v>
      </c>
      <c r="B1134" t="s">
        <v>776</v>
      </c>
      <c r="C1134" t="s">
        <v>228</v>
      </c>
      <c r="D1134" t="s">
        <v>2824</v>
      </c>
      <c r="E1134">
        <v>0</v>
      </c>
      <c r="F1134" t="s">
        <v>2820</v>
      </c>
      <c r="G1134" t="b">
        <v>1</v>
      </c>
      <c r="H1134" t="s">
        <v>2802</v>
      </c>
    </row>
    <row r="1135" spans="1:8" x14ac:dyDescent="0.3">
      <c r="A1135" t="s">
        <v>734</v>
      </c>
      <c r="B1135" t="s">
        <v>776</v>
      </c>
      <c r="C1135" t="s">
        <v>228</v>
      </c>
      <c r="D1135" t="s">
        <v>2825</v>
      </c>
      <c r="E1135">
        <v>0</v>
      </c>
      <c r="F1135" t="s">
        <v>2820</v>
      </c>
      <c r="G1135" t="b">
        <v>1</v>
      </c>
      <c r="H1135" t="s">
        <v>2800</v>
      </c>
    </row>
    <row r="1136" spans="1:8" x14ac:dyDescent="0.3">
      <c r="A1136" t="s">
        <v>734</v>
      </c>
      <c r="B1136" t="s">
        <v>776</v>
      </c>
      <c r="C1136" t="s">
        <v>228</v>
      </c>
      <c r="D1136" t="s">
        <v>2826</v>
      </c>
      <c r="E1136">
        <v>0</v>
      </c>
      <c r="F1136" t="s">
        <v>2820</v>
      </c>
      <c r="G1136" t="b">
        <v>1</v>
      </c>
      <c r="H1136" t="s">
        <v>1935</v>
      </c>
    </row>
    <row r="1137" spans="1:8" x14ac:dyDescent="0.3">
      <c r="A1137" t="s">
        <v>734</v>
      </c>
      <c r="B1137" t="s">
        <v>776</v>
      </c>
      <c r="C1137" t="s">
        <v>228</v>
      </c>
      <c r="D1137" t="s">
        <v>2827</v>
      </c>
      <c r="E1137">
        <v>0</v>
      </c>
      <c r="F1137" t="s">
        <v>2820</v>
      </c>
      <c r="G1137" t="b">
        <v>1</v>
      </c>
      <c r="H1137" t="s">
        <v>2828</v>
      </c>
    </row>
    <row r="1138" spans="1:8" x14ac:dyDescent="0.3">
      <c r="A1138" t="s">
        <v>734</v>
      </c>
      <c r="B1138" t="s">
        <v>776</v>
      </c>
      <c r="C1138" t="s">
        <v>228</v>
      </c>
      <c r="D1138" t="s">
        <v>2829</v>
      </c>
      <c r="E1138">
        <v>0</v>
      </c>
      <c r="F1138" t="s">
        <v>2820</v>
      </c>
      <c r="G1138" t="b">
        <v>1</v>
      </c>
      <c r="H1138" t="s">
        <v>2830</v>
      </c>
    </row>
    <row r="1139" spans="1:8" x14ac:dyDescent="0.3">
      <c r="A1139" t="s">
        <v>734</v>
      </c>
      <c r="B1139" t="s">
        <v>776</v>
      </c>
      <c r="C1139" t="s">
        <v>228</v>
      </c>
      <c r="D1139" t="s">
        <v>2831</v>
      </c>
      <c r="E1139">
        <v>0</v>
      </c>
      <c r="F1139" t="s">
        <v>2820</v>
      </c>
      <c r="G1139" t="b">
        <v>1</v>
      </c>
      <c r="H1139" t="s">
        <v>466</v>
      </c>
    </row>
    <row r="1140" spans="1:8" x14ac:dyDescent="0.3">
      <c r="A1140" t="s">
        <v>734</v>
      </c>
      <c r="B1140" t="s">
        <v>776</v>
      </c>
      <c r="C1140" t="s">
        <v>228</v>
      </c>
      <c r="D1140" t="s">
        <v>2832</v>
      </c>
      <c r="E1140">
        <v>0</v>
      </c>
      <c r="F1140" t="s">
        <v>2820</v>
      </c>
      <c r="G1140" t="b">
        <v>1</v>
      </c>
      <c r="H1140" t="s">
        <v>467</v>
      </c>
    </row>
    <row r="1141" spans="1:8" x14ac:dyDescent="0.3">
      <c r="A1141" t="s">
        <v>734</v>
      </c>
      <c r="B1141" t="s">
        <v>776</v>
      </c>
      <c r="C1141" t="s">
        <v>228</v>
      </c>
      <c r="D1141" t="s">
        <v>2833</v>
      </c>
      <c r="E1141">
        <v>0</v>
      </c>
      <c r="F1141" t="s">
        <v>2820</v>
      </c>
      <c r="G1141" t="b">
        <v>1</v>
      </c>
      <c r="H1141" t="s">
        <v>468</v>
      </c>
    </row>
    <row r="1142" spans="1:8" x14ac:dyDescent="0.3">
      <c r="A1142" t="s">
        <v>734</v>
      </c>
      <c r="B1142" t="s">
        <v>776</v>
      </c>
      <c r="C1142" t="s">
        <v>230</v>
      </c>
      <c r="D1142" t="s">
        <v>2819</v>
      </c>
      <c r="E1142">
        <v>0</v>
      </c>
      <c r="F1142" t="s">
        <v>2820</v>
      </c>
      <c r="G1142" t="b">
        <v>1</v>
      </c>
      <c r="H1142" t="s">
        <v>704</v>
      </c>
    </row>
    <row r="1143" spans="1:8" x14ac:dyDescent="0.3">
      <c r="A1143" t="s">
        <v>734</v>
      </c>
      <c r="B1143" t="s">
        <v>776</v>
      </c>
      <c r="C1143" t="s">
        <v>230</v>
      </c>
      <c r="D1143" t="s">
        <v>2821</v>
      </c>
      <c r="E1143">
        <v>0</v>
      </c>
      <c r="F1143" t="s">
        <v>2820</v>
      </c>
      <c r="G1143" t="b">
        <v>1</v>
      </c>
      <c r="H1143" t="s">
        <v>706</v>
      </c>
    </row>
    <row r="1144" spans="1:8" x14ac:dyDescent="0.3">
      <c r="A1144" t="s">
        <v>734</v>
      </c>
      <c r="B1144" t="s">
        <v>776</v>
      </c>
      <c r="C1144" t="s">
        <v>230</v>
      </c>
      <c r="D1144" t="s">
        <v>2822</v>
      </c>
      <c r="E1144">
        <v>0</v>
      </c>
      <c r="F1144" t="s">
        <v>2820</v>
      </c>
      <c r="G1144" t="b">
        <v>1</v>
      </c>
      <c r="H1144" t="s">
        <v>708</v>
      </c>
    </row>
    <row r="1145" spans="1:8" x14ac:dyDescent="0.3">
      <c r="A1145" t="s">
        <v>734</v>
      </c>
      <c r="B1145" t="s">
        <v>776</v>
      </c>
      <c r="C1145" t="s">
        <v>230</v>
      </c>
      <c r="D1145" t="s">
        <v>2823</v>
      </c>
      <c r="E1145">
        <v>0</v>
      </c>
      <c r="F1145" t="s">
        <v>2820</v>
      </c>
      <c r="G1145" t="b">
        <v>1</v>
      </c>
      <c r="H1145" t="s">
        <v>710</v>
      </c>
    </row>
    <row r="1146" spans="1:8" x14ac:dyDescent="0.3">
      <c r="A1146" t="s">
        <v>734</v>
      </c>
      <c r="B1146" t="s">
        <v>776</v>
      </c>
      <c r="C1146" t="s">
        <v>230</v>
      </c>
      <c r="D1146" t="s">
        <v>2824</v>
      </c>
      <c r="E1146">
        <v>0</v>
      </c>
      <c r="F1146" t="s">
        <v>2820</v>
      </c>
      <c r="G1146" t="b">
        <v>1</v>
      </c>
      <c r="H1146" t="s">
        <v>2802</v>
      </c>
    </row>
    <row r="1147" spans="1:8" x14ac:dyDescent="0.3">
      <c r="A1147" t="s">
        <v>734</v>
      </c>
      <c r="B1147" t="s">
        <v>776</v>
      </c>
      <c r="C1147" t="s">
        <v>230</v>
      </c>
      <c r="D1147" t="s">
        <v>2825</v>
      </c>
      <c r="E1147">
        <v>0</v>
      </c>
      <c r="F1147" t="s">
        <v>2820</v>
      </c>
      <c r="G1147" t="b">
        <v>1</v>
      </c>
      <c r="H1147" t="s">
        <v>2800</v>
      </c>
    </row>
    <row r="1148" spans="1:8" x14ac:dyDescent="0.3">
      <c r="A1148" t="s">
        <v>734</v>
      </c>
      <c r="B1148" t="s">
        <v>776</v>
      </c>
      <c r="C1148" t="s">
        <v>230</v>
      </c>
      <c r="D1148" t="s">
        <v>2826</v>
      </c>
      <c r="E1148">
        <v>0</v>
      </c>
      <c r="F1148" t="s">
        <v>2820</v>
      </c>
      <c r="G1148" t="b">
        <v>1</v>
      </c>
      <c r="H1148" t="s">
        <v>1935</v>
      </c>
    </row>
    <row r="1149" spans="1:8" x14ac:dyDescent="0.3">
      <c r="A1149" t="s">
        <v>734</v>
      </c>
      <c r="B1149" t="s">
        <v>776</v>
      </c>
      <c r="C1149" t="s">
        <v>230</v>
      </c>
      <c r="D1149" t="s">
        <v>2827</v>
      </c>
      <c r="E1149">
        <v>14177</v>
      </c>
      <c r="F1149" t="s">
        <v>2820</v>
      </c>
      <c r="G1149" t="b">
        <v>1</v>
      </c>
      <c r="H1149" t="s">
        <v>2828</v>
      </c>
    </row>
    <row r="1150" spans="1:8" x14ac:dyDescent="0.3">
      <c r="A1150" t="s">
        <v>734</v>
      </c>
      <c r="B1150" t="s">
        <v>776</v>
      </c>
      <c r="C1150" t="s">
        <v>230</v>
      </c>
      <c r="D1150" t="s">
        <v>2829</v>
      </c>
      <c r="E1150">
        <v>13949.96</v>
      </c>
      <c r="F1150" t="s">
        <v>2820</v>
      </c>
      <c r="G1150" t="b">
        <v>1</v>
      </c>
      <c r="H1150" t="s">
        <v>2830</v>
      </c>
    </row>
    <row r="1151" spans="1:8" x14ac:dyDescent="0.3">
      <c r="A1151" t="s">
        <v>734</v>
      </c>
      <c r="B1151" t="s">
        <v>776</v>
      </c>
      <c r="C1151" t="s">
        <v>230</v>
      </c>
      <c r="D1151" t="s">
        <v>2831</v>
      </c>
      <c r="E1151">
        <v>14638.41</v>
      </c>
      <c r="F1151" t="s">
        <v>2820</v>
      </c>
      <c r="G1151" t="b">
        <v>1</v>
      </c>
      <c r="H1151" t="s">
        <v>466</v>
      </c>
    </row>
    <row r="1152" spans="1:8" x14ac:dyDescent="0.3">
      <c r="A1152" t="s">
        <v>734</v>
      </c>
      <c r="B1152" t="s">
        <v>776</v>
      </c>
      <c r="C1152" t="s">
        <v>230</v>
      </c>
      <c r="D1152" t="s">
        <v>2832</v>
      </c>
      <c r="E1152">
        <v>14022.64</v>
      </c>
      <c r="F1152" t="s">
        <v>2820</v>
      </c>
      <c r="G1152" t="b">
        <v>1</v>
      </c>
      <c r="H1152" t="s">
        <v>467</v>
      </c>
    </row>
    <row r="1153" spans="1:8" x14ac:dyDescent="0.3">
      <c r="A1153" t="s">
        <v>734</v>
      </c>
      <c r="B1153" t="s">
        <v>776</v>
      </c>
      <c r="C1153" t="s">
        <v>230</v>
      </c>
      <c r="D1153" t="s">
        <v>2833</v>
      </c>
      <c r="E1153">
        <v>14697.67</v>
      </c>
      <c r="F1153" t="s">
        <v>2820</v>
      </c>
      <c r="G1153" t="b">
        <v>1</v>
      </c>
      <c r="H1153" t="s">
        <v>468</v>
      </c>
    </row>
    <row r="1154" spans="1:8" x14ac:dyDescent="0.3">
      <c r="A1154" t="s">
        <v>734</v>
      </c>
      <c r="B1154" t="s">
        <v>776</v>
      </c>
      <c r="C1154" t="s">
        <v>214</v>
      </c>
      <c r="D1154" t="s">
        <v>2819</v>
      </c>
      <c r="E1154">
        <v>0</v>
      </c>
      <c r="F1154" t="s">
        <v>2820</v>
      </c>
      <c r="G1154" t="b">
        <v>1</v>
      </c>
      <c r="H1154" t="s">
        <v>704</v>
      </c>
    </row>
    <row r="1155" spans="1:8" x14ac:dyDescent="0.3">
      <c r="A1155" t="s">
        <v>734</v>
      </c>
      <c r="B1155" t="s">
        <v>776</v>
      </c>
      <c r="C1155" t="s">
        <v>214</v>
      </c>
      <c r="D1155" t="s">
        <v>2821</v>
      </c>
      <c r="E1155">
        <v>0</v>
      </c>
      <c r="F1155" t="s">
        <v>2820</v>
      </c>
      <c r="G1155" t="b">
        <v>1</v>
      </c>
      <c r="H1155" t="s">
        <v>706</v>
      </c>
    </row>
    <row r="1156" spans="1:8" x14ac:dyDescent="0.3">
      <c r="A1156" t="s">
        <v>734</v>
      </c>
      <c r="B1156" t="s">
        <v>776</v>
      </c>
      <c r="C1156" t="s">
        <v>214</v>
      </c>
      <c r="D1156" t="s">
        <v>2822</v>
      </c>
      <c r="E1156">
        <v>0</v>
      </c>
      <c r="F1156" t="s">
        <v>2820</v>
      </c>
      <c r="G1156" t="b">
        <v>1</v>
      </c>
      <c r="H1156" t="s">
        <v>708</v>
      </c>
    </row>
    <row r="1157" spans="1:8" x14ac:dyDescent="0.3">
      <c r="A1157" t="s">
        <v>734</v>
      </c>
      <c r="B1157" t="s">
        <v>776</v>
      </c>
      <c r="C1157" t="s">
        <v>214</v>
      </c>
      <c r="D1157" t="s">
        <v>2823</v>
      </c>
      <c r="E1157">
        <v>0</v>
      </c>
      <c r="F1157" t="s">
        <v>2820</v>
      </c>
      <c r="G1157" t="b">
        <v>1</v>
      </c>
      <c r="H1157" t="s">
        <v>710</v>
      </c>
    </row>
    <row r="1158" spans="1:8" x14ac:dyDescent="0.3">
      <c r="A1158" t="s">
        <v>734</v>
      </c>
      <c r="B1158" t="s">
        <v>776</v>
      </c>
      <c r="C1158" t="s">
        <v>214</v>
      </c>
      <c r="D1158" t="s">
        <v>2824</v>
      </c>
      <c r="E1158">
        <v>0</v>
      </c>
      <c r="F1158" t="s">
        <v>2820</v>
      </c>
      <c r="G1158" t="b">
        <v>1</v>
      </c>
      <c r="H1158" t="s">
        <v>2802</v>
      </c>
    </row>
    <row r="1159" spans="1:8" x14ac:dyDescent="0.3">
      <c r="A1159" t="s">
        <v>734</v>
      </c>
      <c r="B1159" t="s">
        <v>776</v>
      </c>
      <c r="C1159" t="s">
        <v>214</v>
      </c>
      <c r="D1159" t="s">
        <v>2825</v>
      </c>
      <c r="E1159">
        <v>0</v>
      </c>
      <c r="F1159" t="s">
        <v>2820</v>
      </c>
      <c r="G1159" t="b">
        <v>1</v>
      </c>
      <c r="H1159" t="s">
        <v>2800</v>
      </c>
    </row>
    <row r="1160" spans="1:8" x14ac:dyDescent="0.3">
      <c r="A1160" t="s">
        <v>734</v>
      </c>
      <c r="B1160" t="s">
        <v>776</v>
      </c>
      <c r="C1160" t="s">
        <v>214</v>
      </c>
      <c r="D1160" t="s">
        <v>2826</v>
      </c>
      <c r="E1160">
        <v>0</v>
      </c>
      <c r="F1160" t="s">
        <v>2820</v>
      </c>
      <c r="G1160" t="b">
        <v>1</v>
      </c>
      <c r="H1160" t="s">
        <v>1935</v>
      </c>
    </row>
    <row r="1161" spans="1:8" x14ac:dyDescent="0.3">
      <c r="A1161" t="s">
        <v>734</v>
      </c>
      <c r="B1161" t="s">
        <v>776</v>
      </c>
      <c r="C1161" t="s">
        <v>214</v>
      </c>
      <c r="D1161" t="s">
        <v>2827</v>
      </c>
      <c r="E1161">
        <v>15184.31</v>
      </c>
      <c r="F1161" t="s">
        <v>2820</v>
      </c>
      <c r="G1161" t="b">
        <v>1</v>
      </c>
      <c r="H1161" t="s">
        <v>2828</v>
      </c>
    </row>
    <row r="1162" spans="1:8" x14ac:dyDescent="0.3">
      <c r="A1162" t="s">
        <v>734</v>
      </c>
      <c r="B1162" t="s">
        <v>776</v>
      </c>
      <c r="C1162" t="s">
        <v>214</v>
      </c>
      <c r="D1162" t="s">
        <v>2829</v>
      </c>
      <c r="E1162">
        <v>14941.14</v>
      </c>
      <c r="F1162" t="s">
        <v>2820</v>
      </c>
      <c r="G1162" t="b">
        <v>1</v>
      </c>
      <c r="H1162" t="s">
        <v>2830</v>
      </c>
    </row>
    <row r="1163" spans="1:8" x14ac:dyDescent="0.3">
      <c r="A1163" t="s">
        <v>734</v>
      </c>
      <c r="B1163" t="s">
        <v>776</v>
      </c>
      <c r="C1163" t="s">
        <v>214</v>
      </c>
      <c r="D1163" t="s">
        <v>2831</v>
      </c>
      <c r="E1163">
        <v>15678.5</v>
      </c>
      <c r="F1163" t="s">
        <v>2820</v>
      </c>
      <c r="G1163" t="b">
        <v>1</v>
      </c>
      <c r="H1163" t="s">
        <v>466</v>
      </c>
    </row>
    <row r="1164" spans="1:8" x14ac:dyDescent="0.3">
      <c r="A1164" t="s">
        <v>734</v>
      </c>
      <c r="B1164" t="s">
        <v>776</v>
      </c>
      <c r="C1164" t="s">
        <v>214</v>
      </c>
      <c r="D1164" t="s">
        <v>2832</v>
      </c>
      <c r="E1164">
        <v>15018.98</v>
      </c>
      <c r="F1164" t="s">
        <v>2820</v>
      </c>
      <c r="G1164" t="b">
        <v>1</v>
      </c>
      <c r="H1164" t="s">
        <v>467</v>
      </c>
    </row>
    <row r="1165" spans="1:8" x14ac:dyDescent="0.3">
      <c r="A1165" t="s">
        <v>734</v>
      </c>
      <c r="B1165" t="s">
        <v>776</v>
      </c>
      <c r="C1165" t="s">
        <v>214</v>
      </c>
      <c r="D1165" t="s">
        <v>2833</v>
      </c>
      <c r="E1165">
        <v>15741.97</v>
      </c>
      <c r="F1165" t="s">
        <v>2820</v>
      </c>
      <c r="G1165" t="b">
        <v>1</v>
      </c>
      <c r="H1165" t="s">
        <v>468</v>
      </c>
    </row>
    <row r="1166" spans="1:8" x14ac:dyDescent="0.3">
      <c r="A1166" t="s">
        <v>734</v>
      </c>
      <c r="B1166" t="s">
        <v>776</v>
      </c>
      <c r="C1166" t="s">
        <v>205</v>
      </c>
      <c r="D1166" t="s">
        <v>2819</v>
      </c>
      <c r="E1166">
        <v>0</v>
      </c>
      <c r="F1166" t="s">
        <v>2820</v>
      </c>
      <c r="G1166" t="b">
        <v>1</v>
      </c>
      <c r="H1166" t="s">
        <v>704</v>
      </c>
    </row>
    <row r="1167" spans="1:8" x14ac:dyDescent="0.3">
      <c r="A1167" t="s">
        <v>734</v>
      </c>
      <c r="B1167" t="s">
        <v>776</v>
      </c>
      <c r="C1167" t="s">
        <v>205</v>
      </c>
      <c r="D1167" t="s">
        <v>2821</v>
      </c>
      <c r="E1167">
        <v>0</v>
      </c>
      <c r="F1167" t="s">
        <v>2820</v>
      </c>
      <c r="G1167" t="b">
        <v>1</v>
      </c>
      <c r="H1167" t="s">
        <v>706</v>
      </c>
    </row>
    <row r="1168" spans="1:8" x14ac:dyDescent="0.3">
      <c r="A1168" t="s">
        <v>734</v>
      </c>
      <c r="B1168" t="s">
        <v>776</v>
      </c>
      <c r="C1168" t="s">
        <v>205</v>
      </c>
      <c r="D1168" t="s">
        <v>2822</v>
      </c>
      <c r="E1168">
        <v>0</v>
      </c>
      <c r="F1168" t="s">
        <v>2820</v>
      </c>
      <c r="G1168" t="b">
        <v>1</v>
      </c>
      <c r="H1168" t="s">
        <v>708</v>
      </c>
    </row>
    <row r="1169" spans="1:8" x14ac:dyDescent="0.3">
      <c r="A1169" t="s">
        <v>734</v>
      </c>
      <c r="B1169" t="s">
        <v>776</v>
      </c>
      <c r="C1169" t="s">
        <v>205</v>
      </c>
      <c r="D1169" t="s">
        <v>2823</v>
      </c>
      <c r="E1169">
        <v>0</v>
      </c>
      <c r="F1169" t="s">
        <v>2820</v>
      </c>
      <c r="G1169" t="b">
        <v>1</v>
      </c>
      <c r="H1169" t="s">
        <v>710</v>
      </c>
    </row>
    <row r="1170" spans="1:8" x14ac:dyDescent="0.3">
      <c r="A1170" t="s">
        <v>734</v>
      </c>
      <c r="B1170" t="s">
        <v>776</v>
      </c>
      <c r="C1170" t="s">
        <v>205</v>
      </c>
      <c r="D1170" t="s">
        <v>2824</v>
      </c>
      <c r="E1170">
        <v>0</v>
      </c>
      <c r="F1170" t="s">
        <v>2820</v>
      </c>
      <c r="G1170" t="b">
        <v>1</v>
      </c>
      <c r="H1170" t="s">
        <v>2802</v>
      </c>
    </row>
    <row r="1171" spans="1:8" x14ac:dyDescent="0.3">
      <c r="A1171" t="s">
        <v>734</v>
      </c>
      <c r="B1171" t="s">
        <v>776</v>
      </c>
      <c r="C1171" t="s">
        <v>205</v>
      </c>
      <c r="D1171" t="s">
        <v>2825</v>
      </c>
      <c r="E1171">
        <v>0</v>
      </c>
      <c r="F1171" t="s">
        <v>2820</v>
      </c>
      <c r="G1171" t="b">
        <v>1</v>
      </c>
      <c r="H1171" t="s">
        <v>2800</v>
      </c>
    </row>
    <row r="1172" spans="1:8" x14ac:dyDescent="0.3">
      <c r="A1172" t="s">
        <v>734</v>
      </c>
      <c r="B1172" t="s">
        <v>776</v>
      </c>
      <c r="C1172" t="s">
        <v>205</v>
      </c>
      <c r="D1172" t="s">
        <v>2826</v>
      </c>
      <c r="E1172">
        <v>0</v>
      </c>
      <c r="F1172" t="s">
        <v>2820</v>
      </c>
      <c r="G1172" t="b">
        <v>1</v>
      </c>
      <c r="H1172" t="s">
        <v>1935</v>
      </c>
    </row>
    <row r="1173" spans="1:8" x14ac:dyDescent="0.3">
      <c r="A1173" t="s">
        <v>734</v>
      </c>
      <c r="B1173" t="s">
        <v>776</v>
      </c>
      <c r="C1173" t="s">
        <v>205</v>
      </c>
      <c r="D1173" t="s">
        <v>2827</v>
      </c>
      <c r="E1173">
        <v>44908.75</v>
      </c>
      <c r="F1173" t="s">
        <v>2820</v>
      </c>
      <c r="G1173" t="b">
        <v>1</v>
      </c>
      <c r="H1173" t="s">
        <v>2828</v>
      </c>
    </row>
    <row r="1174" spans="1:8" x14ac:dyDescent="0.3">
      <c r="A1174" t="s">
        <v>734</v>
      </c>
      <c r="B1174" t="s">
        <v>776</v>
      </c>
      <c r="C1174" t="s">
        <v>205</v>
      </c>
      <c r="D1174" t="s">
        <v>2829</v>
      </c>
      <c r="E1174">
        <v>44189.55</v>
      </c>
      <c r="F1174" t="s">
        <v>2820</v>
      </c>
      <c r="G1174" t="b">
        <v>1</v>
      </c>
      <c r="H1174" t="s">
        <v>2830</v>
      </c>
    </row>
    <row r="1175" spans="1:8" x14ac:dyDescent="0.3">
      <c r="A1175" t="s">
        <v>734</v>
      </c>
      <c r="B1175" t="s">
        <v>776</v>
      </c>
      <c r="C1175" t="s">
        <v>205</v>
      </c>
      <c r="D1175" t="s">
        <v>2831</v>
      </c>
      <c r="E1175">
        <v>46370.36</v>
      </c>
      <c r="F1175" t="s">
        <v>2820</v>
      </c>
      <c r="G1175" t="b">
        <v>1</v>
      </c>
      <c r="H1175" t="s">
        <v>466</v>
      </c>
    </row>
    <row r="1176" spans="1:8" x14ac:dyDescent="0.3">
      <c r="A1176" t="s">
        <v>734</v>
      </c>
      <c r="B1176" t="s">
        <v>776</v>
      </c>
      <c r="C1176" t="s">
        <v>205</v>
      </c>
      <c r="D1176" t="s">
        <v>2832</v>
      </c>
      <c r="E1176">
        <v>44419.78</v>
      </c>
      <c r="F1176" t="s">
        <v>2820</v>
      </c>
      <c r="G1176" t="b">
        <v>1</v>
      </c>
      <c r="H1176" t="s">
        <v>467</v>
      </c>
    </row>
    <row r="1177" spans="1:8" x14ac:dyDescent="0.3">
      <c r="A1177" t="s">
        <v>734</v>
      </c>
      <c r="B1177" t="s">
        <v>776</v>
      </c>
      <c r="C1177" t="s">
        <v>205</v>
      </c>
      <c r="D1177" t="s">
        <v>2833</v>
      </c>
      <c r="E1177">
        <v>46558.080000000002</v>
      </c>
      <c r="F1177" t="s">
        <v>2820</v>
      </c>
      <c r="G1177" t="b">
        <v>1</v>
      </c>
      <c r="H1177" t="s">
        <v>468</v>
      </c>
    </row>
    <row r="1178" spans="1:8" x14ac:dyDescent="0.3">
      <c r="A1178" t="s">
        <v>734</v>
      </c>
      <c r="B1178" t="s">
        <v>776</v>
      </c>
      <c r="C1178" t="s">
        <v>216</v>
      </c>
      <c r="D1178" t="s">
        <v>2819</v>
      </c>
      <c r="E1178">
        <v>0</v>
      </c>
      <c r="F1178" t="s">
        <v>2820</v>
      </c>
      <c r="G1178" t="b">
        <v>1</v>
      </c>
      <c r="H1178" t="s">
        <v>704</v>
      </c>
    </row>
    <row r="1179" spans="1:8" x14ac:dyDescent="0.3">
      <c r="A1179" t="s">
        <v>734</v>
      </c>
      <c r="B1179" t="s">
        <v>776</v>
      </c>
      <c r="C1179" t="s">
        <v>216</v>
      </c>
      <c r="D1179" t="s">
        <v>2821</v>
      </c>
      <c r="E1179">
        <v>0</v>
      </c>
      <c r="F1179" t="s">
        <v>2820</v>
      </c>
      <c r="G1179" t="b">
        <v>1</v>
      </c>
      <c r="H1179" t="s">
        <v>706</v>
      </c>
    </row>
    <row r="1180" spans="1:8" x14ac:dyDescent="0.3">
      <c r="A1180" t="s">
        <v>734</v>
      </c>
      <c r="B1180" t="s">
        <v>776</v>
      </c>
      <c r="C1180" t="s">
        <v>216</v>
      </c>
      <c r="D1180" t="s">
        <v>2822</v>
      </c>
      <c r="E1180">
        <v>0</v>
      </c>
      <c r="F1180" t="s">
        <v>2820</v>
      </c>
      <c r="G1180" t="b">
        <v>1</v>
      </c>
      <c r="H1180" t="s">
        <v>708</v>
      </c>
    </row>
    <row r="1181" spans="1:8" x14ac:dyDescent="0.3">
      <c r="A1181" t="s">
        <v>734</v>
      </c>
      <c r="B1181" t="s">
        <v>776</v>
      </c>
      <c r="C1181" t="s">
        <v>216</v>
      </c>
      <c r="D1181" t="s">
        <v>2823</v>
      </c>
      <c r="E1181">
        <v>0</v>
      </c>
      <c r="F1181" t="s">
        <v>2820</v>
      </c>
      <c r="G1181" t="b">
        <v>1</v>
      </c>
      <c r="H1181" t="s">
        <v>710</v>
      </c>
    </row>
    <row r="1182" spans="1:8" x14ac:dyDescent="0.3">
      <c r="A1182" t="s">
        <v>734</v>
      </c>
      <c r="B1182" t="s">
        <v>776</v>
      </c>
      <c r="C1182" t="s">
        <v>216</v>
      </c>
      <c r="D1182" t="s">
        <v>2824</v>
      </c>
      <c r="E1182">
        <v>0</v>
      </c>
      <c r="F1182" t="s">
        <v>2820</v>
      </c>
      <c r="G1182" t="b">
        <v>1</v>
      </c>
      <c r="H1182" t="s">
        <v>2802</v>
      </c>
    </row>
    <row r="1183" spans="1:8" x14ac:dyDescent="0.3">
      <c r="A1183" t="s">
        <v>734</v>
      </c>
      <c r="B1183" t="s">
        <v>776</v>
      </c>
      <c r="C1183" t="s">
        <v>216</v>
      </c>
      <c r="D1183" t="s">
        <v>2825</v>
      </c>
      <c r="E1183">
        <v>0</v>
      </c>
      <c r="F1183" t="s">
        <v>2820</v>
      </c>
      <c r="G1183" t="b">
        <v>1</v>
      </c>
      <c r="H1183" t="s">
        <v>2800</v>
      </c>
    </row>
    <row r="1184" spans="1:8" x14ac:dyDescent="0.3">
      <c r="A1184" t="s">
        <v>734</v>
      </c>
      <c r="B1184" t="s">
        <v>776</v>
      </c>
      <c r="C1184" t="s">
        <v>216</v>
      </c>
      <c r="D1184" t="s">
        <v>2826</v>
      </c>
      <c r="E1184">
        <v>0</v>
      </c>
      <c r="F1184" t="s">
        <v>2820</v>
      </c>
      <c r="G1184" t="b">
        <v>1</v>
      </c>
      <c r="H1184" t="s">
        <v>1935</v>
      </c>
    </row>
    <row r="1185" spans="1:8" x14ac:dyDescent="0.3">
      <c r="A1185" t="s">
        <v>734</v>
      </c>
      <c r="B1185" t="s">
        <v>776</v>
      </c>
      <c r="C1185" t="s">
        <v>216</v>
      </c>
      <c r="D1185" t="s">
        <v>2827</v>
      </c>
      <c r="E1185">
        <v>303.87</v>
      </c>
      <c r="F1185" t="s">
        <v>2820</v>
      </c>
      <c r="G1185" t="b">
        <v>1</v>
      </c>
      <c r="H1185" t="s">
        <v>2828</v>
      </c>
    </row>
    <row r="1186" spans="1:8" x14ac:dyDescent="0.3">
      <c r="A1186" t="s">
        <v>734</v>
      </c>
      <c r="B1186" t="s">
        <v>776</v>
      </c>
      <c r="C1186" t="s">
        <v>216</v>
      </c>
      <c r="D1186" t="s">
        <v>2829</v>
      </c>
      <c r="E1186">
        <v>299</v>
      </c>
      <c r="F1186" t="s">
        <v>2820</v>
      </c>
      <c r="G1186" t="b">
        <v>1</v>
      </c>
      <c r="H1186" t="s">
        <v>2830</v>
      </c>
    </row>
    <row r="1187" spans="1:8" x14ac:dyDescent="0.3">
      <c r="A1187" t="s">
        <v>734</v>
      </c>
      <c r="B1187" t="s">
        <v>776</v>
      </c>
      <c r="C1187" t="s">
        <v>216</v>
      </c>
      <c r="D1187" t="s">
        <v>2831</v>
      </c>
      <c r="E1187">
        <v>313.76</v>
      </c>
      <c r="F1187" t="s">
        <v>2820</v>
      </c>
      <c r="G1187" t="b">
        <v>1</v>
      </c>
      <c r="H1187" t="s">
        <v>466</v>
      </c>
    </row>
    <row r="1188" spans="1:8" x14ac:dyDescent="0.3">
      <c r="A1188" t="s">
        <v>734</v>
      </c>
      <c r="B1188" t="s">
        <v>776</v>
      </c>
      <c r="C1188" t="s">
        <v>216</v>
      </c>
      <c r="D1188" t="s">
        <v>2832</v>
      </c>
      <c r="E1188">
        <v>300.56</v>
      </c>
      <c r="F1188" t="s">
        <v>2820</v>
      </c>
      <c r="G1188" t="b">
        <v>1</v>
      </c>
      <c r="H1188" t="s">
        <v>467</v>
      </c>
    </row>
    <row r="1189" spans="1:8" x14ac:dyDescent="0.3">
      <c r="A1189" t="s">
        <v>734</v>
      </c>
      <c r="B1189" t="s">
        <v>776</v>
      </c>
      <c r="C1189" t="s">
        <v>216</v>
      </c>
      <c r="D1189" t="s">
        <v>2833</v>
      </c>
      <c r="E1189">
        <v>315.02999999999997</v>
      </c>
      <c r="F1189" t="s">
        <v>2820</v>
      </c>
      <c r="G1189" t="b">
        <v>1</v>
      </c>
      <c r="H1189" t="s">
        <v>468</v>
      </c>
    </row>
    <row r="1190" spans="1:8" x14ac:dyDescent="0.3">
      <c r="A1190" t="s">
        <v>734</v>
      </c>
      <c r="B1190" t="s">
        <v>776</v>
      </c>
      <c r="C1190" t="s">
        <v>218</v>
      </c>
      <c r="D1190" t="s">
        <v>2819</v>
      </c>
      <c r="E1190">
        <v>0</v>
      </c>
      <c r="F1190" t="s">
        <v>2820</v>
      </c>
      <c r="G1190" t="b">
        <v>1</v>
      </c>
      <c r="H1190" t="s">
        <v>704</v>
      </c>
    </row>
    <row r="1191" spans="1:8" x14ac:dyDescent="0.3">
      <c r="A1191" t="s">
        <v>734</v>
      </c>
      <c r="B1191" t="s">
        <v>776</v>
      </c>
      <c r="C1191" t="s">
        <v>218</v>
      </c>
      <c r="D1191" t="s">
        <v>2821</v>
      </c>
      <c r="E1191">
        <v>0</v>
      </c>
      <c r="F1191" t="s">
        <v>2820</v>
      </c>
      <c r="G1191" t="b">
        <v>1</v>
      </c>
      <c r="H1191" t="s">
        <v>706</v>
      </c>
    </row>
    <row r="1192" spans="1:8" x14ac:dyDescent="0.3">
      <c r="A1192" t="s">
        <v>734</v>
      </c>
      <c r="B1192" t="s">
        <v>776</v>
      </c>
      <c r="C1192" t="s">
        <v>218</v>
      </c>
      <c r="D1192" t="s">
        <v>2822</v>
      </c>
      <c r="E1192">
        <v>0</v>
      </c>
      <c r="F1192" t="s">
        <v>2820</v>
      </c>
      <c r="G1192" t="b">
        <v>1</v>
      </c>
      <c r="H1192" t="s">
        <v>708</v>
      </c>
    </row>
    <row r="1193" spans="1:8" x14ac:dyDescent="0.3">
      <c r="A1193" t="s">
        <v>734</v>
      </c>
      <c r="B1193" t="s">
        <v>776</v>
      </c>
      <c r="C1193" t="s">
        <v>218</v>
      </c>
      <c r="D1193" t="s">
        <v>2823</v>
      </c>
      <c r="E1193">
        <v>0</v>
      </c>
      <c r="F1193" t="s">
        <v>2820</v>
      </c>
      <c r="G1193" t="b">
        <v>1</v>
      </c>
      <c r="H1193" t="s">
        <v>710</v>
      </c>
    </row>
    <row r="1194" spans="1:8" x14ac:dyDescent="0.3">
      <c r="A1194" t="s">
        <v>734</v>
      </c>
      <c r="B1194" t="s">
        <v>776</v>
      </c>
      <c r="C1194" t="s">
        <v>218</v>
      </c>
      <c r="D1194" t="s">
        <v>2824</v>
      </c>
      <c r="E1194">
        <v>0</v>
      </c>
      <c r="F1194" t="s">
        <v>2820</v>
      </c>
      <c r="G1194" t="b">
        <v>1</v>
      </c>
      <c r="H1194" t="s">
        <v>2802</v>
      </c>
    </row>
    <row r="1195" spans="1:8" x14ac:dyDescent="0.3">
      <c r="A1195" t="s">
        <v>734</v>
      </c>
      <c r="B1195" t="s">
        <v>776</v>
      </c>
      <c r="C1195" t="s">
        <v>218</v>
      </c>
      <c r="D1195" t="s">
        <v>2825</v>
      </c>
      <c r="E1195">
        <v>0</v>
      </c>
      <c r="F1195" t="s">
        <v>2820</v>
      </c>
      <c r="G1195" t="b">
        <v>1</v>
      </c>
      <c r="H1195" t="s">
        <v>2800</v>
      </c>
    </row>
    <row r="1196" spans="1:8" x14ac:dyDescent="0.3">
      <c r="A1196" t="s">
        <v>734</v>
      </c>
      <c r="B1196" t="s">
        <v>776</v>
      </c>
      <c r="C1196" t="s">
        <v>218</v>
      </c>
      <c r="D1196" t="s">
        <v>2826</v>
      </c>
      <c r="E1196">
        <v>0</v>
      </c>
      <c r="F1196" t="s">
        <v>2820</v>
      </c>
      <c r="G1196" t="b">
        <v>1</v>
      </c>
      <c r="H1196" t="s">
        <v>1935</v>
      </c>
    </row>
    <row r="1197" spans="1:8" x14ac:dyDescent="0.3">
      <c r="A1197" t="s">
        <v>734</v>
      </c>
      <c r="B1197" t="s">
        <v>776</v>
      </c>
      <c r="C1197" t="s">
        <v>218</v>
      </c>
      <c r="D1197" t="s">
        <v>2827</v>
      </c>
      <c r="E1197">
        <v>1214.74</v>
      </c>
      <c r="F1197" t="s">
        <v>2820</v>
      </c>
      <c r="G1197" t="b">
        <v>1</v>
      </c>
      <c r="H1197" t="s">
        <v>2828</v>
      </c>
    </row>
    <row r="1198" spans="1:8" x14ac:dyDescent="0.3">
      <c r="A1198" t="s">
        <v>734</v>
      </c>
      <c r="B1198" t="s">
        <v>776</v>
      </c>
      <c r="C1198" t="s">
        <v>218</v>
      </c>
      <c r="D1198" t="s">
        <v>2829</v>
      </c>
      <c r="E1198">
        <v>1195.29</v>
      </c>
      <c r="F1198" t="s">
        <v>2820</v>
      </c>
      <c r="G1198" t="b">
        <v>1</v>
      </c>
      <c r="H1198" t="s">
        <v>2830</v>
      </c>
    </row>
    <row r="1199" spans="1:8" x14ac:dyDescent="0.3">
      <c r="A1199" t="s">
        <v>734</v>
      </c>
      <c r="B1199" t="s">
        <v>776</v>
      </c>
      <c r="C1199" t="s">
        <v>218</v>
      </c>
      <c r="D1199" t="s">
        <v>2831</v>
      </c>
      <c r="E1199">
        <v>1254.28</v>
      </c>
      <c r="F1199" t="s">
        <v>2820</v>
      </c>
      <c r="G1199" t="b">
        <v>1</v>
      </c>
      <c r="H1199" t="s">
        <v>466</v>
      </c>
    </row>
    <row r="1200" spans="1:8" x14ac:dyDescent="0.3">
      <c r="A1200" t="s">
        <v>734</v>
      </c>
      <c r="B1200" t="s">
        <v>776</v>
      </c>
      <c r="C1200" t="s">
        <v>218</v>
      </c>
      <c r="D1200" t="s">
        <v>2832</v>
      </c>
      <c r="E1200">
        <v>1201.52</v>
      </c>
      <c r="F1200" t="s">
        <v>2820</v>
      </c>
      <c r="G1200" t="b">
        <v>1</v>
      </c>
      <c r="H1200" t="s">
        <v>467</v>
      </c>
    </row>
    <row r="1201" spans="1:8" x14ac:dyDescent="0.3">
      <c r="A1201" t="s">
        <v>734</v>
      </c>
      <c r="B1201" t="s">
        <v>776</v>
      </c>
      <c r="C1201" t="s">
        <v>218</v>
      </c>
      <c r="D1201" t="s">
        <v>2833</v>
      </c>
      <c r="E1201">
        <v>1259.3599999999999</v>
      </c>
      <c r="F1201" t="s">
        <v>2820</v>
      </c>
      <c r="G1201" t="b">
        <v>1</v>
      </c>
      <c r="H1201" t="s">
        <v>468</v>
      </c>
    </row>
    <row r="1202" spans="1:8" x14ac:dyDescent="0.3">
      <c r="A1202" t="s">
        <v>734</v>
      </c>
      <c r="B1202" t="s">
        <v>776</v>
      </c>
      <c r="C1202" t="s">
        <v>233</v>
      </c>
      <c r="D1202" t="s">
        <v>2819</v>
      </c>
      <c r="E1202">
        <v>0</v>
      </c>
      <c r="F1202" t="s">
        <v>2820</v>
      </c>
      <c r="G1202" t="b">
        <v>1</v>
      </c>
      <c r="H1202" t="s">
        <v>704</v>
      </c>
    </row>
    <row r="1203" spans="1:8" x14ac:dyDescent="0.3">
      <c r="A1203" t="s">
        <v>734</v>
      </c>
      <c r="B1203" t="s">
        <v>776</v>
      </c>
      <c r="C1203" t="s">
        <v>233</v>
      </c>
      <c r="D1203" t="s">
        <v>2821</v>
      </c>
      <c r="E1203">
        <v>0</v>
      </c>
      <c r="F1203" t="s">
        <v>2820</v>
      </c>
      <c r="G1203" t="b">
        <v>1</v>
      </c>
      <c r="H1203" t="s">
        <v>706</v>
      </c>
    </row>
    <row r="1204" spans="1:8" x14ac:dyDescent="0.3">
      <c r="A1204" t="s">
        <v>734</v>
      </c>
      <c r="B1204" t="s">
        <v>776</v>
      </c>
      <c r="C1204" t="s">
        <v>233</v>
      </c>
      <c r="D1204" t="s">
        <v>2822</v>
      </c>
      <c r="E1204">
        <v>0</v>
      </c>
      <c r="F1204" t="s">
        <v>2820</v>
      </c>
      <c r="G1204" t="b">
        <v>1</v>
      </c>
      <c r="H1204" t="s">
        <v>708</v>
      </c>
    </row>
    <row r="1205" spans="1:8" x14ac:dyDescent="0.3">
      <c r="A1205" t="s">
        <v>734</v>
      </c>
      <c r="B1205" t="s">
        <v>776</v>
      </c>
      <c r="C1205" t="s">
        <v>233</v>
      </c>
      <c r="D1205" t="s">
        <v>2823</v>
      </c>
      <c r="E1205">
        <v>0</v>
      </c>
      <c r="F1205" t="s">
        <v>2820</v>
      </c>
      <c r="G1205" t="b">
        <v>1</v>
      </c>
      <c r="H1205" t="s">
        <v>710</v>
      </c>
    </row>
    <row r="1206" spans="1:8" x14ac:dyDescent="0.3">
      <c r="A1206" t="s">
        <v>734</v>
      </c>
      <c r="B1206" t="s">
        <v>776</v>
      </c>
      <c r="C1206" t="s">
        <v>233</v>
      </c>
      <c r="D1206" t="s">
        <v>2824</v>
      </c>
      <c r="E1206">
        <v>0</v>
      </c>
      <c r="F1206" t="s">
        <v>2820</v>
      </c>
      <c r="G1206" t="b">
        <v>1</v>
      </c>
      <c r="H1206" t="s">
        <v>2802</v>
      </c>
    </row>
    <row r="1207" spans="1:8" x14ac:dyDescent="0.3">
      <c r="A1207" t="s">
        <v>734</v>
      </c>
      <c r="B1207" t="s">
        <v>776</v>
      </c>
      <c r="C1207" t="s">
        <v>233</v>
      </c>
      <c r="D1207" t="s">
        <v>2825</v>
      </c>
      <c r="E1207">
        <v>0</v>
      </c>
      <c r="F1207" t="s">
        <v>2820</v>
      </c>
      <c r="G1207" t="b">
        <v>1</v>
      </c>
      <c r="H1207" t="s">
        <v>2800</v>
      </c>
    </row>
    <row r="1208" spans="1:8" x14ac:dyDescent="0.3">
      <c r="A1208" t="s">
        <v>734</v>
      </c>
      <c r="B1208" t="s">
        <v>776</v>
      </c>
      <c r="C1208" t="s">
        <v>233</v>
      </c>
      <c r="D1208" t="s">
        <v>2826</v>
      </c>
      <c r="E1208">
        <v>0</v>
      </c>
      <c r="F1208" t="s">
        <v>2820</v>
      </c>
      <c r="G1208" t="b">
        <v>1</v>
      </c>
      <c r="H1208" t="s">
        <v>1935</v>
      </c>
    </row>
    <row r="1209" spans="1:8" x14ac:dyDescent="0.3">
      <c r="A1209" t="s">
        <v>734</v>
      </c>
      <c r="B1209" t="s">
        <v>776</v>
      </c>
      <c r="C1209" t="s">
        <v>233</v>
      </c>
      <c r="D1209" t="s">
        <v>2827</v>
      </c>
      <c r="E1209">
        <v>12000.28</v>
      </c>
      <c r="F1209" t="s">
        <v>2820</v>
      </c>
      <c r="G1209" t="b">
        <v>1</v>
      </c>
      <c r="H1209" t="s">
        <v>2828</v>
      </c>
    </row>
    <row r="1210" spans="1:8" x14ac:dyDescent="0.3">
      <c r="A1210" t="s">
        <v>734</v>
      </c>
      <c r="B1210" t="s">
        <v>776</v>
      </c>
      <c r="C1210" t="s">
        <v>233</v>
      </c>
      <c r="D1210" t="s">
        <v>2829</v>
      </c>
      <c r="E1210">
        <v>12000.28</v>
      </c>
      <c r="F1210" t="s">
        <v>2820</v>
      </c>
      <c r="G1210" t="b">
        <v>1</v>
      </c>
      <c r="H1210" t="s">
        <v>2830</v>
      </c>
    </row>
    <row r="1211" spans="1:8" x14ac:dyDescent="0.3">
      <c r="A1211" t="s">
        <v>734</v>
      </c>
      <c r="B1211" t="s">
        <v>776</v>
      </c>
      <c r="C1211" t="s">
        <v>233</v>
      </c>
      <c r="D1211" t="s">
        <v>2831</v>
      </c>
      <c r="E1211">
        <v>12000.28</v>
      </c>
      <c r="F1211" t="s">
        <v>2820</v>
      </c>
      <c r="G1211" t="b">
        <v>1</v>
      </c>
      <c r="H1211" t="s">
        <v>466</v>
      </c>
    </row>
    <row r="1212" spans="1:8" x14ac:dyDescent="0.3">
      <c r="A1212" t="s">
        <v>734</v>
      </c>
      <c r="B1212" t="s">
        <v>776</v>
      </c>
      <c r="C1212" t="s">
        <v>233</v>
      </c>
      <c r="D1212" t="s">
        <v>2832</v>
      </c>
      <c r="E1212">
        <v>12000.28</v>
      </c>
      <c r="F1212" t="s">
        <v>2820</v>
      </c>
      <c r="G1212" t="b">
        <v>1</v>
      </c>
      <c r="H1212" t="s">
        <v>467</v>
      </c>
    </row>
    <row r="1213" spans="1:8" x14ac:dyDescent="0.3">
      <c r="A1213" t="s">
        <v>734</v>
      </c>
      <c r="B1213" t="s">
        <v>776</v>
      </c>
      <c r="C1213" t="s">
        <v>233</v>
      </c>
      <c r="D1213" t="s">
        <v>2833</v>
      </c>
      <c r="E1213">
        <v>12000.28</v>
      </c>
      <c r="F1213" t="s">
        <v>2820</v>
      </c>
      <c r="G1213" t="b">
        <v>1</v>
      </c>
      <c r="H1213" t="s">
        <v>468</v>
      </c>
    </row>
    <row r="1214" spans="1:8" x14ac:dyDescent="0.3">
      <c r="A1214" t="s">
        <v>734</v>
      </c>
      <c r="B1214" t="s">
        <v>776</v>
      </c>
      <c r="C1214" t="s">
        <v>208</v>
      </c>
      <c r="D1214" t="s">
        <v>2819</v>
      </c>
      <c r="E1214">
        <v>0</v>
      </c>
      <c r="F1214" t="s">
        <v>2820</v>
      </c>
      <c r="G1214" t="b">
        <v>1</v>
      </c>
      <c r="H1214" t="s">
        <v>704</v>
      </c>
    </row>
    <row r="1215" spans="1:8" x14ac:dyDescent="0.3">
      <c r="A1215" t="s">
        <v>734</v>
      </c>
      <c r="B1215" t="s">
        <v>776</v>
      </c>
      <c r="C1215" t="s">
        <v>208</v>
      </c>
      <c r="D1215" t="s">
        <v>2821</v>
      </c>
      <c r="E1215">
        <v>0</v>
      </c>
      <c r="F1215" t="s">
        <v>2820</v>
      </c>
      <c r="G1215" t="b">
        <v>1</v>
      </c>
      <c r="H1215" t="s">
        <v>706</v>
      </c>
    </row>
    <row r="1216" spans="1:8" x14ac:dyDescent="0.3">
      <c r="A1216" t="s">
        <v>734</v>
      </c>
      <c r="B1216" t="s">
        <v>776</v>
      </c>
      <c r="C1216" t="s">
        <v>208</v>
      </c>
      <c r="D1216" t="s">
        <v>2822</v>
      </c>
      <c r="E1216">
        <v>0</v>
      </c>
      <c r="F1216" t="s">
        <v>2820</v>
      </c>
      <c r="G1216" t="b">
        <v>1</v>
      </c>
      <c r="H1216" t="s">
        <v>708</v>
      </c>
    </row>
    <row r="1217" spans="1:8" x14ac:dyDescent="0.3">
      <c r="A1217" t="s">
        <v>734</v>
      </c>
      <c r="B1217" t="s">
        <v>776</v>
      </c>
      <c r="C1217" t="s">
        <v>208</v>
      </c>
      <c r="D1217" t="s">
        <v>2823</v>
      </c>
      <c r="E1217">
        <v>0</v>
      </c>
      <c r="F1217" t="s">
        <v>2820</v>
      </c>
      <c r="G1217" t="b">
        <v>1</v>
      </c>
      <c r="H1217" t="s">
        <v>710</v>
      </c>
    </row>
    <row r="1218" spans="1:8" x14ac:dyDescent="0.3">
      <c r="A1218" t="s">
        <v>734</v>
      </c>
      <c r="B1218" t="s">
        <v>776</v>
      </c>
      <c r="C1218" t="s">
        <v>208</v>
      </c>
      <c r="D1218" t="s">
        <v>2824</v>
      </c>
      <c r="E1218">
        <v>0</v>
      </c>
      <c r="F1218" t="s">
        <v>2820</v>
      </c>
      <c r="G1218" t="b">
        <v>1</v>
      </c>
      <c r="H1218" t="s">
        <v>2802</v>
      </c>
    </row>
    <row r="1219" spans="1:8" x14ac:dyDescent="0.3">
      <c r="A1219" t="s">
        <v>734</v>
      </c>
      <c r="B1219" t="s">
        <v>776</v>
      </c>
      <c r="C1219" t="s">
        <v>208</v>
      </c>
      <c r="D1219" t="s">
        <v>2825</v>
      </c>
      <c r="E1219">
        <v>0</v>
      </c>
      <c r="F1219" t="s">
        <v>2820</v>
      </c>
      <c r="G1219" t="b">
        <v>1</v>
      </c>
      <c r="H1219" t="s">
        <v>2800</v>
      </c>
    </row>
    <row r="1220" spans="1:8" x14ac:dyDescent="0.3">
      <c r="A1220" t="s">
        <v>734</v>
      </c>
      <c r="B1220" t="s">
        <v>776</v>
      </c>
      <c r="C1220" t="s">
        <v>208</v>
      </c>
      <c r="D1220" t="s">
        <v>2826</v>
      </c>
      <c r="E1220">
        <v>0</v>
      </c>
      <c r="F1220" t="s">
        <v>2820</v>
      </c>
      <c r="G1220" t="b">
        <v>1</v>
      </c>
      <c r="H1220" t="s">
        <v>1935</v>
      </c>
    </row>
    <row r="1221" spans="1:8" x14ac:dyDescent="0.3">
      <c r="A1221" t="s">
        <v>734</v>
      </c>
      <c r="B1221" t="s">
        <v>776</v>
      </c>
      <c r="C1221" t="s">
        <v>208</v>
      </c>
      <c r="D1221" t="s">
        <v>2827</v>
      </c>
      <c r="E1221">
        <v>0</v>
      </c>
      <c r="F1221" t="s">
        <v>2820</v>
      </c>
      <c r="G1221" t="b">
        <v>1</v>
      </c>
      <c r="H1221" t="s">
        <v>2828</v>
      </c>
    </row>
    <row r="1222" spans="1:8" x14ac:dyDescent="0.3">
      <c r="A1222" t="s">
        <v>734</v>
      </c>
      <c r="B1222" t="s">
        <v>776</v>
      </c>
      <c r="C1222" t="s">
        <v>208</v>
      </c>
      <c r="D1222" t="s">
        <v>2829</v>
      </c>
      <c r="E1222">
        <v>0</v>
      </c>
      <c r="F1222" t="s">
        <v>2820</v>
      </c>
      <c r="G1222" t="b">
        <v>1</v>
      </c>
      <c r="H1222" t="s">
        <v>2830</v>
      </c>
    </row>
    <row r="1223" spans="1:8" x14ac:dyDescent="0.3">
      <c r="A1223" t="s">
        <v>734</v>
      </c>
      <c r="B1223" t="s">
        <v>776</v>
      </c>
      <c r="C1223" t="s">
        <v>208</v>
      </c>
      <c r="D1223" t="s">
        <v>2831</v>
      </c>
      <c r="E1223">
        <v>0</v>
      </c>
      <c r="F1223" t="s">
        <v>2820</v>
      </c>
      <c r="G1223" t="b">
        <v>1</v>
      </c>
      <c r="H1223" t="s">
        <v>466</v>
      </c>
    </row>
    <row r="1224" spans="1:8" x14ac:dyDescent="0.3">
      <c r="A1224" t="s">
        <v>734</v>
      </c>
      <c r="B1224" t="s">
        <v>776</v>
      </c>
      <c r="C1224" t="s">
        <v>208</v>
      </c>
      <c r="D1224" t="s">
        <v>2832</v>
      </c>
      <c r="E1224">
        <v>0</v>
      </c>
      <c r="F1224" t="s">
        <v>2820</v>
      </c>
      <c r="G1224" t="b">
        <v>1</v>
      </c>
      <c r="H1224" t="s">
        <v>467</v>
      </c>
    </row>
    <row r="1225" spans="1:8" x14ac:dyDescent="0.3">
      <c r="A1225" t="s">
        <v>734</v>
      </c>
      <c r="B1225" t="s">
        <v>776</v>
      </c>
      <c r="C1225" t="s">
        <v>208</v>
      </c>
      <c r="D1225" t="s">
        <v>2833</v>
      </c>
      <c r="E1225">
        <v>0</v>
      </c>
      <c r="F1225" t="s">
        <v>2820</v>
      </c>
      <c r="G1225" t="b">
        <v>1</v>
      </c>
      <c r="H1225" t="s">
        <v>468</v>
      </c>
    </row>
    <row r="1226" spans="1:8" x14ac:dyDescent="0.3">
      <c r="A1226" t="s">
        <v>734</v>
      </c>
      <c r="B1226" t="s">
        <v>776</v>
      </c>
      <c r="C1226" t="s">
        <v>210</v>
      </c>
      <c r="D1226" t="s">
        <v>2819</v>
      </c>
      <c r="E1226">
        <v>0</v>
      </c>
      <c r="F1226" t="s">
        <v>2820</v>
      </c>
      <c r="G1226" t="b">
        <v>1</v>
      </c>
      <c r="H1226" t="s">
        <v>704</v>
      </c>
    </row>
    <row r="1227" spans="1:8" x14ac:dyDescent="0.3">
      <c r="A1227" t="s">
        <v>734</v>
      </c>
      <c r="B1227" t="s">
        <v>776</v>
      </c>
      <c r="C1227" t="s">
        <v>210</v>
      </c>
      <c r="D1227" t="s">
        <v>2821</v>
      </c>
      <c r="E1227">
        <v>0</v>
      </c>
      <c r="F1227" t="s">
        <v>2820</v>
      </c>
      <c r="G1227" t="b">
        <v>1</v>
      </c>
      <c r="H1227" t="s">
        <v>706</v>
      </c>
    </row>
    <row r="1228" spans="1:8" x14ac:dyDescent="0.3">
      <c r="A1228" t="s">
        <v>734</v>
      </c>
      <c r="B1228" t="s">
        <v>776</v>
      </c>
      <c r="C1228" t="s">
        <v>210</v>
      </c>
      <c r="D1228" t="s">
        <v>2822</v>
      </c>
      <c r="E1228">
        <v>0</v>
      </c>
      <c r="F1228" t="s">
        <v>2820</v>
      </c>
      <c r="G1228" t="b">
        <v>1</v>
      </c>
      <c r="H1228" t="s">
        <v>708</v>
      </c>
    </row>
    <row r="1229" spans="1:8" x14ac:dyDescent="0.3">
      <c r="A1229" t="s">
        <v>734</v>
      </c>
      <c r="B1229" t="s">
        <v>776</v>
      </c>
      <c r="C1229" t="s">
        <v>210</v>
      </c>
      <c r="D1229" t="s">
        <v>2823</v>
      </c>
      <c r="E1229">
        <v>0</v>
      </c>
      <c r="F1229" t="s">
        <v>2820</v>
      </c>
      <c r="G1229" t="b">
        <v>1</v>
      </c>
      <c r="H1229" t="s">
        <v>710</v>
      </c>
    </row>
    <row r="1230" spans="1:8" x14ac:dyDescent="0.3">
      <c r="A1230" t="s">
        <v>734</v>
      </c>
      <c r="B1230" t="s">
        <v>776</v>
      </c>
      <c r="C1230" t="s">
        <v>210</v>
      </c>
      <c r="D1230" t="s">
        <v>2824</v>
      </c>
      <c r="E1230">
        <v>0</v>
      </c>
      <c r="F1230" t="s">
        <v>2820</v>
      </c>
      <c r="G1230" t="b">
        <v>1</v>
      </c>
      <c r="H1230" t="s">
        <v>2802</v>
      </c>
    </row>
    <row r="1231" spans="1:8" x14ac:dyDescent="0.3">
      <c r="A1231" t="s">
        <v>734</v>
      </c>
      <c r="B1231" t="s">
        <v>776</v>
      </c>
      <c r="C1231" t="s">
        <v>210</v>
      </c>
      <c r="D1231" t="s">
        <v>2825</v>
      </c>
      <c r="E1231">
        <v>0</v>
      </c>
      <c r="F1231" t="s">
        <v>2820</v>
      </c>
      <c r="G1231" t="b">
        <v>1</v>
      </c>
      <c r="H1231" t="s">
        <v>2800</v>
      </c>
    </row>
    <row r="1232" spans="1:8" x14ac:dyDescent="0.3">
      <c r="A1232" t="s">
        <v>734</v>
      </c>
      <c r="B1232" t="s">
        <v>776</v>
      </c>
      <c r="C1232" t="s">
        <v>210</v>
      </c>
      <c r="D1232" t="s">
        <v>2826</v>
      </c>
      <c r="E1232">
        <v>0</v>
      </c>
      <c r="F1232" t="s">
        <v>2820</v>
      </c>
      <c r="G1232" t="b">
        <v>1</v>
      </c>
      <c r="H1232" t="s">
        <v>1935</v>
      </c>
    </row>
    <row r="1233" spans="1:8" x14ac:dyDescent="0.3">
      <c r="A1233" t="s">
        <v>734</v>
      </c>
      <c r="B1233" t="s">
        <v>776</v>
      </c>
      <c r="C1233" t="s">
        <v>210</v>
      </c>
      <c r="D1233" t="s">
        <v>2827</v>
      </c>
      <c r="E1233">
        <v>0</v>
      </c>
      <c r="F1233" t="s">
        <v>2820</v>
      </c>
      <c r="G1233" t="b">
        <v>1</v>
      </c>
      <c r="H1233" t="s">
        <v>2828</v>
      </c>
    </row>
    <row r="1234" spans="1:8" x14ac:dyDescent="0.3">
      <c r="A1234" t="s">
        <v>734</v>
      </c>
      <c r="B1234" t="s">
        <v>776</v>
      </c>
      <c r="C1234" t="s">
        <v>210</v>
      </c>
      <c r="D1234" t="s">
        <v>2829</v>
      </c>
      <c r="E1234">
        <v>0</v>
      </c>
      <c r="F1234" t="s">
        <v>2820</v>
      </c>
      <c r="G1234" t="b">
        <v>1</v>
      </c>
      <c r="H1234" t="s">
        <v>2830</v>
      </c>
    </row>
    <row r="1235" spans="1:8" x14ac:dyDescent="0.3">
      <c r="A1235" t="s">
        <v>734</v>
      </c>
      <c r="B1235" t="s">
        <v>776</v>
      </c>
      <c r="C1235" t="s">
        <v>210</v>
      </c>
      <c r="D1235" t="s">
        <v>2831</v>
      </c>
      <c r="E1235">
        <v>0</v>
      </c>
      <c r="F1235" t="s">
        <v>2820</v>
      </c>
      <c r="G1235" t="b">
        <v>1</v>
      </c>
      <c r="H1235" t="s">
        <v>466</v>
      </c>
    </row>
    <row r="1236" spans="1:8" x14ac:dyDescent="0.3">
      <c r="A1236" t="s">
        <v>734</v>
      </c>
      <c r="B1236" t="s">
        <v>776</v>
      </c>
      <c r="C1236" t="s">
        <v>210</v>
      </c>
      <c r="D1236" t="s">
        <v>2832</v>
      </c>
      <c r="E1236">
        <v>0</v>
      </c>
      <c r="F1236" t="s">
        <v>2820</v>
      </c>
      <c r="G1236" t="b">
        <v>1</v>
      </c>
      <c r="H1236" t="s">
        <v>467</v>
      </c>
    </row>
    <row r="1237" spans="1:8" x14ac:dyDescent="0.3">
      <c r="A1237" t="s">
        <v>734</v>
      </c>
      <c r="B1237" t="s">
        <v>776</v>
      </c>
      <c r="C1237" t="s">
        <v>210</v>
      </c>
      <c r="D1237" t="s">
        <v>2833</v>
      </c>
      <c r="E1237">
        <v>0</v>
      </c>
      <c r="F1237" t="s">
        <v>2820</v>
      </c>
      <c r="G1237" t="b">
        <v>1</v>
      </c>
      <c r="H1237" t="s">
        <v>468</v>
      </c>
    </row>
    <row r="1238" spans="1:8" x14ac:dyDescent="0.3">
      <c r="A1238" t="s">
        <v>734</v>
      </c>
      <c r="B1238" t="s">
        <v>776</v>
      </c>
      <c r="C1238" t="s">
        <v>220</v>
      </c>
      <c r="D1238" t="s">
        <v>2819</v>
      </c>
      <c r="E1238">
        <v>0</v>
      </c>
      <c r="F1238" t="s">
        <v>2820</v>
      </c>
      <c r="G1238" t="b">
        <v>1</v>
      </c>
      <c r="H1238" t="s">
        <v>704</v>
      </c>
    </row>
    <row r="1239" spans="1:8" x14ac:dyDescent="0.3">
      <c r="A1239" t="s">
        <v>734</v>
      </c>
      <c r="B1239" t="s">
        <v>776</v>
      </c>
      <c r="C1239" t="s">
        <v>220</v>
      </c>
      <c r="D1239" t="s">
        <v>2821</v>
      </c>
      <c r="E1239">
        <v>0</v>
      </c>
      <c r="F1239" t="s">
        <v>2820</v>
      </c>
      <c r="G1239" t="b">
        <v>1</v>
      </c>
      <c r="H1239" t="s">
        <v>706</v>
      </c>
    </row>
    <row r="1240" spans="1:8" x14ac:dyDescent="0.3">
      <c r="A1240" t="s">
        <v>734</v>
      </c>
      <c r="B1240" t="s">
        <v>776</v>
      </c>
      <c r="C1240" t="s">
        <v>220</v>
      </c>
      <c r="D1240" t="s">
        <v>2822</v>
      </c>
      <c r="E1240">
        <v>0</v>
      </c>
      <c r="F1240" t="s">
        <v>2820</v>
      </c>
      <c r="G1240" t="b">
        <v>1</v>
      </c>
      <c r="H1240" t="s">
        <v>708</v>
      </c>
    </row>
    <row r="1241" spans="1:8" x14ac:dyDescent="0.3">
      <c r="A1241" t="s">
        <v>734</v>
      </c>
      <c r="B1241" t="s">
        <v>776</v>
      </c>
      <c r="C1241" t="s">
        <v>220</v>
      </c>
      <c r="D1241" t="s">
        <v>2823</v>
      </c>
      <c r="E1241">
        <v>0</v>
      </c>
      <c r="F1241" t="s">
        <v>2820</v>
      </c>
      <c r="G1241" t="b">
        <v>1</v>
      </c>
      <c r="H1241" t="s">
        <v>710</v>
      </c>
    </row>
    <row r="1242" spans="1:8" x14ac:dyDescent="0.3">
      <c r="A1242" t="s">
        <v>734</v>
      </c>
      <c r="B1242" t="s">
        <v>776</v>
      </c>
      <c r="C1242" t="s">
        <v>220</v>
      </c>
      <c r="D1242" t="s">
        <v>2824</v>
      </c>
      <c r="E1242">
        <v>0</v>
      </c>
      <c r="F1242" t="s">
        <v>2820</v>
      </c>
      <c r="G1242" t="b">
        <v>1</v>
      </c>
      <c r="H1242" t="s">
        <v>2802</v>
      </c>
    </row>
    <row r="1243" spans="1:8" x14ac:dyDescent="0.3">
      <c r="A1243" t="s">
        <v>734</v>
      </c>
      <c r="B1243" t="s">
        <v>776</v>
      </c>
      <c r="C1243" t="s">
        <v>220</v>
      </c>
      <c r="D1243" t="s">
        <v>2825</v>
      </c>
      <c r="E1243">
        <v>0</v>
      </c>
      <c r="F1243" t="s">
        <v>2820</v>
      </c>
      <c r="G1243" t="b">
        <v>1</v>
      </c>
      <c r="H1243" t="s">
        <v>2800</v>
      </c>
    </row>
    <row r="1244" spans="1:8" x14ac:dyDescent="0.3">
      <c r="A1244" t="s">
        <v>734</v>
      </c>
      <c r="B1244" t="s">
        <v>776</v>
      </c>
      <c r="C1244" t="s">
        <v>220</v>
      </c>
      <c r="D1244" t="s">
        <v>2826</v>
      </c>
      <c r="E1244">
        <v>0</v>
      </c>
      <c r="F1244" t="s">
        <v>2820</v>
      </c>
      <c r="G1244" t="b">
        <v>1</v>
      </c>
      <c r="H1244" t="s">
        <v>1935</v>
      </c>
    </row>
    <row r="1245" spans="1:8" x14ac:dyDescent="0.3">
      <c r="A1245" t="s">
        <v>734</v>
      </c>
      <c r="B1245" t="s">
        <v>776</v>
      </c>
      <c r="C1245" t="s">
        <v>220</v>
      </c>
      <c r="D1245" t="s">
        <v>2827</v>
      </c>
      <c r="E1245">
        <v>1017.96</v>
      </c>
      <c r="F1245" t="s">
        <v>2820</v>
      </c>
      <c r="G1245" t="b">
        <v>1</v>
      </c>
      <c r="H1245" t="s">
        <v>2828</v>
      </c>
    </row>
    <row r="1246" spans="1:8" x14ac:dyDescent="0.3">
      <c r="A1246" t="s">
        <v>734</v>
      </c>
      <c r="B1246" t="s">
        <v>776</v>
      </c>
      <c r="C1246" t="s">
        <v>220</v>
      </c>
      <c r="D1246" t="s">
        <v>2829</v>
      </c>
      <c r="E1246">
        <v>1001.66</v>
      </c>
      <c r="F1246" t="s">
        <v>2820</v>
      </c>
      <c r="G1246" t="b">
        <v>1</v>
      </c>
      <c r="H1246" t="s">
        <v>2830</v>
      </c>
    </row>
    <row r="1247" spans="1:8" x14ac:dyDescent="0.3">
      <c r="A1247" t="s">
        <v>734</v>
      </c>
      <c r="B1247" t="s">
        <v>776</v>
      </c>
      <c r="C1247" t="s">
        <v>220</v>
      </c>
      <c r="D1247" t="s">
        <v>2831</v>
      </c>
      <c r="E1247">
        <v>1051.0899999999999</v>
      </c>
      <c r="F1247" t="s">
        <v>2820</v>
      </c>
      <c r="G1247" t="b">
        <v>1</v>
      </c>
      <c r="H1247" t="s">
        <v>466</v>
      </c>
    </row>
    <row r="1248" spans="1:8" x14ac:dyDescent="0.3">
      <c r="A1248" t="s">
        <v>734</v>
      </c>
      <c r="B1248" t="s">
        <v>776</v>
      </c>
      <c r="C1248" t="s">
        <v>220</v>
      </c>
      <c r="D1248" t="s">
        <v>2832</v>
      </c>
      <c r="E1248">
        <v>1006.88</v>
      </c>
      <c r="F1248" t="s">
        <v>2820</v>
      </c>
      <c r="G1248" t="b">
        <v>1</v>
      </c>
      <c r="H1248" t="s">
        <v>467</v>
      </c>
    </row>
    <row r="1249" spans="1:8" x14ac:dyDescent="0.3">
      <c r="A1249" t="s">
        <v>734</v>
      </c>
      <c r="B1249" t="s">
        <v>776</v>
      </c>
      <c r="C1249" t="s">
        <v>220</v>
      </c>
      <c r="D1249" t="s">
        <v>2833</v>
      </c>
      <c r="E1249">
        <v>1055.3499999999999</v>
      </c>
      <c r="F1249" t="s">
        <v>2820</v>
      </c>
      <c r="G1249" t="b">
        <v>1</v>
      </c>
      <c r="H1249" t="s">
        <v>468</v>
      </c>
    </row>
    <row r="1250" spans="1:8" x14ac:dyDescent="0.3">
      <c r="A1250" t="s">
        <v>734</v>
      </c>
      <c r="B1250" t="s">
        <v>776</v>
      </c>
      <c r="C1250" t="s">
        <v>222</v>
      </c>
      <c r="D1250" t="s">
        <v>2819</v>
      </c>
      <c r="E1250">
        <v>0</v>
      </c>
      <c r="F1250" t="s">
        <v>2820</v>
      </c>
      <c r="G1250" t="b">
        <v>1</v>
      </c>
      <c r="H1250" t="s">
        <v>704</v>
      </c>
    </row>
    <row r="1251" spans="1:8" x14ac:dyDescent="0.3">
      <c r="A1251" t="s">
        <v>734</v>
      </c>
      <c r="B1251" t="s">
        <v>776</v>
      </c>
      <c r="C1251" t="s">
        <v>222</v>
      </c>
      <c r="D1251" t="s">
        <v>2821</v>
      </c>
      <c r="E1251">
        <v>0</v>
      </c>
      <c r="F1251" t="s">
        <v>2820</v>
      </c>
      <c r="G1251" t="b">
        <v>1</v>
      </c>
      <c r="H1251" t="s">
        <v>706</v>
      </c>
    </row>
    <row r="1252" spans="1:8" x14ac:dyDescent="0.3">
      <c r="A1252" t="s">
        <v>734</v>
      </c>
      <c r="B1252" t="s">
        <v>776</v>
      </c>
      <c r="C1252" t="s">
        <v>222</v>
      </c>
      <c r="D1252" t="s">
        <v>2822</v>
      </c>
      <c r="E1252">
        <v>0</v>
      </c>
      <c r="F1252" t="s">
        <v>2820</v>
      </c>
      <c r="G1252" t="b">
        <v>1</v>
      </c>
      <c r="H1252" t="s">
        <v>708</v>
      </c>
    </row>
    <row r="1253" spans="1:8" x14ac:dyDescent="0.3">
      <c r="A1253" t="s">
        <v>734</v>
      </c>
      <c r="B1253" t="s">
        <v>776</v>
      </c>
      <c r="C1253" t="s">
        <v>222</v>
      </c>
      <c r="D1253" t="s">
        <v>2823</v>
      </c>
      <c r="E1253">
        <v>0</v>
      </c>
      <c r="F1253" t="s">
        <v>2820</v>
      </c>
      <c r="G1253" t="b">
        <v>1</v>
      </c>
      <c r="H1253" t="s">
        <v>710</v>
      </c>
    </row>
    <row r="1254" spans="1:8" x14ac:dyDescent="0.3">
      <c r="A1254" t="s">
        <v>734</v>
      </c>
      <c r="B1254" t="s">
        <v>776</v>
      </c>
      <c r="C1254" t="s">
        <v>222</v>
      </c>
      <c r="D1254" t="s">
        <v>2824</v>
      </c>
      <c r="E1254">
        <v>0</v>
      </c>
      <c r="F1254" t="s">
        <v>2820</v>
      </c>
      <c r="G1254" t="b">
        <v>1</v>
      </c>
      <c r="H1254" t="s">
        <v>2802</v>
      </c>
    </row>
    <row r="1255" spans="1:8" x14ac:dyDescent="0.3">
      <c r="A1255" t="s">
        <v>734</v>
      </c>
      <c r="B1255" t="s">
        <v>776</v>
      </c>
      <c r="C1255" t="s">
        <v>222</v>
      </c>
      <c r="D1255" t="s">
        <v>2825</v>
      </c>
      <c r="E1255">
        <v>0</v>
      </c>
      <c r="F1255" t="s">
        <v>2820</v>
      </c>
      <c r="G1255" t="b">
        <v>1</v>
      </c>
      <c r="H1255" t="s">
        <v>2800</v>
      </c>
    </row>
    <row r="1256" spans="1:8" x14ac:dyDescent="0.3">
      <c r="A1256" t="s">
        <v>734</v>
      </c>
      <c r="B1256" t="s">
        <v>776</v>
      </c>
      <c r="C1256" t="s">
        <v>222</v>
      </c>
      <c r="D1256" t="s">
        <v>2826</v>
      </c>
      <c r="E1256">
        <v>0</v>
      </c>
      <c r="F1256" t="s">
        <v>2820</v>
      </c>
      <c r="G1256" t="b">
        <v>1</v>
      </c>
      <c r="H1256" t="s">
        <v>1935</v>
      </c>
    </row>
    <row r="1257" spans="1:8" x14ac:dyDescent="0.3">
      <c r="A1257" t="s">
        <v>734</v>
      </c>
      <c r="B1257" t="s">
        <v>776</v>
      </c>
      <c r="C1257" t="s">
        <v>222</v>
      </c>
      <c r="D1257" t="s">
        <v>2827</v>
      </c>
      <c r="E1257">
        <v>4069.4</v>
      </c>
      <c r="F1257" t="s">
        <v>2820</v>
      </c>
      <c r="G1257" t="b">
        <v>1</v>
      </c>
      <c r="H1257" t="s">
        <v>2828</v>
      </c>
    </row>
    <row r="1258" spans="1:8" x14ac:dyDescent="0.3">
      <c r="A1258" t="s">
        <v>734</v>
      </c>
      <c r="B1258" t="s">
        <v>776</v>
      </c>
      <c r="C1258" t="s">
        <v>222</v>
      </c>
      <c r="D1258" t="s">
        <v>2829</v>
      </c>
      <c r="E1258">
        <v>4004.23</v>
      </c>
      <c r="F1258" t="s">
        <v>2820</v>
      </c>
      <c r="G1258" t="b">
        <v>1</v>
      </c>
      <c r="H1258" t="s">
        <v>2830</v>
      </c>
    </row>
    <row r="1259" spans="1:8" x14ac:dyDescent="0.3">
      <c r="A1259" t="s">
        <v>734</v>
      </c>
      <c r="B1259" t="s">
        <v>776</v>
      </c>
      <c r="C1259" t="s">
        <v>222</v>
      </c>
      <c r="D1259" t="s">
        <v>2831</v>
      </c>
      <c r="E1259">
        <v>4201.84</v>
      </c>
      <c r="F1259" t="s">
        <v>2820</v>
      </c>
      <c r="G1259" t="b">
        <v>1</v>
      </c>
      <c r="H1259" t="s">
        <v>466</v>
      </c>
    </row>
    <row r="1260" spans="1:8" x14ac:dyDescent="0.3">
      <c r="A1260" t="s">
        <v>734</v>
      </c>
      <c r="B1260" t="s">
        <v>776</v>
      </c>
      <c r="C1260" t="s">
        <v>222</v>
      </c>
      <c r="D1260" t="s">
        <v>2832</v>
      </c>
      <c r="E1260">
        <v>4025.09</v>
      </c>
      <c r="F1260" t="s">
        <v>2820</v>
      </c>
      <c r="G1260" t="b">
        <v>1</v>
      </c>
      <c r="H1260" t="s">
        <v>467</v>
      </c>
    </row>
    <row r="1261" spans="1:8" x14ac:dyDescent="0.3">
      <c r="A1261" t="s">
        <v>734</v>
      </c>
      <c r="B1261" t="s">
        <v>776</v>
      </c>
      <c r="C1261" t="s">
        <v>222</v>
      </c>
      <c r="D1261" t="s">
        <v>2833</v>
      </c>
      <c r="E1261">
        <v>4218.8500000000004</v>
      </c>
      <c r="F1261" t="s">
        <v>2820</v>
      </c>
      <c r="G1261" t="b">
        <v>1</v>
      </c>
      <c r="H1261" t="s">
        <v>468</v>
      </c>
    </row>
    <row r="1262" spans="1:8" x14ac:dyDescent="0.3">
      <c r="A1262" t="s">
        <v>734</v>
      </c>
      <c r="B1262" t="s">
        <v>776</v>
      </c>
      <c r="C1262" t="s">
        <v>226</v>
      </c>
      <c r="D1262" t="s">
        <v>2819</v>
      </c>
      <c r="E1262">
        <v>0</v>
      </c>
      <c r="F1262" t="s">
        <v>2820</v>
      </c>
      <c r="G1262" t="b">
        <v>1</v>
      </c>
      <c r="H1262" t="s">
        <v>704</v>
      </c>
    </row>
    <row r="1263" spans="1:8" x14ac:dyDescent="0.3">
      <c r="A1263" t="s">
        <v>734</v>
      </c>
      <c r="B1263" t="s">
        <v>776</v>
      </c>
      <c r="C1263" t="s">
        <v>226</v>
      </c>
      <c r="D1263" t="s">
        <v>2821</v>
      </c>
      <c r="E1263">
        <v>0</v>
      </c>
      <c r="F1263" t="s">
        <v>2820</v>
      </c>
      <c r="G1263" t="b">
        <v>1</v>
      </c>
      <c r="H1263" t="s">
        <v>706</v>
      </c>
    </row>
    <row r="1264" spans="1:8" x14ac:dyDescent="0.3">
      <c r="A1264" t="s">
        <v>734</v>
      </c>
      <c r="B1264" t="s">
        <v>776</v>
      </c>
      <c r="C1264" t="s">
        <v>226</v>
      </c>
      <c r="D1264" t="s">
        <v>2822</v>
      </c>
      <c r="E1264">
        <v>0</v>
      </c>
      <c r="F1264" t="s">
        <v>2820</v>
      </c>
      <c r="G1264" t="b">
        <v>1</v>
      </c>
      <c r="H1264" t="s">
        <v>708</v>
      </c>
    </row>
    <row r="1265" spans="1:8" x14ac:dyDescent="0.3">
      <c r="A1265" t="s">
        <v>734</v>
      </c>
      <c r="B1265" t="s">
        <v>776</v>
      </c>
      <c r="C1265" t="s">
        <v>226</v>
      </c>
      <c r="D1265" t="s">
        <v>2823</v>
      </c>
      <c r="E1265">
        <v>0</v>
      </c>
      <c r="F1265" t="s">
        <v>2820</v>
      </c>
      <c r="G1265" t="b">
        <v>1</v>
      </c>
      <c r="H1265" t="s">
        <v>710</v>
      </c>
    </row>
    <row r="1266" spans="1:8" x14ac:dyDescent="0.3">
      <c r="A1266" t="s">
        <v>734</v>
      </c>
      <c r="B1266" t="s">
        <v>776</v>
      </c>
      <c r="C1266" t="s">
        <v>226</v>
      </c>
      <c r="D1266" t="s">
        <v>2824</v>
      </c>
      <c r="E1266">
        <v>0</v>
      </c>
      <c r="F1266" t="s">
        <v>2820</v>
      </c>
      <c r="G1266" t="b">
        <v>1</v>
      </c>
      <c r="H1266" t="s">
        <v>2802</v>
      </c>
    </row>
    <row r="1267" spans="1:8" x14ac:dyDescent="0.3">
      <c r="A1267" t="s">
        <v>734</v>
      </c>
      <c r="B1267" t="s">
        <v>776</v>
      </c>
      <c r="C1267" t="s">
        <v>226</v>
      </c>
      <c r="D1267" t="s">
        <v>2825</v>
      </c>
      <c r="E1267">
        <v>0</v>
      </c>
      <c r="F1267" t="s">
        <v>2820</v>
      </c>
      <c r="G1267" t="b">
        <v>1</v>
      </c>
      <c r="H1267" t="s">
        <v>2800</v>
      </c>
    </row>
    <row r="1268" spans="1:8" x14ac:dyDescent="0.3">
      <c r="A1268" t="s">
        <v>734</v>
      </c>
      <c r="B1268" t="s">
        <v>776</v>
      </c>
      <c r="C1268" t="s">
        <v>226</v>
      </c>
      <c r="D1268" t="s">
        <v>2826</v>
      </c>
      <c r="E1268">
        <v>0</v>
      </c>
      <c r="F1268" t="s">
        <v>2820</v>
      </c>
      <c r="G1268" t="b">
        <v>1</v>
      </c>
      <c r="H1268" t="s">
        <v>1935</v>
      </c>
    </row>
    <row r="1269" spans="1:8" x14ac:dyDescent="0.3">
      <c r="A1269" t="s">
        <v>734</v>
      </c>
      <c r="B1269" t="s">
        <v>776</v>
      </c>
      <c r="C1269" t="s">
        <v>226</v>
      </c>
      <c r="D1269" t="s">
        <v>2827</v>
      </c>
      <c r="E1269">
        <v>0</v>
      </c>
      <c r="F1269" t="s">
        <v>2820</v>
      </c>
      <c r="G1269" t="b">
        <v>1</v>
      </c>
      <c r="H1269" t="s">
        <v>2828</v>
      </c>
    </row>
    <row r="1270" spans="1:8" x14ac:dyDescent="0.3">
      <c r="A1270" t="s">
        <v>734</v>
      </c>
      <c r="B1270" t="s">
        <v>776</v>
      </c>
      <c r="C1270" t="s">
        <v>226</v>
      </c>
      <c r="D1270" t="s">
        <v>2829</v>
      </c>
      <c r="E1270">
        <v>0</v>
      </c>
      <c r="F1270" t="s">
        <v>2820</v>
      </c>
      <c r="G1270" t="b">
        <v>1</v>
      </c>
      <c r="H1270" t="s">
        <v>2830</v>
      </c>
    </row>
    <row r="1271" spans="1:8" x14ac:dyDescent="0.3">
      <c r="A1271" t="s">
        <v>734</v>
      </c>
      <c r="B1271" t="s">
        <v>776</v>
      </c>
      <c r="C1271" t="s">
        <v>226</v>
      </c>
      <c r="D1271" t="s">
        <v>2831</v>
      </c>
      <c r="E1271">
        <v>0</v>
      </c>
      <c r="F1271" t="s">
        <v>2820</v>
      </c>
      <c r="G1271" t="b">
        <v>1</v>
      </c>
      <c r="H1271" t="s">
        <v>466</v>
      </c>
    </row>
    <row r="1272" spans="1:8" x14ac:dyDescent="0.3">
      <c r="A1272" t="s">
        <v>734</v>
      </c>
      <c r="B1272" t="s">
        <v>776</v>
      </c>
      <c r="C1272" t="s">
        <v>226</v>
      </c>
      <c r="D1272" t="s">
        <v>2832</v>
      </c>
      <c r="E1272">
        <v>0</v>
      </c>
      <c r="F1272" t="s">
        <v>2820</v>
      </c>
      <c r="G1272" t="b">
        <v>1</v>
      </c>
      <c r="H1272" t="s">
        <v>467</v>
      </c>
    </row>
    <row r="1273" spans="1:8" x14ac:dyDescent="0.3">
      <c r="A1273" t="s">
        <v>734</v>
      </c>
      <c r="B1273" t="s">
        <v>776</v>
      </c>
      <c r="C1273" t="s">
        <v>226</v>
      </c>
      <c r="D1273" t="s">
        <v>2833</v>
      </c>
      <c r="E1273">
        <v>0</v>
      </c>
      <c r="F1273" t="s">
        <v>2820</v>
      </c>
      <c r="G1273" t="b">
        <v>1</v>
      </c>
      <c r="H1273" t="s">
        <v>468</v>
      </c>
    </row>
    <row r="1274" spans="1:8" x14ac:dyDescent="0.3">
      <c r="A1274" t="s">
        <v>734</v>
      </c>
      <c r="B1274" t="s">
        <v>776</v>
      </c>
      <c r="C1274" t="s">
        <v>236</v>
      </c>
      <c r="D1274" t="s">
        <v>2819</v>
      </c>
      <c r="E1274">
        <v>0</v>
      </c>
      <c r="F1274" t="s">
        <v>2820</v>
      </c>
      <c r="G1274" t="b">
        <v>1</v>
      </c>
      <c r="H1274" t="s">
        <v>704</v>
      </c>
    </row>
    <row r="1275" spans="1:8" x14ac:dyDescent="0.3">
      <c r="A1275" t="s">
        <v>734</v>
      </c>
      <c r="B1275" t="s">
        <v>776</v>
      </c>
      <c r="C1275" t="s">
        <v>236</v>
      </c>
      <c r="D1275" t="s">
        <v>2821</v>
      </c>
      <c r="E1275">
        <v>0</v>
      </c>
      <c r="F1275" t="s">
        <v>2820</v>
      </c>
      <c r="G1275" t="b">
        <v>1</v>
      </c>
      <c r="H1275" t="s">
        <v>706</v>
      </c>
    </row>
    <row r="1276" spans="1:8" x14ac:dyDescent="0.3">
      <c r="A1276" t="s">
        <v>734</v>
      </c>
      <c r="B1276" t="s">
        <v>776</v>
      </c>
      <c r="C1276" t="s">
        <v>236</v>
      </c>
      <c r="D1276" t="s">
        <v>2822</v>
      </c>
      <c r="E1276">
        <v>0</v>
      </c>
      <c r="F1276" t="s">
        <v>2820</v>
      </c>
      <c r="G1276" t="b">
        <v>1</v>
      </c>
      <c r="H1276" t="s">
        <v>708</v>
      </c>
    </row>
    <row r="1277" spans="1:8" x14ac:dyDescent="0.3">
      <c r="A1277" t="s">
        <v>734</v>
      </c>
      <c r="B1277" t="s">
        <v>776</v>
      </c>
      <c r="C1277" t="s">
        <v>236</v>
      </c>
      <c r="D1277" t="s">
        <v>2823</v>
      </c>
      <c r="E1277">
        <v>0</v>
      </c>
      <c r="F1277" t="s">
        <v>2820</v>
      </c>
      <c r="G1277" t="b">
        <v>1</v>
      </c>
      <c r="H1277" t="s">
        <v>710</v>
      </c>
    </row>
    <row r="1278" spans="1:8" x14ac:dyDescent="0.3">
      <c r="A1278" t="s">
        <v>734</v>
      </c>
      <c r="B1278" t="s">
        <v>776</v>
      </c>
      <c r="C1278" t="s">
        <v>236</v>
      </c>
      <c r="D1278" t="s">
        <v>2824</v>
      </c>
      <c r="E1278">
        <v>0</v>
      </c>
      <c r="F1278" t="s">
        <v>2820</v>
      </c>
      <c r="G1278" t="b">
        <v>1</v>
      </c>
      <c r="H1278" t="s">
        <v>2802</v>
      </c>
    </row>
    <row r="1279" spans="1:8" x14ac:dyDescent="0.3">
      <c r="A1279" t="s">
        <v>734</v>
      </c>
      <c r="B1279" t="s">
        <v>776</v>
      </c>
      <c r="C1279" t="s">
        <v>236</v>
      </c>
      <c r="D1279" t="s">
        <v>2825</v>
      </c>
      <c r="E1279">
        <v>0</v>
      </c>
      <c r="F1279" t="s">
        <v>2820</v>
      </c>
      <c r="G1279" t="b">
        <v>1</v>
      </c>
      <c r="H1279" t="s">
        <v>2800</v>
      </c>
    </row>
    <row r="1280" spans="1:8" x14ac:dyDescent="0.3">
      <c r="A1280" t="s">
        <v>734</v>
      </c>
      <c r="B1280" t="s">
        <v>776</v>
      </c>
      <c r="C1280" t="s">
        <v>236</v>
      </c>
      <c r="D1280" t="s">
        <v>2826</v>
      </c>
      <c r="E1280">
        <v>0</v>
      </c>
      <c r="F1280" t="s">
        <v>2820</v>
      </c>
      <c r="G1280" t="b">
        <v>1</v>
      </c>
      <c r="H1280" t="s">
        <v>1935</v>
      </c>
    </row>
    <row r="1281" spans="1:8" x14ac:dyDescent="0.3">
      <c r="A1281" t="s">
        <v>734</v>
      </c>
      <c r="B1281" t="s">
        <v>776</v>
      </c>
      <c r="C1281" t="s">
        <v>236</v>
      </c>
      <c r="D1281" t="s">
        <v>2827</v>
      </c>
      <c r="E1281">
        <v>0</v>
      </c>
      <c r="F1281" t="s">
        <v>2820</v>
      </c>
      <c r="G1281" t="b">
        <v>1</v>
      </c>
      <c r="H1281" t="s">
        <v>2828</v>
      </c>
    </row>
    <row r="1282" spans="1:8" x14ac:dyDescent="0.3">
      <c r="A1282" t="s">
        <v>734</v>
      </c>
      <c r="B1282" t="s">
        <v>776</v>
      </c>
      <c r="C1282" t="s">
        <v>236</v>
      </c>
      <c r="D1282" t="s">
        <v>2829</v>
      </c>
      <c r="E1282">
        <v>0</v>
      </c>
      <c r="F1282" t="s">
        <v>2820</v>
      </c>
      <c r="G1282" t="b">
        <v>1</v>
      </c>
      <c r="H1282" t="s">
        <v>2830</v>
      </c>
    </row>
    <row r="1283" spans="1:8" x14ac:dyDescent="0.3">
      <c r="A1283" t="s">
        <v>734</v>
      </c>
      <c r="B1283" t="s">
        <v>776</v>
      </c>
      <c r="C1283" t="s">
        <v>236</v>
      </c>
      <c r="D1283" t="s">
        <v>2831</v>
      </c>
      <c r="E1283">
        <v>0</v>
      </c>
      <c r="F1283" t="s">
        <v>2820</v>
      </c>
      <c r="G1283" t="b">
        <v>1</v>
      </c>
      <c r="H1283" t="s">
        <v>466</v>
      </c>
    </row>
    <row r="1284" spans="1:8" x14ac:dyDescent="0.3">
      <c r="A1284" t="s">
        <v>734</v>
      </c>
      <c r="B1284" t="s">
        <v>776</v>
      </c>
      <c r="C1284" t="s">
        <v>236</v>
      </c>
      <c r="D1284" t="s">
        <v>2832</v>
      </c>
      <c r="E1284">
        <v>0</v>
      </c>
      <c r="F1284" t="s">
        <v>2820</v>
      </c>
      <c r="G1284" t="b">
        <v>1</v>
      </c>
      <c r="H1284" t="s">
        <v>467</v>
      </c>
    </row>
    <row r="1285" spans="1:8" x14ac:dyDescent="0.3">
      <c r="A1285" t="s">
        <v>734</v>
      </c>
      <c r="B1285" t="s">
        <v>776</v>
      </c>
      <c r="C1285" t="s">
        <v>236</v>
      </c>
      <c r="D1285" t="s">
        <v>2833</v>
      </c>
      <c r="E1285">
        <v>0</v>
      </c>
      <c r="F1285" t="s">
        <v>2820</v>
      </c>
      <c r="G1285" t="b">
        <v>1</v>
      </c>
      <c r="H1285" t="s">
        <v>468</v>
      </c>
    </row>
    <row r="1286" spans="1:8" x14ac:dyDescent="0.3">
      <c r="A1286" t="s">
        <v>734</v>
      </c>
      <c r="B1286" t="s">
        <v>776</v>
      </c>
      <c r="C1286" t="s">
        <v>235</v>
      </c>
      <c r="D1286" t="s">
        <v>2819</v>
      </c>
      <c r="E1286">
        <v>0</v>
      </c>
      <c r="F1286" t="s">
        <v>2820</v>
      </c>
      <c r="G1286" t="b">
        <v>1</v>
      </c>
      <c r="H1286" t="s">
        <v>704</v>
      </c>
    </row>
    <row r="1287" spans="1:8" x14ac:dyDescent="0.3">
      <c r="A1287" t="s">
        <v>734</v>
      </c>
      <c r="B1287" t="s">
        <v>776</v>
      </c>
      <c r="C1287" t="s">
        <v>235</v>
      </c>
      <c r="D1287" t="s">
        <v>2821</v>
      </c>
      <c r="E1287">
        <v>0</v>
      </c>
      <c r="F1287" t="s">
        <v>2820</v>
      </c>
      <c r="G1287" t="b">
        <v>1</v>
      </c>
      <c r="H1287" t="s">
        <v>706</v>
      </c>
    </row>
    <row r="1288" spans="1:8" x14ac:dyDescent="0.3">
      <c r="A1288" t="s">
        <v>734</v>
      </c>
      <c r="B1288" t="s">
        <v>776</v>
      </c>
      <c r="C1288" t="s">
        <v>235</v>
      </c>
      <c r="D1288" t="s">
        <v>2822</v>
      </c>
      <c r="E1288">
        <v>0</v>
      </c>
      <c r="F1288" t="s">
        <v>2820</v>
      </c>
      <c r="G1288" t="b">
        <v>1</v>
      </c>
      <c r="H1288" t="s">
        <v>708</v>
      </c>
    </row>
    <row r="1289" spans="1:8" x14ac:dyDescent="0.3">
      <c r="A1289" t="s">
        <v>734</v>
      </c>
      <c r="B1289" t="s">
        <v>776</v>
      </c>
      <c r="C1289" t="s">
        <v>235</v>
      </c>
      <c r="D1289" t="s">
        <v>2823</v>
      </c>
      <c r="E1289">
        <v>0</v>
      </c>
      <c r="F1289" t="s">
        <v>2820</v>
      </c>
      <c r="G1289" t="b">
        <v>1</v>
      </c>
      <c r="H1289" t="s">
        <v>710</v>
      </c>
    </row>
    <row r="1290" spans="1:8" x14ac:dyDescent="0.3">
      <c r="A1290" t="s">
        <v>734</v>
      </c>
      <c r="B1290" t="s">
        <v>776</v>
      </c>
      <c r="C1290" t="s">
        <v>235</v>
      </c>
      <c r="D1290" t="s">
        <v>2824</v>
      </c>
      <c r="E1290">
        <v>0</v>
      </c>
      <c r="F1290" t="s">
        <v>2820</v>
      </c>
      <c r="G1290" t="b">
        <v>1</v>
      </c>
      <c r="H1290" t="s">
        <v>2802</v>
      </c>
    </row>
    <row r="1291" spans="1:8" x14ac:dyDescent="0.3">
      <c r="A1291" t="s">
        <v>734</v>
      </c>
      <c r="B1291" t="s">
        <v>776</v>
      </c>
      <c r="C1291" t="s">
        <v>235</v>
      </c>
      <c r="D1291" t="s">
        <v>2825</v>
      </c>
      <c r="E1291">
        <v>0</v>
      </c>
      <c r="F1291" t="s">
        <v>2820</v>
      </c>
      <c r="G1291" t="b">
        <v>1</v>
      </c>
      <c r="H1291" t="s">
        <v>2800</v>
      </c>
    </row>
    <row r="1292" spans="1:8" x14ac:dyDescent="0.3">
      <c r="A1292" t="s">
        <v>734</v>
      </c>
      <c r="B1292" t="s">
        <v>776</v>
      </c>
      <c r="C1292" t="s">
        <v>235</v>
      </c>
      <c r="D1292" t="s">
        <v>2826</v>
      </c>
      <c r="E1292">
        <v>0</v>
      </c>
      <c r="F1292" t="s">
        <v>2820</v>
      </c>
      <c r="G1292" t="b">
        <v>1</v>
      </c>
      <c r="H1292" t="s">
        <v>1935</v>
      </c>
    </row>
    <row r="1293" spans="1:8" x14ac:dyDescent="0.3">
      <c r="A1293" t="s">
        <v>734</v>
      </c>
      <c r="B1293" t="s">
        <v>776</v>
      </c>
      <c r="C1293" t="s">
        <v>235</v>
      </c>
      <c r="D1293" t="s">
        <v>2827</v>
      </c>
      <c r="E1293">
        <v>0</v>
      </c>
      <c r="F1293" t="s">
        <v>2820</v>
      </c>
      <c r="G1293" t="b">
        <v>1</v>
      </c>
      <c r="H1293" t="s">
        <v>2828</v>
      </c>
    </row>
    <row r="1294" spans="1:8" x14ac:dyDescent="0.3">
      <c r="A1294" t="s">
        <v>734</v>
      </c>
      <c r="B1294" t="s">
        <v>776</v>
      </c>
      <c r="C1294" t="s">
        <v>235</v>
      </c>
      <c r="D1294" t="s">
        <v>2829</v>
      </c>
      <c r="E1294">
        <v>0</v>
      </c>
      <c r="F1294" t="s">
        <v>2820</v>
      </c>
      <c r="G1294" t="b">
        <v>1</v>
      </c>
      <c r="H1294" t="s">
        <v>2830</v>
      </c>
    </row>
    <row r="1295" spans="1:8" x14ac:dyDescent="0.3">
      <c r="A1295" t="s">
        <v>734</v>
      </c>
      <c r="B1295" t="s">
        <v>776</v>
      </c>
      <c r="C1295" t="s">
        <v>235</v>
      </c>
      <c r="D1295" t="s">
        <v>2831</v>
      </c>
      <c r="E1295">
        <v>0</v>
      </c>
      <c r="F1295" t="s">
        <v>2820</v>
      </c>
      <c r="G1295" t="b">
        <v>1</v>
      </c>
      <c r="H1295" t="s">
        <v>466</v>
      </c>
    </row>
    <row r="1296" spans="1:8" x14ac:dyDescent="0.3">
      <c r="A1296" t="s">
        <v>734</v>
      </c>
      <c r="B1296" t="s">
        <v>776</v>
      </c>
      <c r="C1296" t="s">
        <v>235</v>
      </c>
      <c r="D1296" t="s">
        <v>2832</v>
      </c>
      <c r="E1296">
        <v>0</v>
      </c>
      <c r="F1296" t="s">
        <v>2820</v>
      </c>
      <c r="G1296" t="b">
        <v>1</v>
      </c>
      <c r="H1296" t="s">
        <v>467</v>
      </c>
    </row>
    <row r="1297" spans="1:8" x14ac:dyDescent="0.3">
      <c r="A1297" t="s">
        <v>734</v>
      </c>
      <c r="B1297" t="s">
        <v>776</v>
      </c>
      <c r="C1297" t="s">
        <v>235</v>
      </c>
      <c r="D1297" t="s">
        <v>2833</v>
      </c>
      <c r="E1297">
        <v>0</v>
      </c>
      <c r="F1297" t="s">
        <v>2820</v>
      </c>
      <c r="G1297" t="b">
        <v>1</v>
      </c>
      <c r="H1297" t="s">
        <v>468</v>
      </c>
    </row>
    <row r="1298" spans="1:8" x14ac:dyDescent="0.3">
      <c r="A1298" t="s">
        <v>734</v>
      </c>
      <c r="B1298" t="s">
        <v>776</v>
      </c>
      <c r="C1298" t="s">
        <v>224</v>
      </c>
      <c r="D1298" t="s">
        <v>2819</v>
      </c>
      <c r="E1298">
        <v>0</v>
      </c>
      <c r="F1298" t="s">
        <v>2820</v>
      </c>
      <c r="G1298" t="b">
        <v>1</v>
      </c>
      <c r="H1298" t="s">
        <v>704</v>
      </c>
    </row>
    <row r="1299" spans="1:8" x14ac:dyDescent="0.3">
      <c r="A1299" t="s">
        <v>734</v>
      </c>
      <c r="B1299" t="s">
        <v>776</v>
      </c>
      <c r="C1299" t="s">
        <v>224</v>
      </c>
      <c r="D1299" t="s">
        <v>2821</v>
      </c>
      <c r="E1299">
        <v>0</v>
      </c>
      <c r="F1299" t="s">
        <v>2820</v>
      </c>
      <c r="G1299" t="b">
        <v>1</v>
      </c>
      <c r="H1299" t="s">
        <v>706</v>
      </c>
    </row>
    <row r="1300" spans="1:8" x14ac:dyDescent="0.3">
      <c r="A1300" t="s">
        <v>734</v>
      </c>
      <c r="B1300" t="s">
        <v>776</v>
      </c>
      <c r="C1300" t="s">
        <v>224</v>
      </c>
      <c r="D1300" t="s">
        <v>2822</v>
      </c>
      <c r="E1300">
        <v>0</v>
      </c>
      <c r="F1300" t="s">
        <v>2820</v>
      </c>
      <c r="G1300" t="b">
        <v>1</v>
      </c>
      <c r="H1300" t="s">
        <v>708</v>
      </c>
    </row>
    <row r="1301" spans="1:8" x14ac:dyDescent="0.3">
      <c r="A1301" t="s">
        <v>734</v>
      </c>
      <c r="B1301" t="s">
        <v>776</v>
      </c>
      <c r="C1301" t="s">
        <v>224</v>
      </c>
      <c r="D1301" t="s">
        <v>2823</v>
      </c>
      <c r="E1301">
        <v>0</v>
      </c>
      <c r="F1301" t="s">
        <v>2820</v>
      </c>
      <c r="G1301" t="b">
        <v>1</v>
      </c>
      <c r="H1301" t="s">
        <v>710</v>
      </c>
    </row>
    <row r="1302" spans="1:8" x14ac:dyDescent="0.3">
      <c r="A1302" t="s">
        <v>734</v>
      </c>
      <c r="B1302" t="s">
        <v>776</v>
      </c>
      <c r="C1302" t="s">
        <v>224</v>
      </c>
      <c r="D1302" t="s">
        <v>2824</v>
      </c>
      <c r="E1302">
        <v>0</v>
      </c>
      <c r="F1302" t="s">
        <v>2820</v>
      </c>
      <c r="G1302" t="b">
        <v>1</v>
      </c>
      <c r="H1302" t="s">
        <v>2802</v>
      </c>
    </row>
    <row r="1303" spans="1:8" x14ac:dyDescent="0.3">
      <c r="A1303" t="s">
        <v>734</v>
      </c>
      <c r="B1303" t="s">
        <v>776</v>
      </c>
      <c r="C1303" t="s">
        <v>224</v>
      </c>
      <c r="D1303" t="s">
        <v>2825</v>
      </c>
      <c r="E1303">
        <v>0</v>
      </c>
      <c r="F1303" t="s">
        <v>2820</v>
      </c>
      <c r="G1303" t="b">
        <v>1</v>
      </c>
      <c r="H1303" t="s">
        <v>2800</v>
      </c>
    </row>
    <row r="1304" spans="1:8" x14ac:dyDescent="0.3">
      <c r="A1304" t="s">
        <v>734</v>
      </c>
      <c r="B1304" t="s">
        <v>776</v>
      </c>
      <c r="C1304" t="s">
        <v>224</v>
      </c>
      <c r="D1304" t="s">
        <v>2826</v>
      </c>
      <c r="E1304">
        <v>0</v>
      </c>
      <c r="F1304" t="s">
        <v>2820</v>
      </c>
      <c r="G1304" t="b">
        <v>1</v>
      </c>
      <c r="H1304" t="s">
        <v>1935</v>
      </c>
    </row>
    <row r="1305" spans="1:8" x14ac:dyDescent="0.3">
      <c r="A1305" t="s">
        <v>734</v>
      </c>
      <c r="B1305" t="s">
        <v>776</v>
      </c>
      <c r="C1305" t="s">
        <v>224</v>
      </c>
      <c r="D1305" t="s">
        <v>2827</v>
      </c>
      <c r="E1305">
        <v>5471.82</v>
      </c>
      <c r="F1305" t="s">
        <v>2820</v>
      </c>
      <c r="G1305" t="b">
        <v>1</v>
      </c>
      <c r="H1305" t="s">
        <v>2828</v>
      </c>
    </row>
    <row r="1306" spans="1:8" x14ac:dyDescent="0.3">
      <c r="A1306" t="s">
        <v>734</v>
      </c>
      <c r="B1306" t="s">
        <v>776</v>
      </c>
      <c r="C1306" t="s">
        <v>224</v>
      </c>
      <c r="D1306" t="s">
        <v>2829</v>
      </c>
      <c r="E1306">
        <v>5384.19</v>
      </c>
      <c r="F1306" t="s">
        <v>2820</v>
      </c>
      <c r="G1306" t="b">
        <v>1</v>
      </c>
      <c r="H1306" t="s">
        <v>2830</v>
      </c>
    </row>
    <row r="1307" spans="1:8" x14ac:dyDescent="0.3">
      <c r="A1307" t="s">
        <v>734</v>
      </c>
      <c r="B1307" t="s">
        <v>776</v>
      </c>
      <c r="C1307" t="s">
        <v>224</v>
      </c>
      <c r="D1307" t="s">
        <v>2831</v>
      </c>
      <c r="E1307">
        <v>5649.91</v>
      </c>
      <c r="F1307" t="s">
        <v>2820</v>
      </c>
      <c r="G1307" t="b">
        <v>1</v>
      </c>
      <c r="H1307" t="s">
        <v>466</v>
      </c>
    </row>
    <row r="1308" spans="1:8" x14ac:dyDescent="0.3">
      <c r="A1308" t="s">
        <v>734</v>
      </c>
      <c r="B1308" t="s">
        <v>776</v>
      </c>
      <c r="C1308" t="s">
        <v>224</v>
      </c>
      <c r="D1308" t="s">
        <v>2832</v>
      </c>
      <c r="E1308">
        <v>5412.25</v>
      </c>
      <c r="F1308" t="s">
        <v>2820</v>
      </c>
      <c r="G1308" t="b">
        <v>1</v>
      </c>
      <c r="H1308" t="s">
        <v>467</v>
      </c>
    </row>
    <row r="1309" spans="1:8" x14ac:dyDescent="0.3">
      <c r="A1309" t="s">
        <v>734</v>
      </c>
      <c r="B1309" t="s">
        <v>776</v>
      </c>
      <c r="C1309" t="s">
        <v>224</v>
      </c>
      <c r="D1309" t="s">
        <v>2833</v>
      </c>
      <c r="E1309">
        <v>5672.78</v>
      </c>
      <c r="F1309" t="s">
        <v>2820</v>
      </c>
      <c r="G1309" t="b">
        <v>1</v>
      </c>
      <c r="H1309" t="s">
        <v>468</v>
      </c>
    </row>
    <row r="1310" spans="1:8" x14ac:dyDescent="0.3">
      <c r="A1310" t="s">
        <v>734</v>
      </c>
      <c r="B1310" t="s">
        <v>880</v>
      </c>
      <c r="C1310" t="s">
        <v>202</v>
      </c>
      <c r="D1310" t="s">
        <v>2819</v>
      </c>
      <c r="E1310">
        <v>0</v>
      </c>
      <c r="F1310" t="s">
        <v>2820</v>
      </c>
      <c r="G1310" t="b">
        <v>1</v>
      </c>
      <c r="H1310" t="s">
        <v>704</v>
      </c>
    </row>
    <row r="1311" spans="1:8" x14ac:dyDescent="0.3">
      <c r="A1311" t="s">
        <v>734</v>
      </c>
      <c r="B1311" t="s">
        <v>880</v>
      </c>
      <c r="C1311" t="s">
        <v>202</v>
      </c>
      <c r="D1311" t="s">
        <v>2821</v>
      </c>
      <c r="E1311">
        <v>0</v>
      </c>
      <c r="F1311" t="s">
        <v>2820</v>
      </c>
      <c r="G1311" t="b">
        <v>1</v>
      </c>
      <c r="H1311" t="s">
        <v>706</v>
      </c>
    </row>
    <row r="1312" spans="1:8" x14ac:dyDescent="0.3">
      <c r="A1312" t="s">
        <v>734</v>
      </c>
      <c r="B1312" t="s">
        <v>880</v>
      </c>
      <c r="C1312" t="s">
        <v>202</v>
      </c>
      <c r="D1312" t="s">
        <v>2822</v>
      </c>
      <c r="E1312">
        <v>0</v>
      </c>
      <c r="F1312" t="s">
        <v>2820</v>
      </c>
      <c r="G1312" t="b">
        <v>1</v>
      </c>
      <c r="H1312" t="s">
        <v>708</v>
      </c>
    </row>
    <row r="1313" spans="1:8" x14ac:dyDescent="0.3">
      <c r="A1313" t="s">
        <v>734</v>
      </c>
      <c r="B1313" t="s">
        <v>880</v>
      </c>
      <c r="C1313" t="s">
        <v>202</v>
      </c>
      <c r="D1313" t="s">
        <v>2823</v>
      </c>
      <c r="E1313">
        <v>0</v>
      </c>
      <c r="F1313" t="s">
        <v>2820</v>
      </c>
      <c r="G1313" t="b">
        <v>1</v>
      </c>
      <c r="H1313" t="s">
        <v>710</v>
      </c>
    </row>
    <row r="1314" spans="1:8" x14ac:dyDescent="0.3">
      <c r="A1314" t="s">
        <v>734</v>
      </c>
      <c r="B1314" t="s">
        <v>880</v>
      </c>
      <c r="C1314" t="s">
        <v>202</v>
      </c>
      <c r="D1314" t="s">
        <v>2824</v>
      </c>
      <c r="E1314">
        <v>0</v>
      </c>
      <c r="F1314" t="s">
        <v>2820</v>
      </c>
      <c r="G1314" t="b">
        <v>1</v>
      </c>
      <c r="H1314" t="s">
        <v>2802</v>
      </c>
    </row>
    <row r="1315" spans="1:8" x14ac:dyDescent="0.3">
      <c r="A1315" t="s">
        <v>734</v>
      </c>
      <c r="B1315" t="s">
        <v>880</v>
      </c>
      <c r="C1315" t="s">
        <v>202</v>
      </c>
      <c r="D1315" t="s">
        <v>2825</v>
      </c>
      <c r="E1315">
        <v>0</v>
      </c>
      <c r="F1315" t="s">
        <v>2820</v>
      </c>
      <c r="G1315" t="b">
        <v>1</v>
      </c>
      <c r="H1315" t="s">
        <v>2800</v>
      </c>
    </row>
    <row r="1316" spans="1:8" x14ac:dyDescent="0.3">
      <c r="A1316" t="s">
        <v>734</v>
      </c>
      <c r="B1316" t="s">
        <v>880</v>
      </c>
      <c r="C1316" t="s">
        <v>202</v>
      </c>
      <c r="D1316" t="s">
        <v>2826</v>
      </c>
      <c r="E1316">
        <v>0</v>
      </c>
      <c r="F1316" t="s">
        <v>2820</v>
      </c>
      <c r="G1316" t="b">
        <v>1</v>
      </c>
      <c r="H1316" t="s">
        <v>1935</v>
      </c>
    </row>
    <row r="1317" spans="1:8" x14ac:dyDescent="0.3">
      <c r="A1317" t="s">
        <v>734</v>
      </c>
      <c r="B1317" t="s">
        <v>880</v>
      </c>
      <c r="C1317" t="s">
        <v>202</v>
      </c>
      <c r="D1317" t="s">
        <v>2827</v>
      </c>
      <c r="E1317">
        <v>91001.73</v>
      </c>
      <c r="F1317" t="s">
        <v>2820</v>
      </c>
      <c r="G1317" t="b">
        <v>1</v>
      </c>
      <c r="H1317" t="s">
        <v>2828</v>
      </c>
    </row>
    <row r="1318" spans="1:8" x14ac:dyDescent="0.3">
      <c r="A1318" t="s">
        <v>734</v>
      </c>
      <c r="B1318" t="s">
        <v>880</v>
      </c>
      <c r="C1318" t="s">
        <v>202</v>
      </c>
      <c r="D1318" t="s">
        <v>2829</v>
      </c>
      <c r="E1318">
        <v>88165.29</v>
      </c>
      <c r="F1318" t="s">
        <v>2820</v>
      </c>
      <c r="G1318" t="b">
        <v>1</v>
      </c>
      <c r="H1318" t="s">
        <v>2830</v>
      </c>
    </row>
    <row r="1319" spans="1:8" x14ac:dyDescent="0.3">
      <c r="A1319" t="s">
        <v>734</v>
      </c>
      <c r="B1319" t="s">
        <v>880</v>
      </c>
      <c r="C1319" t="s">
        <v>202</v>
      </c>
      <c r="D1319" t="s">
        <v>2831</v>
      </c>
      <c r="E1319">
        <v>96767.95</v>
      </c>
      <c r="F1319" t="s">
        <v>2820</v>
      </c>
      <c r="G1319" t="b">
        <v>1</v>
      </c>
      <c r="H1319" t="s">
        <v>466</v>
      </c>
    </row>
    <row r="1320" spans="1:8" x14ac:dyDescent="0.3">
      <c r="A1320" t="s">
        <v>734</v>
      </c>
      <c r="B1320" t="s">
        <v>880</v>
      </c>
      <c r="C1320" t="s">
        <v>202</v>
      </c>
      <c r="D1320" t="s">
        <v>2832</v>
      </c>
      <c r="E1320">
        <v>89143.46</v>
      </c>
      <c r="F1320" t="s">
        <v>2820</v>
      </c>
      <c r="G1320" t="b">
        <v>1</v>
      </c>
      <c r="H1320" t="s">
        <v>467</v>
      </c>
    </row>
    <row r="1321" spans="1:8" x14ac:dyDescent="0.3">
      <c r="A1321" t="s">
        <v>734</v>
      </c>
      <c r="B1321" t="s">
        <v>880</v>
      </c>
      <c r="C1321" t="s">
        <v>202</v>
      </c>
      <c r="D1321" t="s">
        <v>2833</v>
      </c>
      <c r="E1321">
        <v>97119</v>
      </c>
      <c r="F1321" t="s">
        <v>2820</v>
      </c>
      <c r="G1321" t="b">
        <v>1</v>
      </c>
      <c r="H1321" t="s">
        <v>468</v>
      </c>
    </row>
    <row r="1322" spans="1:8" x14ac:dyDescent="0.3">
      <c r="A1322" t="s">
        <v>734</v>
      </c>
      <c r="B1322" t="s">
        <v>792</v>
      </c>
      <c r="C1322" t="s">
        <v>793</v>
      </c>
      <c r="D1322" t="s">
        <v>2819</v>
      </c>
      <c r="E1322">
        <v>0</v>
      </c>
      <c r="F1322" t="s">
        <v>2820</v>
      </c>
      <c r="G1322" t="b">
        <v>1</v>
      </c>
      <c r="H1322" t="s">
        <v>704</v>
      </c>
    </row>
    <row r="1323" spans="1:8" x14ac:dyDescent="0.3">
      <c r="A1323" t="s">
        <v>734</v>
      </c>
      <c r="B1323" t="s">
        <v>792</v>
      </c>
      <c r="C1323" t="s">
        <v>793</v>
      </c>
      <c r="D1323" t="s">
        <v>2821</v>
      </c>
      <c r="E1323">
        <v>0</v>
      </c>
      <c r="F1323" t="s">
        <v>2820</v>
      </c>
      <c r="G1323" t="b">
        <v>1</v>
      </c>
      <c r="H1323" t="s">
        <v>706</v>
      </c>
    </row>
    <row r="1324" spans="1:8" x14ac:dyDescent="0.3">
      <c r="A1324" t="s">
        <v>734</v>
      </c>
      <c r="B1324" t="s">
        <v>792</v>
      </c>
      <c r="C1324" t="s">
        <v>793</v>
      </c>
      <c r="D1324" t="s">
        <v>2822</v>
      </c>
      <c r="E1324">
        <v>0</v>
      </c>
      <c r="F1324" t="s">
        <v>2820</v>
      </c>
      <c r="G1324" t="b">
        <v>1</v>
      </c>
      <c r="H1324" t="s">
        <v>708</v>
      </c>
    </row>
    <row r="1325" spans="1:8" x14ac:dyDescent="0.3">
      <c r="A1325" t="s">
        <v>734</v>
      </c>
      <c r="B1325" t="s">
        <v>792</v>
      </c>
      <c r="C1325" t="s">
        <v>793</v>
      </c>
      <c r="D1325" t="s">
        <v>2823</v>
      </c>
      <c r="E1325">
        <v>0</v>
      </c>
      <c r="F1325" t="s">
        <v>2820</v>
      </c>
      <c r="G1325" t="b">
        <v>1</v>
      </c>
      <c r="H1325" t="s">
        <v>710</v>
      </c>
    </row>
    <row r="1326" spans="1:8" x14ac:dyDescent="0.3">
      <c r="A1326" t="s">
        <v>734</v>
      </c>
      <c r="B1326" t="s">
        <v>792</v>
      </c>
      <c r="C1326" t="s">
        <v>793</v>
      </c>
      <c r="D1326" t="s">
        <v>2824</v>
      </c>
      <c r="E1326">
        <v>0</v>
      </c>
      <c r="F1326" t="s">
        <v>2820</v>
      </c>
      <c r="G1326" t="b">
        <v>1</v>
      </c>
      <c r="H1326" t="s">
        <v>2802</v>
      </c>
    </row>
    <row r="1327" spans="1:8" x14ac:dyDescent="0.3">
      <c r="A1327" t="s">
        <v>734</v>
      </c>
      <c r="B1327" t="s">
        <v>792</v>
      </c>
      <c r="C1327" t="s">
        <v>793</v>
      </c>
      <c r="D1327" t="s">
        <v>2825</v>
      </c>
      <c r="E1327">
        <v>0</v>
      </c>
      <c r="F1327" t="s">
        <v>2820</v>
      </c>
      <c r="G1327" t="b">
        <v>1</v>
      </c>
      <c r="H1327" t="s">
        <v>2800</v>
      </c>
    </row>
    <row r="1328" spans="1:8" x14ac:dyDescent="0.3">
      <c r="A1328" t="s">
        <v>734</v>
      </c>
      <c r="B1328" t="s">
        <v>792</v>
      </c>
      <c r="C1328" t="s">
        <v>793</v>
      </c>
      <c r="D1328" t="s">
        <v>2826</v>
      </c>
      <c r="E1328">
        <v>0</v>
      </c>
      <c r="F1328" t="s">
        <v>2820</v>
      </c>
      <c r="G1328" t="b">
        <v>1</v>
      </c>
      <c r="H1328" t="s">
        <v>1935</v>
      </c>
    </row>
    <row r="1329" spans="1:8" x14ac:dyDescent="0.3">
      <c r="A1329" t="s">
        <v>734</v>
      </c>
      <c r="B1329" t="s">
        <v>792</v>
      </c>
      <c r="C1329" t="s">
        <v>793</v>
      </c>
      <c r="D1329" t="s">
        <v>2827</v>
      </c>
      <c r="E1329">
        <v>79766.67</v>
      </c>
      <c r="F1329" t="s">
        <v>2820</v>
      </c>
      <c r="G1329" t="b">
        <v>1</v>
      </c>
      <c r="H1329" t="s">
        <v>2828</v>
      </c>
    </row>
    <row r="1330" spans="1:8" x14ac:dyDescent="0.3">
      <c r="A1330" t="s">
        <v>734</v>
      </c>
      <c r="B1330" t="s">
        <v>792</v>
      </c>
      <c r="C1330" t="s">
        <v>793</v>
      </c>
      <c r="D1330" t="s">
        <v>2829</v>
      </c>
      <c r="E1330">
        <v>79766.67</v>
      </c>
      <c r="F1330" t="s">
        <v>2820</v>
      </c>
      <c r="G1330" t="b">
        <v>1</v>
      </c>
      <c r="H1330" t="s">
        <v>2830</v>
      </c>
    </row>
    <row r="1331" spans="1:8" x14ac:dyDescent="0.3">
      <c r="A1331" t="s">
        <v>734</v>
      </c>
      <c r="B1331" t="s">
        <v>792</v>
      </c>
      <c r="C1331" t="s">
        <v>793</v>
      </c>
      <c r="D1331" t="s">
        <v>2831</v>
      </c>
      <c r="E1331">
        <v>79766.67</v>
      </c>
      <c r="F1331" t="s">
        <v>2820</v>
      </c>
      <c r="G1331" t="b">
        <v>1</v>
      </c>
      <c r="H1331" t="s">
        <v>466</v>
      </c>
    </row>
    <row r="1332" spans="1:8" x14ac:dyDescent="0.3">
      <c r="A1332" t="s">
        <v>734</v>
      </c>
      <c r="B1332" t="s">
        <v>792</v>
      </c>
      <c r="C1332" t="s">
        <v>793</v>
      </c>
      <c r="D1332" t="s">
        <v>2832</v>
      </c>
      <c r="E1332">
        <v>79766.67</v>
      </c>
      <c r="F1332" t="s">
        <v>2820</v>
      </c>
      <c r="G1332" t="b">
        <v>1</v>
      </c>
      <c r="H1332" t="s">
        <v>467</v>
      </c>
    </row>
    <row r="1333" spans="1:8" x14ac:dyDescent="0.3">
      <c r="A1333" t="s">
        <v>734</v>
      </c>
      <c r="B1333" t="s">
        <v>792</v>
      </c>
      <c r="C1333" t="s">
        <v>793</v>
      </c>
      <c r="D1333" t="s">
        <v>2833</v>
      </c>
      <c r="E1333">
        <v>79766.67</v>
      </c>
      <c r="F1333" t="s">
        <v>2820</v>
      </c>
      <c r="G1333" t="b">
        <v>1</v>
      </c>
      <c r="H1333" t="s">
        <v>468</v>
      </c>
    </row>
    <row r="1334" spans="1:8" x14ac:dyDescent="0.3">
      <c r="A1334" t="s">
        <v>734</v>
      </c>
      <c r="B1334" t="s">
        <v>792</v>
      </c>
      <c r="C1334" t="s">
        <v>64</v>
      </c>
      <c r="D1334" t="s">
        <v>2819</v>
      </c>
      <c r="E1334">
        <v>0</v>
      </c>
      <c r="F1334" t="s">
        <v>2820</v>
      </c>
      <c r="G1334" t="b">
        <v>1</v>
      </c>
      <c r="H1334" t="s">
        <v>704</v>
      </c>
    </row>
    <row r="1335" spans="1:8" x14ac:dyDescent="0.3">
      <c r="A1335" t="s">
        <v>734</v>
      </c>
      <c r="B1335" t="s">
        <v>792</v>
      </c>
      <c r="C1335" t="s">
        <v>64</v>
      </c>
      <c r="D1335" t="s">
        <v>2821</v>
      </c>
      <c r="E1335">
        <v>0</v>
      </c>
      <c r="F1335" t="s">
        <v>2820</v>
      </c>
      <c r="G1335" t="b">
        <v>1</v>
      </c>
      <c r="H1335" t="s">
        <v>706</v>
      </c>
    </row>
    <row r="1336" spans="1:8" x14ac:dyDescent="0.3">
      <c r="A1336" t="s">
        <v>734</v>
      </c>
      <c r="B1336" t="s">
        <v>792</v>
      </c>
      <c r="C1336" t="s">
        <v>64</v>
      </c>
      <c r="D1336" t="s">
        <v>2822</v>
      </c>
      <c r="E1336">
        <v>0</v>
      </c>
      <c r="F1336" t="s">
        <v>2820</v>
      </c>
      <c r="G1336" t="b">
        <v>1</v>
      </c>
      <c r="H1336" t="s">
        <v>708</v>
      </c>
    </row>
    <row r="1337" spans="1:8" x14ac:dyDescent="0.3">
      <c r="A1337" t="s">
        <v>734</v>
      </c>
      <c r="B1337" t="s">
        <v>792</v>
      </c>
      <c r="C1337" t="s">
        <v>64</v>
      </c>
      <c r="D1337" t="s">
        <v>2823</v>
      </c>
      <c r="E1337">
        <v>0</v>
      </c>
      <c r="F1337" t="s">
        <v>2820</v>
      </c>
      <c r="G1337" t="b">
        <v>1</v>
      </c>
      <c r="H1337" t="s">
        <v>710</v>
      </c>
    </row>
    <row r="1338" spans="1:8" x14ac:dyDescent="0.3">
      <c r="A1338" t="s">
        <v>734</v>
      </c>
      <c r="B1338" t="s">
        <v>792</v>
      </c>
      <c r="C1338" t="s">
        <v>64</v>
      </c>
      <c r="D1338" t="s">
        <v>2824</v>
      </c>
      <c r="E1338">
        <v>0</v>
      </c>
      <c r="F1338" t="s">
        <v>2820</v>
      </c>
      <c r="G1338" t="b">
        <v>1</v>
      </c>
      <c r="H1338" t="s">
        <v>2802</v>
      </c>
    </row>
    <row r="1339" spans="1:8" x14ac:dyDescent="0.3">
      <c r="A1339" t="s">
        <v>734</v>
      </c>
      <c r="B1339" t="s">
        <v>792</v>
      </c>
      <c r="C1339" t="s">
        <v>64</v>
      </c>
      <c r="D1339" t="s">
        <v>2825</v>
      </c>
      <c r="E1339">
        <v>0</v>
      </c>
      <c r="F1339" t="s">
        <v>2820</v>
      </c>
      <c r="G1339" t="b">
        <v>1</v>
      </c>
      <c r="H1339" t="s">
        <v>2800</v>
      </c>
    </row>
    <row r="1340" spans="1:8" x14ac:dyDescent="0.3">
      <c r="A1340" t="s">
        <v>734</v>
      </c>
      <c r="B1340" t="s">
        <v>792</v>
      </c>
      <c r="C1340" t="s">
        <v>64</v>
      </c>
      <c r="D1340" t="s">
        <v>2826</v>
      </c>
      <c r="E1340">
        <v>0</v>
      </c>
      <c r="F1340" t="s">
        <v>2820</v>
      </c>
      <c r="G1340" t="b">
        <v>1</v>
      </c>
      <c r="H1340" t="s">
        <v>1935</v>
      </c>
    </row>
    <row r="1341" spans="1:8" x14ac:dyDescent="0.3">
      <c r="A1341" t="s">
        <v>734</v>
      </c>
      <c r="B1341" t="s">
        <v>792</v>
      </c>
      <c r="C1341" t="s">
        <v>64</v>
      </c>
      <c r="D1341" t="s">
        <v>2827</v>
      </c>
      <c r="E1341">
        <v>0</v>
      </c>
      <c r="F1341" t="s">
        <v>2820</v>
      </c>
      <c r="G1341" t="b">
        <v>1</v>
      </c>
      <c r="H1341" t="s">
        <v>2828</v>
      </c>
    </row>
    <row r="1342" spans="1:8" x14ac:dyDescent="0.3">
      <c r="A1342" t="s">
        <v>734</v>
      </c>
      <c r="B1342" t="s">
        <v>792</v>
      </c>
      <c r="C1342" t="s">
        <v>64</v>
      </c>
      <c r="D1342" t="s">
        <v>2829</v>
      </c>
      <c r="E1342">
        <v>0</v>
      </c>
      <c r="F1342" t="s">
        <v>2820</v>
      </c>
      <c r="G1342" t="b">
        <v>1</v>
      </c>
      <c r="H1342" t="s">
        <v>2830</v>
      </c>
    </row>
    <row r="1343" spans="1:8" x14ac:dyDescent="0.3">
      <c r="A1343" t="s">
        <v>734</v>
      </c>
      <c r="B1343" t="s">
        <v>792</v>
      </c>
      <c r="C1343" t="s">
        <v>64</v>
      </c>
      <c r="D1343" t="s">
        <v>2831</v>
      </c>
      <c r="E1343">
        <v>0</v>
      </c>
      <c r="F1343" t="s">
        <v>2820</v>
      </c>
      <c r="G1343" t="b">
        <v>1</v>
      </c>
      <c r="H1343" t="s">
        <v>466</v>
      </c>
    </row>
    <row r="1344" spans="1:8" x14ac:dyDescent="0.3">
      <c r="A1344" t="s">
        <v>734</v>
      </c>
      <c r="B1344" t="s">
        <v>792</v>
      </c>
      <c r="C1344" t="s">
        <v>64</v>
      </c>
      <c r="D1344" t="s">
        <v>2832</v>
      </c>
      <c r="E1344">
        <v>0</v>
      </c>
      <c r="F1344" t="s">
        <v>2820</v>
      </c>
      <c r="G1344" t="b">
        <v>1</v>
      </c>
      <c r="H1344" t="s">
        <v>467</v>
      </c>
    </row>
    <row r="1345" spans="1:8" x14ac:dyDescent="0.3">
      <c r="A1345" t="s">
        <v>734</v>
      </c>
      <c r="B1345" t="s">
        <v>792</v>
      </c>
      <c r="C1345" t="s">
        <v>64</v>
      </c>
      <c r="D1345" t="s">
        <v>2833</v>
      </c>
      <c r="E1345">
        <v>0</v>
      </c>
      <c r="F1345" t="s">
        <v>2820</v>
      </c>
      <c r="G1345" t="b">
        <v>1</v>
      </c>
      <c r="H1345" t="s">
        <v>468</v>
      </c>
    </row>
    <row r="1346" spans="1:8" x14ac:dyDescent="0.3">
      <c r="A1346" t="s">
        <v>734</v>
      </c>
      <c r="B1346" t="s">
        <v>792</v>
      </c>
      <c r="C1346" t="s">
        <v>73</v>
      </c>
      <c r="D1346" t="s">
        <v>2819</v>
      </c>
      <c r="E1346">
        <v>0</v>
      </c>
      <c r="F1346" t="s">
        <v>2820</v>
      </c>
      <c r="G1346" t="b">
        <v>1</v>
      </c>
      <c r="H1346" t="s">
        <v>704</v>
      </c>
    </row>
    <row r="1347" spans="1:8" x14ac:dyDescent="0.3">
      <c r="A1347" t="s">
        <v>734</v>
      </c>
      <c r="B1347" t="s">
        <v>792</v>
      </c>
      <c r="C1347" t="s">
        <v>73</v>
      </c>
      <c r="D1347" t="s">
        <v>2821</v>
      </c>
      <c r="E1347">
        <v>0</v>
      </c>
      <c r="F1347" t="s">
        <v>2820</v>
      </c>
      <c r="G1347" t="b">
        <v>1</v>
      </c>
      <c r="H1347" t="s">
        <v>706</v>
      </c>
    </row>
    <row r="1348" spans="1:8" x14ac:dyDescent="0.3">
      <c r="A1348" t="s">
        <v>734</v>
      </c>
      <c r="B1348" t="s">
        <v>792</v>
      </c>
      <c r="C1348" t="s">
        <v>73</v>
      </c>
      <c r="D1348" t="s">
        <v>2822</v>
      </c>
      <c r="E1348">
        <v>0</v>
      </c>
      <c r="F1348" t="s">
        <v>2820</v>
      </c>
      <c r="G1348" t="b">
        <v>1</v>
      </c>
      <c r="H1348" t="s">
        <v>708</v>
      </c>
    </row>
    <row r="1349" spans="1:8" x14ac:dyDescent="0.3">
      <c r="A1349" t="s">
        <v>734</v>
      </c>
      <c r="B1349" t="s">
        <v>792</v>
      </c>
      <c r="C1349" t="s">
        <v>73</v>
      </c>
      <c r="D1349" t="s">
        <v>2823</v>
      </c>
      <c r="E1349">
        <v>0</v>
      </c>
      <c r="F1349" t="s">
        <v>2820</v>
      </c>
      <c r="G1349" t="b">
        <v>1</v>
      </c>
      <c r="H1349" t="s">
        <v>710</v>
      </c>
    </row>
    <row r="1350" spans="1:8" x14ac:dyDescent="0.3">
      <c r="A1350" t="s">
        <v>734</v>
      </c>
      <c r="B1350" t="s">
        <v>792</v>
      </c>
      <c r="C1350" t="s">
        <v>73</v>
      </c>
      <c r="D1350" t="s">
        <v>2824</v>
      </c>
      <c r="E1350">
        <v>0</v>
      </c>
      <c r="F1350" t="s">
        <v>2820</v>
      </c>
      <c r="G1350" t="b">
        <v>1</v>
      </c>
      <c r="H1350" t="s">
        <v>2802</v>
      </c>
    </row>
    <row r="1351" spans="1:8" x14ac:dyDescent="0.3">
      <c r="A1351" t="s">
        <v>734</v>
      </c>
      <c r="B1351" t="s">
        <v>792</v>
      </c>
      <c r="C1351" t="s">
        <v>73</v>
      </c>
      <c r="D1351" t="s">
        <v>2825</v>
      </c>
      <c r="E1351">
        <v>0</v>
      </c>
      <c r="F1351" t="s">
        <v>2820</v>
      </c>
      <c r="G1351" t="b">
        <v>1</v>
      </c>
      <c r="H1351" t="s">
        <v>2800</v>
      </c>
    </row>
    <row r="1352" spans="1:8" x14ac:dyDescent="0.3">
      <c r="A1352" t="s">
        <v>734</v>
      </c>
      <c r="B1352" t="s">
        <v>792</v>
      </c>
      <c r="C1352" t="s">
        <v>73</v>
      </c>
      <c r="D1352" t="s">
        <v>2826</v>
      </c>
      <c r="E1352">
        <v>0</v>
      </c>
      <c r="F1352" t="s">
        <v>2820</v>
      </c>
      <c r="G1352" t="b">
        <v>1</v>
      </c>
      <c r="H1352" t="s">
        <v>1935</v>
      </c>
    </row>
    <row r="1353" spans="1:8" x14ac:dyDescent="0.3">
      <c r="A1353" t="s">
        <v>734</v>
      </c>
      <c r="B1353" t="s">
        <v>792</v>
      </c>
      <c r="C1353" t="s">
        <v>73</v>
      </c>
      <c r="D1353" t="s">
        <v>2827</v>
      </c>
      <c r="E1353">
        <v>4500</v>
      </c>
      <c r="F1353" t="s">
        <v>2820</v>
      </c>
      <c r="G1353" t="b">
        <v>1</v>
      </c>
      <c r="H1353" t="s">
        <v>2828</v>
      </c>
    </row>
    <row r="1354" spans="1:8" x14ac:dyDescent="0.3">
      <c r="A1354" t="s">
        <v>734</v>
      </c>
      <c r="B1354" t="s">
        <v>792</v>
      </c>
      <c r="C1354" t="s">
        <v>73</v>
      </c>
      <c r="D1354" t="s">
        <v>2829</v>
      </c>
      <c r="E1354">
        <v>4500</v>
      </c>
      <c r="F1354" t="s">
        <v>2820</v>
      </c>
      <c r="G1354" t="b">
        <v>1</v>
      </c>
      <c r="H1354" t="s">
        <v>2830</v>
      </c>
    </row>
    <row r="1355" spans="1:8" x14ac:dyDescent="0.3">
      <c r="A1355" t="s">
        <v>734</v>
      </c>
      <c r="B1355" t="s">
        <v>792</v>
      </c>
      <c r="C1355" t="s">
        <v>73</v>
      </c>
      <c r="D1355" t="s">
        <v>2831</v>
      </c>
      <c r="E1355">
        <v>4500</v>
      </c>
      <c r="F1355" t="s">
        <v>2820</v>
      </c>
      <c r="G1355" t="b">
        <v>1</v>
      </c>
      <c r="H1355" t="s">
        <v>466</v>
      </c>
    </row>
    <row r="1356" spans="1:8" x14ac:dyDescent="0.3">
      <c r="A1356" t="s">
        <v>734</v>
      </c>
      <c r="B1356" t="s">
        <v>792</v>
      </c>
      <c r="C1356" t="s">
        <v>73</v>
      </c>
      <c r="D1356" t="s">
        <v>2832</v>
      </c>
      <c r="E1356">
        <v>4500</v>
      </c>
      <c r="F1356" t="s">
        <v>2820</v>
      </c>
      <c r="G1356" t="b">
        <v>1</v>
      </c>
      <c r="H1356" t="s">
        <v>467</v>
      </c>
    </row>
    <row r="1357" spans="1:8" x14ac:dyDescent="0.3">
      <c r="A1357" t="s">
        <v>734</v>
      </c>
      <c r="B1357" t="s">
        <v>792</v>
      </c>
      <c r="C1357" t="s">
        <v>73</v>
      </c>
      <c r="D1357" t="s">
        <v>2833</v>
      </c>
      <c r="E1357">
        <v>4500</v>
      </c>
      <c r="F1357" t="s">
        <v>2820</v>
      </c>
      <c r="G1357" t="b">
        <v>1</v>
      </c>
      <c r="H1357" t="s">
        <v>468</v>
      </c>
    </row>
    <row r="1358" spans="1:8" x14ac:dyDescent="0.3">
      <c r="A1358" t="s">
        <v>734</v>
      </c>
      <c r="B1358" t="s">
        <v>2841</v>
      </c>
      <c r="C1358" t="s">
        <v>252</v>
      </c>
      <c r="D1358" t="s">
        <v>2819</v>
      </c>
      <c r="E1358">
        <v>0</v>
      </c>
      <c r="F1358" t="s">
        <v>2820</v>
      </c>
      <c r="G1358" t="b">
        <v>1</v>
      </c>
      <c r="H1358" t="s">
        <v>704</v>
      </c>
    </row>
    <row r="1359" spans="1:8" x14ac:dyDescent="0.3">
      <c r="A1359" t="s">
        <v>734</v>
      </c>
      <c r="B1359" t="s">
        <v>2841</v>
      </c>
      <c r="C1359" t="s">
        <v>252</v>
      </c>
      <c r="D1359" t="s">
        <v>2821</v>
      </c>
      <c r="E1359">
        <v>0</v>
      </c>
      <c r="F1359" t="s">
        <v>2820</v>
      </c>
      <c r="G1359" t="b">
        <v>1</v>
      </c>
      <c r="H1359" t="s">
        <v>706</v>
      </c>
    </row>
    <row r="1360" spans="1:8" x14ac:dyDescent="0.3">
      <c r="A1360" t="s">
        <v>734</v>
      </c>
      <c r="B1360" t="s">
        <v>2841</v>
      </c>
      <c r="C1360" t="s">
        <v>252</v>
      </c>
      <c r="D1360" t="s">
        <v>2822</v>
      </c>
      <c r="E1360">
        <v>0</v>
      </c>
      <c r="F1360" t="s">
        <v>2820</v>
      </c>
      <c r="G1360" t="b">
        <v>1</v>
      </c>
      <c r="H1360" t="s">
        <v>708</v>
      </c>
    </row>
    <row r="1361" spans="1:8" x14ac:dyDescent="0.3">
      <c r="A1361" t="s">
        <v>734</v>
      </c>
      <c r="B1361" t="s">
        <v>2841</v>
      </c>
      <c r="C1361" t="s">
        <v>252</v>
      </c>
      <c r="D1361" t="s">
        <v>2823</v>
      </c>
      <c r="E1361">
        <v>0</v>
      </c>
      <c r="F1361" t="s">
        <v>2820</v>
      </c>
      <c r="G1361" t="b">
        <v>1</v>
      </c>
      <c r="H1361" t="s">
        <v>710</v>
      </c>
    </row>
    <row r="1362" spans="1:8" x14ac:dyDescent="0.3">
      <c r="A1362" t="s">
        <v>734</v>
      </c>
      <c r="B1362" t="s">
        <v>2841</v>
      </c>
      <c r="C1362" t="s">
        <v>252</v>
      </c>
      <c r="D1362" t="s">
        <v>2824</v>
      </c>
      <c r="E1362">
        <v>0</v>
      </c>
      <c r="F1362" t="s">
        <v>2820</v>
      </c>
      <c r="G1362" t="b">
        <v>1</v>
      </c>
      <c r="H1362" t="s">
        <v>2802</v>
      </c>
    </row>
    <row r="1363" spans="1:8" x14ac:dyDescent="0.3">
      <c r="A1363" t="s">
        <v>734</v>
      </c>
      <c r="B1363" t="s">
        <v>2841</v>
      </c>
      <c r="C1363" t="s">
        <v>252</v>
      </c>
      <c r="D1363" t="s">
        <v>2825</v>
      </c>
      <c r="E1363">
        <v>0</v>
      </c>
      <c r="F1363" t="s">
        <v>2820</v>
      </c>
      <c r="G1363" t="b">
        <v>1</v>
      </c>
      <c r="H1363" t="s">
        <v>2800</v>
      </c>
    </row>
    <row r="1364" spans="1:8" x14ac:dyDescent="0.3">
      <c r="A1364" t="s">
        <v>734</v>
      </c>
      <c r="B1364" t="s">
        <v>2841</v>
      </c>
      <c r="C1364" t="s">
        <v>252</v>
      </c>
      <c r="D1364" t="s">
        <v>2826</v>
      </c>
      <c r="E1364">
        <v>0</v>
      </c>
      <c r="F1364" t="s">
        <v>2820</v>
      </c>
      <c r="G1364" t="b">
        <v>1</v>
      </c>
      <c r="H1364" t="s">
        <v>1935</v>
      </c>
    </row>
    <row r="1365" spans="1:8" x14ac:dyDescent="0.3">
      <c r="A1365" t="s">
        <v>734</v>
      </c>
      <c r="B1365" t="s">
        <v>2841</v>
      </c>
      <c r="C1365" t="s">
        <v>252</v>
      </c>
      <c r="D1365" t="s">
        <v>2827</v>
      </c>
      <c r="E1365">
        <v>0</v>
      </c>
      <c r="F1365" t="s">
        <v>2820</v>
      </c>
      <c r="G1365" t="b">
        <v>1</v>
      </c>
      <c r="H1365" t="s">
        <v>2828</v>
      </c>
    </row>
    <row r="1366" spans="1:8" x14ac:dyDescent="0.3">
      <c r="A1366" t="s">
        <v>734</v>
      </c>
      <c r="B1366" t="s">
        <v>2841</v>
      </c>
      <c r="C1366" t="s">
        <v>252</v>
      </c>
      <c r="D1366" t="s">
        <v>2829</v>
      </c>
      <c r="E1366">
        <v>0</v>
      </c>
      <c r="F1366" t="s">
        <v>2820</v>
      </c>
      <c r="G1366" t="b">
        <v>1</v>
      </c>
      <c r="H1366" t="s">
        <v>2830</v>
      </c>
    </row>
    <row r="1367" spans="1:8" x14ac:dyDescent="0.3">
      <c r="A1367" t="s">
        <v>734</v>
      </c>
      <c r="B1367" t="s">
        <v>2841</v>
      </c>
      <c r="C1367" t="s">
        <v>252</v>
      </c>
      <c r="D1367" t="s">
        <v>2831</v>
      </c>
      <c r="E1367">
        <v>0</v>
      </c>
      <c r="F1367" t="s">
        <v>2820</v>
      </c>
      <c r="G1367" t="b">
        <v>1</v>
      </c>
      <c r="H1367" t="s">
        <v>466</v>
      </c>
    </row>
    <row r="1368" spans="1:8" x14ac:dyDescent="0.3">
      <c r="A1368" t="s">
        <v>734</v>
      </c>
      <c r="B1368" t="s">
        <v>2841</v>
      </c>
      <c r="C1368" t="s">
        <v>252</v>
      </c>
      <c r="D1368" t="s">
        <v>2832</v>
      </c>
      <c r="E1368">
        <v>0</v>
      </c>
      <c r="F1368" t="s">
        <v>2820</v>
      </c>
      <c r="G1368" t="b">
        <v>1</v>
      </c>
      <c r="H1368" t="s">
        <v>467</v>
      </c>
    </row>
    <row r="1369" spans="1:8" x14ac:dyDescent="0.3">
      <c r="A1369" t="s">
        <v>734</v>
      </c>
      <c r="B1369" t="s">
        <v>2841</v>
      </c>
      <c r="C1369" t="s">
        <v>252</v>
      </c>
      <c r="D1369" t="s">
        <v>2833</v>
      </c>
      <c r="E1369">
        <v>0</v>
      </c>
      <c r="F1369" t="s">
        <v>2820</v>
      </c>
      <c r="G1369" t="b">
        <v>1</v>
      </c>
      <c r="H1369" t="s">
        <v>468</v>
      </c>
    </row>
    <row r="1370" spans="1:8" x14ac:dyDescent="0.3">
      <c r="A1370" t="s">
        <v>734</v>
      </c>
      <c r="B1370" t="s">
        <v>787</v>
      </c>
      <c r="C1370" t="s">
        <v>788</v>
      </c>
      <c r="D1370" t="s">
        <v>2819</v>
      </c>
      <c r="E1370">
        <v>0</v>
      </c>
      <c r="F1370" t="s">
        <v>2820</v>
      </c>
      <c r="G1370" t="b">
        <v>1</v>
      </c>
      <c r="H1370" t="s">
        <v>704</v>
      </c>
    </row>
    <row r="1371" spans="1:8" x14ac:dyDescent="0.3">
      <c r="A1371" t="s">
        <v>734</v>
      </c>
      <c r="B1371" t="s">
        <v>787</v>
      </c>
      <c r="C1371" t="s">
        <v>788</v>
      </c>
      <c r="D1371" t="s">
        <v>2821</v>
      </c>
      <c r="E1371">
        <v>0</v>
      </c>
      <c r="F1371" t="s">
        <v>2820</v>
      </c>
      <c r="G1371" t="b">
        <v>1</v>
      </c>
      <c r="H1371" t="s">
        <v>706</v>
      </c>
    </row>
    <row r="1372" spans="1:8" x14ac:dyDescent="0.3">
      <c r="A1372" t="s">
        <v>734</v>
      </c>
      <c r="B1372" t="s">
        <v>787</v>
      </c>
      <c r="C1372" t="s">
        <v>788</v>
      </c>
      <c r="D1372" t="s">
        <v>2822</v>
      </c>
      <c r="E1372">
        <v>0</v>
      </c>
      <c r="F1372" t="s">
        <v>2820</v>
      </c>
      <c r="G1372" t="b">
        <v>1</v>
      </c>
      <c r="H1372" t="s">
        <v>708</v>
      </c>
    </row>
    <row r="1373" spans="1:8" x14ac:dyDescent="0.3">
      <c r="A1373" t="s">
        <v>734</v>
      </c>
      <c r="B1373" t="s">
        <v>787</v>
      </c>
      <c r="C1373" t="s">
        <v>788</v>
      </c>
      <c r="D1373" t="s">
        <v>2823</v>
      </c>
      <c r="E1373">
        <v>0</v>
      </c>
      <c r="F1373" t="s">
        <v>2820</v>
      </c>
      <c r="G1373" t="b">
        <v>1</v>
      </c>
      <c r="H1373" t="s">
        <v>710</v>
      </c>
    </row>
    <row r="1374" spans="1:8" x14ac:dyDescent="0.3">
      <c r="A1374" t="s">
        <v>734</v>
      </c>
      <c r="B1374" t="s">
        <v>787</v>
      </c>
      <c r="C1374" t="s">
        <v>788</v>
      </c>
      <c r="D1374" t="s">
        <v>2824</v>
      </c>
      <c r="E1374">
        <v>0</v>
      </c>
      <c r="F1374" t="s">
        <v>2820</v>
      </c>
      <c r="G1374" t="b">
        <v>1</v>
      </c>
      <c r="H1374" t="s">
        <v>2802</v>
      </c>
    </row>
    <row r="1375" spans="1:8" x14ac:dyDescent="0.3">
      <c r="A1375" t="s">
        <v>734</v>
      </c>
      <c r="B1375" t="s">
        <v>787</v>
      </c>
      <c r="C1375" t="s">
        <v>788</v>
      </c>
      <c r="D1375" t="s">
        <v>2825</v>
      </c>
      <c r="E1375">
        <v>0</v>
      </c>
      <c r="F1375" t="s">
        <v>2820</v>
      </c>
      <c r="G1375" t="b">
        <v>1</v>
      </c>
      <c r="H1375" t="s">
        <v>2800</v>
      </c>
    </row>
    <row r="1376" spans="1:8" x14ac:dyDescent="0.3">
      <c r="A1376" t="s">
        <v>734</v>
      </c>
      <c r="B1376" t="s">
        <v>787</v>
      </c>
      <c r="C1376" t="s">
        <v>788</v>
      </c>
      <c r="D1376" t="s">
        <v>2826</v>
      </c>
      <c r="E1376">
        <v>0</v>
      </c>
      <c r="F1376" t="s">
        <v>2820</v>
      </c>
      <c r="G1376" t="b">
        <v>1</v>
      </c>
      <c r="H1376" t="s">
        <v>1935</v>
      </c>
    </row>
    <row r="1377" spans="1:8" x14ac:dyDescent="0.3">
      <c r="A1377" t="s">
        <v>734</v>
      </c>
      <c r="B1377" t="s">
        <v>787</v>
      </c>
      <c r="C1377" t="s">
        <v>788</v>
      </c>
      <c r="D1377" t="s">
        <v>2827</v>
      </c>
      <c r="E1377">
        <v>258829.56</v>
      </c>
      <c r="F1377" t="s">
        <v>2820</v>
      </c>
      <c r="G1377" t="b">
        <v>1</v>
      </c>
      <c r="H1377" t="s">
        <v>2828</v>
      </c>
    </row>
    <row r="1378" spans="1:8" x14ac:dyDescent="0.3">
      <c r="A1378" t="s">
        <v>734</v>
      </c>
      <c r="B1378" t="s">
        <v>787</v>
      </c>
      <c r="C1378" t="s">
        <v>788</v>
      </c>
      <c r="D1378" t="s">
        <v>2829</v>
      </c>
      <c r="E1378">
        <v>258829.56</v>
      </c>
      <c r="F1378" t="s">
        <v>2820</v>
      </c>
      <c r="G1378" t="b">
        <v>1</v>
      </c>
      <c r="H1378" t="s">
        <v>2830</v>
      </c>
    </row>
    <row r="1379" spans="1:8" x14ac:dyDescent="0.3">
      <c r="A1379" t="s">
        <v>734</v>
      </c>
      <c r="B1379" t="s">
        <v>787</v>
      </c>
      <c r="C1379" t="s">
        <v>788</v>
      </c>
      <c r="D1379" t="s">
        <v>2831</v>
      </c>
      <c r="E1379">
        <v>258829.56</v>
      </c>
      <c r="F1379" t="s">
        <v>2820</v>
      </c>
      <c r="G1379" t="b">
        <v>1</v>
      </c>
      <c r="H1379" t="s">
        <v>466</v>
      </c>
    </row>
    <row r="1380" spans="1:8" x14ac:dyDescent="0.3">
      <c r="A1380" t="s">
        <v>734</v>
      </c>
      <c r="B1380" t="s">
        <v>787</v>
      </c>
      <c r="C1380" t="s">
        <v>788</v>
      </c>
      <c r="D1380" t="s">
        <v>2832</v>
      </c>
      <c r="E1380">
        <v>258829.56</v>
      </c>
      <c r="F1380" t="s">
        <v>2820</v>
      </c>
      <c r="G1380" t="b">
        <v>1</v>
      </c>
      <c r="H1380" t="s">
        <v>467</v>
      </c>
    </row>
    <row r="1381" spans="1:8" x14ac:dyDescent="0.3">
      <c r="A1381" t="s">
        <v>734</v>
      </c>
      <c r="B1381" t="s">
        <v>787</v>
      </c>
      <c r="C1381" t="s">
        <v>788</v>
      </c>
      <c r="D1381" t="s">
        <v>2833</v>
      </c>
      <c r="E1381">
        <v>258829.56</v>
      </c>
      <c r="F1381" t="s">
        <v>2820</v>
      </c>
      <c r="G1381" t="b">
        <v>1</v>
      </c>
      <c r="H1381" t="s">
        <v>468</v>
      </c>
    </row>
    <row r="1382" spans="1:8" x14ac:dyDescent="0.3">
      <c r="A1382" t="s">
        <v>734</v>
      </c>
      <c r="B1382" t="s">
        <v>295</v>
      </c>
      <c r="C1382" t="s">
        <v>296</v>
      </c>
      <c r="D1382" t="s">
        <v>2819</v>
      </c>
      <c r="E1382">
        <v>0</v>
      </c>
      <c r="F1382" t="s">
        <v>2820</v>
      </c>
      <c r="G1382" t="b">
        <v>1</v>
      </c>
      <c r="H1382" t="s">
        <v>704</v>
      </c>
    </row>
    <row r="1383" spans="1:8" x14ac:dyDescent="0.3">
      <c r="A1383" t="s">
        <v>734</v>
      </c>
      <c r="B1383" t="s">
        <v>295</v>
      </c>
      <c r="C1383" t="s">
        <v>296</v>
      </c>
      <c r="D1383" t="s">
        <v>2821</v>
      </c>
      <c r="E1383">
        <v>0</v>
      </c>
      <c r="F1383" t="s">
        <v>2820</v>
      </c>
      <c r="G1383" t="b">
        <v>1</v>
      </c>
      <c r="H1383" t="s">
        <v>706</v>
      </c>
    </row>
    <row r="1384" spans="1:8" x14ac:dyDescent="0.3">
      <c r="A1384" t="s">
        <v>734</v>
      </c>
      <c r="B1384" t="s">
        <v>295</v>
      </c>
      <c r="C1384" t="s">
        <v>296</v>
      </c>
      <c r="D1384" t="s">
        <v>2822</v>
      </c>
      <c r="E1384">
        <v>0</v>
      </c>
      <c r="F1384" t="s">
        <v>2820</v>
      </c>
      <c r="G1384" t="b">
        <v>1</v>
      </c>
      <c r="H1384" t="s">
        <v>708</v>
      </c>
    </row>
    <row r="1385" spans="1:8" x14ac:dyDescent="0.3">
      <c r="A1385" t="s">
        <v>734</v>
      </c>
      <c r="B1385" t="s">
        <v>295</v>
      </c>
      <c r="C1385" t="s">
        <v>296</v>
      </c>
      <c r="D1385" t="s">
        <v>2823</v>
      </c>
      <c r="E1385">
        <v>0</v>
      </c>
      <c r="F1385" t="s">
        <v>2820</v>
      </c>
      <c r="G1385" t="b">
        <v>1</v>
      </c>
      <c r="H1385" t="s">
        <v>710</v>
      </c>
    </row>
    <row r="1386" spans="1:8" x14ac:dyDescent="0.3">
      <c r="A1386" t="s">
        <v>734</v>
      </c>
      <c r="B1386" t="s">
        <v>295</v>
      </c>
      <c r="C1386" t="s">
        <v>296</v>
      </c>
      <c r="D1386" t="s">
        <v>2824</v>
      </c>
      <c r="E1386">
        <v>0</v>
      </c>
      <c r="F1386" t="s">
        <v>2820</v>
      </c>
      <c r="G1386" t="b">
        <v>1</v>
      </c>
      <c r="H1386" t="s">
        <v>2802</v>
      </c>
    </row>
    <row r="1387" spans="1:8" x14ac:dyDescent="0.3">
      <c r="A1387" t="s">
        <v>734</v>
      </c>
      <c r="B1387" t="s">
        <v>295</v>
      </c>
      <c r="C1387" t="s">
        <v>296</v>
      </c>
      <c r="D1387" t="s">
        <v>2825</v>
      </c>
      <c r="E1387">
        <v>0</v>
      </c>
      <c r="F1387" t="s">
        <v>2820</v>
      </c>
      <c r="G1387" t="b">
        <v>1</v>
      </c>
      <c r="H1387" t="s">
        <v>2800</v>
      </c>
    </row>
    <row r="1388" spans="1:8" x14ac:dyDescent="0.3">
      <c r="A1388" t="s">
        <v>734</v>
      </c>
      <c r="B1388" t="s">
        <v>295</v>
      </c>
      <c r="C1388" t="s">
        <v>296</v>
      </c>
      <c r="D1388" t="s">
        <v>2826</v>
      </c>
      <c r="E1388">
        <v>0</v>
      </c>
      <c r="F1388" t="s">
        <v>2820</v>
      </c>
      <c r="G1388" t="b">
        <v>1</v>
      </c>
      <c r="H1388" t="s">
        <v>1935</v>
      </c>
    </row>
    <row r="1389" spans="1:8" x14ac:dyDescent="0.3">
      <c r="A1389" t="s">
        <v>734</v>
      </c>
      <c r="B1389" t="s">
        <v>295</v>
      </c>
      <c r="C1389" t="s">
        <v>296</v>
      </c>
      <c r="D1389" t="s">
        <v>2827</v>
      </c>
      <c r="E1389">
        <v>12000</v>
      </c>
      <c r="F1389" t="s">
        <v>2820</v>
      </c>
      <c r="G1389" t="b">
        <v>1</v>
      </c>
      <c r="H1389" t="s">
        <v>2828</v>
      </c>
    </row>
    <row r="1390" spans="1:8" x14ac:dyDescent="0.3">
      <c r="A1390" t="s">
        <v>734</v>
      </c>
      <c r="B1390" t="s">
        <v>295</v>
      </c>
      <c r="C1390" t="s">
        <v>296</v>
      </c>
      <c r="D1390" t="s">
        <v>2829</v>
      </c>
      <c r="E1390">
        <v>12000</v>
      </c>
      <c r="F1390" t="s">
        <v>2820</v>
      </c>
      <c r="G1390" t="b">
        <v>1</v>
      </c>
      <c r="H1390" t="s">
        <v>2830</v>
      </c>
    </row>
    <row r="1391" spans="1:8" x14ac:dyDescent="0.3">
      <c r="A1391" t="s">
        <v>734</v>
      </c>
      <c r="B1391" t="s">
        <v>295</v>
      </c>
      <c r="C1391" t="s">
        <v>296</v>
      </c>
      <c r="D1391" t="s">
        <v>2831</v>
      </c>
      <c r="E1391">
        <v>12000</v>
      </c>
      <c r="F1391" t="s">
        <v>2820</v>
      </c>
      <c r="G1391" t="b">
        <v>1</v>
      </c>
      <c r="H1391" t="s">
        <v>466</v>
      </c>
    </row>
    <row r="1392" spans="1:8" x14ac:dyDescent="0.3">
      <c r="A1392" t="s">
        <v>734</v>
      </c>
      <c r="B1392" t="s">
        <v>295</v>
      </c>
      <c r="C1392" t="s">
        <v>296</v>
      </c>
      <c r="D1392" t="s">
        <v>2832</v>
      </c>
      <c r="E1392">
        <v>12000</v>
      </c>
      <c r="F1392" t="s">
        <v>2820</v>
      </c>
      <c r="G1392" t="b">
        <v>1</v>
      </c>
      <c r="H1392" t="s">
        <v>467</v>
      </c>
    </row>
    <row r="1393" spans="1:8" x14ac:dyDescent="0.3">
      <c r="A1393" t="s">
        <v>734</v>
      </c>
      <c r="B1393" t="s">
        <v>295</v>
      </c>
      <c r="C1393" t="s">
        <v>296</v>
      </c>
      <c r="D1393" t="s">
        <v>2833</v>
      </c>
      <c r="E1393">
        <v>12000</v>
      </c>
      <c r="F1393" t="s">
        <v>2820</v>
      </c>
      <c r="G1393" t="b">
        <v>1</v>
      </c>
      <c r="H1393" t="s">
        <v>468</v>
      </c>
    </row>
    <row r="1394" spans="1:8" x14ac:dyDescent="0.3">
      <c r="A1394" t="s">
        <v>734</v>
      </c>
      <c r="B1394" t="s">
        <v>295</v>
      </c>
      <c r="C1394" t="s">
        <v>297</v>
      </c>
      <c r="D1394" t="s">
        <v>2819</v>
      </c>
      <c r="E1394">
        <v>0</v>
      </c>
      <c r="F1394" t="s">
        <v>2820</v>
      </c>
      <c r="G1394" t="b">
        <v>1</v>
      </c>
      <c r="H1394" t="s">
        <v>704</v>
      </c>
    </row>
    <row r="1395" spans="1:8" x14ac:dyDescent="0.3">
      <c r="A1395" t="s">
        <v>734</v>
      </c>
      <c r="B1395" t="s">
        <v>295</v>
      </c>
      <c r="C1395" t="s">
        <v>297</v>
      </c>
      <c r="D1395" t="s">
        <v>2821</v>
      </c>
      <c r="E1395">
        <v>0</v>
      </c>
      <c r="F1395" t="s">
        <v>2820</v>
      </c>
      <c r="G1395" t="b">
        <v>1</v>
      </c>
      <c r="H1395" t="s">
        <v>706</v>
      </c>
    </row>
    <row r="1396" spans="1:8" x14ac:dyDescent="0.3">
      <c r="A1396" t="s">
        <v>734</v>
      </c>
      <c r="B1396" t="s">
        <v>295</v>
      </c>
      <c r="C1396" t="s">
        <v>297</v>
      </c>
      <c r="D1396" t="s">
        <v>2822</v>
      </c>
      <c r="E1396">
        <v>0</v>
      </c>
      <c r="F1396" t="s">
        <v>2820</v>
      </c>
      <c r="G1396" t="b">
        <v>1</v>
      </c>
      <c r="H1396" t="s">
        <v>708</v>
      </c>
    </row>
    <row r="1397" spans="1:8" x14ac:dyDescent="0.3">
      <c r="A1397" t="s">
        <v>734</v>
      </c>
      <c r="B1397" t="s">
        <v>295</v>
      </c>
      <c r="C1397" t="s">
        <v>297</v>
      </c>
      <c r="D1397" t="s">
        <v>2823</v>
      </c>
      <c r="E1397">
        <v>0</v>
      </c>
      <c r="F1397" t="s">
        <v>2820</v>
      </c>
      <c r="G1397" t="b">
        <v>1</v>
      </c>
      <c r="H1397" t="s">
        <v>710</v>
      </c>
    </row>
    <row r="1398" spans="1:8" x14ac:dyDescent="0.3">
      <c r="A1398" t="s">
        <v>734</v>
      </c>
      <c r="B1398" t="s">
        <v>295</v>
      </c>
      <c r="C1398" t="s">
        <v>297</v>
      </c>
      <c r="D1398" t="s">
        <v>2824</v>
      </c>
      <c r="E1398">
        <v>0</v>
      </c>
      <c r="F1398" t="s">
        <v>2820</v>
      </c>
      <c r="G1398" t="b">
        <v>1</v>
      </c>
      <c r="H1398" t="s">
        <v>2802</v>
      </c>
    </row>
    <row r="1399" spans="1:8" x14ac:dyDescent="0.3">
      <c r="A1399" t="s">
        <v>734</v>
      </c>
      <c r="B1399" t="s">
        <v>295</v>
      </c>
      <c r="C1399" t="s">
        <v>297</v>
      </c>
      <c r="D1399" t="s">
        <v>2825</v>
      </c>
      <c r="E1399">
        <v>0</v>
      </c>
      <c r="F1399" t="s">
        <v>2820</v>
      </c>
      <c r="G1399" t="b">
        <v>1</v>
      </c>
      <c r="H1399" t="s">
        <v>2800</v>
      </c>
    </row>
    <row r="1400" spans="1:8" x14ac:dyDescent="0.3">
      <c r="A1400" t="s">
        <v>734</v>
      </c>
      <c r="B1400" t="s">
        <v>295</v>
      </c>
      <c r="C1400" t="s">
        <v>297</v>
      </c>
      <c r="D1400" t="s">
        <v>2826</v>
      </c>
      <c r="E1400">
        <v>0</v>
      </c>
      <c r="F1400" t="s">
        <v>2820</v>
      </c>
      <c r="G1400" t="b">
        <v>1</v>
      </c>
      <c r="H1400" t="s">
        <v>1935</v>
      </c>
    </row>
    <row r="1401" spans="1:8" x14ac:dyDescent="0.3">
      <c r="A1401" t="s">
        <v>734</v>
      </c>
      <c r="B1401" t="s">
        <v>295</v>
      </c>
      <c r="C1401" t="s">
        <v>297</v>
      </c>
      <c r="D1401" t="s">
        <v>2827</v>
      </c>
      <c r="E1401">
        <v>1000</v>
      </c>
      <c r="F1401" t="s">
        <v>2820</v>
      </c>
      <c r="G1401" t="b">
        <v>1</v>
      </c>
      <c r="H1401" t="s">
        <v>2828</v>
      </c>
    </row>
    <row r="1402" spans="1:8" x14ac:dyDescent="0.3">
      <c r="A1402" t="s">
        <v>734</v>
      </c>
      <c r="B1402" t="s">
        <v>295</v>
      </c>
      <c r="C1402" t="s">
        <v>297</v>
      </c>
      <c r="D1402" t="s">
        <v>2829</v>
      </c>
      <c r="E1402">
        <v>1000</v>
      </c>
      <c r="F1402" t="s">
        <v>2820</v>
      </c>
      <c r="G1402" t="b">
        <v>1</v>
      </c>
      <c r="H1402" t="s">
        <v>2830</v>
      </c>
    </row>
    <row r="1403" spans="1:8" x14ac:dyDescent="0.3">
      <c r="A1403" t="s">
        <v>734</v>
      </c>
      <c r="B1403" t="s">
        <v>295</v>
      </c>
      <c r="C1403" t="s">
        <v>297</v>
      </c>
      <c r="D1403" t="s">
        <v>2831</v>
      </c>
      <c r="E1403">
        <v>1000</v>
      </c>
      <c r="F1403" t="s">
        <v>2820</v>
      </c>
      <c r="G1403" t="b">
        <v>1</v>
      </c>
      <c r="H1403" t="s">
        <v>466</v>
      </c>
    </row>
    <row r="1404" spans="1:8" x14ac:dyDescent="0.3">
      <c r="A1404" t="s">
        <v>734</v>
      </c>
      <c r="B1404" t="s">
        <v>295</v>
      </c>
      <c r="C1404" t="s">
        <v>297</v>
      </c>
      <c r="D1404" t="s">
        <v>2832</v>
      </c>
      <c r="E1404">
        <v>1000</v>
      </c>
      <c r="F1404" t="s">
        <v>2820</v>
      </c>
      <c r="G1404" t="b">
        <v>1</v>
      </c>
      <c r="H1404" t="s">
        <v>467</v>
      </c>
    </row>
    <row r="1405" spans="1:8" x14ac:dyDescent="0.3">
      <c r="A1405" t="s">
        <v>734</v>
      </c>
      <c r="B1405" t="s">
        <v>295</v>
      </c>
      <c r="C1405" t="s">
        <v>297</v>
      </c>
      <c r="D1405" t="s">
        <v>2833</v>
      </c>
      <c r="E1405">
        <v>1000</v>
      </c>
      <c r="F1405" t="s">
        <v>2820</v>
      </c>
      <c r="G1405" t="b">
        <v>1</v>
      </c>
      <c r="H1405" t="s">
        <v>468</v>
      </c>
    </row>
    <row r="1406" spans="1:8" x14ac:dyDescent="0.3">
      <c r="A1406" t="s">
        <v>734</v>
      </c>
      <c r="B1406" t="s">
        <v>295</v>
      </c>
      <c r="C1406" t="s">
        <v>298</v>
      </c>
      <c r="D1406" t="s">
        <v>2819</v>
      </c>
      <c r="E1406">
        <v>0</v>
      </c>
      <c r="F1406" t="s">
        <v>2820</v>
      </c>
      <c r="G1406" t="b">
        <v>1</v>
      </c>
      <c r="H1406" t="s">
        <v>704</v>
      </c>
    </row>
    <row r="1407" spans="1:8" x14ac:dyDescent="0.3">
      <c r="A1407" t="s">
        <v>734</v>
      </c>
      <c r="B1407" t="s">
        <v>295</v>
      </c>
      <c r="C1407" t="s">
        <v>298</v>
      </c>
      <c r="D1407" t="s">
        <v>2821</v>
      </c>
      <c r="E1407">
        <v>0</v>
      </c>
      <c r="F1407" t="s">
        <v>2820</v>
      </c>
      <c r="G1407" t="b">
        <v>1</v>
      </c>
      <c r="H1407" t="s">
        <v>706</v>
      </c>
    </row>
    <row r="1408" spans="1:8" x14ac:dyDescent="0.3">
      <c r="A1408" t="s">
        <v>734</v>
      </c>
      <c r="B1408" t="s">
        <v>295</v>
      </c>
      <c r="C1408" t="s">
        <v>298</v>
      </c>
      <c r="D1408" t="s">
        <v>2822</v>
      </c>
      <c r="E1408">
        <v>0</v>
      </c>
      <c r="F1408" t="s">
        <v>2820</v>
      </c>
      <c r="G1408" t="b">
        <v>1</v>
      </c>
      <c r="H1408" t="s">
        <v>708</v>
      </c>
    </row>
    <row r="1409" spans="1:8" x14ac:dyDescent="0.3">
      <c r="A1409" t="s">
        <v>734</v>
      </c>
      <c r="B1409" t="s">
        <v>295</v>
      </c>
      <c r="C1409" t="s">
        <v>298</v>
      </c>
      <c r="D1409" t="s">
        <v>2823</v>
      </c>
      <c r="E1409">
        <v>0</v>
      </c>
      <c r="F1409" t="s">
        <v>2820</v>
      </c>
      <c r="G1409" t="b">
        <v>1</v>
      </c>
      <c r="H1409" t="s">
        <v>710</v>
      </c>
    </row>
    <row r="1410" spans="1:8" x14ac:dyDescent="0.3">
      <c r="A1410" t="s">
        <v>734</v>
      </c>
      <c r="B1410" t="s">
        <v>295</v>
      </c>
      <c r="C1410" t="s">
        <v>298</v>
      </c>
      <c r="D1410" t="s">
        <v>2824</v>
      </c>
      <c r="E1410">
        <v>0</v>
      </c>
      <c r="F1410" t="s">
        <v>2820</v>
      </c>
      <c r="G1410" t="b">
        <v>1</v>
      </c>
      <c r="H1410" t="s">
        <v>2802</v>
      </c>
    </row>
    <row r="1411" spans="1:8" x14ac:dyDescent="0.3">
      <c r="A1411" t="s">
        <v>734</v>
      </c>
      <c r="B1411" t="s">
        <v>295</v>
      </c>
      <c r="C1411" t="s">
        <v>298</v>
      </c>
      <c r="D1411" t="s">
        <v>2825</v>
      </c>
      <c r="E1411">
        <v>0</v>
      </c>
      <c r="F1411" t="s">
        <v>2820</v>
      </c>
      <c r="G1411" t="b">
        <v>1</v>
      </c>
      <c r="H1411" t="s">
        <v>2800</v>
      </c>
    </row>
    <row r="1412" spans="1:8" x14ac:dyDescent="0.3">
      <c r="A1412" t="s">
        <v>734</v>
      </c>
      <c r="B1412" t="s">
        <v>295</v>
      </c>
      <c r="C1412" t="s">
        <v>298</v>
      </c>
      <c r="D1412" t="s">
        <v>2826</v>
      </c>
      <c r="E1412">
        <v>0</v>
      </c>
      <c r="F1412" t="s">
        <v>2820</v>
      </c>
      <c r="G1412" t="b">
        <v>1</v>
      </c>
      <c r="H1412" t="s">
        <v>1935</v>
      </c>
    </row>
    <row r="1413" spans="1:8" x14ac:dyDescent="0.3">
      <c r="A1413" t="s">
        <v>734</v>
      </c>
      <c r="B1413" t="s">
        <v>295</v>
      </c>
      <c r="C1413" t="s">
        <v>298</v>
      </c>
      <c r="D1413" t="s">
        <v>2827</v>
      </c>
      <c r="E1413">
        <v>0</v>
      </c>
      <c r="F1413" t="s">
        <v>2820</v>
      </c>
      <c r="G1413" t="b">
        <v>1</v>
      </c>
      <c r="H1413" t="s">
        <v>2828</v>
      </c>
    </row>
    <row r="1414" spans="1:8" x14ac:dyDescent="0.3">
      <c r="A1414" t="s">
        <v>734</v>
      </c>
      <c r="B1414" t="s">
        <v>295</v>
      </c>
      <c r="C1414" t="s">
        <v>298</v>
      </c>
      <c r="D1414" t="s">
        <v>2829</v>
      </c>
      <c r="E1414">
        <v>0</v>
      </c>
      <c r="F1414" t="s">
        <v>2820</v>
      </c>
      <c r="G1414" t="b">
        <v>1</v>
      </c>
      <c r="H1414" t="s">
        <v>2830</v>
      </c>
    </row>
    <row r="1415" spans="1:8" x14ac:dyDescent="0.3">
      <c r="A1415" t="s">
        <v>734</v>
      </c>
      <c r="B1415" t="s">
        <v>295</v>
      </c>
      <c r="C1415" t="s">
        <v>298</v>
      </c>
      <c r="D1415" t="s">
        <v>2831</v>
      </c>
      <c r="E1415">
        <v>0</v>
      </c>
      <c r="F1415" t="s">
        <v>2820</v>
      </c>
      <c r="G1415" t="b">
        <v>1</v>
      </c>
      <c r="H1415" t="s">
        <v>466</v>
      </c>
    </row>
    <row r="1416" spans="1:8" x14ac:dyDescent="0.3">
      <c r="A1416" t="s">
        <v>734</v>
      </c>
      <c r="B1416" t="s">
        <v>295</v>
      </c>
      <c r="C1416" t="s">
        <v>298</v>
      </c>
      <c r="D1416" t="s">
        <v>2832</v>
      </c>
      <c r="E1416">
        <v>0</v>
      </c>
      <c r="F1416" t="s">
        <v>2820</v>
      </c>
      <c r="G1416" t="b">
        <v>1</v>
      </c>
      <c r="H1416" t="s">
        <v>467</v>
      </c>
    </row>
    <row r="1417" spans="1:8" x14ac:dyDescent="0.3">
      <c r="A1417" t="s">
        <v>734</v>
      </c>
      <c r="B1417" t="s">
        <v>295</v>
      </c>
      <c r="C1417" t="s">
        <v>298</v>
      </c>
      <c r="D1417" t="s">
        <v>2833</v>
      </c>
      <c r="E1417">
        <v>0</v>
      </c>
      <c r="F1417" t="s">
        <v>2820</v>
      </c>
      <c r="G1417" t="b">
        <v>1</v>
      </c>
      <c r="H1417" t="s">
        <v>468</v>
      </c>
    </row>
    <row r="1418" spans="1:8" x14ac:dyDescent="0.3">
      <c r="A1418" t="s">
        <v>734</v>
      </c>
      <c r="B1418" t="s">
        <v>295</v>
      </c>
      <c r="C1418" t="s">
        <v>2842</v>
      </c>
      <c r="D1418" t="s">
        <v>2819</v>
      </c>
      <c r="E1418">
        <v>0</v>
      </c>
      <c r="F1418" t="s">
        <v>2820</v>
      </c>
      <c r="G1418" t="b">
        <v>1</v>
      </c>
      <c r="H1418" t="s">
        <v>704</v>
      </c>
    </row>
    <row r="1419" spans="1:8" x14ac:dyDescent="0.3">
      <c r="A1419" t="s">
        <v>734</v>
      </c>
      <c r="B1419" t="s">
        <v>295</v>
      </c>
      <c r="C1419" t="s">
        <v>2842</v>
      </c>
      <c r="D1419" t="s">
        <v>2821</v>
      </c>
      <c r="E1419">
        <v>0</v>
      </c>
      <c r="F1419" t="s">
        <v>2820</v>
      </c>
      <c r="G1419" t="b">
        <v>1</v>
      </c>
      <c r="H1419" t="s">
        <v>706</v>
      </c>
    </row>
    <row r="1420" spans="1:8" x14ac:dyDescent="0.3">
      <c r="A1420" t="s">
        <v>734</v>
      </c>
      <c r="B1420" t="s">
        <v>295</v>
      </c>
      <c r="C1420" t="s">
        <v>2842</v>
      </c>
      <c r="D1420" t="s">
        <v>2822</v>
      </c>
      <c r="E1420">
        <v>0</v>
      </c>
      <c r="F1420" t="s">
        <v>2820</v>
      </c>
      <c r="G1420" t="b">
        <v>1</v>
      </c>
      <c r="H1420" t="s">
        <v>708</v>
      </c>
    </row>
    <row r="1421" spans="1:8" x14ac:dyDescent="0.3">
      <c r="A1421" t="s">
        <v>734</v>
      </c>
      <c r="B1421" t="s">
        <v>295</v>
      </c>
      <c r="C1421" t="s">
        <v>2842</v>
      </c>
      <c r="D1421" t="s">
        <v>2823</v>
      </c>
      <c r="E1421">
        <v>0</v>
      </c>
      <c r="F1421" t="s">
        <v>2820</v>
      </c>
      <c r="G1421" t="b">
        <v>1</v>
      </c>
      <c r="H1421" t="s">
        <v>710</v>
      </c>
    </row>
    <row r="1422" spans="1:8" x14ac:dyDescent="0.3">
      <c r="A1422" t="s">
        <v>734</v>
      </c>
      <c r="B1422" t="s">
        <v>295</v>
      </c>
      <c r="C1422" t="s">
        <v>2842</v>
      </c>
      <c r="D1422" t="s">
        <v>2824</v>
      </c>
      <c r="E1422">
        <v>0</v>
      </c>
      <c r="F1422" t="s">
        <v>2820</v>
      </c>
      <c r="G1422" t="b">
        <v>1</v>
      </c>
      <c r="H1422" t="s">
        <v>2802</v>
      </c>
    </row>
    <row r="1423" spans="1:8" x14ac:dyDescent="0.3">
      <c r="A1423" t="s">
        <v>734</v>
      </c>
      <c r="B1423" t="s">
        <v>295</v>
      </c>
      <c r="C1423" t="s">
        <v>2842</v>
      </c>
      <c r="D1423" t="s">
        <v>2825</v>
      </c>
      <c r="E1423">
        <v>0</v>
      </c>
      <c r="F1423" t="s">
        <v>2820</v>
      </c>
      <c r="G1423" t="b">
        <v>1</v>
      </c>
      <c r="H1423" t="s">
        <v>2800</v>
      </c>
    </row>
    <row r="1424" spans="1:8" x14ac:dyDescent="0.3">
      <c r="A1424" t="s">
        <v>734</v>
      </c>
      <c r="B1424" t="s">
        <v>295</v>
      </c>
      <c r="C1424" t="s">
        <v>2842</v>
      </c>
      <c r="D1424" t="s">
        <v>2826</v>
      </c>
      <c r="E1424">
        <v>0</v>
      </c>
      <c r="F1424" t="s">
        <v>2820</v>
      </c>
      <c r="G1424" t="b">
        <v>1</v>
      </c>
      <c r="H1424" t="s">
        <v>1935</v>
      </c>
    </row>
    <row r="1425" spans="1:8" x14ac:dyDescent="0.3">
      <c r="A1425" t="s">
        <v>734</v>
      </c>
      <c r="B1425" t="s">
        <v>295</v>
      </c>
      <c r="C1425" t="s">
        <v>2842</v>
      </c>
      <c r="D1425" t="s">
        <v>2827</v>
      </c>
      <c r="E1425">
        <v>1500</v>
      </c>
      <c r="F1425" t="s">
        <v>2820</v>
      </c>
      <c r="G1425" t="b">
        <v>1</v>
      </c>
      <c r="H1425" t="s">
        <v>2828</v>
      </c>
    </row>
    <row r="1426" spans="1:8" x14ac:dyDescent="0.3">
      <c r="A1426" t="s">
        <v>734</v>
      </c>
      <c r="B1426" t="s">
        <v>295</v>
      </c>
      <c r="C1426" t="s">
        <v>2842</v>
      </c>
      <c r="D1426" t="s">
        <v>2829</v>
      </c>
      <c r="E1426">
        <v>1500</v>
      </c>
      <c r="F1426" t="s">
        <v>2820</v>
      </c>
      <c r="G1426" t="b">
        <v>1</v>
      </c>
      <c r="H1426" t="s">
        <v>2830</v>
      </c>
    </row>
    <row r="1427" spans="1:8" x14ac:dyDescent="0.3">
      <c r="A1427" t="s">
        <v>734</v>
      </c>
      <c r="B1427" t="s">
        <v>295</v>
      </c>
      <c r="C1427" t="s">
        <v>2842</v>
      </c>
      <c r="D1427" t="s">
        <v>2831</v>
      </c>
      <c r="E1427">
        <v>1500</v>
      </c>
      <c r="F1427" t="s">
        <v>2820</v>
      </c>
      <c r="G1427" t="b">
        <v>1</v>
      </c>
      <c r="H1427" t="s">
        <v>466</v>
      </c>
    </row>
    <row r="1428" spans="1:8" x14ac:dyDescent="0.3">
      <c r="A1428" t="s">
        <v>734</v>
      </c>
      <c r="B1428" t="s">
        <v>295</v>
      </c>
      <c r="C1428" t="s">
        <v>2842</v>
      </c>
      <c r="D1428" t="s">
        <v>2832</v>
      </c>
      <c r="E1428">
        <v>1500</v>
      </c>
      <c r="F1428" t="s">
        <v>2820</v>
      </c>
      <c r="G1428" t="b">
        <v>1</v>
      </c>
      <c r="H1428" t="s">
        <v>467</v>
      </c>
    </row>
    <row r="1429" spans="1:8" x14ac:dyDescent="0.3">
      <c r="A1429" t="s">
        <v>734</v>
      </c>
      <c r="B1429" t="s">
        <v>295</v>
      </c>
      <c r="C1429" t="s">
        <v>2842</v>
      </c>
      <c r="D1429" t="s">
        <v>2833</v>
      </c>
      <c r="E1429">
        <v>1500</v>
      </c>
      <c r="F1429" t="s">
        <v>2820</v>
      </c>
      <c r="G1429" t="b">
        <v>1</v>
      </c>
      <c r="H1429" t="s">
        <v>468</v>
      </c>
    </row>
    <row r="1430" spans="1:8" x14ac:dyDescent="0.3">
      <c r="A1430" t="s">
        <v>734</v>
      </c>
      <c r="B1430" t="s">
        <v>295</v>
      </c>
      <c r="C1430" t="s">
        <v>304</v>
      </c>
      <c r="D1430" t="s">
        <v>2819</v>
      </c>
      <c r="E1430">
        <v>0</v>
      </c>
      <c r="F1430" t="s">
        <v>2820</v>
      </c>
      <c r="G1430" t="b">
        <v>1</v>
      </c>
      <c r="H1430" t="s">
        <v>704</v>
      </c>
    </row>
    <row r="1431" spans="1:8" x14ac:dyDescent="0.3">
      <c r="A1431" t="s">
        <v>734</v>
      </c>
      <c r="B1431" t="s">
        <v>295</v>
      </c>
      <c r="C1431" t="s">
        <v>304</v>
      </c>
      <c r="D1431" t="s">
        <v>2821</v>
      </c>
      <c r="E1431">
        <v>0</v>
      </c>
      <c r="F1431" t="s">
        <v>2820</v>
      </c>
      <c r="G1431" t="b">
        <v>1</v>
      </c>
      <c r="H1431" t="s">
        <v>706</v>
      </c>
    </row>
    <row r="1432" spans="1:8" x14ac:dyDescent="0.3">
      <c r="A1432" t="s">
        <v>734</v>
      </c>
      <c r="B1432" t="s">
        <v>295</v>
      </c>
      <c r="C1432" t="s">
        <v>304</v>
      </c>
      <c r="D1432" t="s">
        <v>2822</v>
      </c>
      <c r="E1432">
        <v>0</v>
      </c>
      <c r="F1432" t="s">
        <v>2820</v>
      </c>
      <c r="G1432" t="b">
        <v>1</v>
      </c>
      <c r="H1432" t="s">
        <v>708</v>
      </c>
    </row>
    <row r="1433" spans="1:8" x14ac:dyDescent="0.3">
      <c r="A1433" t="s">
        <v>734</v>
      </c>
      <c r="B1433" t="s">
        <v>295</v>
      </c>
      <c r="C1433" t="s">
        <v>304</v>
      </c>
      <c r="D1433" t="s">
        <v>2823</v>
      </c>
      <c r="E1433">
        <v>0</v>
      </c>
      <c r="F1433" t="s">
        <v>2820</v>
      </c>
      <c r="G1433" t="b">
        <v>1</v>
      </c>
      <c r="H1433" t="s">
        <v>710</v>
      </c>
    </row>
    <row r="1434" spans="1:8" x14ac:dyDescent="0.3">
      <c r="A1434" t="s">
        <v>734</v>
      </c>
      <c r="B1434" t="s">
        <v>295</v>
      </c>
      <c r="C1434" t="s">
        <v>304</v>
      </c>
      <c r="D1434" t="s">
        <v>2824</v>
      </c>
      <c r="E1434">
        <v>0</v>
      </c>
      <c r="F1434" t="s">
        <v>2820</v>
      </c>
      <c r="G1434" t="b">
        <v>1</v>
      </c>
      <c r="H1434" t="s">
        <v>2802</v>
      </c>
    </row>
    <row r="1435" spans="1:8" x14ac:dyDescent="0.3">
      <c r="A1435" t="s">
        <v>734</v>
      </c>
      <c r="B1435" t="s">
        <v>295</v>
      </c>
      <c r="C1435" t="s">
        <v>304</v>
      </c>
      <c r="D1435" t="s">
        <v>2825</v>
      </c>
      <c r="E1435">
        <v>0</v>
      </c>
      <c r="F1435" t="s">
        <v>2820</v>
      </c>
      <c r="G1435" t="b">
        <v>1</v>
      </c>
      <c r="H1435" t="s">
        <v>2800</v>
      </c>
    </row>
    <row r="1436" spans="1:8" x14ac:dyDescent="0.3">
      <c r="A1436" t="s">
        <v>734</v>
      </c>
      <c r="B1436" t="s">
        <v>295</v>
      </c>
      <c r="C1436" t="s">
        <v>304</v>
      </c>
      <c r="D1436" t="s">
        <v>2826</v>
      </c>
      <c r="E1436">
        <v>0</v>
      </c>
      <c r="F1436" t="s">
        <v>2820</v>
      </c>
      <c r="G1436" t="b">
        <v>1</v>
      </c>
      <c r="H1436" t="s">
        <v>1935</v>
      </c>
    </row>
    <row r="1437" spans="1:8" x14ac:dyDescent="0.3">
      <c r="A1437" t="s">
        <v>734</v>
      </c>
      <c r="B1437" t="s">
        <v>295</v>
      </c>
      <c r="C1437" t="s">
        <v>304</v>
      </c>
      <c r="D1437" t="s">
        <v>2827</v>
      </c>
      <c r="E1437">
        <v>700</v>
      </c>
      <c r="F1437" t="s">
        <v>2820</v>
      </c>
      <c r="G1437" t="b">
        <v>1</v>
      </c>
      <c r="H1437" t="s">
        <v>2828</v>
      </c>
    </row>
    <row r="1438" spans="1:8" x14ac:dyDescent="0.3">
      <c r="A1438" t="s">
        <v>734</v>
      </c>
      <c r="B1438" t="s">
        <v>295</v>
      </c>
      <c r="C1438" t="s">
        <v>304</v>
      </c>
      <c r="D1438" t="s">
        <v>2829</v>
      </c>
      <c r="E1438">
        <v>700</v>
      </c>
      <c r="F1438" t="s">
        <v>2820</v>
      </c>
      <c r="G1438" t="b">
        <v>1</v>
      </c>
      <c r="H1438" t="s">
        <v>2830</v>
      </c>
    </row>
    <row r="1439" spans="1:8" x14ac:dyDescent="0.3">
      <c r="A1439" t="s">
        <v>734</v>
      </c>
      <c r="B1439" t="s">
        <v>295</v>
      </c>
      <c r="C1439" t="s">
        <v>304</v>
      </c>
      <c r="D1439" t="s">
        <v>2831</v>
      </c>
      <c r="E1439">
        <v>700</v>
      </c>
      <c r="F1439" t="s">
        <v>2820</v>
      </c>
      <c r="G1439" t="b">
        <v>1</v>
      </c>
      <c r="H1439" t="s">
        <v>466</v>
      </c>
    </row>
    <row r="1440" spans="1:8" x14ac:dyDescent="0.3">
      <c r="A1440" t="s">
        <v>734</v>
      </c>
      <c r="B1440" t="s">
        <v>295</v>
      </c>
      <c r="C1440" t="s">
        <v>304</v>
      </c>
      <c r="D1440" t="s">
        <v>2832</v>
      </c>
      <c r="E1440">
        <v>700</v>
      </c>
      <c r="F1440" t="s">
        <v>2820</v>
      </c>
      <c r="G1440" t="b">
        <v>1</v>
      </c>
      <c r="H1440" t="s">
        <v>467</v>
      </c>
    </row>
    <row r="1441" spans="1:8" x14ac:dyDescent="0.3">
      <c r="A1441" t="s">
        <v>734</v>
      </c>
      <c r="B1441" t="s">
        <v>295</v>
      </c>
      <c r="C1441" t="s">
        <v>304</v>
      </c>
      <c r="D1441" t="s">
        <v>2833</v>
      </c>
      <c r="E1441">
        <v>700</v>
      </c>
      <c r="F1441" t="s">
        <v>2820</v>
      </c>
      <c r="G1441" t="b">
        <v>1</v>
      </c>
      <c r="H1441" t="s">
        <v>468</v>
      </c>
    </row>
    <row r="1442" spans="1:8" x14ac:dyDescent="0.3">
      <c r="A1442" t="s">
        <v>734</v>
      </c>
      <c r="B1442" t="s">
        <v>295</v>
      </c>
      <c r="C1442" t="s">
        <v>306</v>
      </c>
      <c r="D1442" t="s">
        <v>2819</v>
      </c>
      <c r="E1442">
        <v>0</v>
      </c>
      <c r="F1442" t="s">
        <v>2820</v>
      </c>
      <c r="G1442" t="b">
        <v>1</v>
      </c>
      <c r="H1442" t="s">
        <v>704</v>
      </c>
    </row>
    <row r="1443" spans="1:8" x14ac:dyDescent="0.3">
      <c r="A1443" t="s">
        <v>734</v>
      </c>
      <c r="B1443" t="s">
        <v>295</v>
      </c>
      <c r="C1443" t="s">
        <v>306</v>
      </c>
      <c r="D1443" t="s">
        <v>2821</v>
      </c>
      <c r="E1443">
        <v>0</v>
      </c>
      <c r="F1443" t="s">
        <v>2820</v>
      </c>
      <c r="G1443" t="b">
        <v>1</v>
      </c>
      <c r="H1443" t="s">
        <v>706</v>
      </c>
    </row>
    <row r="1444" spans="1:8" x14ac:dyDescent="0.3">
      <c r="A1444" t="s">
        <v>734</v>
      </c>
      <c r="B1444" t="s">
        <v>295</v>
      </c>
      <c r="C1444" t="s">
        <v>306</v>
      </c>
      <c r="D1444" t="s">
        <v>2822</v>
      </c>
      <c r="E1444">
        <v>0</v>
      </c>
      <c r="F1444" t="s">
        <v>2820</v>
      </c>
      <c r="G1444" t="b">
        <v>1</v>
      </c>
      <c r="H1444" t="s">
        <v>708</v>
      </c>
    </row>
    <row r="1445" spans="1:8" x14ac:dyDescent="0.3">
      <c r="A1445" t="s">
        <v>734</v>
      </c>
      <c r="B1445" t="s">
        <v>295</v>
      </c>
      <c r="C1445" t="s">
        <v>306</v>
      </c>
      <c r="D1445" t="s">
        <v>2823</v>
      </c>
      <c r="E1445">
        <v>0</v>
      </c>
      <c r="F1445" t="s">
        <v>2820</v>
      </c>
      <c r="G1445" t="b">
        <v>1</v>
      </c>
      <c r="H1445" t="s">
        <v>710</v>
      </c>
    </row>
    <row r="1446" spans="1:8" x14ac:dyDescent="0.3">
      <c r="A1446" t="s">
        <v>734</v>
      </c>
      <c r="B1446" t="s">
        <v>295</v>
      </c>
      <c r="C1446" t="s">
        <v>306</v>
      </c>
      <c r="D1446" t="s">
        <v>2824</v>
      </c>
      <c r="E1446">
        <v>0</v>
      </c>
      <c r="F1446" t="s">
        <v>2820</v>
      </c>
      <c r="G1446" t="b">
        <v>1</v>
      </c>
      <c r="H1446" t="s">
        <v>2802</v>
      </c>
    </row>
    <row r="1447" spans="1:8" x14ac:dyDescent="0.3">
      <c r="A1447" t="s">
        <v>734</v>
      </c>
      <c r="B1447" t="s">
        <v>295</v>
      </c>
      <c r="C1447" t="s">
        <v>306</v>
      </c>
      <c r="D1447" t="s">
        <v>2825</v>
      </c>
      <c r="E1447">
        <v>0</v>
      </c>
      <c r="F1447" t="s">
        <v>2820</v>
      </c>
      <c r="G1447" t="b">
        <v>1</v>
      </c>
      <c r="H1447" t="s">
        <v>2800</v>
      </c>
    </row>
    <row r="1448" spans="1:8" x14ac:dyDescent="0.3">
      <c r="A1448" t="s">
        <v>734</v>
      </c>
      <c r="B1448" t="s">
        <v>295</v>
      </c>
      <c r="C1448" t="s">
        <v>306</v>
      </c>
      <c r="D1448" t="s">
        <v>2826</v>
      </c>
      <c r="E1448">
        <v>0</v>
      </c>
      <c r="F1448" t="s">
        <v>2820</v>
      </c>
      <c r="G1448" t="b">
        <v>1</v>
      </c>
      <c r="H1448" t="s">
        <v>1935</v>
      </c>
    </row>
    <row r="1449" spans="1:8" x14ac:dyDescent="0.3">
      <c r="A1449" t="s">
        <v>734</v>
      </c>
      <c r="B1449" t="s">
        <v>295</v>
      </c>
      <c r="C1449" t="s">
        <v>306</v>
      </c>
      <c r="D1449" t="s">
        <v>2827</v>
      </c>
      <c r="E1449">
        <v>617.73</v>
      </c>
      <c r="F1449" t="s">
        <v>2820</v>
      </c>
      <c r="G1449" t="b">
        <v>1</v>
      </c>
      <c r="H1449" t="s">
        <v>2828</v>
      </c>
    </row>
    <row r="1450" spans="1:8" x14ac:dyDescent="0.3">
      <c r="A1450" t="s">
        <v>734</v>
      </c>
      <c r="B1450" t="s">
        <v>295</v>
      </c>
      <c r="C1450" t="s">
        <v>306</v>
      </c>
      <c r="D1450" t="s">
        <v>2829</v>
      </c>
      <c r="E1450">
        <v>617.73</v>
      </c>
      <c r="F1450" t="s">
        <v>2820</v>
      </c>
      <c r="G1450" t="b">
        <v>1</v>
      </c>
      <c r="H1450" t="s">
        <v>2830</v>
      </c>
    </row>
    <row r="1451" spans="1:8" x14ac:dyDescent="0.3">
      <c r="A1451" t="s">
        <v>734</v>
      </c>
      <c r="B1451" t="s">
        <v>295</v>
      </c>
      <c r="C1451" t="s">
        <v>306</v>
      </c>
      <c r="D1451" t="s">
        <v>2831</v>
      </c>
      <c r="E1451">
        <v>617.73</v>
      </c>
      <c r="F1451" t="s">
        <v>2820</v>
      </c>
      <c r="G1451" t="b">
        <v>1</v>
      </c>
      <c r="H1451" t="s">
        <v>466</v>
      </c>
    </row>
    <row r="1452" spans="1:8" x14ac:dyDescent="0.3">
      <c r="A1452" t="s">
        <v>734</v>
      </c>
      <c r="B1452" t="s">
        <v>295</v>
      </c>
      <c r="C1452" t="s">
        <v>306</v>
      </c>
      <c r="D1452" t="s">
        <v>2832</v>
      </c>
      <c r="E1452">
        <v>617.73</v>
      </c>
      <c r="F1452" t="s">
        <v>2820</v>
      </c>
      <c r="G1452" t="b">
        <v>1</v>
      </c>
      <c r="H1452" t="s">
        <v>467</v>
      </c>
    </row>
    <row r="1453" spans="1:8" x14ac:dyDescent="0.3">
      <c r="A1453" t="s">
        <v>734</v>
      </c>
      <c r="B1453" t="s">
        <v>295</v>
      </c>
      <c r="C1453" t="s">
        <v>306</v>
      </c>
      <c r="D1453" t="s">
        <v>2833</v>
      </c>
      <c r="E1453">
        <v>617.73</v>
      </c>
      <c r="F1453" t="s">
        <v>2820</v>
      </c>
      <c r="G1453" t="b">
        <v>1</v>
      </c>
      <c r="H1453" t="s">
        <v>468</v>
      </c>
    </row>
    <row r="1454" spans="1:8" x14ac:dyDescent="0.3">
      <c r="A1454" t="s">
        <v>734</v>
      </c>
      <c r="B1454" t="s">
        <v>295</v>
      </c>
      <c r="C1454" t="s">
        <v>299</v>
      </c>
      <c r="D1454" t="s">
        <v>2819</v>
      </c>
      <c r="E1454">
        <v>0</v>
      </c>
      <c r="F1454" t="s">
        <v>2820</v>
      </c>
      <c r="G1454" t="b">
        <v>1</v>
      </c>
      <c r="H1454" t="s">
        <v>704</v>
      </c>
    </row>
    <row r="1455" spans="1:8" x14ac:dyDescent="0.3">
      <c r="A1455" t="s">
        <v>734</v>
      </c>
      <c r="B1455" t="s">
        <v>295</v>
      </c>
      <c r="C1455" t="s">
        <v>299</v>
      </c>
      <c r="D1455" t="s">
        <v>2821</v>
      </c>
      <c r="E1455">
        <v>0</v>
      </c>
      <c r="F1455" t="s">
        <v>2820</v>
      </c>
      <c r="G1455" t="b">
        <v>1</v>
      </c>
      <c r="H1455" t="s">
        <v>706</v>
      </c>
    </row>
    <row r="1456" spans="1:8" x14ac:dyDescent="0.3">
      <c r="A1456" t="s">
        <v>734</v>
      </c>
      <c r="B1456" t="s">
        <v>295</v>
      </c>
      <c r="C1456" t="s">
        <v>299</v>
      </c>
      <c r="D1456" t="s">
        <v>2822</v>
      </c>
      <c r="E1456">
        <v>0</v>
      </c>
      <c r="F1456" t="s">
        <v>2820</v>
      </c>
      <c r="G1456" t="b">
        <v>1</v>
      </c>
      <c r="H1456" t="s">
        <v>708</v>
      </c>
    </row>
    <row r="1457" spans="1:8" x14ac:dyDescent="0.3">
      <c r="A1457" t="s">
        <v>734</v>
      </c>
      <c r="B1457" t="s">
        <v>295</v>
      </c>
      <c r="C1457" t="s">
        <v>299</v>
      </c>
      <c r="D1457" t="s">
        <v>2823</v>
      </c>
      <c r="E1457">
        <v>0</v>
      </c>
      <c r="F1457" t="s">
        <v>2820</v>
      </c>
      <c r="G1457" t="b">
        <v>1</v>
      </c>
      <c r="H1457" t="s">
        <v>710</v>
      </c>
    </row>
    <row r="1458" spans="1:8" x14ac:dyDescent="0.3">
      <c r="A1458" t="s">
        <v>734</v>
      </c>
      <c r="B1458" t="s">
        <v>295</v>
      </c>
      <c r="C1458" t="s">
        <v>299</v>
      </c>
      <c r="D1458" t="s">
        <v>2824</v>
      </c>
      <c r="E1458">
        <v>0</v>
      </c>
      <c r="F1458" t="s">
        <v>2820</v>
      </c>
      <c r="G1458" t="b">
        <v>1</v>
      </c>
      <c r="H1458" t="s">
        <v>2802</v>
      </c>
    </row>
    <row r="1459" spans="1:8" x14ac:dyDescent="0.3">
      <c r="A1459" t="s">
        <v>734</v>
      </c>
      <c r="B1459" t="s">
        <v>295</v>
      </c>
      <c r="C1459" t="s">
        <v>299</v>
      </c>
      <c r="D1459" t="s">
        <v>2825</v>
      </c>
      <c r="E1459">
        <v>0</v>
      </c>
      <c r="F1459" t="s">
        <v>2820</v>
      </c>
      <c r="G1459" t="b">
        <v>1</v>
      </c>
      <c r="H1459" t="s">
        <v>2800</v>
      </c>
    </row>
    <row r="1460" spans="1:8" x14ac:dyDescent="0.3">
      <c r="A1460" t="s">
        <v>734</v>
      </c>
      <c r="B1460" t="s">
        <v>295</v>
      </c>
      <c r="C1460" t="s">
        <v>299</v>
      </c>
      <c r="D1460" t="s">
        <v>2826</v>
      </c>
      <c r="E1460">
        <v>0</v>
      </c>
      <c r="F1460" t="s">
        <v>2820</v>
      </c>
      <c r="G1460" t="b">
        <v>1</v>
      </c>
      <c r="H1460" t="s">
        <v>1935</v>
      </c>
    </row>
    <row r="1461" spans="1:8" x14ac:dyDescent="0.3">
      <c r="A1461" t="s">
        <v>734</v>
      </c>
      <c r="B1461" t="s">
        <v>295</v>
      </c>
      <c r="C1461" t="s">
        <v>299</v>
      </c>
      <c r="D1461" t="s">
        <v>2827</v>
      </c>
      <c r="E1461">
        <v>0</v>
      </c>
      <c r="F1461" t="s">
        <v>2820</v>
      </c>
      <c r="G1461" t="b">
        <v>1</v>
      </c>
      <c r="H1461" t="s">
        <v>2828</v>
      </c>
    </row>
    <row r="1462" spans="1:8" x14ac:dyDescent="0.3">
      <c r="A1462" t="s">
        <v>734</v>
      </c>
      <c r="B1462" t="s">
        <v>295</v>
      </c>
      <c r="C1462" t="s">
        <v>299</v>
      </c>
      <c r="D1462" t="s">
        <v>2829</v>
      </c>
      <c r="E1462">
        <v>0</v>
      </c>
      <c r="F1462" t="s">
        <v>2820</v>
      </c>
      <c r="G1462" t="b">
        <v>1</v>
      </c>
      <c r="H1462" t="s">
        <v>2830</v>
      </c>
    </row>
    <row r="1463" spans="1:8" x14ac:dyDescent="0.3">
      <c r="A1463" t="s">
        <v>734</v>
      </c>
      <c r="B1463" t="s">
        <v>295</v>
      </c>
      <c r="C1463" t="s">
        <v>299</v>
      </c>
      <c r="D1463" t="s">
        <v>2831</v>
      </c>
      <c r="E1463">
        <v>0</v>
      </c>
      <c r="F1463" t="s">
        <v>2820</v>
      </c>
      <c r="G1463" t="b">
        <v>1</v>
      </c>
      <c r="H1463" t="s">
        <v>466</v>
      </c>
    </row>
    <row r="1464" spans="1:8" x14ac:dyDescent="0.3">
      <c r="A1464" t="s">
        <v>734</v>
      </c>
      <c r="B1464" t="s">
        <v>295</v>
      </c>
      <c r="C1464" t="s">
        <v>299</v>
      </c>
      <c r="D1464" t="s">
        <v>2832</v>
      </c>
      <c r="E1464">
        <v>0</v>
      </c>
      <c r="F1464" t="s">
        <v>2820</v>
      </c>
      <c r="G1464" t="b">
        <v>1</v>
      </c>
      <c r="H1464" t="s">
        <v>467</v>
      </c>
    </row>
    <row r="1465" spans="1:8" x14ac:dyDescent="0.3">
      <c r="A1465" t="s">
        <v>734</v>
      </c>
      <c r="B1465" t="s">
        <v>295</v>
      </c>
      <c r="C1465" t="s">
        <v>299</v>
      </c>
      <c r="D1465" t="s">
        <v>2833</v>
      </c>
      <c r="E1465">
        <v>0</v>
      </c>
      <c r="F1465" t="s">
        <v>2820</v>
      </c>
      <c r="G1465" t="b">
        <v>1</v>
      </c>
      <c r="H1465" t="s">
        <v>468</v>
      </c>
    </row>
    <row r="1466" spans="1:8" x14ac:dyDescent="0.3">
      <c r="A1466" t="s">
        <v>734</v>
      </c>
      <c r="B1466" t="s">
        <v>295</v>
      </c>
      <c r="C1466" t="s">
        <v>301</v>
      </c>
      <c r="D1466" t="s">
        <v>2819</v>
      </c>
      <c r="E1466">
        <v>0</v>
      </c>
      <c r="F1466" t="s">
        <v>2820</v>
      </c>
      <c r="G1466" t="b">
        <v>1</v>
      </c>
      <c r="H1466" t="s">
        <v>704</v>
      </c>
    </row>
    <row r="1467" spans="1:8" x14ac:dyDescent="0.3">
      <c r="A1467" t="s">
        <v>734</v>
      </c>
      <c r="B1467" t="s">
        <v>295</v>
      </c>
      <c r="C1467" t="s">
        <v>301</v>
      </c>
      <c r="D1467" t="s">
        <v>2821</v>
      </c>
      <c r="E1467">
        <v>0</v>
      </c>
      <c r="F1467" t="s">
        <v>2820</v>
      </c>
      <c r="G1467" t="b">
        <v>1</v>
      </c>
      <c r="H1467" t="s">
        <v>706</v>
      </c>
    </row>
    <row r="1468" spans="1:8" x14ac:dyDescent="0.3">
      <c r="A1468" t="s">
        <v>734</v>
      </c>
      <c r="B1468" t="s">
        <v>295</v>
      </c>
      <c r="C1468" t="s">
        <v>301</v>
      </c>
      <c r="D1468" t="s">
        <v>2822</v>
      </c>
      <c r="E1468">
        <v>0</v>
      </c>
      <c r="F1468" t="s">
        <v>2820</v>
      </c>
      <c r="G1468" t="b">
        <v>1</v>
      </c>
      <c r="H1468" t="s">
        <v>708</v>
      </c>
    </row>
    <row r="1469" spans="1:8" x14ac:dyDescent="0.3">
      <c r="A1469" t="s">
        <v>734</v>
      </c>
      <c r="B1469" t="s">
        <v>295</v>
      </c>
      <c r="C1469" t="s">
        <v>301</v>
      </c>
      <c r="D1469" t="s">
        <v>2823</v>
      </c>
      <c r="E1469">
        <v>0</v>
      </c>
      <c r="F1469" t="s">
        <v>2820</v>
      </c>
      <c r="G1469" t="b">
        <v>1</v>
      </c>
      <c r="H1469" t="s">
        <v>710</v>
      </c>
    </row>
    <row r="1470" spans="1:8" x14ac:dyDescent="0.3">
      <c r="A1470" t="s">
        <v>734</v>
      </c>
      <c r="B1470" t="s">
        <v>295</v>
      </c>
      <c r="C1470" t="s">
        <v>301</v>
      </c>
      <c r="D1470" t="s">
        <v>2824</v>
      </c>
      <c r="E1470">
        <v>0</v>
      </c>
      <c r="F1470" t="s">
        <v>2820</v>
      </c>
      <c r="G1470" t="b">
        <v>1</v>
      </c>
      <c r="H1470" t="s">
        <v>2802</v>
      </c>
    </row>
    <row r="1471" spans="1:8" x14ac:dyDescent="0.3">
      <c r="A1471" t="s">
        <v>734</v>
      </c>
      <c r="B1471" t="s">
        <v>295</v>
      </c>
      <c r="C1471" t="s">
        <v>301</v>
      </c>
      <c r="D1471" t="s">
        <v>2825</v>
      </c>
      <c r="E1471">
        <v>0</v>
      </c>
      <c r="F1471" t="s">
        <v>2820</v>
      </c>
      <c r="G1471" t="b">
        <v>1</v>
      </c>
      <c r="H1471" t="s">
        <v>2800</v>
      </c>
    </row>
    <row r="1472" spans="1:8" x14ac:dyDescent="0.3">
      <c r="A1472" t="s">
        <v>734</v>
      </c>
      <c r="B1472" t="s">
        <v>295</v>
      </c>
      <c r="C1472" t="s">
        <v>301</v>
      </c>
      <c r="D1472" t="s">
        <v>2826</v>
      </c>
      <c r="E1472">
        <v>0</v>
      </c>
      <c r="F1472" t="s">
        <v>2820</v>
      </c>
      <c r="G1472" t="b">
        <v>1</v>
      </c>
      <c r="H1472" t="s">
        <v>1935</v>
      </c>
    </row>
    <row r="1473" spans="1:8" x14ac:dyDescent="0.3">
      <c r="A1473" t="s">
        <v>734</v>
      </c>
      <c r="B1473" t="s">
        <v>295</v>
      </c>
      <c r="C1473" t="s">
        <v>301</v>
      </c>
      <c r="D1473" t="s">
        <v>2827</v>
      </c>
      <c r="E1473">
        <v>0</v>
      </c>
      <c r="F1473" t="s">
        <v>2820</v>
      </c>
      <c r="G1473" t="b">
        <v>1</v>
      </c>
      <c r="H1473" t="s">
        <v>2828</v>
      </c>
    </row>
    <row r="1474" spans="1:8" x14ac:dyDescent="0.3">
      <c r="A1474" t="s">
        <v>734</v>
      </c>
      <c r="B1474" t="s">
        <v>295</v>
      </c>
      <c r="C1474" t="s">
        <v>301</v>
      </c>
      <c r="D1474" t="s">
        <v>2829</v>
      </c>
      <c r="E1474">
        <v>0</v>
      </c>
      <c r="F1474" t="s">
        <v>2820</v>
      </c>
      <c r="G1474" t="b">
        <v>1</v>
      </c>
      <c r="H1474" t="s">
        <v>2830</v>
      </c>
    </row>
    <row r="1475" spans="1:8" x14ac:dyDescent="0.3">
      <c r="A1475" t="s">
        <v>734</v>
      </c>
      <c r="B1475" t="s">
        <v>295</v>
      </c>
      <c r="C1475" t="s">
        <v>301</v>
      </c>
      <c r="D1475" t="s">
        <v>2831</v>
      </c>
      <c r="E1475">
        <v>0</v>
      </c>
      <c r="F1475" t="s">
        <v>2820</v>
      </c>
      <c r="G1475" t="b">
        <v>1</v>
      </c>
      <c r="H1475" t="s">
        <v>466</v>
      </c>
    </row>
    <row r="1476" spans="1:8" x14ac:dyDescent="0.3">
      <c r="A1476" t="s">
        <v>734</v>
      </c>
      <c r="B1476" t="s">
        <v>295</v>
      </c>
      <c r="C1476" t="s">
        <v>301</v>
      </c>
      <c r="D1476" t="s">
        <v>2832</v>
      </c>
      <c r="E1476">
        <v>0</v>
      </c>
      <c r="F1476" t="s">
        <v>2820</v>
      </c>
      <c r="G1476" t="b">
        <v>1</v>
      </c>
      <c r="H1476" t="s">
        <v>467</v>
      </c>
    </row>
    <row r="1477" spans="1:8" x14ac:dyDescent="0.3">
      <c r="A1477" t="s">
        <v>734</v>
      </c>
      <c r="B1477" t="s">
        <v>295</v>
      </c>
      <c r="C1477" t="s">
        <v>301</v>
      </c>
      <c r="D1477" t="s">
        <v>2833</v>
      </c>
      <c r="E1477">
        <v>0</v>
      </c>
      <c r="F1477" t="s">
        <v>2820</v>
      </c>
      <c r="G1477" t="b">
        <v>1</v>
      </c>
      <c r="H1477" t="s">
        <v>468</v>
      </c>
    </row>
    <row r="1478" spans="1:8" x14ac:dyDescent="0.3">
      <c r="A1478" t="s">
        <v>734</v>
      </c>
      <c r="B1478" t="s">
        <v>295</v>
      </c>
      <c r="C1478" t="s">
        <v>303</v>
      </c>
      <c r="D1478" t="s">
        <v>2819</v>
      </c>
      <c r="E1478">
        <v>0</v>
      </c>
      <c r="F1478" t="s">
        <v>2820</v>
      </c>
      <c r="G1478" t="b">
        <v>1</v>
      </c>
      <c r="H1478" t="s">
        <v>704</v>
      </c>
    </row>
    <row r="1479" spans="1:8" x14ac:dyDescent="0.3">
      <c r="A1479" t="s">
        <v>734</v>
      </c>
      <c r="B1479" t="s">
        <v>295</v>
      </c>
      <c r="C1479" t="s">
        <v>303</v>
      </c>
      <c r="D1479" t="s">
        <v>2821</v>
      </c>
      <c r="E1479">
        <v>0</v>
      </c>
      <c r="F1479" t="s">
        <v>2820</v>
      </c>
      <c r="G1479" t="b">
        <v>1</v>
      </c>
      <c r="H1479" t="s">
        <v>706</v>
      </c>
    </row>
    <row r="1480" spans="1:8" x14ac:dyDescent="0.3">
      <c r="A1480" t="s">
        <v>734</v>
      </c>
      <c r="B1480" t="s">
        <v>295</v>
      </c>
      <c r="C1480" t="s">
        <v>303</v>
      </c>
      <c r="D1480" t="s">
        <v>2822</v>
      </c>
      <c r="E1480">
        <v>0</v>
      </c>
      <c r="F1480" t="s">
        <v>2820</v>
      </c>
      <c r="G1480" t="b">
        <v>1</v>
      </c>
      <c r="H1480" t="s">
        <v>708</v>
      </c>
    </row>
    <row r="1481" spans="1:8" x14ac:dyDescent="0.3">
      <c r="A1481" t="s">
        <v>734</v>
      </c>
      <c r="B1481" t="s">
        <v>295</v>
      </c>
      <c r="C1481" t="s">
        <v>303</v>
      </c>
      <c r="D1481" t="s">
        <v>2823</v>
      </c>
      <c r="E1481">
        <v>0</v>
      </c>
      <c r="F1481" t="s">
        <v>2820</v>
      </c>
      <c r="G1481" t="b">
        <v>1</v>
      </c>
      <c r="H1481" t="s">
        <v>710</v>
      </c>
    </row>
    <row r="1482" spans="1:8" x14ac:dyDescent="0.3">
      <c r="A1482" t="s">
        <v>734</v>
      </c>
      <c r="B1482" t="s">
        <v>295</v>
      </c>
      <c r="C1482" t="s">
        <v>303</v>
      </c>
      <c r="D1482" t="s">
        <v>2824</v>
      </c>
      <c r="E1482">
        <v>0</v>
      </c>
      <c r="F1482" t="s">
        <v>2820</v>
      </c>
      <c r="G1482" t="b">
        <v>1</v>
      </c>
      <c r="H1482" t="s">
        <v>2802</v>
      </c>
    </row>
    <row r="1483" spans="1:8" x14ac:dyDescent="0.3">
      <c r="A1483" t="s">
        <v>734</v>
      </c>
      <c r="B1483" t="s">
        <v>295</v>
      </c>
      <c r="C1483" t="s">
        <v>303</v>
      </c>
      <c r="D1483" t="s">
        <v>2825</v>
      </c>
      <c r="E1483">
        <v>0</v>
      </c>
      <c r="F1483" t="s">
        <v>2820</v>
      </c>
      <c r="G1483" t="b">
        <v>1</v>
      </c>
      <c r="H1483" t="s">
        <v>2800</v>
      </c>
    </row>
    <row r="1484" spans="1:8" x14ac:dyDescent="0.3">
      <c r="A1484" t="s">
        <v>734</v>
      </c>
      <c r="B1484" t="s">
        <v>295</v>
      </c>
      <c r="C1484" t="s">
        <v>303</v>
      </c>
      <c r="D1484" t="s">
        <v>2826</v>
      </c>
      <c r="E1484">
        <v>0</v>
      </c>
      <c r="F1484" t="s">
        <v>2820</v>
      </c>
      <c r="G1484" t="b">
        <v>1</v>
      </c>
      <c r="H1484" t="s">
        <v>1935</v>
      </c>
    </row>
    <row r="1485" spans="1:8" x14ac:dyDescent="0.3">
      <c r="A1485" t="s">
        <v>734</v>
      </c>
      <c r="B1485" t="s">
        <v>295</v>
      </c>
      <c r="C1485" t="s">
        <v>303</v>
      </c>
      <c r="D1485" t="s">
        <v>2827</v>
      </c>
      <c r="E1485">
        <v>5400</v>
      </c>
      <c r="F1485" t="s">
        <v>2820</v>
      </c>
      <c r="G1485" t="b">
        <v>1</v>
      </c>
      <c r="H1485" t="s">
        <v>2828</v>
      </c>
    </row>
    <row r="1486" spans="1:8" x14ac:dyDescent="0.3">
      <c r="A1486" t="s">
        <v>734</v>
      </c>
      <c r="B1486" t="s">
        <v>295</v>
      </c>
      <c r="C1486" t="s">
        <v>303</v>
      </c>
      <c r="D1486" t="s">
        <v>2829</v>
      </c>
      <c r="E1486">
        <v>5400</v>
      </c>
      <c r="F1486" t="s">
        <v>2820</v>
      </c>
      <c r="G1486" t="b">
        <v>1</v>
      </c>
      <c r="H1486" t="s">
        <v>2830</v>
      </c>
    </row>
    <row r="1487" spans="1:8" x14ac:dyDescent="0.3">
      <c r="A1487" t="s">
        <v>734</v>
      </c>
      <c r="B1487" t="s">
        <v>295</v>
      </c>
      <c r="C1487" t="s">
        <v>303</v>
      </c>
      <c r="D1487" t="s">
        <v>2831</v>
      </c>
      <c r="E1487">
        <v>5400</v>
      </c>
      <c r="F1487" t="s">
        <v>2820</v>
      </c>
      <c r="G1487" t="b">
        <v>1</v>
      </c>
      <c r="H1487" t="s">
        <v>466</v>
      </c>
    </row>
    <row r="1488" spans="1:8" x14ac:dyDescent="0.3">
      <c r="A1488" t="s">
        <v>734</v>
      </c>
      <c r="B1488" t="s">
        <v>295</v>
      </c>
      <c r="C1488" t="s">
        <v>303</v>
      </c>
      <c r="D1488" t="s">
        <v>2832</v>
      </c>
      <c r="E1488">
        <v>5400</v>
      </c>
      <c r="F1488" t="s">
        <v>2820</v>
      </c>
      <c r="G1488" t="b">
        <v>1</v>
      </c>
      <c r="H1488" t="s">
        <v>467</v>
      </c>
    </row>
    <row r="1489" spans="1:8" x14ac:dyDescent="0.3">
      <c r="A1489" t="s">
        <v>734</v>
      </c>
      <c r="B1489" t="s">
        <v>295</v>
      </c>
      <c r="C1489" t="s">
        <v>303</v>
      </c>
      <c r="D1489" t="s">
        <v>2833</v>
      </c>
      <c r="E1489">
        <v>5400</v>
      </c>
      <c r="F1489" t="s">
        <v>2820</v>
      </c>
      <c r="G1489" t="b">
        <v>1</v>
      </c>
      <c r="H1489" t="s">
        <v>468</v>
      </c>
    </row>
    <row r="1490" spans="1:8" x14ac:dyDescent="0.3">
      <c r="A1490" t="s">
        <v>734</v>
      </c>
      <c r="B1490" t="s">
        <v>295</v>
      </c>
      <c r="C1490" t="s">
        <v>300</v>
      </c>
      <c r="D1490" t="s">
        <v>2819</v>
      </c>
      <c r="E1490">
        <v>0</v>
      </c>
      <c r="F1490" t="s">
        <v>2820</v>
      </c>
      <c r="G1490" t="b">
        <v>1</v>
      </c>
      <c r="H1490" t="s">
        <v>704</v>
      </c>
    </row>
    <row r="1491" spans="1:8" x14ac:dyDescent="0.3">
      <c r="A1491" t="s">
        <v>734</v>
      </c>
      <c r="B1491" t="s">
        <v>295</v>
      </c>
      <c r="C1491" t="s">
        <v>300</v>
      </c>
      <c r="D1491" t="s">
        <v>2821</v>
      </c>
      <c r="E1491">
        <v>0</v>
      </c>
      <c r="F1491" t="s">
        <v>2820</v>
      </c>
      <c r="G1491" t="b">
        <v>1</v>
      </c>
      <c r="H1491" t="s">
        <v>706</v>
      </c>
    </row>
    <row r="1492" spans="1:8" x14ac:dyDescent="0.3">
      <c r="A1492" t="s">
        <v>734</v>
      </c>
      <c r="B1492" t="s">
        <v>295</v>
      </c>
      <c r="C1492" t="s">
        <v>300</v>
      </c>
      <c r="D1492" t="s">
        <v>2822</v>
      </c>
      <c r="E1492">
        <v>0</v>
      </c>
      <c r="F1492" t="s">
        <v>2820</v>
      </c>
      <c r="G1492" t="b">
        <v>1</v>
      </c>
      <c r="H1492" t="s">
        <v>708</v>
      </c>
    </row>
    <row r="1493" spans="1:8" x14ac:dyDescent="0.3">
      <c r="A1493" t="s">
        <v>734</v>
      </c>
      <c r="B1493" t="s">
        <v>295</v>
      </c>
      <c r="C1493" t="s">
        <v>300</v>
      </c>
      <c r="D1493" t="s">
        <v>2823</v>
      </c>
      <c r="E1493">
        <v>0</v>
      </c>
      <c r="F1493" t="s">
        <v>2820</v>
      </c>
      <c r="G1493" t="b">
        <v>1</v>
      </c>
      <c r="H1493" t="s">
        <v>710</v>
      </c>
    </row>
    <row r="1494" spans="1:8" x14ac:dyDescent="0.3">
      <c r="A1494" t="s">
        <v>734</v>
      </c>
      <c r="B1494" t="s">
        <v>295</v>
      </c>
      <c r="C1494" t="s">
        <v>300</v>
      </c>
      <c r="D1494" t="s">
        <v>2824</v>
      </c>
      <c r="E1494">
        <v>0</v>
      </c>
      <c r="F1494" t="s">
        <v>2820</v>
      </c>
      <c r="G1494" t="b">
        <v>1</v>
      </c>
      <c r="H1494" t="s">
        <v>2802</v>
      </c>
    </row>
    <row r="1495" spans="1:8" x14ac:dyDescent="0.3">
      <c r="A1495" t="s">
        <v>734</v>
      </c>
      <c r="B1495" t="s">
        <v>295</v>
      </c>
      <c r="C1495" t="s">
        <v>300</v>
      </c>
      <c r="D1495" t="s">
        <v>2825</v>
      </c>
      <c r="E1495">
        <v>0</v>
      </c>
      <c r="F1495" t="s">
        <v>2820</v>
      </c>
      <c r="G1495" t="b">
        <v>1</v>
      </c>
      <c r="H1495" t="s">
        <v>2800</v>
      </c>
    </row>
    <row r="1496" spans="1:8" x14ac:dyDescent="0.3">
      <c r="A1496" t="s">
        <v>734</v>
      </c>
      <c r="B1496" t="s">
        <v>295</v>
      </c>
      <c r="C1496" t="s">
        <v>300</v>
      </c>
      <c r="D1496" t="s">
        <v>2826</v>
      </c>
      <c r="E1496">
        <v>0</v>
      </c>
      <c r="F1496" t="s">
        <v>2820</v>
      </c>
      <c r="G1496" t="b">
        <v>1</v>
      </c>
      <c r="H1496" t="s">
        <v>1935</v>
      </c>
    </row>
    <row r="1497" spans="1:8" x14ac:dyDescent="0.3">
      <c r="A1497" t="s">
        <v>734</v>
      </c>
      <c r="B1497" t="s">
        <v>295</v>
      </c>
      <c r="C1497" t="s">
        <v>300</v>
      </c>
      <c r="D1497" t="s">
        <v>2827</v>
      </c>
      <c r="E1497">
        <v>14600</v>
      </c>
      <c r="F1497" t="s">
        <v>2820</v>
      </c>
      <c r="G1497" t="b">
        <v>1</v>
      </c>
      <c r="H1497" t="s">
        <v>2828</v>
      </c>
    </row>
    <row r="1498" spans="1:8" x14ac:dyDescent="0.3">
      <c r="A1498" t="s">
        <v>734</v>
      </c>
      <c r="B1498" t="s">
        <v>295</v>
      </c>
      <c r="C1498" t="s">
        <v>300</v>
      </c>
      <c r="D1498" t="s">
        <v>2829</v>
      </c>
      <c r="E1498">
        <v>14600</v>
      </c>
      <c r="F1498" t="s">
        <v>2820</v>
      </c>
      <c r="G1498" t="b">
        <v>1</v>
      </c>
      <c r="H1498" t="s">
        <v>2830</v>
      </c>
    </row>
    <row r="1499" spans="1:8" x14ac:dyDescent="0.3">
      <c r="A1499" t="s">
        <v>734</v>
      </c>
      <c r="B1499" t="s">
        <v>295</v>
      </c>
      <c r="C1499" t="s">
        <v>300</v>
      </c>
      <c r="D1499" t="s">
        <v>2831</v>
      </c>
      <c r="E1499">
        <v>14600</v>
      </c>
      <c r="F1499" t="s">
        <v>2820</v>
      </c>
      <c r="G1499" t="b">
        <v>1</v>
      </c>
      <c r="H1499" t="s">
        <v>466</v>
      </c>
    </row>
    <row r="1500" spans="1:8" x14ac:dyDescent="0.3">
      <c r="A1500" t="s">
        <v>734</v>
      </c>
      <c r="B1500" t="s">
        <v>295</v>
      </c>
      <c r="C1500" t="s">
        <v>300</v>
      </c>
      <c r="D1500" t="s">
        <v>2832</v>
      </c>
      <c r="E1500">
        <v>14600</v>
      </c>
      <c r="F1500" t="s">
        <v>2820</v>
      </c>
      <c r="G1500" t="b">
        <v>1</v>
      </c>
      <c r="H1500" t="s">
        <v>467</v>
      </c>
    </row>
    <row r="1501" spans="1:8" x14ac:dyDescent="0.3">
      <c r="A1501" t="s">
        <v>734</v>
      </c>
      <c r="B1501" t="s">
        <v>295</v>
      </c>
      <c r="C1501" t="s">
        <v>300</v>
      </c>
      <c r="D1501" t="s">
        <v>2833</v>
      </c>
      <c r="E1501">
        <v>14600</v>
      </c>
      <c r="F1501" t="s">
        <v>2820</v>
      </c>
      <c r="G1501" t="b">
        <v>1</v>
      </c>
      <c r="H1501" t="s">
        <v>468</v>
      </c>
    </row>
    <row r="1502" spans="1:8" x14ac:dyDescent="0.3">
      <c r="A1502" t="s">
        <v>734</v>
      </c>
      <c r="B1502" t="s">
        <v>295</v>
      </c>
      <c r="C1502" t="s">
        <v>302</v>
      </c>
      <c r="D1502" t="s">
        <v>2819</v>
      </c>
      <c r="E1502">
        <v>0</v>
      </c>
      <c r="F1502" t="s">
        <v>2820</v>
      </c>
      <c r="G1502" t="b">
        <v>1</v>
      </c>
      <c r="H1502" t="s">
        <v>704</v>
      </c>
    </row>
    <row r="1503" spans="1:8" x14ac:dyDescent="0.3">
      <c r="A1503" t="s">
        <v>734</v>
      </c>
      <c r="B1503" t="s">
        <v>295</v>
      </c>
      <c r="C1503" t="s">
        <v>302</v>
      </c>
      <c r="D1503" t="s">
        <v>2821</v>
      </c>
      <c r="E1503">
        <v>0</v>
      </c>
      <c r="F1503" t="s">
        <v>2820</v>
      </c>
      <c r="G1503" t="b">
        <v>1</v>
      </c>
      <c r="H1503" t="s">
        <v>706</v>
      </c>
    </row>
    <row r="1504" spans="1:8" x14ac:dyDescent="0.3">
      <c r="A1504" t="s">
        <v>734</v>
      </c>
      <c r="B1504" t="s">
        <v>295</v>
      </c>
      <c r="C1504" t="s">
        <v>302</v>
      </c>
      <c r="D1504" t="s">
        <v>2822</v>
      </c>
      <c r="E1504">
        <v>0</v>
      </c>
      <c r="F1504" t="s">
        <v>2820</v>
      </c>
      <c r="G1504" t="b">
        <v>1</v>
      </c>
      <c r="H1504" t="s">
        <v>708</v>
      </c>
    </row>
    <row r="1505" spans="1:8" x14ac:dyDescent="0.3">
      <c r="A1505" t="s">
        <v>734</v>
      </c>
      <c r="B1505" t="s">
        <v>295</v>
      </c>
      <c r="C1505" t="s">
        <v>302</v>
      </c>
      <c r="D1505" t="s">
        <v>2823</v>
      </c>
      <c r="E1505">
        <v>0</v>
      </c>
      <c r="F1505" t="s">
        <v>2820</v>
      </c>
      <c r="G1505" t="b">
        <v>1</v>
      </c>
      <c r="H1505" t="s">
        <v>710</v>
      </c>
    </row>
    <row r="1506" spans="1:8" x14ac:dyDescent="0.3">
      <c r="A1506" t="s">
        <v>734</v>
      </c>
      <c r="B1506" t="s">
        <v>295</v>
      </c>
      <c r="C1506" t="s">
        <v>302</v>
      </c>
      <c r="D1506" t="s">
        <v>2824</v>
      </c>
      <c r="E1506">
        <v>0</v>
      </c>
      <c r="F1506" t="s">
        <v>2820</v>
      </c>
      <c r="G1506" t="b">
        <v>1</v>
      </c>
      <c r="H1506" t="s">
        <v>2802</v>
      </c>
    </row>
    <row r="1507" spans="1:8" x14ac:dyDescent="0.3">
      <c r="A1507" t="s">
        <v>734</v>
      </c>
      <c r="B1507" t="s">
        <v>295</v>
      </c>
      <c r="C1507" t="s">
        <v>302</v>
      </c>
      <c r="D1507" t="s">
        <v>2825</v>
      </c>
      <c r="E1507">
        <v>0</v>
      </c>
      <c r="F1507" t="s">
        <v>2820</v>
      </c>
      <c r="G1507" t="b">
        <v>1</v>
      </c>
      <c r="H1507" t="s">
        <v>2800</v>
      </c>
    </row>
    <row r="1508" spans="1:8" x14ac:dyDescent="0.3">
      <c r="A1508" t="s">
        <v>734</v>
      </c>
      <c r="B1508" t="s">
        <v>295</v>
      </c>
      <c r="C1508" t="s">
        <v>302</v>
      </c>
      <c r="D1508" t="s">
        <v>2826</v>
      </c>
      <c r="E1508">
        <v>0</v>
      </c>
      <c r="F1508" t="s">
        <v>2820</v>
      </c>
      <c r="G1508" t="b">
        <v>1</v>
      </c>
      <c r="H1508" t="s">
        <v>1935</v>
      </c>
    </row>
    <row r="1509" spans="1:8" x14ac:dyDescent="0.3">
      <c r="A1509" t="s">
        <v>734</v>
      </c>
      <c r="B1509" t="s">
        <v>295</v>
      </c>
      <c r="C1509" t="s">
        <v>302</v>
      </c>
      <c r="D1509" t="s">
        <v>2827</v>
      </c>
      <c r="E1509">
        <v>2100</v>
      </c>
      <c r="F1509" t="s">
        <v>2820</v>
      </c>
      <c r="G1509" t="b">
        <v>1</v>
      </c>
      <c r="H1509" t="s">
        <v>2828</v>
      </c>
    </row>
    <row r="1510" spans="1:8" x14ac:dyDescent="0.3">
      <c r="A1510" t="s">
        <v>734</v>
      </c>
      <c r="B1510" t="s">
        <v>295</v>
      </c>
      <c r="C1510" t="s">
        <v>302</v>
      </c>
      <c r="D1510" t="s">
        <v>2829</v>
      </c>
      <c r="E1510">
        <v>2100</v>
      </c>
      <c r="F1510" t="s">
        <v>2820</v>
      </c>
      <c r="G1510" t="b">
        <v>1</v>
      </c>
      <c r="H1510" t="s">
        <v>2830</v>
      </c>
    </row>
    <row r="1511" spans="1:8" x14ac:dyDescent="0.3">
      <c r="A1511" t="s">
        <v>734</v>
      </c>
      <c r="B1511" t="s">
        <v>295</v>
      </c>
      <c r="C1511" t="s">
        <v>302</v>
      </c>
      <c r="D1511" t="s">
        <v>2831</v>
      </c>
      <c r="E1511">
        <v>2100</v>
      </c>
      <c r="F1511" t="s">
        <v>2820</v>
      </c>
      <c r="G1511" t="b">
        <v>1</v>
      </c>
      <c r="H1511" t="s">
        <v>466</v>
      </c>
    </row>
    <row r="1512" spans="1:8" x14ac:dyDescent="0.3">
      <c r="A1512" t="s">
        <v>734</v>
      </c>
      <c r="B1512" t="s">
        <v>295</v>
      </c>
      <c r="C1512" t="s">
        <v>302</v>
      </c>
      <c r="D1512" t="s">
        <v>2832</v>
      </c>
      <c r="E1512">
        <v>2100</v>
      </c>
      <c r="F1512" t="s">
        <v>2820</v>
      </c>
      <c r="G1512" t="b">
        <v>1</v>
      </c>
      <c r="H1512" t="s">
        <v>467</v>
      </c>
    </row>
    <row r="1513" spans="1:8" x14ac:dyDescent="0.3">
      <c r="A1513" t="s">
        <v>734</v>
      </c>
      <c r="B1513" t="s">
        <v>295</v>
      </c>
      <c r="C1513" t="s">
        <v>302</v>
      </c>
      <c r="D1513" t="s">
        <v>2833</v>
      </c>
      <c r="E1513">
        <v>2100</v>
      </c>
      <c r="F1513" t="s">
        <v>2820</v>
      </c>
      <c r="G1513" t="b">
        <v>1</v>
      </c>
      <c r="H1513" t="s">
        <v>468</v>
      </c>
    </row>
    <row r="1514" spans="1:8" x14ac:dyDescent="0.3">
      <c r="A1514" t="s">
        <v>734</v>
      </c>
      <c r="B1514" t="s">
        <v>2843</v>
      </c>
      <c r="C1514" t="s">
        <v>335</v>
      </c>
      <c r="D1514" t="s">
        <v>2819</v>
      </c>
      <c r="E1514">
        <v>0</v>
      </c>
      <c r="F1514" t="s">
        <v>2820</v>
      </c>
      <c r="G1514" t="b">
        <v>1</v>
      </c>
      <c r="H1514" t="s">
        <v>704</v>
      </c>
    </row>
    <row r="1515" spans="1:8" x14ac:dyDescent="0.3">
      <c r="A1515" t="s">
        <v>734</v>
      </c>
      <c r="B1515" t="s">
        <v>2843</v>
      </c>
      <c r="C1515" t="s">
        <v>335</v>
      </c>
      <c r="D1515" t="s">
        <v>2821</v>
      </c>
      <c r="E1515">
        <v>0</v>
      </c>
      <c r="F1515" t="s">
        <v>2820</v>
      </c>
      <c r="G1515" t="b">
        <v>1</v>
      </c>
      <c r="H1515" t="s">
        <v>706</v>
      </c>
    </row>
    <row r="1516" spans="1:8" x14ac:dyDescent="0.3">
      <c r="A1516" t="s">
        <v>734</v>
      </c>
      <c r="B1516" t="s">
        <v>2843</v>
      </c>
      <c r="C1516" t="s">
        <v>335</v>
      </c>
      <c r="D1516" t="s">
        <v>2822</v>
      </c>
      <c r="E1516">
        <v>0</v>
      </c>
      <c r="F1516" t="s">
        <v>2820</v>
      </c>
      <c r="G1516" t="b">
        <v>1</v>
      </c>
      <c r="H1516" t="s">
        <v>708</v>
      </c>
    </row>
    <row r="1517" spans="1:8" x14ac:dyDescent="0.3">
      <c r="A1517" t="s">
        <v>734</v>
      </c>
      <c r="B1517" t="s">
        <v>2843</v>
      </c>
      <c r="C1517" t="s">
        <v>335</v>
      </c>
      <c r="D1517" t="s">
        <v>2823</v>
      </c>
      <c r="E1517">
        <v>0</v>
      </c>
      <c r="F1517" t="s">
        <v>2820</v>
      </c>
      <c r="G1517" t="b">
        <v>1</v>
      </c>
      <c r="H1517" t="s">
        <v>710</v>
      </c>
    </row>
    <row r="1518" spans="1:8" x14ac:dyDescent="0.3">
      <c r="A1518" t="s">
        <v>734</v>
      </c>
      <c r="B1518" t="s">
        <v>2843</v>
      </c>
      <c r="C1518" t="s">
        <v>335</v>
      </c>
      <c r="D1518" t="s">
        <v>2824</v>
      </c>
      <c r="E1518">
        <v>0</v>
      </c>
      <c r="F1518" t="s">
        <v>2820</v>
      </c>
      <c r="G1518" t="b">
        <v>1</v>
      </c>
      <c r="H1518" t="s">
        <v>2802</v>
      </c>
    </row>
    <row r="1519" spans="1:8" x14ac:dyDescent="0.3">
      <c r="A1519" t="s">
        <v>734</v>
      </c>
      <c r="B1519" t="s">
        <v>2843</v>
      </c>
      <c r="C1519" t="s">
        <v>335</v>
      </c>
      <c r="D1519" t="s">
        <v>2825</v>
      </c>
      <c r="E1519">
        <v>0</v>
      </c>
      <c r="F1519" t="s">
        <v>2820</v>
      </c>
      <c r="G1519" t="b">
        <v>1</v>
      </c>
      <c r="H1519" t="s">
        <v>2800</v>
      </c>
    </row>
    <row r="1520" spans="1:8" x14ac:dyDescent="0.3">
      <c r="A1520" t="s">
        <v>734</v>
      </c>
      <c r="B1520" t="s">
        <v>2843</v>
      </c>
      <c r="C1520" t="s">
        <v>335</v>
      </c>
      <c r="D1520" t="s">
        <v>2826</v>
      </c>
      <c r="E1520">
        <v>0</v>
      </c>
      <c r="F1520" t="s">
        <v>2820</v>
      </c>
      <c r="G1520" t="b">
        <v>1</v>
      </c>
      <c r="H1520" t="s">
        <v>1935</v>
      </c>
    </row>
    <row r="1521" spans="1:8" x14ac:dyDescent="0.3">
      <c r="A1521" t="s">
        <v>734</v>
      </c>
      <c r="B1521" t="s">
        <v>2843</v>
      </c>
      <c r="C1521" t="s">
        <v>335</v>
      </c>
      <c r="D1521" t="s">
        <v>2827</v>
      </c>
      <c r="E1521">
        <v>0</v>
      </c>
      <c r="F1521" t="s">
        <v>2820</v>
      </c>
      <c r="G1521" t="b">
        <v>1</v>
      </c>
      <c r="H1521" t="s">
        <v>2828</v>
      </c>
    </row>
    <row r="1522" spans="1:8" x14ac:dyDescent="0.3">
      <c r="A1522" t="s">
        <v>734</v>
      </c>
      <c r="B1522" t="s">
        <v>2843</v>
      </c>
      <c r="C1522" t="s">
        <v>335</v>
      </c>
      <c r="D1522" t="s">
        <v>2829</v>
      </c>
      <c r="E1522">
        <v>0</v>
      </c>
      <c r="F1522" t="s">
        <v>2820</v>
      </c>
      <c r="G1522" t="b">
        <v>1</v>
      </c>
      <c r="H1522" t="s">
        <v>2830</v>
      </c>
    </row>
    <row r="1523" spans="1:8" x14ac:dyDescent="0.3">
      <c r="A1523" t="s">
        <v>734</v>
      </c>
      <c r="B1523" t="s">
        <v>2843</v>
      </c>
      <c r="C1523" t="s">
        <v>335</v>
      </c>
      <c r="D1523" t="s">
        <v>2831</v>
      </c>
      <c r="E1523">
        <v>0</v>
      </c>
      <c r="F1523" t="s">
        <v>2820</v>
      </c>
      <c r="G1523" t="b">
        <v>1</v>
      </c>
      <c r="H1523" t="s">
        <v>466</v>
      </c>
    </row>
    <row r="1524" spans="1:8" x14ac:dyDescent="0.3">
      <c r="A1524" t="s">
        <v>734</v>
      </c>
      <c r="B1524" t="s">
        <v>2843</v>
      </c>
      <c r="C1524" t="s">
        <v>335</v>
      </c>
      <c r="D1524" t="s">
        <v>2832</v>
      </c>
      <c r="E1524">
        <v>0</v>
      </c>
      <c r="F1524" t="s">
        <v>2820</v>
      </c>
      <c r="G1524" t="b">
        <v>1</v>
      </c>
      <c r="H1524" t="s">
        <v>467</v>
      </c>
    </row>
    <row r="1525" spans="1:8" x14ac:dyDescent="0.3">
      <c r="A1525" t="s">
        <v>734</v>
      </c>
      <c r="B1525" t="s">
        <v>2843</v>
      </c>
      <c r="C1525" t="s">
        <v>335</v>
      </c>
      <c r="D1525" t="s">
        <v>2833</v>
      </c>
      <c r="E1525">
        <v>0</v>
      </c>
      <c r="F1525" t="s">
        <v>2820</v>
      </c>
      <c r="G1525" t="b">
        <v>1</v>
      </c>
      <c r="H1525" t="s">
        <v>468</v>
      </c>
    </row>
    <row r="1526" spans="1:8" x14ac:dyDescent="0.3">
      <c r="A1526" t="s">
        <v>734</v>
      </c>
      <c r="B1526" t="s">
        <v>2843</v>
      </c>
      <c r="C1526" t="s">
        <v>333</v>
      </c>
      <c r="D1526" t="s">
        <v>2819</v>
      </c>
      <c r="E1526">
        <v>0</v>
      </c>
      <c r="F1526" t="s">
        <v>2820</v>
      </c>
      <c r="G1526" t="b">
        <v>1</v>
      </c>
      <c r="H1526" t="s">
        <v>704</v>
      </c>
    </row>
    <row r="1527" spans="1:8" x14ac:dyDescent="0.3">
      <c r="A1527" t="s">
        <v>734</v>
      </c>
      <c r="B1527" t="s">
        <v>2843</v>
      </c>
      <c r="C1527" t="s">
        <v>333</v>
      </c>
      <c r="D1527" t="s">
        <v>2821</v>
      </c>
      <c r="E1527">
        <v>0</v>
      </c>
      <c r="F1527" t="s">
        <v>2820</v>
      </c>
      <c r="G1527" t="b">
        <v>1</v>
      </c>
      <c r="H1527" t="s">
        <v>706</v>
      </c>
    </row>
    <row r="1528" spans="1:8" x14ac:dyDescent="0.3">
      <c r="A1528" t="s">
        <v>734</v>
      </c>
      <c r="B1528" t="s">
        <v>2843</v>
      </c>
      <c r="C1528" t="s">
        <v>333</v>
      </c>
      <c r="D1528" t="s">
        <v>2822</v>
      </c>
      <c r="E1528">
        <v>0</v>
      </c>
      <c r="F1528" t="s">
        <v>2820</v>
      </c>
      <c r="G1528" t="b">
        <v>1</v>
      </c>
      <c r="H1528" t="s">
        <v>708</v>
      </c>
    </row>
    <row r="1529" spans="1:8" x14ac:dyDescent="0.3">
      <c r="A1529" t="s">
        <v>734</v>
      </c>
      <c r="B1529" t="s">
        <v>2843</v>
      </c>
      <c r="C1529" t="s">
        <v>333</v>
      </c>
      <c r="D1529" t="s">
        <v>2823</v>
      </c>
      <c r="E1529">
        <v>0</v>
      </c>
      <c r="F1529" t="s">
        <v>2820</v>
      </c>
      <c r="G1529" t="b">
        <v>1</v>
      </c>
      <c r="H1529" t="s">
        <v>710</v>
      </c>
    </row>
    <row r="1530" spans="1:8" x14ac:dyDescent="0.3">
      <c r="A1530" t="s">
        <v>734</v>
      </c>
      <c r="B1530" t="s">
        <v>2843</v>
      </c>
      <c r="C1530" t="s">
        <v>333</v>
      </c>
      <c r="D1530" t="s">
        <v>2824</v>
      </c>
      <c r="E1530">
        <v>0</v>
      </c>
      <c r="F1530" t="s">
        <v>2820</v>
      </c>
      <c r="G1530" t="b">
        <v>1</v>
      </c>
      <c r="H1530" t="s">
        <v>2802</v>
      </c>
    </row>
    <row r="1531" spans="1:8" x14ac:dyDescent="0.3">
      <c r="A1531" t="s">
        <v>734</v>
      </c>
      <c r="B1531" t="s">
        <v>2843</v>
      </c>
      <c r="C1531" t="s">
        <v>333</v>
      </c>
      <c r="D1531" t="s">
        <v>2825</v>
      </c>
      <c r="E1531">
        <v>0</v>
      </c>
      <c r="F1531" t="s">
        <v>2820</v>
      </c>
      <c r="G1531" t="b">
        <v>1</v>
      </c>
      <c r="H1531" t="s">
        <v>2800</v>
      </c>
    </row>
    <row r="1532" spans="1:8" x14ac:dyDescent="0.3">
      <c r="A1532" t="s">
        <v>734</v>
      </c>
      <c r="B1532" t="s">
        <v>2843</v>
      </c>
      <c r="C1532" t="s">
        <v>333</v>
      </c>
      <c r="D1532" t="s">
        <v>2826</v>
      </c>
      <c r="E1532">
        <v>0</v>
      </c>
      <c r="F1532" t="s">
        <v>2820</v>
      </c>
      <c r="G1532" t="b">
        <v>1</v>
      </c>
      <c r="H1532" t="s">
        <v>1935</v>
      </c>
    </row>
    <row r="1533" spans="1:8" x14ac:dyDescent="0.3">
      <c r="A1533" t="s">
        <v>734</v>
      </c>
      <c r="B1533" t="s">
        <v>2843</v>
      </c>
      <c r="C1533" t="s">
        <v>333</v>
      </c>
      <c r="D1533" t="s">
        <v>2827</v>
      </c>
      <c r="E1533">
        <v>0</v>
      </c>
      <c r="F1533" t="s">
        <v>2820</v>
      </c>
      <c r="G1533" t="b">
        <v>1</v>
      </c>
      <c r="H1533" t="s">
        <v>2828</v>
      </c>
    </row>
    <row r="1534" spans="1:8" x14ac:dyDescent="0.3">
      <c r="A1534" t="s">
        <v>734</v>
      </c>
      <c r="B1534" t="s">
        <v>2843</v>
      </c>
      <c r="C1534" t="s">
        <v>333</v>
      </c>
      <c r="D1534" t="s">
        <v>2829</v>
      </c>
      <c r="E1534">
        <v>0</v>
      </c>
      <c r="F1534" t="s">
        <v>2820</v>
      </c>
      <c r="G1534" t="b">
        <v>1</v>
      </c>
      <c r="H1534" t="s">
        <v>2830</v>
      </c>
    </row>
    <row r="1535" spans="1:8" x14ac:dyDescent="0.3">
      <c r="A1535" t="s">
        <v>734</v>
      </c>
      <c r="B1535" t="s">
        <v>2843</v>
      </c>
      <c r="C1535" t="s">
        <v>333</v>
      </c>
      <c r="D1535" t="s">
        <v>2831</v>
      </c>
      <c r="E1535">
        <v>0</v>
      </c>
      <c r="F1535" t="s">
        <v>2820</v>
      </c>
      <c r="G1535" t="b">
        <v>1</v>
      </c>
      <c r="H1535" t="s">
        <v>466</v>
      </c>
    </row>
    <row r="1536" spans="1:8" x14ac:dyDescent="0.3">
      <c r="A1536" t="s">
        <v>734</v>
      </c>
      <c r="B1536" t="s">
        <v>2843</v>
      </c>
      <c r="C1536" t="s">
        <v>333</v>
      </c>
      <c r="D1536" t="s">
        <v>2832</v>
      </c>
      <c r="E1536">
        <v>0</v>
      </c>
      <c r="F1536" t="s">
        <v>2820</v>
      </c>
      <c r="G1536" t="b">
        <v>1</v>
      </c>
      <c r="H1536" t="s">
        <v>467</v>
      </c>
    </row>
    <row r="1537" spans="1:8" x14ac:dyDescent="0.3">
      <c r="A1537" t="s">
        <v>734</v>
      </c>
      <c r="B1537" t="s">
        <v>2843</v>
      </c>
      <c r="C1537" t="s">
        <v>333</v>
      </c>
      <c r="D1537" t="s">
        <v>2833</v>
      </c>
      <c r="E1537">
        <v>0</v>
      </c>
      <c r="F1537" t="s">
        <v>2820</v>
      </c>
      <c r="G1537" t="b">
        <v>1</v>
      </c>
      <c r="H1537" t="s">
        <v>468</v>
      </c>
    </row>
    <row r="1538" spans="1:8" x14ac:dyDescent="0.3">
      <c r="A1538" t="s">
        <v>734</v>
      </c>
      <c r="B1538" t="s">
        <v>307</v>
      </c>
      <c r="C1538" t="s">
        <v>308</v>
      </c>
      <c r="D1538" t="s">
        <v>2819</v>
      </c>
      <c r="E1538">
        <v>0</v>
      </c>
      <c r="F1538" t="s">
        <v>2820</v>
      </c>
      <c r="G1538" t="b">
        <v>1</v>
      </c>
      <c r="H1538" t="s">
        <v>704</v>
      </c>
    </row>
    <row r="1539" spans="1:8" x14ac:dyDescent="0.3">
      <c r="A1539" t="s">
        <v>734</v>
      </c>
      <c r="B1539" t="s">
        <v>307</v>
      </c>
      <c r="C1539" t="s">
        <v>308</v>
      </c>
      <c r="D1539" t="s">
        <v>2821</v>
      </c>
      <c r="E1539">
        <v>0</v>
      </c>
      <c r="F1539" t="s">
        <v>2820</v>
      </c>
      <c r="G1539" t="b">
        <v>1</v>
      </c>
      <c r="H1539" t="s">
        <v>706</v>
      </c>
    </row>
    <row r="1540" spans="1:8" x14ac:dyDescent="0.3">
      <c r="A1540" t="s">
        <v>734</v>
      </c>
      <c r="B1540" t="s">
        <v>307</v>
      </c>
      <c r="C1540" t="s">
        <v>308</v>
      </c>
      <c r="D1540" t="s">
        <v>2822</v>
      </c>
      <c r="E1540">
        <v>0</v>
      </c>
      <c r="F1540" t="s">
        <v>2820</v>
      </c>
      <c r="G1540" t="b">
        <v>1</v>
      </c>
      <c r="H1540" t="s">
        <v>708</v>
      </c>
    </row>
    <row r="1541" spans="1:8" x14ac:dyDescent="0.3">
      <c r="A1541" t="s">
        <v>734</v>
      </c>
      <c r="B1541" t="s">
        <v>307</v>
      </c>
      <c r="C1541" t="s">
        <v>308</v>
      </c>
      <c r="D1541" t="s">
        <v>2823</v>
      </c>
      <c r="E1541">
        <v>0</v>
      </c>
      <c r="F1541" t="s">
        <v>2820</v>
      </c>
      <c r="G1541" t="b">
        <v>1</v>
      </c>
      <c r="H1541" t="s">
        <v>710</v>
      </c>
    </row>
    <row r="1542" spans="1:8" x14ac:dyDescent="0.3">
      <c r="A1542" t="s">
        <v>734</v>
      </c>
      <c r="B1542" t="s">
        <v>307</v>
      </c>
      <c r="C1542" t="s">
        <v>308</v>
      </c>
      <c r="D1542" t="s">
        <v>2824</v>
      </c>
      <c r="E1542">
        <v>0</v>
      </c>
      <c r="F1542" t="s">
        <v>2820</v>
      </c>
      <c r="G1542" t="b">
        <v>1</v>
      </c>
      <c r="H1542" t="s">
        <v>2802</v>
      </c>
    </row>
    <row r="1543" spans="1:8" x14ac:dyDescent="0.3">
      <c r="A1543" t="s">
        <v>734</v>
      </c>
      <c r="B1543" t="s">
        <v>307</v>
      </c>
      <c r="C1543" t="s">
        <v>308</v>
      </c>
      <c r="D1543" t="s">
        <v>2825</v>
      </c>
      <c r="E1543">
        <v>0</v>
      </c>
      <c r="F1543" t="s">
        <v>2820</v>
      </c>
      <c r="G1543" t="b">
        <v>1</v>
      </c>
      <c r="H1543" t="s">
        <v>2800</v>
      </c>
    </row>
    <row r="1544" spans="1:8" x14ac:dyDescent="0.3">
      <c r="A1544" t="s">
        <v>734</v>
      </c>
      <c r="B1544" t="s">
        <v>307</v>
      </c>
      <c r="C1544" t="s">
        <v>308</v>
      </c>
      <c r="D1544" t="s">
        <v>2826</v>
      </c>
      <c r="E1544">
        <v>0</v>
      </c>
      <c r="F1544" t="s">
        <v>2820</v>
      </c>
      <c r="G1544" t="b">
        <v>1</v>
      </c>
      <c r="H1544" t="s">
        <v>1935</v>
      </c>
    </row>
    <row r="1545" spans="1:8" x14ac:dyDescent="0.3">
      <c r="A1545" t="s">
        <v>734</v>
      </c>
      <c r="B1545" t="s">
        <v>307</v>
      </c>
      <c r="C1545" t="s">
        <v>308</v>
      </c>
      <c r="D1545" t="s">
        <v>2827</v>
      </c>
      <c r="E1545">
        <v>3791</v>
      </c>
      <c r="F1545" t="s">
        <v>2820</v>
      </c>
      <c r="G1545" t="b">
        <v>1</v>
      </c>
      <c r="H1545" t="s">
        <v>2828</v>
      </c>
    </row>
    <row r="1546" spans="1:8" x14ac:dyDescent="0.3">
      <c r="A1546" t="s">
        <v>734</v>
      </c>
      <c r="B1546" t="s">
        <v>307</v>
      </c>
      <c r="C1546" t="s">
        <v>308</v>
      </c>
      <c r="D1546" t="s">
        <v>2829</v>
      </c>
      <c r="E1546">
        <v>3791</v>
      </c>
      <c r="F1546" t="s">
        <v>2820</v>
      </c>
      <c r="G1546" t="b">
        <v>1</v>
      </c>
      <c r="H1546" t="s">
        <v>2830</v>
      </c>
    </row>
    <row r="1547" spans="1:8" x14ac:dyDescent="0.3">
      <c r="A1547" t="s">
        <v>734</v>
      </c>
      <c r="B1547" t="s">
        <v>307</v>
      </c>
      <c r="C1547" t="s">
        <v>308</v>
      </c>
      <c r="D1547" t="s">
        <v>2831</v>
      </c>
      <c r="E1547">
        <v>3791</v>
      </c>
      <c r="F1547" t="s">
        <v>2820</v>
      </c>
      <c r="G1547" t="b">
        <v>1</v>
      </c>
      <c r="H1547" t="s">
        <v>466</v>
      </c>
    </row>
    <row r="1548" spans="1:8" x14ac:dyDescent="0.3">
      <c r="A1548" t="s">
        <v>734</v>
      </c>
      <c r="B1548" t="s">
        <v>307</v>
      </c>
      <c r="C1548" t="s">
        <v>308</v>
      </c>
      <c r="D1548" t="s">
        <v>2832</v>
      </c>
      <c r="E1548">
        <v>3791</v>
      </c>
      <c r="F1548" t="s">
        <v>2820</v>
      </c>
      <c r="G1548" t="b">
        <v>1</v>
      </c>
      <c r="H1548" t="s">
        <v>467</v>
      </c>
    </row>
    <row r="1549" spans="1:8" x14ac:dyDescent="0.3">
      <c r="A1549" t="s">
        <v>734</v>
      </c>
      <c r="B1549" t="s">
        <v>307</v>
      </c>
      <c r="C1549" t="s">
        <v>308</v>
      </c>
      <c r="D1549" t="s">
        <v>2833</v>
      </c>
      <c r="E1549">
        <v>3791</v>
      </c>
      <c r="F1549" t="s">
        <v>2820</v>
      </c>
      <c r="G1549" t="b">
        <v>1</v>
      </c>
      <c r="H1549" t="s">
        <v>468</v>
      </c>
    </row>
    <row r="1550" spans="1:8" x14ac:dyDescent="0.3">
      <c r="A1550" t="s">
        <v>734</v>
      </c>
      <c r="B1550" t="s">
        <v>307</v>
      </c>
      <c r="C1550" t="s">
        <v>313</v>
      </c>
      <c r="D1550" t="s">
        <v>2819</v>
      </c>
      <c r="E1550">
        <v>0</v>
      </c>
      <c r="F1550" t="s">
        <v>2820</v>
      </c>
      <c r="G1550" t="b">
        <v>1</v>
      </c>
      <c r="H1550" t="s">
        <v>704</v>
      </c>
    </row>
    <row r="1551" spans="1:8" x14ac:dyDescent="0.3">
      <c r="A1551" t="s">
        <v>734</v>
      </c>
      <c r="B1551" t="s">
        <v>307</v>
      </c>
      <c r="C1551" t="s">
        <v>313</v>
      </c>
      <c r="D1551" t="s">
        <v>2821</v>
      </c>
      <c r="E1551">
        <v>0</v>
      </c>
      <c r="F1551" t="s">
        <v>2820</v>
      </c>
      <c r="G1551" t="b">
        <v>1</v>
      </c>
      <c r="H1551" t="s">
        <v>706</v>
      </c>
    </row>
    <row r="1552" spans="1:8" x14ac:dyDescent="0.3">
      <c r="A1552" t="s">
        <v>734</v>
      </c>
      <c r="B1552" t="s">
        <v>307</v>
      </c>
      <c r="C1552" t="s">
        <v>313</v>
      </c>
      <c r="D1552" t="s">
        <v>2822</v>
      </c>
      <c r="E1552">
        <v>0</v>
      </c>
      <c r="F1552" t="s">
        <v>2820</v>
      </c>
      <c r="G1552" t="b">
        <v>1</v>
      </c>
      <c r="H1552" t="s">
        <v>708</v>
      </c>
    </row>
    <row r="1553" spans="1:8" x14ac:dyDescent="0.3">
      <c r="A1553" t="s">
        <v>734</v>
      </c>
      <c r="B1553" t="s">
        <v>307</v>
      </c>
      <c r="C1553" t="s">
        <v>313</v>
      </c>
      <c r="D1553" t="s">
        <v>2823</v>
      </c>
      <c r="E1553">
        <v>0</v>
      </c>
      <c r="F1553" t="s">
        <v>2820</v>
      </c>
      <c r="G1553" t="b">
        <v>1</v>
      </c>
      <c r="H1553" t="s">
        <v>710</v>
      </c>
    </row>
    <row r="1554" spans="1:8" x14ac:dyDescent="0.3">
      <c r="A1554" t="s">
        <v>734</v>
      </c>
      <c r="B1554" t="s">
        <v>307</v>
      </c>
      <c r="C1554" t="s">
        <v>313</v>
      </c>
      <c r="D1554" t="s">
        <v>2824</v>
      </c>
      <c r="E1554">
        <v>0</v>
      </c>
      <c r="F1554" t="s">
        <v>2820</v>
      </c>
      <c r="G1554" t="b">
        <v>1</v>
      </c>
      <c r="H1554" t="s">
        <v>2802</v>
      </c>
    </row>
    <row r="1555" spans="1:8" x14ac:dyDescent="0.3">
      <c r="A1555" t="s">
        <v>734</v>
      </c>
      <c r="B1555" t="s">
        <v>307</v>
      </c>
      <c r="C1555" t="s">
        <v>313</v>
      </c>
      <c r="D1555" t="s">
        <v>2825</v>
      </c>
      <c r="E1555">
        <v>0</v>
      </c>
      <c r="F1555" t="s">
        <v>2820</v>
      </c>
      <c r="G1555" t="b">
        <v>1</v>
      </c>
      <c r="H1555" t="s">
        <v>2800</v>
      </c>
    </row>
    <row r="1556" spans="1:8" x14ac:dyDescent="0.3">
      <c r="A1556" t="s">
        <v>734</v>
      </c>
      <c r="B1556" t="s">
        <v>307</v>
      </c>
      <c r="C1556" t="s">
        <v>313</v>
      </c>
      <c r="D1556" t="s">
        <v>2826</v>
      </c>
      <c r="E1556">
        <v>0</v>
      </c>
      <c r="F1556" t="s">
        <v>2820</v>
      </c>
      <c r="G1556" t="b">
        <v>1</v>
      </c>
      <c r="H1556" t="s">
        <v>1935</v>
      </c>
    </row>
    <row r="1557" spans="1:8" x14ac:dyDescent="0.3">
      <c r="A1557" t="s">
        <v>734</v>
      </c>
      <c r="B1557" t="s">
        <v>307</v>
      </c>
      <c r="C1557" t="s">
        <v>313</v>
      </c>
      <c r="D1557" t="s">
        <v>2827</v>
      </c>
      <c r="E1557">
        <v>12528</v>
      </c>
      <c r="F1557" t="s">
        <v>2820</v>
      </c>
      <c r="G1557" t="b">
        <v>1</v>
      </c>
      <c r="H1557" t="s">
        <v>2828</v>
      </c>
    </row>
    <row r="1558" spans="1:8" x14ac:dyDescent="0.3">
      <c r="A1558" t="s">
        <v>734</v>
      </c>
      <c r="B1558" t="s">
        <v>307</v>
      </c>
      <c r="C1558" t="s">
        <v>313</v>
      </c>
      <c r="D1558" t="s">
        <v>2829</v>
      </c>
      <c r="E1558">
        <v>12528</v>
      </c>
      <c r="F1558" t="s">
        <v>2820</v>
      </c>
      <c r="G1558" t="b">
        <v>1</v>
      </c>
      <c r="H1558" t="s">
        <v>2830</v>
      </c>
    </row>
    <row r="1559" spans="1:8" x14ac:dyDescent="0.3">
      <c r="A1559" t="s">
        <v>734</v>
      </c>
      <c r="B1559" t="s">
        <v>307</v>
      </c>
      <c r="C1559" t="s">
        <v>313</v>
      </c>
      <c r="D1559" t="s">
        <v>2831</v>
      </c>
      <c r="E1559">
        <v>12528</v>
      </c>
      <c r="F1559" t="s">
        <v>2820</v>
      </c>
      <c r="G1559" t="b">
        <v>1</v>
      </c>
      <c r="H1559" t="s">
        <v>466</v>
      </c>
    </row>
    <row r="1560" spans="1:8" x14ac:dyDescent="0.3">
      <c r="A1560" t="s">
        <v>734</v>
      </c>
      <c r="B1560" t="s">
        <v>307</v>
      </c>
      <c r="C1560" t="s">
        <v>313</v>
      </c>
      <c r="D1560" t="s">
        <v>2832</v>
      </c>
      <c r="E1560">
        <v>12528</v>
      </c>
      <c r="F1560" t="s">
        <v>2820</v>
      </c>
      <c r="G1560" t="b">
        <v>1</v>
      </c>
      <c r="H1560" t="s">
        <v>467</v>
      </c>
    </row>
    <row r="1561" spans="1:8" x14ac:dyDescent="0.3">
      <c r="A1561" t="s">
        <v>734</v>
      </c>
      <c r="B1561" t="s">
        <v>307</v>
      </c>
      <c r="C1561" t="s">
        <v>313</v>
      </c>
      <c r="D1561" t="s">
        <v>2833</v>
      </c>
      <c r="E1561">
        <v>12528</v>
      </c>
      <c r="F1561" t="s">
        <v>2820</v>
      </c>
      <c r="G1561" t="b">
        <v>1</v>
      </c>
      <c r="H1561" t="s">
        <v>468</v>
      </c>
    </row>
    <row r="1562" spans="1:8" x14ac:dyDescent="0.3">
      <c r="A1562" t="s">
        <v>734</v>
      </c>
      <c r="B1562" t="s">
        <v>307</v>
      </c>
      <c r="C1562" t="s">
        <v>314</v>
      </c>
      <c r="D1562" t="s">
        <v>2819</v>
      </c>
      <c r="E1562">
        <v>0</v>
      </c>
      <c r="F1562" t="s">
        <v>2820</v>
      </c>
      <c r="G1562" t="b">
        <v>1</v>
      </c>
      <c r="H1562" t="s">
        <v>704</v>
      </c>
    </row>
    <row r="1563" spans="1:8" x14ac:dyDescent="0.3">
      <c r="A1563" t="s">
        <v>734</v>
      </c>
      <c r="B1563" t="s">
        <v>307</v>
      </c>
      <c r="C1563" t="s">
        <v>314</v>
      </c>
      <c r="D1563" t="s">
        <v>2821</v>
      </c>
      <c r="E1563">
        <v>0</v>
      </c>
      <c r="F1563" t="s">
        <v>2820</v>
      </c>
      <c r="G1563" t="b">
        <v>1</v>
      </c>
      <c r="H1563" t="s">
        <v>706</v>
      </c>
    </row>
    <row r="1564" spans="1:8" x14ac:dyDescent="0.3">
      <c r="A1564" t="s">
        <v>734</v>
      </c>
      <c r="B1564" t="s">
        <v>307</v>
      </c>
      <c r="C1564" t="s">
        <v>314</v>
      </c>
      <c r="D1564" t="s">
        <v>2822</v>
      </c>
      <c r="E1564">
        <v>0</v>
      </c>
      <c r="F1564" t="s">
        <v>2820</v>
      </c>
      <c r="G1564" t="b">
        <v>1</v>
      </c>
      <c r="H1564" t="s">
        <v>708</v>
      </c>
    </row>
    <row r="1565" spans="1:8" x14ac:dyDescent="0.3">
      <c r="A1565" t="s">
        <v>734</v>
      </c>
      <c r="B1565" t="s">
        <v>307</v>
      </c>
      <c r="C1565" t="s">
        <v>314</v>
      </c>
      <c r="D1565" t="s">
        <v>2823</v>
      </c>
      <c r="E1565">
        <v>0</v>
      </c>
      <c r="F1565" t="s">
        <v>2820</v>
      </c>
      <c r="G1565" t="b">
        <v>1</v>
      </c>
      <c r="H1565" t="s">
        <v>710</v>
      </c>
    </row>
    <row r="1566" spans="1:8" x14ac:dyDescent="0.3">
      <c r="A1566" t="s">
        <v>734</v>
      </c>
      <c r="B1566" t="s">
        <v>307</v>
      </c>
      <c r="C1566" t="s">
        <v>314</v>
      </c>
      <c r="D1566" t="s">
        <v>2824</v>
      </c>
      <c r="E1566">
        <v>0</v>
      </c>
      <c r="F1566" t="s">
        <v>2820</v>
      </c>
      <c r="G1566" t="b">
        <v>1</v>
      </c>
      <c r="H1566" t="s">
        <v>2802</v>
      </c>
    </row>
    <row r="1567" spans="1:8" x14ac:dyDescent="0.3">
      <c r="A1567" t="s">
        <v>734</v>
      </c>
      <c r="B1567" t="s">
        <v>307</v>
      </c>
      <c r="C1567" t="s">
        <v>314</v>
      </c>
      <c r="D1567" t="s">
        <v>2825</v>
      </c>
      <c r="E1567">
        <v>0</v>
      </c>
      <c r="F1567" t="s">
        <v>2820</v>
      </c>
      <c r="G1567" t="b">
        <v>1</v>
      </c>
      <c r="H1567" t="s">
        <v>2800</v>
      </c>
    </row>
    <row r="1568" spans="1:8" x14ac:dyDescent="0.3">
      <c r="A1568" t="s">
        <v>734</v>
      </c>
      <c r="B1568" t="s">
        <v>307</v>
      </c>
      <c r="C1568" t="s">
        <v>314</v>
      </c>
      <c r="D1568" t="s">
        <v>2826</v>
      </c>
      <c r="E1568">
        <v>0</v>
      </c>
      <c r="F1568" t="s">
        <v>2820</v>
      </c>
      <c r="G1568" t="b">
        <v>1</v>
      </c>
      <c r="H1568" t="s">
        <v>1935</v>
      </c>
    </row>
    <row r="1569" spans="1:8" x14ac:dyDescent="0.3">
      <c r="A1569" t="s">
        <v>734</v>
      </c>
      <c r="B1569" t="s">
        <v>307</v>
      </c>
      <c r="C1569" t="s">
        <v>314</v>
      </c>
      <c r="D1569" t="s">
        <v>2827</v>
      </c>
      <c r="E1569">
        <v>0</v>
      </c>
      <c r="F1569" t="s">
        <v>2820</v>
      </c>
      <c r="G1569" t="b">
        <v>1</v>
      </c>
      <c r="H1569" t="s">
        <v>2828</v>
      </c>
    </row>
    <row r="1570" spans="1:8" x14ac:dyDescent="0.3">
      <c r="A1570" t="s">
        <v>734</v>
      </c>
      <c r="B1570" t="s">
        <v>307</v>
      </c>
      <c r="C1570" t="s">
        <v>314</v>
      </c>
      <c r="D1570" t="s">
        <v>2829</v>
      </c>
      <c r="E1570">
        <v>0</v>
      </c>
      <c r="F1570" t="s">
        <v>2820</v>
      </c>
      <c r="G1570" t="b">
        <v>1</v>
      </c>
      <c r="H1570" t="s">
        <v>2830</v>
      </c>
    </row>
    <row r="1571" spans="1:8" x14ac:dyDescent="0.3">
      <c r="A1571" t="s">
        <v>734</v>
      </c>
      <c r="B1571" t="s">
        <v>307</v>
      </c>
      <c r="C1571" t="s">
        <v>314</v>
      </c>
      <c r="D1571" t="s">
        <v>2831</v>
      </c>
      <c r="E1571">
        <v>0</v>
      </c>
      <c r="F1571" t="s">
        <v>2820</v>
      </c>
      <c r="G1571" t="b">
        <v>1</v>
      </c>
      <c r="H1571" t="s">
        <v>466</v>
      </c>
    </row>
    <row r="1572" spans="1:8" x14ac:dyDescent="0.3">
      <c r="A1572" t="s">
        <v>734</v>
      </c>
      <c r="B1572" t="s">
        <v>307</v>
      </c>
      <c r="C1572" t="s">
        <v>314</v>
      </c>
      <c r="D1572" t="s">
        <v>2832</v>
      </c>
      <c r="E1572">
        <v>0</v>
      </c>
      <c r="F1572" t="s">
        <v>2820</v>
      </c>
      <c r="G1572" t="b">
        <v>1</v>
      </c>
      <c r="H1572" t="s">
        <v>467</v>
      </c>
    </row>
    <row r="1573" spans="1:8" x14ac:dyDescent="0.3">
      <c r="A1573" t="s">
        <v>734</v>
      </c>
      <c r="B1573" t="s">
        <v>307</v>
      </c>
      <c r="C1573" t="s">
        <v>314</v>
      </c>
      <c r="D1573" t="s">
        <v>2833</v>
      </c>
      <c r="E1573">
        <v>0</v>
      </c>
      <c r="F1573" t="s">
        <v>2820</v>
      </c>
      <c r="G1573" t="b">
        <v>1</v>
      </c>
      <c r="H1573" t="s">
        <v>468</v>
      </c>
    </row>
    <row r="1574" spans="1:8" x14ac:dyDescent="0.3">
      <c r="A1574" t="s">
        <v>734</v>
      </c>
      <c r="B1574" t="s">
        <v>307</v>
      </c>
      <c r="C1574" t="s">
        <v>310</v>
      </c>
      <c r="D1574" t="s">
        <v>2819</v>
      </c>
      <c r="E1574">
        <v>0</v>
      </c>
      <c r="F1574" t="s">
        <v>2820</v>
      </c>
      <c r="G1574" t="b">
        <v>1</v>
      </c>
      <c r="H1574" t="s">
        <v>704</v>
      </c>
    </row>
    <row r="1575" spans="1:8" x14ac:dyDescent="0.3">
      <c r="A1575" t="s">
        <v>734</v>
      </c>
      <c r="B1575" t="s">
        <v>307</v>
      </c>
      <c r="C1575" t="s">
        <v>310</v>
      </c>
      <c r="D1575" t="s">
        <v>2821</v>
      </c>
      <c r="E1575">
        <v>0</v>
      </c>
      <c r="F1575" t="s">
        <v>2820</v>
      </c>
      <c r="G1575" t="b">
        <v>1</v>
      </c>
      <c r="H1575" t="s">
        <v>706</v>
      </c>
    </row>
    <row r="1576" spans="1:8" x14ac:dyDescent="0.3">
      <c r="A1576" t="s">
        <v>734</v>
      </c>
      <c r="B1576" t="s">
        <v>307</v>
      </c>
      <c r="C1576" t="s">
        <v>310</v>
      </c>
      <c r="D1576" t="s">
        <v>2822</v>
      </c>
      <c r="E1576">
        <v>0</v>
      </c>
      <c r="F1576" t="s">
        <v>2820</v>
      </c>
      <c r="G1576" t="b">
        <v>1</v>
      </c>
      <c r="H1576" t="s">
        <v>708</v>
      </c>
    </row>
    <row r="1577" spans="1:8" x14ac:dyDescent="0.3">
      <c r="A1577" t="s">
        <v>734</v>
      </c>
      <c r="B1577" t="s">
        <v>307</v>
      </c>
      <c r="C1577" t="s">
        <v>310</v>
      </c>
      <c r="D1577" t="s">
        <v>2823</v>
      </c>
      <c r="E1577">
        <v>0</v>
      </c>
      <c r="F1577" t="s">
        <v>2820</v>
      </c>
      <c r="G1577" t="b">
        <v>1</v>
      </c>
      <c r="H1577" t="s">
        <v>710</v>
      </c>
    </row>
    <row r="1578" spans="1:8" x14ac:dyDescent="0.3">
      <c r="A1578" t="s">
        <v>734</v>
      </c>
      <c r="B1578" t="s">
        <v>307</v>
      </c>
      <c r="C1578" t="s">
        <v>310</v>
      </c>
      <c r="D1578" t="s">
        <v>2824</v>
      </c>
      <c r="E1578">
        <v>0</v>
      </c>
      <c r="F1578" t="s">
        <v>2820</v>
      </c>
      <c r="G1578" t="b">
        <v>1</v>
      </c>
      <c r="H1578" t="s">
        <v>2802</v>
      </c>
    </row>
    <row r="1579" spans="1:8" x14ac:dyDescent="0.3">
      <c r="A1579" t="s">
        <v>734</v>
      </c>
      <c r="B1579" t="s">
        <v>307</v>
      </c>
      <c r="C1579" t="s">
        <v>310</v>
      </c>
      <c r="D1579" t="s">
        <v>2825</v>
      </c>
      <c r="E1579">
        <v>0</v>
      </c>
      <c r="F1579" t="s">
        <v>2820</v>
      </c>
      <c r="G1579" t="b">
        <v>1</v>
      </c>
      <c r="H1579" t="s">
        <v>2800</v>
      </c>
    </row>
    <row r="1580" spans="1:8" x14ac:dyDescent="0.3">
      <c r="A1580" t="s">
        <v>734</v>
      </c>
      <c r="B1580" t="s">
        <v>307</v>
      </c>
      <c r="C1580" t="s">
        <v>310</v>
      </c>
      <c r="D1580" t="s">
        <v>2826</v>
      </c>
      <c r="E1580">
        <v>0</v>
      </c>
      <c r="F1580" t="s">
        <v>2820</v>
      </c>
      <c r="G1580" t="b">
        <v>1</v>
      </c>
      <c r="H1580" t="s">
        <v>1935</v>
      </c>
    </row>
    <row r="1581" spans="1:8" x14ac:dyDescent="0.3">
      <c r="A1581" t="s">
        <v>734</v>
      </c>
      <c r="B1581" t="s">
        <v>307</v>
      </c>
      <c r="C1581" t="s">
        <v>310</v>
      </c>
      <c r="D1581" t="s">
        <v>2827</v>
      </c>
      <c r="E1581">
        <v>1550</v>
      </c>
      <c r="F1581" t="s">
        <v>2820</v>
      </c>
      <c r="G1581" t="b">
        <v>1</v>
      </c>
      <c r="H1581" t="s">
        <v>2828</v>
      </c>
    </row>
    <row r="1582" spans="1:8" x14ac:dyDescent="0.3">
      <c r="A1582" t="s">
        <v>734</v>
      </c>
      <c r="B1582" t="s">
        <v>307</v>
      </c>
      <c r="C1582" t="s">
        <v>310</v>
      </c>
      <c r="D1582" t="s">
        <v>2829</v>
      </c>
      <c r="E1582">
        <v>1550</v>
      </c>
      <c r="F1582" t="s">
        <v>2820</v>
      </c>
      <c r="G1582" t="b">
        <v>1</v>
      </c>
      <c r="H1582" t="s">
        <v>2830</v>
      </c>
    </row>
    <row r="1583" spans="1:8" x14ac:dyDescent="0.3">
      <c r="A1583" t="s">
        <v>734</v>
      </c>
      <c r="B1583" t="s">
        <v>307</v>
      </c>
      <c r="C1583" t="s">
        <v>310</v>
      </c>
      <c r="D1583" t="s">
        <v>2831</v>
      </c>
      <c r="E1583">
        <v>1550</v>
      </c>
      <c r="F1583" t="s">
        <v>2820</v>
      </c>
      <c r="G1583" t="b">
        <v>1</v>
      </c>
      <c r="H1583" t="s">
        <v>466</v>
      </c>
    </row>
    <row r="1584" spans="1:8" x14ac:dyDescent="0.3">
      <c r="A1584" t="s">
        <v>734</v>
      </c>
      <c r="B1584" t="s">
        <v>307</v>
      </c>
      <c r="C1584" t="s">
        <v>310</v>
      </c>
      <c r="D1584" t="s">
        <v>2832</v>
      </c>
      <c r="E1584">
        <v>1550</v>
      </c>
      <c r="F1584" t="s">
        <v>2820</v>
      </c>
      <c r="G1584" t="b">
        <v>1</v>
      </c>
      <c r="H1584" t="s">
        <v>467</v>
      </c>
    </row>
    <row r="1585" spans="1:8" x14ac:dyDescent="0.3">
      <c r="A1585" t="s">
        <v>734</v>
      </c>
      <c r="B1585" t="s">
        <v>307</v>
      </c>
      <c r="C1585" t="s">
        <v>310</v>
      </c>
      <c r="D1585" t="s">
        <v>2833</v>
      </c>
      <c r="E1585">
        <v>1550</v>
      </c>
      <c r="F1585" t="s">
        <v>2820</v>
      </c>
      <c r="G1585" t="b">
        <v>1</v>
      </c>
      <c r="H1585" t="s">
        <v>468</v>
      </c>
    </row>
    <row r="1586" spans="1:8" x14ac:dyDescent="0.3">
      <c r="A1586" t="s">
        <v>734</v>
      </c>
      <c r="B1586" t="s">
        <v>307</v>
      </c>
      <c r="C1586" t="s">
        <v>311</v>
      </c>
      <c r="D1586" t="s">
        <v>2819</v>
      </c>
      <c r="E1586">
        <v>0</v>
      </c>
      <c r="F1586" t="s">
        <v>2820</v>
      </c>
      <c r="G1586" t="b">
        <v>1</v>
      </c>
      <c r="H1586" t="s">
        <v>704</v>
      </c>
    </row>
    <row r="1587" spans="1:8" x14ac:dyDescent="0.3">
      <c r="A1587" t="s">
        <v>734</v>
      </c>
      <c r="B1587" t="s">
        <v>307</v>
      </c>
      <c r="C1587" t="s">
        <v>311</v>
      </c>
      <c r="D1587" t="s">
        <v>2821</v>
      </c>
      <c r="E1587">
        <v>0</v>
      </c>
      <c r="F1587" t="s">
        <v>2820</v>
      </c>
      <c r="G1587" t="b">
        <v>1</v>
      </c>
      <c r="H1587" t="s">
        <v>706</v>
      </c>
    </row>
    <row r="1588" spans="1:8" x14ac:dyDescent="0.3">
      <c r="A1588" t="s">
        <v>734</v>
      </c>
      <c r="B1588" t="s">
        <v>307</v>
      </c>
      <c r="C1588" t="s">
        <v>311</v>
      </c>
      <c r="D1588" t="s">
        <v>2822</v>
      </c>
      <c r="E1588">
        <v>0</v>
      </c>
      <c r="F1588" t="s">
        <v>2820</v>
      </c>
      <c r="G1588" t="b">
        <v>1</v>
      </c>
      <c r="H1588" t="s">
        <v>708</v>
      </c>
    </row>
    <row r="1589" spans="1:8" x14ac:dyDescent="0.3">
      <c r="A1589" t="s">
        <v>734</v>
      </c>
      <c r="B1589" t="s">
        <v>307</v>
      </c>
      <c r="C1589" t="s">
        <v>311</v>
      </c>
      <c r="D1589" t="s">
        <v>2823</v>
      </c>
      <c r="E1589">
        <v>0</v>
      </c>
      <c r="F1589" t="s">
        <v>2820</v>
      </c>
      <c r="G1589" t="b">
        <v>1</v>
      </c>
      <c r="H1589" t="s">
        <v>710</v>
      </c>
    </row>
    <row r="1590" spans="1:8" x14ac:dyDescent="0.3">
      <c r="A1590" t="s">
        <v>734</v>
      </c>
      <c r="B1590" t="s">
        <v>307</v>
      </c>
      <c r="C1590" t="s">
        <v>311</v>
      </c>
      <c r="D1590" t="s">
        <v>2824</v>
      </c>
      <c r="E1590">
        <v>0</v>
      </c>
      <c r="F1590" t="s">
        <v>2820</v>
      </c>
      <c r="G1590" t="b">
        <v>1</v>
      </c>
      <c r="H1590" t="s">
        <v>2802</v>
      </c>
    </row>
    <row r="1591" spans="1:8" x14ac:dyDescent="0.3">
      <c r="A1591" t="s">
        <v>734</v>
      </c>
      <c r="B1591" t="s">
        <v>307</v>
      </c>
      <c r="C1591" t="s">
        <v>311</v>
      </c>
      <c r="D1591" t="s">
        <v>2825</v>
      </c>
      <c r="E1591">
        <v>0</v>
      </c>
      <c r="F1591" t="s">
        <v>2820</v>
      </c>
      <c r="G1591" t="b">
        <v>1</v>
      </c>
      <c r="H1591" t="s">
        <v>2800</v>
      </c>
    </row>
    <row r="1592" spans="1:8" x14ac:dyDescent="0.3">
      <c r="A1592" t="s">
        <v>734</v>
      </c>
      <c r="B1592" t="s">
        <v>307</v>
      </c>
      <c r="C1592" t="s">
        <v>311</v>
      </c>
      <c r="D1592" t="s">
        <v>2826</v>
      </c>
      <c r="E1592">
        <v>0</v>
      </c>
      <c r="F1592" t="s">
        <v>2820</v>
      </c>
      <c r="G1592" t="b">
        <v>1</v>
      </c>
      <c r="H1592" t="s">
        <v>1935</v>
      </c>
    </row>
    <row r="1593" spans="1:8" x14ac:dyDescent="0.3">
      <c r="A1593" t="s">
        <v>734</v>
      </c>
      <c r="B1593" t="s">
        <v>307</v>
      </c>
      <c r="C1593" t="s">
        <v>311</v>
      </c>
      <c r="D1593" t="s">
        <v>2827</v>
      </c>
      <c r="E1593">
        <v>185</v>
      </c>
      <c r="F1593" t="s">
        <v>2820</v>
      </c>
      <c r="G1593" t="b">
        <v>1</v>
      </c>
      <c r="H1593" t="s">
        <v>2828</v>
      </c>
    </row>
    <row r="1594" spans="1:8" x14ac:dyDescent="0.3">
      <c r="A1594" t="s">
        <v>734</v>
      </c>
      <c r="B1594" t="s">
        <v>307</v>
      </c>
      <c r="C1594" t="s">
        <v>311</v>
      </c>
      <c r="D1594" t="s">
        <v>2829</v>
      </c>
      <c r="E1594">
        <v>185</v>
      </c>
      <c r="F1594" t="s">
        <v>2820</v>
      </c>
      <c r="G1594" t="b">
        <v>1</v>
      </c>
      <c r="H1594" t="s">
        <v>2830</v>
      </c>
    </row>
    <row r="1595" spans="1:8" x14ac:dyDescent="0.3">
      <c r="A1595" t="s">
        <v>734</v>
      </c>
      <c r="B1595" t="s">
        <v>307</v>
      </c>
      <c r="C1595" t="s">
        <v>311</v>
      </c>
      <c r="D1595" t="s">
        <v>2831</v>
      </c>
      <c r="E1595">
        <v>185</v>
      </c>
      <c r="F1595" t="s">
        <v>2820</v>
      </c>
      <c r="G1595" t="b">
        <v>1</v>
      </c>
      <c r="H1595" t="s">
        <v>466</v>
      </c>
    </row>
    <row r="1596" spans="1:8" x14ac:dyDescent="0.3">
      <c r="A1596" t="s">
        <v>734</v>
      </c>
      <c r="B1596" t="s">
        <v>307</v>
      </c>
      <c r="C1596" t="s">
        <v>311</v>
      </c>
      <c r="D1596" t="s">
        <v>2832</v>
      </c>
      <c r="E1596">
        <v>185</v>
      </c>
      <c r="F1596" t="s">
        <v>2820</v>
      </c>
      <c r="G1596" t="b">
        <v>1</v>
      </c>
      <c r="H1596" t="s">
        <v>467</v>
      </c>
    </row>
    <row r="1597" spans="1:8" x14ac:dyDescent="0.3">
      <c r="A1597" t="s">
        <v>734</v>
      </c>
      <c r="B1597" t="s">
        <v>307</v>
      </c>
      <c r="C1597" t="s">
        <v>311</v>
      </c>
      <c r="D1597" t="s">
        <v>2833</v>
      </c>
      <c r="E1597">
        <v>185</v>
      </c>
      <c r="F1597" t="s">
        <v>2820</v>
      </c>
      <c r="G1597" t="b">
        <v>1</v>
      </c>
      <c r="H1597" t="s">
        <v>468</v>
      </c>
    </row>
    <row r="1598" spans="1:8" x14ac:dyDescent="0.3">
      <c r="A1598" t="s">
        <v>734</v>
      </c>
      <c r="B1598" t="s">
        <v>307</v>
      </c>
      <c r="C1598" t="s">
        <v>312</v>
      </c>
      <c r="D1598" t="s">
        <v>2819</v>
      </c>
      <c r="E1598">
        <v>0</v>
      </c>
      <c r="F1598" t="s">
        <v>2820</v>
      </c>
      <c r="G1598" t="b">
        <v>1</v>
      </c>
      <c r="H1598" t="s">
        <v>704</v>
      </c>
    </row>
    <row r="1599" spans="1:8" x14ac:dyDescent="0.3">
      <c r="A1599" t="s">
        <v>734</v>
      </c>
      <c r="B1599" t="s">
        <v>307</v>
      </c>
      <c r="C1599" t="s">
        <v>312</v>
      </c>
      <c r="D1599" t="s">
        <v>2821</v>
      </c>
      <c r="E1599">
        <v>0</v>
      </c>
      <c r="F1599" t="s">
        <v>2820</v>
      </c>
      <c r="G1599" t="b">
        <v>1</v>
      </c>
      <c r="H1599" t="s">
        <v>706</v>
      </c>
    </row>
    <row r="1600" spans="1:8" x14ac:dyDescent="0.3">
      <c r="A1600" t="s">
        <v>734</v>
      </c>
      <c r="B1600" t="s">
        <v>307</v>
      </c>
      <c r="C1600" t="s">
        <v>312</v>
      </c>
      <c r="D1600" t="s">
        <v>2822</v>
      </c>
      <c r="E1600">
        <v>0</v>
      </c>
      <c r="F1600" t="s">
        <v>2820</v>
      </c>
      <c r="G1600" t="b">
        <v>1</v>
      </c>
      <c r="H1600" t="s">
        <v>708</v>
      </c>
    </row>
    <row r="1601" spans="1:8" x14ac:dyDescent="0.3">
      <c r="A1601" t="s">
        <v>734</v>
      </c>
      <c r="B1601" t="s">
        <v>307</v>
      </c>
      <c r="C1601" t="s">
        <v>312</v>
      </c>
      <c r="D1601" t="s">
        <v>2823</v>
      </c>
      <c r="E1601">
        <v>0</v>
      </c>
      <c r="F1601" t="s">
        <v>2820</v>
      </c>
      <c r="G1601" t="b">
        <v>1</v>
      </c>
      <c r="H1601" t="s">
        <v>710</v>
      </c>
    </row>
    <row r="1602" spans="1:8" x14ac:dyDescent="0.3">
      <c r="A1602" t="s">
        <v>734</v>
      </c>
      <c r="B1602" t="s">
        <v>307</v>
      </c>
      <c r="C1602" t="s">
        <v>312</v>
      </c>
      <c r="D1602" t="s">
        <v>2824</v>
      </c>
      <c r="E1602">
        <v>0</v>
      </c>
      <c r="F1602" t="s">
        <v>2820</v>
      </c>
      <c r="G1602" t="b">
        <v>1</v>
      </c>
      <c r="H1602" t="s">
        <v>2802</v>
      </c>
    </row>
    <row r="1603" spans="1:8" x14ac:dyDescent="0.3">
      <c r="A1603" t="s">
        <v>734</v>
      </c>
      <c r="B1603" t="s">
        <v>307</v>
      </c>
      <c r="C1603" t="s">
        <v>312</v>
      </c>
      <c r="D1603" t="s">
        <v>2825</v>
      </c>
      <c r="E1603">
        <v>0</v>
      </c>
      <c r="F1603" t="s">
        <v>2820</v>
      </c>
      <c r="G1603" t="b">
        <v>1</v>
      </c>
      <c r="H1603" t="s">
        <v>2800</v>
      </c>
    </row>
    <row r="1604" spans="1:8" x14ac:dyDescent="0.3">
      <c r="A1604" t="s">
        <v>734</v>
      </c>
      <c r="B1604" t="s">
        <v>307</v>
      </c>
      <c r="C1604" t="s">
        <v>312</v>
      </c>
      <c r="D1604" t="s">
        <v>2826</v>
      </c>
      <c r="E1604">
        <v>0</v>
      </c>
      <c r="F1604" t="s">
        <v>2820</v>
      </c>
      <c r="G1604" t="b">
        <v>1</v>
      </c>
      <c r="H1604" t="s">
        <v>1935</v>
      </c>
    </row>
    <row r="1605" spans="1:8" x14ac:dyDescent="0.3">
      <c r="A1605" t="s">
        <v>734</v>
      </c>
      <c r="B1605" t="s">
        <v>307</v>
      </c>
      <c r="C1605" t="s">
        <v>312</v>
      </c>
      <c r="D1605" t="s">
        <v>2827</v>
      </c>
      <c r="E1605">
        <v>2100</v>
      </c>
      <c r="F1605" t="s">
        <v>2820</v>
      </c>
      <c r="G1605" t="b">
        <v>1</v>
      </c>
      <c r="H1605" t="s">
        <v>2828</v>
      </c>
    </row>
    <row r="1606" spans="1:8" x14ac:dyDescent="0.3">
      <c r="A1606" t="s">
        <v>734</v>
      </c>
      <c r="B1606" t="s">
        <v>307</v>
      </c>
      <c r="C1606" t="s">
        <v>312</v>
      </c>
      <c r="D1606" t="s">
        <v>2829</v>
      </c>
      <c r="E1606">
        <v>2100</v>
      </c>
      <c r="F1606" t="s">
        <v>2820</v>
      </c>
      <c r="G1606" t="b">
        <v>1</v>
      </c>
      <c r="H1606" t="s">
        <v>2830</v>
      </c>
    </row>
    <row r="1607" spans="1:8" x14ac:dyDescent="0.3">
      <c r="A1607" t="s">
        <v>734</v>
      </c>
      <c r="B1607" t="s">
        <v>307</v>
      </c>
      <c r="C1607" t="s">
        <v>312</v>
      </c>
      <c r="D1607" t="s">
        <v>2831</v>
      </c>
      <c r="E1607">
        <v>2100</v>
      </c>
      <c r="F1607" t="s">
        <v>2820</v>
      </c>
      <c r="G1607" t="b">
        <v>1</v>
      </c>
      <c r="H1607" t="s">
        <v>466</v>
      </c>
    </row>
    <row r="1608" spans="1:8" x14ac:dyDescent="0.3">
      <c r="A1608" t="s">
        <v>734</v>
      </c>
      <c r="B1608" t="s">
        <v>307</v>
      </c>
      <c r="C1608" t="s">
        <v>312</v>
      </c>
      <c r="D1608" t="s">
        <v>2832</v>
      </c>
      <c r="E1608">
        <v>2100</v>
      </c>
      <c r="F1608" t="s">
        <v>2820</v>
      </c>
      <c r="G1608" t="b">
        <v>1</v>
      </c>
      <c r="H1608" t="s">
        <v>467</v>
      </c>
    </row>
    <row r="1609" spans="1:8" x14ac:dyDescent="0.3">
      <c r="A1609" t="s">
        <v>734</v>
      </c>
      <c r="B1609" t="s">
        <v>307</v>
      </c>
      <c r="C1609" t="s">
        <v>312</v>
      </c>
      <c r="D1609" t="s">
        <v>2833</v>
      </c>
      <c r="E1609">
        <v>2100</v>
      </c>
      <c r="F1609" t="s">
        <v>2820</v>
      </c>
      <c r="G1609" t="b">
        <v>1</v>
      </c>
      <c r="H1609" t="s">
        <v>468</v>
      </c>
    </row>
    <row r="1610" spans="1:8" x14ac:dyDescent="0.3">
      <c r="A1610" t="s">
        <v>734</v>
      </c>
      <c r="B1610" t="s">
        <v>307</v>
      </c>
      <c r="C1610" t="s">
        <v>309</v>
      </c>
      <c r="D1610" t="s">
        <v>2819</v>
      </c>
      <c r="E1610">
        <v>0</v>
      </c>
      <c r="F1610" t="s">
        <v>2820</v>
      </c>
      <c r="G1610" t="b">
        <v>1</v>
      </c>
      <c r="H1610" t="s">
        <v>704</v>
      </c>
    </row>
    <row r="1611" spans="1:8" x14ac:dyDescent="0.3">
      <c r="A1611" t="s">
        <v>734</v>
      </c>
      <c r="B1611" t="s">
        <v>307</v>
      </c>
      <c r="C1611" t="s">
        <v>309</v>
      </c>
      <c r="D1611" t="s">
        <v>2821</v>
      </c>
      <c r="E1611">
        <v>0</v>
      </c>
      <c r="F1611" t="s">
        <v>2820</v>
      </c>
      <c r="G1611" t="b">
        <v>1</v>
      </c>
      <c r="H1611" t="s">
        <v>706</v>
      </c>
    </row>
    <row r="1612" spans="1:8" x14ac:dyDescent="0.3">
      <c r="A1612" t="s">
        <v>734</v>
      </c>
      <c r="B1612" t="s">
        <v>307</v>
      </c>
      <c r="C1612" t="s">
        <v>309</v>
      </c>
      <c r="D1612" t="s">
        <v>2822</v>
      </c>
      <c r="E1612">
        <v>0</v>
      </c>
      <c r="F1612" t="s">
        <v>2820</v>
      </c>
      <c r="G1612" t="b">
        <v>1</v>
      </c>
      <c r="H1612" t="s">
        <v>708</v>
      </c>
    </row>
    <row r="1613" spans="1:8" x14ac:dyDescent="0.3">
      <c r="A1613" t="s">
        <v>734</v>
      </c>
      <c r="B1613" t="s">
        <v>307</v>
      </c>
      <c r="C1613" t="s">
        <v>309</v>
      </c>
      <c r="D1613" t="s">
        <v>2823</v>
      </c>
      <c r="E1613">
        <v>0</v>
      </c>
      <c r="F1613" t="s">
        <v>2820</v>
      </c>
      <c r="G1613" t="b">
        <v>1</v>
      </c>
      <c r="H1613" t="s">
        <v>710</v>
      </c>
    </row>
    <row r="1614" spans="1:8" x14ac:dyDescent="0.3">
      <c r="A1614" t="s">
        <v>734</v>
      </c>
      <c r="B1614" t="s">
        <v>307</v>
      </c>
      <c r="C1614" t="s">
        <v>309</v>
      </c>
      <c r="D1614" t="s">
        <v>2824</v>
      </c>
      <c r="E1614">
        <v>0</v>
      </c>
      <c r="F1614" t="s">
        <v>2820</v>
      </c>
      <c r="G1614" t="b">
        <v>1</v>
      </c>
      <c r="H1614" t="s">
        <v>2802</v>
      </c>
    </row>
    <row r="1615" spans="1:8" x14ac:dyDescent="0.3">
      <c r="A1615" t="s">
        <v>734</v>
      </c>
      <c r="B1615" t="s">
        <v>307</v>
      </c>
      <c r="C1615" t="s">
        <v>309</v>
      </c>
      <c r="D1615" t="s">
        <v>2825</v>
      </c>
      <c r="E1615">
        <v>0</v>
      </c>
      <c r="F1615" t="s">
        <v>2820</v>
      </c>
      <c r="G1615" t="b">
        <v>1</v>
      </c>
      <c r="H1615" t="s">
        <v>2800</v>
      </c>
    </row>
    <row r="1616" spans="1:8" x14ac:dyDescent="0.3">
      <c r="A1616" t="s">
        <v>734</v>
      </c>
      <c r="B1616" t="s">
        <v>307</v>
      </c>
      <c r="C1616" t="s">
        <v>309</v>
      </c>
      <c r="D1616" t="s">
        <v>2826</v>
      </c>
      <c r="E1616">
        <v>0</v>
      </c>
      <c r="F1616" t="s">
        <v>2820</v>
      </c>
      <c r="G1616" t="b">
        <v>1</v>
      </c>
      <c r="H1616" t="s">
        <v>1935</v>
      </c>
    </row>
    <row r="1617" spans="1:8" x14ac:dyDescent="0.3">
      <c r="A1617" t="s">
        <v>734</v>
      </c>
      <c r="B1617" t="s">
        <v>307</v>
      </c>
      <c r="C1617" t="s">
        <v>309</v>
      </c>
      <c r="D1617" t="s">
        <v>2827</v>
      </c>
      <c r="E1617">
        <v>0</v>
      </c>
      <c r="F1617" t="s">
        <v>2820</v>
      </c>
      <c r="G1617" t="b">
        <v>1</v>
      </c>
      <c r="H1617" t="s">
        <v>2828</v>
      </c>
    </row>
    <row r="1618" spans="1:8" x14ac:dyDescent="0.3">
      <c r="A1618" t="s">
        <v>734</v>
      </c>
      <c r="B1618" t="s">
        <v>307</v>
      </c>
      <c r="C1618" t="s">
        <v>309</v>
      </c>
      <c r="D1618" t="s">
        <v>2829</v>
      </c>
      <c r="E1618">
        <v>0</v>
      </c>
      <c r="F1618" t="s">
        <v>2820</v>
      </c>
      <c r="G1618" t="b">
        <v>1</v>
      </c>
      <c r="H1618" t="s">
        <v>2830</v>
      </c>
    </row>
    <row r="1619" spans="1:8" x14ac:dyDescent="0.3">
      <c r="A1619" t="s">
        <v>734</v>
      </c>
      <c r="B1619" t="s">
        <v>307</v>
      </c>
      <c r="C1619" t="s">
        <v>309</v>
      </c>
      <c r="D1619" t="s">
        <v>2831</v>
      </c>
      <c r="E1619">
        <v>0</v>
      </c>
      <c r="F1619" t="s">
        <v>2820</v>
      </c>
      <c r="G1619" t="b">
        <v>1</v>
      </c>
      <c r="H1619" t="s">
        <v>466</v>
      </c>
    </row>
    <row r="1620" spans="1:8" x14ac:dyDescent="0.3">
      <c r="A1620" t="s">
        <v>734</v>
      </c>
      <c r="B1620" t="s">
        <v>307</v>
      </c>
      <c r="C1620" t="s">
        <v>309</v>
      </c>
      <c r="D1620" t="s">
        <v>2832</v>
      </c>
      <c r="E1620">
        <v>0</v>
      </c>
      <c r="F1620" t="s">
        <v>2820</v>
      </c>
      <c r="G1620" t="b">
        <v>1</v>
      </c>
      <c r="H1620" t="s">
        <v>467</v>
      </c>
    </row>
    <row r="1621" spans="1:8" x14ac:dyDescent="0.3">
      <c r="A1621" t="s">
        <v>734</v>
      </c>
      <c r="B1621" t="s">
        <v>307</v>
      </c>
      <c r="C1621" t="s">
        <v>309</v>
      </c>
      <c r="D1621" t="s">
        <v>2833</v>
      </c>
      <c r="E1621">
        <v>0</v>
      </c>
      <c r="F1621" t="s">
        <v>2820</v>
      </c>
      <c r="G1621" t="b">
        <v>1</v>
      </c>
      <c r="H1621" t="s">
        <v>468</v>
      </c>
    </row>
    <row r="1622" spans="1:8" x14ac:dyDescent="0.3">
      <c r="A1622" t="s">
        <v>734</v>
      </c>
      <c r="B1622" t="s">
        <v>307</v>
      </c>
      <c r="C1622" t="s">
        <v>315</v>
      </c>
      <c r="D1622" t="s">
        <v>2819</v>
      </c>
      <c r="E1622">
        <v>0</v>
      </c>
      <c r="F1622" t="s">
        <v>2820</v>
      </c>
      <c r="G1622" t="b">
        <v>1</v>
      </c>
      <c r="H1622" t="s">
        <v>704</v>
      </c>
    </row>
    <row r="1623" spans="1:8" x14ac:dyDescent="0.3">
      <c r="A1623" t="s">
        <v>734</v>
      </c>
      <c r="B1623" t="s">
        <v>307</v>
      </c>
      <c r="C1623" t="s">
        <v>315</v>
      </c>
      <c r="D1623" t="s">
        <v>2821</v>
      </c>
      <c r="E1623">
        <v>0</v>
      </c>
      <c r="F1623" t="s">
        <v>2820</v>
      </c>
      <c r="G1623" t="b">
        <v>1</v>
      </c>
      <c r="H1623" t="s">
        <v>706</v>
      </c>
    </row>
    <row r="1624" spans="1:8" x14ac:dyDescent="0.3">
      <c r="A1624" t="s">
        <v>734</v>
      </c>
      <c r="B1624" t="s">
        <v>307</v>
      </c>
      <c r="C1624" t="s">
        <v>315</v>
      </c>
      <c r="D1624" t="s">
        <v>2822</v>
      </c>
      <c r="E1624">
        <v>0</v>
      </c>
      <c r="F1624" t="s">
        <v>2820</v>
      </c>
      <c r="G1624" t="b">
        <v>1</v>
      </c>
      <c r="H1624" t="s">
        <v>708</v>
      </c>
    </row>
    <row r="1625" spans="1:8" x14ac:dyDescent="0.3">
      <c r="A1625" t="s">
        <v>734</v>
      </c>
      <c r="B1625" t="s">
        <v>307</v>
      </c>
      <c r="C1625" t="s">
        <v>315</v>
      </c>
      <c r="D1625" t="s">
        <v>2823</v>
      </c>
      <c r="E1625">
        <v>0</v>
      </c>
      <c r="F1625" t="s">
        <v>2820</v>
      </c>
      <c r="G1625" t="b">
        <v>1</v>
      </c>
      <c r="H1625" t="s">
        <v>710</v>
      </c>
    </row>
    <row r="1626" spans="1:8" x14ac:dyDescent="0.3">
      <c r="A1626" t="s">
        <v>734</v>
      </c>
      <c r="B1626" t="s">
        <v>307</v>
      </c>
      <c r="C1626" t="s">
        <v>315</v>
      </c>
      <c r="D1626" t="s">
        <v>2824</v>
      </c>
      <c r="E1626">
        <v>0</v>
      </c>
      <c r="F1626" t="s">
        <v>2820</v>
      </c>
      <c r="G1626" t="b">
        <v>1</v>
      </c>
      <c r="H1626" t="s">
        <v>2802</v>
      </c>
    </row>
    <row r="1627" spans="1:8" x14ac:dyDescent="0.3">
      <c r="A1627" t="s">
        <v>734</v>
      </c>
      <c r="B1627" t="s">
        <v>307</v>
      </c>
      <c r="C1627" t="s">
        <v>315</v>
      </c>
      <c r="D1627" t="s">
        <v>2825</v>
      </c>
      <c r="E1627">
        <v>0</v>
      </c>
      <c r="F1627" t="s">
        <v>2820</v>
      </c>
      <c r="G1627" t="b">
        <v>1</v>
      </c>
      <c r="H1627" t="s">
        <v>2800</v>
      </c>
    </row>
    <row r="1628" spans="1:8" x14ac:dyDescent="0.3">
      <c r="A1628" t="s">
        <v>734</v>
      </c>
      <c r="B1628" t="s">
        <v>307</v>
      </c>
      <c r="C1628" t="s">
        <v>315</v>
      </c>
      <c r="D1628" t="s">
        <v>2826</v>
      </c>
      <c r="E1628">
        <v>0</v>
      </c>
      <c r="F1628" t="s">
        <v>2820</v>
      </c>
      <c r="G1628" t="b">
        <v>1</v>
      </c>
      <c r="H1628" t="s">
        <v>1935</v>
      </c>
    </row>
    <row r="1629" spans="1:8" x14ac:dyDescent="0.3">
      <c r="A1629" t="s">
        <v>734</v>
      </c>
      <c r="B1629" t="s">
        <v>307</v>
      </c>
      <c r="C1629" t="s">
        <v>315</v>
      </c>
      <c r="D1629" t="s">
        <v>2827</v>
      </c>
      <c r="E1629">
        <v>34200</v>
      </c>
      <c r="F1629" t="s">
        <v>2820</v>
      </c>
      <c r="G1629" t="b">
        <v>1</v>
      </c>
      <c r="H1629" t="s">
        <v>2828</v>
      </c>
    </row>
    <row r="1630" spans="1:8" x14ac:dyDescent="0.3">
      <c r="A1630" t="s">
        <v>734</v>
      </c>
      <c r="B1630" t="s">
        <v>307</v>
      </c>
      <c r="C1630" t="s">
        <v>315</v>
      </c>
      <c r="D1630" t="s">
        <v>2829</v>
      </c>
      <c r="E1630">
        <v>34200</v>
      </c>
      <c r="F1630" t="s">
        <v>2820</v>
      </c>
      <c r="G1630" t="b">
        <v>1</v>
      </c>
      <c r="H1630" t="s">
        <v>2830</v>
      </c>
    </row>
    <row r="1631" spans="1:8" x14ac:dyDescent="0.3">
      <c r="A1631" t="s">
        <v>734</v>
      </c>
      <c r="B1631" t="s">
        <v>307</v>
      </c>
      <c r="C1631" t="s">
        <v>315</v>
      </c>
      <c r="D1631" t="s">
        <v>2831</v>
      </c>
      <c r="E1631">
        <v>34200</v>
      </c>
      <c r="F1631" t="s">
        <v>2820</v>
      </c>
      <c r="G1631" t="b">
        <v>1</v>
      </c>
      <c r="H1631" t="s">
        <v>466</v>
      </c>
    </row>
    <row r="1632" spans="1:8" x14ac:dyDescent="0.3">
      <c r="A1632" t="s">
        <v>734</v>
      </c>
      <c r="B1632" t="s">
        <v>307</v>
      </c>
      <c r="C1632" t="s">
        <v>315</v>
      </c>
      <c r="D1632" t="s">
        <v>2832</v>
      </c>
      <c r="E1632">
        <v>34200</v>
      </c>
      <c r="F1632" t="s">
        <v>2820</v>
      </c>
      <c r="G1632" t="b">
        <v>1</v>
      </c>
      <c r="H1632" t="s">
        <v>467</v>
      </c>
    </row>
    <row r="1633" spans="1:8" x14ac:dyDescent="0.3">
      <c r="A1633" t="s">
        <v>734</v>
      </c>
      <c r="B1633" t="s">
        <v>307</v>
      </c>
      <c r="C1633" t="s">
        <v>315</v>
      </c>
      <c r="D1633" t="s">
        <v>2833</v>
      </c>
      <c r="E1633">
        <v>34200</v>
      </c>
      <c r="F1633" t="s">
        <v>2820</v>
      </c>
      <c r="G1633" t="b">
        <v>1</v>
      </c>
      <c r="H1633" t="s">
        <v>468</v>
      </c>
    </row>
    <row r="1634" spans="1:8" x14ac:dyDescent="0.3">
      <c r="A1634" t="s">
        <v>734</v>
      </c>
      <c r="B1634" t="s">
        <v>307</v>
      </c>
      <c r="C1634" t="s">
        <v>316</v>
      </c>
      <c r="D1634" t="s">
        <v>2819</v>
      </c>
      <c r="E1634">
        <v>0</v>
      </c>
      <c r="F1634" t="s">
        <v>2820</v>
      </c>
      <c r="G1634" t="b">
        <v>1</v>
      </c>
      <c r="H1634" t="s">
        <v>704</v>
      </c>
    </row>
    <row r="1635" spans="1:8" x14ac:dyDescent="0.3">
      <c r="A1635" t="s">
        <v>734</v>
      </c>
      <c r="B1635" t="s">
        <v>307</v>
      </c>
      <c r="C1635" t="s">
        <v>316</v>
      </c>
      <c r="D1635" t="s">
        <v>2821</v>
      </c>
      <c r="E1635">
        <v>0</v>
      </c>
      <c r="F1635" t="s">
        <v>2820</v>
      </c>
      <c r="G1635" t="b">
        <v>1</v>
      </c>
      <c r="H1635" t="s">
        <v>706</v>
      </c>
    </row>
    <row r="1636" spans="1:8" x14ac:dyDescent="0.3">
      <c r="A1636" t="s">
        <v>734</v>
      </c>
      <c r="B1636" t="s">
        <v>307</v>
      </c>
      <c r="C1636" t="s">
        <v>316</v>
      </c>
      <c r="D1636" t="s">
        <v>2822</v>
      </c>
      <c r="E1636">
        <v>0</v>
      </c>
      <c r="F1636" t="s">
        <v>2820</v>
      </c>
      <c r="G1636" t="b">
        <v>1</v>
      </c>
      <c r="H1636" t="s">
        <v>708</v>
      </c>
    </row>
    <row r="1637" spans="1:8" x14ac:dyDescent="0.3">
      <c r="A1637" t="s">
        <v>734</v>
      </c>
      <c r="B1637" t="s">
        <v>307</v>
      </c>
      <c r="C1637" t="s">
        <v>316</v>
      </c>
      <c r="D1637" t="s">
        <v>2823</v>
      </c>
      <c r="E1637">
        <v>0</v>
      </c>
      <c r="F1637" t="s">
        <v>2820</v>
      </c>
      <c r="G1637" t="b">
        <v>1</v>
      </c>
      <c r="H1637" t="s">
        <v>710</v>
      </c>
    </row>
    <row r="1638" spans="1:8" x14ac:dyDescent="0.3">
      <c r="A1638" t="s">
        <v>734</v>
      </c>
      <c r="B1638" t="s">
        <v>307</v>
      </c>
      <c r="C1638" t="s">
        <v>316</v>
      </c>
      <c r="D1638" t="s">
        <v>2824</v>
      </c>
      <c r="E1638">
        <v>0</v>
      </c>
      <c r="F1638" t="s">
        <v>2820</v>
      </c>
      <c r="G1638" t="b">
        <v>1</v>
      </c>
      <c r="H1638" t="s">
        <v>2802</v>
      </c>
    </row>
    <row r="1639" spans="1:8" x14ac:dyDescent="0.3">
      <c r="A1639" t="s">
        <v>734</v>
      </c>
      <c r="B1639" t="s">
        <v>307</v>
      </c>
      <c r="C1639" t="s">
        <v>316</v>
      </c>
      <c r="D1639" t="s">
        <v>2825</v>
      </c>
      <c r="E1639">
        <v>0</v>
      </c>
      <c r="F1639" t="s">
        <v>2820</v>
      </c>
      <c r="G1639" t="b">
        <v>1</v>
      </c>
      <c r="H1639" t="s">
        <v>2800</v>
      </c>
    </row>
    <row r="1640" spans="1:8" x14ac:dyDescent="0.3">
      <c r="A1640" t="s">
        <v>734</v>
      </c>
      <c r="B1640" t="s">
        <v>307</v>
      </c>
      <c r="C1640" t="s">
        <v>316</v>
      </c>
      <c r="D1640" t="s">
        <v>2826</v>
      </c>
      <c r="E1640">
        <v>0</v>
      </c>
      <c r="F1640" t="s">
        <v>2820</v>
      </c>
      <c r="G1640" t="b">
        <v>1</v>
      </c>
      <c r="H1640" t="s">
        <v>1935</v>
      </c>
    </row>
    <row r="1641" spans="1:8" x14ac:dyDescent="0.3">
      <c r="A1641" t="s">
        <v>734</v>
      </c>
      <c r="B1641" t="s">
        <v>307</v>
      </c>
      <c r="C1641" t="s">
        <v>316</v>
      </c>
      <c r="D1641" t="s">
        <v>2827</v>
      </c>
      <c r="E1641">
        <v>0</v>
      </c>
      <c r="F1641" t="s">
        <v>2820</v>
      </c>
      <c r="G1641" t="b">
        <v>1</v>
      </c>
      <c r="H1641" t="s">
        <v>2828</v>
      </c>
    </row>
    <row r="1642" spans="1:8" x14ac:dyDescent="0.3">
      <c r="A1642" t="s">
        <v>734</v>
      </c>
      <c r="B1642" t="s">
        <v>307</v>
      </c>
      <c r="C1642" t="s">
        <v>316</v>
      </c>
      <c r="D1642" t="s">
        <v>2829</v>
      </c>
      <c r="E1642">
        <v>0</v>
      </c>
      <c r="F1642" t="s">
        <v>2820</v>
      </c>
      <c r="G1642" t="b">
        <v>1</v>
      </c>
      <c r="H1642" t="s">
        <v>2830</v>
      </c>
    </row>
    <row r="1643" spans="1:8" x14ac:dyDescent="0.3">
      <c r="A1643" t="s">
        <v>734</v>
      </c>
      <c r="B1643" t="s">
        <v>307</v>
      </c>
      <c r="C1643" t="s">
        <v>316</v>
      </c>
      <c r="D1643" t="s">
        <v>2831</v>
      </c>
      <c r="E1643">
        <v>0</v>
      </c>
      <c r="F1643" t="s">
        <v>2820</v>
      </c>
      <c r="G1643" t="b">
        <v>1</v>
      </c>
      <c r="H1643" t="s">
        <v>466</v>
      </c>
    </row>
    <row r="1644" spans="1:8" x14ac:dyDescent="0.3">
      <c r="A1644" t="s">
        <v>734</v>
      </c>
      <c r="B1644" t="s">
        <v>307</v>
      </c>
      <c r="C1644" t="s">
        <v>316</v>
      </c>
      <c r="D1644" t="s">
        <v>2832</v>
      </c>
      <c r="E1644">
        <v>0</v>
      </c>
      <c r="F1644" t="s">
        <v>2820</v>
      </c>
      <c r="G1644" t="b">
        <v>1</v>
      </c>
      <c r="H1644" t="s">
        <v>467</v>
      </c>
    </row>
    <row r="1645" spans="1:8" x14ac:dyDescent="0.3">
      <c r="A1645" t="s">
        <v>734</v>
      </c>
      <c r="B1645" t="s">
        <v>307</v>
      </c>
      <c r="C1645" t="s">
        <v>316</v>
      </c>
      <c r="D1645" t="s">
        <v>2833</v>
      </c>
      <c r="E1645">
        <v>0</v>
      </c>
      <c r="F1645" t="s">
        <v>2820</v>
      </c>
      <c r="G1645" t="b">
        <v>1</v>
      </c>
      <c r="H1645" t="s">
        <v>468</v>
      </c>
    </row>
    <row r="1646" spans="1:8" x14ac:dyDescent="0.3">
      <c r="A1646" t="s">
        <v>734</v>
      </c>
      <c r="B1646" t="s">
        <v>322</v>
      </c>
      <c r="C1646" t="s">
        <v>325</v>
      </c>
      <c r="D1646" t="s">
        <v>2819</v>
      </c>
      <c r="E1646">
        <v>0</v>
      </c>
      <c r="F1646" t="s">
        <v>2820</v>
      </c>
      <c r="G1646" t="b">
        <v>1</v>
      </c>
      <c r="H1646" t="s">
        <v>704</v>
      </c>
    </row>
    <row r="1647" spans="1:8" x14ac:dyDescent="0.3">
      <c r="A1647" t="s">
        <v>734</v>
      </c>
      <c r="B1647" t="s">
        <v>322</v>
      </c>
      <c r="C1647" t="s">
        <v>325</v>
      </c>
      <c r="D1647" t="s">
        <v>2821</v>
      </c>
      <c r="E1647">
        <v>0</v>
      </c>
      <c r="F1647" t="s">
        <v>2820</v>
      </c>
      <c r="G1647" t="b">
        <v>1</v>
      </c>
      <c r="H1647" t="s">
        <v>706</v>
      </c>
    </row>
    <row r="1648" spans="1:8" x14ac:dyDescent="0.3">
      <c r="A1648" t="s">
        <v>734</v>
      </c>
      <c r="B1648" t="s">
        <v>322</v>
      </c>
      <c r="C1648" t="s">
        <v>325</v>
      </c>
      <c r="D1648" t="s">
        <v>2822</v>
      </c>
      <c r="E1648">
        <v>0</v>
      </c>
      <c r="F1648" t="s">
        <v>2820</v>
      </c>
      <c r="G1648" t="b">
        <v>1</v>
      </c>
      <c r="H1648" t="s">
        <v>708</v>
      </c>
    </row>
    <row r="1649" spans="1:8" x14ac:dyDescent="0.3">
      <c r="A1649" t="s">
        <v>734</v>
      </c>
      <c r="B1649" t="s">
        <v>322</v>
      </c>
      <c r="C1649" t="s">
        <v>325</v>
      </c>
      <c r="D1649" t="s">
        <v>2823</v>
      </c>
      <c r="E1649">
        <v>0</v>
      </c>
      <c r="F1649" t="s">
        <v>2820</v>
      </c>
      <c r="G1649" t="b">
        <v>1</v>
      </c>
      <c r="H1649" t="s">
        <v>710</v>
      </c>
    </row>
    <row r="1650" spans="1:8" x14ac:dyDescent="0.3">
      <c r="A1650" t="s">
        <v>734</v>
      </c>
      <c r="B1650" t="s">
        <v>322</v>
      </c>
      <c r="C1650" t="s">
        <v>325</v>
      </c>
      <c r="D1650" t="s">
        <v>2824</v>
      </c>
      <c r="E1650">
        <v>0</v>
      </c>
      <c r="F1650" t="s">
        <v>2820</v>
      </c>
      <c r="G1650" t="b">
        <v>1</v>
      </c>
      <c r="H1650" t="s">
        <v>2802</v>
      </c>
    </row>
    <row r="1651" spans="1:8" x14ac:dyDescent="0.3">
      <c r="A1651" t="s">
        <v>734</v>
      </c>
      <c r="B1651" t="s">
        <v>322</v>
      </c>
      <c r="C1651" t="s">
        <v>325</v>
      </c>
      <c r="D1651" t="s">
        <v>2825</v>
      </c>
      <c r="E1651">
        <v>0</v>
      </c>
      <c r="F1651" t="s">
        <v>2820</v>
      </c>
      <c r="G1651" t="b">
        <v>1</v>
      </c>
      <c r="H1651" t="s">
        <v>2800</v>
      </c>
    </row>
    <row r="1652" spans="1:8" x14ac:dyDescent="0.3">
      <c r="A1652" t="s">
        <v>734</v>
      </c>
      <c r="B1652" t="s">
        <v>322</v>
      </c>
      <c r="C1652" t="s">
        <v>325</v>
      </c>
      <c r="D1652" t="s">
        <v>2826</v>
      </c>
      <c r="E1652">
        <v>0</v>
      </c>
      <c r="F1652" t="s">
        <v>2820</v>
      </c>
      <c r="G1652" t="b">
        <v>1</v>
      </c>
      <c r="H1652" t="s">
        <v>1935</v>
      </c>
    </row>
    <row r="1653" spans="1:8" x14ac:dyDescent="0.3">
      <c r="A1653" t="s">
        <v>734</v>
      </c>
      <c r="B1653" t="s">
        <v>322</v>
      </c>
      <c r="C1653" t="s">
        <v>325</v>
      </c>
      <c r="D1653" t="s">
        <v>2827</v>
      </c>
      <c r="E1653">
        <v>239478.23</v>
      </c>
      <c r="F1653" t="s">
        <v>2820</v>
      </c>
      <c r="G1653" t="b">
        <v>1</v>
      </c>
      <c r="H1653" t="s">
        <v>2828</v>
      </c>
    </row>
    <row r="1654" spans="1:8" x14ac:dyDescent="0.3">
      <c r="A1654" t="s">
        <v>734</v>
      </c>
      <c r="B1654" t="s">
        <v>322</v>
      </c>
      <c r="C1654" t="s">
        <v>325</v>
      </c>
      <c r="D1654" t="s">
        <v>2829</v>
      </c>
      <c r="E1654">
        <v>232013.92</v>
      </c>
      <c r="F1654" t="s">
        <v>2820</v>
      </c>
      <c r="G1654" t="b">
        <v>1</v>
      </c>
      <c r="H1654" t="s">
        <v>2830</v>
      </c>
    </row>
    <row r="1655" spans="1:8" x14ac:dyDescent="0.3">
      <c r="A1655" t="s">
        <v>734</v>
      </c>
      <c r="B1655" t="s">
        <v>322</v>
      </c>
      <c r="C1655" t="s">
        <v>325</v>
      </c>
      <c r="D1655" t="s">
        <v>2831</v>
      </c>
      <c r="E1655">
        <v>254652.51</v>
      </c>
      <c r="F1655" t="s">
        <v>2820</v>
      </c>
      <c r="G1655" t="b">
        <v>1</v>
      </c>
      <c r="H1655" t="s">
        <v>466</v>
      </c>
    </row>
    <row r="1656" spans="1:8" x14ac:dyDescent="0.3">
      <c r="A1656" t="s">
        <v>734</v>
      </c>
      <c r="B1656" t="s">
        <v>322</v>
      </c>
      <c r="C1656" t="s">
        <v>325</v>
      </c>
      <c r="D1656" t="s">
        <v>2832</v>
      </c>
      <c r="E1656">
        <v>234588.04</v>
      </c>
      <c r="F1656" t="s">
        <v>2820</v>
      </c>
      <c r="G1656" t="b">
        <v>1</v>
      </c>
      <c r="H1656" t="s">
        <v>467</v>
      </c>
    </row>
    <row r="1657" spans="1:8" x14ac:dyDescent="0.3">
      <c r="A1657" t="s">
        <v>734</v>
      </c>
      <c r="B1657" t="s">
        <v>322</v>
      </c>
      <c r="C1657" t="s">
        <v>325</v>
      </c>
      <c r="D1657" t="s">
        <v>2833</v>
      </c>
      <c r="E1657">
        <v>255576.33</v>
      </c>
      <c r="F1657" t="s">
        <v>2820</v>
      </c>
      <c r="G1657" t="b">
        <v>1</v>
      </c>
      <c r="H1657" t="s">
        <v>468</v>
      </c>
    </row>
    <row r="1658" spans="1:8" x14ac:dyDescent="0.3">
      <c r="A1658" t="s">
        <v>734</v>
      </c>
      <c r="B1658" t="s">
        <v>322</v>
      </c>
      <c r="C1658" t="s">
        <v>324</v>
      </c>
      <c r="D1658" t="s">
        <v>2819</v>
      </c>
      <c r="E1658">
        <v>0</v>
      </c>
      <c r="F1658" t="s">
        <v>2820</v>
      </c>
      <c r="G1658" t="b">
        <v>1</v>
      </c>
      <c r="H1658" t="s">
        <v>704</v>
      </c>
    </row>
    <row r="1659" spans="1:8" x14ac:dyDescent="0.3">
      <c r="A1659" t="s">
        <v>734</v>
      </c>
      <c r="B1659" t="s">
        <v>322</v>
      </c>
      <c r="C1659" t="s">
        <v>324</v>
      </c>
      <c r="D1659" t="s">
        <v>2821</v>
      </c>
      <c r="E1659">
        <v>0</v>
      </c>
      <c r="F1659" t="s">
        <v>2820</v>
      </c>
      <c r="G1659" t="b">
        <v>1</v>
      </c>
      <c r="H1659" t="s">
        <v>706</v>
      </c>
    </row>
    <row r="1660" spans="1:8" x14ac:dyDescent="0.3">
      <c r="A1660" t="s">
        <v>734</v>
      </c>
      <c r="B1660" t="s">
        <v>322</v>
      </c>
      <c r="C1660" t="s">
        <v>324</v>
      </c>
      <c r="D1660" t="s">
        <v>2822</v>
      </c>
      <c r="E1660">
        <v>0</v>
      </c>
      <c r="F1660" t="s">
        <v>2820</v>
      </c>
      <c r="G1660" t="b">
        <v>1</v>
      </c>
      <c r="H1660" t="s">
        <v>708</v>
      </c>
    </row>
    <row r="1661" spans="1:8" x14ac:dyDescent="0.3">
      <c r="A1661" t="s">
        <v>734</v>
      </c>
      <c r="B1661" t="s">
        <v>322</v>
      </c>
      <c r="C1661" t="s">
        <v>324</v>
      </c>
      <c r="D1661" t="s">
        <v>2823</v>
      </c>
      <c r="E1661">
        <v>0</v>
      </c>
      <c r="F1661" t="s">
        <v>2820</v>
      </c>
      <c r="G1661" t="b">
        <v>1</v>
      </c>
      <c r="H1661" t="s">
        <v>710</v>
      </c>
    </row>
    <row r="1662" spans="1:8" x14ac:dyDescent="0.3">
      <c r="A1662" t="s">
        <v>734</v>
      </c>
      <c r="B1662" t="s">
        <v>322</v>
      </c>
      <c r="C1662" t="s">
        <v>324</v>
      </c>
      <c r="D1662" t="s">
        <v>2824</v>
      </c>
      <c r="E1662">
        <v>0</v>
      </c>
      <c r="F1662" t="s">
        <v>2820</v>
      </c>
      <c r="G1662" t="b">
        <v>1</v>
      </c>
      <c r="H1662" t="s">
        <v>2802</v>
      </c>
    </row>
    <row r="1663" spans="1:8" x14ac:dyDescent="0.3">
      <c r="A1663" t="s">
        <v>734</v>
      </c>
      <c r="B1663" t="s">
        <v>322</v>
      </c>
      <c r="C1663" t="s">
        <v>324</v>
      </c>
      <c r="D1663" t="s">
        <v>2825</v>
      </c>
      <c r="E1663">
        <v>0</v>
      </c>
      <c r="F1663" t="s">
        <v>2820</v>
      </c>
      <c r="G1663" t="b">
        <v>1</v>
      </c>
      <c r="H1663" t="s">
        <v>2800</v>
      </c>
    </row>
    <row r="1664" spans="1:8" x14ac:dyDescent="0.3">
      <c r="A1664" t="s">
        <v>734</v>
      </c>
      <c r="B1664" t="s">
        <v>322</v>
      </c>
      <c r="C1664" t="s">
        <v>324</v>
      </c>
      <c r="D1664" t="s">
        <v>2826</v>
      </c>
      <c r="E1664">
        <v>0</v>
      </c>
      <c r="F1664" t="s">
        <v>2820</v>
      </c>
      <c r="G1664" t="b">
        <v>1</v>
      </c>
      <c r="H1664" t="s">
        <v>1935</v>
      </c>
    </row>
    <row r="1665" spans="1:8" x14ac:dyDescent="0.3">
      <c r="A1665" t="s">
        <v>734</v>
      </c>
      <c r="B1665" t="s">
        <v>322</v>
      </c>
      <c r="C1665" t="s">
        <v>324</v>
      </c>
      <c r="D1665" t="s">
        <v>2827</v>
      </c>
      <c r="E1665">
        <v>0</v>
      </c>
      <c r="F1665" t="s">
        <v>2820</v>
      </c>
      <c r="G1665" t="b">
        <v>1</v>
      </c>
      <c r="H1665" t="s">
        <v>2828</v>
      </c>
    </row>
    <row r="1666" spans="1:8" x14ac:dyDescent="0.3">
      <c r="A1666" t="s">
        <v>734</v>
      </c>
      <c r="B1666" t="s">
        <v>322</v>
      </c>
      <c r="C1666" t="s">
        <v>324</v>
      </c>
      <c r="D1666" t="s">
        <v>2829</v>
      </c>
      <c r="E1666">
        <v>0</v>
      </c>
      <c r="F1666" t="s">
        <v>2820</v>
      </c>
      <c r="G1666" t="b">
        <v>1</v>
      </c>
      <c r="H1666" t="s">
        <v>2830</v>
      </c>
    </row>
    <row r="1667" spans="1:8" x14ac:dyDescent="0.3">
      <c r="A1667" t="s">
        <v>734</v>
      </c>
      <c r="B1667" t="s">
        <v>322</v>
      </c>
      <c r="C1667" t="s">
        <v>324</v>
      </c>
      <c r="D1667" t="s">
        <v>2831</v>
      </c>
      <c r="E1667">
        <v>0</v>
      </c>
      <c r="F1667" t="s">
        <v>2820</v>
      </c>
      <c r="G1667" t="b">
        <v>1</v>
      </c>
      <c r="H1667" t="s">
        <v>466</v>
      </c>
    </row>
    <row r="1668" spans="1:8" x14ac:dyDescent="0.3">
      <c r="A1668" t="s">
        <v>734</v>
      </c>
      <c r="B1668" t="s">
        <v>322</v>
      </c>
      <c r="C1668" t="s">
        <v>324</v>
      </c>
      <c r="D1668" t="s">
        <v>2832</v>
      </c>
      <c r="E1668">
        <v>0</v>
      </c>
      <c r="F1668" t="s">
        <v>2820</v>
      </c>
      <c r="G1668" t="b">
        <v>1</v>
      </c>
      <c r="H1668" t="s">
        <v>467</v>
      </c>
    </row>
    <row r="1669" spans="1:8" x14ac:dyDescent="0.3">
      <c r="A1669" t="s">
        <v>734</v>
      </c>
      <c r="B1669" t="s">
        <v>322</v>
      </c>
      <c r="C1669" t="s">
        <v>324</v>
      </c>
      <c r="D1669" t="s">
        <v>2833</v>
      </c>
      <c r="E1669">
        <v>0</v>
      </c>
      <c r="F1669" t="s">
        <v>2820</v>
      </c>
      <c r="G1669" t="b">
        <v>1</v>
      </c>
      <c r="H1669" t="s">
        <v>468</v>
      </c>
    </row>
    <row r="1670" spans="1:8" x14ac:dyDescent="0.3">
      <c r="A1670" t="s">
        <v>734</v>
      </c>
      <c r="B1670" t="s">
        <v>322</v>
      </c>
      <c r="C1670" t="s">
        <v>323</v>
      </c>
      <c r="D1670" t="s">
        <v>2819</v>
      </c>
      <c r="E1670">
        <v>0</v>
      </c>
      <c r="F1670" t="s">
        <v>2820</v>
      </c>
      <c r="G1670" t="b">
        <v>1</v>
      </c>
      <c r="H1670" t="s">
        <v>704</v>
      </c>
    </row>
    <row r="1671" spans="1:8" x14ac:dyDescent="0.3">
      <c r="A1671" t="s">
        <v>734</v>
      </c>
      <c r="B1671" t="s">
        <v>322</v>
      </c>
      <c r="C1671" t="s">
        <v>323</v>
      </c>
      <c r="D1671" t="s">
        <v>2821</v>
      </c>
      <c r="E1671">
        <v>0</v>
      </c>
      <c r="F1671" t="s">
        <v>2820</v>
      </c>
      <c r="G1671" t="b">
        <v>1</v>
      </c>
      <c r="H1671" t="s">
        <v>706</v>
      </c>
    </row>
    <row r="1672" spans="1:8" x14ac:dyDescent="0.3">
      <c r="A1672" t="s">
        <v>734</v>
      </c>
      <c r="B1672" t="s">
        <v>322</v>
      </c>
      <c r="C1672" t="s">
        <v>323</v>
      </c>
      <c r="D1672" t="s">
        <v>2822</v>
      </c>
      <c r="E1672">
        <v>0</v>
      </c>
      <c r="F1672" t="s">
        <v>2820</v>
      </c>
      <c r="G1672" t="b">
        <v>1</v>
      </c>
      <c r="H1672" t="s">
        <v>708</v>
      </c>
    </row>
    <row r="1673" spans="1:8" x14ac:dyDescent="0.3">
      <c r="A1673" t="s">
        <v>734</v>
      </c>
      <c r="B1673" t="s">
        <v>322</v>
      </c>
      <c r="C1673" t="s">
        <v>323</v>
      </c>
      <c r="D1673" t="s">
        <v>2823</v>
      </c>
      <c r="E1673">
        <v>0</v>
      </c>
      <c r="F1673" t="s">
        <v>2820</v>
      </c>
      <c r="G1673" t="b">
        <v>1</v>
      </c>
      <c r="H1673" t="s">
        <v>710</v>
      </c>
    </row>
    <row r="1674" spans="1:8" x14ac:dyDescent="0.3">
      <c r="A1674" t="s">
        <v>734</v>
      </c>
      <c r="B1674" t="s">
        <v>322</v>
      </c>
      <c r="C1674" t="s">
        <v>323</v>
      </c>
      <c r="D1674" t="s">
        <v>2824</v>
      </c>
      <c r="E1674">
        <v>0</v>
      </c>
      <c r="F1674" t="s">
        <v>2820</v>
      </c>
      <c r="G1674" t="b">
        <v>1</v>
      </c>
      <c r="H1674" t="s">
        <v>2802</v>
      </c>
    </row>
    <row r="1675" spans="1:8" x14ac:dyDescent="0.3">
      <c r="A1675" t="s">
        <v>734</v>
      </c>
      <c r="B1675" t="s">
        <v>322</v>
      </c>
      <c r="C1675" t="s">
        <v>323</v>
      </c>
      <c r="D1675" t="s">
        <v>2825</v>
      </c>
      <c r="E1675">
        <v>0</v>
      </c>
      <c r="F1675" t="s">
        <v>2820</v>
      </c>
      <c r="G1675" t="b">
        <v>1</v>
      </c>
      <c r="H1675" t="s">
        <v>2800</v>
      </c>
    </row>
    <row r="1676" spans="1:8" x14ac:dyDescent="0.3">
      <c r="A1676" t="s">
        <v>734</v>
      </c>
      <c r="B1676" t="s">
        <v>322</v>
      </c>
      <c r="C1676" t="s">
        <v>323</v>
      </c>
      <c r="D1676" t="s">
        <v>2826</v>
      </c>
      <c r="E1676">
        <v>0</v>
      </c>
      <c r="F1676" t="s">
        <v>2820</v>
      </c>
      <c r="G1676" t="b">
        <v>1</v>
      </c>
      <c r="H1676" t="s">
        <v>1935</v>
      </c>
    </row>
    <row r="1677" spans="1:8" x14ac:dyDescent="0.3">
      <c r="A1677" t="s">
        <v>734</v>
      </c>
      <c r="B1677" t="s">
        <v>322</v>
      </c>
      <c r="C1677" t="s">
        <v>323</v>
      </c>
      <c r="D1677" t="s">
        <v>2827</v>
      </c>
      <c r="E1677">
        <v>0</v>
      </c>
      <c r="F1677" t="s">
        <v>2820</v>
      </c>
      <c r="G1677" t="b">
        <v>1</v>
      </c>
      <c r="H1677" t="s">
        <v>2828</v>
      </c>
    </row>
    <row r="1678" spans="1:8" x14ac:dyDescent="0.3">
      <c r="A1678" t="s">
        <v>734</v>
      </c>
      <c r="B1678" t="s">
        <v>322</v>
      </c>
      <c r="C1678" t="s">
        <v>323</v>
      </c>
      <c r="D1678" t="s">
        <v>2829</v>
      </c>
      <c r="E1678">
        <v>0</v>
      </c>
      <c r="F1678" t="s">
        <v>2820</v>
      </c>
      <c r="G1678" t="b">
        <v>1</v>
      </c>
      <c r="H1678" t="s">
        <v>2830</v>
      </c>
    </row>
    <row r="1679" spans="1:8" x14ac:dyDescent="0.3">
      <c r="A1679" t="s">
        <v>734</v>
      </c>
      <c r="B1679" t="s">
        <v>322</v>
      </c>
      <c r="C1679" t="s">
        <v>323</v>
      </c>
      <c r="D1679" t="s">
        <v>2831</v>
      </c>
      <c r="E1679">
        <v>0</v>
      </c>
      <c r="F1679" t="s">
        <v>2820</v>
      </c>
      <c r="G1679" t="b">
        <v>1</v>
      </c>
      <c r="H1679" t="s">
        <v>466</v>
      </c>
    </row>
    <row r="1680" spans="1:8" x14ac:dyDescent="0.3">
      <c r="A1680" t="s">
        <v>734</v>
      </c>
      <c r="B1680" t="s">
        <v>322</v>
      </c>
      <c r="C1680" t="s">
        <v>323</v>
      </c>
      <c r="D1680" t="s">
        <v>2832</v>
      </c>
      <c r="E1680">
        <v>0</v>
      </c>
      <c r="F1680" t="s">
        <v>2820</v>
      </c>
      <c r="G1680" t="b">
        <v>1</v>
      </c>
      <c r="H1680" t="s">
        <v>467</v>
      </c>
    </row>
    <row r="1681" spans="1:8" x14ac:dyDescent="0.3">
      <c r="A1681" t="s">
        <v>734</v>
      </c>
      <c r="B1681" t="s">
        <v>322</v>
      </c>
      <c r="C1681" t="s">
        <v>323</v>
      </c>
      <c r="D1681" t="s">
        <v>2833</v>
      </c>
      <c r="E1681">
        <v>0</v>
      </c>
      <c r="F1681" t="s">
        <v>2820</v>
      </c>
      <c r="G1681" t="b">
        <v>1</v>
      </c>
      <c r="H1681" t="s">
        <v>468</v>
      </c>
    </row>
    <row r="1682" spans="1:8" x14ac:dyDescent="0.3">
      <c r="A1682" t="s">
        <v>734</v>
      </c>
      <c r="B1682" t="s">
        <v>263</v>
      </c>
      <c r="C1682" t="s">
        <v>264</v>
      </c>
      <c r="D1682" t="s">
        <v>2819</v>
      </c>
      <c r="E1682">
        <v>0</v>
      </c>
      <c r="F1682" t="s">
        <v>2820</v>
      </c>
      <c r="G1682" t="b">
        <v>1</v>
      </c>
      <c r="H1682" t="s">
        <v>704</v>
      </c>
    </row>
    <row r="1683" spans="1:8" x14ac:dyDescent="0.3">
      <c r="A1683" t="s">
        <v>734</v>
      </c>
      <c r="B1683" t="s">
        <v>263</v>
      </c>
      <c r="C1683" t="s">
        <v>264</v>
      </c>
      <c r="D1683" t="s">
        <v>2821</v>
      </c>
      <c r="E1683">
        <v>0</v>
      </c>
      <c r="F1683" t="s">
        <v>2820</v>
      </c>
      <c r="G1683" t="b">
        <v>1</v>
      </c>
      <c r="H1683" t="s">
        <v>706</v>
      </c>
    </row>
    <row r="1684" spans="1:8" x14ac:dyDescent="0.3">
      <c r="A1684" t="s">
        <v>734</v>
      </c>
      <c r="B1684" t="s">
        <v>263</v>
      </c>
      <c r="C1684" t="s">
        <v>264</v>
      </c>
      <c r="D1684" t="s">
        <v>2822</v>
      </c>
      <c r="E1684">
        <v>0</v>
      </c>
      <c r="F1684" t="s">
        <v>2820</v>
      </c>
      <c r="G1684" t="b">
        <v>1</v>
      </c>
      <c r="H1684" t="s">
        <v>708</v>
      </c>
    </row>
    <row r="1685" spans="1:8" x14ac:dyDescent="0.3">
      <c r="A1685" t="s">
        <v>734</v>
      </c>
      <c r="B1685" t="s">
        <v>263</v>
      </c>
      <c r="C1685" t="s">
        <v>264</v>
      </c>
      <c r="D1685" t="s">
        <v>2823</v>
      </c>
      <c r="E1685">
        <v>0</v>
      </c>
      <c r="F1685" t="s">
        <v>2820</v>
      </c>
      <c r="G1685" t="b">
        <v>1</v>
      </c>
      <c r="H1685" t="s">
        <v>710</v>
      </c>
    </row>
    <row r="1686" spans="1:8" x14ac:dyDescent="0.3">
      <c r="A1686" t="s">
        <v>734</v>
      </c>
      <c r="B1686" t="s">
        <v>263</v>
      </c>
      <c r="C1686" t="s">
        <v>264</v>
      </c>
      <c r="D1686" t="s">
        <v>2824</v>
      </c>
      <c r="E1686">
        <v>0</v>
      </c>
      <c r="F1686" t="s">
        <v>2820</v>
      </c>
      <c r="G1686" t="b">
        <v>1</v>
      </c>
      <c r="H1686" t="s">
        <v>2802</v>
      </c>
    </row>
    <row r="1687" spans="1:8" x14ac:dyDescent="0.3">
      <c r="A1687" t="s">
        <v>734</v>
      </c>
      <c r="B1687" t="s">
        <v>263</v>
      </c>
      <c r="C1687" t="s">
        <v>264</v>
      </c>
      <c r="D1687" t="s">
        <v>2825</v>
      </c>
      <c r="E1687">
        <v>0</v>
      </c>
      <c r="F1687" t="s">
        <v>2820</v>
      </c>
      <c r="G1687" t="b">
        <v>1</v>
      </c>
      <c r="H1687" t="s">
        <v>2800</v>
      </c>
    </row>
    <row r="1688" spans="1:8" x14ac:dyDescent="0.3">
      <c r="A1688" t="s">
        <v>734</v>
      </c>
      <c r="B1688" t="s">
        <v>263</v>
      </c>
      <c r="C1688" t="s">
        <v>264</v>
      </c>
      <c r="D1688" t="s">
        <v>2826</v>
      </c>
      <c r="E1688">
        <v>0</v>
      </c>
      <c r="F1688" t="s">
        <v>2820</v>
      </c>
      <c r="G1688" t="b">
        <v>1</v>
      </c>
      <c r="H1688" t="s">
        <v>1935</v>
      </c>
    </row>
    <row r="1689" spans="1:8" x14ac:dyDescent="0.3">
      <c r="A1689" t="s">
        <v>734</v>
      </c>
      <c r="B1689" t="s">
        <v>263</v>
      </c>
      <c r="C1689" t="s">
        <v>264</v>
      </c>
      <c r="D1689" t="s">
        <v>2827</v>
      </c>
      <c r="E1689">
        <v>20294.78</v>
      </c>
      <c r="F1689" t="s">
        <v>2820</v>
      </c>
      <c r="G1689" t="b">
        <v>1</v>
      </c>
      <c r="H1689" t="s">
        <v>2828</v>
      </c>
    </row>
    <row r="1690" spans="1:8" x14ac:dyDescent="0.3">
      <c r="A1690" t="s">
        <v>734</v>
      </c>
      <c r="B1690" t="s">
        <v>263</v>
      </c>
      <c r="C1690" t="s">
        <v>264</v>
      </c>
      <c r="D1690" t="s">
        <v>2829</v>
      </c>
      <c r="E1690">
        <v>20220.14</v>
      </c>
      <c r="F1690" t="s">
        <v>2820</v>
      </c>
      <c r="G1690" t="b">
        <v>1</v>
      </c>
      <c r="H1690" t="s">
        <v>2830</v>
      </c>
    </row>
    <row r="1691" spans="1:8" x14ac:dyDescent="0.3">
      <c r="A1691" t="s">
        <v>734</v>
      </c>
      <c r="B1691" t="s">
        <v>263</v>
      </c>
      <c r="C1691" t="s">
        <v>264</v>
      </c>
      <c r="D1691" t="s">
        <v>2831</v>
      </c>
      <c r="E1691">
        <v>20446.53</v>
      </c>
      <c r="F1691" t="s">
        <v>2820</v>
      </c>
      <c r="G1691" t="b">
        <v>1</v>
      </c>
      <c r="H1691" t="s">
        <v>466</v>
      </c>
    </row>
    <row r="1692" spans="1:8" x14ac:dyDescent="0.3">
      <c r="A1692" t="s">
        <v>734</v>
      </c>
      <c r="B1692" t="s">
        <v>263</v>
      </c>
      <c r="C1692" t="s">
        <v>264</v>
      </c>
      <c r="D1692" t="s">
        <v>2832</v>
      </c>
      <c r="E1692">
        <v>20245.88</v>
      </c>
      <c r="F1692" t="s">
        <v>2820</v>
      </c>
      <c r="G1692" t="b">
        <v>1</v>
      </c>
      <c r="H1692" t="s">
        <v>467</v>
      </c>
    </row>
    <row r="1693" spans="1:8" x14ac:dyDescent="0.3">
      <c r="A1693" t="s">
        <v>734</v>
      </c>
      <c r="B1693" t="s">
        <v>263</v>
      </c>
      <c r="C1693" t="s">
        <v>264</v>
      </c>
      <c r="D1693" t="s">
        <v>2833</v>
      </c>
      <c r="E1693">
        <v>20455.759999999998</v>
      </c>
      <c r="F1693" t="s">
        <v>2820</v>
      </c>
      <c r="G1693" t="b">
        <v>1</v>
      </c>
      <c r="H1693" t="s">
        <v>468</v>
      </c>
    </row>
    <row r="1694" spans="1:8" x14ac:dyDescent="0.3">
      <c r="A1694" t="s">
        <v>734</v>
      </c>
      <c r="B1694" t="s">
        <v>263</v>
      </c>
      <c r="C1694" t="s">
        <v>270</v>
      </c>
      <c r="D1694" t="s">
        <v>2819</v>
      </c>
      <c r="E1694">
        <v>0</v>
      </c>
      <c r="F1694" t="s">
        <v>2820</v>
      </c>
      <c r="G1694" t="b">
        <v>1</v>
      </c>
      <c r="H1694" t="s">
        <v>704</v>
      </c>
    </row>
    <row r="1695" spans="1:8" x14ac:dyDescent="0.3">
      <c r="A1695" t="s">
        <v>734</v>
      </c>
      <c r="B1695" t="s">
        <v>263</v>
      </c>
      <c r="C1695" t="s">
        <v>270</v>
      </c>
      <c r="D1695" t="s">
        <v>2821</v>
      </c>
      <c r="E1695">
        <v>0</v>
      </c>
      <c r="F1695" t="s">
        <v>2820</v>
      </c>
      <c r="G1695" t="b">
        <v>1</v>
      </c>
      <c r="H1695" t="s">
        <v>706</v>
      </c>
    </row>
    <row r="1696" spans="1:8" x14ac:dyDescent="0.3">
      <c r="A1696" t="s">
        <v>734</v>
      </c>
      <c r="B1696" t="s">
        <v>263</v>
      </c>
      <c r="C1696" t="s">
        <v>270</v>
      </c>
      <c r="D1696" t="s">
        <v>2822</v>
      </c>
      <c r="E1696">
        <v>0</v>
      </c>
      <c r="F1696" t="s">
        <v>2820</v>
      </c>
      <c r="G1696" t="b">
        <v>1</v>
      </c>
      <c r="H1696" t="s">
        <v>708</v>
      </c>
    </row>
    <row r="1697" spans="1:8" x14ac:dyDescent="0.3">
      <c r="A1697" t="s">
        <v>734</v>
      </c>
      <c r="B1697" t="s">
        <v>263</v>
      </c>
      <c r="C1697" t="s">
        <v>270</v>
      </c>
      <c r="D1697" t="s">
        <v>2823</v>
      </c>
      <c r="E1697">
        <v>0</v>
      </c>
      <c r="F1697" t="s">
        <v>2820</v>
      </c>
      <c r="G1697" t="b">
        <v>1</v>
      </c>
      <c r="H1697" t="s">
        <v>710</v>
      </c>
    </row>
    <row r="1698" spans="1:8" x14ac:dyDescent="0.3">
      <c r="A1698" t="s">
        <v>734</v>
      </c>
      <c r="B1698" t="s">
        <v>263</v>
      </c>
      <c r="C1698" t="s">
        <v>270</v>
      </c>
      <c r="D1698" t="s">
        <v>2824</v>
      </c>
      <c r="E1698">
        <v>0</v>
      </c>
      <c r="F1698" t="s">
        <v>2820</v>
      </c>
      <c r="G1698" t="b">
        <v>1</v>
      </c>
      <c r="H1698" t="s">
        <v>2802</v>
      </c>
    </row>
    <row r="1699" spans="1:8" x14ac:dyDescent="0.3">
      <c r="A1699" t="s">
        <v>734</v>
      </c>
      <c r="B1699" t="s">
        <v>263</v>
      </c>
      <c r="C1699" t="s">
        <v>270</v>
      </c>
      <c r="D1699" t="s">
        <v>2825</v>
      </c>
      <c r="E1699">
        <v>0</v>
      </c>
      <c r="F1699" t="s">
        <v>2820</v>
      </c>
      <c r="G1699" t="b">
        <v>1</v>
      </c>
      <c r="H1699" t="s">
        <v>2800</v>
      </c>
    </row>
    <row r="1700" spans="1:8" x14ac:dyDescent="0.3">
      <c r="A1700" t="s">
        <v>734</v>
      </c>
      <c r="B1700" t="s">
        <v>263</v>
      </c>
      <c r="C1700" t="s">
        <v>270</v>
      </c>
      <c r="D1700" t="s">
        <v>2826</v>
      </c>
      <c r="E1700">
        <v>0</v>
      </c>
      <c r="F1700" t="s">
        <v>2820</v>
      </c>
      <c r="G1700" t="b">
        <v>1</v>
      </c>
      <c r="H1700" t="s">
        <v>1935</v>
      </c>
    </row>
    <row r="1701" spans="1:8" x14ac:dyDescent="0.3">
      <c r="A1701" t="s">
        <v>734</v>
      </c>
      <c r="B1701" t="s">
        <v>263</v>
      </c>
      <c r="C1701" t="s">
        <v>270</v>
      </c>
      <c r="D1701" t="s">
        <v>2827</v>
      </c>
      <c r="E1701">
        <v>8194.7800000000007</v>
      </c>
      <c r="F1701" t="s">
        <v>2820</v>
      </c>
      <c r="G1701" t="b">
        <v>1</v>
      </c>
      <c r="H1701" t="s">
        <v>2828</v>
      </c>
    </row>
    <row r="1702" spans="1:8" x14ac:dyDescent="0.3">
      <c r="A1702" t="s">
        <v>734</v>
      </c>
      <c r="B1702" t="s">
        <v>263</v>
      </c>
      <c r="C1702" t="s">
        <v>270</v>
      </c>
      <c r="D1702" t="s">
        <v>2829</v>
      </c>
      <c r="E1702">
        <v>8120.14</v>
      </c>
      <c r="F1702" t="s">
        <v>2820</v>
      </c>
      <c r="G1702" t="b">
        <v>1</v>
      </c>
      <c r="H1702" t="s">
        <v>2830</v>
      </c>
    </row>
    <row r="1703" spans="1:8" x14ac:dyDescent="0.3">
      <c r="A1703" t="s">
        <v>734</v>
      </c>
      <c r="B1703" t="s">
        <v>263</v>
      </c>
      <c r="C1703" t="s">
        <v>270</v>
      </c>
      <c r="D1703" t="s">
        <v>2831</v>
      </c>
      <c r="E1703">
        <v>8346.5300000000007</v>
      </c>
      <c r="F1703" t="s">
        <v>2820</v>
      </c>
      <c r="G1703" t="b">
        <v>1</v>
      </c>
      <c r="H1703" t="s">
        <v>466</v>
      </c>
    </row>
    <row r="1704" spans="1:8" x14ac:dyDescent="0.3">
      <c r="A1704" t="s">
        <v>734</v>
      </c>
      <c r="B1704" t="s">
        <v>263</v>
      </c>
      <c r="C1704" t="s">
        <v>270</v>
      </c>
      <c r="D1704" t="s">
        <v>2832</v>
      </c>
      <c r="E1704">
        <v>8145.88</v>
      </c>
      <c r="F1704" t="s">
        <v>2820</v>
      </c>
      <c r="G1704" t="b">
        <v>1</v>
      </c>
      <c r="H1704" t="s">
        <v>467</v>
      </c>
    </row>
    <row r="1705" spans="1:8" x14ac:dyDescent="0.3">
      <c r="A1705" t="s">
        <v>734</v>
      </c>
      <c r="B1705" t="s">
        <v>263</v>
      </c>
      <c r="C1705" t="s">
        <v>270</v>
      </c>
      <c r="D1705" t="s">
        <v>2833</v>
      </c>
      <c r="E1705">
        <v>8355.76</v>
      </c>
      <c r="F1705" t="s">
        <v>2820</v>
      </c>
      <c r="G1705" t="b">
        <v>1</v>
      </c>
      <c r="H1705" t="s">
        <v>468</v>
      </c>
    </row>
    <row r="1706" spans="1:8" x14ac:dyDescent="0.3">
      <c r="A1706" t="s">
        <v>734</v>
      </c>
      <c r="B1706" t="s">
        <v>263</v>
      </c>
      <c r="C1706" t="s">
        <v>269</v>
      </c>
      <c r="D1706" t="s">
        <v>2819</v>
      </c>
      <c r="E1706">
        <v>0</v>
      </c>
      <c r="F1706" t="s">
        <v>2820</v>
      </c>
      <c r="G1706" t="b">
        <v>1</v>
      </c>
      <c r="H1706" t="s">
        <v>704</v>
      </c>
    </row>
    <row r="1707" spans="1:8" x14ac:dyDescent="0.3">
      <c r="A1707" t="s">
        <v>734</v>
      </c>
      <c r="B1707" t="s">
        <v>263</v>
      </c>
      <c r="C1707" t="s">
        <v>269</v>
      </c>
      <c r="D1707" t="s">
        <v>2821</v>
      </c>
      <c r="E1707">
        <v>0</v>
      </c>
      <c r="F1707" t="s">
        <v>2820</v>
      </c>
      <c r="G1707" t="b">
        <v>1</v>
      </c>
      <c r="H1707" t="s">
        <v>706</v>
      </c>
    </row>
    <row r="1708" spans="1:8" x14ac:dyDescent="0.3">
      <c r="A1708" t="s">
        <v>734</v>
      </c>
      <c r="B1708" t="s">
        <v>263</v>
      </c>
      <c r="C1708" t="s">
        <v>269</v>
      </c>
      <c r="D1708" t="s">
        <v>2822</v>
      </c>
      <c r="E1708">
        <v>0</v>
      </c>
      <c r="F1708" t="s">
        <v>2820</v>
      </c>
      <c r="G1708" t="b">
        <v>1</v>
      </c>
      <c r="H1708" t="s">
        <v>708</v>
      </c>
    </row>
    <row r="1709" spans="1:8" x14ac:dyDescent="0.3">
      <c r="A1709" t="s">
        <v>734</v>
      </c>
      <c r="B1709" t="s">
        <v>263</v>
      </c>
      <c r="C1709" t="s">
        <v>269</v>
      </c>
      <c r="D1709" t="s">
        <v>2823</v>
      </c>
      <c r="E1709">
        <v>0</v>
      </c>
      <c r="F1709" t="s">
        <v>2820</v>
      </c>
      <c r="G1709" t="b">
        <v>1</v>
      </c>
      <c r="H1709" t="s">
        <v>710</v>
      </c>
    </row>
    <row r="1710" spans="1:8" x14ac:dyDescent="0.3">
      <c r="A1710" t="s">
        <v>734</v>
      </c>
      <c r="B1710" t="s">
        <v>263</v>
      </c>
      <c r="C1710" t="s">
        <v>269</v>
      </c>
      <c r="D1710" t="s">
        <v>2824</v>
      </c>
      <c r="E1710">
        <v>0</v>
      </c>
      <c r="F1710" t="s">
        <v>2820</v>
      </c>
      <c r="G1710" t="b">
        <v>1</v>
      </c>
      <c r="H1710" t="s">
        <v>2802</v>
      </c>
    </row>
    <row r="1711" spans="1:8" x14ac:dyDescent="0.3">
      <c r="A1711" t="s">
        <v>734</v>
      </c>
      <c r="B1711" t="s">
        <v>263</v>
      </c>
      <c r="C1711" t="s">
        <v>269</v>
      </c>
      <c r="D1711" t="s">
        <v>2825</v>
      </c>
      <c r="E1711">
        <v>0</v>
      </c>
      <c r="F1711" t="s">
        <v>2820</v>
      </c>
      <c r="G1711" t="b">
        <v>1</v>
      </c>
      <c r="H1711" t="s">
        <v>2800</v>
      </c>
    </row>
    <row r="1712" spans="1:8" x14ac:dyDescent="0.3">
      <c r="A1712" t="s">
        <v>734</v>
      </c>
      <c r="B1712" t="s">
        <v>263</v>
      </c>
      <c r="C1712" t="s">
        <v>269</v>
      </c>
      <c r="D1712" t="s">
        <v>2826</v>
      </c>
      <c r="E1712">
        <v>0</v>
      </c>
      <c r="F1712" t="s">
        <v>2820</v>
      </c>
      <c r="G1712" t="b">
        <v>1</v>
      </c>
      <c r="H1712" t="s">
        <v>1935</v>
      </c>
    </row>
    <row r="1713" spans="1:8" x14ac:dyDescent="0.3">
      <c r="A1713" t="s">
        <v>734</v>
      </c>
      <c r="B1713" t="s">
        <v>263</v>
      </c>
      <c r="C1713" t="s">
        <v>269</v>
      </c>
      <c r="D1713" t="s">
        <v>2827</v>
      </c>
      <c r="E1713">
        <v>860</v>
      </c>
      <c r="F1713" t="s">
        <v>2820</v>
      </c>
      <c r="G1713" t="b">
        <v>1</v>
      </c>
      <c r="H1713" t="s">
        <v>2828</v>
      </c>
    </row>
    <row r="1714" spans="1:8" x14ac:dyDescent="0.3">
      <c r="A1714" t="s">
        <v>734</v>
      </c>
      <c r="B1714" t="s">
        <v>263</v>
      </c>
      <c r="C1714" t="s">
        <v>269</v>
      </c>
      <c r="D1714" t="s">
        <v>2829</v>
      </c>
      <c r="E1714">
        <v>860</v>
      </c>
      <c r="F1714" t="s">
        <v>2820</v>
      </c>
      <c r="G1714" t="b">
        <v>1</v>
      </c>
      <c r="H1714" t="s">
        <v>2830</v>
      </c>
    </row>
    <row r="1715" spans="1:8" x14ac:dyDescent="0.3">
      <c r="A1715" t="s">
        <v>734</v>
      </c>
      <c r="B1715" t="s">
        <v>263</v>
      </c>
      <c r="C1715" t="s">
        <v>269</v>
      </c>
      <c r="D1715" t="s">
        <v>2831</v>
      </c>
      <c r="E1715">
        <v>860</v>
      </c>
      <c r="F1715" t="s">
        <v>2820</v>
      </c>
      <c r="G1715" t="b">
        <v>1</v>
      </c>
      <c r="H1715" t="s">
        <v>466</v>
      </c>
    </row>
    <row r="1716" spans="1:8" x14ac:dyDescent="0.3">
      <c r="A1716" t="s">
        <v>734</v>
      </c>
      <c r="B1716" t="s">
        <v>263</v>
      </c>
      <c r="C1716" t="s">
        <v>269</v>
      </c>
      <c r="D1716" t="s">
        <v>2832</v>
      </c>
      <c r="E1716">
        <v>860</v>
      </c>
      <c r="F1716" t="s">
        <v>2820</v>
      </c>
      <c r="G1716" t="b">
        <v>1</v>
      </c>
      <c r="H1716" t="s">
        <v>467</v>
      </c>
    </row>
    <row r="1717" spans="1:8" x14ac:dyDescent="0.3">
      <c r="A1717" t="s">
        <v>734</v>
      </c>
      <c r="B1717" t="s">
        <v>263</v>
      </c>
      <c r="C1717" t="s">
        <v>269</v>
      </c>
      <c r="D1717" t="s">
        <v>2833</v>
      </c>
      <c r="E1717">
        <v>860</v>
      </c>
      <c r="F1717" t="s">
        <v>2820</v>
      </c>
      <c r="G1717" t="b">
        <v>1</v>
      </c>
      <c r="H1717" t="s">
        <v>468</v>
      </c>
    </row>
    <row r="1718" spans="1:8" x14ac:dyDescent="0.3">
      <c r="A1718" t="s">
        <v>734</v>
      </c>
      <c r="B1718" t="s">
        <v>263</v>
      </c>
      <c r="C1718" t="s">
        <v>2844</v>
      </c>
      <c r="D1718" t="s">
        <v>2819</v>
      </c>
      <c r="E1718">
        <v>0</v>
      </c>
      <c r="F1718" t="s">
        <v>2820</v>
      </c>
      <c r="G1718" t="b">
        <v>1</v>
      </c>
      <c r="H1718" t="s">
        <v>704</v>
      </c>
    </row>
    <row r="1719" spans="1:8" x14ac:dyDescent="0.3">
      <c r="A1719" t="s">
        <v>734</v>
      </c>
      <c r="B1719" t="s">
        <v>263</v>
      </c>
      <c r="C1719" t="s">
        <v>2844</v>
      </c>
      <c r="D1719" t="s">
        <v>2821</v>
      </c>
      <c r="E1719">
        <v>0</v>
      </c>
      <c r="F1719" t="s">
        <v>2820</v>
      </c>
      <c r="G1719" t="b">
        <v>1</v>
      </c>
      <c r="H1719" t="s">
        <v>706</v>
      </c>
    </row>
    <row r="1720" spans="1:8" x14ac:dyDescent="0.3">
      <c r="A1720" t="s">
        <v>734</v>
      </c>
      <c r="B1720" t="s">
        <v>263</v>
      </c>
      <c r="C1720" t="s">
        <v>2844</v>
      </c>
      <c r="D1720" t="s">
        <v>2822</v>
      </c>
      <c r="E1720">
        <v>0</v>
      </c>
      <c r="F1720" t="s">
        <v>2820</v>
      </c>
      <c r="G1720" t="b">
        <v>1</v>
      </c>
      <c r="H1720" t="s">
        <v>708</v>
      </c>
    </row>
    <row r="1721" spans="1:8" x14ac:dyDescent="0.3">
      <c r="A1721" t="s">
        <v>734</v>
      </c>
      <c r="B1721" t="s">
        <v>263</v>
      </c>
      <c r="C1721" t="s">
        <v>2844</v>
      </c>
      <c r="D1721" t="s">
        <v>2823</v>
      </c>
      <c r="E1721">
        <v>0</v>
      </c>
      <c r="F1721" t="s">
        <v>2820</v>
      </c>
      <c r="G1721" t="b">
        <v>1</v>
      </c>
      <c r="H1721" t="s">
        <v>710</v>
      </c>
    </row>
    <row r="1722" spans="1:8" x14ac:dyDescent="0.3">
      <c r="A1722" t="s">
        <v>734</v>
      </c>
      <c r="B1722" t="s">
        <v>263</v>
      </c>
      <c r="C1722" t="s">
        <v>2844</v>
      </c>
      <c r="D1722" t="s">
        <v>2824</v>
      </c>
      <c r="E1722">
        <v>0</v>
      </c>
      <c r="F1722" t="s">
        <v>2820</v>
      </c>
      <c r="G1722" t="b">
        <v>1</v>
      </c>
      <c r="H1722" t="s">
        <v>2802</v>
      </c>
    </row>
    <row r="1723" spans="1:8" x14ac:dyDescent="0.3">
      <c r="A1723" t="s">
        <v>734</v>
      </c>
      <c r="B1723" t="s">
        <v>263</v>
      </c>
      <c r="C1723" t="s">
        <v>2844</v>
      </c>
      <c r="D1723" t="s">
        <v>2825</v>
      </c>
      <c r="E1723">
        <v>0</v>
      </c>
      <c r="F1723" t="s">
        <v>2820</v>
      </c>
      <c r="G1723" t="b">
        <v>1</v>
      </c>
      <c r="H1723" t="s">
        <v>2800</v>
      </c>
    </row>
    <row r="1724" spans="1:8" x14ac:dyDescent="0.3">
      <c r="A1724" t="s">
        <v>734</v>
      </c>
      <c r="B1724" t="s">
        <v>263</v>
      </c>
      <c r="C1724" t="s">
        <v>2844</v>
      </c>
      <c r="D1724" t="s">
        <v>2826</v>
      </c>
      <c r="E1724">
        <v>0</v>
      </c>
      <c r="F1724" t="s">
        <v>2820</v>
      </c>
      <c r="G1724" t="b">
        <v>1</v>
      </c>
      <c r="H1724" t="s">
        <v>1935</v>
      </c>
    </row>
    <row r="1725" spans="1:8" x14ac:dyDescent="0.3">
      <c r="A1725" t="s">
        <v>734</v>
      </c>
      <c r="B1725" t="s">
        <v>263</v>
      </c>
      <c r="C1725" t="s">
        <v>2844</v>
      </c>
      <c r="D1725" t="s">
        <v>2827</v>
      </c>
      <c r="E1725">
        <v>0</v>
      </c>
      <c r="F1725" t="s">
        <v>2820</v>
      </c>
      <c r="G1725" t="b">
        <v>1</v>
      </c>
      <c r="H1725" t="s">
        <v>2828</v>
      </c>
    </row>
    <row r="1726" spans="1:8" x14ac:dyDescent="0.3">
      <c r="A1726" t="s">
        <v>734</v>
      </c>
      <c r="B1726" t="s">
        <v>263</v>
      </c>
      <c r="C1726" t="s">
        <v>2844</v>
      </c>
      <c r="D1726" t="s">
        <v>2829</v>
      </c>
      <c r="E1726">
        <v>0</v>
      </c>
      <c r="F1726" t="s">
        <v>2820</v>
      </c>
      <c r="G1726" t="b">
        <v>1</v>
      </c>
      <c r="H1726" t="s">
        <v>2830</v>
      </c>
    </row>
    <row r="1727" spans="1:8" x14ac:dyDescent="0.3">
      <c r="A1727" t="s">
        <v>734</v>
      </c>
      <c r="B1727" t="s">
        <v>263</v>
      </c>
      <c r="C1727" t="s">
        <v>2844</v>
      </c>
      <c r="D1727" t="s">
        <v>2831</v>
      </c>
      <c r="E1727">
        <v>0</v>
      </c>
      <c r="F1727" t="s">
        <v>2820</v>
      </c>
      <c r="G1727" t="b">
        <v>1</v>
      </c>
      <c r="H1727" t="s">
        <v>466</v>
      </c>
    </row>
    <row r="1728" spans="1:8" x14ac:dyDescent="0.3">
      <c r="A1728" t="s">
        <v>734</v>
      </c>
      <c r="B1728" t="s">
        <v>263</v>
      </c>
      <c r="C1728" t="s">
        <v>2844</v>
      </c>
      <c r="D1728" t="s">
        <v>2832</v>
      </c>
      <c r="E1728">
        <v>0</v>
      </c>
      <c r="F1728" t="s">
        <v>2820</v>
      </c>
      <c r="G1728" t="b">
        <v>1</v>
      </c>
      <c r="H1728" t="s">
        <v>467</v>
      </c>
    </row>
    <row r="1729" spans="1:8" x14ac:dyDescent="0.3">
      <c r="A1729" t="s">
        <v>734</v>
      </c>
      <c r="B1729" t="s">
        <v>263</v>
      </c>
      <c r="C1729" t="s">
        <v>2844</v>
      </c>
      <c r="D1729" t="s">
        <v>2833</v>
      </c>
      <c r="E1729">
        <v>0</v>
      </c>
      <c r="F1729" t="s">
        <v>2820</v>
      </c>
      <c r="G1729" t="b">
        <v>1</v>
      </c>
      <c r="H1729" t="s">
        <v>468</v>
      </c>
    </row>
    <row r="1730" spans="1:8" x14ac:dyDescent="0.3">
      <c r="A1730" t="s">
        <v>734</v>
      </c>
      <c r="B1730" t="s">
        <v>263</v>
      </c>
      <c r="C1730" t="s">
        <v>268</v>
      </c>
      <c r="D1730" t="s">
        <v>2819</v>
      </c>
      <c r="E1730">
        <v>0</v>
      </c>
      <c r="F1730" t="s">
        <v>2820</v>
      </c>
      <c r="G1730" t="b">
        <v>1</v>
      </c>
      <c r="H1730" t="s">
        <v>704</v>
      </c>
    </row>
    <row r="1731" spans="1:8" x14ac:dyDescent="0.3">
      <c r="A1731" t="s">
        <v>734</v>
      </c>
      <c r="B1731" t="s">
        <v>263</v>
      </c>
      <c r="C1731" t="s">
        <v>268</v>
      </c>
      <c r="D1731" t="s">
        <v>2821</v>
      </c>
      <c r="E1731">
        <v>0</v>
      </c>
      <c r="F1731" t="s">
        <v>2820</v>
      </c>
      <c r="G1731" t="b">
        <v>1</v>
      </c>
      <c r="H1731" t="s">
        <v>706</v>
      </c>
    </row>
    <row r="1732" spans="1:8" x14ac:dyDescent="0.3">
      <c r="A1732" t="s">
        <v>734</v>
      </c>
      <c r="B1732" t="s">
        <v>263</v>
      </c>
      <c r="C1732" t="s">
        <v>268</v>
      </c>
      <c r="D1732" t="s">
        <v>2822</v>
      </c>
      <c r="E1732">
        <v>0</v>
      </c>
      <c r="F1732" t="s">
        <v>2820</v>
      </c>
      <c r="G1732" t="b">
        <v>1</v>
      </c>
      <c r="H1732" t="s">
        <v>708</v>
      </c>
    </row>
    <row r="1733" spans="1:8" x14ac:dyDescent="0.3">
      <c r="A1733" t="s">
        <v>734</v>
      </c>
      <c r="B1733" t="s">
        <v>263</v>
      </c>
      <c r="C1733" t="s">
        <v>268</v>
      </c>
      <c r="D1733" t="s">
        <v>2823</v>
      </c>
      <c r="E1733">
        <v>0</v>
      </c>
      <c r="F1733" t="s">
        <v>2820</v>
      </c>
      <c r="G1733" t="b">
        <v>1</v>
      </c>
      <c r="H1733" t="s">
        <v>710</v>
      </c>
    </row>
    <row r="1734" spans="1:8" x14ac:dyDescent="0.3">
      <c r="A1734" t="s">
        <v>734</v>
      </c>
      <c r="B1734" t="s">
        <v>263</v>
      </c>
      <c r="C1734" t="s">
        <v>268</v>
      </c>
      <c r="D1734" t="s">
        <v>2824</v>
      </c>
      <c r="E1734">
        <v>0</v>
      </c>
      <c r="F1734" t="s">
        <v>2820</v>
      </c>
      <c r="G1734" t="b">
        <v>1</v>
      </c>
      <c r="H1734" t="s">
        <v>2802</v>
      </c>
    </row>
    <row r="1735" spans="1:8" x14ac:dyDescent="0.3">
      <c r="A1735" t="s">
        <v>734</v>
      </c>
      <c r="B1735" t="s">
        <v>263</v>
      </c>
      <c r="C1735" t="s">
        <v>268</v>
      </c>
      <c r="D1735" t="s">
        <v>2825</v>
      </c>
      <c r="E1735">
        <v>0</v>
      </c>
      <c r="F1735" t="s">
        <v>2820</v>
      </c>
      <c r="G1735" t="b">
        <v>1</v>
      </c>
      <c r="H1735" t="s">
        <v>2800</v>
      </c>
    </row>
    <row r="1736" spans="1:8" x14ac:dyDescent="0.3">
      <c r="A1736" t="s">
        <v>734</v>
      </c>
      <c r="B1736" t="s">
        <v>263</v>
      </c>
      <c r="C1736" t="s">
        <v>268</v>
      </c>
      <c r="D1736" t="s">
        <v>2826</v>
      </c>
      <c r="E1736">
        <v>0</v>
      </c>
      <c r="F1736" t="s">
        <v>2820</v>
      </c>
      <c r="G1736" t="b">
        <v>1</v>
      </c>
      <c r="H1736" t="s">
        <v>1935</v>
      </c>
    </row>
    <row r="1737" spans="1:8" x14ac:dyDescent="0.3">
      <c r="A1737" t="s">
        <v>734</v>
      </c>
      <c r="B1737" t="s">
        <v>263</v>
      </c>
      <c r="C1737" t="s">
        <v>268</v>
      </c>
      <c r="D1737" t="s">
        <v>2827</v>
      </c>
      <c r="E1737">
        <v>0</v>
      </c>
      <c r="F1737" t="s">
        <v>2820</v>
      </c>
      <c r="G1737" t="b">
        <v>1</v>
      </c>
      <c r="H1737" t="s">
        <v>2828</v>
      </c>
    </row>
    <row r="1738" spans="1:8" x14ac:dyDescent="0.3">
      <c r="A1738" t="s">
        <v>734</v>
      </c>
      <c r="B1738" t="s">
        <v>263</v>
      </c>
      <c r="C1738" t="s">
        <v>268</v>
      </c>
      <c r="D1738" t="s">
        <v>2829</v>
      </c>
      <c r="E1738">
        <v>0</v>
      </c>
      <c r="F1738" t="s">
        <v>2820</v>
      </c>
      <c r="G1738" t="b">
        <v>1</v>
      </c>
      <c r="H1738" t="s">
        <v>2830</v>
      </c>
    </row>
    <row r="1739" spans="1:8" x14ac:dyDescent="0.3">
      <c r="A1739" t="s">
        <v>734</v>
      </c>
      <c r="B1739" t="s">
        <v>263</v>
      </c>
      <c r="C1739" t="s">
        <v>268</v>
      </c>
      <c r="D1739" t="s">
        <v>2831</v>
      </c>
      <c r="E1739">
        <v>0</v>
      </c>
      <c r="F1739" t="s">
        <v>2820</v>
      </c>
      <c r="G1739" t="b">
        <v>1</v>
      </c>
      <c r="H1739" t="s">
        <v>466</v>
      </c>
    </row>
    <row r="1740" spans="1:8" x14ac:dyDescent="0.3">
      <c r="A1740" t="s">
        <v>734</v>
      </c>
      <c r="B1740" t="s">
        <v>263</v>
      </c>
      <c r="C1740" t="s">
        <v>268</v>
      </c>
      <c r="D1740" t="s">
        <v>2832</v>
      </c>
      <c r="E1740">
        <v>0</v>
      </c>
      <c r="F1740" t="s">
        <v>2820</v>
      </c>
      <c r="G1740" t="b">
        <v>1</v>
      </c>
      <c r="H1740" t="s">
        <v>467</v>
      </c>
    </row>
    <row r="1741" spans="1:8" x14ac:dyDescent="0.3">
      <c r="A1741" t="s">
        <v>734</v>
      </c>
      <c r="B1741" t="s">
        <v>263</v>
      </c>
      <c r="C1741" t="s">
        <v>268</v>
      </c>
      <c r="D1741" t="s">
        <v>2833</v>
      </c>
      <c r="E1741">
        <v>0</v>
      </c>
      <c r="F1741" t="s">
        <v>2820</v>
      </c>
      <c r="G1741" t="b">
        <v>1</v>
      </c>
      <c r="H1741" t="s">
        <v>468</v>
      </c>
    </row>
    <row r="1742" spans="1:8" x14ac:dyDescent="0.3">
      <c r="A1742" t="s">
        <v>734</v>
      </c>
      <c r="B1742" t="s">
        <v>263</v>
      </c>
      <c r="C1742" t="s">
        <v>265</v>
      </c>
      <c r="D1742" t="s">
        <v>2819</v>
      </c>
      <c r="E1742">
        <v>0</v>
      </c>
      <c r="F1742" t="s">
        <v>2820</v>
      </c>
      <c r="G1742" t="b">
        <v>1</v>
      </c>
      <c r="H1742" t="s">
        <v>704</v>
      </c>
    </row>
    <row r="1743" spans="1:8" x14ac:dyDescent="0.3">
      <c r="A1743" t="s">
        <v>734</v>
      </c>
      <c r="B1743" t="s">
        <v>263</v>
      </c>
      <c r="C1743" t="s">
        <v>265</v>
      </c>
      <c r="D1743" t="s">
        <v>2821</v>
      </c>
      <c r="E1743">
        <v>0</v>
      </c>
      <c r="F1743" t="s">
        <v>2820</v>
      </c>
      <c r="G1743" t="b">
        <v>1</v>
      </c>
      <c r="H1743" t="s">
        <v>706</v>
      </c>
    </row>
    <row r="1744" spans="1:8" x14ac:dyDescent="0.3">
      <c r="A1744" t="s">
        <v>734</v>
      </c>
      <c r="B1744" t="s">
        <v>263</v>
      </c>
      <c r="C1744" t="s">
        <v>265</v>
      </c>
      <c r="D1744" t="s">
        <v>2822</v>
      </c>
      <c r="E1744">
        <v>0</v>
      </c>
      <c r="F1744" t="s">
        <v>2820</v>
      </c>
      <c r="G1744" t="b">
        <v>1</v>
      </c>
      <c r="H1744" t="s">
        <v>708</v>
      </c>
    </row>
    <row r="1745" spans="1:8" x14ac:dyDescent="0.3">
      <c r="A1745" t="s">
        <v>734</v>
      </c>
      <c r="B1745" t="s">
        <v>263</v>
      </c>
      <c r="C1745" t="s">
        <v>265</v>
      </c>
      <c r="D1745" t="s">
        <v>2823</v>
      </c>
      <c r="E1745">
        <v>0</v>
      </c>
      <c r="F1745" t="s">
        <v>2820</v>
      </c>
      <c r="G1745" t="b">
        <v>1</v>
      </c>
      <c r="H1745" t="s">
        <v>710</v>
      </c>
    </row>
    <row r="1746" spans="1:8" x14ac:dyDescent="0.3">
      <c r="A1746" t="s">
        <v>734</v>
      </c>
      <c r="B1746" t="s">
        <v>263</v>
      </c>
      <c r="C1746" t="s">
        <v>265</v>
      </c>
      <c r="D1746" t="s">
        <v>2824</v>
      </c>
      <c r="E1746">
        <v>0</v>
      </c>
      <c r="F1746" t="s">
        <v>2820</v>
      </c>
      <c r="G1746" t="b">
        <v>1</v>
      </c>
      <c r="H1746" t="s">
        <v>2802</v>
      </c>
    </row>
    <row r="1747" spans="1:8" x14ac:dyDescent="0.3">
      <c r="A1747" t="s">
        <v>734</v>
      </c>
      <c r="B1747" t="s">
        <v>263</v>
      </c>
      <c r="C1747" t="s">
        <v>265</v>
      </c>
      <c r="D1747" t="s">
        <v>2825</v>
      </c>
      <c r="E1747">
        <v>0</v>
      </c>
      <c r="F1747" t="s">
        <v>2820</v>
      </c>
      <c r="G1747" t="b">
        <v>1</v>
      </c>
      <c r="H1747" t="s">
        <v>2800</v>
      </c>
    </row>
    <row r="1748" spans="1:8" x14ac:dyDescent="0.3">
      <c r="A1748" t="s">
        <v>734</v>
      </c>
      <c r="B1748" t="s">
        <v>263</v>
      </c>
      <c r="C1748" t="s">
        <v>265</v>
      </c>
      <c r="D1748" t="s">
        <v>2826</v>
      </c>
      <c r="E1748">
        <v>0</v>
      </c>
      <c r="F1748" t="s">
        <v>2820</v>
      </c>
      <c r="G1748" t="b">
        <v>1</v>
      </c>
      <c r="H1748" t="s">
        <v>1935</v>
      </c>
    </row>
    <row r="1749" spans="1:8" x14ac:dyDescent="0.3">
      <c r="A1749" t="s">
        <v>734</v>
      </c>
      <c r="B1749" t="s">
        <v>263</v>
      </c>
      <c r="C1749" t="s">
        <v>265</v>
      </c>
      <c r="D1749" t="s">
        <v>2827</v>
      </c>
      <c r="E1749">
        <v>34394.78</v>
      </c>
      <c r="F1749" t="s">
        <v>2820</v>
      </c>
      <c r="G1749" t="b">
        <v>1</v>
      </c>
      <c r="H1749" t="s">
        <v>2828</v>
      </c>
    </row>
    <row r="1750" spans="1:8" x14ac:dyDescent="0.3">
      <c r="A1750" t="s">
        <v>734</v>
      </c>
      <c r="B1750" t="s">
        <v>263</v>
      </c>
      <c r="C1750" t="s">
        <v>265</v>
      </c>
      <c r="D1750" t="s">
        <v>2829</v>
      </c>
      <c r="E1750">
        <v>34320.14</v>
      </c>
      <c r="F1750" t="s">
        <v>2820</v>
      </c>
      <c r="G1750" t="b">
        <v>1</v>
      </c>
      <c r="H1750" t="s">
        <v>2830</v>
      </c>
    </row>
    <row r="1751" spans="1:8" x14ac:dyDescent="0.3">
      <c r="A1751" t="s">
        <v>734</v>
      </c>
      <c r="B1751" t="s">
        <v>263</v>
      </c>
      <c r="C1751" t="s">
        <v>265</v>
      </c>
      <c r="D1751" t="s">
        <v>2831</v>
      </c>
      <c r="E1751">
        <v>34546.53</v>
      </c>
      <c r="F1751" t="s">
        <v>2820</v>
      </c>
      <c r="G1751" t="b">
        <v>1</v>
      </c>
      <c r="H1751" t="s">
        <v>466</v>
      </c>
    </row>
    <row r="1752" spans="1:8" x14ac:dyDescent="0.3">
      <c r="A1752" t="s">
        <v>734</v>
      </c>
      <c r="B1752" t="s">
        <v>263</v>
      </c>
      <c r="C1752" t="s">
        <v>265</v>
      </c>
      <c r="D1752" t="s">
        <v>2832</v>
      </c>
      <c r="E1752">
        <v>34345.879999999997</v>
      </c>
      <c r="F1752" t="s">
        <v>2820</v>
      </c>
      <c r="G1752" t="b">
        <v>1</v>
      </c>
      <c r="H1752" t="s">
        <v>467</v>
      </c>
    </row>
    <row r="1753" spans="1:8" x14ac:dyDescent="0.3">
      <c r="A1753" t="s">
        <v>734</v>
      </c>
      <c r="B1753" t="s">
        <v>263</v>
      </c>
      <c r="C1753" t="s">
        <v>265</v>
      </c>
      <c r="D1753" t="s">
        <v>2833</v>
      </c>
      <c r="E1753">
        <v>34555.760000000002</v>
      </c>
      <c r="F1753" t="s">
        <v>2820</v>
      </c>
      <c r="G1753" t="b">
        <v>1</v>
      </c>
      <c r="H1753" t="s">
        <v>468</v>
      </c>
    </row>
    <row r="1754" spans="1:8" x14ac:dyDescent="0.3">
      <c r="A1754" t="s">
        <v>734</v>
      </c>
      <c r="B1754" t="s">
        <v>263</v>
      </c>
      <c r="C1754" t="s">
        <v>266</v>
      </c>
      <c r="D1754" t="s">
        <v>2819</v>
      </c>
      <c r="E1754">
        <v>0</v>
      </c>
      <c r="F1754" t="s">
        <v>2820</v>
      </c>
      <c r="G1754" t="b">
        <v>1</v>
      </c>
      <c r="H1754" t="s">
        <v>704</v>
      </c>
    </row>
    <row r="1755" spans="1:8" x14ac:dyDescent="0.3">
      <c r="A1755" t="s">
        <v>734</v>
      </c>
      <c r="B1755" t="s">
        <v>263</v>
      </c>
      <c r="C1755" t="s">
        <v>266</v>
      </c>
      <c r="D1755" t="s">
        <v>2821</v>
      </c>
      <c r="E1755">
        <v>0</v>
      </c>
      <c r="F1755" t="s">
        <v>2820</v>
      </c>
      <c r="G1755" t="b">
        <v>1</v>
      </c>
      <c r="H1755" t="s">
        <v>706</v>
      </c>
    </row>
    <row r="1756" spans="1:8" x14ac:dyDescent="0.3">
      <c r="A1756" t="s">
        <v>734</v>
      </c>
      <c r="B1756" t="s">
        <v>263</v>
      </c>
      <c r="C1756" t="s">
        <v>266</v>
      </c>
      <c r="D1756" t="s">
        <v>2822</v>
      </c>
      <c r="E1756">
        <v>0</v>
      </c>
      <c r="F1756" t="s">
        <v>2820</v>
      </c>
      <c r="G1756" t="b">
        <v>1</v>
      </c>
      <c r="H1756" t="s">
        <v>708</v>
      </c>
    </row>
    <row r="1757" spans="1:8" x14ac:dyDescent="0.3">
      <c r="A1757" t="s">
        <v>734</v>
      </c>
      <c r="B1757" t="s">
        <v>263</v>
      </c>
      <c r="C1757" t="s">
        <v>266</v>
      </c>
      <c r="D1757" t="s">
        <v>2823</v>
      </c>
      <c r="E1757">
        <v>0</v>
      </c>
      <c r="F1757" t="s">
        <v>2820</v>
      </c>
      <c r="G1757" t="b">
        <v>1</v>
      </c>
      <c r="H1757" t="s">
        <v>710</v>
      </c>
    </row>
    <row r="1758" spans="1:8" x14ac:dyDescent="0.3">
      <c r="A1758" t="s">
        <v>734</v>
      </c>
      <c r="B1758" t="s">
        <v>263</v>
      </c>
      <c r="C1758" t="s">
        <v>266</v>
      </c>
      <c r="D1758" t="s">
        <v>2824</v>
      </c>
      <c r="E1758">
        <v>0</v>
      </c>
      <c r="F1758" t="s">
        <v>2820</v>
      </c>
      <c r="G1758" t="b">
        <v>1</v>
      </c>
      <c r="H1758" t="s">
        <v>2802</v>
      </c>
    </row>
    <row r="1759" spans="1:8" x14ac:dyDescent="0.3">
      <c r="A1759" t="s">
        <v>734</v>
      </c>
      <c r="B1759" t="s">
        <v>263</v>
      </c>
      <c r="C1759" t="s">
        <v>266</v>
      </c>
      <c r="D1759" t="s">
        <v>2825</v>
      </c>
      <c r="E1759">
        <v>0</v>
      </c>
      <c r="F1759" t="s">
        <v>2820</v>
      </c>
      <c r="G1759" t="b">
        <v>1</v>
      </c>
      <c r="H1759" t="s">
        <v>2800</v>
      </c>
    </row>
    <row r="1760" spans="1:8" x14ac:dyDescent="0.3">
      <c r="A1760" t="s">
        <v>734</v>
      </c>
      <c r="B1760" t="s">
        <v>263</v>
      </c>
      <c r="C1760" t="s">
        <v>266</v>
      </c>
      <c r="D1760" t="s">
        <v>2826</v>
      </c>
      <c r="E1760">
        <v>0</v>
      </c>
      <c r="F1760" t="s">
        <v>2820</v>
      </c>
      <c r="G1760" t="b">
        <v>1</v>
      </c>
      <c r="H1760" t="s">
        <v>1935</v>
      </c>
    </row>
    <row r="1761" spans="1:8" x14ac:dyDescent="0.3">
      <c r="A1761" t="s">
        <v>734</v>
      </c>
      <c r="B1761" t="s">
        <v>263</v>
      </c>
      <c r="C1761" t="s">
        <v>266</v>
      </c>
      <c r="D1761" t="s">
        <v>2827</v>
      </c>
      <c r="E1761">
        <v>24394.78</v>
      </c>
      <c r="F1761" t="s">
        <v>2820</v>
      </c>
      <c r="G1761" t="b">
        <v>1</v>
      </c>
      <c r="H1761" t="s">
        <v>2828</v>
      </c>
    </row>
    <row r="1762" spans="1:8" x14ac:dyDescent="0.3">
      <c r="A1762" t="s">
        <v>734</v>
      </c>
      <c r="B1762" t="s">
        <v>263</v>
      </c>
      <c r="C1762" t="s">
        <v>266</v>
      </c>
      <c r="D1762" t="s">
        <v>2829</v>
      </c>
      <c r="E1762">
        <v>24320.14</v>
      </c>
      <c r="F1762" t="s">
        <v>2820</v>
      </c>
      <c r="G1762" t="b">
        <v>1</v>
      </c>
      <c r="H1762" t="s">
        <v>2830</v>
      </c>
    </row>
    <row r="1763" spans="1:8" x14ac:dyDescent="0.3">
      <c r="A1763" t="s">
        <v>734</v>
      </c>
      <c r="B1763" t="s">
        <v>263</v>
      </c>
      <c r="C1763" t="s">
        <v>266</v>
      </c>
      <c r="D1763" t="s">
        <v>2831</v>
      </c>
      <c r="E1763">
        <v>24546.53</v>
      </c>
      <c r="F1763" t="s">
        <v>2820</v>
      </c>
      <c r="G1763" t="b">
        <v>1</v>
      </c>
      <c r="H1763" t="s">
        <v>466</v>
      </c>
    </row>
    <row r="1764" spans="1:8" x14ac:dyDescent="0.3">
      <c r="A1764" t="s">
        <v>734</v>
      </c>
      <c r="B1764" t="s">
        <v>263</v>
      </c>
      <c r="C1764" t="s">
        <v>266</v>
      </c>
      <c r="D1764" t="s">
        <v>2832</v>
      </c>
      <c r="E1764">
        <v>24345.88</v>
      </c>
      <c r="F1764" t="s">
        <v>2820</v>
      </c>
      <c r="G1764" t="b">
        <v>1</v>
      </c>
      <c r="H1764" t="s">
        <v>467</v>
      </c>
    </row>
    <row r="1765" spans="1:8" x14ac:dyDescent="0.3">
      <c r="A1765" t="s">
        <v>734</v>
      </c>
      <c r="B1765" t="s">
        <v>263</v>
      </c>
      <c r="C1765" t="s">
        <v>266</v>
      </c>
      <c r="D1765" t="s">
        <v>2833</v>
      </c>
      <c r="E1765">
        <v>24555.759999999998</v>
      </c>
      <c r="F1765" t="s">
        <v>2820</v>
      </c>
      <c r="G1765" t="b">
        <v>1</v>
      </c>
      <c r="H1765" t="s">
        <v>468</v>
      </c>
    </row>
    <row r="1766" spans="1:8" x14ac:dyDescent="0.3">
      <c r="A1766" t="s">
        <v>734</v>
      </c>
      <c r="B1766" t="s">
        <v>263</v>
      </c>
      <c r="C1766" t="s">
        <v>267</v>
      </c>
      <c r="D1766" t="s">
        <v>2819</v>
      </c>
      <c r="E1766">
        <v>0</v>
      </c>
      <c r="F1766" t="s">
        <v>2820</v>
      </c>
      <c r="G1766" t="b">
        <v>1</v>
      </c>
      <c r="H1766" t="s">
        <v>704</v>
      </c>
    </row>
    <row r="1767" spans="1:8" x14ac:dyDescent="0.3">
      <c r="A1767" t="s">
        <v>734</v>
      </c>
      <c r="B1767" t="s">
        <v>263</v>
      </c>
      <c r="C1767" t="s">
        <v>267</v>
      </c>
      <c r="D1767" t="s">
        <v>2821</v>
      </c>
      <c r="E1767">
        <v>0</v>
      </c>
      <c r="F1767" t="s">
        <v>2820</v>
      </c>
      <c r="G1767" t="b">
        <v>1</v>
      </c>
      <c r="H1767" t="s">
        <v>706</v>
      </c>
    </row>
    <row r="1768" spans="1:8" x14ac:dyDescent="0.3">
      <c r="A1768" t="s">
        <v>734</v>
      </c>
      <c r="B1768" t="s">
        <v>263</v>
      </c>
      <c r="C1768" t="s">
        <v>267</v>
      </c>
      <c r="D1768" t="s">
        <v>2822</v>
      </c>
      <c r="E1768">
        <v>0</v>
      </c>
      <c r="F1768" t="s">
        <v>2820</v>
      </c>
      <c r="G1768" t="b">
        <v>1</v>
      </c>
      <c r="H1768" t="s">
        <v>708</v>
      </c>
    </row>
    <row r="1769" spans="1:8" x14ac:dyDescent="0.3">
      <c r="A1769" t="s">
        <v>734</v>
      </c>
      <c r="B1769" t="s">
        <v>263</v>
      </c>
      <c r="C1769" t="s">
        <v>267</v>
      </c>
      <c r="D1769" t="s">
        <v>2823</v>
      </c>
      <c r="E1769">
        <v>0</v>
      </c>
      <c r="F1769" t="s">
        <v>2820</v>
      </c>
      <c r="G1769" t="b">
        <v>1</v>
      </c>
      <c r="H1769" t="s">
        <v>710</v>
      </c>
    </row>
    <row r="1770" spans="1:8" x14ac:dyDescent="0.3">
      <c r="A1770" t="s">
        <v>734</v>
      </c>
      <c r="B1770" t="s">
        <v>263</v>
      </c>
      <c r="C1770" t="s">
        <v>267</v>
      </c>
      <c r="D1770" t="s">
        <v>2824</v>
      </c>
      <c r="E1770">
        <v>0</v>
      </c>
      <c r="F1770" t="s">
        <v>2820</v>
      </c>
      <c r="G1770" t="b">
        <v>1</v>
      </c>
      <c r="H1770" t="s">
        <v>2802</v>
      </c>
    </row>
    <row r="1771" spans="1:8" x14ac:dyDescent="0.3">
      <c r="A1771" t="s">
        <v>734</v>
      </c>
      <c r="B1771" t="s">
        <v>263</v>
      </c>
      <c r="C1771" t="s">
        <v>267</v>
      </c>
      <c r="D1771" t="s">
        <v>2825</v>
      </c>
      <c r="E1771">
        <v>0</v>
      </c>
      <c r="F1771" t="s">
        <v>2820</v>
      </c>
      <c r="G1771" t="b">
        <v>1</v>
      </c>
      <c r="H1771" t="s">
        <v>2800</v>
      </c>
    </row>
    <row r="1772" spans="1:8" x14ac:dyDescent="0.3">
      <c r="A1772" t="s">
        <v>734</v>
      </c>
      <c r="B1772" t="s">
        <v>263</v>
      </c>
      <c r="C1772" t="s">
        <v>267</v>
      </c>
      <c r="D1772" t="s">
        <v>2826</v>
      </c>
      <c r="E1772">
        <v>0</v>
      </c>
      <c r="F1772" t="s">
        <v>2820</v>
      </c>
      <c r="G1772" t="b">
        <v>1</v>
      </c>
      <c r="H1772" t="s">
        <v>1935</v>
      </c>
    </row>
    <row r="1773" spans="1:8" x14ac:dyDescent="0.3">
      <c r="A1773" t="s">
        <v>734</v>
      </c>
      <c r="B1773" t="s">
        <v>263</v>
      </c>
      <c r="C1773" t="s">
        <v>267</v>
      </c>
      <c r="D1773" t="s">
        <v>2827</v>
      </c>
      <c r="E1773">
        <v>35394.78</v>
      </c>
      <c r="F1773" t="s">
        <v>2820</v>
      </c>
      <c r="G1773" t="b">
        <v>1</v>
      </c>
      <c r="H1773" t="s">
        <v>2828</v>
      </c>
    </row>
    <row r="1774" spans="1:8" x14ac:dyDescent="0.3">
      <c r="A1774" t="s">
        <v>734</v>
      </c>
      <c r="B1774" t="s">
        <v>263</v>
      </c>
      <c r="C1774" t="s">
        <v>267</v>
      </c>
      <c r="D1774" t="s">
        <v>2829</v>
      </c>
      <c r="E1774">
        <v>35320.14</v>
      </c>
      <c r="F1774" t="s">
        <v>2820</v>
      </c>
      <c r="G1774" t="b">
        <v>1</v>
      </c>
      <c r="H1774" t="s">
        <v>2830</v>
      </c>
    </row>
    <row r="1775" spans="1:8" x14ac:dyDescent="0.3">
      <c r="A1775" t="s">
        <v>734</v>
      </c>
      <c r="B1775" t="s">
        <v>263</v>
      </c>
      <c r="C1775" t="s">
        <v>267</v>
      </c>
      <c r="D1775" t="s">
        <v>2831</v>
      </c>
      <c r="E1775">
        <v>35546.53</v>
      </c>
      <c r="F1775" t="s">
        <v>2820</v>
      </c>
      <c r="G1775" t="b">
        <v>1</v>
      </c>
      <c r="H1775" t="s">
        <v>466</v>
      </c>
    </row>
    <row r="1776" spans="1:8" x14ac:dyDescent="0.3">
      <c r="A1776" t="s">
        <v>734</v>
      </c>
      <c r="B1776" t="s">
        <v>263</v>
      </c>
      <c r="C1776" t="s">
        <v>267</v>
      </c>
      <c r="D1776" t="s">
        <v>2832</v>
      </c>
      <c r="E1776">
        <v>35345.879999999997</v>
      </c>
      <c r="F1776" t="s">
        <v>2820</v>
      </c>
      <c r="G1776" t="b">
        <v>1</v>
      </c>
      <c r="H1776" t="s">
        <v>467</v>
      </c>
    </row>
    <row r="1777" spans="1:8" x14ac:dyDescent="0.3">
      <c r="A1777" t="s">
        <v>734</v>
      </c>
      <c r="B1777" t="s">
        <v>263</v>
      </c>
      <c r="C1777" t="s">
        <v>267</v>
      </c>
      <c r="D1777" t="s">
        <v>2833</v>
      </c>
      <c r="E1777">
        <v>35555.760000000002</v>
      </c>
      <c r="F1777" t="s">
        <v>2820</v>
      </c>
      <c r="G1777" t="b">
        <v>1</v>
      </c>
      <c r="H1777" t="s">
        <v>468</v>
      </c>
    </row>
    <row r="1778" spans="1:8" x14ac:dyDescent="0.3">
      <c r="A1778" t="s">
        <v>734</v>
      </c>
      <c r="B1778" t="s">
        <v>263</v>
      </c>
      <c r="C1778" t="s">
        <v>277</v>
      </c>
      <c r="D1778" t="s">
        <v>2819</v>
      </c>
      <c r="E1778">
        <v>0</v>
      </c>
      <c r="F1778" t="s">
        <v>2820</v>
      </c>
      <c r="G1778" t="b">
        <v>1</v>
      </c>
      <c r="H1778" t="s">
        <v>704</v>
      </c>
    </row>
    <row r="1779" spans="1:8" x14ac:dyDescent="0.3">
      <c r="A1779" t="s">
        <v>734</v>
      </c>
      <c r="B1779" t="s">
        <v>263</v>
      </c>
      <c r="C1779" t="s">
        <v>277</v>
      </c>
      <c r="D1779" t="s">
        <v>2821</v>
      </c>
      <c r="E1779">
        <v>0</v>
      </c>
      <c r="F1779" t="s">
        <v>2820</v>
      </c>
      <c r="G1779" t="b">
        <v>1</v>
      </c>
      <c r="H1779" t="s">
        <v>706</v>
      </c>
    </row>
    <row r="1780" spans="1:8" x14ac:dyDescent="0.3">
      <c r="A1780" t="s">
        <v>734</v>
      </c>
      <c r="B1780" t="s">
        <v>263</v>
      </c>
      <c r="C1780" t="s">
        <v>277</v>
      </c>
      <c r="D1780" t="s">
        <v>2822</v>
      </c>
      <c r="E1780">
        <v>0</v>
      </c>
      <c r="F1780" t="s">
        <v>2820</v>
      </c>
      <c r="G1780" t="b">
        <v>1</v>
      </c>
      <c r="H1780" t="s">
        <v>708</v>
      </c>
    </row>
    <row r="1781" spans="1:8" x14ac:dyDescent="0.3">
      <c r="A1781" t="s">
        <v>734</v>
      </c>
      <c r="B1781" t="s">
        <v>263</v>
      </c>
      <c r="C1781" t="s">
        <v>277</v>
      </c>
      <c r="D1781" t="s">
        <v>2823</v>
      </c>
      <c r="E1781">
        <v>0</v>
      </c>
      <c r="F1781" t="s">
        <v>2820</v>
      </c>
      <c r="G1781" t="b">
        <v>1</v>
      </c>
      <c r="H1781" t="s">
        <v>710</v>
      </c>
    </row>
    <row r="1782" spans="1:8" x14ac:dyDescent="0.3">
      <c r="A1782" t="s">
        <v>734</v>
      </c>
      <c r="B1782" t="s">
        <v>263</v>
      </c>
      <c r="C1782" t="s">
        <v>277</v>
      </c>
      <c r="D1782" t="s">
        <v>2824</v>
      </c>
      <c r="E1782">
        <v>0</v>
      </c>
      <c r="F1782" t="s">
        <v>2820</v>
      </c>
      <c r="G1782" t="b">
        <v>1</v>
      </c>
      <c r="H1782" t="s">
        <v>2802</v>
      </c>
    </row>
    <row r="1783" spans="1:8" x14ac:dyDescent="0.3">
      <c r="A1783" t="s">
        <v>734</v>
      </c>
      <c r="B1783" t="s">
        <v>263</v>
      </c>
      <c r="C1783" t="s">
        <v>277</v>
      </c>
      <c r="D1783" t="s">
        <v>2825</v>
      </c>
      <c r="E1783">
        <v>0</v>
      </c>
      <c r="F1783" t="s">
        <v>2820</v>
      </c>
      <c r="G1783" t="b">
        <v>1</v>
      </c>
      <c r="H1783" t="s">
        <v>2800</v>
      </c>
    </row>
    <row r="1784" spans="1:8" x14ac:dyDescent="0.3">
      <c r="A1784" t="s">
        <v>734</v>
      </c>
      <c r="B1784" t="s">
        <v>263</v>
      </c>
      <c r="C1784" t="s">
        <v>277</v>
      </c>
      <c r="D1784" t="s">
        <v>2826</v>
      </c>
      <c r="E1784">
        <v>0</v>
      </c>
      <c r="F1784" t="s">
        <v>2820</v>
      </c>
      <c r="G1784" t="b">
        <v>1</v>
      </c>
      <c r="H1784" t="s">
        <v>1935</v>
      </c>
    </row>
    <row r="1785" spans="1:8" x14ac:dyDescent="0.3">
      <c r="A1785" t="s">
        <v>734</v>
      </c>
      <c r="B1785" t="s">
        <v>263</v>
      </c>
      <c r="C1785" t="s">
        <v>277</v>
      </c>
      <c r="D1785" t="s">
        <v>2827</v>
      </c>
      <c r="E1785">
        <v>6200</v>
      </c>
      <c r="F1785" t="s">
        <v>2820</v>
      </c>
      <c r="G1785" t="b">
        <v>1</v>
      </c>
      <c r="H1785" t="s">
        <v>2828</v>
      </c>
    </row>
    <row r="1786" spans="1:8" x14ac:dyDescent="0.3">
      <c r="A1786" t="s">
        <v>734</v>
      </c>
      <c r="B1786" t="s">
        <v>263</v>
      </c>
      <c r="C1786" t="s">
        <v>277</v>
      </c>
      <c r="D1786" t="s">
        <v>2829</v>
      </c>
      <c r="E1786">
        <v>6200</v>
      </c>
      <c r="F1786" t="s">
        <v>2820</v>
      </c>
      <c r="G1786" t="b">
        <v>1</v>
      </c>
      <c r="H1786" t="s">
        <v>2830</v>
      </c>
    </row>
    <row r="1787" spans="1:8" x14ac:dyDescent="0.3">
      <c r="A1787" t="s">
        <v>734</v>
      </c>
      <c r="B1787" t="s">
        <v>263</v>
      </c>
      <c r="C1787" t="s">
        <v>277</v>
      </c>
      <c r="D1787" t="s">
        <v>2831</v>
      </c>
      <c r="E1787">
        <v>6200</v>
      </c>
      <c r="F1787" t="s">
        <v>2820</v>
      </c>
      <c r="G1787" t="b">
        <v>1</v>
      </c>
      <c r="H1787" t="s">
        <v>466</v>
      </c>
    </row>
    <row r="1788" spans="1:8" x14ac:dyDescent="0.3">
      <c r="A1788" t="s">
        <v>734</v>
      </c>
      <c r="B1788" t="s">
        <v>263</v>
      </c>
      <c r="C1788" t="s">
        <v>277</v>
      </c>
      <c r="D1788" t="s">
        <v>2832</v>
      </c>
      <c r="E1788">
        <v>6200</v>
      </c>
      <c r="F1788" t="s">
        <v>2820</v>
      </c>
      <c r="G1788" t="b">
        <v>1</v>
      </c>
      <c r="H1788" t="s">
        <v>467</v>
      </c>
    </row>
    <row r="1789" spans="1:8" x14ac:dyDescent="0.3">
      <c r="A1789" t="s">
        <v>734</v>
      </c>
      <c r="B1789" t="s">
        <v>263</v>
      </c>
      <c r="C1789" t="s">
        <v>277</v>
      </c>
      <c r="D1789" t="s">
        <v>2833</v>
      </c>
      <c r="E1789">
        <v>6200</v>
      </c>
      <c r="F1789" t="s">
        <v>2820</v>
      </c>
      <c r="G1789" t="b">
        <v>1</v>
      </c>
      <c r="H1789" t="s">
        <v>468</v>
      </c>
    </row>
    <row r="1790" spans="1:8" x14ac:dyDescent="0.3">
      <c r="A1790" t="s">
        <v>734</v>
      </c>
      <c r="B1790" t="s">
        <v>263</v>
      </c>
      <c r="C1790" t="s">
        <v>274</v>
      </c>
      <c r="D1790" t="s">
        <v>2819</v>
      </c>
      <c r="E1790">
        <v>0</v>
      </c>
      <c r="F1790" t="s">
        <v>2820</v>
      </c>
      <c r="G1790" t="b">
        <v>1</v>
      </c>
      <c r="H1790" t="s">
        <v>704</v>
      </c>
    </row>
    <row r="1791" spans="1:8" x14ac:dyDescent="0.3">
      <c r="A1791" t="s">
        <v>734</v>
      </c>
      <c r="B1791" t="s">
        <v>263</v>
      </c>
      <c r="C1791" t="s">
        <v>274</v>
      </c>
      <c r="D1791" t="s">
        <v>2821</v>
      </c>
      <c r="E1791">
        <v>0</v>
      </c>
      <c r="F1791" t="s">
        <v>2820</v>
      </c>
      <c r="G1791" t="b">
        <v>1</v>
      </c>
      <c r="H1791" t="s">
        <v>706</v>
      </c>
    </row>
    <row r="1792" spans="1:8" x14ac:dyDescent="0.3">
      <c r="A1792" t="s">
        <v>734</v>
      </c>
      <c r="B1792" t="s">
        <v>263</v>
      </c>
      <c r="C1792" t="s">
        <v>274</v>
      </c>
      <c r="D1792" t="s">
        <v>2822</v>
      </c>
      <c r="E1792">
        <v>0</v>
      </c>
      <c r="F1792" t="s">
        <v>2820</v>
      </c>
      <c r="G1792" t="b">
        <v>1</v>
      </c>
      <c r="H1792" t="s">
        <v>708</v>
      </c>
    </row>
    <row r="1793" spans="1:8" x14ac:dyDescent="0.3">
      <c r="A1793" t="s">
        <v>734</v>
      </c>
      <c r="B1793" t="s">
        <v>263</v>
      </c>
      <c r="C1793" t="s">
        <v>274</v>
      </c>
      <c r="D1793" t="s">
        <v>2823</v>
      </c>
      <c r="E1793">
        <v>0</v>
      </c>
      <c r="F1793" t="s">
        <v>2820</v>
      </c>
      <c r="G1793" t="b">
        <v>1</v>
      </c>
      <c r="H1793" t="s">
        <v>710</v>
      </c>
    </row>
    <row r="1794" spans="1:8" x14ac:dyDescent="0.3">
      <c r="A1794" t="s">
        <v>734</v>
      </c>
      <c r="B1794" t="s">
        <v>263</v>
      </c>
      <c r="C1794" t="s">
        <v>274</v>
      </c>
      <c r="D1794" t="s">
        <v>2824</v>
      </c>
      <c r="E1794">
        <v>0</v>
      </c>
      <c r="F1794" t="s">
        <v>2820</v>
      </c>
      <c r="G1794" t="b">
        <v>1</v>
      </c>
      <c r="H1794" t="s">
        <v>2802</v>
      </c>
    </row>
    <row r="1795" spans="1:8" x14ac:dyDescent="0.3">
      <c r="A1795" t="s">
        <v>734</v>
      </c>
      <c r="B1795" t="s">
        <v>263</v>
      </c>
      <c r="C1795" t="s">
        <v>274</v>
      </c>
      <c r="D1795" t="s">
        <v>2825</v>
      </c>
      <c r="E1795">
        <v>0</v>
      </c>
      <c r="F1795" t="s">
        <v>2820</v>
      </c>
      <c r="G1795" t="b">
        <v>1</v>
      </c>
      <c r="H1795" t="s">
        <v>2800</v>
      </c>
    </row>
    <row r="1796" spans="1:8" x14ac:dyDescent="0.3">
      <c r="A1796" t="s">
        <v>734</v>
      </c>
      <c r="B1796" t="s">
        <v>263</v>
      </c>
      <c r="C1796" t="s">
        <v>274</v>
      </c>
      <c r="D1796" t="s">
        <v>2826</v>
      </c>
      <c r="E1796">
        <v>0</v>
      </c>
      <c r="F1796" t="s">
        <v>2820</v>
      </c>
      <c r="G1796" t="b">
        <v>1</v>
      </c>
      <c r="H1796" t="s">
        <v>1935</v>
      </c>
    </row>
    <row r="1797" spans="1:8" x14ac:dyDescent="0.3">
      <c r="A1797" t="s">
        <v>734</v>
      </c>
      <c r="B1797" t="s">
        <v>263</v>
      </c>
      <c r="C1797" t="s">
        <v>274</v>
      </c>
      <c r="D1797" t="s">
        <v>2827</v>
      </c>
      <c r="E1797">
        <v>1000</v>
      </c>
      <c r="F1797" t="s">
        <v>2820</v>
      </c>
      <c r="G1797" t="b">
        <v>1</v>
      </c>
      <c r="H1797" t="s">
        <v>2828</v>
      </c>
    </row>
    <row r="1798" spans="1:8" x14ac:dyDescent="0.3">
      <c r="A1798" t="s">
        <v>734</v>
      </c>
      <c r="B1798" t="s">
        <v>263</v>
      </c>
      <c r="C1798" t="s">
        <v>274</v>
      </c>
      <c r="D1798" t="s">
        <v>2829</v>
      </c>
      <c r="E1798">
        <v>1000</v>
      </c>
      <c r="F1798" t="s">
        <v>2820</v>
      </c>
      <c r="G1798" t="b">
        <v>1</v>
      </c>
      <c r="H1798" t="s">
        <v>2830</v>
      </c>
    </row>
    <row r="1799" spans="1:8" x14ac:dyDescent="0.3">
      <c r="A1799" t="s">
        <v>734</v>
      </c>
      <c r="B1799" t="s">
        <v>263</v>
      </c>
      <c r="C1799" t="s">
        <v>274</v>
      </c>
      <c r="D1799" t="s">
        <v>2831</v>
      </c>
      <c r="E1799">
        <v>1000</v>
      </c>
      <c r="F1799" t="s">
        <v>2820</v>
      </c>
      <c r="G1799" t="b">
        <v>1</v>
      </c>
      <c r="H1799" t="s">
        <v>466</v>
      </c>
    </row>
    <row r="1800" spans="1:8" x14ac:dyDescent="0.3">
      <c r="A1800" t="s">
        <v>734</v>
      </c>
      <c r="B1800" t="s">
        <v>263</v>
      </c>
      <c r="C1800" t="s">
        <v>274</v>
      </c>
      <c r="D1800" t="s">
        <v>2832</v>
      </c>
      <c r="E1800">
        <v>1000</v>
      </c>
      <c r="F1800" t="s">
        <v>2820</v>
      </c>
      <c r="G1800" t="b">
        <v>1</v>
      </c>
      <c r="H1800" t="s">
        <v>467</v>
      </c>
    </row>
    <row r="1801" spans="1:8" x14ac:dyDescent="0.3">
      <c r="A1801" t="s">
        <v>734</v>
      </c>
      <c r="B1801" t="s">
        <v>263</v>
      </c>
      <c r="C1801" t="s">
        <v>274</v>
      </c>
      <c r="D1801" t="s">
        <v>2833</v>
      </c>
      <c r="E1801">
        <v>1000</v>
      </c>
      <c r="F1801" t="s">
        <v>2820</v>
      </c>
      <c r="G1801" t="b">
        <v>1</v>
      </c>
      <c r="H1801" t="s">
        <v>468</v>
      </c>
    </row>
    <row r="1802" spans="1:8" x14ac:dyDescent="0.3">
      <c r="A1802" t="s">
        <v>734</v>
      </c>
      <c r="B1802" t="s">
        <v>263</v>
      </c>
      <c r="C1802" t="s">
        <v>276</v>
      </c>
      <c r="D1802" t="s">
        <v>2819</v>
      </c>
      <c r="E1802">
        <v>0</v>
      </c>
      <c r="F1802" t="s">
        <v>2820</v>
      </c>
      <c r="G1802" t="b">
        <v>1</v>
      </c>
      <c r="H1802" t="s">
        <v>704</v>
      </c>
    </row>
    <row r="1803" spans="1:8" x14ac:dyDescent="0.3">
      <c r="A1803" t="s">
        <v>734</v>
      </c>
      <c r="B1803" t="s">
        <v>263</v>
      </c>
      <c r="C1803" t="s">
        <v>276</v>
      </c>
      <c r="D1803" t="s">
        <v>2821</v>
      </c>
      <c r="E1803">
        <v>0</v>
      </c>
      <c r="F1803" t="s">
        <v>2820</v>
      </c>
      <c r="G1803" t="b">
        <v>1</v>
      </c>
      <c r="H1803" t="s">
        <v>706</v>
      </c>
    </row>
    <row r="1804" spans="1:8" x14ac:dyDescent="0.3">
      <c r="A1804" t="s">
        <v>734</v>
      </c>
      <c r="B1804" t="s">
        <v>263</v>
      </c>
      <c r="C1804" t="s">
        <v>276</v>
      </c>
      <c r="D1804" t="s">
        <v>2822</v>
      </c>
      <c r="E1804">
        <v>0</v>
      </c>
      <c r="F1804" t="s">
        <v>2820</v>
      </c>
      <c r="G1804" t="b">
        <v>1</v>
      </c>
      <c r="H1804" t="s">
        <v>708</v>
      </c>
    </row>
    <row r="1805" spans="1:8" x14ac:dyDescent="0.3">
      <c r="A1805" t="s">
        <v>734</v>
      </c>
      <c r="B1805" t="s">
        <v>263</v>
      </c>
      <c r="C1805" t="s">
        <v>276</v>
      </c>
      <c r="D1805" t="s">
        <v>2823</v>
      </c>
      <c r="E1805">
        <v>0</v>
      </c>
      <c r="F1805" t="s">
        <v>2820</v>
      </c>
      <c r="G1805" t="b">
        <v>1</v>
      </c>
      <c r="H1805" t="s">
        <v>710</v>
      </c>
    </row>
    <row r="1806" spans="1:8" x14ac:dyDescent="0.3">
      <c r="A1806" t="s">
        <v>734</v>
      </c>
      <c r="B1806" t="s">
        <v>263</v>
      </c>
      <c r="C1806" t="s">
        <v>276</v>
      </c>
      <c r="D1806" t="s">
        <v>2824</v>
      </c>
      <c r="E1806">
        <v>0</v>
      </c>
      <c r="F1806" t="s">
        <v>2820</v>
      </c>
      <c r="G1806" t="b">
        <v>1</v>
      </c>
      <c r="H1806" t="s">
        <v>2802</v>
      </c>
    </row>
    <row r="1807" spans="1:8" x14ac:dyDescent="0.3">
      <c r="A1807" t="s">
        <v>734</v>
      </c>
      <c r="B1807" t="s">
        <v>263</v>
      </c>
      <c r="C1807" t="s">
        <v>276</v>
      </c>
      <c r="D1807" t="s">
        <v>2825</v>
      </c>
      <c r="E1807">
        <v>0</v>
      </c>
      <c r="F1807" t="s">
        <v>2820</v>
      </c>
      <c r="G1807" t="b">
        <v>1</v>
      </c>
      <c r="H1807" t="s">
        <v>2800</v>
      </c>
    </row>
    <row r="1808" spans="1:8" x14ac:dyDescent="0.3">
      <c r="A1808" t="s">
        <v>734</v>
      </c>
      <c r="B1808" t="s">
        <v>263</v>
      </c>
      <c r="C1808" t="s">
        <v>276</v>
      </c>
      <c r="D1808" t="s">
        <v>2826</v>
      </c>
      <c r="E1808">
        <v>0</v>
      </c>
      <c r="F1808" t="s">
        <v>2820</v>
      </c>
      <c r="G1808" t="b">
        <v>1</v>
      </c>
      <c r="H1808" t="s">
        <v>1935</v>
      </c>
    </row>
    <row r="1809" spans="1:8" x14ac:dyDescent="0.3">
      <c r="A1809" t="s">
        <v>734</v>
      </c>
      <c r="B1809" t="s">
        <v>263</v>
      </c>
      <c r="C1809" t="s">
        <v>276</v>
      </c>
      <c r="D1809" t="s">
        <v>2827</v>
      </c>
      <c r="E1809">
        <v>2500</v>
      </c>
      <c r="F1809" t="s">
        <v>2820</v>
      </c>
      <c r="G1809" t="b">
        <v>1</v>
      </c>
      <c r="H1809" t="s">
        <v>2828</v>
      </c>
    </row>
    <row r="1810" spans="1:8" x14ac:dyDescent="0.3">
      <c r="A1810" t="s">
        <v>734</v>
      </c>
      <c r="B1810" t="s">
        <v>263</v>
      </c>
      <c r="C1810" t="s">
        <v>276</v>
      </c>
      <c r="D1810" t="s">
        <v>2829</v>
      </c>
      <c r="E1810">
        <v>2500</v>
      </c>
      <c r="F1810" t="s">
        <v>2820</v>
      </c>
      <c r="G1810" t="b">
        <v>1</v>
      </c>
      <c r="H1810" t="s">
        <v>2830</v>
      </c>
    </row>
    <row r="1811" spans="1:8" x14ac:dyDescent="0.3">
      <c r="A1811" t="s">
        <v>734</v>
      </c>
      <c r="B1811" t="s">
        <v>263</v>
      </c>
      <c r="C1811" t="s">
        <v>276</v>
      </c>
      <c r="D1811" t="s">
        <v>2831</v>
      </c>
      <c r="E1811">
        <v>2500</v>
      </c>
      <c r="F1811" t="s">
        <v>2820</v>
      </c>
      <c r="G1811" t="b">
        <v>1</v>
      </c>
      <c r="H1811" t="s">
        <v>466</v>
      </c>
    </row>
    <row r="1812" spans="1:8" x14ac:dyDescent="0.3">
      <c r="A1812" t="s">
        <v>734</v>
      </c>
      <c r="B1812" t="s">
        <v>263</v>
      </c>
      <c r="C1812" t="s">
        <v>276</v>
      </c>
      <c r="D1812" t="s">
        <v>2832</v>
      </c>
      <c r="E1812">
        <v>2500</v>
      </c>
      <c r="F1812" t="s">
        <v>2820</v>
      </c>
      <c r="G1812" t="b">
        <v>1</v>
      </c>
      <c r="H1812" t="s">
        <v>467</v>
      </c>
    </row>
    <row r="1813" spans="1:8" x14ac:dyDescent="0.3">
      <c r="A1813" t="s">
        <v>734</v>
      </c>
      <c r="B1813" t="s">
        <v>263</v>
      </c>
      <c r="C1813" t="s">
        <v>276</v>
      </c>
      <c r="D1813" t="s">
        <v>2833</v>
      </c>
      <c r="E1813">
        <v>2500</v>
      </c>
      <c r="F1813" t="s">
        <v>2820</v>
      </c>
      <c r="G1813" t="b">
        <v>1</v>
      </c>
      <c r="H1813" t="s">
        <v>468</v>
      </c>
    </row>
    <row r="1814" spans="1:8" x14ac:dyDescent="0.3">
      <c r="A1814" t="s">
        <v>734</v>
      </c>
      <c r="B1814" t="s">
        <v>263</v>
      </c>
      <c r="C1814" t="s">
        <v>275</v>
      </c>
      <c r="D1814" t="s">
        <v>2819</v>
      </c>
      <c r="E1814">
        <v>0</v>
      </c>
      <c r="F1814" t="s">
        <v>2820</v>
      </c>
      <c r="G1814" t="b">
        <v>1</v>
      </c>
      <c r="H1814" t="s">
        <v>704</v>
      </c>
    </row>
    <row r="1815" spans="1:8" x14ac:dyDescent="0.3">
      <c r="A1815" t="s">
        <v>734</v>
      </c>
      <c r="B1815" t="s">
        <v>263</v>
      </c>
      <c r="C1815" t="s">
        <v>275</v>
      </c>
      <c r="D1815" t="s">
        <v>2821</v>
      </c>
      <c r="E1815">
        <v>0</v>
      </c>
      <c r="F1815" t="s">
        <v>2820</v>
      </c>
      <c r="G1815" t="b">
        <v>1</v>
      </c>
      <c r="H1815" t="s">
        <v>706</v>
      </c>
    </row>
    <row r="1816" spans="1:8" x14ac:dyDescent="0.3">
      <c r="A1816" t="s">
        <v>734</v>
      </c>
      <c r="B1816" t="s">
        <v>263</v>
      </c>
      <c r="C1816" t="s">
        <v>275</v>
      </c>
      <c r="D1816" t="s">
        <v>2822</v>
      </c>
      <c r="E1816">
        <v>0</v>
      </c>
      <c r="F1816" t="s">
        <v>2820</v>
      </c>
      <c r="G1816" t="b">
        <v>1</v>
      </c>
      <c r="H1816" t="s">
        <v>708</v>
      </c>
    </row>
    <row r="1817" spans="1:8" x14ac:dyDescent="0.3">
      <c r="A1817" t="s">
        <v>734</v>
      </c>
      <c r="B1817" t="s">
        <v>263</v>
      </c>
      <c r="C1817" t="s">
        <v>275</v>
      </c>
      <c r="D1817" t="s">
        <v>2823</v>
      </c>
      <c r="E1817">
        <v>0</v>
      </c>
      <c r="F1817" t="s">
        <v>2820</v>
      </c>
      <c r="G1817" t="b">
        <v>1</v>
      </c>
      <c r="H1817" t="s">
        <v>710</v>
      </c>
    </row>
    <row r="1818" spans="1:8" x14ac:dyDescent="0.3">
      <c r="A1818" t="s">
        <v>734</v>
      </c>
      <c r="B1818" t="s">
        <v>263</v>
      </c>
      <c r="C1818" t="s">
        <v>275</v>
      </c>
      <c r="D1818" t="s">
        <v>2824</v>
      </c>
      <c r="E1818">
        <v>0</v>
      </c>
      <c r="F1818" t="s">
        <v>2820</v>
      </c>
      <c r="G1818" t="b">
        <v>1</v>
      </c>
      <c r="H1818" t="s">
        <v>2802</v>
      </c>
    </row>
    <row r="1819" spans="1:8" x14ac:dyDescent="0.3">
      <c r="A1819" t="s">
        <v>734</v>
      </c>
      <c r="B1819" t="s">
        <v>263</v>
      </c>
      <c r="C1819" t="s">
        <v>275</v>
      </c>
      <c r="D1819" t="s">
        <v>2825</v>
      </c>
      <c r="E1819">
        <v>0</v>
      </c>
      <c r="F1819" t="s">
        <v>2820</v>
      </c>
      <c r="G1819" t="b">
        <v>1</v>
      </c>
      <c r="H1819" t="s">
        <v>2800</v>
      </c>
    </row>
    <row r="1820" spans="1:8" x14ac:dyDescent="0.3">
      <c r="A1820" t="s">
        <v>734</v>
      </c>
      <c r="B1820" t="s">
        <v>263</v>
      </c>
      <c r="C1820" t="s">
        <v>275</v>
      </c>
      <c r="D1820" t="s">
        <v>2826</v>
      </c>
      <c r="E1820">
        <v>0</v>
      </c>
      <c r="F1820" t="s">
        <v>2820</v>
      </c>
      <c r="G1820" t="b">
        <v>1</v>
      </c>
      <c r="H1820" t="s">
        <v>1935</v>
      </c>
    </row>
    <row r="1821" spans="1:8" x14ac:dyDescent="0.3">
      <c r="A1821" t="s">
        <v>734</v>
      </c>
      <c r="B1821" t="s">
        <v>263</v>
      </c>
      <c r="C1821" t="s">
        <v>275</v>
      </c>
      <c r="D1821" t="s">
        <v>2827</v>
      </c>
      <c r="E1821">
        <v>2248</v>
      </c>
      <c r="F1821" t="s">
        <v>2820</v>
      </c>
      <c r="G1821" t="b">
        <v>1</v>
      </c>
      <c r="H1821" t="s">
        <v>2828</v>
      </c>
    </row>
    <row r="1822" spans="1:8" x14ac:dyDescent="0.3">
      <c r="A1822" t="s">
        <v>734</v>
      </c>
      <c r="B1822" t="s">
        <v>263</v>
      </c>
      <c r="C1822" t="s">
        <v>275</v>
      </c>
      <c r="D1822" t="s">
        <v>2829</v>
      </c>
      <c r="E1822">
        <v>4488</v>
      </c>
      <c r="F1822" t="s">
        <v>2820</v>
      </c>
      <c r="G1822" t="b">
        <v>1</v>
      </c>
      <c r="H1822" t="s">
        <v>2830</v>
      </c>
    </row>
    <row r="1823" spans="1:8" x14ac:dyDescent="0.3">
      <c r="A1823" t="s">
        <v>734</v>
      </c>
      <c r="B1823" t="s">
        <v>263</v>
      </c>
      <c r="C1823" t="s">
        <v>275</v>
      </c>
      <c r="D1823" t="s">
        <v>2831</v>
      </c>
      <c r="E1823">
        <v>2248</v>
      </c>
      <c r="F1823" t="s">
        <v>2820</v>
      </c>
      <c r="G1823" t="b">
        <v>1</v>
      </c>
      <c r="H1823" t="s">
        <v>466</v>
      </c>
    </row>
    <row r="1824" spans="1:8" x14ac:dyDescent="0.3">
      <c r="A1824" t="s">
        <v>734</v>
      </c>
      <c r="B1824" t="s">
        <v>263</v>
      </c>
      <c r="C1824" t="s">
        <v>275</v>
      </c>
      <c r="D1824" t="s">
        <v>2832</v>
      </c>
      <c r="E1824">
        <v>2248</v>
      </c>
      <c r="F1824" t="s">
        <v>2820</v>
      </c>
      <c r="G1824" t="b">
        <v>1</v>
      </c>
      <c r="H1824" t="s">
        <v>467</v>
      </c>
    </row>
    <row r="1825" spans="1:8" x14ac:dyDescent="0.3">
      <c r="A1825" t="s">
        <v>734</v>
      </c>
      <c r="B1825" t="s">
        <v>263</v>
      </c>
      <c r="C1825" t="s">
        <v>275</v>
      </c>
      <c r="D1825" t="s">
        <v>2833</v>
      </c>
      <c r="E1825">
        <v>2248</v>
      </c>
      <c r="F1825" t="s">
        <v>2820</v>
      </c>
      <c r="G1825" t="b">
        <v>1</v>
      </c>
      <c r="H1825" t="s">
        <v>468</v>
      </c>
    </row>
    <row r="1826" spans="1:8" x14ac:dyDescent="0.3">
      <c r="A1826" t="s">
        <v>734</v>
      </c>
      <c r="B1826" t="s">
        <v>263</v>
      </c>
      <c r="C1826" t="s">
        <v>272</v>
      </c>
      <c r="D1826" t="s">
        <v>2819</v>
      </c>
      <c r="E1826">
        <v>0</v>
      </c>
      <c r="F1826" t="s">
        <v>2820</v>
      </c>
      <c r="G1826" t="b">
        <v>1</v>
      </c>
      <c r="H1826" t="s">
        <v>704</v>
      </c>
    </row>
    <row r="1827" spans="1:8" x14ac:dyDescent="0.3">
      <c r="A1827" t="s">
        <v>734</v>
      </c>
      <c r="B1827" t="s">
        <v>263</v>
      </c>
      <c r="C1827" t="s">
        <v>272</v>
      </c>
      <c r="D1827" t="s">
        <v>2821</v>
      </c>
      <c r="E1827">
        <v>0</v>
      </c>
      <c r="F1827" t="s">
        <v>2820</v>
      </c>
      <c r="G1827" t="b">
        <v>1</v>
      </c>
      <c r="H1827" t="s">
        <v>706</v>
      </c>
    </row>
    <row r="1828" spans="1:8" x14ac:dyDescent="0.3">
      <c r="A1828" t="s">
        <v>734</v>
      </c>
      <c r="B1828" t="s">
        <v>263</v>
      </c>
      <c r="C1828" t="s">
        <v>272</v>
      </c>
      <c r="D1828" t="s">
        <v>2822</v>
      </c>
      <c r="E1828">
        <v>0</v>
      </c>
      <c r="F1828" t="s">
        <v>2820</v>
      </c>
      <c r="G1828" t="b">
        <v>1</v>
      </c>
      <c r="H1828" t="s">
        <v>708</v>
      </c>
    </row>
    <row r="1829" spans="1:8" x14ac:dyDescent="0.3">
      <c r="A1829" t="s">
        <v>734</v>
      </c>
      <c r="B1829" t="s">
        <v>263</v>
      </c>
      <c r="C1829" t="s">
        <v>272</v>
      </c>
      <c r="D1829" t="s">
        <v>2823</v>
      </c>
      <c r="E1829">
        <v>0</v>
      </c>
      <c r="F1829" t="s">
        <v>2820</v>
      </c>
      <c r="G1829" t="b">
        <v>1</v>
      </c>
      <c r="H1829" t="s">
        <v>710</v>
      </c>
    </row>
    <row r="1830" spans="1:8" x14ac:dyDescent="0.3">
      <c r="A1830" t="s">
        <v>734</v>
      </c>
      <c r="B1830" t="s">
        <v>263</v>
      </c>
      <c r="C1830" t="s">
        <v>272</v>
      </c>
      <c r="D1830" t="s">
        <v>2824</v>
      </c>
      <c r="E1830">
        <v>0</v>
      </c>
      <c r="F1830" t="s">
        <v>2820</v>
      </c>
      <c r="G1830" t="b">
        <v>1</v>
      </c>
      <c r="H1830" t="s">
        <v>2802</v>
      </c>
    </row>
    <row r="1831" spans="1:8" x14ac:dyDescent="0.3">
      <c r="A1831" t="s">
        <v>734</v>
      </c>
      <c r="B1831" t="s">
        <v>263</v>
      </c>
      <c r="C1831" t="s">
        <v>272</v>
      </c>
      <c r="D1831" t="s">
        <v>2825</v>
      </c>
      <c r="E1831">
        <v>0</v>
      </c>
      <c r="F1831" t="s">
        <v>2820</v>
      </c>
      <c r="G1831" t="b">
        <v>1</v>
      </c>
      <c r="H1831" t="s">
        <v>2800</v>
      </c>
    </row>
    <row r="1832" spans="1:8" x14ac:dyDescent="0.3">
      <c r="A1832" t="s">
        <v>734</v>
      </c>
      <c r="B1832" t="s">
        <v>263</v>
      </c>
      <c r="C1832" t="s">
        <v>272</v>
      </c>
      <c r="D1832" t="s">
        <v>2826</v>
      </c>
      <c r="E1832">
        <v>0</v>
      </c>
      <c r="F1832" t="s">
        <v>2820</v>
      </c>
      <c r="G1832" t="b">
        <v>1</v>
      </c>
      <c r="H1832" t="s">
        <v>1935</v>
      </c>
    </row>
    <row r="1833" spans="1:8" x14ac:dyDescent="0.3">
      <c r="A1833" t="s">
        <v>734</v>
      </c>
      <c r="B1833" t="s">
        <v>263</v>
      </c>
      <c r="C1833" t="s">
        <v>272</v>
      </c>
      <c r="D1833" t="s">
        <v>2827</v>
      </c>
      <c r="E1833">
        <v>0</v>
      </c>
      <c r="F1833" t="s">
        <v>2820</v>
      </c>
      <c r="G1833" t="b">
        <v>1</v>
      </c>
      <c r="H1833" t="s">
        <v>2828</v>
      </c>
    </row>
    <row r="1834" spans="1:8" x14ac:dyDescent="0.3">
      <c r="A1834" t="s">
        <v>734</v>
      </c>
      <c r="B1834" t="s">
        <v>263</v>
      </c>
      <c r="C1834" t="s">
        <v>272</v>
      </c>
      <c r="D1834" t="s">
        <v>2829</v>
      </c>
      <c r="E1834">
        <v>0</v>
      </c>
      <c r="F1834" t="s">
        <v>2820</v>
      </c>
      <c r="G1834" t="b">
        <v>1</v>
      </c>
      <c r="H1834" t="s">
        <v>2830</v>
      </c>
    </row>
    <row r="1835" spans="1:8" x14ac:dyDescent="0.3">
      <c r="A1835" t="s">
        <v>734</v>
      </c>
      <c r="B1835" t="s">
        <v>263</v>
      </c>
      <c r="C1835" t="s">
        <v>272</v>
      </c>
      <c r="D1835" t="s">
        <v>2831</v>
      </c>
      <c r="E1835">
        <v>0</v>
      </c>
      <c r="F1835" t="s">
        <v>2820</v>
      </c>
      <c r="G1835" t="b">
        <v>1</v>
      </c>
      <c r="H1835" t="s">
        <v>466</v>
      </c>
    </row>
    <row r="1836" spans="1:8" x14ac:dyDescent="0.3">
      <c r="A1836" t="s">
        <v>734</v>
      </c>
      <c r="B1836" t="s">
        <v>263</v>
      </c>
      <c r="C1836" t="s">
        <v>272</v>
      </c>
      <c r="D1836" t="s">
        <v>2832</v>
      </c>
      <c r="E1836">
        <v>0</v>
      </c>
      <c r="F1836" t="s">
        <v>2820</v>
      </c>
      <c r="G1836" t="b">
        <v>1</v>
      </c>
      <c r="H1836" t="s">
        <v>467</v>
      </c>
    </row>
    <row r="1837" spans="1:8" x14ac:dyDescent="0.3">
      <c r="A1837" t="s">
        <v>734</v>
      </c>
      <c r="B1837" t="s">
        <v>263</v>
      </c>
      <c r="C1837" t="s">
        <v>272</v>
      </c>
      <c r="D1837" t="s">
        <v>2833</v>
      </c>
      <c r="E1837">
        <v>0</v>
      </c>
      <c r="F1837" t="s">
        <v>2820</v>
      </c>
      <c r="G1837" t="b">
        <v>1</v>
      </c>
      <c r="H1837" t="s">
        <v>468</v>
      </c>
    </row>
    <row r="1838" spans="1:8" x14ac:dyDescent="0.3">
      <c r="A1838" t="s">
        <v>734</v>
      </c>
      <c r="B1838" t="s">
        <v>263</v>
      </c>
      <c r="C1838" t="s">
        <v>271</v>
      </c>
      <c r="D1838" t="s">
        <v>2819</v>
      </c>
      <c r="E1838">
        <v>0</v>
      </c>
      <c r="F1838" t="s">
        <v>2820</v>
      </c>
      <c r="G1838" t="b">
        <v>1</v>
      </c>
      <c r="H1838" t="s">
        <v>704</v>
      </c>
    </row>
    <row r="1839" spans="1:8" x14ac:dyDescent="0.3">
      <c r="A1839" t="s">
        <v>734</v>
      </c>
      <c r="B1839" t="s">
        <v>263</v>
      </c>
      <c r="C1839" t="s">
        <v>271</v>
      </c>
      <c r="D1839" t="s">
        <v>2821</v>
      </c>
      <c r="E1839">
        <v>0</v>
      </c>
      <c r="F1839" t="s">
        <v>2820</v>
      </c>
      <c r="G1839" t="b">
        <v>1</v>
      </c>
      <c r="H1839" t="s">
        <v>706</v>
      </c>
    </row>
    <row r="1840" spans="1:8" x14ac:dyDescent="0.3">
      <c r="A1840" t="s">
        <v>734</v>
      </c>
      <c r="B1840" t="s">
        <v>263</v>
      </c>
      <c r="C1840" t="s">
        <v>271</v>
      </c>
      <c r="D1840" t="s">
        <v>2822</v>
      </c>
      <c r="E1840">
        <v>0</v>
      </c>
      <c r="F1840" t="s">
        <v>2820</v>
      </c>
      <c r="G1840" t="b">
        <v>1</v>
      </c>
      <c r="H1840" t="s">
        <v>708</v>
      </c>
    </row>
    <row r="1841" spans="1:8" x14ac:dyDescent="0.3">
      <c r="A1841" t="s">
        <v>734</v>
      </c>
      <c r="B1841" t="s">
        <v>263</v>
      </c>
      <c r="C1841" t="s">
        <v>271</v>
      </c>
      <c r="D1841" t="s">
        <v>2823</v>
      </c>
      <c r="E1841">
        <v>0</v>
      </c>
      <c r="F1841" t="s">
        <v>2820</v>
      </c>
      <c r="G1841" t="b">
        <v>1</v>
      </c>
      <c r="H1841" t="s">
        <v>710</v>
      </c>
    </row>
    <row r="1842" spans="1:8" x14ac:dyDescent="0.3">
      <c r="A1842" t="s">
        <v>734</v>
      </c>
      <c r="B1842" t="s">
        <v>263</v>
      </c>
      <c r="C1842" t="s">
        <v>271</v>
      </c>
      <c r="D1842" t="s">
        <v>2824</v>
      </c>
      <c r="E1842">
        <v>0</v>
      </c>
      <c r="F1842" t="s">
        <v>2820</v>
      </c>
      <c r="G1842" t="b">
        <v>1</v>
      </c>
      <c r="H1842" t="s">
        <v>2802</v>
      </c>
    </row>
    <row r="1843" spans="1:8" x14ac:dyDescent="0.3">
      <c r="A1843" t="s">
        <v>734</v>
      </c>
      <c r="B1843" t="s">
        <v>263</v>
      </c>
      <c r="C1843" t="s">
        <v>271</v>
      </c>
      <c r="D1843" t="s">
        <v>2825</v>
      </c>
      <c r="E1843">
        <v>0</v>
      </c>
      <c r="F1843" t="s">
        <v>2820</v>
      </c>
      <c r="G1843" t="b">
        <v>1</v>
      </c>
      <c r="H1843" t="s">
        <v>2800</v>
      </c>
    </row>
    <row r="1844" spans="1:8" x14ac:dyDescent="0.3">
      <c r="A1844" t="s">
        <v>734</v>
      </c>
      <c r="B1844" t="s">
        <v>263</v>
      </c>
      <c r="C1844" t="s">
        <v>271</v>
      </c>
      <c r="D1844" t="s">
        <v>2826</v>
      </c>
      <c r="E1844">
        <v>0</v>
      </c>
      <c r="F1844" t="s">
        <v>2820</v>
      </c>
      <c r="G1844" t="b">
        <v>1</v>
      </c>
      <c r="H1844" t="s">
        <v>1935</v>
      </c>
    </row>
    <row r="1845" spans="1:8" x14ac:dyDescent="0.3">
      <c r="A1845" t="s">
        <v>734</v>
      </c>
      <c r="B1845" t="s">
        <v>263</v>
      </c>
      <c r="C1845" t="s">
        <v>271</v>
      </c>
      <c r="D1845" t="s">
        <v>2827</v>
      </c>
      <c r="E1845">
        <v>12000</v>
      </c>
      <c r="F1845" t="s">
        <v>2820</v>
      </c>
      <c r="G1845" t="b">
        <v>1</v>
      </c>
      <c r="H1845" t="s">
        <v>2828</v>
      </c>
    </row>
    <row r="1846" spans="1:8" x14ac:dyDescent="0.3">
      <c r="A1846" t="s">
        <v>734</v>
      </c>
      <c r="B1846" t="s">
        <v>263</v>
      </c>
      <c r="C1846" t="s">
        <v>271</v>
      </c>
      <c r="D1846" t="s">
        <v>2829</v>
      </c>
      <c r="E1846">
        <v>12000</v>
      </c>
      <c r="F1846" t="s">
        <v>2820</v>
      </c>
      <c r="G1846" t="b">
        <v>1</v>
      </c>
      <c r="H1846" t="s">
        <v>2830</v>
      </c>
    </row>
    <row r="1847" spans="1:8" x14ac:dyDescent="0.3">
      <c r="A1847" t="s">
        <v>734</v>
      </c>
      <c r="B1847" t="s">
        <v>263</v>
      </c>
      <c r="C1847" t="s">
        <v>271</v>
      </c>
      <c r="D1847" t="s">
        <v>2831</v>
      </c>
      <c r="E1847">
        <v>12000</v>
      </c>
      <c r="F1847" t="s">
        <v>2820</v>
      </c>
      <c r="G1847" t="b">
        <v>1</v>
      </c>
      <c r="H1847" t="s">
        <v>466</v>
      </c>
    </row>
    <row r="1848" spans="1:8" x14ac:dyDescent="0.3">
      <c r="A1848" t="s">
        <v>734</v>
      </c>
      <c r="B1848" t="s">
        <v>263</v>
      </c>
      <c r="C1848" t="s">
        <v>271</v>
      </c>
      <c r="D1848" t="s">
        <v>2832</v>
      </c>
      <c r="E1848">
        <v>12000</v>
      </c>
      <c r="F1848" t="s">
        <v>2820</v>
      </c>
      <c r="G1848" t="b">
        <v>1</v>
      </c>
      <c r="H1848" t="s">
        <v>467</v>
      </c>
    </row>
    <row r="1849" spans="1:8" x14ac:dyDescent="0.3">
      <c r="A1849" t="s">
        <v>734</v>
      </c>
      <c r="B1849" t="s">
        <v>263</v>
      </c>
      <c r="C1849" t="s">
        <v>271</v>
      </c>
      <c r="D1849" t="s">
        <v>2833</v>
      </c>
      <c r="E1849">
        <v>12000</v>
      </c>
      <c r="F1849" t="s">
        <v>2820</v>
      </c>
      <c r="G1849" t="b">
        <v>1</v>
      </c>
      <c r="H1849" t="s">
        <v>468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t="s">
        <v>547</v>
      </c>
      <c r="B1" t="s">
        <v>2845</v>
      </c>
      <c r="C1" t="s">
        <v>729</v>
      </c>
      <c r="D1" t="s">
        <v>551</v>
      </c>
      <c r="E1" t="s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DRE</vt:lpstr>
      <vt:lpstr>CMV_Manual</vt:lpstr>
      <vt:lpstr>Fiscal</vt:lpstr>
      <vt:lpstr>T_REAL</vt:lpstr>
      <vt:lpstr>Aut_Faturamento_Zig_Delivery</vt:lpstr>
      <vt:lpstr>Aut_BlueMe_Sem_Pedido</vt:lpstr>
      <vt:lpstr>Aut_BlueMe_Com_Pedido</vt:lpstr>
      <vt:lpstr>Aut_Faturamento_Zig</vt:lpstr>
      <vt:lpstr>Aut_Receitas_Extraord</vt:lpstr>
      <vt:lpstr>BD_Eventos_Novo</vt:lpstr>
      <vt:lpstr>Aut_Folha</vt:lpstr>
      <vt:lpstr>Aut_Descontos</vt:lpstr>
      <vt:lpstr>Aut_Promocoes_Utilizadas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Aut_Ajustes_Manuais</vt:lpstr>
      <vt:lpstr>Aut_Consumo_Cartao_Black</vt:lpstr>
      <vt:lpstr>T_ORCAMENTOS</vt:lpstr>
      <vt:lpstr>T_HEADCOUNT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Thais Fujissaka</cp:lastModifiedBy>
  <cp:lastPrinted>2026-05-20T17:00:41Z</cp:lastPrinted>
  <dcterms:created xsi:type="dcterms:W3CDTF">2015-06-05T18:19:34Z</dcterms:created>
  <dcterms:modified xsi:type="dcterms:W3CDTF">2026-09-18T19:23:26Z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